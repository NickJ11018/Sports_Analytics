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H:\Personal\Stats Analysis\"/>
    </mc:Choice>
  </mc:AlternateContent>
  <xr:revisionPtr revIDLastSave="0" documentId="13_ncr:1_{CE68AB72-D737-42F2-98B8-216D80E58D34}" xr6:coauthVersionLast="47" xr6:coauthVersionMax="47" xr10:uidLastSave="{00000000-0000-0000-0000-000000000000}"/>
  <bookViews>
    <workbookView xWindow="14850" yWindow="-16320" windowWidth="29040" windowHeight="15840" firstSheet="7" activeTab="16" xr2:uid="{6E320645-5FB5-41FE-86F6-15AD9DF0DED9}"/>
  </bookViews>
  <sheets>
    <sheet name="TFR Gridiron Power Rankings" sheetId="2" r:id="rId1"/>
    <sheet name="Week1" sheetId="1" r:id="rId2"/>
    <sheet name="Week2" sheetId="3" r:id="rId3"/>
    <sheet name="Week3" sheetId="5" r:id="rId4"/>
    <sheet name="Week4" sheetId="6" r:id="rId5"/>
    <sheet name="Week5" sheetId="8" r:id="rId6"/>
    <sheet name="Week6" sheetId="9" r:id="rId7"/>
    <sheet name="Week7" sheetId="10" r:id="rId8"/>
    <sheet name="Week8" sheetId="11" r:id="rId9"/>
    <sheet name="Week9" sheetId="12" r:id="rId10"/>
    <sheet name="Week10" sheetId="13" r:id="rId11"/>
    <sheet name="Week11" sheetId="14" r:id="rId12"/>
    <sheet name="Week12" sheetId="15" r:id="rId13"/>
    <sheet name="Week13" sheetId="16" r:id="rId14"/>
    <sheet name="Week14" sheetId="17" r:id="rId15"/>
    <sheet name="Week15" sheetId="19" r:id="rId16"/>
    <sheet name="PlayoffsTracker" sheetId="20" r:id="rId1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3" i="20" l="1"/>
  <c r="E12" i="20"/>
  <c r="E11" i="20"/>
  <c r="E10" i="20"/>
  <c r="E9" i="20"/>
  <c r="E7" i="20"/>
  <c r="E8" i="20"/>
  <c r="E6" i="20"/>
  <c r="E5" i="20"/>
  <c r="E4" i="20"/>
  <c r="E3" i="20"/>
  <c r="F2" i="20"/>
  <c r="C12" i="20" l="1"/>
  <c r="C11" i="20"/>
  <c r="C10" i="20"/>
  <c r="C9" i="20"/>
  <c r="C8" i="20"/>
  <c r="C7" i="20"/>
  <c r="C6" i="20"/>
  <c r="C13" i="20"/>
  <c r="C5" i="20"/>
  <c r="C4" i="20"/>
  <c r="C3" i="20"/>
  <c r="C2" i="20"/>
  <c r="B12" i="20" l="1"/>
  <c r="B11" i="20"/>
  <c r="B10" i="20"/>
  <c r="B9" i="20"/>
  <c r="B8" i="20"/>
  <c r="B7" i="20"/>
  <c r="B6" i="20"/>
  <c r="B13" i="20"/>
  <c r="B5" i="20"/>
  <c r="B4" i="20"/>
  <c r="B3" i="20"/>
  <c r="D13" i="19"/>
  <c r="D12" i="19"/>
  <c r="D10" i="19"/>
  <c r="D9" i="19"/>
  <c r="D8" i="19"/>
  <c r="D7" i="19"/>
  <c r="D6" i="19"/>
  <c r="D4" i="19"/>
  <c r="D5" i="19"/>
  <c r="J3" i="19"/>
  <c r="J2" i="19"/>
  <c r="D12" i="17"/>
  <c r="D11" i="17"/>
  <c r="D10" i="17"/>
  <c r="D9" i="17"/>
  <c r="D8" i="17"/>
  <c r="D7" i="17"/>
  <c r="D6" i="17"/>
  <c r="D13" i="17"/>
  <c r="D5" i="17"/>
  <c r="D4" i="17"/>
  <c r="D3" i="17"/>
  <c r="D2" i="17"/>
  <c r="L3" i="17"/>
  <c r="L2" i="17"/>
  <c r="D13" i="16"/>
  <c r="D12" i="16"/>
  <c r="D11" i="16"/>
  <c r="D10" i="16"/>
  <c r="D9" i="16"/>
  <c r="D8" i="16"/>
  <c r="D7" i="16"/>
  <c r="D5" i="16"/>
  <c r="D4" i="16"/>
  <c r="D6" i="16"/>
  <c r="D3" i="16"/>
  <c r="D2" i="16"/>
  <c r="J3" i="16"/>
  <c r="J2" i="16"/>
  <c r="D13" i="15"/>
  <c r="D12" i="15"/>
  <c r="D11" i="15"/>
  <c r="D10" i="15"/>
  <c r="D9" i="15"/>
  <c r="D8" i="15"/>
  <c r="D7" i="15"/>
  <c r="D6" i="15"/>
  <c r="D5" i="15"/>
  <c r="D4" i="15"/>
  <c r="D3" i="15"/>
  <c r="D2" i="15"/>
  <c r="J3" i="15"/>
  <c r="J2" i="15"/>
  <c r="D12" i="14"/>
  <c r="D11" i="14"/>
  <c r="D10" i="14"/>
  <c r="D9" i="14"/>
  <c r="D8" i="14"/>
  <c r="D7" i="14"/>
  <c r="D6" i="14"/>
  <c r="D13" i="14"/>
  <c r="D5" i="14"/>
  <c r="D4" i="14"/>
  <c r="D3" i="14"/>
  <c r="D2" i="14"/>
  <c r="J3" i="14"/>
  <c r="J2" i="14"/>
  <c r="J3" i="13"/>
  <c r="J2" i="13"/>
  <c r="D2" i="13"/>
  <c r="D12" i="12"/>
  <c r="D10" i="12"/>
  <c r="D11" i="12"/>
  <c r="D9" i="12"/>
  <c r="D8" i="12"/>
  <c r="D7" i="12"/>
  <c r="D6" i="12"/>
  <c r="D13" i="12"/>
  <c r="D5" i="12"/>
  <c r="D4" i="12"/>
  <c r="D3" i="12"/>
  <c r="D2" i="12"/>
  <c r="J3" i="12"/>
  <c r="J2" i="12"/>
  <c r="D13" i="11"/>
  <c r="D12" i="11"/>
  <c r="D11" i="11"/>
  <c r="D10" i="11"/>
  <c r="D9" i="11"/>
  <c r="D8" i="11"/>
  <c r="D7" i="11"/>
  <c r="D6" i="11"/>
  <c r="D5" i="11"/>
  <c r="D4" i="11"/>
  <c r="D3" i="11"/>
  <c r="D2" i="11"/>
  <c r="J3" i="11"/>
  <c r="J2" i="11"/>
  <c r="D11" i="10"/>
  <c r="D10" i="10"/>
  <c r="D9" i="10"/>
  <c r="D8" i="10"/>
  <c r="D7" i="10"/>
  <c r="D6" i="10"/>
  <c r="D12" i="10"/>
  <c r="D5" i="10"/>
  <c r="D13" i="10"/>
  <c r="D4" i="10"/>
  <c r="D3" i="10"/>
  <c r="D2" i="10"/>
  <c r="J3" i="10" l="1"/>
  <c r="J2" i="10"/>
  <c r="D2" i="9"/>
  <c r="D12" i="9"/>
  <c r="D11" i="9"/>
  <c r="D10" i="9"/>
  <c r="D9" i="9"/>
  <c r="D8" i="9"/>
  <c r="D7" i="9"/>
  <c r="D6" i="9"/>
  <c r="D13" i="9"/>
  <c r="D5" i="9"/>
  <c r="D4" i="9"/>
  <c r="D3" i="9"/>
  <c r="J3" i="9"/>
  <c r="J2" i="9"/>
  <c r="D13" i="8"/>
  <c r="D12" i="8"/>
  <c r="D10" i="8"/>
  <c r="D11" i="8"/>
  <c r="D9" i="8"/>
  <c r="D8" i="8"/>
  <c r="D7" i="8"/>
  <c r="D6" i="8"/>
  <c r="D5" i="8"/>
  <c r="D4" i="8"/>
  <c r="D3" i="8"/>
  <c r="D2" i="8"/>
  <c r="J3" i="8"/>
  <c r="J2" i="8"/>
  <c r="D12" i="6"/>
  <c r="D11" i="6"/>
  <c r="D10" i="6"/>
  <c r="D9" i="6"/>
  <c r="D8" i="6"/>
  <c r="D7" i="6"/>
  <c r="D6" i="6"/>
  <c r="D5" i="6"/>
  <c r="D4" i="6"/>
  <c r="D3" i="6"/>
  <c r="D2" i="6"/>
  <c r="J3" i="6"/>
  <c r="J2" i="6"/>
  <c r="D13" i="5"/>
  <c r="D12" i="5"/>
  <c r="D11" i="5"/>
  <c r="D10" i="5"/>
  <c r="D9" i="5"/>
  <c r="D8" i="5"/>
  <c r="D7" i="5"/>
  <c r="D6" i="5"/>
  <c r="D5" i="5"/>
  <c r="D4" i="5"/>
  <c r="D3" i="5"/>
  <c r="D2" i="5"/>
  <c r="J3" i="5"/>
  <c r="J2" i="5"/>
  <c r="D13" i="3"/>
  <c r="D12" i="3"/>
  <c r="D11" i="3"/>
  <c r="D10" i="3"/>
  <c r="D9" i="3"/>
  <c r="D8" i="3"/>
  <c r="D7" i="3"/>
  <c r="D6" i="3"/>
  <c r="D5" i="3"/>
  <c r="D4" i="3"/>
  <c r="D3" i="3"/>
  <c r="D2" i="3"/>
  <c r="J3" i="3"/>
  <c r="J2" i="3"/>
  <c r="I3" i="1"/>
  <c r="I2" i="1"/>
  <c r="D12" i="1"/>
  <c r="D11" i="1"/>
  <c r="D10" i="1"/>
  <c r="D9" i="1"/>
  <c r="D8" i="1"/>
  <c r="D7" i="1"/>
  <c r="D6" i="1"/>
  <c r="D5" i="1"/>
  <c r="D2" i="1"/>
</calcChain>
</file>

<file path=xl/sharedStrings.xml><?xml version="1.0" encoding="utf-8"?>
<sst xmlns="http://schemas.openxmlformats.org/spreadsheetml/2006/main" count="948" uniqueCount="262">
  <si>
    <t>Team</t>
  </si>
  <si>
    <t>Margin</t>
  </si>
  <si>
    <t>Result</t>
  </si>
  <si>
    <t>My Players</t>
  </si>
  <si>
    <t>Their Players</t>
  </si>
  <si>
    <t>Aiyuk, Samuel</t>
  </si>
  <si>
    <t>Win%</t>
  </si>
  <si>
    <t>Pandemonium</t>
  </si>
  <si>
    <t>Piranhas</t>
  </si>
  <si>
    <t>Zuerlein</t>
  </si>
  <si>
    <t>Programmers</t>
  </si>
  <si>
    <t>McCaffrey</t>
  </si>
  <si>
    <t>Pincers</t>
  </si>
  <si>
    <t>Samuel, Jets</t>
  </si>
  <si>
    <t>PrettyBoys</t>
  </si>
  <si>
    <t>Pathfinders</t>
  </si>
  <si>
    <t>McCaffrey, G.Wilson</t>
  </si>
  <si>
    <t>G.Wilson</t>
  </si>
  <si>
    <t>Petunias</t>
  </si>
  <si>
    <t>Moody</t>
  </si>
  <si>
    <t>Probables</t>
  </si>
  <si>
    <t>Preemies</t>
  </si>
  <si>
    <t>Paladins</t>
  </si>
  <si>
    <t>Samuel</t>
  </si>
  <si>
    <t>Preeminents</t>
  </si>
  <si>
    <t>W</t>
  </si>
  <si>
    <t>L</t>
  </si>
  <si>
    <t>Like</t>
  </si>
  <si>
    <t>Middle</t>
  </si>
  <si>
    <t>Dislike</t>
  </si>
  <si>
    <t>Favorable range</t>
  </si>
  <si>
    <t>&lt;34.2</t>
  </si>
  <si>
    <t>Aiyuk</t>
  </si>
  <si>
    <t>&gt;33.9</t>
  </si>
  <si>
    <t>&lt;48.7 with Aiyuk</t>
  </si>
  <si>
    <t>Jets</t>
  </si>
  <si>
    <t>Penultimates</t>
  </si>
  <si>
    <t>W:</t>
  </si>
  <si>
    <t>L:</t>
  </si>
  <si>
    <t>FP_Win%</t>
  </si>
  <si>
    <t>E/S_Win%</t>
  </si>
  <si>
    <t>Hurts</t>
  </si>
  <si>
    <t>Robinson</t>
  </si>
  <si>
    <t>London, Goedert, Smith</t>
  </si>
  <si>
    <t>Goedert</t>
  </si>
  <si>
    <t>Barkley</t>
  </si>
  <si>
    <t>Barkley, Elliott</t>
  </si>
  <si>
    <t>Robinson, Smith, Koo</t>
  </si>
  <si>
    <t>&lt;36.66</t>
  </si>
  <si>
    <t>London</t>
  </si>
  <si>
    <t>Smith</t>
  </si>
  <si>
    <t>Robinson, Pitts</t>
  </si>
  <si>
    <t>Hurts, Smith, Elliott</t>
  </si>
  <si>
    <t>Koo</t>
  </si>
  <si>
    <t>Pitts</t>
  </si>
  <si>
    <t>Elliott</t>
  </si>
  <si>
    <t>Burrow, Cook</t>
  </si>
  <si>
    <t>Etienne, Moss</t>
  </si>
  <si>
    <t>Allen</t>
  </si>
  <si>
    <t>Bass</t>
  </si>
  <si>
    <t>Allen, Buffalo D/ST</t>
  </si>
  <si>
    <t>Allen, Cook, Etienne, Bass, Buffalo D/ST</t>
  </si>
  <si>
    <t>Thomas Jr.</t>
  </si>
  <si>
    <t>Allen, Etienne</t>
  </si>
  <si>
    <t>Cook</t>
  </si>
  <si>
    <t>Chase</t>
  </si>
  <si>
    <t>Chase, Bass</t>
  </si>
  <si>
    <t>Allen, Cook</t>
  </si>
  <si>
    <t>Daniels, Chase, Bass</t>
  </si>
  <si>
    <t>Burrow</t>
  </si>
  <si>
    <t>Moss</t>
  </si>
  <si>
    <t>&gt;Moss, not crazy good</t>
  </si>
  <si>
    <t>Not crazy good, anything else works</t>
  </si>
  <si>
    <t>Buffalo D/ST</t>
  </si>
  <si>
    <t>Etienne</t>
  </si>
  <si>
    <t>Do poorly</t>
  </si>
  <si>
    <t>Daniels</t>
  </si>
  <si>
    <t>soooo close, Allen 30.92</t>
  </si>
  <si>
    <t>Metcalf</t>
  </si>
  <si>
    <t>LaPorta, Montgomery</t>
  </si>
  <si>
    <t>Achane, St. Brown</t>
  </si>
  <si>
    <t>Pollard</t>
  </si>
  <si>
    <t>St. Brown, Gibbs</t>
  </si>
  <si>
    <t>Achane</t>
  </si>
  <si>
    <t>SEA D/ST</t>
  </si>
  <si>
    <t>St. Brown</t>
  </si>
  <si>
    <t>Walker III</t>
  </si>
  <si>
    <t>G.Smith, Gibbs</t>
  </si>
  <si>
    <t>Hill, MIA D/ST</t>
  </si>
  <si>
    <t>Gibbs</t>
  </si>
  <si>
    <t>Achane, St. Brown, LaPorta</t>
  </si>
  <si>
    <t>Ridley, DET D/ST</t>
  </si>
  <si>
    <t>LaPorta</t>
  </si>
  <si>
    <t>Montgomery</t>
  </si>
  <si>
    <t>Hill</t>
  </si>
  <si>
    <t>G. Smith</t>
  </si>
  <si>
    <t>Ridley</t>
  </si>
  <si>
    <t>MIA D/ST</t>
  </si>
  <si>
    <t>DET D/ST</t>
  </si>
  <si>
    <t>Mostly against, &gt;Pollard+2.1, otherwise bad</t>
  </si>
  <si>
    <t>Mostly for, big day pls</t>
  </si>
  <si>
    <t>Mostly for, would like a big day, &lt;64</t>
  </si>
  <si>
    <t>Kamara</t>
  </si>
  <si>
    <t>Shaheed</t>
  </si>
  <si>
    <t>Mahomes, Steele, Kelce, KC</t>
  </si>
  <si>
    <t>Olave</t>
  </si>
  <si>
    <t>Hunt, Butker</t>
  </si>
  <si>
    <t>Mahomes, Butker</t>
  </si>
  <si>
    <t>Mahomes, KC</t>
  </si>
  <si>
    <t>Worthy, Butker</t>
  </si>
  <si>
    <t>Mahomes</t>
  </si>
  <si>
    <t>KC</t>
  </si>
  <si>
    <t>Steele</t>
  </si>
  <si>
    <t>Kelce</t>
  </si>
  <si>
    <t>Butker</t>
  </si>
  <si>
    <t>Worthy</t>
  </si>
  <si>
    <t>with DST, between 33 and 50ish</t>
  </si>
  <si>
    <t>Allen, Wilson, NYJ</t>
  </si>
  <si>
    <t>Kincaid</t>
  </si>
  <si>
    <t>Allen, Bass</t>
  </si>
  <si>
    <t>NYJ, Bass</t>
  </si>
  <si>
    <t>Allen, Cook, BUF</t>
  </si>
  <si>
    <t>Wilson</t>
  </si>
  <si>
    <t>BUF</t>
  </si>
  <si>
    <t>Hall</t>
  </si>
  <si>
    <t>Cook, Wilson</t>
  </si>
  <si>
    <t>Middling</t>
  </si>
  <si>
    <t>NYJ</t>
  </si>
  <si>
    <t>Godwin</t>
  </si>
  <si>
    <t>Dobbins</t>
  </si>
  <si>
    <t>Murray, McConkey, TB</t>
  </si>
  <si>
    <t>McBride</t>
  </si>
  <si>
    <t>Henry, Otton, McLaughlin</t>
  </si>
  <si>
    <t>Murray</t>
  </si>
  <si>
    <t>McConkey</t>
  </si>
  <si>
    <t>TB</t>
  </si>
  <si>
    <t>Henry</t>
  </si>
  <si>
    <t>Otton</t>
  </si>
  <si>
    <t>McLaughlin</t>
  </si>
  <si>
    <t>Conner</t>
  </si>
  <si>
    <t>Flowers</t>
  </si>
  <si>
    <t>Conner, Harrison Jr., Tucker</t>
  </si>
  <si>
    <t>Jackson, Flowers</t>
  </si>
  <si>
    <t>Evans</t>
  </si>
  <si>
    <t>Evans, McBride</t>
  </si>
  <si>
    <t>+Evans&lt;23.4, +64.88&gt;Henry+Otton+McLaughlin</t>
  </si>
  <si>
    <t>Jackson</t>
  </si>
  <si>
    <t>Harrison Jr., BAL</t>
  </si>
  <si>
    <t>BAL</t>
  </si>
  <si>
    <t xml:space="preserve">Harrison Jr. </t>
  </si>
  <si>
    <t>+BAL&lt;Godwin+82.24, +Conner+Tucker&gt;34.38</t>
  </si>
  <si>
    <t>Tucker</t>
  </si>
  <si>
    <t>Jackson, McBride, LAC</t>
  </si>
  <si>
    <t>Mayfield, Flowers</t>
  </si>
  <si>
    <t>+Jackson-Evans &gt; -44, &lt;65.1, +Mayfield &lt; Jackson+McBride+LAC+5.4</t>
  </si>
  <si>
    <t>Mayfield</t>
  </si>
  <si>
    <t>LAC</t>
  </si>
  <si>
    <t>Harris</t>
  </si>
  <si>
    <t>Harris, PIT</t>
  </si>
  <si>
    <t>Pickens, PIT</t>
  </si>
  <si>
    <t>PIT</t>
  </si>
  <si>
    <t>Pickens</t>
  </si>
  <si>
    <t>Boswell</t>
  </si>
  <si>
    <t>&gt;-1.5, +PIT&lt;38.2</t>
  </si>
  <si>
    <t>+Harris&lt;38.2, +Pickens-Boswell&gt;-43.8, &gt;Boswell-32.54</t>
  </si>
  <si>
    <t>Nabers</t>
  </si>
  <si>
    <t>&lt;41.9, &gt;26.6</t>
  </si>
  <si>
    <t>PIT, Boswell</t>
  </si>
  <si>
    <t>Empty(Singletary?)</t>
  </si>
  <si>
    <t>(Singletary)</t>
  </si>
  <si>
    <t>Poorly, +PIT&gt;-5.1, -Wilson&gt;19.5</t>
  </si>
  <si>
    <t>KC D/ST</t>
  </si>
  <si>
    <t>Hopkins</t>
  </si>
  <si>
    <t>&lt;17.5</t>
  </si>
  <si>
    <t>&lt;20.4</t>
  </si>
  <si>
    <t>&gt;-30, &lt;71.1</t>
  </si>
  <si>
    <t>&lt;-28.6</t>
  </si>
  <si>
    <t>&lt;-22.0</t>
  </si>
  <si>
    <t>Mixon</t>
  </si>
  <si>
    <t>Collins</t>
  </si>
  <si>
    <t>Aubrey</t>
  </si>
  <si>
    <t>Fairbairn</t>
  </si>
  <si>
    <t>Hou D/ST</t>
  </si>
  <si>
    <t>Hou D/ST, Fairbairn</t>
  </si>
  <si>
    <t>Ferguson, Dal D/ST, Aubrey</t>
  </si>
  <si>
    <t>Dal D/ST</t>
  </si>
  <si>
    <t>Ferguson</t>
  </si>
  <si>
    <t>Lamb</t>
  </si>
  <si>
    <t>Lamb 1.4+</t>
  </si>
  <si>
    <t>+Fairbairn&gt;Ferguson+Dal D/ST+Aubrey+28.64</t>
  </si>
  <si>
    <t>Lamb&gt;Ferguson+11.4</t>
  </si>
  <si>
    <t>Dicker</t>
  </si>
  <si>
    <t>Herbert</t>
  </si>
  <si>
    <t>eh</t>
  </si>
  <si>
    <t>LAC D/ST</t>
  </si>
  <si>
    <t>Dissly, McConkey</t>
  </si>
  <si>
    <t>Dissly</t>
  </si>
  <si>
    <t>Jackson, Johnson, Andrews</t>
  </si>
  <si>
    <t>Johnson</t>
  </si>
  <si>
    <t>Andrews</t>
  </si>
  <si>
    <t>&lt;38.1</t>
  </si>
  <si>
    <t>+Flowers&gt;Dicker+17.36</t>
  </si>
  <si>
    <t>Jackson, LAC D/ST</t>
  </si>
  <si>
    <t>DEN D/ST</t>
  </si>
  <si>
    <t>Sutton</t>
  </si>
  <si>
    <t>Njoku</t>
  </si>
  <si>
    <t>&lt;DEN+22.02</t>
  </si>
  <si>
    <t>Nix, DEN D/ST</t>
  </si>
  <si>
    <t>Nix</t>
  </si>
  <si>
    <t>&gt;1.35, &lt;20.6-Nix, &gt;Njoku-22.02</t>
  </si>
  <si>
    <t>Playoffs?</t>
  </si>
  <si>
    <t>1 or 2 seed</t>
  </si>
  <si>
    <t>3 or 4 seed</t>
  </si>
  <si>
    <t>79%, win and in, loss and tougher: 31 or 97.7 margins</t>
  </si>
  <si>
    <t>2 or 3 or 4 seed, leading by 58.48 / 164.44, basically 2 or 3 seed</t>
  </si>
  <si>
    <t>1 seed, 2-7 still TBD</t>
  </si>
  <si>
    <t>1 or 2 or 3 seed</t>
  </si>
  <si>
    <t>1-5 seed, currently 1, win and in</t>
  </si>
  <si>
    <t>Technically possible to get 5 but like 300 points from 5 seed</t>
  </si>
  <si>
    <t>4+, could get 3</t>
  </si>
  <si>
    <t>1-4 seed</t>
  </si>
  <si>
    <t>Lamb, Brown</t>
  </si>
  <si>
    <t>Brown</t>
  </si>
  <si>
    <t>Pre-week Playoffs%</t>
  </si>
  <si>
    <t>Lamb, Aubrey</t>
  </si>
  <si>
    <t>Prescott, Lamb</t>
  </si>
  <si>
    <t>Prescott</t>
  </si>
  <si>
    <t>Higgins</t>
  </si>
  <si>
    <t>CIN D/ST</t>
  </si>
  <si>
    <t>Brown, Lamb</t>
  </si>
  <si>
    <t>&lt;Brown-1.84,  &gt;Prescott+Lamb - 76.34, &gt; Brown+Lab-18.36</t>
  </si>
  <si>
    <t>+Lamb-36&lt;Brown, &gt;Higgins+3.12, &lt;Lamb+Brown+1.34</t>
  </si>
  <si>
    <t>generally negative, +Brown+1.34&gt;Aubrey</t>
  </si>
  <si>
    <t>+Lamb+2.45&lt;Burrow, &gt;Chase+1.84, &gt;Lamb+Aubrey-36, +Lamb&lt;Chase+18.36, +Lamb+1.34&gt;Aubrey</t>
  </si>
  <si>
    <t>Seed</t>
  </si>
  <si>
    <t>!</t>
  </si>
  <si>
    <t>Round1Week1_Margin</t>
  </si>
  <si>
    <t>Round1Week2_Margin</t>
  </si>
  <si>
    <t>Round1_Result</t>
  </si>
  <si>
    <t>Round2Week1_Margin</t>
  </si>
  <si>
    <t>Round2Week2_Margin</t>
  </si>
  <si>
    <t>bye</t>
  </si>
  <si>
    <t>Bowers, MIN D/ST</t>
  </si>
  <si>
    <t>Jones</t>
  </si>
  <si>
    <t>Bowers</t>
  </si>
  <si>
    <t>MIN D/ST</t>
  </si>
  <si>
    <t>Addison, Robinson</t>
  </si>
  <si>
    <t>Addison</t>
  </si>
  <si>
    <t>Meyers</t>
  </si>
  <si>
    <t>Moore, Meyers</t>
  </si>
  <si>
    <t>Moore</t>
  </si>
  <si>
    <t>Addison, MIN D/ST, Koo</t>
  </si>
  <si>
    <t>Unfavorable</t>
  </si>
  <si>
    <t>Meyers, Bowers, MIN D/ST, Koo</t>
  </si>
  <si>
    <t>Favorable, +Addison+Koo&lt;Bowers+31.34, +Meyers+Bowers+Koo&gt;London+14.22</t>
  </si>
  <si>
    <t>Unfavorable but +Bowers+MIN D/ST+Koo &gt; London+14.22</t>
  </si>
  <si>
    <t>Mixed, +Addison+MIN D/ST&gt;Bowers-31.34, +Meyers+Bowers+MIN D/ST &gt; London+14.22</t>
  </si>
  <si>
    <t>Unfavorable, not needed</t>
  </si>
  <si>
    <t>Jefferson</t>
  </si>
  <si>
    <t>MIN D/ST, Reichard</t>
  </si>
  <si>
    <t>Reichard</t>
  </si>
  <si>
    <t>L :(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</si>
</sst>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0" fillId="2" borderId="1" xfId="0" applyFill="1" applyBorder="1"/>
    <xf numFmtId="0" fontId="1" fillId="0" borderId="0" xfId="0" applyFont="1"/>
    <xf numFmtId="0" fontId="0" fillId="0" borderId="0" xfId="0" quotePrefix="1"/>
    <xf numFmtId="0" fontId="1" fillId="2" borderId="2" xfId="0" applyFont="1" applyFill="1" applyBorder="1"/>
  </cellXfs>
  <cellStyles count="1">
    <cellStyle name="Normal" xfId="0" builtinId="0"/>
  </cellStyles>
  <dxfs count="54"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606FB-5F5D-4BA5-9FE8-58675D1C349C}">
  <dimension ref="A1"/>
  <sheetViews>
    <sheetView workbookViewId="0">
      <selection activeCell="E18" sqref="E18"/>
    </sheetView>
  </sheetViews>
  <sheetFormatPr defaultRowHeight="14.5" x14ac:dyDescent="0.3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EE1FC-8CE4-484A-94EC-B5824AB139F2}">
  <dimension ref="A1:I18"/>
  <sheetViews>
    <sheetView workbookViewId="0">
      <selection activeCell="E2" sqref="E2:E12"/>
    </sheetView>
  </sheetViews>
  <sheetFormatPr defaultRowHeight="14.5" x14ac:dyDescent="0.35"/>
  <cols>
    <col min="1" max="1" width="13.453125" bestFit="1" customWidth="1"/>
    <col min="2" max="2" width="18" bestFit="1" customWidth="1"/>
    <col min="3" max="3" width="12.81640625" bestFit="1" customWidth="1"/>
    <col min="4" max="4" width="6.6328125" bestFit="1" customWidth="1"/>
    <col min="5" max="5" width="6.54296875" bestFit="1" customWidth="1"/>
    <col min="8" max="8" width="3.08984375" bestFit="1" customWidth="1"/>
  </cols>
  <sheetData>
    <row r="1" spans="1:9" x14ac:dyDescent="0.35">
      <c r="A1" s="2" t="s">
        <v>0</v>
      </c>
      <c r="B1" s="2" t="s">
        <v>3</v>
      </c>
      <c r="C1" s="2" t="s">
        <v>4</v>
      </c>
      <c r="D1" s="2" t="s">
        <v>1</v>
      </c>
      <c r="E1" s="2" t="s">
        <v>6</v>
      </c>
      <c r="F1" s="2" t="s">
        <v>2</v>
      </c>
    </row>
    <row r="2" spans="1:9" x14ac:dyDescent="0.35">
      <c r="A2" s="3" t="s">
        <v>7</v>
      </c>
      <c r="B2" s="1" t="s">
        <v>17</v>
      </c>
      <c r="C2" s="1" t="s">
        <v>5</v>
      </c>
      <c r="D2" s="1">
        <f>122.1-73.4</f>
        <v>48.699999999999989</v>
      </c>
      <c r="E2" s="1">
        <v>99</v>
      </c>
      <c r="F2" s="1" t="s">
        <v>25</v>
      </c>
      <c r="H2" t="s">
        <v>37</v>
      </c>
      <c r="I2">
        <f>COUNTIF($F$2:$F$13, "W")</f>
        <v>6</v>
      </c>
    </row>
    <row r="3" spans="1:9" x14ac:dyDescent="0.35">
      <c r="A3" s="3" t="s">
        <v>8</v>
      </c>
      <c r="B3" s="1" t="s">
        <v>17</v>
      </c>
      <c r="C3" s="1" t="s">
        <v>9</v>
      </c>
      <c r="D3" s="1">
        <v>0.22</v>
      </c>
      <c r="E3" s="1">
        <v>87</v>
      </c>
      <c r="F3" s="1" t="s">
        <v>25</v>
      </c>
      <c r="H3" t="s">
        <v>38</v>
      </c>
      <c r="I3">
        <f>COUNTIF($F$2:$F$13, "L")</f>
        <v>5</v>
      </c>
    </row>
    <row r="4" spans="1:9" x14ac:dyDescent="0.35">
      <c r="A4" s="3" t="s">
        <v>10</v>
      </c>
      <c r="B4" s="1" t="s">
        <v>11</v>
      </c>
      <c r="C4" s="1"/>
      <c r="D4" s="1">
        <v>-76.58</v>
      </c>
      <c r="E4" s="1">
        <v>1</v>
      </c>
      <c r="F4" s="1" t="s">
        <v>26</v>
      </c>
    </row>
    <row r="5" spans="1:9" x14ac:dyDescent="0.35">
      <c r="A5" s="3" t="s">
        <v>12</v>
      </c>
      <c r="B5" s="1"/>
      <c r="C5" s="1" t="s">
        <v>13</v>
      </c>
      <c r="D5" s="1">
        <f>108.58-96</f>
        <v>12.579999999999998</v>
      </c>
      <c r="E5" s="1">
        <v>22</v>
      </c>
      <c r="F5" s="1" t="s">
        <v>26</v>
      </c>
    </row>
    <row r="6" spans="1:9" x14ac:dyDescent="0.35">
      <c r="A6" s="3" t="s">
        <v>14</v>
      </c>
      <c r="B6" s="1"/>
      <c r="C6" s="1" t="s">
        <v>11</v>
      </c>
      <c r="D6" s="1">
        <f>124.08-89.96</f>
        <v>34.120000000000005</v>
      </c>
      <c r="E6" s="1">
        <v>15</v>
      </c>
      <c r="F6" s="1" t="s">
        <v>25</v>
      </c>
    </row>
    <row r="7" spans="1:9" x14ac:dyDescent="0.35">
      <c r="A7" s="3" t="s">
        <v>15</v>
      </c>
      <c r="B7" s="1" t="s">
        <v>16</v>
      </c>
      <c r="C7" s="1"/>
      <c r="D7" s="1">
        <f>110.02-99.26</f>
        <v>10.759999999999991</v>
      </c>
      <c r="E7" s="1">
        <v>99</v>
      </c>
      <c r="F7" s="1" t="s">
        <v>25</v>
      </c>
    </row>
    <row r="8" spans="1:9" x14ac:dyDescent="0.35">
      <c r="A8" s="3" t="s">
        <v>18</v>
      </c>
      <c r="B8" s="1"/>
      <c r="C8" s="1" t="s">
        <v>19</v>
      </c>
      <c r="D8" s="1">
        <f>122.28-105.88</f>
        <v>16.400000000000006</v>
      </c>
      <c r="E8" s="1">
        <v>98</v>
      </c>
      <c r="F8" s="1" t="s">
        <v>26</v>
      </c>
    </row>
    <row r="9" spans="1:9" x14ac:dyDescent="0.35">
      <c r="A9" s="3" t="s">
        <v>20</v>
      </c>
      <c r="B9" s="1" t="s">
        <v>17</v>
      </c>
      <c r="C9" s="1"/>
      <c r="D9" s="1">
        <f>108.98-115.32</f>
        <v>-6.3399999999999892</v>
      </c>
      <c r="E9" s="1">
        <v>93</v>
      </c>
      <c r="F9" s="1" t="s">
        <v>25</v>
      </c>
    </row>
    <row r="10" spans="1:9" x14ac:dyDescent="0.35">
      <c r="A10" s="3" t="s">
        <v>21</v>
      </c>
      <c r="B10" s="1"/>
      <c r="C10" s="1"/>
      <c r="D10" s="1">
        <f>134.3-110.18</f>
        <v>24.120000000000005</v>
      </c>
      <c r="E10" s="1">
        <v>100</v>
      </c>
      <c r="F10" s="1" t="s">
        <v>25</v>
      </c>
    </row>
    <row r="11" spans="1:9" x14ac:dyDescent="0.35">
      <c r="A11" s="3" t="s">
        <v>22</v>
      </c>
      <c r="B11" s="1" t="s">
        <v>23</v>
      </c>
      <c r="C11" s="1"/>
      <c r="D11" s="1">
        <f>96.62-130.46</f>
        <v>-33.840000000000003</v>
      </c>
      <c r="E11" s="1">
        <v>2</v>
      </c>
      <c r="F11" s="1" t="s">
        <v>26</v>
      </c>
    </row>
    <row r="12" spans="1:9" x14ac:dyDescent="0.35">
      <c r="A12" s="3" t="s">
        <v>24</v>
      </c>
      <c r="B12" s="1"/>
      <c r="C12" s="1"/>
      <c r="D12" s="1">
        <f>98.54-113.32</f>
        <v>-14.779999999999987</v>
      </c>
      <c r="E12" s="1">
        <v>0</v>
      </c>
      <c r="F12" s="1" t="s">
        <v>26</v>
      </c>
    </row>
    <row r="14" spans="1:9" x14ac:dyDescent="0.35">
      <c r="A14" t="s">
        <v>27</v>
      </c>
      <c r="B14" t="s">
        <v>29</v>
      </c>
      <c r="C14" t="s">
        <v>28</v>
      </c>
      <c r="D14" t="s">
        <v>30</v>
      </c>
    </row>
    <row r="15" spans="1:9" x14ac:dyDescent="0.35">
      <c r="A15" t="s">
        <v>17</v>
      </c>
      <c r="B15" t="s">
        <v>32</v>
      </c>
      <c r="C15" t="s">
        <v>11</v>
      </c>
      <c r="D15" t="s">
        <v>31</v>
      </c>
    </row>
    <row r="16" spans="1:9" x14ac:dyDescent="0.35">
      <c r="B16" t="s">
        <v>9</v>
      </c>
      <c r="C16" t="s">
        <v>23</v>
      </c>
      <c r="D16" t="s">
        <v>33</v>
      </c>
      <c r="E16" t="s">
        <v>34</v>
      </c>
    </row>
    <row r="17" spans="2:2" x14ac:dyDescent="0.35">
      <c r="B17" t="s">
        <v>35</v>
      </c>
    </row>
    <row r="18" spans="2:2" x14ac:dyDescent="0.35">
      <c r="B18" t="s">
        <v>19</v>
      </c>
    </row>
  </sheetData>
  <conditionalFormatting sqref="E2:E1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:F12">
    <cfRule type="cellIs" dxfId="53" priority="2" operator="equal">
      <formula>"L"</formula>
    </cfRule>
    <cfRule type="cellIs" dxfId="52" priority="3" operator="equal">
      <formula>"W"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C2FAC-AAF2-4B9C-B6A5-7E8774FB8729}">
  <dimension ref="A1:J20"/>
  <sheetViews>
    <sheetView workbookViewId="0">
      <selection activeCell="E18" sqref="E18"/>
    </sheetView>
  </sheetViews>
  <sheetFormatPr defaultRowHeight="14.5" x14ac:dyDescent="0.35"/>
  <cols>
    <col min="1" max="1" width="13.453125" bestFit="1" customWidth="1"/>
    <col min="2" max="2" width="20.81640625" bestFit="1" customWidth="1"/>
    <col min="3" max="3" width="19.1796875" bestFit="1" customWidth="1"/>
  </cols>
  <sheetData>
    <row r="1" spans="1:10" x14ac:dyDescent="0.35">
      <c r="A1" s="2" t="s">
        <v>0</v>
      </c>
      <c r="B1" s="2" t="s">
        <v>3</v>
      </c>
      <c r="C1" s="2" t="s">
        <v>4</v>
      </c>
      <c r="D1" s="2" t="s">
        <v>1</v>
      </c>
      <c r="E1" s="2" t="s">
        <v>39</v>
      </c>
      <c r="F1" s="2" t="s">
        <v>40</v>
      </c>
      <c r="G1" s="2" t="s">
        <v>2</v>
      </c>
    </row>
    <row r="2" spans="1:10" x14ac:dyDescent="0.35">
      <c r="A2" s="3" t="s">
        <v>7</v>
      </c>
      <c r="B2" s="1" t="s">
        <v>41</v>
      </c>
      <c r="C2" s="1" t="s">
        <v>42</v>
      </c>
      <c r="D2" s="1">
        <f>120.6-107.45</f>
        <v>13.149999999999991</v>
      </c>
      <c r="E2" s="1">
        <v>97</v>
      </c>
      <c r="F2" s="1">
        <v>89</v>
      </c>
      <c r="G2" s="1" t="s">
        <v>25</v>
      </c>
      <c r="I2" t="s">
        <v>37</v>
      </c>
      <c r="J2">
        <f>COUNTIF($G$2:$G$13, "W")</f>
        <v>9</v>
      </c>
    </row>
    <row r="3" spans="1:10" x14ac:dyDescent="0.35">
      <c r="A3" s="3" t="s">
        <v>8</v>
      </c>
      <c r="B3" s="1"/>
      <c r="C3" s="1" t="s">
        <v>42</v>
      </c>
      <c r="D3" s="1">
        <f>134.86-103.5</f>
        <v>31.360000000000014</v>
      </c>
      <c r="E3" s="1">
        <v>92</v>
      </c>
      <c r="F3" s="1">
        <v>83</v>
      </c>
      <c r="G3" s="1" t="s">
        <v>25</v>
      </c>
      <c r="I3" t="s">
        <v>38</v>
      </c>
      <c r="J3">
        <f>COUNTIF($G$2:$G$13, "L")</f>
        <v>3</v>
      </c>
    </row>
    <row r="4" spans="1:10" x14ac:dyDescent="0.35">
      <c r="A4" s="3" t="s">
        <v>10</v>
      </c>
      <c r="C4" s="1"/>
      <c r="D4" s="1">
        <f>162.26-100.32</f>
        <v>61.94</v>
      </c>
      <c r="E4" s="1">
        <v>100</v>
      </c>
      <c r="F4" s="1">
        <v>100</v>
      </c>
      <c r="G4" s="1" t="s">
        <v>25</v>
      </c>
    </row>
    <row r="5" spans="1:10" x14ac:dyDescent="0.35">
      <c r="A5" s="3" t="s">
        <v>12</v>
      </c>
      <c r="B5" s="1" t="s">
        <v>43</v>
      </c>
      <c r="C5" s="1"/>
      <c r="D5" s="1">
        <f>85.66-139.52</f>
        <v>-53.860000000000014</v>
      </c>
      <c r="E5" s="1">
        <v>20</v>
      </c>
      <c r="F5" s="1">
        <v>30</v>
      </c>
      <c r="G5" s="1" t="s">
        <v>26</v>
      </c>
    </row>
    <row r="6" spans="1:10" x14ac:dyDescent="0.35">
      <c r="A6" s="3" t="s">
        <v>14</v>
      </c>
      <c r="B6" s="1" t="s">
        <v>44</v>
      </c>
      <c r="C6" s="1" t="s">
        <v>46</v>
      </c>
      <c r="D6" s="1">
        <f>124.76-98.36</f>
        <v>26.400000000000006</v>
      </c>
      <c r="E6" s="1">
        <v>76</v>
      </c>
      <c r="F6" s="1">
        <v>79</v>
      </c>
      <c r="G6" s="1" t="s">
        <v>25</v>
      </c>
    </row>
    <row r="7" spans="1:10" x14ac:dyDescent="0.35">
      <c r="A7" s="3" t="s">
        <v>15</v>
      </c>
      <c r="B7" s="1" t="s">
        <v>44</v>
      </c>
      <c r="C7" s="1" t="s">
        <v>47</v>
      </c>
      <c r="D7" s="1">
        <f>130.68-96.56</f>
        <v>34.120000000000005</v>
      </c>
      <c r="E7" s="1">
        <v>61</v>
      </c>
      <c r="F7" s="1">
        <v>49</v>
      </c>
      <c r="G7" s="1" t="s">
        <v>25</v>
      </c>
    </row>
    <row r="8" spans="1:10" x14ac:dyDescent="0.35">
      <c r="A8" s="3" t="s">
        <v>18</v>
      </c>
      <c r="B8" s="1"/>
      <c r="C8" s="1" t="s">
        <v>41</v>
      </c>
      <c r="D8" s="1">
        <f>131.56-94.9</f>
        <v>36.659999999999997</v>
      </c>
      <c r="E8" s="1">
        <v>96</v>
      </c>
      <c r="F8" s="1">
        <v>94</v>
      </c>
      <c r="G8" s="1" t="s">
        <v>25</v>
      </c>
    </row>
    <row r="9" spans="1:10" x14ac:dyDescent="0.35">
      <c r="A9" s="3" t="s">
        <v>20</v>
      </c>
      <c r="B9" s="1"/>
      <c r="C9" s="1"/>
      <c r="D9" s="1">
        <f>111.48-123.34</f>
        <v>-11.86</v>
      </c>
      <c r="E9" s="1">
        <v>0</v>
      </c>
      <c r="F9" s="1">
        <v>0</v>
      </c>
      <c r="G9" s="1" t="s">
        <v>26</v>
      </c>
    </row>
    <row r="10" spans="1:10" x14ac:dyDescent="0.35">
      <c r="A10" s="3" t="s">
        <v>21</v>
      </c>
      <c r="B10" s="1" t="s">
        <v>50</v>
      </c>
      <c r="C10" s="1" t="s">
        <v>51</v>
      </c>
      <c r="D10" s="1">
        <f>104.28-97.82</f>
        <v>6.460000000000008</v>
      </c>
      <c r="E10" s="1">
        <v>35</v>
      </c>
      <c r="F10" s="1">
        <v>24</v>
      </c>
      <c r="G10" s="1" t="s">
        <v>25</v>
      </c>
    </row>
    <row r="11" spans="1:10" x14ac:dyDescent="0.35">
      <c r="A11" s="3" t="s">
        <v>22</v>
      </c>
      <c r="B11" s="1" t="s">
        <v>49</v>
      </c>
      <c r="C11" s="1" t="s">
        <v>52</v>
      </c>
      <c r="D11" s="1">
        <f>130.98-108.3</f>
        <v>22.679999999999993</v>
      </c>
      <c r="E11" s="1">
        <v>27</v>
      </c>
      <c r="F11" s="1">
        <v>34</v>
      </c>
      <c r="G11" s="1" t="s">
        <v>26</v>
      </c>
    </row>
    <row r="12" spans="1:10" x14ac:dyDescent="0.35">
      <c r="A12" s="3" t="s">
        <v>24</v>
      </c>
      <c r="B12" s="1"/>
      <c r="C12" s="1" t="s">
        <v>53</v>
      </c>
      <c r="D12" s="1">
        <f>121.04-65.36</f>
        <v>55.680000000000007</v>
      </c>
      <c r="E12" s="1">
        <v>100</v>
      </c>
      <c r="F12" s="1">
        <v>99</v>
      </c>
      <c r="G12" s="1" t="s">
        <v>25</v>
      </c>
    </row>
    <row r="13" spans="1:10" x14ac:dyDescent="0.35">
      <c r="A13" s="3" t="s">
        <v>36</v>
      </c>
      <c r="B13" s="1"/>
      <c r="C13" s="1" t="s">
        <v>45</v>
      </c>
      <c r="D13" s="1">
        <f>119.54-99.7</f>
        <v>19.840000000000003</v>
      </c>
      <c r="E13" s="1">
        <v>57</v>
      </c>
      <c r="F13" s="1">
        <v>58</v>
      </c>
      <c r="G13" s="1" t="s">
        <v>25</v>
      </c>
    </row>
    <row r="15" spans="1:10" x14ac:dyDescent="0.35">
      <c r="A15" t="s">
        <v>27</v>
      </c>
      <c r="B15" t="s">
        <v>29</v>
      </c>
      <c r="C15" t="s">
        <v>28</v>
      </c>
      <c r="D15" t="s">
        <v>30</v>
      </c>
    </row>
    <row r="16" spans="1:10" x14ac:dyDescent="0.35">
      <c r="A16" t="s">
        <v>44</v>
      </c>
      <c r="B16" t="s">
        <v>42</v>
      </c>
      <c r="C16" t="s">
        <v>41</v>
      </c>
      <c r="D16" t="s">
        <v>48</v>
      </c>
    </row>
    <row r="17" spans="1:3" x14ac:dyDescent="0.35">
      <c r="A17" t="s">
        <v>49</v>
      </c>
      <c r="B17" t="s">
        <v>53</v>
      </c>
      <c r="C17" t="s">
        <v>50</v>
      </c>
    </row>
    <row r="18" spans="1:3" x14ac:dyDescent="0.35">
      <c r="B18" t="s">
        <v>54</v>
      </c>
    </row>
    <row r="19" spans="1:3" x14ac:dyDescent="0.35">
      <c r="B19" t="s">
        <v>45</v>
      </c>
    </row>
    <row r="20" spans="1:3" x14ac:dyDescent="0.35">
      <c r="B20" t="s">
        <v>55</v>
      </c>
    </row>
  </sheetData>
  <conditionalFormatting sqref="E2:E1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:F13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:G13">
    <cfRule type="cellIs" dxfId="51" priority="3" operator="equal">
      <formula>"L"</formula>
    </cfRule>
    <cfRule type="cellIs" dxfId="50" priority="4" operator="equal">
      <formula>"W"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F8DEA-4456-4601-9FFA-5A06339172A4}">
  <dimension ref="A1:J20"/>
  <sheetViews>
    <sheetView workbookViewId="0">
      <selection activeCell="I19" sqref="I19"/>
    </sheetView>
  </sheetViews>
  <sheetFormatPr defaultRowHeight="14.5" x14ac:dyDescent="0.35"/>
  <cols>
    <col min="1" max="1" width="13.453125" bestFit="1" customWidth="1"/>
    <col min="2" max="2" width="34.453125" bestFit="1" customWidth="1"/>
    <col min="3" max="3" width="19.1796875" bestFit="1" customWidth="1"/>
  </cols>
  <sheetData>
    <row r="1" spans="1:10" x14ac:dyDescent="0.35">
      <c r="A1" s="2" t="s">
        <v>0</v>
      </c>
      <c r="B1" s="2" t="s">
        <v>3</v>
      </c>
      <c r="C1" s="2" t="s">
        <v>4</v>
      </c>
      <c r="D1" s="2" t="s">
        <v>1</v>
      </c>
      <c r="E1" s="2" t="s">
        <v>39</v>
      </c>
      <c r="F1" s="2" t="s">
        <v>40</v>
      </c>
      <c r="G1" s="2" t="s">
        <v>2</v>
      </c>
    </row>
    <row r="2" spans="1:10" x14ac:dyDescent="0.35">
      <c r="A2" s="3" t="s">
        <v>7</v>
      </c>
      <c r="B2" s="1" t="s">
        <v>56</v>
      </c>
      <c r="C2" s="1" t="s">
        <v>57</v>
      </c>
      <c r="D2" s="1">
        <f>68.8-64.55</f>
        <v>4.25</v>
      </c>
      <c r="E2" s="1">
        <v>89</v>
      </c>
      <c r="F2" s="1">
        <v>79</v>
      </c>
      <c r="G2" s="1" t="s">
        <v>25</v>
      </c>
      <c r="I2" t="s">
        <v>37</v>
      </c>
      <c r="J2">
        <f>COUNTIF($G$2:$G$13, "W")</f>
        <v>9</v>
      </c>
    </row>
    <row r="3" spans="1:10" x14ac:dyDescent="0.35">
      <c r="A3" s="3" t="s">
        <v>8</v>
      </c>
      <c r="B3" s="1" t="s">
        <v>60</v>
      </c>
      <c r="C3" s="1"/>
      <c r="D3" s="1">
        <f>93.6-79.28</f>
        <v>14.319999999999993</v>
      </c>
      <c r="E3" s="1">
        <v>100</v>
      </c>
      <c r="F3" s="1">
        <v>100</v>
      </c>
      <c r="G3" s="1" t="s">
        <v>25</v>
      </c>
      <c r="I3" t="s">
        <v>38</v>
      </c>
      <c r="J3">
        <f>COUNTIF($G$2:$G$13, "L")</f>
        <v>3</v>
      </c>
    </row>
    <row r="4" spans="1:10" x14ac:dyDescent="0.35">
      <c r="A4" s="3" t="s">
        <v>10</v>
      </c>
      <c r="B4" t="s">
        <v>59</v>
      </c>
      <c r="C4" s="1"/>
      <c r="D4" s="1">
        <f>94.68-83.2</f>
        <v>11.480000000000004</v>
      </c>
      <c r="E4" s="1">
        <v>100</v>
      </c>
      <c r="F4" s="1">
        <v>100</v>
      </c>
      <c r="G4" s="1" t="s">
        <v>25</v>
      </c>
    </row>
    <row r="5" spans="1:10" x14ac:dyDescent="0.35">
      <c r="A5" s="3" t="s">
        <v>12</v>
      </c>
      <c r="B5" s="1" t="s">
        <v>58</v>
      </c>
      <c r="C5" s="1"/>
      <c r="D5" s="1">
        <f>116.9-148.48</f>
        <v>-31.579999999999984</v>
      </c>
      <c r="E5" s="1">
        <v>11</v>
      </c>
      <c r="F5" s="1">
        <v>13</v>
      </c>
      <c r="G5" s="1" t="s">
        <v>26</v>
      </c>
      <c r="H5" t="s">
        <v>77</v>
      </c>
    </row>
    <row r="6" spans="1:10" x14ac:dyDescent="0.35">
      <c r="A6" s="3" t="s">
        <v>14</v>
      </c>
      <c r="B6" s="1" t="s">
        <v>61</v>
      </c>
      <c r="C6" s="1" t="s">
        <v>62</v>
      </c>
      <c r="D6" s="1">
        <f>54.9-77.18</f>
        <v>-22.280000000000008</v>
      </c>
      <c r="E6" s="1">
        <v>97</v>
      </c>
      <c r="F6" s="1">
        <v>85</v>
      </c>
      <c r="G6" s="1" t="s">
        <v>25</v>
      </c>
    </row>
    <row r="7" spans="1:10" x14ac:dyDescent="0.35">
      <c r="A7" s="3" t="s">
        <v>15</v>
      </c>
      <c r="B7" s="1"/>
      <c r="C7" s="1"/>
      <c r="D7" s="1">
        <f>122.88-64.38</f>
        <v>58.5</v>
      </c>
      <c r="E7" s="1">
        <v>100</v>
      </c>
      <c r="F7" s="1">
        <v>100</v>
      </c>
      <c r="G7" s="1" t="s">
        <v>25</v>
      </c>
    </row>
    <row r="8" spans="1:10" x14ac:dyDescent="0.35">
      <c r="A8" s="3" t="s">
        <v>18</v>
      </c>
      <c r="B8" s="1" t="s">
        <v>63</v>
      </c>
      <c r="C8" s="1" t="s">
        <v>64</v>
      </c>
      <c r="D8" s="1">
        <f>76.5-70.7</f>
        <v>5.7999999999999972</v>
      </c>
      <c r="E8" s="1">
        <v>96</v>
      </c>
      <c r="F8" s="1">
        <v>92</v>
      </c>
      <c r="G8" s="1" t="s">
        <v>25</v>
      </c>
    </row>
    <row r="9" spans="1:10" x14ac:dyDescent="0.35">
      <c r="A9" s="3" t="s">
        <v>20</v>
      </c>
      <c r="B9" s="1"/>
      <c r="C9" s="1"/>
      <c r="D9" s="1">
        <f>87.58-171.64</f>
        <v>-84.059999999999988</v>
      </c>
      <c r="E9" s="1">
        <v>0</v>
      </c>
      <c r="F9" s="1">
        <v>0</v>
      </c>
      <c r="G9" s="1" t="s">
        <v>26</v>
      </c>
    </row>
    <row r="10" spans="1:10" x14ac:dyDescent="0.35">
      <c r="A10" s="3" t="s">
        <v>21</v>
      </c>
      <c r="B10" s="1" t="s">
        <v>66</v>
      </c>
      <c r="C10" s="1"/>
      <c r="D10" s="1">
        <f>84.56-100.98</f>
        <v>-16.420000000000002</v>
      </c>
      <c r="E10" s="1">
        <v>80</v>
      </c>
      <c r="F10" s="1">
        <v>79</v>
      </c>
      <c r="G10" s="1" t="s">
        <v>25</v>
      </c>
    </row>
    <row r="11" spans="1:10" x14ac:dyDescent="0.35">
      <c r="A11" s="3" t="s">
        <v>22</v>
      </c>
      <c r="B11" s="1" t="s">
        <v>59</v>
      </c>
      <c r="C11" s="1" t="s">
        <v>67</v>
      </c>
      <c r="D11" s="1">
        <f>108.38-53.1</f>
        <v>55.279999999999994</v>
      </c>
      <c r="E11" s="1">
        <v>97</v>
      </c>
      <c r="F11" s="1">
        <v>93</v>
      </c>
      <c r="G11" s="1" t="s">
        <v>25</v>
      </c>
    </row>
    <row r="12" spans="1:10" x14ac:dyDescent="0.35">
      <c r="A12" s="3" t="s">
        <v>24</v>
      </c>
      <c r="B12" s="1" t="s">
        <v>59</v>
      </c>
      <c r="C12" s="1"/>
      <c r="D12" s="1">
        <f>113.08-109.18</f>
        <v>3.8999999999999915</v>
      </c>
      <c r="E12" s="1">
        <v>100</v>
      </c>
      <c r="F12" s="1">
        <v>99</v>
      </c>
      <c r="G12" s="1" t="s">
        <v>25</v>
      </c>
    </row>
    <row r="13" spans="1:10" x14ac:dyDescent="0.35">
      <c r="A13" s="3" t="s">
        <v>36</v>
      </c>
      <c r="B13" s="1" t="s">
        <v>68</v>
      </c>
      <c r="C13" s="1"/>
      <c r="D13" s="1">
        <f>54.7-135.4</f>
        <v>-80.7</v>
      </c>
      <c r="E13" s="1">
        <v>2</v>
      </c>
      <c r="F13" s="1">
        <v>3</v>
      </c>
      <c r="G13" s="1" t="s">
        <v>26</v>
      </c>
    </row>
    <row r="15" spans="1:10" x14ac:dyDescent="0.35">
      <c r="A15" t="s">
        <v>27</v>
      </c>
      <c r="B15" t="s">
        <v>29</v>
      </c>
      <c r="C15" t="s">
        <v>28</v>
      </c>
      <c r="D15" t="s">
        <v>30</v>
      </c>
    </row>
    <row r="16" spans="1:10" x14ac:dyDescent="0.35">
      <c r="A16" t="s">
        <v>69</v>
      </c>
      <c r="B16" t="s">
        <v>70</v>
      </c>
      <c r="C16" t="s">
        <v>64</v>
      </c>
      <c r="D16" t="s">
        <v>71</v>
      </c>
    </row>
    <row r="17" spans="1:4" x14ac:dyDescent="0.35">
      <c r="A17" t="s">
        <v>73</v>
      </c>
      <c r="B17" t="s">
        <v>62</v>
      </c>
      <c r="C17" t="s">
        <v>58</v>
      </c>
      <c r="D17" t="s">
        <v>72</v>
      </c>
    </row>
    <row r="18" spans="1:4" x14ac:dyDescent="0.35">
      <c r="A18" t="s">
        <v>59</v>
      </c>
      <c r="C18" t="s">
        <v>74</v>
      </c>
      <c r="D18" t="s">
        <v>75</v>
      </c>
    </row>
    <row r="19" spans="1:4" x14ac:dyDescent="0.35">
      <c r="A19" t="s">
        <v>65</v>
      </c>
    </row>
    <row r="20" spans="1:4" x14ac:dyDescent="0.35">
      <c r="A20" t="s">
        <v>76</v>
      </c>
    </row>
  </sheetData>
  <conditionalFormatting sqref="E2:E13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:F1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:G13">
    <cfRule type="cellIs" dxfId="49" priority="3" operator="equal">
      <formula>"L"</formula>
    </cfRule>
    <cfRule type="cellIs" dxfId="48" priority="4" operator="equal">
      <formula>"W"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0492A-B521-46FC-8A86-ACBF41DF8BA6}">
  <dimension ref="A1:J23"/>
  <sheetViews>
    <sheetView workbookViewId="0">
      <selection sqref="A1:J16"/>
    </sheetView>
  </sheetViews>
  <sheetFormatPr defaultRowHeight="14.5" x14ac:dyDescent="0.35"/>
  <cols>
    <col min="1" max="1" width="13.453125" bestFit="1" customWidth="1"/>
    <col min="2" max="2" width="34.453125" bestFit="1" customWidth="1"/>
    <col min="3" max="3" width="19.1796875" bestFit="1" customWidth="1"/>
  </cols>
  <sheetData>
    <row r="1" spans="1:10" x14ac:dyDescent="0.35">
      <c r="A1" s="2" t="s">
        <v>0</v>
      </c>
      <c r="B1" s="2" t="s">
        <v>3</v>
      </c>
      <c r="C1" s="2" t="s">
        <v>4</v>
      </c>
      <c r="D1" s="2" t="s">
        <v>1</v>
      </c>
      <c r="E1" s="2" t="s">
        <v>39</v>
      </c>
      <c r="F1" s="2" t="s">
        <v>40</v>
      </c>
      <c r="G1" s="2" t="s">
        <v>2</v>
      </c>
    </row>
    <row r="2" spans="1:10" x14ac:dyDescent="0.35">
      <c r="A2" s="3" t="s">
        <v>7</v>
      </c>
      <c r="B2" s="1" t="s">
        <v>79</v>
      </c>
      <c r="C2" s="1" t="s">
        <v>78</v>
      </c>
      <c r="D2" s="1">
        <f>87.5-107.35</f>
        <v>-19.849999999999994</v>
      </c>
      <c r="E2" s="1">
        <v>20</v>
      </c>
      <c r="F2" s="1">
        <v>27</v>
      </c>
      <c r="G2" s="1" t="s">
        <v>26</v>
      </c>
      <c r="I2" t="s">
        <v>37</v>
      </c>
      <c r="J2">
        <f>COUNTIF($G$2:$G$13, "W")</f>
        <v>8</v>
      </c>
    </row>
    <row r="3" spans="1:10" x14ac:dyDescent="0.35">
      <c r="A3" s="3" t="s">
        <v>8</v>
      </c>
      <c r="B3" s="1" t="s">
        <v>80</v>
      </c>
      <c r="C3" s="1" t="s">
        <v>78</v>
      </c>
      <c r="D3" s="1">
        <f>53.6-128.28</f>
        <v>-74.680000000000007</v>
      </c>
      <c r="E3" s="1">
        <v>0</v>
      </c>
      <c r="F3" s="1">
        <v>1</v>
      </c>
      <c r="G3" s="1" t="s">
        <v>26</v>
      </c>
      <c r="I3" t="s">
        <v>38</v>
      </c>
      <c r="J3">
        <f>COUNTIF($G$2:$G$13, "L")</f>
        <v>4</v>
      </c>
    </row>
    <row r="4" spans="1:10" x14ac:dyDescent="0.35">
      <c r="A4" s="3" t="s">
        <v>10</v>
      </c>
      <c r="B4" t="s">
        <v>78</v>
      </c>
      <c r="C4" s="1" t="s">
        <v>81</v>
      </c>
      <c r="D4" s="1">
        <f>90.44-88.34</f>
        <v>2.0999999999999943</v>
      </c>
      <c r="E4" s="1">
        <v>61</v>
      </c>
      <c r="F4" s="1">
        <v>59</v>
      </c>
      <c r="G4" s="1" t="s">
        <v>26</v>
      </c>
    </row>
    <row r="5" spans="1:10" x14ac:dyDescent="0.35">
      <c r="A5" s="3" t="s">
        <v>12</v>
      </c>
      <c r="B5" s="1" t="s">
        <v>82</v>
      </c>
      <c r="C5" s="1"/>
      <c r="D5" s="1">
        <f>87.3-121.6</f>
        <v>-34.299999999999997</v>
      </c>
      <c r="E5" s="1">
        <v>39</v>
      </c>
      <c r="F5" s="1">
        <v>38</v>
      </c>
      <c r="G5" s="1" t="s">
        <v>25</v>
      </c>
    </row>
    <row r="6" spans="1:10" x14ac:dyDescent="0.35">
      <c r="A6" s="3" t="s">
        <v>14</v>
      </c>
      <c r="B6" s="1"/>
      <c r="C6" s="1" t="s">
        <v>83</v>
      </c>
      <c r="D6" s="1">
        <f>76.6-67.94</f>
        <v>8.6599999999999966</v>
      </c>
      <c r="E6" s="1">
        <v>26</v>
      </c>
      <c r="F6" s="1">
        <v>17</v>
      </c>
      <c r="G6" s="1" t="s">
        <v>25</v>
      </c>
    </row>
    <row r="7" spans="1:10" x14ac:dyDescent="0.35">
      <c r="A7" s="3" t="s">
        <v>15</v>
      </c>
      <c r="B7" s="1" t="s">
        <v>83</v>
      </c>
      <c r="C7" s="1" t="s">
        <v>84</v>
      </c>
      <c r="D7" s="1">
        <f>90.44-152</f>
        <v>-61.56</v>
      </c>
      <c r="E7" s="1">
        <v>0</v>
      </c>
      <c r="F7" s="1">
        <v>1</v>
      </c>
      <c r="G7" s="1" t="s">
        <v>26</v>
      </c>
    </row>
    <row r="8" spans="1:10" x14ac:dyDescent="0.35">
      <c r="A8" s="3" t="s">
        <v>18</v>
      </c>
      <c r="B8" s="1" t="s">
        <v>85</v>
      </c>
      <c r="C8" s="1" t="s">
        <v>86</v>
      </c>
      <c r="D8" s="1">
        <f>108.5-77.08</f>
        <v>31.42</v>
      </c>
      <c r="E8" s="1">
        <v>100</v>
      </c>
      <c r="F8" s="1">
        <v>99</v>
      </c>
      <c r="G8" s="1" t="s">
        <v>25</v>
      </c>
    </row>
    <row r="9" spans="1:10" x14ac:dyDescent="0.35">
      <c r="A9" s="3" t="s">
        <v>20</v>
      </c>
      <c r="B9" s="1"/>
      <c r="C9" s="1"/>
      <c r="D9" s="1">
        <f>132.14-90.84</f>
        <v>41.299999999999983</v>
      </c>
      <c r="E9" s="1">
        <v>100</v>
      </c>
      <c r="F9" s="1">
        <v>100</v>
      </c>
      <c r="G9" s="1" t="s">
        <v>25</v>
      </c>
    </row>
    <row r="10" spans="1:10" x14ac:dyDescent="0.35">
      <c r="A10" s="3" t="s">
        <v>21</v>
      </c>
      <c r="B10" s="1" t="s">
        <v>87</v>
      </c>
      <c r="C10" s="1" t="s">
        <v>88</v>
      </c>
      <c r="D10" s="1">
        <f>84.1-62.44</f>
        <v>21.659999999999997</v>
      </c>
      <c r="E10" s="1">
        <v>97</v>
      </c>
      <c r="F10" s="1">
        <v>97</v>
      </c>
      <c r="G10" s="1" t="s">
        <v>25</v>
      </c>
    </row>
    <row r="11" spans="1:10" x14ac:dyDescent="0.35">
      <c r="A11" s="3" t="s">
        <v>22</v>
      </c>
      <c r="B11" s="1" t="s">
        <v>82</v>
      </c>
      <c r="C11" s="1"/>
      <c r="D11" s="1">
        <f>87.84-56.68</f>
        <v>31.160000000000004</v>
      </c>
      <c r="E11" s="1">
        <v>100</v>
      </c>
      <c r="F11" s="1">
        <v>100</v>
      </c>
      <c r="G11" s="1" t="s">
        <v>25</v>
      </c>
    </row>
    <row r="12" spans="1:10" x14ac:dyDescent="0.35">
      <c r="A12" s="3" t="s">
        <v>24</v>
      </c>
      <c r="B12" s="1"/>
      <c r="C12" s="1" t="s">
        <v>89</v>
      </c>
      <c r="D12" s="1">
        <f>148.7-84.88</f>
        <v>63.819999999999993</v>
      </c>
      <c r="E12" s="1">
        <v>100</v>
      </c>
      <c r="F12" s="1">
        <v>99</v>
      </c>
      <c r="G12" s="1" t="s">
        <v>25</v>
      </c>
    </row>
    <row r="13" spans="1:10" x14ac:dyDescent="0.35">
      <c r="A13" s="3" t="s">
        <v>36</v>
      </c>
      <c r="B13" s="1" t="s">
        <v>90</v>
      </c>
      <c r="C13" s="1" t="s">
        <v>91</v>
      </c>
      <c r="D13" s="1">
        <v>9.42</v>
      </c>
      <c r="E13" s="1">
        <v>97</v>
      </c>
      <c r="F13" s="1">
        <v>93</v>
      </c>
      <c r="G13" s="1" t="s">
        <v>25</v>
      </c>
    </row>
    <row r="15" spans="1:10" x14ac:dyDescent="0.35">
      <c r="A15" t="s">
        <v>27</v>
      </c>
      <c r="B15" t="s">
        <v>29</v>
      </c>
      <c r="C15" t="s">
        <v>28</v>
      </c>
      <c r="D15" t="s">
        <v>30</v>
      </c>
    </row>
    <row r="16" spans="1:10" x14ac:dyDescent="0.35">
      <c r="A16" t="s">
        <v>92</v>
      </c>
      <c r="B16" t="s">
        <v>70</v>
      </c>
      <c r="C16" t="s">
        <v>78</v>
      </c>
      <c r="D16" t="s">
        <v>99</v>
      </c>
    </row>
    <row r="17" spans="1:4" x14ac:dyDescent="0.35">
      <c r="A17" t="s">
        <v>93</v>
      </c>
      <c r="B17" t="s">
        <v>81</v>
      </c>
      <c r="C17" t="s">
        <v>83</v>
      </c>
      <c r="D17" t="s">
        <v>100</v>
      </c>
    </row>
    <row r="18" spans="1:4" x14ac:dyDescent="0.35">
      <c r="A18" t="s">
        <v>95</v>
      </c>
      <c r="B18" t="s">
        <v>84</v>
      </c>
      <c r="C18" t="s">
        <v>89</v>
      </c>
      <c r="D18" t="s">
        <v>101</v>
      </c>
    </row>
    <row r="19" spans="1:4" x14ac:dyDescent="0.35">
      <c r="B19" t="s">
        <v>97</v>
      </c>
    </row>
    <row r="20" spans="1:4" x14ac:dyDescent="0.35">
      <c r="B20" t="s">
        <v>98</v>
      </c>
    </row>
    <row r="21" spans="1:4" x14ac:dyDescent="0.35">
      <c r="B21" t="s">
        <v>86</v>
      </c>
    </row>
    <row r="22" spans="1:4" x14ac:dyDescent="0.35">
      <c r="B22" t="s">
        <v>94</v>
      </c>
    </row>
    <row r="23" spans="1:4" x14ac:dyDescent="0.35">
      <c r="B23" t="s">
        <v>96</v>
      </c>
    </row>
  </sheetData>
  <conditionalFormatting sqref="E2:E13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:F1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:G13">
    <cfRule type="cellIs" dxfId="47" priority="3" operator="equal">
      <formula>"L"</formula>
    </cfRule>
    <cfRule type="cellIs" dxfId="46" priority="4" operator="equal">
      <formula>"W"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EB834-59AA-40D5-A123-ABCEAFD71D2D}">
  <dimension ref="A1:J21"/>
  <sheetViews>
    <sheetView workbookViewId="0">
      <selection sqref="A1:J21"/>
    </sheetView>
  </sheetViews>
  <sheetFormatPr defaultRowHeight="14.5" x14ac:dyDescent="0.35"/>
  <cols>
    <col min="1" max="1" width="13.453125" bestFit="1" customWidth="1"/>
    <col min="2" max="2" width="34.453125" bestFit="1" customWidth="1"/>
    <col min="3" max="3" width="24.08984375" bestFit="1" customWidth="1"/>
  </cols>
  <sheetData>
    <row r="1" spans="1:10" x14ac:dyDescent="0.35">
      <c r="A1" s="2" t="s">
        <v>0</v>
      </c>
      <c r="B1" s="2" t="s">
        <v>3</v>
      </c>
      <c r="C1" s="2" t="s">
        <v>4</v>
      </c>
      <c r="D1" s="2" t="s">
        <v>1</v>
      </c>
      <c r="E1" s="2" t="s">
        <v>39</v>
      </c>
      <c r="F1" s="2" t="s">
        <v>40</v>
      </c>
      <c r="G1" s="2" t="s">
        <v>2</v>
      </c>
    </row>
    <row r="2" spans="1:10" x14ac:dyDescent="0.35">
      <c r="A2" s="3" t="s">
        <v>7</v>
      </c>
      <c r="B2" s="1"/>
      <c r="C2" s="1"/>
      <c r="D2" s="1">
        <f>116.2-99.3</f>
        <v>16.900000000000006</v>
      </c>
      <c r="E2" s="1">
        <v>100</v>
      </c>
      <c r="F2" s="1">
        <v>100</v>
      </c>
      <c r="G2" s="1" t="s">
        <v>25</v>
      </c>
      <c r="I2" t="s">
        <v>37</v>
      </c>
      <c r="J2">
        <f>COUNTIF($G$2:$G$13, "W")</f>
        <v>8</v>
      </c>
    </row>
    <row r="3" spans="1:10" x14ac:dyDescent="0.35">
      <c r="A3" s="3" t="s">
        <v>8</v>
      </c>
      <c r="B3" s="1"/>
      <c r="C3" s="1"/>
      <c r="D3" s="1">
        <f>126.64-128.36</f>
        <v>-1.7200000000000131</v>
      </c>
      <c r="E3" s="1">
        <v>0</v>
      </c>
      <c r="F3" s="1">
        <v>0</v>
      </c>
      <c r="G3" s="1" t="s">
        <v>26</v>
      </c>
      <c r="I3" t="s">
        <v>38</v>
      </c>
      <c r="J3">
        <f>COUNTIF($G$2:$G$13, "L")</f>
        <v>4</v>
      </c>
    </row>
    <row r="4" spans="1:10" x14ac:dyDescent="0.35">
      <c r="A4" s="3" t="s">
        <v>10</v>
      </c>
      <c r="B4" t="s">
        <v>102</v>
      </c>
      <c r="C4" s="1"/>
      <c r="D4" s="1">
        <f>94.86-135.76</f>
        <v>-40.899999999999991</v>
      </c>
      <c r="E4" s="1">
        <v>2</v>
      </c>
      <c r="F4" s="1">
        <v>2</v>
      </c>
      <c r="G4" s="1" t="s">
        <v>26</v>
      </c>
    </row>
    <row r="5" spans="1:10" x14ac:dyDescent="0.35">
      <c r="A5" s="3" t="s">
        <v>12</v>
      </c>
      <c r="B5" s="1"/>
      <c r="C5" s="1" t="s">
        <v>103</v>
      </c>
      <c r="D5" s="1">
        <f>136.94-76.56</f>
        <v>60.379999999999995</v>
      </c>
      <c r="E5" s="1">
        <v>100</v>
      </c>
      <c r="F5" s="1">
        <v>99</v>
      </c>
      <c r="G5" s="1" t="s">
        <v>25</v>
      </c>
    </row>
    <row r="6" spans="1:10" x14ac:dyDescent="0.35">
      <c r="A6" s="3" t="s">
        <v>14</v>
      </c>
      <c r="B6" s="1"/>
      <c r="C6" s="1" t="s">
        <v>104</v>
      </c>
      <c r="D6" s="1">
        <f>113.34-40</f>
        <v>73.34</v>
      </c>
      <c r="E6" s="1">
        <v>97</v>
      </c>
      <c r="F6" s="1">
        <v>96</v>
      </c>
      <c r="G6" s="1" t="s">
        <v>25</v>
      </c>
    </row>
    <row r="7" spans="1:10" x14ac:dyDescent="0.35">
      <c r="A7" s="3" t="s">
        <v>15</v>
      </c>
      <c r="B7" s="1"/>
      <c r="C7" s="1"/>
      <c r="D7" s="1">
        <f>138.12-58.24</f>
        <v>79.88</v>
      </c>
      <c r="E7" s="1">
        <v>100</v>
      </c>
      <c r="F7" s="1">
        <v>100</v>
      </c>
      <c r="G7" s="1" t="s">
        <v>25</v>
      </c>
    </row>
    <row r="8" spans="1:10" x14ac:dyDescent="0.35">
      <c r="A8" s="3" t="s">
        <v>18</v>
      </c>
      <c r="B8" s="1"/>
      <c r="C8" s="1" t="s">
        <v>105</v>
      </c>
      <c r="D8" s="1">
        <f>142.54-71.8</f>
        <v>70.739999999999995</v>
      </c>
      <c r="E8" s="1">
        <v>100</v>
      </c>
      <c r="F8" s="1">
        <v>99</v>
      </c>
      <c r="G8" s="1" t="s">
        <v>25</v>
      </c>
    </row>
    <row r="9" spans="1:10" x14ac:dyDescent="0.35">
      <c r="A9" s="3" t="s">
        <v>20</v>
      </c>
      <c r="B9" s="1"/>
      <c r="C9" s="1"/>
      <c r="D9" s="1">
        <f>134.52-87.06</f>
        <v>47.460000000000008</v>
      </c>
      <c r="E9" s="1">
        <v>100</v>
      </c>
      <c r="F9" s="1">
        <v>100</v>
      </c>
      <c r="G9" s="1" t="s">
        <v>25</v>
      </c>
    </row>
    <row r="10" spans="1:10" x14ac:dyDescent="0.35">
      <c r="A10" s="3" t="s">
        <v>21</v>
      </c>
      <c r="B10" s="1"/>
      <c r="C10" s="1" t="s">
        <v>106</v>
      </c>
      <c r="D10" s="1">
        <f>121.66-104.84</f>
        <v>16.819999999999993</v>
      </c>
      <c r="E10" s="1">
        <v>38</v>
      </c>
      <c r="F10" s="1">
        <v>38</v>
      </c>
      <c r="G10" s="1" t="s">
        <v>26</v>
      </c>
    </row>
    <row r="11" spans="1:10" x14ac:dyDescent="0.35">
      <c r="A11" s="3" t="s">
        <v>22</v>
      </c>
      <c r="B11" s="1"/>
      <c r="C11" s="1" t="s">
        <v>107</v>
      </c>
      <c r="D11" s="1">
        <f>152.42-103.8</f>
        <v>48.61999999999999</v>
      </c>
      <c r="E11" s="1">
        <v>98</v>
      </c>
      <c r="F11" s="1">
        <v>98</v>
      </c>
      <c r="G11" s="1" t="s">
        <v>25</v>
      </c>
    </row>
    <row r="12" spans="1:10" x14ac:dyDescent="0.35">
      <c r="A12" s="3" t="s">
        <v>24</v>
      </c>
      <c r="B12" s="1" t="s">
        <v>108</v>
      </c>
      <c r="C12" s="1"/>
      <c r="D12" s="1">
        <f>96.7-128.82</f>
        <v>-32.11999999999999</v>
      </c>
      <c r="E12" s="1">
        <v>20</v>
      </c>
      <c r="F12" s="1">
        <v>12</v>
      </c>
      <c r="G12" s="1" t="s">
        <v>26</v>
      </c>
    </row>
    <row r="13" spans="1:10" x14ac:dyDescent="0.35">
      <c r="A13" s="3" t="s">
        <v>36</v>
      </c>
      <c r="B13" s="1"/>
      <c r="C13" s="1" t="s">
        <v>109</v>
      </c>
      <c r="D13" s="1">
        <f>157.02-69.18</f>
        <v>87.84</v>
      </c>
      <c r="E13" s="1">
        <v>100</v>
      </c>
      <c r="F13" s="1">
        <v>99</v>
      </c>
      <c r="G13" s="1" t="s">
        <v>25</v>
      </c>
    </row>
    <row r="15" spans="1:10" x14ac:dyDescent="0.35">
      <c r="A15" s="4" t="s">
        <v>27</v>
      </c>
      <c r="B15" s="4" t="s">
        <v>29</v>
      </c>
      <c r="C15" s="4" t="s">
        <v>28</v>
      </c>
      <c r="D15" s="4" t="s">
        <v>30</v>
      </c>
    </row>
    <row r="16" spans="1:10" x14ac:dyDescent="0.35">
      <c r="A16" t="s">
        <v>102</v>
      </c>
      <c r="B16" t="s">
        <v>103</v>
      </c>
      <c r="C16" t="s">
        <v>110</v>
      </c>
      <c r="D16" t="s">
        <v>116</v>
      </c>
    </row>
    <row r="17" spans="2:3" x14ac:dyDescent="0.35">
      <c r="B17" t="s">
        <v>112</v>
      </c>
      <c r="C17" t="s">
        <v>111</v>
      </c>
    </row>
    <row r="18" spans="2:3" x14ac:dyDescent="0.35">
      <c r="B18" t="s">
        <v>113</v>
      </c>
    </row>
    <row r="19" spans="2:3" x14ac:dyDescent="0.35">
      <c r="B19" t="s">
        <v>105</v>
      </c>
    </row>
    <row r="20" spans="2:3" x14ac:dyDescent="0.35">
      <c r="B20" t="s">
        <v>114</v>
      </c>
    </row>
    <row r="21" spans="2:3" x14ac:dyDescent="0.35">
      <c r="B21" t="s">
        <v>115</v>
      </c>
    </row>
  </sheetData>
  <conditionalFormatting sqref="E2:E13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:F1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:G13">
    <cfRule type="cellIs" dxfId="45" priority="3" operator="equal">
      <formula>"L"</formula>
    </cfRule>
    <cfRule type="cellIs" dxfId="44" priority="4" operator="equal">
      <formula>"W"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58603-B485-48C2-A3EF-AA5D78813C0E}">
  <dimension ref="A1:J20"/>
  <sheetViews>
    <sheetView workbookViewId="0">
      <selection sqref="A1:J20"/>
    </sheetView>
  </sheetViews>
  <sheetFormatPr defaultRowHeight="14.5" x14ac:dyDescent="0.35"/>
  <cols>
    <col min="1" max="1" width="13.453125" bestFit="1" customWidth="1"/>
    <col min="2" max="2" width="16.08984375" bestFit="1" customWidth="1"/>
    <col min="3" max="3" width="24.08984375" bestFit="1" customWidth="1"/>
    <col min="6" max="6" width="9.54296875" bestFit="1" customWidth="1"/>
  </cols>
  <sheetData>
    <row r="1" spans="1:10" x14ac:dyDescent="0.35">
      <c r="A1" s="2" t="s">
        <v>0</v>
      </c>
      <c r="B1" s="2" t="s">
        <v>3</v>
      </c>
      <c r="C1" s="2" t="s">
        <v>4</v>
      </c>
      <c r="D1" s="2" t="s">
        <v>1</v>
      </c>
      <c r="E1" s="2" t="s">
        <v>39</v>
      </c>
      <c r="F1" s="2" t="s">
        <v>40</v>
      </c>
      <c r="G1" s="2" t="s">
        <v>2</v>
      </c>
    </row>
    <row r="2" spans="1:10" x14ac:dyDescent="0.35">
      <c r="A2" s="3" t="s">
        <v>7</v>
      </c>
      <c r="B2" s="1" t="s">
        <v>125</v>
      </c>
      <c r="C2" s="1" t="s">
        <v>124</v>
      </c>
      <c r="D2" s="1">
        <f>131.4-115.05</f>
        <v>16.350000000000009</v>
      </c>
      <c r="E2" s="1">
        <v>97</v>
      </c>
      <c r="F2" s="1">
        <v>99</v>
      </c>
      <c r="G2" s="1" t="s">
        <v>25</v>
      </c>
      <c r="I2" t="s">
        <v>37</v>
      </c>
      <c r="J2">
        <f>COUNTIF($G$2:$G$13, "W")</f>
        <v>8</v>
      </c>
    </row>
    <row r="3" spans="1:10" x14ac:dyDescent="0.35">
      <c r="A3" s="3" t="s">
        <v>8</v>
      </c>
      <c r="B3" s="1" t="s">
        <v>117</v>
      </c>
      <c r="C3" s="1" t="s">
        <v>118</v>
      </c>
      <c r="D3" s="1">
        <f>85-125.1</f>
        <v>-40.099999999999994</v>
      </c>
      <c r="E3" s="1">
        <v>26</v>
      </c>
      <c r="F3" s="1">
        <v>29</v>
      </c>
      <c r="G3" s="1" t="s">
        <v>26</v>
      </c>
      <c r="I3" t="s">
        <v>38</v>
      </c>
      <c r="J3">
        <f>COUNTIF($G$2:$G$13, "L")</f>
        <v>4</v>
      </c>
    </row>
    <row r="4" spans="1:10" x14ac:dyDescent="0.35">
      <c r="A4" s="3" t="s">
        <v>10</v>
      </c>
      <c r="C4" s="1"/>
      <c r="D4" s="1">
        <f>121.58-95.8</f>
        <v>25.78</v>
      </c>
      <c r="E4" s="1">
        <v>100</v>
      </c>
      <c r="F4" s="1">
        <v>100</v>
      </c>
      <c r="G4" s="1" t="s">
        <v>25</v>
      </c>
    </row>
    <row r="5" spans="1:10" x14ac:dyDescent="0.35">
      <c r="A5" s="3" t="s">
        <v>12</v>
      </c>
      <c r="B5" s="1" t="s">
        <v>119</v>
      </c>
      <c r="C5" s="1"/>
      <c r="D5" s="1">
        <f>85.2-63.96</f>
        <v>21.240000000000002</v>
      </c>
      <c r="E5" s="1">
        <v>100</v>
      </c>
      <c r="F5" s="1">
        <v>99</v>
      </c>
      <c r="G5" s="1" t="s">
        <v>25</v>
      </c>
    </row>
    <row r="6" spans="1:10" x14ac:dyDescent="0.35">
      <c r="A6" s="3" t="s">
        <v>14</v>
      </c>
      <c r="B6" s="1" t="s">
        <v>121</v>
      </c>
      <c r="C6" s="1"/>
      <c r="D6" s="1">
        <f>53.2-112.08</f>
        <v>-58.879999999999995</v>
      </c>
      <c r="E6" s="1">
        <v>8</v>
      </c>
      <c r="F6" s="1">
        <v>14</v>
      </c>
      <c r="G6" s="1" t="s">
        <v>26</v>
      </c>
    </row>
    <row r="7" spans="1:10" x14ac:dyDescent="0.35">
      <c r="A7" s="3" t="s">
        <v>15</v>
      </c>
      <c r="B7" s="1" t="s">
        <v>122</v>
      </c>
      <c r="C7" s="1"/>
      <c r="D7" s="1">
        <f>111.12-73.08</f>
        <v>38.040000000000006</v>
      </c>
      <c r="E7" s="1">
        <v>100</v>
      </c>
      <c r="F7" s="1">
        <v>99</v>
      </c>
      <c r="G7" s="1" t="s">
        <v>25</v>
      </c>
    </row>
    <row r="8" spans="1:10" x14ac:dyDescent="0.35">
      <c r="A8" s="3" t="s">
        <v>18</v>
      </c>
      <c r="B8" s="1" t="s">
        <v>58</v>
      </c>
      <c r="C8" s="1"/>
      <c r="D8" s="1">
        <f>95.6-105.32</f>
        <v>-9.7199999999999989</v>
      </c>
      <c r="E8" s="1">
        <v>87</v>
      </c>
      <c r="F8" s="1">
        <v>82</v>
      </c>
      <c r="G8" s="1" t="s">
        <v>25</v>
      </c>
    </row>
    <row r="9" spans="1:10" x14ac:dyDescent="0.35">
      <c r="A9" s="3" t="s">
        <v>20</v>
      </c>
      <c r="B9" s="1" t="s">
        <v>122</v>
      </c>
      <c r="C9" s="1" t="s">
        <v>123</v>
      </c>
      <c r="D9" s="1">
        <f>103.12-140.72</f>
        <v>-37.599999999999994</v>
      </c>
      <c r="E9" s="1">
        <v>2</v>
      </c>
      <c r="F9" s="1">
        <v>1</v>
      </c>
      <c r="G9" s="1" t="s">
        <v>26</v>
      </c>
    </row>
    <row r="10" spans="1:10" x14ac:dyDescent="0.35">
      <c r="A10" s="3" t="s">
        <v>21</v>
      </c>
      <c r="B10" s="1"/>
      <c r="C10" s="1"/>
      <c r="D10" s="1">
        <f>174.52-102.22</f>
        <v>72.300000000000011</v>
      </c>
      <c r="E10" s="1">
        <v>100</v>
      </c>
      <c r="F10" s="1">
        <v>100</v>
      </c>
      <c r="G10" s="1" t="s">
        <v>25</v>
      </c>
    </row>
    <row r="11" spans="1:10" x14ac:dyDescent="0.35">
      <c r="A11" s="3" t="s">
        <v>22</v>
      </c>
      <c r="B11" s="1"/>
      <c r="C11" s="1"/>
      <c r="D11" s="1">
        <f>148.22-93.22</f>
        <v>55</v>
      </c>
      <c r="E11" s="1">
        <v>100</v>
      </c>
      <c r="F11" s="1">
        <v>100</v>
      </c>
      <c r="G11" s="1" t="s">
        <v>25</v>
      </c>
    </row>
    <row r="12" spans="1:10" x14ac:dyDescent="0.35">
      <c r="A12" s="3" t="s">
        <v>24</v>
      </c>
      <c r="B12" s="1" t="s">
        <v>59</v>
      </c>
      <c r="C12" s="1" t="s">
        <v>124</v>
      </c>
      <c r="D12" s="1">
        <f>136.7-66.46</f>
        <v>70.239999999999995</v>
      </c>
      <c r="E12" s="1">
        <v>100</v>
      </c>
      <c r="F12" s="1">
        <v>99</v>
      </c>
      <c r="G12" s="1" t="s">
        <v>25</v>
      </c>
    </row>
    <row r="13" spans="1:10" x14ac:dyDescent="0.35">
      <c r="A13" s="3" t="s">
        <v>36</v>
      </c>
      <c r="B13" s="1" t="s">
        <v>120</v>
      </c>
      <c r="C13" s="1"/>
      <c r="D13" s="1">
        <f>105.06-134.72</f>
        <v>-29.659999999999997</v>
      </c>
      <c r="E13" s="1">
        <v>4</v>
      </c>
      <c r="F13" s="1">
        <v>4</v>
      </c>
      <c r="G13" s="1" t="s">
        <v>26</v>
      </c>
    </row>
    <row r="15" spans="1:10" x14ac:dyDescent="0.35">
      <c r="A15" s="4" t="s">
        <v>27</v>
      </c>
      <c r="B15" s="4" t="s">
        <v>29</v>
      </c>
      <c r="C15" s="4" t="s">
        <v>28</v>
      </c>
      <c r="D15" s="4" t="s">
        <v>30</v>
      </c>
    </row>
    <row r="16" spans="1:10" x14ac:dyDescent="0.35">
      <c r="A16" t="s">
        <v>58</v>
      </c>
      <c r="B16" t="s">
        <v>118</v>
      </c>
      <c r="C16" t="s">
        <v>123</v>
      </c>
      <c r="D16" t="s">
        <v>126</v>
      </c>
    </row>
    <row r="17" spans="1:2" x14ac:dyDescent="0.35">
      <c r="A17" t="s">
        <v>64</v>
      </c>
      <c r="B17" t="s">
        <v>124</v>
      </c>
    </row>
    <row r="18" spans="1:2" x14ac:dyDescent="0.35">
      <c r="A18" t="s">
        <v>127</v>
      </c>
    </row>
    <row r="19" spans="1:2" x14ac:dyDescent="0.35">
      <c r="A19" t="s">
        <v>122</v>
      </c>
    </row>
    <row r="20" spans="1:2" x14ac:dyDescent="0.35">
      <c r="A20" t="s">
        <v>59</v>
      </c>
    </row>
  </sheetData>
  <conditionalFormatting sqref="E2:E13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:F1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:G13">
    <cfRule type="cellIs" dxfId="43" priority="3" operator="equal">
      <formula>"L"</formula>
    </cfRule>
    <cfRule type="cellIs" dxfId="42" priority="4" operator="equal">
      <formula>"W"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C9B9E-1634-47A4-84D2-BA4AB3A596BE}">
  <dimension ref="A1:J24"/>
  <sheetViews>
    <sheetView workbookViewId="0">
      <selection sqref="A1:J24"/>
    </sheetView>
  </sheetViews>
  <sheetFormatPr defaultRowHeight="14.5" x14ac:dyDescent="0.35"/>
  <cols>
    <col min="1" max="1" width="13.453125" bestFit="1" customWidth="1"/>
    <col min="2" max="2" width="24.6328125" bestFit="1" customWidth="1"/>
    <col min="3" max="3" width="24.08984375" bestFit="1" customWidth="1"/>
    <col min="6" max="6" width="9.54296875" bestFit="1" customWidth="1"/>
  </cols>
  <sheetData>
    <row r="1" spans="1:10" x14ac:dyDescent="0.35">
      <c r="A1" s="2" t="s">
        <v>0</v>
      </c>
      <c r="B1" s="2" t="s">
        <v>3</v>
      </c>
      <c r="C1" s="2" t="s">
        <v>4</v>
      </c>
      <c r="D1" s="2" t="s">
        <v>1</v>
      </c>
      <c r="E1" s="2" t="s">
        <v>39</v>
      </c>
      <c r="F1" s="2" t="s">
        <v>40</v>
      </c>
      <c r="G1" s="2" t="s">
        <v>2</v>
      </c>
    </row>
    <row r="2" spans="1:10" x14ac:dyDescent="0.35">
      <c r="A2" s="3" t="s">
        <v>7</v>
      </c>
      <c r="B2" s="1" t="s">
        <v>128</v>
      </c>
      <c r="C2" s="1"/>
      <c r="D2" s="1">
        <f>111.1-114.3</f>
        <v>-3.2000000000000028</v>
      </c>
      <c r="E2" s="1">
        <v>92</v>
      </c>
      <c r="F2" s="1">
        <v>86</v>
      </c>
      <c r="G2" s="1" t="s">
        <v>25</v>
      </c>
      <c r="I2" t="s">
        <v>37</v>
      </c>
      <c r="J2">
        <f>COUNTIF($G$2:$G$13, "W")</f>
        <v>10</v>
      </c>
    </row>
    <row r="3" spans="1:10" x14ac:dyDescent="0.35">
      <c r="A3" s="3" t="s">
        <v>8</v>
      </c>
      <c r="B3" s="1" t="s">
        <v>129</v>
      </c>
      <c r="C3" s="1"/>
      <c r="D3" s="1">
        <f>106.72-144.96</f>
        <v>-38.240000000000009</v>
      </c>
      <c r="E3" s="1">
        <v>2</v>
      </c>
      <c r="F3" s="1">
        <v>1</v>
      </c>
      <c r="G3" s="1" t="s">
        <v>26</v>
      </c>
      <c r="I3" t="s">
        <v>38</v>
      </c>
      <c r="J3">
        <f>COUNTIF($G$2:$G$13, "L")</f>
        <v>2</v>
      </c>
    </row>
    <row r="4" spans="1:10" x14ac:dyDescent="0.35">
      <c r="A4" s="3" t="s">
        <v>10</v>
      </c>
      <c r="C4" s="1" t="s">
        <v>130</v>
      </c>
      <c r="D4" s="1">
        <f>102.5-84</f>
        <v>18.5</v>
      </c>
      <c r="E4" s="1">
        <v>12</v>
      </c>
      <c r="F4" s="1">
        <v>16</v>
      </c>
      <c r="G4" s="1" t="s">
        <v>26</v>
      </c>
    </row>
    <row r="5" spans="1:10" x14ac:dyDescent="0.35">
      <c r="A5" s="3" t="s">
        <v>12</v>
      </c>
      <c r="B5" s="1" t="s">
        <v>131</v>
      </c>
      <c r="C5" s="1" t="s">
        <v>132</v>
      </c>
      <c r="D5" s="1">
        <f>141.52-76.64</f>
        <v>64.88000000000001</v>
      </c>
      <c r="E5" s="1">
        <v>100</v>
      </c>
      <c r="F5" s="1">
        <v>99</v>
      </c>
      <c r="G5" s="1" t="s">
        <v>25</v>
      </c>
    </row>
    <row r="6" spans="1:10" x14ac:dyDescent="0.35">
      <c r="A6" s="3" t="s">
        <v>14</v>
      </c>
      <c r="B6" s="1" t="s">
        <v>141</v>
      </c>
      <c r="C6" s="1"/>
      <c r="D6" s="1">
        <f>72.62-107</f>
        <v>-34.379999999999995</v>
      </c>
      <c r="E6" s="1">
        <v>56</v>
      </c>
      <c r="F6" s="1">
        <v>44</v>
      </c>
      <c r="G6" s="1" t="s">
        <v>25</v>
      </c>
    </row>
    <row r="7" spans="1:10" x14ac:dyDescent="0.35">
      <c r="A7" s="3" t="s">
        <v>15</v>
      </c>
      <c r="B7" s="1" t="s">
        <v>142</v>
      </c>
      <c r="C7" s="1" t="s">
        <v>143</v>
      </c>
      <c r="D7" s="1">
        <f>86.5-42.26</f>
        <v>44.24</v>
      </c>
      <c r="E7" s="1">
        <v>100</v>
      </c>
      <c r="F7" s="1">
        <v>99</v>
      </c>
      <c r="G7" s="1" t="s">
        <v>25</v>
      </c>
    </row>
    <row r="8" spans="1:10" x14ac:dyDescent="0.35">
      <c r="A8" s="3" t="s">
        <v>18</v>
      </c>
      <c r="B8" s="1"/>
      <c r="C8" s="1" t="s">
        <v>144</v>
      </c>
      <c r="D8" s="1">
        <f>104.62-81.3</f>
        <v>23.320000000000007</v>
      </c>
      <c r="E8" s="1">
        <v>44</v>
      </c>
      <c r="F8" s="1">
        <v>37</v>
      </c>
      <c r="G8" s="1" t="s">
        <v>25</v>
      </c>
    </row>
    <row r="9" spans="1:10" x14ac:dyDescent="0.35">
      <c r="A9" s="3" t="s">
        <v>20</v>
      </c>
      <c r="B9" s="1" t="s">
        <v>146</v>
      </c>
      <c r="C9" s="1" t="s">
        <v>143</v>
      </c>
      <c r="D9" s="1">
        <f>85.9-93.08</f>
        <v>-7.1799999999999926</v>
      </c>
      <c r="E9" s="1">
        <v>57</v>
      </c>
      <c r="F9" s="1">
        <v>43</v>
      </c>
      <c r="G9" s="1" t="s">
        <v>25</v>
      </c>
    </row>
    <row r="10" spans="1:10" x14ac:dyDescent="0.35">
      <c r="A10" s="3" t="s">
        <v>21</v>
      </c>
      <c r="B10" s="1" t="s">
        <v>128</v>
      </c>
      <c r="C10" s="1" t="s">
        <v>147</v>
      </c>
      <c r="D10" s="1">
        <f>127.8-45.56</f>
        <v>82.24</v>
      </c>
      <c r="E10" s="1">
        <v>100</v>
      </c>
      <c r="F10" s="1">
        <v>99</v>
      </c>
      <c r="G10" s="1" t="s">
        <v>25</v>
      </c>
    </row>
    <row r="11" spans="1:10" x14ac:dyDescent="0.35">
      <c r="A11" s="3" t="s">
        <v>22</v>
      </c>
      <c r="B11" s="1" t="s">
        <v>152</v>
      </c>
      <c r="C11" s="1" t="s">
        <v>153</v>
      </c>
      <c r="D11" s="1">
        <f>98-92.6</f>
        <v>5.4000000000000057</v>
      </c>
      <c r="E11" s="1">
        <v>78</v>
      </c>
      <c r="F11" s="1">
        <v>67</v>
      </c>
      <c r="G11" s="1" t="s">
        <v>25</v>
      </c>
    </row>
    <row r="12" spans="1:10" x14ac:dyDescent="0.35">
      <c r="A12" s="3" t="s">
        <v>24</v>
      </c>
      <c r="B12" s="1"/>
      <c r="C12" s="1" t="s">
        <v>140</v>
      </c>
      <c r="D12" s="1">
        <f>114.96-49.94</f>
        <v>65.02</v>
      </c>
      <c r="E12" s="1">
        <v>100</v>
      </c>
      <c r="F12" s="1">
        <v>99</v>
      </c>
      <c r="G12" s="1" t="s">
        <v>25</v>
      </c>
    </row>
    <row r="13" spans="1:10" x14ac:dyDescent="0.35">
      <c r="A13" s="3" t="s">
        <v>36</v>
      </c>
      <c r="B13" s="1" t="s">
        <v>139</v>
      </c>
      <c r="C13" s="1"/>
      <c r="D13" s="1">
        <f>90.34-42.26</f>
        <v>48.080000000000005</v>
      </c>
      <c r="E13" s="1">
        <v>100</v>
      </c>
      <c r="F13" s="1">
        <v>99</v>
      </c>
      <c r="G13" s="1" t="s">
        <v>25</v>
      </c>
    </row>
    <row r="15" spans="1:10" x14ac:dyDescent="0.35">
      <c r="A15" s="4" t="s">
        <v>27</v>
      </c>
      <c r="B15" s="4" t="s">
        <v>29</v>
      </c>
      <c r="C15" s="4" t="s">
        <v>28</v>
      </c>
      <c r="D15" s="4" t="s">
        <v>30</v>
      </c>
    </row>
    <row r="16" spans="1:10" x14ac:dyDescent="0.35">
      <c r="A16" t="s">
        <v>128</v>
      </c>
      <c r="B16" t="s">
        <v>133</v>
      </c>
      <c r="C16" t="s">
        <v>140</v>
      </c>
      <c r="D16" s="5" t="s">
        <v>154</v>
      </c>
    </row>
    <row r="17" spans="1:4" x14ac:dyDescent="0.35">
      <c r="A17" t="s">
        <v>129</v>
      </c>
      <c r="B17" t="s">
        <v>134</v>
      </c>
      <c r="C17" t="s">
        <v>131</v>
      </c>
      <c r="D17" s="5" t="s">
        <v>145</v>
      </c>
    </row>
    <row r="18" spans="1:4" x14ac:dyDescent="0.35">
      <c r="A18" t="s">
        <v>139</v>
      </c>
      <c r="B18" t="s">
        <v>135</v>
      </c>
      <c r="C18" t="s">
        <v>149</v>
      </c>
      <c r="D18" s="5" t="s">
        <v>150</v>
      </c>
    </row>
    <row r="19" spans="1:4" x14ac:dyDescent="0.35">
      <c r="A19" t="s">
        <v>151</v>
      </c>
      <c r="B19" t="s">
        <v>136</v>
      </c>
    </row>
    <row r="20" spans="1:4" x14ac:dyDescent="0.35">
      <c r="A20" t="s">
        <v>146</v>
      </c>
      <c r="B20" t="s">
        <v>137</v>
      </c>
    </row>
    <row r="21" spans="1:4" x14ac:dyDescent="0.35">
      <c r="A21" t="s">
        <v>156</v>
      </c>
      <c r="B21" t="s">
        <v>138</v>
      </c>
    </row>
    <row r="22" spans="1:4" x14ac:dyDescent="0.35">
      <c r="B22" t="s">
        <v>143</v>
      </c>
    </row>
    <row r="23" spans="1:4" x14ac:dyDescent="0.35">
      <c r="B23" t="s">
        <v>148</v>
      </c>
    </row>
    <row r="24" spans="1:4" x14ac:dyDescent="0.35">
      <c r="B24" t="s">
        <v>155</v>
      </c>
    </row>
  </sheetData>
  <conditionalFormatting sqref="E2:E13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:F1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:G13">
    <cfRule type="cellIs" dxfId="41" priority="3" operator="equal">
      <formula>"L"</formula>
    </cfRule>
    <cfRule type="cellIs" dxfId="40" priority="4" operator="equal">
      <formula>"W"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9CA68-999E-412D-810B-D4CDBA5F30E4}">
  <dimension ref="A1:P23"/>
  <sheetViews>
    <sheetView topLeftCell="W1" workbookViewId="0">
      <selection activeCell="G3" sqref="G3"/>
    </sheetView>
  </sheetViews>
  <sheetFormatPr defaultRowHeight="14.5" x14ac:dyDescent="0.35"/>
  <cols>
    <col min="1" max="1" width="13.453125" bestFit="1" customWidth="1"/>
    <col min="2" max="2" width="24.6328125" bestFit="1" customWidth="1"/>
    <col min="3" max="3" width="24.08984375" bestFit="1" customWidth="1"/>
    <col min="6" max="6" width="9.54296875" bestFit="1" customWidth="1"/>
    <col min="14" max="14" width="18.90625" bestFit="1" customWidth="1"/>
  </cols>
  <sheetData>
    <row r="1" spans="1:10" x14ac:dyDescent="0.35">
      <c r="A1" s="2" t="s">
        <v>0</v>
      </c>
      <c r="B1" s="2" t="s">
        <v>3</v>
      </c>
      <c r="C1" s="2" t="s">
        <v>4</v>
      </c>
      <c r="D1" s="2" t="s">
        <v>1</v>
      </c>
      <c r="E1" s="2" t="s">
        <v>39</v>
      </c>
      <c r="F1" s="2" t="s">
        <v>40</v>
      </c>
      <c r="G1" s="2" t="s">
        <v>2</v>
      </c>
    </row>
    <row r="2" spans="1:10" x14ac:dyDescent="0.35">
      <c r="A2" s="3" t="s">
        <v>7</v>
      </c>
      <c r="B2" s="1" t="s">
        <v>157</v>
      </c>
      <c r="C2" s="1"/>
      <c r="D2" s="1">
        <f>121.6-120.15</f>
        <v>1.4499999999999886</v>
      </c>
      <c r="E2" s="1">
        <v>100</v>
      </c>
      <c r="F2" s="1">
        <v>93</v>
      </c>
      <c r="G2" s="1" t="s">
        <v>25</v>
      </c>
      <c r="I2" t="s">
        <v>37</v>
      </c>
      <c r="J2">
        <f>COUNTIF($G$2:$G$13, "W")</f>
        <v>9</v>
      </c>
    </row>
    <row r="3" spans="1:10" x14ac:dyDescent="0.35">
      <c r="A3" s="3" t="s">
        <v>8</v>
      </c>
      <c r="B3" s="1"/>
      <c r="C3" s="1" t="s">
        <v>158</v>
      </c>
      <c r="D3" s="1">
        <f>107.42-69.24</f>
        <v>38.180000000000007</v>
      </c>
      <c r="E3" s="1">
        <v>94</v>
      </c>
      <c r="F3" s="1">
        <v>87</v>
      </c>
      <c r="G3" s="1" t="s">
        <v>25</v>
      </c>
      <c r="I3" t="s">
        <v>38</v>
      </c>
      <c r="J3">
        <f>COUNTIF($G$2:$G$13, "L")</f>
        <v>3</v>
      </c>
    </row>
    <row r="4" spans="1:10" x14ac:dyDescent="0.35">
      <c r="A4" s="3" t="s">
        <v>10</v>
      </c>
      <c r="B4" t="s">
        <v>159</v>
      </c>
      <c r="C4" s="1" t="s">
        <v>162</v>
      </c>
      <c r="D4" s="1">
        <f>79.04-122.84</f>
        <v>-43.8</v>
      </c>
      <c r="E4" s="1">
        <v>3</v>
      </c>
      <c r="F4" s="1">
        <v>1</v>
      </c>
      <c r="G4" s="1" t="s">
        <v>26</v>
      </c>
    </row>
    <row r="5" spans="1:10" x14ac:dyDescent="0.35">
      <c r="A5" s="3" t="s">
        <v>12</v>
      </c>
      <c r="B5" s="1" t="s">
        <v>160</v>
      </c>
      <c r="C5" s="1" t="s">
        <v>162</v>
      </c>
      <c r="D5" s="1">
        <f>120.02-152.56</f>
        <v>-32.540000000000006</v>
      </c>
      <c r="E5" s="1">
        <v>0</v>
      </c>
      <c r="F5" s="1">
        <v>1</v>
      </c>
      <c r="G5" s="1" t="s">
        <v>26</v>
      </c>
    </row>
    <row r="6" spans="1:10" x14ac:dyDescent="0.35">
      <c r="A6" s="3" t="s">
        <v>14</v>
      </c>
      <c r="B6" s="1"/>
      <c r="C6" s="1"/>
      <c r="D6" s="1">
        <f>135.02-132.68</f>
        <v>2.3400000000000034</v>
      </c>
      <c r="E6" s="1">
        <v>100</v>
      </c>
      <c r="F6" s="1">
        <v>100</v>
      </c>
      <c r="G6" s="1" t="s">
        <v>25</v>
      </c>
    </row>
    <row r="7" spans="1:10" x14ac:dyDescent="0.35">
      <c r="A7" s="3" t="s">
        <v>15</v>
      </c>
      <c r="B7" s="1"/>
      <c r="C7" s="1" t="s">
        <v>165</v>
      </c>
      <c r="D7" s="1">
        <f>115.86-73.98</f>
        <v>41.879999999999995</v>
      </c>
      <c r="E7" s="1">
        <v>98</v>
      </c>
      <c r="F7" s="1">
        <v>99</v>
      </c>
      <c r="G7" s="1" t="s">
        <v>25</v>
      </c>
    </row>
    <row r="8" spans="1:10" x14ac:dyDescent="0.35">
      <c r="A8" s="3" t="s">
        <v>18</v>
      </c>
      <c r="B8" s="1" t="s">
        <v>165</v>
      </c>
      <c r="C8" s="1"/>
      <c r="D8" s="1">
        <f>89.52-116.12</f>
        <v>-26.600000000000009</v>
      </c>
      <c r="E8" s="1">
        <v>13</v>
      </c>
      <c r="F8" s="1">
        <v>12</v>
      </c>
      <c r="G8" s="1" t="s">
        <v>26</v>
      </c>
    </row>
    <row r="9" spans="1:10" x14ac:dyDescent="0.35">
      <c r="A9" s="3" t="s">
        <v>20</v>
      </c>
      <c r="B9" s="1" t="s">
        <v>167</v>
      </c>
      <c r="C9" s="1"/>
      <c r="D9" s="1">
        <f>125.36-120.32</f>
        <v>5.0400000000000063</v>
      </c>
      <c r="E9" s="1">
        <v>100</v>
      </c>
      <c r="F9" s="1">
        <v>99</v>
      </c>
      <c r="G9" s="1" t="s">
        <v>25</v>
      </c>
    </row>
    <row r="10" spans="1:10" x14ac:dyDescent="0.35">
      <c r="A10" s="3" t="s">
        <v>21</v>
      </c>
      <c r="B10" s="1" t="s">
        <v>158</v>
      </c>
      <c r="C10" s="1" t="s">
        <v>168</v>
      </c>
      <c r="D10" s="1">
        <f>107.14-92.24</f>
        <v>14.900000000000006</v>
      </c>
      <c r="E10" s="1">
        <v>100</v>
      </c>
      <c r="F10" s="1">
        <v>99</v>
      </c>
      <c r="G10" s="1" t="s">
        <v>25</v>
      </c>
    </row>
    <row r="11" spans="1:10" x14ac:dyDescent="0.35">
      <c r="A11" s="3" t="s">
        <v>22</v>
      </c>
      <c r="B11" s="1" t="s">
        <v>162</v>
      </c>
      <c r="C11" s="1" t="s">
        <v>122</v>
      </c>
      <c r="D11" s="1">
        <f>108.56-89.12</f>
        <v>19.439999999999998</v>
      </c>
      <c r="E11" s="1">
        <v>90</v>
      </c>
      <c r="F11" s="1">
        <v>91</v>
      </c>
      <c r="G11" s="1" t="s">
        <v>25</v>
      </c>
    </row>
    <row r="12" spans="1:10" x14ac:dyDescent="0.35">
      <c r="A12" s="3" t="s">
        <v>24</v>
      </c>
      <c r="B12" s="1" t="s">
        <v>165</v>
      </c>
      <c r="C12" s="1"/>
      <c r="D12" s="1">
        <f>131.28-115.54</f>
        <v>15.739999999999995</v>
      </c>
      <c r="E12" s="1">
        <v>100</v>
      </c>
      <c r="F12" s="1">
        <v>99</v>
      </c>
      <c r="G12" s="1" t="s">
        <v>25</v>
      </c>
    </row>
    <row r="13" spans="1:10" x14ac:dyDescent="0.35">
      <c r="A13" s="3" t="s">
        <v>36</v>
      </c>
      <c r="B13" s="1"/>
      <c r="C13" s="1"/>
      <c r="D13" s="1">
        <f>114.74-110.18</f>
        <v>4.5599999999999881</v>
      </c>
      <c r="E13" s="1">
        <v>100</v>
      </c>
      <c r="F13" s="1">
        <v>100</v>
      </c>
      <c r="G13" s="1" t="s">
        <v>25</v>
      </c>
    </row>
    <row r="15" spans="1:10" x14ac:dyDescent="0.35">
      <c r="A15" s="4" t="s">
        <v>27</v>
      </c>
      <c r="B15" s="4" t="s">
        <v>29</v>
      </c>
      <c r="C15" s="4" t="s">
        <v>28</v>
      </c>
      <c r="D15" s="4" t="s">
        <v>30</v>
      </c>
    </row>
    <row r="16" spans="1:10" x14ac:dyDescent="0.35">
      <c r="A16" t="s">
        <v>161</v>
      </c>
      <c r="B16" t="s">
        <v>169</v>
      </c>
      <c r="C16" t="s">
        <v>157</v>
      </c>
      <c r="D16" s="5" t="s">
        <v>163</v>
      </c>
    </row>
    <row r="17" spans="2:16" x14ac:dyDescent="0.35">
      <c r="B17" t="s">
        <v>122</v>
      </c>
      <c r="C17" t="s">
        <v>160</v>
      </c>
      <c r="D17" s="5" t="s">
        <v>164</v>
      </c>
    </row>
    <row r="18" spans="2:16" x14ac:dyDescent="0.35">
      <c r="C18" t="s">
        <v>165</v>
      </c>
      <c r="D18" s="5" t="s">
        <v>166</v>
      </c>
    </row>
    <row r="19" spans="2:16" x14ac:dyDescent="0.35">
      <c r="C19" t="s">
        <v>162</v>
      </c>
      <c r="D19" t="s">
        <v>170</v>
      </c>
    </row>
    <row r="23" spans="2:16" x14ac:dyDescent="0.35">
      <c r="N23" s="5"/>
      <c r="P23" s="5"/>
    </row>
  </sheetData>
  <conditionalFormatting sqref="E2:E13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:F1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:G13">
    <cfRule type="cellIs" dxfId="39" priority="3" operator="equal">
      <formula>"L"</formula>
    </cfRule>
    <cfRule type="cellIs" dxfId="38" priority="4" operator="equal">
      <formula>"W"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31B92-0DB2-468A-BA93-1243D2D08E84}">
  <dimension ref="A1:P23"/>
  <sheetViews>
    <sheetView workbookViewId="0">
      <selection activeCell="D1" sqref="D1"/>
    </sheetView>
  </sheetViews>
  <sheetFormatPr defaultRowHeight="14.5" x14ac:dyDescent="0.35"/>
  <cols>
    <col min="1" max="1" width="13.453125" bestFit="1" customWidth="1"/>
    <col min="2" max="2" width="24.6328125" bestFit="1" customWidth="1"/>
    <col min="3" max="3" width="24.08984375" bestFit="1" customWidth="1"/>
    <col min="6" max="6" width="9.54296875" bestFit="1" customWidth="1"/>
    <col min="14" max="14" width="18.90625" bestFit="1" customWidth="1"/>
  </cols>
  <sheetData>
    <row r="1" spans="1:10" x14ac:dyDescent="0.35">
      <c r="A1" s="2" t="s">
        <v>0</v>
      </c>
      <c r="B1" s="2" t="s">
        <v>3</v>
      </c>
      <c r="C1" s="2" t="s">
        <v>4</v>
      </c>
      <c r="D1" s="2" t="s">
        <v>1</v>
      </c>
      <c r="E1" s="2" t="s">
        <v>39</v>
      </c>
      <c r="F1" s="2" t="s">
        <v>40</v>
      </c>
      <c r="G1" s="2" t="s">
        <v>2</v>
      </c>
    </row>
    <row r="2" spans="1:10" x14ac:dyDescent="0.35">
      <c r="A2" s="3" t="s">
        <v>7</v>
      </c>
      <c r="B2" s="1"/>
      <c r="C2" s="1"/>
      <c r="D2" s="1">
        <f>120.8-83.75</f>
        <v>37.049999999999997</v>
      </c>
      <c r="E2" s="1">
        <v>100</v>
      </c>
      <c r="F2" s="1">
        <v>100</v>
      </c>
      <c r="G2" s="1" t="s">
        <v>25</v>
      </c>
      <c r="I2" t="s">
        <v>37</v>
      </c>
      <c r="J2">
        <f>COUNTIF($G$2:$G$13, "W")</f>
        <v>8</v>
      </c>
    </row>
    <row r="3" spans="1:10" x14ac:dyDescent="0.35">
      <c r="A3" s="3" t="s">
        <v>8</v>
      </c>
      <c r="B3" s="1"/>
      <c r="C3" s="1"/>
      <c r="D3" s="1">
        <f>176-88.14</f>
        <v>87.86</v>
      </c>
      <c r="E3" s="1">
        <v>100</v>
      </c>
      <c r="F3" s="1">
        <v>100</v>
      </c>
      <c r="G3" s="1" t="s">
        <v>25</v>
      </c>
      <c r="I3" t="s">
        <v>38</v>
      </c>
      <c r="J3">
        <f>COUNTIF($G$2:$G$13, "L")</f>
        <v>4</v>
      </c>
    </row>
    <row r="4" spans="1:10" x14ac:dyDescent="0.35">
      <c r="A4" s="3" t="s">
        <v>10</v>
      </c>
      <c r="C4" s="1"/>
      <c r="D4" s="1">
        <f>137.02-90.7</f>
        <v>46.320000000000007</v>
      </c>
      <c r="E4" s="1">
        <v>100</v>
      </c>
      <c r="F4" s="1">
        <v>100</v>
      </c>
      <c r="G4" s="1" t="s">
        <v>25</v>
      </c>
    </row>
    <row r="5" spans="1:10" x14ac:dyDescent="0.35">
      <c r="A5" s="3" t="s">
        <v>12</v>
      </c>
      <c r="B5" s="1"/>
      <c r="C5" s="1" t="s">
        <v>171</v>
      </c>
      <c r="D5" s="1">
        <f>155.3-84.24</f>
        <v>71.060000000000016</v>
      </c>
      <c r="E5" s="1">
        <v>100</v>
      </c>
      <c r="F5" s="1">
        <v>99</v>
      </c>
      <c r="G5" s="1" t="s">
        <v>25</v>
      </c>
    </row>
    <row r="6" spans="1:10" x14ac:dyDescent="0.35">
      <c r="A6" s="3" t="s">
        <v>14</v>
      </c>
      <c r="B6" s="1"/>
      <c r="C6" s="1"/>
      <c r="D6" s="1">
        <f>103.3-119.3</f>
        <v>-16</v>
      </c>
      <c r="E6" s="1">
        <v>0</v>
      </c>
      <c r="F6" s="1">
        <v>0</v>
      </c>
      <c r="G6" s="1" t="s">
        <v>26</v>
      </c>
    </row>
    <row r="7" spans="1:10" x14ac:dyDescent="0.35">
      <c r="A7" s="3" t="s">
        <v>15</v>
      </c>
      <c r="B7" s="1" t="s">
        <v>171</v>
      </c>
      <c r="C7" s="1"/>
      <c r="D7" s="1">
        <f>135.9-106.1</f>
        <v>29.800000000000011</v>
      </c>
      <c r="E7" s="1">
        <v>100</v>
      </c>
      <c r="F7" s="1">
        <v>99</v>
      </c>
      <c r="G7" s="1" t="s">
        <v>25</v>
      </c>
    </row>
    <row r="8" spans="1:10" x14ac:dyDescent="0.35">
      <c r="A8" s="3" t="s">
        <v>18</v>
      </c>
      <c r="B8" s="1"/>
      <c r="C8" s="1"/>
      <c r="D8" s="1">
        <f>148.2-82.88</f>
        <v>65.319999999999993</v>
      </c>
      <c r="E8" s="1">
        <v>100</v>
      </c>
      <c r="F8" s="1">
        <v>100</v>
      </c>
      <c r="G8" s="1" t="s">
        <v>25</v>
      </c>
    </row>
    <row r="9" spans="1:10" x14ac:dyDescent="0.35">
      <c r="A9" s="3" t="s">
        <v>20</v>
      </c>
      <c r="B9" s="1"/>
      <c r="C9" s="1" t="s">
        <v>172</v>
      </c>
      <c r="D9" s="1">
        <f>113-95.54</f>
        <v>17.459999999999994</v>
      </c>
      <c r="E9" s="1">
        <v>82</v>
      </c>
      <c r="F9" s="1">
        <v>89</v>
      </c>
      <c r="G9" s="1" t="s">
        <v>26</v>
      </c>
    </row>
    <row r="10" spans="1:10" x14ac:dyDescent="0.35">
      <c r="A10" s="3" t="s">
        <v>21</v>
      </c>
      <c r="B10" s="1"/>
      <c r="C10" s="1" t="s">
        <v>155</v>
      </c>
      <c r="D10" s="1">
        <f>92.06-100</f>
        <v>-7.9399999999999977</v>
      </c>
      <c r="E10" s="1">
        <v>0</v>
      </c>
      <c r="F10" s="1">
        <v>1</v>
      </c>
      <c r="G10" s="1" t="s">
        <v>26</v>
      </c>
    </row>
    <row r="11" spans="1:10" x14ac:dyDescent="0.35">
      <c r="A11" s="3" t="s">
        <v>22</v>
      </c>
      <c r="B11" s="1"/>
      <c r="C11" s="1"/>
      <c r="D11" s="1">
        <f>130.1-90.02</f>
        <v>40.08</v>
      </c>
      <c r="E11" s="1">
        <v>100</v>
      </c>
      <c r="F11" s="1">
        <v>100</v>
      </c>
      <c r="G11" s="1" t="s">
        <v>25</v>
      </c>
    </row>
    <row r="12" spans="1:10" x14ac:dyDescent="0.35">
      <c r="A12" s="3" t="s">
        <v>24</v>
      </c>
      <c r="B12" s="1"/>
      <c r="C12" s="1"/>
      <c r="D12" s="1">
        <f>130.7-73.72</f>
        <v>56.97999999999999</v>
      </c>
      <c r="E12" s="1">
        <v>100</v>
      </c>
      <c r="F12" s="1">
        <v>100</v>
      </c>
      <c r="G12" s="1" t="s">
        <v>25</v>
      </c>
    </row>
    <row r="13" spans="1:10" x14ac:dyDescent="0.35">
      <c r="A13" s="3" t="s">
        <v>36</v>
      </c>
      <c r="B13" s="1"/>
      <c r="C13" s="1" t="s">
        <v>113</v>
      </c>
      <c r="D13" s="1">
        <f>142.26-121.88</f>
        <v>20.379999999999995</v>
      </c>
      <c r="E13" s="1">
        <v>80</v>
      </c>
      <c r="F13" s="1">
        <v>85</v>
      </c>
      <c r="G13" s="1" t="s">
        <v>26</v>
      </c>
    </row>
    <row r="15" spans="1:10" x14ac:dyDescent="0.35">
      <c r="A15" s="4" t="s">
        <v>27</v>
      </c>
      <c r="B15" s="4" t="s">
        <v>29</v>
      </c>
      <c r="C15" s="4" t="s">
        <v>28</v>
      </c>
      <c r="D15" s="4" t="s">
        <v>30</v>
      </c>
    </row>
    <row r="16" spans="1:10" x14ac:dyDescent="0.35">
      <c r="B16" t="s">
        <v>155</v>
      </c>
      <c r="C16" t="s">
        <v>171</v>
      </c>
      <c r="D16" s="5" t="s">
        <v>175</v>
      </c>
    </row>
    <row r="17" spans="1:16" x14ac:dyDescent="0.35">
      <c r="A17" t="s">
        <v>173</v>
      </c>
      <c r="B17" t="s">
        <v>172</v>
      </c>
      <c r="C17" s="5" t="s">
        <v>176</v>
      </c>
      <c r="D17" s="5"/>
    </row>
    <row r="18" spans="1:16" x14ac:dyDescent="0.35">
      <c r="A18" t="s">
        <v>174</v>
      </c>
      <c r="B18" t="s">
        <v>113</v>
      </c>
      <c r="C18" s="5" t="s">
        <v>177</v>
      </c>
      <c r="D18" s="5"/>
    </row>
    <row r="23" spans="1:16" x14ac:dyDescent="0.35">
      <c r="N23" s="5"/>
      <c r="P23" s="5"/>
    </row>
  </sheetData>
  <conditionalFormatting sqref="E2:E13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:F1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:G13">
    <cfRule type="cellIs" dxfId="37" priority="3" operator="equal">
      <formula>"L"</formula>
    </cfRule>
    <cfRule type="cellIs" dxfId="36" priority="4" operator="equal">
      <formula>"W"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939A2-0600-4651-94E3-FFF8071822B5}">
  <dimension ref="A1:P23"/>
  <sheetViews>
    <sheetView workbookViewId="0">
      <selection activeCell="K19" sqref="A1:K19"/>
    </sheetView>
  </sheetViews>
  <sheetFormatPr defaultRowHeight="14.5" x14ac:dyDescent="0.35"/>
  <cols>
    <col min="1" max="1" width="13.453125" bestFit="1" customWidth="1"/>
    <col min="2" max="2" width="24.6328125" bestFit="1" customWidth="1"/>
    <col min="3" max="3" width="24.08984375" bestFit="1" customWidth="1"/>
    <col min="6" max="6" width="9.54296875" bestFit="1" customWidth="1"/>
    <col min="14" max="14" width="18.90625" bestFit="1" customWidth="1"/>
  </cols>
  <sheetData>
    <row r="1" spans="1:10" x14ac:dyDescent="0.35">
      <c r="A1" s="2" t="s">
        <v>0</v>
      </c>
      <c r="B1" s="2" t="s">
        <v>3</v>
      </c>
      <c r="C1" s="2" t="s">
        <v>4</v>
      </c>
      <c r="D1" s="2" t="s">
        <v>1</v>
      </c>
      <c r="E1" s="2" t="s">
        <v>39</v>
      </c>
      <c r="F1" s="2" t="s">
        <v>40</v>
      </c>
      <c r="G1" s="2" t="s">
        <v>2</v>
      </c>
    </row>
    <row r="2" spans="1:10" x14ac:dyDescent="0.35">
      <c r="A2" s="3" t="s">
        <v>7</v>
      </c>
      <c r="B2" s="1"/>
      <c r="C2" s="1"/>
      <c r="D2" s="1">
        <f>120.8-83.75</f>
        <v>37.049999999999997</v>
      </c>
      <c r="E2" s="1">
        <v>100</v>
      </c>
      <c r="F2" s="1">
        <v>100</v>
      </c>
      <c r="G2" s="1" t="s">
        <v>25</v>
      </c>
      <c r="I2" t="s">
        <v>37</v>
      </c>
      <c r="J2">
        <f>COUNTIF($G$2:$G$13, "W")</f>
        <v>1</v>
      </c>
    </row>
    <row r="3" spans="1:10" x14ac:dyDescent="0.35">
      <c r="A3" s="3" t="s">
        <v>8</v>
      </c>
      <c r="B3" s="1"/>
      <c r="C3" s="1"/>
      <c r="D3" s="1"/>
      <c r="E3" s="1"/>
      <c r="F3" s="1"/>
      <c r="G3" s="1"/>
      <c r="I3" t="s">
        <v>38</v>
      </c>
      <c r="J3">
        <f>COUNTIF($G$2:$G$13, "L")</f>
        <v>0</v>
      </c>
    </row>
    <row r="4" spans="1:10" x14ac:dyDescent="0.35">
      <c r="A4" s="3" t="s">
        <v>10</v>
      </c>
      <c r="C4" s="1"/>
      <c r="D4" s="1"/>
      <c r="E4" s="1"/>
      <c r="F4" s="1"/>
      <c r="G4" s="1"/>
    </row>
    <row r="5" spans="1:10" x14ac:dyDescent="0.35">
      <c r="A5" s="3" t="s">
        <v>12</v>
      </c>
      <c r="B5" s="1"/>
      <c r="C5" s="1"/>
      <c r="D5" s="1"/>
      <c r="E5" s="1"/>
      <c r="F5" s="1"/>
      <c r="G5" s="1"/>
    </row>
    <row r="6" spans="1:10" x14ac:dyDescent="0.35">
      <c r="A6" s="3" t="s">
        <v>14</v>
      </c>
      <c r="B6" s="1"/>
      <c r="C6" s="1"/>
      <c r="D6" s="1"/>
      <c r="E6" s="1"/>
      <c r="F6" s="1"/>
      <c r="G6" s="1"/>
    </row>
    <row r="7" spans="1:10" x14ac:dyDescent="0.35">
      <c r="A7" s="3" t="s">
        <v>15</v>
      </c>
      <c r="B7" s="1"/>
      <c r="C7" s="1"/>
      <c r="D7" s="1"/>
      <c r="E7" s="1"/>
      <c r="F7" s="1"/>
      <c r="G7" s="1"/>
    </row>
    <row r="8" spans="1:10" x14ac:dyDescent="0.35">
      <c r="A8" s="3" t="s">
        <v>18</v>
      </c>
      <c r="B8" s="1"/>
      <c r="C8" s="1"/>
      <c r="D8" s="1"/>
      <c r="E8" s="1"/>
      <c r="F8" s="1"/>
      <c r="G8" s="1"/>
    </row>
    <row r="9" spans="1:10" x14ac:dyDescent="0.35">
      <c r="A9" s="3" t="s">
        <v>20</v>
      </c>
      <c r="B9" s="1"/>
      <c r="C9" s="1"/>
      <c r="D9" s="1"/>
      <c r="E9" s="1"/>
      <c r="F9" s="1"/>
      <c r="G9" s="1"/>
    </row>
    <row r="10" spans="1:10" x14ac:dyDescent="0.35">
      <c r="A10" s="3" t="s">
        <v>21</v>
      </c>
      <c r="B10" s="1"/>
      <c r="C10" s="1"/>
      <c r="D10" s="1"/>
      <c r="E10" s="1"/>
      <c r="F10" s="1"/>
      <c r="G10" s="1"/>
    </row>
    <row r="11" spans="1:10" x14ac:dyDescent="0.35">
      <c r="A11" s="3" t="s">
        <v>22</v>
      </c>
      <c r="B11" s="1"/>
      <c r="C11" s="1"/>
      <c r="D11" s="1"/>
      <c r="E11" s="1"/>
      <c r="F11" s="1"/>
      <c r="G11" s="1"/>
    </row>
    <row r="12" spans="1:10" x14ac:dyDescent="0.35">
      <c r="A12" s="3" t="s">
        <v>24</v>
      </c>
      <c r="B12" s="1"/>
      <c r="C12" s="1"/>
      <c r="D12" s="1"/>
      <c r="E12" s="1"/>
      <c r="F12" s="1"/>
      <c r="G12" s="1"/>
    </row>
    <row r="13" spans="1:10" x14ac:dyDescent="0.35">
      <c r="A13" s="3" t="s">
        <v>36</v>
      </c>
      <c r="B13" s="1"/>
      <c r="C13" s="1"/>
      <c r="D13" s="1"/>
      <c r="E13" s="1"/>
      <c r="F13" s="1"/>
      <c r="G13" s="1"/>
    </row>
    <row r="15" spans="1:10" x14ac:dyDescent="0.35">
      <c r="A15" s="4" t="s">
        <v>27</v>
      </c>
      <c r="B15" s="4" t="s">
        <v>29</v>
      </c>
      <c r="C15" s="4" t="s">
        <v>28</v>
      </c>
      <c r="D15" s="4" t="s">
        <v>30</v>
      </c>
    </row>
    <row r="16" spans="1:10" x14ac:dyDescent="0.35">
      <c r="B16" t="s">
        <v>155</v>
      </c>
      <c r="C16" t="s">
        <v>171</v>
      </c>
      <c r="D16" s="5" t="s">
        <v>175</v>
      </c>
    </row>
    <row r="17" spans="3:16" x14ac:dyDescent="0.35">
      <c r="C17" s="5"/>
      <c r="D17" s="5"/>
    </row>
    <row r="18" spans="3:16" x14ac:dyDescent="0.35">
      <c r="C18" s="5"/>
      <c r="D18" s="5"/>
    </row>
    <row r="23" spans="3:16" x14ac:dyDescent="0.35">
      <c r="N23" s="5"/>
      <c r="P23" s="5"/>
    </row>
  </sheetData>
  <conditionalFormatting sqref="E2:E13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:F1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:G13">
    <cfRule type="cellIs" dxfId="35" priority="3" operator="equal">
      <formula>"L"</formula>
    </cfRule>
    <cfRule type="cellIs" dxfId="34" priority="4" operator="equal">
      <formula>"W"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294F8-7935-4472-9ABE-110FE5C2AE81}">
  <dimension ref="A1:J19"/>
  <sheetViews>
    <sheetView workbookViewId="0">
      <selection sqref="A1:J16"/>
    </sheetView>
  </sheetViews>
  <sheetFormatPr defaultRowHeight="14.5" x14ac:dyDescent="0.35"/>
  <cols>
    <col min="1" max="1" width="13.453125" bestFit="1" customWidth="1"/>
    <col min="2" max="2" width="17.54296875" bestFit="1" customWidth="1"/>
    <col min="3" max="3" width="23.81640625" bestFit="1" customWidth="1"/>
    <col min="4" max="4" width="14.54296875" bestFit="1" customWidth="1"/>
  </cols>
  <sheetData>
    <row r="1" spans="1:10" x14ac:dyDescent="0.35">
      <c r="A1" s="2" t="s">
        <v>0</v>
      </c>
      <c r="B1" s="2" t="s">
        <v>3</v>
      </c>
      <c r="C1" s="2" t="s">
        <v>4</v>
      </c>
      <c r="D1" s="2" t="s">
        <v>1</v>
      </c>
      <c r="E1" s="2" t="s">
        <v>39</v>
      </c>
      <c r="F1" s="2" t="s">
        <v>40</v>
      </c>
      <c r="G1" s="2" t="s">
        <v>2</v>
      </c>
    </row>
    <row r="2" spans="1:10" x14ac:dyDescent="0.35">
      <c r="A2" s="3" t="s">
        <v>7</v>
      </c>
      <c r="B2" s="1"/>
      <c r="C2" s="1" t="s">
        <v>55</v>
      </c>
      <c r="D2" s="1">
        <f>94.55-77.75</f>
        <v>16.799999999999997</v>
      </c>
      <c r="E2" s="1">
        <v>100</v>
      </c>
      <c r="F2" s="1">
        <v>100</v>
      </c>
      <c r="G2" s="1" t="s">
        <v>25</v>
      </c>
      <c r="I2" t="s">
        <v>37</v>
      </c>
      <c r="J2">
        <f>COUNTIF($G$2:$G$13, "W")</f>
        <v>9</v>
      </c>
    </row>
    <row r="3" spans="1:10" x14ac:dyDescent="0.35">
      <c r="A3" s="3" t="s">
        <v>8</v>
      </c>
      <c r="B3" s="1" t="s">
        <v>178</v>
      </c>
      <c r="C3" s="1"/>
      <c r="D3" s="1">
        <f>178.38-88.94</f>
        <v>89.44</v>
      </c>
      <c r="E3" s="1">
        <v>100</v>
      </c>
      <c r="F3" s="1">
        <v>1</v>
      </c>
      <c r="G3" s="1" t="s">
        <v>25</v>
      </c>
      <c r="I3" t="s">
        <v>38</v>
      </c>
      <c r="J3">
        <f>COUNTIF($G$2:$G$13, "L")</f>
        <v>3</v>
      </c>
    </row>
    <row r="4" spans="1:10" x14ac:dyDescent="0.35">
      <c r="A4" s="3" t="s">
        <v>10</v>
      </c>
      <c r="C4" s="1"/>
      <c r="D4" s="1">
        <f>147.56-132.34</f>
        <v>15.219999999999999</v>
      </c>
      <c r="E4" s="1">
        <v>100</v>
      </c>
      <c r="F4" s="1">
        <v>0</v>
      </c>
      <c r="G4" s="1" t="s">
        <v>25</v>
      </c>
    </row>
    <row r="5" spans="1:10" x14ac:dyDescent="0.35">
      <c r="A5" s="3" t="s">
        <v>12</v>
      </c>
      <c r="B5" s="1"/>
      <c r="C5" s="1" t="s">
        <v>179</v>
      </c>
      <c r="D5" s="1">
        <f>116.38-140.74</f>
        <v>-24.360000000000014</v>
      </c>
      <c r="E5" s="1">
        <v>0</v>
      </c>
      <c r="F5" s="1">
        <v>1</v>
      </c>
      <c r="G5" s="1" t="s">
        <v>26</v>
      </c>
    </row>
    <row r="6" spans="1:10" x14ac:dyDescent="0.35">
      <c r="A6" s="3" t="s">
        <v>14</v>
      </c>
      <c r="B6" s="1" t="s">
        <v>180</v>
      </c>
      <c r="C6" s="1" t="s">
        <v>182</v>
      </c>
      <c r="D6" s="1">
        <f>89.88-166.24</f>
        <v>-76.360000000000014</v>
      </c>
      <c r="E6" s="1">
        <v>0</v>
      </c>
      <c r="F6" s="1">
        <v>1</v>
      </c>
      <c r="G6" s="1" t="s">
        <v>26</v>
      </c>
    </row>
    <row r="7" spans="1:10" x14ac:dyDescent="0.35">
      <c r="A7" s="3" t="s">
        <v>15</v>
      </c>
      <c r="B7" s="1" t="s">
        <v>181</v>
      </c>
      <c r="C7" s="1"/>
      <c r="D7" s="1">
        <f>116.08-90.38</f>
        <v>25.700000000000003</v>
      </c>
      <c r="E7" s="1">
        <v>100</v>
      </c>
      <c r="F7" s="1">
        <v>99</v>
      </c>
      <c r="G7" s="1" t="s">
        <v>25</v>
      </c>
    </row>
    <row r="8" spans="1:10" x14ac:dyDescent="0.35">
      <c r="A8" s="3" t="s">
        <v>18</v>
      </c>
      <c r="B8" s="1" t="s">
        <v>183</v>
      </c>
      <c r="C8" s="1" t="s">
        <v>184</v>
      </c>
      <c r="D8" s="1">
        <f>131.78-103.14</f>
        <v>28.64</v>
      </c>
      <c r="E8" s="1">
        <v>98</v>
      </c>
      <c r="F8" s="1">
        <v>96</v>
      </c>
      <c r="G8" s="1" t="s">
        <v>25</v>
      </c>
    </row>
    <row r="9" spans="1:10" x14ac:dyDescent="0.35">
      <c r="A9" s="3" t="s">
        <v>20</v>
      </c>
      <c r="B9" s="1" t="s">
        <v>187</v>
      </c>
      <c r="C9" s="1"/>
      <c r="D9" s="1">
        <f>63.38-64.74</f>
        <v>-1.3599999999999923</v>
      </c>
      <c r="E9" s="1">
        <v>98</v>
      </c>
      <c r="F9" s="1">
        <v>97</v>
      </c>
      <c r="G9" s="1" t="s">
        <v>25</v>
      </c>
    </row>
    <row r="10" spans="1:10" x14ac:dyDescent="0.35">
      <c r="A10" s="3" t="s">
        <v>21</v>
      </c>
      <c r="B10" s="1" t="s">
        <v>178</v>
      </c>
      <c r="C10" s="1"/>
      <c r="D10" s="1">
        <f>132.94-122.04</f>
        <v>10.899999999999991</v>
      </c>
      <c r="E10" s="1">
        <v>100</v>
      </c>
      <c r="F10" s="1">
        <v>99</v>
      </c>
      <c r="G10" s="1" t="s">
        <v>25</v>
      </c>
    </row>
    <row r="11" spans="1:10" x14ac:dyDescent="0.35">
      <c r="A11" s="3" t="s">
        <v>22</v>
      </c>
      <c r="B11" s="1"/>
      <c r="C11" s="1"/>
      <c r="D11" s="1">
        <f>115.84-109.28</f>
        <v>6.5600000000000023</v>
      </c>
      <c r="E11" s="1">
        <v>0</v>
      </c>
      <c r="F11" s="1">
        <v>0</v>
      </c>
      <c r="G11" s="1" t="s">
        <v>26</v>
      </c>
    </row>
    <row r="12" spans="1:10" x14ac:dyDescent="0.35">
      <c r="A12" s="3" t="s">
        <v>24</v>
      </c>
      <c r="B12" s="1" t="s">
        <v>187</v>
      </c>
      <c r="C12" s="1" t="s">
        <v>186</v>
      </c>
      <c r="D12" s="1">
        <f>127.48-116.08</f>
        <v>11.400000000000006</v>
      </c>
      <c r="E12" s="1">
        <v>94</v>
      </c>
      <c r="F12" s="1">
        <v>97</v>
      </c>
      <c r="G12" s="1" t="s">
        <v>25</v>
      </c>
    </row>
    <row r="13" spans="1:10" x14ac:dyDescent="0.35">
      <c r="A13" s="3" t="s">
        <v>36</v>
      </c>
      <c r="B13" s="1"/>
      <c r="C13" s="1"/>
      <c r="D13" s="1">
        <f>176.04-161.78</f>
        <v>14.259999999999991</v>
      </c>
      <c r="E13" s="1">
        <v>100</v>
      </c>
      <c r="F13" s="1">
        <v>100</v>
      </c>
      <c r="G13" s="1" t="s">
        <v>25</v>
      </c>
    </row>
    <row r="15" spans="1:10" x14ac:dyDescent="0.35">
      <c r="A15" s="4" t="s">
        <v>27</v>
      </c>
      <c r="B15" s="4" t="s">
        <v>29</v>
      </c>
      <c r="C15" s="4" t="s">
        <v>28</v>
      </c>
      <c r="D15" s="4" t="s">
        <v>30</v>
      </c>
    </row>
    <row r="16" spans="1:10" x14ac:dyDescent="0.35">
      <c r="A16" t="s">
        <v>178</v>
      </c>
      <c r="B16" t="s">
        <v>55</v>
      </c>
      <c r="C16" t="s">
        <v>182</v>
      </c>
      <c r="D16" s="5" t="s">
        <v>189</v>
      </c>
    </row>
    <row r="17" spans="1:4" x14ac:dyDescent="0.35">
      <c r="A17" t="s">
        <v>180</v>
      </c>
      <c r="B17" t="s">
        <v>179</v>
      </c>
      <c r="C17" s="5"/>
      <c r="D17" t="s">
        <v>188</v>
      </c>
    </row>
    <row r="18" spans="1:4" x14ac:dyDescent="0.35">
      <c r="A18" t="s">
        <v>181</v>
      </c>
      <c r="B18" t="s">
        <v>185</v>
      </c>
      <c r="C18" s="5"/>
      <c r="D18" t="s">
        <v>190</v>
      </c>
    </row>
    <row r="19" spans="1:4" x14ac:dyDescent="0.35">
      <c r="A19" t="s">
        <v>187</v>
      </c>
      <c r="B19" t="s">
        <v>186</v>
      </c>
    </row>
  </sheetData>
  <conditionalFormatting sqref="E2:E13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:F1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:G13">
    <cfRule type="cellIs" dxfId="33" priority="3" operator="equal">
      <formula>"L"</formula>
    </cfRule>
    <cfRule type="cellIs" dxfId="32" priority="4" operator="equal">
      <formula>"W"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DF292-4787-4E21-8890-F43A6630CCED}">
  <dimension ref="A1:J20"/>
  <sheetViews>
    <sheetView workbookViewId="0">
      <selection activeCell="K31" sqref="K31"/>
    </sheetView>
  </sheetViews>
  <sheetFormatPr defaultRowHeight="14.5" x14ac:dyDescent="0.35"/>
  <cols>
    <col min="1" max="1" width="13.453125" bestFit="1" customWidth="1"/>
    <col min="2" max="2" width="17.54296875" bestFit="1" customWidth="1"/>
    <col min="3" max="3" width="23.81640625" bestFit="1" customWidth="1"/>
    <col min="4" max="4" width="14.54296875" bestFit="1" customWidth="1"/>
  </cols>
  <sheetData>
    <row r="1" spans="1:10" x14ac:dyDescent="0.35">
      <c r="A1" s="2" t="s">
        <v>0</v>
      </c>
      <c r="B1" s="2" t="s">
        <v>3</v>
      </c>
      <c r="C1" s="2" t="s">
        <v>4</v>
      </c>
      <c r="D1" s="2" t="s">
        <v>1</v>
      </c>
      <c r="E1" s="2" t="s">
        <v>39</v>
      </c>
      <c r="F1" s="2" t="s">
        <v>40</v>
      </c>
      <c r="G1" s="2" t="s">
        <v>2</v>
      </c>
    </row>
    <row r="2" spans="1:10" x14ac:dyDescent="0.35">
      <c r="A2" s="3" t="s">
        <v>7</v>
      </c>
      <c r="B2" s="1" t="s">
        <v>134</v>
      </c>
      <c r="C2" s="1"/>
      <c r="D2" s="1">
        <f>88.15-114.45</f>
        <v>-26.299999999999997</v>
      </c>
      <c r="E2" s="1">
        <v>6</v>
      </c>
      <c r="F2" s="1">
        <v>2</v>
      </c>
      <c r="G2" s="1" t="s">
        <v>26</v>
      </c>
      <c r="I2" t="s">
        <v>37</v>
      </c>
      <c r="J2">
        <f>COUNTIF($G$2:$G$13, "W")</f>
        <v>6</v>
      </c>
    </row>
    <row r="3" spans="1:10" x14ac:dyDescent="0.35">
      <c r="A3" s="3" t="s">
        <v>8</v>
      </c>
      <c r="B3" s="1" t="s">
        <v>151</v>
      </c>
      <c r="C3" s="1" t="s">
        <v>191</v>
      </c>
      <c r="D3" s="1">
        <f>108.06-160.72</f>
        <v>-52.66</v>
      </c>
      <c r="E3" s="1">
        <v>0</v>
      </c>
      <c r="F3" s="1">
        <v>1</v>
      </c>
      <c r="G3" s="1" t="s">
        <v>26</v>
      </c>
      <c r="I3" t="s">
        <v>38</v>
      </c>
      <c r="J3">
        <f>COUNTIF($G$2:$G$13, "L")</f>
        <v>6</v>
      </c>
    </row>
    <row r="4" spans="1:10" x14ac:dyDescent="0.35">
      <c r="A4" s="3" t="s">
        <v>10</v>
      </c>
      <c r="C4" s="1" t="s">
        <v>140</v>
      </c>
      <c r="D4" s="1">
        <f>126.22-88.2</f>
        <v>38.019999999999996</v>
      </c>
      <c r="E4" s="1">
        <v>97</v>
      </c>
      <c r="F4" s="1">
        <v>99</v>
      </c>
      <c r="G4" s="1" t="s">
        <v>25</v>
      </c>
    </row>
    <row r="5" spans="1:10" x14ac:dyDescent="0.35">
      <c r="A5" s="3" t="s">
        <v>12</v>
      </c>
      <c r="B5" s="1" t="s">
        <v>192</v>
      </c>
      <c r="C5" s="1" t="s">
        <v>151</v>
      </c>
      <c r="D5" s="1">
        <f>113.5-13.1</f>
        <v>100.4</v>
      </c>
      <c r="E5" s="1">
        <v>100</v>
      </c>
      <c r="F5" s="1">
        <v>99</v>
      </c>
      <c r="G5" s="1" t="s">
        <v>25</v>
      </c>
    </row>
    <row r="6" spans="1:10" x14ac:dyDescent="0.35">
      <c r="A6" s="3" t="s">
        <v>14</v>
      </c>
      <c r="B6" s="1" t="s">
        <v>195</v>
      </c>
      <c r="C6" s="1" t="s">
        <v>197</v>
      </c>
      <c r="D6" s="1">
        <f>92.32-29.5</f>
        <v>62.819999999999993</v>
      </c>
      <c r="E6" s="1">
        <v>100</v>
      </c>
      <c r="F6" s="1">
        <v>99</v>
      </c>
      <c r="G6" s="1" t="s">
        <v>25</v>
      </c>
    </row>
    <row r="7" spans="1:10" x14ac:dyDescent="0.35">
      <c r="A7" s="3" t="s">
        <v>15</v>
      </c>
      <c r="B7" s="1" t="s">
        <v>142</v>
      </c>
      <c r="C7" s="1" t="s">
        <v>191</v>
      </c>
      <c r="D7" s="1">
        <f>80-97.36</f>
        <v>-17.36</v>
      </c>
      <c r="E7" s="1">
        <v>79</v>
      </c>
      <c r="F7" s="1">
        <v>76</v>
      </c>
      <c r="G7" s="1" t="s">
        <v>25</v>
      </c>
    </row>
    <row r="8" spans="1:10" x14ac:dyDescent="0.35">
      <c r="A8" s="3" t="s">
        <v>18</v>
      </c>
      <c r="B8" s="1" t="s">
        <v>192</v>
      </c>
      <c r="C8" s="1" t="s">
        <v>140</v>
      </c>
      <c r="D8" s="1">
        <f>93-149</f>
        <v>-56</v>
      </c>
      <c r="E8" s="1">
        <v>0</v>
      </c>
      <c r="F8" s="1">
        <v>1</v>
      </c>
      <c r="G8" s="1" t="s">
        <v>26</v>
      </c>
    </row>
    <row r="9" spans="1:10" x14ac:dyDescent="0.35">
      <c r="A9" s="3" t="s">
        <v>20</v>
      </c>
      <c r="B9" s="1" t="s">
        <v>146</v>
      </c>
      <c r="C9" s="1" t="s">
        <v>134</v>
      </c>
      <c r="D9" s="1">
        <f>114.4-82.66</f>
        <v>31.740000000000009</v>
      </c>
      <c r="E9" s="1">
        <v>99</v>
      </c>
      <c r="F9" s="1">
        <v>99</v>
      </c>
      <c r="G9" s="1" t="s">
        <v>25</v>
      </c>
    </row>
    <row r="10" spans="1:10" x14ac:dyDescent="0.35">
      <c r="A10" s="3" t="s">
        <v>21</v>
      </c>
      <c r="B10" s="1"/>
      <c r="C10" s="1" t="s">
        <v>136</v>
      </c>
      <c r="D10" s="1">
        <f>107.3-102.5</f>
        <v>4.7999999999999972</v>
      </c>
      <c r="E10" s="1">
        <v>5</v>
      </c>
      <c r="F10" s="1">
        <v>6</v>
      </c>
      <c r="G10" s="1" t="s">
        <v>26</v>
      </c>
    </row>
    <row r="11" spans="1:10" x14ac:dyDescent="0.35">
      <c r="A11" s="3" t="s">
        <v>22</v>
      </c>
      <c r="B11" s="1" t="s">
        <v>202</v>
      </c>
      <c r="C11" s="1" t="s">
        <v>199</v>
      </c>
      <c r="D11" s="1">
        <f>113.9-54.3</f>
        <v>59.600000000000009</v>
      </c>
      <c r="E11" s="1">
        <v>100</v>
      </c>
      <c r="F11" s="1">
        <v>99</v>
      </c>
      <c r="G11" s="1" t="s">
        <v>25</v>
      </c>
    </row>
    <row r="12" spans="1:10" x14ac:dyDescent="0.35">
      <c r="A12" s="3" t="s">
        <v>24</v>
      </c>
      <c r="B12" s="1" t="s">
        <v>192</v>
      </c>
      <c r="C12" s="1" t="s">
        <v>151</v>
      </c>
      <c r="D12" s="1">
        <f>100.4-142.6</f>
        <v>-42.199999999999989</v>
      </c>
      <c r="E12" s="1">
        <v>0</v>
      </c>
      <c r="F12" s="1">
        <v>1</v>
      </c>
      <c r="G12" s="1" t="s">
        <v>26</v>
      </c>
    </row>
    <row r="13" spans="1:10" x14ac:dyDescent="0.35">
      <c r="A13" s="3" t="s">
        <v>36</v>
      </c>
      <c r="B13" s="1"/>
      <c r="C13" s="1" t="s">
        <v>194</v>
      </c>
      <c r="D13" s="1">
        <f>123.8-126.32</f>
        <v>-2.519999999999996</v>
      </c>
      <c r="E13" s="1">
        <v>13</v>
      </c>
      <c r="F13" s="1">
        <v>1</v>
      </c>
      <c r="G13" s="1" t="s">
        <v>26</v>
      </c>
    </row>
    <row r="15" spans="1:10" x14ac:dyDescent="0.35">
      <c r="A15" s="4" t="s">
        <v>27</v>
      </c>
      <c r="B15" s="4" t="s">
        <v>29</v>
      </c>
      <c r="C15" s="4" t="s">
        <v>28</v>
      </c>
      <c r="D15" s="4" t="s">
        <v>30</v>
      </c>
    </row>
    <row r="16" spans="1:10" x14ac:dyDescent="0.35">
      <c r="A16" t="s">
        <v>134</v>
      </c>
      <c r="B16" t="s">
        <v>191</v>
      </c>
      <c r="C16" t="s">
        <v>151</v>
      </c>
      <c r="D16" s="5" t="s">
        <v>193</v>
      </c>
    </row>
    <row r="17" spans="1:4" x14ac:dyDescent="0.35">
      <c r="A17" t="s">
        <v>192</v>
      </c>
      <c r="B17" t="s">
        <v>194</v>
      </c>
      <c r="C17" s="5" t="s">
        <v>146</v>
      </c>
      <c r="D17" s="5" t="s">
        <v>201</v>
      </c>
    </row>
    <row r="18" spans="1:4" x14ac:dyDescent="0.35">
      <c r="A18" t="s">
        <v>196</v>
      </c>
      <c r="B18" t="s">
        <v>198</v>
      </c>
      <c r="C18" s="5" t="s">
        <v>140</v>
      </c>
      <c r="D18" s="5" t="s">
        <v>200</v>
      </c>
    </row>
    <row r="19" spans="1:4" x14ac:dyDescent="0.35">
      <c r="B19" t="s">
        <v>199</v>
      </c>
    </row>
    <row r="20" spans="1:4" x14ac:dyDescent="0.35">
      <c r="B20" t="s">
        <v>136</v>
      </c>
    </row>
  </sheetData>
  <conditionalFormatting sqref="E2:E13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:F1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:G13">
    <cfRule type="cellIs" dxfId="31" priority="3" operator="equal">
      <formula>"L"</formula>
    </cfRule>
    <cfRule type="cellIs" dxfId="30" priority="4" operator="equal">
      <formula>"W"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D982A-85EC-46CD-9645-BA33624F76E9}">
  <dimension ref="A1:J18"/>
  <sheetViews>
    <sheetView workbookViewId="0">
      <selection activeCell="K22" sqref="K22"/>
    </sheetView>
  </sheetViews>
  <sheetFormatPr defaultRowHeight="14.5" x14ac:dyDescent="0.35"/>
  <cols>
    <col min="1" max="1" width="13.453125" bestFit="1" customWidth="1"/>
    <col min="2" max="2" width="17.54296875" bestFit="1" customWidth="1"/>
    <col min="3" max="3" width="23.81640625" bestFit="1" customWidth="1"/>
    <col min="4" max="4" width="14.54296875" bestFit="1" customWidth="1"/>
  </cols>
  <sheetData>
    <row r="1" spans="1:10" x14ac:dyDescent="0.35">
      <c r="A1" s="2" t="s">
        <v>0</v>
      </c>
      <c r="B1" s="2" t="s">
        <v>3</v>
      </c>
      <c r="C1" s="2" t="s">
        <v>4</v>
      </c>
      <c r="D1" s="2" t="s">
        <v>1</v>
      </c>
      <c r="E1" s="2" t="s">
        <v>39</v>
      </c>
      <c r="F1" s="2" t="s">
        <v>40</v>
      </c>
      <c r="G1" s="2" t="s">
        <v>2</v>
      </c>
    </row>
    <row r="2" spans="1:10" x14ac:dyDescent="0.35">
      <c r="A2" s="3" t="s">
        <v>7</v>
      </c>
      <c r="B2" s="1" t="s">
        <v>203</v>
      </c>
      <c r="C2" s="1"/>
      <c r="D2" s="1">
        <f>124.7-120.05-6</f>
        <v>-1.3499999999999943</v>
      </c>
      <c r="E2" s="1">
        <v>73</v>
      </c>
      <c r="F2" s="1"/>
      <c r="G2" s="1" t="s">
        <v>25</v>
      </c>
      <c r="I2" t="s">
        <v>37</v>
      </c>
      <c r="J2">
        <f>COUNTIF($G$2:$G$13, "W")</f>
        <v>11</v>
      </c>
    </row>
    <row r="3" spans="1:10" x14ac:dyDescent="0.35">
      <c r="A3" s="3" t="s">
        <v>8</v>
      </c>
      <c r="B3" s="1"/>
      <c r="C3" s="1" t="s">
        <v>203</v>
      </c>
      <c r="D3" s="1">
        <f>146.52+7-91.6</f>
        <v>61.920000000000016</v>
      </c>
      <c r="E3" s="1">
        <v>100</v>
      </c>
      <c r="F3" s="1">
        <v>99</v>
      </c>
      <c r="G3" s="1" t="s">
        <v>25</v>
      </c>
      <c r="I3" t="s">
        <v>38</v>
      </c>
      <c r="J3">
        <f>COUNTIF($G$2:$G$13, "L")</f>
        <v>1</v>
      </c>
    </row>
    <row r="4" spans="1:10" x14ac:dyDescent="0.35">
      <c r="A4" s="3" t="s">
        <v>10</v>
      </c>
      <c r="C4" s="1" t="s">
        <v>204</v>
      </c>
      <c r="D4" s="1">
        <f>130.76+7.3-117.98</f>
        <v>20.079999999999998</v>
      </c>
      <c r="E4" s="1">
        <v>89</v>
      </c>
      <c r="F4" s="1"/>
      <c r="G4" s="1" t="s">
        <v>25</v>
      </c>
    </row>
    <row r="5" spans="1:10" x14ac:dyDescent="0.35">
      <c r="A5" s="3" t="s">
        <v>12</v>
      </c>
      <c r="B5" s="1"/>
      <c r="C5" s="1"/>
      <c r="D5" s="1">
        <f>129.52-113.44</f>
        <v>16.080000000000013</v>
      </c>
      <c r="E5" s="1">
        <v>100</v>
      </c>
      <c r="F5" s="1">
        <v>100</v>
      </c>
      <c r="G5" s="1" t="s">
        <v>25</v>
      </c>
    </row>
    <row r="6" spans="1:10" x14ac:dyDescent="0.35">
      <c r="A6" s="3" t="s">
        <v>14</v>
      </c>
      <c r="B6" s="1"/>
      <c r="C6" s="1"/>
      <c r="D6" s="1">
        <f>168.92-119.46</f>
        <v>49.459999999999994</v>
      </c>
      <c r="E6" s="1">
        <v>100</v>
      </c>
      <c r="F6" s="1">
        <v>100</v>
      </c>
      <c r="G6" s="1" t="s">
        <v>25</v>
      </c>
    </row>
    <row r="7" spans="1:10" x14ac:dyDescent="0.35">
      <c r="A7" s="3" t="s">
        <v>15</v>
      </c>
      <c r="B7" s="1"/>
      <c r="C7" s="1" t="s">
        <v>207</v>
      </c>
      <c r="D7" s="1">
        <f>121.08-106.5+6</f>
        <v>20.58</v>
      </c>
      <c r="E7" s="1">
        <v>77</v>
      </c>
      <c r="F7" s="1"/>
      <c r="G7" s="1" t="s">
        <v>26</v>
      </c>
    </row>
    <row r="8" spans="1:10" x14ac:dyDescent="0.35">
      <c r="A8" s="3" t="s">
        <v>18</v>
      </c>
      <c r="B8" s="1" t="s">
        <v>203</v>
      </c>
      <c r="C8" s="1"/>
      <c r="D8" s="1">
        <f>135.32-6-82.56</f>
        <v>46.759999999999991</v>
      </c>
      <c r="E8" s="1">
        <v>100</v>
      </c>
      <c r="F8" s="1">
        <v>99</v>
      </c>
      <c r="G8" s="1" t="s">
        <v>25</v>
      </c>
    </row>
    <row r="9" spans="1:10" x14ac:dyDescent="0.35">
      <c r="A9" s="3" t="s">
        <v>20</v>
      </c>
      <c r="B9" s="1" t="s">
        <v>205</v>
      </c>
      <c r="C9" s="1"/>
      <c r="D9" s="1">
        <f>103.98-11.4-52.3</f>
        <v>40.28</v>
      </c>
      <c r="E9" s="1">
        <v>100</v>
      </c>
      <c r="F9" s="1">
        <v>99</v>
      </c>
      <c r="G9" s="1" t="s">
        <v>25</v>
      </c>
    </row>
    <row r="10" spans="1:10" x14ac:dyDescent="0.35">
      <c r="A10" s="3" t="s">
        <v>21</v>
      </c>
      <c r="B10" s="1"/>
      <c r="C10" s="1"/>
      <c r="D10" s="1">
        <f>144.3-85.4</f>
        <v>58.900000000000006</v>
      </c>
      <c r="E10" s="1">
        <v>100</v>
      </c>
      <c r="F10" s="1">
        <v>100</v>
      </c>
      <c r="G10" s="1" t="s">
        <v>25</v>
      </c>
    </row>
    <row r="11" spans="1:10" x14ac:dyDescent="0.35">
      <c r="A11" s="3" t="s">
        <v>22</v>
      </c>
      <c r="B11" s="1"/>
      <c r="C11" s="1"/>
      <c r="D11" s="1">
        <f>128.68-114.6</f>
        <v>14.080000000000013</v>
      </c>
      <c r="E11" s="1">
        <v>100</v>
      </c>
      <c r="F11" s="1">
        <v>100</v>
      </c>
      <c r="G11" s="1" t="s">
        <v>25</v>
      </c>
    </row>
    <row r="12" spans="1:10" x14ac:dyDescent="0.35">
      <c r="A12" s="3" t="s">
        <v>24</v>
      </c>
      <c r="B12" s="1" t="s">
        <v>203</v>
      </c>
      <c r="C12" s="1" t="s">
        <v>205</v>
      </c>
      <c r="D12" s="1">
        <f>115.98-6-100.66+12.7</f>
        <v>22.020000000000007</v>
      </c>
      <c r="E12" s="1">
        <v>91</v>
      </c>
      <c r="F12" s="1"/>
      <c r="G12" s="1" t="s">
        <v>25</v>
      </c>
    </row>
    <row r="13" spans="1:10" x14ac:dyDescent="0.35">
      <c r="A13" s="3" t="s">
        <v>36</v>
      </c>
      <c r="B13" s="1"/>
      <c r="C13" s="1"/>
      <c r="D13" s="1">
        <f>135.34-128.8</f>
        <v>6.539999999999992</v>
      </c>
      <c r="E13" s="1">
        <v>100</v>
      </c>
      <c r="F13" s="1">
        <v>100</v>
      </c>
      <c r="G13" s="1" t="s">
        <v>25</v>
      </c>
    </row>
    <row r="15" spans="1:10" x14ac:dyDescent="0.35">
      <c r="A15" s="4" t="s">
        <v>27</v>
      </c>
      <c r="B15" s="4" t="s">
        <v>29</v>
      </c>
      <c r="C15" s="4" t="s">
        <v>28</v>
      </c>
      <c r="D15" s="4" t="s">
        <v>30</v>
      </c>
    </row>
    <row r="16" spans="1:10" x14ac:dyDescent="0.35">
      <c r="B16" t="s">
        <v>204</v>
      </c>
      <c r="C16" t="s">
        <v>203</v>
      </c>
      <c r="D16" s="5" t="s">
        <v>209</v>
      </c>
    </row>
    <row r="17" spans="2:4" x14ac:dyDescent="0.35">
      <c r="B17" t="s">
        <v>208</v>
      </c>
      <c r="C17" s="5" t="s">
        <v>205</v>
      </c>
      <c r="D17" s="5" t="s">
        <v>206</v>
      </c>
    </row>
    <row r="18" spans="2:4" x14ac:dyDescent="0.35">
      <c r="C18" s="5"/>
      <c r="D18" s="5"/>
    </row>
  </sheetData>
  <conditionalFormatting sqref="E2:E13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:F1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:G13">
    <cfRule type="cellIs" dxfId="29" priority="3" operator="equal">
      <formula>"L"</formula>
    </cfRule>
    <cfRule type="cellIs" dxfId="28" priority="4" operator="equal">
      <formula>"W"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874EE-0B88-4586-A020-CEA947D78563}">
  <dimension ref="A1:L19"/>
  <sheetViews>
    <sheetView workbookViewId="0">
      <selection sqref="A1:XFD1048576"/>
    </sheetView>
  </sheetViews>
  <sheetFormatPr defaultRowHeight="14.5" x14ac:dyDescent="0.35"/>
  <cols>
    <col min="1" max="1" width="13.453125" bestFit="1" customWidth="1"/>
    <col min="2" max="2" width="17.54296875" bestFit="1" customWidth="1"/>
    <col min="3" max="3" width="23.81640625" bestFit="1" customWidth="1"/>
    <col min="4" max="4" width="14.54296875" bestFit="1" customWidth="1"/>
    <col min="8" max="8" width="18.08984375" bestFit="1" customWidth="1"/>
    <col min="9" max="9" width="14.08984375" customWidth="1"/>
  </cols>
  <sheetData>
    <row r="1" spans="1:12" x14ac:dyDescent="0.35">
      <c r="A1" s="2" t="s">
        <v>0</v>
      </c>
      <c r="B1" s="2" t="s">
        <v>3</v>
      </c>
      <c r="C1" s="2" t="s">
        <v>4</v>
      </c>
      <c r="D1" s="2" t="s">
        <v>1</v>
      </c>
      <c r="E1" s="2" t="s">
        <v>39</v>
      </c>
      <c r="F1" s="2" t="s">
        <v>40</v>
      </c>
      <c r="G1" s="2" t="s">
        <v>2</v>
      </c>
      <c r="H1" s="6" t="s">
        <v>223</v>
      </c>
      <c r="I1" s="6" t="s">
        <v>210</v>
      </c>
      <c r="J1" s="6" t="s">
        <v>234</v>
      </c>
    </row>
    <row r="2" spans="1:12" x14ac:dyDescent="0.35">
      <c r="A2" s="3" t="s">
        <v>7</v>
      </c>
      <c r="B2" s="1" t="s">
        <v>69</v>
      </c>
      <c r="C2" s="1" t="s">
        <v>221</v>
      </c>
      <c r="D2" s="1">
        <f>81.6-84.05</f>
        <v>-2.4500000000000028</v>
      </c>
      <c r="E2" s="1">
        <v>42</v>
      </c>
      <c r="F2" s="1">
        <v>44</v>
      </c>
      <c r="G2" s="1" t="s">
        <v>26</v>
      </c>
      <c r="H2" s="1">
        <v>100</v>
      </c>
      <c r="I2" t="s">
        <v>211</v>
      </c>
      <c r="J2">
        <v>2</v>
      </c>
      <c r="K2" t="s">
        <v>37</v>
      </c>
      <c r="L2">
        <f>COUNTIF($G$2:$G$13, "W")</f>
        <v>10</v>
      </c>
    </row>
    <row r="3" spans="1:12" x14ac:dyDescent="0.35">
      <c r="A3" s="3" t="s">
        <v>8</v>
      </c>
      <c r="B3" s="1" t="s">
        <v>222</v>
      </c>
      <c r="C3" s="1" t="s">
        <v>65</v>
      </c>
      <c r="D3" s="1">
        <f>128.38-130.22</f>
        <v>-1.8400000000000034</v>
      </c>
      <c r="E3" s="1">
        <v>45.6</v>
      </c>
      <c r="F3" s="1">
        <v>62</v>
      </c>
      <c r="G3" s="1" t="s">
        <v>26</v>
      </c>
      <c r="H3" s="1">
        <v>100</v>
      </c>
      <c r="I3" t="s">
        <v>212</v>
      </c>
      <c r="J3">
        <v>4</v>
      </c>
      <c r="K3" t="s">
        <v>38</v>
      </c>
      <c r="L3">
        <f>COUNTIF($G$2:$G$13, "L")</f>
        <v>2</v>
      </c>
    </row>
    <row r="4" spans="1:12" x14ac:dyDescent="0.35">
      <c r="A4" s="3" t="s">
        <v>10</v>
      </c>
      <c r="B4" t="s">
        <v>222</v>
      </c>
      <c r="C4" s="1"/>
      <c r="D4" s="1">
        <f>93.94-83.56</f>
        <v>10.379999999999995</v>
      </c>
      <c r="E4" s="1">
        <v>100</v>
      </c>
      <c r="F4" s="1">
        <v>99</v>
      </c>
      <c r="G4" s="1" t="s">
        <v>25</v>
      </c>
      <c r="H4" s="1">
        <v>79</v>
      </c>
      <c r="I4" t="s">
        <v>213</v>
      </c>
      <c r="J4">
        <v>4</v>
      </c>
    </row>
    <row r="5" spans="1:12" x14ac:dyDescent="0.35">
      <c r="A5" s="3" t="s">
        <v>12</v>
      </c>
      <c r="B5" s="1" t="s">
        <v>222</v>
      </c>
      <c r="C5" s="1" t="s">
        <v>224</v>
      </c>
      <c r="D5" s="1">
        <f>127.68-91.68</f>
        <v>36</v>
      </c>
      <c r="E5" s="1">
        <v>98.3</v>
      </c>
      <c r="F5" s="1">
        <v>98</v>
      </c>
      <c r="G5" s="1" t="s">
        <v>25</v>
      </c>
      <c r="H5" s="1">
        <v>100</v>
      </c>
      <c r="I5" t="s">
        <v>214</v>
      </c>
      <c r="J5">
        <v>2</v>
      </c>
    </row>
    <row r="6" spans="1:12" x14ac:dyDescent="0.35">
      <c r="A6" s="3" t="s">
        <v>14</v>
      </c>
      <c r="B6" s="1" t="s">
        <v>180</v>
      </c>
      <c r="C6" s="1" t="s">
        <v>227</v>
      </c>
      <c r="D6" s="1">
        <f>114.98-118.1</f>
        <v>-3.1199999999999903</v>
      </c>
      <c r="E6" s="1">
        <v>12.9</v>
      </c>
      <c r="F6" s="1">
        <v>6</v>
      </c>
      <c r="G6" s="1" t="s">
        <v>25</v>
      </c>
      <c r="H6" s="1">
        <v>100</v>
      </c>
      <c r="I6" t="s">
        <v>215</v>
      </c>
      <c r="J6">
        <v>1</v>
      </c>
      <c r="K6" t="s">
        <v>235</v>
      </c>
    </row>
    <row r="7" spans="1:12" x14ac:dyDescent="0.35">
      <c r="A7" s="3" t="s">
        <v>15</v>
      </c>
      <c r="B7" s="1"/>
      <c r="C7" s="1"/>
      <c r="D7" s="1">
        <f>203.98-90.12</f>
        <v>113.85999999999999</v>
      </c>
      <c r="E7" s="1">
        <v>100</v>
      </c>
      <c r="F7" s="1">
        <v>100</v>
      </c>
      <c r="G7" s="1" t="s">
        <v>25</v>
      </c>
      <c r="H7" s="1">
        <v>100</v>
      </c>
      <c r="I7" t="s">
        <v>211</v>
      </c>
      <c r="J7">
        <v>1</v>
      </c>
    </row>
    <row r="8" spans="1:12" x14ac:dyDescent="0.35">
      <c r="A8" s="3" t="s">
        <v>18</v>
      </c>
      <c r="B8" s="1" t="s">
        <v>222</v>
      </c>
      <c r="C8" s="1"/>
      <c r="D8" s="1">
        <f>146.48-73.96</f>
        <v>72.52</v>
      </c>
      <c r="E8" s="1">
        <v>100</v>
      </c>
      <c r="F8" s="1">
        <v>99</v>
      </c>
      <c r="G8" s="1" t="s">
        <v>25</v>
      </c>
      <c r="H8" s="1">
        <v>100</v>
      </c>
      <c r="I8" t="s">
        <v>216</v>
      </c>
      <c r="J8">
        <v>2</v>
      </c>
    </row>
    <row r="9" spans="1:12" x14ac:dyDescent="0.35">
      <c r="A9" s="3" t="s">
        <v>20</v>
      </c>
      <c r="B9" s="1" t="s">
        <v>187</v>
      </c>
      <c r="C9" s="1" t="s">
        <v>228</v>
      </c>
      <c r="D9" s="1">
        <f>112.14-82.6</f>
        <v>29.540000000000006</v>
      </c>
      <c r="E9" s="1">
        <v>100</v>
      </c>
      <c r="F9" s="1">
        <v>99</v>
      </c>
      <c r="G9" s="1" t="s">
        <v>25</v>
      </c>
      <c r="H9" s="1">
        <v>96</v>
      </c>
      <c r="I9" t="s">
        <v>217</v>
      </c>
      <c r="J9">
        <v>1</v>
      </c>
    </row>
    <row r="10" spans="1:12" x14ac:dyDescent="0.35">
      <c r="A10" s="3" t="s">
        <v>21</v>
      </c>
      <c r="B10" s="1" t="s">
        <v>65</v>
      </c>
      <c r="C10" s="1" t="s">
        <v>229</v>
      </c>
      <c r="D10" s="1">
        <f>108.96-90.6</f>
        <v>18.36</v>
      </c>
      <c r="E10" s="1">
        <v>59.7</v>
      </c>
      <c r="F10" s="1">
        <v>59</v>
      </c>
      <c r="G10" s="1" t="s">
        <v>25</v>
      </c>
      <c r="H10" s="1">
        <v>100</v>
      </c>
      <c r="I10" t="s">
        <v>218</v>
      </c>
      <c r="J10">
        <v>1</v>
      </c>
    </row>
    <row r="11" spans="1:12" x14ac:dyDescent="0.35">
      <c r="A11" s="3" t="s">
        <v>22</v>
      </c>
      <c r="B11" s="1"/>
      <c r="C11" s="1"/>
      <c r="D11" s="1">
        <f>102.14-82.1</f>
        <v>20.040000000000006</v>
      </c>
      <c r="E11" s="1">
        <v>100</v>
      </c>
      <c r="F11" s="1">
        <v>100</v>
      </c>
      <c r="G11" s="1" t="s">
        <v>25</v>
      </c>
      <c r="H11" s="1">
        <v>100</v>
      </c>
      <c r="I11" t="s">
        <v>211</v>
      </c>
      <c r="J11">
        <v>2</v>
      </c>
    </row>
    <row r="12" spans="1:12" x14ac:dyDescent="0.35">
      <c r="A12" s="3" t="s">
        <v>24</v>
      </c>
      <c r="B12" s="1" t="s">
        <v>221</v>
      </c>
      <c r="C12" s="1" t="s">
        <v>180</v>
      </c>
      <c r="D12" s="1">
        <f>118.82-117.48</f>
        <v>1.3399999999999892</v>
      </c>
      <c r="E12" s="1">
        <v>98</v>
      </c>
      <c r="F12" s="1">
        <v>97</v>
      </c>
      <c r="G12" s="1" t="s">
        <v>25</v>
      </c>
      <c r="H12" s="1">
        <v>100</v>
      </c>
      <c r="I12" t="s">
        <v>219</v>
      </c>
      <c r="J12">
        <v>3</v>
      </c>
    </row>
    <row r="13" spans="1:12" x14ac:dyDescent="0.35">
      <c r="A13" s="3" t="s">
        <v>36</v>
      </c>
      <c r="B13" s="1" t="s">
        <v>65</v>
      </c>
      <c r="C13" s="1" t="s">
        <v>225</v>
      </c>
      <c r="D13" s="1">
        <f>110.64-34.3</f>
        <v>76.34</v>
      </c>
      <c r="E13" s="1">
        <v>100</v>
      </c>
      <c r="F13" s="1">
        <v>99</v>
      </c>
      <c r="G13" s="1" t="s">
        <v>25</v>
      </c>
      <c r="H13" s="1">
        <v>100</v>
      </c>
      <c r="I13" t="s">
        <v>220</v>
      </c>
      <c r="J13">
        <v>2</v>
      </c>
    </row>
    <row r="15" spans="1:12" x14ac:dyDescent="0.35">
      <c r="A15" s="4" t="s">
        <v>27</v>
      </c>
      <c r="B15" s="4" t="s">
        <v>29</v>
      </c>
      <c r="C15" s="4" t="s">
        <v>28</v>
      </c>
      <c r="D15" s="4" t="s">
        <v>30</v>
      </c>
    </row>
    <row r="16" spans="1:12" x14ac:dyDescent="0.35">
      <c r="A16" t="s">
        <v>69</v>
      </c>
      <c r="B16" t="s">
        <v>226</v>
      </c>
      <c r="C16" t="s">
        <v>222</v>
      </c>
      <c r="D16" s="5" t="s">
        <v>233</v>
      </c>
    </row>
    <row r="17" spans="2:4" x14ac:dyDescent="0.35">
      <c r="B17" t="s">
        <v>227</v>
      </c>
      <c r="C17" s="5" t="s">
        <v>65</v>
      </c>
      <c r="D17" s="5" t="s">
        <v>230</v>
      </c>
    </row>
    <row r="18" spans="2:4" x14ac:dyDescent="0.35">
      <c r="B18" t="s">
        <v>228</v>
      </c>
      <c r="C18" s="5" t="s">
        <v>180</v>
      </c>
      <c r="D18" s="5" t="s">
        <v>231</v>
      </c>
    </row>
    <row r="19" spans="2:4" x14ac:dyDescent="0.35">
      <c r="C19" t="s">
        <v>187</v>
      </c>
      <c r="D19" s="5" t="s">
        <v>232</v>
      </c>
    </row>
  </sheetData>
  <phoneticPr fontId="2" type="noConversion"/>
  <conditionalFormatting sqref="E2:E13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:F13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:G13">
    <cfRule type="cellIs" dxfId="27" priority="4" operator="equal">
      <formula>"L"</formula>
    </cfRule>
    <cfRule type="cellIs" dxfId="26" priority="5" operator="equal">
      <formula>"W"</formula>
    </cfRule>
  </conditionalFormatting>
  <conditionalFormatting sqref="H2:H1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EB2F3-39A6-44F3-8FEC-392B06549D84}">
  <dimension ref="A1:J20"/>
  <sheetViews>
    <sheetView workbookViewId="0">
      <selection activeCell="D2" sqref="D2:D13"/>
    </sheetView>
  </sheetViews>
  <sheetFormatPr defaultRowHeight="14.5" x14ac:dyDescent="0.35"/>
  <cols>
    <col min="1" max="1" width="13.453125" bestFit="1" customWidth="1"/>
    <col min="2" max="2" width="27.26953125" bestFit="1" customWidth="1"/>
    <col min="3" max="3" width="23.81640625" bestFit="1" customWidth="1"/>
    <col min="4" max="4" width="14.54296875" bestFit="1" customWidth="1"/>
    <col min="8" max="8" width="18.08984375" bestFit="1" customWidth="1"/>
    <col min="9" max="9" width="14.08984375" customWidth="1"/>
  </cols>
  <sheetData>
    <row r="1" spans="1:10" x14ac:dyDescent="0.35">
      <c r="A1" s="2" t="s">
        <v>0</v>
      </c>
      <c r="B1" s="2" t="s">
        <v>3</v>
      </c>
      <c r="C1" s="2" t="s">
        <v>4</v>
      </c>
      <c r="D1" s="2" t="s">
        <v>1</v>
      </c>
      <c r="E1" s="2" t="s">
        <v>39</v>
      </c>
      <c r="F1" s="2" t="s">
        <v>40</v>
      </c>
      <c r="G1" s="2" t="s">
        <v>2</v>
      </c>
    </row>
    <row r="2" spans="1:10" x14ac:dyDescent="0.35">
      <c r="A2" s="3" t="s">
        <v>7</v>
      </c>
      <c r="B2" s="1"/>
      <c r="C2" s="1"/>
      <c r="D2" s="1" t="s">
        <v>241</v>
      </c>
      <c r="E2" s="1">
        <v>100</v>
      </c>
      <c r="F2" s="1">
        <v>100</v>
      </c>
      <c r="G2" s="1" t="s">
        <v>241</v>
      </c>
      <c r="I2" t="s">
        <v>37</v>
      </c>
      <c r="J2">
        <f>COUNTIF($G$2:$G$13, "W")</f>
        <v>3</v>
      </c>
    </row>
    <row r="3" spans="1:10" x14ac:dyDescent="0.35">
      <c r="A3" s="3" t="s">
        <v>8</v>
      </c>
      <c r="B3" s="1" t="s">
        <v>242</v>
      </c>
      <c r="C3" s="1" t="s">
        <v>243</v>
      </c>
      <c r="D3" s="1">
        <v>0.28000000000000003</v>
      </c>
      <c r="E3" s="1">
        <v>72.3</v>
      </c>
      <c r="F3" s="1"/>
      <c r="G3" s="1"/>
      <c r="I3" t="s">
        <v>38</v>
      </c>
      <c r="J3">
        <f>COUNTIF($G$2:$G$13, "L")</f>
        <v>0</v>
      </c>
    </row>
    <row r="4" spans="1:10" x14ac:dyDescent="0.35">
      <c r="A4" s="3" t="s">
        <v>10</v>
      </c>
      <c r="B4" t="s">
        <v>242</v>
      </c>
      <c r="C4" s="1" t="s">
        <v>246</v>
      </c>
      <c r="D4" s="1">
        <f>143.68-100.24</f>
        <v>43.440000000000012</v>
      </c>
      <c r="E4" s="1">
        <v>96.2</v>
      </c>
      <c r="F4" s="1"/>
      <c r="G4" s="1"/>
    </row>
    <row r="5" spans="1:10" x14ac:dyDescent="0.35">
      <c r="A5" s="3" t="s">
        <v>12</v>
      </c>
      <c r="B5" s="1"/>
      <c r="C5" s="1"/>
      <c r="D5" s="1">
        <f>213.08-114.06</f>
        <v>99.02000000000001</v>
      </c>
      <c r="E5" s="1">
        <v>100</v>
      </c>
      <c r="F5" s="1"/>
      <c r="G5" s="1" t="s">
        <v>25</v>
      </c>
    </row>
    <row r="6" spans="1:10" x14ac:dyDescent="0.35">
      <c r="A6" s="3" t="s">
        <v>14</v>
      </c>
      <c r="B6" s="1"/>
      <c r="C6" s="1" t="s">
        <v>248</v>
      </c>
      <c r="D6" s="1">
        <f>163.48-86.08</f>
        <v>77.399999999999991</v>
      </c>
      <c r="E6" s="1">
        <v>100</v>
      </c>
      <c r="F6" s="1"/>
      <c r="G6" s="1" t="s">
        <v>25</v>
      </c>
    </row>
    <row r="7" spans="1:10" x14ac:dyDescent="0.35">
      <c r="A7" s="3" t="s">
        <v>15</v>
      </c>
      <c r="B7" s="1" t="s">
        <v>245</v>
      </c>
      <c r="C7" s="1" t="s">
        <v>249</v>
      </c>
      <c r="D7" s="1">
        <f>134.4-101.32</f>
        <v>33.080000000000013</v>
      </c>
      <c r="E7" s="1">
        <v>80.2</v>
      </c>
      <c r="F7" s="1"/>
      <c r="G7" s="1"/>
    </row>
    <row r="8" spans="1:10" x14ac:dyDescent="0.35">
      <c r="A8" s="3" t="s">
        <v>18</v>
      </c>
      <c r="B8" s="1" t="s">
        <v>244</v>
      </c>
      <c r="C8" s="1" t="s">
        <v>251</v>
      </c>
      <c r="D8" s="1">
        <f>155.38-124.04</f>
        <v>31.339999999999989</v>
      </c>
      <c r="E8" s="1">
        <v>86.7</v>
      </c>
      <c r="F8" s="1"/>
      <c r="G8" s="1"/>
    </row>
    <row r="9" spans="1:10" x14ac:dyDescent="0.35">
      <c r="A9" s="3" t="s">
        <v>20</v>
      </c>
      <c r="B9" s="1" t="s">
        <v>243</v>
      </c>
      <c r="C9" s="1" t="s">
        <v>250</v>
      </c>
      <c r="D9" s="1">
        <f>149.7-96.86</f>
        <v>52.839999999999989</v>
      </c>
      <c r="E9" s="1">
        <v>99.9</v>
      </c>
      <c r="F9" s="1"/>
      <c r="G9" s="1"/>
    </row>
    <row r="10" spans="1:10" x14ac:dyDescent="0.35">
      <c r="A10" s="3" t="s">
        <v>21</v>
      </c>
      <c r="B10" s="1" t="s">
        <v>253</v>
      </c>
      <c r="C10" s="1" t="s">
        <v>49</v>
      </c>
      <c r="D10" s="1">
        <f>82.36-96.58</f>
        <v>-14.219999999999999</v>
      </c>
      <c r="E10" s="1">
        <v>79.5</v>
      </c>
      <c r="F10" s="1"/>
      <c r="G10" s="1"/>
    </row>
    <row r="11" spans="1:10" x14ac:dyDescent="0.35">
      <c r="A11" s="3" t="s">
        <v>22</v>
      </c>
      <c r="B11" s="1" t="s">
        <v>49</v>
      </c>
      <c r="C11" s="1"/>
      <c r="D11" s="1">
        <v>70</v>
      </c>
      <c r="E11" s="1">
        <v>100</v>
      </c>
      <c r="F11" s="1"/>
      <c r="G11" s="1" t="s">
        <v>25</v>
      </c>
    </row>
    <row r="12" spans="1:10" x14ac:dyDescent="0.35">
      <c r="A12" s="3" t="s">
        <v>24</v>
      </c>
      <c r="B12" s="1" t="s">
        <v>244</v>
      </c>
      <c r="C12" s="1" t="s">
        <v>258</v>
      </c>
      <c r="D12" s="1">
        <f>139.5-114.1</f>
        <v>25.400000000000006</v>
      </c>
      <c r="E12" s="1">
        <v>94.3</v>
      </c>
      <c r="F12" s="1"/>
      <c r="G12" s="1"/>
    </row>
    <row r="13" spans="1:10" x14ac:dyDescent="0.35">
      <c r="A13" s="3" t="s">
        <v>36</v>
      </c>
      <c r="B13" s="1" t="s">
        <v>259</v>
      </c>
      <c r="C13" s="1"/>
      <c r="D13" s="1">
        <f>162.64-156.56</f>
        <v>6.0799999999999841</v>
      </c>
      <c r="E13" s="1">
        <v>99.8</v>
      </c>
      <c r="F13" s="1"/>
      <c r="G13" s="1"/>
    </row>
    <row r="15" spans="1:10" x14ac:dyDescent="0.35">
      <c r="A15" s="4" t="s">
        <v>27</v>
      </c>
      <c r="B15" s="4" t="s">
        <v>29</v>
      </c>
      <c r="C15" s="4" t="s">
        <v>28</v>
      </c>
      <c r="D15" s="4" t="s">
        <v>30</v>
      </c>
    </row>
    <row r="16" spans="1:10" x14ac:dyDescent="0.35">
      <c r="A16" t="s">
        <v>244</v>
      </c>
      <c r="B16" t="s">
        <v>247</v>
      </c>
      <c r="C16" t="s">
        <v>245</v>
      </c>
      <c r="D16" s="5" t="s">
        <v>254</v>
      </c>
    </row>
    <row r="17" spans="1:4" x14ac:dyDescent="0.35">
      <c r="A17" t="s">
        <v>260</v>
      </c>
      <c r="B17" t="s">
        <v>42</v>
      </c>
      <c r="C17" t="s">
        <v>243</v>
      </c>
      <c r="D17" s="5" t="s">
        <v>252</v>
      </c>
    </row>
    <row r="18" spans="1:4" x14ac:dyDescent="0.35">
      <c r="B18" t="s">
        <v>250</v>
      </c>
      <c r="C18" s="5" t="s">
        <v>248</v>
      </c>
      <c r="D18" s="5" t="s">
        <v>255</v>
      </c>
    </row>
    <row r="19" spans="1:4" x14ac:dyDescent="0.35">
      <c r="B19" t="s">
        <v>258</v>
      </c>
      <c r="C19" t="s">
        <v>53</v>
      </c>
      <c r="D19" s="5" t="s">
        <v>256</v>
      </c>
    </row>
    <row r="20" spans="1:4" x14ac:dyDescent="0.35">
      <c r="C20" t="s">
        <v>49</v>
      </c>
      <c r="D20" t="s">
        <v>257</v>
      </c>
    </row>
  </sheetData>
  <conditionalFormatting sqref="E2:E13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:F13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:G13">
    <cfRule type="cellIs" dxfId="25" priority="4" operator="equal">
      <formula>"L"</formula>
    </cfRule>
    <cfRule type="cellIs" dxfId="24" priority="5" operator="equal">
      <formula>"W"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9CAA3-A983-4041-B371-0A65C09C950F}">
  <dimension ref="A1:G13"/>
  <sheetViews>
    <sheetView tabSelected="1" workbookViewId="0">
      <selection activeCell="C17" sqref="C17"/>
    </sheetView>
  </sheetViews>
  <sheetFormatPr defaultRowHeight="14.5" x14ac:dyDescent="0.35"/>
  <cols>
    <col min="1" max="1" width="13.453125" bestFit="1" customWidth="1"/>
    <col min="2" max="3" width="20.1796875" bestFit="1" customWidth="1"/>
    <col min="4" max="4" width="14" customWidth="1"/>
    <col min="5" max="6" width="20.1796875" bestFit="1" customWidth="1"/>
    <col min="7" max="7" width="14" bestFit="1" customWidth="1"/>
  </cols>
  <sheetData>
    <row r="1" spans="1:7" x14ac:dyDescent="0.35">
      <c r="A1" s="2" t="s">
        <v>0</v>
      </c>
      <c r="B1" s="2" t="s">
        <v>236</v>
      </c>
      <c r="C1" s="2" t="s">
        <v>237</v>
      </c>
      <c r="D1" s="2" t="s">
        <v>238</v>
      </c>
      <c r="E1" s="2" t="s">
        <v>239</v>
      </c>
      <c r="F1" s="2" t="s">
        <v>240</v>
      </c>
      <c r="G1" s="2" t="s">
        <v>238</v>
      </c>
    </row>
    <row r="2" spans="1:7" x14ac:dyDescent="0.35">
      <c r="A2" s="3" t="s">
        <v>7</v>
      </c>
      <c r="B2" s="1" t="s">
        <v>241</v>
      </c>
      <c r="C2" s="1">
        <f>175.1-93.75</f>
        <v>81.349999999999994</v>
      </c>
      <c r="D2" s="1" t="s">
        <v>25</v>
      </c>
      <c r="E2" s="1" t="s">
        <v>241</v>
      </c>
      <c r="F2" s="1">
        <f>135.2-176.4</f>
        <v>-41.200000000000017</v>
      </c>
      <c r="G2" s="1" t="s">
        <v>261</v>
      </c>
    </row>
    <row r="3" spans="1:7" x14ac:dyDescent="0.35">
      <c r="A3" s="3" t="s">
        <v>8</v>
      </c>
      <c r="B3" s="1">
        <f>178.88-179.7</f>
        <v>-0.81999999999999318</v>
      </c>
      <c r="C3" s="1">
        <f>309.84-310.28</f>
        <v>-0.43999999999999773</v>
      </c>
      <c r="D3" s="1" t="s">
        <v>261</v>
      </c>
      <c r="E3" s="1">
        <f>115.68-113.1</f>
        <v>2.5800000000000125</v>
      </c>
      <c r="F3" s="1"/>
      <c r="G3" s="1"/>
    </row>
    <row r="4" spans="1:7" x14ac:dyDescent="0.35">
      <c r="A4" s="3" t="s">
        <v>10</v>
      </c>
      <c r="B4" s="1">
        <f>159.18-128.04</f>
        <v>31.140000000000015</v>
      </c>
      <c r="C4" s="1">
        <f>306.1-289.66</f>
        <v>16.439999999999998</v>
      </c>
      <c r="D4" s="1" t="s">
        <v>25</v>
      </c>
      <c r="E4">
        <f>118.38-131.52</f>
        <v>-13.140000000000015</v>
      </c>
      <c r="F4" s="1"/>
      <c r="G4" s="1"/>
    </row>
    <row r="5" spans="1:7" x14ac:dyDescent="0.35">
      <c r="A5" s="3" t="s">
        <v>12</v>
      </c>
      <c r="B5" s="1">
        <f>213.08-114.06</f>
        <v>99.02000000000001</v>
      </c>
      <c r="C5" s="1">
        <f>345.04-236.38</f>
        <v>108.66000000000003</v>
      </c>
      <c r="D5" s="1" t="s">
        <v>25</v>
      </c>
      <c r="E5" s="1">
        <f>140.98-125.38</f>
        <v>15.599999999999994</v>
      </c>
      <c r="F5" s="1"/>
      <c r="G5" s="1"/>
    </row>
    <row r="6" spans="1:7" x14ac:dyDescent="0.35">
      <c r="A6" s="3" t="s">
        <v>14</v>
      </c>
      <c r="B6" s="1">
        <f>163.48-96.98</f>
        <v>66.499999999999986</v>
      </c>
      <c r="C6" s="1">
        <f>315.94-212.2</f>
        <v>103.74000000000001</v>
      </c>
      <c r="D6" s="1" t="s">
        <v>25</v>
      </c>
      <c r="E6" s="1">
        <f>107.78-152.3</f>
        <v>-44.52000000000001</v>
      </c>
      <c r="F6" s="1"/>
      <c r="G6" s="1"/>
    </row>
    <row r="7" spans="1:7" x14ac:dyDescent="0.35">
      <c r="A7" s="3" t="s">
        <v>15</v>
      </c>
      <c r="B7" s="1">
        <f>143.4-127.22</f>
        <v>16.180000000000007</v>
      </c>
      <c r="C7" s="1">
        <f>291.88-245.04</f>
        <v>46.84</v>
      </c>
      <c r="D7" s="1" t="s">
        <v>25</v>
      </c>
      <c r="E7" s="1">
        <f>127.02-125.58</f>
        <v>1.4399999999999977</v>
      </c>
      <c r="F7" s="1"/>
      <c r="G7" s="1"/>
    </row>
    <row r="8" spans="1:7" x14ac:dyDescent="0.35">
      <c r="A8" s="3" t="s">
        <v>18</v>
      </c>
      <c r="B8" s="1">
        <f>161.88-154.34</f>
        <v>7.539999999999992</v>
      </c>
      <c r="C8" s="1">
        <f>291.24-319.66</f>
        <v>-28.420000000000016</v>
      </c>
      <c r="D8" s="1" t="s">
        <v>26</v>
      </c>
      <c r="E8" s="1">
        <f>124.88-204.58</f>
        <v>-79.700000000000017</v>
      </c>
      <c r="F8" s="1"/>
      <c r="G8" s="1"/>
    </row>
    <row r="9" spans="1:7" x14ac:dyDescent="0.35">
      <c r="A9" s="3" t="s">
        <v>20</v>
      </c>
      <c r="B9" s="1">
        <f>168.3-111.86</f>
        <v>56.440000000000012</v>
      </c>
      <c r="C9" s="1">
        <f>321.28-224.96</f>
        <v>96.319999999999965</v>
      </c>
      <c r="D9" s="1" t="s">
        <v>25</v>
      </c>
      <c r="E9">
        <f>94.22-151.28</f>
        <v>-57.06</v>
      </c>
      <c r="F9" s="1"/>
      <c r="G9" s="1"/>
    </row>
    <row r="10" spans="1:7" x14ac:dyDescent="0.35">
      <c r="A10" s="3" t="s">
        <v>21</v>
      </c>
      <c r="B10" s="1">
        <f>116.76-110.88</f>
        <v>5.8800000000000097</v>
      </c>
      <c r="C10" s="1">
        <f>224.24-215.2</f>
        <v>9.0400000000000205</v>
      </c>
      <c r="D10" s="1" t="s">
        <v>25</v>
      </c>
      <c r="E10" s="1">
        <f>147.22-145.38</f>
        <v>1.8400000000000034</v>
      </c>
      <c r="F10" s="1"/>
      <c r="G10" s="1"/>
    </row>
    <row r="11" spans="1:7" x14ac:dyDescent="0.35">
      <c r="A11" s="3" t="s">
        <v>22</v>
      </c>
      <c r="B11" s="1">
        <f>184.9-100.6</f>
        <v>84.300000000000011</v>
      </c>
      <c r="C11" s="1">
        <f>339.28-207.34</f>
        <v>131.93999999999997</v>
      </c>
      <c r="D11" s="1" t="s">
        <v>25</v>
      </c>
      <c r="E11" s="1">
        <f>140.62-120.28</f>
        <v>20.340000000000003</v>
      </c>
      <c r="F11" s="1"/>
      <c r="G11" s="1"/>
    </row>
    <row r="12" spans="1:7" x14ac:dyDescent="0.35">
      <c r="A12" s="3" t="s">
        <v>24</v>
      </c>
      <c r="B12" s="1">
        <f>146-134.4</f>
        <v>11.599999999999994</v>
      </c>
      <c r="C12" s="1">
        <f>320.14-292.58</f>
        <v>27.560000000000002</v>
      </c>
      <c r="D12" s="1" t="s">
        <v>25</v>
      </c>
      <c r="E12" s="1">
        <f>112.72-140.76</f>
        <v>-28.039999999999992</v>
      </c>
      <c r="F12" s="1"/>
      <c r="G12" s="1"/>
    </row>
    <row r="13" spans="1:7" x14ac:dyDescent="0.35">
      <c r="A13" s="3" t="s">
        <v>36</v>
      </c>
      <c r="B13" s="1">
        <f>186.64-156.56</f>
        <v>30.079999999999984</v>
      </c>
      <c r="C13" s="1">
        <f>369.76-286</f>
        <v>83.759999999999991</v>
      </c>
      <c r="D13" s="1" t="s">
        <v>25</v>
      </c>
      <c r="E13" s="1">
        <f>115.58-159.18</f>
        <v>-43.600000000000009</v>
      </c>
      <c r="F13" s="1"/>
      <c r="G13" s="1"/>
    </row>
  </sheetData>
  <conditionalFormatting sqref="B3:B13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2:C13">
    <cfRule type="colorScale" priority="1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2:D13">
    <cfRule type="containsText" dxfId="7" priority="8" operator="containsText" text="L">
      <formula>NOT(ISERROR(SEARCH("L",D2)))</formula>
    </cfRule>
    <cfRule type="containsText" dxfId="6" priority="9" operator="containsText" text="W">
      <formula>NOT(ISERROR(SEARCH("W",D2)))</formula>
    </cfRule>
  </conditionalFormatting>
  <conditionalFormatting sqref="G2:G13">
    <cfRule type="containsText" dxfId="5" priority="6" operator="containsText" text="L">
      <formula>NOT(ISERROR(SEARCH("L",G2)))</formula>
    </cfRule>
    <cfRule type="containsText" dxfId="4" priority="7" operator="containsText" text="W">
      <formula>NOT(ISERROR(SEARCH("W",G2)))</formula>
    </cfRule>
  </conditionalFormatting>
  <conditionalFormatting sqref="E3:E13 B3:C13">
    <cfRule type="colorScale" priority="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2:C13 E2:F13">
    <cfRule type="colorScale" priority="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3:C13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2:E13 F2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TFR Gridiron Power Rankings</vt:lpstr>
      <vt:lpstr>Week1</vt:lpstr>
      <vt:lpstr>Week2</vt:lpstr>
      <vt:lpstr>Week3</vt:lpstr>
      <vt:lpstr>Week4</vt:lpstr>
      <vt:lpstr>Week5</vt:lpstr>
      <vt:lpstr>Week6</vt:lpstr>
      <vt:lpstr>Week7</vt:lpstr>
      <vt:lpstr>Week8</vt:lpstr>
      <vt:lpstr>Week9</vt:lpstr>
      <vt:lpstr>Week10</vt:lpstr>
      <vt:lpstr>Week11</vt:lpstr>
      <vt:lpstr>Week12</vt:lpstr>
      <vt:lpstr>Week13</vt:lpstr>
      <vt:lpstr>Week14</vt:lpstr>
      <vt:lpstr>Week15</vt:lpstr>
      <vt:lpstr>PlayoffsTracker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Johnson, Nicholas</dc:creator>
  <cp:lastModifiedBy>Johnson, Nicholas</cp:lastModifiedBy>
  <dcterms:created xsi:type="dcterms:W3CDTF">2024-09-09T14:08:53Z</dcterms:created>
  <dcterms:modified xsi:type="dcterms:W3CDTF">2025-01-01T19:31:49Z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1b86c14-7a6f-495c-8ad3-202986669410_Enabled">
    <vt:lpwstr>true</vt:lpwstr>
  </property>
  <property fmtid="{D5CDD505-2E9C-101B-9397-08002B2CF9AE}" pid="3" name="MSIP_Label_b1b86c14-7a6f-495c-8ad3-202986669410_SetDate">
    <vt:lpwstr>2024-09-09T14:08:54Z</vt:lpwstr>
  </property>
  <property fmtid="{D5CDD505-2E9C-101B-9397-08002B2CF9AE}" pid="4" name="MSIP_Label_b1b86c14-7a6f-495c-8ad3-202986669410_Method">
    <vt:lpwstr>Standard</vt:lpwstr>
  </property>
  <property fmtid="{D5CDD505-2E9C-101B-9397-08002B2CF9AE}" pid="5" name="MSIP_Label_b1b86c14-7a6f-495c-8ad3-202986669410_Name">
    <vt:lpwstr>Internal</vt:lpwstr>
  </property>
  <property fmtid="{D5CDD505-2E9C-101B-9397-08002B2CF9AE}" pid="6" name="MSIP_Label_b1b86c14-7a6f-495c-8ad3-202986669410_SiteId">
    <vt:lpwstr>2596038f-3ea4-4f0c-aed1-066eb6544c3b</vt:lpwstr>
  </property>
  <property fmtid="{D5CDD505-2E9C-101B-9397-08002B2CF9AE}" pid="7" name="MSIP_Label_b1b86c14-7a6f-495c-8ad3-202986669410_ActionId">
    <vt:lpwstr>33807314-76ad-42a5-b023-cf2ee62e57aa</vt:lpwstr>
  </property>
  <property fmtid="{D5CDD505-2E9C-101B-9397-08002B2CF9AE}" pid="8" name="MSIP_Label_b1b86c14-7a6f-495c-8ad3-202986669410_ContentBits">
    <vt:lpwstr>0</vt:lpwstr>
  </property>
</Properties>
</file>
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H:\Personal\Stats Analysis\"/>
    </mc:Choice>
  </mc:AlternateContent>
  <xr:revisionPtr revIDLastSave="0" documentId="13_ncr:1_{2D33C1CC-BDC3-411E-A3C5-A7DD57AFC62A}" xr6:coauthVersionLast="47" xr6:coauthVersionMax="47" xr10:uidLastSave="{00000000-0000-0000-0000-000000000000}"/>
  <bookViews>
    <workbookView xWindow="-80" yWindow="-80" windowWidth="19360" windowHeight="11440" activeTab="1" xr2:uid="{E01CA525-9CFC-4D38-86F2-847E98033240}"/>
  </bookViews>
  <sheets>
    <sheet name="Table 2" sheetId="2" r:id="rId1"/>
    <sheet name="Sheet1" sheetId="1" r:id="rId2"/>
  </sheets>
  <definedNames>
    <definedName name="ExternalData_1" localSheetId="0" hidden="1">'Table 2'!$A$1:$K$33</definedName>
    <definedName name="solver_adj" localSheetId="1" hidden="1">Sheet1!$K$1</definedName>
    <definedName name="solver_cvg" localSheetId="1" hidden="1">0.0001</definedName>
    <definedName name="solver_drv" localSheetId="1" hidden="1">1</definedName>
    <definedName name="solver_eng" localSheetId="1" hidden="1">1</definedName>
    <definedName name="solver_est" localSheetId="1" hidden="1">1</definedName>
    <definedName name="solver_itr" localSheetId="1" hidden="1">2147483647</definedName>
    <definedName name="solver_lhs1" localSheetId="1" hidden="1">Sheet1!$K$1</definedName>
    <definedName name="solver_mip" localSheetId="1" hidden="1">2147483647</definedName>
    <definedName name="solver_mni" localSheetId="1" hidden="1">30</definedName>
    <definedName name="solver_mrt" localSheetId="1" hidden="1">0.075</definedName>
    <definedName name="solver_msl" localSheetId="1" hidden="1">2</definedName>
    <definedName name="solver_neg" localSheetId="1" hidden="1">1</definedName>
    <definedName name="solver_nod" localSheetId="1" hidden="1">2147483647</definedName>
    <definedName name="solver_num" localSheetId="1" hidden="1">1</definedName>
    <definedName name="solver_nwt" localSheetId="1" hidden="1">1</definedName>
    <definedName name="solver_opt" localSheetId="1" hidden="1">Sheet1!$F$34</definedName>
    <definedName name="solver_pre" localSheetId="1" hidden="1">0.000001</definedName>
    <definedName name="solver_rbv" localSheetId="1" hidden="1">1</definedName>
    <definedName name="solver_rel1" localSheetId="1" hidden="1">3</definedName>
    <definedName name="solver_rhs1" localSheetId="1" hidden="1">0</definedName>
    <definedName name="solver_rlx" localSheetId="1" hidden="1">2</definedName>
    <definedName name="solver_rsd" localSheetId="1" hidden="1">0</definedName>
    <definedName name="solver_scl" localSheetId="1" hidden="1">1</definedName>
    <definedName name="solver_sho" localSheetId="1" hidden="1">2</definedName>
    <definedName name="solver_ssz" localSheetId="1" hidden="1">100</definedName>
    <definedName name="solver_tim" localSheetId="1" hidden="1">2147483647</definedName>
    <definedName name="solver_tol" localSheetId="1" hidden="1">0.01</definedName>
    <definedName name="solver_typ" localSheetId="1" hidden="1">2</definedName>
    <definedName name="solver_val" localSheetId="1" hidden="1">0</definedName>
    <definedName name="solver_ver" localSheetId="1" hidden="1">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" i="1" l="1"/>
  <c r="F2" i="1" s="1"/>
  <c r="G2" i="1" s="1"/>
  <c r="E28" i="1"/>
  <c r="F28" i="1" s="1"/>
  <c r="G28" i="1" s="1"/>
  <c r="E4" i="1"/>
  <c r="F4" i="1" s="1"/>
  <c r="G4" i="1" s="1"/>
  <c r="E32" i="1"/>
  <c r="F32" i="1" s="1"/>
  <c r="G32" i="1" s="1"/>
  <c r="E8" i="1"/>
  <c r="F8" i="1" s="1"/>
  <c r="G8" i="1" s="1"/>
  <c r="E17" i="1"/>
  <c r="F17" i="1" s="1"/>
  <c r="G17" i="1" s="1"/>
  <c r="E11" i="1"/>
  <c r="F11" i="1" s="1"/>
  <c r="G11" i="1" s="1"/>
  <c r="E33" i="1"/>
  <c r="F33" i="1" s="1"/>
  <c r="G33" i="1" s="1"/>
  <c r="E12" i="1"/>
  <c r="F12" i="1" s="1"/>
  <c r="G12" i="1" s="1"/>
  <c r="E19" i="1"/>
  <c r="F19" i="1" s="1"/>
  <c r="G19" i="1" s="1"/>
  <c r="E3" i="1"/>
  <c r="F3" i="1" s="1"/>
  <c r="G3" i="1" s="1"/>
  <c r="E21" i="1"/>
  <c r="F21" i="1" s="1"/>
  <c r="G21" i="1" s="1"/>
  <c r="E23" i="1"/>
  <c r="F23" i="1" s="1"/>
  <c r="G23" i="1" s="1"/>
  <c r="E15" i="1"/>
  <c r="F15" i="1" s="1"/>
  <c r="G15" i="1" s="1"/>
  <c r="E30" i="1"/>
  <c r="F30" i="1" s="1"/>
  <c r="G30" i="1" s="1"/>
  <c r="E24" i="1"/>
  <c r="F24" i="1" s="1"/>
  <c r="G24" i="1" s="1"/>
  <c r="E6" i="1"/>
  <c r="F6" i="1" s="1"/>
  <c r="G6" i="1" s="1"/>
  <c r="E29" i="1"/>
  <c r="F29" i="1" s="1"/>
  <c r="G29" i="1" s="1"/>
  <c r="E5" i="1"/>
  <c r="F5" i="1" s="1"/>
  <c r="G5" i="1" s="1"/>
  <c r="E22" i="1"/>
  <c r="F22" i="1" s="1"/>
  <c r="G22" i="1" s="1"/>
  <c r="E26" i="1"/>
  <c r="F26" i="1" s="1"/>
  <c r="G26" i="1" s="1"/>
  <c r="E16" i="1"/>
  <c r="F16" i="1" s="1"/>
  <c r="G16" i="1" s="1"/>
  <c r="E14" i="1"/>
  <c r="F14" i="1" s="1"/>
  <c r="G14" i="1" s="1"/>
  <c r="E27" i="1"/>
  <c r="F27" i="1" s="1"/>
  <c r="G27" i="1" s="1"/>
  <c r="E9" i="1"/>
  <c r="F9" i="1" s="1"/>
  <c r="G9" i="1" s="1"/>
  <c r="E25" i="1"/>
  <c r="F25" i="1" s="1"/>
  <c r="G25" i="1" s="1"/>
  <c r="E10" i="1"/>
  <c r="F10" i="1" s="1"/>
  <c r="G10" i="1" s="1"/>
  <c r="E20" i="1"/>
  <c r="F20" i="1" s="1"/>
  <c r="G20" i="1" s="1"/>
  <c r="E31" i="1"/>
  <c r="F31" i="1" s="1"/>
  <c r="G31" i="1" s="1"/>
  <c r="E18" i="1"/>
  <c r="F18" i="1" s="1"/>
  <c r="G18" i="1" s="1"/>
  <c r="E7" i="1"/>
  <c r="F7" i="1" s="1"/>
  <c r="G7" i="1" s="1"/>
  <c r="E13" i="1"/>
  <c r="F13" i="1" s="1"/>
  <c r="G13" i="1" s="1"/>
  <c r="F34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0671AFC-6CD3-4BFE-905B-618CFF1D6EFB}" keepAlive="1" name="Query - Table 2" description="Connection to the 'Table 2' query in the workbook." type="5" refreshedVersion="8" background="1" saveData="1">
    <dbPr connection="Provider=Microsoft.Mashup.OleDb.1;Data Source=$Workbook$;Location=&quot;Table 2&quot;;Extended Properties=&quot;&quot;" command="SELECT * FROM [Table 2]"/>
  </connection>
</connections>
</file>

<file path=xl/sharedStrings.xml><?xml version="1.0" encoding="utf-8"?>
<sst xmlns="http://schemas.openxmlformats.org/spreadsheetml/2006/main" count="91" uniqueCount="56">
  <si>
    <t>#</t>
  </si>
  <si>
    <t>Team</t>
  </si>
  <si>
    <t>Win</t>
  </si>
  <si>
    <t>Loss</t>
  </si>
  <si>
    <t>Tie</t>
  </si>
  <si>
    <t>Winning Percentage</t>
  </si>
  <si>
    <t>Win_1</t>
  </si>
  <si>
    <t>Loss_2</t>
  </si>
  <si>
    <t>Tie_3</t>
  </si>
  <si>
    <t>Strength of Schedule</t>
  </si>
  <si>
    <t>Column11</t>
  </si>
  <si>
    <t>Las Vegas Raiders</t>
  </si>
  <si>
    <t>New York Jets</t>
  </si>
  <si>
    <t>Arizona Cardinals</t>
  </si>
  <si>
    <t>Tennessee Titans</t>
  </si>
  <si>
    <t>New York Giants</t>
  </si>
  <si>
    <t>Cleveland Browns</t>
  </si>
  <si>
    <t>Washington Commanders</t>
  </si>
  <si>
    <t>New Orleans Saints</t>
  </si>
  <si>
    <t>Kansas City Chiefs</t>
  </si>
  <si>
    <t>Cincinnati Bengals</t>
  </si>
  <si>
    <t>Miami Dolphins</t>
  </si>
  <si>
    <t>Dallas Cowboys</t>
  </si>
  <si>
    <t>Atlanta Falcons
(traded to L.A. Rams)</t>
  </si>
  <si>
    <t>(traded to L.A. Rams)</t>
  </si>
  <si>
    <t>Baltimore Ravens</t>
  </si>
  <si>
    <t>Tampa Bay Buccaneers</t>
  </si>
  <si>
    <t>Indianapolis Colts
(traded to N.Y. Jets)</t>
  </si>
  <si>
    <t>(traded to N.Y. Jets)</t>
  </si>
  <si>
    <t>Detroit Lions</t>
  </si>
  <si>
    <t>Minnesota Vikings</t>
  </si>
  <si>
    <t>Carolina Panthers</t>
  </si>
  <si>
    <t>Green Bay Packers
(traded to Dallas)</t>
  </si>
  <si>
    <t>(traded to Dallas)</t>
  </si>
  <si>
    <t>Pittsburgh Steelers</t>
  </si>
  <si>
    <t>Los Angeles Chargers</t>
  </si>
  <si>
    <t>Philadelphia Eagles</t>
  </si>
  <si>
    <t>Jacksonville Jaguars
(traded to Cleveland)</t>
  </si>
  <si>
    <t>(traded to Cleveland)</t>
  </si>
  <si>
    <t>Chicago Bears</t>
  </si>
  <si>
    <t>Buffalo Bills</t>
  </si>
  <si>
    <t>San Francisco 49ers</t>
  </si>
  <si>
    <t>Houston Texans</t>
  </si>
  <si>
    <t>Los Angeles Rams</t>
  </si>
  <si>
    <t>Denver Broncos</t>
  </si>
  <si>
    <t>New England Patriots</t>
  </si>
  <si>
    <t>Seattle Seahawks</t>
  </si>
  <si>
    <t>Win_pct</t>
  </si>
  <si>
    <t>PointsFor</t>
  </si>
  <si>
    <t>PointsAgainst</t>
  </si>
  <si>
    <t>power:</t>
  </si>
  <si>
    <t>formula</t>
  </si>
  <si>
    <t>Winn_form_diff</t>
  </si>
  <si>
    <t>One game would be 1/17 or 0.0588</t>
  </si>
  <si>
    <t>games off</t>
  </si>
  <si>
    <t>sum: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</si>
</sst>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</fills>
  <borders count="13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theme="9" tint="0.39997558519241921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theme="9" tint="0.39997558519241921"/>
      </bottom>
      <diagonal/>
    </border>
    <border>
      <left/>
      <right style="thin">
        <color theme="9" tint="0.39997558519241921"/>
      </right>
      <top/>
      <bottom style="thin">
        <color theme="9" tint="0.39997558519241921"/>
      </bottom>
      <diagonal/>
    </border>
    <border>
      <left/>
      <right/>
      <top style="thin">
        <color theme="9" tint="0.39997558519241921"/>
      </top>
      <bottom style="thin">
        <color indexed="64"/>
      </bottom>
      <diagonal/>
    </border>
    <border>
      <left/>
      <right style="thin">
        <color theme="9" tint="0.39997558519241921"/>
      </right>
      <top style="thin">
        <color theme="9" tint="0.39997558519241921"/>
      </top>
      <bottom style="thin">
        <color indexed="64"/>
      </bottom>
      <diagonal/>
    </border>
    <border>
      <left/>
      <right/>
      <top style="thin">
        <color theme="9" tint="0.39997558519241921"/>
      </top>
      <bottom/>
      <diagonal/>
    </border>
    <border>
      <left/>
      <right style="thin">
        <color theme="9" tint="0.39997558519241921"/>
      </right>
      <top style="thin">
        <color theme="9" tint="0.39997558519241921"/>
      </top>
      <bottom/>
      <diagonal/>
    </border>
    <border>
      <left/>
      <right/>
      <top style="thin">
        <color indexed="64"/>
      </top>
      <bottom style="thin">
        <color theme="9" tint="0.39997558519241921"/>
      </bottom>
      <diagonal/>
    </border>
    <border>
      <left/>
      <right style="thin">
        <color theme="9" tint="0.39997558519241921"/>
      </right>
      <top style="thin">
        <color indexed="64"/>
      </top>
      <bottom style="thin">
        <color theme="9" tint="0.39997558519241921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 applyNumberFormat="1"/>
    <xf numFmtId="0" fontId="1" fillId="2" borderId="1" xfId="0" applyFont="1" applyFill="1" applyBorder="1"/>
    <xf numFmtId="0" fontId="1" fillId="2" borderId="2" xfId="0" applyFont="1" applyFill="1" applyBorder="1"/>
    <xf numFmtId="0" fontId="0" fillId="3" borderId="1" xfId="0" applyFont="1" applyFill="1" applyBorder="1"/>
    <xf numFmtId="0" fontId="0" fillId="0" borderId="1" xfId="0" applyFont="1" applyBorder="1"/>
    <xf numFmtId="0" fontId="0" fillId="3" borderId="1" xfId="0" applyNumberFormat="1" applyFont="1" applyFill="1" applyBorder="1"/>
    <xf numFmtId="0" fontId="0" fillId="0" borderId="1" xfId="0" applyNumberFormat="1" applyFont="1" applyBorder="1"/>
    <xf numFmtId="0" fontId="0" fillId="3" borderId="2" xfId="0" applyFont="1" applyFill="1" applyBorder="1"/>
    <xf numFmtId="0" fontId="0" fillId="0" borderId="2" xfId="0" applyFont="1" applyBorder="1"/>
    <xf numFmtId="0" fontId="0" fillId="0" borderId="0" xfId="0" applyBorder="1"/>
    <xf numFmtId="0" fontId="0" fillId="3" borderId="6" xfId="0" applyNumberFormat="1" applyFont="1" applyFill="1" applyBorder="1"/>
    <xf numFmtId="0" fontId="0" fillId="3" borderId="6" xfId="0" applyFont="1" applyFill="1" applyBorder="1"/>
    <xf numFmtId="0" fontId="0" fillId="3" borderId="7" xfId="0" applyFont="1" applyFill="1" applyBorder="1"/>
    <xf numFmtId="0" fontId="0" fillId="0" borderId="3" xfId="0" applyBorder="1"/>
    <xf numFmtId="0" fontId="0" fillId="3" borderId="8" xfId="0" applyNumberFormat="1" applyFont="1" applyFill="1" applyBorder="1"/>
    <xf numFmtId="0" fontId="0" fillId="3" borderId="8" xfId="0" applyFont="1" applyFill="1" applyBorder="1"/>
    <xf numFmtId="0" fontId="0" fillId="3" borderId="9" xfId="0" applyFont="1" applyFill="1" applyBorder="1"/>
    <xf numFmtId="0" fontId="0" fillId="3" borderId="10" xfId="0" applyNumberFormat="1" applyFont="1" applyFill="1" applyBorder="1"/>
    <xf numFmtId="0" fontId="0" fillId="3" borderId="10" xfId="0" applyFont="1" applyFill="1" applyBorder="1"/>
    <xf numFmtId="0" fontId="0" fillId="3" borderId="11" xfId="0" applyFont="1" applyFill="1" applyBorder="1"/>
    <xf numFmtId="0" fontId="0" fillId="0" borderId="12" xfId="0" applyBorder="1"/>
    <xf numFmtId="0" fontId="0" fillId="3" borderId="4" xfId="0" applyNumberFormat="1" applyFont="1" applyFill="1" applyBorder="1"/>
    <xf numFmtId="0" fontId="0" fillId="3" borderId="4" xfId="0" applyFont="1" applyFill="1" applyBorder="1"/>
    <xf numFmtId="0" fontId="0" fillId="3" borderId="5" xfId="0" applyFont="1" applyFill="1" applyBorder="1"/>
    <xf numFmtId="0" fontId="0" fillId="0" borderId="10" xfId="0" applyNumberFormat="1" applyFont="1" applyBorder="1"/>
    <xf numFmtId="0" fontId="0" fillId="0" borderId="10" xfId="0" applyFont="1" applyBorder="1"/>
    <xf numFmtId="0" fontId="0" fillId="0" borderId="11" xfId="0" applyFont="1" applyBorder="1"/>
  </cellXfs>
  <cellStyles count="1">
    <cellStyle name="Normal" xfId="0" builtinId="0"/>
  </cellStyles>
  <dxfs count="2"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694AE6F-1B2A-44E8-81B2-C42A69C0003C}" autoFormatId="16" applyNumberFormats="0" applyBorderFormats="0" applyFontFormats="0" applyPatternFormats="0" applyAlignmentFormats="0" applyWidthHeightFormats="0">
  <queryTableRefresh nextId="14" unboundColumnsRight="2">
    <queryTableFields count="13">
      <queryTableField id="1" name="#" tableColumnId="1"/>
      <queryTableField id="2" name="Team" tableColumnId="2"/>
      <queryTableField id="3" name="Win" tableColumnId="3"/>
      <queryTableField id="4" name="Loss" tableColumnId="4"/>
      <queryTableField id="5" name="Tie" tableColumnId="5"/>
      <queryTableField id="6" name="Winning Percentage" tableColumnId="6"/>
      <queryTableField id="7" name="Win_1" tableColumnId="7"/>
      <queryTableField id="8" name="Loss_2" tableColumnId="8"/>
      <queryTableField id="9" name="Tie_3" tableColumnId="9"/>
      <queryTableField id="10" name="Strength of Schedule" tableColumnId="10"/>
      <queryTableField id="11" name="Column11" tableColumnId="11"/>
      <queryTableField id="12" dataBound="0" tableColumnId="12"/>
      <queryTableField id="13" dataBound="0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98B310D-8357-486D-AA34-704E7A06A4F7}" name="Table_2" displayName="Table_2" ref="A1:M33" tableType="queryTable" totalsRowShown="0">
  <autoFilter ref="A1:M33" xr:uid="{A98B310D-8357-486D-AA34-704E7A06A4F7}"/>
  <tableColumns count="13">
    <tableColumn id="1" xr3:uid="{7B87E3A0-3044-40AA-B02E-B569ABAAA4FC}" uniqueName="1" name="#" queryTableFieldId="1"/>
    <tableColumn id="2" xr3:uid="{CECCA15D-F201-4FB0-9BD2-3119FEABC5C4}" uniqueName="2" name="Team" queryTableFieldId="2" dataDxfId="1"/>
    <tableColumn id="3" xr3:uid="{9C4E8A36-4C98-477C-B56D-974C4BE1B5C8}" uniqueName="3" name="Win" queryTableFieldId="3"/>
    <tableColumn id="4" xr3:uid="{059D81C4-2072-4629-B6A2-4D04EB8AA8FE}" uniqueName="4" name="Loss" queryTableFieldId="4"/>
    <tableColumn id="5" xr3:uid="{5BF24938-C79C-4147-B6CB-1C13F2A5AF8B}" uniqueName="5" name="Tie" queryTableFieldId="5"/>
    <tableColumn id="6" xr3:uid="{7DF34BCC-9C27-4D91-86DC-D7A8E9DA2001}" uniqueName="6" name="Winning Percentage" queryTableFieldId="6"/>
    <tableColumn id="7" xr3:uid="{FAB25F8F-71BF-41F2-8AF1-144BAEED5CA9}" uniqueName="7" name="Win_1" queryTableFieldId="7"/>
    <tableColumn id="8" xr3:uid="{CF470A3F-53EE-41E4-B786-1FA73568D852}" uniqueName="8" name="Loss_2" queryTableFieldId="8"/>
    <tableColumn id="9" xr3:uid="{9EA47C45-A1F1-4DCD-B22D-A0D701718616}" uniqueName="9" name="Tie_3" queryTableFieldId="9"/>
    <tableColumn id="10" xr3:uid="{1D93971C-3096-43D1-9497-F13DF09864CA}" uniqueName="10" name="Strength of Schedule" queryTableFieldId="10"/>
    <tableColumn id="11" xr3:uid="{8E95D45A-F4C3-4B01-8A06-1E3818116561}" uniqueName="11" name="Column11" queryTableFieldId="11" dataDxfId="0"/>
    <tableColumn id="12" xr3:uid="{A4CF97FC-C885-44FE-B6E0-8717CEFB4BE6}" uniqueName="12" name="PointsFor" queryTableFieldId="12"/>
    <tableColumn id="13" xr3:uid="{CCB48C27-FF13-4AE1-98B3-F299DCC9144A}" uniqueName="13" name="PointsAgainst" queryTableFieldId="1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F72E77-81A3-44DF-90B5-8ACBA67174DD}">
  <dimension ref="A1:M33"/>
  <sheetViews>
    <sheetView workbookViewId="0">
      <selection activeCell="L1" sqref="L1:M33"/>
    </sheetView>
  </sheetViews>
  <sheetFormatPr defaultRowHeight="14.5" x14ac:dyDescent="0.35"/>
  <cols>
    <col min="1" max="1" width="4.1796875" bestFit="1" customWidth="1"/>
    <col min="2" max="2" width="37.36328125" bestFit="1" customWidth="1"/>
    <col min="3" max="3" width="6.6328125" bestFit="1" customWidth="1"/>
    <col min="4" max="4" width="7.1796875" bestFit="1" customWidth="1"/>
    <col min="5" max="5" width="5.81640625" bestFit="1" customWidth="1"/>
    <col min="6" max="6" width="20.7265625" bestFit="1" customWidth="1"/>
    <col min="7" max="7" width="8.453125" bestFit="1" customWidth="1"/>
    <col min="8" max="8" width="9" bestFit="1" customWidth="1"/>
    <col min="9" max="9" width="7.6328125" bestFit="1" customWidth="1"/>
    <col min="10" max="10" width="21.54296875" bestFit="1" customWidth="1"/>
    <col min="11" max="11" width="18.6328125" bestFit="1" customWidth="1"/>
    <col min="12" max="12" width="13.08984375" customWidth="1"/>
    <col min="13" max="13" width="13.81640625" customWidth="1"/>
  </cols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48</v>
      </c>
      <c r="M1" t="s">
        <v>49</v>
      </c>
    </row>
    <row r="2" spans="1:13" x14ac:dyDescent="0.35">
      <c r="A2">
        <v>1</v>
      </c>
      <c r="B2" s="1" t="s">
        <v>11</v>
      </c>
      <c r="C2">
        <v>3</v>
      </c>
      <c r="D2">
        <v>14</v>
      </c>
      <c r="E2">
        <v>0</v>
      </c>
      <c r="F2">
        <v>0.17599999999999999</v>
      </c>
      <c r="G2">
        <v>155</v>
      </c>
      <c r="H2">
        <v>133</v>
      </c>
      <c r="I2">
        <v>1</v>
      </c>
      <c r="J2">
        <v>0.53800000000000003</v>
      </c>
      <c r="K2" s="1"/>
      <c r="L2">
        <v>241</v>
      </c>
      <c r="M2">
        <v>432</v>
      </c>
    </row>
    <row r="3" spans="1:13" x14ac:dyDescent="0.35">
      <c r="A3">
        <v>2</v>
      </c>
      <c r="B3" s="1" t="s">
        <v>12</v>
      </c>
      <c r="C3">
        <v>3</v>
      </c>
      <c r="D3">
        <v>14</v>
      </c>
      <c r="E3">
        <v>0</v>
      </c>
      <c r="F3">
        <v>0.17599999999999999</v>
      </c>
      <c r="G3">
        <v>159</v>
      </c>
      <c r="H3">
        <v>129</v>
      </c>
      <c r="I3">
        <v>1</v>
      </c>
      <c r="J3">
        <v>0.55200000000000005</v>
      </c>
      <c r="K3" s="1"/>
      <c r="L3">
        <v>300</v>
      </c>
      <c r="M3">
        <v>503</v>
      </c>
    </row>
    <row r="4" spans="1:13" x14ac:dyDescent="0.35">
      <c r="A4">
        <v>3</v>
      </c>
      <c r="B4" s="1" t="s">
        <v>13</v>
      </c>
      <c r="C4">
        <v>3</v>
      </c>
      <c r="D4">
        <v>14</v>
      </c>
      <c r="E4">
        <v>0</v>
      </c>
      <c r="F4">
        <v>0.17599999999999999</v>
      </c>
      <c r="G4">
        <v>164</v>
      </c>
      <c r="H4">
        <v>123</v>
      </c>
      <c r="I4">
        <v>2</v>
      </c>
      <c r="J4">
        <v>0.57099999999999995</v>
      </c>
      <c r="K4" s="1"/>
      <c r="L4">
        <v>355</v>
      </c>
      <c r="M4">
        <v>488</v>
      </c>
    </row>
    <row r="5" spans="1:13" x14ac:dyDescent="0.35">
      <c r="A5">
        <v>4</v>
      </c>
      <c r="B5" s="1" t="s">
        <v>14</v>
      </c>
      <c r="C5">
        <v>3</v>
      </c>
      <c r="D5">
        <v>14</v>
      </c>
      <c r="E5">
        <v>0</v>
      </c>
      <c r="F5">
        <v>0.17599999999999999</v>
      </c>
      <c r="G5">
        <v>166</v>
      </c>
      <c r="H5">
        <v>123</v>
      </c>
      <c r="I5">
        <v>0</v>
      </c>
      <c r="J5">
        <v>0.57399999999999995</v>
      </c>
      <c r="K5" s="1"/>
      <c r="L5">
        <v>284</v>
      </c>
      <c r="M5">
        <v>478</v>
      </c>
    </row>
    <row r="6" spans="1:13" x14ac:dyDescent="0.35">
      <c r="A6">
        <v>5</v>
      </c>
      <c r="B6" s="1" t="s">
        <v>15</v>
      </c>
      <c r="C6">
        <v>4</v>
      </c>
      <c r="D6">
        <v>13</v>
      </c>
      <c r="E6">
        <v>0</v>
      </c>
      <c r="F6">
        <v>0.23499999999999999</v>
      </c>
      <c r="G6">
        <v>150</v>
      </c>
      <c r="H6">
        <v>136</v>
      </c>
      <c r="I6">
        <v>3</v>
      </c>
      <c r="J6">
        <v>0.52400000000000002</v>
      </c>
      <c r="K6" s="1"/>
      <c r="L6">
        <v>381</v>
      </c>
      <c r="M6">
        <v>439</v>
      </c>
    </row>
    <row r="7" spans="1:13" x14ac:dyDescent="0.35">
      <c r="A7">
        <v>6</v>
      </c>
      <c r="B7" s="1" t="s">
        <v>16</v>
      </c>
      <c r="C7">
        <v>5</v>
      </c>
      <c r="D7">
        <v>12</v>
      </c>
      <c r="E7">
        <v>0</v>
      </c>
      <c r="F7">
        <v>0.29399999999999998</v>
      </c>
      <c r="G7">
        <v>140</v>
      </c>
      <c r="H7">
        <v>148</v>
      </c>
      <c r="I7">
        <v>1</v>
      </c>
      <c r="J7">
        <v>0.48599999999999999</v>
      </c>
      <c r="K7" s="1"/>
      <c r="L7">
        <v>279</v>
      </c>
      <c r="M7">
        <v>379</v>
      </c>
    </row>
    <row r="8" spans="1:13" x14ac:dyDescent="0.35">
      <c r="A8">
        <v>7</v>
      </c>
      <c r="B8" s="1" t="s">
        <v>17</v>
      </c>
      <c r="C8">
        <v>5</v>
      </c>
      <c r="D8">
        <v>12</v>
      </c>
      <c r="E8">
        <v>0</v>
      </c>
      <c r="F8">
        <v>0.29399999999999998</v>
      </c>
      <c r="G8">
        <v>145</v>
      </c>
      <c r="H8">
        <v>141</v>
      </c>
      <c r="I8">
        <v>3</v>
      </c>
      <c r="J8">
        <v>0.50700000000000001</v>
      </c>
      <c r="K8" s="1"/>
      <c r="L8">
        <v>356</v>
      </c>
      <c r="M8">
        <v>451</v>
      </c>
    </row>
    <row r="9" spans="1:13" x14ac:dyDescent="0.35">
      <c r="A9">
        <v>8</v>
      </c>
      <c r="B9" s="1" t="s">
        <v>18</v>
      </c>
      <c r="C9">
        <v>6</v>
      </c>
      <c r="D9">
        <v>11</v>
      </c>
      <c r="E9">
        <v>0</v>
      </c>
      <c r="F9">
        <v>0.35299999999999998</v>
      </c>
      <c r="G9">
        <v>143</v>
      </c>
      <c r="H9">
        <v>146</v>
      </c>
      <c r="I9">
        <v>0</v>
      </c>
      <c r="J9">
        <v>0.495</v>
      </c>
      <c r="K9" s="1"/>
      <c r="L9">
        <v>306</v>
      </c>
      <c r="M9">
        <v>383</v>
      </c>
    </row>
    <row r="10" spans="1:13" x14ac:dyDescent="0.35">
      <c r="A10">
        <v>9</v>
      </c>
      <c r="B10" s="1" t="s">
        <v>19</v>
      </c>
      <c r="C10">
        <v>6</v>
      </c>
      <c r="D10">
        <v>11</v>
      </c>
      <c r="E10">
        <v>0</v>
      </c>
      <c r="F10">
        <v>0.35299999999999998</v>
      </c>
      <c r="G10">
        <v>148</v>
      </c>
      <c r="H10">
        <v>140</v>
      </c>
      <c r="I10">
        <v>1</v>
      </c>
      <c r="J10">
        <v>0.51400000000000001</v>
      </c>
      <c r="K10" s="1"/>
      <c r="L10">
        <v>362</v>
      </c>
      <c r="M10">
        <v>328</v>
      </c>
    </row>
    <row r="11" spans="1:13" x14ac:dyDescent="0.35">
      <c r="A11">
        <v>10</v>
      </c>
      <c r="B11" s="1" t="s">
        <v>20</v>
      </c>
      <c r="C11">
        <v>6</v>
      </c>
      <c r="D11">
        <v>11</v>
      </c>
      <c r="E11">
        <v>0</v>
      </c>
      <c r="F11">
        <v>0.35299999999999998</v>
      </c>
      <c r="G11">
        <v>150</v>
      </c>
      <c r="H11">
        <v>138</v>
      </c>
      <c r="I11">
        <v>1</v>
      </c>
      <c r="J11">
        <v>0.52100000000000002</v>
      </c>
      <c r="K11" s="1"/>
      <c r="L11">
        <v>414</v>
      </c>
      <c r="M11">
        <v>492</v>
      </c>
    </row>
    <row r="12" spans="1:13" x14ac:dyDescent="0.35">
      <c r="A12">
        <v>11</v>
      </c>
      <c r="B12" s="1" t="s">
        <v>21</v>
      </c>
      <c r="C12">
        <v>7</v>
      </c>
      <c r="D12">
        <v>10</v>
      </c>
      <c r="E12">
        <v>0</v>
      </c>
      <c r="F12">
        <v>0.41199999999999998</v>
      </c>
      <c r="G12">
        <v>141</v>
      </c>
      <c r="H12">
        <v>148</v>
      </c>
      <c r="I12">
        <v>0</v>
      </c>
      <c r="J12">
        <v>0.48799999999999999</v>
      </c>
      <c r="K12" s="1"/>
      <c r="L12">
        <v>347</v>
      </c>
      <c r="M12">
        <v>424</v>
      </c>
    </row>
    <row r="13" spans="1:13" x14ac:dyDescent="0.35">
      <c r="A13">
        <v>12</v>
      </c>
      <c r="B13" s="1" t="s">
        <v>22</v>
      </c>
      <c r="C13">
        <v>7</v>
      </c>
      <c r="D13">
        <v>9</v>
      </c>
      <c r="E13">
        <v>1</v>
      </c>
      <c r="F13">
        <v>0.441</v>
      </c>
      <c r="G13">
        <v>126</v>
      </c>
      <c r="H13">
        <v>162</v>
      </c>
      <c r="I13">
        <v>1</v>
      </c>
      <c r="J13">
        <v>0.438</v>
      </c>
      <c r="K13" s="1"/>
      <c r="L13">
        <v>471</v>
      </c>
      <c r="M13">
        <v>511</v>
      </c>
    </row>
    <row r="14" spans="1:13" x14ac:dyDescent="0.35">
      <c r="A14">
        <v>13</v>
      </c>
      <c r="B14" s="1" t="s">
        <v>23</v>
      </c>
      <c r="C14">
        <v>8</v>
      </c>
      <c r="D14">
        <v>9</v>
      </c>
      <c r="E14">
        <v>0</v>
      </c>
      <c r="F14">
        <v>0.47099999999999997</v>
      </c>
      <c r="G14">
        <v>143</v>
      </c>
      <c r="H14">
        <v>146</v>
      </c>
      <c r="I14">
        <v>0</v>
      </c>
      <c r="J14">
        <v>0.495</v>
      </c>
      <c r="K14" s="1" t="s">
        <v>24</v>
      </c>
      <c r="L14">
        <v>353</v>
      </c>
      <c r="M14">
        <v>401</v>
      </c>
    </row>
    <row r="15" spans="1:13" x14ac:dyDescent="0.35">
      <c r="A15">
        <v>14</v>
      </c>
      <c r="B15" s="1" t="s">
        <v>25</v>
      </c>
      <c r="C15">
        <v>8</v>
      </c>
      <c r="D15">
        <v>9</v>
      </c>
      <c r="E15">
        <v>0</v>
      </c>
      <c r="F15">
        <v>0.47099999999999997</v>
      </c>
      <c r="G15">
        <v>146</v>
      </c>
      <c r="H15">
        <v>142</v>
      </c>
      <c r="I15">
        <v>1</v>
      </c>
      <c r="J15">
        <v>0.50700000000000001</v>
      </c>
      <c r="K15" s="1"/>
      <c r="L15">
        <v>424</v>
      </c>
      <c r="M15">
        <v>398</v>
      </c>
    </row>
    <row r="16" spans="1:13" x14ac:dyDescent="0.35">
      <c r="A16">
        <v>15</v>
      </c>
      <c r="B16" s="1" t="s">
        <v>26</v>
      </c>
      <c r="C16">
        <v>8</v>
      </c>
      <c r="D16">
        <v>9</v>
      </c>
      <c r="E16">
        <v>0</v>
      </c>
      <c r="F16">
        <v>0.47099999999999997</v>
      </c>
      <c r="G16">
        <v>153</v>
      </c>
      <c r="H16">
        <v>136</v>
      </c>
      <c r="I16">
        <v>0</v>
      </c>
      <c r="J16">
        <v>0.52900000000000003</v>
      </c>
      <c r="K16" s="1"/>
      <c r="L16">
        <v>380</v>
      </c>
      <c r="M16">
        <v>411</v>
      </c>
    </row>
    <row r="17" spans="1:13" x14ac:dyDescent="0.35">
      <c r="A17">
        <v>16</v>
      </c>
      <c r="B17" s="1" t="s">
        <v>27</v>
      </c>
      <c r="C17">
        <v>8</v>
      </c>
      <c r="D17">
        <v>9</v>
      </c>
      <c r="E17">
        <v>0</v>
      </c>
      <c r="F17">
        <v>0.47099999999999997</v>
      </c>
      <c r="G17">
        <v>156</v>
      </c>
      <c r="H17">
        <v>133</v>
      </c>
      <c r="I17">
        <v>0</v>
      </c>
      <c r="J17">
        <v>0.54</v>
      </c>
      <c r="K17" s="1" t="s">
        <v>28</v>
      </c>
      <c r="L17">
        <v>466</v>
      </c>
      <c r="M17">
        <v>412</v>
      </c>
    </row>
    <row r="18" spans="1:13" x14ac:dyDescent="0.35">
      <c r="A18">
        <v>17</v>
      </c>
      <c r="B18" s="1" t="s">
        <v>29</v>
      </c>
      <c r="C18">
        <v>9</v>
      </c>
      <c r="D18">
        <v>8</v>
      </c>
      <c r="E18">
        <v>0</v>
      </c>
      <c r="F18">
        <v>0.52900000000000003</v>
      </c>
      <c r="G18">
        <v>140</v>
      </c>
      <c r="H18">
        <v>146</v>
      </c>
      <c r="I18">
        <v>3</v>
      </c>
      <c r="J18">
        <v>0.49</v>
      </c>
      <c r="K18" s="1"/>
      <c r="L18">
        <v>481</v>
      </c>
      <c r="M18">
        <v>413</v>
      </c>
    </row>
    <row r="19" spans="1:13" x14ac:dyDescent="0.35">
      <c r="A19">
        <v>18</v>
      </c>
      <c r="B19" s="1" t="s">
        <v>30</v>
      </c>
      <c r="C19">
        <v>9</v>
      </c>
      <c r="D19">
        <v>8</v>
      </c>
      <c r="E19">
        <v>0</v>
      </c>
      <c r="F19">
        <v>0.52900000000000003</v>
      </c>
      <c r="G19">
        <v>147</v>
      </c>
      <c r="H19">
        <v>139</v>
      </c>
      <c r="I19">
        <v>3</v>
      </c>
      <c r="J19">
        <v>0.51400000000000001</v>
      </c>
      <c r="K19" s="1"/>
      <c r="L19">
        <v>344</v>
      </c>
      <c r="M19">
        <v>333</v>
      </c>
    </row>
    <row r="20" spans="1:13" x14ac:dyDescent="0.35">
      <c r="A20">
        <v>19</v>
      </c>
      <c r="B20" s="1" t="s">
        <v>31</v>
      </c>
      <c r="C20">
        <v>8</v>
      </c>
      <c r="D20">
        <v>9</v>
      </c>
      <c r="E20">
        <v>0</v>
      </c>
      <c r="F20">
        <v>0.47099999999999997</v>
      </c>
      <c r="G20">
        <v>150</v>
      </c>
      <c r="H20">
        <v>137</v>
      </c>
      <c r="I20">
        <v>2</v>
      </c>
      <c r="J20">
        <v>0.52200000000000002</v>
      </c>
      <c r="K20" s="1"/>
      <c r="L20">
        <v>311</v>
      </c>
      <c r="M20">
        <v>380</v>
      </c>
    </row>
    <row r="21" spans="1:13" x14ac:dyDescent="0.35">
      <c r="A21">
        <v>20</v>
      </c>
      <c r="B21" s="1" t="s">
        <v>32</v>
      </c>
      <c r="C21">
        <v>9</v>
      </c>
      <c r="D21">
        <v>7</v>
      </c>
      <c r="E21">
        <v>1</v>
      </c>
      <c r="F21">
        <v>0.55900000000000005</v>
      </c>
      <c r="G21">
        <v>139</v>
      </c>
      <c r="H21">
        <v>149</v>
      </c>
      <c r="I21">
        <v>1</v>
      </c>
      <c r="J21">
        <v>0.48299999999999998</v>
      </c>
      <c r="K21" s="1" t="s">
        <v>33</v>
      </c>
      <c r="L21">
        <v>391</v>
      </c>
      <c r="M21">
        <v>360</v>
      </c>
    </row>
    <row r="22" spans="1:13" x14ac:dyDescent="0.35">
      <c r="A22">
        <v>21</v>
      </c>
      <c r="B22" s="1" t="s">
        <v>34</v>
      </c>
      <c r="C22">
        <v>10</v>
      </c>
      <c r="D22">
        <v>7</v>
      </c>
      <c r="E22">
        <v>0</v>
      </c>
      <c r="F22">
        <v>0.58799999999999997</v>
      </c>
      <c r="G22">
        <v>145</v>
      </c>
      <c r="H22">
        <v>143</v>
      </c>
      <c r="I22">
        <v>1</v>
      </c>
      <c r="J22">
        <v>0.503</v>
      </c>
      <c r="K22" s="1"/>
      <c r="L22">
        <v>397</v>
      </c>
      <c r="M22">
        <v>387</v>
      </c>
    </row>
    <row r="23" spans="1:13" x14ac:dyDescent="0.35">
      <c r="A23">
        <v>22</v>
      </c>
      <c r="B23" s="1" t="s">
        <v>35</v>
      </c>
      <c r="C23">
        <v>11</v>
      </c>
      <c r="D23">
        <v>6</v>
      </c>
      <c r="E23">
        <v>0</v>
      </c>
      <c r="F23">
        <v>0.64700000000000002</v>
      </c>
      <c r="G23">
        <v>135</v>
      </c>
      <c r="H23">
        <v>153</v>
      </c>
      <c r="I23">
        <v>1</v>
      </c>
      <c r="J23">
        <v>0.46899999999999997</v>
      </c>
      <c r="K23" s="1"/>
      <c r="L23">
        <v>368</v>
      </c>
      <c r="M23">
        <v>340</v>
      </c>
    </row>
    <row r="24" spans="1:13" x14ac:dyDescent="0.35">
      <c r="A24">
        <v>23</v>
      </c>
      <c r="B24" s="1" t="s">
        <v>36</v>
      </c>
      <c r="C24">
        <v>11</v>
      </c>
      <c r="D24">
        <v>6</v>
      </c>
      <c r="E24">
        <v>0</v>
      </c>
      <c r="F24">
        <v>0.64700000000000002</v>
      </c>
      <c r="G24">
        <v>136</v>
      </c>
      <c r="H24">
        <v>150</v>
      </c>
      <c r="I24">
        <v>3</v>
      </c>
      <c r="J24">
        <v>0.47599999999999998</v>
      </c>
      <c r="K24" s="1"/>
      <c r="L24">
        <v>379</v>
      </c>
      <c r="M24">
        <v>325</v>
      </c>
    </row>
    <row r="25" spans="1:13" x14ac:dyDescent="0.35">
      <c r="A25">
        <v>24</v>
      </c>
      <c r="B25" s="1" t="s">
        <v>37</v>
      </c>
      <c r="C25">
        <v>13</v>
      </c>
      <c r="D25">
        <v>4</v>
      </c>
      <c r="E25">
        <v>0</v>
      </c>
      <c r="F25">
        <v>0.76500000000000001</v>
      </c>
      <c r="G25">
        <v>138</v>
      </c>
      <c r="H25">
        <v>151</v>
      </c>
      <c r="I25">
        <v>0</v>
      </c>
      <c r="J25">
        <v>0.47799999999999998</v>
      </c>
      <c r="K25" s="1" t="s">
        <v>38</v>
      </c>
      <c r="L25">
        <v>474</v>
      </c>
      <c r="M25">
        <v>336</v>
      </c>
    </row>
    <row r="26" spans="1:13" x14ac:dyDescent="0.35">
      <c r="A26">
        <v>25</v>
      </c>
      <c r="B26" s="1" t="s">
        <v>39</v>
      </c>
      <c r="C26">
        <v>11</v>
      </c>
      <c r="D26">
        <v>6</v>
      </c>
      <c r="E26">
        <v>0</v>
      </c>
      <c r="F26">
        <v>0.64700000000000002</v>
      </c>
      <c r="G26">
        <v>131</v>
      </c>
      <c r="H26">
        <v>155</v>
      </c>
      <c r="I26">
        <v>3</v>
      </c>
      <c r="J26">
        <v>0.45800000000000002</v>
      </c>
      <c r="K26" s="1"/>
      <c r="L26">
        <v>441</v>
      </c>
      <c r="M26">
        <v>415</v>
      </c>
    </row>
    <row r="27" spans="1:13" x14ac:dyDescent="0.35">
      <c r="A27">
        <v>26</v>
      </c>
      <c r="B27" s="1" t="s">
        <v>40</v>
      </c>
      <c r="C27">
        <v>12</v>
      </c>
      <c r="D27">
        <v>5</v>
      </c>
      <c r="E27">
        <v>0</v>
      </c>
      <c r="F27">
        <v>0.70599999999999996</v>
      </c>
      <c r="G27">
        <v>136</v>
      </c>
      <c r="H27">
        <v>153</v>
      </c>
      <c r="I27">
        <v>0</v>
      </c>
      <c r="J27">
        <v>0.47099999999999997</v>
      </c>
      <c r="K27" s="1"/>
      <c r="L27">
        <v>481</v>
      </c>
      <c r="M27">
        <v>365</v>
      </c>
    </row>
    <row r="28" spans="1:13" x14ac:dyDescent="0.35">
      <c r="A28">
        <v>27</v>
      </c>
      <c r="B28" s="1" t="s">
        <v>41</v>
      </c>
      <c r="C28">
        <v>12</v>
      </c>
      <c r="D28">
        <v>5</v>
      </c>
      <c r="E28">
        <v>0</v>
      </c>
      <c r="F28">
        <v>0.70599999999999996</v>
      </c>
      <c r="G28">
        <v>144</v>
      </c>
      <c r="H28">
        <v>145</v>
      </c>
      <c r="I28">
        <v>0</v>
      </c>
      <c r="J28">
        <v>0.498</v>
      </c>
      <c r="K28" s="1"/>
      <c r="L28">
        <v>437</v>
      </c>
      <c r="M28">
        <v>371</v>
      </c>
    </row>
    <row r="29" spans="1:13" x14ac:dyDescent="0.35">
      <c r="A29">
        <v>28</v>
      </c>
      <c r="B29" s="1" t="s">
        <v>42</v>
      </c>
      <c r="C29">
        <v>12</v>
      </c>
      <c r="D29">
        <v>5</v>
      </c>
      <c r="E29">
        <v>0</v>
      </c>
      <c r="F29">
        <v>0.70599999999999996</v>
      </c>
      <c r="G29">
        <v>151</v>
      </c>
      <c r="H29">
        <v>138</v>
      </c>
      <c r="I29">
        <v>0</v>
      </c>
      <c r="J29">
        <v>0.52200000000000002</v>
      </c>
      <c r="K29" s="1"/>
      <c r="L29">
        <v>404</v>
      </c>
      <c r="M29">
        <v>295</v>
      </c>
    </row>
    <row r="30" spans="1:13" x14ac:dyDescent="0.35">
      <c r="A30">
        <v>29</v>
      </c>
      <c r="B30" s="1" t="s">
        <v>43</v>
      </c>
      <c r="C30">
        <v>12</v>
      </c>
      <c r="D30">
        <v>5</v>
      </c>
      <c r="E30">
        <v>0</v>
      </c>
      <c r="F30">
        <v>0.70599999999999996</v>
      </c>
      <c r="G30">
        <v>152</v>
      </c>
      <c r="H30">
        <v>137</v>
      </c>
      <c r="I30">
        <v>0</v>
      </c>
      <c r="J30">
        <v>0.52600000000000002</v>
      </c>
      <c r="K30" s="1"/>
      <c r="L30">
        <v>518</v>
      </c>
      <c r="M30">
        <v>346</v>
      </c>
    </row>
    <row r="31" spans="1:13" x14ac:dyDescent="0.35">
      <c r="A31">
        <v>30</v>
      </c>
      <c r="B31" s="1" t="s">
        <v>44</v>
      </c>
      <c r="C31">
        <v>14</v>
      </c>
      <c r="D31">
        <v>3</v>
      </c>
      <c r="E31">
        <v>0</v>
      </c>
      <c r="F31">
        <v>0.82399999999999995</v>
      </c>
      <c r="G31">
        <v>121</v>
      </c>
      <c r="H31">
        <v>166</v>
      </c>
      <c r="I31">
        <v>2</v>
      </c>
      <c r="J31">
        <v>0.42199999999999999</v>
      </c>
      <c r="K31" s="1"/>
      <c r="L31">
        <v>401</v>
      </c>
      <c r="M31">
        <v>311</v>
      </c>
    </row>
    <row r="32" spans="1:13" x14ac:dyDescent="0.35">
      <c r="A32">
        <v>31</v>
      </c>
      <c r="B32" s="1" t="s">
        <v>45</v>
      </c>
      <c r="C32">
        <v>14</v>
      </c>
      <c r="D32">
        <v>3</v>
      </c>
      <c r="E32">
        <v>0</v>
      </c>
      <c r="F32">
        <v>0.82399999999999995</v>
      </c>
      <c r="G32">
        <v>113</v>
      </c>
      <c r="H32">
        <v>176</v>
      </c>
      <c r="I32">
        <v>0</v>
      </c>
      <c r="J32">
        <v>0.39100000000000001</v>
      </c>
      <c r="K32" s="1"/>
      <c r="L32">
        <v>490</v>
      </c>
      <c r="M32">
        <v>320</v>
      </c>
    </row>
    <row r="33" spans="1:13" x14ac:dyDescent="0.35">
      <c r="A33">
        <v>32</v>
      </c>
      <c r="B33" s="1" t="s">
        <v>46</v>
      </c>
      <c r="C33">
        <v>14</v>
      </c>
      <c r="D33">
        <v>3</v>
      </c>
      <c r="E33">
        <v>0</v>
      </c>
      <c r="F33">
        <v>0.82399999999999995</v>
      </c>
      <c r="G33">
        <v>144</v>
      </c>
      <c r="H33">
        <v>145</v>
      </c>
      <c r="I33">
        <v>0</v>
      </c>
      <c r="J33">
        <v>0.498</v>
      </c>
      <c r="K33" s="1"/>
      <c r="L33">
        <v>483</v>
      </c>
      <c r="M33">
        <v>292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AE8E3-258B-4496-A58C-C008C765ECD6}">
  <dimension ref="A1:N34"/>
  <sheetViews>
    <sheetView tabSelected="1" workbookViewId="0">
      <selection activeCell="N34" sqref="A1:N34"/>
    </sheetView>
  </sheetViews>
  <sheetFormatPr defaultRowHeight="14.5" x14ac:dyDescent="0.35"/>
  <cols>
    <col min="1" max="1" width="14.453125" customWidth="1"/>
    <col min="3" max="3" width="11.90625" customWidth="1"/>
    <col min="4" max="4" width="13.6328125" customWidth="1"/>
    <col min="6" max="6" width="13.26953125" customWidth="1"/>
    <col min="7" max="7" width="12" customWidth="1"/>
  </cols>
  <sheetData>
    <row r="1" spans="1:14" x14ac:dyDescent="0.35">
      <c r="A1" t="s">
        <v>1</v>
      </c>
      <c r="B1" t="s">
        <v>47</v>
      </c>
      <c r="C1" s="2" t="s">
        <v>48</v>
      </c>
      <c r="D1" s="3" t="s">
        <v>49</v>
      </c>
      <c r="E1" t="s">
        <v>51</v>
      </c>
      <c r="F1" t="s">
        <v>52</v>
      </c>
      <c r="G1" t="s">
        <v>54</v>
      </c>
      <c r="J1" t="s">
        <v>50</v>
      </c>
      <c r="K1">
        <v>2.9869633499582928</v>
      </c>
      <c r="N1" t="s">
        <v>53</v>
      </c>
    </row>
    <row r="2" spans="1:14" x14ac:dyDescent="0.35">
      <c r="A2" s="7" t="s">
        <v>12</v>
      </c>
      <c r="B2" s="5">
        <v>0.17599999999999999</v>
      </c>
      <c r="C2" s="5">
        <v>300</v>
      </c>
      <c r="D2" s="9">
        <v>503</v>
      </c>
      <c r="E2">
        <f>(C2^$K$1)/(C2^$K$1+D2^$K$1)</f>
        <v>0.17600012901412165</v>
      </c>
      <c r="F2">
        <f>ABS(B2-E2)</f>
        <v>1.29014121663662E-7</v>
      </c>
      <c r="G2">
        <f>F2/0.0588235294</f>
        <v>2.1932400687209022E-6</v>
      </c>
    </row>
    <row r="3" spans="1:14" x14ac:dyDescent="0.35">
      <c r="A3" s="7" t="s">
        <v>22</v>
      </c>
      <c r="B3" s="5">
        <v>0.441</v>
      </c>
      <c r="C3" s="5">
        <v>471</v>
      </c>
      <c r="D3" s="9">
        <v>511</v>
      </c>
      <c r="E3">
        <f>(C3^$K$1)/(C3^$K$1+D3^$K$1)</f>
        <v>0.43943094565484869</v>
      </c>
      <c r="F3">
        <f>ABS(B3-E3)</f>
        <v>1.5690543451513106E-3</v>
      </c>
      <c r="G3">
        <f>F3/0.0588235294</f>
        <v>2.6673923872907065E-2</v>
      </c>
    </row>
    <row r="4" spans="1:14" x14ac:dyDescent="0.35">
      <c r="A4" s="7" t="s">
        <v>14</v>
      </c>
      <c r="B4" s="5">
        <v>0.17599999999999999</v>
      </c>
      <c r="C4" s="5">
        <v>284</v>
      </c>
      <c r="D4" s="9">
        <v>478</v>
      </c>
      <c r="E4">
        <f>(C4^$K$1)/(C4^$K$1+D4^$K$1)</f>
        <v>0.17434770463444757</v>
      </c>
      <c r="F4">
        <f>ABS(B4-E4)</f>
        <v>1.6522953655524197E-3</v>
      </c>
      <c r="G4">
        <f>F4/0.0588235294</f>
        <v>2.808902122000894E-2</v>
      </c>
    </row>
    <row r="5" spans="1:14" x14ac:dyDescent="0.35">
      <c r="A5" s="7" t="s">
        <v>32</v>
      </c>
      <c r="B5" s="5">
        <v>0.55900000000000005</v>
      </c>
      <c r="C5" s="5">
        <v>391</v>
      </c>
      <c r="D5" s="9">
        <v>360</v>
      </c>
      <c r="E5">
        <f>(C5^$K$1)/(C5^$K$1+D5^$K$1)</f>
        <v>0.56137239357341484</v>
      </c>
      <c r="F5">
        <f>ABS(B5-E5)</f>
        <v>2.3723935734147883E-3</v>
      </c>
      <c r="G5">
        <f>F5/0.0588235294</f>
        <v>4.0330690756117539E-2</v>
      </c>
    </row>
    <row r="6" spans="1:14" x14ac:dyDescent="0.35">
      <c r="A6" s="7" t="s">
        <v>30</v>
      </c>
      <c r="B6" s="5">
        <v>0.52900000000000003</v>
      </c>
      <c r="C6" s="5">
        <v>344</v>
      </c>
      <c r="D6" s="9">
        <v>333</v>
      </c>
      <c r="E6">
        <f>(C6^$K$1)/(C6^$K$1+D6^$K$1)</f>
        <v>0.524249415952318</v>
      </c>
      <c r="F6">
        <f>ABS(B6-E6)</f>
        <v>4.7505840476820271E-3</v>
      </c>
      <c r="G6">
        <f>F6/0.0588235294</f>
        <v>8.0759928826746444E-2</v>
      </c>
    </row>
    <row r="7" spans="1:14" x14ac:dyDescent="0.35">
      <c r="A7" s="7" t="s">
        <v>46</v>
      </c>
      <c r="B7" s="5">
        <v>0.82399999999999995</v>
      </c>
      <c r="C7" s="5">
        <v>483</v>
      </c>
      <c r="D7" s="9">
        <v>292</v>
      </c>
      <c r="E7">
        <f>(C7^$K$1)/(C7^$K$1+D7^$K$1)</f>
        <v>0.81805538171405345</v>
      </c>
      <c r="F7">
        <f>ABS(B7-E7)</f>
        <v>5.9446182859465013E-3</v>
      </c>
      <c r="G7">
        <f>F7/0.0588235294</f>
        <v>0.10105851088130223</v>
      </c>
    </row>
    <row r="8" spans="1:14" x14ac:dyDescent="0.35">
      <c r="A8" s="7" t="s">
        <v>16</v>
      </c>
      <c r="B8" s="5">
        <v>0.29399999999999998</v>
      </c>
      <c r="C8" s="5">
        <v>279</v>
      </c>
      <c r="D8" s="9">
        <v>379</v>
      </c>
      <c r="E8">
        <f>(C8^$K$1)/(C8^$K$1+D8^$K$1)</f>
        <v>0.28598189276666502</v>
      </c>
      <c r="F8">
        <f>ABS(B8-E8)</f>
        <v>8.018107233334959E-3</v>
      </c>
      <c r="G8">
        <f>F8/0.0588235294</f>
        <v>0.13630782299395588</v>
      </c>
    </row>
    <row r="9" spans="1:14" x14ac:dyDescent="0.35">
      <c r="A9" s="7" t="s">
        <v>40</v>
      </c>
      <c r="B9" s="5">
        <v>0.70599999999999996</v>
      </c>
      <c r="C9" s="5">
        <v>481</v>
      </c>
      <c r="D9" s="9">
        <v>365</v>
      </c>
      <c r="E9">
        <f>(C9^$K$1)/(C9^$K$1+D9^$K$1)</f>
        <v>0.6951508962119145</v>
      </c>
      <c r="F9">
        <f>ABS(B9-E9)</f>
        <v>1.0849103788085457E-2</v>
      </c>
      <c r="G9">
        <f>F9/0.0588235294</f>
        <v>0.18443476443433973</v>
      </c>
    </row>
    <row r="10" spans="1:14" x14ac:dyDescent="0.35">
      <c r="A10" s="7" t="s">
        <v>42</v>
      </c>
      <c r="B10" s="5">
        <v>0.70599999999999996</v>
      </c>
      <c r="C10" s="5">
        <v>404</v>
      </c>
      <c r="D10" s="9">
        <v>295</v>
      </c>
      <c r="E10">
        <f>(C10^$K$1)/(C10^$K$1+D10^$K$1)</f>
        <v>0.71894193811109308</v>
      </c>
      <c r="F10">
        <f>ABS(B10-E10)</f>
        <v>1.2941938111093121E-2</v>
      </c>
      <c r="G10">
        <f>F10/0.0588235294</f>
        <v>0.22001294793258566</v>
      </c>
    </row>
    <row r="11" spans="1:14" x14ac:dyDescent="0.35">
      <c r="A11" s="7" t="s">
        <v>18</v>
      </c>
      <c r="B11" s="5">
        <v>0.35299999999999998</v>
      </c>
      <c r="C11" s="5">
        <v>306</v>
      </c>
      <c r="D11" s="9">
        <v>383</v>
      </c>
      <c r="E11">
        <f>(C11^$K$1)/(C11^$K$1+D11^$K$1)</f>
        <v>0.33840199905903295</v>
      </c>
      <c r="F11">
        <f>ABS(B11-E11)</f>
        <v>1.4598000940967026E-2</v>
      </c>
      <c r="G11">
        <f>F11/0.0588235294</f>
        <v>0.24816601604607266</v>
      </c>
    </row>
    <row r="12" spans="1:14" x14ac:dyDescent="0.35">
      <c r="A12" s="7" t="s">
        <v>20</v>
      </c>
      <c r="B12" s="5">
        <v>0.35299999999999998</v>
      </c>
      <c r="C12" s="5">
        <v>414</v>
      </c>
      <c r="D12" s="9">
        <v>492</v>
      </c>
      <c r="E12">
        <f>(C12^$K$1)/(C12^$K$1+D12^$K$1)</f>
        <v>0.37388449920457112</v>
      </c>
      <c r="F12">
        <f>ABS(B12-E12)</f>
        <v>2.0884499204571139E-2</v>
      </c>
      <c r="G12">
        <f>F12/0.0588235294</f>
        <v>0.35503648654871667</v>
      </c>
    </row>
    <row r="13" spans="1:14" x14ac:dyDescent="0.35">
      <c r="A13" s="6" t="s">
        <v>11</v>
      </c>
      <c r="B13" s="4">
        <v>0.17599999999999999</v>
      </c>
      <c r="C13" s="4">
        <v>241</v>
      </c>
      <c r="D13" s="8">
        <v>432</v>
      </c>
      <c r="E13">
        <f>(C13^$K$1)/(C13^$K$1+D13^$K$1)</f>
        <v>0.14889712189286658</v>
      </c>
      <c r="F13">
        <f>ABS(B13-E13)</f>
        <v>2.710287810713341E-2</v>
      </c>
      <c r="G13">
        <f>F13/0.0588235294</f>
        <v>0.46074892791341776</v>
      </c>
    </row>
    <row r="14" spans="1:14" x14ac:dyDescent="0.35">
      <c r="A14" s="7" t="s">
        <v>37</v>
      </c>
      <c r="B14" s="5">
        <v>0.76500000000000001</v>
      </c>
      <c r="C14" s="5">
        <v>474</v>
      </c>
      <c r="D14" s="9">
        <v>336</v>
      </c>
      <c r="E14">
        <f>(C14^$K$1)/(C14^$K$1+D14^$K$1)</f>
        <v>0.73648966693304019</v>
      </c>
      <c r="F14">
        <f>ABS(B14-E14)</f>
        <v>2.8510333066959825E-2</v>
      </c>
      <c r="G14">
        <f>F14/0.0588235294</f>
        <v>0.48467566223525216</v>
      </c>
    </row>
    <row r="15" spans="1:14" x14ac:dyDescent="0.35">
      <c r="A15" s="6" t="s">
        <v>26</v>
      </c>
      <c r="B15" s="4">
        <v>0.47099999999999997</v>
      </c>
      <c r="C15" s="4">
        <v>380</v>
      </c>
      <c r="D15" s="8">
        <v>411</v>
      </c>
      <c r="E15">
        <f>(C15^$K$1)/(C15^$K$1+D15^$K$1)</f>
        <v>0.44170542721841599</v>
      </c>
      <c r="F15">
        <f>ABS(B15-E15)</f>
        <v>2.9294572781583983E-2</v>
      </c>
      <c r="G15">
        <f>F15/0.0588235294</f>
        <v>0.49800773738652926</v>
      </c>
    </row>
    <row r="16" spans="1:14" x14ac:dyDescent="0.35">
      <c r="A16" s="6" t="s">
        <v>36</v>
      </c>
      <c r="B16" s="4">
        <v>0.64700000000000002</v>
      </c>
      <c r="C16" s="4">
        <v>379</v>
      </c>
      <c r="D16" s="8">
        <v>325</v>
      </c>
      <c r="E16">
        <f>(C16^$K$1)/(C16^$K$1+D16^$K$1)</f>
        <v>0.61280757582630208</v>
      </c>
      <c r="F16">
        <f>ABS(B16-E16)</f>
        <v>3.4192424173697944E-2</v>
      </c>
      <c r="G16">
        <f>F16/0.0588235294</f>
        <v>0.58127121106911928</v>
      </c>
    </row>
    <row r="17" spans="1:7" x14ac:dyDescent="0.35">
      <c r="A17" s="6" t="s">
        <v>17</v>
      </c>
      <c r="B17" s="4">
        <v>0.29399999999999998</v>
      </c>
      <c r="C17" s="4">
        <v>356</v>
      </c>
      <c r="D17" s="8">
        <v>451</v>
      </c>
      <c r="E17">
        <f>(C17^$K$1)/(C17^$K$1+D17^$K$1)</f>
        <v>0.33036688107586526</v>
      </c>
      <c r="F17">
        <f>ABS(B17-E17)</f>
        <v>3.6366881075865276E-2</v>
      </c>
      <c r="G17">
        <f>F17/0.0588235294</f>
        <v>0.61823697841335712</v>
      </c>
    </row>
    <row r="18" spans="1:7" x14ac:dyDescent="0.35">
      <c r="A18" s="6" t="s">
        <v>45</v>
      </c>
      <c r="B18" s="4">
        <v>0.82399999999999995</v>
      </c>
      <c r="C18" s="4">
        <v>490</v>
      </c>
      <c r="D18" s="8">
        <v>320</v>
      </c>
      <c r="E18">
        <f>(C18^$K$1)/(C18^$K$1+D18^$K$1)</f>
        <v>0.78120433198794437</v>
      </c>
      <c r="F18">
        <f>ABS(B18-E18)</f>
        <v>4.2795668012055588E-2</v>
      </c>
      <c r="G18">
        <f>F18/0.0588235294</f>
        <v>0.72752635635045027</v>
      </c>
    </row>
    <row r="19" spans="1:7" x14ac:dyDescent="0.35">
      <c r="A19" s="15" t="s">
        <v>21</v>
      </c>
      <c r="B19" s="16">
        <v>0.41199999999999998</v>
      </c>
      <c r="C19" s="16">
        <v>347</v>
      </c>
      <c r="D19" s="17">
        <v>424</v>
      </c>
      <c r="E19">
        <f>(C19^$K$1)/(C19^$K$1+D19^$K$1)</f>
        <v>0.35466099733795597</v>
      </c>
      <c r="F19">
        <f>ABS(B19-E19)</f>
        <v>5.7339002662044003E-2</v>
      </c>
      <c r="G19">
        <f>F19/0.0588235294</f>
        <v>0.97476304544970072</v>
      </c>
    </row>
    <row r="20" spans="1:7" x14ac:dyDescent="0.35">
      <c r="A20" s="18" t="s">
        <v>43</v>
      </c>
      <c r="B20" s="19">
        <v>0.70599999999999996</v>
      </c>
      <c r="C20" s="19">
        <v>518</v>
      </c>
      <c r="D20" s="20">
        <v>346</v>
      </c>
      <c r="E20" s="21">
        <f>(C20^$K$1)/(C20^$K$1+D20^$K$1)</f>
        <v>0.76947490957114029</v>
      </c>
      <c r="F20" s="21">
        <f>ABS(B20-E20)</f>
        <v>6.3474909571140326E-2</v>
      </c>
      <c r="G20" s="21">
        <f>F20/0.0588235294</f>
        <v>1.0790734629252003</v>
      </c>
    </row>
    <row r="21" spans="1:7" x14ac:dyDescent="0.35">
      <c r="A21" s="6" t="s">
        <v>23</v>
      </c>
      <c r="B21" s="4">
        <v>0.47099999999999997</v>
      </c>
      <c r="C21" s="4">
        <v>353</v>
      </c>
      <c r="D21" s="8">
        <v>401</v>
      </c>
      <c r="E21" s="10">
        <f>(C21^$K$1)/(C21^$K$1+D21^$K$1)</f>
        <v>0.405929614623181</v>
      </c>
      <c r="F21" s="10">
        <f>ABS(B21-E21)</f>
        <v>6.5070385376818973E-2</v>
      </c>
      <c r="G21" s="10">
        <f>F21/0.0588235294</f>
        <v>1.1061965516271619</v>
      </c>
    </row>
    <row r="22" spans="1:7" x14ac:dyDescent="0.35">
      <c r="A22" s="6" t="s">
        <v>34</v>
      </c>
      <c r="B22" s="4">
        <v>0.58799999999999997</v>
      </c>
      <c r="C22" s="4">
        <v>397</v>
      </c>
      <c r="D22" s="8">
        <v>387</v>
      </c>
      <c r="E22" s="10">
        <f>(C22^$K$1)/(C22^$K$1+D22^$K$1)</f>
        <v>0.51904133116913753</v>
      </c>
      <c r="F22" s="10">
        <f>ABS(B22-E22)</f>
        <v>6.8958668830862435E-2</v>
      </c>
      <c r="G22" s="10">
        <f>F22/0.0588235294</f>
        <v>1.1722973703591208</v>
      </c>
    </row>
    <row r="23" spans="1:7" x14ac:dyDescent="0.35">
      <c r="A23" s="7" t="s">
        <v>25</v>
      </c>
      <c r="B23" s="5">
        <v>0.47099999999999997</v>
      </c>
      <c r="C23" s="5">
        <v>424</v>
      </c>
      <c r="D23" s="9">
        <v>398</v>
      </c>
      <c r="E23" s="10">
        <f>(C23^$K$1)/(C23^$K$1+D23^$K$1)</f>
        <v>0.547114649108566</v>
      </c>
      <c r="F23" s="10">
        <f>ABS(B23-E23)</f>
        <v>7.6114649108566024E-2</v>
      </c>
      <c r="G23" s="10">
        <f>F23/0.0588235294</f>
        <v>1.2939490351044123</v>
      </c>
    </row>
    <row r="24" spans="1:7" x14ac:dyDescent="0.35">
      <c r="A24" s="6" t="s">
        <v>29</v>
      </c>
      <c r="B24" s="4">
        <v>0.52900000000000003</v>
      </c>
      <c r="C24" s="4">
        <v>481</v>
      </c>
      <c r="D24" s="8">
        <v>413</v>
      </c>
      <c r="E24" s="10">
        <f>(C24^$K$1)/(C24^$K$1+D24^$K$1)</f>
        <v>0.61189196307156424</v>
      </c>
      <c r="F24" s="10">
        <f>ABS(B24-E24)</f>
        <v>8.2891963071564212E-2</v>
      </c>
      <c r="G24" s="10">
        <f>F24/0.0588235294</f>
        <v>1.4091633724984243</v>
      </c>
    </row>
    <row r="25" spans="1:7" x14ac:dyDescent="0.35">
      <c r="A25" s="6" t="s">
        <v>41</v>
      </c>
      <c r="B25" s="4">
        <v>0.70599999999999996</v>
      </c>
      <c r="C25" s="4">
        <v>437</v>
      </c>
      <c r="D25" s="8">
        <v>371</v>
      </c>
      <c r="E25" s="10">
        <f>(C25^$K$1)/(C25^$K$1+D25^$K$1)</f>
        <v>0.61988470629984282</v>
      </c>
      <c r="F25" s="10">
        <f>ABS(B25-E25)</f>
        <v>8.6115293700157136E-2</v>
      </c>
      <c r="G25" s="10">
        <f>F25/0.0588235294</f>
        <v>1.4639599931954634</v>
      </c>
    </row>
    <row r="26" spans="1:7" x14ac:dyDescent="0.35">
      <c r="A26" s="7" t="s">
        <v>35</v>
      </c>
      <c r="B26" s="5">
        <v>0.64700000000000002</v>
      </c>
      <c r="C26" s="5">
        <v>368</v>
      </c>
      <c r="D26" s="9">
        <v>340</v>
      </c>
      <c r="E26" s="10">
        <f>(C26^$K$1)/(C26^$K$1+D26^$K$1)</f>
        <v>0.55882143334384349</v>
      </c>
      <c r="F26" s="10">
        <f>ABS(B26-E26)</f>
        <v>8.8178566656156532E-2</v>
      </c>
      <c r="G26" s="10">
        <f>F26/0.0588235294</f>
        <v>1.4990356334544683</v>
      </c>
    </row>
    <row r="27" spans="1:7" x14ac:dyDescent="0.35">
      <c r="A27" s="6" t="s">
        <v>39</v>
      </c>
      <c r="B27" s="4">
        <v>0.64700000000000002</v>
      </c>
      <c r="C27" s="4">
        <v>441</v>
      </c>
      <c r="D27" s="8">
        <v>415</v>
      </c>
      <c r="E27" s="10">
        <f>(C27^$K$1)/(C27^$K$1+D27^$K$1)</f>
        <v>0.54525255099738035</v>
      </c>
      <c r="F27" s="10">
        <f>ABS(B27-E27)</f>
        <v>0.10174744900261967</v>
      </c>
      <c r="G27" s="10">
        <f>F27/0.0588235294</f>
        <v>1.7297066333904758</v>
      </c>
    </row>
    <row r="28" spans="1:7" x14ac:dyDescent="0.35">
      <c r="A28" s="6" t="s">
        <v>13</v>
      </c>
      <c r="B28" s="4">
        <v>0.17599999999999999</v>
      </c>
      <c r="C28" s="4">
        <v>355</v>
      </c>
      <c r="D28" s="8">
        <v>488</v>
      </c>
      <c r="E28" s="10">
        <f>(C28^$K$1)/(C28^$K$1+D28^$K$1)</f>
        <v>0.27879541446392353</v>
      </c>
      <c r="F28" s="10">
        <f>ABS(B28-E28)</f>
        <v>0.10279541446392354</v>
      </c>
      <c r="G28" s="10">
        <f>F28/0.0588235294</f>
        <v>1.7475220462362047</v>
      </c>
    </row>
    <row r="29" spans="1:7" x14ac:dyDescent="0.35">
      <c r="A29" s="11" t="s">
        <v>31</v>
      </c>
      <c r="B29" s="12">
        <v>0.47099999999999997</v>
      </c>
      <c r="C29" s="12">
        <v>311</v>
      </c>
      <c r="D29" s="13">
        <v>380</v>
      </c>
      <c r="E29" s="14">
        <f>(C29^$K$1)/(C29^$K$1+D29^$K$1)</f>
        <v>0.35468173583552837</v>
      </c>
      <c r="F29" s="14">
        <f>ABS(B29-E29)</f>
        <v>0.11631826416447161</v>
      </c>
      <c r="G29" s="14">
        <f>F29/0.0588235294</f>
        <v>1.9774104911914996</v>
      </c>
    </row>
    <row r="30" spans="1:7" x14ac:dyDescent="0.35">
      <c r="A30" s="25" t="s">
        <v>27</v>
      </c>
      <c r="B30" s="26">
        <v>0.47099999999999997</v>
      </c>
      <c r="C30" s="26">
        <v>466</v>
      </c>
      <c r="D30" s="27">
        <v>412</v>
      </c>
      <c r="E30" s="21">
        <f>(C30^$K$1)/(C30^$K$1+D30^$K$1)</f>
        <v>0.59094691004049038</v>
      </c>
      <c r="F30" s="21">
        <f>ABS(B30-E30)</f>
        <v>0.11994691004049041</v>
      </c>
      <c r="G30" s="21">
        <f>F30/0.0588235294</f>
        <v>2.0390974710961567</v>
      </c>
    </row>
    <row r="31" spans="1:7" x14ac:dyDescent="0.35">
      <c r="A31" s="7" t="s">
        <v>44</v>
      </c>
      <c r="B31" s="5">
        <v>0.82399999999999995</v>
      </c>
      <c r="C31" s="5">
        <v>401</v>
      </c>
      <c r="D31" s="9">
        <v>311</v>
      </c>
      <c r="E31" s="10">
        <f>(C31^$K$1)/(C31^$K$1+D31^$K$1)</f>
        <v>0.68117829110023631</v>
      </c>
      <c r="F31" s="10">
        <f>ABS(B31-E31)</f>
        <v>0.14282170889976364</v>
      </c>
      <c r="G31" s="10">
        <f>F31/0.0588235294</f>
        <v>2.427969051781576</v>
      </c>
    </row>
    <row r="32" spans="1:7" x14ac:dyDescent="0.35">
      <c r="A32" s="11" t="s">
        <v>15</v>
      </c>
      <c r="B32" s="12">
        <v>0.23499999999999999</v>
      </c>
      <c r="C32" s="12">
        <v>381</v>
      </c>
      <c r="D32" s="13">
        <v>439</v>
      </c>
      <c r="E32" s="14">
        <f>(C32^$K$1)/(C32^$K$1+D32^$K$1)</f>
        <v>0.39573864147638282</v>
      </c>
      <c r="F32" s="14">
        <f>ABS(B32-E32)</f>
        <v>0.16073864147638284</v>
      </c>
      <c r="G32" s="14">
        <f>F32/0.0588235294</f>
        <v>2.7325569056450196</v>
      </c>
    </row>
    <row r="33" spans="1:7" x14ac:dyDescent="0.35">
      <c r="A33" s="22" t="s">
        <v>19</v>
      </c>
      <c r="B33" s="23">
        <v>0.35299999999999998</v>
      </c>
      <c r="C33" s="23">
        <v>362</v>
      </c>
      <c r="D33" s="24">
        <v>328</v>
      </c>
      <c r="E33">
        <f>(C33^$K$1)/(C33^$K$1+D33^$K$1)</f>
        <v>0.57312338161617637</v>
      </c>
      <c r="F33">
        <f>ABS(B33-E33)</f>
        <v>0.22012338161617639</v>
      </c>
      <c r="G33">
        <f>F33/0.0588235294</f>
        <v>3.7420974882234184</v>
      </c>
    </row>
    <row r="34" spans="1:7" x14ac:dyDescent="0.35">
      <c r="E34" t="s">
        <v>55</v>
      </c>
      <c r="F34">
        <f>SUM(F2:F33)</f>
        <v>1.8344786897683543</v>
      </c>
    </row>
  </sheetData>
  <sortState xmlns:xlrd2="http://schemas.microsoft.com/office/spreadsheetml/2017/richdata2" ref="A2:G33">
    <sortCondition ref="F2:F33"/>
  </sortState>
  <conditionalFormatting sqref="G2:G33">
    <cfRule type="colorScale" priority="2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F2:F33">
    <cfRule type="colorScale" priority="1">
      <colorScale>
        <cfvo type="min"/>
        <cfvo type="percentile" val="50"/>
        <cfvo type="max"/>
        <color rgb="FF63BE7B"/>
        <color rgb="FFFCFCFF"/>
        <color rgb="FFF8696B"/>
      </colorScale>
    </cfRule>
  </conditionalFormatting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B3E9707-CFC2-48E2-8D7D-EA9F96AAB7AC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b1b86c14-7a6f-495c-8ad3-202986669410}" enabled="1" method="Standard" siteId="{2596038f-3ea4-4f0c-aed1-066eb6544c3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Table 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Parry, Nicholas</dc:creator>
  <cp:lastModifiedBy>Parry, Nicholas</cp:lastModifiedBy>
  <dcterms:created xsi:type="dcterms:W3CDTF">2026-02-18T02:21:57Z</dcterms:created>
  <dcterms:modified xsi:type="dcterms:W3CDTF">2026-02-19T19:53:49Z</dcterms:modified>
</cp:coreProperties>
</file>
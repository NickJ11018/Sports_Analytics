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bookViews>
    <workbookView xWindow="14850" yWindow="-16320" windowWidth="29040" windowHeight="15720" tabRatio="726" xr2:uid="{3507D367-FDAF-4A65-BD3A-B766555AA4FB}"/>
  </bookViews>
  <sheets>
    <sheet name="OffDef25" sheetId="17" r:id="rId1"/>
    <sheet name="PlayerIDs" sheetId="22" r:id="rId2"/>
    <sheet name="FRvsDef" sheetId="9" r:id="rId3"/>
    <sheet name="SRvsDef" sheetId="4" r:id="rId4"/>
    <sheet name="BRvsDef" sheetId="12" r:id="rId5"/>
    <sheet name="SHvsDef" sheetId="6" r:id="rId6"/>
    <sheet name="FHvsDef" sheetId="11" r:id="rId7"/>
    <sheet name="CvsDef" sheetId="2" r:id="rId8"/>
    <sheet name="B3vsDef" sheetId="3" r:id="rId9"/>
    <sheet name="DSPvsDef" sheetId="16" r:id="rId10"/>
    <sheet name="Analytics to Publish" sheetId="7" r:id="rId11"/>
    <sheet name="Trade Analyzer" sheetId="23" r:id="rId12"/>
    <sheet name="DEPRECATED_FFvsDef" sheetId="13" r:id="rId13"/>
    <sheet name="BFvsDef" sheetId="14" r:id="rId14"/>
    <sheet name="Matchup Predictor" sheetId="18" r:id="rId15"/>
    <sheet name="PredictorV2" sheetId="19" r:id="rId16"/>
    <sheet name="Weekly Challenge" sheetId="20" r:id="rId17"/>
  </sheets>
  <definedNames>
    <definedName name="_xlnm._FilterDatabase" localSheetId="8" hidden="1">B3vsDef!$A$19:$F$798</definedName>
    <definedName name="_xlnm._FilterDatabase" localSheetId="13" hidden="1">BFvsDef!$H$204:$P$1447</definedName>
    <definedName name="_xlnm._FilterDatabase" localSheetId="4" hidden="1">BRvsDef!$A$19:$F$749</definedName>
    <definedName name="_xlnm._FilterDatabase" localSheetId="7" hidden="1">CvsDef!$A$19:$F$518</definedName>
    <definedName name="_xlnm._FilterDatabase" localSheetId="6" hidden="1">FHvsDef!$A$19:$F$270</definedName>
    <definedName name="_xlnm._FilterDatabase" localSheetId="2" hidden="1">FRvsDef!$A$19:$I$19</definedName>
    <definedName name="_xlnm._FilterDatabase" localSheetId="0" hidden="1">OffDef25!$AB$15:$AC$25</definedName>
    <definedName name="_xlnm._FilterDatabase" localSheetId="5" hidden="1">SHvsDef!$A$19:$F$19</definedName>
    <definedName name="_xlnm._FilterDatabase" localSheetId="3" hidden="1">SRvsDef!$A$19:$F$497</definedName>
    <definedName name="_MailOriginal" localSheetId="10">'Analytics to Publish'!$A$8</definedName>
    <definedName name="Home_edge" localSheetId="0">OffDef25!$G$1</definedName>
    <definedName name="mean">OffDef25!$G$2</definedName>
    <definedName name="solver_adj" localSheetId="8" hidden="1">B3vsDef!$G$3,B3vsDef!$B$6:$B$16,B3vsDef!$C$20:$C$101</definedName>
    <definedName name="solver_adj" localSheetId="13" hidden="1">BFvsDef!$G$3,BFvsDef!$B$6:$B$16,BFvsDef!$B$20:$B$131</definedName>
    <definedName name="solver_adj" localSheetId="4" hidden="1">BRvsDef!$G$3,BRvsDef!$B$6:$B$16,BRvsDef!$C$20:$C$89</definedName>
    <definedName name="solver_adj" localSheetId="7" hidden="1">CvsDef!$G$3,CvsDef!$B$6:$B$16,CvsDef!$C$20:$C$66</definedName>
    <definedName name="solver_adj" localSheetId="12" hidden="1">DEPRECATED_FFvsDef!$G$3,DEPRECATED_FFvsDef!$B$6:$B$16,DEPRECATED_FFvsDef!$B$20:$B$131</definedName>
    <definedName name="solver_adj" localSheetId="9" hidden="1">DSPvsDef!$G$3,DSPvsDef!$B$6:$B$16,DSPvsDef!$C$20:$C$30</definedName>
    <definedName name="solver_adj" localSheetId="6" hidden="1">FHvsDef!$G$3,FHvsDef!$B$6:$B$16,FHvsDef!$C$20:$C$50</definedName>
    <definedName name="solver_adj" localSheetId="2" hidden="1">FRvsDef!$B$6:$B$16,FRvsDef!$G$3,FRvsDef!$C$20:$C$103</definedName>
    <definedName name="solver_adj" localSheetId="0" hidden="1">OffDef25!$E$5:$E$15,OffDef25!$G$5:$G$15,OffDef25!$G$1</definedName>
    <definedName name="solver_adj" localSheetId="5" hidden="1">SHvsDef!$B$6:$B$16,SHvsDef!$G$3,SHvsDef!$C$20:$C$44</definedName>
    <definedName name="solver_adj" localSheetId="3" hidden="1">SRvsDef!$B$6:$B$16,SRvsDef!$G$3,SRvsDef!$C$20:$C$73</definedName>
    <definedName name="solver_cvg" localSheetId="8" hidden="1">0.0001</definedName>
    <definedName name="solver_cvg" localSheetId="13" hidden="1">0.0001</definedName>
    <definedName name="solver_cvg" localSheetId="4" hidden="1">0.0001</definedName>
    <definedName name="solver_cvg" localSheetId="7" hidden="1">0.0001</definedName>
    <definedName name="solver_cvg" localSheetId="12" hidden="1">0.0001</definedName>
    <definedName name="solver_cvg" localSheetId="9" hidden="1">0.0001</definedName>
    <definedName name="solver_cvg" localSheetId="6" hidden="1">0.0001</definedName>
    <definedName name="solver_cvg" localSheetId="2" hidden="1">0.0001</definedName>
    <definedName name="solver_cvg" localSheetId="0" hidden="1">0.0001</definedName>
    <definedName name="solver_cvg" localSheetId="5" hidden="1">0.0001</definedName>
    <definedName name="solver_cvg" localSheetId="3" hidden="1">0.0001</definedName>
    <definedName name="solver_drv" localSheetId="8" hidden="1">1</definedName>
    <definedName name="solver_drv" localSheetId="13" hidden="1">1</definedName>
    <definedName name="solver_drv" localSheetId="4" hidden="1">1</definedName>
    <definedName name="solver_drv" localSheetId="7" hidden="1">1</definedName>
    <definedName name="solver_drv" localSheetId="12" hidden="1">1</definedName>
    <definedName name="solver_drv" localSheetId="9" hidden="1">1</definedName>
    <definedName name="solver_drv" localSheetId="6" hidden="1">1</definedName>
    <definedName name="solver_drv" localSheetId="2" hidden="1">1</definedName>
    <definedName name="solver_drv" localSheetId="0" hidden="1">1</definedName>
    <definedName name="solver_drv" localSheetId="5" hidden="1">1</definedName>
    <definedName name="solver_drv" localSheetId="3" hidden="1">1</definedName>
    <definedName name="solver_eng" localSheetId="8" hidden="1">1</definedName>
    <definedName name="solver_eng" localSheetId="13" hidden="1">1</definedName>
    <definedName name="solver_eng" localSheetId="4" hidden="1">1</definedName>
    <definedName name="solver_eng" localSheetId="7" hidden="1">1</definedName>
    <definedName name="solver_eng" localSheetId="12" hidden="1">1</definedName>
    <definedName name="solver_eng" localSheetId="9" hidden="1">1</definedName>
    <definedName name="solver_eng" localSheetId="6" hidden="1">1</definedName>
    <definedName name="solver_eng" localSheetId="2" hidden="1">1</definedName>
    <definedName name="solver_eng" localSheetId="0" hidden="1">1</definedName>
    <definedName name="solver_eng" localSheetId="5" hidden="1">1</definedName>
    <definedName name="solver_eng" localSheetId="3" hidden="1">1</definedName>
    <definedName name="solver_est" localSheetId="8" hidden="1">1</definedName>
    <definedName name="solver_est" localSheetId="13" hidden="1">1</definedName>
    <definedName name="solver_est" localSheetId="4" hidden="1">1</definedName>
    <definedName name="solver_est" localSheetId="7" hidden="1">1</definedName>
    <definedName name="solver_est" localSheetId="12" hidden="1">1</definedName>
    <definedName name="solver_est" localSheetId="9" hidden="1">1</definedName>
    <definedName name="solver_est" localSheetId="6" hidden="1">1</definedName>
    <definedName name="solver_est" localSheetId="2" hidden="1">1</definedName>
    <definedName name="solver_est" localSheetId="0" hidden="1">1</definedName>
    <definedName name="solver_est" localSheetId="5" hidden="1">1</definedName>
    <definedName name="solver_est" localSheetId="3" hidden="1">1</definedName>
    <definedName name="solver_itr" localSheetId="8" hidden="1">2147483647</definedName>
    <definedName name="solver_itr" localSheetId="13" hidden="1">2147483647</definedName>
    <definedName name="solver_itr" localSheetId="4" hidden="1">2147483647</definedName>
    <definedName name="solver_itr" localSheetId="7" hidden="1">2147483647</definedName>
    <definedName name="solver_itr" localSheetId="12" hidden="1">2147483647</definedName>
    <definedName name="solver_itr" localSheetId="9" hidden="1">2147483647</definedName>
    <definedName name="solver_itr" localSheetId="6" hidden="1">2147483647</definedName>
    <definedName name="solver_itr" localSheetId="2" hidden="1">2147483647</definedName>
    <definedName name="solver_itr" localSheetId="0" hidden="1">2147483647</definedName>
    <definedName name="solver_itr" localSheetId="5" hidden="1">2147483647</definedName>
    <definedName name="solver_itr" localSheetId="3" hidden="1">2147483647</definedName>
    <definedName name="solver_lhs1" localSheetId="8" hidden="1">B3vsDef!$B$3</definedName>
    <definedName name="solver_lhs1" localSheetId="13" hidden="1">BFvsDef!$B$3</definedName>
    <definedName name="solver_lhs1" localSheetId="4" hidden="1">BRvsDef!$B$3</definedName>
    <definedName name="solver_lhs1" localSheetId="7" hidden="1">CvsDef!$B$3</definedName>
    <definedName name="solver_lhs1" localSheetId="12" hidden="1">DEPRECATED_FFvsDef!$B$3</definedName>
    <definedName name="solver_lhs1" localSheetId="9" hidden="1">DSPvsDef!$B$3</definedName>
    <definedName name="solver_lhs1" localSheetId="6" hidden="1">FHvsDef!$B$3</definedName>
    <definedName name="solver_lhs1" localSheetId="2" hidden="1">FRvsDef!$B$3</definedName>
    <definedName name="solver_lhs1" localSheetId="0" hidden="1">OffDef25!$E$3</definedName>
    <definedName name="solver_lhs1" localSheetId="5" hidden="1">SHvsDef!$B$3</definedName>
    <definedName name="solver_lhs1" localSheetId="3" hidden="1">SRvsDef!$B$3</definedName>
    <definedName name="solver_lhs2" localSheetId="6" hidden="1">FHvsDef!$D$18</definedName>
    <definedName name="solver_lhs2" localSheetId="2" hidden="1">FRvsDef!$B$3</definedName>
    <definedName name="solver_lhs2" localSheetId="0" hidden="1">OffDef25!$G$3</definedName>
    <definedName name="solver_lhs2" localSheetId="5" hidden="1">SHvsDef!$D$7</definedName>
    <definedName name="solver_lhs3" localSheetId="2" hidden="1">FRvsDef!$B$6:$B$16</definedName>
    <definedName name="solver_lhs3" localSheetId="0" hidden="1">OffDef25!$B$6:$B$16</definedName>
    <definedName name="solver_mip" localSheetId="8" hidden="1">2147483647</definedName>
    <definedName name="solver_mip" localSheetId="13" hidden="1">2147483647</definedName>
    <definedName name="solver_mip" localSheetId="4" hidden="1">2147483647</definedName>
    <definedName name="solver_mip" localSheetId="7" hidden="1">2147483647</definedName>
    <definedName name="solver_mip" localSheetId="12" hidden="1">2147483647</definedName>
    <definedName name="solver_mip" localSheetId="9" hidden="1">2147483647</definedName>
    <definedName name="solver_mip" localSheetId="6" hidden="1">2147483647</definedName>
    <definedName name="solver_mip" localSheetId="2" hidden="1">2147483647</definedName>
    <definedName name="solver_mip" localSheetId="0" hidden="1">2147483647</definedName>
    <definedName name="solver_mip" localSheetId="5" hidden="1">2147483647</definedName>
    <definedName name="solver_mip" localSheetId="3" hidden="1">2147483647</definedName>
    <definedName name="solver_mni" localSheetId="8" hidden="1">30</definedName>
    <definedName name="solver_mni" localSheetId="13" hidden="1">30</definedName>
    <definedName name="solver_mni" localSheetId="4" hidden="1">30</definedName>
    <definedName name="solver_mni" localSheetId="7" hidden="1">30</definedName>
    <definedName name="solver_mni" localSheetId="12" hidden="1">30</definedName>
    <definedName name="solver_mni" localSheetId="9" hidden="1">30</definedName>
    <definedName name="solver_mni" localSheetId="6" hidden="1">30</definedName>
    <definedName name="solver_mni" localSheetId="2" hidden="1">30</definedName>
    <definedName name="solver_mni" localSheetId="0" hidden="1">30</definedName>
    <definedName name="solver_mni" localSheetId="5" hidden="1">30</definedName>
    <definedName name="solver_mni" localSheetId="3" hidden="1">30</definedName>
    <definedName name="solver_mrt" localSheetId="8" hidden="1">0.075</definedName>
    <definedName name="solver_mrt" localSheetId="13" hidden="1">0.075</definedName>
    <definedName name="solver_mrt" localSheetId="4" hidden="1">0.075</definedName>
    <definedName name="solver_mrt" localSheetId="7" hidden="1">0.075</definedName>
    <definedName name="solver_mrt" localSheetId="12" hidden="1">0.075</definedName>
    <definedName name="solver_mrt" localSheetId="9" hidden="1">0.075</definedName>
    <definedName name="solver_mrt" localSheetId="6" hidden="1">0.075</definedName>
    <definedName name="solver_mrt" localSheetId="2" hidden="1">0.075</definedName>
    <definedName name="solver_mrt" localSheetId="0" hidden="1">0.075</definedName>
    <definedName name="solver_mrt" localSheetId="5" hidden="1">0.075</definedName>
    <definedName name="solver_mrt" localSheetId="3" hidden="1">0.075</definedName>
    <definedName name="solver_msl" localSheetId="8" hidden="1">2</definedName>
    <definedName name="solver_msl" localSheetId="13" hidden="1">2</definedName>
    <definedName name="solver_msl" localSheetId="4" hidden="1">2</definedName>
    <definedName name="solver_msl" localSheetId="7" hidden="1">2</definedName>
    <definedName name="solver_msl" localSheetId="12" hidden="1">2</definedName>
    <definedName name="solver_msl" localSheetId="9" hidden="1">2</definedName>
    <definedName name="solver_msl" localSheetId="6" hidden="1">2</definedName>
    <definedName name="solver_msl" localSheetId="2" hidden="1">2</definedName>
    <definedName name="solver_msl" localSheetId="0" hidden="1">2</definedName>
    <definedName name="solver_msl" localSheetId="5" hidden="1">2</definedName>
    <definedName name="solver_msl" localSheetId="3" hidden="1">2</definedName>
    <definedName name="solver_neg" localSheetId="8" hidden="1">2</definedName>
    <definedName name="solver_neg" localSheetId="13" hidden="1">2</definedName>
    <definedName name="solver_neg" localSheetId="4" hidden="1">2</definedName>
    <definedName name="solver_neg" localSheetId="7" hidden="1">2</definedName>
    <definedName name="solver_neg" localSheetId="12" hidden="1">2</definedName>
    <definedName name="solver_neg" localSheetId="9" hidden="1">2</definedName>
    <definedName name="solver_neg" localSheetId="6" hidden="1">2</definedName>
    <definedName name="solver_neg" localSheetId="2" hidden="1">2</definedName>
    <definedName name="solver_neg" localSheetId="0" hidden="1">2</definedName>
    <definedName name="solver_neg" localSheetId="5" hidden="1">2</definedName>
    <definedName name="solver_neg" localSheetId="3" hidden="1">2</definedName>
    <definedName name="solver_nod" localSheetId="8" hidden="1">2147483647</definedName>
    <definedName name="solver_nod" localSheetId="13" hidden="1">2147483647</definedName>
    <definedName name="solver_nod" localSheetId="4" hidden="1">2147483647</definedName>
    <definedName name="solver_nod" localSheetId="7" hidden="1">2147483647</definedName>
    <definedName name="solver_nod" localSheetId="12" hidden="1">2147483647</definedName>
    <definedName name="solver_nod" localSheetId="9" hidden="1">2147483647</definedName>
    <definedName name="solver_nod" localSheetId="6" hidden="1">2147483647</definedName>
    <definedName name="solver_nod" localSheetId="2" hidden="1">2147483647</definedName>
    <definedName name="solver_nod" localSheetId="0" hidden="1">2147483647</definedName>
    <definedName name="solver_nod" localSheetId="5" hidden="1">2147483647</definedName>
    <definedName name="solver_nod" localSheetId="3" hidden="1">2147483647</definedName>
    <definedName name="solver_num" localSheetId="8" hidden="1">1</definedName>
    <definedName name="solver_num" localSheetId="13" hidden="1">1</definedName>
    <definedName name="solver_num" localSheetId="4" hidden="1">1</definedName>
    <definedName name="solver_num" localSheetId="7" hidden="1">1</definedName>
    <definedName name="solver_num" localSheetId="12" hidden="1">1</definedName>
    <definedName name="solver_num" localSheetId="9" hidden="1">1</definedName>
    <definedName name="solver_num" localSheetId="6" hidden="1">1</definedName>
    <definedName name="solver_num" localSheetId="2" hidden="1">1</definedName>
    <definedName name="solver_num" localSheetId="0" hidden="1">2</definedName>
    <definedName name="solver_num" localSheetId="5" hidden="1">1</definedName>
    <definedName name="solver_num" localSheetId="3" hidden="1">1</definedName>
    <definedName name="solver_nwt" localSheetId="8" hidden="1">1</definedName>
    <definedName name="solver_nwt" localSheetId="13" hidden="1">1</definedName>
    <definedName name="solver_nwt" localSheetId="4" hidden="1">1</definedName>
    <definedName name="solver_nwt" localSheetId="7" hidden="1">1</definedName>
    <definedName name="solver_nwt" localSheetId="12" hidden="1">1</definedName>
    <definedName name="solver_nwt" localSheetId="9" hidden="1">1</definedName>
    <definedName name="solver_nwt" localSheetId="6" hidden="1">1</definedName>
    <definedName name="solver_nwt" localSheetId="2" hidden="1">1</definedName>
    <definedName name="solver_nwt" localSheetId="0" hidden="1">1</definedName>
    <definedName name="solver_nwt" localSheetId="5" hidden="1">1</definedName>
    <definedName name="solver_nwt" localSheetId="3" hidden="1">1</definedName>
    <definedName name="solver_opt" localSheetId="8" hidden="1">B3vsDef!$Q$5</definedName>
    <definedName name="solver_opt" localSheetId="13" hidden="1">BFvsDef!$O$5</definedName>
    <definedName name="solver_opt" localSheetId="4" hidden="1">BRvsDef!$Q$5</definedName>
    <definedName name="solver_opt" localSheetId="7" hidden="1">CvsDef!$Q$5</definedName>
    <definedName name="solver_opt" localSheetId="12" hidden="1">DEPRECATED_FFvsDef!$N$5</definedName>
    <definedName name="solver_opt" localSheetId="9" hidden="1">DSPvsDef!$Q$5</definedName>
    <definedName name="solver_opt" localSheetId="6" hidden="1">FHvsDef!$Q$5</definedName>
    <definedName name="solver_opt" localSheetId="2" hidden="1">FRvsDef!$Q$5</definedName>
    <definedName name="solver_opt" localSheetId="0" hidden="1">OffDef25!$P$4</definedName>
    <definedName name="solver_opt" localSheetId="5" hidden="1">SHvsDef!$Q$5</definedName>
    <definedName name="solver_opt" localSheetId="3" hidden="1">SRvsDef!$Q$5</definedName>
    <definedName name="solver_pre" localSheetId="8" hidden="1">0.000001</definedName>
    <definedName name="solver_pre" localSheetId="13" hidden="1">0.000001</definedName>
    <definedName name="solver_pre" localSheetId="4" hidden="1">0.000001</definedName>
    <definedName name="solver_pre" localSheetId="7" hidden="1">0.000001</definedName>
    <definedName name="solver_pre" localSheetId="12" hidden="1">0.000001</definedName>
    <definedName name="solver_pre" localSheetId="9" hidden="1">0.000001</definedName>
    <definedName name="solver_pre" localSheetId="6" hidden="1">0.000001</definedName>
    <definedName name="solver_pre" localSheetId="2" hidden="1">0.000001</definedName>
    <definedName name="solver_pre" localSheetId="0" hidden="1">0.000001</definedName>
    <definedName name="solver_pre" localSheetId="5" hidden="1">0.000001</definedName>
    <definedName name="solver_pre" localSheetId="3" hidden="1">0.000001</definedName>
    <definedName name="solver_rbv" localSheetId="8" hidden="1">1</definedName>
    <definedName name="solver_rbv" localSheetId="13" hidden="1">1</definedName>
    <definedName name="solver_rbv" localSheetId="4" hidden="1">1</definedName>
    <definedName name="solver_rbv" localSheetId="7" hidden="1">1</definedName>
    <definedName name="solver_rbv" localSheetId="12" hidden="1">1</definedName>
    <definedName name="solver_rbv" localSheetId="9" hidden="1">1</definedName>
    <definedName name="solver_rbv" localSheetId="6" hidden="1">1</definedName>
    <definedName name="solver_rbv" localSheetId="2" hidden="1">1</definedName>
    <definedName name="solver_rbv" localSheetId="0" hidden="1">1</definedName>
    <definedName name="solver_rbv" localSheetId="5" hidden="1">1</definedName>
    <definedName name="solver_rbv" localSheetId="3" hidden="1">1</definedName>
    <definedName name="solver_rel1" localSheetId="8" hidden="1">2</definedName>
    <definedName name="solver_rel1" localSheetId="13" hidden="1">2</definedName>
    <definedName name="solver_rel1" localSheetId="4" hidden="1">2</definedName>
    <definedName name="solver_rel1" localSheetId="7" hidden="1">2</definedName>
    <definedName name="solver_rel1" localSheetId="12" hidden="1">2</definedName>
    <definedName name="solver_rel1" localSheetId="9" hidden="1">2</definedName>
    <definedName name="solver_rel1" localSheetId="6" hidden="1">2</definedName>
    <definedName name="solver_rel1" localSheetId="2" hidden="1">2</definedName>
    <definedName name="solver_rel1" localSheetId="0" hidden="1">2</definedName>
    <definedName name="solver_rel1" localSheetId="5" hidden="1">2</definedName>
    <definedName name="solver_rel1" localSheetId="3" hidden="1">2</definedName>
    <definedName name="solver_rel2" localSheetId="6" hidden="1">1</definedName>
    <definedName name="solver_rel2" localSheetId="2" hidden="1">2</definedName>
    <definedName name="solver_rel2" localSheetId="0" hidden="1">2</definedName>
    <definedName name="solver_rel2" localSheetId="5" hidden="1">1</definedName>
    <definedName name="solver_rel3" localSheetId="2" hidden="1">1</definedName>
    <definedName name="solver_rel3" localSheetId="0" hidden="1">1</definedName>
    <definedName name="solver_rhs1" localSheetId="8" hidden="1">B3vsDef!$B$2</definedName>
    <definedName name="solver_rhs1" localSheetId="13" hidden="1">BFvsDef!$B$2</definedName>
    <definedName name="solver_rhs1" localSheetId="4" hidden="1">BRvsDef!$B$2</definedName>
    <definedName name="solver_rhs1" localSheetId="7" hidden="1">CvsDef!$B$2</definedName>
    <definedName name="solver_rhs1" localSheetId="12" hidden="1">DEPRECATED_FFvsDef!$B$2</definedName>
    <definedName name="solver_rhs1" localSheetId="9" hidden="1">DSPvsDef!$B$2</definedName>
    <definedName name="solver_rhs1" localSheetId="6" hidden="1">FHvsDef!$B$2</definedName>
    <definedName name="solver_rhs1" localSheetId="2" hidden="1">FRvsDef!$B$2</definedName>
    <definedName name="solver_rhs1" localSheetId="0" hidden="1">0</definedName>
    <definedName name="solver_rhs1" localSheetId="5" hidden="1">SHvsDef!$B$2</definedName>
    <definedName name="solver_rhs1" localSheetId="3" hidden="1">SRvsDef!$B$2</definedName>
    <definedName name="solver_rhs2" localSheetId="6" hidden="1">FHvsDef!$D$19</definedName>
    <definedName name="solver_rhs2" localSheetId="2" hidden="1">FRvsDef!$B$2</definedName>
    <definedName name="solver_rhs2" localSheetId="0" hidden="1">0</definedName>
    <definedName name="solver_rhs2" localSheetId="5" hidden="1">SHvsDef!$B$2</definedName>
    <definedName name="solver_rhs3" localSheetId="2" hidden="1">0</definedName>
    <definedName name="solver_rhs3" localSheetId="0" hidden="1">0</definedName>
    <definedName name="solver_rlx" localSheetId="8" hidden="1">2</definedName>
    <definedName name="solver_rlx" localSheetId="13" hidden="1">2</definedName>
    <definedName name="solver_rlx" localSheetId="4" hidden="1">2</definedName>
    <definedName name="solver_rlx" localSheetId="7" hidden="1">2</definedName>
    <definedName name="solver_rlx" localSheetId="12" hidden="1">2</definedName>
    <definedName name="solver_rlx" localSheetId="9" hidden="1">2</definedName>
    <definedName name="solver_rlx" localSheetId="6" hidden="1">2</definedName>
    <definedName name="solver_rlx" localSheetId="2" hidden="1">2</definedName>
    <definedName name="solver_rlx" localSheetId="0" hidden="1">2</definedName>
    <definedName name="solver_rlx" localSheetId="5" hidden="1">2</definedName>
    <definedName name="solver_rlx" localSheetId="3" hidden="1">2</definedName>
    <definedName name="solver_rsd" localSheetId="8" hidden="1">0</definedName>
    <definedName name="solver_rsd" localSheetId="13" hidden="1">0</definedName>
    <definedName name="solver_rsd" localSheetId="4" hidden="1">0</definedName>
    <definedName name="solver_rsd" localSheetId="7" hidden="1">0</definedName>
    <definedName name="solver_rsd" localSheetId="12" hidden="1">0</definedName>
    <definedName name="solver_rsd" localSheetId="9" hidden="1">0</definedName>
    <definedName name="solver_rsd" localSheetId="6" hidden="1">0</definedName>
    <definedName name="solver_rsd" localSheetId="2" hidden="1">0</definedName>
    <definedName name="solver_rsd" localSheetId="0" hidden="1">0</definedName>
    <definedName name="solver_rsd" localSheetId="5" hidden="1">0</definedName>
    <definedName name="solver_rsd" localSheetId="3" hidden="1">0</definedName>
    <definedName name="solver_scl" localSheetId="8" hidden="1">1</definedName>
    <definedName name="solver_scl" localSheetId="13" hidden="1">1</definedName>
    <definedName name="solver_scl" localSheetId="4" hidden="1">1</definedName>
    <definedName name="solver_scl" localSheetId="7" hidden="1">1</definedName>
    <definedName name="solver_scl" localSheetId="12" hidden="1">1</definedName>
    <definedName name="solver_scl" localSheetId="9" hidden="1">1</definedName>
    <definedName name="solver_scl" localSheetId="6" hidden="1">1</definedName>
    <definedName name="solver_scl" localSheetId="2" hidden="1">1</definedName>
    <definedName name="solver_scl" localSheetId="0" hidden="1">1</definedName>
    <definedName name="solver_scl" localSheetId="5" hidden="1">1</definedName>
    <definedName name="solver_scl" localSheetId="3" hidden="1">1</definedName>
    <definedName name="solver_sho" localSheetId="8" hidden="1">2</definedName>
    <definedName name="solver_sho" localSheetId="13" hidden="1">2</definedName>
    <definedName name="solver_sho" localSheetId="4" hidden="1">2</definedName>
    <definedName name="solver_sho" localSheetId="7" hidden="1">2</definedName>
    <definedName name="solver_sho" localSheetId="12" hidden="1">2</definedName>
    <definedName name="solver_sho" localSheetId="9" hidden="1">2</definedName>
    <definedName name="solver_sho" localSheetId="6" hidden="1">2</definedName>
    <definedName name="solver_sho" localSheetId="2" hidden="1">2</definedName>
    <definedName name="solver_sho" localSheetId="0" hidden="1">2</definedName>
    <definedName name="solver_sho" localSheetId="5" hidden="1">2</definedName>
    <definedName name="solver_sho" localSheetId="3" hidden="1">2</definedName>
    <definedName name="solver_ssz" localSheetId="8" hidden="1">100</definedName>
    <definedName name="solver_ssz" localSheetId="13" hidden="1">100</definedName>
    <definedName name="solver_ssz" localSheetId="4" hidden="1">100</definedName>
    <definedName name="solver_ssz" localSheetId="7" hidden="1">100</definedName>
    <definedName name="solver_ssz" localSheetId="12" hidden="1">100</definedName>
    <definedName name="solver_ssz" localSheetId="9" hidden="1">100</definedName>
    <definedName name="solver_ssz" localSheetId="6" hidden="1">100</definedName>
    <definedName name="solver_ssz" localSheetId="2" hidden="1">100</definedName>
    <definedName name="solver_ssz" localSheetId="0" hidden="1">100</definedName>
    <definedName name="solver_ssz" localSheetId="5" hidden="1">100</definedName>
    <definedName name="solver_ssz" localSheetId="3" hidden="1">100</definedName>
    <definedName name="solver_tim" localSheetId="8" hidden="1">2147483647</definedName>
    <definedName name="solver_tim" localSheetId="13" hidden="1">2147483647</definedName>
    <definedName name="solver_tim" localSheetId="4" hidden="1">2147483647</definedName>
    <definedName name="solver_tim" localSheetId="7" hidden="1">2147483647</definedName>
    <definedName name="solver_tim" localSheetId="12" hidden="1">2147483647</definedName>
    <definedName name="solver_tim" localSheetId="9" hidden="1">2147483647</definedName>
    <definedName name="solver_tim" localSheetId="6" hidden="1">2147483647</definedName>
    <definedName name="solver_tim" localSheetId="2" hidden="1">2147483647</definedName>
    <definedName name="solver_tim" localSheetId="0" hidden="1">2147483647</definedName>
    <definedName name="solver_tim" localSheetId="5" hidden="1">2147483647</definedName>
    <definedName name="solver_tim" localSheetId="3" hidden="1">2147483647</definedName>
    <definedName name="solver_tol" localSheetId="8" hidden="1">0.01</definedName>
    <definedName name="solver_tol" localSheetId="13" hidden="1">0.01</definedName>
    <definedName name="solver_tol" localSheetId="4" hidden="1">0.01</definedName>
    <definedName name="solver_tol" localSheetId="7" hidden="1">0.01</definedName>
    <definedName name="solver_tol" localSheetId="12" hidden="1">0.01</definedName>
    <definedName name="solver_tol" localSheetId="9" hidden="1">0.01</definedName>
    <definedName name="solver_tol" localSheetId="6" hidden="1">0.01</definedName>
    <definedName name="solver_tol" localSheetId="2" hidden="1">0.01</definedName>
    <definedName name="solver_tol" localSheetId="0" hidden="1">0.01</definedName>
    <definedName name="solver_tol" localSheetId="5" hidden="1">0.01</definedName>
    <definedName name="solver_tol" localSheetId="3" hidden="1">0.01</definedName>
    <definedName name="solver_typ" localSheetId="8" hidden="1">2</definedName>
    <definedName name="solver_typ" localSheetId="13" hidden="1">2</definedName>
    <definedName name="solver_typ" localSheetId="4" hidden="1">2</definedName>
    <definedName name="solver_typ" localSheetId="7" hidden="1">2</definedName>
    <definedName name="solver_typ" localSheetId="12" hidden="1">2</definedName>
    <definedName name="solver_typ" localSheetId="9" hidden="1">2</definedName>
    <definedName name="solver_typ" localSheetId="6" hidden="1">2</definedName>
    <definedName name="solver_typ" localSheetId="2" hidden="1">2</definedName>
    <definedName name="solver_typ" localSheetId="0" hidden="1">2</definedName>
    <definedName name="solver_typ" localSheetId="5" hidden="1">2</definedName>
    <definedName name="solver_typ" localSheetId="3" hidden="1">2</definedName>
    <definedName name="solver_val" localSheetId="8" hidden="1">0</definedName>
    <definedName name="solver_val" localSheetId="13" hidden="1">0</definedName>
    <definedName name="solver_val" localSheetId="4" hidden="1">0</definedName>
    <definedName name="solver_val" localSheetId="7" hidden="1">0</definedName>
    <definedName name="solver_val" localSheetId="12" hidden="1">0</definedName>
    <definedName name="solver_val" localSheetId="9" hidden="1">0</definedName>
    <definedName name="solver_val" localSheetId="6" hidden="1">0</definedName>
    <definedName name="solver_val" localSheetId="2" hidden="1">0</definedName>
    <definedName name="solver_val" localSheetId="0" hidden="1">0</definedName>
    <definedName name="solver_val" localSheetId="5" hidden="1">0</definedName>
    <definedName name="solver_val" localSheetId="3" hidden="1">0</definedName>
    <definedName name="solver_ver" localSheetId="8" hidden="1">3</definedName>
    <definedName name="solver_ver" localSheetId="13" hidden="1">3</definedName>
    <definedName name="solver_ver" localSheetId="4" hidden="1">3</definedName>
    <definedName name="solver_ver" localSheetId="7" hidden="1">3</definedName>
    <definedName name="solver_ver" localSheetId="12" hidden="1">3</definedName>
    <definedName name="solver_ver" localSheetId="9" hidden="1">3</definedName>
    <definedName name="solver_ver" localSheetId="6" hidden="1">3</definedName>
    <definedName name="solver_ver" localSheetId="2" hidden="1">3</definedName>
    <definedName name="solver_ver" localSheetId="0" hidden="1">3</definedName>
    <definedName name="solver_ver" localSheetId="5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0" i="17" l="1"/>
  <c r="C100" i="17"/>
  <c r="Q101" i="17"/>
  <c r="R101" i="17"/>
  <c r="Q100" i="17"/>
  <c r="R100" i="17"/>
  <c r="Q99" i="17"/>
  <c r="R99" i="17"/>
  <c r="Q98" i="17"/>
  <c r="R98" i="17"/>
  <c r="Q97" i="17"/>
  <c r="R97" i="17"/>
  <c r="Q96" i="17"/>
  <c r="R96" i="17"/>
  <c r="Q95" i="17"/>
  <c r="R95" i="17"/>
  <c r="N102" i="17"/>
  <c r="O102" i="17"/>
  <c r="N103" i="17"/>
  <c r="O103" i="17"/>
  <c r="N104" i="17"/>
  <c r="O104" i="17"/>
  <c r="N94" i="17"/>
  <c r="O94" i="17"/>
  <c r="N95" i="17"/>
  <c r="O95" i="17"/>
  <c r="N96" i="17"/>
  <c r="O96" i="17"/>
  <c r="N97" i="17"/>
  <c r="O97" i="17"/>
  <c r="N98" i="17"/>
  <c r="O98" i="17"/>
  <c r="N99" i="17"/>
  <c r="O99" i="17"/>
  <c r="N100" i="17"/>
  <c r="O100" i="17"/>
  <c r="N101" i="17"/>
  <c r="O101" i="17"/>
  <c r="Q94" i="17"/>
  <c r="R94" i="17"/>
  <c r="Q88" i="17"/>
  <c r="R88" i="17"/>
  <c r="Q89" i="17"/>
  <c r="R89" i="17"/>
  <c r="Q90" i="17"/>
  <c r="R90" i="17"/>
  <c r="Q91" i="17"/>
  <c r="R91" i="17"/>
  <c r="Q92" i="17"/>
  <c r="R92" i="17"/>
  <c r="Q93" i="17"/>
  <c r="R93" i="17"/>
  <c r="O93" i="17"/>
  <c r="N93" i="17"/>
  <c r="P99" i="17" l="1"/>
  <c r="P98" i="17"/>
  <c r="P96" i="17"/>
  <c r="P97" i="17"/>
  <c r="P94" i="17"/>
  <c r="P95" i="17"/>
  <c r="P93" i="17"/>
  <c r="O92" i="17"/>
  <c r="N92" i="17"/>
  <c r="O91" i="17"/>
  <c r="N91" i="17"/>
  <c r="O90" i="17"/>
  <c r="N90" i="17"/>
  <c r="O89" i="17"/>
  <c r="N89" i="17"/>
  <c r="O88" i="17"/>
  <c r="N88" i="17"/>
  <c r="P88" i="17" l="1"/>
  <c r="P90" i="17"/>
  <c r="P92" i="17"/>
  <c r="P89" i="17"/>
  <c r="P91" i="17"/>
  <c r="AA86" i="17" l="1"/>
  <c r="AA85" i="17"/>
  <c r="AA84" i="17"/>
  <c r="AA83" i="17"/>
  <c r="AA82" i="17"/>
  <c r="I20" i="9" a="1"/>
  <c r="I20" i="9" s="1"/>
  <c r="P7" i="9"/>
  <c r="D20" i="9"/>
  <c r="D28" i="9"/>
  <c r="I28" i="9" a="1"/>
  <c r="I28" i="9" s="1"/>
  <c r="D75" i="9"/>
  <c r="I75" i="9" a="1"/>
  <c r="I75" i="9" s="1"/>
  <c r="D90" i="9"/>
  <c r="I90" i="9" a="1"/>
  <c r="I90" i="9" s="1"/>
  <c r="A20" i="9"/>
  <c r="A28" i="9"/>
  <c r="A75" i="9"/>
  <c r="A90" i="9"/>
  <c r="M49" i="7"/>
  <c r="M48" i="7"/>
  <c r="M47" i="7"/>
  <c r="M46" i="7"/>
  <c r="M45" i="7"/>
  <c r="M44" i="7"/>
  <c r="M43" i="7"/>
  <c r="M42" i="7"/>
  <c r="M41" i="7"/>
  <c r="M40" i="7"/>
  <c r="M39" i="7"/>
  <c r="P166" i="16" l="1"/>
  <c r="Q166" i="16" s="1"/>
  <c r="D92" i="3"/>
  <c r="I92" i="3" a="1"/>
  <c r="I92" i="3" s="1"/>
  <c r="D95" i="3"/>
  <c r="I95" i="3" a="1"/>
  <c r="I95" i="3" s="1"/>
  <c r="A92" i="3"/>
  <c r="A95" i="3"/>
  <c r="P9" i="3"/>
  <c r="P10" i="3"/>
  <c r="P11" i="3"/>
  <c r="P13" i="3"/>
  <c r="P15" i="3"/>
  <c r="P16" i="3"/>
  <c r="P17" i="3"/>
  <c r="P18" i="3"/>
  <c r="P19" i="3"/>
  <c r="P21" i="3"/>
  <c r="P26" i="3"/>
  <c r="P29" i="3"/>
  <c r="P30" i="3"/>
  <c r="P31" i="3"/>
  <c r="P32" i="3"/>
  <c r="P40" i="3"/>
  <c r="P42" i="3"/>
  <c r="P45" i="3"/>
  <c r="P46" i="3"/>
  <c r="P47" i="3"/>
  <c r="P49" i="3"/>
  <c r="P53" i="3"/>
  <c r="P54" i="3"/>
  <c r="P56" i="3"/>
  <c r="P57" i="3"/>
  <c r="P58" i="3"/>
  <c r="P60" i="3"/>
  <c r="P61" i="3"/>
  <c r="P62" i="3"/>
  <c r="P64" i="3"/>
  <c r="P65" i="3"/>
  <c r="P66" i="3"/>
  <c r="P68" i="3"/>
  <c r="P71" i="3"/>
  <c r="P72" i="3"/>
  <c r="P76" i="3"/>
  <c r="P77" i="3"/>
  <c r="P81" i="3"/>
  <c r="P83" i="3"/>
  <c r="P84" i="3"/>
  <c r="P85" i="3"/>
  <c r="P90" i="3"/>
  <c r="P95" i="3"/>
  <c r="P96" i="3"/>
  <c r="P97" i="3"/>
  <c r="P98" i="3"/>
  <c r="P101" i="3"/>
  <c r="P102" i="3"/>
  <c r="P103" i="3"/>
  <c r="P105" i="3"/>
  <c r="P106" i="3"/>
  <c r="P107" i="3"/>
  <c r="P112" i="3"/>
  <c r="P113" i="3"/>
  <c r="P115" i="3"/>
  <c r="P116" i="3"/>
  <c r="P117" i="3"/>
  <c r="P122" i="3"/>
  <c r="P124" i="3"/>
  <c r="P126" i="3"/>
  <c r="P128" i="3"/>
  <c r="P133" i="3"/>
  <c r="P135" i="3"/>
  <c r="P138" i="3"/>
  <c r="P139" i="3"/>
  <c r="P141" i="3"/>
  <c r="P142" i="3"/>
  <c r="P143" i="3"/>
  <c r="P144" i="3"/>
  <c r="P145" i="3"/>
  <c r="P146" i="3"/>
  <c r="P148" i="3"/>
  <c r="P149" i="3"/>
  <c r="P150" i="3"/>
  <c r="P151" i="3"/>
  <c r="P153" i="3"/>
  <c r="P154" i="3"/>
  <c r="P155" i="3"/>
  <c r="P157" i="3"/>
  <c r="P159" i="3"/>
  <c r="P166" i="3"/>
  <c r="P167" i="3"/>
  <c r="P169" i="3"/>
  <c r="P171" i="3"/>
  <c r="P175" i="3"/>
  <c r="P176" i="3"/>
  <c r="P177" i="3"/>
  <c r="P178" i="3"/>
  <c r="P180" i="3"/>
  <c r="P181" i="3"/>
  <c r="P183" i="3"/>
  <c r="P184" i="3"/>
  <c r="P187" i="3"/>
  <c r="P196" i="3"/>
  <c r="P197" i="3"/>
  <c r="P199" i="3"/>
  <c r="P200" i="3"/>
  <c r="P202" i="3"/>
  <c r="P203" i="3"/>
  <c r="P205" i="3"/>
  <c r="P206" i="3"/>
  <c r="P208" i="3"/>
  <c r="P209" i="3"/>
  <c r="P210" i="3"/>
  <c r="P211" i="3"/>
  <c r="P216" i="3"/>
  <c r="P217" i="3"/>
  <c r="P218" i="3"/>
  <c r="P220" i="3"/>
  <c r="P222" i="3"/>
  <c r="P224" i="3"/>
  <c r="P231" i="3"/>
  <c r="P232" i="3"/>
  <c r="P234" i="3"/>
  <c r="P235" i="3"/>
  <c r="P236" i="3"/>
  <c r="P238" i="3"/>
  <c r="P239" i="3"/>
  <c r="P241" i="3"/>
  <c r="P242" i="3"/>
  <c r="P245" i="3"/>
  <c r="P247" i="3"/>
  <c r="P249" i="3"/>
  <c r="P250" i="3"/>
  <c r="P251" i="3"/>
  <c r="P252" i="3"/>
  <c r="P253" i="3"/>
  <c r="P259" i="3"/>
  <c r="P264" i="3"/>
  <c r="P266" i="3"/>
  <c r="P268" i="3"/>
  <c r="P271" i="3"/>
  <c r="P272" i="3"/>
  <c r="P273" i="3"/>
  <c r="P275" i="3"/>
  <c r="P276" i="3"/>
  <c r="P280" i="3"/>
  <c r="P281" i="3"/>
  <c r="P284" i="3"/>
  <c r="P285" i="3"/>
  <c r="P288" i="3"/>
  <c r="P291" i="3"/>
  <c r="P292" i="3"/>
  <c r="P294" i="3"/>
  <c r="P295" i="3"/>
  <c r="P299" i="3"/>
  <c r="P300" i="3"/>
  <c r="P301" i="3"/>
  <c r="P303" i="3"/>
  <c r="P306" i="3"/>
  <c r="P307" i="3"/>
  <c r="P309" i="3"/>
  <c r="P310" i="3"/>
  <c r="P313" i="3"/>
  <c r="P315" i="3"/>
  <c r="P316" i="3"/>
  <c r="P318" i="3"/>
  <c r="P323" i="3"/>
  <c r="P324" i="3"/>
  <c r="P329" i="3"/>
  <c r="P330" i="3"/>
  <c r="P332" i="3"/>
  <c r="P335" i="3"/>
  <c r="P336" i="3"/>
  <c r="P337" i="3"/>
  <c r="P338" i="3"/>
  <c r="P342" i="3"/>
  <c r="P345" i="3"/>
  <c r="P346" i="3"/>
  <c r="P348" i="3"/>
  <c r="P350" i="3"/>
  <c r="P351" i="3"/>
  <c r="P354" i="3"/>
  <c r="P355" i="3"/>
  <c r="P357" i="3"/>
  <c r="P359" i="3"/>
  <c r="P360" i="3"/>
  <c r="P361" i="3"/>
  <c r="P364" i="3"/>
  <c r="P365" i="3"/>
  <c r="P371" i="3"/>
  <c r="P392" i="3"/>
  <c r="P393" i="3"/>
  <c r="P394" i="3"/>
  <c r="P395" i="3"/>
  <c r="P396" i="3"/>
  <c r="P397" i="3"/>
  <c r="P398" i="3"/>
  <c r="P39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8" i="3"/>
  <c r="P439" i="3"/>
  <c r="P440" i="3"/>
  <c r="P441" i="3"/>
  <c r="P442" i="3"/>
  <c r="P443" i="3"/>
  <c r="P444" i="3"/>
  <c r="P445" i="3"/>
  <c r="P446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76" i="3"/>
  <c r="P477" i="3"/>
  <c r="P478" i="3"/>
  <c r="P479" i="3"/>
  <c r="P480" i="3"/>
  <c r="P481" i="3"/>
  <c r="P482" i="3"/>
  <c r="P483" i="3"/>
  <c r="P484" i="3"/>
  <c r="P485" i="3"/>
  <c r="P505" i="3"/>
  <c r="P506" i="3"/>
  <c r="P507" i="3"/>
  <c r="P508" i="3"/>
  <c r="P509" i="3"/>
  <c r="P510" i="3"/>
  <c r="P511" i="3"/>
  <c r="P512" i="3"/>
  <c r="P521" i="3"/>
  <c r="P522" i="3"/>
  <c r="P523" i="3"/>
  <c r="P524" i="3"/>
  <c r="P525" i="3"/>
  <c r="P526" i="3"/>
  <c r="P527" i="3"/>
  <c r="P528" i="3"/>
  <c r="P543" i="3"/>
  <c r="P544" i="3"/>
  <c r="P545" i="3"/>
  <c r="P546" i="3"/>
  <c r="P547" i="3"/>
  <c r="P548" i="3"/>
  <c r="P549" i="3"/>
  <c r="P55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81" i="3"/>
  <c r="P582" i="3"/>
  <c r="P583" i="3"/>
  <c r="P584" i="3"/>
  <c r="P585" i="3"/>
  <c r="P586" i="3"/>
  <c r="P587" i="3"/>
  <c r="P588" i="3"/>
  <c r="P605" i="3"/>
  <c r="P606" i="3"/>
  <c r="P607" i="3"/>
  <c r="P608" i="3"/>
  <c r="P609" i="3"/>
  <c r="P610" i="3"/>
  <c r="P611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44" i="3"/>
  <c r="P645" i="3"/>
  <c r="P646" i="3"/>
  <c r="P647" i="3"/>
  <c r="P648" i="3"/>
  <c r="P649" i="3"/>
  <c r="P664" i="3"/>
  <c r="P665" i="3"/>
  <c r="P666" i="3"/>
  <c r="P667" i="3"/>
  <c r="P668" i="3"/>
  <c r="P669" i="3"/>
  <c r="P670" i="3"/>
  <c r="P671" i="3"/>
  <c r="P674" i="3"/>
  <c r="P676" i="3"/>
  <c r="P677" i="3"/>
  <c r="P678" i="3"/>
  <c r="P680" i="3"/>
  <c r="D28" i="3"/>
  <c r="I28" i="3" a="1"/>
  <c r="I28" i="3" s="1"/>
  <c r="D55" i="3"/>
  <c r="I55" i="3" a="1"/>
  <c r="I55" i="3" s="1"/>
  <c r="D64" i="3"/>
  <c r="I64" i="3" a="1"/>
  <c r="I64" i="3" s="1"/>
  <c r="D70" i="3"/>
  <c r="I70" i="3" a="1"/>
  <c r="I70" i="3" s="1"/>
  <c r="A28" i="3"/>
  <c r="A55" i="3"/>
  <c r="A64" i="3"/>
  <c r="A70" i="3"/>
  <c r="P8" i="2"/>
  <c r="P9" i="2"/>
  <c r="P10" i="2"/>
  <c r="P11" i="2"/>
  <c r="P12" i="2"/>
  <c r="P13" i="2"/>
  <c r="P14" i="2"/>
  <c r="P22" i="2"/>
  <c r="P23" i="2"/>
  <c r="P24" i="2"/>
  <c r="P30" i="2"/>
  <c r="P31" i="2"/>
  <c r="P32" i="2"/>
  <c r="P34" i="2"/>
  <c r="P35" i="2"/>
  <c r="P37" i="2"/>
  <c r="P40" i="2"/>
  <c r="P41" i="2"/>
  <c r="P43" i="2"/>
  <c r="P44" i="2"/>
  <c r="P46" i="2"/>
  <c r="P47" i="2"/>
  <c r="P50" i="2"/>
  <c r="P51" i="2"/>
  <c r="P54" i="2"/>
  <c r="P55" i="2"/>
  <c r="P57" i="2"/>
  <c r="P60" i="2"/>
  <c r="P65" i="2"/>
  <c r="P66" i="2"/>
  <c r="P71" i="2"/>
  <c r="P72" i="2"/>
  <c r="P74" i="2"/>
  <c r="P76" i="2"/>
  <c r="P77" i="2"/>
  <c r="P78" i="2"/>
  <c r="P79" i="2"/>
  <c r="P80" i="2"/>
  <c r="P85" i="2"/>
  <c r="P87" i="2"/>
  <c r="P90" i="2"/>
  <c r="P91" i="2"/>
  <c r="P93" i="2"/>
  <c r="P94" i="2"/>
  <c r="P96" i="2"/>
  <c r="P98" i="2"/>
  <c r="P99" i="2"/>
  <c r="P103" i="2"/>
  <c r="P105" i="2"/>
  <c r="P106" i="2"/>
  <c r="P107" i="2"/>
  <c r="P109" i="2"/>
  <c r="P114" i="2"/>
  <c r="P115" i="2"/>
  <c r="P116" i="2"/>
  <c r="P117" i="2"/>
  <c r="P119" i="2"/>
  <c r="P123" i="2"/>
  <c r="P124" i="2"/>
  <c r="P127" i="2"/>
  <c r="P129" i="2"/>
  <c r="P130" i="2"/>
  <c r="P131" i="2"/>
  <c r="P132" i="2"/>
  <c r="P137" i="2"/>
  <c r="P138" i="2"/>
  <c r="P141" i="2"/>
  <c r="P143" i="2"/>
  <c r="P146" i="2"/>
  <c r="P147" i="2"/>
  <c r="P151" i="2"/>
  <c r="P152" i="2"/>
  <c r="P153" i="2"/>
  <c r="P154" i="2"/>
  <c r="P155" i="2"/>
  <c r="P158" i="2"/>
  <c r="P159" i="2"/>
  <c r="P160" i="2"/>
  <c r="P161" i="2"/>
  <c r="P163" i="2"/>
  <c r="P164" i="2"/>
  <c r="P166" i="2"/>
  <c r="P167" i="2"/>
  <c r="P170" i="2"/>
  <c r="P172" i="2"/>
  <c r="P176" i="2"/>
  <c r="P179" i="2"/>
  <c r="P184" i="2"/>
  <c r="P187" i="2"/>
  <c r="P188" i="2"/>
  <c r="P190" i="2"/>
  <c r="P191" i="2"/>
  <c r="P192" i="2"/>
  <c r="P194" i="2"/>
  <c r="P196" i="2"/>
  <c r="P198" i="2"/>
  <c r="P200" i="2"/>
  <c r="P201" i="2"/>
  <c r="P202" i="2"/>
  <c r="P203" i="2"/>
  <c r="P204" i="2"/>
  <c r="P210" i="2"/>
  <c r="P211" i="2"/>
  <c r="P214" i="2"/>
  <c r="P217" i="2"/>
  <c r="P218" i="2"/>
  <c r="P222" i="2"/>
  <c r="P224" i="2"/>
  <c r="P225" i="2"/>
  <c r="P226" i="2"/>
  <c r="P230" i="2"/>
  <c r="P231" i="2"/>
  <c r="P233" i="2"/>
  <c r="P234" i="2"/>
  <c r="P236" i="2"/>
  <c r="P238" i="2"/>
  <c r="P239" i="2"/>
  <c r="P242" i="2"/>
  <c r="P243" i="2"/>
  <c r="P246" i="2"/>
  <c r="P260" i="2"/>
  <c r="P261" i="2"/>
  <c r="P262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7" i="2"/>
  <c r="P308" i="2"/>
  <c r="P309" i="2"/>
  <c r="P310" i="2"/>
  <c r="P311" i="2"/>
  <c r="P328" i="2"/>
  <c r="P329" i="2"/>
  <c r="P330" i="2"/>
  <c r="P331" i="2"/>
  <c r="P332" i="2"/>
  <c r="P338" i="2"/>
  <c r="P339" i="2"/>
  <c r="P340" i="2"/>
  <c r="P341" i="2"/>
  <c r="P349" i="2"/>
  <c r="P350" i="2"/>
  <c r="P351" i="2"/>
  <c r="P357" i="2"/>
  <c r="P358" i="2"/>
  <c r="P359" i="2"/>
  <c r="P360" i="2"/>
  <c r="P361" i="2"/>
  <c r="P362" i="2"/>
  <c r="P363" i="2"/>
  <c r="P364" i="2"/>
  <c r="P365" i="2"/>
  <c r="P371" i="2"/>
  <c r="P372" i="2"/>
  <c r="P373" i="2"/>
  <c r="P374" i="2"/>
  <c r="P375" i="2"/>
  <c r="P385" i="2"/>
  <c r="P386" i="2"/>
  <c r="P387" i="2"/>
  <c r="P391" i="2"/>
  <c r="P392" i="2"/>
  <c r="P393" i="2"/>
  <c r="P394" i="2"/>
  <c r="P395" i="2"/>
  <c r="P396" i="2"/>
  <c r="P397" i="2"/>
  <c r="P398" i="2"/>
  <c r="P399" i="2"/>
  <c r="P400" i="2"/>
  <c r="P405" i="2"/>
  <c r="P406" i="2"/>
  <c r="P407" i="2"/>
  <c r="P408" i="2"/>
  <c r="P409" i="2"/>
  <c r="P421" i="2"/>
  <c r="P422" i="2"/>
  <c r="P423" i="2"/>
  <c r="P424" i="2"/>
  <c r="P425" i="2"/>
  <c r="D66" i="2"/>
  <c r="I66" i="2" a="1"/>
  <c r="I66" i="2" s="1"/>
  <c r="A66" i="2"/>
  <c r="P8" i="11"/>
  <c r="P9" i="11"/>
  <c r="P10" i="11"/>
  <c r="P11" i="11"/>
  <c r="P12" i="11"/>
  <c r="P19" i="11"/>
  <c r="P20" i="11"/>
  <c r="P21" i="11"/>
  <c r="P23" i="11"/>
  <c r="P26" i="11"/>
  <c r="P27" i="11"/>
  <c r="P28" i="11"/>
  <c r="P30" i="11"/>
  <c r="P34" i="11"/>
  <c r="P37" i="11"/>
  <c r="P40" i="11"/>
  <c r="P41" i="11"/>
  <c r="P42" i="11"/>
  <c r="P44" i="11"/>
  <c r="P46" i="11"/>
  <c r="P47" i="11"/>
  <c r="P48" i="11"/>
  <c r="P51" i="11"/>
  <c r="P54" i="11"/>
  <c r="P55" i="11"/>
  <c r="P58" i="11"/>
  <c r="P60" i="11"/>
  <c r="P62" i="11"/>
  <c r="P63" i="11"/>
  <c r="P65" i="11"/>
  <c r="P66" i="11"/>
  <c r="P68" i="11"/>
  <c r="P69" i="11"/>
  <c r="P73" i="11"/>
  <c r="P75" i="11"/>
  <c r="P76" i="11"/>
  <c r="P77" i="11"/>
  <c r="P80" i="11"/>
  <c r="P83" i="11"/>
  <c r="P84" i="11"/>
  <c r="P85" i="11"/>
  <c r="P87" i="11"/>
  <c r="P90" i="11"/>
  <c r="P93" i="11"/>
  <c r="P94" i="11"/>
  <c r="P97" i="11"/>
  <c r="P100" i="11"/>
  <c r="P101" i="11"/>
  <c r="P103" i="11"/>
  <c r="P104" i="11"/>
  <c r="P108" i="11"/>
  <c r="P109" i="11"/>
  <c r="P110" i="11"/>
  <c r="P114" i="11"/>
  <c r="P117" i="11"/>
  <c r="P118" i="11"/>
  <c r="P119" i="11"/>
  <c r="P120" i="11"/>
  <c r="P123" i="11"/>
  <c r="P124" i="11"/>
  <c r="P138" i="11"/>
  <c r="P139" i="11"/>
  <c r="P143" i="11"/>
  <c r="P144" i="11"/>
  <c r="P145" i="11"/>
  <c r="P146" i="11"/>
  <c r="P147" i="11"/>
  <c r="P148" i="11"/>
  <c r="P149" i="11"/>
  <c r="P150" i="11"/>
  <c r="P151" i="11"/>
  <c r="P152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9" i="11"/>
  <c r="P170" i="11"/>
  <c r="P171" i="11"/>
  <c r="P181" i="11"/>
  <c r="P182" i="11"/>
  <c r="P185" i="11"/>
  <c r="P186" i="11"/>
  <c r="P187" i="11"/>
  <c r="P188" i="11"/>
  <c r="P195" i="11"/>
  <c r="P196" i="11"/>
  <c r="P200" i="11"/>
  <c r="P201" i="11"/>
  <c r="P202" i="11"/>
  <c r="P203" i="11"/>
  <c r="P204" i="11"/>
  <c r="P205" i="11"/>
  <c r="P206" i="11"/>
  <c r="P209" i="11"/>
  <c r="P210" i="11"/>
  <c r="P217" i="11"/>
  <c r="P218" i="11"/>
  <c r="P219" i="11"/>
  <c r="P222" i="11"/>
  <c r="P223" i="11"/>
  <c r="P224" i="11"/>
  <c r="P225" i="11"/>
  <c r="P226" i="11"/>
  <c r="P227" i="11"/>
  <c r="P228" i="11"/>
  <c r="P232" i="11"/>
  <c r="P233" i="11"/>
  <c r="P239" i="11"/>
  <c r="P240" i="11"/>
  <c r="D26" i="11"/>
  <c r="I26" i="11" a="1"/>
  <c r="I26" i="11" s="1"/>
  <c r="D45" i="11"/>
  <c r="I45" i="11" a="1"/>
  <c r="I45" i="11" s="1"/>
  <c r="A49" i="11"/>
  <c r="A50" i="11"/>
  <c r="P8" i="6"/>
  <c r="P9" i="6"/>
  <c r="P11" i="6"/>
  <c r="P12" i="6"/>
  <c r="P14" i="6"/>
  <c r="P18" i="6"/>
  <c r="P19" i="6"/>
  <c r="P20" i="6"/>
  <c r="P23" i="6"/>
  <c r="P28" i="6"/>
  <c r="P29" i="6"/>
  <c r="P30" i="6"/>
  <c r="P31" i="6"/>
  <c r="P34" i="6"/>
  <c r="P35" i="6"/>
  <c r="P36" i="6"/>
  <c r="P38" i="6"/>
  <c r="P41" i="6"/>
  <c r="P43" i="6"/>
  <c r="P46" i="6"/>
  <c r="P47" i="6"/>
  <c r="P48" i="6"/>
  <c r="P51" i="6"/>
  <c r="P56" i="6"/>
  <c r="P57" i="6"/>
  <c r="P59" i="6"/>
  <c r="P60" i="6"/>
  <c r="P62" i="6"/>
  <c r="P63" i="6"/>
  <c r="P64" i="6"/>
  <c r="P67" i="6"/>
  <c r="P70" i="6"/>
  <c r="P72" i="6"/>
  <c r="P74" i="6"/>
  <c r="P75" i="6"/>
  <c r="P76" i="6"/>
  <c r="P78" i="6"/>
  <c r="P82" i="6"/>
  <c r="P84" i="6"/>
  <c r="P85" i="6"/>
  <c r="P86" i="6"/>
  <c r="P89" i="6"/>
  <c r="P92" i="6"/>
  <c r="P97" i="6"/>
  <c r="P98" i="6"/>
  <c r="P100" i="6"/>
  <c r="P101" i="6"/>
  <c r="P102" i="6"/>
  <c r="P103" i="6"/>
  <c r="P107" i="6"/>
  <c r="P111" i="6"/>
  <c r="P112" i="6"/>
  <c r="P113" i="6"/>
  <c r="P115" i="6"/>
  <c r="P117" i="6"/>
  <c r="P119" i="6"/>
  <c r="P123" i="6"/>
  <c r="P124" i="6"/>
  <c r="P126" i="6"/>
  <c r="P127" i="6"/>
  <c r="P136" i="6"/>
  <c r="P137" i="6"/>
  <c r="P140" i="6"/>
  <c r="P141" i="6"/>
  <c r="P142" i="6"/>
  <c r="P143" i="6"/>
  <c r="P144" i="6"/>
  <c r="P145" i="6"/>
  <c r="P146" i="6"/>
  <c r="P147" i="6"/>
  <c r="P149" i="6"/>
  <c r="P150" i="6"/>
  <c r="P151" i="6"/>
  <c r="P152" i="6"/>
  <c r="P153" i="6"/>
  <c r="P154" i="6"/>
  <c r="P155" i="6"/>
  <c r="P156" i="6"/>
  <c r="P157" i="6"/>
  <c r="P158" i="6"/>
  <c r="P161" i="6"/>
  <c r="P162" i="6"/>
  <c r="P170" i="6"/>
  <c r="P173" i="6"/>
  <c r="P174" i="6"/>
  <c r="P175" i="6"/>
  <c r="P181" i="6"/>
  <c r="P182" i="6"/>
  <c r="P185" i="6"/>
  <c r="P186" i="6"/>
  <c r="P187" i="6"/>
  <c r="P188" i="6"/>
  <c r="P189" i="6"/>
  <c r="P190" i="6"/>
  <c r="P193" i="6"/>
  <c r="P199" i="6"/>
  <c r="P200" i="6"/>
  <c r="P203" i="6"/>
  <c r="P204" i="6"/>
  <c r="P205" i="6"/>
  <c r="P206" i="6"/>
  <c r="P207" i="6"/>
  <c r="P211" i="6"/>
  <c r="P212" i="6"/>
  <c r="P216" i="6"/>
  <c r="P217" i="6"/>
  <c r="D21" i="6"/>
  <c r="I21" i="6" a="1"/>
  <c r="I21" i="6" s="1"/>
  <c r="A44" i="6"/>
  <c r="P9" i="12"/>
  <c r="P12" i="12"/>
  <c r="P13" i="12"/>
  <c r="P16" i="12"/>
  <c r="P17" i="12"/>
  <c r="P18" i="12"/>
  <c r="P19" i="12"/>
  <c r="P21" i="12"/>
  <c r="P22" i="12"/>
  <c r="P23" i="12"/>
  <c r="P25" i="12"/>
  <c r="P32" i="12"/>
  <c r="P33" i="12"/>
  <c r="P35" i="12"/>
  <c r="P36" i="12"/>
  <c r="P37" i="12"/>
  <c r="P40" i="12"/>
  <c r="P42" i="12"/>
  <c r="P43" i="12"/>
  <c r="P44" i="12"/>
  <c r="P45" i="12"/>
  <c r="P48" i="12"/>
  <c r="P49" i="12"/>
  <c r="P53" i="12"/>
  <c r="P54" i="12"/>
  <c r="P55" i="12"/>
  <c r="P58" i="12"/>
  <c r="P65" i="12"/>
  <c r="P67" i="12"/>
  <c r="P70" i="12"/>
  <c r="P72" i="12"/>
  <c r="P73" i="12"/>
  <c r="P74" i="12"/>
  <c r="P76" i="12"/>
  <c r="P77" i="12"/>
  <c r="P79" i="12"/>
  <c r="P80" i="12"/>
  <c r="P82" i="12"/>
  <c r="P83" i="12"/>
  <c r="P84" i="12"/>
  <c r="P85" i="12"/>
  <c r="P89" i="12"/>
  <c r="P91" i="12"/>
  <c r="P96" i="12"/>
  <c r="P97" i="12"/>
  <c r="P100" i="12"/>
  <c r="P101" i="12"/>
  <c r="P102" i="12"/>
  <c r="P103" i="12"/>
  <c r="P108" i="12"/>
  <c r="P109" i="12"/>
  <c r="P111" i="12"/>
  <c r="P113" i="12"/>
  <c r="P115" i="12"/>
  <c r="P116" i="12"/>
  <c r="P118" i="12"/>
  <c r="P119" i="12"/>
  <c r="P123" i="12"/>
  <c r="P124" i="12"/>
  <c r="P125" i="12"/>
  <c r="P126" i="12"/>
  <c r="P127" i="12"/>
  <c r="P130" i="12"/>
  <c r="P133" i="12"/>
  <c r="P134" i="12"/>
  <c r="P137" i="12"/>
  <c r="P139" i="12"/>
  <c r="P141" i="12"/>
  <c r="P143" i="12"/>
  <c r="P145" i="12"/>
  <c r="P146" i="12"/>
  <c r="P149" i="12"/>
  <c r="P151" i="12"/>
  <c r="P154" i="12"/>
  <c r="P155" i="12"/>
  <c r="P157" i="12"/>
  <c r="P160" i="12"/>
  <c r="P163" i="12"/>
  <c r="P166" i="12"/>
  <c r="P169" i="12"/>
  <c r="P170" i="12"/>
  <c r="P171" i="12"/>
  <c r="P173" i="12"/>
  <c r="P174" i="12"/>
  <c r="P175" i="12"/>
  <c r="P176" i="12"/>
  <c r="P177" i="12"/>
  <c r="P181" i="12"/>
  <c r="P183" i="12"/>
  <c r="P186" i="12"/>
  <c r="P187" i="12"/>
  <c r="P189" i="12"/>
  <c r="P192" i="12"/>
  <c r="P194" i="12"/>
  <c r="P195" i="12"/>
  <c r="P196" i="12"/>
  <c r="P199" i="12"/>
  <c r="P203" i="12"/>
  <c r="P204" i="12"/>
  <c r="P205" i="12"/>
  <c r="P207" i="12"/>
  <c r="P208" i="12"/>
  <c r="P210" i="12"/>
  <c r="P215" i="12"/>
  <c r="P216" i="12"/>
  <c r="P220" i="12"/>
  <c r="P223" i="12"/>
  <c r="P225" i="12"/>
  <c r="P226" i="12"/>
  <c r="P228" i="12"/>
  <c r="P229" i="12"/>
  <c r="P231" i="12"/>
  <c r="P233" i="12"/>
  <c r="P234" i="12"/>
  <c r="P235" i="12"/>
  <c r="P237" i="12"/>
  <c r="P239" i="12"/>
  <c r="P241" i="12"/>
  <c r="P242" i="12"/>
  <c r="P244" i="12"/>
  <c r="P245" i="12"/>
  <c r="P246" i="12"/>
  <c r="P251" i="12"/>
  <c r="P252" i="12"/>
  <c r="P254" i="12"/>
  <c r="P256" i="12"/>
  <c r="P257" i="12"/>
  <c r="P263" i="12"/>
  <c r="P264" i="12"/>
  <c r="P265" i="12"/>
  <c r="P269" i="12"/>
  <c r="P270" i="12"/>
  <c r="P273" i="12"/>
  <c r="P274" i="12"/>
  <c r="P275" i="12"/>
  <c r="P276" i="12"/>
  <c r="P278" i="12"/>
  <c r="P279" i="12"/>
  <c r="P280" i="12"/>
  <c r="P285" i="12"/>
  <c r="P286" i="12"/>
  <c r="P290" i="12"/>
  <c r="P291" i="12"/>
  <c r="P293" i="12"/>
  <c r="P297" i="12"/>
  <c r="P299" i="12"/>
  <c r="P300" i="12"/>
  <c r="P301" i="12"/>
  <c r="P303" i="12"/>
  <c r="P308" i="12"/>
  <c r="P309" i="12"/>
  <c r="P310" i="12"/>
  <c r="P311" i="12"/>
  <c r="P317" i="12"/>
  <c r="P320" i="12"/>
  <c r="P321" i="12"/>
  <c r="P322" i="12"/>
  <c r="P325" i="12"/>
  <c r="P327" i="12"/>
  <c r="P328" i="12"/>
  <c r="P330" i="12"/>
  <c r="P333" i="12"/>
  <c r="P334" i="12"/>
  <c r="P335" i="12"/>
  <c r="P338" i="12"/>
  <c r="P339" i="12"/>
  <c r="P340" i="12"/>
  <c r="P342" i="12"/>
  <c r="P344" i="12"/>
  <c r="P349" i="12"/>
  <c r="P350" i="12"/>
  <c r="P351" i="12"/>
  <c r="P352" i="12"/>
  <c r="P355" i="12"/>
  <c r="P356" i="12"/>
  <c r="P357" i="12"/>
  <c r="P360" i="12"/>
  <c r="P363" i="12"/>
  <c r="P364" i="12"/>
  <c r="P369" i="12"/>
  <c r="P391" i="12"/>
  <c r="P392" i="12"/>
  <c r="P393" i="12"/>
  <c r="P394" i="12"/>
  <c r="P395" i="12"/>
  <c r="P396" i="12"/>
  <c r="P403" i="12"/>
  <c r="P404" i="12"/>
  <c r="P405" i="12"/>
  <c r="P406" i="12"/>
  <c r="P407" i="12"/>
  <c r="P408" i="12"/>
  <c r="P409" i="12"/>
  <c r="P410" i="12"/>
  <c r="P411" i="12"/>
  <c r="P412" i="12"/>
  <c r="P413" i="12"/>
  <c r="P414" i="12"/>
  <c r="P415" i="12"/>
  <c r="P416" i="12"/>
  <c r="P417" i="12"/>
  <c r="P418" i="12"/>
  <c r="P419" i="12"/>
  <c r="P420" i="12"/>
  <c r="P421" i="12"/>
  <c r="P427" i="12"/>
  <c r="P428" i="12"/>
  <c r="P429" i="12"/>
  <c r="P430" i="12"/>
  <c r="P431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62" i="12"/>
  <c r="P463" i="12"/>
  <c r="P464" i="12"/>
  <c r="P465" i="12"/>
  <c r="P466" i="12"/>
  <c r="P467" i="12"/>
  <c r="P484" i="12"/>
  <c r="P485" i="12"/>
  <c r="P486" i="12"/>
  <c r="P487" i="12"/>
  <c r="P488" i="12"/>
  <c r="P497" i="12"/>
  <c r="P498" i="12"/>
  <c r="P499" i="12"/>
  <c r="P500" i="12"/>
  <c r="P501" i="12"/>
  <c r="P502" i="12"/>
  <c r="P503" i="12"/>
  <c r="P504" i="12"/>
  <c r="P518" i="12"/>
  <c r="P519" i="12"/>
  <c r="P520" i="12"/>
  <c r="P521" i="12"/>
  <c r="P522" i="12"/>
  <c r="P523" i="12"/>
  <c r="P530" i="12"/>
  <c r="P531" i="12"/>
  <c r="P532" i="12"/>
  <c r="P533" i="12"/>
  <c r="P534" i="12"/>
  <c r="P535" i="12"/>
  <c r="P536" i="12"/>
  <c r="P537" i="12"/>
  <c r="P538" i="12"/>
  <c r="P539" i="12"/>
  <c r="P540" i="12"/>
  <c r="P541" i="12"/>
  <c r="P547" i="12"/>
  <c r="P548" i="12"/>
  <c r="P549" i="12"/>
  <c r="P550" i="12"/>
  <c r="P551" i="12"/>
  <c r="P568" i="12"/>
  <c r="P569" i="12"/>
  <c r="P570" i="12"/>
  <c r="P571" i="12"/>
  <c r="P572" i="12"/>
  <c r="P573" i="12"/>
  <c r="P574" i="12"/>
  <c r="P581" i="12"/>
  <c r="P582" i="12"/>
  <c r="P583" i="12"/>
  <c r="P584" i="12"/>
  <c r="P585" i="12"/>
  <c r="P586" i="12"/>
  <c r="P587" i="12"/>
  <c r="P588" i="12"/>
  <c r="P589" i="12"/>
  <c r="P590" i="12"/>
  <c r="P599" i="12"/>
  <c r="P600" i="12"/>
  <c r="P601" i="12"/>
  <c r="P602" i="12"/>
  <c r="P603" i="12"/>
  <c r="P616" i="12"/>
  <c r="P617" i="12"/>
  <c r="P618" i="12"/>
  <c r="P619" i="12"/>
  <c r="P620" i="12"/>
  <c r="P621" i="12"/>
  <c r="P622" i="12"/>
  <c r="P623" i="12"/>
  <c r="D55" i="12"/>
  <c r="I55" i="12" a="1"/>
  <c r="I55" i="12" s="1"/>
  <c r="D70" i="12"/>
  <c r="I70" i="12" a="1"/>
  <c r="I70" i="12" s="1"/>
  <c r="D82" i="12"/>
  <c r="I82" i="12" a="1"/>
  <c r="I82" i="12" s="1"/>
  <c r="D88" i="12"/>
  <c r="I88" i="12" a="1"/>
  <c r="I88" i="12" s="1"/>
  <c r="A55" i="12"/>
  <c r="A70" i="12"/>
  <c r="A82" i="12"/>
  <c r="A88" i="12"/>
  <c r="N87" i="17"/>
  <c r="O87" i="17"/>
  <c r="Q87" i="17"/>
  <c r="R87" i="17"/>
  <c r="AA80" i="17"/>
  <c r="AA79" i="17"/>
  <c r="AA78" i="17"/>
  <c r="AA77" i="17"/>
  <c r="AA76" i="17"/>
  <c r="P8" i="4"/>
  <c r="P11" i="4"/>
  <c r="P14" i="4"/>
  <c r="P15" i="4"/>
  <c r="P19" i="4"/>
  <c r="P22" i="4"/>
  <c r="P23" i="4"/>
  <c r="P25" i="4"/>
  <c r="P26" i="4"/>
  <c r="P32" i="4"/>
  <c r="P34" i="4"/>
  <c r="P35" i="4"/>
  <c r="P36" i="4"/>
  <c r="P37" i="4"/>
  <c r="P39" i="4"/>
  <c r="P40" i="4"/>
  <c r="P41" i="4"/>
  <c r="P44" i="4"/>
  <c r="P45" i="4"/>
  <c r="P46" i="4"/>
  <c r="P47" i="4"/>
  <c r="P49" i="4"/>
  <c r="P52" i="4"/>
  <c r="P55" i="4"/>
  <c r="P57" i="4"/>
  <c r="P60" i="4"/>
  <c r="P61" i="4"/>
  <c r="P64" i="4"/>
  <c r="P67" i="4"/>
  <c r="P68" i="4"/>
  <c r="P69" i="4"/>
  <c r="P70" i="4"/>
  <c r="P72" i="4"/>
  <c r="P74" i="4"/>
  <c r="P77" i="4"/>
  <c r="P79" i="4"/>
  <c r="P80" i="4"/>
  <c r="P83" i="4"/>
  <c r="P86" i="4"/>
  <c r="P87" i="4"/>
  <c r="P90" i="4"/>
  <c r="P93" i="4"/>
  <c r="P94" i="4"/>
  <c r="P95" i="4"/>
  <c r="P96" i="4"/>
  <c r="P99" i="4"/>
  <c r="P100" i="4"/>
  <c r="P105" i="4"/>
  <c r="P106" i="4"/>
  <c r="P107" i="4"/>
  <c r="P108" i="4"/>
  <c r="P109" i="4"/>
  <c r="P111" i="4"/>
  <c r="P113" i="4"/>
  <c r="P116" i="4"/>
  <c r="P119" i="4"/>
  <c r="P120" i="4"/>
  <c r="P123" i="4"/>
  <c r="P127" i="4"/>
  <c r="P129" i="4"/>
  <c r="P131" i="4"/>
  <c r="P132" i="4"/>
  <c r="P135" i="4"/>
  <c r="P137" i="4"/>
  <c r="P138" i="4"/>
  <c r="P141" i="4"/>
  <c r="P145" i="4"/>
  <c r="P146" i="4"/>
  <c r="P147" i="4"/>
  <c r="P149" i="4"/>
  <c r="P152" i="4"/>
  <c r="P154" i="4"/>
  <c r="P155" i="4"/>
  <c r="P156" i="4"/>
  <c r="P157" i="4"/>
  <c r="P160" i="4"/>
  <c r="P162" i="4"/>
  <c r="P163" i="4"/>
  <c r="P165" i="4"/>
  <c r="P166" i="4"/>
  <c r="P168" i="4"/>
  <c r="P169" i="4"/>
  <c r="P171" i="4"/>
  <c r="P172" i="4"/>
  <c r="P176" i="4"/>
  <c r="P179" i="4"/>
  <c r="P180" i="4"/>
  <c r="P182" i="4"/>
  <c r="P184" i="4"/>
  <c r="P188" i="4"/>
  <c r="P189" i="4"/>
  <c r="P190" i="4"/>
  <c r="P193" i="4"/>
  <c r="P195" i="4"/>
  <c r="P198" i="4"/>
  <c r="P200" i="4"/>
  <c r="P201" i="4"/>
  <c r="P202" i="4"/>
  <c r="P205" i="4"/>
  <c r="P208" i="4"/>
  <c r="P210" i="4"/>
  <c r="P213" i="4"/>
  <c r="P216" i="4"/>
  <c r="P218" i="4"/>
  <c r="P219" i="4"/>
  <c r="P222" i="4"/>
  <c r="P223" i="4"/>
  <c r="P225" i="4"/>
  <c r="P229" i="4"/>
  <c r="P231" i="4"/>
  <c r="P232" i="4"/>
  <c r="P233" i="4"/>
  <c r="P235" i="4"/>
  <c r="P236" i="4"/>
  <c r="P238" i="4"/>
  <c r="P240" i="4"/>
  <c r="P241" i="4"/>
  <c r="P242" i="4"/>
  <c r="P248" i="4"/>
  <c r="P262" i="4"/>
  <c r="P263" i="4"/>
  <c r="P264" i="4"/>
  <c r="P265" i="4"/>
  <c r="P266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8" i="4"/>
  <c r="P319" i="4"/>
  <c r="P320" i="4"/>
  <c r="P321" i="4"/>
  <c r="P322" i="4"/>
  <c r="P338" i="4"/>
  <c r="P339" i="4"/>
  <c r="P340" i="4"/>
  <c r="P341" i="4"/>
  <c r="P342" i="4"/>
  <c r="P343" i="4"/>
  <c r="P348" i="4"/>
  <c r="P350" i="4"/>
  <c r="P351" i="4"/>
  <c r="P352" i="4"/>
  <c r="P353" i="4"/>
  <c r="P354" i="4"/>
  <c r="P361" i="4"/>
  <c r="P362" i="4"/>
  <c r="P363" i="4"/>
  <c r="P364" i="4"/>
  <c r="P365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7" i="4"/>
  <c r="P388" i="4"/>
  <c r="P389" i="4"/>
  <c r="P390" i="4"/>
  <c r="P391" i="4"/>
  <c r="P392" i="4"/>
  <c r="P403" i="4"/>
  <c r="P404" i="4"/>
  <c r="P405" i="4"/>
  <c r="P411" i="4"/>
  <c r="P412" i="4"/>
  <c r="P413" i="4"/>
  <c r="P414" i="4"/>
  <c r="P415" i="4"/>
  <c r="P416" i="4"/>
  <c r="P417" i="4"/>
  <c r="P418" i="4"/>
  <c r="P419" i="4"/>
  <c r="Q419" i="4" s="1"/>
  <c r="P420" i="4"/>
  <c r="P428" i="4"/>
  <c r="P429" i="4"/>
  <c r="P430" i="4"/>
  <c r="P431" i="4"/>
  <c r="P444" i="4"/>
  <c r="P445" i="4"/>
  <c r="P446" i="4"/>
  <c r="P447" i="4"/>
  <c r="P7" i="4"/>
  <c r="D57" i="4"/>
  <c r="I57" i="4" a="1"/>
  <c r="I57" i="4" s="1"/>
  <c r="D68" i="4"/>
  <c r="I68" i="4" a="1"/>
  <c r="I68" i="4" s="1"/>
  <c r="A57" i="4"/>
  <c r="A68" i="4"/>
  <c r="P12" i="9"/>
  <c r="P15" i="9"/>
  <c r="P16" i="9"/>
  <c r="P17" i="9"/>
  <c r="P18" i="9"/>
  <c r="P20" i="9"/>
  <c r="P21" i="9"/>
  <c r="P26" i="9"/>
  <c r="P27" i="9"/>
  <c r="P30" i="9"/>
  <c r="P31" i="9"/>
  <c r="P32" i="9"/>
  <c r="P35" i="9"/>
  <c r="P36" i="9"/>
  <c r="P38" i="9"/>
  <c r="P41" i="9"/>
  <c r="P44" i="9"/>
  <c r="P45" i="9"/>
  <c r="P49" i="9"/>
  <c r="P50" i="9"/>
  <c r="P51" i="9"/>
  <c r="P52" i="9"/>
  <c r="P53" i="9"/>
  <c r="P56" i="9"/>
  <c r="P57" i="9"/>
  <c r="P60" i="9"/>
  <c r="P61" i="9"/>
  <c r="P62" i="9"/>
  <c r="P63" i="9"/>
  <c r="P65" i="9"/>
  <c r="P67" i="9"/>
  <c r="P69" i="9"/>
  <c r="P71" i="9"/>
  <c r="P72" i="9"/>
  <c r="P73" i="9"/>
  <c r="P74" i="9"/>
  <c r="P78" i="9"/>
  <c r="P81" i="9"/>
  <c r="P83" i="9"/>
  <c r="P86" i="9"/>
  <c r="P87" i="9"/>
  <c r="P91" i="9"/>
  <c r="P94" i="9"/>
  <c r="P95" i="9"/>
  <c r="P96" i="9"/>
  <c r="P97" i="9"/>
  <c r="P99" i="9"/>
  <c r="P100" i="9"/>
  <c r="P103" i="9"/>
  <c r="P105" i="9"/>
  <c r="P112" i="9"/>
  <c r="P113" i="9"/>
  <c r="P117" i="9"/>
  <c r="P118" i="9"/>
  <c r="P119" i="9"/>
  <c r="P120" i="9"/>
  <c r="P123" i="9"/>
  <c r="P126" i="9"/>
  <c r="P129" i="9"/>
  <c r="P131" i="9"/>
  <c r="P133" i="9"/>
  <c r="P135" i="9"/>
  <c r="P137" i="9"/>
  <c r="P139" i="9"/>
  <c r="P140" i="9"/>
  <c r="P141" i="9"/>
  <c r="P142" i="9"/>
  <c r="P144" i="9"/>
  <c r="P146" i="9"/>
  <c r="P149" i="9"/>
  <c r="P150" i="9"/>
  <c r="P151" i="9"/>
  <c r="P152" i="9"/>
  <c r="P159" i="9"/>
  <c r="P160" i="9"/>
  <c r="P161" i="9"/>
  <c r="P162" i="9"/>
  <c r="P163" i="9"/>
  <c r="P165" i="9"/>
  <c r="P166" i="9"/>
  <c r="P167" i="9"/>
  <c r="P170" i="9"/>
  <c r="P172" i="9"/>
  <c r="P177" i="9"/>
  <c r="P178" i="9"/>
  <c r="P180" i="9"/>
  <c r="P181" i="9"/>
  <c r="P182" i="9"/>
  <c r="P183" i="9"/>
  <c r="P184" i="9"/>
  <c r="P186" i="9"/>
  <c r="P187" i="9"/>
  <c r="P188" i="9"/>
  <c r="P192" i="9"/>
  <c r="P193" i="9"/>
  <c r="P196" i="9"/>
  <c r="P200" i="9"/>
  <c r="P204" i="9"/>
  <c r="P207" i="9"/>
  <c r="P208" i="9"/>
  <c r="P209" i="9"/>
  <c r="P210" i="9"/>
  <c r="P211" i="9"/>
  <c r="P213" i="9"/>
  <c r="P215" i="9"/>
  <c r="P219" i="9"/>
  <c r="P221" i="9"/>
  <c r="P223" i="9"/>
  <c r="P224" i="9"/>
  <c r="P227" i="9"/>
  <c r="P230" i="9"/>
  <c r="P232" i="9"/>
  <c r="P234" i="9"/>
  <c r="P235" i="9"/>
  <c r="P238" i="9"/>
  <c r="P242" i="9"/>
  <c r="P246" i="9"/>
  <c r="P247" i="9"/>
  <c r="P251" i="9"/>
  <c r="P252" i="9"/>
  <c r="P253" i="9"/>
  <c r="P254" i="9"/>
  <c r="P255" i="9"/>
  <c r="P257" i="9"/>
  <c r="P258" i="9"/>
  <c r="P260" i="9"/>
  <c r="P261" i="9"/>
  <c r="P262" i="9"/>
  <c r="P265" i="9"/>
  <c r="P267" i="9"/>
  <c r="P269" i="9"/>
  <c r="P270" i="9"/>
  <c r="P271" i="9"/>
  <c r="P273" i="9"/>
  <c r="P275" i="9"/>
  <c r="P277" i="9"/>
  <c r="P278" i="9"/>
  <c r="P279" i="9"/>
  <c r="P280" i="9"/>
  <c r="P281" i="9"/>
  <c r="P283" i="9"/>
  <c r="P292" i="9"/>
  <c r="P293" i="9"/>
  <c r="P295" i="9"/>
  <c r="P298" i="9"/>
  <c r="P300" i="9"/>
  <c r="P308" i="9"/>
  <c r="P310" i="9"/>
  <c r="P311" i="9"/>
  <c r="P316" i="9"/>
  <c r="P317" i="9"/>
  <c r="P318" i="9"/>
  <c r="P319" i="9"/>
  <c r="P320" i="9"/>
  <c r="P322" i="9"/>
  <c r="P323" i="9"/>
  <c r="P324" i="9"/>
  <c r="P327" i="9"/>
  <c r="P329" i="9"/>
  <c r="P330" i="9"/>
  <c r="P333" i="9"/>
  <c r="P334" i="9"/>
  <c r="P335" i="9"/>
  <c r="P336" i="9"/>
  <c r="P338" i="9"/>
  <c r="P339" i="9"/>
  <c r="P341" i="9"/>
  <c r="P343" i="9"/>
  <c r="P344" i="9"/>
  <c r="P347" i="9"/>
  <c r="P348" i="9"/>
  <c r="P351" i="9"/>
  <c r="P352" i="9"/>
  <c r="P353" i="9"/>
  <c r="P355" i="9"/>
  <c r="P363" i="9"/>
  <c r="P365" i="9"/>
  <c r="P367" i="9"/>
  <c r="P368" i="9"/>
  <c r="P391" i="9"/>
  <c r="P393" i="9"/>
  <c r="P39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33" i="9"/>
  <c r="P434" i="9"/>
  <c r="P435" i="9"/>
  <c r="P436" i="9"/>
  <c r="P437" i="9"/>
  <c r="P438" i="9"/>
  <c r="P476" i="9"/>
  <c r="P477" i="9"/>
  <c r="P500" i="9"/>
  <c r="P501" i="9"/>
  <c r="P502" i="9"/>
  <c r="P503" i="9"/>
  <c r="P504" i="9"/>
  <c r="P515" i="9"/>
  <c r="P516" i="9"/>
  <c r="P517" i="9"/>
  <c r="P518" i="9"/>
  <c r="P519" i="9"/>
  <c r="P520" i="9"/>
  <c r="P539" i="9"/>
  <c r="P540" i="9"/>
  <c r="P541" i="9"/>
  <c r="P561" i="9"/>
  <c r="P562" i="9"/>
  <c r="P563" i="9"/>
  <c r="P564" i="9"/>
  <c r="P609" i="9"/>
  <c r="P622" i="9"/>
  <c r="P623" i="9"/>
  <c r="D55" i="9"/>
  <c r="I55" i="9" a="1"/>
  <c r="I55" i="9" s="1"/>
  <c r="D71" i="9"/>
  <c r="I71" i="9" a="1"/>
  <c r="I71" i="9" s="1"/>
  <c r="D95" i="9"/>
  <c r="I95" i="9" a="1"/>
  <c r="I95" i="9" s="1"/>
  <c r="D84" i="9"/>
  <c r="I84" i="9" a="1"/>
  <c r="I84" i="9" s="1"/>
  <c r="A98" i="9"/>
  <c r="A101" i="9"/>
  <c r="A102" i="9"/>
  <c r="A103" i="9"/>
  <c r="I21" i="16" a="1"/>
  <c r="I21" i="16" s="1"/>
  <c r="I23" i="16" a="1"/>
  <c r="I23" i="16" s="1"/>
  <c r="I24" i="16" a="1"/>
  <c r="I24" i="16" s="1"/>
  <c r="I22" i="16" a="1"/>
  <c r="I22" i="16" s="1"/>
  <c r="I26" i="16" a="1"/>
  <c r="I26" i="16" s="1"/>
  <c r="I25" i="16" a="1"/>
  <c r="I25" i="16" s="1"/>
  <c r="I27" i="16" a="1"/>
  <c r="I27" i="16" s="1"/>
  <c r="I28" i="16" a="1"/>
  <c r="I28" i="16" s="1"/>
  <c r="I29" i="16" a="1"/>
  <c r="I29" i="16" s="1"/>
  <c r="I30" i="16" a="1"/>
  <c r="I30" i="16" s="1"/>
  <c r="I20" i="16" a="1"/>
  <c r="I20" i="16" s="1"/>
  <c r="I20" i="3" a="1"/>
  <c r="I20" i="3" s="1"/>
  <c r="I22" i="3" a="1"/>
  <c r="I22" i="3" s="1"/>
  <c r="I21" i="3" a="1"/>
  <c r="I21" i="3" s="1"/>
  <c r="I23" i="3" a="1"/>
  <c r="I23" i="3" s="1"/>
  <c r="I26" i="3" a="1"/>
  <c r="I26" i="3" s="1"/>
  <c r="I25" i="3" a="1"/>
  <c r="I25" i="3" s="1"/>
  <c r="I29" i="3" a="1"/>
  <c r="I29" i="3" s="1"/>
  <c r="I30" i="3" a="1"/>
  <c r="I30" i="3" s="1"/>
  <c r="I31" i="3" a="1"/>
  <c r="I31" i="3" s="1"/>
  <c r="I27" i="3" a="1"/>
  <c r="I27" i="3" s="1"/>
  <c r="I35" i="3" a="1"/>
  <c r="I35" i="3" s="1"/>
  <c r="I24" i="3" a="1"/>
  <c r="I24" i="3" s="1"/>
  <c r="I32" i="3" a="1"/>
  <c r="I32" i="3" s="1"/>
  <c r="I38" i="3" a="1"/>
  <c r="I38" i="3" s="1"/>
  <c r="I33" i="3" a="1"/>
  <c r="I33" i="3" s="1"/>
  <c r="I47" i="3" a="1"/>
  <c r="I47" i="3" s="1"/>
  <c r="I39" i="3" a="1"/>
  <c r="I39" i="3" s="1"/>
  <c r="I40" i="3" a="1"/>
  <c r="I40" i="3" s="1"/>
  <c r="I44" i="3" a="1"/>
  <c r="I44" i="3" s="1"/>
  <c r="I43" i="3" a="1"/>
  <c r="I43" i="3" s="1"/>
  <c r="I48" i="3" a="1"/>
  <c r="I48" i="3" s="1"/>
  <c r="I41" i="3" a="1"/>
  <c r="I41" i="3" s="1"/>
  <c r="I49" i="3" a="1"/>
  <c r="I49" i="3" s="1"/>
  <c r="I37" i="3" a="1"/>
  <c r="I37" i="3" s="1"/>
  <c r="I36" i="3" a="1"/>
  <c r="I36" i="3" s="1"/>
  <c r="I46" i="3" a="1"/>
  <c r="I46" i="3" s="1"/>
  <c r="I45" i="3" a="1"/>
  <c r="I45" i="3" s="1"/>
  <c r="I50" i="3" a="1"/>
  <c r="I50" i="3" s="1"/>
  <c r="I42" i="3" a="1"/>
  <c r="I42" i="3" s="1"/>
  <c r="I60" i="3" a="1"/>
  <c r="I60" i="3" s="1"/>
  <c r="I52" i="3" a="1"/>
  <c r="I52" i="3" s="1"/>
  <c r="I56" i="3" a="1"/>
  <c r="I56" i="3" s="1"/>
  <c r="I51" i="3" a="1"/>
  <c r="I51" i="3" s="1"/>
  <c r="I53" i="3" a="1"/>
  <c r="I53" i="3" s="1"/>
  <c r="I58" i="3" a="1"/>
  <c r="I58" i="3" s="1"/>
  <c r="I57" i="3" a="1"/>
  <c r="I57" i="3" s="1"/>
  <c r="I61" i="3" a="1"/>
  <c r="I61" i="3" s="1"/>
  <c r="I66" i="3" a="1"/>
  <c r="I66" i="3" s="1"/>
  <c r="I59" i="3" a="1"/>
  <c r="I59" i="3" s="1"/>
  <c r="I62" i="3" a="1"/>
  <c r="I62" i="3" s="1"/>
  <c r="I63" i="3" a="1"/>
  <c r="I63" i="3" s="1"/>
  <c r="I54" i="3" a="1"/>
  <c r="I54" i="3" s="1"/>
  <c r="I67" i="3" a="1"/>
  <c r="I67" i="3" s="1"/>
  <c r="I68" i="3" a="1"/>
  <c r="I68" i="3" s="1"/>
  <c r="I65" i="3" a="1"/>
  <c r="I65" i="3" s="1"/>
  <c r="I79" i="3" a="1"/>
  <c r="I79" i="3" s="1"/>
  <c r="I69" i="3" a="1"/>
  <c r="I69" i="3" s="1"/>
  <c r="I71" i="3" a="1"/>
  <c r="I71" i="3" s="1"/>
  <c r="I77" i="3" a="1"/>
  <c r="I77" i="3" s="1"/>
  <c r="I72" i="3" a="1"/>
  <c r="I72" i="3" s="1"/>
  <c r="I73" i="3" a="1"/>
  <c r="I73" i="3" s="1"/>
  <c r="I74" i="3" a="1"/>
  <c r="I74" i="3" s="1"/>
  <c r="I75" i="3" a="1"/>
  <c r="I75" i="3" s="1"/>
  <c r="I76" i="3" a="1"/>
  <c r="I76" i="3" s="1"/>
  <c r="I78" i="3" a="1"/>
  <c r="I78" i="3" s="1"/>
  <c r="I80" i="3" a="1"/>
  <c r="I80" i="3" s="1"/>
  <c r="I83" i="3" a="1"/>
  <c r="I83" i="3" s="1"/>
  <c r="I82" i="3" a="1"/>
  <c r="I82" i="3" s="1"/>
  <c r="I81" i="3" a="1"/>
  <c r="I81" i="3" s="1"/>
  <c r="I85" i="3" a="1"/>
  <c r="I85" i="3" s="1"/>
  <c r="I84" i="3" a="1"/>
  <c r="I84" i="3" s="1"/>
  <c r="I86" i="3" a="1"/>
  <c r="I86" i="3" s="1"/>
  <c r="I87" i="3" a="1"/>
  <c r="I87" i="3" s="1"/>
  <c r="I89" i="3" a="1"/>
  <c r="I89" i="3" s="1"/>
  <c r="I90" i="3" a="1"/>
  <c r="I90" i="3" s="1"/>
  <c r="I91" i="3" a="1"/>
  <c r="I91" i="3" s="1"/>
  <c r="I93" i="3" a="1"/>
  <c r="I93" i="3" s="1"/>
  <c r="I88" i="3" a="1"/>
  <c r="I88" i="3" s="1"/>
  <c r="I94" i="3" a="1"/>
  <c r="I94" i="3" s="1"/>
  <c r="I96" i="3" a="1"/>
  <c r="I96" i="3" s="1"/>
  <c r="I98" i="3" a="1"/>
  <c r="I98" i="3" s="1"/>
  <c r="I97" i="3" a="1"/>
  <c r="I97" i="3" s="1"/>
  <c r="I99" i="3" a="1"/>
  <c r="I99" i="3" s="1"/>
  <c r="I100" i="3" a="1"/>
  <c r="I100" i="3" s="1"/>
  <c r="I101" i="3" a="1"/>
  <c r="I101" i="3" s="1"/>
  <c r="I34" i="3" a="1"/>
  <c r="I34" i="3" s="1"/>
  <c r="I22" i="2" a="1"/>
  <c r="I22" i="2" s="1"/>
  <c r="I20" i="2" a="1"/>
  <c r="I20" i="2" s="1"/>
  <c r="I24" i="2" a="1"/>
  <c r="I24" i="2" s="1"/>
  <c r="I23" i="2" a="1"/>
  <c r="I23" i="2" s="1"/>
  <c r="I27" i="2" a="1"/>
  <c r="I27" i="2" s="1"/>
  <c r="I25" i="2" a="1"/>
  <c r="I25" i="2" s="1"/>
  <c r="I26" i="2" a="1"/>
  <c r="I26" i="2" s="1"/>
  <c r="I28" i="2" a="1"/>
  <c r="I28" i="2" s="1"/>
  <c r="I33" i="2" a="1"/>
  <c r="I33" i="2" s="1"/>
  <c r="I29" i="2" a="1"/>
  <c r="I29" i="2" s="1"/>
  <c r="I34" i="2" a="1"/>
  <c r="I34" i="2" s="1"/>
  <c r="I31" i="2" a="1"/>
  <c r="I31" i="2" s="1"/>
  <c r="I30" i="2" a="1"/>
  <c r="I30" i="2" s="1"/>
  <c r="I35" i="2" a="1"/>
  <c r="I35" i="2" s="1"/>
  <c r="I32" i="2" a="1"/>
  <c r="I32" i="2" s="1"/>
  <c r="I37" i="2" a="1"/>
  <c r="I37" i="2" s="1"/>
  <c r="I38" i="2" a="1"/>
  <c r="I38" i="2" s="1"/>
  <c r="I40" i="2" a="1"/>
  <c r="I40" i="2" s="1"/>
  <c r="I36" i="2" a="1"/>
  <c r="I36" i="2" s="1"/>
  <c r="I41" i="2" a="1"/>
  <c r="I41" i="2" s="1"/>
  <c r="I39" i="2" a="1"/>
  <c r="I39" i="2" s="1"/>
  <c r="I42" i="2" a="1"/>
  <c r="I42" i="2" s="1"/>
  <c r="I43" i="2" a="1"/>
  <c r="I43" i="2" s="1"/>
  <c r="I44" i="2" a="1"/>
  <c r="I44" i="2" s="1"/>
  <c r="I59" i="2" a="1"/>
  <c r="I59" i="2" s="1"/>
  <c r="I46" i="2" a="1"/>
  <c r="I46" i="2" s="1"/>
  <c r="I47" i="2" a="1"/>
  <c r="I47" i="2" s="1"/>
  <c r="I53" i="2" a="1"/>
  <c r="I53" i="2" s="1"/>
  <c r="I48" i="2" a="1"/>
  <c r="I48" i="2" s="1"/>
  <c r="I49" i="2" a="1"/>
  <c r="I49" i="2" s="1"/>
  <c r="I50" i="2" a="1"/>
  <c r="I50" i="2" s="1"/>
  <c r="I52" i="2" a="1"/>
  <c r="I52" i="2" s="1"/>
  <c r="I56" i="2" a="1"/>
  <c r="I56" i="2" s="1"/>
  <c r="I51" i="2" a="1"/>
  <c r="I51" i="2" s="1"/>
  <c r="I45" i="2" a="1"/>
  <c r="I45" i="2" s="1"/>
  <c r="I55" i="2" a="1"/>
  <c r="I55" i="2" s="1"/>
  <c r="I57" i="2" a="1"/>
  <c r="I57" i="2" s="1"/>
  <c r="I54" i="2" a="1"/>
  <c r="I54" i="2" s="1"/>
  <c r="I61" i="2" a="1"/>
  <c r="I61" i="2" s="1"/>
  <c r="I60" i="2" a="1"/>
  <c r="I60" i="2" s="1"/>
  <c r="I58" i="2" a="1"/>
  <c r="I58" i="2" s="1"/>
  <c r="I63" i="2" a="1"/>
  <c r="I63" i="2" s="1"/>
  <c r="I62" i="2" a="1"/>
  <c r="I62" i="2" s="1"/>
  <c r="I64" i="2" a="1"/>
  <c r="I64" i="2" s="1"/>
  <c r="I65" i="2" a="1"/>
  <c r="I65" i="2" s="1"/>
  <c r="I21" i="2" a="1"/>
  <c r="I21" i="2" s="1"/>
  <c r="I21" i="11" a="1"/>
  <c r="I21" i="11" s="1"/>
  <c r="I23" i="11" a="1"/>
  <c r="I23" i="11" s="1"/>
  <c r="I22" i="11" a="1"/>
  <c r="I22" i="11" s="1"/>
  <c r="I24" i="11" a="1"/>
  <c r="I24" i="11" s="1"/>
  <c r="I25" i="11" a="1"/>
  <c r="I25" i="11" s="1"/>
  <c r="I27" i="11" a="1"/>
  <c r="I27" i="11" s="1"/>
  <c r="I31" i="11" a="1"/>
  <c r="I31" i="11" s="1"/>
  <c r="I30" i="11" a="1"/>
  <c r="I30" i="11" s="1"/>
  <c r="I29" i="11" a="1"/>
  <c r="I29" i="11" s="1"/>
  <c r="I33" i="11" a="1"/>
  <c r="I33" i="11" s="1"/>
  <c r="I32" i="11" a="1"/>
  <c r="I32" i="11" s="1"/>
  <c r="I37" i="11" a="1"/>
  <c r="I37" i="11" s="1"/>
  <c r="I40" i="11" a="1"/>
  <c r="I40" i="11" s="1"/>
  <c r="I39" i="11" a="1"/>
  <c r="I39" i="11" s="1"/>
  <c r="I34" i="11" a="1"/>
  <c r="I34" i="11" s="1"/>
  <c r="I36" i="11" a="1"/>
  <c r="I36" i="11" s="1"/>
  <c r="I43" i="11" a="1"/>
  <c r="I43" i="11" s="1"/>
  <c r="I41" i="11" a="1"/>
  <c r="I41" i="11" s="1"/>
  <c r="I35" i="11" a="1"/>
  <c r="I35" i="11" s="1"/>
  <c r="I38" i="11" a="1"/>
  <c r="I38" i="11" s="1"/>
  <c r="I42" i="11" a="1"/>
  <c r="I42" i="11" s="1"/>
  <c r="I44" i="11" a="1"/>
  <c r="I44" i="11" s="1"/>
  <c r="I28" i="11" a="1"/>
  <c r="I28" i="11" s="1"/>
  <c r="I47" i="11" a="1"/>
  <c r="I47" i="11" s="1"/>
  <c r="I46" i="11" a="1"/>
  <c r="I46" i="11" s="1"/>
  <c r="I48" i="11" a="1"/>
  <c r="I48" i="11" s="1"/>
  <c r="I49" i="11" a="1"/>
  <c r="I49" i="11" s="1"/>
  <c r="I50" i="11" a="1"/>
  <c r="I50" i="11" s="1"/>
  <c r="I20" i="11" a="1"/>
  <c r="I20" i="11" s="1"/>
  <c r="I27" i="6" a="1"/>
  <c r="I27" i="6" s="1"/>
  <c r="I24" i="6" a="1"/>
  <c r="I24" i="6" s="1"/>
  <c r="I22" i="6" a="1"/>
  <c r="I22" i="6" s="1"/>
  <c r="I25" i="6" a="1"/>
  <c r="I25" i="6" s="1"/>
  <c r="I23" i="6" a="1"/>
  <c r="I23" i="6" s="1"/>
  <c r="I26" i="6" a="1"/>
  <c r="I26" i="6" s="1"/>
  <c r="I28" i="6" a="1"/>
  <c r="I28" i="6" s="1"/>
  <c r="I31" i="6" a="1"/>
  <c r="I31" i="6" s="1"/>
  <c r="I29" i="6" a="1"/>
  <c r="I29" i="6" s="1"/>
  <c r="I30" i="6" a="1"/>
  <c r="I30" i="6" s="1"/>
  <c r="I32" i="6" a="1"/>
  <c r="I32" i="6" s="1"/>
  <c r="I35" i="6" a="1"/>
  <c r="I35" i="6" s="1"/>
  <c r="I36" i="6" a="1"/>
  <c r="I36" i="6" s="1"/>
  <c r="I38" i="6" a="1"/>
  <c r="I38" i="6" s="1"/>
  <c r="I37" i="6" a="1"/>
  <c r="I37" i="6" s="1"/>
  <c r="I34" i="6" a="1"/>
  <c r="I34" i="6" s="1"/>
  <c r="I39" i="6" a="1"/>
  <c r="I39" i="6" s="1"/>
  <c r="I40" i="6" a="1"/>
  <c r="I40" i="6" s="1"/>
  <c r="I33" i="6" a="1"/>
  <c r="I33" i="6" s="1"/>
  <c r="I41" i="6" a="1"/>
  <c r="I41" i="6" s="1"/>
  <c r="I44" i="6" a="1"/>
  <c r="I44" i="6" s="1"/>
  <c r="I42" i="6" a="1"/>
  <c r="I42" i="6" s="1"/>
  <c r="I43" i="6" a="1"/>
  <c r="I43" i="6" s="1"/>
  <c r="I20" i="6" a="1"/>
  <c r="I20" i="6" s="1"/>
  <c r="I22" i="12" a="1"/>
  <c r="I22" i="12" s="1"/>
  <c r="I23" i="12" a="1"/>
  <c r="I23" i="12" s="1"/>
  <c r="I21" i="12" a="1"/>
  <c r="I21" i="12" s="1"/>
  <c r="I25" i="12" a="1"/>
  <c r="I25" i="12" s="1"/>
  <c r="I26" i="12" a="1"/>
  <c r="I26" i="12" s="1"/>
  <c r="I27" i="12" a="1"/>
  <c r="I27" i="12" s="1"/>
  <c r="I24" i="12" a="1"/>
  <c r="I24" i="12" s="1"/>
  <c r="I28" i="12" a="1"/>
  <c r="I28" i="12" s="1"/>
  <c r="I30" i="12" a="1"/>
  <c r="I30" i="12" s="1"/>
  <c r="I29" i="12" a="1"/>
  <c r="I29" i="12" s="1"/>
  <c r="I36" i="12" a="1"/>
  <c r="I36" i="12" s="1"/>
  <c r="I31" i="12" a="1"/>
  <c r="I31" i="12" s="1"/>
  <c r="I33" i="12" a="1"/>
  <c r="I33" i="12" s="1"/>
  <c r="I32" i="12" a="1"/>
  <c r="I32" i="12" s="1"/>
  <c r="I35" i="12" a="1"/>
  <c r="I35" i="12" s="1"/>
  <c r="I39" i="12" a="1"/>
  <c r="I39" i="12" s="1"/>
  <c r="I37" i="12" a="1"/>
  <c r="I37" i="12" s="1"/>
  <c r="I38" i="12" a="1"/>
  <c r="I38" i="12" s="1"/>
  <c r="I40" i="12" a="1"/>
  <c r="I40" i="12" s="1"/>
  <c r="I41" i="12" a="1"/>
  <c r="I41" i="12" s="1"/>
  <c r="I34" i="12" a="1"/>
  <c r="I34" i="12" s="1"/>
  <c r="I42" i="12" a="1"/>
  <c r="I42" i="12" s="1"/>
  <c r="I43" i="12" a="1"/>
  <c r="I43" i="12" s="1"/>
  <c r="I44" i="12" a="1"/>
  <c r="I44" i="12" s="1"/>
  <c r="I45" i="12" a="1"/>
  <c r="I45" i="12" s="1"/>
  <c r="I47" i="12" a="1"/>
  <c r="I47" i="12" s="1"/>
  <c r="I46" i="12" a="1"/>
  <c r="I46" i="12" s="1"/>
  <c r="I58" i="12" a="1"/>
  <c r="I58" i="12" s="1"/>
  <c r="I50" i="12" a="1"/>
  <c r="I50" i="12" s="1"/>
  <c r="I51" i="12" a="1"/>
  <c r="I51" i="12" s="1"/>
  <c r="I49" i="12" a="1"/>
  <c r="I49" i="12" s="1"/>
  <c r="I48" i="12" a="1"/>
  <c r="I48" i="12" s="1"/>
  <c r="I53" i="12" a="1"/>
  <c r="I53" i="12" s="1"/>
  <c r="I54" i="12" a="1"/>
  <c r="I54" i="12" s="1"/>
  <c r="I61" i="12" a="1"/>
  <c r="I61" i="12" s="1"/>
  <c r="I63" i="12" a="1"/>
  <c r="I63" i="12" s="1"/>
  <c r="I57" i="12" a="1"/>
  <c r="I57" i="12" s="1"/>
  <c r="I60" i="12" a="1"/>
  <c r="I60" i="12" s="1"/>
  <c r="I62" i="12" a="1"/>
  <c r="I62" i="12" s="1"/>
  <c r="I59" i="12" a="1"/>
  <c r="I59" i="12" s="1"/>
  <c r="I66" i="12" a="1"/>
  <c r="I66" i="12" s="1"/>
  <c r="I67" i="12" a="1"/>
  <c r="I67" i="12" s="1"/>
  <c r="I68" i="12" a="1"/>
  <c r="I68" i="12" s="1"/>
  <c r="I65" i="12" a="1"/>
  <c r="I65" i="12" s="1"/>
  <c r="I56" i="12" a="1"/>
  <c r="I56" i="12" s="1"/>
  <c r="I69" i="12" a="1"/>
  <c r="I69" i="12" s="1"/>
  <c r="I64" i="12" a="1"/>
  <c r="I64" i="12" s="1"/>
  <c r="I73" i="12" a="1"/>
  <c r="I73" i="12" s="1"/>
  <c r="I77" i="12" a="1"/>
  <c r="I77" i="12" s="1"/>
  <c r="I71" i="12" a="1"/>
  <c r="I71" i="12" s="1"/>
  <c r="I78" i="12" a="1"/>
  <c r="I78" i="12" s="1"/>
  <c r="I80" i="12" a="1"/>
  <c r="I80" i="12" s="1"/>
  <c r="I74" i="12" a="1"/>
  <c r="I74" i="12" s="1"/>
  <c r="I76" i="12" a="1"/>
  <c r="I76" i="12" s="1"/>
  <c r="I79" i="12" a="1"/>
  <c r="I79" i="12" s="1"/>
  <c r="I83" i="12" a="1"/>
  <c r="I83" i="12" s="1"/>
  <c r="I75" i="12" a="1"/>
  <c r="I75" i="12" s="1"/>
  <c r="I81" i="12" a="1"/>
  <c r="I81" i="12" s="1"/>
  <c r="I52" i="12" a="1"/>
  <c r="I52" i="12" s="1"/>
  <c r="I85" i="12" a="1"/>
  <c r="I85" i="12" s="1"/>
  <c r="I84" i="12" a="1"/>
  <c r="I84" i="12" s="1"/>
  <c r="I87" i="12" a="1"/>
  <c r="I87" i="12" s="1"/>
  <c r="I72" i="12" a="1"/>
  <c r="I72" i="12" s="1"/>
  <c r="I89" i="12" a="1"/>
  <c r="I89" i="12" s="1"/>
  <c r="I86" i="12" a="1"/>
  <c r="I86" i="12" s="1"/>
  <c r="I20" i="12" a="1"/>
  <c r="I20" i="12" s="1"/>
  <c r="I21" i="4" a="1"/>
  <c r="I21" i="4" s="1"/>
  <c r="I22" i="4" a="1"/>
  <c r="I22" i="4" s="1"/>
  <c r="I23" i="4" a="1"/>
  <c r="I23" i="4" s="1"/>
  <c r="I29" i="4" a="1"/>
  <c r="I29" i="4" s="1"/>
  <c r="I24" i="4" a="1"/>
  <c r="I24" i="4" s="1"/>
  <c r="I27" i="4" a="1"/>
  <c r="I27" i="4" s="1"/>
  <c r="I28" i="4" a="1"/>
  <c r="I28" i="4" s="1"/>
  <c r="I26" i="4" a="1"/>
  <c r="I26" i="4" s="1"/>
  <c r="I25" i="4" a="1"/>
  <c r="I25" i="4" s="1"/>
  <c r="I31" i="4" a="1"/>
  <c r="I31" i="4" s="1"/>
  <c r="I30" i="4" a="1"/>
  <c r="I30" i="4" s="1"/>
  <c r="I33" i="4" a="1"/>
  <c r="I33" i="4" s="1"/>
  <c r="I36" i="4" a="1"/>
  <c r="I36" i="4" s="1"/>
  <c r="I34" i="4" a="1"/>
  <c r="I34" i="4" s="1"/>
  <c r="I35" i="4" a="1"/>
  <c r="I35" i="4" s="1"/>
  <c r="I38" i="4" a="1"/>
  <c r="I38" i="4" s="1"/>
  <c r="I32" i="4" a="1"/>
  <c r="I32" i="4" s="1"/>
  <c r="I37" i="4" a="1"/>
  <c r="I37" i="4" s="1"/>
  <c r="I41" i="4" a="1"/>
  <c r="I41" i="4" s="1"/>
  <c r="I42" i="4" a="1"/>
  <c r="I42" i="4" s="1"/>
  <c r="I39" i="4" a="1"/>
  <c r="I39" i="4" s="1"/>
  <c r="I40" i="4" a="1"/>
  <c r="I40" i="4" s="1"/>
  <c r="I43" i="4" a="1"/>
  <c r="I43" i="4" s="1"/>
  <c r="I44" i="4" a="1"/>
  <c r="I44" i="4" s="1"/>
  <c r="I45" i="4" a="1"/>
  <c r="I45" i="4" s="1"/>
  <c r="I50" i="4" a="1"/>
  <c r="I50" i="4" s="1"/>
  <c r="I49" i="4" a="1"/>
  <c r="I49" i="4" s="1"/>
  <c r="I47" i="4" a="1"/>
  <c r="I47" i="4" s="1"/>
  <c r="I48" i="4" a="1"/>
  <c r="I48" i="4" s="1"/>
  <c r="I46" i="4" a="1"/>
  <c r="I46" i="4" s="1"/>
  <c r="I51" i="4" a="1"/>
  <c r="I51" i="4" s="1"/>
  <c r="I52" i="4" a="1"/>
  <c r="I52" i="4" s="1"/>
  <c r="I53" i="4" a="1"/>
  <c r="I53" i="4" s="1"/>
  <c r="I56" i="4" a="1"/>
  <c r="I56" i="4" s="1"/>
  <c r="I59" i="4" a="1"/>
  <c r="I59" i="4" s="1"/>
  <c r="I60" i="4" a="1"/>
  <c r="I60" i="4" s="1"/>
  <c r="I61" i="4" a="1"/>
  <c r="I61" i="4" s="1"/>
  <c r="I58" i="4" a="1"/>
  <c r="I58" i="4" s="1"/>
  <c r="I63" i="4" a="1"/>
  <c r="I63" i="4" s="1"/>
  <c r="I62" i="4" a="1"/>
  <c r="I62" i="4" s="1"/>
  <c r="I65" i="4" a="1"/>
  <c r="I65" i="4" s="1"/>
  <c r="I66" i="4" a="1"/>
  <c r="I66" i="4" s="1"/>
  <c r="I67" i="4" a="1"/>
  <c r="I67" i="4" s="1"/>
  <c r="I64" i="4" a="1"/>
  <c r="I64" i="4" s="1"/>
  <c r="I69" i="4" a="1"/>
  <c r="I69" i="4" s="1"/>
  <c r="I71" i="4" a="1"/>
  <c r="I71" i="4" s="1"/>
  <c r="I70" i="4" a="1"/>
  <c r="I70" i="4" s="1"/>
  <c r="I72" i="4" a="1"/>
  <c r="I72" i="4" s="1"/>
  <c r="I73" i="4" a="1"/>
  <c r="I73" i="4" s="1"/>
  <c r="I55" i="4" a="1"/>
  <c r="I55" i="4" s="1"/>
  <c r="I54" i="4" a="1"/>
  <c r="I54" i="4" s="1"/>
  <c r="I20" i="4" a="1"/>
  <c r="I20" i="4" s="1"/>
  <c r="I33" i="9" a="1"/>
  <c r="I33" i="9" s="1"/>
  <c r="I32" i="9" a="1"/>
  <c r="I32" i="9" s="1"/>
  <c r="I29" i="9" a="1"/>
  <c r="I29" i="9" s="1"/>
  <c r="I48" i="9" a="1"/>
  <c r="I48" i="9" s="1"/>
  <c r="I37" i="9" a="1"/>
  <c r="I37" i="9" s="1"/>
  <c r="I36" i="9" a="1"/>
  <c r="I36" i="9" s="1"/>
  <c r="I43" i="9" a="1"/>
  <c r="I43" i="9" s="1"/>
  <c r="I40" i="9" a="1"/>
  <c r="I40" i="9" s="1"/>
  <c r="I35" i="9" a="1"/>
  <c r="I35" i="9" s="1"/>
  <c r="I41" i="9" a="1"/>
  <c r="I41" i="9" s="1"/>
  <c r="I38" i="9" a="1"/>
  <c r="I38" i="9" s="1"/>
  <c r="I34" i="9" a="1"/>
  <c r="I34" i="9" s="1"/>
  <c r="I39" i="9" a="1"/>
  <c r="I39" i="9" s="1"/>
  <c r="I42" i="9" a="1"/>
  <c r="I42" i="9" s="1"/>
  <c r="I45" i="9" a="1"/>
  <c r="I45" i="9" s="1"/>
  <c r="I46" i="9" a="1"/>
  <c r="I46" i="9" s="1"/>
  <c r="I52" i="9" a="1"/>
  <c r="I52" i="9" s="1"/>
  <c r="I51" i="9" a="1"/>
  <c r="I51" i="9" s="1"/>
  <c r="I47" i="9" a="1"/>
  <c r="I47" i="9" s="1"/>
  <c r="I50" i="9" a="1"/>
  <c r="I50" i="9" s="1"/>
  <c r="I53" i="9" a="1"/>
  <c r="I53" i="9" s="1"/>
  <c r="I49" i="9" a="1"/>
  <c r="I49" i="9" s="1"/>
  <c r="I58" i="9" a="1"/>
  <c r="I58" i="9" s="1"/>
  <c r="I54" i="9" a="1"/>
  <c r="I54" i="9" s="1"/>
  <c r="I57" i="9" a="1"/>
  <c r="I57" i="9" s="1"/>
  <c r="I56" i="9" a="1"/>
  <c r="I56" i="9" s="1"/>
  <c r="I61" i="9" a="1"/>
  <c r="I61" i="9" s="1"/>
  <c r="I59" i="9" a="1"/>
  <c r="I59" i="9" s="1"/>
  <c r="I72" i="9" a="1"/>
  <c r="I72" i="9" s="1"/>
  <c r="I63" i="9" a="1"/>
  <c r="I63" i="9" s="1"/>
  <c r="I70" i="9" a="1"/>
  <c r="I70" i="9" s="1"/>
  <c r="I67" i="9" a="1"/>
  <c r="I67" i="9" s="1"/>
  <c r="I66" i="9" a="1"/>
  <c r="I66" i="9" s="1"/>
  <c r="I68" i="9" a="1"/>
  <c r="I68" i="9" s="1"/>
  <c r="I74" i="9" a="1"/>
  <c r="I74" i="9" s="1"/>
  <c r="I69" i="9" a="1"/>
  <c r="I69" i="9" s="1"/>
  <c r="I64" i="9" a="1"/>
  <c r="I64" i="9" s="1"/>
  <c r="I62" i="9" a="1"/>
  <c r="I62" i="9" s="1"/>
  <c r="I92" i="9" a="1"/>
  <c r="I92" i="9" s="1"/>
  <c r="I73" i="9" a="1"/>
  <c r="I73" i="9" s="1"/>
  <c r="I76" i="9" a="1"/>
  <c r="I76" i="9" s="1"/>
  <c r="I65" i="9" a="1"/>
  <c r="I65" i="9" s="1"/>
  <c r="I78" i="9" a="1"/>
  <c r="I78" i="9" s="1"/>
  <c r="I80" i="9" a="1"/>
  <c r="I80" i="9" s="1"/>
  <c r="I89" i="9" a="1"/>
  <c r="I89" i="9" s="1"/>
  <c r="I88" i="9" a="1"/>
  <c r="I88" i="9" s="1"/>
  <c r="I44" i="9" a="1"/>
  <c r="I44" i="9" s="1"/>
  <c r="I85" i="9" a="1"/>
  <c r="I85" i="9" s="1"/>
  <c r="I79" i="9" a="1"/>
  <c r="I79" i="9" s="1"/>
  <c r="I83" i="9" a="1"/>
  <c r="I83" i="9" s="1"/>
  <c r="I82" i="9" a="1"/>
  <c r="I82" i="9" s="1"/>
  <c r="I81" i="9" a="1"/>
  <c r="I81" i="9" s="1"/>
  <c r="I86" i="9" a="1"/>
  <c r="I86" i="9" s="1"/>
  <c r="I87" i="9" a="1"/>
  <c r="I87" i="9" s="1"/>
  <c r="I91" i="9" a="1"/>
  <c r="I91" i="9" s="1"/>
  <c r="I93" i="9" a="1"/>
  <c r="I93" i="9" s="1"/>
  <c r="I60" i="9" a="1"/>
  <c r="I60" i="9" s="1"/>
  <c r="I100" i="9" a="1"/>
  <c r="I100" i="9" s="1"/>
  <c r="I77" i="9" a="1"/>
  <c r="I77" i="9" s="1"/>
  <c r="I94" i="9" a="1"/>
  <c r="I94" i="9" s="1"/>
  <c r="I96" i="9" a="1"/>
  <c r="I96" i="9" s="1"/>
  <c r="I97" i="9" a="1"/>
  <c r="I97" i="9" s="1"/>
  <c r="I99" i="9" a="1"/>
  <c r="I99" i="9" s="1"/>
  <c r="I101" i="9" a="1"/>
  <c r="I101" i="9" s="1"/>
  <c r="I102" i="9" a="1"/>
  <c r="I102" i="9" s="1"/>
  <c r="I98" i="9" a="1"/>
  <c r="I98" i="9" s="1"/>
  <c r="I103" i="9" a="1"/>
  <c r="I103" i="9" s="1"/>
  <c r="I22" i="9" a="1"/>
  <c r="I22" i="9" s="1"/>
  <c r="I24" i="9" a="1"/>
  <c r="I24" i="9" s="1"/>
  <c r="I23" i="9" a="1"/>
  <c r="I23" i="9" s="1"/>
  <c r="I26" i="9" a="1"/>
  <c r="I26" i="9" s="1"/>
  <c r="I27" i="9" a="1"/>
  <c r="I27" i="9" s="1"/>
  <c r="I25" i="9" a="1"/>
  <c r="I25" i="9" s="1"/>
  <c r="I31" i="9" a="1"/>
  <c r="I31" i="9" s="1"/>
  <c r="I30" i="9" a="1"/>
  <c r="I30" i="9" s="1"/>
  <c r="I21" i="9" a="1"/>
  <c r="I21" i="9" s="1"/>
  <c r="A101" i="3"/>
  <c r="D30" i="3"/>
  <c r="A65" i="2"/>
  <c r="D40" i="2"/>
  <c r="A28" i="6"/>
  <c r="D31" i="6"/>
  <c r="D57" i="12"/>
  <c r="D80" i="12"/>
  <c r="D87" i="12"/>
  <c r="D89" i="12"/>
  <c r="A57" i="12"/>
  <c r="A80" i="12"/>
  <c r="A87" i="12"/>
  <c r="A89" i="12"/>
  <c r="D69" i="4"/>
  <c r="D20" i="4"/>
  <c r="D40" i="4"/>
  <c r="A20" i="4"/>
  <c r="A40" i="4"/>
  <c r="A69" i="4"/>
  <c r="A22" i="9"/>
  <c r="A23" i="9"/>
  <c r="A24" i="9"/>
  <c r="A29" i="9"/>
  <c r="A27" i="9"/>
  <c r="A26" i="9"/>
  <c r="A25" i="9"/>
  <c r="A31" i="9"/>
  <c r="A30" i="9"/>
  <c r="A32" i="9"/>
  <c r="A33" i="9"/>
  <c r="A36" i="9"/>
  <c r="A35" i="9"/>
  <c r="A34" i="9"/>
  <c r="A40" i="9"/>
  <c r="A37" i="9"/>
  <c r="A45" i="9"/>
  <c r="A38" i="9"/>
  <c r="A41" i="9"/>
  <c r="A46" i="9"/>
  <c r="A39" i="9"/>
  <c r="A42" i="9"/>
  <c r="A44" i="9"/>
  <c r="A43" i="9"/>
  <c r="A48" i="9"/>
  <c r="A47" i="9"/>
  <c r="A49" i="9"/>
  <c r="A50" i="9"/>
  <c r="A51" i="9"/>
  <c r="A53" i="9"/>
  <c r="A52" i="9"/>
  <c r="A54" i="9"/>
  <c r="A57" i="9"/>
  <c r="A58" i="9"/>
  <c r="A55" i="9"/>
  <c r="A56" i="9"/>
  <c r="A59" i="9"/>
  <c r="A61" i="9"/>
  <c r="A64" i="9"/>
  <c r="A60" i="9"/>
  <c r="A62" i="9"/>
  <c r="A63" i="9"/>
  <c r="A66" i="9"/>
  <c r="A67" i="9"/>
  <c r="A69" i="9"/>
  <c r="A65" i="9"/>
  <c r="A68" i="9"/>
  <c r="A71" i="9"/>
  <c r="A74" i="9"/>
  <c r="A70" i="9"/>
  <c r="A72" i="9"/>
  <c r="A73" i="9"/>
  <c r="A77" i="9"/>
  <c r="A76" i="9"/>
  <c r="A78" i="9"/>
  <c r="A80" i="9"/>
  <c r="A81" i="9"/>
  <c r="A79" i="9"/>
  <c r="A88" i="9"/>
  <c r="A83" i="9"/>
  <c r="A82" i="9"/>
  <c r="A86" i="9"/>
  <c r="A84" i="9"/>
  <c r="A87" i="9"/>
  <c r="A89" i="9"/>
  <c r="A85" i="9"/>
  <c r="A91" i="9"/>
  <c r="A93" i="9"/>
  <c r="A92" i="9"/>
  <c r="A94" i="9"/>
  <c r="A100" i="9"/>
  <c r="A95" i="9"/>
  <c r="A96" i="9"/>
  <c r="A97" i="9"/>
  <c r="A99" i="9"/>
  <c r="A21" i="9"/>
  <c r="D27" i="9"/>
  <c r="D26" i="9"/>
  <c r="D72" i="9"/>
  <c r="D85" i="9"/>
  <c r="P87" i="17" l="1"/>
  <c r="AB21" i="17"/>
  <c r="O86" i="17"/>
  <c r="N86" i="17"/>
  <c r="Q86" i="17"/>
  <c r="R86" i="17"/>
  <c r="D44" i="3"/>
  <c r="A100" i="3"/>
  <c r="Q395" i="2"/>
  <c r="A58" i="2"/>
  <c r="A63" i="2"/>
  <c r="A62" i="2"/>
  <c r="A64" i="2"/>
  <c r="D43" i="2"/>
  <c r="D32" i="2"/>
  <c r="D39" i="2"/>
  <c r="D56" i="2"/>
  <c r="D46" i="11"/>
  <c r="A48" i="11"/>
  <c r="D26" i="6"/>
  <c r="A42" i="6"/>
  <c r="D58" i="12"/>
  <c r="D51" i="12"/>
  <c r="D49" i="12"/>
  <c r="D74" i="12"/>
  <c r="D53" i="12"/>
  <c r="A84" i="12"/>
  <c r="A52" i="12"/>
  <c r="A27" i="12"/>
  <c r="A72" i="12"/>
  <c r="A86" i="12"/>
  <c r="D22" i="4"/>
  <c r="D52" i="4"/>
  <c r="D54" i="4"/>
  <c r="A73" i="4"/>
  <c r="A55" i="4"/>
  <c r="A54" i="4"/>
  <c r="D48" i="9"/>
  <c r="D77" i="9"/>
  <c r="AB19" i="17"/>
  <c r="AA19" i="17"/>
  <c r="N84" i="17"/>
  <c r="O84" i="17"/>
  <c r="N85" i="17"/>
  <c r="O85" i="17"/>
  <c r="Q85" i="17"/>
  <c r="R85" i="17"/>
  <c r="Q84" i="17"/>
  <c r="R84" i="17"/>
  <c r="D34" i="3"/>
  <c r="D22" i="3"/>
  <c r="D80" i="3"/>
  <c r="D88" i="3"/>
  <c r="A96" i="3"/>
  <c r="A98" i="3"/>
  <c r="A97" i="3"/>
  <c r="A99" i="3"/>
  <c r="A60" i="2"/>
  <c r="D62" i="2"/>
  <c r="D43" i="11"/>
  <c r="A39" i="11"/>
  <c r="A43" i="6"/>
  <c r="D23" i="6"/>
  <c r="D72" i="12"/>
  <c r="D86" i="12"/>
  <c r="A75" i="12"/>
  <c r="A85" i="12"/>
  <c r="A70" i="4"/>
  <c r="A72" i="4"/>
  <c r="D58" i="4"/>
  <c r="D73" i="4"/>
  <c r="D79" i="9"/>
  <c r="D91" i="9"/>
  <c r="P86" i="17" l="1"/>
  <c r="P85" i="17"/>
  <c r="P84" i="17"/>
  <c r="AA21" i="17"/>
  <c r="AB17" i="17"/>
  <c r="AA17" i="17"/>
  <c r="B21" i="7" l="1"/>
  <c r="C21" i="7"/>
  <c r="D21" i="7"/>
  <c r="B22" i="7"/>
  <c r="C22" i="7"/>
  <c r="D22" i="7"/>
  <c r="B23" i="7"/>
  <c r="C23" i="7"/>
  <c r="D23" i="7"/>
  <c r="B24" i="7"/>
  <c r="C24" i="7"/>
  <c r="D24" i="7"/>
  <c r="B25" i="7"/>
  <c r="C25" i="7"/>
  <c r="D25" i="7"/>
  <c r="B26" i="7"/>
  <c r="C26" i="7"/>
  <c r="D26" i="7"/>
  <c r="B27" i="7"/>
  <c r="C27" i="7"/>
  <c r="D27" i="7"/>
  <c r="B28" i="7"/>
  <c r="C28" i="7"/>
  <c r="D28" i="7"/>
  <c r="B29" i="7"/>
  <c r="C29" i="7"/>
  <c r="D29" i="7"/>
  <c r="D26" i="3"/>
  <c r="D41" i="3"/>
  <c r="D51" i="3"/>
  <c r="D58" i="3"/>
  <c r="A20" i="3"/>
  <c r="A43" i="3"/>
  <c r="A62" i="3"/>
  <c r="A63" i="3"/>
  <c r="D23" i="11"/>
  <c r="D42" i="11"/>
  <c r="D49" i="11"/>
  <c r="A24" i="11"/>
  <c r="A41" i="11"/>
  <c r="A44" i="11"/>
  <c r="D68" i="12"/>
  <c r="D59" i="12"/>
  <c r="A36" i="12"/>
  <c r="A56" i="12"/>
  <c r="Q18" i="9" l="1"/>
  <c r="Q62" i="9"/>
  <c r="Q73" i="9"/>
  <c r="Q91" i="9"/>
  <c r="Q99" i="9"/>
  <c r="Q123" i="9"/>
  <c r="Q135" i="9"/>
  <c r="Q183" i="9"/>
  <c r="Q267" i="9"/>
  <c r="Q353" i="9"/>
  <c r="D30" i="9"/>
  <c r="D59" i="9"/>
  <c r="D94" i="9"/>
  <c r="E21" i="7"/>
  <c r="F21" i="7"/>
  <c r="G21" i="7"/>
  <c r="H21" i="7"/>
  <c r="I21" i="7"/>
  <c r="J21" i="7"/>
  <c r="K21" i="7"/>
  <c r="L21" i="7"/>
  <c r="E22" i="7"/>
  <c r="F22" i="7"/>
  <c r="G22" i="7"/>
  <c r="H22" i="7"/>
  <c r="I22" i="7"/>
  <c r="J22" i="7"/>
  <c r="K22" i="7"/>
  <c r="L22" i="7"/>
  <c r="E23" i="7"/>
  <c r="F23" i="7"/>
  <c r="G23" i="7"/>
  <c r="H23" i="7"/>
  <c r="I23" i="7"/>
  <c r="J23" i="7"/>
  <c r="K23" i="7"/>
  <c r="L23" i="7"/>
  <c r="E24" i="7"/>
  <c r="F24" i="7"/>
  <c r="G24" i="7"/>
  <c r="H24" i="7"/>
  <c r="I24" i="7"/>
  <c r="J24" i="7"/>
  <c r="K24" i="7"/>
  <c r="L24" i="7"/>
  <c r="E25" i="7"/>
  <c r="F25" i="7"/>
  <c r="G25" i="7"/>
  <c r="H25" i="7"/>
  <c r="I25" i="7"/>
  <c r="J25" i="7"/>
  <c r="K25" i="7"/>
  <c r="L25" i="7"/>
  <c r="E26" i="7"/>
  <c r="F26" i="7"/>
  <c r="G26" i="7"/>
  <c r="H26" i="7"/>
  <c r="I26" i="7"/>
  <c r="J26" i="7"/>
  <c r="K26" i="7"/>
  <c r="L26" i="7"/>
  <c r="E27" i="7"/>
  <c r="F27" i="7"/>
  <c r="G27" i="7"/>
  <c r="H27" i="7"/>
  <c r="I27" i="7"/>
  <c r="J27" i="7"/>
  <c r="K27" i="7"/>
  <c r="L27" i="7"/>
  <c r="E28" i="7"/>
  <c r="F28" i="7"/>
  <c r="G28" i="7"/>
  <c r="H28" i="7"/>
  <c r="I28" i="7"/>
  <c r="J28" i="7"/>
  <c r="K28" i="7"/>
  <c r="L28" i="7"/>
  <c r="E29" i="7"/>
  <c r="F29" i="7"/>
  <c r="G29" i="7"/>
  <c r="H29" i="7"/>
  <c r="I29" i="7"/>
  <c r="J29" i="7"/>
  <c r="K29" i="7"/>
  <c r="L29" i="7"/>
  <c r="AD53" i="17"/>
  <c r="AD52" i="17"/>
  <c r="AD51" i="17"/>
  <c r="AD50" i="17"/>
  <c r="AD49" i="17"/>
  <c r="AC49" i="17"/>
  <c r="D24" i="3"/>
  <c r="D37" i="3"/>
  <c r="D59" i="3"/>
  <c r="A93" i="3"/>
  <c r="A88" i="3"/>
  <c r="A94" i="3"/>
  <c r="A47" i="11"/>
  <c r="D47" i="11"/>
  <c r="D42" i="6"/>
  <c r="A36" i="6"/>
  <c r="Q9" i="12"/>
  <c r="Q12" i="12"/>
  <c r="Q13" i="12"/>
  <c r="Q16" i="12"/>
  <c r="Q18" i="12"/>
  <c r="Q19" i="12"/>
  <c r="Q21" i="12"/>
  <c r="Q22" i="12"/>
  <c r="Q23" i="12"/>
  <c r="Q32" i="12"/>
  <c r="Q35" i="12"/>
  <c r="Q36" i="12"/>
  <c r="Q37" i="12"/>
  <c r="Q40" i="12"/>
  <c r="Q42" i="12"/>
  <c r="Q43" i="12"/>
  <c r="Q44" i="12"/>
  <c r="Q45" i="12"/>
  <c r="Q48" i="12"/>
  <c r="Q49" i="12"/>
  <c r="Q53" i="12"/>
  <c r="Q55" i="12"/>
  <c r="Q58" i="12"/>
  <c r="Q65" i="12"/>
  <c r="Q67" i="12"/>
  <c r="Q70" i="12"/>
  <c r="Q76" i="12"/>
  <c r="Q77" i="12"/>
  <c r="Q83" i="12"/>
  <c r="Q85" i="12"/>
  <c r="Q97" i="12"/>
  <c r="Q101" i="12"/>
  <c r="Q109" i="12"/>
  <c r="Q123" i="12"/>
  <c r="Q133" i="12"/>
  <c r="Q145" i="12"/>
  <c r="Q171" i="12"/>
  <c r="Q177" i="12"/>
  <c r="Q181" i="12"/>
  <c r="Q195" i="12"/>
  <c r="Q203" i="12"/>
  <c r="D46" i="12"/>
  <c r="D66" i="12"/>
  <c r="D27" i="12"/>
  <c r="A79" i="12"/>
  <c r="A81" i="12"/>
  <c r="A76" i="12"/>
  <c r="Q120" i="4"/>
  <c r="Q123" i="4"/>
  <c r="Q127" i="4"/>
  <c r="Q129" i="4"/>
  <c r="Q131" i="4"/>
  <c r="Q132" i="4"/>
  <c r="Q135" i="4"/>
  <c r="Q137" i="4"/>
  <c r="Q138" i="4"/>
  <c r="Q195" i="4"/>
  <c r="Q147" i="4"/>
  <c r="Q172" i="4"/>
  <c r="Q162" i="4"/>
  <c r="Q154" i="4"/>
  <c r="Q146" i="4"/>
  <c r="Q201" i="4"/>
  <c r="Q171" i="4"/>
  <c r="Q248" i="4"/>
  <c r="Q208" i="4"/>
  <c r="Q205" i="4"/>
  <c r="D31" i="4"/>
  <c r="D44" i="4"/>
  <c r="D70" i="4"/>
  <c r="D66" i="4"/>
  <c r="D72" i="4"/>
  <c r="A67" i="4"/>
  <c r="A63" i="4"/>
  <c r="A65" i="4"/>
  <c r="A60" i="4"/>
  <c r="A64" i="4"/>
  <c r="D31" i="9"/>
  <c r="D97" i="9"/>
  <c r="AI52" i="17"/>
  <c r="AI53" i="17"/>
  <c r="AI54" i="17"/>
  <c r="AI55" i="17"/>
  <c r="AI56" i="17"/>
  <c r="AI57" i="17"/>
  <c r="AI58" i="17"/>
  <c r="AJ58" i="17" s="1"/>
  <c r="AH31" i="17"/>
  <c r="AH32" i="17"/>
  <c r="AH33" i="17"/>
  <c r="AH34" i="17"/>
  <c r="AH35" i="17"/>
  <c r="AH36" i="17"/>
  <c r="AH37" i="17"/>
  <c r="AH30" i="17"/>
  <c r="AG30" i="17"/>
  <c r="AG31" i="17"/>
  <c r="AG32" i="17"/>
  <c r="AG33" i="17"/>
  <c r="AG34" i="17"/>
  <c r="AG35" i="17"/>
  <c r="AG36" i="17"/>
  <c r="AG37" i="17"/>
  <c r="AF31" i="17"/>
  <c r="AF32" i="17"/>
  <c r="AF33" i="17"/>
  <c r="AF34" i="17"/>
  <c r="AF35" i="17"/>
  <c r="AF36" i="17"/>
  <c r="AF37" i="17"/>
  <c r="AF30" i="17"/>
  <c r="AI51" i="17"/>
  <c r="AH57" i="17"/>
  <c r="AH56" i="17"/>
  <c r="AH55" i="17"/>
  <c r="AH54" i="17"/>
  <c r="AH53" i="17"/>
  <c r="AH52" i="17"/>
  <c r="AH51" i="17"/>
  <c r="AC45" i="17"/>
  <c r="AC46" i="17"/>
  <c r="AC47" i="17"/>
  <c r="AC48" i="17"/>
  <c r="AC44" i="17"/>
  <c r="AJ55" i="17" l="1"/>
  <c r="AJ54" i="17"/>
  <c r="AJ53" i="17"/>
  <c r="AJ52" i="17"/>
  <c r="AJ51" i="17"/>
  <c r="AJ57" i="17"/>
  <c r="AJ56" i="17"/>
  <c r="AH59" i="17"/>
  <c r="Q548" i="12"/>
  <c r="Q124" i="12"/>
  <c r="Q116" i="12"/>
  <c r="Q108" i="12"/>
  <c r="Q100" i="12"/>
  <c r="Q82" i="12"/>
  <c r="Q74" i="12"/>
  <c r="Q233" i="12"/>
  <c r="Q192" i="12"/>
  <c r="Q166" i="12"/>
  <c r="Q157" i="12"/>
  <c r="Q538" i="12"/>
  <c r="Q418" i="12"/>
  <c r="Q278" i="12"/>
  <c r="Q210" i="12"/>
  <c r="Q174" i="12"/>
  <c r="Q115" i="12"/>
  <c r="Q73" i="12"/>
  <c r="Q149" i="12"/>
  <c r="Q91" i="12"/>
  <c r="Q130" i="12"/>
  <c r="Q80" i="12"/>
  <c r="Q72" i="12"/>
  <c r="Q54" i="12"/>
  <c r="Q173" i="12"/>
  <c r="Q89" i="12"/>
  <c r="Q321" i="12"/>
  <c r="Q220" i="12"/>
  <c r="Q189" i="12"/>
  <c r="Q451" i="12"/>
  <c r="Q485" i="12"/>
  <c r="Q228" i="12"/>
  <c r="Q154" i="12"/>
  <c r="Q146" i="12"/>
  <c r="Q141" i="12"/>
  <c r="Q113" i="12"/>
  <c r="Q204" i="12"/>
  <c r="Q196" i="12"/>
  <c r="Q137" i="12"/>
  <c r="Q96" i="12"/>
  <c r="Q251" i="12"/>
  <c r="Q139" i="12"/>
  <c r="Q25" i="12"/>
  <c r="Q550" i="12"/>
  <c r="Q462" i="12"/>
  <c r="Q338" i="12"/>
  <c r="Q242" i="12"/>
  <c r="Q237" i="12"/>
  <c r="Q205" i="12"/>
  <c r="Q186" i="12"/>
  <c r="Q170" i="12"/>
  <c r="Q33" i="12"/>
  <c r="Q254" i="12"/>
  <c r="Q163" i="12"/>
  <c r="Q216" i="12"/>
  <c r="Q194" i="12"/>
  <c r="Q169" i="12"/>
  <c r="Q160" i="12"/>
  <c r="Q134" i="12"/>
  <c r="Q126" i="12"/>
  <c r="Q118" i="12"/>
  <c r="Q102" i="12"/>
  <c r="Q84" i="12"/>
  <c r="Q187" i="12"/>
  <c r="Q518" i="12"/>
  <c r="Q276" i="12"/>
  <c r="Q231" i="12"/>
  <c r="Q176" i="12"/>
  <c r="Q125" i="12"/>
  <c r="Q225" i="12"/>
  <c r="Q155" i="12"/>
  <c r="Q199" i="12"/>
  <c r="Q183" i="12"/>
  <c r="Q175" i="12"/>
  <c r="Q151" i="12"/>
  <c r="Q143" i="12"/>
  <c r="Q127" i="12"/>
  <c r="Q119" i="12"/>
  <c r="Q111" i="12"/>
  <c r="Q103" i="12"/>
  <c r="Q79" i="12"/>
  <c r="Q17" i="12"/>
  <c r="Q149" i="4"/>
  <c r="Q166" i="9"/>
  <c r="Q126" i="9"/>
  <c r="Q78" i="9"/>
  <c r="Q623" i="9"/>
  <c r="Q94" i="9"/>
  <c r="Q61" i="9"/>
  <c r="Q520" i="9"/>
  <c r="Q150" i="9"/>
  <c r="Q182" i="9"/>
  <c r="Q257" i="9"/>
  <c r="Q118" i="9"/>
  <c r="Q86" i="9"/>
  <c r="Q69" i="9"/>
  <c r="Q26" i="9"/>
  <c r="Q142" i="9"/>
  <c r="Q52" i="9"/>
  <c r="Q215" i="9"/>
  <c r="Q181" i="9"/>
  <c r="Q165" i="9"/>
  <c r="Q149" i="9"/>
  <c r="Q141" i="9"/>
  <c r="Q133" i="9"/>
  <c r="Q117" i="9"/>
  <c r="Q60" i="9"/>
  <c r="Q51" i="9"/>
  <c r="Q204" i="9"/>
  <c r="Q188" i="9"/>
  <c r="Q180" i="9"/>
  <c r="Q140" i="9"/>
  <c r="Q100" i="9"/>
  <c r="Q67" i="9"/>
  <c r="Q32" i="9"/>
  <c r="Q12" i="9"/>
  <c r="Q247" i="9"/>
  <c r="Q187" i="9"/>
  <c r="Q163" i="9"/>
  <c r="Q131" i="9"/>
  <c r="Q83" i="9"/>
  <c r="Q49" i="9"/>
  <c r="Q31" i="9"/>
  <c r="Q21" i="9"/>
  <c r="Q50" i="9"/>
  <c r="Q242" i="9"/>
  <c r="Q227" i="9"/>
  <c r="Q186" i="9"/>
  <c r="Q178" i="9"/>
  <c r="Q170" i="9"/>
  <c r="Q162" i="9"/>
  <c r="Q65" i="9"/>
  <c r="Q57" i="9"/>
  <c r="Q20" i="9"/>
  <c r="Q146" i="9"/>
  <c r="Q324" i="9"/>
  <c r="Q193" i="9"/>
  <c r="Q177" i="9"/>
  <c r="Q161" i="9"/>
  <c r="Q137" i="9"/>
  <c r="Q129" i="9"/>
  <c r="Q113" i="9"/>
  <c r="Q105" i="9"/>
  <c r="Q97" i="9"/>
  <c r="Q81" i="9"/>
  <c r="Q56" i="9"/>
  <c r="Q210" i="9"/>
  <c r="Q172" i="9"/>
  <c r="Q139" i="9"/>
  <c r="Q74" i="9"/>
  <c r="Q219" i="9"/>
  <c r="Q234" i="9"/>
  <c r="Q200" i="9"/>
  <c r="Q192" i="9"/>
  <c r="Q184" i="9"/>
  <c r="Q160" i="9"/>
  <c r="Q152" i="9"/>
  <c r="Q144" i="9"/>
  <c r="Q120" i="9"/>
  <c r="Q112" i="9"/>
  <c r="Q96" i="9"/>
  <c r="Q72" i="9"/>
  <c r="Q63" i="9"/>
  <c r="Q45" i="9"/>
  <c r="Q412" i="9"/>
  <c r="Q167" i="9"/>
  <c r="Q151" i="9"/>
  <c r="Q119" i="9"/>
  <c r="Q103" i="9"/>
  <c r="Q95" i="9"/>
  <c r="Q87" i="9"/>
  <c r="Q71" i="9"/>
  <c r="Q53" i="9"/>
  <c r="Q44" i="9"/>
  <c r="Q16" i="9"/>
  <c r="Q196" i="9"/>
  <c r="Q36" i="9"/>
  <c r="Q159" i="9"/>
  <c r="Q35" i="9"/>
  <c r="Q41" i="9"/>
  <c r="Q17" i="9"/>
  <c r="Q30" i="9"/>
  <c r="Q38" i="9"/>
  <c r="Q27" i="9"/>
  <c r="Q15" i="9"/>
  <c r="AJ59" i="17" l="1"/>
  <c r="AB19" i="16" a="1"/>
  <c r="AB19" i="16" s="1"/>
  <c r="AB20" i="16" a="1"/>
  <c r="AB20" i="16" s="1"/>
  <c r="AB21" i="16" a="1"/>
  <c r="AB21" i="16" s="1"/>
  <c r="AB22" i="16" a="1"/>
  <c r="AB22" i="16" s="1"/>
  <c r="AB23" i="16" a="1"/>
  <c r="AB23" i="16" s="1"/>
  <c r="AB24" i="16" a="1"/>
  <c r="AB24" i="16" s="1"/>
  <c r="AB25" i="16" a="1"/>
  <c r="AB25" i="16" s="1"/>
  <c r="AB26" i="16" a="1"/>
  <c r="AB26" i="16" s="1"/>
  <c r="AB27" i="16" a="1"/>
  <c r="AB27" i="16" s="1"/>
  <c r="AB28" i="16" a="1"/>
  <c r="AB28" i="16" s="1"/>
  <c r="AB29" i="16" a="1"/>
  <c r="AB29" i="16" s="1"/>
  <c r="AB30" i="16" a="1"/>
  <c r="AB30" i="16" s="1"/>
  <c r="AB31" i="16" a="1"/>
  <c r="AB31" i="16" s="1"/>
  <c r="AB32" i="16" a="1"/>
  <c r="AB32" i="16" s="1"/>
  <c r="AB33" i="16" a="1"/>
  <c r="AB33" i="16" s="1"/>
  <c r="AB34" i="16" a="1"/>
  <c r="AB34" i="16" s="1"/>
  <c r="AB35" i="16" a="1"/>
  <c r="AB35" i="16" s="1"/>
  <c r="AB36" i="16" a="1"/>
  <c r="AB36" i="16" s="1"/>
  <c r="AB37" i="16" a="1"/>
  <c r="AB37" i="16" s="1"/>
  <c r="AB38" i="16" a="1"/>
  <c r="AB38" i="16" s="1"/>
  <c r="AB39" i="16" a="1"/>
  <c r="AB39" i="16" s="1"/>
  <c r="AB40" i="16" a="1"/>
  <c r="AB40" i="16" s="1"/>
  <c r="AB41" i="16" a="1"/>
  <c r="AB41" i="16" s="1"/>
  <c r="AB42" i="16" a="1"/>
  <c r="AB42" i="16" s="1"/>
  <c r="AB43" i="16" a="1"/>
  <c r="AB43" i="16" s="1"/>
  <c r="AB44" i="16" a="1"/>
  <c r="AB44" i="16" s="1"/>
  <c r="AB45" i="16" a="1"/>
  <c r="AB45" i="16" s="1"/>
  <c r="AB46" i="16" a="1"/>
  <c r="AB46" i="16" s="1"/>
  <c r="AB47" i="16" a="1"/>
  <c r="AB47" i="16" s="1"/>
  <c r="AB48" i="16" a="1"/>
  <c r="AB48" i="16" s="1"/>
  <c r="AB49" i="16" a="1"/>
  <c r="AB49" i="16" s="1"/>
  <c r="AB50" i="16" a="1"/>
  <c r="AB50" i="16" s="1"/>
  <c r="AB51" i="16" a="1"/>
  <c r="AB51" i="16" s="1"/>
  <c r="AB52" i="16" a="1"/>
  <c r="AB52" i="16" s="1"/>
  <c r="AB53" i="16" a="1"/>
  <c r="AB53" i="16" s="1"/>
  <c r="AB54" i="16" a="1"/>
  <c r="AB54" i="16" s="1"/>
  <c r="AB55" i="16" a="1"/>
  <c r="AB55" i="16" s="1"/>
  <c r="AB56" i="16" a="1"/>
  <c r="AB56" i="16" s="1"/>
  <c r="AB57" i="16" a="1"/>
  <c r="AB57" i="16" s="1"/>
  <c r="AB58" i="16" a="1"/>
  <c r="AB58" i="16" s="1"/>
  <c r="AB59" i="16" a="1"/>
  <c r="AB59" i="16" s="1"/>
  <c r="AB60" i="16" a="1"/>
  <c r="AB60" i="16" s="1"/>
  <c r="AB61" i="16" a="1"/>
  <c r="AB61" i="16" s="1"/>
  <c r="AB62" i="16" a="1"/>
  <c r="AB62" i="16" s="1"/>
  <c r="AB63" i="16" a="1"/>
  <c r="AB63" i="16" s="1"/>
  <c r="AB64" i="16" a="1"/>
  <c r="AB64" i="16" s="1"/>
  <c r="AB65" i="16" a="1"/>
  <c r="AB65" i="16" s="1"/>
  <c r="AB66" i="16" a="1"/>
  <c r="AB66" i="16" s="1"/>
  <c r="AB67" i="16" a="1"/>
  <c r="AB67" i="16" s="1"/>
  <c r="AB68" i="16" a="1"/>
  <c r="AB68" i="16" s="1"/>
  <c r="AB69" i="16" a="1"/>
  <c r="AB69" i="16" s="1"/>
  <c r="AB70" i="16" a="1"/>
  <c r="AB70" i="16" s="1"/>
  <c r="AB71" i="16" a="1"/>
  <c r="AB71" i="16" s="1"/>
  <c r="AB72" i="16" a="1"/>
  <c r="AB72" i="16" s="1"/>
  <c r="AB73" i="16" a="1"/>
  <c r="AB73" i="16" s="1"/>
  <c r="AB74" i="16" a="1"/>
  <c r="AB74" i="16" s="1"/>
  <c r="AB75" i="16" a="1"/>
  <c r="AB75" i="16" s="1"/>
  <c r="AB76" i="16" a="1"/>
  <c r="AB76" i="16" s="1"/>
  <c r="AB77" i="16" a="1"/>
  <c r="AB77" i="16" s="1"/>
  <c r="AB78" i="16" a="1"/>
  <c r="AB78" i="16" s="1"/>
  <c r="AB79" i="16" a="1"/>
  <c r="AB79" i="16" s="1"/>
  <c r="AB80" i="16" a="1"/>
  <c r="AB80" i="16" s="1"/>
  <c r="AB81" i="16" a="1"/>
  <c r="AB81" i="16" s="1"/>
  <c r="AB82" i="16" a="1"/>
  <c r="AB82" i="16" s="1"/>
  <c r="AB83" i="16" a="1"/>
  <c r="AB83" i="16" s="1"/>
  <c r="AB84" i="16" a="1"/>
  <c r="AB84" i="16" s="1"/>
  <c r="AB85" i="16" a="1"/>
  <c r="AB85" i="16" s="1"/>
  <c r="AB86" i="16" a="1"/>
  <c r="AB86" i="16" s="1"/>
  <c r="AB87" i="16" a="1"/>
  <c r="AB87" i="16" s="1"/>
  <c r="AB88" i="16" a="1"/>
  <c r="AB88" i="16" s="1"/>
  <c r="AB89" i="16" a="1"/>
  <c r="AB89" i="16" s="1"/>
  <c r="AB90" i="16" a="1"/>
  <c r="AB90" i="16" s="1"/>
  <c r="AB91" i="16" a="1"/>
  <c r="AB91" i="16" s="1"/>
  <c r="D36" i="3" l="1"/>
  <c r="D66" i="3"/>
  <c r="D90" i="3"/>
  <c r="D98" i="3"/>
  <c r="A87" i="3"/>
  <c r="A91" i="3"/>
  <c r="A76" i="3"/>
  <c r="A90" i="3"/>
  <c r="A57" i="2"/>
  <c r="A54" i="2"/>
  <c r="A61" i="2"/>
  <c r="D35" i="2"/>
  <c r="D47" i="2"/>
  <c r="D60" i="2"/>
  <c r="A43" i="11"/>
  <c r="A35" i="11"/>
  <c r="D40" i="11"/>
  <c r="D28" i="11"/>
  <c r="A37" i="6"/>
  <c r="A40" i="6"/>
  <c r="D20" i="6"/>
  <c r="D22" i="6"/>
  <c r="D38" i="12"/>
  <c r="D77" i="12"/>
  <c r="D85" i="12"/>
  <c r="A74" i="12"/>
  <c r="A83" i="12"/>
  <c r="A78" i="12"/>
  <c r="D62" i="4"/>
  <c r="A44" i="4"/>
  <c r="D58" i="9"/>
  <c r="D65" i="9"/>
  <c r="D88" i="9"/>
  <c r="D93" i="9"/>
  <c r="A21" i="16"/>
  <c r="A22" i="16"/>
  <c r="A23" i="16"/>
  <c r="A24" i="16"/>
  <c r="A25" i="16"/>
  <c r="A26" i="16"/>
  <c r="A27" i="16"/>
  <c r="A28" i="16"/>
  <c r="A29" i="16"/>
  <c r="A30" i="16"/>
  <c r="A20" i="16"/>
  <c r="A22" i="3"/>
  <c r="A21" i="3"/>
  <c r="A23" i="3"/>
  <c r="A26" i="3"/>
  <c r="A30" i="3"/>
  <c r="A29" i="3"/>
  <c r="A25" i="3"/>
  <c r="A31" i="3"/>
  <c r="A49" i="3"/>
  <c r="A33" i="3"/>
  <c r="A24" i="3"/>
  <c r="A35" i="3"/>
  <c r="A27" i="3"/>
  <c r="A32" i="3"/>
  <c r="A38" i="3"/>
  <c r="A47" i="3"/>
  <c r="A40" i="3"/>
  <c r="A46" i="3"/>
  <c r="A44" i="3"/>
  <c r="A37" i="3"/>
  <c r="A41" i="3"/>
  <c r="A36" i="3"/>
  <c r="A45" i="3"/>
  <c r="A52" i="3"/>
  <c r="A56" i="3"/>
  <c r="A59" i="3"/>
  <c r="A53" i="3"/>
  <c r="A60" i="3"/>
  <c r="A50" i="3"/>
  <c r="A42" i="3"/>
  <c r="A58" i="3"/>
  <c r="A57" i="3"/>
  <c r="A66" i="3"/>
  <c r="A77" i="3"/>
  <c r="A71" i="3"/>
  <c r="A65" i="3"/>
  <c r="A79" i="3"/>
  <c r="A39" i="3"/>
  <c r="A54" i="3"/>
  <c r="A68" i="3"/>
  <c r="A69" i="3"/>
  <c r="A67" i="3"/>
  <c r="A75" i="3"/>
  <c r="A72" i="3"/>
  <c r="A74" i="3"/>
  <c r="A61" i="3"/>
  <c r="A73" i="3"/>
  <c r="A51" i="3"/>
  <c r="A78" i="3"/>
  <c r="A83" i="3"/>
  <c r="A81" i="3"/>
  <c r="A82" i="3"/>
  <c r="A80" i="3"/>
  <c r="A48" i="3"/>
  <c r="A84" i="3"/>
  <c r="A85" i="3"/>
  <c r="A89" i="3"/>
  <c r="A86" i="3"/>
  <c r="A34" i="3"/>
  <c r="A46" i="11"/>
  <c r="A26" i="11"/>
  <c r="A38" i="11"/>
  <c r="A22" i="11"/>
  <c r="A25" i="11"/>
  <c r="A23" i="11"/>
  <c r="A21" i="11"/>
  <c r="A33" i="11"/>
  <c r="A29" i="11"/>
  <c r="A27" i="11"/>
  <c r="A32" i="11"/>
  <c r="A31" i="11"/>
  <c r="A30" i="11"/>
  <c r="A34" i="11"/>
  <c r="A42" i="11"/>
  <c r="A28" i="11"/>
  <c r="A45" i="11"/>
  <c r="A36" i="11"/>
  <c r="A37" i="11"/>
  <c r="A40" i="11"/>
  <c r="A20" i="11"/>
  <c r="A26" i="6"/>
  <c r="A23" i="6"/>
  <c r="A21" i="6"/>
  <c r="A25" i="6"/>
  <c r="A22" i="6"/>
  <c r="A24" i="6"/>
  <c r="A27" i="6"/>
  <c r="A30" i="6"/>
  <c r="A29" i="6"/>
  <c r="A38" i="6"/>
  <c r="A31" i="6"/>
  <c r="A34" i="6"/>
  <c r="A39" i="6"/>
  <c r="A33" i="6"/>
  <c r="A32" i="6"/>
  <c r="A35" i="6"/>
  <c r="A41" i="6"/>
  <c r="A20" i="6"/>
  <c r="A24" i="12"/>
  <c r="A21" i="12"/>
  <c r="A25" i="12"/>
  <c r="A20" i="12"/>
  <c r="A26" i="12"/>
  <c r="A22" i="12"/>
  <c r="A39" i="12"/>
  <c r="A31" i="12"/>
  <c r="A41" i="12"/>
  <c r="A30" i="12"/>
  <c r="A32" i="12"/>
  <c r="A28" i="12"/>
  <c r="A29" i="12"/>
  <c r="A58" i="12"/>
  <c r="A33" i="12"/>
  <c r="A35" i="12"/>
  <c r="A44" i="12"/>
  <c r="A46" i="12"/>
  <c r="A34" i="12"/>
  <c r="A38" i="12"/>
  <c r="A40" i="12"/>
  <c r="A42" i="12"/>
  <c r="A45" i="12"/>
  <c r="A47" i="12"/>
  <c r="A43" i="12"/>
  <c r="A50" i="12"/>
  <c r="A37" i="12"/>
  <c r="A54" i="12"/>
  <c r="A68" i="12"/>
  <c r="A51" i="12"/>
  <c r="A48" i="12"/>
  <c r="A49" i="12"/>
  <c r="A53" i="12"/>
  <c r="A61" i="12"/>
  <c r="A60" i="12"/>
  <c r="A66" i="12"/>
  <c r="A62" i="12"/>
  <c r="A63" i="12"/>
  <c r="A69" i="12"/>
  <c r="A67" i="12"/>
  <c r="A73" i="12"/>
  <c r="A77" i="12"/>
  <c r="A59" i="12"/>
  <c r="A65" i="12"/>
  <c r="A64" i="12"/>
  <c r="A71" i="12"/>
  <c r="A23" i="12"/>
  <c r="A24" i="4"/>
  <c r="A42" i="4"/>
  <c r="A52" i="4"/>
  <c r="A23" i="4"/>
  <c r="A41" i="4"/>
  <c r="A39" i="4"/>
  <c r="A35" i="4"/>
  <c r="A34" i="4"/>
  <c r="A22" i="4"/>
  <c r="A28" i="4"/>
  <c r="A32" i="4"/>
  <c r="A47" i="4"/>
  <c r="A21" i="4"/>
  <c r="A33" i="4"/>
  <c r="A25" i="4"/>
  <c r="A30" i="4"/>
  <c r="A37" i="4"/>
  <c r="A43" i="4"/>
  <c r="A31" i="4"/>
  <c r="A45" i="4"/>
  <c r="A38" i="4"/>
  <c r="A61" i="4"/>
  <c r="A50" i="4"/>
  <c r="A36" i="4"/>
  <c r="A53" i="4"/>
  <c r="A46" i="4"/>
  <c r="A26" i="4"/>
  <c r="A66" i="4"/>
  <c r="A62" i="4"/>
  <c r="A71" i="4"/>
  <c r="A49" i="4"/>
  <c r="A29" i="4"/>
  <c r="A51" i="4"/>
  <c r="A56" i="4"/>
  <c r="A27" i="4"/>
  <c r="A58" i="4"/>
  <c r="A59" i="4"/>
  <c r="A48" i="4"/>
  <c r="A22" i="2"/>
  <c r="A20" i="2"/>
  <c r="A24" i="2"/>
  <c r="A23" i="2"/>
  <c r="A27" i="2"/>
  <c r="A25" i="2"/>
  <c r="A26" i="2"/>
  <c r="A28" i="2"/>
  <c r="A33" i="2"/>
  <c r="A29" i="2"/>
  <c r="A34" i="2"/>
  <c r="A31" i="2"/>
  <c r="A30" i="2"/>
  <c r="A35" i="2"/>
  <c r="A32" i="2"/>
  <c r="A37" i="2"/>
  <c r="A38" i="2"/>
  <c r="A40" i="2"/>
  <c r="A36" i="2"/>
  <c r="A41" i="2"/>
  <c r="A39" i="2"/>
  <c r="A42" i="2"/>
  <c r="A43" i="2"/>
  <c r="A44" i="2"/>
  <c r="A59" i="2"/>
  <c r="A46" i="2"/>
  <c r="A47" i="2"/>
  <c r="A53" i="2"/>
  <c r="A48" i="2"/>
  <c r="A49" i="2"/>
  <c r="A50" i="2"/>
  <c r="A52" i="2"/>
  <c r="A56" i="2"/>
  <c r="A51" i="2"/>
  <c r="A45" i="2"/>
  <c r="A55" i="2"/>
  <c r="A21" i="2"/>
  <c r="D25" i="3"/>
  <c r="D86" i="3"/>
  <c r="D20" i="2"/>
  <c r="D22" i="11"/>
  <c r="D27" i="11"/>
  <c r="D50" i="12"/>
  <c r="D69" i="12"/>
  <c r="D52" i="12"/>
  <c r="D48" i="4"/>
  <c r="D34" i="4"/>
  <c r="D50" i="4"/>
  <c r="D25" i="4"/>
  <c r="D98" i="9"/>
  <c r="D86" i="9"/>
  <c r="D70" i="9"/>
  <c r="D76" i="9"/>
  <c r="D92" i="9"/>
  <c r="D36" i="9"/>
  <c r="AD47" i="17" l="1"/>
  <c r="AD48" i="17"/>
  <c r="AD44" i="17"/>
  <c r="AD45" i="17"/>
  <c r="AD46" i="17"/>
  <c r="P8" i="16" l="1"/>
  <c r="P12" i="16"/>
  <c r="Q12" i="16" s="1"/>
  <c r="P13" i="16"/>
  <c r="Q13" i="16" s="1"/>
  <c r="P15" i="16"/>
  <c r="Q15" i="16" s="1"/>
  <c r="P17" i="16"/>
  <c r="P20" i="16"/>
  <c r="Q20" i="16" s="1"/>
  <c r="P23" i="16"/>
  <c r="Q23" i="16" s="1"/>
  <c r="P24" i="16"/>
  <c r="P25" i="16"/>
  <c r="P26" i="16"/>
  <c r="Q26" i="16" s="1"/>
  <c r="P30" i="16"/>
  <c r="Q30" i="16" s="1"/>
  <c r="P35" i="16"/>
  <c r="Q35" i="16" s="1"/>
  <c r="P39" i="16"/>
  <c r="Q39" i="16" s="1"/>
  <c r="P44" i="16"/>
  <c r="Q44" i="16" s="1"/>
  <c r="P47" i="16"/>
  <c r="Q47" i="16" s="1"/>
  <c r="P105" i="16"/>
  <c r="Q105" i="16" s="1"/>
  <c r="P7" i="16"/>
  <c r="C231" i="16"/>
  <c r="C230" i="16"/>
  <c r="C229" i="16"/>
  <c r="C228" i="16"/>
  <c r="C227" i="16"/>
  <c r="C226" i="16"/>
  <c r="C225" i="16"/>
  <c r="C224" i="16"/>
  <c r="C223" i="16"/>
  <c r="C222" i="16"/>
  <c r="C221" i="16"/>
  <c r="C220" i="16"/>
  <c r="C219" i="16"/>
  <c r="C218" i="16"/>
  <c r="C217" i="16"/>
  <c r="C216" i="16"/>
  <c r="C215" i="16"/>
  <c r="C214" i="16"/>
  <c r="C213" i="16"/>
  <c r="C212" i="16"/>
  <c r="C211" i="16"/>
  <c r="C210" i="16"/>
  <c r="C209" i="16"/>
  <c r="C208" i="16"/>
  <c r="C207" i="16"/>
  <c r="C206" i="16"/>
  <c r="C205" i="16"/>
  <c r="F204" i="16"/>
  <c r="E204" i="16" s="1"/>
  <c r="D204" i="16"/>
  <c r="F203" i="16"/>
  <c r="E203" i="16" s="1"/>
  <c r="D203" i="16"/>
  <c r="F202" i="16"/>
  <c r="E202" i="16" s="1"/>
  <c r="D202" i="16"/>
  <c r="F201" i="16"/>
  <c r="E201" i="16" s="1"/>
  <c r="D201" i="16"/>
  <c r="F200" i="16"/>
  <c r="E200" i="16" s="1"/>
  <c r="D200" i="16"/>
  <c r="F199" i="16"/>
  <c r="E199" i="16"/>
  <c r="D199" i="16"/>
  <c r="F198" i="16"/>
  <c r="E198" i="16"/>
  <c r="D198" i="16"/>
  <c r="F197" i="16"/>
  <c r="E197" i="16" s="1"/>
  <c r="D197" i="16"/>
  <c r="F196" i="16"/>
  <c r="E196" i="16" s="1"/>
  <c r="D196" i="16"/>
  <c r="F195" i="16"/>
  <c r="E195" i="16"/>
  <c r="D195" i="16"/>
  <c r="F194" i="16"/>
  <c r="E194" i="16" s="1"/>
  <c r="D194" i="16"/>
  <c r="F193" i="16"/>
  <c r="E193" i="16" s="1"/>
  <c r="D193" i="16"/>
  <c r="F192" i="16"/>
  <c r="E192" i="16" s="1"/>
  <c r="D192" i="16"/>
  <c r="F191" i="16"/>
  <c r="E191" i="16"/>
  <c r="D191" i="16"/>
  <c r="F190" i="16"/>
  <c r="E190" i="16" s="1"/>
  <c r="D190" i="16"/>
  <c r="F189" i="16"/>
  <c r="E189" i="16" s="1"/>
  <c r="D189" i="16"/>
  <c r="F188" i="16"/>
  <c r="E188" i="16" s="1"/>
  <c r="D188" i="16"/>
  <c r="F187" i="16"/>
  <c r="E187" i="16" s="1"/>
  <c r="D187" i="16"/>
  <c r="F186" i="16"/>
  <c r="E186" i="16" s="1"/>
  <c r="D186" i="16"/>
  <c r="F185" i="16"/>
  <c r="E185" i="16" s="1"/>
  <c r="D185" i="16"/>
  <c r="F184" i="16"/>
  <c r="E184" i="16" s="1"/>
  <c r="D184" i="16"/>
  <c r="F183" i="16"/>
  <c r="E183" i="16"/>
  <c r="D183" i="16"/>
  <c r="F182" i="16"/>
  <c r="E182" i="16"/>
  <c r="D182" i="16"/>
  <c r="F181" i="16"/>
  <c r="E181" i="16" s="1"/>
  <c r="D181" i="16"/>
  <c r="F180" i="16"/>
  <c r="E180" i="16" s="1"/>
  <c r="D180" i="16"/>
  <c r="D25" i="16"/>
  <c r="D28" i="16"/>
  <c r="D26" i="16"/>
  <c r="D23" i="16"/>
  <c r="D30" i="16"/>
  <c r="D22" i="16"/>
  <c r="D29" i="16"/>
  <c r="D24" i="16"/>
  <c r="D20" i="16"/>
  <c r="D21" i="16"/>
  <c r="D27" i="16"/>
  <c r="C16" i="16"/>
  <c r="C12" i="16"/>
  <c r="C6" i="16"/>
  <c r="C9" i="16"/>
  <c r="C11" i="16"/>
  <c r="C13" i="16"/>
  <c r="C14" i="16"/>
  <c r="C8" i="16"/>
  <c r="C7" i="16"/>
  <c r="AA7" i="16" a="1"/>
  <c r="C10" i="16"/>
  <c r="C15" i="16"/>
  <c r="G4" i="16"/>
  <c r="B3" i="16"/>
  <c r="Q13" i="3"/>
  <c r="Q15" i="3"/>
  <c r="Q16" i="3"/>
  <c r="Q17" i="3"/>
  <c r="Q19" i="3"/>
  <c r="Q29" i="3"/>
  <c r="Q32" i="3"/>
  <c r="Q40" i="3"/>
  <c r="Q42" i="3"/>
  <c r="Q45" i="3"/>
  <c r="Q46" i="3"/>
  <c r="Q47" i="3"/>
  <c r="Q49" i="3"/>
  <c r="Q53" i="3"/>
  <c r="Q54" i="3"/>
  <c r="Q56" i="3"/>
  <c r="Q57" i="3"/>
  <c r="Q58" i="3"/>
  <c r="Q60" i="3"/>
  <c r="Q61" i="3"/>
  <c r="Q62" i="3"/>
  <c r="Q64" i="3"/>
  <c r="Q65" i="3"/>
  <c r="Q66" i="3"/>
  <c r="Q68" i="3"/>
  <c r="Q71" i="3"/>
  <c r="Q72" i="3"/>
  <c r="Q76" i="3"/>
  <c r="Q77" i="3"/>
  <c r="Q81" i="3"/>
  <c r="Q83" i="3"/>
  <c r="Q84" i="3"/>
  <c r="Q85" i="3"/>
  <c r="Q90" i="3"/>
  <c r="Q95" i="3"/>
  <c r="Q96" i="3"/>
  <c r="Q97" i="3"/>
  <c r="Q101" i="3"/>
  <c r="Q102" i="3"/>
  <c r="Q103" i="3"/>
  <c r="Q105" i="3"/>
  <c r="Q113" i="3"/>
  <c r="Q115" i="3"/>
  <c r="Q145" i="3"/>
  <c r="Q183" i="3"/>
  <c r="D76" i="3"/>
  <c r="D84" i="3"/>
  <c r="D81" i="3"/>
  <c r="Q10" i="3"/>
  <c r="D32" i="3"/>
  <c r="D61" i="3"/>
  <c r="D53" i="3"/>
  <c r="D49" i="3"/>
  <c r="D87" i="3"/>
  <c r="D79" i="3"/>
  <c r="D101" i="3"/>
  <c r="D74" i="3"/>
  <c r="D82" i="3"/>
  <c r="D40" i="3"/>
  <c r="D47" i="3"/>
  <c r="D67" i="3"/>
  <c r="D99" i="3"/>
  <c r="D46" i="3"/>
  <c r="D75" i="3"/>
  <c r="D54" i="3"/>
  <c r="D97" i="3"/>
  <c r="D94" i="3"/>
  <c r="AB91" i="3" a="1"/>
  <c r="AB91" i="3" s="1"/>
  <c r="AB90" i="3" a="1"/>
  <c r="AB90" i="3" s="1"/>
  <c r="AB89" i="3" a="1"/>
  <c r="AB89" i="3" s="1"/>
  <c r="AB88" i="3" a="1"/>
  <c r="AB88" i="3" s="1"/>
  <c r="AB87" i="3" a="1"/>
  <c r="AB87" i="3" s="1"/>
  <c r="AB86" i="3" a="1"/>
  <c r="AB86" i="3" s="1"/>
  <c r="AB85" i="3" a="1"/>
  <c r="AB85" i="3" s="1"/>
  <c r="AB84" i="3" a="1"/>
  <c r="AB84" i="3" s="1"/>
  <c r="D68" i="3"/>
  <c r="D91" i="3"/>
  <c r="D42" i="3"/>
  <c r="D69" i="3"/>
  <c r="D20" i="3"/>
  <c r="D52" i="3"/>
  <c r="D78" i="3"/>
  <c r="D56" i="3"/>
  <c r="D71" i="3"/>
  <c r="D73" i="3"/>
  <c r="D96" i="3"/>
  <c r="D27" i="3"/>
  <c r="D85" i="3"/>
  <c r="D45" i="3"/>
  <c r="D100" i="3"/>
  <c r="D89" i="3"/>
  <c r="D62" i="3"/>
  <c r="D93" i="3"/>
  <c r="D60" i="3"/>
  <c r="D65" i="3"/>
  <c r="D29" i="3"/>
  <c r="D50" i="3"/>
  <c r="D77" i="3"/>
  <c r="D39" i="3"/>
  <c r="D57" i="3"/>
  <c r="D35" i="3"/>
  <c r="D63" i="3"/>
  <c r="D83" i="3"/>
  <c r="D48" i="3"/>
  <c r="D21" i="3"/>
  <c r="D38" i="3"/>
  <c r="D43" i="3"/>
  <c r="D72" i="3"/>
  <c r="D33" i="3"/>
  <c r="D23" i="3"/>
  <c r="D31" i="3"/>
  <c r="C12" i="3"/>
  <c r="C13" i="3"/>
  <c r="C11" i="3"/>
  <c r="C9" i="3"/>
  <c r="C8" i="3"/>
  <c r="C14" i="3"/>
  <c r="C10" i="3"/>
  <c r="C15" i="3"/>
  <c r="C7" i="3"/>
  <c r="AA7" i="3" a="1"/>
  <c r="AB70" i="3" s="1" a="1"/>
  <c r="AB70" i="3" s="1"/>
  <c r="C6" i="3"/>
  <c r="C16" i="3"/>
  <c r="G4" i="3"/>
  <c r="B3" i="3"/>
  <c r="Q8" i="11"/>
  <c r="Q9" i="11"/>
  <c r="Q11" i="11"/>
  <c r="Q12" i="11"/>
  <c r="Q19" i="11"/>
  <c r="Q20" i="11"/>
  <c r="Q23" i="11"/>
  <c r="Q28" i="11"/>
  <c r="Q41" i="11"/>
  <c r="Q47" i="11"/>
  <c r="Q48" i="11"/>
  <c r="D29" i="11"/>
  <c r="D31" i="11"/>
  <c r="AB91" i="11" a="1"/>
  <c r="AB91" i="11" s="1"/>
  <c r="AB90" i="11" a="1"/>
  <c r="AB90" i="11" s="1"/>
  <c r="AB89" i="11" a="1"/>
  <c r="AB89" i="11" s="1"/>
  <c r="AB88" i="11" a="1"/>
  <c r="AB88" i="11" s="1"/>
  <c r="AB87" i="11" a="1"/>
  <c r="AB87" i="11" s="1"/>
  <c r="AB86" i="11" a="1"/>
  <c r="AB86" i="11" s="1"/>
  <c r="AB85" i="11" a="1"/>
  <c r="AB85" i="11" s="1"/>
  <c r="AB84" i="11" a="1"/>
  <c r="AB84" i="11" s="1"/>
  <c r="AB83" i="11" a="1"/>
  <c r="AB83" i="11" s="1"/>
  <c r="AB82" i="11" a="1"/>
  <c r="AB82" i="11" s="1"/>
  <c r="AB81" i="11" a="1"/>
  <c r="AB81" i="11" s="1"/>
  <c r="AB80" i="11" a="1"/>
  <c r="AB80" i="11" s="1"/>
  <c r="AB79" i="11" a="1"/>
  <c r="AB79" i="11" s="1"/>
  <c r="AB78" i="11" a="1"/>
  <c r="AB78" i="11" s="1"/>
  <c r="AB77" i="11" a="1"/>
  <c r="AB77" i="11" s="1"/>
  <c r="AB76" i="11" a="1"/>
  <c r="AB76" i="11" s="1"/>
  <c r="AB75" i="11" a="1"/>
  <c r="AB75" i="11" s="1"/>
  <c r="AB74" i="11" a="1"/>
  <c r="AB74" i="11" s="1"/>
  <c r="AB73" i="11" a="1"/>
  <c r="AB73" i="11" s="1"/>
  <c r="AB72" i="11" a="1"/>
  <c r="AB72" i="11" s="1"/>
  <c r="AB71" i="11" a="1"/>
  <c r="AB71" i="11" s="1"/>
  <c r="AB70" i="11" a="1"/>
  <c r="AB70" i="11" s="1"/>
  <c r="AB69" i="11" a="1"/>
  <c r="AB69" i="11" s="1"/>
  <c r="AB68" i="11" a="1"/>
  <c r="AB68" i="11" s="1"/>
  <c r="AB67" i="11" a="1"/>
  <c r="AB67" i="11" s="1"/>
  <c r="AB66" i="11" a="1"/>
  <c r="AB66" i="11" s="1"/>
  <c r="AB65" i="11" a="1"/>
  <c r="AB65" i="11" s="1"/>
  <c r="AB64" i="11" a="1"/>
  <c r="AB64" i="11" s="1"/>
  <c r="AB63" i="11" a="1"/>
  <c r="AB63" i="11" s="1"/>
  <c r="AB62" i="11" a="1"/>
  <c r="AB62" i="11" s="1"/>
  <c r="AB61" i="11" a="1"/>
  <c r="AB61" i="11" s="1"/>
  <c r="AB60" i="11" a="1"/>
  <c r="AB60" i="11" s="1"/>
  <c r="D32" i="11"/>
  <c r="D50" i="11"/>
  <c r="D41" i="11"/>
  <c r="D39" i="11"/>
  <c r="D30" i="11"/>
  <c r="D44" i="11"/>
  <c r="D48" i="11"/>
  <c r="D20" i="11"/>
  <c r="D34" i="11"/>
  <c r="D24" i="11"/>
  <c r="D21" i="11"/>
  <c r="D25" i="11"/>
  <c r="D37" i="11"/>
  <c r="D38" i="11"/>
  <c r="D35" i="11"/>
  <c r="D33" i="11"/>
  <c r="D36" i="11"/>
  <c r="C15" i="11"/>
  <c r="C10" i="11"/>
  <c r="C11" i="11"/>
  <c r="C14" i="11"/>
  <c r="C16" i="11"/>
  <c r="C6" i="11"/>
  <c r="C7" i="11"/>
  <c r="C9" i="11"/>
  <c r="C13" i="11"/>
  <c r="AA7" i="11" a="1"/>
  <c r="C12" i="11"/>
  <c r="C8" i="11"/>
  <c r="G4" i="11"/>
  <c r="B3" i="11"/>
  <c r="Q9" i="2"/>
  <c r="Q10" i="2"/>
  <c r="Q14" i="2"/>
  <c r="Q22" i="2"/>
  <c r="Q23" i="2"/>
  <c r="Q30" i="2"/>
  <c r="Q31" i="2"/>
  <c r="Q32" i="2"/>
  <c r="Q34" i="2"/>
  <c r="Q35" i="2"/>
  <c r="Q37" i="2"/>
  <c r="Q40" i="2"/>
  <c r="Q41" i="2"/>
  <c r="Q43" i="2"/>
  <c r="Q44" i="2"/>
  <c r="Q46" i="2"/>
  <c r="Q47" i="2"/>
  <c r="Q50" i="2"/>
  <c r="Q51" i="2"/>
  <c r="Q54" i="2"/>
  <c r="Q55" i="2"/>
  <c r="Q57" i="2"/>
  <c r="Q60" i="2"/>
  <c r="Q72" i="2"/>
  <c r="Q74" i="2"/>
  <c r="Q76" i="2"/>
  <c r="Q77" i="2"/>
  <c r="Q78" i="2"/>
  <c r="Q80" i="2"/>
  <c r="Q85" i="2"/>
  <c r="Q87" i="2"/>
  <c r="Q90" i="2"/>
  <c r="Q91" i="2"/>
  <c r="Q93" i="2"/>
  <c r="Q94" i="2"/>
  <c r="Q274" i="2"/>
  <c r="D36" i="2"/>
  <c r="D51" i="2"/>
  <c r="D25" i="2"/>
  <c r="D65" i="2"/>
  <c r="D63" i="2"/>
  <c r="D52" i="2"/>
  <c r="D33" i="2"/>
  <c r="D28" i="2"/>
  <c r="D49" i="2"/>
  <c r="D53" i="2"/>
  <c r="D61" i="2"/>
  <c r="D54" i="2"/>
  <c r="D26" i="2"/>
  <c r="D58" i="2"/>
  <c r="D50" i="2"/>
  <c r="D38" i="2"/>
  <c r="D30" i="2"/>
  <c r="D64" i="2"/>
  <c r="AB91" i="2" a="1"/>
  <c r="AB91" i="2" s="1"/>
  <c r="AB90" i="2" a="1"/>
  <c r="AB90" i="2" s="1"/>
  <c r="AB89" i="2" a="1"/>
  <c r="AB89" i="2" s="1"/>
  <c r="AB88" i="2" a="1"/>
  <c r="AB88" i="2" s="1"/>
  <c r="AB87" i="2" a="1"/>
  <c r="AB87" i="2" s="1"/>
  <c r="AB86" i="2" a="1"/>
  <c r="AB86" i="2" s="1"/>
  <c r="AB85" i="2" a="1"/>
  <c r="AB85" i="2" s="1"/>
  <c r="AB84" i="2" a="1"/>
  <c r="AB84" i="2" s="1"/>
  <c r="AB83" i="2" a="1"/>
  <c r="AB83" i="2" s="1"/>
  <c r="AB82" i="2" a="1"/>
  <c r="AB82" i="2" s="1"/>
  <c r="AB81" i="2" a="1"/>
  <c r="AB81" i="2" s="1"/>
  <c r="AB80" i="2" a="1"/>
  <c r="AB80" i="2" s="1"/>
  <c r="AB79" i="2" a="1"/>
  <c r="AB79" i="2" s="1"/>
  <c r="AB78" i="2" a="1"/>
  <c r="AB78" i="2" s="1"/>
  <c r="AB77" i="2" a="1"/>
  <c r="AB77" i="2" s="1"/>
  <c r="AB76" i="2" a="1"/>
  <c r="AB76" i="2" s="1"/>
  <c r="AB75" i="2" a="1"/>
  <c r="AB75" i="2" s="1"/>
  <c r="AB74" i="2" a="1"/>
  <c r="AB74" i="2" s="1"/>
  <c r="AB73" i="2" a="1"/>
  <c r="AB73" i="2" s="1"/>
  <c r="AB72" i="2" a="1"/>
  <c r="AB72" i="2" s="1"/>
  <c r="AB71" i="2" a="1"/>
  <c r="AB71" i="2" s="1"/>
  <c r="AB70" i="2" a="1"/>
  <c r="AB70" i="2" s="1"/>
  <c r="AB69" i="2" a="1"/>
  <c r="AB69" i="2" s="1"/>
  <c r="AB68" i="2" a="1"/>
  <c r="AB68" i="2" s="1"/>
  <c r="AB67" i="2" a="1"/>
  <c r="AB67" i="2" s="1"/>
  <c r="AB66" i="2" a="1"/>
  <c r="AB66" i="2" s="1"/>
  <c r="AB65" i="2" a="1"/>
  <c r="AB65" i="2" s="1"/>
  <c r="AB64" i="2" a="1"/>
  <c r="AB64" i="2" s="1"/>
  <c r="AB63" i="2" a="1"/>
  <c r="AB63" i="2" s="1"/>
  <c r="AB62" i="2" a="1"/>
  <c r="AB62" i="2" s="1"/>
  <c r="AB61" i="2" a="1"/>
  <c r="AB61" i="2" s="1"/>
  <c r="AB60" i="2" a="1"/>
  <c r="AB60" i="2" s="1"/>
  <c r="AB59" i="2" a="1"/>
  <c r="AB59" i="2" s="1"/>
  <c r="AB58" i="2" a="1"/>
  <c r="AB58" i="2" s="1"/>
  <c r="AB57" i="2" a="1"/>
  <c r="AB57" i="2" s="1"/>
  <c r="D55" i="2"/>
  <c r="D57" i="2"/>
  <c r="D42" i="2"/>
  <c r="D59" i="2"/>
  <c r="D46" i="2"/>
  <c r="D31" i="2"/>
  <c r="D45" i="2"/>
  <c r="D23" i="2"/>
  <c r="D48" i="2"/>
  <c r="D41" i="2"/>
  <c r="D44" i="2"/>
  <c r="D37" i="2"/>
  <c r="D27" i="2"/>
  <c r="D29" i="2"/>
  <c r="D22" i="2"/>
  <c r="D24" i="2"/>
  <c r="D34" i="2"/>
  <c r="D21" i="2"/>
  <c r="C9" i="2"/>
  <c r="C13" i="2"/>
  <c r="C14" i="2"/>
  <c r="C7" i="2"/>
  <c r="C6" i="2"/>
  <c r="C12" i="2"/>
  <c r="C16" i="2"/>
  <c r="C10" i="2"/>
  <c r="C11" i="2"/>
  <c r="AA7" i="2" a="1"/>
  <c r="AB53" i="2" s="1" a="1"/>
  <c r="AB53" i="2" s="1"/>
  <c r="C8" i="2"/>
  <c r="C15" i="2"/>
  <c r="G4" i="2"/>
  <c r="B3" i="2"/>
  <c r="Q9" i="6"/>
  <c r="Q12" i="6"/>
  <c r="Q18" i="6"/>
  <c r="Q19" i="6"/>
  <c r="Q20" i="6"/>
  <c r="Q23" i="6"/>
  <c r="Q28" i="6"/>
  <c r="Q29" i="6"/>
  <c r="Q30" i="6"/>
  <c r="Q31" i="6"/>
  <c r="Q34" i="6"/>
  <c r="Q35" i="6"/>
  <c r="Q43" i="6"/>
  <c r="Q46" i="6"/>
  <c r="Q51" i="6"/>
  <c r="Q47" i="6"/>
  <c r="Q64" i="6"/>
  <c r="Q63" i="6"/>
  <c r="D24" i="6"/>
  <c r="D40" i="6"/>
  <c r="D34" i="6"/>
  <c r="D62" i="12"/>
  <c r="D67" i="12"/>
  <c r="D64" i="12"/>
  <c r="D29" i="12"/>
  <c r="D35" i="12"/>
  <c r="AB91" i="6" a="1"/>
  <c r="AB91" i="6" s="1"/>
  <c r="AB90" i="6" a="1"/>
  <c r="AB90" i="6" s="1"/>
  <c r="AB89" i="6" a="1"/>
  <c r="AB89" i="6" s="1"/>
  <c r="AB88" i="6" a="1"/>
  <c r="AB88" i="6" s="1"/>
  <c r="AB87" i="6" a="1"/>
  <c r="AB87" i="6" s="1"/>
  <c r="AB86" i="6" a="1"/>
  <c r="AB86" i="6" s="1"/>
  <c r="AB85" i="6" a="1"/>
  <c r="AB85" i="6" s="1"/>
  <c r="AB84" i="6" a="1"/>
  <c r="AB84" i="6" s="1"/>
  <c r="AB83" i="6" a="1"/>
  <c r="AB83" i="6" s="1"/>
  <c r="AB82" i="6" a="1"/>
  <c r="AB82" i="6" s="1"/>
  <c r="AB81" i="6" a="1"/>
  <c r="AB81" i="6" s="1"/>
  <c r="AB80" i="6" a="1"/>
  <c r="AB80" i="6" s="1"/>
  <c r="AB79" i="6" a="1"/>
  <c r="AB79" i="6" s="1"/>
  <c r="AB78" i="6" a="1"/>
  <c r="AB78" i="6" s="1"/>
  <c r="AB77" i="6" a="1"/>
  <c r="AB77" i="6" s="1"/>
  <c r="AB76" i="6" a="1"/>
  <c r="AB76" i="6" s="1"/>
  <c r="AB75" i="6" a="1"/>
  <c r="AB75" i="6" s="1"/>
  <c r="AB74" i="6" a="1"/>
  <c r="AB74" i="6" s="1"/>
  <c r="AB73" i="6" a="1"/>
  <c r="AB73" i="6" s="1"/>
  <c r="AB72" i="6" a="1"/>
  <c r="AB72" i="6" s="1"/>
  <c r="AB71" i="6" a="1"/>
  <c r="AB71" i="6" s="1"/>
  <c r="AB70" i="6" a="1"/>
  <c r="AB70" i="6" s="1"/>
  <c r="AB69" i="6" a="1"/>
  <c r="AB69" i="6" s="1"/>
  <c r="AB68" i="6" a="1"/>
  <c r="AB68" i="6" s="1"/>
  <c r="AB67" i="6" a="1"/>
  <c r="AB67" i="6" s="1"/>
  <c r="AB66" i="6" a="1"/>
  <c r="AB66" i="6" s="1"/>
  <c r="AB65" i="6" a="1"/>
  <c r="AB65" i="6" s="1"/>
  <c r="AB64" i="6" a="1"/>
  <c r="AB64" i="6" s="1"/>
  <c r="AB63" i="6" a="1"/>
  <c r="AB63" i="6" s="1"/>
  <c r="D32" i="6"/>
  <c r="D43" i="6"/>
  <c r="D39" i="6"/>
  <c r="D30" i="6"/>
  <c r="D37" i="6"/>
  <c r="D27" i="6"/>
  <c r="D28" i="6"/>
  <c r="D33" i="6"/>
  <c r="D29" i="6"/>
  <c r="D36" i="6"/>
  <c r="D44" i="6"/>
  <c r="D25" i="6"/>
  <c r="D41" i="6"/>
  <c r="D38" i="6"/>
  <c r="D35" i="6"/>
  <c r="C15" i="6"/>
  <c r="C7" i="6"/>
  <c r="C11" i="6"/>
  <c r="C6" i="6"/>
  <c r="C14" i="6"/>
  <c r="C12" i="6"/>
  <c r="C10" i="6"/>
  <c r="C9" i="6"/>
  <c r="C8" i="6"/>
  <c r="AA7" i="6" a="1"/>
  <c r="C16" i="6"/>
  <c r="C13" i="6"/>
  <c r="G4" i="6"/>
  <c r="B3" i="6"/>
  <c r="B3" i="12"/>
  <c r="G4" i="12"/>
  <c r="C13" i="12"/>
  <c r="C14" i="12"/>
  <c r="AA7" i="12" a="1"/>
  <c r="AB65" i="12" s="1" a="1"/>
  <c r="AB65" i="12" s="1"/>
  <c r="C12" i="12"/>
  <c r="C8" i="12"/>
  <c r="C15" i="12"/>
  <c r="C10" i="12"/>
  <c r="C11" i="12"/>
  <c r="C6" i="12"/>
  <c r="C9" i="12"/>
  <c r="C7" i="12"/>
  <c r="C16" i="12"/>
  <c r="D43" i="12"/>
  <c r="D28" i="12"/>
  <c r="D24" i="12"/>
  <c r="D23" i="12"/>
  <c r="D25" i="12"/>
  <c r="D75" i="12"/>
  <c r="D31" i="12"/>
  <c r="D39" i="12"/>
  <c r="D54" i="12"/>
  <c r="D47" i="12"/>
  <c r="D48" i="12"/>
  <c r="D26" i="12"/>
  <c r="D22" i="12"/>
  <c r="D20" i="12"/>
  <c r="D30" i="12"/>
  <c r="D37" i="12"/>
  <c r="D32" i="12"/>
  <c r="D33" i="12"/>
  <c r="D61" i="12"/>
  <c r="D44" i="12"/>
  <c r="D21" i="12"/>
  <c r="D84" i="12"/>
  <c r="D42" i="12"/>
  <c r="D45" i="12"/>
  <c r="D73" i="12"/>
  <c r="D34" i="12"/>
  <c r="D41" i="12"/>
  <c r="D71" i="12"/>
  <c r="D56" i="12"/>
  <c r="D63" i="12"/>
  <c r="D78" i="12"/>
  <c r="D40" i="12"/>
  <c r="D60" i="12"/>
  <c r="D79" i="12"/>
  <c r="D83" i="12"/>
  <c r="D36" i="12"/>
  <c r="D65" i="12"/>
  <c r="D81" i="12"/>
  <c r="D76" i="12"/>
  <c r="AB78" i="12" a="1"/>
  <c r="AB78" i="12" s="1"/>
  <c r="AB79" i="12" a="1"/>
  <c r="AB79" i="12" s="1"/>
  <c r="AB80" i="12" a="1"/>
  <c r="AB80" i="12" s="1"/>
  <c r="AB81" i="12" a="1"/>
  <c r="AB81" i="12" s="1"/>
  <c r="AB82" i="12" a="1"/>
  <c r="AB82" i="12" s="1"/>
  <c r="AB83" i="12" a="1"/>
  <c r="AB83" i="12" s="1"/>
  <c r="AB84" i="12" a="1"/>
  <c r="AB84" i="12" s="1"/>
  <c r="AB85" i="12" a="1"/>
  <c r="AB85" i="12" s="1"/>
  <c r="AB86" i="12" a="1"/>
  <c r="AB86" i="12" s="1"/>
  <c r="AB87" i="12" a="1"/>
  <c r="AB87" i="12" s="1"/>
  <c r="AB88" i="12" a="1"/>
  <c r="AB88" i="12" s="1"/>
  <c r="AB89" i="12" a="1"/>
  <c r="AB89" i="12" s="1"/>
  <c r="AB90" i="12" a="1"/>
  <c r="AB90" i="12" s="1"/>
  <c r="AB91" i="12" a="1"/>
  <c r="AB91" i="12" s="1"/>
  <c r="Q108" i="4"/>
  <c r="Q109" i="4"/>
  <c r="Q95" i="4"/>
  <c r="Q94" i="4"/>
  <c r="Q86" i="4"/>
  <c r="Q74" i="4"/>
  <c r="Q72" i="4"/>
  <c r="Q67" i="4"/>
  <c r="Q61" i="4"/>
  <c r="Q60" i="4"/>
  <c r="Q57" i="4"/>
  <c r="Q52" i="4"/>
  <c r="Q49" i="4"/>
  <c r="Q45" i="4"/>
  <c r="Q44" i="4"/>
  <c r="Q36" i="4"/>
  <c r="Q23" i="4"/>
  <c r="Q8" i="4"/>
  <c r="Q7" i="4"/>
  <c r="D64" i="4"/>
  <c r="D71" i="4"/>
  <c r="D47" i="4"/>
  <c r="D27" i="4"/>
  <c r="D29" i="4"/>
  <c r="D67" i="4"/>
  <c r="D49" i="4"/>
  <c r="D26" i="4"/>
  <c r="D61" i="4"/>
  <c r="D45" i="4"/>
  <c r="D63" i="4"/>
  <c r="D46" i="4"/>
  <c r="D38" i="4"/>
  <c r="D43" i="4"/>
  <c r="D53" i="4"/>
  <c r="D30" i="4"/>
  <c r="D60" i="4"/>
  <c r="D23" i="4"/>
  <c r="D33" i="4"/>
  <c r="D41" i="4"/>
  <c r="D51" i="4"/>
  <c r="D42" i="4"/>
  <c r="D36" i="4"/>
  <c r="D59" i="4"/>
  <c r="D55" i="4"/>
  <c r="D24" i="4"/>
  <c r="D35" i="4"/>
  <c r="D65" i="4"/>
  <c r="D39" i="4"/>
  <c r="D37" i="4"/>
  <c r="D32" i="4"/>
  <c r="D21" i="4"/>
  <c r="D56" i="4"/>
  <c r="D28" i="4"/>
  <c r="C13" i="4"/>
  <c r="C16" i="4"/>
  <c r="C10" i="4"/>
  <c r="C6" i="4"/>
  <c r="C11" i="4"/>
  <c r="C9" i="4"/>
  <c r="C15" i="4"/>
  <c r="C8" i="4"/>
  <c r="C12" i="4"/>
  <c r="AA7" i="4" a="1"/>
  <c r="C7" i="4"/>
  <c r="C14" i="4"/>
  <c r="G4" i="4"/>
  <c r="B3" i="4"/>
  <c r="D49" i="9"/>
  <c r="D51" i="9"/>
  <c r="D42" i="9"/>
  <c r="D82" i="9"/>
  <c r="D56" i="9"/>
  <c r="D100" i="9"/>
  <c r="D102" i="9"/>
  <c r="D87" i="9"/>
  <c r="D103" i="9"/>
  <c r="D35" i="9"/>
  <c r="D24" i="9"/>
  <c r="D23" i="9"/>
  <c r="D21" i="9"/>
  <c r="D54" i="9"/>
  <c r="D33" i="9"/>
  <c r="D25" i="9"/>
  <c r="D34" i="9"/>
  <c r="D38" i="9"/>
  <c r="D32" i="9"/>
  <c r="D37" i="9"/>
  <c r="D41" i="9"/>
  <c r="D89" i="9"/>
  <c r="D46" i="9"/>
  <c r="D45" i="9"/>
  <c r="D74" i="9"/>
  <c r="D40" i="9"/>
  <c r="D57" i="9"/>
  <c r="D78" i="9"/>
  <c r="D53" i="9"/>
  <c r="D47" i="9"/>
  <c r="D61" i="9"/>
  <c r="D43" i="9"/>
  <c r="D50" i="9"/>
  <c r="D68" i="9"/>
  <c r="D96" i="9"/>
  <c r="D73" i="9"/>
  <c r="D52" i="9"/>
  <c r="D81" i="9"/>
  <c r="D80" i="9"/>
  <c r="D69" i="9"/>
  <c r="D66" i="9"/>
  <c r="D62" i="9"/>
  <c r="D64" i="9"/>
  <c r="D44" i="9"/>
  <c r="D63" i="9"/>
  <c r="D39" i="9"/>
  <c r="D83" i="9"/>
  <c r="D29" i="9"/>
  <c r="D99" i="9"/>
  <c r="D67" i="9"/>
  <c r="D60" i="9"/>
  <c r="D101" i="9"/>
  <c r="D22" i="9"/>
  <c r="W38" i="17"/>
  <c r="V38" i="17"/>
  <c r="W37" i="17"/>
  <c r="V37" i="17"/>
  <c r="W36" i="17"/>
  <c r="V36" i="17"/>
  <c r="W35" i="17"/>
  <c r="V35" i="17"/>
  <c r="N1292" i="14"/>
  <c r="N1325" i="14"/>
  <c r="N1305" i="14"/>
  <c r="O1305" i="14" s="1"/>
  <c r="N1335" i="14"/>
  <c r="N1290" i="14"/>
  <c r="N1286" i="14"/>
  <c r="O1286" i="14" s="1"/>
  <c r="N1347" i="14"/>
  <c r="N1291" i="14"/>
  <c r="N1317" i="14"/>
  <c r="N1316" i="14"/>
  <c r="N1333" i="14"/>
  <c r="O1333" i="14" s="1"/>
  <c r="N1341" i="14"/>
  <c r="N1322" i="14"/>
  <c r="N1267" i="14"/>
  <c r="O1267" i="14" s="1"/>
  <c r="N1255" i="14"/>
  <c r="N1264" i="14"/>
  <c r="N1301" i="14"/>
  <c r="N1259" i="14"/>
  <c r="N1260" i="14"/>
  <c r="O1260" i="14" s="1"/>
  <c r="N1262" i="14"/>
  <c r="N1258" i="14"/>
  <c r="N1266" i="14"/>
  <c r="O1266" i="14" s="1"/>
  <c r="N1254" i="14"/>
  <c r="N1263" i="14"/>
  <c r="N1315" i="14"/>
  <c r="O1315" i="14" s="1"/>
  <c r="N1297" i="14"/>
  <c r="N1268" i="14"/>
  <c r="O1268" i="14" s="1"/>
  <c r="N1269" i="14"/>
  <c r="N1293" i="14"/>
  <c r="N1275" i="14"/>
  <c r="O1275" i="14" s="1"/>
  <c r="N1272" i="14"/>
  <c r="N1261" i="14"/>
  <c r="N1271" i="14"/>
  <c r="O1271" i="14" s="1"/>
  <c r="N1270" i="14"/>
  <c r="N1344" i="14"/>
  <c r="O1344" i="14" s="1"/>
  <c r="N1350" i="14"/>
  <c r="N1294" i="14"/>
  <c r="N1345" i="14"/>
  <c r="O1345" i="14" s="1"/>
  <c r="N1331" i="14"/>
  <c r="N1303" i="14"/>
  <c r="O1303" i="14" s="1"/>
  <c r="N1304" i="14"/>
  <c r="O1304" i="14" s="1"/>
  <c r="N1348" i="14"/>
  <c r="N1300" i="14"/>
  <c r="O1300" i="14"/>
  <c r="N1274" i="14"/>
  <c r="N1310" i="14"/>
  <c r="N1282" i="14"/>
  <c r="O1282" i="14" s="1"/>
  <c r="N1311" i="14"/>
  <c r="O1311" i="14" s="1"/>
  <c r="N1287" i="14"/>
  <c r="N1277" i="14"/>
  <c r="O1277" i="14" s="1"/>
  <c r="N1340" i="14"/>
  <c r="N1306" i="14"/>
  <c r="N1326" i="14"/>
  <c r="N1342" i="14"/>
  <c r="O1342" i="14" s="1"/>
  <c r="N1280" i="14"/>
  <c r="O1280" i="14" s="1"/>
  <c r="N1256" i="14"/>
  <c r="O1256" i="14"/>
  <c r="N1351" i="14"/>
  <c r="O1351" i="14" s="1"/>
  <c r="N1278" i="14"/>
  <c r="O1278" i="14" s="1"/>
  <c r="N1339" i="14"/>
  <c r="O1339" i="14" s="1"/>
  <c r="N1329" i="14"/>
  <c r="O1329" i="14" s="1"/>
  <c r="N1289" i="14"/>
  <c r="O1289" i="14" s="1"/>
  <c r="N1338" i="14"/>
  <c r="O1338" i="14" s="1"/>
  <c r="N1283" i="14"/>
  <c r="O1283" i="14" s="1"/>
  <c r="N1336" i="14"/>
  <c r="O1336" i="14" s="1"/>
  <c r="N1309" i="14"/>
  <c r="N1307" i="14"/>
  <c r="O1307" i="14" s="1"/>
  <c r="N1296" i="14"/>
  <c r="O1296" i="14" s="1"/>
  <c r="N1346" i="14"/>
  <c r="N1349" i="14"/>
  <c r="O1349" i="14" s="1"/>
  <c r="N1321" i="14"/>
  <c r="N1328" i="14"/>
  <c r="N1313" i="14"/>
  <c r="O1313" i="14" s="1"/>
  <c r="N1302" i="14"/>
  <c r="O1302" i="14" s="1"/>
  <c r="N1314" i="14"/>
  <c r="N1285" i="14"/>
  <c r="O1285" i="14" s="1"/>
  <c r="N1257" i="14"/>
  <c r="O1257" i="14" s="1"/>
  <c r="N1298" i="14"/>
  <c r="O1298" i="14" s="1"/>
  <c r="N1327" i="14"/>
  <c r="O1327" i="14" s="1"/>
  <c r="N1332" i="14"/>
  <c r="O1332" i="14" s="1"/>
  <c r="N1265" i="14"/>
  <c r="N1319" i="14"/>
  <c r="O1319" i="14" s="1"/>
  <c r="N1443" i="14"/>
  <c r="O1443" i="14" s="1"/>
  <c r="N1440" i="14"/>
  <c r="O1440" i="14" s="1"/>
  <c r="N1432" i="14"/>
  <c r="O1432" i="14"/>
  <c r="N1373" i="14"/>
  <c r="O1373" i="14" s="1"/>
  <c r="N1419" i="14"/>
  <c r="N1426" i="14"/>
  <c r="O1426" i="14" s="1"/>
  <c r="N1394" i="14"/>
  <c r="N1381" i="14"/>
  <c r="O1381" i="14" s="1"/>
  <c r="N1376" i="14"/>
  <c r="O1376" i="14" s="1"/>
  <c r="N1406" i="14"/>
  <c r="O1406" i="14" s="1"/>
  <c r="N1410" i="14"/>
  <c r="N1418" i="14"/>
  <c r="O1418" i="14" s="1"/>
  <c r="N1442" i="14"/>
  <c r="O1442" i="14" s="1"/>
  <c r="N1435" i="14"/>
  <c r="O1435" i="14" s="1"/>
  <c r="N1378" i="14"/>
  <c r="O1378" i="14"/>
  <c r="N1424" i="14"/>
  <c r="O1424" i="14" s="1"/>
  <c r="N1372" i="14"/>
  <c r="O1372" i="14" s="1"/>
  <c r="N1430" i="14"/>
  <c r="O1430" i="14" s="1"/>
  <c r="N1400" i="14"/>
  <c r="O1400" i="14"/>
  <c r="N1436" i="14"/>
  <c r="O1436" i="14" s="1"/>
  <c r="N1412" i="14"/>
  <c r="O1412" i="14"/>
  <c r="N1369" i="14"/>
  <c r="O1369" i="14" s="1"/>
  <c r="N1408" i="14"/>
  <c r="N1444" i="14"/>
  <c r="O1444" i="14" s="1"/>
  <c r="N1397" i="14"/>
  <c r="N1403" i="14"/>
  <c r="O1403" i="14" s="1"/>
  <c r="N1405" i="14"/>
  <c r="O1405" i="14"/>
  <c r="N1389" i="14"/>
  <c r="O1389" i="14" s="1"/>
  <c r="N1411" i="14"/>
  <c r="O1411" i="14" s="1"/>
  <c r="N1357" i="14"/>
  <c r="O1357" i="14" s="1"/>
  <c r="N1407" i="14"/>
  <c r="O1407" i="14"/>
  <c r="N1434" i="14"/>
  <c r="O1434" i="14" s="1"/>
  <c r="N1423" i="14"/>
  <c r="O1423" i="14" s="1"/>
  <c r="N1386" i="14"/>
  <c r="O1386" i="14" s="1"/>
  <c r="N1387" i="14"/>
  <c r="O1387" i="14"/>
  <c r="N1415" i="14"/>
  <c r="O1415" i="14" s="1"/>
  <c r="N1398" i="14"/>
  <c r="O1398" i="14"/>
  <c r="N1393" i="14"/>
  <c r="O1393" i="14" s="1"/>
  <c r="N1367" i="14"/>
  <c r="O1367" i="14"/>
  <c r="N1391" i="14"/>
  <c r="O1391" i="14" s="1"/>
  <c r="N1390" i="14"/>
  <c r="O1390" i="14" s="1"/>
  <c r="N1429" i="14"/>
  <c r="O1429" i="14" s="1"/>
  <c r="N1441" i="14"/>
  <c r="O1441" i="14"/>
  <c r="N1370" i="14"/>
  <c r="O1370" i="14" s="1"/>
  <c r="N1433" i="14"/>
  <c r="O1433" i="14" s="1"/>
  <c r="N1417" i="14"/>
  <c r="O1417" i="14" s="1"/>
  <c r="N1382" i="14"/>
  <c r="O1382" i="14"/>
  <c r="N1383" i="14"/>
  <c r="O1383" i="14" s="1"/>
  <c r="N1439" i="14"/>
  <c r="O1439" i="14" s="1"/>
  <c r="N1380" i="14"/>
  <c r="O1380" i="14" s="1"/>
  <c r="N1374" i="14"/>
  <c r="O1374" i="14"/>
  <c r="N1420" i="14"/>
  <c r="O1420" i="14" s="1"/>
  <c r="N1395" i="14"/>
  <c r="O1395" i="14"/>
  <c r="N1425" i="14"/>
  <c r="O1425" i="14" s="1"/>
  <c r="N1399" i="14"/>
  <c r="O1399" i="14"/>
  <c r="N1385" i="14"/>
  <c r="O1385" i="14" s="1"/>
  <c r="N1445" i="14"/>
  <c r="N1416" i="14"/>
  <c r="O1416" i="14" s="1"/>
  <c r="N1437" i="14"/>
  <c r="O1437" i="14"/>
  <c r="N1446" i="14"/>
  <c r="O1446" i="14" s="1"/>
  <c r="N1392" i="14"/>
  <c r="O1392" i="14" s="1"/>
  <c r="N1352" i="14"/>
  <c r="O1352" i="14" s="1"/>
  <c r="N1447" i="14"/>
  <c r="O1447" i="14"/>
  <c r="N1359" i="14"/>
  <c r="O1359" i="14" s="1"/>
  <c r="N1428" i="14"/>
  <c r="O1428" i="14" s="1"/>
  <c r="N1414" i="14"/>
  <c r="O1414" i="14" s="1"/>
  <c r="N1365" i="14"/>
  <c r="N1427" i="14"/>
  <c r="O1427" i="14" s="1"/>
  <c r="N1362" i="14"/>
  <c r="O1362" i="14"/>
  <c r="N1356" i="14"/>
  <c r="O1356" i="14" s="1"/>
  <c r="N1363" i="14"/>
  <c r="O1363" i="14"/>
  <c r="N1361" i="14"/>
  <c r="N1375" i="14"/>
  <c r="O1375" i="14"/>
  <c r="N1366" i="14"/>
  <c r="O1366" i="14"/>
  <c r="N1354" i="14"/>
  <c r="O1354" i="14" s="1"/>
  <c r="N1360" i="14"/>
  <c r="O1360" i="14" s="1"/>
  <c r="N1368" i="14"/>
  <c r="N1358" i="14"/>
  <c r="O1358" i="14" s="1"/>
  <c r="N1422" i="14"/>
  <c r="O1422" i="14"/>
  <c r="N1388" i="14"/>
  <c r="O1388" i="14" s="1"/>
  <c r="N1384" i="14"/>
  <c r="O1384" i="14"/>
  <c r="N1371" i="14"/>
  <c r="N1431" i="14"/>
  <c r="N1438" i="14"/>
  <c r="O1438" i="14" s="1"/>
  <c r="N1402" i="14"/>
  <c r="N1409" i="14"/>
  <c r="O1409" i="14" s="1"/>
  <c r="N1396" i="14"/>
  <c r="N1377" i="14"/>
  <c r="N1401" i="14"/>
  <c r="O1401" i="14"/>
  <c r="N1364" i="14"/>
  <c r="N1353" i="14"/>
  <c r="N1379" i="14"/>
  <c r="O1379" i="14"/>
  <c r="N1413" i="14"/>
  <c r="O1413" i="14"/>
  <c r="N1421" i="14"/>
  <c r="O1421" i="14" s="1"/>
  <c r="N1355" i="14"/>
  <c r="O1355" i="14" s="1"/>
  <c r="N1404" i="14"/>
  <c r="O1404" i="14"/>
  <c r="N8" i="14"/>
  <c r="N11" i="14"/>
  <c r="N12" i="14"/>
  <c r="N14" i="14"/>
  <c r="N15" i="14"/>
  <c r="N18" i="14"/>
  <c r="N19" i="14"/>
  <c r="N20" i="14"/>
  <c r="N21" i="14"/>
  <c r="N22" i="14"/>
  <c r="N24" i="14"/>
  <c r="N25" i="14"/>
  <c r="N26" i="14"/>
  <c r="N27" i="14"/>
  <c r="N28" i="14"/>
  <c r="N33" i="14"/>
  <c r="N34" i="14"/>
  <c r="N35" i="14"/>
  <c r="N36" i="14"/>
  <c r="N38" i="14"/>
  <c r="N41" i="14"/>
  <c r="N43" i="14"/>
  <c r="N44" i="14"/>
  <c r="N46" i="14"/>
  <c r="N52" i="14"/>
  <c r="N54" i="14"/>
  <c r="N55" i="14"/>
  <c r="N56" i="14"/>
  <c r="N59" i="14"/>
  <c r="N60" i="14"/>
  <c r="N62" i="14"/>
  <c r="N64" i="14"/>
  <c r="N66" i="14"/>
  <c r="N70" i="14"/>
  <c r="N71" i="14"/>
  <c r="N81" i="14"/>
  <c r="N87" i="14"/>
  <c r="N88" i="14"/>
  <c r="N91" i="14"/>
  <c r="N92" i="14"/>
  <c r="N94" i="14"/>
  <c r="N95" i="14"/>
  <c r="N96" i="14"/>
  <c r="N97" i="14"/>
  <c r="N98" i="14"/>
  <c r="N99" i="14"/>
  <c r="N101" i="14"/>
  <c r="N103" i="14"/>
  <c r="N106" i="14"/>
  <c r="N108" i="14"/>
  <c r="N109" i="14"/>
  <c r="N112" i="14"/>
  <c r="N113" i="14"/>
  <c r="N114" i="14"/>
  <c r="N115" i="14"/>
  <c r="N116" i="14"/>
  <c r="N117" i="14"/>
  <c r="N118" i="14"/>
  <c r="N123" i="14"/>
  <c r="N127" i="14"/>
  <c r="N128" i="14"/>
  <c r="N129" i="14"/>
  <c r="N133" i="14"/>
  <c r="N134" i="14"/>
  <c r="N135" i="14"/>
  <c r="N137" i="14"/>
  <c r="N138" i="14"/>
  <c r="N139" i="14"/>
  <c r="N140" i="14"/>
  <c r="N141" i="14"/>
  <c r="N143" i="14"/>
  <c r="N147" i="14"/>
  <c r="N149" i="14"/>
  <c r="N150" i="14"/>
  <c r="N152" i="14"/>
  <c r="N154" i="14"/>
  <c r="N158" i="14"/>
  <c r="N159" i="14"/>
  <c r="N160" i="14"/>
  <c r="N162" i="14"/>
  <c r="N163" i="14"/>
  <c r="N166" i="14"/>
  <c r="N169" i="14"/>
  <c r="N175" i="14"/>
  <c r="N177" i="14"/>
  <c r="N179" i="14"/>
  <c r="N180" i="14"/>
  <c r="N182" i="14"/>
  <c r="N184" i="14"/>
  <c r="N185" i="14"/>
  <c r="N187" i="14"/>
  <c r="N189" i="14"/>
  <c r="N190" i="14"/>
  <c r="N191" i="14"/>
  <c r="N193" i="14"/>
  <c r="N198" i="14"/>
  <c r="N201" i="14"/>
  <c r="N203" i="14"/>
  <c r="N278" i="14"/>
  <c r="N271" i="14"/>
  <c r="N230" i="14"/>
  <c r="N232" i="14"/>
  <c r="N266" i="14"/>
  <c r="N248" i="14"/>
  <c r="N238" i="14"/>
  <c r="N217" i="14"/>
  <c r="N237" i="14"/>
  <c r="N236" i="14"/>
  <c r="N205" i="14"/>
  <c r="N299" i="14"/>
  <c r="N224" i="14"/>
  <c r="N291" i="14"/>
  <c r="N280" i="14"/>
  <c r="N244" i="14"/>
  <c r="N290" i="14"/>
  <c r="N233" i="14"/>
  <c r="N208" i="14"/>
  <c r="N215" i="14"/>
  <c r="N214" i="14"/>
  <c r="N229" i="14"/>
  <c r="N219" i="14"/>
  <c r="N204" i="14"/>
  <c r="N213" i="14"/>
  <c r="N221" i="14"/>
  <c r="N210" i="14"/>
  <c r="N269" i="14"/>
  <c r="N234" i="14"/>
  <c r="N228" i="14"/>
  <c r="N222" i="14"/>
  <c r="N277" i="14"/>
  <c r="N282" i="14"/>
  <c r="N254" i="14"/>
  <c r="N259" i="14"/>
  <c r="N245" i="14"/>
  <c r="N225" i="14"/>
  <c r="N275" i="14"/>
  <c r="N249" i="14"/>
  <c r="N207" i="14"/>
  <c r="N264" i="14"/>
  <c r="N284" i="14"/>
  <c r="N287" i="14"/>
  <c r="N216" i="14"/>
  <c r="N276" i="14"/>
  <c r="N353" i="14"/>
  <c r="N356" i="14"/>
  <c r="N359" i="14"/>
  <c r="N376" i="14"/>
  <c r="N368" i="14"/>
  <c r="N341" i="14"/>
  <c r="N363" i="14"/>
  <c r="N338" i="14"/>
  <c r="N367" i="14"/>
  <c r="N349" i="14"/>
  <c r="N369" i="14"/>
  <c r="N335" i="14"/>
  <c r="N304" i="14"/>
  <c r="N327" i="14"/>
  <c r="N361" i="14"/>
  <c r="N311" i="14"/>
  <c r="N315" i="14"/>
  <c r="N319" i="14"/>
  <c r="N306" i="14"/>
  <c r="N334" i="14"/>
  <c r="N301" i="14"/>
  <c r="N325" i="14"/>
  <c r="N360" i="14"/>
  <c r="N351" i="14"/>
  <c r="N316" i="14"/>
  <c r="N317" i="14"/>
  <c r="N348" i="14"/>
  <c r="N332" i="14"/>
  <c r="N323" i="14"/>
  <c r="N308" i="14"/>
  <c r="N321" i="14"/>
  <c r="N318" i="14"/>
  <c r="N365" i="14"/>
  <c r="N373" i="14"/>
  <c r="N330" i="14"/>
  <c r="N366" i="14"/>
  <c r="N357" i="14"/>
  <c r="N340" i="14"/>
  <c r="N342" i="14"/>
  <c r="N370" i="14"/>
  <c r="N339" i="14"/>
  <c r="N472" i="14"/>
  <c r="N469" i="14"/>
  <c r="N465" i="14"/>
  <c r="N426" i="14"/>
  <c r="N457" i="14"/>
  <c r="N462" i="14"/>
  <c r="N439" i="14"/>
  <c r="N433" i="14"/>
  <c r="N431" i="14"/>
  <c r="N385" i="14"/>
  <c r="N420" i="14"/>
  <c r="N392" i="14"/>
  <c r="N423" i="14"/>
  <c r="N395" i="14"/>
  <c r="N389" i="14"/>
  <c r="N451" i="14"/>
  <c r="N411" i="14"/>
  <c r="N442" i="14"/>
  <c r="N452" i="14"/>
  <c r="N391" i="14"/>
  <c r="N379" i="14"/>
  <c r="N473" i="14"/>
  <c r="N396" i="14"/>
  <c r="N461" i="14"/>
  <c r="N450" i="14"/>
  <c r="N408" i="14"/>
  <c r="N459" i="14"/>
  <c r="N402" i="14"/>
  <c r="N382" i="14"/>
  <c r="N388" i="14"/>
  <c r="N387" i="14"/>
  <c r="N400" i="14"/>
  <c r="N393" i="14"/>
  <c r="N378" i="14"/>
  <c r="N386" i="14"/>
  <c r="N394" i="14"/>
  <c r="N383" i="14"/>
  <c r="N444" i="14"/>
  <c r="N406" i="14"/>
  <c r="N405" i="14"/>
  <c r="N397" i="14"/>
  <c r="N453" i="14"/>
  <c r="N456" i="14"/>
  <c r="N424" i="14"/>
  <c r="N435" i="14"/>
  <c r="N413" i="14"/>
  <c r="N403" i="14"/>
  <c r="N520" i="14"/>
  <c r="N555" i="14"/>
  <c r="N504" i="14"/>
  <c r="N498" i="14"/>
  <c r="N569" i="14"/>
  <c r="N505" i="14"/>
  <c r="N535" i="14"/>
  <c r="N532" i="14"/>
  <c r="N553" i="14"/>
  <c r="N562" i="14"/>
  <c r="N543" i="14"/>
  <c r="N523" i="14"/>
  <c r="N481" i="14"/>
  <c r="N519" i="14"/>
  <c r="N564" i="14"/>
  <c r="N506" i="14"/>
  <c r="N512" i="14"/>
  <c r="N514" i="14"/>
  <c r="N490" i="14"/>
  <c r="N522" i="14"/>
  <c r="N477" i="14"/>
  <c r="N517" i="14"/>
  <c r="N486" i="14"/>
  <c r="N530" i="14"/>
  <c r="N500" i="14"/>
  <c r="N536" i="14"/>
  <c r="N508" i="14"/>
  <c r="N488" i="14"/>
  <c r="N566" i="14"/>
  <c r="N528" i="14"/>
  <c r="N551" i="14"/>
  <c r="N567" i="14"/>
  <c r="N491" i="14"/>
  <c r="N539" i="14"/>
  <c r="N496" i="14"/>
  <c r="N493" i="14"/>
  <c r="N483" i="14"/>
  <c r="N550" i="14"/>
  <c r="N554" i="14"/>
  <c r="N515" i="14"/>
  <c r="N525" i="14"/>
  <c r="N509" i="14"/>
  <c r="N489" i="14"/>
  <c r="N510" i="14"/>
  <c r="N479" i="14"/>
  <c r="N474" i="14"/>
  <c r="N487" i="14"/>
  <c r="N529" i="14"/>
  <c r="N533" i="14"/>
  <c r="N476" i="14"/>
  <c r="N516" i="14"/>
  <c r="N666" i="14"/>
  <c r="N662" i="14"/>
  <c r="N657" i="14"/>
  <c r="N603" i="14"/>
  <c r="N647" i="14"/>
  <c r="N649" i="14"/>
  <c r="N616" i="14"/>
  <c r="N612" i="14"/>
  <c r="N609" i="14"/>
  <c r="N588" i="14"/>
  <c r="N633" i="14"/>
  <c r="N579" i="14"/>
  <c r="N577" i="14"/>
  <c r="N650" i="14"/>
  <c r="N580" i="14"/>
  <c r="N607" i="14"/>
  <c r="N606" i="14"/>
  <c r="N629" i="14"/>
  <c r="N644" i="14"/>
  <c r="N617" i="14"/>
  <c r="N624" i="14"/>
  <c r="N641" i="14"/>
  <c r="N574" i="14"/>
  <c r="N628" i="14"/>
  <c r="N605" i="14"/>
  <c r="N576" i="14"/>
  <c r="N578" i="14"/>
  <c r="N639" i="14"/>
  <c r="N575" i="14"/>
  <c r="N571" i="14"/>
  <c r="N669" i="14"/>
  <c r="N590" i="14"/>
  <c r="N661" i="14"/>
  <c r="N653" i="14"/>
  <c r="N611" i="14"/>
  <c r="N660" i="14"/>
  <c r="N599" i="14"/>
  <c r="N581" i="14"/>
  <c r="N598" i="14"/>
  <c r="N594" i="14"/>
  <c r="N618" i="14"/>
  <c r="N608" i="14"/>
  <c r="N572" i="14"/>
  <c r="N592" i="14"/>
  <c r="N610" i="14"/>
  <c r="N583" i="14"/>
  <c r="N711" i="14"/>
  <c r="N716" i="14"/>
  <c r="N724" i="14"/>
  <c r="N747" i="14"/>
  <c r="N741" i="14"/>
  <c r="N684" i="14"/>
  <c r="N732" i="14"/>
  <c r="N683" i="14"/>
  <c r="N739" i="14"/>
  <c r="N699" i="14"/>
  <c r="N742" i="14"/>
  <c r="N697" i="14"/>
  <c r="N674" i="14"/>
  <c r="N690" i="14"/>
  <c r="N743" i="14"/>
  <c r="N682" i="14"/>
  <c r="N687" i="14"/>
  <c r="N688" i="14"/>
  <c r="N677" i="14"/>
  <c r="N696" i="14"/>
  <c r="N671" i="14"/>
  <c r="N689" i="14"/>
  <c r="N759" i="14"/>
  <c r="N751" i="14"/>
  <c r="N722" i="14"/>
  <c r="N723" i="14"/>
  <c r="N746" i="14"/>
  <c r="N733" i="14"/>
  <c r="N728" i="14"/>
  <c r="N703" i="14"/>
  <c r="N726" i="14"/>
  <c r="N725" i="14"/>
  <c r="N750" i="14"/>
  <c r="N757" i="14"/>
  <c r="N691" i="14"/>
  <c r="N754" i="14"/>
  <c r="N737" i="14"/>
  <c r="N705" i="14"/>
  <c r="N706" i="14"/>
  <c r="N755" i="14"/>
  <c r="N702" i="14"/>
  <c r="N715" i="14"/>
  <c r="N748" i="14"/>
  <c r="N731" i="14"/>
  <c r="N752" i="14"/>
  <c r="N735" i="14"/>
  <c r="N721" i="14"/>
  <c r="N764" i="14"/>
  <c r="N745" i="14"/>
  <c r="N760" i="14"/>
  <c r="N765" i="14"/>
  <c r="N727" i="14"/>
  <c r="N854" i="14"/>
  <c r="N841" i="14"/>
  <c r="N834" i="14"/>
  <c r="N776" i="14"/>
  <c r="N820" i="14"/>
  <c r="N824" i="14"/>
  <c r="N787" i="14"/>
  <c r="N780" i="14"/>
  <c r="N777" i="14"/>
  <c r="N815" i="14"/>
  <c r="N853" i="14"/>
  <c r="N798" i="14"/>
  <c r="N796" i="14"/>
  <c r="N860" i="14"/>
  <c r="N799" i="14"/>
  <c r="N830" i="14"/>
  <c r="N828" i="14"/>
  <c r="N848" i="14"/>
  <c r="N856" i="14"/>
  <c r="N835" i="14"/>
  <c r="N767" i="14"/>
  <c r="N857" i="14"/>
  <c r="N771" i="14"/>
  <c r="N832" i="14"/>
  <c r="N816" i="14"/>
  <c r="N774" i="14"/>
  <c r="N831" i="14"/>
  <c r="N772" i="14"/>
  <c r="N773" i="14"/>
  <c r="N785" i="14"/>
  <c r="N783" i="14"/>
  <c r="N803" i="14"/>
  <c r="N793" i="14"/>
  <c r="N769" i="14"/>
  <c r="N781" i="14"/>
  <c r="N795" i="14"/>
  <c r="N775" i="14"/>
  <c r="N829" i="14"/>
  <c r="N794" i="14"/>
  <c r="N792" i="14"/>
  <c r="N782" i="14"/>
  <c r="N844" i="14"/>
  <c r="N847" i="14"/>
  <c r="N805" i="14"/>
  <c r="N818" i="14"/>
  <c r="N801" i="14"/>
  <c r="N788" i="14"/>
  <c r="N933" i="14"/>
  <c r="N953" i="14"/>
  <c r="N916" i="14"/>
  <c r="N910" i="14"/>
  <c r="N959" i="14"/>
  <c r="N917" i="14"/>
  <c r="N943" i="14"/>
  <c r="N942" i="14"/>
  <c r="N950" i="14"/>
  <c r="N956" i="14"/>
  <c r="N948" i="14"/>
  <c r="N905" i="14"/>
  <c r="N868" i="14"/>
  <c r="N901" i="14"/>
  <c r="N944" i="14"/>
  <c r="N882" i="14"/>
  <c r="N891" i="14"/>
  <c r="N894" i="14"/>
  <c r="N876" i="14"/>
  <c r="N903" i="14"/>
  <c r="N865" i="14"/>
  <c r="N897" i="14"/>
  <c r="N940" i="14"/>
  <c r="N926" i="14"/>
  <c r="N887" i="14"/>
  <c r="N888" i="14"/>
  <c r="N921" i="14"/>
  <c r="N900" i="14"/>
  <c r="N893" i="14"/>
  <c r="N874" i="14"/>
  <c r="N890" i="14"/>
  <c r="N889" i="14"/>
  <c r="N886" i="14"/>
  <c r="N927" i="14"/>
  <c r="N898" i="14"/>
  <c r="N932" i="14"/>
  <c r="N904" i="14"/>
  <c r="N892" i="14"/>
  <c r="N951" i="14"/>
  <c r="N924" i="14"/>
  <c r="N945" i="14"/>
  <c r="N952" i="14"/>
  <c r="N895" i="14"/>
  <c r="N911" i="14"/>
  <c r="N879" i="14"/>
  <c r="N863" i="14"/>
  <c r="N899" i="14"/>
  <c r="N930" i="14"/>
  <c r="N934" i="14"/>
  <c r="N866" i="14"/>
  <c r="N919" i="14"/>
  <c r="N975" i="14"/>
  <c r="N981" i="14"/>
  <c r="N985" i="14"/>
  <c r="N1027" i="14"/>
  <c r="N1019" i="14"/>
  <c r="N966" i="14"/>
  <c r="N997" i="14"/>
  <c r="N965" i="14"/>
  <c r="N1015" i="14"/>
  <c r="N970" i="14"/>
  <c r="N1020" i="14"/>
  <c r="N1051" i="14"/>
  <c r="N1057" i="14"/>
  <c r="N1012" i="14"/>
  <c r="N1053" i="14"/>
  <c r="N1043" i="14"/>
  <c r="N1022" i="14"/>
  <c r="N1023" i="14"/>
  <c r="N1054" i="14"/>
  <c r="N1021" i="14"/>
  <c r="N961" i="14"/>
  <c r="N1058" i="14"/>
  <c r="N980" i="14"/>
  <c r="N1049" i="14"/>
  <c r="N1040" i="14"/>
  <c r="N996" i="14"/>
  <c r="N1048" i="14"/>
  <c r="N983" i="14"/>
  <c r="N977" i="14"/>
  <c r="N1006" i="14"/>
  <c r="N1004" i="14"/>
  <c r="N1026" i="14"/>
  <c r="N1016" i="14"/>
  <c r="N964" i="14"/>
  <c r="N1003" i="14"/>
  <c r="N1018" i="14"/>
  <c r="N987" i="14"/>
  <c r="N1014" i="14"/>
  <c r="N973" i="14"/>
  <c r="N971" i="14"/>
  <c r="N968" i="14"/>
  <c r="N1030" i="14"/>
  <c r="N1033" i="14"/>
  <c r="N984" i="14"/>
  <c r="N1002" i="14"/>
  <c r="N978" i="14"/>
  <c r="N969" i="14"/>
  <c r="N1090" i="14"/>
  <c r="N1061" i="14"/>
  <c r="N1083" i="14"/>
  <c r="N1138" i="14"/>
  <c r="N1071" i="14"/>
  <c r="N1077" i="14"/>
  <c r="N1079" i="14"/>
  <c r="N1066" i="14"/>
  <c r="N1087" i="14"/>
  <c r="N1060" i="14"/>
  <c r="N1081" i="14"/>
  <c r="N1145" i="14"/>
  <c r="N1153" i="14"/>
  <c r="N1080" i="14"/>
  <c r="N1147" i="14"/>
  <c r="N1127" i="14"/>
  <c r="N1086" i="14"/>
  <c r="N1088" i="14"/>
  <c r="N1150" i="14"/>
  <c r="N1085" i="14"/>
  <c r="N1063" i="14"/>
  <c r="N1097" i="14"/>
  <c r="N1068" i="14"/>
  <c r="N1099" i="14"/>
  <c r="N1072" i="14"/>
  <c r="N1065" i="14"/>
  <c r="N1141" i="14"/>
  <c r="N1092" i="14"/>
  <c r="N1121" i="14"/>
  <c r="N1142" i="14"/>
  <c r="N1067" i="14"/>
  <c r="N1091" i="14"/>
  <c r="N1116" i="14"/>
  <c r="N1115" i="14"/>
  <c r="N1133" i="14"/>
  <c r="N1124" i="14"/>
  <c r="N1064" i="14"/>
  <c r="N1113" i="14"/>
  <c r="N1126" i="14"/>
  <c r="N1100" i="14"/>
  <c r="N1112" i="14"/>
  <c r="N1075" i="14"/>
  <c r="N1059" i="14"/>
  <c r="N1094" i="14"/>
  <c r="N1128" i="14"/>
  <c r="N1134" i="14"/>
  <c r="N1062" i="14"/>
  <c r="N1120" i="14"/>
  <c r="N1252" i="14"/>
  <c r="N1251" i="14"/>
  <c r="N1250" i="14"/>
  <c r="N1210" i="14"/>
  <c r="N1241" i="14"/>
  <c r="N1244" i="14"/>
  <c r="N1223" i="14"/>
  <c r="N1213" i="14"/>
  <c r="N1212" i="14"/>
  <c r="N1174" i="14"/>
  <c r="N1186" i="14"/>
  <c r="N1191" i="14"/>
  <c r="N1227" i="14"/>
  <c r="N1218" i="14"/>
  <c r="N1164" i="14"/>
  <c r="N1199" i="14"/>
  <c r="N1162" i="14"/>
  <c r="N1215" i="14"/>
  <c r="N1171" i="14"/>
  <c r="N1219" i="14"/>
  <c r="N1207" i="14"/>
  <c r="N1236" i="14"/>
  <c r="N1183" i="14"/>
  <c r="N1179" i="14"/>
  <c r="N1249" i="14"/>
  <c r="N1184" i="14"/>
  <c r="N1221" i="14"/>
  <c r="N1217" i="14"/>
  <c r="N1235" i="14"/>
  <c r="N1240" i="14"/>
  <c r="N1229" i="14"/>
  <c r="N1233" i="14"/>
  <c r="N1222" i="14"/>
  <c r="N1176" i="14"/>
  <c r="N1177" i="14"/>
  <c r="N1214" i="14"/>
  <c r="N1190" i="14"/>
  <c r="N1182" i="14"/>
  <c r="N1166" i="14"/>
  <c r="N1180" i="14"/>
  <c r="N1178" i="14"/>
  <c r="N1232" i="14"/>
  <c r="N1203" i="14"/>
  <c r="N1200" i="14"/>
  <c r="N1189" i="14"/>
  <c r="N1242" i="14"/>
  <c r="N1245" i="14"/>
  <c r="N1216" i="14"/>
  <c r="N1228" i="14"/>
  <c r="N1211" i="14"/>
  <c r="N1197" i="14"/>
  <c r="N1343" i="14"/>
  <c r="N1337" i="14"/>
  <c r="N1330" i="14"/>
  <c r="N1279" i="14"/>
  <c r="N1318" i="14"/>
  <c r="N1320" i="14"/>
  <c r="N1288" i="14"/>
  <c r="N1284" i="14"/>
  <c r="N1281" i="14"/>
  <c r="C24" i="14"/>
  <c r="C33" i="14"/>
  <c r="C34" i="14"/>
  <c r="C53" i="14"/>
  <c r="C78" i="14"/>
  <c r="C38" i="14"/>
  <c r="C54" i="14"/>
  <c r="C86" i="14"/>
  <c r="C65" i="14"/>
  <c r="C117" i="14"/>
  <c r="C92" i="14"/>
  <c r="C97" i="14"/>
  <c r="C114" i="14"/>
  <c r="C88" i="14"/>
  <c r="C124" i="14"/>
  <c r="C121" i="14"/>
  <c r="M8" i="13"/>
  <c r="M9" i="13"/>
  <c r="M10" i="13"/>
  <c r="M17" i="13"/>
  <c r="M21" i="13"/>
  <c r="M23" i="13"/>
  <c r="M27" i="13"/>
  <c r="M29" i="13"/>
  <c r="M30" i="13"/>
  <c r="M31" i="13"/>
  <c r="M33" i="13"/>
  <c r="M35" i="13"/>
  <c r="M38" i="13"/>
  <c r="M40" i="13"/>
  <c r="M44" i="13"/>
  <c r="M46" i="13"/>
  <c r="M47" i="13"/>
  <c r="M48" i="13"/>
  <c r="M51" i="13"/>
  <c r="M52" i="13"/>
  <c r="M57" i="13"/>
  <c r="M59" i="13"/>
  <c r="M61" i="13"/>
  <c r="M64" i="13"/>
  <c r="M66" i="13"/>
  <c r="M68" i="13"/>
  <c r="M69" i="13"/>
  <c r="M70" i="13"/>
  <c r="M71" i="13"/>
  <c r="M73" i="13"/>
  <c r="M74" i="13"/>
  <c r="M76" i="13"/>
  <c r="M78" i="13"/>
  <c r="M79" i="13"/>
  <c r="M80" i="13"/>
  <c r="M83" i="13"/>
  <c r="M84" i="13"/>
  <c r="M85" i="13"/>
  <c r="M86" i="13"/>
  <c r="M87" i="13"/>
  <c r="M92" i="13"/>
  <c r="M94" i="13"/>
  <c r="M96" i="13"/>
  <c r="M98" i="13"/>
  <c r="M99" i="13"/>
  <c r="M100" i="13"/>
  <c r="M102" i="13"/>
  <c r="M106" i="13"/>
  <c r="M108" i="13"/>
  <c r="M112" i="13"/>
  <c r="M114" i="13"/>
  <c r="M115" i="13"/>
  <c r="M118" i="13"/>
  <c r="M121" i="13"/>
  <c r="M123" i="13"/>
  <c r="M125" i="13"/>
  <c r="M127" i="13"/>
  <c r="M128" i="13"/>
  <c r="M129" i="13"/>
  <c r="M130" i="13"/>
  <c r="M131" i="13"/>
  <c r="M133" i="13"/>
  <c r="M134" i="13"/>
  <c r="M136" i="13"/>
  <c r="M137" i="13"/>
  <c r="M139" i="13"/>
  <c r="M142" i="13"/>
  <c r="M143" i="13"/>
  <c r="M145" i="13"/>
  <c r="M146" i="13"/>
  <c r="M150" i="13"/>
  <c r="M152" i="13"/>
  <c r="M156" i="13"/>
  <c r="M157" i="13"/>
  <c r="M158" i="13"/>
  <c r="M162" i="13"/>
  <c r="M165" i="13"/>
  <c r="M166" i="13"/>
  <c r="M167" i="13"/>
  <c r="M169" i="13"/>
  <c r="M170" i="13"/>
  <c r="M171" i="13"/>
  <c r="M172" i="13"/>
  <c r="M173" i="13"/>
  <c r="M176" i="13"/>
  <c r="M177" i="13"/>
  <c r="M178" i="13"/>
  <c r="M180" i="13"/>
  <c r="M182" i="13"/>
  <c r="M185" i="13"/>
  <c r="M187" i="13"/>
  <c r="M188" i="13"/>
  <c r="M189" i="13"/>
  <c r="M191" i="13"/>
  <c r="M192" i="13"/>
  <c r="M193" i="13"/>
  <c r="M196" i="13"/>
  <c r="M197" i="13"/>
  <c r="M198" i="13"/>
  <c r="M200" i="13"/>
  <c r="M201" i="13"/>
  <c r="M202" i="13"/>
  <c r="M207" i="13"/>
  <c r="M211" i="13"/>
  <c r="M216" i="13"/>
  <c r="M217" i="13"/>
  <c r="M218" i="13"/>
  <c r="M219" i="13"/>
  <c r="M221" i="13"/>
  <c r="M226" i="13"/>
  <c r="M227" i="13"/>
  <c r="M330" i="13"/>
  <c r="M263" i="13"/>
  <c r="M242" i="13"/>
  <c r="M271" i="13"/>
  <c r="M280" i="13"/>
  <c r="M278" i="13"/>
  <c r="M245" i="13"/>
  <c r="M275" i="13"/>
  <c r="M260" i="13"/>
  <c r="M304" i="13"/>
  <c r="M296" i="13"/>
  <c r="M316" i="13"/>
  <c r="M284" i="13"/>
  <c r="M307" i="13"/>
  <c r="M309" i="13"/>
  <c r="M266" i="13"/>
  <c r="M312" i="13"/>
  <c r="M313" i="13"/>
  <c r="M318" i="13"/>
  <c r="M234" i="13"/>
  <c r="M305" i="13"/>
  <c r="M235" i="13"/>
  <c r="M279" i="13"/>
  <c r="M236" i="13"/>
  <c r="M302" i="13"/>
  <c r="M244" i="13"/>
  <c r="M273" i="13"/>
  <c r="M256" i="13"/>
  <c r="M277" i="13"/>
  <c r="M233" i="13"/>
  <c r="M261" i="13"/>
  <c r="M232" i="13"/>
  <c r="M294" i="13"/>
  <c r="M231" i="13"/>
  <c r="M326" i="13"/>
  <c r="M283" i="13"/>
  <c r="M320" i="13"/>
  <c r="M250" i="13"/>
  <c r="M323" i="13"/>
  <c r="M264" i="13"/>
  <c r="M301" i="13"/>
  <c r="M303" i="13"/>
  <c r="M314" i="13"/>
  <c r="M265" i="13"/>
  <c r="M254" i="13"/>
  <c r="M267" i="13"/>
  <c r="M281" i="13"/>
  <c r="M289" i="13"/>
  <c r="M241" i="13"/>
  <c r="M274" i="13"/>
  <c r="M317" i="13"/>
  <c r="M402" i="13"/>
  <c r="M339" i="13"/>
  <c r="M383" i="13"/>
  <c r="M381" i="13"/>
  <c r="M347" i="13"/>
  <c r="M337" i="13"/>
  <c r="M344" i="13"/>
  <c r="M348" i="13"/>
  <c r="M355" i="13"/>
  <c r="M378" i="13"/>
  <c r="M343" i="13"/>
  <c r="M372" i="13"/>
  <c r="M395" i="13"/>
  <c r="M346" i="13"/>
  <c r="M350" i="13"/>
  <c r="M391" i="13"/>
  <c r="M336" i="13"/>
  <c r="M407" i="13"/>
  <c r="M371" i="13"/>
  <c r="M353" i="13"/>
  <c r="M389" i="13"/>
  <c r="M397" i="13"/>
  <c r="M396" i="13"/>
  <c r="M357" i="13"/>
  <c r="M394" i="13"/>
  <c r="M370" i="13"/>
  <c r="M406" i="13"/>
  <c r="M405" i="13"/>
  <c r="M352" i="13"/>
  <c r="M333" i="13"/>
  <c r="M359" i="13"/>
  <c r="M332" i="13"/>
  <c r="M360" i="13"/>
  <c r="M379" i="13"/>
  <c r="M349" i="13"/>
  <c r="M354" i="13"/>
  <c r="M385" i="13"/>
  <c r="M484" i="13"/>
  <c r="M467" i="13"/>
  <c r="M453" i="13"/>
  <c r="M460" i="13"/>
  <c r="M472" i="13"/>
  <c r="M474" i="13"/>
  <c r="M483" i="13"/>
  <c r="M440" i="13"/>
  <c r="M473" i="13"/>
  <c r="M461" i="13"/>
  <c r="M482" i="13"/>
  <c r="M463" i="13"/>
  <c r="M455" i="13"/>
  <c r="M475" i="13"/>
  <c r="M477" i="13"/>
  <c r="M444" i="13"/>
  <c r="M417" i="13"/>
  <c r="M446" i="13"/>
  <c r="M456" i="13"/>
  <c r="M469" i="13"/>
  <c r="M414" i="13"/>
  <c r="M465" i="13"/>
  <c r="M451" i="13"/>
  <c r="M433" i="13"/>
  <c r="M437" i="13"/>
  <c r="M500" i="13"/>
  <c r="M468" i="13"/>
  <c r="M493" i="13"/>
  <c r="M494" i="13"/>
  <c r="M445" i="13"/>
  <c r="M497" i="13"/>
  <c r="M498" i="13"/>
  <c r="M504" i="13"/>
  <c r="M411" i="13"/>
  <c r="M486" i="13"/>
  <c r="M412" i="13"/>
  <c r="M459" i="13"/>
  <c r="M413" i="13"/>
  <c r="M479" i="13"/>
  <c r="M421" i="13"/>
  <c r="M454" i="13"/>
  <c r="M428" i="13"/>
  <c r="M457" i="13"/>
  <c r="M410" i="13"/>
  <c r="M432" i="13"/>
  <c r="M409" i="13"/>
  <c r="M488" i="13"/>
  <c r="M408" i="13"/>
  <c r="M509" i="13"/>
  <c r="M476" i="13"/>
  <c r="M507" i="13"/>
  <c r="M430" i="13"/>
  <c r="M508" i="13"/>
  <c r="M449" i="13"/>
  <c r="M491" i="13"/>
  <c r="M495" i="13"/>
  <c r="M502" i="13"/>
  <c r="M545" i="13"/>
  <c r="M549" i="13"/>
  <c r="M613" i="13"/>
  <c r="M553" i="13"/>
  <c r="M552" i="13"/>
  <c r="M516" i="13"/>
  <c r="M568" i="13"/>
  <c r="M569" i="13"/>
  <c r="M517" i="13"/>
  <c r="M575" i="13"/>
  <c r="M591" i="13"/>
  <c r="M593" i="13"/>
  <c r="M533" i="13"/>
  <c r="M580" i="13"/>
  <c r="M605" i="13"/>
  <c r="M536" i="13"/>
  <c r="M540" i="13"/>
  <c r="M602" i="13"/>
  <c r="M522" i="13"/>
  <c r="M555" i="13"/>
  <c r="M592" i="13"/>
  <c r="M597" i="13"/>
  <c r="M546" i="13"/>
  <c r="M521" i="13"/>
  <c r="M548" i="13"/>
  <c r="M556" i="13"/>
  <c r="M581" i="13"/>
  <c r="M520" i="13"/>
  <c r="M573" i="13"/>
  <c r="M551" i="13"/>
  <c r="M539" i="13"/>
  <c r="M542" i="13"/>
  <c r="M574" i="13"/>
  <c r="M512" i="13"/>
  <c r="M611" i="13"/>
  <c r="M558" i="13"/>
  <c r="M606" i="13"/>
  <c r="M525" i="13"/>
  <c r="M608" i="13"/>
  <c r="M535" i="13"/>
  <c r="M584" i="13"/>
  <c r="M590" i="13"/>
  <c r="M600" i="13"/>
  <c r="M554" i="13"/>
  <c r="M544" i="13"/>
  <c r="M559" i="13"/>
  <c r="M595" i="13"/>
  <c r="M601" i="13"/>
  <c r="M528" i="13"/>
  <c r="M586" i="13"/>
  <c r="M612" i="13"/>
  <c r="M700" i="13"/>
  <c r="M675" i="13"/>
  <c r="M652" i="13"/>
  <c r="M661" i="13"/>
  <c r="M682" i="13"/>
  <c r="M684" i="13"/>
  <c r="M699" i="13"/>
  <c r="M649" i="13"/>
  <c r="M683" i="13"/>
  <c r="M663" i="13"/>
  <c r="M698" i="13"/>
  <c r="M666" i="13"/>
  <c r="M654" i="13"/>
  <c r="M667" i="13"/>
  <c r="M717" i="13"/>
  <c r="M673" i="13"/>
  <c r="M670" i="13"/>
  <c r="M621" i="13"/>
  <c r="M693" i="13"/>
  <c r="M695" i="13"/>
  <c r="M623" i="13"/>
  <c r="M701" i="13"/>
  <c r="M708" i="13"/>
  <c r="M638" i="13"/>
  <c r="M622" i="13"/>
  <c r="M645" i="13"/>
  <c r="M619" i="13"/>
  <c r="M647" i="13"/>
  <c r="M672" i="13"/>
  <c r="M637" i="13"/>
  <c r="M641" i="13"/>
  <c r="M678" i="13"/>
  <c r="M688" i="13"/>
  <c r="M650" i="13"/>
  <c r="M676" i="13"/>
  <c r="M677" i="13"/>
  <c r="M635" i="13"/>
  <c r="M685" i="13"/>
  <c r="M686" i="13"/>
  <c r="M697" i="13"/>
  <c r="M617" i="13"/>
  <c r="M706" i="13"/>
  <c r="M618" i="13"/>
  <c r="M664" i="13"/>
  <c r="M620" i="13"/>
  <c r="M702" i="13"/>
  <c r="M631" i="13"/>
  <c r="M657" i="13"/>
  <c r="M642" i="13"/>
  <c r="M662" i="13"/>
  <c r="M616" i="13"/>
  <c r="M648" i="13"/>
  <c r="M615" i="13"/>
  <c r="M815" i="13"/>
  <c r="M739" i="13"/>
  <c r="M809" i="13"/>
  <c r="M808" i="13"/>
  <c r="M750" i="13"/>
  <c r="M737" i="13"/>
  <c r="M744" i="13"/>
  <c r="M752" i="13"/>
  <c r="M754" i="13"/>
  <c r="M813" i="13"/>
  <c r="M762" i="13"/>
  <c r="M812" i="13"/>
  <c r="M818" i="13"/>
  <c r="M768" i="13"/>
  <c r="M779" i="13"/>
  <c r="M817" i="13"/>
  <c r="M743" i="13"/>
  <c r="M820" i="13"/>
  <c r="M747" i="13"/>
  <c r="M731" i="13"/>
  <c r="M755" i="13"/>
  <c r="M777" i="13"/>
  <c r="M769" i="13"/>
  <c r="M732" i="13"/>
  <c r="M767" i="13"/>
  <c r="M746" i="13"/>
  <c r="M805" i="13"/>
  <c r="M791" i="13"/>
  <c r="M734" i="13"/>
  <c r="M721" i="13"/>
  <c r="M738" i="13"/>
  <c r="M719" i="13"/>
  <c r="M740" i="13"/>
  <c r="M764" i="13"/>
  <c r="M733" i="13"/>
  <c r="M735" i="13"/>
  <c r="M771" i="13"/>
  <c r="M775" i="13"/>
  <c r="M801" i="13"/>
  <c r="M806" i="13"/>
  <c r="M757" i="13"/>
  <c r="M729" i="13"/>
  <c r="M758" i="13"/>
  <c r="M778" i="13"/>
  <c r="M792" i="13"/>
  <c r="M726" i="13"/>
  <c r="M788" i="13"/>
  <c r="M766" i="13"/>
  <c r="M751" i="13"/>
  <c r="M753" i="13"/>
  <c r="M921" i="13"/>
  <c r="M905" i="13"/>
  <c r="M884" i="13"/>
  <c r="M894" i="13"/>
  <c r="M910" i="13"/>
  <c r="M912" i="13"/>
  <c r="M920" i="13"/>
  <c r="M868" i="13"/>
  <c r="M911" i="13"/>
  <c r="M895" i="13"/>
  <c r="M919" i="13"/>
  <c r="M897" i="13"/>
  <c r="M873" i="13"/>
  <c r="M880" i="13"/>
  <c r="M924" i="13"/>
  <c r="M891" i="13"/>
  <c r="M886" i="13"/>
  <c r="M825" i="13"/>
  <c r="M902" i="13"/>
  <c r="M903" i="13"/>
  <c r="M827" i="13"/>
  <c r="M906" i="13"/>
  <c r="M917" i="13"/>
  <c r="M887" i="13"/>
  <c r="M852" i="13"/>
  <c r="M876" i="13"/>
  <c r="M878" i="13"/>
  <c r="M841" i="13"/>
  <c r="M881" i="13"/>
  <c r="M883" i="13"/>
  <c r="M892" i="13"/>
  <c r="M828" i="13"/>
  <c r="M923" i="13"/>
  <c r="M832" i="13"/>
  <c r="M914" i="13"/>
  <c r="M838" i="13"/>
  <c r="M922" i="13"/>
  <c r="M854" i="13"/>
  <c r="M907" i="13"/>
  <c r="M872" i="13"/>
  <c r="M913" i="13"/>
  <c r="M824" i="13"/>
  <c r="M882" i="13"/>
  <c r="M822" i="13"/>
  <c r="M863" i="13"/>
  <c r="M821" i="13"/>
  <c r="M918" i="13"/>
  <c r="M853" i="13"/>
  <c r="M896" i="13"/>
  <c r="M829" i="13"/>
  <c r="M904" i="13"/>
  <c r="M839" i="13"/>
  <c r="M866" i="13"/>
  <c r="M869" i="13"/>
  <c r="M885" i="13"/>
  <c r="M985" i="13"/>
  <c r="M993" i="13"/>
  <c r="M1028" i="13"/>
  <c r="M1004" i="13"/>
  <c r="M999" i="13"/>
  <c r="M934" i="13"/>
  <c r="M1016" i="13"/>
  <c r="M1017" i="13"/>
  <c r="M936" i="13"/>
  <c r="M1019" i="13"/>
  <c r="M1022" i="13"/>
  <c r="M978" i="13"/>
  <c r="M939" i="13"/>
  <c r="M963" i="13"/>
  <c r="M997" i="13"/>
  <c r="M941" i="13"/>
  <c r="M942" i="13"/>
  <c r="M988" i="13"/>
  <c r="M933" i="13"/>
  <c r="M1029" i="13"/>
  <c r="M964" i="13"/>
  <c r="M943" i="13"/>
  <c r="M984" i="13"/>
  <c r="M1007" i="13"/>
  <c r="M998" i="13"/>
  <c r="M946" i="13"/>
  <c r="M994" i="13"/>
  <c r="M961" i="13"/>
  <c r="M1023" i="13"/>
  <c r="M1020" i="13"/>
  <c r="M971" i="13"/>
  <c r="M1006" i="13"/>
  <c r="M1010" i="13"/>
  <c r="M958" i="13"/>
  <c r="M935" i="13"/>
  <c r="M959" i="13"/>
  <c r="M974" i="13"/>
  <c r="M995" i="13"/>
  <c r="M932" i="13"/>
  <c r="M992" i="13"/>
  <c r="M966" i="13"/>
  <c r="M951" i="13"/>
  <c r="M955" i="13"/>
  <c r="M950" i="13"/>
  <c r="M945" i="13"/>
  <c r="M954" i="13"/>
  <c r="M977" i="13"/>
  <c r="M987" i="13"/>
  <c r="M937" i="13"/>
  <c r="M967" i="13"/>
  <c r="M1021" i="13"/>
  <c r="M1111" i="13"/>
  <c r="M1042" i="13"/>
  <c r="M1095" i="13"/>
  <c r="M1093" i="13"/>
  <c r="M1052" i="13"/>
  <c r="M1041" i="13"/>
  <c r="M1049" i="13"/>
  <c r="M1053" i="13"/>
  <c r="M1056" i="13"/>
  <c r="M1061" i="13"/>
  <c r="M1039" i="13"/>
  <c r="M1072" i="13"/>
  <c r="M1038" i="13"/>
  <c r="M1075" i="13"/>
  <c r="M1100" i="13"/>
  <c r="M1060" i="13"/>
  <c r="M1066" i="13"/>
  <c r="M1103" i="13"/>
  <c r="M1125" i="13"/>
  <c r="M1105" i="13"/>
  <c r="M1118" i="13"/>
  <c r="M1119" i="13"/>
  <c r="M1080" i="13"/>
  <c r="M1121" i="13"/>
  <c r="M1123" i="13"/>
  <c r="M1127" i="13"/>
  <c r="M1033" i="13"/>
  <c r="M1113" i="13"/>
  <c r="M1035" i="13"/>
  <c r="M1091" i="13"/>
  <c r="M1036" i="13"/>
  <c r="M1110" i="13"/>
  <c r="M1050" i="13"/>
  <c r="M1087" i="13"/>
  <c r="M1063" i="13"/>
  <c r="M1090" i="13"/>
  <c r="M1032" i="13"/>
  <c r="M1071" i="13"/>
  <c r="M1031" i="13"/>
  <c r="M1079" i="13"/>
  <c r="M1030" i="13"/>
  <c r="M1117" i="13"/>
  <c r="M1070" i="13"/>
  <c r="M1102" i="13"/>
  <c r="M1040" i="13"/>
  <c r="M1106" i="13"/>
  <c r="M1048" i="13"/>
  <c r="M1081" i="13"/>
  <c r="M1083" i="13"/>
  <c r="M1096" i="13"/>
  <c r="M1221" i="13"/>
  <c r="N1221" i="13" s="1"/>
  <c r="M1164" i="13"/>
  <c r="N1164" i="13" s="1"/>
  <c r="M1216" i="13"/>
  <c r="M1229" i="13"/>
  <c r="N1229" i="13" s="1"/>
  <c r="M1170" i="13"/>
  <c r="M1176" i="13"/>
  <c r="M1227" i="13"/>
  <c r="M1147" i="13"/>
  <c r="N1147" i="13" s="1"/>
  <c r="M1151" i="13"/>
  <c r="M1142" i="13"/>
  <c r="M1163" i="13"/>
  <c r="M1140" i="13"/>
  <c r="M1169" i="13"/>
  <c r="N1169" i="13" s="1"/>
  <c r="M1206" i="13"/>
  <c r="M1150" i="13"/>
  <c r="M1156" i="13"/>
  <c r="M1208" i="13"/>
  <c r="M1178" i="13"/>
  <c r="N1178" i="13" s="1"/>
  <c r="M1205" i="13"/>
  <c r="M1209" i="13"/>
  <c r="M1166" i="13"/>
  <c r="M1141" i="13"/>
  <c r="M1168" i="13"/>
  <c r="M1181" i="13"/>
  <c r="N1181" i="13" s="1"/>
  <c r="M1199" i="13"/>
  <c r="N1199" i="13" s="1"/>
  <c r="M1138" i="13"/>
  <c r="N1138" i="13" s="1"/>
  <c r="M1195" i="13"/>
  <c r="M1173" i="13"/>
  <c r="M1152" i="13"/>
  <c r="M1158" i="13"/>
  <c r="M1134" i="13"/>
  <c r="M1220" i="13"/>
  <c r="M1136" i="13"/>
  <c r="N1136" i="13" s="1"/>
  <c r="M1194" i="13"/>
  <c r="N1194" i="13" s="1"/>
  <c r="M1139" i="13"/>
  <c r="N1139" i="13" s="1"/>
  <c r="M1217" i="13"/>
  <c r="N1217" i="13" s="1"/>
  <c r="M1145" i="13"/>
  <c r="M1190" i="13"/>
  <c r="N1190" i="13" s="1"/>
  <c r="M1155" i="13"/>
  <c r="M1193" i="13"/>
  <c r="N1193" i="13" s="1"/>
  <c r="M1133" i="13"/>
  <c r="M1162" i="13"/>
  <c r="M1132" i="13"/>
  <c r="M1157" i="13"/>
  <c r="N1157" i="13" s="1"/>
  <c r="M1148" i="13"/>
  <c r="M1161" i="13"/>
  <c r="M1189" i="13"/>
  <c r="M1198" i="13"/>
  <c r="M1143" i="13"/>
  <c r="M1182" i="13"/>
  <c r="M1226" i="13"/>
  <c r="M1312" i="13"/>
  <c r="M1299" i="13"/>
  <c r="M1278" i="13"/>
  <c r="N1278" i="13" s="1"/>
  <c r="M1285" i="13"/>
  <c r="N1285" i="13" s="1"/>
  <c r="M1301" i="13"/>
  <c r="N1301" i="13" s="1"/>
  <c r="M1303" i="13"/>
  <c r="N1303" i="13" s="1"/>
  <c r="M1310" i="13"/>
  <c r="M1275" i="13"/>
  <c r="M1302" i="13"/>
  <c r="N1302" i="13" s="1"/>
  <c r="M1288" i="13"/>
  <c r="M1309" i="13"/>
  <c r="M1289" i="13"/>
  <c r="M1316" i="13"/>
  <c r="N1316" i="13" s="1"/>
  <c r="M1248" i="13"/>
  <c r="M1293" i="13"/>
  <c r="M1292" i="13"/>
  <c r="M1252" i="13"/>
  <c r="M1246" i="13"/>
  <c r="N1246" i="13" s="1"/>
  <c r="M1251" i="13"/>
  <c r="M1254" i="13"/>
  <c r="M1261" i="13"/>
  <c r="M1319" i="13"/>
  <c r="M1323" i="13"/>
  <c r="M1334" i="13"/>
  <c r="N1334" i="13" s="1"/>
  <c r="M1328" i="13"/>
  <c r="M1327" i="13"/>
  <c r="M1253" i="13"/>
  <c r="M1330" i="13"/>
  <c r="M1331" i="13"/>
  <c r="M1256" i="13"/>
  <c r="M1332" i="13"/>
  <c r="N1332" i="13" s="1"/>
  <c r="M1333" i="13"/>
  <c r="M1335" i="13"/>
  <c r="M1281" i="13"/>
  <c r="M1255" i="13"/>
  <c r="N1255" i="13" s="1"/>
  <c r="M1295" i="13"/>
  <c r="M1307" i="13"/>
  <c r="M1306" i="13"/>
  <c r="M1265" i="13"/>
  <c r="M1305" i="13"/>
  <c r="N1305" i="13" s="1"/>
  <c r="M1279" i="13"/>
  <c r="M1329" i="13"/>
  <c r="M1324" i="13"/>
  <c r="M1269" i="13"/>
  <c r="M1236" i="13"/>
  <c r="M1308" i="13"/>
  <c r="M1262" i="13"/>
  <c r="M1290" i="13"/>
  <c r="M1243" i="13"/>
  <c r="M1298" i="13"/>
  <c r="M1245" i="13"/>
  <c r="M1274" i="13"/>
  <c r="M1277" i="13"/>
  <c r="N1277" i="13" s="1"/>
  <c r="M1280" i="13"/>
  <c r="M1396" i="13"/>
  <c r="M1378" i="13"/>
  <c r="M1367" i="13"/>
  <c r="N1367" i="13" s="1"/>
  <c r="M1372" i="13"/>
  <c r="M1382" i="13"/>
  <c r="N1382" i="13" s="1"/>
  <c r="M1384" i="13"/>
  <c r="M1395" i="13"/>
  <c r="N1395" i="13" s="1"/>
  <c r="M1358" i="13"/>
  <c r="N1358" i="13" s="1"/>
  <c r="M1383" i="13"/>
  <c r="N1383" i="13" s="1"/>
  <c r="M1373" i="13"/>
  <c r="N1373" i="13" s="1"/>
  <c r="M1393" i="13"/>
  <c r="M1374" i="13"/>
  <c r="N1374" i="13" s="1"/>
  <c r="M1381" i="13"/>
  <c r="M1346" i="13"/>
  <c r="M1377" i="13"/>
  <c r="M1400" i="13"/>
  <c r="N1400" i="13" s="1"/>
  <c r="M1348" i="13"/>
  <c r="M1350" i="13"/>
  <c r="N1350" i="13" s="1"/>
  <c r="M1390" i="13"/>
  <c r="M1341" i="13"/>
  <c r="M1356" i="13"/>
  <c r="N1356" i="13" s="1"/>
  <c r="M1340" i="13"/>
  <c r="M1362" i="13"/>
  <c r="M1337" i="13"/>
  <c r="M1366" i="13"/>
  <c r="M1392" i="13"/>
  <c r="M1354" i="13"/>
  <c r="M1359" i="13"/>
  <c r="M1397" i="13"/>
  <c r="M1404" i="13"/>
  <c r="M1420" i="13"/>
  <c r="M1422" i="13"/>
  <c r="M1391" i="13"/>
  <c r="M1352" i="13"/>
  <c r="M1394" i="13"/>
  <c r="M1408" i="13"/>
  <c r="M1419" i="13"/>
  <c r="M1347" i="13"/>
  <c r="M1417" i="13"/>
  <c r="N1417" i="13" s="1"/>
  <c r="M1401" i="13"/>
  <c r="M1380" i="13"/>
  <c r="M1387" i="13"/>
  <c r="M1370" i="13"/>
  <c r="N1370" i="13" s="1"/>
  <c r="M1336" i="13"/>
  <c r="M1416" i="13"/>
  <c r="M1363" i="13"/>
  <c r="M1398" i="13"/>
  <c r="M1342" i="13"/>
  <c r="N1342" i="13" s="1"/>
  <c r="M1406" i="13"/>
  <c r="M1345" i="13"/>
  <c r="M7" i="13"/>
  <c r="C20" i="13"/>
  <c r="C32" i="13"/>
  <c r="C89" i="13"/>
  <c r="C84" i="13"/>
  <c r="C56" i="13"/>
  <c r="C61" i="13"/>
  <c r="C107" i="13"/>
  <c r="C64" i="13"/>
  <c r="C73" i="13"/>
  <c r="C108" i="13"/>
  <c r="W34" i="17"/>
  <c r="V34" i="17"/>
  <c r="W33" i="17"/>
  <c r="V33" i="17"/>
  <c r="W32" i="17"/>
  <c r="V32" i="17"/>
  <c r="W31" i="17"/>
  <c r="V31" i="17"/>
  <c r="W30" i="17"/>
  <c r="V30" i="17"/>
  <c r="C6" i="14"/>
  <c r="C9" i="14"/>
  <c r="C11" i="14"/>
  <c r="C13" i="14"/>
  <c r="C14" i="14"/>
  <c r="C15" i="14"/>
  <c r="C10" i="14"/>
  <c r="C8" i="14"/>
  <c r="C16" i="14"/>
  <c r="C12" i="14"/>
  <c r="C7" i="14"/>
  <c r="C21" i="14"/>
  <c r="C30" i="14"/>
  <c r="C31" i="14"/>
  <c r="C83" i="14"/>
  <c r="C20" i="14"/>
  <c r="C25" i="14"/>
  <c r="C42" i="14"/>
  <c r="C131" i="14"/>
  <c r="C37" i="14"/>
  <c r="C89" i="14"/>
  <c r="C76" i="14"/>
  <c r="C64" i="14"/>
  <c r="C43" i="14"/>
  <c r="C44" i="14"/>
  <c r="C79" i="14"/>
  <c r="C127" i="14"/>
  <c r="C128" i="14"/>
  <c r="C129" i="14"/>
  <c r="C130" i="14"/>
  <c r="C110" i="14"/>
  <c r="C99" i="14"/>
  <c r="C93" i="14"/>
  <c r="C87" i="14"/>
  <c r="C94" i="14"/>
  <c r="C80" i="14"/>
  <c r="C109" i="14"/>
  <c r="C7" i="13"/>
  <c r="C11" i="13"/>
  <c r="C15" i="13"/>
  <c r="C10" i="13"/>
  <c r="C9" i="13"/>
  <c r="C14" i="13"/>
  <c r="C16" i="13"/>
  <c r="C12" i="13"/>
  <c r="C6" i="13"/>
  <c r="C13" i="13"/>
  <c r="C8" i="13"/>
  <c r="C131" i="13"/>
  <c r="C30" i="13"/>
  <c r="C21" i="13"/>
  <c r="C22" i="13"/>
  <c r="C25" i="13"/>
  <c r="C33" i="13"/>
  <c r="C42" i="13"/>
  <c r="C50" i="13"/>
  <c r="C54" i="13"/>
  <c r="C70" i="13"/>
  <c r="C55" i="13"/>
  <c r="C59" i="13"/>
  <c r="C80" i="13"/>
  <c r="C78" i="13"/>
  <c r="C57" i="13"/>
  <c r="C98" i="13"/>
  <c r="C28" i="13"/>
  <c r="C85" i="13"/>
  <c r="C81" i="13"/>
  <c r="C88" i="13"/>
  <c r="C68" i="13"/>
  <c r="C128" i="13"/>
  <c r="C87" i="13"/>
  <c r="P108" i="16" l="1"/>
  <c r="Q108" i="16" s="1"/>
  <c r="P165" i="16"/>
  <c r="P164" i="16"/>
  <c r="Q164" i="16" s="1"/>
  <c r="P34" i="3"/>
  <c r="Q34" i="3" s="1"/>
  <c r="P50" i="3"/>
  <c r="Q50" i="3" s="1"/>
  <c r="P74" i="3"/>
  <c r="Q74" i="3" s="1"/>
  <c r="P82" i="3"/>
  <c r="Q82" i="3" s="1"/>
  <c r="P114" i="3"/>
  <c r="Q114" i="3" s="1"/>
  <c r="P130" i="3"/>
  <c r="Q130" i="3" s="1"/>
  <c r="P162" i="3"/>
  <c r="Q162" i="3" s="1"/>
  <c r="P170" i="3"/>
  <c r="Q170" i="3" s="1"/>
  <c r="P186" i="3"/>
  <c r="P194" i="3"/>
  <c r="P226" i="3"/>
  <c r="Q226" i="3" s="1"/>
  <c r="P258" i="3"/>
  <c r="P274" i="3"/>
  <c r="P282" i="3"/>
  <c r="Q282" i="3" s="1"/>
  <c r="P290" i="3"/>
  <c r="P298" i="3"/>
  <c r="Q298" i="3" s="1"/>
  <c r="P314" i="3"/>
  <c r="Q314" i="3" s="1"/>
  <c r="P322" i="3"/>
  <c r="P362" i="3"/>
  <c r="P370" i="3"/>
  <c r="P378" i="3"/>
  <c r="Q378" i="3" s="1"/>
  <c r="P386" i="3"/>
  <c r="Q386" i="3" s="1"/>
  <c r="P402" i="3"/>
  <c r="Q402" i="3" s="1"/>
  <c r="P434" i="3"/>
  <c r="Q434" i="3" s="1"/>
  <c r="P474" i="3"/>
  <c r="Q474" i="3" s="1"/>
  <c r="P490" i="3"/>
  <c r="Q490" i="3" s="1"/>
  <c r="P498" i="3"/>
  <c r="Q498" i="3" s="1"/>
  <c r="P514" i="3"/>
  <c r="Q514" i="3" s="1"/>
  <c r="P530" i="3"/>
  <c r="Q530" i="3" s="1"/>
  <c r="P538" i="3"/>
  <c r="P554" i="3"/>
  <c r="P578" i="3"/>
  <c r="P594" i="3"/>
  <c r="Q594" i="3" s="1"/>
  <c r="P602" i="3"/>
  <c r="Q602" i="3" s="1"/>
  <c r="P618" i="3"/>
  <c r="P642" i="3"/>
  <c r="Q642" i="3" s="1"/>
  <c r="P650" i="3"/>
  <c r="Q650" i="3" s="1"/>
  <c r="P658" i="3"/>
  <c r="P682" i="3"/>
  <c r="Q682" i="3" s="1"/>
  <c r="P80" i="3"/>
  <c r="Q80" i="3" s="1"/>
  <c r="P104" i="3"/>
  <c r="Q104" i="3" s="1"/>
  <c r="P120" i="3"/>
  <c r="Q120" i="3" s="1"/>
  <c r="P136" i="3"/>
  <c r="P152" i="3"/>
  <c r="P168" i="3"/>
  <c r="Q168" i="3" s="1"/>
  <c r="P304" i="3"/>
  <c r="P312" i="3"/>
  <c r="Q312" i="3" s="1"/>
  <c r="P320" i="3"/>
  <c r="P560" i="3"/>
  <c r="P27" i="3"/>
  <c r="Q27" i="3" s="1"/>
  <c r="P35" i="3"/>
  <c r="Q35" i="3" s="1"/>
  <c r="P43" i="3"/>
  <c r="Q43" i="3" s="1"/>
  <c r="P51" i="3"/>
  <c r="Q51" i="3" s="1"/>
  <c r="P59" i="3"/>
  <c r="Q59" i="3" s="1"/>
  <c r="P67" i="3"/>
  <c r="Q67" i="3" s="1"/>
  <c r="P75" i="3"/>
  <c r="Q75" i="3" s="1"/>
  <c r="P91" i="3"/>
  <c r="Q91" i="3" s="1"/>
  <c r="P99" i="3"/>
  <c r="Q99" i="3" s="1"/>
  <c r="P123" i="3"/>
  <c r="P131" i="3"/>
  <c r="Q131" i="3" s="1"/>
  <c r="P147" i="3"/>
  <c r="Q147" i="3" s="1"/>
  <c r="P163" i="3"/>
  <c r="Q163" i="3" s="1"/>
  <c r="P179" i="3"/>
  <c r="P195" i="3"/>
  <c r="P219" i="3"/>
  <c r="P227" i="3"/>
  <c r="Q227" i="3" s="1"/>
  <c r="P243" i="3"/>
  <c r="Q243" i="3" s="1"/>
  <c r="P267" i="3"/>
  <c r="P283" i="3"/>
  <c r="P331" i="3"/>
  <c r="P339" i="3"/>
  <c r="Q339" i="3" s="1"/>
  <c r="P347" i="3"/>
  <c r="P363" i="3"/>
  <c r="P379" i="3"/>
  <c r="P387" i="3"/>
  <c r="Q387" i="3" s="1"/>
  <c r="P403" i="3"/>
  <c r="Q403" i="3" s="1"/>
  <c r="P435" i="3"/>
  <c r="Q435" i="3" s="1"/>
  <c r="P475" i="3"/>
  <c r="P491" i="3"/>
  <c r="P499" i="3"/>
  <c r="Q499" i="3" s="1"/>
  <c r="P515" i="3"/>
  <c r="Q515" i="3" s="1"/>
  <c r="P531" i="3"/>
  <c r="Q531" i="3" s="1"/>
  <c r="P539" i="3"/>
  <c r="Q539" i="3" s="1"/>
  <c r="P555" i="3"/>
  <c r="Q555" i="3" s="1"/>
  <c r="P579" i="3"/>
  <c r="Q579" i="3" s="1"/>
  <c r="P595" i="3"/>
  <c r="P603" i="3"/>
  <c r="P619" i="3"/>
  <c r="Q619" i="3" s="1"/>
  <c r="P643" i="3"/>
  <c r="Q643" i="3" s="1"/>
  <c r="P651" i="3"/>
  <c r="P659" i="3"/>
  <c r="Q659" i="3" s="1"/>
  <c r="P675" i="3"/>
  <c r="Q675" i="3" s="1"/>
  <c r="P615" i="3"/>
  <c r="Q615" i="3" s="1"/>
  <c r="P408" i="3"/>
  <c r="P576" i="3"/>
  <c r="P592" i="3"/>
  <c r="Q592" i="3" s="1"/>
  <c r="P656" i="3"/>
  <c r="P672" i="3"/>
  <c r="Q672" i="3" s="1"/>
  <c r="P12" i="3"/>
  <c r="Q12" i="3" s="1"/>
  <c r="P20" i="3"/>
  <c r="Q20" i="3" s="1"/>
  <c r="P28" i="3"/>
  <c r="Q28" i="3" s="1"/>
  <c r="P36" i="3"/>
  <c r="Q36" i="3" s="1"/>
  <c r="P44" i="3"/>
  <c r="Q44" i="3" s="1"/>
  <c r="P52" i="3"/>
  <c r="Q52" i="3" s="1"/>
  <c r="P92" i="3"/>
  <c r="Q92" i="3" s="1"/>
  <c r="P100" i="3"/>
  <c r="Q100" i="3" s="1"/>
  <c r="P108" i="3"/>
  <c r="Q108" i="3" s="1"/>
  <c r="P132" i="3"/>
  <c r="Q132" i="3" s="1"/>
  <c r="P140" i="3"/>
  <c r="Q140" i="3" s="1"/>
  <c r="P156" i="3"/>
  <c r="P164" i="3"/>
  <c r="P172" i="3"/>
  <c r="P188" i="3"/>
  <c r="Q188" i="3" s="1"/>
  <c r="P204" i="3"/>
  <c r="Q204" i="3" s="1"/>
  <c r="P212" i="3"/>
  <c r="Q212" i="3" s="1"/>
  <c r="P228" i="3"/>
  <c r="Q228" i="3" s="1"/>
  <c r="P244" i="3"/>
  <c r="Q244" i="3" s="1"/>
  <c r="P260" i="3"/>
  <c r="P308" i="3"/>
  <c r="P340" i="3"/>
  <c r="P356" i="3"/>
  <c r="Q356" i="3" s="1"/>
  <c r="P372" i="3"/>
  <c r="P380" i="3"/>
  <c r="P388" i="3"/>
  <c r="Q388" i="3" s="1"/>
  <c r="P404" i="3"/>
  <c r="P436" i="3"/>
  <c r="Q436" i="3" s="1"/>
  <c r="P468" i="3"/>
  <c r="P492" i="3"/>
  <c r="Q492" i="3" s="1"/>
  <c r="P500" i="3"/>
  <c r="P516" i="3"/>
  <c r="Q516" i="3" s="1"/>
  <c r="P532" i="3"/>
  <c r="P540" i="3"/>
  <c r="P556" i="3"/>
  <c r="P580" i="3"/>
  <c r="P596" i="3"/>
  <c r="Q596" i="3" s="1"/>
  <c r="P604" i="3"/>
  <c r="P612" i="3"/>
  <c r="P652" i="3"/>
  <c r="P660" i="3"/>
  <c r="Q660" i="3" s="1"/>
  <c r="P590" i="3"/>
  <c r="P8" i="3"/>
  <c r="Q8" i="3" s="1"/>
  <c r="P248" i="3"/>
  <c r="Q248" i="3" s="1"/>
  <c r="P352" i="3"/>
  <c r="P384" i="3"/>
  <c r="P472" i="3"/>
  <c r="P488" i="3"/>
  <c r="P504" i="3"/>
  <c r="Q504" i="3" s="1"/>
  <c r="P520" i="3"/>
  <c r="Q520" i="3" s="1"/>
  <c r="P37" i="3"/>
  <c r="Q37" i="3" s="1"/>
  <c r="P69" i="3"/>
  <c r="Q69" i="3" s="1"/>
  <c r="P93" i="3"/>
  <c r="Q93" i="3" s="1"/>
  <c r="P109" i="3"/>
  <c r="Q109" i="3" s="1"/>
  <c r="P125" i="3"/>
  <c r="Q125" i="3" s="1"/>
  <c r="P165" i="3"/>
  <c r="Q165" i="3" s="1"/>
  <c r="P173" i="3"/>
  <c r="P189" i="3"/>
  <c r="P213" i="3"/>
  <c r="Q213" i="3" s="1"/>
  <c r="P221" i="3"/>
  <c r="P229" i="3"/>
  <c r="Q229" i="3" s="1"/>
  <c r="P237" i="3"/>
  <c r="Q237" i="3" s="1"/>
  <c r="P261" i="3"/>
  <c r="P269" i="3"/>
  <c r="Q269" i="3" s="1"/>
  <c r="P277" i="3"/>
  <c r="P293" i="3"/>
  <c r="Q293" i="3" s="1"/>
  <c r="P317" i="3"/>
  <c r="P325" i="3"/>
  <c r="P333" i="3"/>
  <c r="P341" i="3"/>
  <c r="P349" i="3"/>
  <c r="P373" i="3"/>
  <c r="P381" i="3"/>
  <c r="Q381" i="3" s="1"/>
  <c r="P389" i="3"/>
  <c r="Q389" i="3" s="1"/>
  <c r="P405" i="3"/>
  <c r="Q405" i="3" s="1"/>
  <c r="P437" i="3"/>
  <c r="P469" i="3"/>
  <c r="Q469" i="3" s="1"/>
  <c r="P493" i="3"/>
  <c r="P501" i="3"/>
  <c r="P517" i="3"/>
  <c r="P533" i="3"/>
  <c r="Q533" i="3" s="1"/>
  <c r="P541" i="3"/>
  <c r="P557" i="3"/>
  <c r="Q557" i="3" s="1"/>
  <c r="P589" i="3"/>
  <c r="P597" i="3"/>
  <c r="Q597" i="3" s="1"/>
  <c r="P613" i="3"/>
  <c r="P637" i="3"/>
  <c r="Q637" i="3" s="1"/>
  <c r="P653" i="3"/>
  <c r="P661" i="3"/>
  <c r="Q661" i="3" s="1"/>
  <c r="P591" i="3"/>
  <c r="Q591" i="3" s="1"/>
  <c r="P655" i="3"/>
  <c r="Q655" i="3" s="1"/>
  <c r="P679" i="3"/>
  <c r="Q679" i="3" s="1"/>
  <c r="P24" i="3"/>
  <c r="Q24" i="3" s="1"/>
  <c r="P160" i="3"/>
  <c r="Q160" i="3" s="1"/>
  <c r="P192" i="3"/>
  <c r="P344" i="3"/>
  <c r="Q344" i="3" s="1"/>
  <c r="P376" i="3"/>
  <c r="P400" i="3"/>
  <c r="P432" i="3"/>
  <c r="P496" i="3"/>
  <c r="P600" i="3"/>
  <c r="Q600" i="3" s="1"/>
  <c r="P616" i="3"/>
  <c r="Q616" i="3" s="1"/>
  <c r="P640" i="3"/>
  <c r="P14" i="3"/>
  <c r="Q14" i="3" s="1"/>
  <c r="P22" i="3"/>
  <c r="Q22" i="3" s="1"/>
  <c r="P38" i="3"/>
  <c r="Q38" i="3" s="1"/>
  <c r="P70" i="3"/>
  <c r="Q70" i="3" s="1"/>
  <c r="P78" i="3"/>
  <c r="Q78" i="3" s="1"/>
  <c r="P86" i="3"/>
  <c r="Q86" i="3" s="1"/>
  <c r="P94" i="3"/>
  <c r="Q94" i="3" s="1"/>
  <c r="P110" i="3"/>
  <c r="Q110" i="3" s="1"/>
  <c r="P118" i="3"/>
  <c r="Q118" i="3" s="1"/>
  <c r="P134" i="3"/>
  <c r="Q134" i="3" s="1"/>
  <c r="P158" i="3"/>
  <c r="Q158" i="3" s="1"/>
  <c r="P174" i="3"/>
  <c r="Q174" i="3" s="1"/>
  <c r="P182" i="3"/>
  <c r="P190" i="3"/>
  <c r="Q190" i="3" s="1"/>
  <c r="P198" i="3"/>
  <c r="Q198" i="3" s="1"/>
  <c r="P214" i="3"/>
  <c r="Q214" i="3" s="1"/>
  <c r="P230" i="3"/>
  <c r="P246" i="3"/>
  <c r="P254" i="3"/>
  <c r="P262" i="3"/>
  <c r="P270" i="3"/>
  <c r="P278" i="3"/>
  <c r="Q278" i="3" s="1"/>
  <c r="P286" i="3"/>
  <c r="Q286" i="3" s="1"/>
  <c r="P302" i="3"/>
  <c r="Q302" i="3" s="1"/>
  <c r="P326" i="3"/>
  <c r="Q326" i="3" s="1"/>
  <c r="P334" i="3"/>
  <c r="P358" i="3"/>
  <c r="P366" i="3"/>
  <c r="Q366" i="3" s="1"/>
  <c r="P374" i="3"/>
  <c r="Q374" i="3" s="1"/>
  <c r="P382" i="3"/>
  <c r="Q382" i="3" s="1"/>
  <c r="P390" i="3"/>
  <c r="Q390" i="3" s="1"/>
  <c r="P406" i="3"/>
  <c r="Q406" i="3" s="1"/>
  <c r="P430" i="3"/>
  <c r="P470" i="3"/>
  <c r="P486" i="3"/>
  <c r="P494" i="3"/>
  <c r="P502" i="3"/>
  <c r="Q502" i="3" s="1"/>
  <c r="P518" i="3"/>
  <c r="Q518" i="3" s="1"/>
  <c r="P534" i="3"/>
  <c r="Q534" i="3" s="1"/>
  <c r="P542" i="3"/>
  <c r="P558" i="3"/>
  <c r="Q558" i="3" s="1"/>
  <c r="P614" i="3"/>
  <c r="P638" i="3"/>
  <c r="Q638" i="3" s="1"/>
  <c r="P654" i="3"/>
  <c r="Q654" i="3" s="1"/>
  <c r="P48" i="3"/>
  <c r="Q48" i="3" s="1"/>
  <c r="P23" i="3"/>
  <c r="Q23" i="3" s="1"/>
  <c r="P39" i="3"/>
  <c r="Q39" i="3" s="1"/>
  <c r="P55" i="3"/>
  <c r="Q55" i="3" s="1"/>
  <c r="P63" i="3"/>
  <c r="Q63" i="3" s="1"/>
  <c r="P79" i="3"/>
  <c r="Q79" i="3" s="1"/>
  <c r="P87" i="3"/>
  <c r="Q87" i="3" s="1"/>
  <c r="P111" i="3"/>
  <c r="Q111" i="3" s="1"/>
  <c r="P119" i="3"/>
  <c r="Q119" i="3" s="1"/>
  <c r="P127" i="3"/>
  <c r="P191" i="3"/>
  <c r="Q191" i="3" s="1"/>
  <c r="P207" i="3"/>
  <c r="Q207" i="3" s="1"/>
  <c r="P215" i="3"/>
  <c r="P223" i="3"/>
  <c r="P255" i="3"/>
  <c r="Q255" i="3" s="1"/>
  <c r="P263" i="3"/>
  <c r="P279" i="3"/>
  <c r="P287" i="3"/>
  <c r="Q287" i="3" s="1"/>
  <c r="P311" i="3"/>
  <c r="P319" i="3"/>
  <c r="P327" i="3"/>
  <c r="P343" i="3"/>
  <c r="Q343" i="3" s="1"/>
  <c r="P367" i="3"/>
  <c r="P375" i="3"/>
  <c r="P383" i="3"/>
  <c r="Q383" i="3" s="1"/>
  <c r="P391" i="3"/>
  <c r="P407" i="3"/>
  <c r="P431" i="3"/>
  <c r="P447" i="3"/>
  <c r="P471" i="3"/>
  <c r="P487" i="3"/>
  <c r="Q487" i="3" s="1"/>
  <c r="P495" i="3"/>
  <c r="Q495" i="3" s="1"/>
  <c r="P503" i="3"/>
  <c r="Q503" i="3" s="1"/>
  <c r="P519" i="3"/>
  <c r="P535" i="3"/>
  <c r="Q535" i="3" s="1"/>
  <c r="P551" i="3"/>
  <c r="Q551" i="3" s="1"/>
  <c r="P559" i="3"/>
  <c r="Q559" i="3" s="1"/>
  <c r="P575" i="3"/>
  <c r="P639" i="3"/>
  <c r="P296" i="3"/>
  <c r="Q296" i="3" s="1"/>
  <c r="P25" i="3"/>
  <c r="Q25" i="3" s="1"/>
  <c r="P33" i="3"/>
  <c r="Q33" i="3" s="1"/>
  <c r="P41" i="3"/>
  <c r="Q41" i="3" s="1"/>
  <c r="P73" i="3"/>
  <c r="Q73" i="3" s="1"/>
  <c r="P89" i="3"/>
  <c r="Q89" i="3" s="1"/>
  <c r="P121" i="3"/>
  <c r="P129" i="3"/>
  <c r="Q129" i="3" s="1"/>
  <c r="P137" i="3"/>
  <c r="P161" i="3"/>
  <c r="Q161" i="3" s="1"/>
  <c r="P185" i="3"/>
  <c r="P193" i="3"/>
  <c r="Q193" i="3" s="1"/>
  <c r="P201" i="3"/>
  <c r="Q201" i="3" s="1"/>
  <c r="P225" i="3"/>
  <c r="P233" i="3"/>
  <c r="P257" i="3"/>
  <c r="Q257" i="3" s="1"/>
  <c r="P265" i="3"/>
  <c r="P289" i="3"/>
  <c r="P297" i="3"/>
  <c r="Q297" i="3" s="1"/>
  <c r="P305" i="3"/>
  <c r="Q305" i="3" s="1"/>
  <c r="P321" i="3"/>
  <c r="Q321" i="3" s="1"/>
  <c r="P353" i="3"/>
  <c r="Q353" i="3" s="1"/>
  <c r="P369" i="3"/>
  <c r="Q369" i="3" s="1"/>
  <c r="P377" i="3"/>
  <c r="P385" i="3"/>
  <c r="P401" i="3"/>
  <c r="Q401" i="3" s="1"/>
  <c r="P409" i="3"/>
  <c r="Q409" i="3" s="1"/>
  <c r="P433" i="3"/>
  <c r="P473" i="3"/>
  <c r="P489" i="3"/>
  <c r="P497" i="3"/>
  <c r="Q497" i="3" s="1"/>
  <c r="P513" i="3"/>
  <c r="P529" i="3"/>
  <c r="P537" i="3"/>
  <c r="Q537" i="3" s="1"/>
  <c r="P553" i="3"/>
  <c r="Q553" i="3" s="1"/>
  <c r="P577" i="3"/>
  <c r="P593" i="3"/>
  <c r="P601" i="3"/>
  <c r="Q601" i="3" s="1"/>
  <c r="P617" i="3"/>
  <c r="Q617" i="3" s="1"/>
  <c r="P641" i="3"/>
  <c r="Q641" i="3" s="1"/>
  <c r="P657" i="3"/>
  <c r="Q657" i="3" s="1"/>
  <c r="P673" i="3"/>
  <c r="Q673" i="3" s="1"/>
  <c r="P681" i="3"/>
  <c r="P598" i="3"/>
  <c r="Q598" i="3" s="1"/>
  <c r="P662" i="3"/>
  <c r="P599" i="3"/>
  <c r="P663" i="3"/>
  <c r="P88" i="3"/>
  <c r="Q88" i="3" s="1"/>
  <c r="P240" i="3"/>
  <c r="P256" i="3"/>
  <c r="P328" i="3"/>
  <c r="P368" i="3"/>
  <c r="P536" i="3"/>
  <c r="P552" i="3"/>
  <c r="Q136" i="3"/>
  <c r="P7" i="3"/>
  <c r="P16" i="2"/>
  <c r="Q16" i="2" s="1"/>
  <c r="P48" i="2"/>
  <c r="Q48" i="2" s="1"/>
  <c r="P56" i="2"/>
  <c r="Q56" i="2" s="1"/>
  <c r="P64" i="2"/>
  <c r="Q64" i="2" s="1"/>
  <c r="P88" i="2"/>
  <c r="Q88" i="2" s="1"/>
  <c r="P104" i="2"/>
  <c r="Q104" i="2" s="1"/>
  <c r="P112" i="2"/>
  <c r="Q112" i="2" s="1"/>
  <c r="P120" i="2"/>
  <c r="Q120" i="2" s="1"/>
  <c r="P128" i="2"/>
  <c r="Q128" i="2" s="1"/>
  <c r="P136" i="2"/>
  <c r="Q136" i="2" s="1"/>
  <c r="P144" i="2"/>
  <c r="Q144" i="2" s="1"/>
  <c r="P168" i="2"/>
  <c r="Q168" i="2" s="1"/>
  <c r="P208" i="2"/>
  <c r="Q208" i="2" s="1"/>
  <c r="P216" i="2"/>
  <c r="Q216" i="2" s="1"/>
  <c r="P232" i="2"/>
  <c r="Q232" i="2" s="1"/>
  <c r="P240" i="2"/>
  <c r="Q240" i="2" s="1"/>
  <c r="P248" i="2"/>
  <c r="Q248" i="2" s="1"/>
  <c r="P256" i="2"/>
  <c r="Q256" i="2" s="1"/>
  <c r="P264" i="2"/>
  <c r="Q264" i="2" s="1"/>
  <c r="P304" i="2"/>
  <c r="Q304" i="2" s="1"/>
  <c r="P312" i="2"/>
  <c r="Q312" i="2" s="1"/>
  <c r="P320" i="2"/>
  <c r="Q320" i="2" s="1"/>
  <c r="P336" i="2"/>
  <c r="Q336" i="2" s="1"/>
  <c r="P344" i="2"/>
  <c r="Q344" i="2" s="1"/>
  <c r="P352" i="2"/>
  <c r="Q352" i="2" s="1"/>
  <c r="P368" i="2"/>
  <c r="Q368" i="2" s="1"/>
  <c r="P376" i="2"/>
  <c r="Q376" i="2" s="1"/>
  <c r="P384" i="2"/>
  <c r="Q384" i="2" s="1"/>
  <c r="P416" i="2"/>
  <c r="Q416" i="2" s="1"/>
  <c r="P334" i="2"/>
  <c r="Q334" i="2" s="1"/>
  <c r="P382" i="2"/>
  <c r="Q382" i="2" s="1"/>
  <c r="P414" i="2"/>
  <c r="Q414" i="2" s="1"/>
  <c r="P17" i="2"/>
  <c r="Q17" i="2" s="1"/>
  <c r="P25" i="2"/>
  <c r="Q25" i="2" s="1"/>
  <c r="P33" i="2"/>
  <c r="Q33" i="2" s="1"/>
  <c r="P49" i="2"/>
  <c r="Q49" i="2" s="1"/>
  <c r="P73" i="2"/>
  <c r="Q73" i="2" s="1"/>
  <c r="P81" i="2"/>
  <c r="Q81" i="2" s="1"/>
  <c r="P89" i="2"/>
  <c r="Q89" i="2" s="1"/>
  <c r="P97" i="2"/>
  <c r="Q97" i="2" s="1"/>
  <c r="P113" i="2"/>
  <c r="Q113" i="2" s="1"/>
  <c r="P121" i="2"/>
  <c r="Q121" i="2" s="1"/>
  <c r="P145" i="2"/>
  <c r="Q145" i="2" s="1"/>
  <c r="P169" i="2"/>
  <c r="Q169" i="2" s="1"/>
  <c r="P177" i="2"/>
  <c r="Q177" i="2" s="1"/>
  <c r="P185" i="2"/>
  <c r="Q185" i="2" s="1"/>
  <c r="P193" i="2"/>
  <c r="Q193" i="2" s="1"/>
  <c r="P209" i="2"/>
  <c r="Q209" i="2" s="1"/>
  <c r="P241" i="2"/>
  <c r="Q241" i="2" s="1"/>
  <c r="P249" i="2"/>
  <c r="Q249" i="2" s="1"/>
  <c r="P257" i="2"/>
  <c r="Q257" i="2" s="1"/>
  <c r="P265" i="2"/>
  <c r="Q265" i="2" s="1"/>
  <c r="P305" i="2"/>
  <c r="Q305" i="2" s="1"/>
  <c r="P313" i="2"/>
  <c r="Q313" i="2" s="1"/>
  <c r="P321" i="2"/>
  <c r="Q321" i="2" s="1"/>
  <c r="P337" i="2"/>
  <c r="Q337" i="2" s="1"/>
  <c r="P345" i="2"/>
  <c r="Q345" i="2" s="1"/>
  <c r="P353" i="2"/>
  <c r="Q353" i="2" s="1"/>
  <c r="P369" i="2"/>
  <c r="Q369" i="2" s="1"/>
  <c r="P377" i="2"/>
  <c r="Q377" i="2" s="1"/>
  <c r="P401" i="2"/>
  <c r="Q401" i="2" s="1"/>
  <c r="P417" i="2"/>
  <c r="Q417" i="2" s="1"/>
  <c r="P38" i="2"/>
  <c r="Q38" i="2" s="1"/>
  <c r="P102" i="2"/>
  <c r="Q102" i="2" s="1"/>
  <c r="P110" i="2"/>
  <c r="Q110" i="2" s="1"/>
  <c r="P126" i="2"/>
  <c r="Q126" i="2" s="1"/>
  <c r="P150" i="2"/>
  <c r="Q150" i="2" s="1"/>
  <c r="P206" i="2"/>
  <c r="Q206" i="2" s="1"/>
  <c r="P318" i="2"/>
  <c r="Q318" i="2" s="1"/>
  <c r="P342" i="2"/>
  <c r="Q342" i="2" s="1"/>
  <c r="P255" i="2"/>
  <c r="Q255" i="2" s="1"/>
  <c r="P327" i="2"/>
  <c r="Q327" i="2" s="1"/>
  <c r="P343" i="2"/>
  <c r="Q343" i="2" s="1"/>
  <c r="P367" i="2"/>
  <c r="Q367" i="2" s="1"/>
  <c r="P383" i="2"/>
  <c r="Q383" i="2" s="1"/>
  <c r="P18" i="2"/>
  <c r="Q18" i="2" s="1"/>
  <c r="P26" i="2"/>
  <c r="Q26" i="2" s="1"/>
  <c r="P42" i="2"/>
  <c r="Q42" i="2" s="1"/>
  <c r="P58" i="2"/>
  <c r="Q58" i="2" s="1"/>
  <c r="P82" i="2"/>
  <c r="Q82" i="2" s="1"/>
  <c r="P122" i="2"/>
  <c r="Q122" i="2" s="1"/>
  <c r="P162" i="2"/>
  <c r="Q162" i="2" s="1"/>
  <c r="P178" i="2"/>
  <c r="Q178" i="2" s="1"/>
  <c r="P186" i="2"/>
  <c r="Q186" i="2" s="1"/>
  <c r="P250" i="2"/>
  <c r="Q250" i="2" s="1"/>
  <c r="P258" i="2"/>
  <c r="Q258" i="2" s="1"/>
  <c r="P266" i="2"/>
  <c r="Q266" i="2" s="1"/>
  <c r="P306" i="2"/>
  <c r="Q306" i="2" s="1"/>
  <c r="P314" i="2"/>
  <c r="Q314" i="2" s="1"/>
  <c r="P322" i="2"/>
  <c r="Q322" i="2" s="1"/>
  <c r="P346" i="2"/>
  <c r="Q346" i="2" s="1"/>
  <c r="P354" i="2"/>
  <c r="Q354" i="2" s="1"/>
  <c r="P370" i="2"/>
  <c r="Q370" i="2" s="1"/>
  <c r="P378" i="2"/>
  <c r="Q378" i="2" s="1"/>
  <c r="P402" i="2"/>
  <c r="Q402" i="2" s="1"/>
  <c r="P410" i="2"/>
  <c r="Q410" i="2" s="1"/>
  <c r="P418" i="2"/>
  <c r="Q418" i="2" s="1"/>
  <c r="P7" i="2"/>
  <c r="Q7" i="2" s="1"/>
  <c r="P118" i="2"/>
  <c r="Q118" i="2" s="1"/>
  <c r="P366" i="2"/>
  <c r="Q366" i="2" s="1"/>
  <c r="P390" i="2"/>
  <c r="Q390" i="2" s="1"/>
  <c r="P263" i="2"/>
  <c r="Q263" i="2" s="1"/>
  <c r="P19" i="2"/>
  <c r="Q19" i="2" s="1"/>
  <c r="P27" i="2"/>
  <c r="Q27" i="2" s="1"/>
  <c r="P59" i="2"/>
  <c r="Q59" i="2" s="1"/>
  <c r="P67" i="2"/>
  <c r="Q67" i="2" s="1"/>
  <c r="P75" i="2"/>
  <c r="Q75" i="2" s="1"/>
  <c r="P83" i="2"/>
  <c r="P139" i="2"/>
  <c r="Q139" i="2" s="1"/>
  <c r="P171" i="2"/>
  <c r="Q171" i="2" s="1"/>
  <c r="P195" i="2"/>
  <c r="Q195" i="2" s="1"/>
  <c r="P219" i="2"/>
  <c r="Q219" i="2" s="1"/>
  <c r="P227" i="2"/>
  <c r="Q227" i="2" s="1"/>
  <c r="P235" i="2"/>
  <c r="Q235" i="2" s="1"/>
  <c r="P251" i="2"/>
  <c r="Q251" i="2" s="1"/>
  <c r="P259" i="2"/>
  <c r="Q259" i="2" s="1"/>
  <c r="P267" i="2"/>
  <c r="Q267" i="2" s="1"/>
  <c r="P283" i="2"/>
  <c r="Q283" i="2" s="1"/>
  <c r="P315" i="2"/>
  <c r="Q315" i="2" s="1"/>
  <c r="P323" i="2"/>
  <c r="Q323" i="2" s="1"/>
  <c r="P347" i="2"/>
  <c r="Q347" i="2" s="1"/>
  <c r="P355" i="2"/>
  <c r="Q355" i="2" s="1"/>
  <c r="P379" i="2"/>
  <c r="Q379" i="2" s="1"/>
  <c r="P403" i="2"/>
  <c r="Q403" i="2" s="1"/>
  <c r="P411" i="2"/>
  <c r="Q411" i="2" s="1"/>
  <c r="P419" i="2"/>
  <c r="Q419" i="2" s="1"/>
  <c r="P70" i="2"/>
  <c r="Q70" i="2" s="1"/>
  <c r="P86" i="2"/>
  <c r="Q86" i="2" s="1"/>
  <c r="P142" i="2"/>
  <c r="Q142" i="2" s="1"/>
  <c r="P182" i="2"/>
  <c r="Q182" i="2" s="1"/>
  <c r="P254" i="2"/>
  <c r="Q254" i="2" s="1"/>
  <c r="P286" i="2"/>
  <c r="Q286" i="2" s="1"/>
  <c r="P326" i="2"/>
  <c r="Q326" i="2" s="1"/>
  <c r="P247" i="2"/>
  <c r="Q247" i="2" s="1"/>
  <c r="P287" i="2"/>
  <c r="Q287" i="2" s="1"/>
  <c r="P319" i="2"/>
  <c r="Q319" i="2" s="1"/>
  <c r="P335" i="2"/>
  <c r="Q335" i="2" s="1"/>
  <c r="P20" i="2"/>
  <c r="Q20" i="2" s="1"/>
  <c r="P28" i="2"/>
  <c r="Q28" i="2" s="1"/>
  <c r="P36" i="2"/>
  <c r="Q36" i="2" s="1"/>
  <c r="P52" i="2"/>
  <c r="Q52" i="2" s="1"/>
  <c r="P68" i="2"/>
  <c r="Q68" i="2" s="1"/>
  <c r="P84" i="2"/>
  <c r="Q84" i="2" s="1"/>
  <c r="P92" i="2"/>
  <c r="Q92" i="2" s="1"/>
  <c r="P100" i="2"/>
  <c r="P108" i="2"/>
  <c r="Q108" i="2" s="1"/>
  <c r="P140" i="2"/>
  <c r="Q140" i="2" s="1"/>
  <c r="P148" i="2"/>
  <c r="Q148" i="2" s="1"/>
  <c r="P156" i="2"/>
  <c r="Q156" i="2" s="1"/>
  <c r="P180" i="2"/>
  <c r="Q180" i="2" s="1"/>
  <c r="P212" i="2"/>
  <c r="Q212" i="2" s="1"/>
  <c r="P220" i="2"/>
  <c r="Q220" i="2" s="1"/>
  <c r="P228" i="2"/>
  <c r="Q228" i="2" s="1"/>
  <c r="P244" i="2"/>
  <c r="Q244" i="2" s="1"/>
  <c r="P252" i="2"/>
  <c r="Q252" i="2" s="1"/>
  <c r="P284" i="2"/>
  <c r="Q284" i="2" s="1"/>
  <c r="P316" i="2"/>
  <c r="Q316" i="2" s="1"/>
  <c r="P324" i="2"/>
  <c r="Q324" i="2" s="1"/>
  <c r="P348" i="2"/>
  <c r="Q348" i="2" s="1"/>
  <c r="P356" i="2"/>
  <c r="Q356" i="2" s="1"/>
  <c r="P380" i="2"/>
  <c r="Q380" i="2" s="1"/>
  <c r="P388" i="2"/>
  <c r="Q388" i="2" s="1"/>
  <c r="P404" i="2"/>
  <c r="Q404" i="2" s="1"/>
  <c r="P412" i="2"/>
  <c r="Q412" i="2" s="1"/>
  <c r="P420" i="2"/>
  <c r="Q420" i="2" s="1"/>
  <c r="P62" i="2"/>
  <c r="Q62" i="2" s="1"/>
  <c r="P134" i="2"/>
  <c r="Q134" i="2" s="1"/>
  <c r="P174" i="2"/>
  <c r="Q174" i="2" s="1"/>
  <c r="P415" i="2"/>
  <c r="Q415" i="2" s="1"/>
  <c r="P21" i="2"/>
  <c r="Q21" i="2" s="1"/>
  <c r="P29" i="2"/>
  <c r="Q29" i="2" s="1"/>
  <c r="P45" i="2"/>
  <c r="Q45" i="2" s="1"/>
  <c r="P53" i="2"/>
  <c r="Q53" i="2" s="1"/>
  <c r="P61" i="2"/>
  <c r="Q61" i="2" s="1"/>
  <c r="P69" i="2"/>
  <c r="Q69" i="2" s="1"/>
  <c r="P101" i="2"/>
  <c r="Q101" i="2" s="1"/>
  <c r="P125" i="2"/>
  <c r="Q125" i="2" s="1"/>
  <c r="P133" i="2"/>
  <c r="Q133" i="2" s="1"/>
  <c r="P149" i="2"/>
  <c r="Q149" i="2" s="1"/>
  <c r="P157" i="2"/>
  <c r="Q157" i="2" s="1"/>
  <c r="P165" i="2"/>
  <c r="Q165" i="2" s="1"/>
  <c r="P173" i="2"/>
  <c r="Q173" i="2" s="1"/>
  <c r="P181" i="2"/>
  <c r="Q181" i="2" s="1"/>
  <c r="P189" i="2"/>
  <c r="Q189" i="2" s="1"/>
  <c r="P197" i="2"/>
  <c r="Q197" i="2" s="1"/>
  <c r="P205" i="2"/>
  <c r="Q205" i="2" s="1"/>
  <c r="P213" i="2"/>
  <c r="Q213" i="2" s="1"/>
  <c r="P221" i="2"/>
  <c r="Q221" i="2" s="1"/>
  <c r="P229" i="2"/>
  <c r="Q229" i="2" s="1"/>
  <c r="P237" i="2"/>
  <c r="Q237" i="2" s="1"/>
  <c r="P245" i="2"/>
  <c r="Q245" i="2" s="1"/>
  <c r="P253" i="2"/>
  <c r="Q253" i="2" s="1"/>
  <c r="P285" i="2"/>
  <c r="Q285" i="2" s="1"/>
  <c r="P317" i="2"/>
  <c r="Q317" i="2" s="1"/>
  <c r="P325" i="2"/>
  <c r="Q325" i="2" s="1"/>
  <c r="P333" i="2"/>
  <c r="Q333" i="2" s="1"/>
  <c r="P381" i="2"/>
  <c r="Q381" i="2" s="1"/>
  <c r="P389" i="2"/>
  <c r="Q389" i="2" s="1"/>
  <c r="P413" i="2"/>
  <c r="Q413" i="2" s="1"/>
  <c r="P15" i="2"/>
  <c r="Q15" i="2" s="1"/>
  <c r="P39" i="2"/>
  <c r="Q39" i="2" s="1"/>
  <c r="P63" i="2"/>
  <c r="Q63" i="2" s="1"/>
  <c r="P95" i="2"/>
  <c r="Q95" i="2" s="1"/>
  <c r="P111" i="2"/>
  <c r="Q111" i="2" s="1"/>
  <c r="P135" i="2"/>
  <c r="Q135" i="2" s="1"/>
  <c r="P175" i="2"/>
  <c r="Q175" i="2" s="1"/>
  <c r="P183" i="2"/>
  <c r="Q183" i="2" s="1"/>
  <c r="P199" i="2"/>
  <c r="Q199" i="2" s="1"/>
  <c r="P207" i="2"/>
  <c r="Q207" i="2" s="1"/>
  <c r="P215" i="2"/>
  <c r="Q215" i="2" s="1"/>
  <c r="P223" i="2"/>
  <c r="Q223" i="2" s="1"/>
  <c r="AB56" i="2" a="1"/>
  <c r="AB56" i="2" s="1"/>
  <c r="AB54" i="2" a="1"/>
  <c r="AB54" i="2" s="1"/>
  <c r="AB55" i="2" a="1"/>
  <c r="AB55" i="2" s="1"/>
  <c r="P16" i="11"/>
  <c r="Q16" i="11" s="1"/>
  <c r="P24" i="11"/>
  <c r="Q24" i="11" s="1"/>
  <c r="P32" i="11"/>
  <c r="Q32" i="11" s="1"/>
  <c r="P56" i="11"/>
  <c r="Q56" i="11" s="1"/>
  <c r="P64" i="11"/>
  <c r="Q64" i="11" s="1"/>
  <c r="P72" i="11"/>
  <c r="Q72" i="11" s="1"/>
  <c r="P88" i="11"/>
  <c r="Q88" i="11" s="1"/>
  <c r="P96" i="11"/>
  <c r="Q96" i="11" s="1"/>
  <c r="P112" i="11"/>
  <c r="Q112" i="11" s="1"/>
  <c r="P128" i="11"/>
  <c r="Q128" i="11" s="1"/>
  <c r="P136" i="11"/>
  <c r="Q136" i="11" s="1"/>
  <c r="P168" i="11"/>
  <c r="Q168" i="11" s="1"/>
  <c r="P176" i="11"/>
  <c r="Q176" i="11" s="1"/>
  <c r="P184" i="11"/>
  <c r="Q184" i="11" s="1"/>
  <c r="P192" i="11"/>
  <c r="Q192" i="11" s="1"/>
  <c r="P208" i="11"/>
  <c r="Q208" i="11" s="1"/>
  <c r="P216" i="11"/>
  <c r="Q216" i="11" s="1"/>
  <c r="P17" i="11"/>
  <c r="Q17" i="11" s="1"/>
  <c r="P25" i="11"/>
  <c r="Q25" i="11" s="1"/>
  <c r="P33" i="11"/>
  <c r="Q33" i="11" s="1"/>
  <c r="P49" i="11"/>
  <c r="Q49" i="11" s="1"/>
  <c r="P57" i="11"/>
  <c r="Q57" i="11" s="1"/>
  <c r="P81" i="11"/>
  <c r="Q81" i="11" s="1"/>
  <c r="P89" i="11"/>
  <c r="Q89" i="11" s="1"/>
  <c r="P105" i="11"/>
  <c r="Q105" i="11" s="1"/>
  <c r="P113" i="11"/>
  <c r="Q113" i="11" s="1"/>
  <c r="P121" i="11"/>
  <c r="Q121" i="11" s="1"/>
  <c r="P129" i="11"/>
  <c r="Q129" i="11" s="1"/>
  <c r="P137" i="11"/>
  <c r="Q137" i="11" s="1"/>
  <c r="P153" i="11"/>
  <c r="Q153" i="11" s="1"/>
  <c r="P177" i="11"/>
  <c r="Q177" i="11" s="1"/>
  <c r="P193" i="11"/>
  <c r="Q193" i="11" s="1"/>
  <c r="P7" i="11"/>
  <c r="P18" i="11"/>
  <c r="Q18" i="11" s="1"/>
  <c r="P50" i="11"/>
  <c r="Q50" i="11" s="1"/>
  <c r="P74" i="11"/>
  <c r="Q74" i="11" s="1"/>
  <c r="P82" i="11"/>
  <c r="Q82" i="11" s="1"/>
  <c r="P98" i="11"/>
  <c r="Q98" i="11" s="1"/>
  <c r="P106" i="11"/>
  <c r="Q106" i="11" s="1"/>
  <c r="P122" i="11"/>
  <c r="Q122" i="11" s="1"/>
  <c r="P130" i="11"/>
  <c r="Q130" i="11" s="1"/>
  <c r="P154" i="11"/>
  <c r="Q154" i="11" s="1"/>
  <c r="P178" i="11"/>
  <c r="Q178" i="11" s="1"/>
  <c r="P194" i="11"/>
  <c r="Q194" i="11" s="1"/>
  <c r="P234" i="11"/>
  <c r="Q234" i="11" s="1"/>
  <c r="P35" i="11"/>
  <c r="Q35" i="11" s="1"/>
  <c r="P43" i="11"/>
  <c r="Q43" i="11" s="1"/>
  <c r="P59" i="11"/>
  <c r="Q59" i="11" s="1"/>
  <c r="P67" i="11"/>
  <c r="Q67" i="11" s="1"/>
  <c r="P91" i="11"/>
  <c r="Q91" i="11" s="1"/>
  <c r="P99" i="11"/>
  <c r="Q99" i="11" s="1"/>
  <c r="P107" i="11"/>
  <c r="Q107" i="11" s="1"/>
  <c r="P115" i="11"/>
  <c r="Q115" i="11" s="1"/>
  <c r="P131" i="11"/>
  <c r="Q131" i="11" s="1"/>
  <c r="P179" i="11"/>
  <c r="Q179" i="11" s="1"/>
  <c r="P211" i="11"/>
  <c r="Q211" i="11" s="1"/>
  <c r="P235" i="11"/>
  <c r="Q235" i="11" s="1"/>
  <c r="P36" i="11"/>
  <c r="Q36" i="11" s="1"/>
  <c r="P52" i="11"/>
  <c r="Q52" i="11" s="1"/>
  <c r="P92" i="11"/>
  <c r="Q92" i="11" s="1"/>
  <c r="P116" i="11"/>
  <c r="Q116" i="11" s="1"/>
  <c r="P132" i="11"/>
  <c r="Q132" i="11" s="1"/>
  <c r="P140" i="11"/>
  <c r="Q140" i="11" s="1"/>
  <c r="P172" i="11"/>
  <c r="Q172" i="11" s="1"/>
  <c r="P180" i="11"/>
  <c r="Q180" i="11" s="1"/>
  <c r="P212" i="11"/>
  <c r="Q212" i="11" s="1"/>
  <c r="P220" i="11"/>
  <c r="Q220" i="11" s="1"/>
  <c r="P236" i="11"/>
  <c r="Q236" i="11" s="1"/>
  <c r="P189" i="11"/>
  <c r="Q189" i="11" s="1"/>
  <c r="P229" i="11"/>
  <c r="Q229" i="11" s="1"/>
  <c r="P13" i="11"/>
  <c r="Q13" i="11" s="1"/>
  <c r="P29" i="11"/>
  <c r="Q29" i="11" s="1"/>
  <c r="P45" i="11"/>
  <c r="P53" i="11"/>
  <c r="Q53" i="11" s="1"/>
  <c r="P61" i="11"/>
  <c r="Q61" i="11" s="1"/>
  <c r="P125" i="11"/>
  <c r="Q125" i="11" s="1"/>
  <c r="P133" i="11"/>
  <c r="Q133" i="11" s="1"/>
  <c r="P141" i="11"/>
  <c r="Q141" i="11" s="1"/>
  <c r="P173" i="11"/>
  <c r="Q173" i="11" s="1"/>
  <c r="P197" i="11"/>
  <c r="Q197" i="11" s="1"/>
  <c r="P213" i="11"/>
  <c r="Q213" i="11" s="1"/>
  <c r="P221" i="11"/>
  <c r="Q221" i="11" s="1"/>
  <c r="P237" i="11"/>
  <c r="Q237" i="11" s="1"/>
  <c r="P14" i="11"/>
  <c r="Q14" i="11" s="1"/>
  <c r="P22" i="11"/>
  <c r="P38" i="11"/>
  <c r="Q38" i="11" s="1"/>
  <c r="P70" i="11"/>
  <c r="Q70" i="11" s="1"/>
  <c r="P78" i="11"/>
  <c r="Q78" i="11" s="1"/>
  <c r="P86" i="11"/>
  <c r="Q86" i="11" s="1"/>
  <c r="P102" i="11"/>
  <c r="Q102" i="11" s="1"/>
  <c r="P126" i="11"/>
  <c r="Q126" i="11" s="1"/>
  <c r="P134" i="11"/>
  <c r="Q134" i="11" s="1"/>
  <c r="P142" i="11"/>
  <c r="Q142" i="11" s="1"/>
  <c r="P174" i="11"/>
  <c r="Q174" i="11" s="1"/>
  <c r="P190" i="11"/>
  <c r="Q190" i="11" s="1"/>
  <c r="P198" i="11"/>
  <c r="Q198" i="11" s="1"/>
  <c r="P214" i="11"/>
  <c r="Q214" i="11" s="1"/>
  <c r="P230" i="11"/>
  <c r="Q230" i="11" s="1"/>
  <c r="P238" i="11"/>
  <c r="Q238" i="11" s="1"/>
  <c r="P15" i="11"/>
  <c r="Q15" i="11" s="1"/>
  <c r="P31" i="11"/>
  <c r="Q31" i="11" s="1"/>
  <c r="P39" i="11"/>
  <c r="Q39" i="11" s="1"/>
  <c r="P71" i="11"/>
  <c r="Q71" i="11" s="1"/>
  <c r="P79" i="11"/>
  <c r="Q79" i="11" s="1"/>
  <c r="P95" i="11"/>
  <c r="P111" i="11"/>
  <c r="Q111" i="11" s="1"/>
  <c r="P127" i="11"/>
  <c r="Q127" i="11" s="1"/>
  <c r="P135" i="11"/>
  <c r="Q135" i="11" s="1"/>
  <c r="P167" i="11"/>
  <c r="Q167" i="11" s="1"/>
  <c r="P175" i="11"/>
  <c r="Q175" i="11" s="1"/>
  <c r="P183" i="11"/>
  <c r="Q183" i="11" s="1"/>
  <c r="P191" i="11"/>
  <c r="Q191" i="11" s="1"/>
  <c r="P199" i="11"/>
  <c r="Q199" i="11" s="1"/>
  <c r="P207" i="11"/>
  <c r="Q207" i="11" s="1"/>
  <c r="P215" i="11"/>
  <c r="Q215" i="11" s="1"/>
  <c r="P231" i="11"/>
  <c r="Q231" i="11" s="1"/>
  <c r="P16" i="6"/>
  <c r="Q16" i="6" s="1"/>
  <c r="P24" i="6"/>
  <c r="Q24" i="6" s="1"/>
  <c r="P32" i="6"/>
  <c r="Q32" i="6" s="1"/>
  <c r="P40" i="6"/>
  <c r="Q40" i="6" s="1"/>
  <c r="P80" i="6"/>
  <c r="Q80" i="6" s="1"/>
  <c r="P88" i="6"/>
  <c r="Q88" i="6" s="1"/>
  <c r="P96" i="6"/>
  <c r="Q96" i="6" s="1"/>
  <c r="P104" i="6"/>
  <c r="P120" i="6"/>
  <c r="Q120" i="6" s="1"/>
  <c r="P128" i="6"/>
  <c r="Q128" i="6" s="1"/>
  <c r="P160" i="6"/>
  <c r="Q160" i="6" s="1"/>
  <c r="P168" i="6"/>
  <c r="P176" i="6"/>
  <c r="P184" i="6"/>
  <c r="Q184" i="6" s="1"/>
  <c r="P192" i="6"/>
  <c r="Q192" i="6" s="1"/>
  <c r="P208" i="6"/>
  <c r="Q208" i="6" s="1"/>
  <c r="P79" i="6"/>
  <c r="Q79" i="6" s="1"/>
  <c r="P191" i="6"/>
  <c r="P215" i="6"/>
  <c r="P17" i="6"/>
  <c r="Q17" i="6" s="1"/>
  <c r="P25" i="6"/>
  <c r="Q25" i="6" s="1"/>
  <c r="P33" i="6"/>
  <c r="Q33" i="6" s="1"/>
  <c r="P49" i="6"/>
  <c r="Q49" i="6" s="1"/>
  <c r="P65" i="6"/>
  <c r="P73" i="6"/>
  <c r="Q73" i="6" s="1"/>
  <c r="P81" i="6"/>
  <c r="Q81" i="6" s="1"/>
  <c r="P105" i="6"/>
  <c r="Q105" i="6" s="1"/>
  <c r="P121" i="6"/>
  <c r="Q121" i="6" s="1"/>
  <c r="P129" i="6"/>
  <c r="Q129" i="6" s="1"/>
  <c r="P169" i="6"/>
  <c r="Q169" i="6" s="1"/>
  <c r="P177" i="6"/>
  <c r="Q177" i="6" s="1"/>
  <c r="P201" i="6"/>
  <c r="P209" i="6"/>
  <c r="Q209" i="6" s="1"/>
  <c r="P10" i="6"/>
  <c r="Q10" i="6" s="1"/>
  <c r="P26" i="6"/>
  <c r="Q26" i="6" s="1"/>
  <c r="P42" i="6"/>
  <c r="Q42" i="6" s="1"/>
  <c r="P50" i="6"/>
  <c r="Q50" i="6" s="1"/>
  <c r="P58" i="6"/>
  <c r="Q58" i="6" s="1"/>
  <c r="P66" i="6"/>
  <c r="Q66" i="6" s="1"/>
  <c r="P90" i="6"/>
  <c r="Q90" i="6" s="1"/>
  <c r="P106" i="6"/>
  <c r="Q106" i="6" s="1"/>
  <c r="P114" i="6"/>
  <c r="Q114" i="6" s="1"/>
  <c r="P122" i="6"/>
  <c r="Q122" i="6" s="1"/>
  <c r="P130" i="6"/>
  <c r="Q130" i="6" s="1"/>
  <c r="P138" i="6"/>
  <c r="Q138" i="6" s="1"/>
  <c r="P178" i="6"/>
  <c r="Q178" i="6" s="1"/>
  <c r="P194" i="6"/>
  <c r="Q194" i="6" s="1"/>
  <c r="P202" i="6"/>
  <c r="P210" i="6"/>
  <c r="P7" i="6"/>
  <c r="Q7" i="6" s="1"/>
  <c r="P71" i="6"/>
  <c r="Q71" i="6" s="1"/>
  <c r="P27" i="6"/>
  <c r="Q27" i="6" s="1"/>
  <c r="P83" i="6"/>
  <c r="Q83" i="6" s="1"/>
  <c r="P91" i="6"/>
  <c r="Q91" i="6" s="1"/>
  <c r="P99" i="6"/>
  <c r="Q99" i="6" s="1"/>
  <c r="P131" i="6"/>
  <c r="Q131" i="6" s="1"/>
  <c r="P139" i="6"/>
  <c r="Q139" i="6" s="1"/>
  <c r="P163" i="6"/>
  <c r="Q163" i="6" s="1"/>
  <c r="P171" i="6"/>
  <c r="Q171" i="6" s="1"/>
  <c r="P179" i="6"/>
  <c r="Q179" i="6" s="1"/>
  <c r="P195" i="6"/>
  <c r="Q195" i="6" s="1"/>
  <c r="P44" i="6"/>
  <c r="Q44" i="6" s="1"/>
  <c r="P52" i="6"/>
  <c r="Q52" i="6" s="1"/>
  <c r="P68" i="6"/>
  <c r="Q68" i="6" s="1"/>
  <c r="P108" i="6"/>
  <c r="Q108" i="6" s="1"/>
  <c r="P116" i="6"/>
  <c r="Q116" i="6" s="1"/>
  <c r="P132" i="6"/>
  <c r="P148" i="6"/>
  <c r="Q148" i="6" s="1"/>
  <c r="P164" i="6"/>
  <c r="P172" i="6"/>
  <c r="P180" i="6"/>
  <c r="Q180" i="6" s="1"/>
  <c r="P196" i="6"/>
  <c r="Q196" i="6" s="1"/>
  <c r="P13" i="6"/>
  <c r="Q13" i="6" s="1"/>
  <c r="P21" i="6"/>
  <c r="Q21" i="6" s="1"/>
  <c r="P37" i="6"/>
  <c r="Q37" i="6" s="1"/>
  <c r="P45" i="6"/>
  <c r="Q45" i="6" s="1"/>
  <c r="P53" i="6"/>
  <c r="Q53" i="6" s="1"/>
  <c r="P61" i="6"/>
  <c r="Q61" i="6" s="1"/>
  <c r="P69" i="6"/>
  <c r="Q69" i="6" s="1"/>
  <c r="P77" i="6"/>
  <c r="Q77" i="6" s="1"/>
  <c r="P93" i="6"/>
  <c r="Q93" i="6" s="1"/>
  <c r="P109" i="6"/>
  <c r="Q109" i="6" s="1"/>
  <c r="P125" i="6"/>
  <c r="Q125" i="6" s="1"/>
  <c r="P133" i="6"/>
  <c r="Q133" i="6" s="1"/>
  <c r="P165" i="6"/>
  <c r="P197" i="6"/>
  <c r="Q197" i="6" s="1"/>
  <c r="P213" i="6"/>
  <c r="P39" i="6"/>
  <c r="Q39" i="6" s="1"/>
  <c r="P87" i="6"/>
  <c r="Q87" i="6" s="1"/>
  <c r="P22" i="6"/>
  <c r="Q22" i="6" s="1"/>
  <c r="P54" i="6"/>
  <c r="Q54" i="6" s="1"/>
  <c r="P94" i="6"/>
  <c r="Q94" i="6" s="1"/>
  <c r="P110" i="6"/>
  <c r="Q110" i="6" s="1"/>
  <c r="P118" i="6"/>
  <c r="Q118" i="6" s="1"/>
  <c r="P134" i="6"/>
  <c r="Q134" i="6" s="1"/>
  <c r="P166" i="6"/>
  <c r="Q166" i="6" s="1"/>
  <c r="P198" i="6"/>
  <c r="Q198" i="6" s="1"/>
  <c r="P214" i="6"/>
  <c r="Q214" i="6" s="1"/>
  <c r="P15" i="6"/>
  <c r="Q15" i="6" s="1"/>
  <c r="P55" i="6"/>
  <c r="Q55" i="6" s="1"/>
  <c r="P95" i="6"/>
  <c r="Q95" i="6" s="1"/>
  <c r="P135" i="6"/>
  <c r="Q135" i="6" s="1"/>
  <c r="P159" i="6"/>
  <c r="Q159" i="6" s="1"/>
  <c r="P167" i="6"/>
  <c r="P183" i="6"/>
  <c r="Q183" i="6" s="1"/>
  <c r="P8" i="12"/>
  <c r="P24" i="12"/>
  <c r="P56" i="12"/>
  <c r="P64" i="12"/>
  <c r="P88" i="12"/>
  <c r="P104" i="12"/>
  <c r="P112" i="12"/>
  <c r="P120" i="12"/>
  <c r="P128" i="12"/>
  <c r="P136" i="12"/>
  <c r="P144" i="12"/>
  <c r="P152" i="12"/>
  <c r="P168" i="12"/>
  <c r="P184" i="12"/>
  <c r="P200" i="12"/>
  <c r="P224" i="12"/>
  <c r="Q224" i="12" s="1"/>
  <c r="P232" i="12"/>
  <c r="P240" i="12"/>
  <c r="P248" i="12"/>
  <c r="P272" i="12"/>
  <c r="P288" i="12"/>
  <c r="P296" i="12"/>
  <c r="P304" i="12"/>
  <c r="P312" i="12"/>
  <c r="P336" i="12"/>
  <c r="Q336" i="12" s="1"/>
  <c r="P368" i="12"/>
  <c r="P376" i="12"/>
  <c r="Q376" i="12" s="1"/>
  <c r="P384" i="12"/>
  <c r="Q384" i="12" s="1"/>
  <c r="P400" i="12"/>
  <c r="Q400" i="12" s="1"/>
  <c r="P424" i="12"/>
  <c r="P456" i="12"/>
  <c r="Q456" i="12" s="1"/>
  <c r="P472" i="12"/>
  <c r="Q472" i="12" s="1"/>
  <c r="P480" i="12"/>
  <c r="P496" i="12"/>
  <c r="P512" i="12"/>
  <c r="P528" i="12"/>
  <c r="P544" i="12"/>
  <c r="Q544" i="12" s="1"/>
  <c r="P552" i="12"/>
  <c r="P560" i="12"/>
  <c r="P576" i="12"/>
  <c r="P592" i="12"/>
  <c r="Q592" i="12" s="1"/>
  <c r="P608" i="12"/>
  <c r="P7" i="12"/>
  <c r="Q7" i="12" s="1"/>
  <c r="P39" i="12"/>
  <c r="P423" i="12"/>
  <c r="P41" i="12"/>
  <c r="P57" i="12"/>
  <c r="P81" i="12"/>
  <c r="P105" i="12"/>
  <c r="P121" i="12"/>
  <c r="P129" i="12"/>
  <c r="P153" i="12"/>
  <c r="P161" i="12"/>
  <c r="P185" i="12"/>
  <c r="P193" i="12"/>
  <c r="P201" i="12"/>
  <c r="P209" i="12"/>
  <c r="Q209" i="12" s="1"/>
  <c r="P217" i="12"/>
  <c r="Q217" i="12" s="1"/>
  <c r="P249" i="12"/>
  <c r="P281" i="12"/>
  <c r="P289" i="12"/>
  <c r="Q289" i="12" s="1"/>
  <c r="P305" i="12"/>
  <c r="Q305" i="12" s="1"/>
  <c r="P313" i="12"/>
  <c r="P329" i="12"/>
  <c r="P337" i="12"/>
  <c r="P345" i="12"/>
  <c r="P353" i="12"/>
  <c r="Q353" i="12" s="1"/>
  <c r="P361" i="12"/>
  <c r="Q361" i="12" s="1"/>
  <c r="P377" i="12"/>
  <c r="P385" i="12"/>
  <c r="P401" i="12"/>
  <c r="Q401" i="12" s="1"/>
  <c r="P425" i="12"/>
  <c r="P457" i="12"/>
  <c r="P473" i="12"/>
  <c r="Q473" i="12" s="1"/>
  <c r="P481" i="12"/>
  <c r="P489" i="12"/>
  <c r="P505" i="12"/>
  <c r="Q505" i="12" s="1"/>
  <c r="P513" i="12"/>
  <c r="P529" i="12"/>
  <c r="P545" i="12"/>
  <c r="Q545" i="12" s="1"/>
  <c r="P553" i="12"/>
  <c r="Q553" i="12" s="1"/>
  <c r="P561" i="12"/>
  <c r="P577" i="12"/>
  <c r="P593" i="12"/>
  <c r="Q593" i="12" s="1"/>
  <c r="P609" i="12"/>
  <c r="P10" i="12"/>
  <c r="P26" i="12"/>
  <c r="P34" i="12"/>
  <c r="P50" i="12"/>
  <c r="P66" i="12"/>
  <c r="P90" i="12"/>
  <c r="P98" i="12"/>
  <c r="P106" i="12"/>
  <c r="P114" i="12"/>
  <c r="P122" i="12"/>
  <c r="P138" i="12"/>
  <c r="P162" i="12"/>
  <c r="P178" i="12"/>
  <c r="P202" i="12"/>
  <c r="P218" i="12"/>
  <c r="Q218" i="12" s="1"/>
  <c r="P250" i="12"/>
  <c r="P258" i="12"/>
  <c r="P266" i="12"/>
  <c r="Q266" i="12" s="1"/>
  <c r="P282" i="12"/>
  <c r="Q282" i="12" s="1"/>
  <c r="P298" i="12"/>
  <c r="Q298" i="12" s="1"/>
  <c r="P306" i="12"/>
  <c r="Q306" i="12" s="1"/>
  <c r="P314" i="12"/>
  <c r="P346" i="12"/>
  <c r="P354" i="12"/>
  <c r="P362" i="12"/>
  <c r="P370" i="12"/>
  <c r="Q370" i="12" s="1"/>
  <c r="P378" i="12"/>
  <c r="P386" i="12"/>
  <c r="P402" i="12"/>
  <c r="Q402" i="12" s="1"/>
  <c r="P426" i="12"/>
  <c r="Q426" i="12" s="1"/>
  <c r="P458" i="12"/>
  <c r="P474" i="12"/>
  <c r="Q474" i="12" s="1"/>
  <c r="P482" i="12"/>
  <c r="Q482" i="12" s="1"/>
  <c r="P490" i="12"/>
  <c r="P506" i="12"/>
  <c r="P514" i="12"/>
  <c r="Q514" i="12" s="1"/>
  <c r="P546" i="12"/>
  <c r="Q546" i="12" s="1"/>
  <c r="P554" i="12"/>
  <c r="P562" i="12"/>
  <c r="Q562" i="12" s="1"/>
  <c r="P578" i="12"/>
  <c r="Q578" i="12" s="1"/>
  <c r="P594" i="12"/>
  <c r="P610" i="12"/>
  <c r="P11" i="12"/>
  <c r="P27" i="12"/>
  <c r="P51" i="12"/>
  <c r="P59" i="12"/>
  <c r="P75" i="12"/>
  <c r="P99" i="12"/>
  <c r="P107" i="12"/>
  <c r="P131" i="12"/>
  <c r="P147" i="12"/>
  <c r="P179" i="12"/>
  <c r="P211" i="12"/>
  <c r="P219" i="12"/>
  <c r="P227" i="12"/>
  <c r="P243" i="12"/>
  <c r="Q243" i="12" s="1"/>
  <c r="P259" i="12"/>
  <c r="Q259" i="12" s="1"/>
  <c r="P267" i="12"/>
  <c r="Q267" i="12" s="1"/>
  <c r="P283" i="12"/>
  <c r="P307" i="12"/>
  <c r="Q307" i="12" s="1"/>
  <c r="P315" i="12"/>
  <c r="Q315" i="12" s="1"/>
  <c r="P323" i="12"/>
  <c r="P331" i="12"/>
  <c r="P347" i="12"/>
  <c r="P371" i="12"/>
  <c r="Q371" i="12" s="1"/>
  <c r="P379" i="12"/>
  <c r="Q379" i="12" s="1"/>
  <c r="P387" i="12"/>
  <c r="Q387" i="12" s="1"/>
  <c r="P459" i="12"/>
  <c r="P475" i="12"/>
  <c r="Q475" i="12" s="1"/>
  <c r="P483" i="12"/>
  <c r="Q483" i="12" s="1"/>
  <c r="P491" i="12"/>
  <c r="P507" i="12"/>
  <c r="Q507" i="12" s="1"/>
  <c r="P515" i="12"/>
  <c r="P555" i="12"/>
  <c r="Q555" i="12" s="1"/>
  <c r="P563" i="12"/>
  <c r="Q563" i="12" s="1"/>
  <c r="P579" i="12"/>
  <c r="Q579" i="12" s="1"/>
  <c r="P595" i="12"/>
  <c r="Q595" i="12" s="1"/>
  <c r="P611" i="12"/>
  <c r="Q611" i="12" s="1"/>
  <c r="P31" i="12"/>
  <c r="P63" i="12"/>
  <c r="P191" i="12"/>
  <c r="P247" i="12"/>
  <c r="P255" i="12"/>
  <c r="P319" i="12"/>
  <c r="P20" i="12"/>
  <c r="P28" i="12"/>
  <c r="P52" i="12"/>
  <c r="P60" i="12"/>
  <c r="P68" i="12"/>
  <c r="P92" i="12"/>
  <c r="P132" i="12"/>
  <c r="P140" i="12"/>
  <c r="P148" i="12"/>
  <c r="P156" i="12"/>
  <c r="P164" i="12"/>
  <c r="P172" i="12"/>
  <c r="P180" i="12"/>
  <c r="P188" i="12"/>
  <c r="P212" i="12"/>
  <c r="P236" i="12"/>
  <c r="P260" i="12"/>
  <c r="P268" i="12"/>
  <c r="Q268" i="12" s="1"/>
  <c r="P284" i="12"/>
  <c r="P292" i="12"/>
  <c r="P316" i="12"/>
  <c r="Q316" i="12" s="1"/>
  <c r="P324" i="12"/>
  <c r="P332" i="12"/>
  <c r="Q332" i="12" s="1"/>
  <c r="P348" i="12"/>
  <c r="P372" i="12"/>
  <c r="P380" i="12"/>
  <c r="P388" i="12"/>
  <c r="Q388" i="12" s="1"/>
  <c r="P460" i="12"/>
  <c r="P468" i="12"/>
  <c r="Q468" i="12" s="1"/>
  <c r="P476" i="12"/>
  <c r="Q476" i="12" s="1"/>
  <c r="P492" i="12"/>
  <c r="P508" i="12"/>
  <c r="P516" i="12"/>
  <c r="P524" i="12"/>
  <c r="P556" i="12"/>
  <c r="Q556" i="12" s="1"/>
  <c r="P564" i="12"/>
  <c r="Q564" i="12" s="1"/>
  <c r="P580" i="12"/>
  <c r="P596" i="12"/>
  <c r="Q596" i="12" s="1"/>
  <c r="P604" i="12"/>
  <c r="P612" i="12"/>
  <c r="Q612" i="12" s="1"/>
  <c r="P14" i="12"/>
  <c r="P46" i="12"/>
  <c r="P62" i="12"/>
  <c r="P142" i="12"/>
  <c r="P150" i="12"/>
  <c r="P158" i="12"/>
  <c r="P182" i="12"/>
  <c r="P190" i="12"/>
  <c r="P198" i="12"/>
  <c r="P206" i="12"/>
  <c r="P222" i="12"/>
  <c r="P230" i="12"/>
  <c r="Q230" i="12" s="1"/>
  <c r="P262" i="12"/>
  <c r="Q262" i="12" s="1"/>
  <c r="P294" i="12"/>
  <c r="P302" i="12"/>
  <c r="P326" i="12"/>
  <c r="P382" i="12"/>
  <c r="P398" i="12"/>
  <c r="Q398" i="12" s="1"/>
  <c r="P494" i="12"/>
  <c r="P542" i="12"/>
  <c r="P598" i="12"/>
  <c r="P606" i="12"/>
  <c r="P71" i="12"/>
  <c r="P87" i="12"/>
  <c r="P159" i="12"/>
  <c r="P287" i="12"/>
  <c r="P471" i="12"/>
  <c r="Q471" i="12" s="1"/>
  <c r="P479" i="12"/>
  <c r="P495" i="12"/>
  <c r="Q495" i="12" s="1"/>
  <c r="P511" i="12"/>
  <c r="P543" i="12"/>
  <c r="Q543" i="12" s="1"/>
  <c r="P559" i="12"/>
  <c r="P567" i="12"/>
  <c r="P575" i="12"/>
  <c r="P591" i="12"/>
  <c r="Q591" i="12" s="1"/>
  <c r="P29" i="12"/>
  <c r="P61" i="12"/>
  <c r="P69" i="12"/>
  <c r="P93" i="12"/>
  <c r="P117" i="12"/>
  <c r="P165" i="12"/>
  <c r="P197" i="12"/>
  <c r="P213" i="12"/>
  <c r="P221" i="12"/>
  <c r="Q221" i="12" s="1"/>
  <c r="P253" i="12"/>
  <c r="P261" i="12"/>
  <c r="Q261" i="12" s="1"/>
  <c r="P277" i="12"/>
  <c r="P341" i="12"/>
  <c r="Q341" i="12" s="1"/>
  <c r="P365" i="12"/>
  <c r="P373" i="12"/>
  <c r="P381" i="12"/>
  <c r="Q381" i="12" s="1"/>
  <c r="P389" i="12"/>
  <c r="Q389" i="12" s="1"/>
  <c r="P397" i="12"/>
  <c r="Q397" i="12" s="1"/>
  <c r="P461" i="12"/>
  <c r="P469" i="12"/>
  <c r="P477" i="12"/>
  <c r="Q477" i="12" s="1"/>
  <c r="P493" i="12"/>
  <c r="P509" i="12"/>
  <c r="P517" i="12"/>
  <c r="P525" i="12"/>
  <c r="Q525" i="12" s="1"/>
  <c r="P557" i="12"/>
  <c r="Q557" i="12" s="1"/>
  <c r="P565" i="12"/>
  <c r="P597" i="12"/>
  <c r="P605" i="12"/>
  <c r="P613" i="12"/>
  <c r="P30" i="12"/>
  <c r="P38" i="12"/>
  <c r="P78" i="12"/>
  <c r="P86" i="12"/>
  <c r="P94" i="12"/>
  <c r="P110" i="12"/>
  <c r="P214" i="12"/>
  <c r="Q214" i="12" s="1"/>
  <c r="P238" i="12"/>
  <c r="P318" i="12"/>
  <c r="P358" i="12"/>
  <c r="P366" i="12"/>
  <c r="Q366" i="12" s="1"/>
  <c r="P374" i="12"/>
  <c r="P390" i="12"/>
  <c r="P422" i="12"/>
  <c r="Q422" i="12" s="1"/>
  <c r="P470" i="12"/>
  <c r="Q470" i="12" s="1"/>
  <c r="P478" i="12"/>
  <c r="Q478" i="12" s="1"/>
  <c r="P510" i="12"/>
  <c r="P526" i="12"/>
  <c r="Q526" i="12" s="1"/>
  <c r="P558" i="12"/>
  <c r="P566" i="12"/>
  <c r="Q566" i="12" s="1"/>
  <c r="P614" i="12"/>
  <c r="Q614" i="12" s="1"/>
  <c r="P15" i="12"/>
  <c r="P47" i="12"/>
  <c r="P95" i="12"/>
  <c r="P135" i="12"/>
  <c r="P167" i="12"/>
  <c r="P271" i="12"/>
  <c r="P295" i="12"/>
  <c r="Q295" i="12" s="1"/>
  <c r="P343" i="12"/>
  <c r="Q343" i="12" s="1"/>
  <c r="P359" i="12"/>
  <c r="Q359" i="12" s="1"/>
  <c r="P367" i="12"/>
  <c r="Q367" i="12" s="1"/>
  <c r="P375" i="12"/>
  <c r="P383" i="12"/>
  <c r="Q383" i="12" s="1"/>
  <c r="P399" i="12"/>
  <c r="P527" i="12"/>
  <c r="P607" i="12"/>
  <c r="P615" i="12"/>
  <c r="Q615" i="12" s="1"/>
  <c r="AB77" i="12" a="1"/>
  <c r="AB77" i="12" s="1"/>
  <c r="AB76" i="12" a="1"/>
  <c r="AB76" i="12" s="1"/>
  <c r="AB75" i="12" a="1"/>
  <c r="AB75" i="12" s="1"/>
  <c r="AB74" i="12" a="1"/>
  <c r="AB74" i="12" s="1"/>
  <c r="AB73" i="12" a="1"/>
  <c r="AB73" i="12" s="1"/>
  <c r="AB72" i="12" a="1"/>
  <c r="AB72" i="12" s="1"/>
  <c r="AB71" i="12" a="1"/>
  <c r="AB71" i="12" s="1"/>
  <c r="AB70" i="12" a="1"/>
  <c r="AB70" i="12" s="1"/>
  <c r="P16" i="4"/>
  <c r="Q16" i="4" s="1"/>
  <c r="P24" i="4"/>
  <c r="P48" i="4"/>
  <c r="P56" i="4"/>
  <c r="Q56" i="4" s="1"/>
  <c r="P88" i="4"/>
  <c r="P104" i="4"/>
  <c r="P112" i="4"/>
  <c r="P128" i="4"/>
  <c r="P136" i="4"/>
  <c r="P144" i="4"/>
  <c r="P192" i="4"/>
  <c r="Q192" i="4" s="1"/>
  <c r="P224" i="4"/>
  <c r="P256" i="4"/>
  <c r="Q256" i="4" s="1"/>
  <c r="P328" i="4"/>
  <c r="P336" i="4"/>
  <c r="Q336" i="4" s="1"/>
  <c r="P344" i="4"/>
  <c r="P360" i="4"/>
  <c r="P368" i="4"/>
  <c r="P384" i="4"/>
  <c r="Q384" i="4" s="1"/>
  <c r="P400" i="4"/>
  <c r="Q400" i="4" s="1"/>
  <c r="P408" i="4"/>
  <c r="P424" i="4"/>
  <c r="Q424" i="4" s="1"/>
  <c r="P432" i="4"/>
  <c r="P440" i="4"/>
  <c r="P185" i="4"/>
  <c r="P329" i="4"/>
  <c r="Q329" i="4" s="1"/>
  <c r="P337" i="4"/>
  <c r="Q337" i="4" s="1"/>
  <c r="P345" i="4"/>
  <c r="Q345" i="4" s="1"/>
  <c r="P409" i="4"/>
  <c r="P425" i="4"/>
  <c r="Q425" i="4" s="1"/>
  <c r="P433" i="4"/>
  <c r="P441" i="4"/>
  <c r="Q441" i="4" s="1"/>
  <c r="P9" i="4"/>
  <c r="P17" i="4"/>
  <c r="Q17" i="4" s="1"/>
  <c r="P33" i="4"/>
  <c r="Q33" i="4" s="1"/>
  <c r="P65" i="4"/>
  <c r="Q65" i="4" s="1"/>
  <c r="P73" i="4"/>
  <c r="Q73" i="4" s="1"/>
  <c r="P81" i="4"/>
  <c r="Q81" i="4" s="1"/>
  <c r="P89" i="4"/>
  <c r="P97" i="4"/>
  <c r="Q97" i="4" s="1"/>
  <c r="P121" i="4"/>
  <c r="P153" i="4"/>
  <c r="Q153" i="4" s="1"/>
  <c r="P161" i="4"/>
  <c r="Q161" i="4" s="1"/>
  <c r="P177" i="4"/>
  <c r="Q177" i="4" s="1"/>
  <c r="P209" i="4"/>
  <c r="Q209" i="4" s="1"/>
  <c r="P217" i="4"/>
  <c r="Q217" i="4" s="1"/>
  <c r="P249" i="4"/>
  <c r="P257" i="4"/>
  <c r="P313" i="4"/>
  <c r="P369" i="4"/>
  <c r="P385" i="4"/>
  <c r="P393" i="4"/>
  <c r="Q393" i="4" s="1"/>
  <c r="P401" i="4"/>
  <c r="Q401" i="4" s="1"/>
  <c r="P10" i="4"/>
  <c r="Q10" i="4" s="1"/>
  <c r="P18" i="4"/>
  <c r="Q18" i="4" s="1"/>
  <c r="P42" i="4"/>
  <c r="P50" i="4"/>
  <c r="Q50" i="4" s="1"/>
  <c r="P58" i="4"/>
  <c r="P66" i="4"/>
  <c r="P82" i="4"/>
  <c r="P98" i="4"/>
  <c r="P114" i="4"/>
  <c r="P122" i="4"/>
  <c r="P130" i="4"/>
  <c r="P170" i="4"/>
  <c r="P178" i="4"/>
  <c r="P186" i="4"/>
  <c r="Q186" i="4" s="1"/>
  <c r="P194" i="4"/>
  <c r="P226" i="4"/>
  <c r="P234" i="4"/>
  <c r="Q234" i="4" s="1"/>
  <c r="P250" i="4"/>
  <c r="Q250" i="4" s="1"/>
  <c r="P258" i="4"/>
  <c r="P290" i="4"/>
  <c r="Q290" i="4" s="1"/>
  <c r="P314" i="4"/>
  <c r="Q314" i="4" s="1"/>
  <c r="P330" i="4"/>
  <c r="P346" i="4"/>
  <c r="Q346" i="4" s="1"/>
  <c r="P370" i="4"/>
  <c r="Q370" i="4" s="1"/>
  <c r="P386" i="4"/>
  <c r="P394" i="4"/>
  <c r="Q394" i="4" s="1"/>
  <c r="P402" i="4"/>
  <c r="Q402" i="4" s="1"/>
  <c r="P410" i="4"/>
  <c r="P426" i="4"/>
  <c r="P434" i="4"/>
  <c r="P442" i="4"/>
  <c r="Q442" i="4" s="1"/>
  <c r="P27" i="4"/>
  <c r="Q27" i="4" s="1"/>
  <c r="P43" i="4"/>
  <c r="P51" i="4"/>
  <c r="Q51" i="4" s="1"/>
  <c r="P59" i="4"/>
  <c r="P75" i="4"/>
  <c r="P91" i="4"/>
  <c r="Q91" i="4" s="1"/>
  <c r="P115" i="4"/>
  <c r="P139" i="4"/>
  <c r="Q139" i="4" s="1"/>
  <c r="P187" i="4"/>
  <c r="P203" i="4"/>
  <c r="Q203" i="4" s="1"/>
  <c r="P211" i="4"/>
  <c r="Q211" i="4" s="1"/>
  <c r="P227" i="4"/>
  <c r="P243" i="4"/>
  <c r="P251" i="4"/>
  <c r="Q251" i="4" s="1"/>
  <c r="P259" i="4"/>
  <c r="P267" i="4"/>
  <c r="P291" i="4"/>
  <c r="P315" i="4"/>
  <c r="Q315" i="4" s="1"/>
  <c r="P323" i="4"/>
  <c r="Q323" i="4" s="1"/>
  <c r="P331" i="4"/>
  <c r="P347" i="4"/>
  <c r="Q347" i="4" s="1"/>
  <c r="P355" i="4"/>
  <c r="P395" i="4"/>
  <c r="Q395" i="4" s="1"/>
  <c r="P427" i="4"/>
  <c r="P435" i="4"/>
  <c r="P443" i="4"/>
  <c r="Q443" i="4" s="1"/>
  <c r="P439" i="4"/>
  <c r="Q439" i="4" s="1"/>
  <c r="P12" i="4"/>
  <c r="Q12" i="4" s="1"/>
  <c r="P20" i="4"/>
  <c r="P28" i="4"/>
  <c r="Q28" i="4" s="1"/>
  <c r="P76" i="4"/>
  <c r="P84" i="4"/>
  <c r="P92" i="4"/>
  <c r="P124" i="4"/>
  <c r="P140" i="4"/>
  <c r="Q140" i="4" s="1"/>
  <c r="P148" i="4"/>
  <c r="Q148" i="4" s="1"/>
  <c r="P164" i="4"/>
  <c r="P196" i="4"/>
  <c r="P204" i="4"/>
  <c r="P212" i="4"/>
  <c r="P220" i="4"/>
  <c r="P228" i="4"/>
  <c r="Q228" i="4" s="1"/>
  <c r="P244" i="4"/>
  <c r="Q244" i="4" s="1"/>
  <c r="P252" i="4"/>
  <c r="P260" i="4"/>
  <c r="Q260" i="4" s="1"/>
  <c r="P268" i="4"/>
  <c r="P292" i="4"/>
  <c r="Q292" i="4" s="1"/>
  <c r="P316" i="4"/>
  <c r="P324" i="4"/>
  <c r="Q324" i="4" s="1"/>
  <c r="P332" i="4"/>
  <c r="Q332" i="4" s="1"/>
  <c r="P356" i="4"/>
  <c r="P396" i="4"/>
  <c r="Q396" i="4" s="1"/>
  <c r="P436" i="4"/>
  <c r="Q436" i="4" s="1"/>
  <c r="P13" i="4"/>
  <c r="P21" i="4"/>
  <c r="P29" i="4"/>
  <c r="Q29" i="4" s="1"/>
  <c r="P53" i="4"/>
  <c r="Q53" i="4" s="1"/>
  <c r="P85" i="4"/>
  <c r="P101" i="4"/>
  <c r="P117" i="4"/>
  <c r="Q117" i="4" s="1"/>
  <c r="P125" i="4"/>
  <c r="P133" i="4"/>
  <c r="P173" i="4"/>
  <c r="Q173" i="4" s="1"/>
  <c r="P181" i="4"/>
  <c r="Q181" i="4" s="1"/>
  <c r="P197" i="4"/>
  <c r="P221" i="4"/>
  <c r="P237" i="4"/>
  <c r="P245" i="4"/>
  <c r="Q245" i="4" s="1"/>
  <c r="P253" i="4"/>
  <c r="Q253" i="4" s="1"/>
  <c r="P261" i="4"/>
  <c r="Q261" i="4" s="1"/>
  <c r="P269" i="4"/>
  <c r="P293" i="4"/>
  <c r="Q293" i="4" s="1"/>
  <c r="P317" i="4"/>
  <c r="Q317" i="4" s="1"/>
  <c r="P325" i="4"/>
  <c r="P333" i="4"/>
  <c r="Q333" i="4" s="1"/>
  <c r="P349" i="4"/>
  <c r="Q349" i="4" s="1"/>
  <c r="P357" i="4"/>
  <c r="Q357" i="4" s="1"/>
  <c r="P397" i="4"/>
  <c r="Q397" i="4" s="1"/>
  <c r="P421" i="4"/>
  <c r="Q421" i="4" s="1"/>
  <c r="P437" i="4"/>
  <c r="Q437" i="4" s="1"/>
  <c r="P30" i="4"/>
  <c r="Q30" i="4" s="1"/>
  <c r="P38" i="4"/>
  <c r="Q38" i="4" s="1"/>
  <c r="P54" i="4"/>
  <c r="P62" i="4"/>
  <c r="Q62" i="4" s="1"/>
  <c r="P78" i="4"/>
  <c r="Q78" i="4" s="1"/>
  <c r="P102" i="4"/>
  <c r="P110" i="4"/>
  <c r="P118" i="4"/>
  <c r="P126" i="4"/>
  <c r="P134" i="4"/>
  <c r="P142" i="4"/>
  <c r="P150" i="4"/>
  <c r="P158" i="4"/>
  <c r="P174" i="4"/>
  <c r="Q174" i="4" s="1"/>
  <c r="P206" i="4"/>
  <c r="P214" i="4"/>
  <c r="P230" i="4"/>
  <c r="P246" i="4"/>
  <c r="Q246" i="4" s="1"/>
  <c r="P254" i="4"/>
  <c r="P270" i="4"/>
  <c r="P294" i="4"/>
  <c r="P326" i="4"/>
  <c r="Q326" i="4" s="1"/>
  <c r="P334" i="4"/>
  <c r="P358" i="4"/>
  <c r="P366" i="4"/>
  <c r="Q366" i="4" s="1"/>
  <c r="P398" i="4"/>
  <c r="Q398" i="4" s="1"/>
  <c r="P406" i="4"/>
  <c r="Q406" i="4" s="1"/>
  <c r="P422" i="4"/>
  <c r="P438" i="4"/>
  <c r="Q438" i="4" s="1"/>
  <c r="P271" i="4"/>
  <c r="Q271" i="4" s="1"/>
  <c r="P327" i="4"/>
  <c r="P359" i="4"/>
  <c r="Q359" i="4" s="1"/>
  <c r="P399" i="4"/>
  <c r="Q399" i="4" s="1"/>
  <c r="P407" i="4"/>
  <c r="P423" i="4"/>
  <c r="Q423" i="4" s="1"/>
  <c r="P31" i="4"/>
  <c r="Q31" i="4" s="1"/>
  <c r="P63" i="4"/>
  <c r="Q63" i="4" s="1"/>
  <c r="P71" i="4"/>
  <c r="Q71" i="4" s="1"/>
  <c r="P103" i="4"/>
  <c r="P143" i="4"/>
  <c r="Q143" i="4" s="1"/>
  <c r="P151" i="4"/>
  <c r="P159" i="4"/>
  <c r="P167" i="4"/>
  <c r="Q167" i="4" s="1"/>
  <c r="P175" i="4"/>
  <c r="P183" i="4"/>
  <c r="Q183" i="4" s="1"/>
  <c r="P191" i="4"/>
  <c r="P199" i="4"/>
  <c r="P207" i="4"/>
  <c r="P215" i="4"/>
  <c r="P239" i="4"/>
  <c r="Q239" i="4" s="1"/>
  <c r="P247" i="4"/>
  <c r="Q247" i="4" s="1"/>
  <c r="P255" i="4"/>
  <c r="Q255" i="4" s="1"/>
  <c r="P295" i="4"/>
  <c r="P335" i="4"/>
  <c r="Q335" i="4" s="1"/>
  <c r="P367" i="4"/>
  <c r="P383" i="4"/>
  <c r="Q383" i="4" s="1"/>
  <c r="P14" i="16"/>
  <c r="Q14" i="16" s="1"/>
  <c r="P163" i="16"/>
  <c r="Q7" i="16"/>
  <c r="Q398" i="3"/>
  <c r="Q354" i="3"/>
  <c r="Q338" i="3"/>
  <c r="Q461" i="3"/>
  <c r="Q412" i="3"/>
  <c r="Q466" i="3"/>
  <c r="Q565" i="3"/>
  <c r="Q611" i="3"/>
  <c r="Q607" i="3"/>
  <c r="Q625" i="3"/>
  <c r="Q635" i="3"/>
  <c r="Q463" i="3"/>
  <c r="Q476" i="3"/>
  <c r="Q633" i="3"/>
  <c r="Q440" i="3"/>
  <c r="Q360" i="3"/>
  <c r="Q444" i="3"/>
  <c r="Q442" i="3"/>
  <c r="Q427" i="3"/>
  <c r="Q608" i="3"/>
  <c r="Q629" i="3"/>
  <c r="Q668" i="3"/>
  <c r="Q393" i="3"/>
  <c r="Q395" i="3"/>
  <c r="Q451" i="3"/>
  <c r="Q413" i="3"/>
  <c r="Q510" i="3"/>
  <c r="Q587" i="3"/>
  <c r="Q570" i="3"/>
  <c r="Q464" i="3"/>
  <c r="Q452" i="3"/>
  <c r="Q572" i="3"/>
  <c r="Q573" i="3"/>
  <c r="Q549" i="3"/>
  <c r="Q626" i="3"/>
  <c r="Q628" i="3"/>
  <c r="Q456" i="3"/>
  <c r="Q399" i="3"/>
  <c r="Q337" i="3"/>
  <c r="Q465" i="3"/>
  <c r="Q584" i="3"/>
  <c r="Q455" i="3"/>
  <c r="Q414" i="3"/>
  <c r="Q357" i="3"/>
  <c r="Q459" i="3"/>
  <c r="Q462" i="3"/>
  <c r="Q482" i="3"/>
  <c r="Q563" i="3"/>
  <c r="Q669" i="3"/>
  <c r="Q467" i="3"/>
  <c r="Q478" i="3"/>
  <c r="Q605" i="3"/>
  <c r="Q348" i="3"/>
  <c r="AB83" i="3" a="1"/>
  <c r="AB83" i="3" s="1"/>
  <c r="Q226" i="2"/>
  <c r="Q280" i="2"/>
  <c r="Q393" i="2"/>
  <c r="Q243" i="2"/>
  <c r="Q276" i="2"/>
  <c r="Q293" i="2"/>
  <c r="Q349" i="2"/>
  <c r="Q330" i="2"/>
  <c r="Q231" i="2"/>
  <c r="Q277" i="2"/>
  <c r="Q294" i="2"/>
  <c r="Q329" i="2"/>
  <c r="Q373" i="2"/>
  <c r="Q398" i="2"/>
  <c r="Q303" i="2"/>
  <c r="Q273" i="2"/>
  <c r="Q301" i="2"/>
  <c r="Q233" i="2"/>
  <c r="Q271" i="2"/>
  <c r="Q281" i="2"/>
  <c r="Q299" i="2"/>
  <c r="Q340" i="2"/>
  <c r="Q357" i="2"/>
  <c r="Q422" i="2"/>
  <c r="Q282" i="2"/>
  <c r="Q375" i="2"/>
  <c r="Q425" i="2"/>
  <c r="Q270" i="2"/>
  <c r="Q279" i="2"/>
  <c r="Q302" i="2"/>
  <c r="Q331" i="2"/>
  <c r="Q358" i="2"/>
  <c r="Q262" i="2"/>
  <c r="Q238" i="2"/>
  <c r="Q275" i="2"/>
  <c r="Q290" i="2"/>
  <c r="Q309" i="2"/>
  <c r="Q339" i="2"/>
  <c r="Q362" i="2"/>
  <c r="Q421" i="2"/>
  <c r="Q300" i="2"/>
  <c r="Q311" i="2"/>
  <c r="Q372" i="2"/>
  <c r="Q234" i="2"/>
  <c r="Q260" i="2"/>
  <c r="Q364" i="2"/>
  <c r="Q363" i="2"/>
  <c r="Q365" i="2"/>
  <c r="Q392" i="2"/>
  <c r="Q399" i="2"/>
  <c r="Q396" i="2"/>
  <c r="AB39" i="2" a="1"/>
  <c r="AB39" i="2" s="1"/>
  <c r="AB50" i="2" a="1"/>
  <c r="AB50" i="2" s="1"/>
  <c r="Q164" i="11"/>
  <c r="Q157" i="11"/>
  <c r="Q147" i="11"/>
  <c r="Q146" i="11"/>
  <c r="Q166" i="11"/>
  <c r="Q201" i="11"/>
  <c r="Q138" i="11"/>
  <c r="Q156" i="11"/>
  <c r="Q150" i="11"/>
  <c r="Q209" i="11"/>
  <c r="Q200" i="11"/>
  <c r="Q118" i="11"/>
  <c r="Q163" i="11"/>
  <c r="Q188" i="11"/>
  <c r="Q233" i="11"/>
  <c r="Q124" i="6"/>
  <c r="Q162" i="6"/>
  <c r="Q182" i="6"/>
  <c r="Q117" i="6"/>
  <c r="Q147" i="6"/>
  <c r="Q154" i="6"/>
  <c r="Q173" i="6"/>
  <c r="Q123" i="6"/>
  <c r="Q144" i="6"/>
  <c r="Q206" i="6"/>
  <c r="Q119" i="6"/>
  <c r="Q151" i="6"/>
  <c r="Q141" i="6"/>
  <c r="Q212" i="6"/>
  <c r="Q155" i="6"/>
  <c r="Q126" i="6"/>
  <c r="Q145" i="6"/>
  <c r="Q136" i="6"/>
  <c r="Q150" i="6"/>
  <c r="Q200" i="6"/>
  <c r="Q392" i="12"/>
  <c r="Q568" i="12"/>
  <c r="Q393" i="12"/>
  <c r="Q409" i="12"/>
  <c r="Q497" i="12"/>
  <c r="Q617" i="12"/>
  <c r="Q530" i="12"/>
  <c r="Q570" i="12"/>
  <c r="Q618" i="12"/>
  <c r="Q391" i="12"/>
  <c r="Q363" i="12"/>
  <c r="Q395" i="12"/>
  <c r="Q411" i="12"/>
  <c r="Q419" i="12"/>
  <c r="Q499" i="12"/>
  <c r="Q571" i="12"/>
  <c r="Q356" i="12"/>
  <c r="Q364" i="12"/>
  <c r="Q396" i="12"/>
  <c r="Q404" i="12"/>
  <c r="Q532" i="12"/>
  <c r="Q540" i="12"/>
  <c r="Q572" i="12"/>
  <c r="Q588" i="12"/>
  <c r="Q349" i="12"/>
  <c r="Q357" i="12"/>
  <c r="Q445" i="12"/>
  <c r="Q541" i="12"/>
  <c r="Q573" i="12"/>
  <c r="Q589" i="12"/>
  <c r="Q621" i="12"/>
  <c r="Q406" i="12"/>
  <c r="Q590" i="12"/>
  <c r="Q351" i="12"/>
  <c r="Q318" i="4"/>
  <c r="Q445" i="4"/>
  <c r="Q233" i="4"/>
  <c r="Q363" i="4"/>
  <c r="Q404" i="4"/>
  <c r="Q446" i="4"/>
  <c r="Q279" i="4"/>
  <c r="Q275" i="4"/>
  <c r="Q321" i="4"/>
  <c r="Q362" i="4"/>
  <c r="Q264" i="4"/>
  <c r="Q266" i="4"/>
  <c r="Q300" i="4"/>
  <c r="Q352" i="4"/>
  <c r="Q430" i="4"/>
  <c r="Q231" i="4"/>
  <c r="Q388" i="4"/>
  <c r="Q304" i="4"/>
  <c r="Q365" i="4"/>
  <c r="Q342" i="4"/>
  <c r="Q236" i="4"/>
  <c r="Q238" i="4"/>
  <c r="Q332" i="3"/>
  <c r="Q647" i="3"/>
  <c r="Q585" i="3"/>
  <c r="Q351" i="3"/>
  <c r="Q323" i="3"/>
  <c r="Q453" i="3"/>
  <c r="Q419" i="3"/>
  <c r="Q417" i="3"/>
  <c r="Q680" i="3"/>
  <c r="Q676" i="3"/>
  <c r="Q583" i="3"/>
  <c r="Q361" i="3"/>
  <c r="Q525" i="3"/>
  <c r="Q677" i="3"/>
  <c r="Q648" i="3"/>
  <c r="Q454" i="3"/>
  <c r="Q364" i="3"/>
  <c r="Q443" i="3"/>
  <c r="Q527" i="3"/>
  <c r="Q428" i="3"/>
  <c r="Q523" i="3"/>
  <c r="Q550" i="3"/>
  <c r="Q630" i="3"/>
  <c r="Q621" i="3"/>
  <c r="Q505" i="3"/>
  <c r="Q569" i="3"/>
  <c r="Q561" i="3"/>
  <c r="Q301" i="3"/>
  <c r="AB82" i="3" a="1"/>
  <c r="AB82" i="3" s="1"/>
  <c r="AB52" i="2" a="1"/>
  <c r="AB52" i="2" s="1"/>
  <c r="AB51" i="2" a="1"/>
  <c r="AB51" i="2" s="1"/>
  <c r="Q200" i="2"/>
  <c r="Q218" i="2"/>
  <c r="Q261" i="2"/>
  <c r="Q332" i="2"/>
  <c r="Q374" i="2"/>
  <c r="Q394" i="2"/>
  <c r="Q359" i="2"/>
  <c r="Q210" i="2"/>
  <c r="Q297" i="2"/>
  <c r="Q387" i="2"/>
  <c r="Q310" i="2"/>
  <c r="Q288" i="2"/>
  <c r="Q341" i="2"/>
  <c r="Q360" i="2"/>
  <c r="Q385" i="2"/>
  <c r="Q405" i="2"/>
  <c r="Q424" i="2"/>
  <c r="Q217" i="2"/>
  <c r="Q225" i="2"/>
  <c r="Q350" i="2"/>
  <c r="Q371" i="2"/>
  <c r="Q408" i="2"/>
  <c r="Q298" i="2"/>
  <c r="Q423" i="2"/>
  <c r="Q272" i="2"/>
  <c r="Q338" i="2"/>
  <c r="Q391" i="2"/>
  <c r="Q386" i="2"/>
  <c r="Q397" i="2"/>
  <c r="Q161" i="11"/>
  <c r="Q185" i="11"/>
  <c r="Q169" i="11"/>
  <c r="Q217" i="11"/>
  <c r="Q182" i="11"/>
  <c r="Q117" i="11"/>
  <c r="Q162" i="11"/>
  <c r="Q148" i="11"/>
  <c r="Q171" i="11"/>
  <c r="Q196" i="11"/>
  <c r="Q239" i="11"/>
  <c r="Q151" i="11"/>
  <c r="Q155" i="11"/>
  <c r="Q149" i="11"/>
  <c r="Q202" i="11"/>
  <c r="Q114" i="11"/>
  <c r="Q159" i="11"/>
  <c r="Q226" i="11"/>
  <c r="Q187" i="11"/>
  <c r="Q123" i="11"/>
  <c r="Q160" i="11"/>
  <c r="Q165" i="11"/>
  <c r="Q186" i="11"/>
  <c r="Q205" i="11"/>
  <c r="Q228" i="11"/>
  <c r="Q223" i="11"/>
  <c r="Q170" i="11"/>
  <c r="Q119" i="11"/>
  <c r="Q181" i="11"/>
  <c r="Q107" i="6"/>
  <c r="Q158" i="6"/>
  <c r="Q115" i="6"/>
  <c r="Q142" i="6"/>
  <c r="Q113" i="6"/>
  <c r="Q170" i="6"/>
  <c r="Q187" i="6"/>
  <c r="Q149" i="6"/>
  <c r="Q111" i="6"/>
  <c r="Q112" i="6"/>
  <c r="Q152" i="6"/>
  <c r="Q193" i="6"/>
  <c r="AB58" i="12" a="1"/>
  <c r="AB58" i="12" s="1"/>
  <c r="Q325" i="12"/>
  <c r="Q448" i="12"/>
  <c r="Q466" i="12"/>
  <c r="Q602" i="12"/>
  <c r="Q437" i="12"/>
  <c r="Q455" i="12"/>
  <c r="Q340" i="12"/>
  <c r="Q436" i="12"/>
  <c r="Q465" i="12"/>
  <c r="Q534" i="12"/>
  <c r="Q539" i="12"/>
  <c r="Q334" i="12"/>
  <c r="Q453" i="12"/>
  <c r="Q449" i="12"/>
  <c r="Q301" i="12"/>
  <c r="Q446" i="12"/>
  <c r="Q447" i="12"/>
  <c r="Q438" i="12"/>
  <c r="Q467" i="12"/>
  <c r="Q536" i="12"/>
  <c r="Q317" i="12"/>
  <c r="Q440" i="12"/>
  <c r="Q415" i="12"/>
  <c r="Q535" i="12"/>
  <c r="Q582" i="12"/>
  <c r="Q431" i="12"/>
  <c r="AB69" i="12" a="1"/>
  <c r="AB69" i="12" s="1"/>
  <c r="AB68" i="12" a="1"/>
  <c r="AB68" i="12" s="1"/>
  <c r="AB67" i="12" a="1"/>
  <c r="AB67" i="12" s="1"/>
  <c r="AB66" i="12" a="1"/>
  <c r="AB66" i="12" s="1"/>
  <c r="AB59" i="12" a="1"/>
  <c r="AB59" i="12" s="1"/>
  <c r="AB63" i="12" a="1"/>
  <c r="AB63" i="12" s="1"/>
  <c r="AB64" i="12" a="1"/>
  <c r="AB64" i="12" s="1"/>
  <c r="Q296" i="4"/>
  <c r="Q278" i="4"/>
  <c r="Q341" i="4"/>
  <c r="Q389" i="4"/>
  <c r="Q210" i="4"/>
  <c r="Q263" i="4"/>
  <c r="Q274" i="4"/>
  <c r="Q350" i="4"/>
  <c r="Q277" i="4"/>
  <c r="Q287" i="4"/>
  <c r="Q431" i="4"/>
  <c r="Q374" i="4"/>
  <c r="Q302" i="4"/>
  <c r="Q447" i="4"/>
  <c r="Q288" i="4"/>
  <c r="Q320" i="4"/>
  <c r="Q411" i="4"/>
  <c r="Q218" i="4"/>
  <c r="Q273" i="4"/>
  <c r="Q285" i="4"/>
  <c r="Q390" i="4"/>
  <c r="P147" i="16"/>
  <c r="Q147" i="16" s="1"/>
  <c r="Q313" i="3"/>
  <c r="Q318" i="3"/>
  <c r="Q303" i="3"/>
  <c r="Q355" i="3"/>
  <c r="Q394" i="3"/>
  <c r="Q446" i="3"/>
  <c r="Q342" i="3"/>
  <c r="Q392" i="3"/>
  <c r="Q667" i="3"/>
  <c r="Q288" i="3"/>
  <c r="Q284" i="3"/>
  <c r="Q281" i="3"/>
  <c r="Q508" i="3"/>
  <c r="Q295" i="3"/>
  <c r="Q345" i="3"/>
  <c r="Q416" i="3"/>
  <c r="Q670" i="3"/>
  <c r="AB80" i="3" a="1"/>
  <c r="AB80" i="3" s="1"/>
  <c r="AB81" i="3" a="1"/>
  <c r="AB81" i="3" s="1"/>
  <c r="AB79" i="3" a="1"/>
  <c r="AB79" i="3" s="1"/>
  <c r="AB78" i="3" a="1"/>
  <c r="AB78" i="3" s="1"/>
  <c r="Q278" i="2"/>
  <c r="Q361" i="2"/>
  <c r="Q406" i="2"/>
  <c r="AB48" i="2" a="1"/>
  <c r="AB48" i="2" s="1"/>
  <c r="Q291" i="2"/>
  <c r="Q407" i="2"/>
  <c r="Q292" i="2"/>
  <c r="Q184" i="2"/>
  <c r="Q204" i="2"/>
  <c r="Q268" i="2"/>
  <c r="Q196" i="2"/>
  <c r="Q400" i="2"/>
  <c r="Q191" i="2"/>
  <c r="Q230" i="2"/>
  <c r="Q289" i="2"/>
  <c r="Q328" i="2"/>
  <c r="Q198" i="2"/>
  <c r="Q269" i="2"/>
  <c r="Q308" i="2"/>
  <c r="Q222" i="2"/>
  <c r="Q188" i="2"/>
  <c r="Q179" i="2"/>
  <c r="Q211" i="2"/>
  <c r="Q409" i="2"/>
  <c r="AB49" i="2" a="1"/>
  <c r="AB49" i="2" s="1"/>
  <c r="Q104" i="11"/>
  <c r="Q93" i="11"/>
  <c r="Q124" i="11"/>
  <c r="Q219" i="11"/>
  <c r="Q143" i="11"/>
  <c r="Q144" i="11"/>
  <c r="Q158" i="11"/>
  <c r="Q120" i="11"/>
  <c r="Q97" i="11"/>
  <c r="Q137" i="6"/>
  <c r="Q146" i="6"/>
  <c r="Q103" i="6"/>
  <c r="Q127" i="6"/>
  <c r="Q186" i="6"/>
  <c r="Q101" i="6"/>
  <c r="Q211" i="6"/>
  <c r="Q98" i="6"/>
  <c r="Q102" i="6"/>
  <c r="Q97" i="6"/>
  <c r="Q280" i="12"/>
  <c r="Q303" i="12"/>
  <c r="Q328" i="12"/>
  <c r="Q273" i="12"/>
  <c r="Q417" i="12"/>
  <c r="Q339" i="12"/>
  <c r="Q549" i="12"/>
  <c r="Q309" i="12"/>
  <c r="Q433" i="12"/>
  <c r="Q601" i="12"/>
  <c r="Q291" i="12"/>
  <c r="Q299" i="12"/>
  <c r="Q335" i="12"/>
  <c r="Q414" i="12"/>
  <c r="Q429" i="12"/>
  <c r="Q547" i="12"/>
  <c r="Q360" i="12"/>
  <c r="Q413" i="12"/>
  <c r="Q586" i="12"/>
  <c r="Q599" i="12"/>
  <c r="Q285" i="12"/>
  <c r="Q293" i="12"/>
  <c r="Q439" i="12"/>
  <c r="Q452" i="12"/>
  <c r="Q603" i="12"/>
  <c r="Q583" i="12"/>
  <c r="AB62" i="12" a="1"/>
  <c r="AB62" i="12" s="1"/>
  <c r="Q340" i="4"/>
  <c r="Q306" i="4"/>
  <c r="Q189" i="4"/>
  <c r="Q188" i="4"/>
  <c r="Q303" i="4"/>
  <c r="Q429" i="4"/>
  <c r="Q190" i="4"/>
  <c r="Q240" i="4"/>
  <c r="Q311" i="4"/>
  <c r="Q262" i="4"/>
  <c r="Q272" i="4"/>
  <c r="Q193" i="4"/>
  <c r="Q319" i="4"/>
  <c r="Q297" i="4"/>
  <c r="AB76" i="3" a="1"/>
  <c r="AB76" i="3" s="1"/>
  <c r="AB74" i="3" a="1"/>
  <c r="AB74" i="3" s="1"/>
  <c r="AB75" i="3" a="1"/>
  <c r="AB75" i="3" s="1"/>
  <c r="AB77" i="3" a="1"/>
  <c r="AB77" i="3" s="1"/>
  <c r="Q259" i="3"/>
  <c r="Q544" i="3"/>
  <c r="Q545" i="3"/>
  <c r="Q586" i="3"/>
  <c r="Q674" i="3"/>
  <c r="Q275" i="3"/>
  <c r="Q316" i="3"/>
  <c r="Q568" i="3"/>
  <c r="Q606" i="3"/>
  <c r="Q324" i="3"/>
  <c r="Q411" i="3"/>
  <c r="Q645" i="3"/>
  <c r="Q272" i="3"/>
  <c r="Q480" i="3"/>
  <c r="P76" i="16"/>
  <c r="Q76" i="16" s="1"/>
  <c r="P140" i="16"/>
  <c r="Q140" i="16" s="1"/>
  <c r="Q161" i="2"/>
  <c r="Q163" i="2"/>
  <c r="Q239" i="2"/>
  <c r="Q166" i="2"/>
  <c r="Q351" i="2"/>
  <c r="Q94" i="11"/>
  <c r="Q204" i="11"/>
  <c r="Q206" i="11"/>
  <c r="Q218" i="11"/>
  <c r="Q84" i="11"/>
  <c r="Q87" i="11"/>
  <c r="Q232" i="11"/>
  <c r="Q85" i="11"/>
  <c r="Q152" i="11"/>
  <c r="Q145" i="11"/>
  <c r="Q210" i="11"/>
  <c r="Q90" i="11"/>
  <c r="Q157" i="6"/>
  <c r="Q92" i="6"/>
  <c r="Q153" i="6"/>
  <c r="AB61" i="12" a="1"/>
  <c r="AB61" i="12" s="1"/>
  <c r="Q369" i="12"/>
  <c r="Q256" i="12"/>
  <c r="Q581" i="12"/>
  <c r="Q263" i="12"/>
  <c r="Q519" i="12"/>
  <c r="Q235" i="12"/>
  <c r="Q257" i="12"/>
  <c r="Q275" i="12"/>
  <c r="Q252" i="12"/>
  <c r="Q246" i="12"/>
  <c r="Q308" i="4"/>
  <c r="Q242" i="4"/>
  <c r="Q373" i="4"/>
  <c r="Q160" i="4"/>
  <c r="Q169" i="4"/>
  <c r="Q166" i="4"/>
  <c r="Q198" i="4"/>
  <c r="P125" i="16"/>
  <c r="Q125" i="16" s="1"/>
  <c r="P107" i="16"/>
  <c r="Q107" i="16" s="1"/>
  <c r="P113" i="16"/>
  <c r="Q113" i="16" s="1"/>
  <c r="P63" i="16"/>
  <c r="Q63" i="16" s="1"/>
  <c r="P161" i="16"/>
  <c r="Q161" i="16" s="1"/>
  <c r="P159" i="16"/>
  <c r="Q159" i="16" s="1"/>
  <c r="P150" i="16"/>
  <c r="Q150" i="16" s="1"/>
  <c r="P93" i="16"/>
  <c r="Q93" i="16" s="1"/>
  <c r="P96" i="16"/>
  <c r="Q96" i="16" s="1"/>
  <c r="P139" i="16"/>
  <c r="Q139" i="16" s="1"/>
  <c r="P89" i="16"/>
  <c r="Q89" i="16" s="1"/>
  <c r="AB9" i="16" a="1"/>
  <c r="AB9" i="16" s="1"/>
  <c r="AB17" i="16" a="1"/>
  <c r="AB17" i="16" s="1"/>
  <c r="AB10" i="16" a="1"/>
  <c r="AB10" i="16" s="1"/>
  <c r="AB18" i="16" a="1"/>
  <c r="AB18" i="16" s="1"/>
  <c r="AB11" i="16" a="1"/>
  <c r="AB11" i="16" s="1"/>
  <c r="AB12" i="16" a="1"/>
  <c r="AB12" i="16" s="1"/>
  <c r="AB13" i="16" a="1"/>
  <c r="AB13" i="16" s="1"/>
  <c r="AB14" i="16" a="1"/>
  <c r="AB14" i="16" s="1"/>
  <c r="AB15" i="16" a="1"/>
  <c r="AB15" i="16" s="1"/>
  <c r="AB8" i="16" a="1"/>
  <c r="AB8" i="16" s="1"/>
  <c r="AB16" i="16" a="1"/>
  <c r="AB16" i="16" s="1"/>
  <c r="Q268" i="3"/>
  <c r="Q421" i="3"/>
  <c r="Q218" i="3"/>
  <c r="Q264" i="3"/>
  <c r="Q273" i="3"/>
  <c r="Q438" i="3"/>
  <c r="Q205" i="3"/>
  <c r="Q232" i="3"/>
  <c r="Q665" i="3"/>
  <c r="Q209" i="3"/>
  <c r="Q206" i="3"/>
  <c r="Q239" i="3"/>
  <c r="AB73" i="3" a="1"/>
  <c r="AB73" i="3" s="1"/>
  <c r="AB71" i="3" a="1"/>
  <c r="AB71" i="3" s="1"/>
  <c r="AB72" i="3" a="1"/>
  <c r="AB72" i="3" s="1"/>
  <c r="Q164" i="2"/>
  <c r="Q242" i="2"/>
  <c r="Q202" i="2"/>
  <c r="Q176" i="2"/>
  <c r="Q143" i="2"/>
  <c r="Q203" i="2"/>
  <c r="Q192" i="2"/>
  <c r="Q80" i="11"/>
  <c r="Q109" i="11"/>
  <c r="Q101" i="11"/>
  <c r="Q240" i="11"/>
  <c r="Q224" i="11"/>
  <c r="Q77" i="11"/>
  <c r="Q83" i="11"/>
  <c r="Q75" i="11"/>
  <c r="Q203" i="11"/>
  <c r="Q76" i="11"/>
  <c r="Q225" i="11"/>
  <c r="Q110" i="11"/>
  <c r="Q222" i="11"/>
  <c r="Q75" i="6"/>
  <c r="Q74" i="6"/>
  <c r="Q156" i="6"/>
  <c r="Q82" i="6"/>
  <c r="Q204" i="6"/>
  <c r="Q84" i="6"/>
  <c r="Q85" i="6"/>
  <c r="Q76" i="6"/>
  <c r="Q190" i="6"/>
  <c r="AB60" i="12" a="1"/>
  <c r="AB60" i="12" s="1"/>
  <c r="P36" i="16"/>
  <c r="Q36" i="16" s="1"/>
  <c r="P61" i="16"/>
  <c r="Q61" i="16" s="1"/>
  <c r="P50" i="16"/>
  <c r="Q50" i="16" s="1"/>
  <c r="P58" i="16"/>
  <c r="Q58" i="16" s="1"/>
  <c r="P48" i="16"/>
  <c r="Q48" i="16" s="1"/>
  <c r="P31" i="16"/>
  <c r="Q31" i="16" s="1"/>
  <c r="P45" i="16"/>
  <c r="Q45" i="16" s="1"/>
  <c r="P29" i="16"/>
  <c r="Q29" i="16" s="1"/>
  <c r="P40" i="16"/>
  <c r="Q40" i="16" s="1"/>
  <c r="AB67" i="3" a="1"/>
  <c r="AB67" i="3" s="1"/>
  <c r="Q21" i="11"/>
  <c r="Q55" i="11"/>
  <c r="Q42" i="11"/>
  <c r="Q27" i="11"/>
  <c r="AB56" i="12" a="1"/>
  <c r="AB56" i="12" s="1"/>
  <c r="AB57" i="12" a="1"/>
  <c r="AB57" i="12" s="1"/>
  <c r="AB47" i="2" a="1"/>
  <c r="AB47" i="2" s="1"/>
  <c r="AB45" i="2" a="1"/>
  <c r="AB45" i="2" s="1"/>
  <c r="AB46" i="2" a="1"/>
  <c r="AB46" i="2" s="1"/>
  <c r="AB68" i="3" a="1"/>
  <c r="AB68" i="3" s="1"/>
  <c r="AB69" i="3" a="1"/>
  <c r="AB69" i="3" s="1"/>
  <c r="P94" i="16"/>
  <c r="Q94" i="16" s="1"/>
  <c r="P131" i="16"/>
  <c r="Q131" i="16" s="1"/>
  <c r="P160" i="16"/>
  <c r="Q160" i="16" s="1"/>
  <c r="P119" i="16"/>
  <c r="Q119" i="16" s="1"/>
  <c r="P120" i="16"/>
  <c r="Q120" i="16" s="1"/>
  <c r="P100" i="16"/>
  <c r="Q100" i="16" s="1"/>
  <c r="P144" i="16"/>
  <c r="Q144" i="16" s="1"/>
  <c r="P82" i="16"/>
  <c r="Q82" i="16" s="1"/>
  <c r="P83" i="16"/>
  <c r="Q83" i="16" s="1"/>
  <c r="P88" i="16"/>
  <c r="Q88" i="16" s="1"/>
  <c r="P124" i="16"/>
  <c r="Q124" i="16" s="1"/>
  <c r="Q112" i="3"/>
  <c r="Q9" i="3"/>
  <c r="Q18" i="3"/>
  <c r="Q26" i="3"/>
  <c r="Q98" i="3"/>
  <c r="Q106" i="3"/>
  <c r="Q184" i="3"/>
  <c r="Q276" i="3"/>
  <c r="Q11" i="3"/>
  <c r="Q107" i="3"/>
  <c r="Q181" i="3"/>
  <c r="Q285" i="3"/>
  <c r="Q21" i="3"/>
  <c r="Q117" i="3"/>
  <c r="Q116" i="3"/>
  <c r="Q208" i="3"/>
  <c r="Q224" i="3"/>
  <c r="Q234" i="3"/>
  <c r="Q521" i="3"/>
  <c r="Q31" i="3"/>
  <c r="Q678" i="3"/>
  <c r="Q30" i="3"/>
  <c r="Q203" i="3"/>
  <c r="AB56" i="3" a="1"/>
  <c r="AB56" i="3" s="1"/>
  <c r="AB66" i="3" a="1"/>
  <c r="AB66" i="3" s="1"/>
  <c r="AB55" i="3" a="1"/>
  <c r="AB55" i="3" s="1"/>
  <c r="AB50" i="3" a="1"/>
  <c r="AB50" i="3" s="1"/>
  <c r="AB54" i="3" a="1"/>
  <c r="AB54" i="3" s="1"/>
  <c r="AB46" i="3" a="1"/>
  <c r="AB46" i="3" s="1"/>
  <c r="AB51" i="3" a="1"/>
  <c r="AB51" i="3" s="1"/>
  <c r="AB65" i="3" a="1"/>
  <c r="AB65" i="3" s="1"/>
  <c r="Q24" i="2"/>
  <c r="Q146" i="2"/>
  <c r="Q155" i="2"/>
  <c r="Q160" i="2"/>
  <c r="Q201" i="2"/>
  <c r="Q296" i="2"/>
  <c r="Q65" i="2"/>
  <c r="Q141" i="2"/>
  <c r="Q170" i="2"/>
  <c r="Q246" i="2"/>
  <c r="Q214" i="2"/>
  <c r="Q66" i="2"/>
  <c r="Q172" i="2"/>
  <c r="Q190" i="2"/>
  <c r="Q11" i="2"/>
  <c r="Q147" i="2"/>
  <c r="Q119" i="2"/>
  <c r="Q153" i="2"/>
  <c r="Q295" i="2"/>
  <c r="Q152" i="2"/>
  <c r="Q158" i="2"/>
  <c r="Q236" i="2"/>
  <c r="Q12" i="2"/>
  <c r="Q187" i="2"/>
  <c r="Q224" i="2"/>
  <c r="Q159" i="2"/>
  <c r="Q13" i="2"/>
  <c r="Q154" i="2"/>
  <c r="Q194" i="2"/>
  <c r="Q151" i="2"/>
  <c r="Q71" i="2"/>
  <c r="Q79" i="2"/>
  <c r="Q131" i="2"/>
  <c r="Q307" i="2"/>
  <c r="Q40" i="11"/>
  <c r="Q69" i="11"/>
  <c r="Q10" i="11"/>
  <c r="Q26" i="11"/>
  <c r="Q34" i="11"/>
  <c r="Q58" i="11"/>
  <c r="Q65" i="11"/>
  <c r="Q66" i="11"/>
  <c r="Q51" i="11"/>
  <c r="Q44" i="11"/>
  <c r="Q60" i="11"/>
  <c r="Q37" i="11"/>
  <c r="Q139" i="11"/>
  <c r="Q30" i="11"/>
  <c r="Q46" i="11"/>
  <c r="Q62" i="11"/>
  <c r="Q227" i="11"/>
  <c r="Q8" i="6"/>
  <c r="Q41" i="6"/>
  <c r="Q11" i="6"/>
  <c r="Q70" i="6"/>
  <c r="Q72" i="6"/>
  <c r="Q36" i="6"/>
  <c r="Q86" i="6"/>
  <c r="Q78" i="6"/>
  <c r="Q38" i="6"/>
  <c r="Q119" i="4"/>
  <c r="Q14" i="4"/>
  <c r="AB54" i="12" a="1"/>
  <c r="AB54" i="12" s="1"/>
  <c r="AB53" i="12" a="1"/>
  <c r="AB53" i="12" s="1"/>
  <c r="P87" i="16"/>
  <c r="Q87" i="16" s="1"/>
  <c r="P65" i="16"/>
  <c r="Q65" i="16" s="1"/>
  <c r="P129" i="16"/>
  <c r="Q129" i="16" s="1"/>
  <c r="P75" i="16"/>
  <c r="Q75" i="16" s="1"/>
  <c r="P64" i="16"/>
  <c r="Q64" i="16" s="1"/>
  <c r="P162" i="16"/>
  <c r="Q162" i="16" s="1"/>
  <c r="P135" i="16"/>
  <c r="Q135" i="16" s="1"/>
  <c r="P103" i="16"/>
  <c r="Q103" i="16" s="1"/>
  <c r="P52" i="16"/>
  <c r="Q52" i="16" s="1"/>
  <c r="P152" i="16"/>
  <c r="Q152" i="16" s="1"/>
  <c r="P122" i="16"/>
  <c r="Q122" i="16" s="1"/>
  <c r="P98" i="16"/>
  <c r="Q98" i="16" s="1"/>
  <c r="P73" i="16"/>
  <c r="Q73" i="16" s="1"/>
  <c r="P69" i="16"/>
  <c r="Q69" i="16" s="1"/>
  <c r="P156" i="16"/>
  <c r="Q156" i="16" s="1"/>
  <c r="P56" i="16"/>
  <c r="Q56" i="16" s="1"/>
  <c r="P142" i="16"/>
  <c r="Q142" i="16" s="1"/>
  <c r="P130" i="16"/>
  <c r="Q130" i="16" s="1"/>
  <c r="P62" i="16"/>
  <c r="Q62" i="16" s="1"/>
  <c r="P138" i="16"/>
  <c r="Q138" i="16" s="1"/>
  <c r="P84" i="16"/>
  <c r="Q84" i="16" s="1"/>
  <c r="P80" i="16"/>
  <c r="Q80" i="16" s="1"/>
  <c r="P146" i="16"/>
  <c r="Q146" i="16" s="1"/>
  <c r="P115" i="16"/>
  <c r="Q115" i="16" s="1"/>
  <c r="P112" i="16"/>
  <c r="Q112" i="16" s="1"/>
  <c r="P67" i="16"/>
  <c r="Q67" i="16" s="1"/>
  <c r="Q157" i="3"/>
  <c r="Q159" i="3"/>
  <c r="Q167" i="3"/>
  <c r="Q146" i="3"/>
  <c r="Q176" i="3"/>
  <c r="Q155" i="3"/>
  <c r="Q171" i="3"/>
  <c r="AB60" i="3" a="1"/>
  <c r="AB60" i="3" s="1"/>
  <c r="AB63" i="3" a="1"/>
  <c r="AB63" i="3" s="1"/>
  <c r="AB44" i="3" a="1"/>
  <c r="AB44" i="3" s="1"/>
  <c r="AB62" i="3" a="1"/>
  <c r="AB62" i="3" s="1"/>
  <c r="AB48" i="3" a="1"/>
  <c r="AB48" i="3" s="1"/>
  <c r="AB59" i="3" a="1"/>
  <c r="AB59" i="3" s="1"/>
  <c r="AB52" i="3" a="1"/>
  <c r="AB52" i="3" s="1"/>
  <c r="AB57" i="3" a="1"/>
  <c r="AB57" i="3" s="1"/>
  <c r="AB47" i="3" a="1"/>
  <c r="AB47" i="3" s="1"/>
  <c r="AB40" i="2" a="1"/>
  <c r="AB40" i="2" s="1"/>
  <c r="AB41" i="2" a="1"/>
  <c r="AB41" i="2" s="1"/>
  <c r="AB44" i="2" a="1"/>
  <c r="AB44" i="2" s="1"/>
  <c r="Q99" i="2"/>
  <c r="Q127" i="2"/>
  <c r="Q117" i="2"/>
  <c r="Q103" i="2"/>
  <c r="Q123" i="2"/>
  <c r="Q107" i="2"/>
  <c r="Q109" i="2"/>
  <c r="Q137" i="2"/>
  <c r="Q130" i="2"/>
  <c r="Q115" i="2"/>
  <c r="Q167" i="2"/>
  <c r="AB42" i="2" a="1"/>
  <c r="AB42" i="2" s="1"/>
  <c r="AB43" i="2" a="1"/>
  <c r="AB43" i="2" s="1"/>
  <c r="Q73" i="11"/>
  <c r="Q68" i="11"/>
  <c r="Q63" i="11"/>
  <c r="Q195" i="11"/>
  <c r="Q108" i="11"/>
  <c r="Q103" i="11"/>
  <c r="Q100" i="11"/>
  <c r="Q67" i="6"/>
  <c r="Q60" i="6"/>
  <c r="AB44" i="12" a="1"/>
  <c r="AB44" i="12" s="1"/>
  <c r="AB55" i="12" a="1"/>
  <c r="AB55" i="12" s="1"/>
  <c r="AB21" i="12" a="1"/>
  <c r="AB21" i="12" s="1"/>
  <c r="AB49" i="12" a="1"/>
  <c r="AB49" i="12" s="1"/>
  <c r="AB27" i="12" a="1"/>
  <c r="AB27" i="12" s="1"/>
  <c r="AB35" i="12" a="1"/>
  <c r="AB35" i="12" s="1"/>
  <c r="AB40" i="12" a="1"/>
  <c r="AB40" i="12" s="1"/>
  <c r="AB50" i="12" a="1"/>
  <c r="AB50" i="12" s="1"/>
  <c r="AB8" i="12" a="1"/>
  <c r="AB8" i="12" s="1"/>
  <c r="AB29" i="12" a="1"/>
  <c r="AB29" i="12" s="1"/>
  <c r="AB46" i="12" a="1"/>
  <c r="AB46" i="12" s="1"/>
  <c r="AB51" i="12" a="1"/>
  <c r="AB51" i="12" s="1"/>
  <c r="AB9" i="12" a="1"/>
  <c r="AB9" i="12" s="1"/>
  <c r="AB42" i="12" a="1"/>
  <c r="AB42" i="12" s="1"/>
  <c r="AB19" i="12" a="1"/>
  <c r="AB19" i="12" s="1"/>
  <c r="AB48" i="12" a="1"/>
  <c r="AB48" i="12" s="1"/>
  <c r="AB10" i="12" a="1"/>
  <c r="AB10" i="12" s="1"/>
  <c r="AB38" i="12" a="1"/>
  <c r="AB38" i="12" s="1"/>
  <c r="AB52" i="12" a="1"/>
  <c r="AB52" i="12" s="1"/>
  <c r="P134" i="16"/>
  <c r="Q134" i="16" s="1"/>
  <c r="P145" i="16"/>
  <c r="Q145" i="16" s="1"/>
  <c r="P118" i="16"/>
  <c r="Q118" i="16" s="1"/>
  <c r="P132" i="16"/>
  <c r="Q132" i="16" s="1"/>
  <c r="P104" i="16"/>
  <c r="Q104" i="16" s="1"/>
  <c r="P49" i="16"/>
  <c r="Q49" i="16" s="1"/>
  <c r="P154" i="16"/>
  <c r="Q154" i="16" s="1"/>
  <c r="P37" i="16"/>
  <c r="Q37" i="16" s="1"/>
  <c r="P86" i="16"/>
  <c r="Q86" i="16" s="1"/>
  <c r="P133" i="16"/>
  <c r="Q133" i="16" s="1"/>
  <c r="P121" i="16"/>
  <c r="Q121" i="16" s="1"/>
  <c r="P78" i="16"/>
  <c r="Q78" i="16" s="1"/>
  <c r="P21" i="16"/>
  <c r="Q21" i="16" s="1"/>
  <c r="P157" i="16"/>
  <c r="P151" i="16"/>
  <c r="P141" i="16"/>
  <c r="P126" i="16"/>
  <c r="P123" i="16"/>
  <c r="P116" i="16"/>
  <c r="P91" i="16"/>
  <c r="P90" i="16"/>
  <c r="P70" i="16"/>
  <c r="P46" i="16"/>
  <c r="P28" i="16"/>
  <c r="Q25" i="16"/>
  <c r="Q17" i="16"/>
  <c r="P136" i="16"/>
  <c r="P117" i="16"/>
  <c r="P114" i="16"/>
  <c r="P102" i="16"/>
  <c r="P85" i="16"/>
  <c r="P77" i="16"/>
  <c r="P79" i="16"/>
  <c r="P51" i="16"/>
  <c r="P43" i="16"/>
  <c r="P27" i="16"/>
  <c r="P19" i="16"/>
  <c r="P11" i="16"/>
  <c r="Q24" i="16"/>
  <c r="Q8" i="16"/>
  <c r="P158" i="16"/>
  <c r="P153" i="16"/>
  <c r="P143" i="16"/>
  <c r="P95" i="16"/>
  <c r="P55" i="16"/>
  <c r="P53" i="16"/>
  <c r="P42" i="16"/>
  <c r="P34" i="16"/>
  <c r="P18" i="16"/>
  <c r="P10" i="16"/>
  <c r="P155" i="16"/>
  <c r="P149" i="16"/>
  <c r="P148" i="16"/>
  <c r="P137" i="16"/>
  <c r="P106" i="16"/>
  <c r="P97" i="16"/>
  <c r="P71" i="16"/>
  <c r="P57" i="16"/>
  <c r="P41" i="16"/>
  <c r="P33" i="16"/>
  <c r="P9" i="16"/>
  <c r="P128" i="16"/>
  <c r="P110" i="16"/>
  <c r="P109" i="16"/>
  <c r="P81" i="16"/>
  <c r="P66" i="16"/>
  <c r="P54" i="16"/>
  <c r="P32" i="16"/>
  <c r="P16" i="16"/>
  <c r="P101" i="16"/>
  <c r="P99" i="16"/>
  <c r="P68" i="16"/>
  <c r="P60" i="16"/>
  <c r="P59" i="16"/>
  <c r="P127" i="16"/>
  <c r="P111" i="16"/>
  <c r="P92" i="16"/>
  <c r="P74" i="16"/>
  <c r="P72" i="16"/>
  <c r="P38" i="16"/>
  <c r="P22" i="16"/>
  <c r="AA7" i="16"/>
  <c r="Q150" i="3"/>
  <c r="Q148" i="3"/>
  <c r="AB64" i="3" a="1"/>
  <c r="AB64" i="3" s="1"/>
  <c r="Q126" i="3"/>
  <c r="Q142" i="3"/>
  <c r="Q141" i="3"/>
  <c r="Q222" i="3"/>
  <c r="Q149" i="3"/>
  <c r="AB45" i="3" a="1"/>
  <c r="AB45" i="3" s="1"/>
  <c r="AB49" i="3" a="1"/>
  <c r="AB49" i="3" s="1"/>
  <c r="AB53" i="3" a="1"/>
  <c r="AB53" i="3" s="1"/>
  <c r="AB61" i="3" a="1"/>
  <c r="AB61" i="3" s="1"/>
  <c r="Q330" i="3"/>
  <c r="AB58" i="3" a="1"/>
  <c r="AB58" i="3" s="1"/>
  <c r="AB33" i="3" a="1"/>
  <c r="AB33" i="3" s="1"/>
  <c r="AB25" i="3" a="1"/>
  <c r="AB25" i="3" s="1"/>
  <c r="AB16" i="3" a="1"/>
  <c r="AB16" i="3" s="1"/>
  <c r="AB8" i="3" a="1"/>
  <c r="AB8" i="3" s="1"/>
  <c r="AA7" i="3"/>
  <c r="AB28" i="3" a="1"/>
  <c r="AB28" i="3" s="1"/>
  <c r="AB20" i="3" a="1"/>
  <c r="AB20" i="3" s="1"/>
  <c r="AB36" i="3" a="1"/>
  <c r="AB36" i="3" s="1"/>
  <c r="AB37" i="3" a="1"/>
  <c r="AB37" i="3" s="1"/>
  <c r="AB29" i="3" a="1"/>
  <c r="AB29" i="3" s="1"/>
  <c r="AB21" i="3" a="1"/>
  <c r="AB21" i="3" s="1"/>
  <c r="AB18" i="3" a="1"/>
  <c r="AB18" i="3" s="1"/>
  <c r="AB42" i="3" a="1"/>
  <c r="AB42" i="3" s="1"/>
  <c r="AB35" i="3" a="1"/>
  <c r="AB35" i="3" s="1"/>
  <c r="AB14" i="3" a="1"/>
  <c r="AB14" i="3" s="1"/>
  <c r="AB39" i="3" a="1"/>
  <c r="AB39" i="3" s="1"/>
  <c r="AB40" i="3" a="1"/>
  <c r="AB40" i="3" s="1"/>
  <c r="AB43" i="3" a="1"/>
  <c r="AB43" i="3" s="1"/>
  <c r="AB13" i="3" a="1"/>
  <c r="AB13" i="3" s="1"/>
  <c r="AB19" i="3" a="1"/>
  <c r="AB19" i="3" s="1"/>
  <c r="AB9" i="3" a="1"/>
  <c r="AB9" i="3" s="1"/>
  <c r="AB34" i="3" a="1"/>
  <c r="AB34" i="3" s="1"/>
  <c r="AB38" i="3" a="1"/>
  <c r="AB38" i="3" s="1"/>
  <c r="AB22" i="3" a="1"/>
  <c r="AB22" i="3" s="1"/>
  <c r="AB12" i="3" a="1"/>
  <c r="AB12" i="3" s="1"/>
  <c r="AB23" i="3" a="1"/>
  <c r="AB23" i="3" s="1"/>
  <c r="AB24" i="3" a="1"/>
  <c r="AB24" i="3" s="1"/>
  <c r="AB30" i="3" a="1"/>
  <c r="AB30" i="3" s="1"/>
  <c r="AB31" i="3" a="1"/>
  <c r="AB31" i="3" s="1"/>
  <c r="AB32" i="3" a="1"/>
  <c r="AB32" i="3" s="1"/>
  <c r="AB41" i="3" a="1"/>
  <c r="AB41" i="3" s="1"/>
  <c r="AB11" i="3" a="1"/>
  <c r="AB11" i="3" s="1"/>
  <c r="AB15" i="3" a="1"/>
  <c r="AB15" i="3" s="1"/>
  <c r="AB26" i="3" a="1"/>
  <c r="AB26" i="3" s="1"/>
  <c r="AB17" i="3" a="1"/>
  <c r="AB17" i="3" s="1"/>
  <c r="AB10" i="3" a="1"/>
  <c r="AB10" i="3" s="1"/>
  <c r="AB27" i="3" a="1"/>
  <c r="AB27" i="3" s="1"/>
  <c r="AB8" i="11" a="1"/>
  <c r="AB8" i="11" s="1"/>
  <c r="AB56" i="11" a="1"/>
  <c r="AB56" i="11" s="1"/>
  <c r="AB48" i="11" a="1"/>
  <c r="AB48" i="11" s="1"/>
  <c r="AB50" i="11" a="1"/>
  <c r="AB50" i="11" s="1"/>
  <c r="AB45" i="11" a="1"/>
  <c r="AB45" i="11" s="1"/>
  <c r="AB52" i="11" a="1"/>
  <c r="AB52" i="11" s="1"/>
  <c r="AB54" i="11" a="1"/>
  <c r="AB54" i="11" s="1"/>
  <c r="AB59" i="11" a="1"/>
  <c r="AB59" i="11" s="1"/>
  <c r="AB51" i="11" a="1"/>
  <c r="AB51" i="11" s="1"/>
  <c r="AB58" i="11" a="1"/>
  <c r="AB58" i="11" s="1"/>
  <c r="AB57" i="11" a="1"/>
  <c r="AB57" i="11" s="1"/>
  <c r="AB49" i="11" a="1"/>
  <c r="AB49" i="11" s="1"/>
  <c r="AB44" i="11" a="1"/>
  <c r="AB44" i="11" s="1"/>
  <c r="AB53" i="11" a="1"/>
  <c r="AB53" i="11" s="1"/>
  <c r="AB46" i="11" a="1"/>
  <c r="AB46" i="11" s="1"/>
  <c r="AB47" i="11" a="1"/>
  <c r="AB47" i="11" s="1"/>
  <c r="AB55" i="11" a="1"/>
  <c r="AB55" i="11" s="1"/>
  <c r="AB10" i="11" a="1"/>
  <c r="AB10" i="11" s="1"/>
  <c r="AB23" i="11" a="1"/>
  <c r="AB23" i="11" s="1"/>
  <c r="AB24" i="11" a="1"/>
  <c r="AB24" i="11" s="1"/>
  <c r="AB28" i="11" a="1"/>
  <c r="AB28" i="11" s="1"/>
  <c r="AB31" i="11" a="1"/>
  <c r="AB31" i="11" s="1"/>
  <c r="AB17" i="11" a="1"/>
  <c r="AB17" i="11" s="1"/>
  <c r="AB21" i="11" a="1"/>
  <c r="AB21" i="11" s="1"/>
  <c r="AB29" i="11" a="1"/>
  <c r="AB29" i="11" s="1"/>
  <c r="AB37" i="11" a="1"/>
  <c r="AB37" i="11" s="1"/>
  <c r="AB13" i="11" a="1"/>
  <c r="AB13" i="11" s="1"/>
  <c r="AB20" i="11" a="1"/>
  <c r="AB20" i="11" s="1"/>
  <c r="AB32" i="11" a="1"/>
  <c r="AB32" i="11" s="1"/>
  <c r="AB36" i="11" a="1"/>
  <c r="AB36" i="11" s="1"/>
  <c r="AB9" i="11" a="1"/>
  <c r="AB9" i="11" s="1"/>
  <c r="AA7" i="11"/>
  <c r="AB12" i="11" a="1"/>
  <c r="AB12" i="11" s="1"/>
  <c r="AB43" i="11" a="1"/>
  <c r="AB43" i="11" s="1"/>
  <c r="AB35" i="11" a="1"/>
  <c r="AB35" i="11" s="1"/>
  <c r="AB27" i="11" a="1"/>
  <c r="AB27" i="11" s="1"/>
  <c r="AB19" i="11" a="1"/>
  <c r="AB19" i="11" s="1"/>
  <c r="AB14" i="11" a="1"/>
  <c r="AB14" i="11" s="1"/>
  <c r="AB38" i="11" a="1"/>
  <c r="AB38" i="11" s="1"/>
  <c r="AB30" i="11" a="1"/>
  <c r="AB30" i="11" s="1"/>
  <c r="AB22" i="11" a="1"/>
  <c r="AB22" i="11" s="1"/>
  <c r="AB15" i="11" a="1"/>
  <c r="AB15" i="11" s="1"/>
  <c r="AB41" i="11" a="1"/>
  <c r="AB41" i="11" s="1"/>
  <c r="AB33" i="11" a="1"/>
  <c r="AB33" i="11" s="1"/>
  <c r="AB25" i="11" a="1"/>
  <c r="AB25" i="11" s="1"/>
  <c r="AB16" i="11" a="1"/>
  <c r="AB16" i="11" s="1"/>
  <c r="AB42" i="11" a="1"/>
  <c r="AB42" i="11" s="1"/>
  <c r="AB34" i="11" a="1"/>
  <c r="AB34" i="11" s="1"/>
  <c r="AB26" i="11" a="1"/>
  <c r="AB26" i="11" s="1"/>
  <c r="AB11" i="11" a="1"/>
  <c r="AB11" i="11" s="1"/>
  <c r="AB18" i="11" a="1"/>
  <c r="AB18" i="11" s="1"/>
  <c r="AB39" i="11" a="1"/>
  <c r="AB39" i="11" s="1"/>
  <c r="AB40" i="11" a="1"/>
  <c r="AB40" i="11" s="1"/>
  <c r="Q138" i="2"/>
  <c r="Q106" i="2"/>
  <c r="Q116" i="2"/>
  <c r="Q124" i="2"/>
  <c r="Q114" i="2"/>
  <c r="Q98" i="2"/>
  <c r="Q129" i="2"/>
  <c r="AB30" i="2" a="1"/>
  <c r="AB30" i="2" s="1"/>
  <c r="AB26" i="2" a="1"/>
  <c r="AB26" i="2" s="1"/>
  <c r="AB19" i="2" a="1"/>
  <c r="AB19" i="2" s="1"/>
  <c r="AB37" i="2" a="1"/>
  <c r="AB37" i="2" s="1"/>
  <c r="AB15" i="2" a="1"/>
  <c r="AB15" i="2" s="1"/>
  <c r="AB35" i="2" a="1"/>
  <c r="AB35" i="2" s="1"/>
  <c r="AB29" i="2" a="1"/>
  <c r="AB29" i="2" s="1"/>
  <c r="AB12" i="2" a="1"/>
  <c r="AB12" i="2" s="1"/>
  <c r="AB34" i="2" a="1"/>
  <c r="AB34" i="2" s="1"/>
  <c r="AB38" i="2" a="1"/>
  <c r="AB38" i="2" s="1"/>
  <c r="AB36" i="2" a="1"/>
  <c r="AB36" i="2" s="1"/>
  <c r="AB27" i="2" a="1"/>
  <c r="AB27" i="2" s="1"/>
  <c r="AB31" i="2" a="1"/>
  <c r="AB31" i="2" s="1"/>
  <c r="AB28" i="2" a="1"/>
  <c r="AB28" i="2" s="1"/>
  <c r="AB32" i="2" a="1"/>
  <c r="AB32" i="2" s="1"/>
  <c r="AB18" i="2" a="1"/>
  <c r="AB18" i="2" s="1"/>
  <c r="AB33" i="2" a="1"/>
  <c r="AB33" i="2" s="1"/>
  <c r="AB22" i="2" a="1"/>
  <c r="AB22" i="2" s="1"/>
  <c r="AB14" i="2" a="1"/>
  <c r="AB14" i="2" s="1"/>
  <c r="AB9" i="2" a="1"/>
  <c r="AB9" i="2" s="1"/>
  <c r="AB20" i="2" a="1"/>
  <c r="AB20" i="2" s="1"/>
  <c r="AA7" i="2"/>
  <c r="AB8" i="2" a="1"/>
  <c r="AB8" i="2" s="1"/>
  <c r="AB16" i="2" a="1"/>
  <c r="AB16" i="2" s="1"/>
  <c r="AB13" i="2" a="1"/>
  <c r="AB13" i="2" s="1"/>
  <c r="AB25" i="2" a="1"/>
  <c r="AB25" i="2" s="1"/>
  <c r="AB23" i="2" a="1"/>
  <c r="AB23" i="2" s="1"/>
  <c r="AB11" i="2" a="1"/>
  <c r="AB11" i="2" s="1"/>
  <c r="AB10" i="2" a="1"/>
  <c r="AB10" i="2" s="1"/>
  <c r="AB17" i="2" a="1"/>
  <c r="AB17" i="2" s="1"/>
  <c r="AB21" i="2" a="1"/>
  <c r="AB21" i="2" s="1"/>
  <c r="AB24" i="2" a="1"/>
  <c r="AB24" i="2" s="1"/>
  <c r="Q89" i="6"/>
  <c r="Q56" i="6"/>
  <c r="Q62" i="6"/>
  <c r="Q48" i="6"/>
  <c r="Q59" i="6"/>
  <c r="Q100" i="6"/>
  <c r="Q57" i="6"/>
  <c r="AA7" i="12"/>
  <c r="AB12" i="12" a="1"/>
  <c r="AB12" i="12" s="1"/>
  <c r="AB14" i="12" a="1"/>
  <c r="AB14" i="12" s="1"/>
  <c r="AB18" i="12" a="1"/>
  <c r="AB18" i="12" s="1"/>
  <c r="AB24" i="12" a="1"/>
  <c r="AB24" i="12" s="1"/>
  <c r="AB30" i="12" a="1"/>
  <c r="AB30" i="12" s="1"/>
  <c r="AB34" i="12" a="1"/>
  <c r="AB34" i="12" s="1"/>
  <c r="AB20" i="12" a="1"/>
  <c r="AB20" i="12" s="1"/>
  <c r="AB41" i="12" a="1"/>
  <c r="AB41" i="12" s="1"/>
  <c r="AB45" i="12" a="1"/>
  <c r="AB45" i="12" s="1"/>
  <c r="AB16" i="12" a="1"/>
  <c r="AB16" i="12" s="1"/>
  <c r="AB23" i="12" a="1"/>
  <c r="AB23" i="12" s="1"/>
  <c r="AB26" i="12" a="1"/>
  <c r="AB26" i="12" s="1"/>
  <c r="AB33" i="12" a="1"/>
  <c r="AB33" i="12" s="1"/>
  <c r="AB37" i="12" a="1"/>
  <c r="AB37" i="12" s="1"/>
  <c r="AB31" i="12" a="1"/>
  <c r="AB31" i="12" s="1"/>
  <c r="AB43" i="12" a="1"/>
  <c r="AB43" i="12" s="1"/>
  <c r="AB39" i="12" a="1"/>
  <c r="AB39" i="12" s="1"/>
  <c r="AB28" i="12" a="1"/>
  <c r="AB28" i="12" s="1"/>
  <c r="AB25" i="12" a="1"/>
  <c r="AB25" i="12" s="1"/>
  <c r="AB17" i="12" a="1"/>
  <c r="AB17" i="12" s="1"/>
  <c r="AB15" i="12" a="1"/>
  <c r="AB15" i="12" s="1"/>
  <c r="AB47" i="12" a="1"/>
  <c r="AB47" i="12" s="1"/>
  <c r="AB36" i="12" a="1"/>
  <c r="AB36" i="12" s="1"/>
  <c r="AB32" i="12" a="1"/>
  <c r="AB32" i="12" s="1"/>
  <c r="AB22" i="12" a="1"/>
  <c r="AB22" i="12" s="1"/>
  <c r="AB13" i="12" a="1"/>
  <c r="AB13" i="12" s="1"/>
  <c r="AB11" i="12" a="1"/>
  <c r="AB11" i="12" s="1"/>
  <c r="AB56" i="6" a="1"/>
  <c r="AB56" i="6" s="1"/>
  <c r="AB62" i="6" a="1"/>
  <c r="AB62" i="6" s="1"/>
  <c r="AB55" i="6" a="1"/>
  <c r="AB55" i="6" s="1"/>
  <c r="AB48" i="6" a="1"/>
  <c r="AB48" i="6" s="1"/>
  <c r="AB20" i="6" a="1"/>
  <c r="AB20" i="6" s="1"/>
  <c r="AB50" i="6" a="1"/>
  <c r="AB50" i="6" s="1"/>
  <c r="AB49" i="6" a="1"/>
  <c r="AB49" i="6" s="1"/>
  <c r="AB57" i="6" a="1"/>
  <c r="AB57" i="6" s="1"/>
  <c r="AB51" i="6" a="1"/>
  <c r="AB51" i="6" s="1"/>
  <c r="AB58" i="6" a="1"/>
  <c r="AB58" i="6" s="1"/>
  <c r="AB59" i="6" a="1"/>
  <c r="AB59" i="6" s="1"/>
  <c r="AB53" i="6" a="1"/>
  <c r="AB53" i="6" s="1"/>
  <c r="AB60" i="6" a="1"/>
  <c r="AB60" i="6" s="1"/>
  <c r="AB52" i="6" a="1"/>
  <c r="AB52" i="6" s="1"/>
  <c r="AB36" i="6" a="1"/>
  <c r="AB36" i="6" s="1"/>
  <c r="AB54" i="6" a="1"/>
  <c r="AB54" i="6" s="1"/>
  <c r="AB61" i="6" a="1"/>
  <c r="AB61" i="6" s="1"/>
  <c r="AB33" i="6" a="1"/>
  <c r="AB33" i="6" s="1"/>
  <c r="AB8" i="6" a="1"/>
  <c r="AB8" i="6" s="1"/>
  <c r="AA7" i="6"/>
  <c r="AB40" i="6" a="1"/>
  <c r="AB40" i="6" s="1"/>
  <c r="AB32" i="6" a="1"/>
  <c r="AB32" i="6" s="1"/>
  <c r="AB24" i="6" a="1"/>
  <c r="AB24" i="6" s="1"/>
  <c r="AB13" i="6" a="1"/>
  <c r="AB13" i="6" s="1"/>
  <c r="AB43" i="6" a="1"/>
  <c r="AB43" i="6" s="1"/>
  <c r="AB35" i="6" a="1"/>
  <c r="AB35" i="6" s="1"/>
  <c r="AB22" i="6" a="1"/>
  <c r="AB22" i="6" s="1"/>
  <c r="AB39" i="6" a="1"/>
  <c r="AB39" i="6" s="1"/>
  <c r="AB46" i="6" a="1"/>
  <c r="AB46" i="6" s="1"/>
  <c r="AB12" i="6" a="1"/>
  <c r="AB12" i="6" s="1"/>
  <c r="AB17" i="6" a="1"/>
  <c r="AB17" i="6" s="1"/>
  <c r="AB30" i="6" a="1"/>
  <c r="AB30" i="6" s="1"/>
  <c r="AB37" i="6" a="1"/>
  <c r="AB37" i="6" s="1"/>
  <c r="AB27" i="6" a="1"/>
  <c r="AB27" i="6" s="1"/>
  <c r="AB47" i="6" a="1"/>
  <c r="AB47" i="6" s="1"/>
  <c r="AB11" i="6" a="1"/>
  <c r="AB11" i="6" s="1"/>
  <c r="AB16" i="6" a="1"/>
  <c r="AB16" i="6" s="1"/>
  <c r="AB21" i="6" a="1"/>
  <c r="AB21" i="6" s="1"/>
  <c r="AB25" i="6" a="1"/>
  <c r="AB25" i="6" s="1"/>
  <c r="AB34" i="6" a="1"/>
  <c r="AB34" i="6" s="1"/>
  <c r="AB41" i="6" a="1"/>
  <c r="AB41" i="6" s="1"/>
  <c r="AB44" i="6" a="1"/>
  <c r="AB44" i="6" s="1"/>
  <c r="AB15" i="6" a="1"/>
  <c r="AB15" i="6" s="1"/>
  <c r="AB19" i="6" a="1"/>
  <c r="AB19" i="6" s="1"/>
  <c r="AB23" i="6" a="1"/>
  <c r="AB23" i="6" s="1"/>
  <c r="AB31" i="6" a="1"/>
  <c r="AB31" i="6" s="1"/>
  <c r="AB38" i="6" a="1"/>
  <c r="AB38" i="6" s="1"/>
  <c r="AB45" i="6" a="1"/>
  <c r="AB45" i="6" s="1"/>
  <c r="AB10" i="6" a="1"/>
  <c r="AB10" i="6" s="1"/>
  <c r="AB28" i="6" a="1"/>
  <c r="AB28" i="6" s="1"/>
  <c r="AB9" i="6" a="1"/>
  <c r="AB9" i="6" s="1"/>
  <c r="AB14" i="6" a="1"/>
  <c r="AB14" i="6" s="1"/>
  <c r="AB18" i="6" a="1"/>
  <c r="AB18" i="6" s="1"/>
  <c r="AB26" i="6" a="1"/>
  <c r="AB26" i="6" s="1"/>
  <c r="AB29" i="6" a="1"/>
  <c r="AB29" i="6" s="1"/>
  <c r="AB42" i="6" a="1"/>
  <c r="AB42" i="6" s="1"/>
  <c r="Q87" i="4"/>
  <c r="Q96" i="4"/>
  <c r="Q116" i="4"/>
  <c r="Q83" i="4"/>
  <c r="Q111" i="4"/>
  <c r="AB89" i="4" a="1"/>
  <c r="AB89" i="4" s="1"/>
  <c r="AB77" i="4" a="1"/>
  <c r="AB77" i="4" s="1"/>
  <c r="AB65" i="4" a="1"/>
  <c r="AB65" i="4" s="1"/>
  <c r="AB42" i="4" a="1"/>
  <c r="AB42" i="4" s="1"/>
  <c r="AB37" i="4" a="1"/>
  <c r="AB37" i="4" s="1"/>
  <c r="AB29" i="4" a="1"/>
  <c r="AB29" i="4" s="1"/>
  <c r="AB15" i="4" a="1"/>
  <c r="AB15" i="4" s="1"/>
  <c r="AB79" i="4" a="1"/>
  <c r="AB79" i="4" s="1"/>
  <c r="AB43" i="4" a="1"/>
  <c r="AB43" i="4" s="1"/>
  <c r="AB88" i="4" a="1"/>
  <c r="AB88" i="4" s="1"/>
  <c r="AB82" i="4" a="1"/>
  <c r="AB82" i="4" s="1"/>
  <c r="AB76" i="4" a="1"/>
  <c r="AB76" i="4" s="1"/>
  <c r="AB71" i="4" a="1"/>
  <c r="AB71" i="4" s="1"/>
  <c r="AB45" i="4" a="1"/>
  <c r="AB45" i="4" s="1"/>
  <c r="AB87" i="4" a="1"/>
  <c r="AB87" i="4" s="1"/>
  <c r="AB81" i="4" a="1"/>
  <c r="AB81" i="4" s="1"/>
  <c r="AB75" i="4" a="1"/>
  <c r="AB75" i="4" s="1"/>
  <c r="AB70" i="4" a="1"/>
  <c r="AB70" i="4" s="1"/>
  <c r="AB64" i="4" a="1"/>
  <c r="AB64" i="4" s="1"/>
  <c r="AB55" i="4" a="1"/>
  <c r="AB55" i="4" s="1"/>
  <c r="AB18" i="4" a="1"/>
  <c r="AB18" i="4" s="1"/>
  <c r="AB14" i="4" a="1"/>
  <c r="AB14" i="4" s="1"/>
  <c r="AB85" i="4" a="1"/>
  <c r="AB85" i="4" s="1"/>
  <c r="AB61" i="4" a="1"/>
  <c r="AB61" i="4" s="1"/>
  <c r="AB30" i="4" a="1"/>
  <c r="AB30" i="4" s="1"/>
  <c r="AB22" i="4" a="1"/>
  <c r="AB22" i="4" s="1"/>
  <c r="AB84" i="4" a="1"/>
  <c r="AB84" i="4" s="1"/>
  <c r="AB38" i="4" a="1"/>
  <c r="AB38" i="4" s="1"/>
  <c r="AB34" i="4" a="1"/>
  <c r="AB34" i="4" s="1"/>
  <c r="AB86" i="4" a="1"/>
  <c r="AB86" i="4" s="1"/>
  <c r="AB74" i="4" a="1"/>
  <c r="AB74" i="4" s="1"/>
  <c r="AB69" i="4" a="1"/>
  <c r="AB69" i="4" s="1"/>
  <c r="AB63" i="4" a="1"/>
  <c r="AB63" i="4" s="1"/>
  <c r="AB53" i="4" a="1"/>
  <c r="AB53" i="4" s="1"/>
  <c r="AB91" i="4" a="1"/>
  <c r="AB91" i="4" s="1"/>
  <c r="AB73" i="4" a="1"/>
  <c r="AB73" i="4" s="1"/>
  <c r="AB67" i="4" a="1"/>
  <c r="AB67" i="4" s="1"/>
  <c r="AB47" i="4" a="1"/>
  <c r="AB47" i="4" s="1"/>
  <c r="AB27" i="4" a="1"/>
  <c r="AB27" i="4" s="1"/>
  <c r="AB78" i="4" a="1"/>
  <c r="AB78" i="4" s="1"/>
  <c r="AB12" i="4" a="1"/>
  <c r="AB12" i="4" s="1"/>
  <c r="AB80" i="4" a="1"/>
  <c r="AB80" i="4" s="1"/>
  <c r="AB68" i="4" a="1"/>
  <c r="AB68" i="4" s="1"/>
  <c r="AB62" i="4" a="1"/>
  <c r="AB62" i="4" s="1"/>
  <c r="AB39" i="4" a="1"/>
  <c r="AB39" i="4" s="1"/>
  <c r="AB35" i="4" a="1"/>
  <c r="AB35" i="4" s="1"/>
  <c r="AB17" i="4" a="1"/>
  <c r="AB17" i="4" s="1"/>
  <c r="AB90" i="4" a="1"/>
  <c r="AB90" i="4" s="1"/>
  <c r="AB83" i="4" a="1"/>
  <c r="AB83" i="4" s="1"/>
  <c r="AB72" i="4" a="1"/>
  <c r="AB72" i="4" s="1"/>
  <c r="AB66" i="4" a="1"/>
  <c r="AB66" i="4" s="1"/>
  <c r="AB46" i="4" a="1"/>
  <c r="AB46" i="4" s="1"/>
  <c r="AB26" i="4" a="1"/>
  <c r="AB26" i="4" s="1"/>
  <c r="AB21" i="4" a="1"/>
  <c r="AB21" i="4" s="1"/>
  <c r="AB56" i="4" a="1"/>
  <c r="AB56" i="4" s="1"/>
  <c r="AB23" i="4" a="1"/>
  <c r="AB23" i="4" s="1"/>
  <c r="AB19" i="4" a="1"/>
  <c r="AB19" i="4" s="1"/>
  <c r="AB11" i="4" a="1"/>
  <c r="AB11" i="4" s="1"/>
  <c r="AB31" i="4" a="1"/>
  <c r="AB31" i="4" s="1"/>
  <c r="AB58" i="4" a="1"/>
  <c r="AB58" i="4" s="1"/>
  <c r="AB10" i="4" a="1"/>
  <c r="AB10" i="4" s="1"/>
  <c r="AB50" i="4" a="1"/>
  <c r="AB50" i="4" s="1"/>
  <c r="AB54" i="4" a="1"/>
  <c r="AB54" i="4" s="1"/>
  <c r="Q11" i="4"/>
  <c r="Q25" i="4"/>
  <c r="Q26" i="4"/>
  <c r="Q41" i="4"/>
  <c r="Q15" i="4"/>
  <c r="AB9" i="4" a="1"/>
  <c r="AB9" i="4" s="1"/>
  <c r="AB20" i="4" a="1"/>
  <c r="AB20" i="4" s="1"/>
  <c r="AB28" i="4" a="1"/>
  <c r="AB28" i="4" s="1"/>
  <c r="Q35" i="4"/>
  <c r="AB36" i="4" a="1"/>
  <c r="AB36" i="4" s="1"/>
  <c r="AB44" i="4" a="1"/>
  <c r="AB44" i="4" s="1"/>
  <c r="AB52" i="4" a="1"/>
  <c r="AB52" i="4" s="1"/>
  <c r="AB60" i="4" a="1"/>
  <c r="AB60" i="4" s="1"/>
  <c r="AA7" i="4"/>
  <c r="AB8" i="4" a="1"/>
  <c r="AB8" i="4" s="1"/>
  <c r="AB16" i="4" a="1"/>
  <c r="AB16" i="4" s="1"/>
  <c r="AB25" i="4" a="1"/>
  <c r="AB25" i="4" s="1"/>
  <c r="AB33" i="4" a="1"/>
  <c r="AB33" i="4" s="1"/>
  <c r="AB41" i="4" a="1"/>
  <c r="AB41" i="4" s="1"/>
  <c r="AB49" i="4" a="1"/>
  <c r="AB49" i="4" s="1"/>
  <c r="AB57" i="4" a="1"/>
  <c r="AB57" i="4" s="1"/>
  <c r="Q69" i="4"/>
  <c r="AB51" i="4" a="1"/>
  <c r="AB51" i="4" s="1"/>
  <c r="AB59" i="4" a="1"/>
  <c r="AB59" i="4" s="1"/>
  <c r="Q106" i="4"/>
  <c r="AB13" i="4" a="1"/>
  <c r="AB13" i="4" s="1"/>
  <c r="AB24" i="4" a="1"/>
  <c r="AB24" i="4" s="1"/>
  <c r="AB32" i="4" a="1"/>
  <c r="AB32" i="4" s="1"/>
  <c r="AB40" i="4" a="1"/>
  <c r="AB40" i="4" s="1"/>
  <c r="AB48" i="4" a="1"/>
  <c r="AB48" i="4" s="1"/>
  <c r="O1080" i="14"/>
  <c r="O1077" i="14"/>
  <c r="O1002" i="14"/>
  <c r="O987" i="14"/>
  <c r="O977" i="14"/>
  <c r="O1236" i="14"/>
  <c r="O1241" i="14"/>
  <c r="O1128" i="14"/>
  <c r="O984" i="14"/>
  <c r="O1021" i="14"/>
  <c r="O1190" i="14"/>
  <c r="O1214" i="14"/>
  <c r="O1219" i="14"/>
  <c r="O1210" i="14"/>
  <c r="O1094" i="14"/>
  <c r="O1126" i="14"/>
  <c r="O1197" i="14"/>
  <c r="O1251" i="14"/>
  <c r="O1115" i="14"/>
  <c r="O1147" i="14"/>
  <c r="O1113" i="14"/>
  <c r="O1176" i="14"/>
  <c r="O1228" i="14"/>
  <c r="O1222" i="14"/>
  <c r="O978" i="14"/>
  <c r="O1014" i="14"/>
  <c r="O1006" i="14"/>
  <c r="O1058" i="14"/>
  <c r="O1207" i="14"/>
  <c r="O1211" i="14"/>
  <c r="O1233" i="14"/>
  <c r="O1179" i="14"/>
  <c r="O1213" i="14"/>
  <c r="O1120" i="14"/>
  <c r="O1100" i="14"/>
  <c r="O1066" i="14"/>
  <c r="O969" i="14"/>
  <c r="O973" i="14"/>
  <c r="O1004" i="14"/>
  <c r="O980" i="14"/>
  <c r="O1138" i="14"/>
  <c r="O1054" i="14"/>
  <c r="O1431" i="14"/>
  <c r="O1394" i="14"/>
  <c r="O1321" i="14"/>
  <c r="O1306" i="14"/>
  <c r="O1310" i="14"/>
  <c r="O1030" i="14"/>
  <c r="O964" i="14"/>
  <c r="O996" i="14"/>
  <c r="O879" i="14"/>
  <c r="O1274" i="14"/>
  <c r="O1294" i="14"/>
  <c r="O1293" i="14"/>
  <c r="O1258" i="14"/>
  <c r="O1322" i="14"/>
  <c r="O1290" i="14"/>
  <c r="O911" i="14"/>
  <c r="O1396" i="14"/>
  <c r="O1371" i="14"/>
  <c r="O1368" i="14"/>
  <c r="O1365" i="14"/>
  <c r="O1340" i="14"/>
  <c r="O1350" i="14"/>
  <c r="O1269" i="14"/>
  <c r="O1262" i="14"/>
  <c r="O1341" i="14"/>
  <c r="O1335" i="14"/>
  <c r="O1087" i="14"/>
  <c r="O971" i="14"/>
  <c r="O1026" i="14"/>
  <c r="O1049" i="14"/>
  <c r="O965" i="14"/>
  <c r="O1353" i="14"/>
  <c r="O1408" i="14"/>
  <c r="O1410" i="14"/>
  <c r="O1419" i="14"/>
  <c r="O1265" i="14"/>
  <c r="O1346" i="14"/>
  <c r="O1287" i="14"/>
  <c r="O1348" i="14"/>
  <c r="O1270" i="14"/>
  <c r="O1297" i="14"/>
  <c r="O1259" i="14"/>
  <c r="O1316" i="14"/>
  <c r="O1325" i="14"/>
  <c r="O1364" i="14"/>
  <c r="O1402" i="14"/>
  <c r="O1301" i="14"/>
  <c r="O1317" i="14"/>
  <c r="O1261" i="14"/>
  <c r="O1263" i="14"/>
  <c r="O1264" i="14"/>
  <c r="O1291" i="14"/>
  <c r="O1328" i="14"/>
  <c r="O1309" i="14"/>
  <c r="O1326" i="14"/>
  <c r="O1331" i="14"/>
  <c r="O1272" i="14"/>
  <c r="O1254" i="14"/>
  <c r="O1255" i="14"/>
  <c r="O1347" i="14"/>
  <c r="O1377" i="14"/>
  <c r="O1361" i="14"/>
  <c r="O1445" i="14"/>
  <c r="O1397" i="14"/>
  <c r="O1314" i="14"/>
  <c r="O1292" i="14"/>
  <c r="O1018" i="14"/>
  <c r="O1182" i="14"/>
  <c r="O1249" i="14"/>
  <c r="O1212" i="14"/>
  <c r="O1133" i="14"/>
  <c r="O1071" i="14"/>
  <c r="O1033" i="14"/>
  <c r="O1003" i="14"/>
  <c r="O1048" i="14"/>
  <c r="O961" i="14"/>
  <c r="O975" i="14"/>
  <c r="O1252" i="14"/>
  <c r="O1186" i="14"/>
  <c r="O1244" i="14"/>
  <c r="O1060" i="14"/>
  <c r="O1171" i="14"/>
  <c r="O1174" i="14"/>
  <c r="O1124" i="14"/>
  <c r="O1153" i="14"/>
  <c r="O1183" i="14"/>
  <c r="O1145" i="14"/>
  <c r="O968" i="14"/>
  <c r="O983" i="14"/>
  <c r="O1064" i="14"/>
  <c r="O1177" i="14"/>
  <c r="O1062" i="14"/>
  <c r="O1250" i="14"/>
  <c r="O1079" i="14"/>
  <c r="O1016" i="14"/>
  <c r="O1040" i="14"/>
  <c r="O1223" i="14"/>
  <c r="O1134" i="14"/>
  <c r="N1142" i="13"/>
  <c r="N1354" i="13"/>
  <c r="N1396" i="13"/>
  <c r="N1307" i="13"/>
  <c r="N1195" i="13"/>
  <c r="N1189" i="13"/>
  <c r="N1132" i="13"/>
  <c r="N1299" i="13"/>
  <c r="N1387" i="13"/>
  <c r="N1372" i="13"/>
  <c r="N1269" i="13"/>
  <c r="N1327" i="13"/>
  <c r="N1329" i="13"/>
  <c r="N1220" i="13"/>
  <c r="N1162" i="13"/>
  <c r="N1158" i="13"/>
  <c r="N1227" i="13"/>
  <c r="N1398" i="13"/>
  <c r="N1378" i="13"/>
  <c r="N1363" i="13"/>
  <c r="N1393" i="13"/>
  <c r="N1265" i="13"/>
  <c r="N1151" i="13"/>
  <c r="N1133" i="13"/>
  <c r="N1280" i="13"/>
  <c r="W29" i="17"/>
  <c r="V29" i="17"/>
  <c r="W28" i="17"/>
  <c r="V28" i="17"/>
  <c r="W27" i="17"/>
  <c r="V27" i="17"/>
  <c r="W26" i="17"/>
  <c r="V26" i="17"/>
  <c r="W25" i="17"/>
  <c r="V25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11" i="17"/>
  <c r="F9" i="17"/>
  <c r="F7" i="17"/>
  <c r="F8" i="17"/>
  <c r="F12" i="17"/>
  <c r="F14" i="17"/>
  <c r="F6" i="17"/>
  <c r="F15" i="17"/>
  <c r="F11" i="17"/>
  <c r="F10" i="17"/>
  <c r="F5" i="17"/>
  <c r="F13" i="17"/>
  <c r="D9" i="17"/>
  <c r="D7" i="17"/>
  <c r="D8" i="17"/>
  <c r="D12" i="17"/>
  <c r="D14" i="17"/>
  <c r="D6" i="17"/>
  <c r="D15" i="17"/>
  <c r="D11" i="17"/>
  <c r="D10" i="17"/>
  <c r="D5" i="17"/>
  <c r="D13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6" i="17"/>
  <c r="W24" i="17"/>
  <c r="V24" i="17"/>
  <c r="W23" i="17"/>
  <c r="V23" i="17"/>
  <c r="W22" i="17"/>
  <c r="V22" i="17"/>
  <c r="W21" i="17"/>
  <c r="V21" i="17"/>
  <c r="O8" i="14"/>
  <c r="O11" i="14"/>
  <c r="O12" i="14"/>
  <c r="O14" i="14"/>
  <c r="O15" i="14"/>
  <c r="O18" i="14"/>
  <c r="O19" i="14"/>
  <c r="O20" i="14"/>
  <c r="O21" i="14"/>
  <c r="O22" i="14"/>
  <c r="O24" i="14"/>
  <c r="O25" i="14"/>
  <c r="O26" i="14"/>
  <c r="O27" i="14"/>
  <c r="O28" i="14"/>
  <c r="O33" i="14"/>
  <c r="O34" i="14"/>
  <c r="O35" i="14"/>
  <c r="O36" i="14"/>
  <c r="O38" i="14"/>
  <c r="O41" i="14"/>
  <c r="O43" i="14"/>
  <c r="O44" i="14"/>
  <c r="O46" i="14"/>
  <c r="O52" i="14"/>
  <c r="O54" i="14"/>
  <c r="O55" i="14"/>
  <c r="O56" i="14"/>
  <c r="O59" i="14"/>
  <c r="O60" i="14"/>
  <c r="O62" i="14"/>
  <c r="O64" i="14"/>
  <c r="O66" i="14"/>
  <c r="O70" i="14"/>
  <c r="O71" i="14"/>
  <c r="O81" i="14"/>
  <c r="O87" i="14"/>
  <c r="O88" i="14"/>
  <c r="O98" i="14"/>
  <c r="O99" i="14"/>
  <c r="O101" i="14"/>
  <c r="O103" i="14"/>
  <c r="O106" i="14"/>
  <c r="O108" i="14"/>
  <c r="O109" i="14"/>
  <c r="O127" i="14"/>
  <c r="O128" i="14"/>
  <c r="O129" i="14"/>
  <c r="O133" i="14"/>
  <c r="O179" i="14"/>
  <c r="O163" i="14"/>
  <c r="O159" i="14"/>
  <c r="O162" i="14"/>
  <c r="O152" i="14"/>
  <c r="O150" i="14"/>
  <c r="O180" i="14"/>
  <c r="O187" i="14"/>
  <c r="O185" i="14"/>
  <c r="O214" i="14"/>
  <c r="O280" i="14"/>
  <c r="O266" i="14"/>
  <c r="O275" i="14"/>
  <c r="O245" i="14"/>
  <c r="O228" i="14"/>
  <c r="O367" i="14"/>
  <c r="O365" i="14"/>
  <c r="O340" i="14"/>
  <c r="O361" i="14"/>
  <c r="O411" i="14"/>
  <c r="O420" i="14"/>
  <c r="O426" i="14"/>
  <c r="O517" i="14"/>
  <c r="O512" i="14"/>
  <c r="O406" i="14"/>
  <c r="O400" i="14"/>
  <c r="O413" i="14"/>
  <c r="O459" i="14"/>
  <c r="O435" i="14"/>
  <c r="O378" i="14"/>
  <c r="O520" i="14"/>
  <c r="O397" i="14"/>
  <c r="O490" i="14"/>
  <c r="O481" i="14"/>
  <c r="O644" i="14"/>
  <c r="O612" i="14"/>
  <c r="O510" i="14"/>
  <c r="O515" i="14"/>
  <c r="O493" i="14"/>
  <c r="O525" i="14"/>
  <c r="O567" i="14"/>
  <c r="O662" i="14"/>
  <c r="O650" i="14"/>
  <c r="O488" i="14"/>
  <c r="O711" i="14"/>
  <c r="O605" i="14"/>
  <c r="O594" i="14"/>
  <c r="O641" i="14"/>
  <c r="O624" i="14"/>
  <c r="O742" i="14"/>
  <c r="O716" i="14"/>
  <c r="O739" i="14"/>
  <c r="O660" i="14"/>
  <c r="O684" i="14"/>
  <c r="O661" i="14"/>
  <c r="O653" i="14"/>
  <c r="O683" i="14"/>
  <c r="O669" i="14"/>
  <c r="O639" i="14"/>
  <c r="O854" i="14"/>
  <c r="O728" i="14"/>
  <c r="O760" i="14"/>
  <c r="O781" i="14"/>
  <c r="O801" i="14"/>
  <c r="O774" i="14"/>
  <c r="O847" i="14"/>
  <c r="O792" i="14"/>
  <c r="O775" i="14"/>
  <c r="O799" i="14"/>
  <c r="O857" i="14"/>
  <c r="O783" i="14"/>
  <c r="O794" i="14"/>
  <c r="O771" i="14"/>
  <c r="O767" i="14"/>
  <c r="O844" i="14"/>
  <c r="O769" i="14"/>
  <c r="O782" i="14"/>
  <c r="O772" i="14"/>
  <c r="O803" i="14"/>
  <c r="O788" i="14"/>
  <c r="O886" i="14"/>
  <c r="O932" i="14"/>
  <c r="O900" i="14"/>
  <c r="O893" i="14"/>
  <c r="O948" i="14"/>
  <c r="O926" i="14"/>
  <c r="O1015" i="14"/>
  <c r="O863" i="14"/>
  <c r="O934" i="14"/>
  <c r="B3" i="14"/>
  <c r="C122" i="14"/>
  <c r="C103" i="14"/>
  <c r="C119" i="14"/>
  <c r="C126" i="14"/>
  <c r="C101" i="14"/>
  <c r="B3" i="13"/>
  <c r="Y120" i="13" a="1"/>
  <c r="Y120" i="13" s="1"/>
  <c r="Y121" i="13" a="1"/>
  <c r="Y121" i="13" s="1"/>
  <c r="Y122" i="13" a="1"/>
  <c r="Y122" i="13" s="1"/>
  <c r="Y123" i="13" a="1"/>
  <c r="Y123" i="13" s="1"/>
  <c r="Y124" i="13" a="1"/>
  <c r="Y124" i="13" s="1"/>
  <c r="Y125" i="13" a="1"/>
  <c r="Y125" i="13" s="1"/>
  <c r="Y126" i="13" a="1"/>
  <c r="Y126" i="13" s="1"/>
  <c r="Y127" i="13" a="1"/>
  <c r="Y127" i="13" s="1"/>
  <c r="Y128" i="13" a="1"/>
  <c r="Y128" i="13" s="1"/>
  <c r="Y129" i="13" a="1"/>
  <c r="Y129" i="13" s="1"/>
  <c r="Y130" i="13" a="1"/>
  <c r="Y130" i="13" s="1"/>
  <c r="Y131" i="13" a="1"/>
  <c r="Y131" i="13" s="1"/>
  <c r="Y132" i="13" a="1"/>
  <c r="Y132" i="13" s="1"/>
  <c r="Y133" i="13" a="1"/>
  <c r="Y133" i="13" s="1"/>
  <c r="Y134" i="13" a="1"/>
  <c r="Y134" i="13" s="1"/>
  <c r="Y135" i="13" a="1"/>
  <c r="Y135" i="13" s="1"/>
  <c r="Y136" i="13" a="1"/>
  <c r="Y136" i="13" s="1"/>
  <c r="Y137" i="13" a="1"/>
  <c r="Y137" i="13" s="1"/>
  <c r="Y138" i="13" a="1"/>
  <c r="Y138" i="13" s="1"/>
  <c r="Y139" i="13" a="1"/>
  <c r="Y139" i="13" s="1"/>
  <c r="Y140" i="13" a="1"/>
  <c r="Y140" i="13" s="1"/>
  <c r="Y141" i="13" a="1"/>
  <c r="Y141" i="13" s="1"/>
  <c r="Y142" i="13" a="1"/>
  <c r="Y142" i="13" s="1"/>
  <c r="Y143" i="13" a="1"/>
  <c r="Y143" i="13" s="1"/>
  <c r="Y144" i="13" a="1"/>
  <c r="Y144" i="13" s="1"/>
  <c r="Y145" i="13" a="1"/>
  <c r="Y145" i="13" s="1"/>
  <c r="Y146" i="13" a="1"/>
  <c r="Y146" i="13" s="1"/>
  <c r="Y147" i="13" a="1"/>
  <c r="Y147" i="13" s="1"/>
  <c r="Y148" i="13" a="1"/>
  <c r="Y148" i="13" s="1"/>
  <c r="Y149" i="13" a="1"/>
  <c r="Y149" i="13" s="1"/>
  <c r="Y150" i="13" a="1"/>
  <c r="Y150" i="13" s="1"/>
  <c r="Y151" i="13" a="1"/>
  <c r="Y151" i="13" s="1"/>
  <c r="Y152" i="13" a="1"/>
  <c r="Y152" i="13" s="1"/>
  <c r="Y153" i="13" a="1"/>
  <c r="Y153" i="13" s="1"/>
  <c r="Y154" i="13" a="1"/>
  <c r="Y154" i="13" s="1"/>
  <c r="Y155" i="13" a="1"/>
  <c r="Y155" i="13" s="1"/>
  <c r="Y156" i="13" a="1"/>
  <c r="Y156" i="13" s="1"/>
  <c r="Y157" i="13" a="1"/>
  <c r="Y157" i="13" s="1"/>
  <c r="Y158" i="13" a="1"/>
  <c r="Y158" i="13" s="1"/>
  <c r="Y159" i="13" a="1"/>
  <c r="Y159" i="13" s="1"/>
  <c r="Y160" i="13" a="1"/>
  <c r="Y160" i="13" s="1"/>
  <c r="Y161" i="13" a="1"/>
  <c r="Y161" i="13" s="1"/>
  <c r="Y162" i="13" a="1"/>
  <c r="Y162" i="13" s="1"/>
  <c r="Y163" i="13" a="1"/>
  <c r="Y163" i="13" s="1"/>
  <c r="Y164" i="13" a="1"/>
  <c r="Y164" i="13" s="1"/>
  <c r="Y165" i="13" a="1"/>
  <c r="Y165" i="13" s="1"/>
  <c r="Y166" i="13" a="1"/>
  <c r="Y166" i="13" s="1"/>
  <c r="Y167" i="13" a="1"/>
  <c r="Y167" i="13" s="1"/>
  <c r="Y168" i="13" a="1"/>
  <c r="Y168" i="13" s="1"/>
  <c r="Y169" i="13" a="1"/>
  <c r="Y169" i="13" s="1"/>
  <c r="Y170" i="13" a="1"/>
  <c r="Y170" i="13" s="1"/>
  <c r="Y171" i="13" a="1"/>
  <c r="Y171" i="13" s="1"/>
  <c r="Y172" i="13" a="1"/>
  <c r="Y172" i="13" s="1"/>
  <c r="Y173" i="13" a="1"/>
  <c r="Y173" i="13" s="1"/>
  <c r="Y174" i="13" a="1"/>
  <c r="Y174" i="13" s="1"/>
  <c r="Y175" i="13" a="1"/>
  <c r="Y175" i="13" s="1"/>
  <c r="Y176" i="13" a="1"/>
  <c r="Y176" i="13" s="1"/>
  <c r="Y177" i="13" a="1"/>
  <c r="Y177" i="13" s="1"/>
  <c r="Y178" i="13" a="1"/>
  <c r="Y178" i="13" s="1"/>
  <c r="Y179" i="13" a="1"/>
  <c r="Y179" i="13" s="1"/>
  <c r="Y180" i="13" a="1"/>
  <c r="Y180" i="13" s="1"/>
  <c r="Y181" i="13" a="1"/>
  <c r="Y181" i="13" s="1"/>
  <c r="Y182" i="13" a="1"/>
  <c r="Y182" i="13" s="1"/>
  <c r="Y183" i="13" a="1"/>
  <c r="Y183" i="13" s="1"/>
  <c r="Y184" i="13" a="1"/>
  <c r="Y184" i="13" s="1"/>
  <c r="Y185" i="13" a="1"/>
  <c r="Y185" i="13" s="1"/>
  <c r="Y186" i="13" a="1"/>
  <c r="Y186" i="13" s="1"/>
  <c r="Y187" i="13" a="1"/>
  <c r="Y187" i="13" s="1"/>
  <c r="Y188" i="13" a="1"/>
  <c r="Y188" i="13" s="1"/>
  <c r="Y189" i="13" a="1"/>
  <c r="Y189" i="13" s="1"/>
  <c r="Y190" i="13" a="1"/>
  <c r="Y190" i="13" s="1"/>
  <c r="Y191" i="13" a="1"/>
  <c r="Y191" i="13" s="1"/>
  <c r="Y192" i="13" a="1"/>
  <c r="Y192" i="13" s="1"/>
  <c r="Y193" i="13" a="1"/>
  <c r="Y193" i="13" s="1"/>
  <c r="Y194" i="13" a="1"/>
  <c r="Y194" i="13" s="1"/>
  <c r="Y195" i="13" a="1"/>
  <c r="Y195" i="13" s="1"/>
  <c r="Y196" i="13" a="1"/>
  <c r="Y196" i="13" s="1"/>
  <c r="Y197" i="13" a="1"/>
  <c r="Y197" i="13" s="1"/>
  <c r="Y198" i="13" a="1"/>
  <c r="Y198" i="13" s="1"/>
  <c r="Y199" i="13" a="1"/>
  <c r="Y199" i="13" s="1"/>
  <c r="Y200" i="13" a="1"/>
  <c r="Y200" i="13" s="1"/>
  <c r="Y201" i="13" a="1"/>
  <c r="Y201" i="13" s="1"/>
  <c r="Y202" i="13" a="1"/>
  <c r="Y202" i="13" s="1"/>
  <c r="Y203" i="13" a="1"/>
  <c r="Y203" i="13" s="1"/>
  <c r="Y204" i="13" a="1"/>
  <c r="Y204" i="13" s="1"/>
  <c r="Y205" i="13" a="1"/>
  <c r="Y205" i="13" s="1"/>
  <c r="Y206" i="13" a="1"/>
  <c r="Y206" i="13" s="1"/>
  <c r="Y207" i="13" a="1"/>
  <c r="Y207" i="13" s="1"/>
  <c r="Y208" i="13" a="1"/>
  <c r="Y208" i="13" s="1"/>
  <c r="Y209" i="13" a="1"/>
  <c r="Y209" i="13" s="1"/>
  <c r="Y210" i="13" a="1"/>
  <c r="Y210" i="13" s="1"/>
  <c r="Y211" i="13" a="1"/>
  <c r="Y211" i="13" s="1"/>
  <c r="Y212" i="13" a="1"/>
  <c r="Y212" i="13" s="1"/>
  <c r="Y213" i="13" a="1"/>
  <c r="Y213" i="13" s="1"/>
  <c r="Y214" i="13" a="1"/>
  <c r="Y214" i="13" s="1"/>
  <c r="Y215" i="13" a="1"/>
  <c r="Y215" i="13" s="1"/>
  <c r="Y216" i="13" a="1"/>
  <c r="Y216" i="13" s="1"/>
  <c r="Y217" i="13" a="1"/>
  <c r="Y217" i="13" s="1"/>
  <c r="Y218" i="13" a="1"/>
  <c r="Y218" i="13" s="1"/>
  <c r="Y219" i="13" a="1"/>
  <c r="Y219" i="13" s="1"/>
  <c r="Y220" i="13" a="1"/>
  <c r="Y220" i="13" s="1"/>
  <c r="Y221" i="13" a="1"/>
  <c r="Y221" i="13" s="1"/>
  <c r="Y222" i="13" a="1"/>
  <c r="Y222" i="13" s="1"/>
  <c r="Y223" i="13" a="1"/>
  <c r="Y223" i="13" s="1"/>
  <c r="Y224" i="13" a="1"/>
  <c r="Y224" i="13" s="1"/>
  <c r="Y225" i="13" a="1"/>
  <c r="Y225" i="13" s="1"/>
  <c r="Y226" i="13" a="1"/>
  <c r="Y226" i="13" s="1"/>
  <c r="Y227" i="13" a="1"/>
  <c r="Y227" i="13" s="1"/>
  <c r="Y228" i="13" a="1"/>
  <c r="Y228" i="13" s="1"/>
  <c r="Y229" i="13" a="1"/>
  <c r="Y229" i="13" s="1"/>
  <c r="Y230" i="13" a="1"/>
  <c r="Y230" i="13" s="1"/>
  <c r="Y231" i="13" a="1"/>
  <c r="Y231" i="13" s="1"/>
  <c r="Y232" i="13" a="1"/>
  <c r="Y232" i="13" s="1"/>
  <c r="Y233" i="13" a="1"/>
  <c r="Y233" i="13" s="1"/>
  <c r="Y234" i="13" a="1"/>
  <c r="Y234" i="13" s="1"/>
  <c r="Y235" i="13" a="1"/>
  <c r="Y235" i="13" s="1"/>
  <c r="Y236" i="13" a="1"/>
  <c r="Y236" i="13" s="1"/>
  <c r="Y237" i="13" a="1"/>
  <c r="Y237" i="13" s="1"/>
  <c r="Y238" i="13" a="1"/>
  <c r="Y238" i="13" s="1"/>
  <c r="Y239" i="13" a="1"/>
  <c r="Y239" i="13" s="1"/>
  <c r="Y240" i="13" a="1"/>
  <c r="Y240" i="13" s="1"/>
  <c r="Y241" i="13" a="1"/>
  <c r="Y241" i="13" s="1"/>
  <c r="Y242" i="13" a="1"/>
  <c r="Y242" i="13" s="1"/>
  <c r="Y243" i="13" a="1"/>
  <c r="Y243" i="13" s="1"/>
  <c r="Y244" i="13" a="1"/>
  <c r="Y244" i="13" s="1"/>
  <c r="Y245" i="13" a="1"/>
  <c r="Y245" i="13" s="1"/>
  <c r="Y246" i="13" a="1"/>
  <c r="Y246" i="13" s="1"/>
  <c r="Y247" i="13" a="1"/>
  <c r="Y247" i="13" s="1"/>
  <c r="Y248" i="13" a="1"/>
  <c r="Y248" i="13" s="1"/>
  <c r="Y249" i="13" a="1"/>
  <c r="Y249" i="13" s="1"/>
  <c r="Y250" i="13" a="1"/>
  <c r="Y250" i="13" s="1"/>
  <c r="Y251" i="13" a="1"/>
  <c r="Y251" i="13" s="1"/>
  <c r="Y252" i="13" a="1"/>
  <c r="Y252" i="13" s="1"/>
  <c r="Y253" i="13" a="1"/>
  <c r="Y253" i="13" s="1"/>
  <c r="Y254" i="13" a="1"/>
  <c r="Y254" i="13" s="1"/>
  <c r="Y255" i="13" a="1"/>
  <c r="Y255" i="13" s="1"/>
  <c r="Y256" i="13" a="1"/>
  <c r="Y256" i="13" s="1"/>
  <c r="Y257" i="13" a="1"/>
  <c r="Y257" i="13" s="1"/>
  <c r="Y258" i="13" a="1"/>
  <c r="Y258" i="13" s="1"/>
  <c r="Y259" i="13" a="1"/>
  <c r="Y259" i="13" s="1"/>
  <c r="Y260" i="13" a="1"/>
  <c r="Y260" i="13" s="1"/>
  <c r="Y261" i="13" a="1"/>
  <c r="Y261" i="13" s="1"/>
  <c r="Y262" i="13" a="1"/>
  <c r="Y262" i="13" s="1"/>
  <c r="Y263" i="13" a="1"/>
  <c r="Y263" i="13" s="1"/>
  <c r="Y264" i="13" a="1"/>
  <c r="Y264" i="13" s="1"/>
  <c r="Y265" i="13" a="1"/>
  <c r="Y265" i="13" s="1"/>
  <c r="Y266" i="13" a="1"/>
  <c r="Y266" i="13" s="1"/>
  <c r="Y267" i="13" a="1"/>
  <c r="Y267" i="13" s="1"/>
  <c r="Y268" i="13" a="1"/>
  <c r="Y268" i="13" s="1"/>
  <c r="Y269" i="13" a="1"/>
  <c r="Y269" i="13" s="1"/>
  <c r="Y270" i="13" a="1"/>
  <c r="Y270" i="13" s="1"/>
  <c r="Y271" i="13" a="1"/>
  <c r="Y271" i="13" s="1"/>
  <c r="Y272" i="13" a="1"/>
  <c r="Y272" i="13" s="1"/>
  <c r="Y273" i="13" a="1"/>
  <c r="Y273" i="13" s="1"/>
  <c r="Y274" i="13" a="1"/>
  <c r="Y274" i="13" s="1"/>
  <c r="Y275" i="13" a="1"/>
  <c r="Y275" i="13" s="1"/>
  <c r="Y276" i="13" a="1"/>
  <c r="Y276" i="13" s="1"/>
  <c r="Y277" i="13" a="1"/>
  <c r="Y277" i="13" s="1"/>
  <c r="Y278" i="13" a="1"/>
  <c r="Y278" i="13" s="1"/>
  <c r="Y279" i="13" a="1"/>
  <c r="Y279" i="13" s="1"/>
  <c r="Y280" i="13" a="1"/>
  <c r="Y280" i="13" s="1"/>
  <c r="Y281" i="13" a="1"/>
  <c r="Y281" i="13" s="1"/>
  <c r="Y282" i="13" a="1"/>
  <c r="Y282" i="13" s="1"/>
  <c r="Y283" i="13" a="1"/>
  <c r="Y283" i="13" s="1"/>
  <c r="Y284" i="13" a="1"/>
  <c r="Y284" i="13" s="1"/>
  <c r="Y285" i="13" a="1"/>
  <c r="Y285" i="13" s="1"/>
  <c r="Y286" i="13" a="1"/>
  <c r="Y286" i="13" s="1"/>
  <c r="Y287" i="13" a="1"/>
  <c r="Y287" i="13" s="1"/>
  <c r="Y288" i="13" a="1"/>
  <c r="Y288" i="13" s="1"/>
  <c r="Y289" i="13" a="1"/>
  <c r="Y289" i="13" s="1"/>
  <c r="Y290" i="13" a="1"/>
  <c r="Y290" i="13" s="1"/>
  <c r="Y291" i="13" a="1"/>
  <c r="Y291" i="13" s="1"/>
  <c r="Y292" i="13" a="1"/>
  <c r="Y292" i="13" s="1"/>
  <c r="Y293" i="13" a="1"/>
  <c r="Y293" i="13" s="1"/>
  <c r="Y294" i="13" a="1"/>
  <c r="Y294" i="13" s="1"/>
  <c r="Y295" i="13" a="1"/>
  <c r="Y295" i="13" s="1"/>
  <c r="Y296" i="13" a="1"/>
  <c r="Y296" i="13" s="1"/>
  <c r="Y297" i="13" a="1"/>
  <c r="Y297" i="13" s="1"/>
  <c r="Y298" i="13" a="1"/>
  <c r="Y298" i="13" s="1"/>
  <c r="Y299" i="13" a="1"/>
  <c r="Y299" i="13" s="1"/>
  <c r="Y300" i="13" a="1"/>
  <c r="Y300" i="13" s="1"/>
  <c r="Y301" i="13" a="1"/>
  <c r="Y301" i="13" s="1"/>
  <c r="Y302" i="13" a="1"/>
  <c r="Y302" i="13" s="1"/>
  <c r="Y303" i="13" a="1"/>
  <c r="Y303" i="13" s="1"/>
  <c r="Y304" i="13" a="1"/>
  <c r="Y304" i="13" s="1"/>
  <c r="Y305" i="13" a="1"/>
  <c r="Y305" i="13" s="1"/>
  <c r="Y306" i="13" a="1"/>
  <c r="Y306" i="13" s="1"/>
  <c r="Y307" i="13" a="1"/>
  <c r="Y307" i="13" s="1"/>
  <c r="Y308" i="13" a="1"/>
  <c r="Y308" i="13" s="1"/>
  <c r="Y309" i="13" a="1"/>
  <c r="Y309" i="13" s="1"/>
  <c r="Y310" i="13" a="1"/>
  <c r="Y310" i="13" s="1"/>
  <c r="Y311" i="13" a="1"/>
  <c r="Y311" i="13" s="1"/>
  <c r="Y312" i="13" a="1"/>
  <c r="Y312" i="13" s="1"/>
  <c r="Y313" i="13" a="1"/>
  <c r="Y313" i="13" s="1"/>
  <c r="Y314" i="13" a="1"/>
  <c r="Y314" i="13" s="1"/>
  <c r="Y315" i="13" a="1"/>
  <c r="Y315" i="13" s="1"/>
  <c r="Y316" i="13" a="1"/>
  <c r="Y316" i="13" s="1"/>
  <c r="Y317" i="13" a="1"/>
  <c r="Y317" i="13" s="1"/>
  <c r="Y318" i="13" a="1"/>
  <c r="Y318" i="13" s="1"/>
  <c r="Y319" i="13" a="1"/>
  <c r="Y319" i="13" s="1"/>
  <c r="Y320" i="13" a="1"/>
  <c r="Y320" i="13" s="1"/>
  <c r="Y321" i="13" a="1"/>
  <c r="Y321" i="13" s="1"/>
  <c r="Y322" i="13" a="1"/>
  <c r="Y322" i="13" s="1"/>
  <c r="Y323" i="13" a="1"/>
  <c r="Y323" i="13" s="1"/>
  <c r="Y324" i="13" a="1"/>
  <c r="Y324" i="13" s="1"/>
  <c r="Y325" i="13" a="1"/>
  <c r="Y325" i="13" s="1"/>
  <c r="Y326" i="13" a="1"/>
  <c r="Y326" i="13" s="1"/>
  <c r="Y327" i="13" a="1"/>
  <c r="Y327" i="13" s="1"/>
  <c r="Y328" i="13" a="1"/>
  <c r="Y328" i="13" s="1"/>
  <c r="Y329" i="13" a="1"/>
  <c r="Y329" i="13" s="1"/>
  <c r="Y330" i="13" a="1"/>
  <c r="Y330" i="13" s="1"/>
  <c r="Y331" i="13" a="1"/>
  <c r="Y331" i="13" s="1"/>
  <c r="Y332" i="13" a="1"/>
  <c r="Y332" i="13" s="1"/>
  <c r="Y333" i="13" a="1"/>
  <c r="Y333" i="13" s="1"/>
  <c r="Y334" i="13" a="1"/>
  <c r="Y334" i="13" s="1"/>
  <c r="Y335" i="13" a="1"/>
  <c r="Y335" i="13" s="1"/>
  <c r="Y336" i="13" a="1"/>
  <c r="Y336" i="13" s="1"/>
  <c r="Y337" i="13" a="1"/>
  <c r="Y337" i="13" s="1"/>
  <c r="Y338" i="13" a="1"/>
  <c r="Y338" i="13" s="1"/>
  <c r="Y339" i="13" a="1"/>
  <c r="Y339" i="13" s="1"/>
  <c r="Y340" i="13" a="1"/>
  <c r="Y340" i="13" s="1"/>
  <c r="Y341" i="13" a="1"/>
  <c r="Y341" i="13" s="1"/>
  <c r="Y342" i="13" a="1"/>
  <c r="Y342" i="13" s="1"/>
  <c r="Y343" i="13" a="1"/>
  <c r="Y343" i="13" s="1"/>
  <c r="Y344" i="13" a="1"/>
  <c r="Y344" i="13" s="1"/>
  <c r="Y345" i="13" a="1"/>
  <c r="Y345" i="13" s="1"/>
  <c r="Y346" i="13" a="1"/>
  <c r="Y346" i="13" s="1"/>
  <c r="Y347" i="13" a="1"/>
  <c r="Y347" i="13" s="1"/>
  <c r="Y348" i="13" a="1"/>
  <c r="Y348" i="13" s="1"/>
  <c r="Y349" i="13" a="1"/>
  <c r="Y349" i="13" s="1"/>
  <c r="Y350" i="13" a="1"/>
  <c r="Y350" i="13" s="1"/>
  <c r="Y351" i="13" a="1"/>
  <c r="Y351" i="13" s="1"/>
  <c r="Y352" i="13" a="1"/>
  <c r="Y352" i="13" s="1"/>
  <c r="Y353" i="13" a="1"/>
  <c r="Y353" i="13" s="1"/>
  <c r="Y354" i="13" a="1"/>
  <c r="Y354" i="13" s="1"/>
  <c r="Y355" i="13" a="1"/>
  <c r="Y355" i="13" s="1"/>
  <c r="Y356" i="13" a="1"/>
  <c r="Y356" i="13" s="1"/>
  <c r="Y357" i="13" a="1"/>
  <c r="Y357" i="13" s="1"/>
  <c r="Y358" i="13" a="1"/>
  <c r="Y358" i="13" s="1"/>
  <c r="Y359" i="13" a="1"/>
  <c r="Y359" i="13" s="1"/>
  <c r="Y360" i="13" a="1"/>
  <c r="Y360" i="13" s="1"/>
  <c r="Y361" i="13" a="1"/>
  <c r="Y361" i="13" s="1"/>
  <c r="Y362" i="13" a="1"/>
  <c r="Y362" i="13" s="1"/>
  <c r="Y363" i="13" a="1"/>
  <c r="Y363" i="13" s="1"/>
  <c r="Y364" i="13" a="1"/>
  <c r="Y364" i="13" s="1"/>
  <c r="Y365" i="13" a="1"/>
  <c r="Y365" i="13" s="1"/>
  <c r="Y366" i="13" a="1"/>
  <c r="Y366" i="13" s="1"/>
  <c r="Y367" i="13" a="1"/>
  <c r="Y367" i="13" s="1"/>
  <c r="Y368" i="13" a="1"/>
  <c r="Y368" i="13" s="1"/>
  <c r="Y369" i="13" a="1"/>
  <c r="Y369" i="13" s="1"/>
  <c r="Y370" i="13" a="1"/>
  <c r="Y370" i="13" s="1"/>
  <c r="Y371" i="13" a="1"/>
  <c r="Y371" i="13" s="1"/>
  <c r="Y372" i="13" a="1"/>
  <c r="Y372" i="13" s="1"/>
  <c r="Y373" i="13" a="1"/>
  <c r="Y373" i="13" s="1"/>
  <c r="Y374" i="13" a="1"/>
  <c r="Y374" i="13" s="1"/>
  <c r="Y375" i="13" a="1"/>
  <c r="Y375" i="13" s="1"/>
  <c r="Y376" i="13" a="1"/>
  <c r="Y376" i="13" s="1"/>
  <c r="Y377" i="13" a="1"/>
  <c r="Y377" i="13" s="1"/>
  <c r="Y378" i="13" a="1"/>
  <c r="Y378" i="13" s="1"/>
  <c r="Y379" i="13" a="1"/>
  <c r="Y379" i="13" s="1"/>
  <c r="Y380" i="13" a="1"/>
  <c r="Y380" i="13" s="1"/>
  <c r="Y381" i="13" a="1"/>
  <c r="Y381" i="13" s="1"/>
  <c r="Y382" i="13" a="1"/>
  <c r="Y382" i="13" s="1"/>
  <c r="Y383" i="13" a="1"/>
  <c r="Y383" i="13" s="1"/>
  <c r="Y384" i="13" a="1"/>
  <c r="Y384" i="13" s="1"/>
  <c r="Y385" i="13" a="1"/>
  <c r="Y385" i="13" s="1"/>
  <c r="Y386" i="13" a="1"/>
  <c r="Y386" i="13" s="1"/>
  <c r="Y387" i="13" a="1"/>
  <c r="Y387" i="13" s="1"/>
  <c r="Y388" i="13" a="1"/>
  <c r="Y388" i="13" s="1"/>
  <c r="Y389" i="13" a="1"/>
  <c r="Y389" i="13" s="1"/>
  <c r="Y390" i="13" a="1"/>
  <c r="Y390" i="13" s="1"/>
  <c r="Y391" i="13" a="1"/>
  <c r="Y391" i="13" s="1"/>
  <c r="Y392" i="13" a="1"/>
  <c r="Y392" i="13" s="1"/>
  <c r="Y393" i="13" a="1"/>
  <c r="Y393" i="13" s="1"/>
  <c r="Y394" i="13" a="1"/>
  <c r="Y394" i="13" s="1"/>
  <c r="Y395" i="13" a="1"/>
  <c r="Y395" i="13" s="1"/>
  <c r="Y396" i="13" a="1"/>
  <c r="Y396" i="13" s="1"/>
  <c r="Y397" i="13" a="1"/>
  <c r="Y397" i="13" s="1"/>
  <c r="Y398" i="13" a="1"/>
  <c r="Y398" i="13" s="1"/>
  <c r="Y399" i="13" a="1"/>
  <c r="Y399" i="13" s="1"/>
  <c r="Y400" i="13" a="1"/>
  <c r="Y400" i="13" s="1"/>
  <c r="Y401" i="13" a="1"/>
  <c r="Y401" i="13" s="1"/>
  <c r="Y402" i="13" a="1"/>
  <c r="Y402" i="13" s="1"/>
  <c r="Y403" i="13" a="1"/>
  <c r="Y403" i="13" s="1"/>
  <c r="Y404" i="13" a="1"/>
  <c r="Y404" i="13" s="1"/>
  <c r="Y405" i="13" a="1"/>
  <c r="Y405" i="13" s="1"/>
  <c r="Y406" i="13" a="1"/>
  <c r="Y406" i="13" s="1"/>
  <c r="Y407" i="13" a="1"/>
  <c r="Y407" i="13" s="1"/>
  <c r="Y408" i="13" a="1"/>
  <c r="Y408" i="13" s="1"/>
  <c r="Y409" i="13" a="1"/>
  <c r="Y409" i="13" s="1"/>
  <c r="Y410" i="13" a="1"/>
  <c r="Y410" i="13" s="1"/>
  <c r="Y411" i="13" a="1"/>
  <c r="Y411" i="13" s="1"/>
  <c r="Y412" i="13" a="1"/>
  <c r="Y412" i="13" s="1"/>
  <c r="Y413" i="13" a="1"/>
  <c r="Y413" i="13" s="1"/>
  <c r="Y414" i="13" a="1"/>
  <c r="Y414" i="13" s="1"/>
  <c r="Y415" i="13" a="1"/>
  <c r="Y415" i="13" s="1"/>
  <c r="Y416" i="13" a="1"/>
  <c r="Y416" i="13" s="1"/>
  <c r="Y417" i="13" a="1"/>
  <c r="Y417" i="13" s="1"/>
  <c r="Y418" i="13" a="1"/>
  <c r="Y418" i="13" s="1"/>
  <c r="Y419" i="13" a="1"/>
  <c r="Y419" i="13" s="1"/>
  <c r="Y420" i="13" a="1"/>
  <c r="Y420" i="13" s="1"/>
  <c r="Y421" i="13" a="1"/>
  <c r="Y421" i="13" s="1"/>
  <c r="Y422" i="13" a="1"/>
  <c r="Y422" i="13" s="1"/>
  <c r="Y423" i="13" a="1"/>
  <c r="Y423" i="13" s="1"/>
  <c r="Y424" i="13" a="1"/>
  <c r="Y424" i="13" s="1"/>
  <c r="Y425" i="13" a="1"/>
  <c r="Y425" i="13" s="1"/>
  <c r="Y426" i="13" a="1"/>
  <c r="Y426" i="13" s="1"/>
  <c r="Y427" i="13" a="1"/>
  <c r="Y427" i="13" s="1"/>
  <c r="Y428" i="13" a="1"/>
  <c r="Y428" i="13" s="1"/>
  <c r="Y429" i="13" a="1"/>
  <c r="Y429" i="13" s="1"/>
  <c r="Y430" i="13" a="1"/>
  <c r="Y430" i="13" s="1"/>
  <c r="Y431" i="13" a="1"/>
  <c r="Y431" i="13" s="1"/>
  <c r="Y432" i="13" a="1"/>
  <c r="Y432" i="13" s="1"/>
  <c r="Y433" i="13" a="1"/>
  <c r="Y433" i="13" s="1"/>
  <c r="Y434" i="13" a="1"/>
  <c r="Y434" i="13" s="1"/>
  <c r="Y435" i="13" a="1"/>
  <c r="Y435" i="13" s="1"/>
  <c r="Y436" i="13" a="1"/>
  <c r="Y436" i="13" s="1"/>
  <c r="Y437" i="13" a="1"/>
  <c r="Y437" i="13" s="1"/>
  <c r="Y438" i="13" a="1"/>
  <c r="Y438" i="13" s="1"/>
  <c r="Y439" i="13" a="1"/>
  <c r="Y439" i="13" s="1"/>
  <c r="Y440" i="13" a="1"/>
  <c r="Y440" i="13" s="1"/>
  <c r="Y441" i="13" a="1"/>
  <c r="Y441" i="13" s="1"/>
  <c r="Y442" i="13" a="1"/>
  <c r="Y442" i="13" s="1"/>
  <c r="Y443" i="13" a="1"/>
  <c r="Y443" i="13" s="1"/>
  <c r="Y444" i="13" a="1"/>
  <c r="Y444" i="13" s="1"/>
  <c r="Y445" i="13" a="1"/>
  <c r="Y445" i="13" s="1"/>
  <c r="Y446" i="13" a="1"/>
  <c r="Y446" i="13" s="1"/>
  <c r="Y447" i="13" a="1"/>
  <c r="Y447" i="13" s="1"/>
  <c r="Y448" i="13" a="1"/>
  <c r="Y448" i="13" s="1"/>
  <c r="Y449" i="13" a="1"/>
  <c r="Y449" i="13" s="1"/>
  <c r="Y450" i="13" a="1"/>
  <c r="Y450" i="13" s="1"/>
  <c r="Y451" i="13" a="1"/>
  <c r="Y451" i="13" s="1"/>
  <c r="Y452" i="13" a="1"/>
  <c r="Y452" i="13" s="1"/>
  <c r="Y453" i="13" a="1"/>
  <c r="Y453" i="13" s="1"/>
  <c r="Y454" i="13" a="1"/>
  <c r="Y454" i="13" s="1"/>
  <c r="Y455" i="13" a="1"/>
  <c r="Y455" i="13" s="1"/>
  <c r="Y456" i="13" a="1"/>
  <c r="Y456" i="13" s="1"/>
  <c r="Y457" i="13" a="1"/>
  <c r="Y457" i="13" s="1"/>
  <c r="Y458" i="13" a="1"/>
  <c r="Y458" i="13" s="1"/>
  <c r="Y459" i="13" a="1"/>
  <c r="Y459" i="13" s="1"/>
  <c r="Y460" i="13" a="1"/>
  <c r="Y460" i="13" s="1"/>
  <c r="Y461" i="13" a="1"/>
  <c r="Y461" i="13" s="1"/>
  <c r="Y462" i="13" a="1"/>
  <c r="Y462" i="13" s="1"/>
  <c r="Y463" i="13" a="1"/>
  <c r="Y463" i="13" s="1"/>
  <c r="Y464" i="13" a="1"/>
  <c r="Y464" i="13" s="1"/>
  <c r="Y465" i="13" a="1"/>
  <c r="Y465" i="13" s="1"/>
  <c r="Y466" i="13" a="1"/>
  <c r="Y466" i="13" s="1"/>
  <c r="Y467" i="13" a="1"/>
  <c r="Y467" i="13" s="1"/>
  <c r="Y468" i="13" a="1"/>
  <c r="Y468" i="13" s="1"/>
  <c r="Y469" i="13" a="1"/>
  <c r="Y469" i="13" s="1"/>
  <c r="Y470" i="13" a="1"/>
  <c r="Y470" i="13" s="1"/>
  <c r="Y471" i="13" a="1"/>
  <c r="Y471" i="13" s="1"/>
  <c r="Y472" i="13" a="1"/>
  <c r="Y472" i="13" s="1"/>
  <c r="Y473" i="13" a="1"/>
  <c r="Y473" i="13" s="1"/>
  <c r="Y474" i="13" a="1"/>
  <c r="Y474" i="13" s="1"/>
  <c r="Y475" i="13" a="1"/>
  <c r="Y475" i="13" s="1"/>
  <c r="Y476" i="13" a="1"/>
  <c r="Y476" i="13" s="1"/>
  <c r="Y477" i="13" a="1"/>
  <c r="Y477" i="13" s="1"/>
  <c r="Y478" i="13" a="1"/>
  <c r="Y478" i="13" s="1"/>
  <c r="Y479" i="13" a="1"/>
  <c r="Y479" i="13" s="1"/>
  <c r="Y480" i="13" a="1"/>
  <c r="Y480" i="13" s="1"/>
  <c r="Y481" i="13" a="1"/>
  <c r="Y481" i="13" s="1"/>
  <c r="Y482" i="13" a="1"/>
  <c r="Y482" i="13" s="1"/>
  <c r="Y483" i="13" a="1"/>
  <c r="Y483" i="13" s="1"/>
  <c r="Y484" i="13" a="1"/>
  <c r="Y484" i="13" s="1"/>
  <c r="Y485" i="13" a="1"/>
  <c r="Y485" i="13" s="1"/>
  <c r="Y486" i="13" a="1"/>
  <c r="Y486" i="13" s="1"/>
  <c r="Y487" i="13" a="1"/>
  <c r="Y487" i="13" s="1"/>
  <c r="Y488" i="13" a="1"/>
  <c r="Y488" i="13" s="1"/>
  <c r="Y489" i="13" a="1"/>
  <c r="Y489" i="13" s="1"/>
  <c r="Y490" i="13" a="1"/>
  <c r="Y490" i="13" s="1"/>
  <c r="Y491" i="13" a="1"/>
  <c r="Y491" i="13" s="1"/>
  <c r="Y492" i="13" a="1"/>
  <c r="Y492" i="13" s="1"/>
  <c r="Y493" i="13" a="1"/>
  <c r="Y493" i="13" s="1"/>
  <c r="Y494" i="13" a="1"/>
  <c r="Y494" i="13" s="1"/>
  <c r="Y495" i="13" a="1"/>
  <c r="Y495" i="13" s="1"/>
  <c r="Y496" i="13" a="1"/>
  <c r="Y496" i="13" s="1"/>
  <c r="Y497" i="13" a="1"/>
  <c r="Y497" i="13" s="1"/>
  <c r="Y498" i="13" a="1"/>
  <c r="Y498" i="13" s="1"/>
  <c r="Y499" i="13" a="1"/>
  <c r="Y499" i="13" s="1"/>
  <c r="Y500" i="13" a="1"/>
  <c r="Y500" i="13" s="1"/>
  <c r="Y501" i="13" a="1"/>
  <c r="Y501" i="13" s="1"/>
  <c r="Y502" i="13" a="1"/>
  <c r="Y502" i="13" s="1"/>
  <c r="Y503" i="13" a="1"/>
  <c r="Y503" i="13" s="1"/>
  <c r="Y504" i="13" a="1"/>
  <c r="Y504" i="13" s="1"/>
  <c r="Y505" i="13" a="1"/>
  <c r="Y505" i="13" s="1"/>
  <c r="Y506" i="13" a="1"/>
  <c r="Y506" i="13" s="1"/>
  <c r="Y507" i="13" a="1"/>
  <c r="Y507" i="13" s="1"/>
  <c r="Y508" i="13" a="1"/>
  <c r="Y508" i="13" s="1"/>
  <c r="Y509" i="13" a="1"/>
  <c r="Y509" i="13" s="1"/>
  <c r="Y510" i="13" a="1"/>
  <c r="Y510" i="13" s="1"/>
  <c r="Y511" i="13" a="1"/>
  <c r="Y511" i="13" s="1"/>
  <c r="Y512" i="13" a="1"/>
  <c r="Y512" i="13" s="1"/>
  <c r="Y513" i="13" a="1"/>
  <c r="Y513" i="13" s="1"/>
  <c r="Y514" i="13" a="1"/>
  <c r="Y514" i="13" s="1"/>
  <c r="Y515" i="13" a="1"/>
  <c r="Y515" i="13" s="1"/>
  <c r="Y516" i="13" a="1"/>
  <c r="Y516" i="13" s="1"/>
  <c r="Y517" i="13" a="1"/>
  <c r="Y517" i="13" s="1"/>
  <c r="Y518" i="13" a="1"/>
  <c r="Y518" i="13" s="1"/>
  <c r="Y519" i="13" a="1"/>
  <c r="Y519" i="13" s="1"/>
  <c r="Y520" i="13" a="1"/>
  <c r="Y520" i="13" s="1"/>
  <c r="Y521" i="13" a="1"/>
  <c r="Y521" i="13" s="1"/>
  <c r="Y522" i="13" a="1"/>
  <c r="Y522" i="13" s="1"/>
  <c r="Y523" i="13" a="1"/>
  <c r="Y523" i="13" s="1"/>
  <c r="Y524" i="13" a="1"/>
  <c r="Y524" i="13" s="1"/>
  <c r="Y525" i="13" a="1"/>
  <c r="Y525" i="13" s="1"/>
  <c r="Y526" i="13" a="1"/>
  <c r="Y526" i="13" s="1"/>
  <c r="Y527" i="13" a="1"/>
  <c r="Y527" i="13" s="1"/>
  <c r="Y528" i="13" a="1"/>
  <c r="Y528" i="13" s="1"/>
  <c r="Y529" i="13" a="1"/>
  <c r="Y529" i="13" s="1"/>
  <c r="Y530" i="13" a="1"/>
  <c r="Y530" i="13" s="1"/>
  <c r="Y531" i="13" a="1"/>
  <c r="Y531" i="13" s="1"/>
  <c r="Y532" i="13" a="1"/>
  <c r="Y532" i="13" s="1"/>
  <c r="Y533" i="13" a="1"/>
  <c r="Y533" i="13" s="1"/>
  <c r="Y534" i="13" a="1"/>
  <c r="Y534" i="13" s="1"/>
  <c r="Y535" i="13" a="1"/>
  <c r="Y535" i="13" s="1"/>
  <c r="Y536" i="13" a="1"/>
  <c r="Y536" i="13" s="1"/>
  <c r="Y537" i="13" a="1"/>
  <c r="Y537" i="13" s="1"/>
  <c r="Y538" i="13" a="1"/>
  <c r="Y538" i="13" s="1"/>
  <c r="Y539" i="13" a="1"/>
  <c r="Y539" i="13" s="1"/>
  <c r="Y540" i="13" a="1"/>
  <c r="Y540" i="13" s="1"/>
  <c r="Y541" i="13" a="1"/>
  <c r="Y541" i="13" s="1"/>
  <c r="Y542" i="13" a="1"/>
  <c r="Y542" i="13" s="1"/>
  <c r="Y543" i="13" a="1"/>
  <c r="Y543" i="13" s="1"/>
  <c r="Y544" i="13" a="1"/>
  <c r="Y544" i="13" s="1"/>
  <c r="Y545" i="13" a="1"/>
  <c r="Y545" i="13" s="1"/>
  <c r="Y546" i="13" a="1"/>
  <c r="Y546" i="13" s="1"/>
  <c r="Y547" i="13" a="1"/>
  <c r="Y547" i="13" s="1"/>
  <c r="Y548" i="13" a="1"/>
  <c r="Y548" i="13" s="1"/>
  <c r="Y549" i="13" a="1"/>
  <c r="Y549" i="13" s="1"/>
  <c r="Y550" i="13" a="1"/>
  <c r="Y550" i="13" s="1"/>
  <c r="Y551" i="13" a="1"/>
  <c r="Y551" i="13" s="1"/>
  <c r="Y552" i="13" a="1"/>
  <c r="Y552" i="13" s="1"/>
  <c r="Y553" i="13" a="1"/>
  <c r="Y553" i="13" s="1"/>
  <c r="Y554" i="13" a="1"/>
  <c r="Y554" i="13" s="1"/>
  <c r="Y555" i="13" a="1"/>
  <c r="Y555" i="13" s="1"/>
  <c r="Y556" i="13" a="1"/>
  <c r="Y556" i="13" s="1"/>
  <c r="Y557" i="13" a="1"/>
  <c r="Y557" i="13" s="1"/>
  <c r="Y558" i="13" a="1"/>
  <c r="Y558" i="13" s="1"/>
  <c r="Y559" i="13" a="1"/>
  <c r="Y559" i="13" s="1"/>
  <c r="Y560" i="13" a="1"/>
  <c r="Y560" i="13" s="1"/>
  <c r="Y561" i="13" a="1"/>
  <c r="Y561" i="13" s="1"/>
  <c r="Y562" i="13" a="1"/>
  <c r="Y562" i="13" s="1"/>
  <c r="Y563" i="13" a="1"/>
  <c r="Y563" i="13" s="1"/>
  <c r="Y564" i="13" a="1"/>
  <c r="Y564" i="13" s="1"/>
  <c r="Y565" i="13" a="1"/>
  <c r="Y565" i="13" s="1"/>
  <c r="Y566" i="13" a="1"/>
  <c r="Y566" i="13" s="1"/>
  <c r="Y567" i="13" a="1"/>
  <c r="Y567" i="13" s="1"/>
  <c r="Y568" i="13" a="1"/>
  <c r="Y568" i="13" s="1"/>
  <c r="Y569" i="13" a="1"/>
  <c r="Y569" i="13" s="1"/>
  <c r="Y570" i="13" a="1"/>
  <c r="Y570" i="13" s="1"/>
  <c r="Y571" i="13" a="1"/>
  <c r="Y571" i="13" s="1"/>
  <c r="Y572" i="13" a="1"/>
  <c r="Y572" i="13" s="1"/>
  <c r="Y573" i="13" a="1"/>
  <c r="Y573" i="13" s="1"/>
  <c r="Y574" i="13" a="1"/>
  <c r="Y574" i="13" s="1"/>
  <c r="Y575" i="13" a="1"/>
  <c r="Y575" i="13" s="1"/>
  <c r="Y576" i="13" a="1"/>
  <c r="Y576" i="13" s="1"/>
  <c r="Y577" i="13" a="1"/>
  <c r="Y577" i="13" s="1"/>
  <c r="Y578" i="13" a="1"/>
  <c r="Y578" i="13" s="1"/>
  <c r="Y579" i="13" a="1"/>
  <c r="Y579" i="13" s="1"/>
  <c r="Y580" i="13" a="1"/>
  <c r="Y580" i="13" s="1"/>
  <c r="Y581" i="13" a="1"/>
  <c r="Y581" i="13" s="1"/>
  <c r="Y582" i="13" a="1"/>
  <c r="Y582" i="13" s="1"/>
  <c r="Y583" i="13" a="1"/>
  <c r="Y583" i="13" s="1"/>
  <c r="Y584" i="13" a="1"/>
  <c r="Y584" i="13" s="1"/>
  <c r="Y585" i="13" a="1"/>
  <c r="Y585" i="13" s="1"/>
  <c r="Y586" i="13" a="1"/>
  <c r="Y586" i="13" s="1"/>
  <c r="Y587" i="13" a="1"/>
  <c r="Y587" i="13" s="1"/>
  <c r="Y588" i="13" a="1"/>
  <c r="Y588" i="13" s="1"/>
  <c r="Y589" i="13" a="1"/>
  <c r="Y589" i="13" s="1"/>
  <c r="Y590" i="13" a="1"/>
  <c r="Y590" i="13" s="1"/>
  <c r="Y591" i="13" a="1"/>
  <c r="Y591" i="13" s="1"/>
  <c r="Y592" i="13" a="1"/>
  <c r="Y592" i="13" s="1"/>
  <c r="Y593" i="13" a="1"/>
  <c r="Y593" i="13" s="1"/>
  <c r="Y594" i="13" a="1"/>
  <c r="Y594" i="13" s="1"/>
  <c r="Y595" i="13" a="1"/>
  <c r="Y595" i="13" s="1"/>
  <c r="Y596" i="13" a="1"/>
  <c r="Y596" i="13" s="1"/>
  <c r="Y597" i="13" a="1"/>
  <c r="Y597" i="13" s="1"/>
  <c r="Y598" i="13" a="1"/>
  <c r="Y598" i="13" s="1"/>
  <c r="Y599" i="13" a="1"/>
  <c r="Y599" i="13" s="1"/>
  <c r="Y600" i="13" a="1"/>
  <c r="Y600" i="13" s="1"/>
  <c r="Y601" i="13" a="1"/>
  <c r="Y601" i="13" s="1"/>
  <c r="Y602" i="13" a="1"/>
  <c r="Y602" i="13" s="1"/>
  <c r="Y603" i="13" a="1"/>
  <c r="Y603" i="13" s="1"/>
  <c r="Y604" i="13" a="1"/>
  <c r="Y604" i="13" s="1"/>
  <c r="Y605" i="13" a="1"/>
  <c r="Y605" i="13" s="1"/>
  <c r="Y606" i="13" a="1"/>
  <c r="Y606" i="13" s="1"/>
  <c r="Y607" i="13" a="1"/>
  <c r="Y607" i="13" s="1"/>
  <c r="Y608" i="13" a="1"/>
  <c r="Y608" i="13" s="1"/>
  <c r="Y609" i="13" a="1"/>
  <c r="Y609" i="13" s="1"/>
  <c r="Y610" i="13" a="1"/>
  <c r="Y610" i="13" s="1"/>
  <c r="Y611" i="13" a="1"/>
  <c r="Y611" i="13" s="1"/>
  <c r="Y612" i="13" a="1"/>
  <c r="Y612" i="13" s="1"/>
  <c r="Y613" i="13" a="1"/>
  <c r="Y613" i="13" s="1"/>
  <c r="Y614" i="13" a="1"/>
  <c r="Y614" i="13" s="1"/>
  <c r="Y615" i="13" a="1"/>
  <c r="Y615" i="13" s="1"/>
  <c r="Y616" i="13" a="1"/>
  <c r="Y616" i="13" s="1"/>
  <c r="Y617" i="13" a="1"/>
  <c r="Y617" i="13" s="1"/>
  <c r="Y618" i="13" a="1"/>
  <c r="Y618" i="13" s="1"/>
  <c r="Y619" i="13" a="1"/>
  <c r="Y619" i="13" s="1"/>
  <c r="Y620" i="13" a="1"/>
  <c r="Y620" i="13" s="1"/>
  <c r="Y621" i="13" a="1"/>
  <c r="Y621" i="13" s="1"/>
  <c r="Y622" i="13" a="1"/>
  <c r="Y622" i="13" s="1"/>
  <c r="Y623" i="13" a="1"/>
  <c r="Y623" i="13" s="1"/>
  <c r="Y624" i="13" a="1"/>
  <c r="Y624" i="13"/>
  <c r="Y625" i="13" a="1"/>
  <c r="Y625" i="13" s="1"/>
  <c r="Y626" i="13" a="1"/>
  <c r="Y626" i="13" s="1"/>
  <c r="Y627" i="13" a="1"/>
  <c r="Y627" i="13" s="1"/>
  <c r="Y628" i="13" a="1"/>
  <c r="Y628" i="13" s="1"/>
  <c r="Y629" i="13" a="1"/>
  <c r="Y629" i="13" s="1"/>
  <c r="Y630" i="13" a="1"/>
  <c r="Y630" i="13" s="1"/>
  <c r="Y631" i="13" a="1"/>
  <c r="Y631" i="13"/>
  <c r="Y632" i="13" a="1"/>
  <c r="Y632" i="13" s="1"/>
  <c r="Y633" i="13" a="1"/>
  <c r="Y633" i="13" s="1"/>
  <c r="Y634" i="13" a="1"/>
  <c r="Y634" i="13" s="1"/>
  <c r="Y635" i="13" a="1"/>
  <c r="Y635" i="13" s="1"/>
  <c r="Y636" i="13" a="1"/>
  <c r="Y636" i="13" s="1"/>
  <c r="Y637" i="13" a="1"/>
  <c r="Y637" i="13" s="1"/>
  <c r="Y638" i="13" a="1"/>
  <c r="Y638" i="13" s="1"/>
  <c r="Y639" i="13" a="1"/>
  <c r="Y639" i="13" s="1"/>
  <c r="Y640" i="13" a="1"/>
  <c r="Y640" i="13" s="1"/>
  <c r="Y641" i="13" a="1"/>
  <c r="Y641" i="13" s="1"/>
  <c r="Y642" i="13" a="1"/>
  <c r="Y642" i="13" s="1"/>
  <c r="Y643" i="13" a="1"/>
  <c r="Y643" i="13" s="1"/>
  <c r="Y644" i="13" a="1"/>
  <c r="Y644" i="13" s="1"/>
  <c r="Y645" i="13" a="1"/>
  <c r="Y645" i="13" s="1"/>
  <c r="Y646" i="13" a="1"/>
  <c r="Y646" i="13" s="1"/>
  <c r="Y647" i="13" a="1"/>
  <c r="Y647" i="13" s="1"/>
  <c r="Y648" i="13" a="1"/>
  <c r="Y648" i="13" s="1"/>
  <c r="Y649" i="13" a="1"/>
  <c r="Y649" i="13" s="1"/>
  <c r="Y650" i="13" a="1"/>
  <c r="Y650" i="13" s="1"/>
  <c r="Y651" i="13" a="1"/>
  <c r="Y651" i="13" s="1"/>
  <c r="Y652" i="13" a="1"/>
  <c r="Y652" i="13" s="1"/>
  <c r="Y653" i="13" a="1"/>
  <c r="Y653" i="13" s="1"/>
  <c r="Y654" i="13" a="1"/>
  <c r="Y654" i="13" s="1"/>
  <c r="Y655" i="13" a="1"/>
  <c r="Y655" i="13" s="1"/>
  <c r="Y656" i="13" a="1"/>
  <c r="Y656" i="13" s="1"/>
  <c r="Y657" i="13" a="1"/>
  <c r="Y657" i="13" s="1"/>
  <c r="Y658" i="13" a="1"/>
  <c r="Y658" i="13" s="1"/>
  <c r="Y659" i="13" a="1"/>
  <c r="Y659" i="13" s="1"/>
  <c r="Y660" i="13" a="1"/>
  <c r="Y660" i="13" s="1"/>
  <c r="Y661" i="13" a="1"/>
  <c r="Y661" i="13" s="1"/>
  <c r="Y662" i="13" a="1"/>
  <c r="Y662" i="13" s="1"/>
  <c r="Y663" i="13" a="1"/>
  <c r="Y663" i="13" s="1"/>
  <c r="Y664" i="13" a="1"/>
  <c r="Y664" i="13" s="1"/>
  <c r="Y665" i="13" a="1"/>
  <c r="Y665" i="13" s="1"/>
  <c r="Y666" i="13" a="1"/>
  <c r="Y666" i="13" s="1"/>
  <c r="Y667" i="13" a="1"/>
  <c r="Y667" i="13" s="1"/>
  <c r="Y668" i="13" a="1"/>
  <c r="Y668" i="13" s="1"/>
  <c r="Y669" i="13" a="1"/>
  <c r="Y669" i="13" s="1"/>
  <c r="Y670" i="13" a="1"/>
  <c r="Y670" i="13" s="1"/>
  <c r="Y671" i="13" a="1"/>
  <c r="Y671" i="13" s="1"/>
  <c r="Y672" i="13" a="1"/>
  <c r="Y672" i="13" s="1"/>
  <c r="Y673" i="13" a="1"/>
  <c r="Y673" i="13" s="1"/>
  <c r="Y674" i="13" a="1"/>
  <c r="Y674" i="13" s="1"/>
  <c r="Y675" i="13" a="1"/>
  <c r="Y675" i="13" s="1"/>
  <c r="Y676" i="13" a="1"/>
  <c r="Y676" i="13" s="1"/>
  <c r="Y677" i="13" a="1"/>
  <c r="Y677" i="13" s="1"/>
  <c r="Y678" i="13" a="1"/>
  <c r="Y678" i="13" s="1"/>
  <c r="Y679" i="13" a="1"/>
  <c r="Y679" i="13" s="1"/>
  <c r="Y680" i="13" a="1"/>
  <c r="Y680" i="13" s="1"/>
  <c r="Y681" i="13" a="1"/>
  <c r="Y681" i="13" s="1"/>
  <c r="Y682" i="13" a="1"/>
  <c r="Y682" i="13" s="1"/>
  <c r="Y683" i="13" a="1"/>
  <c r="Y683" i="13" s="1"/>
  <c r="Y684" i="13" a="1"/>
  <c r="Y684" i="13" s="1"/>
  <c r="Y685" i="13" a="1"/>
  <c r="Y685" i="13" s="1"/>
  <c r="Y686" i="13" a="1"/>
  <c r="Y686" i="13" s="1"/>
  <c r="Y687" i="13" a="1"/>
  <c r="Y687" i="13" s="1"/>
  <c r="Y688" i="13" a="1"/>
  <c r="Y688" i="13" s="1"/>
  <c r="Y689" i="13" a="1"/>
  <c r="Y689" i="13" s="1"/>
  <c r="Y690" i="13" a="1"/>
  <c r="Y690" i="13" s="1"/>
  <c r="Y691" i="13" a="1"/>
  <c r="Y691" i="13" s="1"/>
  <c r="Y692" i="13" a="1"/>
  <c r="Y692" i="13" s="1"/>
  <c r="Y693" i="13" a="1"/>
  <c r="Y693" i="13" s="1"/>
  <c r="Y694" i="13" a="1"/>
  <c r="Y694" i="13" s="1"/>
  <c r="Y695" i="13" a="1"/>
  <c r="Y695" i="13" s="1"/>
  <c r="Y696" i="13" a="1"/>
  <c r="Y696" i="13" s="1"/>
  <c r="Y697" i="13" a="1"/>
  <c r="Y697" i="13" s="1"/>
  <c r="Y698" i="13" a="1"/>
  <c r="Y698" i="13" s="1"/>
  <c r="Y699" i="13" a="1"/>
  <c r="Y699" i="13" s="1"/>
  <c r="Y700" i="13" a="1"/>
  <c r="Y700" i="13" s="1"/>
  <c r="Y701" i="13" a="1"/>
  <c r="Y701" i="13" s="1"/>
  <c r="Y702" i="13" a="1"/>
  <c r="Y702" i="13" s="1"/>
  <c r="Y703" i="13" a="1"/>
  <c r="Y703" i="13" s="1"/>
  <c r="Y704" i="13" a="1"/>
  <c r="Y704" i="13" s="1"/>
  <c r="Y705" i="13" a="1"/>
  <c r="Y705" i="13" s="1"/>
  <c r="Y706" i="13" a="1"/>
  <c r="Y706" i="13" s="1"/>
  <c r="Y707" i="13" a="1"/>
  <c r="Y707" i="13" s="1"/>
  <c r="Y708" i="13" a="1"/>
  <c r="Y708" i="13" s="1"/>
  <c r="Y709" i="13" a="1"/>
  <c r="Y709" i="13" s="1"/>
  <c r="Y710" i="13" a="1"/>
  <c r="Y710" i="13" s="1"/>
  <c r="Y711" i="13" a="1"/>
  <c r="Y711" i="13" s="1"/>
  <c r="Y712" i="13" a="1"/>
  <c r="Y712" i="13" s="1"/>
  <c r="Y713" i="13" a="1"/>
  <c r="Y713" i="13" s="1"/>
  <c r="Y714" i="13" a="1"/>
  <c r="Y714" i="13" s="1"/>
  <c r="Y715" i="13" a="1"/>
  <c r="Y715" i="13" s="1"/>
  <c r="Y716" i="13" a="1"/>
  <c r="Y716" i="13" s="1"/>
  <c r="Y717" i="13" a="1"/>
  <c r="Y717" i="13" s="1"/>
  <c r="Y718" i="13" a="1"/>
  <c r="Y718" i="13" s="1"/>
  <c r="Y719" i="13" a="1"/>
  <c r="Y719" i="13" s="1"/>
  <c r="Y720" i="13" a="1"/>
  <c r="Y720" i="13" s="1"/>
  <c r="Y721" i="13" a="1"/>
  <c r="Y721" i="13" s="1"/>
  <c r="Y722" i="13" a="1"/>
  <c r="Y722" i="13" s="1"/>
  <c r="Y723" i="13" a="1"/>
  <c r="Y723" i="13" s="1"/>
  <c r="Y724" i="13" a="1"/>
  <c r="Y724" i="13" s="1"/>
  <c r="Y725" i="13" a="1"/>
  <c r="Y725" i="13" s="1"/>
  <c r="Y726" i="13" a="1"/>
  <c r="Y726" i="13" s="1"/>
  <c r="Y727" i="13" a="1"/>
  <c r="Y727" i="13" s="1"/>
  <c r="Y728" i="13" a="1"/>
  <c r="Y728" i="13" s="1"/>
  <c r="Y729" i="13" a="1"/>
  <c r="Y729" i="13" s="1"/>
  <c r="Y730" i="13" a="1"/>
  <c r="Y730" i="13" s="1"/>
  <c r="Y731" i="13" a="1"/>
  <c r="Y731" i="13" s="1"/>
  <c r="Y732" i="13" a="1"/>
  <c r="Y732" i="13" s="1"/>
  <c r="Y733" i="13" a="1"/>
  <c r="Y733" i="13" s="1"/>
  <c r="Y734" i="13" a="1"/>
  <c r="Y734" i="13" s="1"/>
  <c r="Y735" i="13" a="1"/>
  <c r="Y735" i="13" s="1"/>
  <c r="Y736" i="13" a="1"/>
  <c r="Y736" i="13" s="1"/>
  <c r="Y737" i="13" a="1"/>
  <c r="Y737" i="13" s="1"/>
  <c r="Y738" i="13" a="1"/>
  <c r="Y738" i="13" s="1"/>
  <c r="Y739" i="13" a="1"/>
  <c r="Y739" i="13" s="1"/>
  <c r="Y740" i="13" a="1"/>
  <c r="Y740" i="13" s="1"/>
  <c r="Y741" i="13" a="1"/>
  <c r="Y741" i="13" s="1"/>
  <c r="Y742" i="13" a="1"/>
  <c r="Y742" i="13" s="1"/>
  <c r="Y743" i="13" a="1"/>
  <c r="Y743" i="13" s="1"/>
  <c r="Y744" i="13" a="1"/>
  <c r="Y744" i="13" s="1"/>
  <c r="Y745" i="13" a="1"/>
  <c r="Y745" i="13" s="1"/>
  <c r="Y746" i="13" a="1"/>
  <c r="Y746" i="13" s="1"/>
  <c r="Y747" i="13" a="1"/>
  <c r="Y747" i="13" s="1"/>
  <c r="Y748" i="13" a="1"/>
  <c r="Y748" i="13" s="1"/>
  <c r="Y749" i="13" a="1"/>
  <c r="Y749" i="13" s="1"/>
  <c r="Y750" i="13" a="1"/>
  <c r="Y750" i="13" s="1"/>
  <c r="Y751" i="13" a="1"/>
  <c r="Y751" i="13" s="1"/>
  <c r="Y752" i="13" a="1"/>
  <c r="Y752" i="13" s="1"/>
  <c r="Y753" i="13" a="1"/>
  <c r="Y753" i="13" s="1"/>
  <c r="Y754" i="13" a="1"/>
  <c r="Y754" i="13" s="1"/>
  <c r="Y755" i="13" a="1"/>
  <c r="Y755" i="13" s="1"/>
  <c r="Y756" i="13" a="1"/>
  <c r="Y756" i="13" s="1"/>
  <c r="Y757" i="13" a="1"/>
  <c r="Y757" i="13" s="1"/>
  <c r="Y758" i="13" a="1"/>
  <c r="Y758" i="13" s="1"/>
  <c r="Y759" i="13" a="1"/>
  <c r="Y759" i="13" s="1"/>
  <c r="Y760" i="13" a="1"/>
  <c r="Y760" i="13" s="1"/>
  <c r="Y761" i="13" a="1"/>
  <c r="Y761" i="13" s="1"/>
  <c r="Y762" i="13" a="1"/>
  <c r="Y762" i="13" s="1"/>
  <c r="Y763" i="13" a="1"/>
  <c r="Y763" i="13" s="1"/>
  <c r="Y764" i="13" a="1"/>
  <c r="Y764" i="13" s="1"/>
  <c r="Y765" i="13" a="1"/>
  <c r="Y765" i="13" s="1"/>
  <c r="Y766" i="13" a="1"/>
  <c r="Y766" i="13" s="1"/>
  <c r="Y767" i="13" a="1"/>
  <c r="Y767" i="13" s="1"/>
  <c r="Y768" i="13" a="1"/>
  <c r="Y768" i="13" s="1"/>
  <c r="Y769" i="13" a="1"/>
  <c r="Y769" i="13" s="1"/>
  <c r="Y770" i="13" a="1"/>
  <c r="Y770" i="13" s="1"/>
  <c r="Y771" i="13" a="1"/>
  <c r="Y771" i="13" s="1"/>
  <c r="Y772" i="13" a="1"/>
  <c r="Y772" i="13" s="1"/>
  <c r="Y773" i="13" a="1"/>
  <c r="Y773" i="13" s="1"/>
  <c r="Y774" i="13" a="1"/>
  <c r="Y774" i="13" s="1"/>
  <c r="Y775" i="13" a="1"/>
  <c r="Y775" i="13" s="1"/>
  <c r="Y776" i="13" a="1"/>
  <c r="Y776" i="13" s="1"/>
  <c r="Y777" i="13" a="1"/>
  <c r="Y777" i="13" s="1"/>
  <c r="Y778" i="13" a="1"/>
  <c r="Y778" i="13" s="1"/>
  <c r="Y779" i="13" a="1"/>
  <c r="Y779" i="13" s="1"/>
  <c r="Y780" i="13" a="1"/>
  <c r="Y780" i="13" s="1"/>
  <c r="Y781" i="13" a="1"/>
  <c r="Y781" i="13" s="1"/>
  <c r="Y782" i="13" a="1"/>
  <c r="Y782" i="13" s="1"/>
  <c r="Y783" i="13" a="1"/>
  <c r="Y783" i="13" s="1"/>
  <c r="Y784" i="13" a="1"/>
  <c r="Y784" i="13" s="1"/>
  <c r="Y785" i="13" a="1"/>
  <c r="Y785" i="13" s="1"/>
  <c r="Y786" i="13" a="1"/>
  <c r="Y786" i="13" s="1"/>
  <c r="Y787" i="13" a="1"/>
  <c r="Y787" i="13" s="1"/>
  <c r="Y788" i="13" a="1"/>
  <c r="Y788" i="13" s="1"/>
  <c r="Y789" i="13" a="1"/>
  <c r="Y789" i="13" s="1"/>
  <c r="Y790" i="13" a="1"/>
  <c r="Y790" i="13" s="1"/>
  <c r="Y791" i="13" a="1"/>
  <c r="Y791" i="13" s="1"/>
  <c r="Y792" i="13" a="1"/>
  <c r="Y792" i="13" s="1"/>
  <c r="Y793" i="13" a="1"/>
  <c r="Y793" i="13" s="1"/>
  <c r="Y794" i="13" a="1"/>
  <c r="Y794" i="13" s="1"/>
  <c r="Y795" i="13" a="1"/>
  <c r="Y795" i="13" s="1"/>
  <c r="Y796" i="13" a="1"/>
  <c r="Y796" i="13" s="1"/>
  <c r="Y797" i="13" a="1"/>
  <c r="Y797" i="13" s="1"/>
  <c r="Y798" i="13" a="1"/>
  <c r="Y798" i="13" s="1"/>
  <c r="Y799" i="13" a="1"/>
  <c r="Y799" i="13" s="1"/>
  <c r="Y800" i="13" a="1"/>
  <c r="Y800" i="13" s="1"/>
  <c r="Y801" i="13" a="1"/>
  <c r="Y801" i="13" s="1"/>
  <c r="Y802" i="13" a="1"/>
  <c r="Y802" i="13" s="1"/>
  <c r="Y803" i="13" a="1"/>
  <c r="Y803" i="13" s="1"/>
  <c r="Y804" i="13" a="1"/>
  <c r="Y804" i="13" s="1"/>
  <c r="Y805" i="13" a="1"/>
  <c r="Y805" i="13" s="1"/>
  <c r="Y806" i="13" a="1"/>
  <c r="Y806" i="13" s="1"/>
  <c r="Y807" i="13" a="1"/>
  <c r="Y807" i="13" s="1"/>
  <c r="Y808" i="13" a="1"/>
  <c r="Y808" i="13" s="1"/>
  <c r="Y809" i="13" a="1"/>
  <c r="Y809" i="13" s="1"/>
  <c r="Y810" i="13" a="1"/>
  <c r="Y810" i="13" s="1"/>
  <c r="Y811" i="13" a="1"/>
  <c r="Y811" i="13" s="1"/>
  <c r="Y812" i="13" a="1"/>
  <c r="Y812" i="13" s="1"/>
  <c r="Y813" i="13" a="1"/>
  <c r="Y813" i="13" s="1"/>
  <c r="Y814" i="13" a="1"/>
  <c r="Y814" i="13" s="1"/>
  <c r="Y815" i="13" a="1"/>
  <c r="Y815" i="13" s="1"/>
  <c r="Y816" i="13" a="1"/>
  <c r="Y816" i="13" s="1"/>
  <c r="Y817" i="13" a="1"/>
  <c r="Y817" i="13" s="1"/>
  <c r="Y818" i="13" a="1"/>
  <c r="Y818" i="13" s="1"/>
  <c r="Y819" i="13" a="1"/>
  <c r="Y819" i="13" s="1"/>
  <c r="Y820" i="13" a="1"/>
  <c r="Y820" i="13" s="1"/>
  <c r="Y821" i="13" a="1"/>
  <c r="Y821" i="13" s="1"/>
  <c r="Y822" i="13" a="1"/>
  <c r="Y822" i="13" s="1"/>
  <c r="Y823" i="13" a="1"/>
  <c r="Y823" i="13" s="1"/>
  <c r="Y824" i="13" a="1"/>
  <c r="Y824" i="13" s="1"/>
  <c r="Y825" i="13" a="1"/>
  <c r="Y825" i="13" s="1"/>
  <c r="Y826" i="13" a="1"/>
  <c r="Y826" i="13" s="1"/>
  <c r="Y827" i="13" a="1"/>
  <c r="Y827" i="13" s="1"/>
  <c r="Y828" i="13" a="1"/>
  <c r="Y828" i="13" s="1"/>
  <c r="Y829" i="13" a="1"/>
  <c r="Y829" i="13" s="1"/>
  <c r="Y830" i="13" a="1"/>
  <c r="Y830" i="13" s="1"/>
  <c r="Y831" i="13" a="1"/>
  <c r="Y831" i="13" s="1"/>
  <c r="Y832" i="13" a="1"/>
  <c r="Y832" i="13" s="1"/>
  <c r="Y833" i="13" a="1"/>
  <c r="Y833" i="13" s="1"/>
  <c r="Y834" i="13" a="1"/>
  <c r="Y834" i="13" s="1"/>
  <c r="Y835" i="13" a="1"/>
  <c r="Y835" i="13" s="1"/>
  <c r="Y836" i="13" a="1"/>
  <c r="Y836" i="13" s="1"/>
  <c r="Y837" i="13" a="1"/>
  <c r="Y837" i="13" s="1"/>
  <c r="Y838" i="13" a="1"/>
  <c r="Y838" i="13" s="1"/>
  <c r="Y839" i="13" a="1"/>
  <c r="Y839" i="13" s="1"/>
  <c r="Y840" i="13" a="1"/>
  <c r="Y840" i="13" s="1"/>
  <c r="Y841" i="13" a="1"/>
  <c r="Y841" i="13" s="1"/>
  <c r="Y842" i="13" a="1"/>
  <c r="Y842" i="13" s="1"/>
  <c r="Y843" i="13" a="1"/>
  <c r="Y843" i="13" s="1"/>
  <c r="Y844" i="13" a="1"/>
  <c r="Y844" i="13" s="1"/>
  <c r="Y845" i="13" a="1"/>
  <c r="Y845" i="13" s="1"/>
  <c r="Y846" i="13" a="1"/>
  <c r="Y846" i="13" s="1"/>
  <c r="Y847" i="13" a="1"/>
  <c r="Y847" i="13" s="1"/>
  <c r="Y848" i="13" a="1"/>
  <c r="Y848" i="13" s="1"/>
  <c r="Y849" i="13" a="1"/>
  <c r="Y849" i="13" s="1"/>
  <c r="Y850" i="13" a="1"/>
  <c r="Y850" i="13" s="1"/>
  <c r="Y851" i="13" a="1"/>
  <c r="Y851" i="13" s="1"/>
  <c r="Y852" i="13" a="1"/>
  <c r="Y852" i="13" s="1"/>
  <c r="Y853" i="13" a="1"/>
  <c r="Y853" i="13" s="1"/>
  <c r="Y854" i="13" a="1"/>
  <c r="Y854" i="13" s="1"/>
  <c r="Y855" i="13" a="1"/>
  <c r="Y855" i="13" s="1"/>
  <c r="Y856" i="13" a="1"/>
  <c r="Y856" i="13" s="1"/>
  <c r="Y857" i="13" a="1"/>
  <c r="Y857" i="13" s="1"/>
  <c r="Y858" i="13" a="1"/>
  <c r="Y858" i="13" s="1"/>
  <c r="Y859" i="13" a="1"/>
  <c r="Y859" i="13" s="1"/>
  <c r="Y860" i="13" a="1"/>
  <c r="Y860" i="13" s="1"/>
  <c r="Y861" i="13" a="1"/>
  <c r="Y861" i="13" s="1"/>
  <c r="Y862" i="13" a="1"/>
  <c r="Y862" i="13" s="1"/>
  <c r="Y863" i="13" a="1"/>
  <c r="Y863" i="13" s="1"/>
  <c r="Y864" i="13" a="1"/>
  <c r="Y864" i="13" s="1"/>
  <c r="Y865" i="13" a="1"/>
  <c r="Y865" i="13" s="1"/>
  <c r="Y866" i="13" a="1"/>
  <c r="Y866" i="13" s="1"/>
  <c r="Y867" i="13" a="1"/>
  <c r="Y867" i="13" s="1"/>
  <c r="Y868" i="13" a="1"/>
  <c r="Y868" i="13" s="1"/>
  <c r="Y869" i="13" a="1"/>
  <c r="Y869" i="13" s="1"/>
  <c r="Y870" i="13" a="1"/>
  <c r="Y870" i="13" s="1"/>
  <c r="Y871" i="13" a="1"/>
  <c r="Y871" i="13" s="1"/>
  <c r="Y872" i="13" a="1"/>
  <c r="Y872" i="13" s="1"/>
  <c r="Y873" i="13" a="1"/>
  <c r="Y873" i="13" s="1"/>
  <c r="Y874" i="13" a="1"/>
  <c r="Y874" i="13" s="1"/>
  <c r="Y875" i="13" a="1"/>
  <c r="Y875" i="13" s="1"/>
  <c r="Y876" i="13" a="1"/>
  <c r="Y876" i="13" s="1"/>
  <c r="Y877" i="13" a="1"/>
  <c r="Y877" i="13" s="1"/>
  <c r="Y878" i="13" a="1"/>
  <c r="Y878" i="13" s="1"/>
  <c r="Y879" i="13" a="1"/>
  <c r="Y879" i="13" s="1"/>
  <c r="Y880" i="13" a="1"/>
  <c r="Y880" i="13" s="1"/>
  <c r="Y881" i="13" a="1"/>
  <c r="Y881" i="13" s="1"/>
  <c r="Y882" i="13" a="1"/>
  <c r="Y882" i="13" s="1"/>
  <c r="Y883" i="13" a="1"/>
  <c r="Y883" i="13" s="1"/>
  <c r="Y884" i="13" a="1"/>
  <c r="Y884" i="13" s="1"/>
  <c r="Y885" i="13" a="1"/>
  <c r="Y885" i="13" s="1"/>
  <c r="Y886" i="13" a="1"/>
  <c r="Y886" i="13" s="1"/>
  <c r="Y887" i="13" a="1"/>
  <c r="Y887" i="13" s="1"/>
  <c r="Y888" i="13" a="1"/>
  <c r="Y888" i="13" s="1"/>
  <c r="Y889" i="13" a="1"/>
  <c r="Y889" i="13" s="1"/>
  <c r="Y890" i="13" a="1"/>
  <c r="Y890" i="13" s="1"/>
  <c r="Y891" i="13" a="1"/>
  <c r="Y891" i="13" s="1"/>
  <c r="Y892" i="13" a="1"/>
  <c r="Y892" i="13" s="1"/>
  <c r="Y893" i="13" a="1"/>
  <c r="Y893" i="13" s="1"/>
  <c r="Y894" i="13" a="1"/>
  <c r="Y894" i="13" s="1"/>
  <c r="Y895" i="13" a="1"/>
  <c r="Y895" i="13" s="1"/>
  <c r="Y896" i="13" a="1"/>
  <c r="Y896" i="13" s="1"/>
  <c r="Y897" i="13" a="1"/>
  <c r="Y897" i="13" s="1"/>
  <c r="Y898" i="13" a="1"/>
  <c r="Y898" i="13" s="1"/>
  <c r="Y899" i="13" a="1"/>
  <c r="Y899" i="13" s="1"/>
  <c r="Y900" i="13" a="1"/>
  <c r="Y900" i="13" s="1"/>
  <c r="Y901" i="13" a="1"/>
  <c r="Y901" i="13" s="1"/>
  <c r="Y902" i="13" a="1"/>
  <c r="Y902" i="13" s="1"/>
  <c r="Y903" i="13" a="1"/>
  <c r="Y903" i="13" s="1"/>
  <c r="Y904" i="13" a="1"/>
  <c r="Y904" i="13" s="1"/>
  <c r="Y905" i="13" a="1"/>
  <c r="Y905" i="13" s="1"/>
  <c r="Y906" i="13" a="1"/>
  <c r="Y906" i="13" s="1"/>
  <c r="Y907" i="13" a="1"/>
  <c r="Y907" i="13" s="1"/>
  <c r="Y908" i="13" a="1"/>
  <c r="Y908" i="13" s="1"/>
  <c r="Y909" i="13" a="1"/>
  <c r="Y909" i="13" s="1"/>
  <c r="Y910" i="13" a="1"/>
  <c r="Y910" i="13" s="1"/>
  <c r="Y911" i="13" a="1"/>
  <c r="Y911" i="13" s="1"/>
  <c r="Y912" i="13" a="1"/>
  <c r="Y912" i="13" s="1"/>
  <c r="Y913" i="13" a="1"/>
  <c r="Y913" i="13" s="1"/>
  <c r="Y914" i="13" a="1"/>
  <c r="Y914" i="13" s="1"/>
  <c r="Y915" i="13" a="1"/>
  <c r="Y915" i="13" s="1"/>
  <c r="Y916" i="13" a="1"/>
  <c r="Y916" i="13" s="1"/>
  <c r="Y917" i="13" a="1"/>
  <c r="Y917" i="13" s="1"/>
  <c r="Y918" i="13" a="1"/>
  <c r="Y918" i="13" s="1"/>
  <c r="Y919" i="13" a="1"/>
  <c r="Y919" i="13" s="1"/>
  <c r="Y920" i="13" a="1"/>
  <c r="Y920" i="13" s="1"/>
  <c r="Y921" i="13" a="1"/>
  <c r="Y921" i="13" s="1"/>
  <c r="Y922" i="13" a="1"/>
  <c r="Y922" i="13" s="1"/>
  <c r="Y923" i="13" a="1"/>
  <c r="Y923" i="13" s="1"/>
  <c r="Y924" i="13" a="1"/>
  <c r="Y924" i="13" s="1"/>
  <c r="Y925" i="13" a="1"/>
  <c r="Y925" i="13" s="1"/>
  <c r="Y926" i="13" a="1"/>
  <c r="Y926" i="13" s="1"/>
  <c r="Y927" i="13" a="1"/>
  <c r="Y927" i="13" s="1"/>
  <c r="Y928" i="13" a="1"/>
  <c r="Y928" i="13" s="1"/>
  <c r="Y929" i="13" a="1"/>
  <c r="Y929" i="13" s="1"/>
  <c r="Y930" i="13" a="1"/>
  <c r="Y930" i="13" s="1"/>
  <c r="Y931" i="13" a="1"/>
  <c r="Y931" i="13" s="1"/>
  <c r="Y932" i="13" a="1"/>
  <c r="Y932" i="13" s="1"/>
  <c r="Y933" i="13" a="1"/>
  <c r="Y933" i="13" s="1"/>
  <c r="Y934" i="13" a="1"/>
  <c r="Y934" i="13" s="1"/>
  <c r="Y935" i="13" a="1"/>
  <c r="Y935" i="13" s="1"/>
  <c r="Y936" i="13" a="1"/>
  <c r="Y936" i="13" s="1"/>
  <c r="Y937" i="13" a="1"/>
  <c r="Y937" i="13" s="1"/>
  <c r="Y938" i="13" a="1"/>
  <c r="Y938" i="13" s="1"/>
  <c r="Y939" i="13" a="1"/>
  <c r="Y939" i="13" s="1"/>
  <c r="Y940" i="13" a="1"/>
  <c r="Y940" i="13" s="1"/>
  <c r="Y941" i="13" a="1"/>
  <c r="Y941" i="13" s="1"/>
  <c r="Y942" i="13" a="1"/>
  <c r="Y942" i="13" s="1"/>
  <c r="Y943" i="13" a="1"/>
  <c r="Y943" i="13" s="1"/>
  <c r="Y944" i="13" a="1"/>
  <c r="Y944" i="13" s="1"/>
  <c r="Y945" i="13" a="1"/>
  <c r="Y945" i="13" s="1"/>
  <c r="Y946" i="13" a="1"/>
  <c r="Y946" i="13" s="1"/>
  <c r="Y947" i="13" a="1"/>
  <c r="Y947" i="13" s="1"/>
  <c r="Y948" i="13" a="1"/>
  <c r="Y948" i="13" s="1"/>
  <c r="Y949" i="13" a="1"/>
  <c r="Y949" i="13" s="1"/>
  <c r="Y950" i="13" a="1"/>
  <c r="Y950" i="13" s="1"/>
  <c r="Y951" i="13" a="1"/>
  <c r="Y951" i="13" s="1"/>
  <c r="Y952" i="13" a="1"/>
  <c r="Y952" i="13" s="1"/>
  <c r="Y953" i="13" a="1"/>
  <c r="Y953" i="13" s="1"/>
  <c r="Y954" i="13" a="1"/>
  <c r="Y954" i="13" s="1"/>
  <c r="Y955" i="13" a="1"/>
  <c r="Y955" i="13" s="1"/>
  <c r="Y956" i="13" a="1"/>
  <c r="Y956" i="13" s="1"/>
  <c r="Y957" i="13" a="1"/>
  <c r="Y957" i="13" s="1"/>
  <c r="Y958" i="13" a="1"/>
  <c r="Y958" i="13" s="1"/>
  <c r="Y959" i="13" a="1"/>
  <c r="Y959" i="13" s="1"/>
  <c r="Y960" i="13" a="1"/>
  <c r="Y960" i="13" s="1"/>
  <c r="Y961" i="13" a="1"/>
  <c r="Y961" i="13" s="1"/>
  <c r="Y962" i="13" a="1"/>
  <c r="Y962" i="13" s="1"/>
  <c r="Y963" i="13" a="1"/>
  <c r="Y963" i="13" s="1"/>
  <c r="Y964" i="13" a="1"/>
  <c r="Y964" i="13" s="1"/>
  <c r="Y965" i="13" a="1"/>
  <c r="Y965" i="13" s="1"/>
  <c r="Y966" i="13" a="1"/>
  <c r="Y966" i="13" s="1"/>
  <c r="Y967" i="13" a="1"/>
  <c r="Y967" i="13" s="1"/>
  <c r="Y968" i="13" a="1"/>
  <c r="Y968" i="13" s="1"/>
  <c r="Y969" i="13" a="1"/>
  <c r="Y969" i="13" s="1"/>
  <c r="Y970" i="13" a="1"/>
  <c r="Y970" i="13" s="1"/>
  <c r="Y971" i="13" a="1"/>
  <c r="Y971" i="13" s="1"/>
  <c r="Y972" i="13" a="1"/>
  <c r="Y972" i="13" s="1"/>
  <c r="Y973" i="13" a="1"/>
  <c r="Y973" i="13" s="1"/>
  <c r="Y974" i="13" a="1"/>
  <c r="Y974" i="13" s="1"/>
  <c r="Y975" i="13" a="1"/>
  <c r="Y975" i="13" s="1"/>
  <c r="Y976" i="13" a="1"/>
  <c r="Y976" i="13" s="1"/>
  <c r="Y977" i="13" a="1"/>
  <c r="Y977" i="13" s="1"/>
  <c r="Y978" i="13" a="1"/>
  <c r="Y978" i="13" s="1"/>
  <c r="Y979" i="13" a="1"/>
  <c r="Y979" i="13" s="1"/>
  <c r="Y980" i="13" a="1"/>
  <c r="Y980" i="13" s="1"/>
  <c r="Y981" i="13" a="1"/>
  <c r="Y981" i="13" s="1"/>
  <c r="Y982" i="13" a="1"/>
  <c r="Y982" i="13" s="1"/>
  <c r="Y983" i="13" a="1"/>
  <c r="Y983" i="13" s="1"/>
  <c r="Y984" i="13" a="1"/>
  <c r="Y984" i="13" s="1"/>
  <c r="Y985" i="13" a="1"/>
  <c r="Y985" i="13" s="1"/>
  <c r="Y986" i="13" a="1"/>
  <c r="Y986" i="13" s="1"/>
  <c r="Y987" i="13" a="1"/>
  <c r="Y987" i="13" s="1"/>
  <c r="Y988" i="13" a="1"/>
  <c r="Y988" i="13" s="1"/>
  <c r="Y989" i="13" a="1"/>
  <c r="Y989" i="13" s="1"/>
  <c r="Y990" i="13" a="1"/>
  <c r="Y990" i="13" s="1"/>
  <c r="Y991" i="13" a="1"/>
  <c r="Y991" i="13" s="1"/>
  <c r="Y992" i="13" a="1"/>
  <c r="Y992" i="13" s="1"/>
  <c r="Y993" i="13" a="1"/>
  <c r="Y993" i="13" s="1"/>
  <c r="Y994" i="13" a="1"/>
  <c r="Y994" i="13" s="1"/>
  <c r="Y995" i="13" a="1"/>
  <c r="Y995" i="13" s="1"/>
  <c r="Y996" i="13" a="1"/>
  <c r="Y996" i="13" s="1"/>
  <c r="Y997" i="13" a="1"/>
  <c r="Y997" i="13" s="1"/>
  <c r="Y998" i="13" a="1"/>
  <c r="Y998" i="13" s="1"/>
  <c r="Y999" i="13" a="1"/>
  <c r="Y999" i="13" s="1"/>
  <c r="Y1000" i="13" a="1"/>
  <c r="Y1000" i="13" s="1"/>
  <c r="Y1001" i="13" a="1"/>
  <c r="Y1001" i="13" s="1"/>
  <c r="Y1002" i="13" a="1"/>
  <c r="Y1002" i="13" s="1"/>
  <c r="Y1003" i="13" a="1"/>
  <c r="Y1003" i="13" s="1"/>
  <c r="Y1004" i="13" a="1"/>
  <c r="Y1004" i="13" s="1"/>
  <c r="Y1005" i="13" a="1"/>
  <c r="Y1005" i="13" s="1"/>
  <c r="Y1006" i="13" a="1"/>
  <c r="Y1006" i="13" s="1"/>
  <c r="Y1007" i="13" a="1"/>
  <c r="Y1007" i="13" s="1"/>
  <c r="Y1008" i="13" a="1"/>
  <c r="Y1008" i="13" s="1"/>
  <c r="Y1009" i="13" a="1"/>
  <c r="Y1009" i="13" s="1"/>
  <c r="Y1010" i="13" a="1"/>
  <c r="Y1010" i="13" s="1"/>
  <c r="Y1011" i="13" a="1"/>
  <c r="Y1011" i="13" s="1"/>
  <c r="Y1012" i="13" a="1"/>
  <c r="Y1012" i="13" s="1"/>
  <c r="Y1013" i="13" a="1"/>
  <c r="Y1013" i="13" s="1"/>
  <c r="Y1014" i="13" a="1"/>
  <c r="Y1014" i="13" s="1"/>
  <c r="Y1015" i="13" a="1"/>
  <c r="Y1015" i="13" s="1"/>
  <c r="Y1016" i="13" a="1"/>
  <c r="Y1016" i="13" s="1"/>
  <c r="Y1017" i="13" a="1"/>
  <c r="Y1017" i="13" s="1"/>
  <c r="Y1018" i="13" a="1"/>
  <c r="Y1018" i="13" s="1"/>
  <c r="Y1019" i="13" a="1"/>
  <c r="Y1019" i="13" s="1"/>
  <c r="Y1020" i="13" a="1"/>
  <c r="Y1020" i="13" s="1"/>
  <c r="Y1021" i="13" a="1"/>
  <c r="Y1021" i="13" s="1"/>
  <c r="Y1022" i="13" a="1"/>
  <c r="Y1022" i="13" s="1"/>
  <c r="Y1023" i="13" a="1"/>
  <c r="Y1023" i="13" s="1"/>
  <c r="Y1024" i="13" a="1"/>
  <c r="Y1024" i="13" s="1"/>
  <c r="Y1025" i="13" a="1"/>
  <c r="Y1025" i="13" s="1"/>
  <c r="Y1026" i="13" a="1"/>
  <c r="Y1026" i="13" s="1"/>
  <c r="Y1027" i="13" a="1"/>
  <c r="Y1027" i="13" s="1"/>
  <c r="Y1028" i="13" a="1"/>
  <c r="Y1028" i="13" s="1"/>
  <c r="Y1029" i="13" a="1"/>
  <c r="Y1029" i="13" s="1"/>
  <c r="Y1030" i="13" a="1"/>
  <c r="Y1030" i="13" s="1"/>
  <c r="Y1031" i="13" a="1"/>
  <c r="Y1031" i="13" s="1"/>
  <c r="Y1032" i="13" a="1"/>
  <c r="Y1032" i="13" s="1"/>
  <c r="Y1033" i="13" a="1"/>
  <c r="Y1033" i="13" s="1"/>
  <c r="Y1034" i="13" a="1"/>
  <c r="Y1034" i="13" s="1"/>
  <c r="Y1035" i="13" a="1"/>
  <c r="Y1035" i="13" s="1"/>
  <c r="Y1036" i="13" a="1"/>
  <c r="Y1036" i="13" s="1"/>
  <c r="Y1037" i="13" a="1"/>
  <c r="Y1037" i="13" s="1"/>
  <c r="Y1038" i="13" a="1"/>
  <c r="Y1038" i="13" s="1"/>
  <c r="Y1039" i="13" a="1"/>
  <c r="Y1039" i="13" s="1"/>
  <c r="Y1040" i="13" a="1"/>
  <c r="Y1040" i="13" s="1"/>
  <c r="Y1041" i="13" a="1"/>
  <c r="Y1041" i="13" s="1"/>
  <c r="Y1042" i="13" a="1"/>
  <c r="Y1042" i="13" s="1"/>
  <c r="Y1043" i="13" a="1"/>
  <c r="Y1043" i="13" s="1"/>
  <c r="Y1044" i="13" a="1"/>
  <c r="Y1044" i="13" s="1"/>
  <c r="Y1045" i="13" a="1"/>
  <c r="Y1045" i="13" s="1"/>
  <c r="Y1046" i="13" a="1"/>
  <c r="Y1046" i="13" s="1"/>
  <c r="Y1047" i="13" a="1"/>
  <c r="Y1047" i="13" s="1"/>
  <c r="Y1048" i="13" a="1"/>
  <c r="Y1048" i="13" s="1"/>
  <c r="Y1049" i="13" a="1"/>
  <c r="Y1049" i="13" s="1"/>
  <c r="Y1050" i="13" a="1"/>
  <c r="Y1050" i="13" s="1"/>
  <c r="Y1051" i="13" a="1"/>
  <c r="Y1051" i="13" s="1"/>
  <c r="Y1052" i="13" a="1"/>
  <c r="Y1052" i="13" s="1"/>
  <c r="Y1053" i="13" a="1"/>
  <c r="Y1053" i="13" s="1"/>
  <c r="Y1054" i="13" a="1"/>
  <c r="Y1054" i="13" s="1"/>
  <c r="Y1055" i="13" a="1"/>
  <c r="Y1055" i="13" s="1"/>
  <c r="Y1056" i="13" a="1"/>
  <c r="Y1056" i="13" s="1"/>
  <c r="Y1057" i="13" a="1"/>
  <c r="Y1057" i="13" s="1"/>
  <c r="Y1058" i="13" a="1"/>
  <c r="Y1058" i="13" s="1"/>
  <c r="Y1059" i="13" a="1"/>
  <c r="Y1059" i="13" s="1"/>
  <c r="Y1060" i="13" a="1"/>
  <c r="Y1060" i="13" s="1"/>
  <c r="Y1061" i="13" a="1"/>
  <c r="Y1061" i="13" s="1"/>
  <c r="Y1062" i="13" a="1"/>
  <c r="Y1062" i="13" s="1"/>
  <c r="Y1063" i="13" a="1"/>
  <c r="Y1063" i="13" s="1"/>
  <c r="Y1064" i="13" a="1"/>
  <c r="Y1064" i="13" s="1"/>
  <c r="Y1065" i="13" a="1"/>
  <c r="Y1065" i="13" s="1"/>
  <c r="Y1066" i="13" a="1"/>
  <c r="Y1066" i="13" s="1"/>
  <c r="Y1067" i="13" a="1"/>
  <c r="Y1067" i="13" s="1"/>
  <c r="Y1068" i="13" a="1"/>
  <c r="Y1068" i="13" s="1"/>
  <c r="Y1069" i="13" a="1"/>
  <c r="Y1069" i="13" s="1"/>
  <c r="Y1070" i="13" a="1"/>
  <c r="Y1070" i="13" s="1"/>
  <c r="Y1071" i="13" a="1"/>
  <c r="Y1071" i="13" s="1"/>
  <c r="Y1072" i="13" a="1"/>
  <c r="Y1072" i="13" s="1"/>
  <c r="Y1073" i="13" a="1"/>
  <c r="Y1073" i="13" s="1"/>
  <c r="Y1074" i="13" a="1"/>
  <c r="Y1074" i="13" s="1"/>
  <c r="Y1075" i="13" a="1"/>
  <c r="Y1075" i="13" s="1"/>
  <c r="Y1076" i="13" a="1"/>
  <c r="Y1076" i="13" s="1"/>
  <c r="Y1077" i="13" a="1"/>
  <c r="Y1077" i="13" s="1"/>
  <c r="Y1078" i="13" a="1"/>
  <c r="Y1078" i="13" s="1"/>
  <c r="Y1079" i="13" a="1"/>
  <c r="Y1079" i="13" s="1"/>
  <c r="Y1080" i="13" a="1"/>
  <c r="Y1080" i="13" s="1"/>
  <c r="Y1081" i="13" a="1"/>
  <c r="Y1081" i="13" s="1"/>
  <c r="Y1082" i="13" a="1"/>
  <c r="Y1082" i="13" s="1"/>
  <c r="Y1083" i="13" a="1"/>
  <c r="Y1083" i="13" s="1"/>
  <c r="Y1084" i="13" a="1"/>
  <c r="Y1084" i="13" s="1"/>
  <c r="Y1085" i="13" a="1"/>
  <c r="Y1085" i="13" s="1"/>
  <c r="Y1086" i="13" a="1"/>
  <c r="Y1086" i="13" s="1"/>
  <c r="Y1087" i="13" a="1"/>
  <c r="Y1087" i="13" s="1"/>
  <c r="Y1088" i="13" a="1"/>
  <c r="Y1088" i="13" s="1"/>
  <c r="Y1089" i="13" a="1"/>
  <c r="Y1089" i="13" s="1"/>
  <c r="Y1090" i="13" a="1"/>
  <c r="Y1090" i="13" s="1"/>
  <c r="Y1091" i="13" a="1"/>
  <c r="Y1091" i="13" s="1"/>
  <c r="Y1092" i="13" a="1"/>
  <c r="Y1092" i="13" s="1"/>
  <c r="Y1093" i="13" a="1"/>
  <c r="Y1093" i="13" s="1"/>
  <c r="Y1094" i="13" a="1"/>
  <c r="Y1094" i="13" s="1"/>
  <c r="Y1095" i="13" a="1"/>
  <c r="Y1095" i="13" s="1"/>
  <c r="Y1096" i="13" a="1"/>
  <c r="Y1096" i="13" s="1"/>
  <c r="Y1097" i="13" a="1"/>
  <c r="Y1097" i="13" s="1"/>
  <c r="Y1098" i="13" a="1"/>
  <c r="Y1098" i="13" s="1"/>
  <c r="Y1099" i="13" a="1"/>
  <c r="Y1099" i="13" s="1"/>
  <c r="Y1100" i="13" a="1"/>
  <c r="Y1100" i="13" s="1"/>
  <c r="Y1101" i="13" a="1"/>
  <c r="Y1101" i="13" s="1"/>
  <c r="Y1102" i="13" a="1"/>
  <c r="Y1102" i="13" s="1"/>
  <c r="Y1103" i="13" a="1"/>
  <c r="Y1103" i="13" s="1"/>
  <c r="Y1104" i="13" a="1"/>
  <c r="Y1104" i="13" s="1"/>
  <c r="Y1105" i="13" a="1"/>
  <c r="Y1105" i="13" s="1"/>
  <c r="Y1106" i="13" a="1"/>
  <c r="Y1106" i="13" s="1"/>
  <c r="Y1107" i="13" a="1"/>
  <c r="Y1107" i="13" s="1"/>
  <c r="Y1108" i="13" a="1"/>
  <c r="Y1108" i="13" s="1"/>
  <c r="Y1109" i="13" a="1"/>
  <c r="Y1109" i="13" s="1"/>
  <c r="Y1110" i="13" a="1"/>
  <c r="Y1110" i="13" s="1"/>
  <c r="Y1111" i="13" a="1"/>
  <c r="Y1111" i="13" s="1"/>
  <c r="Y1112" i="13" a="1"/>
  <c r="Y1112" i="13" s="1"/>
  <c r="Y1113" i="13" a="1"/>
  <c r="Y1113" i="13" s="1"/>
  <c r="Y1114" i="13" a="1"/>
  <c r="Y1114" i="13" s="1"/>
  <c r="Y1115" i="13" a="1"/>
  <c r="Y1115" i="13" s="1"/>
  <c r="Y1116" i="13" a="1"/>
  <c r="Y1116" i="13" s="1"/>
  <c r="Y1117" i="13" a="1"/>
  <c r="Y1117" i="13" s="1"/>
  <c r="Y1118" i="13" a="1"/>
  <c r="Y1118" i="13" s="1"/>
  <c r="Y1119" i="13" a="1"/>
  <c r="Y1119" i="13" s="1"/>
  <c r="Y1120" i="13" a="1"/>
  <c r="Y1120" i="13" s="1"/>
  <c r="Y1121" i="13" a="1"/>
  <c r="Y1121" i="13" s="1"/>
  <c r="Y1122" i="13" a="1"/>
  <c r="Y1122" i="13" s="1"/>
  <c r="Y1123" i="13" a="1"/>
  <c r="Y1123" i="13" s="1"/>
  <c r="Y1124" i="13" a="1"/>
  <c r="Y1124" i="13" s="1"/>
  <c r="Y1125" i="13" a="1"/>
  <c r="Y1125" i="13" s="1"/>
  <c r="Y1126" i="13" a="1"/>
  <c r="Y1126" i="13" s="1"/>
  <c r="Y1127" i="13" a="1"/>
  <c r="Y1127" i="13" s="1"/>
  <c r="Y1128" i="13" a="1"/>
  <c r="Y1128" i="13" s="1"/>
  <c r="Y1129" i="13" a="1"/>
  <c r="Y1129" i="13" s="1"/>
  <c r="Y1130" i="13" a="1"/>
  <c r="Y1130" i="13" s="1"/>
  <c r="Y1131" i="13" a="1"/>
  <c r="Y1131" i="13" s="1"/>
  <c r="Y1132" i="13" a="1"/>
  <c r="Y1132" i="13" s="1"/>
  <c r="Y1133" i="13" a="1"/>
  <c r="Y1133" i="13" s="1"/>
  <c r="Y1134" i="13" a="1"/>
  <c r="Y1134" i="13" s="1"/>
  <c r="Y1135" i="13" a="1"/>
  <c r="Y1135" i="13" s="1"/>
  <c r="Y1136" i="13" a="1"/>
  <c r="Y1136" i="13" s="1"/>
  <c r="Y1137" i="13" a="1"/>
  <c r="Y1137" i="13" s="1"/>
  <c r="Y1138" i="13" a="1"/>
  <c r="Y1138" i="13" s="1"/>
  <c r="Y1139" i="13" a="1"/>
  <c r="Y1139" i="13" s="1"/>
  <c r="Y1140" i="13" a="1"/>
  <c r="Y1140" i="13" s="1"/>
  <c r="Y1141" i="13" a="1"/>
  <c r="Y1141" i="13" s="1"/>
  <c r="Y1142" i="13" a="1"/>
  <c r="Y1142" i="13" s="1"/>
  <c r="X7" i="13" a="1"/>
  <c r="Y93" i="13" s="1" a="1"/>
  <c r="Y93" i="13" s="1"/>
  <c r="B3" i="9"/>
  <c r="R166" i="16" l="1" a="1"/>
  <c r="R166" i="16" s="1"/>
  <c r="Q165" i="16"/>
  <c r="R165" i="16" a="1"/>
  <c r="R165" i="16" s="1"/>
  <c r="E95" i="3" a="1"/>
  <c r="E95" i="3" s="1"/>
  <c r="E92" i="3" a="1"/>
  <c r="E92" i="3" s="1"/>
  <c r="E55" i="3" a="1"/>
  <c r="E55" i="3" s="1"/>
  <c r="E70" i="3" a="1"/>
  <c r="E70" i="3" s="1"/>
  <c r="E28" i="3" a="1"/>
  <c r="E28" i="3" s="1"/>
  <c r="E64" i="3" a="1"/>
  <c r="E64" i="3" s="1"/>
  <c r="E66" i="2" a="1"/>
  <c r="E66" i="2" s="1"/>
  <c r="E26" i="11" a="1"/>
  <c r="E26" i="11" s="1"/>
  <c r="E45" i="11" a="1"/>
  <c r="E45" i="11" s="1"/>
  <c r="E21" i="6" a="1"/>
  <c r="E21" i="6" s="1"/>
  <c r="E88" i="12" a="1"/>
  <c r="E88" i="12" s="1"/>
  <c r="E55" i="12" a="1"/>
  <c r="E55" i="12" s="1"/>
  <c r="E82" i="12" a="1"/>
  <c r="E82" i="12" s="1"/>
  <c r="E70" i="12" a="1"/>
  <c r="E70" i="12" s="1"/>
  <c r="E57" i="4" a="1"/>
  <c r="E57" i="4" s="1"/>
  <c r="E68" i="4" a="1"/>
  <c r="E68" i="4" s="1"/>
  <c r="P79" i="17"/>
  <c r="P71" i="17"/>
  <c r="P63" i="17"/>
  <c r="P77" i="17"/>
  <c r="P69" i="17"/>
  <c r="P61" i="17"/>
  <c r="P78" i="17"/>
  <c r="P70" i="17"/>
  <c r="P62" i="17"/>
  <c r="P82" i="17"/>
  <c r="P74" i="17"/>
  <c r="P66" i="17"/>
  <c r="P58" i="17"/>
  <c r="P76" i="17"/>
  <c r="P68" i="17"/>
  <c r="P60" i="17"/>
  <c r="P81" i="17"/>
  <c r="P73" i="17"/>
  <c r="P65" i="17"/>
  <c r="P57" i="17"/>
  <c r="P80" i="17"/>
  <c r="P72" i="17"/>
  <c r="P64" i="17"/>
  <c r="P83" i="17"/>
  <c r="P75" i="17"/>
  <c r="P67" i="17"/>
  <c r="P59" i="17"/>
  <c r="R164" i="16" a="1"/>
  <c r="R164" i="16" s="1"/>
  <c r="Q163" i="16"/>
  <c r="R163" i="16" a="1"/>
  <c r="R163" i="16" s="1"/>
  <c r="E30" i="3" a="1"/>
  <c r="E30" i="3" s="1"/>
  <c r="E40" i="2" a="1"/>
  <c r="E40" i="2" s="1"/>
  <c r="E31" i="6" a="1"/>
  <c r="E31" i="6" s="1"/>
  <c r="Q104" i="6"/>
  <c r="E89" i="12" a="1"/>
  <c r="E89" i="12" s="1"/>
  <c r="E87" i="12" a="1"/>
  <c r="E87" i="12" s="1"/>
  <c r="E57" i="12" a="1"/>
  <c r="E57" i="12" s="1"/>
  <c r="E80" i="12" a="1"/>
  <c r="E80" i="12" s="1"/>
  <c r="Q225" i="4"/>
  <c r="R423" i="4" a="1"/>
  <c r="R423" i="4" s="1"/>
  <c r="R419" i="4" a="1"/>
  <c r="R419" i="4" s="1"/>
  <c r="R421" i="4" a="1"/>
  <c r="R421" i="4" s="1"/>
  <c r="E69" i="4" a="1"/>
  <c r="E69" i="4" s="1"/>
  <c r="E20" i="4" a="1"/>
  <c r="E20" i="4" s="1"/>
  <c r="E40" i="4" a="1"/>
  <c r="E40" i="4" s="1"/>
  <c r="E44" i="3" a="1"/>
  <c r="E44" i="3" s="1"/>
  <c r="E39" i="2" a="1"/>
  <c r="E39" i="2" s="1"/>
  <c r="E32" i="2" a="1"/>
  <c r="E32" i="2" s="1"/>
  <c r="E56" i="2" a="1"/>
  <c r="E56" i="2" s="1"/>
  <c r="R395" i="2" a="1"/>
  <c r="R395" i="2" s="1"/>
  <c r="R413" i="2" a="1"/>
  <c r="R413" i="2" s="1"/>
  <c r="E43" i="2" a="1"/>
  <c r="E43" i="2" s="1"/>
  <c r="E46" i="11" a="1"/>
  <c r="E46" i="11" s="1"/>
  <c r="Q95" i="11"/>
  <c r="E26" i="6" a="1"/>
  <c r="E26" i="6" s="1"/>
  <c r="E49" i="12" a="1"/>
  <c r="E49" i="12" s="1"/>
  <c r="E74" i="12" a="1"/>
  <c r="E74" i="12" s="1"/>
  <c r="E53" i="12" a="1"/>
  <c r="E53" i="12" s="1"/>
  <c r="E58" i="12" a="1"/>
  <c r="E58" i="12" s="1"/>
  <c r="E51" i="12" a="1"/>
  <c r="E51" i="12" s="1"/>
  <c r="E54" i="4" a="1"/>
  <c r="E54" i="4" s="1"/>
  <c r="E22" i="4" a="1"/>
  <c r="E22" i="4" s="1"/>
  <c r="E52" i="4" a="1"/>
  <c r="E52" i="4" s="1"/>
  <c r="E80" i="3" a="1"/>
  <c r="E80" i="3" s="1"/>
  <c r="E88" i="3" a="1"/>
  <c r="E88" i="3" s="1"/>
  <c r="E22" i="3" a="1"/>
  <c r="E22" i="3" s="1"/>
  <c r="E34" i="3" a="1"/>
  <c r="E34" i="3" s="1"/>
  <c r="E62" i="2" a="1"/>
  <c r="E62" i="2" s="1"/>
  <c r="E43" i="11" a="1"/>
  <c r="E43" i="11" s="1"/>
  <c r="AB7" i="6" a="1"/>
  <c r="AB7" i="6" s="1"/>
  <c r="E23" i="6" a="1"/>
  <c r="E23" i="6" s="1"/>
  <c r="E72" i="12" a="1"/>
  <c r="E72" i="12" s="1"/>
  <c r="E86" i="12" a="1"/>
  <c r="E86" i="12" s="1"/>
  <c r="E58" i="4" a="1"/>
  <c r="E58" i="4" s="1"/>
  <c r="E73" i="4" a="1"/>
  <c r="E73" i="4" s="1"/>
  <c r="E51" i="3" a="1"/>
  <c r="E51" i="3" s="1"/>
  <c r="E58" i="3" a="1"/>
  <c r="E58" i="3" s="1"/>
  <c r="E41" i="3" a="1"/>
  <c r="E41" i="3" s="1"/>
  <c r="E26" i="3" a="1"/>
  <c r="E26" i="3" s="1"/>
  <c r="R235" i="11" a="1"/>
  <c r="R235" i="11" s="1"/>
  <c r="R233" i="11" a="1"/>
  <c r="R233" i="11" s="1"/>
  <c r="E49" i="11" a="1"/>
  <c r="E49" i="11" s="1"/>
  <c r="E23" i="11" a="1"/>
  <c r="E23" i="11" s="1"/>
  <c r="E42" i="11" a="1"/>
  <c r="E42" i="11" s="1"/>
  <c r="AB7" i="12" a="1"/>
  <c r="AB7" i="12" s="1"/>
  <c r="E68" i="12" a="1"/>
  <c r="E68" i="12" s="1"/>
  <c r="E59" i="12" a="1"/>
  <c r="E59" i="12" s="1"/>
  <c r="AB7" i="16" a="1"/>
  <c r="AB7" i="16" s="1"/>
  <c r="E59" i="3" a="1"/>
  <c r="E59" i="3" s="1"/>
  <c r="Q182" i="3"/>
  <c r="E37" i="3" a="1"/>
  <c r="E37" i="3" s="1"/>
  <c r="E24" i="3" a="1"/>
  <c r="E24" i="3" s="1"/>
  <c r="E47" i="11" a="1"/>
  <c r="E47" i="11" s="1"/>
  <c r="E42" i="6" a="1"/>
  <c r="E42" i="6" s="1"/>
  <c r="Q65" i="6"/>
  <c r="R528" i="12" a="1"/>
  <c r="R528" i="12" s="1"/>
  <c r="Q528" i="12"/>
  <c r="Q27" i="12"/>
  <c r="R27" i="12" a="1"/>
  <c r="R27" i="12" s="1"/>
  <c r="R131" i="12" a="1"/>
  <c r="R131" i="12" s="1"/>
  <c r="Q131" i="12"/>
  <c r="R510" i="12" a="1"/>
  <c r="R510" i="12" s="1"/>
  <c r="Q510" i="12"/>
  <c r="Q600" i="12"/>
  <c r="R600" i="12" a="1"/>
  <c r="R600" i="12" s="1"/>
  <c r="Q28" i="12"/>
  <c r="R28" i="12" a="1"/>
  <c r="R28" i="12" s="1"/>
  <c r="R575" i="12" a="1"/>
  <c r="R575" i="12" s="1"/>
  <c r="Q575" i="12"/>
  <c r="R281" i="12" a="1"/>
  <c r="R281" i="12" s="1"/>
  <c r="Q281" i="12"/>
  <c r="R107" i="12" a="1"/>
  <c r="R107" i="12" s="1"/>
  <c r="Q107" i="12"/>
  <c r="Q14" i="12"/>
  <c r="R14" i="12" a="1"/>
  <c r="R14" i="12" s="1"/>
  <c r="R249" i="12" a="1"/>
  <c r="R249" i="12" s="1"/>
  <c r="Q249" i="12"/>
  <c r="R491" i="12" a="1"/>
  <c r="R491" i="12" s="1"/>
  <c r="Q491" i="12"/>
  <c r="R386" i="12" a="1"/>
  <c r="R386" i="12" s="1"/>
  <c r="Q386" i="12"/>
  <c r="R605" i="12" a="1"/>
  <c r="R605" i="12" s="1"/>
  <c r="Q605" i="12"/>
  <c r="R355" i="12" a="1"/>
  <c r="R355" i="12" s="1"/>
  <c r="Q355" i="12"/>
  <c r="Q490" i="12"/>
  <c r="R490" i="12" a="1"/>
  <c r="R490" i="12" s="1"/>
  <c r="Q594" i="12"/>
  <c r="R594" i="12" a="1"/>
  <c r="R594" i="12" s="1"/>
  <c r="R288" i="12" a="1"/>
  <c r="R288" i="12" s="1"/>
  <c r="Q288" i="12"/>
  <c r="R410" i="12" a="1"/>
  <c r="R410" i="12" s="1"/>
  <c r="Q410" i="12"/>
  <c r="R494" i="12" a="1"/>
  <c r="R494" i="12" s="1"/>
  <c r="Q494" i="12"/>
  <c r="R537" i="12" a="1"/>
  <c r="R537" i="12" s="1"/>
  <c r="Q537" i="12"/>
  <c r="R503" i="12" a="1"/>
  <c r="R503" i="12" s="1"/>
  <c r="Q503" i="12"/>
  <c r="R342" i="12" a="1"/>
  <c r="R342" i="12" s="1"/>
  <c r="Q342" i="12"/>
  <c r="R38" i="12" a="1"/>
  <c r="R38" i="12" s="1"/>
  <c r="Q38" i="12"/>
  <c r="Q598" i="12"/>
  <c r="R598" i="12" a="1"/>
  <c r="R598" i="12" s="1"/>
  <c r="R318" i="12" a="1"/>
  <c r="R318" i="12" s="1"/>
  <c r="Q318" i="12"/>
  <c r="R260" i="12" a="1"/>
  <c r="R260" i="12" s="1"/>
  <c r="Q260" i="12"/>
  <c r="R140" i="12" a="1"/>
  <c r="R140" i="12" s="1"/>
  <c r="Q140" i="12"/>
  <c r="R26" i="12" a="1"/>
  <c r="R26" i="12" s="1"/>
  <c r="Q26" i="12"/>
  <c r="R320" i="12" a="1"/>
  <c r="R320" i="12" s="1"/>
  <c r="Q320" i="12"/>
  <c r="R198" i="12" a="1"/>
  <c r="R198" i="12" s="1"/>
  <c r="Q198" i="12"/>
  <c r="R443" i="12" a="1"/>
  <c r="R443" i="12" s="1"/>
  <c r="Q443" i="12"/>
  <c r="R322" i="12" a="1"/>
  <c r="R322" i="12" s="1"/>
  <c r="Q322" i="12"/>
  <c r="R188" i="12" a="1"/>
  <c r="R188" i="12" s="1"/>
  <c r="Q188" i="12"/>
  <c r="R61" i="12" a="1"/>
  <c r="R61" i="12" s="1"/>
  <c r="Q61" i="12"/>
  <c r="R162" i="12" a="1"/>
  <c r="R162" i="12" s="1"/>
  <c r="Q162" i="12"/>
  <c r="Q69" i="12"/>
  <c r="R69" i="12" a="1"/>
  <c r="R69" i="12" s="1"/>
  <c r="R561" i="12" a="1"/>
  <c r="R561" i="12" s="1"/>
  <c r="Q561" i="12"/>
  <c r="R308" i="12" a="1"/>
  <c r="R308" i="12" s="1"/>
  <c r="Q308" i="12"/>
  <c r="R284" i="12" a="1"/>
  <c r="R284" i="12" s="1"/>
  <c r="Q284" i="12"/>
  <c r="R152" i="12" a="1"/>
  <c r="R152" i="12" s="1"/>
  <c r="Q152" i="12"/>
  <c r="R373" i="12" a="1"/>
  <c r="R373" i="12" s="1"/>
  <c r="Q373" i="12"/>
  <c r="R93" i="12" a="1"/>
  <c r="R93" i="12" s="1"/>
  <c r="Q93" i="12"/>
  <c r="R250" i="12" a="1"/>
  <c r="R250" i="12" s="1"/>
  <c r="Q250" i="12"/>
  <c r="R522" i="12" a="1"/>
  <c r="R522" i="12" s="1"/>
  <c r="Q522" i="12"/>
  <c r="R434" i="12" a="1"/>
  <c r="R434" i="12" s="1"/>
  <c r="Q434" i="12"/>
  <c r="R238" i="12" a="1"/>
  <c r="R238" i="12" s="1"/>
  <c r="Q238" i="12"/>
  <c r="R184" i="12" a="1"/>
  <c r="R184" i="12" s="1"/>
  <c r="Q184" i="12"/>
  <c r="R66" i="12" a="1"/>
  <c r="R66" i="12" s="1"/>
  <c r="Q66" i="12"/>
  <c r="R95" i="12" a="1"/>
  <c r="R95" i="12" s="1"/>
  <c r="Q95" i="12"/>
  <c r="Q29" i="12"/>
  <c r="R29" i="12" a="1"/>
  <c r="R29" i="12" s="1"/>
  <c r="R607" i="12" a="1"/>
  <c r="R607" i="12" s="1"/>
  <c r="Q607" i="12"/>
  <c r="R493" i="12" a="1"/>
  <c r="R493" i="12" s="1"/>
  <c r="Q493" i="12"/>
  <c r="R333" i="12" a="1"/>
  <c r="R333" i="12" s="1"/>
  <c r="Q333" i="12"/>
  <c r="R264" i="12" a="1"/>
  <c r="R264" i="12" s="1"/>
  <c r="Q264" i="12"/>
  <c r="R144" i="12" a="1"/>
  <c r="R144" i="12" s="1"/>
  <c r="Q144" i="12"/>
  <c r="Q168" i="12"/>
  <c r="R168" i="12" a="1"/>
  <c r="R168" i="12" s="1"/>
  <c r="R517" i="12" a="1"/>
  <c r="R517" i="12" s="1"/>
  <c r="Q517" i="12"/>
  <c r="R442" i="12" a="1"/>
  <c r="R442" i="12" s="1"/>
  <c r="Q442" i="12"/>
  <c r="R219" i="12" a="1"/>
  <c r="R219" i="12" s="1"/>
  <c r="Q219" i="12"/>
  <c r="R172" i="12" a="1"/>
  <c r="R172" i="12" s="1"/>
  <c r="Q172" i="12"/>
  <c r="R314" i="12" a="1"/>
  <c r="R314" i="12" s="1"/>
  <c r="Q314" i="12"/>
  <c r="Q41" i="12"/>
  <c r="R41" i="12" a="1"/>
  <c r="R41" i="12" s="1"/>
  <c r="R240" i="12" a="1"/>
  <c r="R240" i="12" s="1"/>
  <c r="Q240" i="12"/>
  <c r="R444" i="12" a="1"/>
  <c r="R444" i="12" s="1"/>
  <c r="Q444" i="12"/>
  <c r="R311" i="12" a="1"/>
  <c r="R311" i="12" s="1"/>
  <c r="Q311" i="12"/>
  <c r="R464" i="12" a="1"/>
  <c r="R464" i="12" s="1"/>
  <c r="Q464" i="12"/>
  <c r="Q542" i="12"/>
  <c r="R542" i="12" a="1"/>
  <c r="R542" i="12" s="1"/>
  <c r="R560" i="12" a="1"/>
  <c r="R560" i="12" s="1"/>
  <c r="Q560" i="12"/>
  <c r="R304" i="12" a="1"/>
  <c r="R304" i="12" s="1"/>
  <c r="Q304" i="12"/>
  <c r="R365" i="12" a="1"/>
  <c r="R365" i="12" s="1"/>
  <c r="Q365" i="12"/>
  <c r="R428" i="12" a="1"/>
  <c r="R428" i="12" s="1"/>
  <c r="Q428" i="12"/>
  <c r="R390" i="12" a="1"/>
  <c r="R390" i="12" s="1"/>
  <c r="Q390" i="12"/>
  <c r="R294" i="12" a="1"/>
  <c r="R294" i="12" s="1"/>
  <c r="Q294" i="12"/>
  <c r="R405" i="12" a="1"/>
  <c r="R405" i="12" s="1"/>
  <c r="Q405" i="12"/>
  <c r="Q620" i="12"/>
  <c r="R620" i="12" a="1"/>
  <c r="R620" i="12" s="1"/>
  <c r="R427" i="12" a="1"/>
  <c r="R427" i="12" s="1"/>
  <c r="Q427" i="12"/>
  <c r="R302" i="12" a="1"/>
  <c r="R302" i="12" s="1"/>
  <c r="Q302" i="12"/>
  <c r="R190" i="12" a="1"/>
  <c r="R190" i="12" s="1"/>
  <c r="Q190" i="12"/>
  <c r="R99" i="12" a="1"/>
  <c r="R99" i="12" s="1"/>
  <c r="Q99" i="12"/>
  <c r="R122" i="12" a="1"/>
  <c r="R122" i="12" s="1"/>
  <c r="Q122" i="12"/>
  <c r="R346" i="12" a="1"/>
  <c r="R346" i="12" s="1"/>
  <c r="Q346" i="12"/>
  <c r="R533" i="12" a="1"/>
  <c r="R533" i="12" s="1"/>
  <c r="Q533" i="12"/>
  <c r="R424" i="12" a="1"/>
  <c r="R424" i="12" s="1"/>
  <c r="Q424" i="12"/>
  <c r="R265" i="12" a="1"/>
  <c r="R265" i="12" s="1"/>
  <c r="Q265" i="12"/>
  <c r="R138" i="12" a="1"/>
  <c r="R138" i="12" s="1"/>
  <c r="Q138" i="12"/>
  <c r="R344" i="12" a="1"/>
  <c r="R344" i="12" s="1"/>
  <c r="Q344" i="12"/>
  <c r="R120" i="12" a="1"/>
  <c r="R120" i="12" s="1"/>
  <c r="Q120" i="12"/>
  <c r="Q34" i="12"/>
  <c r="R34" i="12" a="1"/>
  <c r="R34" i="12" s="1"/>
  <c r="R565" i="12" a="1"/>
  <c r="R565" i="12" s="1"/>
  <c r="Q565" i="12"/>
  <c r="R310" i="12" a="1"/>
  <c r="R310" i="12" s="1"/>
  <c r="Q310" i="12"/>
  <c r="R253" i="12" a="1"/>
  <c r="R253" i="12" s="1"/>
  <c r="Q253" i="12"/>
  <c r="R94" i="12" a="1"/>
  <c r="R94" i="12" s="1"/>
  <c r="Q94" i="12"/>
  <c r="R248" i="12" a="1"/>
  <c r="R248" i="12" s="1"/>
  <c r="Q248" i="12"/>
  <c r="R10" i="12" a="1"/>
  <c r="R10" i="12" s="1"/>
  <c r="Q10" i="12"/>
  <c r="R529" i="12" a="1"/>
  <c r="R529" i="12" s="1"/>
  <c r="Q529" i="12"/>
  <c r="Q407" i="12"/>
  <c r="R407" i="12" a="1"/>
  <c r="R407" i="12" s="1"/>
  <c r="R229" i="12" a="1"/>
  <c r="R229" i="12" s="1"/>
  <c r="Q229" i="12"/>
  <c r="R150" i="12" a="1"/>
  <c r="R150" i="12" s="1"/>
  <c r="Q150" i="12"/>
  <c r="Q283" i="12"/>
  <c r="R283" i="12" a="1"/>
  <c r="R283" i="12" s="1"/>
  <c r="Q63" i="12"/>
  <c r="R63" i="12" a="1"/>
  <c r="R63" i="12" s="1"/>
  <c r="R11" i="12" a="1"/>
  <c r="R11" i="12" s="1"/>
  <c r="Q11" i="12"/>
  <c r="R521" i="12" a="1"/>
  <c r="R521" i="12" s="1"/>
  <c r="Q521" i="12"/>
  <c r="R502" i="12" a="1"/>
  <c r="R502" i="12" s="1"/>
  <c r="Q502" i="12"/>
  <c r="R329" i="12" a="1"/>
  <c r="R329" i="12" s="1"/>
  <c r="Q329" i="12"/>
  <c r="R60" i="12" a="1"/>
  <c r="R60" i="12" s="1"/>
  <c r="Q60" i="12"/>
  <c r="Q50" i="12"/>
  <c r="R50" i="12" a="1"/>
  <c r="R50" i="12" s="1"/>
  <c r="R87" i="12" a="1"/>
  <c r="R87" i="12" s="1"/>
  <c r="Q87" i="12"/>
  <c r="R487" i="12" a="1"/>
  <c r="R487" i="12" s="1"/>
  <c r="Q487" i="12"/>
  <c r="R432" i="12" a="1"/>
  <c r="R432" i="12" s="1"/>
  <c r="Q432" i="12"/>
  <c r="R326" i="12" a="1"/>
  <c r="R326" i="12" s="1"/>
  <c r="Q326" i="12"/>
  <c r="R501" i="12" a="1"/>
  <c r="R501" i="12" s="1"/>
  <c r="Q501" i="12"/>
  <c r="R558" i="12" a="1"/>
  <c r="R558" i="12" s="1"/>
  <c r="Q558" i="12"/>
  <c r="R610" i="12" a="1"/>
  <c r="R610" i="12" s="1"/>
  <c r="Q610" i="12"/>
  <c r="R158" i="12" a="1"/>
  <c r="R158" i="12" s="1"/>
  <c r="Q158" i="12"/>
  <c r="R531" i="12" a="1"/>
  <c r="R531" i="12" s="1"/>
  <c r="Q531" i="12"/>
  <c r="R435" i="12" a="1"/>
  <c r="R435" i="12" s="1"/>
  <c r="Q435" i="12"/>
  <c r="R587" i="12" a="1"/>
  <c r="R587" i="12" s="1"/>
  <c r="Q587" i="12"/>
  <c r="R380" i="12" a="1"/>
  <c r="R380" i="12" s="1"/>
  <c r="Q380" i="12"/>
  <c r="R504" i="12" a="1"/>
  <c r="R504" i="12" s="1"/>
  <c r="Q504" i="12"/>
  <c r="R616" i="12" a="1"/>
  <c r="R616" i="12" s="1"/>
  <c r="Q616" i="12"/>
  <c r="R597" i="12" a="1"/>
  <c r="R597" i="12" s="1"/>
  <c r="Q597" i="12"/>
  <c r="Q513" i="12"/>
  <c r="R513" i="12" a="1"/>
  <c r="R513" i="12" s="1"/>
  <c r="R457" i="12" a="1"/>
  <c r="R457" i="12" s="1"/>
  <c r="Q457" i="12"/>
  <c r="R255" i="12" a="1"/>
  <c r="R255" i="12" s="1"/>
  <c r="Q255" i="12"/>
  <c r="R287" i="12" a="1"/>
  <c r="R287" i="12" s="1"/>
  <c r="Q287" i="12"/>
  <c r="R574" i="12" a="1"/>
  <c r="R574" i="12" s="1"/>
  <c r="Q574" i="12"/>
  <c r="R479" i="12" a="1"/>
  <c r="R479" i="12" s="1"/>
  <c r="Q479" i="12"/>
  <c r="Q323" i="12"/>
  <c r="R323" i="12" a="1"/>
  <c r="R323" i="12" s="1"/>
  <c r="R182" i="12" a="1"/>
  <c r="R182" i="12" s="1"/>
  <c r="Q182" i="12"/>
  <c r="R90" i="12" a="1"/>
  <c r="R90" i="12" s="1"/>
  <c r="Q90" i="12"/>
  <c r="R114" i="12" a="1"/>
  <c r="R114" i="12" s="1"/>
  <c r="Q114" i="12"/>
  <c r="R247" i="12" a="1"/>
  <c r="R247" i="12" s="1"/>
  <c r="Q247" i="12"/>
  <c r="R516" i="12" a="1"/>
  <c r="R516" i="12" s="1"/>
  <c r="Q516" i="12"/>
  <c r="R399" i="12" a="1"/>
  <c r="R399" i="12" s="1"/>
  <c r="Q399" i="12"/>
  <c r="R239" i="12" a="1"/>
  <c r="R239" i="12" s="1"/>
  <c r="Q239" i="12"/>
  <c r="R129" i="12" a="1"/>
  <c r="R129" i="12" s="1"/>
  <c r="Q129" i="12"/>
  <c r="R241" i="12" a="1"/>
  <c r="R241" i="12" s="1"/>
  <c r="Q241" i="12"/>
  <c r="R112" i="12" a="1"/>
  <c r="R112" i="12" s="1"/>
  <c r="Q112" i="12"/>
  <c r="R347" i="12" a="1"/>
  <c r="R347" i="12" s="1"/>
  <c r="Q347" i="12"/>
  <c r="R498" i="12" a="1"/>
  <c r="R498" i="12" s="1"/>
  <c r="Q498" i="12"/>
  <c r="R286" i="12" a="1"/>
  <c r="R286" i="12" s="1"/>
  <c r="Q286" i="12"/>
  <c r="R206" i="12" a="1"/>
  <c r="R206" i="12" s="1"/>
  <c r="Q206" i="12"/>
  <c r="R68" i="12" a="1"/>
  <c r="R68" i="12" s="1"/>
  <c r="Q68" i="12"/>
  <c r="R279" i="12" a="1"/>
  <c r="R279" i="12" s="1"/>
  <c r="Q279" i="12"/>
  <c r="E66" i="12" a="1"/>
  <c r="E66" i="12" s="1"/>
  <c r="E27" i="12" a="1"/>
  <c r="E27" i="12" s="1"/>
  <c r="E46" i="12" a="1"/>
  <c r="E46" i="12" s="1"/>
  <c r="R300" i="12" a="1"/>
  <c r="R300" i="12" s="1"/>
  <c r="Q300" i="12"/>
  <c r="R606" i="12" a="1"/>
  <c r="R606" i="12" s="1"/>
  <c r="Q606" i="12"/>
  <c r="R509" i="12" a="1"/>
  <c r="R509" i="12" s="1"/>
  <c r="Q509" i="12"/>
  <c r="R421" i="12" a="1"/>
  <c r="R421" i="12" s="1"/>
  <c r="Q421" i="12"/>
  <c r="R207" i="12" a="1"/>
  <c r="R207" i="12" s="1"/>
  <c r="Q207" i="12"/>
  <c r="R142" i="12" a="1"/>
  <c r="R142" i="12" s="1"/>
  <c r="Q142" i="12"/>
  <c r="R191" i="12" a="1"/>
  <c r="R191" i="12" s="1"/>
  <c r="Q191" i="12"/>
  <c r="Q47" i="12"/>
  <c r="R47" i="12" a="1"/>
  <c r="R47" i="12" s="1"/>
  <c r="Q622" i="12"/>
  <c r="R622" i="12" a="1"/>
  <c r="R622" i="12" s="1"/>
  <c r="R580" i="12" a="1"/>
  <c r="R580" i="12" s="1"/>
  <c r="Q580" i="12"/>
  <c r="R272" i="12" a="1"/>
  <c r="R272" i="12" s="1"/>
  <c r="Q272" i="12"/>
  <c r="R454" i="12" a="1"/>
  <c r="R454" i="12" s="1"/>
  <c r="Q454" i="12"/>
  <c r="R180" i="12" a="1"/>
  <c r="R180" i="12" s="1"/>
  <c r="Q180" i="12"/>
  <c r="R358" i="12" a="1"/>
  <c r="R358" i="12" s="1"/>
  <c r="Q358" i="12"/>
  <c r="R461" i="12" a="1"/>
  <c r="R461" i="12" s="1"/>
  <c r="Q461" i="12"/>
  <c r="R613" i="12" a="1"/>
  <c r="R613" i="12" s="1"/>
  <c r="Q613" i="12"/>
  <c r="Q30" i="12"/>
  <c r="R30" i="12" a="1"/>
  <c r="R30" i="12" s="1"/>
  <c r="R500" i="12" a="1"/>
  <c r="R500" i="12" s="1"/>
  <c r="Q500" i="12"/>
  <c r="R458" i="12" a="1"/>
  <c r="R458" i="12" s="1"/>
  <c r="Q458" i="12"/>
  <c r="R608" i="12" a="1"/>
  <c r="R608" i="12" s="1"/>
  <c r="Q608" i="12"/>
  <c r="R459" i="12" a="1"/>
  <c r="R459" i="12" s="1"/>
  <c r="Q459" i="12"/>
  <c r="R368" i="12" a="1"/>
  <c r="R368" i="12" s="1"/>
  <c r="Q368" i="12"/>
  <c r="R506" i="12" a="1"/>
  <c r="R506" i="12" s="1"/>
  <c r="Q506" i="12"/>
  <c r="R576" i="12" a="1"/>
  <c r="R576" i="12" s="1"/>
  <c r="Q576" i="12"/>
  <c r="R425" i="12" a="1"/>
  <c r="R425" i="12" s="1"/>
  <c r="Q425" i="12"/>
  <c r="R223" i="12" a="1"/>
  <c r="R223" i="12" s="1"/>
  <c r="Q223" i="12"/>
  <c r="R215" i="12" a="1"/>
  <c r="R215" i="12" s="1"/>
  <c r="Q215" i="12"/>
  <c r="R523" i="12" a="1"/>
  <c r="R523" i="12" s="1"/>
  <c r="Q523" i="12"/>
  <c r="R463" i="12" a="1"/>
  <c r="R463" i="12" s="1"/>
  <c r="Q463" i="12"/>
  <c r="R244" i="12" a="1"/>
  <c r="R244" i="12" s="1"/>
  <c r="Q244" i="12"/>
  <c r="R165" i="12" a="1"/>
  <c r="R165" i="12" s="1"/>
  <c r="Q165" i="12"/>
  <c r="R81" i="12" a="1"/>
  <c r="R81" i="12" s="1"/>
  <c r="Q81" i="12"/>
  <c r="R106" i="12" a="1"/>
  <c r="R106" i="12" s="1"/>
  <c r="Q106" i="12"/>
  <c r="R296" i="12" a="1"/>
  <c r="R296" i="12" s="1"/>
  <c r="Q296" i="12"/>
  <c r="R552" i="12" a="1"/>
  <c r="R552" i="12" s="1"/>
  <c r="Q552" i="12"/>
  <c r="R319" i="12" a="1"/>
  <c r="R319" i="12" s="1"/>
  <c r="Q319" i="12"/>
  <c r="R232" i="12" a="1"/>
  <c r="R232" i="12" s="1"/>
  <c r="Q232" i="12"/>
  <c r="R121" i="12" a="1"/>
  <c r="R121" i="12" s="1"/>
  <c r="Q121" i="12"/>
  <c r="R208" i="12" a="1"/>
  <c r="R208" i="12" s="1"/>
  <c r="Q208" i="12"/>
  <c r="R104" i="12" a="1"/>
  <c r="R104" i="12" s="1"/>
  <c r="Q104" i="12"/>
  <c r="R585" i="12" a="1"/>
  <c r="R585" i="12" s="1"/>
  <c r="Q585" i="12"/>
  <c r="Q469" i="12"/>
  <c r="R469" i="12" a="1"/>
  <c r="R469" i="12" s="1"/>
  <c r="R331" i="12" a="1"/>
  <c r="R331" i="12" s="1"/>
  <c r="Q331" i="12"/>
  <c r="R226" i="12" a="1"/>
  <c r="R226" i="12" s="1"/>
  <c r="Q226" i="12"/>
  <c r="R59" i="12" a="1"/>
  <c r="R59" i="12" s="1"/>
  <c r="Q59" i="12"/>
  <c r="R202" i="12" a="1"/>
  <c r="R202" i="12" s="1"/>
  <c r="Q202" i="12"/>
  <c r="R292" i="12" a="1"/>
  <c r="R292" i="12" s="1"/>
  <c r="Q292" i="12"/>
  <c r="R569" i="12" a="1"/>
  <c r="R569" i="12" s="1"/>
  <c r="Q569" i="12"/>
  <c r="R512" i="12" a="1"/>
  <c r="R512" i="12" s="1"/>
  <c r="Q512" i="12"/>
  <c r="R313" i="12" a="1"/>
  <c r="R313" i="12" s="1"/>
  <c r="Q313" i="12"/>
  <c r="R271" i="12" a="1"/>
  <c r="R271" i="12" s="1"/>
  <c r="Q271" i="12"/>
  <c r="R117" i="12" a="1"/>
  <c r="R117" i="12" s="1"/>
  <c r="Q117" i="12"/>
  <c r="R167" i="12" a="1"/>
  <c r="R167" i="12" s="1"/>
  <c r="Q167" i="12"/>
  <c r="R39" i="12" a="1"/>
  <c r="R39" i="12" s="1"/>
  <c r="Q39" i="12"/>
  <c r="Q577" i="12"/>
  <c r="R577" i="12" a="1"/>
  <c r="R577" i="12" s="1"/>
  <c r="R484" i="12" a="1"/>
  <c r="R484" i="12" s="1"/>
  <c r="Q484" i="12"/>
  <c r="R394" i="12" a="1"/>
  <c r="R394" i="12" s="1"/>
  <c r="Q394" i="12"/>
  <c r="R609" i="12" a="1"/>
  <c r="R609" i="12" s="1"/>
  <c r="Q609" i="12"/>
  <c r="R164" i="12" a="1"/>
  <c r="R164" i="12" s="1"/>
  <c r="Q164" i="12"/>
  <c r="R408" i="12" a="1"/>
  <c r="R408" i="12" s="1"/>
  <c r="Q408" i="12"/>
  <c r="R153" i="12" a="1"/>
  <c r="R153" i="12" s="1"/>
  <c r="Q153" i="12"/>
  <c r="R222" i="12" a="1"/>
  <c r="R222" i="12" s="1"/>
  <c r="Q222" i="12"/>
  <c r="R489" i="12" a="1"/>
  <c r="R489" i="12" s="1"/>
  <c r="Q489" i="12"/>
  <c r="R274" i="12" a="1"/>
  <c r="R274" i="12" s="1"/>
  <c r="Q274" i="12"/>
  <c r="R496" i="12" a="1"/>
  <c r="R496" i="12" s="1"/>
  <c r="Q496" i="12"/>
  <c r="R450" i="12" a="1"/>
  <c r="R450" i="12" s="1"/>
  <c r="Q450" i="12"/>
  <c r="R492" i="12" a="1"/>
  <c r="R492" i="12" s="1"/>
  <c r="Q492" i="12"/>
  <c r="R348" i="12" a="1"/>
  <c r="R348" i="12" s="1"/>
  <c r="Q348" i="12"/>
  <c r="R258" i="12" a="1"/>
  <c r="R258" i="12" s="1"/>
  <c r="Q258" i="12"/>
  <c r="R52" i="12" a="1"/>
  <c r="R52" i="12" s="1"/>
  <c r="Q52" i="12"/>
  <c r="R269" i="12" a="1"/>
  <c r="R269" i="12" s="1"/>
  <c r="Q269" i="12"/>
  <c r="Q71" i="12"/>
  <c r="R71" i="12" a="1"/>
  <c r="R71" i="12" s="1"/>
  <c r="R430" i="12" a="1"/>
  <c r="R430" i="12" s="1"/>
  <c r="Q430" i="12"/>
  <c r="R460" i="12" a="1"/>
  <c r="R460" i="12" s="1"/>
  <c r="Q460" i="12"/>
  <c r="R619" i="12" a="1"/>
  <c r="R619" i="12" s="1"/>
  <c r="Q619" i="12"/>
  <c r="R374" i="12" a="1"/>
  <c r="R374" i="12" s="1"/>
  <c r="Q374" i="12"/>
  <c r="Q297" i="12"/>
  <c r="R297" i="12" a="1"/>
  <c r="R297" i="12" s="1"/>
  <c r="R488" i="12" a="1"/>
  <c r="R488" i="12" s="1"/>
  <c r="Q488" i="12"/>
  <c r="R524" i="12" a="1"/>
  <c r="R524" i="12" s="1"/>
  <c r="Q524" i="12"/>
  <c r="R567" i="12" a="1"/>
  <c r="R567" i="12" s="1"/>
  <c r="Q567" i="12"/>
  <c r="R481" i="12" a="1"/>
  <c r="R481" i="12" s="1"/>
  <c r="Q481" i="12"/>
  <c r="R324" i="12" a="1"/>
  <c r="R324" i="12" s="1"/>
  <c r="Q324" i="12"/>
  <c r="R132" i="12" a="1"/>
  <c r="R132" i="12" s="1"/>
  <c r="Q132" i="12"/>
  <c r="R212" i="12" a="1"/>
  <c r="R212" i="12" s="1"/>
  <c r="Q212" i="12"/>
  <c r="R480" i="12" a="1"/>
  <c r="R480" i="12" s="1"/>
  <c r="Q480" i="12"/>
  <c r="Q377" i="12"/>
  <c r="R377" i="12" a="1"/>
  <c r="R377" i="12" s="1"/>
  <c r="R236" i="12" a="1"/>
  <c r="R236" i="12" s="1"/>
  <c r="Q236" i="12"/>
  <c r="R156" i="12" a="1"/>
  <c r="R156" i="12" s="1"/>
  <c r="Q156" i="12"/>
  <c r="Q64" i="12"/>
  <c r="R64" i="12" a="1"/>
  <c r="R64" i="12" s="1"/>
  <c r="R98" i="12" a="1"/>
  <c r="R98" i="12" s="1"/>
  <c r="Q98" i="12"/>
  <c r="R277" i="12" a="1"/>
  <c r="R277" i="12" s="1"/>
  <c r="Q277" i="12"/>
  <c r="R412" i="12" a="1"/>
  <c r="R412" i="12" s="1"/>
  <c r="Q412" i="12"/>
  <c r="Q382" i="12"/>
  <c r="R382" i="12" a="1"/>
  <c r="R382" i="12" s="1"/>
  <c r="R227" i="12" a="1"/>
  <c r="R227" i="12" s="1"/>
  <c r="Q227" i="12"/>
  <c r="R105" i="12" a="1"/>
  <c r="R105" i="12" s="1"/>
  <c r="Q105" i="12"/>
  <c r="R213" i="12" a="1"/>
  <c r="R213" i="12" s="1"/>
  <c r="Q213" i="12"/>
  <c r="R86" i="12" a="1"/>
  <c r="R86" i="12" s="1"/>
  <c r="Q86" i="12"/>
  <c r="R375" i="12" a="1"/>
  <c r="R375" i="12" s="1"/>
  <c r="Q375" i="12"/>
  <c r="R345" i="12" a="1"/>
  <c r="R345" i="12" s="1"/>
  <c r="Q345" i="12"/>
  <c r="R178" i="12" a="1"/>
  <c r="R178" i="12" s="1"/>
  <c r="Q178" i="12"/>
  <c r="Q51" i="12"/>
  <c r="R51" i="12" a="1"/>
  <c r="R51" i="12" s="1"/>
  <c r="R185" i="12" a="1"/>
  <c r="R185" i="12" s="1"/>
  <c r="Q185" i="12"/>
  <c r="R352" i="12" a="1"/>
  <c r="R352" i="12" s="1"/>
  <c r="Q352" i="12"/>
  <c r="R551" i="12" a="1"/>
  <c r="R551" i="12" s="1"/>
  <c r="Q551" i="12"/>
  <c r="R423" i="12" a="1"/>
  <c r="R423" i="12" s="1"/>
  <c r="Q423" i="12"/>
  <c r="R350" i="12" a="1"/>
  <c r="R350" i="12" s="1"/>
  <c r="Q350" i="12"/>
  <c r="R201" i="12" a="1"/>
  <c r="R201" i="12" s="1"/>
  <c r="Q201" i="12"/>
  <c r="R92" i="12" a="1"/>
  <c r="R92" i="12" s="1"/>
  <c r="Q92" i="12"/>
  <c r="R159" i="12" a="1"/>
  <c r="R159" i="12" s="1"/>
  <c r="Q159" i="12"/>
  <c r="R31" i="12" a="1"/>
  <c r="R31" i="12" s="1"/>
  <c r="Q31" i="12"/>
  <c r="Q604" i="12"/>
  <c r="R604" i="12" a="1"/>
  <c r="R604" i="12" s="1"/>
  <c r="R511" i="12" a="1"/>
  <c r="R511" i="12" s="1"/>
  <c r="Q511" i="12"/>
  <c r="R211" i="12" a="1"/>
  <c r="R211" i="12" s="1"/>
  <c r="Q211" i="12"/>
  <c r="Q24" i="12"/>
  <c r="R24" i="12" a="1"/>
  <c r="R24" i="12" s="1"/>
  <c r="R234" i="12" a="1"/>
  <c r="R234" i="12" s="1"/>
  <c r="Q234" i="12"/>
  <c r="Q57" i="12"/>
  <c r="R57" i="12" a="1"/>
  <c r="R57" i="12" s="1"/>
  <c r="R354" i="12" a="1"/>
  <c r="R354" i="12" s="1"/>
  <c r="Q354" i="12"/>
  <c r="Q8" i="12"/>
  <c r="R8" i="12" a="1"/>
  <c r="R8" i="12" s="1"/>
  <c r="R147" i="12" a="1"/>
  <c r="R147" i="12" s="1"/>
  <c r="Q147" i="12"/>
  <c r="R128" i="12" a="1"/>
  <c r="R128" i="12" s="1"/>
  <c r="Q128" i="12"/>
  <c r="R136" i="12" a="1"/>
  <c r="R136" i="12" s="1"/>
  <c r="Q136" i="12"/>
  <c r="Q20" i="12"/>
  <c r="R20" i="12" a="1"/>
  <c r="R20" i="12" s="1"/>
  <c r="R588" i="12" a="1"/>
  <c r="R588" i="12" s="1"/>
  <c r="R393" i="12" a="1"/>
  <c r="R393" i="12" s="1"/>
  <c r="R369" i="12" a="1"/>
  <c r="R369" i="12" s="1"/>
  <c r="R467" i="12" a="1"/>
  <c r="R467" i="12" s="1"/>
  <c r="R417" i="12" a="1"/>
  <c r="R417" i="12" s="1"/>
  <c r="R370" i="12" a="1"/>
  <c r="R370" i="12" s="1"/>
  <c r="R541" i="12" a="1"/>
  <c r="R541" i="12" s="1"/>
  <c r="R499" i="12" a="1"/>
  <c r="R499" i="12" s="1"/>
  <c r="R404" i="12" a="1"/>
  <c r="R404" i="12" s="1"/>
  <c r="R618" i="12" a="1"/>
  <c r="R618" i="12" s="1"/>
  <c r="R547" i="12" a="1"/>
  <c r="R547" i="12" s="1"/>
  <c r="R411" i="12" a="1"/>
  <c r="R411" i="12" s="1"/>
  <c r="R392" i="12" a="1"/>
  <c r="R392" i="12" s="1"/>
  <c r="R108" i="12" a="1"/>
  <c r="R108" i="12" s="1"/>
  <c r="R262" i="12" a="1"/>
  <c r="R262" i="12" s="1"/>
  <c r="R157" i="12" a="1"/>
  <c r="R157" i="12" s="1"/>
  <c r="R465" i="12" a="1"/>
  <c r="R465" i="12" s="1"/>
  <c r="R448" i="12" a="1"/>
  <c r="R448" i="12" s="1"/>
  <c r="R383" i="12" a="1"/>
  <c r="R383" i="12" s="1"/>
  <c r="R356" i="12" a="1"/>
  <c r="R356" i="12" s="1"/>
  <c r="R221" i="12" a="1"/>
  <c r="R221" i="12" s="1"/>
  <c r="R130" i="12" a="1"/>
  <c r="R130" i="12" s="1"/>
  <c r="R367" i="12" a="1"/>
  <c r="R367" i="12" s="1"/>
  <c r="R261" i="12" a="1"/>
  <c r="R261" i="12" s="1"/>
  <c r="R570" i="12" a="1"/>
  <c r="R570" i="12" s="1"/>
  <c r="R472" i="12" a="1"/>
  <c r="R472" i="12" s="1"/>
  <c r="R451" i="12" a="1"/>
  <c r="R451" i="12" s="1"/>
  <c r="R360" i="12" a="1"/>
  <c r="R360" i="12" s="1"/>
  <c r="R218" i="12" a="1"/>
  <c r="R218" i="12" s="1"/>
  <c r="R96" i="12" a="1"/>
  <c r="R96" i="12" s="1"/>
  <c r="R603" i="12" a="1"/>
  <c r="R603" i="12" s="1"/>
  <c r="R546" i="12" a="1"/>
  <c r="R546" i="12" s="1"/>
  <c r="R534" i="12" a="1"/>
  <c r="R534" i="12" s="1"/>
  <c r="R437" i="12" a="1"/>
  <c r="R437" i="12" s="1"/>
  <c r="R353" i="12" a="1"/>
  <c r="R353" i="12" s="1"/>
  <c r="R339" i="12" a="1"/>
  <c r="R339" i="12" s="1"/>
  <c r="R526" i="12" a="1"/>
  <c r="R526" i="12" s="1"/>
  <c r="R446" i="12" a="1"/>
  <c r="R446" i="12" s="1"/>
  <c r="R293" i="12" a="1"/>
  <c r="R293" i="12" s="1"/>
  <c r="R17" i="12" a="1"/>
  <c r="R17" i="12" s="1"/>
  <c r="R214" i="12" a="1"/>
  <c r="R214" i="12" s="1"/>
  <c r="R35" i="12" a="1"/>
  <c r="R35" i="12" s="1"/>
  <c r="R76" i="12" a="1"/>
  <c r="R76" i="12" s="1"/>
  <c r="R328" i="12" a="1"/>
  <c r="R328" i="12" s="1"/>
  <c r="R497" i="12" a="1"/>
  <c r="R497" i="12" s="1"/>
  <c r="R275" i="12" a="1"/>
  <c r="R275" i="12" s="1"/>
  <c r="R366" i="12" a="1"/>
  <c r="R366" i="12" s="1"/>
  <c r="R473" i="12" a="1"/>
  <c r="R473" i="12" s="1"/>
  <c r="R389" i="12" a="1"/>
  <c r="R389" i="12" s="1"/>
  <c r="R564" i="12" a="1"/>
  <c r="R564" i="12" s="1"/>
  <c r="R282" i="12" a="1"/>
  <c r="R282" i="12" s="1"/>
  <c r="R18" i="12" a="1"/>
  <c r="R18" i="12" s="1"/>
  <c r="R599" i="12" a="1"/>
  <c r="R599" i="12" s="1"/>
  <c r="R25" i="12" a="1"/>
  <c r="R25" i="12" s="1"/>
  <c r="R341" i="12" a="1"/>
  <c r="R341" i="12" s="1"/>
  <c r="R196" i="12" a="1"/>
  <c r="R196" i="12" s="1"/>
  <c r="R195" i="12" a="1"/>
  <c r="R195" i="12" s="1"/>
  <c r="R126" i="12" a="1"/>
  <c r="R126" i="12" s="1"/>
  <c r="R67" i="12" a="1"/>
  <c r="R67" i="12" s="1"/>
  <c r="R617" i="12" a="1"/>
  <c r="R617" i="12" s="1"/>
  <c r="R125" i="12" a="1"/>
  <c r="R125" i="12" s="1"/>
  <c r="R230" i="12" a="1"/>
  <c r="R230" i="12" s="1"/>
  <c r="R199" i="12" a="1"/>
  <c r="R199" i="12" s="1"/>
  <c r="R143" i="12" a="1"/>
  <c r="R143" i="12" s="1"/>
  <c r="R103" i="12" a="1"/>
  <c r="R103" i="12" s="1"/>
  <c r="R77" i="12" a="1"/>
  <c r="R77" i="12" s="1"/>
  <c r="R12" i="12" a="1"/>
  <c r="R12" i="12" s="1"/>
  <c r="R89" i="12" a="1"/>
  <c r="R89" i="12" s="1"/>
  <c r="R220" i="12" a="1"/>
  <c r="R220" i="12" s="1"/>
  <c r="R539" i="12" a="1"/>
  <c r="R539" i="12" s="1"/>
  <c r="R485" i="12" a="1"/>
  <c r="R485" i="12" s="1"/>
  <c r="R299" i="12" a="1"/>
  <c r="R299" i="12" s="1"/>
  <c r="R228" i="12" a="1"/>
  <c r="R228" i="12" s="1"/>
  <c r="R596" i="12" a="1"/>
  <c r="R596" i="12" s="1"/>
  <c r="R514" i="12" a="1"/>
  <c r="R514" i="12" s="1"/>
  <c r="R401" i="12" a="1"/>
  <c r="R401" i="12" s="1"/>
  <c r="R338" i="12" a="1"/>
  <c r="R338" i="12" s="1"/>
  <c r="R242" i="12" a="1"/>
  <c r="R242" i="12" s="1"/>
  <c r="R186" i="12" a="1"/>
  <c r="R186" i="12" s="1"/>
  <c r="R267" i="12" a="1"/>
  <c r="R267" i="12" s="1"/>
  <c r="R177" i="12" a="1"/>
  <c r="R177" i="12" s="1"/>
  <c r="R32" i="12" a="1"/>
  <c r="R32" i="12" s="1"/>
  <c r="R544" i="12" a="1"/>
  <c r="R544" i="12" s="1"/>
  <c r="R426" i="12" a="1"/>
  <c r="R426" i="12" s="1"/>
  <c r="R433" i="12" a="1"/>
  <c r="R433" i="12" s="1"/>
  <c r="R298" i="12" a="1"/>
  <c r="R298" i="12" s="1"/>
  <c r="R231" i="12" a="1"/>
  <c r="R231" i="12" s="1"/>
  <c r="R22" i="12" a="1"/>
  <c r="R22" i="12" s="1"/>
  <c r="R205" i="12" a="1"/>
  <c r="R205" i="12" s="1"/>
  <c r="R309" i="12" a="1"/>
  <c r="R309" i="12" s="1"/>
  <c r="R49" i="12" a="1"/>
  <c r="R49" i="12" s="1"/>
  <c r="R589" i="12" a="1"/>
  <c r="R589" i="12" s="1"/>
  <c r="R396" i="12" a="1"/>
  <c r="R396" i="12" s="1"/>
  <c r="R555" i="12" a="1"/>
  <c r="R555" i="12" s="1"/>
  <c r="R466" i="12" a="1"/>
  <c r="R466" i="12" s="1"/>
  <c r="R398" i="12" a="1"/>
  <c r="R398" i="12" s="1"/>
  <c r="R391" i="12" a="1"/>
  <c r="R391" i="12" s="1"/>
  <c r="R532" i="12" a="1"/>
  <c r="R532" i="12" s="1"/>
  <c r="R409" i="12" a="1"/>
  <c r="R409" i="12" s="1"/>
  <c r="R371" i="12" a="1"/>
  <c r="R371" i="12" s="1"/>
  <c r="R436" i="12" a="1"/>
  <c r="R436" i="12" s="1"/>
  <c r="R614" i="12" a="1"/>
  <c r="R614" i="12" s="1"/>
  <c r="R477" i="12" a="1"/>
  <c r="R477" i="12" s="1"/>
  <c r="R379" i="12" a="1"/>
  <c r="R379" i="12" s="1"/>
  <c r="R556" i="12" a="1"/>
  <c r="R556" i="12" s="1"/>
  <c r="R149" i="12" a="1"/>
  <c r="R149" i="12" s="1"/>
  <c r="R100" i="12" a="1"/>
  <c r="R100" i="12" s="1"/>
  <c r="R361" i="12" a="1"/>
  <c r="R361" i="12" s="1"/>
  <c r="R233" i="12" a="1"/>
  <c r="R233" i="12" s="1"/>
  <c r="R578" i="12" a="1"/>
  <c r="R578" i="12" s="1"/>
  <c r="R538" i="12" a="1"/>
  <c r="R538" i="12" s="1"/>
  <c r="R478" i="12" a="1"/>
  <c r="R478" i="12" s="1"/>
  <c r="R456" i="12" a="1"/>
  <c r="R456" i="12" s="1"/>
  <c r="R359" i="12" a="1"/>
  <c r="R359" i="12" s="1"/>
  <c r="R278" i="12" a="1"/>
  <c r="R278" i="12" s="1"/>
  <c r="R174" i="12" a="1"/>
  <c r="R174" i="12" s="1"/>
  <c r="R340" i="12" a="1"/>
  <c r="R340" i="12" s="1"/>
  <c r="R583" i="12" a="1"/>
  <c r="R583" i="12" s="1"/>
  <c r="R549" i="12" a="1"/>
  <c r="R549" i="12" s="1"/>
  <c r="R482" i="12" a="1"/>
  <c r="R482" i="12" s="1"/>
  <c r="R335" i="12" a="1"/>
  <c r="R335" i="12" s="1"/>
  <c r="R113" i="12" a="1"/>
  <c r="R113" i="12" s="1"/>
  <c r="R280" i="12" a="1"/>
  <c r="R280" i="12" s="1"/>
  <c r="R562" i="12" a="1"/>
  <c r="R562" i="12" s="1"/>
  <c r="R571" i="12" a="1"/>
  <c r="R571" i="12" s="1"/>
  <c r="R85" i="12" a="1"/>
  <c r="R85" i="12" s="1"/>
  <c r="R381" i="12" a="1"/>
  <c r="R381" i="12" s="1"/>
  <c r="R582" i="12" a="1"/>
  <c r="R582" i="12" s="1"/>
  <c r="R621" i="12" a="1"/>
  <c r="R621" i="12" s="1"/>
  <c r="R566" i="12" a="1"/>
  <c r="R566" i="12" s="1"/>
  <c r="R495" i="12" a="1"/>
  <c r="R495" i="12" s="1"/>
  <c r="R141" i="12" a="1"/>
  <c r="R141" i="12" s="1"/>
  <c r="R397" i="12" a="1"/>
  <c r="R397" i="12" s="1"/>
  <c r="R80" i="12" a="1"/>
  <c r="R80" i="12" s="1"/>
  <c r="R97" i="12" a="1"/>
  <c r="R97" i="12" s="1"/>
  <c r="R187" i="12" a="1"/>
  <c r="R187" i="12" s="1"/>
  <c r="R235" i="12" a="1"/>
  <c r="R235" i="12" s="1"/>
  <c r="R169" i="12" a="1"/>
  <c r="R169" i="12" s="1"/>
  <c r="R118" i="12" a="1"/>
  <c r="R118" i="12" s="1"/>
  <c r="R483" i="12" a="1"/>
  <c r="R483" i="12" s="1"/>
  <c r="R109" i="12" a="1"/>
  <c r="R109" i="12" s="1"/>
  <c r="R224" i="12" a="1"/>
  <c r="R224" i="12" s="1"/>
  <c r="R183" i="12" a="1"/>
  <c r="R183" i="12" s="1"/>
  <c r="R127" i="12" a="1"/>
  <c r="R127" i="12" s="1"/>
  <c r="R79" i="12" a="1"/>
  <c r="R79" i="12" s="1"/>
  <c r="R58" i="12" a="1"/>
  <c r="R58" i="12" s="1"/>
  <c r="R70" i="12" a="1"/>
  <c r="R70" i="12" s="1"/>
  <c r="R21" i="12" a="1"/>
  <c r="R21" i="12" s="1"/>
  <c r="R55" i="12" a="1"/>
  <c r="R55" i="12" s="1"/>
  <c r="R181" i="12" a="1"/>
  <c r="R181" i="12" s="1"/>
  <c r="R246" i="12" a="1"/>
  <c r="R246" i="12" s="1"/>
  <c r="R601" i="12" a="1"/>
  <c r="R601" i="12" s="1"/>
  <c r="R474" i="12" a="1"/>
  <c r="R474" i="12" s="1"/>
  <c r="R307" i="12" a="1"/>
  <c r="R307" i="12" s="1"/>
  <c r="R263" i="12" a="1"/>
  <c r="R263" i="12" s="1"/>
  <c r="R53" i="12" a="1"/>
  <c r="R53" i="12" s="1"/>
  <c r="R315" i="12" a="1"/>
  <c r="R315" i="12" s="1"/>
  <c r="R592" i="12" a="1"/>
  <c r="R592" i="12" s="1"/>
  <c r="R563" i="12" a="1"/>
  <c r="R563" i="12" s="1"/>
  <c r="R414" i="12" a="1"/>
  <c r="R414" i="12" s="1"/>
  <c r="R295" i="12" a="1"/>
  <c r="R295" i="12" s="1"/>
  <c r="R237" i="12" a="1"/>
  <c r="R237" i="12" s="1"/>
  <c r="R170" i="12" a="1"/>
  <c r="R170" i="12" s="1"/>
  <c r="R395" i="12" a="1"/>
  <c r="R395" i="12" s="1"/>
  <c r="R216" i="12" a="1"/>
  <c r="R216" i="12" s="1"/>
  <c r="R573" i="12" a="1"/>
  <c r="R573" i="12" s="1"/>
  <c r="R518" i="12" a="1"/>
  <c r="R518" i="12" s="1"/>
  <c r="R439" i="12" a="1"/>
  <c r="R439" i="12" s="1"/>
  <c r="R402" i="12" a="1"/>
  <c r="R402" i="12" s="1"/>
  <c r="R276" i="12" a="1"/>
  <c r="R276" i="12" s="1"/>
  <c r="R259" i="12" a="1"/>
  <c r="R259" i="12" s="1"/>
  <c r="R101" i="12" a="1"/>
  <c r="R101" i="12" s="1"/>
  <c r="R43" i="12" a="1"/>
  <c r="R43" i="12" s="1"/>
  <c r="R83" i="12" a="1"/>
  <c r="R83" i="12" s="1"/>
  <c r="R13" i="12" a="1"/>
  <c r="R13" i="12" s="1"/>
  <c r="R364" i="12" a="1"/>
  <c r="R364" i="12" s="1"/>
  <c r="R507" i="12" a="1"/>
  <c r="R507" i="12" s="1"/>
  <c r="R591" i="12" a="1"/>
  <c r="R591" i="12" s="1"/>
  <c r="R453" i="12" a="1"/>
  <c r="R453" i="12" s="1"/>
  <c r="R581" i="12" a="1"/>
  <c r="R581" i="12" s="1"/>
  <c r="R568" i="12" a="1"/>
  <c r="R568" i="12" s="1"/>
  <c r="R595" i="12" a="1"/>
  <c r="R595" i="12" s="1"/>
  <c r="R357" i="12" a="1"/>
  <c r="R357" i="12" s="1"/>
  <c r="R557" i="12" a="1"/>
  <c r="R557" i="12" s="1"/>
  <c r="R422" i="12" a="1"/>
  <c r="R422" i="12" s="1"/>
  <c r="R305" i="12" a="1"/>
  <c r="R305" i="12" s="1"/>
  <c r="R388" i="12" a="1"/>
  <c r="R388" i="12" s="1"/>
  <c r="R530" i="12" a="1"/>
  <c r="R530" i="12" s="1"/>
  <c r="R445" i="12" a="1"/>
  <c r="R445" i="12" s="1"/>
  <c r="R317" i="12" a="1"/>
  <c r="R317" i="12" s="1"/>
  <c r="R124" i="12" a="1"/>
  <c r="R124" i="12" s="1"/>
  <c r="R91" i="12" a="1"/>
  <c r="R91" i="12" s="1"/>
  <c r="R192" i="12" a="1"/>
  <c r="R192" i="12" s="1"/>
  <c r="R615" i="12" a="1"/>
  <c r="R615" i="12" s="1"/>
  <c r="R505" i="12" a="1"/>
  <c r="R505" i="12" s="1"/>
  <c r="R418" i="12" a="1"/>
  <c r="R418" i="12" s="1"/>
  <c r="R415" i="12" a="1"/>
  <c r="R415" i="12" s="1"/>
  <c r="R363" i="12" a="1"/>
  <c r="R363" i="12" s="1"/>
  <c r="R268" i="12" a="1"/>
  <c r="R268" i="12" s="1"/>
  <c r="R123" i="12" a="1"/>
  <c r="R123" i="12" s="1"/>
  <c r="R321" i="12" a="1"/>
  <c r="R321" i="12" s="1"/>
  <c r="R243" i="12" a="1"/>
  <c r="R243" i="12" s="1"/>
  <c r="R545" i="12" a="1"/>
  <c r="R545" i="12" s="1"/>
  <c r="R476" i="12" a="1"/>
  <c r="R476" i="12" s="1"/>
  <c r="R325" i="12" a="1"/>
  <c r="R325" i="12" s="1"/>
  <c r="R266" i="12" a="1"/>
  <c r="R266" i="12" s="1"/>
  <c r="R171" i="12" a="1"/>
  <c r="R171" i="12" s="1"/>
  <c r="R540" i="12" a="1"/>
  <c r="R540" i="12" s="1"/>
  <c r="R429" i="12" a="1"/>
  <c r="R429" i="12" s="1"/>
  <c r="R470" i="12" a="1"/>
  <c r="R470" i="12" s="1"/>
  <c r="R455" i="12" a="1"/>
  <c r="R455" i="12" s="1"/>
  <c r="R82" i="12" a="1"/>
  <c r="R82" i="12" s="1"/>
  <c r="R400" i="12" a="1"/>
  <c r="R400" i="12" s="1"/>
  <c r="R115" i="12" a="1"/>
  <c r="R115" i="12" s="1"/>
  <c r="R173" i="12" a="1"/>
  <c r="R173" i="12" s="1"/>
  <c r="R72" i="12" a="1"/>
  <c r="R72" i="12" s="1"/>
  <c r="R163" i="12" a="1"/>
  <c r="R163" i="12" s="1"/>
  <c r="R257" i="12" a="1"/>
  <c r="R257" i="12" s="1"/>
  <c r="R145" i="12" a="1"/>
  <c r="R145" i="12" s="1"/>
  <c r="R289" i="12" a="1"/>
  <c r="R289" i="12" s="1"/>
  <c r="R160" i="12" a="1"/>
  <c r="R160" i="12" s="1"/>
  <c r="R102" i="12" a="1"/>
  <c r="R102" i="12" s="1"/>
  <c r="R273" i="12" a="1"/>
  <c r="R273" i="12" s="1"/>
  <c r="R175" i="12" a="1"/>
  <c r="R175" i="12" s="1"/>
  <c r="R119" i="12" a="1"/>
  <c r="R119" i="12" s="1"/>
  <c r="R45" i="12" a="1"/>
  <c r="R45" i="12" s="1"/>
  <c r="R37" i="12" a="1"/>
  <c r="R37" i="12" s="1"/>
  <c r="R36" i="12" a="1"/>
  <c r="R36" i="12" s="1"/>
  <c r="R579" i="12" a="1"/>
  <c r="R579" i="12" s="1"/>
  <c r="R40" i="12" a="1"/>
  <c r="R40" i="12" s="1"/>
  <c r="R189" i="12" a="1"/>
  <c r="R189" i="12" s="1"/>
  <c r="R590" i="12" a="1"/>
  <c r="R590" i="12" s="1"/>
  <c r="R376" i="12" a="1"/>
  <c r="R376" i="12" s="1"/>
  <c r="R334" i="12" a="1"/>
  <c r="R334" i="12" s="1"/>
  <c r="R154" i="12" a="1"/>
  <c r="R154" i="12" s="1"/>
  <c r="R137" i="12" a="1"/>
  <c r="R137" i="12" s="1"/>
  <c r="R593" i="12" a="1"/>
  <c r="R593" i="12" s="1"/>
  <c r="R413" i="12" a="1"/>
  <c r="R413" i="12" s="1"/>
  <c r="R572" i="12" a="1"/>
  <c r="R572" i="12" s="1"/>
  <c r="R447" i="12" a="1"/>
  <c r="R447" i="12" s="1"/>
  <c r="R387" i="12" a="1"/>
  <c r="R387" i="12" s="1"/>
  <c r="R535" i="12" a="1"/>
  <c r="R535" i="12" s="1"/>
  <c r="R519" i="12" a="1"/>
  <c r="R519" i="12" s="1"/>
  <c r="R602" i="12" a="1"/>
  <c r="R602" i="12" s="1"/>
  <c r="R612" i="12" a="1"/>
  <c r="R612" i="12" s="1"/>
  <c r="R553" i="12" a="1"/>
  <c r="R553" i="12" s="1"/>
  <c r="R468" i="12" a="1"/>
  <c r="R468" i="12" s="1"/>
  <c r="R406" i="12" a="1"/>
  <c r="R406" i="12" s="1"/>
  <c r="R116" i="12" a="1"/>
  <c r="R116" i="12" s="1"/>
  <c r="R251" i="12" a="1"/>
  <c r="R251" i="12" s="1"/>
  <c r="R166" i="12" a="1"/>
  <c r="R166" i="12" s="1"/>
  <c r="R536" i="12" a="1"/>
  <c r="R536" i="12" s="1"/>
  <c r="R471" i="12" a="1"/>
  <c r="R471" i="12" s="1"/>
  <c r="R543" i="12" a="1"/>
  <c r="R543" i="12" s="1"/>
  <c r="R419" i="12" a="1"/>
  <c r="R419" i="12" s="1"/>
  <c r="R349" i="12" a="1"/>
  <c r="R349" i="12" s="1"/>
  <c r="R210" i="12" a="1"/>
  <c r="R210" i="12" s="1"/>
  <c r="R155" i="12" a="1"/>
  <c r="R155" i="12" s="1"/>
  <c r="R303" i="12" a="1"/>
  <c r="R303" i="12" s="1"/>
  <c r="R332" i="12" a="1"/>
  <c r="R332" i="12" s="1"/>
  <c r="R525" i="12" a="1"/>
  <c r="R525" i="12" s="1"/>
  <c r="R452" i="12" a="1"/>
  <c r="R452" i="12" s="1"/>
  <c r="R438" i="12" a="1"/>
  <c r="R438" i="12" s="1"/>
  <c r="R291" i="12" a="1"/>
  <c r="R291" i="12" s="1"/>
  <c r="R217" i="12" a="1"/>
  <c r="R217" i="12" s="1"/>
  <c r="R254" i="12" a="1"/>
  <c r="R254" i="12" s="1"/>
  <c r="R550" i="12" a="1"/>
  <c r="R550" i="12" s="1"/>
  <c r="R462" i="12" a="1"/>
  <c r="R462" i="12" s="1"/>
  <c r="R586" i="12" a="1"/>
  <c r="R586" i="12" s="1"/>
  <c r="R351" i="12" a="1"/>
  <c r="R351" i="12" s="1"/>
  <c r="R548" i="12" a="1"/>
  <c r="R548" i="12" s="1"/>
  <c r="R475" i="12" a="1"/>
  <c r="R475" i="12" s="1"/>
  <c r="R301" i="12" a="1"/>
  <c r="R301" i="12" s="1"/>
  <c r="R74" i="12" a="1"/>
  <c r="R74" i="12" s="1"/>
  <c r="R225" i="12" a="1"/>
  <c r="R225" i="12" s="1"/>
  <c r="R73" i="12" a="1"/>
  <c r="R73" i="12" s="1"/>
  <c r="R139" i="12" a="1"/>
  <c r="R139" i="12" s="1"/>
  <c r="R54" i="12" a="1"/>
  <c r="R54" i="12" s="1"/>
  <c r="R204" i="12" a="1"/>
  <c r="R204" i="12" s="1"/>
  <c r="R252" i="12" a="1"/>
  <c r="R252" i="12" s="1"/>
  <c r="R33" i="12" a="1"/>
  <c r="R33" i="12" s="1"/>
  <c r="R306" i="12" a="1"/>
  <c r="R306" i="12" s="1"/>
  <c r="R134" i="12" a="1"/>
  <c r="R134" i="12" s="1"/>
  <c r="R84" i="12" a="1"/>
  <c r="R84" i="12" s="1"/>
  <c r="R285" i="12" a="1"/>
  <c r="R285" i="12" s="1"/>
  <c r="R176" i="12" a="1"/>
  <c r="R176" i="12" s="1"/>
  <c r="R151" i="12" a="1"/>
  <c r="R151" i="12" s="1"/>
  <c r="R111" i="12" a="1"/>
  <c r="R111" i="12" s="1"/>
  <c r="R44" i="12" a="1"/>
  <c r="R44" i="12" s="1"/>
  <c r="R16" i="12" a="1"/>
  <c r="R16" i="12" s="1"/>
  <c r="R23" i="12" a="1"/>
  <c r="R23" i="12" s="1"/>
  <c r="R42" i="12" a="1"/>
  <c r="R42" i="12" s="1"/>
  <c r="R611" i="12" a="1"/>
  <c r="R611" i="12" s="1"/>
  <c r="R440" i="12" a="1"/>
  <c r="R440" i="12" s="1"/>
  <c r="R384" i="12" a="1"/>
  <c r="R384" i="12" s="1"/>
  <c r="R146" i="12" a="1"/>
  <c r="R146" i="12" s="1"/>
  <c r="R431" i="12" a="1"/>
  <c r="R431" i="12" s="1"/>
  <c r="R256" i="12" a="1"/>
  <c r="R256" i="12" s="1"/>
  <c r="R203" i="12" a="1"/>
  <c r="R203" i="12" s="1"/>
  <c r="R194" i="12" a="1"/>
  <c r="R194" i="12" s="1"/>
  <c r="R449" i="12" a="1"/>
  <c r="R449" i="12" s="1"/>
  <c r="R316" i="12" a="1"/>
  <c r="R316" i="12" s="1"/>
  <c r="R133" i="12" a="1"/>
  <c r="R133" i="12" s="1"/>
  <c r="R19" i="12" a="1"/>
  <c r="R19" i="12" s="1"/>
  <c r="R9" i="12" a="1"/>
  <c r="R9" i="12" s="1"/>
  <c r="R48" i="12" a="1"/>
  <c r="R48" i="12" s="1"/>
  <c r="R65" i="12" a="1"/>
  <c r="R65" i="12" s="1"/>
  <c r="R336" i="12" a="1"/>
  <c r="R336" i="12" s="1"/>
  <c r="R209" i="12" a="1"/>
  <c r="R209" i="12" s="1"/>
  <c r="R343" i="12" a="1"/>
  <c r="R343" i="12" s="1"/>
  <c r="R420" i="12" a="1"/>
  <c r="R420" i="12" s="1"/>
  <c r="Q420" i="12"/>
  <c r="R554" i="12" a="1"/>
  <c r="R554" i="12" s="1"/>
  <c r="Q554" i="12"/>
  <c r="R337" i="12" a="1"/>
  <c r="R337" i="12" s="1"/>
  <c r="Q337" i="12"/>
  <c r="R378" i="12" a="1"/>
  <c r="R378" i="12" s="1"/>
  <c r="Q378" i="12"/>
  <c r="R515" i="12" a="1"/>
  <c r="R515" i="12" s="1"/>
  <c r="Q515" i="12"/>
  <c r="R520" i="12" a="1"/>
  <c r="R520" i="12" s="1"/>
  <c r="Q520" i="12"/>
  <c r="R584" i="12" a="1"/>
  <c r="R584" i="12" s="1"/>
  <c r="Q584" i="12"/>
  <c r="R486" i="12" a="1"/>
  <c r="R486" i="12" s="1"/>
  <c r="Q486" i="12"/>
  <c r="R403" i="12" a="1"/>
  <c r="R403" i="12" s="1"/>
  <c r="Q403" i="12"/>
  <c r="Q56" i="12"/>
  <c r="R56" i="12" a="1"/>
  <c r="R56" i="12" s="1"/>
  <c r="R200" i="12" a="1"/>
  <c r="R200" i="12" s="1"/>
  <c r="Q200" i="12"/>
  <c r="R508" i="12" a="1"/>
  <c r="R508" i="12" s="1"/>
  <c r="Q508" i="12"/>
  <c r="R362" i="12" a="1"/>
  <c r="R362" i="12" s="1"/>
  <c r="Q362" i="12"/>
  <c r="R312" i="12" a="1"/>
  <c r="R312" i="12" s="1"/>
  <c r="Q312" i="12"/>
  <c r="R148" i="12" a="1"/>
  <c r="R148" i="12" s="1"/>
  <c r="Q148" i="12"/>
  <c r="R46" i="12" a="1"/>
  <c r="R46" i="12" s="1"/>
  <c r="Q46" i="12"/>
  <c r="Q62" i="12"/>
  <c r="R62" i="12" a="1"/>
  <c r="R62" i="12" s="1"/>
  <c r="R245" i="12" a="1"/>
  <c r="R245" i="12" s="1"/>
  <c r="Q245" i="12"/>
  <c r="R416" i="12" a="1"/>
  <c r="R416" i="12" s="1"/>
  <c r="Q416" i="12"/>
  <c r="R330" i="12" a="1"/>
  <c r="R330" i="12" s="1"/>
  <c r="Q330" i="12"/>
  <c r="R197" i="12" a="1"/>
  <c r="R197" i="12" s="1"/>
  <c r="Q197" i="12"/>
  <c r="R88" i="12" a="1"/>
  <c r="R88" i="12" s="1"/>
  <c r="Q88" i="12"/>
  <c r="R179" i="12" a="1"/>
  <c r="R179" i="12" s="1"/>
  <c r="Q179" i="12"/>
  <c r="R78" i="12" a="1"/>
  <c r="R78" i="12" s="1"/>
  <c r="Q78" i="12"/>
  <c r="R559" i="12" a="1"/>
  <c r="R559" i="12" s="1"/>
  <c r="Q559" i="12"/>
  <c r="R441" i="12" a="1"/>
  <c r="R441" i="12" s="1"/>
  <c r="Q441" i="12"/>
  <c r="R270" i="12" a="1"/>
  <c r="R270" i="12" s="1"/>
  <c r="Q270" i="12"/>
  <c r="R161" i="12" a="1"/>
  <c r="R161" i="12" s="1"/>
  <c r="Q161" i="12"/>
  <c r="R327" i="12" a="1"/>
  <c r="R327" i="12" s="1"/>
  <c r="Q327" i="12"/>
  <c r="R110" i="12" a="1"/>
  <c r="R110" i="12" s="1"/>
  <c r="Q110" i="12"/>
  <c r="R290" i="12" a="1"/>
  <c r="R290" i="12" s="1"/>
  <c r="Q290" i="12"/>
  <c r="R527" i="12" a="1"/>
  <c r="R527" i="12" s="1"/>
  <c r="Q527" i="12"/>
  <c r="R372" i="12" a="1"/>
  <c r="R372" i="12" s="1"/>
  <c r="Q372" i="12"/>
  <c r="R385" i="12" a="1"/>
  <c r="R385" i="12" s="1"/>
  <c r="Q385" i="12"/>
  <c r="R193" i="12" a="1"/>
  <c r="R193" i="12" s="1"/>
  <c r="Q193" i="12"/>
  <c r="Q75" i="12"/>
  <c r="R75" i="12" a="1"/>
  <c r="R75" i="12" s="1"/>
  <c r="R135" i="12" a="1"/>
  <c r="R135" i="12" s="1"/>
  <c r="Q135" i="12"/>
  <c r="Q15" i="12"/>
  <c r="R15" i="12" a="1"/>
  <c r="R15" i="12" s="1"/>
  <c r="Q623" i="12"/>
  <c r="R623" i="12" a="1"/>
  <c r="R623" i="12" s="1"/>
  <c r="R299" i="4" a="1"/>
  <c r="R299" i="4" s="1"/>
  <c r="Q299" i="4"/>
  <c r="Q316" i="4"/>
  <c r="R316" i="4" a="1"/>
  <c r="R316" i="4" s="1"/>
  <c r="Q372" i="4"/>
  <c r="R372" i="4" a="1"/>
  <c r="R372" i="4" s="1"/>
  <c r="Q422" i="4"/>
  <c r="R422" i="4" a="1"/>
  <c r="R422" i="4" s="1"/>
  <c r="R444" i="4" a="1"/>
  <c r="R444" i="4" s="1"/>
  <c r="Q444" i="4"/>
  <c r="Q202" i="4"/>
  <c r="R202" i="4" a="1"/>
  <c r="R202" i="4" s="1"/>
  <c r="Q223" i="4"/>
  <c r="R223" i="4" a="1"/>
  <c r="R223" i="4" s="1"/>
  <c r="R364" i="4" a="1"/>
  <c r="R364" i="4" s="1"/>
  <c r="Q364" i="4"/>
  <c r="Q361" i="4"/>
  <c r="R361" i="4" a="1"/>
  <c r="R361" i="4" s="1"/>
  <c r="Q252" i="4"/>
  <c r="R252" i="4" a="1"/>
  <c r="R252" i="4" s="1"/>
  <c r="Q155" i="4"/>
  <c r="R155" i="4" a="1"/>
  <c r="R155" i="4" s="1"/>
  <c r="Q427" i="4"/>
  <c r="R427" i="4" a="1"/>
  <c r="R427" i="4" s="1"/>
  <c r="Q343" i="4"/>
  <c r="R343" i="4" a="1"/>
  <c r="R343" i="4" s="1"/>
  <c r="Q144" i="4"/>
  <c r="R144" i="4" a="1"/>
  <c r="R144" i="4" s="1"/>
  <c r="Q386" i="4"/>
  <c r="R386" i="4" a="1"/>
  <c r="R386" i="4" s="1"/>
  <c r="R184" i="4" a="1"/>
  <c r="R184" i="4" s="1"/>
  <c r="Q184" i="4"/>
  <c r="R403" i="4" a="1"/>
  <c r="R403" i="4" s="1"/>
  <c r="Q403" i="4"/>
  <c r="Q241" i="4"/>
  <c r="R241" i="4" a="1"/>
  <c r="R241" i="4" s="1"/>
  <c r="Q156" i="4"/>
  <c r="R156" i="4" a="1"/>
  <c r="R156" i="4" s="1"/>
  <c r="R434" i="4" a="1"/>
  <c r="R434" i="4" s="1"/>
  <c r="Q434" i="4"/>
  <c r="Q227" i="4"/>
  <c r="R227" i="4" a="1"/>
  <c r="R227" i="4" s="1"/>
  <c r="Q187" i="4"/>
  <c r="R187" i="4" a="1"/>
  <c r="R187" i="4" s="1"/>
  <c r="Q358" i="4"/>
  <c r="R358" i="4" a="1"/>
  <c r="R358" i="4" s="1"/>
  <c r="Q206" i="4"/>
  <c r="R206" i="4" a="1"/>
  <c r="R206" i="4" s="1"/>
  <c r="Q435" i="4"/>
  <c r="R435" i="4" a="1"/>
  <c r="R435" i="4" s="1"/>
  <c r="R307" i="4" a="1"/>
  <c r="R307" i="4" s="1"/>
  <c r="Q307" i="4"/>
  <c r="Q179" i="4"/>
  <c r="R179" i="4" a="1"/>
  <c r="R179" i="4" s="1"/>
  <c r="Q416" i="4"/>
  <c r="R416" i="4" a="1"/>
  <c r="R416" i="4" s="1"/>
  <c r="Q276" i="4"/>
  <c r="R276" i="4" a="1"/>
  <c r="R276" i="4" s="1"/>
  <c r="Q281" i="4"/>
  <c r="R281" i="4" a="1"/>
  <c r="R281" i="4" s="1"/>
  <c r="Q145" i="4"/>
  <c r="R145" i="4" a="1"/>
  <c r="R145" i="4" s="1"/>
  <c r="R433" i="4" a="1"/>
  <c r="R433" i="4" s="1"/>
  <c r="Q433" i="4"/>
  <c r="R430" i="4" a="1"/>
  <c r="R430" i="4" s="1"/>
  <c r="Q344" i="4"/>
  <c r="R344" i="4" a="1"/>
  <c r="R344" i="4" s="1"/>
  <c r="R309" i="4" a="1"/>
  <c r="R309" i="4" s="1"/>
  <c r="Q309" i="4"/>
  <c r="Q410" i="4"/>
  <c r="R410" i="4" a="1"/>
  <c r="R410" i="4" s="1"/>
  <c r="Q269" i="4"/>
  <c r="R269" i="4" a="1"/>
  <c r="R269" i="4" s="1"/>
  <c r="Q142" i="4"/>
  <c r="R142" i="4" a="1"/>
  <c r="R142" i="4" s="1"/>
  <c r="Q432" i="4"/>
  <c r="R432" i="4" a="1"/>
  <c r="R432" i="4" s="1"/>
  <c r="Q268" i="4"/>
  <c r="R268" i="4" a="1"/>
  <c r="R268" i="4" s="1"/>
  <c r="Q133" i="4"/>
  <c r="R133" i="4" a="1"/>
  <c r="R133" i="4" s="1"/>
  <c r="Q322" i="4"/>
  <c r="R322" i="4" a="1"/>
  <c r="R322" i="4" s="1"/>
  <c r="Q159" i="4"/>
  <c r="R159" i="4" a="1"/>
  <c r="R159" i="4" s="1"/>
  <c r="Q375" i="4"/>
  <c r="R375" i="4" a="1"/>
  <c r="R375" i="4" s="1"/>
  <c r="Q259" i="4"/>
  <c r="R259" i="4" a="1"/>
  <c r="R259" i="4" s="1"/>
  <c r="Q221" i="4"/>
  <c r="R221" i="4" a="1"/>
  <c r="R221" i="4" s="1"/>
  <c r="R354" i="4" a="1"/>
  <c r="R354" i="4" s="1"/>
  <c r="Q354" i="4"/>
  <c r="Q213" i="4"/>
  <c r="R213" i="4" a="1"/>
  <c r="R213" i="4" s="1"/>
  <c r="Q150" i="4"/>
  <c r="R150" i="4" a="1"/>
  <c r="R150" i="4" s="1"/>
  <c r="Q301" i="4"/>
  <c r="R301" i="4" a="1"/>
  <c r="R301" i="4" s="1"/>
  <c r="Q168" i="4"/>
  <c r="R168" i="4" a="1"/>
  <c r="R168" i="4" s="1"/>
  <c r="Q440" i="4"/>
  <c r="R440" i="4" a="1"/>
  <c r="R440" i="4" s="1"/>
  <c r="Q409" i="4"/>
  <c r="R409" i="4" a="1"/>
  <c r="R409" i="4" s="1"/>
  <c r="Q196" i="4"/>
  <c r="R196" i="4" a="1"/>
  <c r="R196" i="4" s="1"/>
  <c r="R270" i="4" a="1"/>
  <c r="R270" i="4" s="1"/>
  <c r="Q270" i="4"/>
  <c r="Q381" i="4"/>
  <c r="R381" i="4" a="1"/>
  <c r="R381" i="4" s="1"/>
  <c r="Q313" i="4"/>
  <c r="R313" i="4" a="1"/>
  <c r="R313" i="4" s="1"/>
  <c r="R378" i="4" a="1"/>
  <c r="R378" i="4" s="1"/>
  <c r="Q378" i="4"/>
  <c r="Q283" i="4"/>
  <c r="R283" i="4" a="1"/>
  <c r="R283" i="4" s="1"/>
  <c r="R417" i="4" a="1"/>
  <c r="R417" i="4" s="1"/>
  <c r="Q417" i="4"/>
  <c r="Q328" i="4"/>
  <c r="R328" i="4" a="1"/>
  <c r="R328" i="4" s="1"/>
  <c r="R220" i="4" a="1"/>
  <c r="R220" i="4" s="1"/>
  <c r="Q220" i="4"/>
  <c r="Q360" i="4"/>
  <c r="R360" i="4" a="1"/>
  <c r="R360" i="4" s="1"/>
  <c r="Q377" i="4"/>
  <c r="R377" i="4" a="1"/>
  <c r="R377" i="4" s="1"/>
  <c r="Q254" i="4"/>
  <c r="R254" i="4" a="1"/>
  <c r="R254" i="4" s="1"/>
  <c r="Q125" i="4"/>
  <c r="R125" i="4" a="1"/>
  <c r="R125" i="4" s="1"/>
  <c r="Q230" i="4"/>
  <c r="R230" i="4" a="1"/>
  <c r="R230" i="4" s="1"/>
  <c r="Q178" i="4"/>
  <c r="R178" i="4" a="1"/>
  <c r="R178" i="4" s="1"/>
  <c r="Q356" i="4"/>
  <c r="R356" i="4" a="1"/>
  <c r="R356" i="4" s="1"/>
  <c r="R180" i="4" a="1"/>
  <c r="R180" i="4" s="1"/>
  <c r="Q180" i="4"/>
  <c r="Q152" i="4"/>
  <c r="R152" i="4" a="1"/>
  <c r="R152" i="4" s="1"/>
  <c r="Q412" i="4"/>
  <c r="R412" i="4" a="1"/>
  <c r="R412" i="4" s="1"/>
  <c r="Q197" i="4"/>
  <c r="R197" i="4" a="1"/>
  <c r="R197" i="4" s="1"/>
  <c r="Q130" i="4"/>
  <c r="R130" i="4" a="1"/>
  <c r="R130" i="4" s="1"/>
  <c r="R413" i="4" a="1"/>
  <c r="R413" i="4" s="1"/>
  <c r="Q413" i="4"/>
  <c r="R330" i="4" a="1"/>
  <c r="R330" i="4" s="1"/>
  <c r="Q330" i="4"/>
  <c r="Q158" i="4"/>
  <c r="R158" i="4" a="1"/>
  <c r="R158" i="4" s="1"/>
  <c r="Q426" i="4"/>
  <c r="R426" i="4" a="1"/>
  <c r="R426" i="4" s="1"/>
  <c r="Q310" i="4"/>
  <c r="R310" i="4" a="1"/>
  <c r="R310" i="4" s="1"/>
  <c r="Q165" i="4"/>
  <c r="R165" i="4" a="1"/>
  <c r="R165" i="4" s="1"/>
  <c r="Q222" i="4"/>
  <c r="R222" i="4" a="1"/>
  <c r="R222" i="4" s="1"/>
  <c r="Q226" i="4"/>
  <c r="R226" i="4" a="1"/>
  <c r="R226" i="4" s="1"/>
  <c r="Q128" i="4"/>
  <c r="R128" i="4" a="1"/>
  <c r="R128" i="4" s="1"/>
  <c r="R134" i="4" a="1"/>
  <c r="R134" i="4" s="1"/>
  <c r="Q134" i="4"/>
  <c r="Q163" i="4"/>
  <c r="R163" i="4" a="1"/>
  <c r="R163" i="4" s="1"/>
  <c r="Q298" i="4"/>
  <c r="R298" i="4" a="1"/>
  <c r="R298" i="4" s="1"/>
  <c r="R376" i="4" a="1"/>
  <c r="R376" i="4" s="1"/>
  <c r="Q376" i="4"/>
  <c r="R232" i="4" a="1"/>
  <c r="R232" i="4" s="1"/>
  <c r="Q232" i="4"/>
  <c r="R338" i="4" a="1"/>
  <c r="R338" i="4" s="1"/>
  <c r="Q338" i="4"/>
  <c r="Q280" i="4"/>
  <c r="R280" i="4" a="1"/>
  <c r="R280" i="4" s="1"/>
  <c r="Q408" i="4"/>
  <c r="R408" i="4" a="1"/>
  <c r="R408" i="4" s="1"/>
  <c r="Q312" i="4"/>
  <c r="R312" i="4" a="1"/>
  <c r="R312" i="4" s="1"/>
  <c r="Q289" i="4"/>
  <c r="R289" i="4" a="1"/>
  <c r="R289" i="4" s="1"/>
  <c r="Q175" i="4"/>
  <c r="R175" i="4" a="1"/>
  <c r="R175" i="4" s="1"/>
  <c r="Q351" i="4"/>
  <c r="R351" i="4" a="1"/>
  <c r="R351" i="4" s="1"/>
  <c r="R199" i="4" a="1"/>
  <c r="R199" i="4" s="1"/>
  <c r="Q199" i="4"/>
  <c r="Q151" i="4"/>
  <c r="R151" i="4" a="1"/>
  <c r="R151" i="4" s="1"/>
  <c r="Q420" i="4"/>
  <c r="R420" i="4" a="1"/>
  <c r="R420" i="4" s="1"/>
  <c r="Q392" i="4"/>
  <c r="R392" i="4" a="1"/>
  <c r="R392" i="4" s="1"/>
  <c r="Q219" i="4"/>
  <c r="R219" i="4" a="1"/>
  <c r="R219" i="4" s="1"/>
  <c r="Q122" i="4"/>
  <c r="R122" i="4" a="1"/>
  <c r="R122" i="4" s="1"/>
  <c r="Q385" i="4"/>
  <c r="R385" i="4" a="1"/>
  <c r="R385" i="4" s="1"/>
  <c r="R295" i="4" a="1"/>
  <c r="R295" i="4" s="1"/>
  <c r="Q295" i="4"/>
  <c r="Q176" i="4"/>
  <c r="R176" i="4" a="1"/>
  <c r="R176" i="4" s="1"/>
  <c r="R382" i="4" a="1"/>
  <c r="R382" i="4" s="1"/>
  <c r="Q382" i="4"/>
  <c r="Q294" i="4"/>
  <c r="R294" i="4" a="1"/>
  <c r="R294" i="4" s="1"/>
  <c r="Q224" i="4"/>
  <c r="R224" i="4" a="1"/>
  <c r="R224" i="4" s="1"/>
  <c r="R212" i="4" a="1"/>
  <c r="R212" i="4" s="1"/>
  <c r="Q212" i="4"/>
  <c r="Q379" i="4"/>
  <c r="R379" i="4" a="1"/>
  <c r="R379" i="4" s="1"/>
  <c r="Q235" i="4"/>
  <c r="R235" i="4" a="1"/>
  <c r="R235" i="4" s="1"/>
  <c r="Q182" i="4"/>
  <c r="R182" i="4" a="1"/>
  <c r="R182" i="4" s="1"/>
  <c r="Q194" i="4"/>
  <c r="R194" i="4" a="1"/>
  <c r="R194" i="4" s="1"/>
  <c r="Q214" i="4"/>
  <c r="R214" i="4" a="1"/>
  <c r="R214" i="4" s="1"/>
  <c r="Q369" i="4"/>
  <c r="R369" i="4" a="1"/>
  <c r="R369" i="4" s="1"/>
  <c r="Q405" i="4"/>
  <c r="R405" i="4" a="1"/>
  <c r="R405" i="4" s="1"/>
  <c r="R334" i="4" a="1"/>
  <c r="R334" i="4" s="1"/>
  <c r="Q334" i="4"/>
  <c r="Q371" i="4"/>
  <c r="R371" i="4" a="1"/>
  <c r="R371" i="4" s="1"/>
  <c r="R170" i="4" a="1"/>
  <c r="R170" i="4" s="1"/>
  <c r="Q170" i="4"/>
  <c r="Q415" i="4"/>
  <c r="R415" i="4" a="1"/>
  <c r="R415" i="4" s="1"/>
  <c r="Q353" i="4"/>
  <c r="R353" i="4" a="1"/>
  <c r="R353" i="4" s="1"/>
  <c r="Q286" i="4"/>
  <c r="R286" i="4" a="1"/>
  <c r="R286" i="4" s="1"/>
  <c r="Q282" i="4"/>
  <c r="R282" i="4" a="1"/>
  <c r="R282" i="4" s="1"/>
  <c r="Q265" i="4"/>
  <c r="R265" i="4" a="1"/>
  <c r="R265" i="4" s="1"/>
  <c r="Q258" i="4"/>
  <c r="R258" i="4" a="1"/>
  <c r="R258" i="4" s="1"/>
  <c r="Q141" i="4"/>
  <c r="R141" i="4" a="1"/>
  <c r="R141" i="4" s="1"/>
  <c r="Q418" i="4"/>
  <c r="R418" i="4" a="1"/>
  <c r="R418" i="4" s="1"/>
  <c r="Q367" i="4"/>
  <c r="R367" i="4" a="1"/>
  <c r="R367" i="4" s="1"/>
  <c r="R305" i="4" a="1"/>
  <c r="R305" i="4" s="1"/>
  <c r="Q305" i="4"/>
  <c r="Q391" i="4"/>
  <c r="R391" i="4" a="1"/>
  <c r="R391" i="4" s="1"/>
  <c r="Q200" i="4"/>
  <c r="R200" i="4" a="1"/>
  <c r="R200" i="4" s="1"/>
  <c r="R237" i="4" a="1"/>
  <c r="R237" i="4" s="1"/>
  <c r="Q237" i="4"/>
  <c r="Q164" i="4"/>
  <c r="R164" i="4" a="1"/>
  <c r="R164" i="4" s="1"/>
  <c r="E44" i="4" a="1"/>
  <c r="E44" i="4" s="1"/>
  <c r="E72" i="4" a="1"/>
  <c r="E72" i="4" s="1"/>
  <c r="E66" i="4" a="1"/>
  <c r="E66" i="4" s="1"/>
  <c r="E31" i="4" a="1"/>
  <c r="E31" i="4" s="1"/>
  <c r="Q380" i="4"/>
  <c r="R380" i="4" a="1"/>
  <c r="R380" i="4" s="1"/>
  <c r="Q204" i="4"/>
  <c r="R204" i="4" a="1"/>
  <c r="R204" i="4" s="1"/>
  <c r="R157" i="4" a="1"/>
  <c r="R157" i="4" s="1"/>
  <c r="Q157" i="4"/>
  <c r="Q207" i="4"/>
  <c r="R207" i="4" a="1"/>
  <c r="R207" i="4" s="1"/>
  <c r="Q249" i="4"/>
  <c r="R249" i="4" a="1"/>
  <c r="R249" i="4" s="1"/>
  <c r="E70" i="4" a="1"/>
  <c r="E70" i="4" s="1"/>
  <c r="Q126" i="4"/>
  <c r="R126" i="4" a="1"/>
  <c r="R126" i="4" s="1"/>
  <c r="Q348" i="4"/>
  <c r="R348" i="4" a="1"/>
  <c r="R348" i="4" s="1"/>
  <c r="Q325" i="4"/>
  <c r="R325" i="4" a="1"/>
  <c r="R325" i="4" s="1"/>
  <c r="Q331" i="4"/>
  <c r="R331" i="4" a="1"/>
  <c r="R331" i="4" s="1"/>
  <c r="Q229" i="4"/>
  <c r="R229" i="4" a="1"/>
  <c r="R229" i="4" s="1"/>
  <c r="R215" i="4" a="1"/>
  <c r="R215" i="4" s="1"/>
  <c r="Q215" i="4"/>
  <c r="R339" i="4" a="1"/>
  <c r="R339" i="4" s="1"/>
  <c r="Q339" i="4"/>
  <c r="R216" i="4" a="1"/>
  <c r="R216" i="4" s="1"/>
  <c r="Q216" i="4"/>
  <c r="Q414" i="4"/>
  <c r="R414" i="4" a="1"/>
  <c r="R414" i="4" s="1"/>
  <c r="Q407" i="4"/>
  <c r="R407" i="4" a="1"/>
  <c r="R407" i="4" s="1"/>
  <c r="Q191" i="4"/>
  <c r="R191" i="4" a="1"/>
  <c r="R191" i="4" s="1"/>
  <c r="Q387" i="4"/>
  <c r="R387" i="4" a="1"/>
  <c r="R387" i="4" s="1"/>
  <c r="Q185" i="4"/>
  <c r="R185" i="4" a="1"/>
  <c r="R185" i="4" s="1"/>
  <c r="Q291" i="4"/>
  <c r="R291" i="4" a="1"/>
  <c r="R291" i="4" s="1"/>
  <c r="Q124" i="4"/>
  <c r="R124" i="4" a="1"/>
  <c r="R124" i="4" s="1"/>
  <c r="Q284" i="4"/>
  <c r="R284" i="4" a="1"/>
  <c r="R284" i="4" s="1"/>
  <c r="Q267" i="4"/>
  <c r="R267" i="4" a="1"/>
  <c r="R267" i="4" s="1"/>
  <c r="R428" i="4" a="1"/>
  <c r="R428" i="4" s="1"/>
  <c r="Q428" i="4"/>
  <c r="Q355" i="4"/>
  <c r="R355" i="4" a="1"/>
  <c r="R355" i="4" s="1"/>
  <c r="Q257" i="4"/>
  <c r="R257" i="4" a="1"/>
  <c r="R257" i="4" s="1"/>
  <c r="Q368" i="4"/>
  <c r="R368" i="4" a="1"/>
  <c r="R368" i="4" s="1"/>
  <c r="Q243" i="4"/>
  <c r="R243" i="4" a="1"/>
  <c r="R243" i="4" s="1"/>
  <c r="Q121" i="4"/>
  <c r="R121" i="4" a="1"/>
  <c r="R121" i="4" s="1"/>
  <c r="R335" i="4" a="1"/>
  <c r="R335" i="4" s="1"/>
  <c r="R336" i="4" a="1"/>
  <c r="R336" i="4" s="1"/>
  <c r="R390" i="4" a="1"/>
  <c r="R390" i="4" s="1"/>
  <c r="R404" i="4" a="1"/>
  <c r="R404" i="4" s="1"/>
  <c r="R153" i="4" a="1"/>
  <c r="R153" i="4" s="1"/>
  <c r="R350" i="4" a="1"/>
  <c r="R350" i="4" s="1"/>
  <c r="R399" i="4" a="1"/>
  <c r="R399" i="4" s="1"/>
  <c r="R447" i="4" a="1"/>
  <c r="R447" i="4" s="1"/>
  <c r="R240" i="4" a="1"/>
  <c r="R240" i="4" s="1"/>
  <c r="R411" i="4" a="1"/>
  <c r="R411" i="4" s="1"/>
  <c r="R425" i="4" a="1"/>
  <c r="R425" i="4" s="1"/>
  <c r="R172" i="4" a="1"/>
  <c r="R172" i="4" s="1"/>
  <c r="R373" i="4" a="1"/>
  <c r="R373" i="4" s="1"/>
  <c r="R383" i="4" a="1"/>
  <c r="R383" i="4" s="1"/>
  <c r="R439" i="4" a="1"/>
  <c r="R439" i="4" s="1"/>
  <c r="R394" i="4" a="1"/>
  <c r="R394" i="4" s="1"/>
  <c r="R143" i="4" a="1"/>
  <c r="R143" i="4" s="1"/>
  <c r="R260" i="4" a="1"/>
  <c r="R260" i="4" s="1"/>
  <c r="R395" i="4" a="1"/>
  <c r="R395" i="4" s="1"/>
  <c r="R388" i="4" a="1"/>
  <c r="R388" i="4" s="1"/>
  <c r="R370" i="4" a="1"/>
  <c r="R370" i="4" s="1"/>
  <c r="R436" i="4" a="1"/>
  <c r="R436" i="4" s="1"/>
  <c r="R324" i="4" a="1"/>
  <c r="R324" i="4" s="1"/>
  <c r="R431" i="4" a="1"/>
  <c r="R431" i="4" s="1"/>
  <c r="R389" i="4" a="1"/>
  <c r="R389" i="4" s="1"/>
  <c r="R400" i="4" a="1"/>
  <c r="R400" i="4" s="1"/>
  <c r="R244" i="4" a="1"/>
  <c r="R244" i="4" s="1"/>
  <c r="R384" i="4" a="1"/>
  <c r="R384" i="4" s="1"/>
  <c r="R438" i="4" a="1"/>
  <c r="R438" i="4" s="1"/>
  <c r="R424" i="4" a="1"/>
  <c r="R424" i="4" s="1"/>
  <c r="R236" i="4" a="1"/>
  <c r="R236" i="4" s="1"/>
  <c r="R445" i="4" a="1"/>
  <c r="R445" i="4" s="1"/>
  <c r="R337" i="4" a="1"/>
  <c r="R337" i="4" s="1"/>
  <c r="R346" i="4" a="1"/>
  <c r="R346" i="4" s="1"/>
  <c r="R429" i="4" a="1"/>
  <c r="R429" i="4" s="1"/>
  <c r="R401" i="4" a="1"/>
  <c r="R401" i="4" s="1"/>
  <c r="R441" i="4" a="1"/>
  <c r="R441" i="4" s="1"/>
  <c r="R120" i="4" a="1"/>
  <c r="R120" i="4" s="1"/>
  <c r="R406" i="4" a="1"/>
  <c r="R406" i="4" s="1"/>
  <c r="R149" i="4" a="1"/>
  <c r="R149" i="4" s="1"/>
  <c r="R288" i="4" a="1"/>
  <c r="R288" i="4" s="1"/>
  <c r="R173" i="4" a="1"/>
  <c r="R173" i="4" s="1"/>
  <c r="R264" i="4" a="1"/>
  <c r="R264" i="4" s="1"/>
  <c r="R442" i="4" a="1"/>
  <c r="R442" i="4" s="1"/>
  <c r="R345" i="4" a="1"/>
  <c r="R345" i="4" s="1"/>
  <c r="R218" i="4" a="1"/>
  <c r="R218" i="4" s="1"/>
  <c r="R326" i="4" a="1"/>
  <c r="R326" i="4" s="1"/>
  <c r="R300" i="4" a="1"/>
  <c r="R300" i="4" s="1"/>
  <c r="R211" i="4" a="1"/>
  <c r="R211" i="4" s="1"/>
  <c r="R287" i="4" a="1"/>
  <c r="R287" i="4" s="1"/>
  <c r="R248" i="4" a="1"/>
  <c r="R248" i="4" s="1"/>
  <c r="R167" i="4" a="1"/>
  <c r="R167" i="4" s="1"/>
  <c r="R357" i="4" a="1"/>
  <c r="R357" i="4" s="1"/>
  <c r="R146" i="4" a="1"/>
  <c r="R146" i="4" s="1"/>
  <c r="R362" i="4" a="1"/>
  <c r="R362" i="4" s="1"/>
  <c r="R231" i="4" a="1"/>
  <c r="R231" i="4" s="1"/>
  <c r="R198" i="4" a="1"/>
  <c r="R198" i="4" s="1"/>
  <c r="R285" i="4" a="1"/>
  <c r="R285" i="4" s="1"/>
  <c r="R138" i="4" a="1"/>
  <c r="R138" i="4" s="1"/>
  <c r="R154" i="4" a="1"/>
  <c r="R154" i="4" s="1"/>
  <c r="R308" i="4" a="1"/>
  <c r="R308" i="4" s="1"/>
  <c r="R238" i="4" a="1"/>
  <c r="R238" i="4" s="1"/>
  <c r="R263" i="4" a="1"/>
  <c r="R263" i="4" s="1"/>
  <c r="R137" i="4" a="1"/>
  <c r="R137" i="4" s="1"/>
  <c r="R374" i="4" a="1"/>
  <c r="R374" i="4" s="1"/>
  <c r="R352" i="4" a="1"/>
  <c r="R352" i="4" s="1"/>
  <c r="R190" i="4" a="1"/>
  <c r="R190" i="4" s="1"/>
  <c r="R349" i="4" a="1"/>
  <c r="R349" i="4" s="1"/>
  <c r="R247" i="4" a="1"/>
  <c r="R247" i="4" s="1"/>
  <c r="R228" i="4" a="1"/>
  <c r="R228" i="4" s="1"/>
  <c r="R365" i="4" a="1"/>
  <c r="R365" i="4" s="1"/>
  <c r="R311" i="4" a="1"/>
  <c r="R311" i="4" s="1"/>
  <c r="R203" i="4" a="1"/>
  <c r="R203" i="4" s="1"/>
  <c r="R366" i="4" a="1"/>
  <c r="R366" i="4" s="1"/>
  <c r="R261" i="4" a="1"/>
  <c r="R261" i="4" s="1"/>
  <c r="R171" i="4" a="1"/>
  <c r="R171" i="4" s="1"/>
  <c r="R205" i="4" a="1"/>
  <c r="R205" i="4" s="1"/>
  <c r="R140" i="4" a="1"/>
  <c r="R140" i="4" s="1"/>
  <c r="R217" i="4" a="1"/>
  <c r="R217" i="4" s="1"/>
  <c r="R278" i="4" a="1"/>
  <c r="R278" i="4" s="1"/>
  <c r="R262" i="4" a="1"/>
  <c r="R262" i="4" s="1"/>
  <c r="R177" i="4" a="1"/>
  <c r="R177" i="4" s="1"/>
  <c r="R129" i="4" a="1"/>
  <c r="R129" i="4" s="1"/>
  <c r="R398" i="4" a="1"/>
  <c r="R398" i="4" s="1"/>
  <c r="R245" i="4" a="1"/>
  <c r="R245" i="4" s="1"/>
  <c r="R147" i="4" a="1"/>
  <c r="R147" i="4" s="1"/>
  <c r="R303" i="4" a="1"/>
  <c r="R303" i="4" s="1"/>
  <c r="R302" i="4" a="1"/>
  <c r="R302" i="4" s="1"/>
  <c r="R201" i="4" a="1"/>
  <c r="R201" i="4" s="1"/>
  <c r="R318" i="4" a="1"/>
  <c r="R318" i="4" s="1"/>
  <c r="R192" i="4" a="1"/>
  <c r="R192" i="4" s="1"/>
  <c r="R193" i="4" a="1"/>
  <c r="R193" i="4" s="1"/>
  <c r="R290" i="4" a="1"/>
  <c r="R290" i="4" s="1"/>
  <c r="R188" i="4" a="1"/>
  <c r="R188" i="4" s="1"/>
  <c r="R266" i="4" a="1"/>
  <c r="R266" i="4" s="1"/>
  <c r="R402" i="4" a="1"/>
  <c r="R402" i="4" s="1"/>
  <c r="R273" i="4" a="1"/>
  <c r="R273" i="4" s="1"/>
  <c r="R340" i="4" a="1"/>
  <c r="R340" i="4" s="1"/>
  <c r="R443" i="4" a="1"/>
  <c r="R443" i="4" s="1"/>
  <c r="R437" i="4" a="1"/>
  <c r="R437" i="4" s="1"/>
  <c r="R160" i="4" a="1"/>
  <c r="R160" i="4" s="1"/>
  <c r="R315" i="4" a="1"/>
  <c r="R315" i="4" s="1"/>
  <c r="R234" i="4" a="1"/>
  <c r="R234" i="4" s="1"/>
  <c r="R131" i="4" a="1"/>
  <c r="R131" i="4" s="1"/>
  <c r="R314" i="4" a="1"/>
  <c r="R314" i="4" s="1"/>
  <c r="R169" i="4" a="1"/>
  <c r="R169" i="4" s="1"/>
  <c r="R181" i="4" a="1"/>
  <c r="R181" i="4" s="1"/>
  <c r="R166" i="4" a="1"/>
  <c r="R166" i="4" s="1"/>
  <c r="R333" i="4" a="1"/>
  <c r="R333" i="4" s="1"/>
  <c r="R189" i="4" a="1"/>
  <c r="R189" i="4" s="1"/>
  <c r="R342" i="4" a="1"/>
  <c r="R342" i="4" s="1"/>
  <c r="R279" i="4" a="1"/>
  <c r="R279" i="4" s="1"/>
  <c r="R271" i="4" a="1"/>
  <c r="R271" i="4" s="1"/>
  <c r="R225" i="4" a="1"/>
  <c r="R225" i="4" s="1"/>
  <c r="R253" i="4" a="1"/>
  <c r="R253" i="4" s="1"/>
  <c r="R148" i="4" a="1"/>
  <c r="R148" i="4" s="1"/>
  <c r="R251" i="4" a="1"/>
  <c r="R251" i="4" s="1"/>
  <c r="R183" i="4" a="1"/>
  <c r="R183" i="4" s="1"/>
  <c r="R161" i="4" a="1"/>
  <c r="R161" i="4" s="1"/>
  <c r="R332" i="4" a="1"/>
  <c r="R332" i="4" s="1"/>
  <c r="R242" i="4" a="1"/>
  <c r="R242" i="4" s="1"/>
  <c r="R123" i="4" a="1"/>
  <c r="R123" i="4" s="1"/>
  <c r="R255" i="4" a="1"/>
  <c r="R255" i="4" s="1"/>
  <c r="R296" i="4" a="1"/>
  <c r="R296" i="4" s="1"/>
  <c r="R317" i="4" a="1"/>
  <c r="R317" i="4" s="1"/>
  <c r="R329" i="4" a="1"/>
  <c r="R329" i="4" s="1"/>
  <c r="R186" i="4" a="1"/>
  <c r="R186" i="4" s="1"/>
  <c r="R135" i="4" a="1"/>
  <c r="R135" i="4" s="1"/>
  <c r="R393" i="4" a="1"/>
  <c r="R393" i="4" s="1"/>
  <c r="R397" i="4" a="1"/>
  <c r="R397" i="4" s="1"/>
  <c r="R272" i="4" a="1"/>
  <c r="R272" i="4" s="1"/>
  <c r="R277" i="4" a="1"/>
  <c r="R277" i="4" s="1"/>
  <c r="R233" i="4" a="1"/>
  <c r="R233" i="4" s="1"/>
  <c r="R132" i="4" a="1"/>
  <c r="R132" i="4" s="1"/>
  <c r="R250" i="4" a="1"/>
  <c r="R250" i="4" s="1"/>
  <c r="R139" i="4" a="1"/>
  <c r="R139" i="4" s="1"/>
  <c r="R246" i="4" a="1"/>
  <c r="R246" i="4" s="1"/>
  <c r="R396" i="4" a="1"/>
  <c r="R396" i="4" s="1"/>
  <c r="R341" i="4" a="1"/>
  <c r="R341" i="4" s="1"/>
  <c r="R239" i="4" a="1"/>
  <c r="R239" i="4" s="1"/>
  <c r="R321" i="4" a="1"/>
  <c r="R321" i="4" s="1"/>
  <c r="R292" i="4" a="1"/>
  <c r="R292" i="4" s="1"/>
  <c r="R208" i="4" a="1"/>
  <c r="R208" i="4" s="1"/>
  <c r="R320" i="4" a="1"/>
  <c r="R320" i="4" s="1"/>
  <c r="R162" i="4" a="1"/>
  <c r="R162" i="4" s="1"/>
  <c r="R127" i="4" a="1"/>
  <c r="R127" i="4" s="1"/>
  <c r="R306" i="4" a="1"/>
  <c r="R306" i="4" s="1"/>
  <c r="R323" i="4" a="1"/>
  <c r="R323" i="4" s="1"/>
  <c r="R319" i="4" a="1"/>
  <c r="R319" i="4" s="1"/>
  <c r="R256" i="4" a="1"/>
  <c r="R256" i="4" s="1"/>
  <c r="R304" i="4" a="1"/>
  <c r="R304" i="4" s="1"/>
  <c r="R446" i="4" a="1"/>
  <c r="R446" i="4" s="1"/>
  <c r="R293" i="4" a="1"/>
  <c r="R293" i="4" s="1"/>
  <c r="R174" i="4" a="1"/>
  <c r="R174" i="4" s="1"/>
  <c r="R274" i="4" a="1"/>
  <c r="R274" i="4" s="1"/>
  <c r="R347" i="4" a="1"/>
  <c r="R347" i="4" s="1"/>
  <c r="R195" i="4" a="1"/>
  <c r="R195" i="4" s="1"/>
  <c r="R359" i="4" a="1"/>
  <c r="R359" i="4" s="1"/>
  <c r="R297" i="4" a="1"/>
  <c r="R297" i="4" s="1"/>
  <c r="R210" i="4" a="1"/>
  <c r="R210" i="4" s="1"/>
  <c r="R275" i="4" a="1"/>
  <c r="R275" i="4" s="1"/>
  <c r="R363" i="4" a="1"/>
  <c r="R363" i="4" s="1"/>
  <c r="R209" i="4" a="1"/>
  <c r="R209" i="4" s="1"/>
  <c r="Q327" i="4"/>
  <c r="R327" i="4" a="1"/>
  <c r="R327" i="4" s="1"/>
  <c r="R136" i="4" a="1"/>
  <c r="R136" i="4" s="1"/>
  <c r="Q136" i="4"/>
  <c r="Q132" i="2"/>
  <c r="R399" i="2" a="1"/>
  <c r="R399" i="2" s="1"/>
  <c r="R404" i="2" a="1"/>
  <c r="R404" i="2" s="1"/>
  <c r="Q620" i="3"/>
  <c r="R620" i="3" a="1"/>
  <c r="R620" i="3" s="1"/>
  <c r="R652" i="3" a="1"/>
  <c r="R652" i="3" s="1"/>
  <c r="Q652" i="3"/>
  <c r="Q7" i="3"/>
  <c r="Q639" i="3"/>
  <c r="R639" i="3" a="1"/>
  <c r="R639" i="3" s="1"/>
  <c r="E66" i="3" a="1"/>
  <c r="E66" i="3" s="1"/>
  <c r="E36" i="3" a="1"/>
  <c r="E36" i="3" s="1"/>
  <c r="E98" i="3" a="1"/>
  <c r="E98" i="3" s="1"/>
  <c r="E90" i="3" a="1"/>
  <c r="E90" i="3" s="1"/>
  <c r="Q636" i="3"/>
  <c r="R636" i="3" a="1"/>
  <c r="R636" i="3" s="1"/>
  <c r="E60" i="2" a="1"/>
  <c r="E60" i="2" s="1"/>
  <c r="E35" i="2" a="1"/>
  <c r="E35" i="2" s="1"/>
  <c r="E47" i="2" a="1"/>
  <c r="E47" i="2" s="1"/>
  <c r="Q100" i="2"/>
  <c r="R224" i="11" a="1"/>
  <c r="R224" i="11" s="1"/>
  <c r="E40" i="11" a="1"/>
  <c r="E40" i="11" s="1"/>
  <c r="E28" i="11" a="1"/>
  <c r="E28" i="11" s="1"/>
  <c r="Q14" i="6"/>
  <c r="E20" i="6" a="1"/>
  <c r="E20" i="6" s="1"/>
  <c r="E22" i="6" a="1"/>
  <c r="E22" i="6" s="1"/>
  <c r="R204" i="6" a="1"/>
  <c r="R204" i="6" s="1"/>
  <c r="E77" i="12" a="1"/>
  <c r="E77" i="12" s="1"/>
  <c r="E85" i="12" a="1"/>
  <c r="E85" i="12" s="1"/>
  <c r="E38" i="12" a="1"/>
  <c r="E38" i="12" s="1"/>
  <c r="E62" i="4" a="1"/>
  <c r="E62" i="4" s="1"/>
  <c r="E25" i="3" a="1"/>
  <c r="E25" i="3" s="1"/>
  <c r="E86" i="3" a="1"/>
  <c r="E86" i="3" s="1"/>
  <c r="R670" i="3" a="1"/>
  <c r="R670" i="3" s="1"/>
  <c r="R643" i="3" a="1"/>
  <c r="R643" i="3" s="1"/>
  <c r="E30" i="2" a="1"/>
  <c r="E30" i="2" s="1"/>
  <c r="E20" i="2" a="1"/>
  <c r="E20" i="2" s="1"/>
  <c r="Q83" i="2"/>
  <c r="Q8" i="2"/>
  <c r="Q54" i="11"/>
  <c r="R223" i="11" a="1"/>
  <c r="R223" i="11" s="1"/>
  <c r="R226" i="11" a="1"/>
  <c r="R226" i="11" s="1"/>
  <c r="R206" i="11" a="1"/>
  <c r="R206" i="11" s="1"/>
  <c r="R238" i="11" a="1"/>
  <c r="R238" i="11" s="1"/>
  <c r="R222" i="11" a="1"/>
  <c r="R222" i="11" s="1"/>
  <c r="R205" i="11" a="1"/>
  <c r="R205" i="11" s="1"/>
  <c r="E22" i="11" a="1"/>
  <c r="E22" i="11" s="1"/>
  <c r="R7" i="11" a="1"/>
  <c r="R7" i="11" s="1"/>
  <c r="Q22" i="11"/>
  <c r="E27" i="11" a="1"/>
  <c r="E27" i="11" s="1"/>
  <c r="Q45" i="11"/>
  <c r="Q143" i="6"/>
  <c r="R143" i="6" a="1"/>
  <c r="R143" i="6" s="1"/>
  <c r="Q202" i="6"/>
  <c r="R202" i="6" a="1"/>
  <c r="R202" i="6" s="1"/>
  <c r="Q213" i="6"/>
  <c r="R213" i="6" a="1"/>
  <c r="R213" i="6" s="1"/>
  <c r="R166" i="6" a="1"/>
  <c r="R166" i="6" s="1"/>
  <c r="R196" i="6" a="1"/>
  <c r="R196" i="6" s="1"/>
  <c r="R195" i="6" a="1"/>
  <c r="R195" i="6" s="1"/>
  <c r="Q167" i="6"/>
  <c r="R167" i="6" a="1"/>
  <c r="R167" i="6" s="1"/>
  <c r="Q210" i="6"/>
  <c r="R210" i="6" a="1"/>
  <c r="R210" i="6" s="1"/>
  <c r="R207" i="6" a="1"/>
  <c r="R207" i="6" s="1"/>
  <c r="Q207" i="6"/>
  <c r="Q181" i="6"/>
  <c r="R181" i="6" a="1"/>
  <c r="R181" i="6" s="1"/>
  <c r="R217" i="6" a="1"/>
  <c r="R217" i="6" s="1"/>
  <c r="Q217" i="6"/>
  <c r="Q132" i="6"/>
  <c r="R132" i="6" a="1"/>
  <c r="R132" i="6" s="1"/>
  <c r="Q165" i="6"/>
  <c r="R165" i="6" a="1"/>
  <c r="R165" i="6" s="1"/>
  <c r="Q216" i="6"/>
  <c r="R216" i="6" a="1"/>
  <c r="R216" i="6" s="1"/>
  <c r="R153" i="6" a="1"/>
  <c r="R153" i="6" s="1"/>
  <c r="R193" i="6" a="1"/>
  <c r="R193" i="6" s="1"/>
  <c r="R173" i="6" a="1"/>
  <c r="R173" i="6" s="1"/>
  <c r="R183" i="6" a="1"/>
  <c r="R183" i="6" s="1"/>
  <c r="R215" i="6" a="1"/>
  <c r="R215" i="6" s="1"/>
  <c r="Q215" i="6"/>
  <c r="Q185" i="6"/>
  <c r="R185" i="6" a="1"/>
  <c r="R185" i="6" s="1"/>
  <c r="Q176" i="6"/>
  <c r="R176" i="6" a="1"/>
  <c r="R176" i="6" s="1"/>
  <c r="R209" i="6" a="1"/>
  <c r="R209" i="6" s="1"/>
  <c r="R198" i="6" a="1"/>
  <c r="R198" i="6" s="1"/>
  <c r="R162" i="6" a="1"/>
  <c r="R162" i="6" s="1"/>
  <c r="R160" i="6" a="1"/>
  <c r="R160" i="6" s="1"/>
  <c r="R192" i="6" a="1"/>
  <c r="R192" i="6" s="1"/>
  <c r="E24" i="6" a="1"/>
  <c r="E24" i="6" s="1"/>
  <c r="R172" i="6" a="1"/>
  <c r="R172" i="6" s="1"/>
  <c r="Q172" i="6"/>
  <c r="R205" i="6" a="1"/>
  <c r="R205" i="6" s="1"/>
  <c r="Q205" i="6"/>
  <c r="Q189" i="6"/>
  <c r="R189" i="6" a="1"/>
  <c r="R189" i="6" s="1"/>
  <c r="Q199" i="6"/>
  <c r="R199" i="6" a="1"/>
  <c r="R199" i="6" s="1"/>
  <c r="R211" i="6" a="1"/>
  <c r="R211" i="6" s="1"/>
  <c r="R184" i="6" a="1"/>
  <c r="R184" i="6" s="1"/>
  <c r="R208" i="6" a="1"/>
  <c r="R208" i="6" s="1"/>
  <c r="R200" i="6" a="1"/>
  <c r="R200" i="6" s="1"/>
  <c r="R177" i="6" a="1"/>
  <c r="R177" i="6" s="1"/>
  <c r="R201" i="6" a="1"/>
  <c r="R201" i="6" s="1"/>
  <c r="Q201" i="6"/>
  <c r="R214" i="6" a="1"/>
  <c r="R214" i="6" s="1"/>
  <c r="R161" i="6" a="1"/>
  <c r="R161" i="6" s="1"/>
  <c r="Q161" i="6"/>
  <c r="R156" i="6" a="1"/>
  <c r="R156" i="6" s="1"/>
  <c r="Q188" i="6"/>
  <c r="R188" i="6" a="1"/>
  <c r="R188" i="6" s="1"/>
  <c r="Q168" i="6"/>
  <c r="R168" i="6" a="1"/>
  <c r="R168" i="6" s="1"/>
  <c r="R212" i="6" a="1"/>
  <c r="R212" i="6" s="1"/>
  <c r="R194" i="6" a="1"/>
  <c r="R194" i="6" s="1"/>
  <c r="Q191" i="6"/>
  <c r="R191" i="6" a="1"/>
  <c r="R191" i="6" s="1"/>
  <c r="Q174" i="6"/>
  <c r="R174" i="6" a="1"/>
  <c r="R174" i="6" s="1"/>
  <c r="R170" i="6" a="1"/>
  <c r="R170" i="6" s="1"/>
  <c r="Q175" i="6"/>
  <c r="R175" i="6" a="1"/>
  <c r="R175" i="6" s="1"/>
  <c r="Q140" i="6"/>
  <c r="R140" i="6" a="1"/>
  <c r="R140" i="6" s="1"/>
  <c r="R164" i="6" a="1"/>
  <c r="R164" i="6" s="1"/>
  <c r="Q164" i="6"/>
  <c r="Q203" i="6"/>
  <c r="R203" i="6" a="1"/>
  <c r="R203" i="6" s="1"/>
  <c r="R187" i="6" a="1"/>
  <c r="R187" i="6" s="1"/>
  <c r="R163" i="6" a="1"/>
  <c r="R163" i="6" s="1"/>
  <c r="R206" i="6" a="1"/>
  <c r="R206" i="6" s="1"/>
  <c r="R186" i="6" a="1"/>
  <c r="R186" i="6" s="1"/>
  <c r="E50" i="12" a="1"/>
  <c r="E50" i="12" s="1"/>
  <c r="E52" i="12" a="1"/>
  <c r="E52" i="12" s="1"/>
  <c r="E69" i="12" a="1"/>
  <c r="E69" i="12" s="1"/>
  <c r="Q100" i="4"/>
  <c r="E25" i="4" a="1"/>
  <c r="E25" i="4" s="1"/>
  <c r="E34" i="4" a="1"/>
  <c r="E34" i="4" s="1"/>
  <c r="E48" i="4" a="1"/>
  <c r="E48" i="4" s="1"/>
  <c r="E50" i="4" a="1"/>
  <c r="E50" i="4" s="1"/>
  <c r="R45" i="16" a="1"/>
  <c r="R45" i="16" s="1"/>
  <c r="R146" i="16" a="1"/>
  <c r="R146" i="16" s="1"/>
  <c r="R50" i="16" a="1"/>
  <c r="R50" i="16" s="1"/>
  <c r="R47" i="16" a="1"/>
  <c r="R47" i="16" s="1"/>
  <c r="R122" i="16" a="1"/>
  <c r="R122" i="16" s="1"/>
  <c r="Q127" i="16"/>
  <c r="R127" i="16" a="1"/>
  <c r="R127" i="16" s="1"/>
  <c r="R54" i="16" a="1"/>
  <c r="R54" i="16" s="1"/>
  <c r="Q54" i="16"/>
  <c r="R41" i="16" a="1"/>
  <c r="R41" i="16" s="1"/>
  <c r="Q41" i="16"/>
  <c r="R155" i="16" a="1"/>
  <c r="R155" i="16" s="1"/>
  <c r="Q155" i="16"/>
  <c r="R143" i="16" a="1"/>
  <c r="R143" i="16" s="1"/>
  <c r="Q143" i="16"/>
  <c r="R49" i="16" a="1"/>
  <c r="R49" i="16" s="1"/>
  <c r="R118" i="16" a="1"/>
  <c r="R118" i="16" s="1"/>
  <c r="Q77" i="16"/>
  <c r="R77" i="16" a="1"/>
  <c r="R77" i="16" s="1"/>
  <c r="R61" i="16" a="1"/>
  <c r="R61" i="16" s="1"/>
  <c r="R156" i="16" a="1"/>
  <c r="R156" i="16" s="1"/>
  <c r="Q123" i="16"/>
  <c r="R123" i="16" a="1"/>
  <c r="R123" i="16" s="1"/>
  <c r="R112" i="16" a="1"/>
  <c r="R112" i="16" s="1"/>
  <c r="R83" i="16" a="1"/>
  <c r="R83" i="16" s="1"/>
  <c r="R65" i="16" a="1"/>
  <c r="R65" i="16" s="1"/>
  <c r="R69" i="16" a="1"/>
  <c r="R69" i="16" s="1"/>
  <c r="R96" i="16" a="1"/>
  <c r="R96" i="16" s="1"/>
  <c r="R17" i="16" a="1"/>
  <c r="R17" i="16" s="1"/>
  <c r="R147" i="16" a="1"/>
  <c r="R147" i="16" s="1"/>
  <c r="Q116" i="16"/>
  <c r="R116" i="16" a="1"/>
  <c r="R116" i="16" s="1"/>
  <c r="R52" i="16" a="1"/>
  <c r="R52" i="16" s="1"/>
  <c r="R59" i="16" a="1"/>
  <c r="R59" i="16" s="1"/>
  <c r="Q59" i="16"/>
  <c r="R66" i="16" a="1"/>
  <c r="R66" i="16" s="1"/>
  <c r="Q66" i="16"/>
  <c r="R57" i="16" a="1"/>
  <c r="R57" i="16" s="1"/>
  <c r="Q57" i="16"/>
  <c r="Q10" i="16"/>
  <c r="R10" i="16" a="1"/>
  <c r="R10" i="16" s="1"/>
  <c r="Q153" i="16"/>
  <c r="R153" i="16" a="1"/>
  <c r="R153" i="16" s="1"/>
  <c r="R62" i="16" a="1"/>
  <c r="R62" i="16" s="1"/>
  <c r="R132" i="16" a="1"/>
  <c r="R132" i="16" s="1"/>
  <c r="Q85" i="16"/>
  <c r="R85" i="16" a="1"/>
  <c r="R85" i="16" s="1"/>
  <c r="R56" i="16" a="1"/>
  <c r="R56" i="16" s="1"/>
  <c r="Q126" i="16"/>
  <c r="R126" i="16" a="1"/>
  <c r="R126" i="16" s="1"/>
  <c r="R129" i="16" a="1"/>
  <c r="R129" i="16" s="1"/>
  <c r="R107" i="16" a="1"/>
  <c r="R107" i="16" s="1"/>
  <c r="R105" i="16" a="1"/>
  <c r="R105" i="16" s="1"/>
  <c r="R75" i="16" a="1"/>
  <c r="R75" i="16" s="1"/>
  <c r="R119" i="16" a="1"/>
  <c r="R119" i="16" s="1"/>
  <c r="R84" i="16" a="1"/>
  <c r="R84" i="16" s="1"/>
  <c r="R73" i="16" a="1"/>
  <c r="R73" i="16" s="1"/>
  <c r="Q22" i="16"/>
  <c r="R22" i="16" a="1"/>
  <c r="R22" i="16" s="1"/>
  <c r="R60" i="16" a="1"/>
  <c r="R60" i="16" s="1"/>
  <c r="Q60" i="16"/>
  <c r="R81" i="16" a="1"/>
  <c r="R81" i="16" s="1"/>
  <c r="Q81" i="16"/>
  <c r="R71" i="16" a="1"/>
  <c r="R71" i="16" s="1"/>
  <c r="Q71" i="16"/>
  <c r="Q18" i="16"/>
  <c r="R18" i="16" a="1"/>
  <c r="R18" i="16" s="1"/>
  <c r="R158" i="16" a="1"/>
  <c r="R158" i="16" s="1"/>
  <c r="Q158" i="16"/>
  <c r="R63" i="16" a="1"/>
  <c r="R63" i="16" s="1"/>
  <c r="R124" i="16" a="1"/>
  <c r="R124" i="16" s="1"/>
  <c r="Q11" i="16"/>
  <c r="R11" i="16" a="1"/>
  <c r="R11" i="16" s="1"/>
  <c r="Q102" i="16"/>
  <c r="R102" i="16" a="1"/>
  <c r="R102" i="16" s="1"/>
  <c r="R100" i="16" a="1"/>
  <c r="R100" i="16" s="1"/>
  <c r="Q28" i="16"/>
  <c r="R28" i="16" a="1"/>
  <c r="R28" i="16" s="1"/>
  <c r="Q141" i="16"/>
  <c r="R141" i="16" a="1"/>
  <c r="R141" i="16" s="1"/>
  <c r="R159" i="16" a="1"/>
  <c r="R159" i="16" s="1"/>
  <c r="R131" i="16" a="1"/>
  <c r="R131" i="16" s="1"/>
  <c r="R120" i="16" a="1"/>
  <c r="R120" i="16" s="1"/>
  <c r="R115" i="16" a="1"/>
  <c r="R115" i="16" s="1"/>
  <c r="R162" i="16" a="1"/>
  <c r="R162" i="16" s="1"/>
  <c r="R80" i="16" a="1"/>
  <c r="R80" i="16" s="1"/>
  <c r="Q38" i="16"/>
  <c r="R38" i="16" a="1"/>
  <c r="R38" i="16" s="1"/>
  <c r="R68" i="16" a="1"/>
  <c r="R68" i="16" s="1"/>
  <c r="Q68" i="16"/>
  <c r="R109" i="16" a="1"/>
  <c r="R109" i="16" s="1"/>
  <c r="Q109" i="16"/>
  <c r="R97" i="16" a="1"/>
  <c r="R97" i="16" s="1"/>
  <c r="Q97" i="16"/>
  <c r="R34" i="16" a="1"/>
  <c r="R34" i="16" s="1"/>
  <c r="Q34" i="16"/>
  <c r="R13" i="16" a="1"/>
  <c r="R13" i="16" s="1"/>
  <c r="R78" i="16" a="1"/>
  <c r="R78" i="16" s="1"/>
  <c r="R134" i="16" a="1"/>
  <c r="R134" i="16" s="1"/>
  <c r="Q19" i="16"/>
  <c r="R19" i="16" a="1"/>
  <c r="R19" i="16" s="1"/>
  <c r="Q114" i="16"/>
  <c r="R114" i="16" a="1"/>
  <c r="R114" i="16" s="1"/>
  <c r="R94" i="16" a="1"/>
  <c r="R94" i="16" s="1"/>
  <c r="Q46" i="16"/>
  <c r="R46" i="16" a="1"/>
  <c r="R46" i="16" s="1"/>
  <c r="Q151" i="16"/>
  <c r="R151" i="16" a="1"/>
  <c r="R151" i="16" s="1"/>
  <c r="R14" i="16" a="1"/>
  <c r="R14" i="16" s="1"/>
  <c r="R150" i="16" a="1"/>
  <c r="R150" i="16" s="1"/>
  <c r="R138" i="16" a="1"/>
  <c r="R138" i="16" s="1"/>
  <c r="R152" i="16" a="1"/>
  <c r="R152" i="16" s="1"/>
  <c r="R64" i="16" a="1"/>
  <c r="R64" i="16" s="1"/>
  <c r="R89" i="16" a="1"/>
  <c r="R89" i="16" s="1"/>
  <c r="R21" i="16" a="1"/>
  <c r="R21" i="16" s="1"/>
  <c r="R88" i="16" a="1"/>
  <c r="R88" i="16" s="1"/>
  <c r="R144" i="16" a="1"/>
  <c r="R144" i="16" s="1"/>
  <c r="Q27" i="16"/>
  <c r="R27" i="16" a="1"/>
  <c r="R27" i="16" s="1"/>
  <c r="Q117" i="16"/>
  <c r="R117" i="16" a="1"/>
  <c r="R117" i="16" s="1"/>
  <c r="R113" i="16" a="1"/>
  <c r="R113" i="16" s="1"/>
  <c r="Q70" i="16"/>
  <c r="R70" i="16" a="1"/>
  <c r="R70" i="16" s="1"/>
  <c r="Q157" i="16"/>
  <c r="R157" i="16" a="1"/>
  <c r="R157" i="16" s="1"/>
  <c r="R103" i="16" a="1"/>
  <c r="R103" i="16" s="1"/>
  <c r="R7" i="16" a="1"/>
  <c r="R7" i="16" s="1"/>
  <c r="R44" i="16" a="1"/>
  <c r="R44" i="16" s="1"/>
  <c r="R161" i="16" a="1"/>
  <c r="R161" i="16" s="1"/>
  <c r="R125" i="16" a="1"/>
  <c r="R125" i="16" s="1"/>
  <c r="Q111" i="16"/>
  <c r="R111" i="16" a="1"/>
  <c r="R111" i="16" s="1"/>
  <c r="R32" i="16" a="1"/>
  <c r="R32" i="16" s="1"/>
  <c r="Q32" i="16"/>
  <c r="R33" i="16" a="1"/>
  <c r="R33" i="16" s="1"/>
  <c r="Q33" i="16"/>
  <c r="R149" i="16" a="1"/>
  <c r="R149" i="16" s="1"/>
  <c r="Q149" i="16"/>
  <c r="Q95" i="16"/>
  <c r="R95" i="16" a="1"/>
  <c r="R95" i="16" s="1"/>
  <c r="R35" i="16" a="1"/>
  <c r="R35" i="16" s="1"/>
  <c r="Q72" i="16"/>
  <c r="R72" i="16" a="1"/>
  <c r="R72" i="16" s="1"/>
  <c r="R99" i="16" a="1"/>
  <c r="R99" i="16" s="1"/>
  <c r="Q99" i="16"/>
  <c r="R110" i="16" a="1"/>
  <c r="R110" i="16" s="1"/>
  <c r="Q110" i="16"/>
  <c r="R106" i="16" a="1"/>
  <c r="R106" i="16" s="1"/>
  <c r="Q106" i="16"/>
  <c r="Q42" i="16"/>
  <c r="R42" i="16" a="1"/>
  <c r="R42" i="16" s="1"/>
  <c r="Q74" i="16"/>
  <c r="R74" i="16" a="1"/>
  <c r="R74" i="16" s="1"/>
  <c r="Q101" i="16"/>
  <c r="R101" i="16" a="1"/>
  <c r="R101" i="16" s="1"/>
  <c r="R128" i="16" a="1"/>
  <c r="R128" i="16" s="1"/>
  <c r="Q128" i="16"/>
  <c r="R137" i="16" a="1"/>
  <c r="R137" i="16" s="1"/>
  <c r="Q137" i="16"/>
  <c r="Q53" i="16"/>
  <c r="R53" i="16" a="1"/>
  <c r="R53" i="16" s="1"/>
  <c r="R29" i="16" a="1"/>
  <c r="R29" i="16" s="1"/>
  <c r="R86" i="16" a="1"/>
  <c r="R86" i="16" s="1"/>
  <c r="R160" i="16" a="1"/>
  <c r="R160" i="16" s="1"/>
  <c r="Q43" i="16"/>
  <c r="R43" i="16" a="1"/>
  <c r="R43" i="16" s="1"/>
  <c r="Q136" i="16"/>
  <c r="R136" i="16" a="1"/>
  <c r="R136" i="16" s="1"/>
  <c r="R135" i="16" a="1"/>
  <c r="R135" i="16" s="1"/>
  <c r="Q90" i="16"/>
  <c r="R90" i="16" a="1"/>
  <c r="R90" i="16" s="1"/>
  <c r="R20" i="16" a="1"/>
  <c r="R20" i="16" s="1"/>
  <c r="R98" i="16" a="1"/>
  <c r="R98" i="16" s="1"/>
  <c r="R58" i="16" a="1"/>
  <c r="R58" i="16" s="1"/>
  <c r="R8" i="16" a="1"/>
  <c r="R8" i="16" s="1"/>
  <c r="R12" i="16" a="1"/>
  <c r="R12" i="16" s="1"/>
  <c r="R26" i="16" a="1"/>
  <c r="R26" i="16" s="1"/>
  <c r="R108" i="16" a="1"/>
  <c r="R108" i="16" s="1"/>
  <c r="Q79" i="16"/>
  <c r="R79" i="16" a="1"/>
  <c r="R79" i="16" s="1"/>
  <c r="Q92" i="16"/>
  <c r="R92" i="16" a="1"/>
  <c r="R92" i="16" s="1"/>
  <c r="R16" i="16" a="1"/>
  <c r="R16" i="16" s="1"/>
  <c r="Q16" i="16"/>
  <c r="R76" i="16" a="1"/>
  <c r="R76" i="16" s="1"/>
  <c r="R139" i="16" a="1"/>
  <c r="R139" i="16" s="1"/>
  <c r="R9" i="16" a="1"/>
  <c r="R9" i="16" s="1"/>
  <c r="R23" i="16" a="1"/>
  <c r="R23" i="16" s="1"/>
  <c r="R121" i="16" a="1"/>
  <c r="R121" i="16" s="1"/>
  <c r="R145" i="16" a="1"/>
  <c r="R145" i="16" s="1"/>
  <c r="R48" i="16" a="1"/>
  <c r="R48" i="16" s="1"/>
  <c r="R130" i="16" a="1"/>
  <c r="R130" i="16" s="1"/>
  <c r="R31" i="16" a="1"/>
  <c r="R31" i="16" s="1"/>
  <c r="R87" i="16" a="1"/>
  <c r="R87" i="16" s="1"/>
  <c r="R39" i="16" a="1"/>
  <c r="R39" i="16" s="1"/>
  <c r="R133" i="16" a="1"/>
  <c r="R133" i="16" s="1"/>
  <c r="R154" i="16" a="1"/>
  <c r="R154" i="16" s="1"/>
  <c r="Q9" i="16"/>
  <c r="R15" i="16" a="1"/>
  <c r="R15" i="16" s="1"/>
  <c r="R104" i="16" a="1"/>
  <c r="R104" i="16" s="1"/>
  <c r="R148" i="16" a="1"/>
  <c r="R148" i="16" s="1"/>
  <c r="Q148" i="16"/>
  <c r="Q55" i="16"/>
  <c r="R55" i="16" a="1"/>
  <c r="R55" i="16" s="1"/>
  <c r="R37" i="16" a="1"/>
  <c r="R37" i="16" s="1"/>
  <c r="R93" i="16" a="1"/>
  <c r="R93" i="16" s="1"/>
  <c r="Q51" i="16"/>
  <c r="R51" i="16" a="1"/>
  <c r="R51" i="16" s="1"/>
  <c r="R30" i="16" a="1"/>
  <c r="R30" i="16" s="1"/>
  <c r="R140" i="16" a="1"/>
  <c r="R140" i="16" s="1"/>
  <c r="Q91" i="16"/>
  <c r="R91" i="16" a="1"/>
  <c r="R91" i="16" s="1"/>
  <c r="R82" i="16" a="1"/>
  <c r="R82" i="16" s="1"/>
  <c r="R142" i="16" a="1"/>
  <c r="R142" i="16" s="1"/>
  <c r="R36" i="16" a="1"/>
  <c r="R36" i="16" s="1"/>
  <c r="R24" i="16" a="1"/>
  <c r="R24" i="16" s="1"/>
  <c r="R25" i="16" a="1"/>
  <c r="R25" i="16" s="1"/>
  <c r="R40" i="16" a="1"/>
  <c r="R40" i="16" s="1"/>
  <c r="R67" i="16" a="1"/>
  <c r="R67" i="16" s="1"/>
  <c r="E30" i="16" a="1"/>
  <c r="E30" i="16" s="1"/>
  <c r="E28" i="16" a="1"/>
  <c r="E28" i="16" s="1"/>
  <c r="E21" i="16" a="1"/>
  <c r="E21" i="16" s="1"/>
  <c r="L24" i="23" s="1"/>
  <c r="E29" i="16" a="1"/>
  <c r="E29" i="16" s="1"/>
  <c r="L23" i="23" s="1"/>
  <c r="E22" i="16" a="1"/>
  <c r="E22" i="16" s="1"/>
  <c r="E23" i="16" a="1"/>
  <c r="E23" i="16" s="1"/>
  <c r="E20" i="16" a="1"/>
  <c r="E20" i="16" s="1"/>
  <c r="E25" i="16" a="1"/>
  <c r="E25" i="16" s="1"/>
  <c r="E26" i="16" a="1"/>
  <c r="E26" i="16" s="1"/>
  <c r="E27" i="16" a="1"/>
  <c r="E27" i="16" s="1"/>
  <c r="T7" i="16" a="1"/>
  <c r="E24" i="16" a="1"/>
  <c r="E24" i="16" s="1"/>
  <c r="Q291" i="3"/>
  <c r="R291" i="3" a="1"/>
  <c r="R291" i="3" s="1"/>
  <c r="Q220" i="3"/>
  <c r="R220" i="3" a="1"/>
  <c r="R220" i="3" s="1"/>
  <c r="Q662" i="3"/>
  <c r="R662" i="3" a="1"/>
  <c r="R662" i="3" s="1"/>
  <c r="Q566" i="3"/>
  <c r="R566" i="3" a="1"/>
  <c r="R566" i="3" s="1"/>
  <c r="Q341" i="3"/>
  <c r="R341" i="3" a="1"/>
  <c r="R341" i="3" s="1"/>
  <c r="Q270" i="3"/>
  <c r="R270" i="3" a="1"/>
  <c r="R270" i="3" s="1"/>
  <c r="Q127" i="3"/>
  <c r="R127" i="3" a="1"/>
  <c r="R127" i="3" s="1"/>
  <c r="Q651" i="3"/>
  <c r="R651" i="3" a="1"/>
  <c r="R651" i="3" s="1"/>
  <c r="Q431" i="3"/>
  <c r="R431" i="3" a="1"/>
  <c r="R431" i="3" s="1"/>
  <c r="Q349" i="3"/>
  <c r="R349" i="3" a="1"/>
  <c r="R349" i="3" s="1"/>
  <c r="Q249" i="3"/>
  <c r="R249" i="3" a="1"/>
  <c r="R249" i="3" s="1"/>
  <c r="Q152" i="3"/>
  <c r="R152" i="3" a="1"/>
  <c r="R152" i="3" s="1"/>
  <c r="Q627" i="3"/>
  <c r="R627" i="3" a="1"/>
  <c r="R627" i="3" s="1"/>
  <c r="Q656" i="3"/>
  <c r="R656" i="3" a="1"/>
  <c r="R656" i="3" s="1"/>
  <c r="Q317" i="3"/>
  <c r="R317" i="3" a="1"/>
  <c r="R317" i="3" s="1"/>
  <c r="Q379" i="3"/>
  <c r="R379" i="3" a="1"/>
  <c r="R379" i="3" s="1"/>
  <c r="Q122" i="3"/>
  <c r="R122" i="3" a="1"/>
  <c r="R122" i="3" s="1"/>
  <c r="Q450" i="3"/>
  <c r="R450" i="3" a="1"/>
  <c r="R450" i="3" s="1"/>
  <c r="Q346" i="3"/>
  <c r="R346" i="3" a="1"/>
  <c r="R346" i="3" s="1"/>
  <c r="Q199" i="3"/>
  <c r="R199" i="3" a="1"/>
  <c r="R199" i="3" s="1"/>
  <c r="Q489" i="3"/>
  <c r="R489" i="3" a="1"/>
  <c r="R489" i="3" s="1"/>
  <c r="Q385" i="3"/>
  <c r="R385" i="3" a="1"/>
  <c r="R385" i="3" s="1"/>
  <c r="Q200" i="3"/>
  <c r="R200" i="3" a="1"/>
  <c r="R200" i="3" s="1"/>
  <c r="R144" i="3" a="1"/>
  <c r="R144" i="3" s="1"/>
  <c r="Q519" i="3"/>
  <c r="R519" i="3" a="1"/>
  <c r="R519" i="3" s="1"/>
  <c r="Q363" i="3"/>
  <c r="R363" i="3" a="1"/>
  <c r="R363" i="3" s="1"/>
  <c r="Q277" i="3"/>
  <c r="R277" i="3" a="1"/>
  <c r="R277" i="3" s="1"/>
  <c r="Q233" i="3"/>
  <c r="R233" i="3" a="1"/>
  <c r="R233" i="3" s="1"/>
  <c r="Q192" i="3"/>
  <c r="R192" i="3" a="1"/>
  <c r="R192" i="3" s="1"/>
  <c r="Q370" i="3"/>
  <c r="R370" i="3" a="1"/>
  <c r="R370" i="3" s="1"/>
  <c r="Q166" i="3"/>
  <c r="R166" i="3" a="1"/>
  <c r="R166" i="3" s="1"/>
  <c r="Q267" i="3"/>
  <c r="R267" i="3" a="1"/>
  <c r="R267" i="3" s="1"/>
  <c r="Q632" i="3"/>
  <c r="R632" i="3" a="1"/>
  <c r="R632" i="3" s="1"/>
  <c r="R615" i="3" a="1"/>
  <c r="R615" i="3" s="1"/>
  <c r="R158" i="3" a="1"/>
  <c r="R158" i="3" s="1"/>
  <c r="R224" i="3" a="1"/>
  <c r="R224" i="3" s="1"/>
  <c r="R330" i="3" a="1"/>
  <c r="R330" i="3" s="1"/>
  <c r="R293" i="3" a="1"/>
  <c r="R293" i="3" s="1"/>
  <c r="R369" i="3" a="1"/>
  <c r="R369" i="3" s="1"/>
  <c r="R399" i="3" a="1"/>
  <c r="R399" i="3" s="1"/>
  <c r="R638" i="3" a="1"/>
  <c r="R638" i="3" s="1"/>
  <c r="R573" i="3" a="1"/>
  <c r="R573" i="3" s="1"/>
  <c r="R568" i="3" a="1"/>
  <c r="R568" i="3" s="1"/>
  <c r="R616" i="3" a="1"/>
  <c r="R616" i="3" s="1"/>
  <c r="R147" i="3" a="1"/>
  <c r="R147" i="3" s="1"/>
  <c r="R281" i="3" a="1"/>
  <c r="R281" i="3" s="1"/>
  <c r="R288" i="3" a="1"/>
  <c r="R288" i="3" s="1"/>
  <c r="R459" i="3" a="1"/>
  <c r="R459" i="3" s="1"/>
  <c r="R478" i="3" a="1"/>
  <c r="R478" i="3" s="1"/>
  <c r="R480" i="3" a="1"/>
  <c r="R480" i="3" s="1"/>
  <c r="R140" i="3" a="1"/>
  <c r="R140" i="3" s="1"/>
  <c r="R337" i="3" a="1"/>
  <c r="R337" i="3" s="1"/>
  <c r="R227" i="3" a="1"/>
  <c r="R227" i="3" s="1"/>
  <c r="R302" i="3" a="1"/>
  <c r="R302" i="3" s="1"/>
  <c r="R520" i="3" a="1"/>
  <c r="R520" i="3" s="1"/>
  <c r="R411" i="3" a="1"/>
  <c r="R411" i="3" s="1"/>
  <c r="R647" i="3" a="1"/>
  <c r="R647" i="3" s="1"/>
  <c r="R650" i="3" a="1"/>
  <c r="R650" i="3" s="1"/>
  <c r="R421" i="3" a="1"/>
  <c r="R421" i="3" s="1"/>
  <c r="R673" i="3" a="1"/>
  <c r="R673" i="3" s="1"/>
  <c r="R630" i="3" a="1"/>
  <c r="R630" i="3" s="1"/>
  <c r="R157" i="3" a="1"/>
  <c r="R157" i="3" s="1"/>
  <c r="R182" i="3" a="1"/>
  <c r="R182" i="3" s="1"/>
  <c r="R201" i="3" a="1"/>
  <c r="R201" i="3" s="1"/>
  <c r="R382" i="3" a="1"/>
  <c r="R382" i="3" s="1"/>
  <c r="R345" i="3" a="1"/>
  <c r="R345" i="3" s="1"/>
  <c r="Q271" i="3"/>
  <c r="R271" i="3" a="1"/>
  <c r="R271" i="3" s="1"/>
  <c r="Q595" i="3"/>
  <c r="R595" i="3" a="1"/>
  <c r="R595" i="3" s="1"/>
  <c r="Q260" i="3"/>
  <c r="R260" i="3" a="1"/>
  <c r="R260" i="3" s="1"/>
  <c r="Q646" i="3"/>
  <c r="R646" i="3" a="1"/>
  <c r="R646" i="3" s="1"/>
  <c r="Q347" i="3"/>
  <c r="R347" i="3" a="1"/>
  <c r="R347" i="3" s="1"/>
  <c r="Q640" i="3"/>
  <c r="R640" i="3" a="1"/>
  <c r="R640" i="3" s="1"/>
  <c r="Q599" i="3"/>
  <c r="R599" i="3" a="1"/>
  <c r="R599" i="3" s="1"/>
  <c r="Q664" i="3"/>
  <c r="R664" i="3" a="1"/>
  <c r="R664" i="3" s="1"/>
  <c r="Q448" i="3"/>
  <c r="R448" i="3" a="1"/>
  <c r="R448" i="3" s="1"/>
  <c r="Q429" i="3"/>
  <c r="R429" i="3" a="1"/>
  <c r="R429" i="3" s="1"/>
  <c r="Q175" i="3"/>
  <c r="R175" i="3" a="1"/>
  <c r="R175" i="3" s="1"/>
  <c r="Q335" i="3"/>
  <c r="R335" i="3" a="1"/>
  <c r="R335" i="3" s="1"/>
  <c r="Q211" i="3"/>
  <c r="R211" i="3" a="1"/>
  <c r="R211" i="3" s="1"/>
  <c r="Q135" i="3"/>
  <c r="R135" i="3" a="1"/>
  <c r="R135" i="3" s="1"/>
  <c r="Q404" i="3"/>
  <c r="R404" i="3" a="1"/>
  <c r="R404" i="3" s="1"/>
  <c r="Q493" i="3"/>
  <c r="R493" i="3" a="1"/>
  <c r="R493" i="3" s="1"/>
  <c r="Q289" i="3"/>
  <c r="R289" i="3" a="1"/>
  <c r="R289" i="3" s="1"/>
  <c r="Q154" i="3"/>
  <c r="R154" i="3" a="1"/>
  <c r="R154" i="3" s="1"/>
  <c r="Q252" i="3"/>
  <c r="R252" i="3" a="1"/>
  <c r="R252" i="3" s="1"/>
  <c r="Q186" i="3"/>
  <c r="R186" i="3" a="1"/>
  <c r="R186" i="3" s="1"/>
  <c r="Q396" i="3"/>
  <c r="R396" i="3" a="1"/>
  <c r="R396" i="3" s="1"/>
  <c r="Q471" i="3"/>
  <c r="R471" i="3" a="1"/>
  <c r="R471" i="3" s="1"/>
  <c r="Q258" i="3"/>
  <c r="R258" i="3" a="1"/>
  <c r="R258" i="3" s="1"/>
  <c r="Q477" i="3"/>
  <c r="R477" i="3" a="1"/>
  <c r="R477" i="3" s="1"/>
  <c r="Q449" i="3"/>
  <c r="R449" i="3" a="1"/>
  <c r="R449" i="3" s="1"/>
  <c r="Q221" i="3"/>
  <c r="R221" i="3" a="1"/>
  <c r="R221" i="3" s="1"/>
  <c r="Q124" i="3"/>
  <c r="R124" i="3" a="1"/>
  <c r="R124" i="3" s="1"/>
  <c r="Q179" i="3"/>
  <c r="R179" i="3" a="1"/>
  <c r="R179" i="3" s="1"/>
  <c r="Q540" i="3"/>
  <c r="R540" i="3" a="1"/>
  <c r="R540" i="3" s="1"/>
  <c r="Q320" i="3"/>
  <c r="R320" i="3" a="1"/>
  <c r="R320" i="3" s="1"/>
  <c r="Q603" i="3"/>
  <c r="R603" i="3" a="1"/>
  <c r="R603" i="3" s="1"/>
  <c r="R621" i="3" a="1"/>
  <c r="R621" i="3" s="1"/>
  <c r="R570" i="3" a="1"/>
  <c r="R570" i="3" s="1"/>
  <c r="R659" i="3" a="1"/>
  <c r="R659" i="3" s="1"/>
  <c r="R170" i="3" a="1"/>
  <c r="R170" i="3" s="1"/>
  <c r="R348" i="3" a="1"/>
  <c r="R348" i="3" s="1"/>
  <c r="R405" i="3" a="1"/>
  <c r="R405" i="3" s="1"/>
  <c r="R386" i="3" a="1"/>
  <c r="R386" i="3" s="1"/>
  <c r="R510" i="3" a="1"/>
  <c r="R510" i="3" s="1"/>
  <c r="R534" i="3" a="1"/>
  <c r="R534" i="3" s="1"/>
  <c r="R557" i="3" a="1"/>
  <c r="R557" i="3" s="1"/>
  <c r="R667" i="3" a="1"/>
  <c r="R667" i="3" s="1"/>
  <c r="R537" i="3" a="1"/>
  <c r="R537" i="3" s="1"/>
  <c r="R446" i="3" a="1"/>
  <c r="R446" i="3" s="1"/>
  <c r="R635" i="3" a="1"/>
  <c r="R635" i="3" s="1"/>
  <c r="R655" i="3" a="1"/>
  <c r="R655" i="3" s="1"/>
  <c r="R165" i="3" a="1"/>
  <c r="R165" i="3" s="1"/>
  <c r="R303" i="3" a="1"/>
  <c r="R303" i="3" s="1"/>
  <c r="R269" i="3" a="1"/>
  <c r="R269" i="3" s="1"/>
  <c r="R403" i="3" a="1"/>
  <c r="R403" i="3" s="1"/>
  <c r="R427" i="3" a="1"/>
  <c r="R427" i="3" s="1"/>
  <c r="R497" i="3" a="1"/>
  <c r="R497" i="3" s="1"/>
  <c r="R641" i="3" a="1"/>
  <c r="R641" i="3" s="1"/>
  <c r="R136" i="3" a="1"/>
  <c r="R136" i="3" s="1"/>
  <c r="R184" i="3" a="1"/>
  <c r="R184" i="3" s="1"/>
  <c r="R428" i="3" a="1"/>
  <c r="R428" i="3" s="1"/>
  <c r="R402" i="3" a="1"/>
  <c r="R402" i="3" s="1"/>
  <c r="R654" i="3" a="1"/>
  <c r="R654" i="3" s="1"/>
  <c r="R130" i="3" a="1"/>
  <c r="R130" i="3" s="1"/>
  <c r="R323" i="3" a="1"/>
  <c r="R323" i="3" s="1"/>
  <c r="R229" i="3" a="1"/>
  <c r="R229" i="3" s="1"/>
  <c r="R525" i="3" a="1"/>
  <c r="R525" i="3" s="1"/>
  <c r="R551" i="3" a="1"/>
  <c r="R551" i="3" s="1"/>
  <c r="R452" i="3" a="1"/>
  <c r="R452" i="3" s="1"/>
  <c r="R553" i="3" a="1"/>
  <c r="R553" i="3" s="1"/>
  <c r="Q460" i="3"/>
  <c r="R460" i="3" a="1"/>
  <c r="R460" i="3" s="1"/>
  <c r="Q543" i="3"/>
  <c r="R543" i="3" a="1"/>
  <c r="R543" i="3" s="1"/>
  <c r="Q634" i="3"/>
  <c r="R634" i="3" a="1"/>
  <c r="R634" i="3" s="1"/>
  <c r="Q430" i="3"/>
  <c r="R430" i="3" a="1"/>
  <c r="R430" i="3" s="1"/>
  <c r="Q612" i="3"/>
  <c r="R612" i="3" a="1"/>
  <c r="R612" i="3" s="1"/>
  <c r="Q143" i="3"/>
  <c r="R143" i="3" a="1"/>
  <c r="R143" i="3" s="1"/>
  <c r="Q649" i="3"/>
  <c r="R649" i="3" a="1"/>
  <c r="R649" i="3" s="1"/>
  <c r="Q496" i="3"/>
  <c r="R496" i="3" a="1"/>
  <c r="R496" i="3" s="1"/>
  <c r="Q423" i="3"/>
  <c r="R423" i="3" a="1"/>
  <c r="R423" i="3" s="1"/>
  <c r="Q319" i="3"/>
  <c r="R319" i="3" a="1"/>
  <c r="R319" i="3" s="1"/>
  <c r="Q254" i="3"/>
  <c r="R254" i="3" a="1"/>
  <c r="R254" i="3" s="1"/>
  <c r="Q658" i="3"/>
  <c r="R658" i="3" a="1"/>
  <c r="R658" i="3" s="1"/>
  <c r="Q512" i="3"/>
  <c r="R512" i="3" a="1"/>
  <c r="R512" i="3" s="1"/>
  <c r="Q542" i="3"/>
  <c r="R542" i="3" a="1"/>
  <c r="R542" i="3" s="1"/>
  <c r="Q280" i="3"/>
  <c r="R280" i="3" a="1"/>
  <c r="R280" i="3" s="1"/>
  <c r="Q613" i="3"/>
  <c r="R613" i="3" a="1"/>
  <c r="R613" i="3" s="1"/>
  <c r="Q513" i="3"/>
  <c r="R513" i="3" a="1"/>
  <c r="R513" i="3" s="1"/>
  <c r="Q336" i="3"/>
  <c r="R336" i="3" a="1"/>
  <c r="R336" i="3" s="1"/>
  <c r="Q235" i="3"/>
  <c r="R235" i="3" a="1"/>
  <c r="R235" i="3" s="1"/>
  <c r="Q133" i="3"/>
  <c r="R133" i="3" a="1"/>
  <c r="R133" i="3" s="1"/>
  <c r="Q408" i="3"/>
  <c r="R408" i="3" a="1"/>
  <c r="R408" i="3" s="1"/>
  <c r="Q340" i="3"/>
  <c r="R340" i="3" a="1"/>
  <c r="R340" i="3" s="1"/>
  <c r="Q185" i="3"/>
  <c r="R185" i="3" a="1"/>
  <c r="R185" i="3" s="1"/>
  <c r="Q372" i="3"/>
  <c r="R372" i="3" a="1"/>
  <c r="R372" i="3" s="1"/>
  <c r="Q251" i="3"/>
  <c r="R251" i="3" a="1"/>
  <c r="R251" i="3" s="1"/>
  <c r="Q322" i="3"/>
  <c r="R322" i="3" a="1"/>
  <c r="R322" i="3" s="1"/>
  <c r="Q447" i="3"/>
  <c r="R447" i="3" a="1"/>
  <c r="R447" i="3" s="1"/>
  <c r="Q420" i="3"/>
  <c r="R420" i="3" a="1"/>
  <c r="R420" i="3" s="1"/>
  <c r="Q283" i="3"/>
  <c r="R283" i="3" a="1"/>
  <c r="R283" i="3" s="1"/>
  <c r="Q139" i="3"/>
  <c r="R139" i="3" a="1"/>
  <c r="R139" i="3" s="1"/>
  <c r="Q358" i="3"/>
  <c r="R358" i="3" a="1"/>
  <c r="R358" i="3" s="1"/>
  <c r="Q216" i="3"/>
  <c r="R216" i="3" a="1"/>
  <c r="R216" i="3" s="1"/>
  <c r="Q528" i="3"/>
  <c r="R528" i="3" a="1"/>
  <c r="R528" i="3" s="1"/>
  <c r="Q653" i="3"/>
  <c r="R653" i="3" a="1"/>
  <c r="R653" i="3" s="1"/>
  <c r="R239" i="3" a="1"/>
  <c r="R239" i="3" s="1"/>
  <c r="R607" i="3" a="1"/>
  <c r="R607" i="3" s="1"/>
  <c r="R209" i="3" a="1"/>
  <c r="R209" i="3" s="1"/>
  <c r="R191" i="3" a="1"/>
  <c r="R191" i="3" s="1"/>
  <c r="R316" i="3" a="1"/>
  <c r="R316" i="3" s="1"/>
  <c r="R324" i="3" a="1"/>
  <c r="R324" i="3" s="1"/>
  <c r="R412" i="3" a="1"/>
  <c r="R412" i="3" s="1"/>
  <c r="R155" i="3" a="1"/>
  <c r="R155" i="3" s="1"/>
  <c r="R503" i="3" a="1"/>
  <c r="R503" i="3" s="1"/>
  <c r="R617" i="3" a="1"/>
  <c r="R617" i="3" s="1"/>
  <c r="R508" i="3" a="1"/>
  <c r="R508" i="3" s="1"/>
  <c r="R680" i="3" a="1"/>
  <c r="R680" i="3" s="1"/>
  <c r="R198" i="3" a="1"/>
  <c r="R198" i="3" s="1"/>
  <c r="R213" i="3" a="1"/>
  <c r="R213" i="3" s="1"/>
  <c r="R237" i="3" a="1"/>
  <c r="R237" i="3" s="1"/>
  <c r="R530" i="3" a="1"/>
  <c r="R530" i="3" s="1"/>
  <c r="R601" i="3" a="1"/>
  <c r="R601" i="3" s="1"/>
  <c r="R586" i="3" a="1"/>
  <c r="R586" i="3" s="1"/>
  <c r="R141" i="3" a="1"/>
  <c r="R141" i="3" s="1"/>
  <c r="R206" i="3" a="1"/>
  <c r="R206" i="3" s="1"/>
  <c r="R394" i="3" a="1"/>
  <c r="R394" i="3" s="1"/>
  <c r="R463" i="3" a="1"/>
  <c r="R463" i="3" s="1"/>
  <c r="R456" i="3" a="1"/>
  <c r="R456" i="3" s="1"/>
  <c r="R523" i="3" a="1"/>
  <c r="R523" i="3" s="1"/>
  <c r="R633" i="3" a="1"/>
  <c r="R633" i="3" s="1"/>
  <c r="R160" i="3" a="1"/>
  <c r="R160" i="3" s="1"/>
  <c r="R531" i="3" a="1"/>
  <c r="R531" i="3" s="1"/>
  <c r="R678" i="3" a="1"/>
  <c r="R678" i="3" s="1"/>
  <c r="R544" i="3" a="1"/>
  <c r="R544" i="3" s="1"/>
  <c r="R150" i="3" a="1"/>
  <c r="R150" i="3" s="1"/>
  <c r="R193" i="3" a="1"/>
  <c r="R193" i="3" s="1"/>
  <c r="R204" i="3" a="1"/>
  <c r="R204" i="3" s="1"/>
  <c r="R451" i="3" a="1"/>
  <c r="R451" i="3" s="1"/>
  <c r="R434" i="3" a="1"/>
  <c r="R434" i="3" s="1"/>
  <c r="Q311" i="3"/>
  <c r="R311" i="3" a="1"/>
  <c r="R311" i="3" s="1"/>
  <c r="Q663" i="3"/>
  <c r="R663" i="3" a="1"/>
  <c r="R663" i="3" s="1"/>
  <c r="Q433" i="3"/>
  <c r="R433" i="3" a="1"/>
  <c r="R433" i="3" s="1"/>
  <c r="Q578" i="3"/>
  <c r="R578" i="3" a="1"/>
  <c r="R578" i="3" s="1"/>
  <c r="Q178" i="3"/>
  <c r="R178" i="3" a="1"/>
  <c r="R178" i="3" s="1"/>
  <c r="Q604" i="3"/>
  <c r="R604" i="3" a="1"/>
  <c r="R604" i="3" s="1"/>
  <c r="Q473" i="3"/>
  <c r="R473" i="3" a="1"/>
  <c r="R473" i="3" s="1"/>
  <c r="Q250" i="3"/>
  <c r="R250" i="3" a="1"/>
  <c r="R250" i="3" s="1"/>
  <c r="Q173" i="3"/>
  <c r="R173" i="3" a="1"/>
  <c r="R173" i="3" s="1"/>
  <c r="Q511" i="3"/>
  <c r="R511" i="3" a="1"/>
  <c r="R511" i="3" s="1"/>
  <c r="Q671" i="3"/>
  <c r="R671" i="3" a="1"/>
  <c r="R671" i="3" s="1"/>
  <c r="Q509" i="3"/>
  <c r="R509" i="3" a="1"/>
  <c r="R509" i="3" s="1"/>
  <c r="Q242" i="3"/>
  <c r="R242" i="3" a="1"/>
  <c r="R242" i="3" s="1"/>
  <c r="Q486" i="3"/>
  <c r="R486" i="3" a="1"/>
  <c r="R486" i="3" s="1"/>
  <c r="Q484" i="3"/>
  <c r="R484" i="3" a="1"/>
  <c r="R484" i="3" s="1"/>
  <c r="Q292" i="3"/>
  <c r="R292" i="3" a="1"/>
  <c r="R292" i="3" s="1"/>
  <c r="Q541" i="3"/>
  <c r="R541" i="3" a="1"/>
  <c r="R541" i="3" s="1"/>
  <c r="Q359" i="3"/>
  <c r="R359" i="3" a="1"/>
  <c r="R359" i="3" s="1"/>
  <c r="Q294" i="3"/>
  <c r="R294" i="3" a="1"/>
  <c r="R294" i="3" s="1"/>
  <c r="Q196" i="3"/>
  <c r="R196" i="3" a="1"/>
  <c r="R196" i="3" s="1"/>
  <c r="Q468" i="3"/>
  <c r="R468" i="3" a="1"/>
  <c r="R468" i="3" s="1"/>
  <c r="Q333" i="3"/>
  <c r="R333" i="3" a="1"/>
  <c r="R333" i="3" s="1"/>
  <c r="Q180" i="3"/>
  <c r="R180" i="3" a="1"/>
  <c r="R180" i="3" s="1"/>
  <c r="Q522" i="3"/>
  <c r="R522" i="3" a="1"/>
  <c r="R522" i="3" s="1"/>
  <c r="Q376" i="3"/>
  <c r="R376" i="3" a="1"/>
  <c r="R376" i="3" s="1"/>
  <c r="Q187" i="3"/>
  <c r="R187" i="3" a="1"/>
  <c r="R187" i="3" s="1"/>
  <c r="Q177" i="3"/>
  <c r="R177" i="3" a="1"/>
  <c r="R177" i="3" s="1"/>
  <c r="Q310" i="3"/>
  <c r="R310" i="3" a="1"/>
  <c r="R310" i="3" s="1"/>
  <c r="Q507" i="3"/>
  <c r="R507" i="3" a="1"/>
  <c r="R507" i="3" s="1"/>
  <c r="Q494" i="3"/>
  <c r="R494" i="3" a="1"/>
  <c r="R494" i="3" s="1"/>
  <c r="R474" i="3" a="1"/>
  <c r="R474" i="3" s="1"/>
  <c r="R674" i="3" a="1"/>
  <c r="R674" i="3" s="1"/>
  <c r="R492" i="3" a="1"/>
  <c r="R492" i="3" s="1"/>
  <c r="R159" i="3" a="1"/>
  <c r="R159" i="3" s="1"/>
  <c r="R228" i="3" a="1"/>
  <c r="R228" i="3" s="1"/>
  <c r="R248" i="3" a="1"/>
  <c r="R248" i="3" s="1"/>
  <c r="R296" i="3" a="1"/>
  <c r="R296" i="3" s="1"/>
  <c r="R390" i="3" a="1"/>
  <c r="R390" i="3" s="1"/>
  <c r="R442" i="3" a="1"/>
  <c r="R442" i="3" s="1"/>
  <c r="R598" i="3" a="1"/>
  <c r="R598" i="3" s="1"/>
  <c r="R406" i="3" a="1"/>
  <c r="R406" i="3" s="1"/>
  <c r="R679" i="3" a="1"/>
  <c r="R679" i="3" s="1"/>
  <c r="R131" i="3" a="1"/>
  <c r="R131" i="3" s="1"/>
  <c r="R208" i="3" a="1"/>
  <c r="R208" i="3" s="1"/>
  <c r="R354" i="3" a="1"/>
  <c r="R354" i="3" s="1"/>
  <c r="R298" i="3" a="1"/>
  <c r="R298" i="3" s="1"/>
  <c r="R454" i="3" a="1"/>
  <c r="R454" i="3" s="1"/>
  <c r="R183" i="3" a="1"/>
  <c r="R183" i="3" s="1"/>
  <c r="R518" i="3" a="1"/>
  <c r="R518" i="3" s="1"/>
  <c r="R305" i="3" a="1"/>
  <c r="R305" i="3" s="1"/>
  <c r="R462" i="3" a="1"/>
  <c r="R462" i="3" s="1"/>
  <c r="R268" i="3" a="1"/>
  <c r="R268" i="3" s="1"/>
  <c r="R527" i="3" a="1"/>
  <c r="R527" i="3" s="1"/>
  <c r="R514" i="3" a="1"/>
  <c r="R514" i="3" s="1"/>
  <c r="R295" i="3" a="1"/>
  <c r="R295" i="3" s="1"/>
  <c r="R343" i="3" a="1"/>
  <c r="R343" i="3" s="1"/>
  <c r="R297" i="3" a="1"/>
  <c r="R297" i="3" s="1"/>
  <c r="R416" i="3" a="1"/>
  <c r="R416" i="3" s="1"/>
  <c r="R395" i="3" a="1"/>
  <c r="R395" i="3" s="1"/>
  <c r="R565" i="3" a="1"/>
  <c r="R565" i="3" s="1"/>
  <c r="R417" i="3" a="1"/>
  <c r="R417" i="3" s="1"/>
  <c r="Q371" i="3"/>
  <c r="R371" i="3" a="1"/>
  <c r="R371" i="3" s="1"/>
  <c r="Q582" i="3"/>
  <c r="R582" i="3" a="1"/>
  <c r="R582" i="3" s="1"/>
  <c r="Q609" i="3"/>
  <c r="R609" i="3" a="1"/>
  <c r="R609" i="3" s="1"/>
  <c r="Q138" i="3"/>
  <c r="R138" i="3" a="1"/>
  <c r="R138" i="3" s="1"/>
  <c r="Q666" i="3"/>
  <c r="R666" i="3" a="1"/>
  <c r="R666" i="3" s="1"/>
  <c r="Q334" i="3"/>
  <c r="R334" i="3" a="1"/>
  <c r="R334" i="3" s="1"/>
  <c r="Q479" i="3"/>
  <c r="R479" i="3" a="1"/>
  <c r="R479" i="3" s="1"/>
  <c r="Q485" i="3"/>
  <c r="R485" i="3" a="1"/>
  <c r="R485" i="3" s="1"/>
  <c r="Q475" i="3"/>
  <c r="R475" i="3" a="1"/>
  <c r="R475" i="3" s="1"/>
  <c r="Q329" i="3"/>
  <c r="R329" i="3" a="1"/>
  <c r="R329" i="3" s="1"/>
  <c r="Q240" i="3"/>
  <c r="R240" i="3" a="1"/>
  <c r="R240" i="3" s="1"/>
  <c r="Q524" i="3"/>
  <c r="R524" i="3" a="1"/>
  <c r="R524" i="3" s="1"/>
  <c r="Q589" i="3"/>
  <c r="R589" i="3" a="1"/>
  <c r="R589" i="3" s="1"/>
  <c r="Q308" i="3"/>
  <c r="R308" i="3" a="1"/>
  <c r="R308" i="3" s="1"/>
  <c r="Q164" i="3"/>
  <c r="R164" i="3" a="1"/>
  <c r="R164" i="3" s="1"/>
  <c r="Q622" i="3"/>
  <c r="R622" i="3" a="1"/>
  <c r="R622" i="3" s="1"/>
  <c r="Q331" i="3"/>
  <c r="R331" i="3" a="1"/>
  <c r="R331" i="3" s="1"/>
  <c r="Q245" i="3"/>
  <c r="R245" i="3" a="1"/>
  <c r="R245" i="3" s="1"/>
  <c r="Q223" i="3"/>
  <c r="R223" i="3" a="1"/>
  <c r="R223" i="3" s="1"/>
  <c r="Q532" i="3"/>
  <c r="R532" i="3" a="1"/>
  <c r="R532" i="3" s="1"/>
  <c r="Q500" i="3"/>
  <c r="R500" i="3" a="1"/>
  <c r="R500" i="3" s="1"/>
  <c r="Q265" i="3"/>
  <c r="R265" i="3" a="1"/>
  <c r="R265" i="3" s="1"/>
  <c r="Q225" i="3"/>
  <c r="R225" i="3" a="1"/>
  <c r="R225" i="3" s="1"/>
  <c r="Q581" i="3"/>
  <c r="R581" i="3" a="1"/>
  <c r="R581" i="3" s="1"/>
  <c r="Q377" i="3"/>
  <c r="R377" i="3" a="1"/>
  <c r="R377" i="3" s="1"/>
  <c r="Q256" i="3"/>
  <c r="R256" i="3" a="1"/>
  <c r="R256" i="3" s="1"/>
  <c r="Q262" i="3"/>
  <c r="R262" i="3" a="1"/>
  <c r="R262" i="3" s="1"/>
  <c r="Q593" i="3"/>
  <c r="R593" i="3" a="1"/>
  <c r="R593" i="3" s="1"/>
  <c r="Q384" i="3"/>
  <c r="R384" i="3" a="1"/>
  <c r="R384" i="3" s="1"/>
  <c r="Q189" i="3"/>
  <c r="R189" i="3" a="1"/>
  <c r="R189" i="3" s="1"/>
  <c r="Q263" i="3"/>
  <c r="R263" i="3" a="1"/>
  <c r="R263" i="3" s="1"/>
  <c r="Q365" i="3"/>
  <c r="R365" i="3" a="1"/>
  <c r="R365" i="3" s="1"/>
  <c r="Q562" i="3"/>
  <c r="R562" i="3" a="1"/>
  <c r="R562" i="3" s="1"/>
  <c r="Q554" i="3"/>
  <c r="R554" i="3" a="1"/>
  <c r="R554" i="3" s="1"/>
  <c r="Q618" i="3"/>
  <c r="R618" i="3" a="1"/>
  <c r="R618" i="3" s="1"/>
  <c r="R356" i="3" a="1"/>
  <c r="R356" i="3" s="1"/>
  <c r="R549" i="3" a="1"/>
  <c r="R549" i="3" s="1"/>
  <c r="R162" i="3" a="1"/>
  <c r="R162" i="3" s="1"/>
  <c r="R176" i="3" a="1"/>
  <c r="R176" i="3" s="1"/>
  <c r="R444" i="3" a="1"/>
  <c r="R444" i="3" s="1"/>
  <c r="R284" i="3" a="1"/>
  <c r="R284" i="3" s="1"/>
  <c r="R535" i="3" a="1"/>
  <c r="R535" i="3" s="1"/>
  <c r="R438" i="3" a="1"/>
  <c r="R438" i="3" s="1"/>
  <c r="R161" i="3" a="1"/>
  <c r="R161" i="3" s="1"/>
  <c r="R600" i="3" a="1"/>
  <c r="R600" i="3" s="1"/>
  <c r="R533" i="3" a="1"/>
  <c r="R533" i="3" s="1"/>
  <c r="R606" i="3" a="1"/>
  <c r="R606" i="3" s="1"/>
  <c r="R149" i="3" a="1"/>
  <c r="R149" i="3" s="1"/>
  <c r="R168" i="3" a="1"/>
  <c r="R168" i="3" s="1"/>
  <c r="R222" i="3" a="1"/>
  <c r="R222" i="3" s="1"/>
  <c r="R413" i="3" a="1"/>
  <c r="R413" i="3" s="1"/>
  <c r="R453" i="3" a="1"/>
  <c r="R453" i="3" s="1"/>
  <c r="R393" i="3" a="1"/>
  <c r="R393" i="3" s="1"/>
  <c r="R498" i="3" a="1"/>
  <c r="R498" i="3" s="1"/>
  <c r="R628" i="3" a="1"/>
  <c r="R628" i="3" s="1"/>
  <c r="R181" i="3" a="1"/>
  <c r="R181" i="3" s="1"/>
  <c r="R314" i="3" a="1"/>
  <c r="R314" i="3" s="1"/>
  <c r="R321" i="3" a="1"/>
  <c r="R321" i="3" s="1"/>
  <c r="R374" i="3" a="1"/>
  <c r="R374" i="3" s="1"/>
  <c r="R515" i="3" a="1"/>
  <c r="R515" i="3" s="1"/>
  <c r="R626" i="3" a="1"/>
  <c r="R626" i="3" s="1"/>
  <c r="R665" i="3" a="1"/>
  <c r="R665" i="3" s="1"/>
  <c r="R275" i="3" a="1"/>
  <c r="R275" i="3" s="1"/>
  <c r="R676" i="3" a="1"/>
  <c r="R676" i="3" s="1"/>
  <c r="R591" i="3" a="1"/>
  <c r="R591" i="3" s="1"/>
  <c r="R625" i="3" a="1"/>
  <c r="R625" i="3" s="1"/>
  <c r="R129" i="3" a="1"/>
  <c r="R129" i="3" s="1"/>
  <c r="R381" i="3" a="1"/>
  <c r="R381" i="3" s="1"/>
  <c r="R388" i="3" a="1"/>
  <c r="R388" i="3" s="1"/>
  <c r="R378" i="3" a="1"/>
  <c r="R378" i="3" s="1"/>
  <c r="R443" i="3" a="1"/>
  <c r="R443" i="3" s="1"/>
  <c r="Q391" i="3"/>
  <c r="R391" i="3" a="1"/>
  <c r="R391" i="3" s="1"/>
  <c r="Q424" i="3"/>
  <c r="R424" i="3" a="1"/>
  <c r="R424" i="3" s="1"/>
  <c r="Q576" i="3"/>
  <c r="R576" i="3" a="1"/>
  <c r="R576" i="3" s="1"/>
  <c r="Q432" i="3"/>
  <c r="R432" i="3" a="1"/>
  <c r="R432" i="3" s="1"/>
  <c r="Q526" i="3"/>
  <c r="R526" i="3" a="1"/>
  <c r="R526" i="3" s="1"/>
  <c r="Q246" i="3"/>
  <c r="R246" i="3" a="1"/>
  <c r="R246" i="3" s="1"/>
  <c r="Q538" i="3"/>
  <c r="R538" i="3" a="1"/>
  <c r="R538" i="3" s="1"/>
  <c r="Q418" i="3"/>
  <c r="R418" i="3" a="1"/>
  <c r="R418" i="3" s="1"/>
  <c r="Q274" i="3"/>
  <c r="R274" i="3" a="1"/>
  <c r="R274" i="3" s="1"/>
  <c r="Q368" i="3"/>
  <c r="R368" i="3" a="1"/>
  <c r="R368" i="3" s="1"/>
  <c r="Q574" i="3"/>
  <c r="R574" i="3" a="1"/>
  <c r="R574" i="3" s="1"/>
  <c r="Q458" i="3"/>
  <c r="R458" i="3" a="1"/>
  <c r="R458" i="3" s="1"/>
  <c r="Q536" i="3"/>
  <c r="R536" i="3" a="1"/>
  <c r="R536" i="3" s="1"/>
  <c r="Q194" i="3"/>
  <c r="R194" i="3" a="1"/>
  <c r="R194" i="3" s="1"/>
  <c r="Q644" i="3"/>
  <c r="R644" i="3" a="1"/>
  <c r="R644" i="3" s="1"/>
  <c r="Q309" i="3"/>
  <c r="R309" i="3" a="1"/>
  <c r="R309" i="3" s="1"/>
  <c r="Q299" i="3"/>
  <c r="R299" i="3" a="1"/>
  <c r="R299" i="3" s="1"/>
  <c r="Q195" i="3"/>
  <c r="R195" i="3" a="1"/>
  <c r="R195" i="3" s="1"/>
  <c r="Q547" i="3"/>
  <c r="R547" i="3" a="1"/>
  <c r="R547" i="3" s="1"/>
  <c r="Q315" i="3"/>
  <c r="R315" i="3" a="1"/>
  <c r="R315" i="3" s="1"/>
  <c r="Q400" i="3"/>
  <c r="R400" i="3" a="1"/>
  <c r="R400" i="3" s="1"/>
  <c r="Q123" i="3"/>
  <c r="R123" i="3" a="1"/>
  <c r="R123" i="3" s="1"/>
  <c r="Q439" i="3"/>
  <c r="R439" i="3" a="1"/>
  <c r="R439" i="3" s="1"/>
  <c r="Q426" i="3"/>
  <c r="R426" i="3" a="1"/>
  <c r="R426" i="3" s="1"/>
  <c r="Q397" i="3"/>
  <c r="R397" i="3" a="1"/>
  <c r="R397" i="3" s="1"/>
  <c r="Q327" i="3"/>
  <c r="R327" i="3" a="1"/>
  <c r="R327" i="3" s="1"/>
  <c r="Q410" i="3"/>
  <c r="R410" i="3" a="1"/>
  <c r="R410" i="3" s="1"/>
  <c r="Q380" i="3"/>
  <c r="R380" i="3" a="1"/>
  <c r="R380" i="3" s="1"/>
  <c r="Q261" i="3"/>
  <c r="R261" i="3" a="1"/>
  <c r="R261" i="3" s="1"/>
  <c r="Q197" i="3"/>
  <c r="R197" i="3" a="1"/>
  <c r="R197" i="3" s="1"/>
  <c r="Q517" i="3"/>
  <c r="R517" i="3" a="1"/>
  <c r="R517" i="3" s="1"/>
  <c r="Q631" i="3"/>
  <c r="R631" i="3" a="1"/>
  <c r="R631" i="3" s="1"/>
  <c r="Q575" i="3"/>
  <c r="R575" i="3" a="1"/>
  <c r="R575" i="3" s="1"/>
  <c r="R344" i="3" a="1"/>
  <c r="R344" i="3" s="1"/>
  <c r="R661" i="3" a="1"/>
  <c r="R661" i="3" s="1"/>
  <c r="R167" i="3" a="1"/>
  <c r="R167" i="3" s="1"/>
  <c r="R594" i="3" a="1"/>
  <c r="R594" i="3" s="1"/>
  <c r="R125" i="3" a="1"/>
  <c r="R125" i="3" s="1"/>
  <c r="R318" i="3" a="1"/>
  <c r="R318" i="3" s="1"/>
  <c r="R401" i="3" a="1"/>
  <c r="R401" i="3" s="1"/>
  <c r="R338" i="3" a="1"/>
  <c r="R338" i="3" s="1"/>
  <c r="R387" i="3" a="1"/>
  <c r="R387" i="3" s="1"/>
  <c r="R174" i="3" a="1"/>
  <c r="R174" i="3" s="1"/>
  <c r="R504" i="3" a="1"/>
  <c r="R504" i="3" s="1"/>
  <c r="R672" i="3" a="1"/>
  <c r="R672" i="3" s="1"/>
  <c r="R355" i="3" a="1"/>
  <c r="R355" i="3" s="1"/>
  <c r="R545" i="3" a="1"/>
  <c r="R545" i="3" s="1"/>
  <c r="R476" i="3" a="1"/>
  <c r="R476" i="3" s="1"/>
  <c r="R579" i="3" a="1"/>
  <c r="R579" i="3" s="1"/>
  <c r="R142" i="3" a="1"/>
  <c r="R142" i="3" s="1"/>
  <c r="R234" i="3" a="1"/>
  <c r="R234" i="3" s="1"/>
  <c r="R357" i="3" a="1"/>
  <c r="R357" i="3" s="1"/>
  <c r="R301" i="3" a="1"/>
  <c r="R301" i="3" s="1"/>
  <c r="R466" i="3" a="1"/>
  <c r="R466" i="3" s="1"/>
  <c r="R572" i="3" a="1"/>
  <c r="R572" i="3" s="1"/>
  <c r="R675" i="3" a="1"/>
  <c r="R675" i="3" s="1"/>
  <c r="R146" i="3" a="1"/>
  <c r="R146" i="3" s="1"/>
  <c r="R171" i="3" a="1"/>
  <c r="R171" i="3" s="1"/>
  <c r="R259" i="3" a="1"/>
  <c r="R259" i="3" s="1"/>
  <c r="R278" i="3" a="1"/>
  <c r="R278" i="3" s="1"/>
  <c r="R383" i="3" a="1"/>
  <c r="R383" i="3" s="1"/>
  <c r="R190" i="3" a="1"/>
  <c r="R190" i="3" s="1"/>
  <c r="R188" i="3" a="1"/>
  <c r="R188" i="3" s="1"/>
  <c r="R285" i="3" a="1"/>
  <c r="R285" i="3" s="1"/>
  <c r="R332" i="3" a="1"/>
  <c r="R332" i="3" s="1"/>
  <c r="R467" i="3" a="1"/>
  <c r="R467" i="3" s="1"/>
  <c r="R145" i="3" a="1"/>
  <c r="R145" i="3" s="1"/>
  <c r="R584" i="3" a="1"/>
  <c r="R584" i="3" s="1"/>
  <c r="Q407" i="3"/>
  <c r="R407" i="3" a="1"/>
  <c r="R407" i="3" s="1"/>
  <c r="Q588" i="3"/>
  <c r="R588" i="3" a="1"/>
  <c r="R588" i="3" s="1"/>
  <c r="Q681" i="3"/>
  <c r="R681" i="3" a="1"/>
  <c r="R681" i="3" s="1"/>
  <c r="Q306" i="3"/>
  <c r="R306" i="3" a="1"/>
  <c r="R306" i="3" s="1"/>
  <c r="Q571" i="3"/>
  <c r="R571" i="3" a="1"/>
  <c r="R571" i="3" s="1"/>
  <c r="Q548" i="3"/>
  <c r="R548" i="3" a="1"/>
  <c r="R548" i="3" s="1"/>
  <c r="Q367" i="3"/>
  <c r="R367" i="3" a="1"/>
  <c r="R367" i="3" s="1"/>
  <c r="Q300" i="3"/>
  <c r="R300" i="3" a="1"/>
  <c r="R300" i="3" s="1"/>
  <c r="Q236" i="3"/>
  <c r="R236" i="3" a="1"/>
  <c r="R236" i="3" s="1"/>
  <c r="Q441" i="3"/>
  <c r="R441" i="3" a="1"/>
  <c r="R441" i="3" s="1"/>
  <c r="Q437" i="3"/>
  <c r="R437" i="3" a="1"/>
  <c r="R437" i="3" s="1"/>
  <c r="Q247" i="3"/>
  <c r="R247" i="3" a="1"/>
  <c r="R247" i="3" s="1"/>
  <c r="Q230" i="3"/>
  <c r="R230" i="3" a="1"/>
  <c r="R230" i="3" s="1"/>
  <c r="Q491" i="3"/>
  <c r="R491" i="3" a="1"/>
  <c r="R491" i="3" s="1"/>
  <c r="Q425" i="3"/>
  <c r="R425" i="3" a="1"/>
  <c r="R425" i="3" s="1"/>
  <c r="Q253" i="3"/>
  <c r="R253" i="3" a="1"/>
  <c r="R253" i="3" s="1"/>
  <c r="Q169" i="3"/>
  <c r="R169" i="3" a="1"/>
  <c r="R169" i="3" s="1"/>
  <c r="Q375" i="3"/>
  <c r="R375" i="3" a="1"/>
  <c r="R375" i="3" s="1"/>
  <c r="Q483" i="3"/>
  <c r="R483" i="3" a="1"/>
  <c r="R483" i="3" s="1"/>
  <c r="Q328" i="3"/>
  <c r="R328" i="3" a="1"/>
  <c r="R328" i="3" s="1"/>
  <c r="Q137" i="3"/>
  <c r="R137" i="3" a="1"/>
  <c r="R137" i="3" s="1"/>
  <c r="Q546" i="3"/>
  <c r="R546" i="3" a="1"/>
  <c r="R546" i="3" s="1"/>
  <c r="Q352" i="3"/>
  <c r="R352" i="3" a="1"/>
  <c r="R352" i="3" s="1"/>
  <c r="Q362" i="3"/>
  <c r="R362" i="3" a="1"/>
  <c r="R362" i="3" s="1"/>
  <c r="Q121" i="3"/>
  <c r="R8" i="3" a="1"/>
  <c r="R8" i="3" s="1"/>
  <c r="R16" i="3" a="1"/>
  <c r="R16" i="3" s="1"/>
  <c r="R23" i="3" a="1"/>
  <c r="R23" i="3" s="1"/>
  <c r="R31" i="3" a="1"/>
  <c r="R31" i="3" s="1"/>
  <c r="R37" i="3" a="1"/>
  <c r="R37" i="3" s="1"/>
  <c r="R45" i="3" a="1"/>
  <c r="R45" i="3" s="1"/>
  <c r="R52" i="3" a="1"/>
  <c r="R52" i="3" s="1"/>
  <c r="R60" i="3" a="1"/>
  <c r="R60" i="3" s="1"/>
  <c r="R67" i="3" a="1"/>
  <c r="R67" i="3" s="1"/>
  <c r="R74" i="3" a="1"/>
  <c r="R74" i="3" s="1"/>
  <c r="R82" i="3" a="1"/>
  <c r="R82" i="3" s="1"/>
  <c r="R89" i="3" a="1"/>
  <c r="R89" i="3" s="1"/>
  <c r="R96" i="3" a="1"/>
  <c r="R96" i="3" s="1"/>
  <c r="R103" i="3" a="1"/>
  <c r="R103" i="3" s="1"/>
  <c r="R111" i="3" a="1"/>
  <c r="R111" i="3" s="1"/>
  <c r="R118" i="3" a="1"/>
  <c r="R118" i="3" s="1"/>
  <c r="R9" i="3" a="1"/>
  <c r="R9" i="3" s="1"/>
  <c r="R17" i="3" a="1"/>
  <c r="R17" i="3" s="1"/>
  <c r="R24" i="3" a="1"/>
  <c r="R24" i="3" s="1"/>
  <c r="R38" i="3" a="1"/>
  <c r="R38" i="3" s="1"/>
  <c r="R46" i="3" a="1"/>
  <c r="R46" i="3" s="1"/>
  <c r="R53" i="3" a="1"/>
  <c r="R53" i="3" s="1"/>
  <c r="R61" i="3" a="1"/>
  <c r="R61" i="3" s="1"/>
  <c r="R75" i="3" a="1"/>
  <c r="R75" i="3" s="1"/>
  <c r="R83" i="3" a="1"/>
  <c r="R83" i="3" s="1"/>
  <c r="R90" i="3" a="1"/>
  <c r="R90" i="3" s="1"/>
  <c r="R97" i="3" a="1"/>
  <c r="R97" i="3" s="1"/>
  <c r="R104" i="3" a="1"/>
  <c r="R104" i="3" s="1"/>
  <c r="R112" i="3" a="1"/>
  <c r="R112" i="3" s="1"/>
  <c r="R119" i="3" a="1"/>
  <c r="R119" i="3" s="1"/>
  <c r="R10" i="3" a="1"/>
  <c r="R10" i="3" s="1"/>
  <c r="R18" i="3" a="1"/>
  <c r="R18" i="3" s="1"/>
  <c r="R25" i="3" a="1"/>
  <c r="R25" i="3" s="1"/>
  <c r="R32" i="3" a="1"/>
  <c r="R32" i="3" s="1"/>
  <c r="R39" i="3" a="1"/>
  <c r="R39" i="3" s="1"/>
  <c r="R47" i="3" a="1"/>
  <c r="R47" i="3" s="1"/>
  <c r="R54" i="3" a="1"/>
  <c r="R54" i="3" s="1"/>
  <c r="R62" i="3" a="1"/>
  <c r="R62" i="3" s="1"/>
  <c r="R68" i="3" a="1"/>
  <c r="R68" i="3" s="1"/>
  <c r="R76" i="3" a="1"/>
  <c r="R76" i="3" s="1"/>
  <c r="R91" i="3" a="1"/>
  <c r="R91" i="3" s="1"/>
  <c r="R98" i="3" a="1"/>
  <c r="R98" i="3" s="1"/>
  <c r="R105" i="3" a="1"/>
  <c r="R105" i="3" s="1"/>
  <c r="R113" i="3" a="1"/>
  <c r="R113" i="3" s="1"/>
  <c r="R120" i="3" a="1"/>
  <c r="R120" i="3" s="1"/>
  <c r="R11" i="3" a="1"/>
  <c r="R11" i="3" s="1"/>
  <c r="R19" i="3" a="1"/>
  <c r="R19" i="3" s="1"/>
  <c r="R26" i="3" a="1"/>
  <c r="R26" i="3" s="1"/>
  <c r="R33" i="3" a="1"/>
  <c r="R33" i="3" s="1"/>
  <c r="R40" i="3" a="1"/>
  <c r="R40" i="3" s="1"/>
  <c r="R48" i="3" a="1"/>
  <c r="R48" i="3" s="1"/>
  <c r="R55" i="3" a="1"/>
  <c r="R55" i="3" s="1"/>
  <c r="R63" i="3" a="1"/>
  <c r="R63" i="3" s="1"/>
  <c r="R69" i="3" a="1"/>
  <c r="R69" i="3" s="1"/>
  <c r="R77" i="3" a="1"/>
  <c r="R77" i="3" s="1"/>
  <c r="R84" i="3" a="1"/>
  <c r="R84" i="3" s="1"/>
  <c r="R92" i="3" a="1"/>
  <c r="R92" i="3" s="1"/>
  <c r="R99" i="3" a="1"/>
  <c r="R99" i="3" s="1"/>
  <c r="R106" i="3" a="1"/>
  <c r="R106" i="3" s="1"/>
  <c r="R114" i="3" a="1"/>
  <c r="R114" i="3" s="1"/>
  <c r="R12" i="3" a="1"/>
  <c r="R12" i="3" s="1"/>
  <c r="R27" i="3" a="1"/>
  <c r="R27" i="3" s="1"/>
  <c r="R34" i="3" a="1"/>
  <c r="R34" i="3" s="1"/>
  <c r="R41" i="3" a="1"/>
  <c r="R41" i="3" s="1"/>
  <c r="R49" i="3" a="1"/>
  <c r="R49" i="3" s="1"/>
  <c r="R56" i="3" a="1"/>
  <c r="R56" i="3" s="1"/>
  <c r="R70" i="3" a="1"/>
  <c r="R70" i="3" s="1"/>
  <c r="R78" i="3" a="1"/>
  <c r="R78" i="3" s="1"/>
  <c r="R85" i="3" a="1"/>
  <c r="R85" i="3" s="1"/>
  <c r="R93" i="3" a="1"/>
  <c r="R93" i="3" s="1"/>
  <c r="R107" i="3" a="1"/>
  <c r="R107" i="3" s="1"/>
  <c r="R115" i="3" a="1"/>
  <c r="R115" i="3" s="1"/>
  <c r="R13" i="3" a="1"/>
  <c r="R13" i="3" s="1"/>
  <c r="R20" i="3" a="1"/>
  <c r="R20" i="3" s="1"/>
  <c r="R28" i="3" a="1"/>
  <c r="R28" i="3" s="1"/>
  <c r="R35" i="3" a="1"/>
  <c r="R35" i="3" s="1"/>
  <c r="R42" i="3" a="1"/>
  <c r="R42" i="3" s="1"/>
  <c r="R50" i="3" a="1"/>
  <c r="R50" i="3" s="1"/>
  <c r="R57" i="3" a="1"/>
  <c r="R57" i="3" s="1"/>
  <c r="R64" i="3" a="1"/>
  <c r="R64" i="3" s="1"/>
  <c r="R71" i="3" a="1"/>
  <c r="R71" i="3" s="1"/>
  <c r="R79" i="3" a="1"/>
  <c r="R79" i="3" s="1"/>
  <c r="R86" i="3" a="1"/>
  <c r="R86" i="3" s="1"/>
  <c r="R94" i="3" a="1"/>
  <c r="R94" i="3" s="1"/>
  <c r="R100" i="3" a="1"/>
  <c r="R100" i="3" s="1"/>
  <c r="R108" i="3" a="1"/>
  <c r="R108" i="3" s="1"/>
  <c r="R14" i="3" a="1"/>
  <c r="R14" i="3" s="1"/>
  <c r="R21" i="3" a="1"/>
  <c r="R21" i="3" s="1"/>
  <c r="R29" i="3" a="1"/>
  <c r="R29" i="3" s="1"/>
  <c r="R43" i="3" a="1"/>
  <c r="R43" i="3" s="1"/>
  <c r="R51" i="3" a="1"/>
  <c r="R51" i="3" s="1"/>
  <c r="R58" i="3" a="1"/>
  <c r="R58" i="3" s="1"/>
  <c r="R65" i="3" a="1"/>
  <c r="R65" i="3" s="1"/>
  <c r="R72" i="3" a="1"/>
  <c r="R72" i="3" s="1"/>
  <c r="R80" i="3" a="1"/>
  <c r="R80" i="3" s="1"/>
  <c r="R87" i="3" a="1"/>
  <c r="R87" i="3" s="1"/>
  <c r="R95" i="3" a="1"/>
  <c r="R95" i="3" s="1"/>
  <c r="R101" i="3" a="1"/>
  <c r="R101" i="3" s="1"/>
  <c r="R109" i="3" a="1"/>
  <c r="R109" i="3" s="1"/>
  <c r="R116" i="3" a="1"/>
  <c r="R116" i="3" s="1"/>
  <c r="R121" i="3" a="1"/>
  <c r="R121" i="3" s="1"/>
  <c r="R15" i="3" a="1"/>
  <c r="R15" i="3" s="1"/>
  <c r="R73" i="3" a="1"/>
  <c r="R73" i="3" s="1"/>
  <c r="R22" i="3" a="1"/>
  <c r="R22" i="3" s="1"/>
  <c r="R81" i="3" a="1"/>
  <c r="R81" i="3" s="1"/>
  <c r="R555" i="3" a="1"/>
  <c r="R555" i="3" s="1"/>
  <c r="R657" i="3" a="1"/>
  <c r="R657" i="3" s="1"/>
  <c r="R30" i="3" a="1"/>
  <c r="R30" i="3" s="1"/>
  <c r="R88" i="3" a="1"/>
  <c r="R88" i="3" s="1"/>
  <c r="R597" i="3" a="1"/>
  <c r="R597" i="3" s="1"/>
  <c r="R36" i="3" a="1"/>
  <c r="R36" i="3" s="1"/>
  <c r="R44" i="3" a="1"/>
  <c r="R44" i="3" s="1"/>
  <c r="R102" i="3" a="1"/>
  <c r="R102" i="3" s="1"/>
  <c r="R110" i="3" a="1"/>
  <c r="R110" i="3" s="1"/>
  <c r="R561" i="3" a="1"/>
  <c r="R561" i="3" s="1"/>
  <c r="R59" i="3" a="1"/>
  <c r="R59" i="3" s="1"/>
  <c r="R117" i="3" a="1"/>
  <c r="R117" i="3" s="1"/>
  <c r="R205" i="3" a="1"/>
  <c r="R205" i="3" s="1"/>
  <c r="R464" i="3" a="1"/>
  <c r="R464" i="3" s="1"/>
  <c r="R637" i="3" a="1"/>
  <c r="R637" i="3" s="1"/>
  <c r="R435" i="3" a="1"/>
  <c r="R435" i="3" s="1"/>
  <c r="R414" i="3" a="1"/>
  <c r="R414" i="3" s="1"/>
  <c r="R608" i="3" a="1"/>
  <c r="R608" i="3" s="1"/>
  <c r="R677" i="3" a="1"/>
  <c r="R677" i="3" s="1"/>
  <c r="R521" i="3" a="1"/>
  <c r="R521" i="3" s="1"/>
  <c r="R539" i="3" a="1"/>
  <c r="R539" i="3" s="1"/>
  <c r="R611" i="3" a="1"/>
  <c r="R611" i="3" s="1"/>
  <c r="R660" i="3" a="1"/>
  <c r="R660" i="3" s="1"/>
  <c r="R585" i="3" a="1"/>
  <c r="R585" i="3" s="1"/>
  <c r="R645" i="3" a="1"/>
  <c r="R645" i="3" s="1"/>
  <c r="R66" i="3" a="1"/>
  <c r="R66" i="3" s="1"/>
  <c r="Q472" i="3"/>
  <c r="R472" i="3" a="1"/>
  <c r="R472" i="3" s="1"/>
  <c r="Q307" i="3"/>
  <c r="R307" i="3" a="1"/>
  <c r="R307" i="3" s="1"/>
  <c r="Q290" i="3"/>
  <c r="R290" i="3" a="1"/>
  <c r="R290" i="3" s="1"/>
  <c r="Q577" i="3"/>
  <c r="R577" i="3" a="1"/>
  <c r="R577" i="3" s="1"/>
  <c r="Q151" i="3"/>
  <c r="R151" i="3" a="1"/>
  <c r="R151" i="3" s="1"/>
  <c r="Q552" i="3"/>
  <c r="R552" i="3" a="1"/>
  <c r="R552" i="3" s="1"/>
  <c r="Q624" i="3"/>
  <c r="R624" i="3" a="1"/>
  <c r="R624" i="3" s="1"/>
  <c r="Q470" i="3"/>
  <c r="R470" i="3" a="1"/>
  <c r="R470" i="3" s="1"/>
  <c r="R642" i="3" a="1"/>
  <c r="R642" i="3" s="1"/>
  <c r="R619" i="3" a="1"/>
  <c r="R619" i="3" s="1"/>
  <c r="R132" i="3" a="1"/>
  <c r="R132" i="3" s="1"/>
  <c r="R214" i="3" a="1"/>
  <c r="R214" i="3" s="1"/>
  <c r="R264" i="3" a="1"/>
  <c r="R264" i="3" s="1"/>
  <c r="R255" i="3" a="1"/>
  <c r="R255" i="3" s="1"/>
  <c r="R469" i="3" a="1"/>
  <c r="R469" i="3" s="1"/>
  <c r="R353" i="3" a="1"/>
  <c r="R353" i="3" s="1"/>
  <c r="R516" i="3" a="1"/>
  <c r="R516" i="3" s="1"/>
  <c r="R212" i="3" a="1"/>
  <c r="R212" i="3" s="1"/>
  <c r="R495" i="3" a="1"/>
  <c r="R495" i="3" s="1"/>
  <c r="R629" i="3" a="1"/>
  <c r="R629" i="3" s="1"/>
  <c r="R134" i="3" a="1"/>
  <c r="R134" i="3" s="1"/>
  <c r="R244" i="3" a="1"/>
  <c r="R244" i="3" s="1"/>
  <c r="R339" i="3" a="1"/>
  <c r="R339" i="3" s="1"/>
  <c r="R465" i="3" a="1"/>
  <c r="R465" i="3" s="1"/>
  <c r="R461" i="3" a="1"/>
  <c r="R461" i="3" s="1"/>
  <c r="R392" i="3" a="1"/>
  <c r="R392" i="3" s="1"/>
  <c r="R563" i="3" a="1"/>
  <c r="R563" i="3" s="1"/>
  <c r="R682" i="3" a="1"/>
  <c r="R682" i="3" s="1"/>
  <c r="R218" i="3" a="1"/>
  <c r="R218" i="3" s="1"/>
  <c r="R361" i="3" a="1"/>
  <c r="R361" i="3" s="1"/>
  <c r="R440" i="3" a="1"/>
  <c r="R440" i="3" s="1"/>
  <c r="R360" i="3" a="1"/>
  <c r="R360" i="3" s="1"/>
  <c r="R482" i="3" a="1"/>
  <c r="R482" i="3" s="1"/>
  <c r="R499" i="3" a="1"/>
  <c r="R499" i="3" s="1"/>
  <c r="R487" i="3" a="1"/>
  <c r="R487" i="3" s="1"/>
  <c r="R550" i="3" a="1"/>
  <c r="R550" i="3" s="1"/>
  <c r="R389" i="3" a="1"/>
  <c r="R389" i="3" s="1"/>
  <c r="R583" i="3" a="1"/>
  <c r="R583" i="3" s="1"/>
  <c r="R605" i="3" a="1"/>
  <c r="R605" i="3" s="1"/>
  <c r="R257" i="3" a="1"/>
  <c r="R257" i="3" s="1"/>
  <c r="R312" i="3" a="1"/>
  <c r="R312" i="3" s="1"/>
  <c r="R273" i="3" a="1"/>
  <c r="R273" i="3" s="1"/>
  <c r="R326" i="3" a="1"/>
  <c r="R326" i="3" s="1"/>
  <c r="R587" i="3" a="1"/>
  <c r="R587" i="3" s="1"/>
  <c r="Q241" i="3"/>
  <c r="R241" i="3" a="1"/>
  <c r="R241" i="3" s="1"/>
  <c r="Q481" i="3"/>
  <c r="R481" i="3" a="1"/>
  <c r="R481" i="3" s="1"/>
  <c r="Q202" i="3"/>
  <c r="R202" i="3" a="1"/>
  <c r="R202" i="3" s="1"/>
  <c r="Q623" i="3"/>
  <c r="R623" i="3" a="1"/>
  <c r="R623" i="3" s="1"/>
  <c r="Q560" i="3"/>
  <c r="R560" i="3" a="1"/>
  <c r="R560" i="3" s="1"/>
  <c r="Q567" i="3"/>
  <c r="R567" i="3" a="1"/>
  <c r="R567" i="3" s="1"/>
  <c r="Q501" i="3"/>
  <c r="R501" i="3" a="1"/>
  <c r="R501" i="3" s="1"/>
  <c r="Q564" i="3"/>
  <c r="R564" i="3" a="1"/>
  <c r="R564" i="3" s="1"/>
  <c r="Q325" i="3"/>
  <c r="R325" i="3" a="1"/>
  <c r="R325" i="3" s="1"/>
  <c r="Q350" i="3"/>
  <c r="R350" i="3" a="1"/>
  <c r="R350" i="3" s="1"/>
  <c r="Q153" i="3"/>
  <c r="R153" i="3" a="1"/>
  <c r="R153" i="3" s="1"/>
  <c r="Q614" i="3"/>
  <c r="R614" i="3" a="1"/>
  <c r="R614" i="3" s="1"/>
  <c r="Q590" i="3"/>
  <c r="R590" i="3" a="1"/>
  <c r="R590" i="3" s="1"/>
  <c r="Q279" i="3"/>
  <c r="R279" i="3" a="1"/>
  <c r="R279" i="3" s="1"/>
  <c r="Q231" i="3"/>
  <c r="R231" i="3" a="1"/>
  <c r="R231" i="3" s="1"/>
  <c r="Q373" i="3"/>
  <c r="R373" i="3" a="1"/>
  <c r="R373" i="3" s="1"/>
  <c r="Q610" i="3"/>
  <c r="R610" i="3" a="1"/>
  <c r="R610" i="3" s="1"/>
  <c r="Q304" i="3"/>
  <c r="R304" i="3" a="1"/>
  <c r="R304" i="3" s="1"/>
  <c r="Q217" i="3"/>
  <c r="R217" i="3" a="1"/>
  <c r="R217" i="3" s="1"/>
  <c r="Q172" i="3"/>
  <c r="R172" i="3" a="1"/>
  <c r="R172" i="3" s="1"/>
  <c r="Q488" i="3"/>
  <c r="R488" i="3" a="1"/>
  <c r="R488" i="3" s="1"/>
  <c r="Q445" i="3"/>
  <c r="R445" i="3" a="1"/>
  <c r="R445" i="3" s="1"/>
  <c r="Q266" i="3"/>
  <c r="R266" i="3" a="1"/>
  <c r="R266" i="3" s="1"/>
  <c r="Q128" i="3"/>
  <c r="R128" i="3" a="1"/>
  <c r="R128" i="3" s="1"/>
  <c r="Q422" i="3"/>
  <c r="R422" i="3" a="1"/>
  <c r="R422" i="3" s="1"/>
  <c r="Q580" i="3"/>
  <c r="R580" i="3" a="1"/>
  <c r="R580" i="3" s="1"/>
  <c r="Q238" i="3"/>
  <c r="R238" i="3" a="1"/>
  <c r="R238" i="3" s="1"/>
  <c r="Q156" i="3"/>
  <c r="R156" i="3" a="1"/>
  <c r="R156" i="3" s="1"/>
  <c r="Q529" i="3"/>
  <c r="R529" i="3" a="1"/>
  <c r="R529" i="3" s="1"/>
  <c r="Q457" i="3"/>
  <c r="R457" i="3" a="1"/>
  <c r="R457" i="3" s="1"/>
  <c r="Q506" i="3"/>
  <c r="R506" i="3" a="1"/>
  <c r="R506" i="3" s="1"/>
  <c r="Q219" i="3"/>
  <c r="R219" i="3" a="1"/>
  <c r="R219" i="3" s="1"/>
  <c r="Q556" i="3"/>
  <c r="R556" i="3" a="1"/>
  <c r="R556" i="3" s="1"/>
  <c r="Q215" i="3"/>
  <c r="R215" i="3" a="1"/>
  <c r="R215" i="3" s="1"/>
  <c r="Q415" i="3"/>
  <c r="R415" i="3" a="1"/>
  <c r="R415" i="3" s="1"/>
  <c r="Q210" i="3"/>
  <c r="R210" i="3" a="1"/>
  <c r="R210" i="3" s="1"/>
  <c r="R502" i="3" a="1"/>
  <c r="R502" i="3" s="1"/>
  <c r="R592" i="3" a="1"/>
  <c r="R592" i="3" s="1"/>
  <c r="R596" i="3" a="1"/>
  <c r="R596" i="3" s="1"/>
  <c r="R203" i="3" a="1"/>
  <c r="R203" i="3" s="1"/>
  <c r="R276" i="3" a="1"/>
  <c r="R276" i="3" s="1"/>
  <c r="R207" i="3" a="1"/>
  <c r="R207" i="3" s="1"/>
  <c r="R287" i="3" a="1"/>
  <c r="R287" i="3" s="1"/>
  <c r="R490" i="3" a="1"/>
  <c r="R490" i="3" s="1"/>
  <c r="R455" i="3" a="1"/>
  <c r="R455" i="3" s="1"/>
  <c r="R558" i="3" a="1"/>
  <c r="R558" i="3" s="1"/>
  <c r="R602" i="3" a="1"/>
  <c r="R602" i="3" s="1"/>
  <c r="R409" i="3" a="1"/>
  <c r="R409" i="3" s="1"/>
  <c r="R569" i="3" a="1"/>
  <c r="R569" i="3" s="1"/>
  <c r="R668" i="3" a="1"/>
  <c r="R668" i="3" s="1"/>
  <c r="R313" i="3" a="1"/>
  <c r="R313" i="3" s="1"/>
  <c r="R366" i="3" a="1"/>
  <c r="R366" i="3" s="1"/>
  <c r="R232" i="3" a="1"/>
  <c r="R232" i="3" s="1"/>
  <c r="R342" i="3" a="1"/>
  <c r="R342" i="3" s="1"/>
  <c r="R364" i="3" a="1"/>
  <c r="R364" i="3" s="1"/>
  <c r="R505" i="3" a="1"/>
  <c r="R505" i="3" s="1"/>
  <c r="R559" i="3" a="1"/>
  <c r="R559" i="3" s="1"/>
  <c r="R126" i="3" a="1"/>
  <c r="R126" i="3" s="1"/>
  <c r="R243" i="3" a="1"/>
  <c r="R243" i="3" s="1"/>
  <c r="R351" i="3" a="1"/>
  <c r="R351" i="3" s="1"/>
  <c r="R272" i="3" a="1"/>
  <c r="R272" i="3" s="1"/>
  <c r="R436" i="3" a="1"/>
  <c r="R436" i="3" s="1"/>
  <c r="R148" i="3" a="1"/>
  <c r="R148" i="3" s="1"/>
  <c r="R163" i="3" a="1"/>
  <c r="R163" i="3" s="1"/>
  <c r="R226" i="3" a="1"/>
  <c r="R226" i="3" s="1"/>
  <c r="R398" i="3" a="1"/>
  <c r="R398" i="3" s="1"/>
  <c r="R286" i="3" a="1"/>
  <c r="R286" i="3" s="1"/>
  <c r="R419" i="3" a="1"/>
  <c r="R419" i="3" s="1"/>
  <c r="R282" i="3" a="1"/>
  <c r="R282" i="3" s="1"/>
  <c r="R648" i="3" a="1"/>
  <c r="R648" i="3" s="1"/>
  <c r="R669" i="3" a="1"/>
  <c r="R669" i="3" s="1"/>
  <c r="E100" i="3" a="1"/>
  <c r="E100" i="3" s="1"/>
  <c r="E47" i="3" a="1"/>
  <c r="E47" i="3" s="1"/>
  <c r="E52" i="3" a="1"/>
  <c r="E52" i="3" s="1"/>
  <c r="E101" i="3" a="1"/>
  <c r="E101" i="3" s="1"/>
  <c r="E82" i="3" a="1"/>
  <c r="E82" i="3" s="1"/>
  <c r="E67" i="3" a="1"/>
  <c r="E67" i="3" s="1"/>
  <c r="E75" i="3" a="1"/>
  <c r="E75" i="3" s="1"/>
  <c r="E76" i="3" a="1"/>
  <c r="E76" i="3" s="1"/>
  <c r="E46" i="3" a="1"/>
  <c r="E46" i="3" s="1"/>
  <c r="E54" i="3" a="1"/>
  <c r="E54" i="3" s="1"/>
  <c r="E94" i="3" a="1"/>
  <c r="E94" i="3" s="1"/>
  <c r="E61" i="3" a="1"/>
  <c r="E61" i="3" s="1"/>
  <c r="E97" i="3" a="1"/>
  <c r="E97" i="3" s="1"/>
  <c r="E99" i="3" a="1"/>
  <c r="E99" i="3" s="1"/>
  <c r="E81" i="3" a="1"/>
  <c r="E81" i="3" s="1"/>
  <c r="Q144" i="3"/>
  <c r="E79" i="3" a="1"/>
  <c r="E79" i="3" s="1"/>
  <c r="E49" i="3" a="1"/>
  <c r="E49" i="3" s="1"/>
  <c r="R7" i="3" a="1"/>
  <c r="R7" i="3" s="1"/>
  <c r="E74" i="3" a="1"/>
  <c r="E74" i="3" s="1"/>
  <c r="E53" i="3" a="1"/>
  <c r="E53" i="3" s="1"/>
  <c r="E40" i="3" a="1"/>
  <c r="E40" i="3" s="1"/>
  <c r="E87" i="3" a="1"/>
  <c r="E87" i="3" s="1"/>
  <c r="E32" i="3" a="1"/>
  <c r="E32" i="3" s="1"/>
  <c r="E84" i="3" a="1"/>
  <c r="E84" i="3" s="1"/>
  <c r="E78" i="3" a="1"/>
  <c r="E78" i="3" s="1"/>
  <c r="E20" i="3" a="1"/>
  <c r="E20" i="3" s="1"/>
  <c r="E68" i="3" a="1"/>
  <c r="E68" i="3" s="1"/>
  <c r="E42" i="3" a="1"/>
  <c r="E42" i="3" s="1"/>
  <c r="E56" i="3" a="1"/>
  <c r="E56" i="3" s="1"/>
  <c r="E73" i="3" a="1"/>
  <c r="E73" i="3" s="1"/>
  <c r="E29" i="3" a="1"/>
  <c r="E29" i="3" s="1"/>
  <c r="E48" i="3" a="1"/>
  <c r="E48" i="3" s="1"/>
  <c r="E33" i="3" a="1"/>
  <c r="E33" i="3" s="1"/>
  <c r="E93" i="3" a="1"/>
  <c r="E93" i="3" s="1"/>
  <c r="E35" i="3" a="1"/>
  <c r="E35" i="3" s="1"/>
  <c r="E65" i="3" a="1"/>
  <c r="E65" i="3" s="1"/>
  <c r="E71" i="3" a="1"/>
  <c r="E71" i="3" s="1"/>
  <c r="E96" i="3" a="1"/>
  <c r="E96" i="3" s="1"/>
  <c r="E85" i="3" a="1"/>
  <c r="E85" i="3" s="1"/>
  <c r="E62" i="3" a="1"/>
  <c r="E62" i="3" s="1"/>
  <c r="E57" i="3" a="1"/>
  <c r="E57" i="3" s="1"/>
  <c r="E72" i="3" a="1"/>
  <c r="E72" i="3" s="1"/>
  <c r="E69" i="3" a="1"/>
  <c r="E69" i="3" s="1"/>
  <c r="E60" i="3" a="1"/>
  <c r="E60" i="3" s="1"/>
  <c r="E63" i="3" a="1"/>
  <c r="E63" i="3" s="1"/>
  <c r="E45" i="3" a="1"/>
  <c r="E45" i="3" s="1"/>
  <c r="E77" i="3" a="1"/>
  <c r="E77" i="3" s="1"/>
  <c r="E39" i="3" a="1"/>
  <c r="E39" i="3" s="1"/>
  <c r="E50" i="3" a="1"/>
  <c r="E50" i="3" s="1"/>
  <c r="E43" i="3" a="1"/>
  <c r="E43" i="3" s="1"/>
  <c r="E23" i="3" a="1"/>
  <c r="E23" i="3" s="1"/>
  <c r="E31" i="3" a="1"/>
  <c r="E31" i="3" s="1"/>
  <c r="E91" i="3" a="1"/>
  <c r="E91" i="3" s="1"/>
  <c r="T7" i="3" a="1"/>
  <c r="E27" i="3" a="1"/>
  <c r="E27" i="3" s="1"/>
  <c r="E89" i="3" a="1"/>
  <c r="E89" i="3" s="1"/>
  <c r="E83" i="3" a="1"/>
  <c r="E83" i="3" s="1"/>
  <c r="E21" i="3" a="1"/>
  <c r="E21" i="3" s="1"/>
  <c r="E38" i="3" a="1"/>
  <c r="E38" i="3" s="1"/>
  <c r="AB7" i="3" a="1"/>
  <c r="AB7" i="3" s="1"/>
  <c r="E53" i="2" a="1"/>
  <c r="E53" i="2" s="1"/>
  <c r="L11" i="23" s="1"/>
  <c r="E36" i="2" a="1"/>
  <c r="E36" i="2" s="1"/>
  <c r="E63" i="2" a="1"/>
  <c r="E63" i="2" s="1"/>
  <c r="Q96" i="2"/>
  <c r="E65" i="2" a="1"/>
  <c r="E65" i="2" s="1"/>
  <c r="Q105" i="2"/>
  <c r="Q7" i="11"/>
  <c r="E34" i="6" a="1"/>
  <c r="E34" i="6" s="1"/>
  <c r="E40" i="6" a="1"/>
  <c r="E40" i="6" s="1"/>
  <c r="T7" i="12" a="1"/>
  <c r="E45" i="12" a="1"/>
  <c r="E45" i="12" s="1"/>
  <c r="E48" i="12" a="1"/>
  <c r="E48" i="12" s="1"/>
  <c r="R14" i="11" a="1"/>
  <c r="R14" i="11" s="1"/>
  <c r="R92" i="11" a="1"/>
  <c r="R92" i="11" s="1"/>
  <c r="R105" i="11" a="1"/>
  <c r="R105" i="11" s="1"/>
  <c r="R68" i="11" a="1"/>
  <c r="R68" i="11" s="1"/>
  <c r="R199" i="11" a="1"/>
  <c r="R199" i="11" s="1"/>
  <c r="R208" i="11" a="1"/>
  <c r="R208" i="11" s="1"/>
  <c r="R232" i="11" a="1"/>
  <c r="R232" i="11" s="1"/>
  <c r="R32" i="11" a="1"/>
  <c r="R32" i="11" s="1"/>
  <c r="E31" i="11" a="1"/>
  <c r="E31" i="11" s="1"/>
  <c r="L6" i="23" s="1"/>
  <c r="R20" i="11" a="1"/>
  <c r="R20" i="11" s="1"/>
  <c r="R212" i="11" a="1"/>
  <c r="R212" i="11" s="1"/>
  <c r="R214" i="11" a="1"/>
  <c r="R214" i="11" s="1"/>
  <c r="R82" i="11" a="1"/>
  <c r="R82" i="11" s="1"/>
  <c r="R99" i="11" a="1"/>
  <c r="R99" i="11" s="1"/>
  <c r="R144" i="11" a="1"/>
  <c r="R144" i="11" s="1"/>
  <c r="R191" i="11" a="1"/>
  <c r="R191" i="11" s="1"/>
  <c r="R79" i="11" a="1"/>
  <c r="R79" i="11" s="1"/>
  <c r="R35" i="11" a="1"/>
  <c r="R35" i="11" s="1"/>
  <c r="R83" i="11" a="1"/>
  <c r="R83" i="11" s="1"/>
  <c r="R117" i="11" a="1"/>
  <c r="R117" i="11" s="1"/>
  <c r="R67" i="11" a="1"/>
  <c r="R67" i="11" s="1"/>
  <c r="R12" i="11" a="1"/>
  <c r="R12" i="11" s="1"/>
  <c r="R15" i="11" a="1"/>
  <c r="R15" i="11" s="1"/>
  <c r="R115" i="11" a="1"/>
  <c r="R115" i="11" s="1"/>
  <c r="R19" i="11" a="1"/>
  <c r="R19" i="11" s="1"/>
  <c r="R227" i="11" a="1"/>
  <c r="R227" i="11" s="1"/>
  <c r="R72" i="11" a="1"/>
  <c r="R72" i="11" s="1"/>
  <c r="R209" i="11" a="1"/>
  <c r="R209" i="11" s="1"/>
  <c r="R158" i="11" a="1"/>
  <c r="R158" i="11" s="1"/>
  <c r="R57" i="11" a="1"/>
  <c r="R57" i="11" s="1"/>
  <c r="R21" i="11" a="1"/>
  <c r="R21" i="11" s="1"/>
  <c r="R23" i="11" a="1"/>
  <c r="R23" i="11" s="1"/>
  <c r="R11" i="11" a="1"/>
  <c r="R11" i="11" s="1"/>
  <c r="R26" i="11" a="1"/>
  <c r="R26" i="11" s="1"/>
  <c r="R53" i="11" a="1"/>
  <c r="R53" i="11" s="1"/>
  <c r="R34" i="11" a="1"/>
  <c r="R34" i="11" s="1"/>
  <c r="R29" i="11" a="1"/>
  <c r="R29" i="11" s="1"/>
  <c r="R217" i="11" a="1"/>
  <c r="R217" i="11" s="1"/>
  <c r="R128" i="11" a="1"/>
  <c r="R128" i="11" s="1"/>
  <c r="R186" i="11" a="1"/>
  <c r="R186" i="11" s="1"/>
  <c r="R77" i="11" a="1"/>
  <c r="R77" i="11" s="1"/>
  <c r="R190" i="11" a="1"/>
  <c r="R190" i="11" s="1"/>
  <c r="R166" i="11" a="1"/>
  <c r="R166" i="11" s="1"/>
  <c r="R104" i="11" a="1"/>
  <c r="R104" i="11" s="1"/>
  <c r="R184" i="11" a="1"/>
  <c r="R184" i="11" s="1"/>
  <c r="R50" i="11" a="1"/>
  <c r="R50" i="11" s="1"/>
  <c r="R73" i="11" a="1"/>
  <c r="R73" i="11" s="1"/>
  <c r="R27" i="11" a="1"/>
  <c r="R27" i="11" s="1"/>
  <c r="R163" i="11" a="1"/>
  <c r="R163" i="11" s="1"/>
  <c r="R33" i="11" a="1"/>
  <c r="R33" i="11" s="1"/>
  <c r="R17" i="11" a="1"/>
  <c r="R17" i="11" s="1"/>
  <c r="R18" i="11" a="1"/>
  <c r="R18" i="11" s="1"/>
  <c r="R25" i="11" a="1"/>
  <c r="R25" i="11" s="1"/>
  <c r="R237" i="11" a="1"/>
  <c r="R237" i="11" s="1"/>
  <c r="R78" i="11" a="1"/>
  <c r="R78" i="11" s="1"/>
  <c r="R64" i="11" a="1"/>
  <c r="R64" i="11" s="1"/>
  <c r="R138" i="11" a="1"/>
  <c r="R138" i="11" s="1"/>
  <c r="R187" i="11" a="1"/>
  <c r="R187" i="11" s="1"/>
  <c r="R98" i="11" a="1"/>
  <c r="R98" i="11" s="1"/>
  <c r="R85" i="11" a="1"/>
  <c r="R85" i="11" s="1"/>
  <c r="R107" i="11" a="1"/>
  <c r="R107" i="11" s="1"/>
  <c r="R188" i="11" a="1"/>
  <c r="R188" i="11" s="1"/>
  <c r="R168" i="11" a="1"/>
  <c r="R168" i="11" s="1"/>
  <c r="R240" i="11" a="1"/>
  <c r="R240" i="11" s="1"/>
  <c r="R9" i="11" a="1"/>
  <c r="R9" i="11" s="1"/>
  <c r="R22" i="11" a="1"/>
  <c r="R22" i="11" s="1"/>
  <c r="R10" i="11" a="1"/>
  <c r="R10" i="11" s="1"/>
  <c r="R52" i="11" a="1"/>
  <c r="R52" i="11" s="1"/>
  <c r="R30" i="11" a="1"/>
  <c r="R30" i="11" s="1"/>
  <c r="R24" i="11" a="1"/>
  <c r="R24" i="11" s="1"/>
  <c r="R38" i="11" a="1"/>
  <c r="R38" i="11" s="1"/>
  <c r="R236" i="11" a="1"/>
  <c r="R236" i="11" s="1"/>
  <c r="R96" i="11" a="1"/>
  <c r="R96" i="11" s="1"/>
  <c r="R59" i="11" a="1"/>
  <c r="R59" i="11" s="1"/>
  <c r="R140" i="11" a="1"/>
  <c r="R140" i="11" s="1"/>
  <c r="R43" i="11" a="1"/>
  <c r="R43" i="11" s="1"/>
  <c r="R94" i="11" a="1"/>
  <c r="R94" i="11" s="1"/>
  <c r="R148" i="11" a="1"/>
  <c r="R148" i="11" s="1"/>
  <c r="R207" i="11" a="1"/>
  <c r="R207" i="11" s="1"/>
  <c r="R192" i="11" a="1"/>
  <c r="R192" i="11" s="1"/>
  <c r="R143" i="11" a="1"/>
  <c r="R143" i="11" s="1"/>
  <c r="R28" i="11" a="1"/>
  <c r="R28" i="11" s="1"/>
  <c r="R16" i="11" a="1"/>
  <c r="R16" i="11" s="1"/>
  <c r="R135" i="11" a="1"/>
  <c r="R135" i="11" s="1"/>
  <c r="R36" i="11" a="1"/>
  <c r="R36" i="11" s="1"/>
  <c r="R31" i="11" a="1"/>
  <c r="R31" i="11" s="1"/>
  <c r="R123" i="11" a="1"/>
  <c r="R123" i="11" s="1"/>
  <c r="R167" i="11" a="1"/>
  <c r="R167" i="11" s="1"/>
  <c r="R129" i="11" a="1"/>
  <c r="R129" i="11" s="1"/>
  <c r="R51" i="11" a="1"/>
  <c r="R51" i="11" s="1"/>
  <c r="R120" i="11" a="1"/>
  <c r="R120" i="11" s="1"/>
  <c r="R196" i="11" a="1"/>
  <c r="R196" i="11" s="1"/>
  <c r="R109" i="11" a="1"/>
  <c r="R109" i="11" s="1"/>
  <c r="R159" i="11" a="1"/>
  <c r="R159" i="11" s="1"/>
  <c r="R37" i="11" a="1"/>
  <c r="R37" i="11" s="1"/>
  <c r="R179" i="11" a="1"/>
  <c r="R179" i="11" s="1"/>
  <c r="R161" i="11" a="1"/>
  <c r="R161" i="11" s="1"/>
  <c r="R234" i="11" a="1"/>
  <c r="R234" i="11" s="1"/>
  <c r="R119" i="11" a="1"/>
  <c r="R119" i="11" s="1"/>
  <c r="R155" i="11" a="1"/>
  <c r="R155" i="11" s="1"/>
  <c r="R41" i="11" a="1"/>
  <c r="R41" i="11" s="1"/>
  <c r="R182" i="11" a="1"/>
  <c r="R182" i="11" s="1"/>
  <c r="R93" i="11" a="1"/>
  <c r="R93" i="11" s="1"/>
  <c r="R55" i="11" a="1"/>
  <c r="R55" i="11" s="1"/>
  <c r="R112" i="11" a="1"/>
  <c r="R112" i="11" s="1"/>
  <c r="R171" i="11" a="1"/>
  <c r="R171" i="11" s="1"/>
  <c r="R114" i="11" a="1"/>
  <c r="R114" i="11" s="1"/>
  <c r="R202" i="11" a="1"/>
  <c r="R202" i="11" s="1"/>
  <c r="R65" i="11" a="1"/>
  <c r="R65" i="11" s="1"/>
  <c r="R46" i="11" a="1"/>
  <c r="R46" i="11" s="1"/>
  <c r="R219" i="11" a="1"/>
  <c r="R219" i="11" s="1"/>
  <c r="R49" i="11" a="1"/>
  <c r="R49" i="11" s="1"/>
  <c r="R75" i="11" a="1"/>
  <c r="R75" i="11" s="1"/>
  <c r="R153" i="11" a="1"/>
  <c r="R153" i="11" s="1"/>
  <c r="R54" i="11" a="1"/>
  <c r="R54" i="11" s="1"/>
  <c r="R218" i="11" a="1"/>
  <c r="R218" i="11" s="1"/>
  <c r="R95" i="11" a="1"/>
  <c r="R95" i="11" s="1"/>
  <c r="R177" i="11" a="1"/>
  <c r="R177" i="11" s="1"/>
  <c r="R100" i="11" a="1"/>
  <c r="R100" i="11" s="1"/>
  <c r="R69" i="11" a="1"/>
  <c r="R69" i="11" s="1"/>
  <c r="R174" i="11" a="1"/>
  <c r="R174" i="11" s="1"/>
  <c r="R181" i="11" a="1"/>
  <c r="R181" i="11" s="1"/>
  <c r="E29" i="11" a="1"/>
  <c r="E29" i="11" s="1"/>
  <c r="L5" i="23" s="1"/>
  <c r="R111" i="11" a="1"/>
  <c r="R111" i="11" s="1"/>
  <c r="R136" i="11" a="1"/>
  <c r="R136" i="11" s="1"/>
  <c r="R230" i="11" a="1"/>
  <c r="R230" i="11" s="1"/>
  <c r="R13" i="11" a="1"/>
  <c r="R13" i="11" s="1"/>
  <c r="R56" i="11" a="1"/>
  <c r="R56" i="11" s="1"/>
  <c r="R97" i="11" a="1"/>
  <c r="R97" i="11" s="1"/>
  <c r="R86" i="11" a="1"/>
  <c r="R86" i="11" s="1"/>
  <c r="R197" i="11" a="1"/>
  <c r="R197" i="11" s="1"/>
  <c r="R90" i="11" a="1"/>
  <c r="R90" i="11" s="1"/>
  <c r="R175" i="11" a="1"/>
  <c r="R175" i="11" s="1"/>
  <c r="R8" i="11" a="1"/>
  <c r="R8" i="11" s="1"/>
  <c r="R160" i="11" a="1"/>
  <c r="R160" i="11" s="1"/>
  <c r="R102" i="11" a="1"/>
  <c r="R102" i="11" s="1"/>
  <c r="R81" i="11" a="1"/>
  <c r="R81" i="11" s="1"/>
  <c r="R62" i="11" a="1"/>
  <c r="R62" i="11" s="1"/>
  <c r="R189" i="11" a="1"/>
  <c r="R189" i="11" s="1"/>
  <c r="R61" i="11" a="1"/>
  <c r="R61" i="11" s="1"/>
  <c r="R42" i="11" a="1"/>
  <c r="R42" i="11" s="1"/>
  <c r="R139" i="11" a="1"/>
  <c r="R139" i="11" s="1"/>
  <c r="R152" i="11" a="1"/>
  <c r="R152" i="11" s="1"/>
  <c r="R134" i="11" a="1"/>
  <c r="R134" i="11" s="1"/>
  <c r="R44" i="11" a="1"/>
  <c r="R44" i="11" s="1"/>
  <c r="R130" i="11" a="1"/>
  <c r="R130" i="11" s="1"/>
  <c r="R70" i="11" a="1"/>
  <c r="R70" i="11" s="1"/>
  <c r="R211" i="11" a="1"/>
  <c r="R211" i="11" s="1"/>
  <c r="R154" i="11" a="1"/>
  <c r="R154" i="11" s="1"/>
  <c r="R84" i="11" a="1"/>
  <c r="R84" i="11" s="1"/>
  <c r="R176" i="11" a="1"/>
  <c r="R176" i="11" s="1"/>
  <c r="R124" i="11" a="1"/>
  <c r="R124" i="11" s="1"/>
  <c r="R101" i="11" a="1"/>
  <c r="R101" i="11" s="1"/>
  <c r="R121" i="11" a="1"/>
  <c r="R121" i="11" s="1"/>
  <c r="R103" i="11" a="1"/>
  <c r="R103" i="11" s="1"/>
  <c r="R198" i="11" a="1"/>
  <c r="R198" i="11" s="1"/>
  <c r="R58" i="11" a="1"/>
  <c r="R58" i="11" s="1"/>
  <c r="R131" i="11" a="1"/>
  <c r="R131" i="11" s="1"/>
  <c r="R203" i="11" a="1"/>
  <c r="R203" i="11" s="1"/>
  <c r="R172" i="11" a="1"/>
  <c r="R172" i="11" s="1"/>
  <c r="R45" i="11" a="1"/>
  <c r="R45" i="11" s="1"/>
  <c r="R118" i="11" a="1"/>
  <c r="R118" i="11" s="1"/>
  <c r="R89" i="11" a="1"/>
  <c r="R89" i="11" s="1"/>
  <c r="R137" i="11" a="1"/>
  <c r="R137" i="11" s="1"/>
  <c r="R110" i="11" a="1"/>
  <c r="R110" i="11" s="1"/>
  <c r="R157" i="11" a="1"/>
  <c r="R157" i="11" s="1"/>
  <c r="R116" i="11" a="1"/>
  <c r="R116" i="11" s="1"/>
  <c r="R125" i="11" a="1"/>
  <c r="R125" i="11" s="1"/>
  <c r="R162" i="11" a="1"/>
  <c r="R162" i="11" s="1"/>
  <c r="R156" i="11" a="1"/>
  <c r="R156" i="11" s="1"/>
  <c r="R225" i="11" a="1"/>
  <c r="R225" i="11" s="1"/>
  <c r="R60" i="11" a="1"/>
  <c r="R60" i="11" s="1"/>
  <c r="R183" i="11" a="1"/>
  <c r="R183" i="11" s="1"/>
  <c r="R170" i="11" a="1"/>
  <c r="R170" i="11" s="1"/>
  <c r="R229" i="11" a="1"/>
  <c r="R229" i="11" s="1"/>
  <c r="R195" i="11" a="1"/>
  <c r="R195" i="11" s="1"/>
  <c r="R63" i="11" a="1"/>
  <c r="R63" i="11" s="1"/>
  <c r="R169" i="11" a="1"/>
  <c r="R169" i="11" s="1"/>
  <c r="R185" i="11" a="1"/>
  <c r="R185" i="11" s="1"/>
  <c r="R210" i="11" a="1"/>
  <c r="R210" i="11" s="1"/>
  <c r="R108" i="11" a="1"/>
  <c r="R108" i="11" s="1"/>
  <c r="R178" i="11" a="1"/>
  <c r="R178" i="11" s="1"/>
  <c r="R165" i="11" a="1"/>
  <c r="R165" i="11" s="1"/>
  <c r="R239" i="11" a="1"/>
  <c r="R239" i="11" s="1"/>
  <c r="R151" i="11" a="1"/>
  <c r="R151" i="11" s="1"/>
  <c r="R231" i="11" a="1"/>
  <c r="R231" i="11" s="1"/>
  <c r="R213" i="11" a="1"/>
  <c r="R213" i="11" s="1"/>
  <c r="R194" i="11" a="1"/>
  <c r="R194" i="11" s="1"/>
  <c r="R180" i="11" a="1"/>
  <c r="R180" i="11" s="1"/>
  <c r="R228" i="11" a="1"/>
  <c r="R228" i="11" s="1"/>
  <c r="R80" i="11" a="1"/>
  <c r="R80" i="11" s="1"/>
  <c r="R133" i="11" a="1"/>
  <c r="R133" i="11" s="1"/>
  <c r="R193" i="11" a="1"/>
  <c r="R193" i="11" s="1"/>
  <c r="R47" i="11" a="1"/>
  <c r="R47" i="11" s="1"/>
  <c r="R91" i="11" a="1"/>
  <c r="R91" i="11" s="1"/>
  <c r="R141" i="11" a="1"/>
  <c r="R141" i="11" s="1"/>
  <c r="R204" i="11" a="1"/>
  <c r="R204" i="11" s="1"/>
  <c r="R146" i="11" a="1"/>
  <c r="R146" i="11" s="1"/>
  <c r="R40" i="11" a="1"/>
  <c r="R40" i="11" s="1"/>
  <c r="R215" i="11" a="1"/>
  <c r="R215" i="11" s="1"/>
  <c r="R113" i="11" a="1"/>
  <c r="R113" i="11" s="1"/>
  <c r="R164" i="11" a="1"/>
  <c r="R164" i="11" s="1"/>
  <c r="R106" i="11" a="1"/>
  <c r="R106" i="11" s="1"/>
  <c r="R220" i="11" a="1"/>
  <c r="R220" i="11" s="1"/>
  <c r="R150" i="11" a="1"/>
  <c r="R150" i="11" s="1"/>
  <c r="R149" i="11" a="1"/>
  <c r="R149" i="11" s="1"/>
  <c r="R173" i="11" a="1"/>
  <c r="R173" i="11" s="1"/>
  <c r="R126" i="11" a="1"/>
  <c r="R126" i="11" s="1"/>
  <c r="R216" i="11" a="1"/>
  <c r="R216" i="11" s="1"/>
  <c r="R39" i="11" a="1"/>
  <c r="R39" i="11" s="1"/>
  <c r="R76" i="11" a="1"/>
  <c r="R76" i="11" s="1"/>
  <c r="R147" i="11" a="1"/>
  <c r="R147" i="11" s="1"/>
  <c r="R122" i="11" a="1"/>
  <c r="R122" i="11" s="1"/>
  <c r="R221" i="11" a="1"/>
  <c r="R221" i="11" s="1"/>
  <c r="R88" i="11" a="1"/>
  <c r="R88" i="11" s="1"/>
  <c r="R201" i="11" a="1"/>
  <c r="R201" i="11" s="1"/>
  <c r="R127" i="11" a="1"/>
  <c r="R127" i="11" s="1"/>
  <c r="R66" i="11" a="1"/>
  <c r="R66" i="11" s="1"/>
  <c r="R142" i="11" a="1"/>
  <c r="R142" i="11" s="1"/>
  <c r="R71" i="11" a="1"/>
  <c r="R71" i="11" s="1"/>
  <c r="R48" i="11" a="1"/>
  <c r="R48" i="11" s="1"/>
  <c r="R145" i="11" a="1"/>
  <c r="R145" i="11" s="1"/>
  <c r="R74" i="11" a="1"/>
  <c r="R74" i="11" s="1"/>
  <c r="R132" i="11" a="1"/>
  <c r="R132" i="11" s="1"/>
  <c r="R200" i="11" a="1"/>
  <c r="R200" i="11" s="1"/>
  <c r="R87" i="11" a="1"/>
  <c r="R87" i="11" s="1"/>
  <c r="E20" i="11" a="1"/>
  <c r="E20" i="11" s="1"/>
  <c r="E33" i="11" a="1"/>
  <c r="E33" i="11" s="1"/>
  <c r="E24" i="11" a="1"/>
  <c r="E24" i="11" s="1"/>
  <c r="E30" i="11" a="1"/>
  <c r="E30" i="11" s="1"/>
  <c r="E37" i="11" a="1"/>
  <c r="E37" i="11" s="1"/>
  <c r="E50" i="11" a="1"/>
  <c r="E50" i="11" s="1"/>
  <c r="E32" i="11" a="1"/>
  <c r="E32" i="11" s="1"/>
  <c r="E34" i="11" a="1"/>
  <c r="E34" i="11" s="1"/>
  <c r="E36" i="11" a="1"/>
  <c r="E36" i="11" s="1"/>
  <c r="T7" i="11" a="1"/>
  <c r="E48" i="11" a="1"/>
  <c r="E48" i="11" s="1"/>
  <c r="E25" i="11" a="1"/>
  <c r="E25" i="11" s="1"/>
  <c r="E41" i="11" a="1"/>
  <c r="E41" i="11" s="1"/>
  <c r="E39" i="11" a="1"/>
  <c r="E39" i="11" s="1"/>
  <c r="E21" i="11" a="1"/>
  <c r="E21" i="11" s="1"/>
  <c r="E35" i="11" a="1"/>
  <c r="E35" i="11" s="1"/>
  <c r="E44" i="11" a="1"/>
  <c r="E44" i="11" s="1"/>
  <c r="E38" i="11" a="1"/>
  <c r="E38" i="11" s="1"/>
  <c r="AB7" i="11" a="1"/>
  <c r="AB7" i="11" s="1"/>
  <c r="E51" i="2" a="1"/>
  <c r="E51" i="2" s="1"/>
  <c r="E33" i="2" a="1"/>
  <c r="E33" i="2" s="1"/>
  <c r="R373" i="2" a="1"/>
  <c r="R373" i="2" s="1"/>
  <c r="R412" i="2" a="1"/>
  <c r="R412" i="2" s="1"/>
  <c r="R416" i="2" a="1"/>
  <c r="R416" i="2" s="1"/>
  <c r="R409" i="2" a="1"/>
  <c r="R409" i="2" s="1"/>
  <c r="R369" i="2" a="1"/>
  <c r="R369" i="2" s="1"/>
  <c r="R406" i="2" a="1"/>
  <c r="R406" i="2" s="1"/>
  <c r="R424" i="2" a="1"/>
  <c r="R424" i="2" s="1"/>
  <c r="R410" i="2" a="1"/>
  <c r="R410" i="2" s="1"/>
  <c r="R415" i="2" a="1"/>
  <c r="R415" i="2" s="1"/>
  <c r="R386" i="2" a="1"/>
  <c r="R386" i="2" s="1"/>
  <c r="R394" i="2" a="1"/>
  <c r="R394" i="2" s="1"/>
  <c r="E25" i="2" a="1"/>
  <c r="E25" i="2" s="1"/>
  <c r="R396" i="2" a="1"/>
  <c r="R396" i="2" s="1"/>
  <c r="E26" i="2" a="1"/>
  <c r="E26" i="2" s="1"/>
  <c r="E28" i="2" a="1"/>
  <c r="E28" i="2" s="1"/>
  <c r="E50" i="2" a="1"/>
  <c r="E50" i="2" s="1"/>
  <c r="R30" i="2" a="1"/>
  <c r="R30" i="2" s="1"/>
  <c r="R420" i="2" a="1"/>
  <c r="R420" i="2" s="1"/>
  <c r="R108" i="2" a="1"/>
  <c r="R108" i="2" s="1"/>
  <c r="R348" i="2" a="1"/>
  <c r="R348" i="2" s="1"/>
  <c r="E38" i="2" a="1"/>
  <c r="E38" i="2" s="1"/>
  <c r="R11" i="2" a="1"/>
  <c r="R11" i="2" s="1"/>
  <c r="R91" i="2" a="1"/>
  <c r="R91" i="2" s="1"/>
  <c r="R144" i="2" a="1"/>
  <c r="R144" i="2" s="1"/>
  <c r="R238" i="2" a="1"/>
  <c r="R238" i="2" s="1"/>
  <c r="R334" i="2" a="1"/>
  <c r="R334" i="2" s="1"/>
  <c r="R419" i="2" a="1"/>
  <c r="R419" i="2" s="1"/>
  <c r="R12" i="2" a="1"/>
  <c r="R12" i="2" s="1"/>
  <c r="R92" i="2" a="1"/>
  <c r="R92" i="2" s="1"/>
  <c r="R155" i="2" a="1"/>
  <c r="R155" i="2" s="1"/>
  <c r="R207" i="2" a="1"/>
  <c r="R207" i="2" s="1"/>
  <c r="R326" i="2" a="1"/>
  <c r="R326" i="2" s="1"/>
  <c r="R377" i="2" a="1"/>
  <c r="R377" i="2" s="1"/>
  <c r="R423" i="2" a="1"/>
  <c r="R423" i="2" s="1"/>
  <c r="R115" i="2" a="1"/>
  <c r="R115" i="2" s="1"/>
  <c r="R45" i="2" a="1"/>
  <c r="R45" i="2" s="1"/>
  <c r="R14" i="2" a="1"/>
  <c r="R14" i="2" s="1"/>
  <c r="E49" i="2" a="1"/>
  <c r="E49" i="2" s="1"/>
  <c r="R94" i="2" a="1"/>
  <c r="R94" i="2" s="1"/>
  <c r="R191" i="2" a="1"/>
  <c r="R191" i="2" s="1"/>
  <c r="R203" i="2" a="1"/>
  <c r="R203" i="2" s="1"/>
  <c r="R246" i="2" a="1"/>
  <c r="R246" i="2" s="1"/>
  <c r="R41" i="2" a="1"/>
  <c r="R41" i="2" s="1"/>
  <c r="R149" i="2" a="1"/>
  <c r="R149" i="2" s="1"/>
  <c r="R161" i="2" a="1"/>
  <c r="R161" i="2" s="1"/>
  <c r="R250" i="2" a="1"/>
  <c r="R250" i="2" s="1"/>
  <c r="R289" i="2" a="1"/>
  <c r="R289" i="2" s="1"/>
  <c r="R25" i="2" a="1"/>
  <c r="R25" i="2" s="1"/>
  <c r="R96" i="2" a="1"/>
  <c r="R96" i="2" s="1"/>
  <c r="R158" i="2" a="1"/>
  <c r="R158" i="2" s="1"/>
  <c r="R255" i="2" a="1"/>
  <c r="R255" i="2" s="1"/>
  <c r="R302" i="2" a="1"/>
  <c r="R302" i="2" s="1"/>
  <c r="R400" i="2" a="1"/>
  <c r="R400" i="2" s="1"/>
  <c r="R26" i="2" a="1"/>
  <c r="R26" i="2" s="1"/>
  <c r="R97" i="2" a="1"/>
  <c r="R97" i="2" s="1"/>
  <c r="R208" i="2" a="1"/>
  <c r="R208" i="2" s="1"/>
  <c r="R284" i="2" a="1"/>
  <c r="R284" i="2" s="1"/>
  <c r="R344" i="2" a="1"/>
  <c r="R344" i="2" s="1"/>
  <c r="R222" i="2" a="1"/>
  <c r="R222" i="2" s="1"/>
  <c r="R36" i="2" a="1"/>
  <c r="R36" i="2" s="1"/>
  <c r="R103" i="2" a="1"/>
  <c r="R103" i="2" s="1"/>
  <c r="R198" i="2" a="1"/>
  <c r="R198" i="2" s="1"/>
  <c r="R312" i="2" a="1"/>
  <c r="R312" i="2" s="1"/>
  <c r="R64" i="2" a="1"/>
  <c r="R64" i="2" s="1"/>
  <c r="R125" i="2" a="1"/>
  <c r="R125" i="2" s="1"/>
  <c r="R211" i="2" a="1"/>
  <c r="R211" i="2" s="1"/>
  <c r="R295" i="2" a="1"/>
  <c r="R295" i="2" s="1"/>
  <c r="R140" i="2" a="1"/>
  <c r="R140" i="2" s="1"/>
  <c r="R414" i="2" a="1"/>
  <c r="R414" i="2" s="1"/>
  <c r="R210" i="2" a="1"/>
  <c r="R210" i="2" s="1"/>
  <c r="R209" i="2" a="1"/>
  <c r="R209" i="2" s="1"/>
  <c r="R376" i="2" a="1"/>
  <c r="R376" i="2" s="1"/>
  <c r="R387" i="2" a="1"/>
  <c r="R387" i="2" s="1"/>
  <c r="E54" i="2" a="1"/>
  <c r="E54" i="2" s="1"/>
  <c r="R20" i="2" a="1"/>
  <c r="R20" i="2" s="1"/>
  <c r="R124" i="2" a="1"/>
  <c r="R124" i="2" s="1"/>
  <c r="R176" i="2" a="1"/>
  <c r="R176" i="2" s="1"/>
  <c r="R319" i="2" a="1"/>
  <c r="R319" i="2" s="1"/>
  <c r="R337" i="2" a="1"/>
  <c r="R337" i="2" s="1"/>
  <c r="R322" i="2" a="1"/>
  <c r="R322" i="2" s="1"/>
  <c r="R22" i="2" a="1"/>
  <c r="R22" i="2" s="1"/>
  <c r="R141" i="2" a="1"/>
  <c r="R141" i="2" s="1"/>
  <c r="R242" i="2" a="1"/>
  <c r="R242" i="2" s="1"/>
  <c r="R233" i="2" a="1"/>
  <c r="R233" i="2" s="1"/>
  <c r="R272" i="2" a="1"/>
  <c r="R272" i="2" s="1"/>
  <c r="R391" i="2" a="1"/>
  <c r="R391" i="2" s="1"/>
  <c r="R405" i="2" a="1"/>
  <c r="R405" i="2" s="1"/>
  <c r="R106" i="2" a="1"/>
  <c r="R106" i="2" s="1"/>
  <c r="R29" i="2" a="1"/>
  <c r="R29" i="2" s="1"/>
  <c r="R23" i="2" a="1"/>
  <c r="R23" i="2" s="1"/>
  <c r="R99" i="2" a="1"/>
  <c r="R99" i="2" s="1"/>
  <c r="R180" i="2" a="1"/>
  <c r="R180" i="2" s="1"/>
  <c r="R199" i="2" a="1"/>
  <c r="R199" i="2" s="1"/>
  <c r="R342" i="2" a="1"/>
  <c r="R342" i="2" s="1"/>
  <c r="R50" i="2" a="1"/>
  <c r="R50" i="2" s="1"/>
  <c r="R131" i="2" a="1"/>
  <c r="R131" i="2" s="1"/>
  <c r="R193" i="2" a="1"/>
  <c r="R193" i="2" s="1"/>
  <c r="R299" i="2" a="1"/>
  <c r="R299" i="2" s="1"/>
  <c r="R345" i="2" a="1"/>
  <c r="R345" i="2" s="1"/>
  <c r="R34" i="2" a="1"/>
  <c r="R34" i="2" s="1"/>
  <c r="R136" i="2" a="1"/>
  <c r="R136" i="2" s="1"/>
  <c r="R151" i="2" a="1"/>
  <c r="R151" i="2" s="1"/>
  <c r="R275" i="2" a="1"/>
  <c r="R275" i="2" s="1"/>
  <c r="R331" i="2" a="1"/>
  <c r="R331" i="2" s="1"/>
  <c r="R35" i="2" a="1"/>
  <c r="R35" i="2" s="1"/>
  <c r="R102" i="2" a="1"/>
  <c r="R102" i="2" s="1"/>
  <c r="R184" i="2" a="1"/>
  <c r="R184" i="2" s="1"/>
  <c r="R254" i="2" a="1"/>
  <c r="R254" i="2" s="1"/>
  <c r="R347" i="2" a="1"/>
  <c r="R347" i="2" s="1"/>
  <c r="R257" i="2" a="1"/>
  <c r="R257" i="2" s="1"/>
  <c r="R44" i="2" a="1"/>
  <c r="R44" i="2" s="1"/>
  <c r="R107" i="2" a="1"/>
  <c r="R107" i="2" s="1"/>
  <c r="R166" i="2" a="1"/>
  <c r="R166" i="2" s="1"/>
  <c r="R368" i="2" a="1"/>
  <c r="R368" i="2" s="1"/>
  <c r="R73" i="2" a="1"/>
  <c r="R73" i="2" s="1"/>
  <c r="R157" i="2" a="1"/>
  <c r="R157" i="2" s="1"/>
  <c r="R159" i="2" a="1"/>
  <c r="R159" i="2" s="1"/>
  <c r="R83" i="2" a="1"/>
  <c r="R83" i="2" s="1"/>
  <c r="R146" i="2" a="1"/>
  <c r="R146" i="2" s="1"/>
  <c r="R276" i="2" a="1"/>
  <c r="R276" i="2" s="1"/>
  <c r="R206" i="2" a="1"/>
  <c r="R206" i="2" s="1"/>
  <c r="R332" i="2" a="1"/>
  <c r="R332" i="2" s="1"/>
  <c r="R422" i="2" a="1"/>
  <c r="R422" i="2" s="1"/>
  <c r="R393" i="2" a="1"/>
  <c r="R393" i="2" s="1"/>
  <c r="R213" i="2" a="1"/>
  <c r="R213" i="2" s="1"/>
  <c r="R277" i="2" a="1"/>
  <c r="R277" i="2" s="1"/>
  <c r="R350" i="2" a="1"/>
  <c r="R350" i="2" s="1"/>
  <c r="R397" i="2" a="1"/>
  <c r="R397" i="2" s="1"/>
  <c r="R31" i="2" a="1"/>
  <c r="R31" i="2" s="1"/>
  <c r="R111" i="2" a="1"/>
  <c r="R111" i="2" s="1"/>
  <c r="R252" i="2" a="1"/>
  <c r="R252" i="2" s="1"/>
  <c r="R306" i="2" a="1"/>
  <c r="R306" i="2" s="1"/>
  <c r="R364" i="2" a="1"/>
  <c r="R364" i="2" s="1"/>
  <c r="R360" i="2" a="1"/>
  <c r="R360" i="2" s="1"/>
  <c r="R116" i="2" a="1"/>
  <c r="R116" i="2" s="1"/>
  <c r="R21" i="2" a="1"/>
  <c r="R21" i="2" s="1"/>
  <c r="R32" i="2" a="1"/>
  <c r="R32" i="2" s="1"/>
  <c r="R118" i="2" a="1"/>
  <c r="R118" i="2" s="1"/>
  <c r="R189" i="2" a="1"/>
  <c r="R189" i="2" s="1"/>
  <c r="R263" i="2" a="1"/>
  <c r="R263" i="2" s="1"/>
  <c r="R321" i="2" a="1"/>
  <c r="R321" i="2" s="1"/>
  <c r="R59" i="2" a="1"/>
  <c r="R59" i="2" s="1"/>
  <c r="R134" i="2" a="1"/>
  <c r="R134" i="2" s="1"/>
  <c r="R185" i="2" a="1"/>
  <c r="R185" i="2" s="1"/>
  <c r="R281" i="2" a="1"/>
  <c r="R281" i="2" s="1"/>
  <c r="R313" i="2" a="1"/>
  <c r="R313" i="2" s="1"/>
  <c r="R380" i="2" a="1"/>
  <c r="R380" i="2" s="1"/>
  <c r="R42" i="2" a="1"/>
  <c r="R42" i="2" s="1"/>
  <c r="R117" i="2" a="1"/>
  <c r="R117" i="2" s="1"/>
  <c r="R177" i="2" a="1"/>
  <c r="R177" i="2" s="1"/>
  <c r="R273" i="2" a="1"/>
  <c r="R273" i="2" s="1"/>
  <c r="R290" i="2" a="1"/>
  <c r="R290" i="2" s="1"/>
  <c r="R365" i="2" a="1"/>
  <c r="R365" i="2" s="1"/>
  <c r="R43" i="2" a="1"/>
  <c r="R43" i="2" s="1"/>
  <c r="R114" i="2" a="1"/>
  <c r="R114" i="2" s="1"/>
  <c r="R160" i="2" a="1"/>
  <c r="R160" i="2" s="1"/>
  <c r="R323" i="2" a="1"/>
  <c r="R323" i="2" s="1"/>
  <c r="R340" i="2" a="1"/>
  <c r="R340" i="2" s="1"/>
  <c r="R358" i="2" a="1"/>
  <c r="R358" i="2" s="1"/>
  <c r="R54" i="2" a="1"/>
  <c r="R54" i="2" s="1"/>
  <c r="R178" i="2" a="1"/>
  <c r="R178" i="2" s="1"/>
  <c r="R197" i="2" a="1"/>
  <c r="R197" i="2" s="1"/>
  <c r="R196" i="2" a="1"/>
  <c r="R196" i="2" s="1"/>
  <c r="R81" i="2" a="1"/>
  <c r="R81" i="2" s="1"/>
  <c r="R163" i="2" a="1"/>
  <c r="R163" i="2" s="1"/>
  <c r="R183" i="2" a="1"/>
  <c r="R183" i="2" s="1"/>
  <c r="R239" i="2" a="1"/>
  <c r="R239" i="2" s="1"/>
  <c r="R307" i="2" a="1"/>
  <c r="R307" i="2" s="1"/>
  <c r="R324" i="2" a="1"/>
  <c r="R324" i="2" s="1"/>
  <c r="R269" i="2" a="1"/>
  <c r="R269" i="2" s="1"/>
  <c r="R355" i="2" a="1"/>
  <c r="R355" i="2" s="1"/>
  <c r="R128" i="2" a="1"/>
  <c r="R128" i="2" s="1"/>
  <c r="E52" i="2" a="1"/>
  <c r="E52" i="2" s="1"/>
  <c r="R38" i="2" a="1"/>
  <c r="R38" i="2" s="1"/>
  <c r="R110" i="2" a="1"/>
  <c r="R110" i="2" s="1"/>
  <c r="R253" i="2" a="1"/>
  <c r="R253" i="2" s="1"/>
  <c r="R305" i="2" a="1"/>
  <c r="R305" i="2" s="1"/>
  <c r="R384" i="2" a="1"/>
  <c r="R384" i="2" s="1"/>
  <c r="R367" i="2" a="1"/>
  <c r="R367" i="2" s="1"/>
  <c r="R39" i="2" a="1"/>
  <c r="R39" i="2" s="1"/>
  <c r="R133" i="2" a="1"/>
  <c r="R133" i="2" s="1"/>
  <c r="R172" i="2" a="1"/>
  <c r="R172" i="2" s="1"/>
  <c r="R262" i="2" a="1"/>
  <c r="R262" i="2" s="1"/>
  <c r="R343" i="2" a="1"/>
  <c r="R343" i="2" s="1"/>
  <c r="R385" i="2" a="1"/>
  <c r="R385" i="2" s="1"/>
  <c r="R212" i="2" a="1"/>
  <c r="R212" i="2" s="1"/>
  <c r="E61" i="2" a="1"/>
  <c r="E61" i="2" s="1"/>
  <c r="R93" i="2" a="1"/>
  <c r="R93" i="2" s="1"/>
  <c r="R13" i="2" a="1"/>
  <c r="R13" i="2" s="1"/>
  <c r="R40" i="2" a="1"/>
  <c r="R40" i="2" s="1"/>
  <c r="R126" i="2" a="1"/>
  <c r="R126" i="2" s="1"/>
  <c r="R240" i="2" a="1"/>
  <c r="R240" i="2" s="1"/>
  <c r="R248" i="2" a="1"/>
  <c r="R248" i="2" s="1"/>
  <c r="R301" i="2" a="1"/>
  <c r="R301" i="2" s="1"/>
  <c r="R68" i="2" a="1"/>
  <c r="R68" i="2" s="1"/>
  <c r="R152" i="2" a="1"/>
  <c r="R152" i="2" s="1"/>
  <c r="R259" i="2" a="1"/>
  <c r="R259" i="2" s="1"/>
  <c r="R286" i="2" a="1"/>
  <c r="R286" i="2" s="1"/>
  <c r="R274" i="2" a="1"/>
  <c r="R274" i="2" s="1"/>
  <c r="R51" i="2" a="1"/>
  <c r="R51" i="2" s="1"/>
  <c r="R150" i="2" a="1"/>
  <c r="R150" i="2" s="1"/>
  <c r="R179" i="2" a="1"/>
  <c r="R179" i="2" s="1"/>
  <c r="R298" i="2" a="1"/>
  <c r="R298" i="2" s="1"/>
  <c r="R297" i="2" a="1"/>
  <c r="R297" i="2" s="1"/>
  <c r="R353" i="2" a="1"/>
  <c r="R353" i="2" s="1"/>
  <c r="R52" i="2" a="1"/>
  <c r="R52" i="2" s="1"/>
  <c r="R164" i="2" a="1"/>
  <c r="R164" i="2" s="1"/>
  <c r="R190" i="2" a="1"/>
  <c r="R190" i="2" s="1"/>
  <c r="R282" i="2" a="1"/>
  <c r="R282" i="2" s="1"/>
  <c r="R382" i="2" a="1"/>
  <c r="R382" i="2" s="1"/>
  <c r="R304" i="2" a="1"/>
  <c r="R304" i="2" s="1"/>
  <c r="R63" i="2" a="1"/>
  <c r="R63" i="2" s="1"/>
  <c r="R147" i="2" a="1"/>
  <c r="R147" i="2" s="1"/>
  <c r="R285" i="2" a="1"/>
  <c r="R285" i="2" s="1"/>
  <c r="R10" i="2" a="1"/>
  <c r="R10" i="2" s="1"/>
  <c r="R90" i="2" a="1"/>
  <c r="R90" i="2" s="1"/>
  <c r="R169" i="2" a="1"/>
  <c r="R169" i="2" s="1"/>
  <c r="R318" i="2" a="1"/>
  <c r="R318" i="2" s="1"/>
  <c r="R230" i="2" a="1"/>
  <c r="R230" i="2" s="1"/>
  <c r="R317" i="2" a="1"/>
  <c r="R317" i="2" s="1"/>
  <c r="R389" i="2" a="1"/>
  <c r="R389" i="2" s="1"/>
  <c r="R336" i="2" a="1"/>
  <c r="R336" i="2" s="1"/>
  <c r="R7" i="2" a="1"/>
  <c r="R7" i="2" s="1"/>
  <c r="R266" i="2" a="1"/>
  <c r="R266" i="2" s="1"/>
  <c r="R205" i="2" a="1"/>
  <c r="R205" i="2" s="1"/>
  <c r="R47" i="2" a="1"/>
  <c r="R47" i="2" s="1"/>
  <c r="R100" i="2" a="1"/>
  <c r="R100" i="2" s="1"/>
  <c r="R258" i="2" a="1"/>
  <c r="R258" i="2" s="1"/>
  <c r="R243" i="2" a="1"/>
  <c r="R243" i="2" s="1"/>
  <c r="R361" i="2" a="1"/>
  <c r="R361" i="2" s="1"/>
  <c r="R407" i="2" a="1"/>
  <c r="R407" i="2" s="1"/>
  <c r="R48" i="2" a="1"/>
  <c r="R48" i="2" s="1"/>
  <c r="R249" i="2" a="1"/>
  <c r="R249" i="2" s="1"/>
  <c r="R218" i="2" a="1"/>
  <c r="R218" i="2" s="1"/>
  <c r="R292" i="2" a="1"/>
  <c r="R292" i="2" s="1"/>
  <c r="R309" i="2" a="1"/>
  <c r="R309" i="2" s="1"/>
  <c r="R357" i="2" a="1"/>
  <c r="R357" i="2" s="1"/>
  <c r="R168" i="2" a="1"/>
  <c r="R168" i="2" s="1"/>
  <c r="R85" i="2" a="1"/>
  <c r="R85" i="2" s="1"/>
  <c r="R261" i="2" a="1"/>
  <c r="R261" i="2" s="1"/>
  <c r="R58" i="2" a="1"/>
  <c r="R58" i="2" s="1"/>
  <c r="R113" i="2" a="1"/>
  <c r="R113" i="2" s="1"/>
  <c r="R192" i="2" a="1"/>
  <c r="R192" i="2" s="1"/>
  <c r="R314" i="2" a="1"/>
  <c r="R314" i="2" s="1"/>
  <c r="R327" i="2" a="1"/>
  <c r="R327" i="2" s="1"/>
  <c r="R77" i="2" a="1"/>
  <c r="R77" i="2" s="1"/>
  <c r="R137" i="2" a="1"/>
  <c r="R137" i="2" s="1"/>
  <c r="R303" i="2" a="1"/>
  <c r="R303" i="2" s="1"/>
  <c r="R287" i="2" a="1"/>
  <c r="R287" i="2" s="1"/>
  <c r="R408" i="2" a="1"/>
  <c r="R408" i="2" s="1"/>
  <c r="R310" i="2" a="1"/>
  <c r="R310" i="2" s="1"/>
  <c r="R60" i="2" a="1"/>
  <c r="R60" i="2" s="1"/>
  <c r="R122" i="2" a="1"/>
  <c r="R122" i="2" s="1"/>
  <c r="R221" i="2" a="1"/>
  <c r="R221" i="2" s="1"/>
  <c r="R379" i="2" a="1"/>
  <c r="R379" i="2" s="1"/>
  <c r="R315" i="2" a="1"/>
  <c r="R315" i="2" s="1"/>
  <c r="R328" i="2" a="1"/>
  <c r="R328" i="2" s="1"/>
  <c r="R62" i="2" a="1"/>
  <c r="R62" i="2" s="1"/>
  <c r="R214" i="2" a="1"/>
  <c r="R214" i="2" s="1"/>
  <c r="R271" i="2" a="1"/>
  <c r="R271" i="2" s="1"/>
  <c r="R241" i="2" a="1"/>
  <c r="R241" i="2" s="1"/>
  <c r="R366" i="2" a="1"/>
  <c r="R366" i="2" s="1"/>
  <c r="R112" i="2" a="1"/>
  <c r="R112" i="2" s="1"/>
  <c r="R72" i="2" a="1"/>
  <c r="R72" i="2" s="1"/>
  <c r="R171" i="2" a="1"/>
  <c r="R171" i="2" s="1"/>
  <c r="R227" i="2" a="1"/>
  <c r="R227" i="2" s="1"/>
  <c r="R19" i="2" a="1"/>
  <c r="R19" i="2" s="1"/>
  <c r="R105" i="2" a="1"/>
  <c r="R105" i="2" s="1"/>
  <c r="R173" i="2" a="1"/>
  <c r="R173" i="2" s="1"/>
  <c r="R268" i="2" a="1"/>
  <c r="R268" i="2" s="1"/>
  <c r="R418" i="2" a="1"/>
  <c r="R418" i="2" s="1"/>
  <c r="R374" i="2" a="1"/>
  <c r="R374" i="2" s="1"/>
  <c r="R425" i="2" a="1"/>
  <c r="R425" i="2" s="1"/>
  <c r="R316" i="2" a="1"/>
  <c r="R316" i="2" s="1"/>
  <c r="R65" i="2" a="1"/>
  <c r="R65" i="2" s="1"/>
  <c r="R251" i="2" a="1"/>
  <c r="R251" i="2" s="1"/>
  <c r="R234" i="2" a="1"/>
  <c r="R234" i="2" s="1"/>
  <c r="R153" i="2" a="1"/>
  <c r="R153" i="2" s="1"/>
  <c r="R226" i="2" a="1"/>
  <c r="R226" i="2" s="1"/>
  <c r="R245" i="2" a="1"/>
  <c r="R245" i="2" s="1"/>
  <c r="R359" i="2" a="1"/>
  <c r="R359" i="2" s="1"/>
  <c r="R57" i="2" a="1"/>
  <c r="R57" i="2" s="1"/>
  <c r="R129" i="2" a="1"/>
  <c r="R129" i="2" s="1"/>
  <c r="R181" i="2" a="1"/>
  <c r="R181" i="2" s="1"/>
  <c r="R346" i="2" a="1"/>
  <c r="R346" i="2" s="1"/>
  <c r="R138" i="2" a="1"/>
  <c r="R138" i="2" s="1"/>
  <c r="R69" i="2" a="1"/>
  <c r="R69" i="2" s="1"/>
  <c r="R375" i="2" a="1"/>
  <c r="R375" i="2" s="1"/>
  <c r="R67" i="2" a="1"/>
  <c r="R67" i="2" s="1"/>
  <c r="R123" i="2" a="1"/>
  <c r="R123" i="2" s="1"/>
  <c r="R215" i="2" a="1"/>
  <c r="R215" i="2" s="1"/>
  <c r="R300" i="2" a="1"/>
  <c r="R300" i="2" s="1"/>
  <c r="R15" i="2" a="1"/>
  <c r="R15" i="2" s="1"/>
  <c r="R86" i="2" a="1"/>
  <c r="R86" i="2" s="1"/>
  <c r="R202" i="2" a="1"/>
  <c r="R202" i="2" s="1"/>
  <c r="R188" i="2" a="1"/>
  <c r="R188" i="2" s="1"/>
  <c r="R279" i="2" a="1"/>
  <c r="R279" i="2" s="1"/>
  <c r="R356" i="2" a="1"/>
  <c r="R356" i="2" s="1"/>
  <c r="R372" i="2" a="1"/>
  <c r="R372" i="2" s="1"/>
  <c r="R70" i="2" a="1"/>
  <c r="R70" i="2" s="1"/>
  <c r="R156" i="2" a="1"/>
  <c r="R156" i="2" s="1"/>
  <c r="R224" i="2" a="1"/>
  <c r="R224" i="2" s="1"/>
  <c r="R236" i="2" a="1"/>
  <c r="R236" i="2" s="1"/>
  <c r="R330" i="2" a="1"/>
  <c r="R330" i="2" s="1"/>
  <c r="R402" i="2" a="1"/>
  <c r="R402" i="2" s="1"/>
  <c r="R71" i="2" a="1"/>
  <c r="R71" i="2" s="1"/>
  <c r="R148" i="2" a="1"/>
  <c r="R148" i="2" s="1"/>
  <c r="R216" i="2" a="1"/>
  <c r="R216" i="2" s="1"/>
  <c r="R256" i="2" a="1"/>
  <c r="R256" i="2" s="1"/>
  <c r="R411" i="2" a="1"/>
  <c r="R411" i="2" s="1"/>
  <c r="R9" i="2" a="1"/>
  <c r="R9" i="2" s="1"/>
  <c r="R80" i="2" a="1"/>
  <c r="R80" i="2" s="1"/>
  <c r="R194" i="2" a="1"/>
  <c r="R194" i="2" s="1"/>
  <c r="R217" i="2" a="1"/>
  <c r="R217" i="2" s="1"/>
  <c r="R28" i="2" a="1"/>
  <c r="R28" i="2" s="1"/>
  <c r="R109" i="2" a="1"/>
  <c r="R109" i="2" s="1"/>
  <c r="R170" i="2" a="1"/>
  <c r="R170" i="2" s="1"/>
  <c r="R237" i="2" a="1"/>
  <c r="R237" i="2" s="1"/>
  <c r="R352" i="2" a="1"/>
  <c r="R352" i="2" s="1"/>
  <c r="R392" i="2" a="1"/>
  <c r="R392" i="2" s="1"/>
  <c r="R378" i="2" a="1"/>
  <c r="R378" i="2" s="1"/>
  <c r="R175" i="2" a="1"/>
  <c r="R175" i="2" s="1"/>
  <c r="R225" i="2" a="1"/>
  <c r="R225" i="2" s="1"/>
  <c r="R56" i="2" a="1"/>
  <c r="R56" i="2" s="1"/>
  <c r="E64" i="2" a="1"/>
  <c r="E64" i="2" s="1"/>
  <c r="R74" i="2" a="1"/>
  <c r="R74" i="2" s="1"/>
  <c r="R121" i="2" a="1"/>
  <c r="R121" i="2" s="1"/>
  <c r="R201" i="2" a="1"/>
  <c r="R201" i="2" s="1"/>
  <c r="R383" i="2" a="1"/>
  <c r="R383" i="2" s="1"/>
  <c r="R421" i="2" a="1"/>
  <c r="R421" i="2" s="1"/>
  <c r="R278" i="2" a="1"/>
  <c r="R278" i="2" s="1"/>
  <c r="R66" i="2" a="1"/>
  <c r="R66" i="2" s="1"/>
  <c r="R145" i="2" a="1"/>
  <c r="R145" i="2" s="1"/>
  <c r="R294" i="2" a="1"/>
  <c r="R294" i="2" s="1"/>
  <c r="R265" i="2" a="1"/>
  <c r="R265" i="2" s="1"/>
  <c r="R291" i="2" a="1"/>
  <c r="R291" i="2" s="1"/>
  <c r="R388" i="2" a="1"/>
  <c r="R388" i="2" s="1"/>
  <c r="R167" i="2" a="1"/>
  <c r="R167" i="2" s="1"/>
  <c r="R61" i="2" a="1"/>
  <c r="R61" i="2" s="1"/>
  <c r="R339" i="2" a="1"/>
  <c r="R339" i="2" s="1"/>
  <c r="R76" i="2" a="1"/>
  <c r="R76" i="2" s="1"/>
  <c r="R187" i="2" a="1"/>
  <c r="R187" i="2" s="1"/>
  <c r="R235" i="2" a="1"/>
  <c r="R235" i="2" s="1"/>
  <c r="R349" i="2" a="1"/>
  <c r="R349" i="2" s="1"/>
  <c r="R24" i="2" a="1"/>
  <c r="R24" i="2" s="1"/>
  <c r="R95" i="2" a="1"/>
  <c r="R95" i="2" s="1"/>
  <c r="R162" i="2" a="1"/>
  <c r="R162" i="2" s="1"/>
  <c r="R223" i="2" a="1"/>
  <c r="R223" i="2" s="1"/>
  <c r="R280" i="2" a="1"/>
  <c r="R280" i="2" s="1"/>
  <c r="R338" i="2" a="1"/>
  <c r="R338" i="2" s="1"/>
  <c r="R403" i="2" a="1"/>
  <c r="R403" i="2" s="1"/>
  <c r="R78" i="2" a="1"/>
  <c r="R78" i="2" s="1"/>
  <c r="R130" i="2" a="1"/>
  <c r="R130" i="2" s="1"/>
  <c r="R182" i="2" a="1"/>
  <c r="R182" i="2" s="1"/>
  <c r="R200" i="2" a="1"/>
  <c r="R200" i="2" s="1"/>
  <c r="R390" i="2" a="1"/>
  <c r="R390" i="2" s="1"/>
  <c r="R8" i="2" a="1"/>
  <c r="R8" i="2" s="1"/>
  <c r="R79" i="2" a="1"/>
  <c r="R79" i="2" s="1"/>
  <c r="R139" i="2" a="1"/>
  <c r="R139" i="2" s="1"/>
  <c r="R220" i="2" a="1"/>
  <c r="R220" i="2" s="1"/>
  <c r="R288" i="2" a="1"/>
  <c r="R288" i="2" s="1"/>
  <c r="R381" i="2" a="1"/>
  <c r="R381" i="2" s="1"/>
  <c r="R18" i="2" a="1"/>
  <c r="R18" i="2" s="1"/>
  <c r="R89" i="2" a="1"/>
  <c r="R89" i="2" s="1"/>
  <c r="R143" i="2" a="1"/>
  <c r="R143" i="2" s="1"/>
  <c r="R244" i="2" a="1"/>
  <c r="R244" i="2" s="1"/>
  <c r="R37" i="2" a="1"/>
  <c r="R37" i="2" s="1"/>
  <c r="R104" i="2" a="1"/>
  <c r="R104" i="2" s="1"/>
  <c r="R204" i="2" a="1"/>
  <c r="R204" i="2" s="1"/>
  <c r="R264" i="2" a="1"/>
  <c r="R264" i="2" s="1"/>
  <c r="R370" i="2" a="1"/>
  <c r="R370" i="2" s="1"/>
  <c r="R283" i="2" a="1"/>
  <c r="R283" i="2" s="1"/>
  <c r="R308" i="2" a="1"/>
  <c r="R308" i="2" s="1"/>
  <c r="R363" i="2" a="1"/>
  <c r="R363" i="2" s="1"/>
  <c r="E58" i="2" a="1"/>
  <c r="E58" i="2" s="1"/>
  <c r="R82" i="2" a="1"/>
  <c r="R82" i="2" s="1"/>
  <c r="R119" i="2" a="1"/>
  <c r="R119" i="2" s="1"/>
  <c r="R247" i="2" a="1"/>
  <c r="R247" i="2" s="1"/>
  <c r="R335" i="2" a="1"/>
  <c r="R335" i="2" s="1"/>
  <c r="R371" i="2" a="1"/>
  <c r="R371" i="2" s="1"/>
  <c r="R351" i="2" a="1"/>
  <c r="R351" i="2" s="1"/>
  <c r="R75" i="2" a="1"/>
  <c r="R75" i="2" s="1"/>
  <c r="R132" i="2" a="1"/>
  <c r="R132" i="2" s="1"/>
  <c r="R232" i="2" a="1"/>
  <c r="R232" i="2" s="1"/>
  <c r="R267" i="2" a="1"/>
  <c r="R267" i="2" s="1"/>
  <c r="R354" i="2" a="1"/>
  <c r="R354" i="2" s="1"/>
  <c r="R329" i="2" a="1"/>
  <c r="R329" i="2" s="1"/>
  <c r="R174" i="2" a="1"/>
  <c r="R174" i="2" s="1"/>
  <c r="R53" i="2" a="1"/>
  <c r="R53" i="2" s="1"/>
  <c r="R325" i="2" a="1"/>
  <c r="R325" i="2" s="1"/>
  <c r="R84" i="2" a="1"/>
  <c r="R84" i="2" s="1"/>
  <c r="R120" i="2" a="1"/>
  <c r="R120" i="2" s="1"/>
  <c r="R186" i="2" a="1"/>
  <c r="R186" i="2" s="1"/>
  <c r="R293" i="2" a="1"/>
  <c r="R293" i="2" s="1"/>
  <c r="R33" i="2" a="1"/>
  <c r="R33" i="2" s="1"/>
  <c r="R154" i="2" a="1"/>
  <c r="R154" i="2" s="1"/>
  <c r="R195" i="2" a="1"/>
  <c r="R195" i="2" s="1"/>
  <c r="R270" i="2" a="1"/>
  <c r="R270" i="2" s="1"/>
  <c r="R341" i="2" a="1"/>
  <c r="R341" i="2" s="1"/>
  <c r="R398" i="2" a="1"/>
  <c r="R398" i="2" s="1"/>
  <c r="R16" i="2" a="1"/>
  <c r="R16" i="2" s="1"/>
  <c r="R87" i="2" a="1"/>
  <c r="R87" i="2" s="1"/>
  <c r="R135" i="2" a="1"/>
  <c r="R135" i="2" s="1"/>
  <c r="R228" i="2" a="1"/>
  <c r="R228" i="2" s="1"/>
  <c r="R311" i="2" a="1"/>
  <c r="R311" i="2" s="1"/>
  <c r="R333" i="2" a="1"/>
  <c r="R333" i="2" s="1"/>
  <c r="R17" i="2" a="1"/>
  <c r="R17" i="2" s="1"/>
  <c r="R88" i="2" a="1"/>
  <c r="R88" i="2" s="1"/>
  <c r="R142" i="2" a="1"/>
  <c r="R142" i="2" s="1"/>
  <c r="R229" i="2" a="1"/>
  <c r="R229" i="2" s="1"/>
  <c r="R296" i="2" a="1"/>
  <c r="R296" i="2" s="1"/>
  <c r="R417" i="2" a="1"/>
  <c r="R417" i="2" s="1"/>
  <c r="R27" i="2" a="1"/>
  <c r="R27" i="2" s="1"/>
  <c r="R98" i="2" a="1"/>
  <c r="R98" i="2" s="1"/>
  <c r="R165" i="2" a="1"/>
  <c r="R165" i="2" s="1"/>
  <c r="R260" i="2" a="1"/>
  <c r="R260" i="2" s="1"/>
  <c r="R55" i="2" a="1"/>
  <c r="R55" i="2" s="1"/>
  <c r="R127" i="2" a="1"/>
  <c r="R127" i="2" s="1"/>
  <c r="R219" i="2" a="1"/>
  <c r="R219" i="2" s="1"/>
  <c r="R231" i="2" a="1"/>
  <c r="R231" i="2" s="1"/>
  <c r="R101" i="2" a="1"/>
  <c r="R101" i="2" s="1"/>
  <c r="R46" i="2" a="1"/>
  <c r="R46" i="2" s="1"/>
  <c r="R49" i="2" a="1"/>
  <c r="R49" i="2" s="1"/>
  <c r="R362" i="2" a="1"/>
  <c r="R362" i="2" s="1"/>
  <c r="R320" i="2" a="1"/>
  <c r="R320" i="2" s="1"/>
  <c r="R401" i="2" a="1"/>
  <c r="R401" i="2" s="1"/>
  <c r="E57" i="2" a="1"/>
  <c r="E57" i="2" s="1"/>
  <c r="E59" i="2" a="1"/>
  <c r="E59" i="2" s="1"/>
  <c r="E23" i="2" a="1"/>
  <c r="E23" i="2" s="1"/>
  <c r="E29" i="2" a="1"/>
  <c r="E29" i="2" s="1"/>
  <c r="AB7" i="2" a="1"/>
  <c r="AB7" i="2" s="1"/>
  <c r="E31" i="2" a="1"/>
  <c r="E31" i="2" s="1"/>
  <c r="E45" i="2" a="1"/>
  <c r="E45" i="2" s="1"/>
  <c r="E24" i="2" a="1"/>
  <c r="E24" i="2" s="1"/>
  <c r="E41" i="2" a="1"/>
  <c r="E41" i="2" s="1"/>
  <c r="E37" i="2" a="1"/>
  <c r="E37" i="2" s="1"/>
  <c r="E21" i="2" a="1"/>
  <c r="E21" i="2" s="1"/>
  <c r="T7" i="2" a="1"/>
  <c r="E42" i="2" a="1"/>
  <c r="E42" i="2" s="1"/>
  <c r="E46" i="2" a="1"/>
  <c r="E46" i="2" s="1"/>
  <c r="L12" i="23" s="1"/>
  <c r="E22" i="2" a="1"/>
  <c r="E22" i="2" s="1"/>
  <c r="E27" i="2" a="1"/>
  <c r="E27" i="2" s="1"/>
  <c r="E44" i="2" a="1"/>
  <c r="E44" i="2" s="1"/>
  <c r="E34" i="2" a="1"/>
  <c r="E34" i="2" s="1"/>
  <c r="E55" i="2" a="1"/>
  <c r="E55" i="2" s="1"/>
  <c r="E48" i="2" a="1"/>
  <c r="E48" i="2" s="1"/>
  <c r="R55" i="6" a="1"/>
  <c r="R55" i="6" s="1"/>
  <c r="R46" i="6" a="1"/>
  <c r="R46" i="6" s="1"/>
  <c r="R28" i="6" a="1"/>
  <c r="R28" i="6" s="1"/>
  <c r="R39" i="6" a="1"/>
  <c r="R39" i="6" s="1"/>
  <c r="R83" i="6" a="1"/>
  <c r="R83" i="6" s="1"/>
  <c r="R158" i="6" a="1"/>
  <c r="R158" i="6" s="1"/>
  <c r="R182" i="6" a="1"/>
  <c r="R182" i="6" s="1"/>
  <c r="R137" i="6" a="1"/>
  <c r="R137" i="6" s="1"/>
  <c r="R18" i="6" a="1"/>
  <c r="R18" i="6" s="1"/>
  <c r="R34" i="6" a="1"/>
  <c r="R34" i="6" s="1"/>
  <c r="R64" i="6" a="1"/>
  <c r="R64" i="6" s="1"/>
  <c r="R95" i="6" a="1"/>
  <c r="R95" i="6" s="1"/>
  <c r="R40" i="6" a="1"/>
  <c r="R40" i="6" s="1"/>
  <c r="R22" i="6" a="1"/>
  <c r="R22" i="6" s="1"/>
  <c r="R74" i="6" a="1"/>
  <c r="R74" i="6" s="1"/>
  <c r="R190" i="6" a="1"/>
  <c r="R190" i="6" s="1"/>
  <c r="R26" i="6" a="1"/>
  <c r="R26" i="6" s="1"/>
  <c r="R54" i="6" a="1"/>
  <c r="R54" i="6" s="1"/>
  <c r="R35" i="6" a="1"/>
  <c r="R35" i="6" s="1"/>
  <c r="R10" i="6" a="1"/>
  <c r="R10" i="6" s="1"/>
  <c r="R11" i="6" a="1"/>
  <c r="R11" i="6" s="1"/>
  <c r="R24" i="6" a="1"/>
  <c r="R24" i="6" s="1"/>
  <c r="R101" i="6" a="1"/>
  <c r="R101" i="6" s="1"/>
  <c r="R90" i="6" a="1"/>
  <c r="R90" i="6" s="1"/>
  <c r="R50" i="6" a="1"/>
  <c r="R50" i="6" s="1"/>
  <c r="R32" i="6" a="1"/>
  <c r="R32" i="6" s="1"/>
  <c r="R41" i="6" a="1"/>
  <c r="R41" i="6" s="1"/>
  <c r="R16" i="6" a="1"/>
  <c r="R16" i="6" s="1"/>
  <c r="R17" i="6" a="1"/>
  <c r="R17" i="6" s="1"/>
  <c r="R31" i="6" a="1"/>
  <c r="R31" i="6" s="1"/>
  <c r="R114" i="6" a="1"/>
  <c r="R114" i="6" s="1"/>
  <c r="R68" i="6" a="1"/>
  <c r="R68" i="6" s="1"/>
  <c r="R7" i="6" a="1"/>
  <c r="R7" i="6" s="1"/>
  <c r="R23" i="6" a="1"/>
  <c r="R23" i="6" s="1"/>
  <c r="R30" i="6" a="1"/>
  <c r="R30" i="6" s="1"/>
  <c r="R37" i="6" a="1"/>
  <c r="R37" i="6" s="1"/>
  <c r="R14" i="6" a="1"/>
  <c r="R14" i="6" s="1"/>
  <c r="R100" i="6" a="1"/>
  <c r="R100" i="6" s="1"/>
  <c r="R57" i="6" a="1"/>
  <c r="R57" i="6" s="1"/>
  <c r="R97" i="6" a="1"/>
  <c r="R97" i="6" s="1"/>
  <c r="R159" i="6" a="1"/>
  <c r="R159" i="6" s="1"/>
  <c r="R15" i="6" a="1"/>
  <c r="R15" i="6" s="1"/>
  <c r="R65" i="6" a="1"/>
  <c r="R65" i="6" s="1"/>
  <c r="R13" i="6" a="1"/>
  <c r="R13" i="6" s="1"/>
  <c r="R29" i="6" a="1"/>
  <c r="R29" i="6" s="1"/>
  <c r="R36" i="6" a="1"/>
  <c r="R36" i="6" s="1"/>
  <c r="R12" i="6" a="1"/>
  <c r="R12" i="6" s="1"/>
  <c r="R33" i="6" a="1"/>
  <c r="R33" i="6" s="1"/>
  <c r="R142" i="6" a="1"/>
  <c r="R142" i="6" s="1"/>
  <c r="R21" i="6" a="1"/>
  <c r="R21" i="6" s="1"/>
  <c r="R146" i="6" a="1"/>
  <c r="R146" i="6" s="1"/>
  <c r="R60" i="6" a="1"/>
  <c r="R60" i="6" s="1"/>
  <c r="R42" i="6" a="1"/>
  <c r="R42" i="6" s="1"/>
  <c r="R43" i="6" a="1"/>
  <c r="R43" i="6" s="1"/>
  <c r="R19" i="6" a="1"/>
  <c r="R19" i="6" s="1"/>
  <c r="R53" i="6" a="1"/>
  <c r="R53" i="6" s="1"/>
  <c r="R169" i="6" a="1"/>
  <c r="R169" i="6" s="1"/>
  <c r="R9" i="6" a="1"/>
  <c r="R9" i="6" s="1"/>
  <c r="R157" i="6" a="1"/>
  <c r="R157" i="6" s="1"/>
  <c r="R126" i="6" a="1"/>
  <c r="R126" i="6" s="1"/>
  <c r="R44" i="6" a="1"/>
  <c r="R44" i="6" s="1"/>
  <c r="R106" i="6" a="1"/>
  <c r="R106" i="6" s="1"/>
  <c r="R38" i="6" a="1"/>
  <c r="R38" i="6" s="1"/>
  <c r="R27" i="6" a="1"/>
  <c r="R27" i="6" s="1"/>
  <c r="R85" i="6" a="1"/>
  <c r="R85" i="6" s="1"/>
  <c r="R112" i="6" a="1"/>
  <c r="R112" i="6" s="1"/>
  <c r="R96" i="6" a="1"/>
  <c r="R96" i="6" s="1"/>
  <c r="R51" i="6" a="1"/>
  <c r="R51" i="6" s="1"/>
  <c r="R113" i="6" a="1"/>
  <c r="R113" i="6" s="1"/>
  <c r="R48" i="6" a="1"/>
  <c r="R48" i="6" s="1"/>
  <c r="R131" i="6" a="1"/>
  <c r="R131" i="6" s="1"/>
  <c r="R80" i="6" a="1"/>
  <c r="R80" i="6" s="1"/>
  <c r="R89" i="6" a="1"/>
  <c r="R89" i="6" s="1"/>
  <c r="R78" i="6" a="1"/>
  <c r="R78" i="6" s="1"/>
  <c r="R127" i="6" a="1"/>
  <c r="R127" i="6" s="1"/>
  <c r="R45" i="6" a="1"/>
  <c r="R45" i="6" s="1"/>
  <c r="R115" i="6" a="1"/>
  <c r="R115" i="6" s="1"/>
  <c r="R52" i="6" a="1"/>
  <c r="R52" i="6" s="1"/>
  <c r="R105" i="6" a="1"/>
  <c r="R105" i="6" s="1"/>
  <c r="R47" i="6" a="1"/>
  <c r="R47" i="6" s="1"/>
  <c r="R155" i="6" a="1"/>
  <c r="R155" i="6" s="1"/>
  <c r="R79" i="6" a="1"/>
  <c r="R79" i="6" s="1"/>
  <c r="R149" i="6" a="1"/>
  <c r="R149" i="6" s="1"/>
  <c r="R102" i="6" a="1"/>
  <c r="R102" i="6" s="1"/>
  <c r="R8" i="6" a="1"/>
  <c r="R8" i="6" s="1"/>
  <c r="R119" i="6" a="1"/>
  <c r="R119" i="6" s="1"/>
  <c r="R122" i="6" a="1"/>
  <c r="R122" i="6" s="1"/>
  <c r="R71" i="6" a="1"/>
  <c r="R71" i="6" s="1"/>
  <c r="R154" i="6" a="1"/>
  <c r="R154" i="6" s="1"/>
  <c r="R49" i="6" a="1"/>
  <c r="R49" i="6" s="1"/>
  <c r="R109" i="6" a="1"/>
  <c r="R109" i="6" s="1"/>
  <c r="R59" i="6" a="1"/>
  <c r="R59" i="6" s="1"/>
  <c r="R130" i="6" a="1"/>
  <c r="R130" i="6" s="1"/>
  <c r="R87" i="6" a="1"/>
  <c r="R87" i="6" s="1"/>
  <c r="R138" i="6" a="1"/>
  <c r="R138" i="6" s="1"/>
  <c r="R110" i="6" a="1"/>
  <c r="R110" i="6" s="1"/>
  <c r="R56" i="6" a="1"/>
  <c r="R56" i="6" s="1"/>
  <c r="R145" i="6" a="1"/>
  <c r="R145" i="6" s="1"/>
  <c r="R180" i="6" a="1"/>
  <c r="R180" i="6" s="1"/>
  <c r="R93" i="6" a="1"/>
  <c r="R93" i="6" s="1"/>
  <c r="R152" i="6" a="1"/>
  <c r="R152" i="6" s="1"/>
  <c r="R151" i="6" a="1"/>
  <c r="R151" i="6" s="1"/>
  <c r="R61" i="6" a="1"/>
  <c r="R61" i="6" s="1"/>
  <c r="R108" i="6" a="1"/>
  <c r="R108" i="6" s="1"/>
  <c r="R73" i="6" a="1"/>
  <c r="R73" i="6" s="1"/>
  <c r="R178" i="6" a="1"/>
  <c r="R178" i="6" s="1"/>
  <c r="R81" i="6" a="1"/>
  <c r="R81" i="6" s="1"/>
  <c r="R118" i="6" a="1"/>
  <c r="R118" i="6" s="1"/>
  <c r="R82" i="6" a="1"/>
  <c r="R82" i="6" s="1"/>
  <c r="R134" i="6" a="1"/>
  <c r="R134" i="6" s="1"/>
  <c r="R136" i="6" a="1"/>
  <c r="R136" i="6" s="1"/>
  <c r="R58" i="6" a="1"/>
  <c r="R58" i="6" s="1"/>
  <c r="R147" i="6" a="1"/>
  <c r="R147" i="6" s="1"/>
  <c r="R70" i="6" a="1"/>
  <c r="R70" i="6" s="1"/>
  <c r="R99" i="6" a="1"/>
  <c r="R99" i="6" s="1"/>
  <c r="R75" i="6" a="1"/>
  <c r="R75" i="6" s="1"/>
  <c r="R69" i="6" a="1"/>
  <c r="R69" i="6" s="1"/>
  <c r="R148" i="6" a="1"/>
  <c r="R148" i="6" s="1"/>
  <c r="R72" i="6" a="1"/>
  <c r="R72" i="6" s="1"/>
  <c r="R86" i="6" a="1"/>
  <c r="R86" i="6" s="1"/>
  <c r="R120" i="6" a="1"/>
  <c r="R120" i="6" s="1"/>
  <c r="R67" i="6" a="1"/>
  <c r="R67" i="6" s="1"/>
  <c r="R121" i="6" a="1"/>
  <c r="R121" i="6" s="1"/>
  <c r="R124" i="6" a="1"/>
  <c r="R124" i="6" s="1"/>
  <c r="R135" i="6" a="1"/>
  <c r="R135" i="6" s="1"/>
  <c r="R98" i="6" a="1"/>
  <c r="R98" i="6" s="1"/>
  <c r="R76" i="6" a="1"/>
  <c r="R76" i="6" s="1"/>
  <c r="R77" i="6" a="1"/>
  <c r="R77" i="6" s="1"/>
  <c r="R171" i="6" a="1"/>
  <c r="R171" i="6" s="1"/>
  <c r="R107" i="6" a="1"/>
  <c r="R107" i="6" s="1"/>
  <c r="R141" i="6" a="1"/>
  <c r="R141" i="6" s="1"/>
  <c r="R123" i="6" a="1"/>
  <c r="R123" i="6" s="1"/>
  <c r="R125" i="6" a="1"/>
  <c r="R125" i="6" s="1"/>
  <c r="R66" i="6" a="1"/>
  <c r="R66" i="6" s="1"/>
  <c r="R117" i="6" a="1"/>
  <c r="R117" i="6" s="1"/>
  <c r="R94" i="6" a="1"/>
  <c r="R94" i="6" s="1"/>
  <c r="R144" i="6" a="1"/>
  <c r="R144" i="6" s="1"/>
  <c r="R128" i="6" a="1"/>
  <c r="R128" i="6" s="1"/>
  <c r="R63" i="6" a="1"/>
  <c r="R63" i="6" s="1"/>
  <c r="R91" i="6" a="1"/>
  <c r="R91" i="6" s="1"/>
  <c r="R111" i="6" a="1"/>
  <c r="R111" i="6" s="1"/>
  <c r="R62" i="6" a="1"/>
  <c r="R62" i="6" s="1"/>
  <c r="R133" i="6" a="1"/>
  <c r="R133" i="6" s="1"/>
  <c r="R92" i="6" a="1"/>
  <c r="R92" i="6" s="1"/>
  <c r="R139" i="6" a="1"/>
  <c r="R139" i="6" s="1"/>
  <c r="R25" i="6" a="1"/>
  <c r="R25" i="6" s="1"/>
  <c r="R20" i="6" a="1"/>
  <c r="R20" i="6" s="1"/>
  <c r="R88" i="6" a="1"/>
  <c r="R88" i="6" s="1"/>
  <c r="R103" i="6" a="1"/>
  <c r="R103" i="6" s="1"/>
  <c r="R197" i="6" a="1"/>
  <c r="R197" i="6" s="1"/>
  <c r="R179" i="6" a="1"/>
  <c r="R179" i="6" s="1"/>
  <c r="R104" i="6" a="1"/>
  <c r="R104" i="6" s="1"/>
  <c r="R150" i="6" a="1"/>
  <c r="R150" i="6" s="1"/>
  <c r="R84" i="6" a="1"/>
  <c r="R84" i="6" s="1"/>
  <c r="R129" i="6" a="1"/>
  <c r="R129" i="6" s="1"/>
  <c r="R116" i="6" a="1"/>
  <c r="R116" i="6" s="1"/>
  <c r="E25" i="12" a="1"/>
  <c r="E25" i="12" s="1"/>
  <c r="R7" i="12" a="1"/>
  <c r="R7" i="12" s="1"/>
  <c r="E26" i="12" a="1"/>
  <c r="E26" i="12" s="1"/>
  <c r="E84" i="12" a="1"/>
  <c r="E84" i="12" s="1"/>
  <c r="E83" i="12" a="1"/>
  <c r="E83" i="12" s="1"/>
  <c r="E34" i="12" a="1"/>
  <c r="E34" i="12" s="1"/>
  <c r="E22" i="12" a="1"/>
  <c r="E22" i="12" s="1"/>
  <c r="E41" i="12" a="1"/>
  <c r="E41" i="12" s="1"/>
  <c r="E31" i="12" a="1"/>
  <c r="E31" i="12" s="1"/>
  <c r="E64" i="12" a="1"/>
  <c r="E64" i="12" s="1"/>
  <c r="E20" i="12" a="1"/>
  <c r="E20" i="12" s="1"/>
  <c r="E73" i="12" a="1"/>
  <c r="E73" i="12" s="1"/>
  <c r="E28" i="12" a="1"/>
  <c r="E28" i="12" s="1"/>
  <c r="E47" i="12" a="1"/>
  <c r="E47" i="12" s="1"/>
  <c r="E35" i="12" a="1"/>
  <c r="E35" i="12" s="1"/>
  <c r="E67" i="12" a="1"/>
  <c r="E67" i="12" s="1"/>
  <c r="E33" i="12" a="1"/>
  <c r="E33" i="12" s="1"/>
  <c r="E76" i="12" a="1"/>
  <c r="E76" i="12" s="1"/>
  <c r="E75" i="12" a="1"/>
  <c r="E75" i="12" s="1"/>
  <c r="E23" i="12" a="1"/>
  <c r="E23" i="12" s="1"/>
  <c r="E24" i="12" a="1"/>
  <c r="E24" i="12" s="1"/>
  <c r="E62" i="12" a="1"/>
  <c r="E62" i="12" s="1"/>
  <c r="E40" i="12" a="1"/>
  <c r="E40" i="12" s="1"/>
  <c r="E60" i="12" a="1"/>
  <c r="E60" i="12" s="1"/>
  <c r="E36" i="12" a="1"/>
  <c r="E36" i="12" s="1"/>
  <c r="E44" i="12" a="1"/>
  <c r="E44" i="12" s="1"/>
  <c r="E29" i="12" a="1"/>
  <c r="E29" i="12" s="1"/>
  <c r="E37" i="12" a="1"/>
  <c r="E37" i="12" s="1"/>
  <c r="E32" i="12" a="1"/>
  <c r="E32" i="12" s="1"/>
  <c r="E30" i="12" a="1"/>
  <c r="E30" i="12" s="1"/>
  <c r="E81" i="12" a="1"/>
  <c r="E81" i="12" s="1"/>
  <c r="E56" i="12" a="1"/>
  <c r="E56" i="12" s="1"/>
  <c r="E39" i="12" a="1"/>
  <c r="E39" i="12" s="1"/>
  <c r="E54" i="12" a="1"/>
  <c r="E54" i="12" s="1"/>
  <c r="E61" i="12" a="1"/>
  <c r="E61" i="12" s="1"/>
  <c r="E71" i="12" a="1"/>
  <c r="E71" i="12" s="1"/>
  <c r="E21" i="12" a="1"/>
  <c r="E21" i="12" s="1"/>
  <c r="E63" i="12" a="1"/>
  <c r="E63" i="12" s="1"/>
  <c r="E43" i="12" a="1"/>
  <c r="E43" i="12" s="1"/>
  <c r="E79" i="12" a="1"/>
  <c r="E79" i="12" s="1"/>
  <c r="E42" i="12" a="1"/>
  <c r="E42" i="12" s="1"/>
  <c r="E65" i="12" a="1"/>
  <c r="E65" i="12" s="1"/>
  <c r="E78" i="12" a="1"/>
  <c r="E78" i="12" s="1"/>
  <c r="E32" i="6" a="1"/>
  <c r="E32" i="6" s="1"/>
  <c r="E29" i="6" a="1"/>
  <c r="E29" i="6" s="1"/>
  <c r="E27" i="6" a="1"/>
  <c r="E27" i="6" s="1"/>
  <c r="E41" i="6" a="1"/>
  <c r="E41" i="6" s="1"/>
  <c r="E35" i="6" a="1"/>
  <c r="E35" i="6" s="1"/>
  <c r="E43" i="6" a="1"/>
  <c r="E43" i="6" s="1"/>
  <c r="T7" i="6" a="1"/>
  <c r="G21" i="6" s="1"/>
  <c r="E28" i="6" a="1"/>
  <c r="E28" i="6" s="1"/>
  <c r="E30" i="6" a="1"/>
  <c r="E30" i="6" s="1"/>
  <c r="E24" i="23" s="1"/>
  <c r="E38" i="6" a="1"/>
  <c r="E38" i="6" s="1"/>
  <c r="E36" i="6" a="1"/>
  <c r="E36" i="6" s="1"/>
  <c r="E25" i="6" a="1"/>
  <c r="E25" i="6" s="1"/>
  <c r="E37" i="6" a="1"/>
  <c r="E37" i="6" s="1"/>
  <c r="E33" i="6" a="1"/>
  <c r="E33" i="6" s="1"/>
  <c r="E39" i="6" a="1"/>
  <c r="E39" i="6" s="1"/>
  <c r="E44" i="6" a="1"/>
  <c r="E44" i="6" s="1"/>
  <c r="R11" i="4" a="1"/>
  <c r="R11" i="4" s="1"/>
  <c r="R73" i="4" a="1"/>
  <c r="R73" i="4" s="1"/>
  <c r="R69" i="4" a="1"/>
  <c r="R69" i="4" s="1"/>
  <c r="R100" i="4" a="1"/>
  <c r="R100" i="4" s="1"/>
  <c r="R97" i="4" a="1"/>
  <c r="R97" i="4" s="1"/>
  <c r="R78" i="4" a="1"/>
  <c r="R78" i="4" s="1"/>
  <c r="R119" i="4" a="1"/>
  <c r="R119" i="4" s="1"/>
  <c r="R116" i="4" a="1"/>
  <c r="R116" i="4" s="1"/>
  <c r="R91" i="4" a="1"/>
  <c r="R91" i="4" s="1"/>
  <c r="R65" i="4" a="1"/>
  <c r="R65" i="4" s="1"/>
  <c r="R71" i="4" a="1"/>
  <c r="R71" i="4" s="1"/>
  <c r="R42" i="4" a="1"/>
  <c r="R42" i="4" s="1"/>
  <c r="Q42" i="4"/>
  <c r="R35" i="4" a="1"/>
  <c r="R35" i="4" s="1"/>
  <c r="R43" i="4" a="1"/>
  <c r="R43" i="4" s="1"/>
  <c r="Q43" i="4"/>
  <c r="R88" i="4" a="1"/>
  <c r="R88" i="4" s="1"/>
  <c r="Q88" i="4"/>
  <c r="R59" i="4" a="1"/>
  <c r="R59" i="4" s="1"/>
  <c r="Q59" i="4"/>
  <c r="R58" i="4" a="1"/>
  <c r="R58" i="4" s="1"/>
  <c r="Q58" i="4"/>
  <c r="R44" i="4" a="1"/>
  <c r="R44" i="4" s="1"/>
  <c r="R27" i="4" a="1"/>
  <c r="R27" i="4" s="1"/>
  <c r="R72" i="4" a="1"/>
  <c r="R72" i="4" s="1"/>
  <c r="R34" i="4" a="1"/>
  <c r="R34" i="4" s="1"/>
  <c r="Q34" i="4"/>
  <c r="Q107" i="4"/>
  <c r="R107" i="4" a="1"/>
  <c r="R107" i="4" s="1"/>
  <c r="Q13" i="4"/>
  <c r="R13" i="4" a="1"/>
  <c r="R13" i="4" s="1"/>
  <c r="Q90" i="4"/>
  <c r="R90" i="4" a="1"/>
  <c r="R90" i="4" s="1"/>
  <c r="Q21" i="4"/>
  <c r="R21" i="4" a="1"/>
  <c r="R21" i="4" s="1"/>
  <c r="Q70" i="4"/>
  <c r="R70" i="4" a="1"/>
  <c r="R70" i="4" s="1"/>
  <c r="Q85" i="4"/>
  <c r="R85" i="4" a="1"/>
  <c r="R85" i="4" s="1"/>
  <c r="R49" i="4" a="1"/>
  <c r="R49" i="4" s="1"/>
  <c r="R87" i="4" a="1"/>
  <c r="R87" i="4" s="1"/>
  <c r="R14" i="4" a="1"/>
  <c r="R14" i="4" s="1"/>
  <c r="R22" i="4" a="1"/>
  <c r="R22" i="4" s="1"/>
  <c r="Q22" i="4"/>
  <c r="R68" i="4" a="1"/>
  <c r="R68" i="4" s="1"/>
  <c r="Q68" i="4"/>
  <c r="R115" i="4" a="1"/>
  <c r="R115" i="4" s="1"/>
  <c r="Q115" i="4"/>
  <c r="Q24" i="4"/>
  <c r="R24" i="4" a="1"/>
  <c r="R24" i="4" s="1"/>
  <c r="R114" i="4" a="1"/>
  <c r="R114" i="4" s="1"/>
  <c r="Q114" i="4"/>
  <c r="R37" i="4" a="1"/>
  <c r="R37" i="4" s="1"/>
  <c r="Q37" i="4"/>
  <c r="R80" i="4" a="1"/>
  <c r="R80" i="4" s="1"/>
  <c r="Q80" i="4"/>
  <c r="Q39" i="4"/>
  <c r="R39" i="4" a="1"/>
  <c r="R39" i="4" s="1"/>
  <c r="R28" i="4" a="1"/>
  <c r="R28" i="4" s="1"/>
  <c r="R18" i="4" a="1"/>
  <c r="R18" i="4" s="1"/>
  <c r="R33" i="4" a="1"/>
  <c r="R33" i="4" s="1"/>
  <c r="R94" i="4" a="1"/>
  <c r="R94" i="4" s="1"/>
  <c r="R57" i="4" a="1"/>
  <c r="R57" i="4" s="1"/>
  <c r="R19" i="4" a="1"/>
  <c r="R19" i="4" s="1"/>
  <c r="Q19" i="4"/>
  <c r="R98" i="4" a="1"/>
  <c r="R98" i="4" s="1"/>
  <c r="Q98" i="4"/>
  <c r="Q103" i="4"/>
  <c r="R103" i="4" a="1"/>
  <c r="R103" i="4" s="1"/>
  <c r="Q32" i="4"/>
  <c r="R32" i="4" a="1"/>
  <c r="R32" i="4" s="1"/>
  <c r="Q99" i="4"/>
  <c r="E49" i="4" a="1"/>
  <c r="E49" i="4" s="1"/>
  <c r="E27" i="4" a="1"/>
  <c r="E27" i="4" s="1"/>
  <c r="E46" i="4" a="1"/>
  <c r="E46" i="4" s="1"/>
  <c r="E41" i="4" a="1"/>
  <c r="E41" i="4" s="1"/>
  <c r="E65" i="4" a="1"/>
  <c r="E65" i="4" s="1"/>
  <c r="E60" i="4" a="1"/>
  <c r="E60" i="4" s="1"/>
  <c r="E64" i="4" a="1"/>
  <c r="E64" i="4" s="1"/>
  <c r="E61" i="4" a="1"/>
  <c r="E61" i="4" s="1"/>
  <c r="E55" i="4" a="1"/>
  <c r="E55" i="4" s="1"/>
  <c r="R99" i="4" a="1"/>
  <c r="R99" i="4" s="1"/>
  <c r="E47" i="4" a="1"/>
  <c r="E47" i="4" s="1"/>
  <c r="E63" i="4" a="1"/>
  <c r="E63" i="4" s="1"/>
  <c r="E33" i="4" a="1"/>
  <c r="E33" i="4" s="1"/>
  <c r="E35" i="4" a="1"/>
  <c r="E35" i="4" s="1"/>
  <c r="E26" i="4" a="1"/>
  <c r="E26" i="4" s="1"/>
  <c r="E30" i="4" a="1"/>
  <c r="E30" i="4" s="1"/>
  <c r="E59" i="4" a="1"/>
  <c r="E59" i="4" s="1"/>
  <c r="E21" i="4" a="1"/>
  <c r="E21" i="4" s="1"/>
  <c r="E29" i="4" a="1"/>
  <c r="E29" i="4" s="1"/>
  <c r="E38" i="4" a="1"/>
  <c r="E38" i="4" s="1"/>
  <c r="E67" i="4" a="1"/>
  <c r="E67" i="4" s="1"/>
  <c r="E42" i="4" a="1"/>
  <c r="E42" i="4" s="1"/>
  <c r="E24" i="4" a="1"/>
  <c r="E24" i="4" s="1"/>
  <c r="E51" i="4" a="1"/>
  <c r="E51" i="4" s="1"/>
  <c r="E36" i="4" a="1"/>
  <c r="E36" i="4" s="1"/>
  <c r="E39" i="4" a="1"/>
  <c r="E39" i="4" s="1"/>
  <c r="T7" i="4" a="1"/>
  <c r="E37" i="4" a="1"/>
  <c r="E37" i="4" s="1"/>
  <c r="E32" i="4" a="1"/>
  <c r="E32" i="4" s="1"/>
  <c r="E53" i="4" a="1"/>
  <c r="E53" i="4" s="1"/>
  <c r="E56" i="4" a="1"/>
  <c r="E56" i="4" s="1"/>
  <c r="E28" i="4" a="1"/>
  <c r="E28" i="4" s="1"/>
  <c r="F28" i="4" s="1"/>
  <c r="E43" i="4" a="1"/>
  <c r="E43" i="4" s="1"/>
  <c r="E23" i="4" a="1"/>
  <c r="E23" i="4" s="1"/>
  <c r="E71" i="4" a="1"/>
  <c r="E71" i="4" s="1"/>
  <c r="E45" i="4" a="1"/>
  <c r="E45" i="4" s="1"/>
  <c r="R84" i="4" a="1"/>
  <c r="R84" i="4" s="1"/>
  <c r="Q84" i="4"/>
  <c r="Q82" i="4"/>
  <c r="R82" i="4" a="1"/>
  <c r="R82" i="4" s="1"/>
  <c r="R47" i="4" a="1"/>
  <c r="R47" i="4" s="1"/>
  <c r="Q47" i="4"/>
  <c r="R23" i="4" a="1"/>
  <c r="R23" i="4" s="1"/>
  <c r="R12" i="4" a="1"/>
  <c r="R12" i="4" s="1"/>
  <c r="R9" i="4" a="1"/>
  <c r="R9" i="4" s="1"/>
  <c r="Q9" i="4"/>
  <c r="R15" i="4" a="1"/>
  <c r="R15" i="4" s="1"/>
  <c r="R16" i="4" a="1"/>
  <c r="R16" i="4" s="1"/>
  <c r="R30" i="4" a="1"/>
  <c r="R30" i="4" s="1"/>
  <c r="R109" i="4" a="1"/>
  <c r="R109" i="4" s="1"/>
  <c r="R56" i="4" a="1"/>
  <c r="R56" i="4" s="1"/>
  <c r="R29" i="4" a="1"/>
  <c r="R29" i="4" s="1"/>
  <c r="R7" i="4" a="1"/>
  <c r="R7" i="4" s="1"/>
  <c r="R67" i="4" a="1"/>
  <c r="R67" i="4" s="1"/>
  <c r="AB7" i="4" a="1"/>
  <c r="AB7" i="4" s="1"/>
  <c r="R17" i="4" a="1"/>
  <c r="R17" i="4" s="1"/>
  <c r="R66" i="4" a="1"/>
  <c r="R66" i="4" s="1"/>
  <c r="Q66" i="4"/>
  <c r="Q40" i="4"/>
  <c r="R40" i="4" a="1"/>
  <c r="R40" i="4" s="1"/>
  <c r="Q105" i="4"/>
  <c r="R105" i="4" a="1"/>
  <c r="R105" i="4" s="1"/>
  <c r="Q93" i="4"/>
  <c r="R93" i="4" a="1"/>
  <c r="R93" i="4" s="1"/>
  <c r="R55" i="4" a="1"/>
  <c r="R55" i="4" s="1"/>
  <c r="Q55" i="4"/>
  <c r="Q20" i="4"/>
  <c r="R20" i="4" a="1"/>
  <c r="R20" i="4" s="1"/>
  <c r="R10" i="4" a="1"/>
  <c r="R10" i="4" s="1"/>
  <c r="R106" i="4" a="1"/>
  <c r="R106" i="4" s="1"/>
  <c r="R108" i="4" a="1"/>
  <c r="R108" i="4" s="1"/>
  <c r="R86" i="4" a="1"/>
  <c r="R86" i="4" s="1"/>
  <c r="R45" i="4" a="1"/>
  <c r="R45" i="4" s="1"/>
  <c r="R74" i="4" a="1"/>
  <c r="R74" i="4" s="1"/>
  <c r="R26" i="4" a="1"/>
  <c r="R26" i="4" s="1"/>
  <c r="R62" i="4" a="1"/>
  <c r="R62" i="4" s="1"/>
  <c r="R83" i="4" a="1"/>
  <c r="R83" i="4" s="1"/>
  <c r="R54" i="4" a="1"/>
  <c r="R54" i="4" s="1"/>
  <c r="Q54" i="4"/>
  <c r="R112" i="4" a="1"/>
  <c r="R112" i="4" s="1"/>
  <c r="Q112" i="4"/>
  <c r="Q77" i="4"/>
  <c r="R77" i="4" a="1"/>
  <c r="R77" i="4" s="1"/>
  <c r="Q48" i="4"/>
  <c r="R48" i="4" a="1"/>
  <c r="R48" i="4" s="1"/>
  <c r="R118" i="4" a="1"/>
  <c r="R118" i="4" s="1"/>
  <c r="Q118" i="4"/>
  <c r="R113" i="4" a="1"/>
  <c r="R113" i="4" s="1"/>
  <c r="Q113" i="4"/>
  <c r="R76" i="4" a="1"/>
  <c r="R76" i="4" s="1"/>
  <c r="Q76" i="4"/>
  <c r="Q89" i="4"/>
  <c r="R89" i="4" a="1"/>
  <c r="R89" i="4" s="1"/>
  <c r="R8" i="4" a="1"/>
  <c r="R8" i="4" s="1"/>
  <c r="R63" i="4" a="1"/>
  <c r="R63" i="4" s="1"/>
  <c r="R117" i="4" a="1"/>
  <c r="R117" i="4" s="1"/>
  <c r="R53" i="4" a="1"/>
  <c r="R53" i="4" s="1"/>
  <c r="R38" i="4" a="1"/>
  <c r="R38" i="4" s="1"/>
  <c r="R81" i="4" a="1"/>
  <c r="R81" i="4" s="1"/>
  <c r="R111" i="4" a="1"/>
  <c r="R111" i="4" s="1"/>
  <c r="R51" i="4" a="1"/>
  <c r="R51" i="4" s="1"/>
  <c r="Q104" i="4"/>
  <c r="R104" i="4" a="1"/>
  <c r="R104" i="4" s="1"/>
  <c r="Q79" i="4"/>
  <c r="R79" i="4" a="1"/>
  <c r="R79" i="4" s="1"/>
  <c r="R64" i="4" a="1"/>
  <c r="R64" i="4" s="1"/>
  <c r="Q64" i="4"/>
  <c r="Q110" i="4"/>
  <c r="R110" i="4" a="1"/>
  <c r="R110" i="4" s="1"/>
  <c r="Q102" i="4"/>
  <c r="R102" i="4" a="1"/>
  <c r="R102" i="4" s="1"/>
  <c r="R31" i="4" a="1"/>
  <c r="R31" i="4" s="1"/>
  <c r="R61" i="4" a="1"/>
  <c r="R61" i="4" s="1"/>
  <c r="R50" i="4" a="1"/>
  <c r="R50" i="4" s="1"/>
  <c r="R46" i="4" a="1"/>
  <c r="R46" i="4" s="1"/>
  <c r="Q46" i="4"/>
  <c r="R36" i="4" a="1"/>
  <c r="R36" i="4" s="1"/>
  <c r="R92" i="4" a="1"/>
  <c r="R92" i="4" s="1"/>
  <c r="Q92" i="4"/>
  <c r="Q75" i="4"/>
  <c r="R75" i="4" a="1"/>
  <c r="R75" i="4" s="1"/>
  <c r="R101" i="4" a="1"/>
  <c r="R101" i="4" s="1"/>
  <c r="Q101" i="4"/>
  <c r="R52" i="4" a="1"/>
  <c r="R52" i="4" s="1"/>
  <c r="R60" i="4" a="1"/>
  <c r="R60" i="4" s="1"/>
  <c r="R95" i="4" a="1"/>
  <c r="R95" i="4" s="1"/>
  <c r="R96" i="4" a="1"/>
  <c r="R96" i="4" s="1"/>
  <c r="R41" i="4" a="1"/>
  <c r="R41" i="4" s="1"/>
  <c r="R25" i="4" a="1"/>
  <c r="R25" i="4" s="1"/>
  <c r="Y112" i="13" a="1"/>
  <c r="Y112" i="13" s="1"/>
  <c r="Y119" i="13" a="1"/>
  <c r="Y119" i="13" s="1"/>
  <c r="Y111" i="13" a="1"/>
  <c r="Y111" i="13" s="1"/>
  <c r="Y118" i="13" a="1"/>
  <c r="Y118" i="13" s="1"/>
  <c r="Y110" i="13" a="1"/>
  <c r="Y110" i="13" s="1"/>
  <c r="Y117" i="13" a="1"/>
  <c r="Y117" i="13" s="1"/>
  <c r="Y116" i="13" a="1"/>
  <c r="Y116" i="13" s="1"/>
  <c r="Y115" i="13" a="1"/>
  <c r="Y115" i="13" s="1"/>
  <c r="Y114" i="13" a="1"/>
  <c r="Y114" i="13" s="1"/>
  <c r="Y113" i="13" a="1"/>
  <c r="Y113" i="13" s="1"/>
  <c r="P34" i="17"/>
  <c r="P55" i="17"/>
  <c r="P47" i="17"/>
  <c r="P39" i="17"/>
  <c r="P31" i="17"/>
  <c r="P23" i="17"/>
  <c r="P15" i="17"/>
  <c r="P7" i="17"/>
  <c r="P53" i="17"/>
  <c r="P45" i="17"/>
  <c r="P37" i="17"/>
  <c r="P29" i="17"/>
  <c r="P21" i="17"/>
  <c r="Y100" i="13" a="1"/>
  <c r="Y100" i="13" s="1"/>
  <c r="Y92" i="13" a="1"/>
  <c r="Y92" i="13" s="1"/>
  <c r="Y107" i="13" a="1"/>
  <c r="Y107" i="13" s="1"/>
  <c r="Y99" i="13" a="1"/>
  <c r="Y99" i="13" s="1"/>
  <c r="Y91" i="13" a="1"/>
  <c r="Y91" i="13" s="1"/>
  <c r="Y106" i="13" a="1"/>
  <c r="Y106" i="13" s="1"/>
  <c r="Y98" i="13" a="1"/>
  <c r="Y98" i="13" s="1"/>
  <c r="Y90" i="13" a="1"/>
  <c r="Y90" i="13" s="1"/>
  <c r="Y105" i="13" a="1"/>
  <c r="Y105" i="13" s="1"/>
  <c r="Y97" i="13" a="1"/>
  <c r="Y97" i="13" s="1"/>
  <c r="Y89" i="13" a="1"/>
  <c r="Y89" i="13" s="1"/>
  <c r="Y104" i="13" a="1"/>
  <c r="Y104" i="13" s="1"/>
  <c r="Y96" i="13" a="1"/>
  <c r="Y96" i="13" s="1"/>
  <c r="Y88" i="13" a="1"/>
  <c r="Y88" i="13" s="1"/>
  <c r="Y103" i="13" a="1"/>
  <c r="Y103" i="13" s="1"/>
  <c r="Y95" i="13" a="1"/>
  <c r="Y95" i="13" s="1"/>
  <c r="Y109" i="13" a="1"/>
  <c r="Y109" i="13" s="1"/>
  <c r="Y102" i="13" a="1"/>
  <c r="Y102" i="13" s="1"/>
  <c r="Y94" i="13" a="1"/>
  <c r="Y94" i="13" s="1"/>
  <c r="Y108" i="13" a="1"/>
  <c r="Y108" i="13" s="1"/>
  <c r="Y101" i="13" a="1"/>
  <c r="Y101" i="13" s="1"/>
  <c r="F69" i="13" s="1"/>
  <c r="X7" i="13"/>
  <c r="Y13" i="13" a="1"/>
  <c r="Y13" i="13" s="1"/>
  <c r="Y21" i="13" a="1"/>
  <c r="Y21" i="13" s="1"/>
  <c r="Y29" i="13" a="1"/>
  <c r="Y29" i="13" s="1"/>
  <c r="Y36" i="13" a="1"/>
  <c r="Y36" i="13" s="1"/>
  <c r="Y43" i="13" a="1"/>
  <c r="Y43" i="13" s="1"/>
  <c r="Y51" i="13" a="1"/>
  <c r="Y51" i="13" s="1"/>
  <c r="Y59" i="13" a="1"/>
  <c r="Y59" i="13" s="1"/>
  <c r="Y67" i="13" a="1"/>
  <c r="Y67" i="13" s="1"/>
  <c r="Y73" i="13" a="1"/>
  <c r="Y73" i="13" s="1"/>
  <c r="Y80" i="13" a="1"/>
  <c r="Y80" i="13" s="1"/>
  <c r="Y87" i="13" a="1"/>
  <c r="Y87" i="13" s="1"/>
  <c r="F28" i="13" s="1"/>
  <c r="Y79" i="13" a="1"/>
  <c r="Y79" i="13" s="1"/>
  <c r="Y72" i="13" a="1"/>
  <c r="Y72" i="13" s="1"/>
  <c r="Y66" i="13" a="1"/>
  <c r="Y66" i="13" s="1"/>
  <c r="F32" i="13" s="1"/>
  <c r="Y58" i="13" a="1"/>
  <c r="Y58" i="13" s="1"/>
  <c r="Y50" i="13" a="1"/>
  <c r="Y50" i="13" s="1"/>
  <c r="Y42" i="13" a="1"/>
  <c r="Y42" i="13" s="1"/>
  <c r="Y28" i="13" a="1"/>
  <c r="Y28" i="13" s="1"/>
  <c r="Y20" i="13" a="1"/>
  <c r="Y20" i="13" s="1"/>
  <c r="Y12" i="13" a="1"/>
  <c r="Y12" i="13" s="1"/>
  <c r="F89" i="13" s="1"/>
  <c r="Y86" i="13" a="1"/>
  <c r="Y86" i="13" s="1"/>
  <c r="Y78" i="13" a="1"/>
  <c r="Y78" i="13" s="1"/>
  <c r="Y65" i="13" a="1"/>
  <c r="Y65" i="13" s="1"/>
  <c r="Y57" i="13" a="1"/>
  <c r="Y57" i="13" s="1"/>
  <c r="Y49" i="13" a="1"/>
  <c r="Y49" i="13" s="1"/>
  <c r="Y41" i="13" a="1"/>
  <c r="Y41" i="13" s="1"/>
  <c r="Y35" i="13" a="1"/>
  <c r="Y35" i="13" s="1"/>
  <c r="Y27" i="13" a="1"/>
  <c r="Y27" i="13" s="1"/>
  <c r="Y19" i="13" a="1"/>
  <c r="Y19" i="13" s="1"/>
  <c r="F110" i="13" s="1"/>
  <c r="Y11" i="13" a="1"/>
  <c r="Y11" i="13" s="1"/>
  <c r="Y85" i="13" a="1"/>
  <c r="Y85" i="13" s="1"/>
  <c r="F83" i="13" s="1"/>
  <c r="Y77" i="13" a="1"/>
  <c r="Y77" i="13" s="1"/>
  <c r="Y71" i="13" a="1"/>
  <c r="Y71" i="13" s="1"/>
  <c r="Y64" i="13" a="1"/>
  <c r="Y64" i="13" s="1"/>
  <c r="Y56" i="13" a="1"/>
  <c r="Y56" i="13" s="1"/>
  <c r="Y48" i="13" a="1"/>
  <c r="Y48" i="13" s="1"/>
  <c r="Y40" i="13" a="1"/>
  <c r="Y40" i="13" s="1"/>
  <c r="Y34" i="13" a="1"/>
  <c r="Y34" i="13" s="1"/>
  <c r="Y26" i="13" a="1"/>
  <c r="Y26" i="13" s="1"/>
  <c r="F125" i="13" s="1"/>
  <c r="Y18" i="13" a="1"/>
  <c r="Y18" i="13" s="1"/>
  <c r="F109" i="13" s="1"/>
  <c r="Y10" i="13" a="1"/>
  <c r="Y10" i="13" s="1"/>
  <c r="F105" i="13" s="1"/>
  <c r="Y84" i="13" a="1"/>
  <c r="Y84" i="13" s="1"/>
  <c r="F92" i="13" s="1"/>
  <c r="Y76" i="13" a="1"/>
  <c r="Y76" i="13" s="1"/>
  <c r="Y70" i="13" a="1"/>
  <c r="Y70" i="13" s="1"/>
  <c r="Y63" i="13" a="1"/>
  <c r="Y63" i="13" s="1"/>
  <c r="Y55" i="13" a="1"/>
  <c r="Y55" i="13" s="1"/>
  <c r="Y47" i="13" a="1"/>
  <c r="Y47" i="13" s="1"/>
  <c r="F44" i="13" s="1"/>
  <c r="Y33" i="13" a="1"/>
  <c r="Y33" i="13" s="1"/>
  <c r="Y25" i="13" a="1"/>
  <c r="Y25" i="13" s="1"/>
  <c r="Y17" i="13" a="1"/>
  <c r="Y17" i="13" s="1"/>
  <c r="Y9" i="13" a="1"/>
  <c r="Y9" i="13" s="1"/>
  <c r="F131" i="13" s="1"/>
  <c r="Y83" i="13" a="1"/>
  <c r="Y83" i="13" s="1"/>
  <c r="F27" i="13" s="1"/>
  <c r="Y69" i="13" a="1"/>
  <c r="Y69" i="13" s="1"/>
  <c r="Y62" i="13" a="1"/>
  <c r="Y62" i="13" s="1"/>
  <c r="F85" i="13" s="1"/>
  <c r="Y54" i="13" a="1"/>
  <c r="Y54" i="13" s="1"/>
  <c r="F26" i="13" s="1"/>
  <c r="Y46" i="13" a="1"/>
  <c r="Y46" i="13" s="1"/>
  <c r="F43" i="13" s="1"/>
  <c r="Y39" i="13" a="1"/>
  <c r="Y39" i="13" s="1"/>
  <c r="Y32" i="13" a="1"/>
  <c r="Y32" i="13" s="1"/>
  <c r="F42" i="13" s="1"/>
  <c r="Y24" i="13" a="1"/>
  <c r="Y24" i="13" s="1"/>
  <c r="F68" i="13" s="1"/>
  <c r="Y16" i="13" a="1"/>
  <c r="Y16" i="13" s="1"/>
  <c r="Y8" i="13" a="1"/>
  <c r="Y8" i="13" s="1"/>
  <c r="F114" i="13" s="1"/>
  <c r="Y82" i="13" a="1"/>
  <c r="Y82" i="13" s="1"/>
  <c r="F50" i="13" s="1"/>
  <c r="Y75" i="13" a="1"/>
  <c r="Y75" i="13" s="1"/>
  <c r="F46" i="13" s="1"/>
  <c r="Y68" i="13" a="1"/>
  <c r="Y68" i="13" s="1"/>
  <c r="F58" i="13" s="1"/>
  <c r="Y61" i="13" a="1"/>
  <c r="Y61" i="13" s="1"/>
  <c r="Y53" i="13" a="1"/>
  <c r="Y53" i="13" s="1"/>
  <c r="F112" i="13" s="1"/>
  <c r="Y45" i="13" a="1"/>
  <c r="Y45" i="13" s="1"/>
  <c r="F99" i="13" s="1"/>
  <c r="Y38" i="13" a="1"/>
  <c r="Y38" i="13" s="1"/>
  <c r="F67" i="13" s="1"/>
  <c r="Y31" i="13" a="1"/>
  <c r="Y31" i="13" s="1"/>
  <c r="Y23" i="13" a="1"/>
  <c r="Y23" i="13" s="1"/>
  <c r="Y15" i="13" a="1"/>
  <c r="Y15" i="13" s="1"/>
  <c r="Y81" i="13" a="1"/>
  <c r="Y81" i="13" s="1"/>
  <c r="Y74" i="13" a="1"/>
  <c r="Y74" i="13" s="1"/>
  <c r="F72" i="13" s="1"/>
  <c r="Y60" i="13" a="1"/>
  <c r="Y60" i="13" s="1"/>
  <c r="F88" i="13" s="1"/>
  <c r="Y52" i="13" a="1"/>
  <c r="Y52" i="13" s="1"/>
  <c r="F77" i="13" s="1"/>
  <c r="Y44" i="13" a="1"/>
  <c r="Y44" i="13" s="1"/>
  <c r="F94" i="13" s="1"/>
  <c r="Y37" i="13" a="1"/>
  <c r="Y37" i="13" s="1"/>
  <c r="F101" i="13" s="1"/>
  <c r="Y30" i="13" a="1"/>
  <c r="Y30" i="13" s="1"/>
  <c r="F37" i="13" s="1"/>
  <c r="Y22" i="13" a="1"/>
  <c r="Y22" i="13" s="1"/>
  <c r="Y14" i="13" a="1"/>
  <c r="Y14" i="13" s="1"/>
  <c r="F90" i="13" s="1"/>
  <c r="P6" i="17"/>
  <c r="P52" i="17"/>
  <c r="P44" i="17"/>
  <c r="P28" i="17"/>
  <c r="P20" i="17"/>
  <c r="P49" i="17"/>
  <c r="P41" i="17"/>
  <c r="P33" i="17"/>
  <c r="P25" i="17"/>
  <c r="P17" i="17"/>
  <c r="P9" i="17"/>
  <c r="P50" i="17"/>
  <c r="P42" i="17"/>
  <c r="P26" i="17"/>
  <c r="P18" i="17"/>
  <c r="P10" i="17"/>
  <c r="P54" i="17"/>
  <c r="P46" i="17"/>
  <c r="P38" i="17"/>
  <c r="P30" i="17"/>
  <c r="P22" i="17"/>
  <c r="P14" i="17"/>
  <c r="P36" i="17"/>
  <c r="P13" i="17"/>
  <c r="P12" i="17"/>
  <c r="P51" i="17"/>
  <c r="P43" i="17"/>
  <c r="P35" i="17"/>
  <c r="P27" i="17"/>
  <c r="P19" i="17"/>
  <c r="P11" i="17"/>
  <c r="P56" i="17"/>
  <c r="P48" i="17"/>
  <c r="P40" i="17"/>
  <c r="P32" i="17"/>
  <c r="P24" i="17"/>
  <c r="P16" i="17"/>
  <c r="P8" i="17"/>
  <c r="C16" i="9"/>
  <c r="C8" i="9"/>
  <c r="C11" i="9"/>
  <c r="C15" i="9"/>
  <c r="C9" i="9"/>
  <c r="C14" i="9"/>
  <c r="C6" i="9"/>
  <c r="C12" i="9"/>
  <c r="C10" i="9"/>
  <c r="C13" i="9"/>
  <c r="P23" i="7"/>
  <c r="Q23" i="7"/>
  <c r="R23" i="7"/>
  <c r="S23" i="7"/>
  <c r="T23" i="7"/>
  <c r="U23" i="7"/>
  <c r="V23" i="7"/>
  <c r="W23" i="7"/>
  <c r="X23" i="7"/>
  <c r="Y23" i="7"/>
  <c r="Z23" i="7"/>
  <c r="P24" i="7"/>
  <c r="Q24" i="7"/>
  <c r="R24" i="7"/>
  <c r="S24" i="7"/>
  <c r="T24" i="7"/>
  <c r="U24" i="7"/>
  <c r="V24" i="7"/>
  <c r="W24" i="7"/>
  <c r="X24" i="7"/>
  <c r="Y24" i="7"/>
  <c r="Z24" i="7"/>
  <c r="P25" i="7"/>
  <c r="Q25" i="7"/>
  <c r="R25" i="7"/>
  <c r="S25" i="7"/>
  <c r="T25" i="7"/>
  <c r="U25" i="7"/>
  <c r="V25" i="7"/>
  <c r="W25" i="7"/>
  <c r="X25" i="7"/>
  <c r="Y25" i="7"/>
  <c r="Z25" i="7"/>
  <c r="P26" i="7"/>
  <c r="Q26" i="7"/>
  <c r="R26" i="7"/>
  <c r="S26" i="7"/>
  <c r="T26" i="7"/>
  <c r="U26" i="7"/>
  <c r="V26" i="7"/>
  <c r="W26" i="7"/>
  <c r="X26" i="7"/>
  <c r="Y26" i="7"/>
  <c r="Z26" i="7"/>
  <c r="P27" i="7"/>
  <c r="Q27" i="7"/>
  <c r="R27" i="7"/>
  <c r="S27" i="7"/>
  <c r="T27" i="7"/>
  <c r="U27" i="7"/>
  <c r="V27" i="7"/>
  <c r="W27" i="7"/>
  <c r="X27" i="7"/>
  <c r="Y27" i="7"/>
  <c r="Z27" i="7"/>
  <c r="P28" i="7"/>
  <c r="Q28" i="7"/>
  <c r="R28" i="7"/>
  <c r="S28" i="7"/>
  <c r="T28" i="7"/>
  <c r="U28" i="7"/>
  <c r="V28" i="7"/>
  <c r="W28" i="7"/>
  <c r="X28" i="7"/>
  <c r="Y28" i="7"/>
  <c r="Z28" i="7"/>
  <c r="P29" i="7"/>
  <c r="Q29" i="7"/>
  <c r="R29" i="7"/>
  <c r="S29" i="7"/>
  <c r="T29" i="7"/>
  <c r="U29" i="7"/>
  <c r="V29" i="7"/>
  <c r="W29" i="7"/>
  <c r="X29" i="7"/>
  <c r="Y29" i="7"/>
  <c r="Z29" i="7"/>
  <c r="Q22" i="7"/>
  <c r="R22" i="7"/>
  <c r="S22" i="7"/>
  <c r="T22" i="7"/>
  <c r="U22" i="7"/>
  <c r="V22" i="7"/>
  <c r="W22" i="7"/>
  <c r="X22" i="7"/>
  <c r="Y22" i="7"/>
  <c r="Z22" i="7"/>
  <c r="P22" i="7"/>
  <c r="U21" i="7"/>
  <c r="V21" i="7"/>
  <c r="W21" i="7"/>
  <c r="X21" i="7"/>
  <c r="Y21" i="7"/>
  <c r="Z21" i="7"/>
  <c r="Q21" i="7"/>
  <c r="R21" i="7"/>
  <c r="S21" i="7"/>
  <c r="T21" i="7"/>
  <c r="P21" i="7"/>
  <c r="E3" i="17"/>
  <c r="N8" i="13"/>
  <c r="N9" i="13"/>
  <c r="N10" i="13"/>
  <c r="N17" i="13"/>
  <c r="N21" i="13"/>
  <c r="N23" i="13"/>
  <c r="N27" i="13"/>
  <c r="N29" i="13"/>
  <c r="N30" i="13"/>
  <c r="N31" i="13"/>
  <c r="N33" i="13"/>
  <c r="N35" i="13"/>
  <c r="N38" i="13"/>
  <c r="N40" i="13"/>
  <c r="N44" i="13"/>
  <c r="N46" i="13"/>
  <c r="N47" i="13"/>
  <c r="N48" i="13"/>
  <c r="N51" i="13"/>
  <c r="N52" i="13"/>
  <c r="N57" i="13"/>
  <c r="N59" i="13"/>
  <c r="N61" i="13"/>
  <c r="N64" i="13"/>
  <c r="N66" i="13"/>
  <c r="N68" i="13"/>
  <c r="N69" i="13"/>
  <c r="N70" i="13"/>
  <c r="N71" i="13"/>
  <c r="N73" i="13"/>
  <c r="N74" i="13"/>
  <c r="N76" i="13"/>
  <c r="N78" i="13"/>
  <c r="N79" i="13"/>
  <c r="N80" i="13"/>
  <c r="N83" i="13"/>
  <c r="N84" i="13"/>
  <c r="N85" i="13"/>
  <c r="N86" i="13"/>
  <c r="N87" i="13"/>
  <c r="N92" i="13"/>
  <c r="N94" i="13"/>
  <c r="N96" i="13"/>
  <c r="N98" i="13"/>
  <c r="N99" i="13"/>
  <c r="N100" i="13"/>
  <c r="N102" i="13"/>
  <c r="N112" i="13"/>
  <c r="N114" i="13"/>
  <c r="N115" i="13"/>
  <c r="N118" i="13"/>
  <c r="N121" i="13"/>
  <c r="N123" i="13"/>
  <c r="N125" i="13"/>
  <c r="N143" i="13"/>
  <c r="N145" i="13"/>
  <c r="N146" i="13"/>
  <c r="N150" i="13"/>
  <c r="N211" i="13"/>
  <c r="N207" i="13"/>
  <c r="N221" i="13"/>
  <c r="N169" i="13"/>
  <c r="N162" i="13"/>
  <c r="N176" i="13"/>
  <c r="N152" i="13"/>
  <c r="N277" i="13"/>
  <c r="N265" i="13"/>
  <c r="N317" i="13"/>
  <c r="N245" i="13"/>
  <c r="N242" i="13"/>
  <c r="N260" i="13"/>
  <c r="N271" i="13"/>
  <c r="N296" i="13"/>
  <c r="N275" i="13"/>
  <c r="N235" i="13"/>
  <c r="N312" i="13"/>
  <c r="N264" i="13"/>
  <c r="N266" i="13"/>
  <c r="N305" i="13"/>
  <c r="N303" i="13"/>
  <c r="N313" i="13"/>
  <c r="N343" i="13"/>
  <c r="N357" i="13"/>
  <c r="N353" i="13"/>
  <c r="N397" i="13"/>
  <c r="N469" i="13"/>
  <c r="N430" i="13"/>
  <c r="N477" i="13"/>
  <c r="N444" i="13"/>
  <c r="N456" i="13"/>
  <c r="N494" i="13"/>
  <c r="N482" i="13"/>
  <c r="N488" i="13"/>
  <c r="N455" i="13"/>
  <c r="N465" i="13"/>
  <c r="N457" i="13"/>
  <c r="N473" i="13"/>
  <c r="N437" i="13"/>
  <c r="N412" i="13"/>
  <c r="N409" i="13"/>
  <c r="N411" i="13"/>
  <c r="N472" i="13"/>
  <c r="N548" i="13"/>
  <c r="N555" i="13"/>
  <c r="N569" i="13"/>
  <c r="N581" i="13"/>
  <c r="N591" i="13"/>
  <c r="N549" i="13"/>
  <c r="N552" i="13"/>
  <c r="N522" i="13"/>
  <c r="N613" i="13"/>
  <c r="N508" i="13"/>
  <c r="N575" i="13"/>
  <c r="N502" i="13"/>
  <c r="N717" i="13"/>
  <c r="N693" i="13"/>
  <c r="N558" i="13"/>
  <c r="N619" i="13"/>
  <c r="N641" i="13"/>
  <c r="N684" i="13"/>
  <c r="N699" i="13"/>
  <c r="N623" i="13"/>
  <c r="N554" i="13"/>
  <c r="N512" i="13"/>
  <c r="N584" i="13"/>
  <c r="N611" i="13"/>
  <c r="N600" i="13"/>
  <c r="N706" i="13"/>
  <c r="N650" i="13"/>
  <c r="N688" i="13"/>
  <c r="N702" i="13"/>
  <c r="N677" i="13"/>
  <c r="N733" i="13"/>
  <c r="N685" i="13"/>
  <c r="N737" i="13"/>
  <c r="N615" i="13"/>
  <c r="N754" i="13"/>
  <c r="N721" i="13"/>
  <c r="N744" i="13"/>
  <c r="N676" i="13"/>
  <c r="N726" i="13"/>
  <c r="N884" i="13"/>
  <c r="N920" i="13"/>
  <c r="N912" i="13"/>
  <c r="N919" i="13"/>
  <c r="N903" i="13"/>
  <c r="N894" i="13"/>
  <c r="N886" i="13"/>
  <c r="N924" i="13"/>
  <c r="N905" i="13"/>
  <c r="N902" i="13"/>
  <c r="N825" i="13"/>
  <c r="N941" i="13"/>
  <c r="N985" i="13"/>
  <c r="N853" i="13"/>
  <c r="N839" i="13"/>
  <c r="N821" i="13"/>
  <c r="N863" i="13"/>
  <c r="N936" i="13"/>
  <c r="N841" i="13"/>
  <c r="N922" i="13"/>
  <c r="N963" i="13"/>
  <c r="N887" i="13"/>
  <c r="N896" i="13"/>
  <c r="N923" i="13"/>
  <c r="N872" i="13"/>
  <c r="N999" i="13"/>
  <c r="N1004" i="13"/>
  <c r="N1017" i="13"/>
  <c r="N1019" i="13"/>
  <c r="N997" i="13"/>
  <c r="N993" i="13"/>
  <c r="N1016" i="13"/>
  <c r="N942" i="13"/>
  <c r="N950" i="13"/>
  <c r="N945" i="13"/>
  <c r="N1021" i="13"/>
  <c r="N1095" i="13"/>
  <c r="N946" i="13"/>
  <c r="N955" i="13"/>
  <c r="N951" i="13"/>
  <c r="N966" i="13"/>
  <c r="N943" i="13"/>
  <c r="N935" i="13"/>
  <c r="N974" i="13"/>
  <c r="N1103" i="13"/>
  <c r="N1039" i="13"/>
  <c r="N1066" i="13"/>
  <c r="N1031" i="13"/>
  <c r="N1070" i="13"/>
  <c r="N1080" i="13"/>
  <c r="N1050" i="13"/>
  <c r="N1125" i="13"/>
  <c r="N7" i="13"/>
  <c r="Q7" i="9"/>
  <c r="B9" i="19"/>
  <c r="B8" i="19"/>
  <c r="B7" i="19"/>
  <c r="R26" i="19" a="1"/>
  <c r="R26" i="19" s="1"/>
  <c r="R21" i="19" a="1"/>
  <c r="R21" i="19" s="1"/>
  <c r="R20" i="19" a="1"/>
  <c r="R20" i="19" s="1"/>
  <c r="R22" i="19" a="1"/>
  <c r="R22" i="19" s="1"/>
  <c r="B5" i="19"/>
  <c r="B10" i="19"/>
  <c r="B6" i="19"/>
  <c r="B4" i="19"/>
  <c r="B3" i="19"/>
  <c r="B2" i="19"/>
  <c r="R27" i="19" a="1"/>
  <c r="R27" i="19" s="1"/>
  <c r="R25" i="19" a="1"/>
  <c r="R25" i="19" s="1"/>
  <c r="R28" i="19" a="1"/>
  <c r="R28" i="19" s="1"/>
  <c r="Y7" i="14" a="1"/>
  <c r="Y7" i="14" s="1"/>
  <c r="C40" i="14"/>
  <c r="C23" i="14"/>
  <c r="C73" i="14"/>
  <c r="C26" i="14"/>
  <c r="C29" i="14"/>
  <c r="C50" i="14"/>
  <c r="C35" i="14"/>
  <c r="C32" i="14"/>
  <c r="C67" i="14"/>
  <c r="C68" i="14"/>
  <c r="C27" i="14"/>
  <c r="C28" i="14"/>
  <c r="C61" i="14"/>
  <c r="C41" i="14"/>
  <c r="C57" i="14"/>
  <c r="C58" i="14"/>
  <c r="C60" i="14"/>
  <c r="C62" i="14"/>
  <c r="C71" i="14"/>
  <c r="C63" i="14"/>
  <c r="C59" i="14"/>
  <c r="C70" i="14"/>
  <c r="C39" i="14"/>
  <c r="C55" i="14"/>
  <c r="C51" i="14"/>
  <c r="C49" i="14"/>
  <c r="C74" i="14"/>
  <c r="C77" i="14"/>
  <c r="C46" i="14"/>
  <c r="C111" i="14"/>
  <c r="C69" i="14"/>
  <c r="C66" i="14"/>
  <c r="C75" i="14"/>
  <c r="C105" i="14"/>
  <c r="C48" i="14"/>
  <c r="C100" i="14"/>
  <c r="C47" i="14"/>
  <c r="C108" i="14"/>
  <c r="C91" i="14"/>
  <c r="C82" i="14"/>
  <c r="C81" i="14"/>
  <c r="C98" i="14"/>
  <c r="C115" i="14"/>
  <c r="C120" i="14"/>
  <c r="C118" i="14"/>
  <c r="C96" i="14"/>
  <c r="C45" i="14"/>
  <c r="C72" i="14"/>
  <c r="C95" i="14"/>
  <c r="C113" i="14"/>
  <c r="C106" i="14"/>
  <c r="C90" i="14"/>
  <c r="C36" i="14"/>
  <c r="C52" i="14"/>
  <c r="C85" i="14"/>
  <c r="C84" i="14"/>
  <c r="C102" i="14"/>
  <c r="C107" i="14"/>
  <c r="C116" i="14"/>
  <c r="C125" i="14"/>
  <c r="C104" i="14"/>
  <c r="C123" i="14"/>
  <c r="C112" i="14"/>
  <c r="C56" i="14"/>
  <c r="C22" i="14"/>
  <c r="C53" i="13"/>
  <c r="C39" i="13"/>
  <c r="C24" i="13"/>
  <c r="C58" i="13"/>
  <c r="C29" i="13"/>
  <c r="C41" i="13"/>
  <c r="C44" i="13"/>
  <c r="C40" i="13"/>
  <c r="C26" i="13"/>
  <c r="C23" i="13"/>
  <c r="C49" i="13"/>
  <c r="C52" i="13"/>
  <c r="C37" i="13"/>
  <c r="C35" i="13"/>
  <c r="C60" i="13"/>
  <c r="C51" i="13"/>
  <c r="C46" i="13"/>
  <c r="C43" i="13"/>
  <c r="C71" i="13"/>
  <c r="C45" i="13"/>
  <c r="C48" i="13"/>
  <c r="C47" i="13"/>
  <c r="C69" i="13"/>
  <c r="C75" i="13"/>
  <c r="C62" i="13"/>
  <c r="C31" i="13"/>
  <c r="C66" i="13"/>
  <c r="C34" i="13"/>
  <c r="C127" i="13"/>
  <c r="C76" i="13"/>
  <c r="C65" i="13"/>
  <c r="C97" i="13"/>
  <c r="C72" i="13"/>
  <c r="C93" i="13"/>
  <c r="C79" i="13"/>
  <c r="C104" i="13"/>
  <c r="C100" i="13"/>
  <c r="C74" i="13"/>
  <c r="C91" i="13"/>
  <c r="C67" i="13"/>
  <c r="C121" i="13"/>
  <c r="C102" i="13"/>
  <c r="C123" i="13"/>
  <c r="C86" i="13"/>
  <c r="C83" i="13"/>
  <c r="C113" i="13"/>
  <c r="C96" i="13"/>
  <c r="C36" i="13"/>
  <c r="C63" i="13"/>
  <c r="C82" i="13"/>
  <c r="C94" i="13"/>
  <c r="C77" i="13"/>
  <c r="C99" i="13"/>
  <c r="C126" i="13"/>
  <c r="C106" i="13"/>
  <c r="C129" i="13"/>
  <c r="C119" i="13"/>
  <c r="C109" i="13"/>
  <c r="C124" i="13"/>
  <c r="C114" i="13"/>
  <c r="C118" i="13"/>
  <c r="C122" i="13"/>
  <c r="C105" i="13"/>
  <c r="C90" i="13"/>
  <c r="C111" i="13"/>
  <c r="C120" i="13"/>
  <c r="C103" i="13"/>
  <c r="C101" i="13"/>
  <c r="C110" i="13"/>
  <c r="C116" i="13"/>
  <c r="C117" i="13"/>
  <c r="C92" i="13"/>
  <c r="C38" i="13"/>
  <c r="C112" i="13"/>
  <c r="C95" i="13"/>
  <c r="C125" i="13"/>
  <c r="C115" i="13"/>
  <c r="C130" i="13"/>
  <c r="C27" i="13"/>
  <c r="F53" i="4" l="1"/>
  <c r="F35" i="4"/>
  <c r="F50" i="4"/>
  <c r="F72" i="4"/>
  <c r="F54" i="4"/>
  <c r="F40" i="4"/>
  <c r="F30" i="4"/>
  <c r="F42" i="4"/>
  <c r="F60" i="4"/>
  <c r="F32" i="4"/>
  <c r="F67" i="4"/>
  <c r="E11" i="23"/>
  <c r="F33" i="4"/>
  <c r="F65" i="4"/>
  <c r="F48" i="4"/>
  <c r="F44" i="4"/>
  <c r="F20" i="4"/>
  <c r="F31" i="4"/>
  <c r="F45" i="4"/>
  <c r="F37" i="4"/>
  <c r="F38" i="4"/>
  <c r="F63" i="4"/>
  <c r="F41" i="4"/>
  <c r="F34" i="4"/>
  <c r="F73" i="4"/>
  <c r="F69" i="4"/>
  <c r="F29" i="4"/>
  <c r="F47" i="4"/>
  <c r="F46" i="4"/>
  <c r="F25" i="4"/>
  <c r="F70" i="4"/>
  <c r="F58" i="4"/>
  <c r="F51" i="4"/>
  <c r="F71" i="4"/>
  <c r="F23" i="4"/>
  <c r="F39" i="4"/>
  <c r="F21" i="4"/>
  <c r="F27" i="4"/>
  <c r="F43" i="4"/>
  <c r="E12" i="23"/>
  <c r="F36" i="4"/>
  <c r="F59" i="4"/>
  <c r="F55" i="4"/>
  <c r="F49" i="4"/>
  <c r="F68" i="4"/>
  <c r="F52" i="4"/>
  <c r="F57" i="4"/>
  <c r="F61" i="4"/>
  <c r="F56" i="4"/>
  <c r="F24" i="4"/>
  <c r="F26" i="4"/>
  <c r="F64" i="4"/>
  <c r="F62" i="4"/>
  <c r="F66" i="4"/>
  <c r="F22" i="4"/>
  <c r="G92" i="3"/>
  <c r="G95" i="3"/>
  <c r="F95" i="3"/>
  <c r="F92" i="3"/>
  <c r="F60" i="3"/>
  <c r="L18" i="23"/>
  <c r="F42" i="3"/>
  <c r="F89" i="3"/>
  <c r="F62" i="3"/>
  <c r="F84" i="3"/>
  <c r="F46" i="3"/>
  <c r="F27" i="3"/>
  <c r="F77" i="3"/>
  <c r="F85" i="3"/>
  <c r="F29" i="3"/>
  <c r="F32" i="3"/>
  <c r="F76" i="3"/>
  <c r="L17" i="23"/>
  <c r="F66" i="3"/>
  <c r="F22" i="3"/>
  <c r="F53" i="3"/>
  <c r="F45" i="3"/>
  <c r="F73" i="3"/>
  <c r="F81" i="3"/>
  <c r="F59" i="3"/>
  <c r="F88" i="3"/>
  <c r="F82" i="3"/>
  <c r="F96" i="3"/>
  <c r="F87" i="3"/>
  <c r="F75" i="3"/>
  <c r="F91" i="3"/>
  <c r="F63" i="3"/>
  <c r="F71" i="3"/>
  <c r="F56" i="3"/>
  <c r="F40" i="3"/>
  <c r="F99" i="3"/>
  <c r="F67" i="3"/>
  <c r="F86" i="3"/>
  <c r="F80" i="3"/>
  <c r="F31" i="3"/>
  <c r="F25" i="3"/>
  <c r="F26" i="3"/>
  <c r="F30" i="3"/>
  <c r="F38" i="3"/>
  <c r="F23" i="3"/>
  <c r="F69" i="3"/>
  <c r="F35" i="3"/>
  <c r="F68" i="3"/>
  <c r="F74" i="3"/>
  <c r="F61" i="3"/>
  <c r="F101" i="3"/>
  <c r="F41" i="3"/>
  <c r="F44" i="3"/>
  <c r="F64" i="3"/>
  <c r="F43" i="3"/>
  <c r="F20" i="3"/>
  <c r="F52" i="3"/>
  <c r="F90" i="3"/>
  <c r="F58" i="3"/>
  <c r="F28" i="3"/>
  <c r="F65" i="3"/>
  <c r="F21" i="3"/>
  <c r="F72" i="3"/>
  <c r="F93" i="3"/>
  <c r="F94" i="3"/>
  <c r="F83" i="3"/>
  <c r="F50" i="3"/>
  <c r="F57" i="3"/>
  <c r="F33" i="3"/>
  <c r="F78" i="3"/>
  <c r="F49" i="3"/>
  <c r="F54" i="3"/>
  <c r="F47" i="3"/>
  <c r="F98" i="3"/>
  <c r="F24" i="3"/>
  <c r="F51" i="3"/>
  <c r="F70" i="3"/>
  <c r="F97" i="3"/>
  <c r="F39" i="3"/>
  <c r="F48" i="3"/>
  <c r="F79" i="3"/>
  <c r="F100" i="3"/>
  <c r="F36" i="3"/>
  <c r="F37" i="3"/>
  <c r="F34" i="3"/>
  <c r="F55" i="3"/>
  <c r="G28" i="3"/>
  <c r="G64" i="3"/>
  <c r="G70" i="3"/>
  <c r="G55" i="3"/>
  <c r="F66" i="2"/>
  <c r="G40" i="2"/>
  <c r="G66" i="2"/>
  <c r="F45" i="11"/>
  <c r="F26" i="11"/>
  <c r="G26" i="11"/>
  <c r="G45" i="11"/>
  <c r="F21" i="6"/>
  <c r="F88" i="12"/>
  <c r="F82" i="12"/>
  <c r="F70" i="12"/>
  <c r="F55" i="12"/>
  <c r="G55" i="12"/>
  <c r="G82" i="12"/>
  <c r="G70" i="12"/>
  <c r="G88" i="12"/>
  <c r="G57" i="4"/>
  <c r="G68" i="4"/>
  <c r="P4" i="17"/>
  <c r="G44" i="3"/>
  <c r="G30" i="3"/>
  <c r="F40" i="2"/>
  <c r="F31" i="6"/>
  <c r="G26" i="6"/>
  <c r="G31" i="6"/>
  <c r="G80" i="12"/>
  <c r="G57" i="12"/>
  <c r="G87" i="12"/>
  <c r="G89" i="12"/>
  <c r="F87" i="12"/>
  <c r="F80" i="12"/>
  <c r="F57" i="12"/>
  <c r="F89" i="12"/>
  <c r="G69" i="4"/>
  <c r="G40" i="4"/>
  <c r="G20" i="4"/>
  <c r="G62" i="2"/>
  <c r="G39" i="2"/>
  <c r="G32" i="2"/>
  <c r="G56" i="2"/>
  <c r="G43" i="2"/>
  <c r="F32" i="2"/>
  <c r="F39" i="2"/>
  <c r="F43" i="2"/>
  <c r="F56" i="2"/>
  <c r="G43" i="11"/>
  <c r="G46" i="11"/>
  <c r="F46" i="11"/>
  <c r="F26" i="6"/>
  <c r="G51" i="12"/>
  <c r="G74" i="12"/>
  <c r="G58" i="12"/>
  <c r="G53" i="12"/>
  <c r="G49" i="12"/>
  <c r="F51" i="12"/>
  <c r="F49" i="12"/>
  <c r="F74" i="12"/>
  <c r="F58" i="12"/>
  <c r="F53" i="12"/>
  <c r="G52" i="4"/>
  <c r="G22" i="4"/>
  <c r="G54" i="4"/>
  <c r="G88" i="3"/>
  <c r="G34" i="3"/>
  <c r="G80" i="3"/>
  <c r="G22" i="3"/>
  <c r="F62" i="2"/>
  <c r="F43" i="11"/>
  <c r="F23" i="6"/>
  <c r="G42" i="6"/>
  <c r="G23" i="6"/>
  <c r="F86" i="12"/>
  <c r="F72" i="12"/>
  <c r="G72" i="12"/>
  <c r="G86" i="12"/>
  <c r="G73" i="4"/>
  <c r="G58" i="4"/>
  <c r="G41" i="3"/>
  <c r="G58" i="3"/>
  <c r="G26" i="3"/>
  <c r="G51" i="3"/>
  <c r="G47" i="11"/>
  <c r="G42" i="11"/>
  <c r="G23" i="11"/>
  <c r="G49" i="11"/>
  <c r="F42" i="11"/>
  <c r="F49" i="11"/>
  <c r="F23" i="11"/>
  <c r="F71" i="12"/>
  <c r="F77" i="12"/>
  <c r="F66" i="12"/>
  <c r="F83" i="12"/>
  <c r="F45" i="12"/>
  <c r="F75" i="12"/>
  <c r="F24" i="12"/>
  <c r="F26" i="12"/>
  <c r="F20" i="12"/>
  <c r="F54" i="12"/>
  <c r="F44" i="12"/>
  <c r="F76" i="12"/>
  <c r="F64" i="12"/>
  <c r="F25" i="12"/>
  <c r="F59" i="12"/>
  <c r="F32" i="12"/>
  <c r="F37" i="12"/>
  <c r="F29" i="12"/>
  <c r="F42" i="12"/>
  <c r="F39" i="12"/>
  <c r="F36" i="12"/>
  <c r="F33" i="12"/>
  <c r="F31" i="12"/>
  <c r="F69" i="12"/>
  <c r="F68" i="12"/>
  <c r="F28" i="12"/>
  <c r="F84" i="12"/>
  <c r="F78" i="12"/>
  <c r="F65" i="12"/>
  <c r="F56" i="12"/>
  <c r="F67" i="12"/>
  <c r="F41" i="12"/>
  <c r="F52" i="12"/>
  <c r="F48" i="12"/>
  <c r="F23" i="12"/>
  <c r="F61" i="12"/>
  <c r="F79" i="12"/>
  <c r="F60" i="12"/>
  <c r="F43" i="12"/>
  <c r="F81" i="12"/>
  <c r="F40" i="12"/>
  <c r="F35" i="12"/>
  <c r="F22" i="12"/>
  <c r="F50" i="12"/>
  <c r="F38" i="12"/>
  <c r="F46" i="12"/>
  <c r="F21" i="12"/>
  <c r="F73" i="12"/>
  <c r="E18" i="23"/>
  <c r="F63" i="12"/>
  <c r="E17" i="23"/>
  <c r="F30" i="12"/>
  <c r="F62" i="12"/>
  <c r="F47" i="12"/>
  <c r="F34" i="12"/>
  <c r="F85" i="12"/>
  <c r="F27" i="12"/>
  <c r="G68" i="12"/>
  <c r="G59" i="12"/>
  <c r="G24" i="3"/>
  <c r="G59" i="3"/>
  <c r="G37" i="3"/>
  <c r="F47" i="11"/>
  <c r="E23" i="23"/>
  <c r="E25" i="23" s="1"/>
  <c r="F42" i="6"/>
  <c r="G66" i="12"/>
  <c r="G46" i="12"/>
  <c r="G27" i="12"/>
  <c r="G62" i="4"/>
  <c r="G44" i="4"/>
  <c r="G66" i="4"/>
  <c r="G31" i="4"/>
  <c r="G70" i="4"/>
  <c r="G72" i="4"/>
  <c r="L7" i="23"/>
  <c r="L13" i="23"/>
  <c r="E13" i="23"/>
  <c r="L25" i="23"/>
  <c r="G36" i="3"/>
  <c r="G90" i="3"/>
  <c r="G66" i="3"/>
  <c r="G98" i="3"/>
  <c r="G20" i="2"/>
  <c r="G47" i="2"/>
  <c r="G35" i="2"/>
  <c r="G60" i="2"/>
  <c r="F35" i="2"/>
  <c r="F47" i="2"/>
  <c r="F60" i="2"/>
  <c r="G40" i="11"/>
  <c r="G28" i="11"/>
  <c r="F40" i="11"/>
  <c r="F28" i="11"/>
  <c r="F20" i="6"/>
  <c r="F22" i="6"/>
  <c r="G22" i="6"/>
  <c r="G20" i="6"/>
  <c r="Q5" i="12"/>
  <c r="G38" i="12"/>
  <c r="G85" i="12"/>
  <c r="G77" i="12"/>
  <c r="G25" i="3"/>
  <c r="G86" i="3"/>
  <c r="F20" i="2"/>
  <c r="G27" i="11"/>
  <c r="G22" i="11"/>
  <c r="F22" i="11"/>
  <c r="Q5" i="11"/>
  <c r="F27" i="11"/>
  <c r="Q5" i="6"/>
  <c r="R5" i="19" a="1"/>
  <c r="R5" i="19" s="1"/>
  <c r="G69" i="12"/>
  <c r="G50" i="12"/>
  <c r="G52" i="12"/>
  <c r="G35" i="12"/>
  <c r="G22" i="12"/>
  <c r="G40" i="12"/>
  <c r="G42" i="12"/>
  <c r="G76" i="12"/>
  <c r="G23" i="12"/>
  <c r="G81" i="12"/>
  <c r="G63" i="12"/>
  <c r="F18" i="23" s="1"/>
  <c r="G61" i="12"/>
  <c r="G45" i="12"/>
  <c r="G24" i="12"/>
  <c r="G62" i="12"/>
  <c r="G56" i="12"/>
  <c r="G39" i="12"/>
  <c r="G44" i="12"/>
  <c r="G29" i="12"/>
  <c r="G34" i="12"/>
  <c r="G65" i="12"/>
  <c r="G79" i="12"/>
  <c r="G30" i="12"/>
  <c r="F17" i="23" s="1"/>
  <c r="G36" i="12"/>
  <c r="G54" i="12"/>
  <c r="G60" i="12"/>
  <c r="G67" i="12"/>
  <c r="G43" i="12"/>
  <c r="G78" i="12"/>
  <c r="G32" i="12"/>
  <c r="G48" i="12"/>
  <c r="G75" i="12"/>
  <c r="G73" i="12"/>
  <c r="G33" i="12"/>
  <c r="G25" i="12"/>
  <c r="G37" i="12"/>
  <c r="G21" i="12"/>
  <c r="G31" i="12"/>
  <c r="G28" i="12"/>
  <c r="G64" i="12"/>
  <c r="G84" i="12"/>
  <c r="G41" i="12"/>
  <c r="G47" i="12"/>
  <c r="G20" i="12"/>
  <c r="G83" i="12"/>
  <c r="G26" i="12"/>
  <c r="G71" i="12"/>
  <c r="T7" i="12"/>
  <c r="G25" i="4"/>
  <c r="G34" i="4"/>
  <c r="G48" i="4"/>
  <c r="G50" i="4"/>
  <c r="C11" i="19" a="1"/>
  <c r="C11" i="19" s="1"/>
  <c r="F24" i="16"/>
  <c r="Q5" i="16"/>
  <c r="G23" i="16"/>
  <c r="G25" i="16"/>
  <c r="G20" i="16"/>
  <c r="G22" i="16"/>
  <c r="G30" i="16"/>
  <c r="T7" i="16"/>
  <c r="G26" i="16"/>
  <c r="G27" i="16"/>
  <c r="G24" i="16"/>
  <c r="G29" i="16"/>
  <c r="M23" i="23" s="1"/>
  <c r="G28" i="16"/>
  <c r="G21" i="16"/>
  <c r="M24" i="23" s="1"/>
  <c r="F23" i="16"/>
  <c r="F21" i="16"/>
  <c r="F27" i="16"/>
  <c r="F28" i="16"/>
  <c r="F26" i="16"/>
  <c r="F22" i="16"/>
  <c r="F30" i="16"/>
  <c r="F25" i="16"/>
  <c r="F29" i="16"/>
  <c r="F20" i="16"/>
  <c r="Q5" i="3"/>
  <c r="G84" i="3"/>
  <c r="G76" i="3"/>
  <c r="G81" i="3"/>
  <c r="G61" i="3"/>
  <c r="G82" i="3"/>
  <c r="G32" i="3"/>
  <c r="G53" i="3"/>
  <c r="G87" i="3"/>
  <c r="G47" i="3"/>
  <c r="G99" i="3"/>
  <c r="G101" i="3"/>
  <c r="G75" i="3"/>
  <c r="G97" i="3"/>
  <c r="G49" i="3"/>
  <c r="G40" i="3"/>
  <c r="G67" i="3"/>
  <c r="G79" i="3"/>
  <c r="G74" i="3"/>
  <c r="G46" i="3"/>
  <c r="G54" i="3"/>
  <c r="G94" i="3"/>
  <c r="G20" i="3"/>
  <c r="G45" i="3"/>
  <c r="G91" i="3"/>
  <c r="G52" i="3"/>
  <c r="G100" i="3"/>
  <c r="G65" i="3"/>
  <c r="G83" i="3"/>
  <c r="G31" i="3"/>
  <c r="G72" i="3"/>
  <c r="G96" i="3"/>
  <c r="G85" i="3"/>
  <c r="G62" i="3"/>
  <c r="G57" i="3"/>
  <c r="G69" i="3"/>
  <c r="G60" i="3"/>
  <c r="G89" i="3"/>
  <c r="G39" i="3"/>
  <c r="G43" i="3"/>
  <c r="G93" i="3"/>
  <c r="G35" i="3"/>
  <c r="G68" i="3"/>
  <c r="G42" i="3"/>
  <c r="G29" i="3"/>
  <c r="G33" i="3"/>
  <c r="G23" i="3"/>
  <c r="G63" i="3"/>
  <c r="G78" i="3"/>
  <c r="G73" i="3"/>
  <c r="G56" i="3"/>
  <c r="G27" i="3"/>
  <c r="G48" i="3"/>
  <c r="G71" i="3"/>
  <c r="G21" i="3"/>
  <c r="T7" i="3"/>
  <c r="G50" i="3"/>
  <c r="G77" i="3"/>
  <c r="G38" i="3"/>
  <c r="Q5" i="2"/>
  <c r="R6" i="19" a="1"/>
  <c r="R6" i="19" s="1"/>
  <c r="G31" i="11"/>
  <c r="G29" i="11"/>
  <c r="M5" i="23" s="1"/>
  <c r="F31" i="11"/>
  <c r="F29" i="11"/>
  <c r="F21" i="11"/>
  <c r="G48" i="11"/>
  <c r="G35" i="11"/>
  <c r="G39" i="11"/>
  <c r="G25" i="11"/>
  <c r="G32" i="11"/>
  <c r="G34" i="11"/>
  <c r="G36" i="11"/>
  <c r="G20" i="11"/>
  <c r="G33" i="11"/>
  <c r="G50" i="11"/>
  <c r="G41" i="11"/>
  <c r="G24" i="11"/>
  <c r="G21" i="11"/>
  <c r="T7" i="11"/>
  <c r="G30" i="11"/>
  <c r="G44" i="11"/>
  <c r="G37" i="11"/>
  <c r="G38" i="11"/>
  <c r="F39" i="11"/>
  <c r="F36" i="11"/>
  <c r="F41" i="11"/>
  <c r="F34" i="11"/>
  <c r="F24" i="11"/>
  <c r="F32" i="11"/>
  <c r="F50" i="11"/>
  <c r="F33" i="11"/>
  <c r="F25" i="11"/>
  <c r="F20" i="11"/>
  <c r="F38" i="11"/>
  <c r="F48" i="11"/>
  <c r="F44" i="11"/>
  <c r="F37" i="11"/>
  <c r="F35" i="11"/>
  <c r="F30" i="11"/>
  <c r="G51" i="2"/>
  <c r="G65" i="2"/>
  <c r="G36" i="2"/>
  <c r="G63" i="2"/>
  <c r="G25" i="2"/>
  <c r="F51" i="2"/>
  <c r="F63" i="2"/>
  <c r="F65" i="2"/>
  <c r="F25" i="2"/>
  <c r="F36" i="2"/>
  <c r="G38" i="2"/>
  <c r="G33" i="2"/>
  <c r="G64" i="2"/>
  <c r="G49" i="2"/>
  <c r="G61" i="2"/>
  <c r="G26" i="2"/>
  <c r="G52" i="2"/>
  <c r="G50" i="2"/>
  <c r="G28" i="2"/>
  <c r="G30" i="2"/>
  <c r="G53" i="2"/>
  <c r="M11" i="23" s="1"/>
  <c r="G54" i="2"/>
  <c r="G58" i="2"/>
  <c r="F28" i="2"/>
  <c r="F49" i="2"/>
  <c r="F64" i="2"/>
  <c r="F61" i="2"/>
  <c r="F33" i="2"/>
  <c r="F52" i="2"/>
  <c r="F54" i="2"/>
  <c r="F38" i="2"/>
  <c r="F58" i="2"/>
  <c r="F30" i="2"/>
  <c r="F53" i="2"/>
  <c r="F50" i="2"/>
  <c r="F26" i="2"/>
  <c r="F46" i="2"/>
  <c r="F27" i="2"/>
  <c r="F24" i="2"/>
  <c r="F31" i="2"/>
  <c r="F22" i="2"/>
  <c r="F45" i="2"/>
  <c r="F42" i="2"/>
  <c r="F29" i="2"/>
  <c r="F48" i="2"/>
  <c r="G42" i="2"/>
  <c r="G46" i="2"/>
  <c r="M12" i="23" s="1"/>
  <c r="G27" i="2"/>
  <c r="G45" i="2"/>
  <c r="G41" i="2"/>
  <c r="G29" i="2"/>
  <c r="G23" i="2"/>
  <c r="G22" i="2"/>
  <c r="T7" i="2"/>
  <c r="G34" i="2"/>
  <c r="G59" i="2"/>
  <c r="G31" i="2"/>
  <c r="G48" i="2"/>
  <c r="G44" i="2"/>
  <c r="G55" i="2"/>
  <c r="G24" i="2"/>
  <c r="G57" i="2"/>
  <c r="G37" i="2"/>
  <c r="G21" i="2"/>
  <c r="F55" i="2"/>
  <c r="F21" i="2"/>
  <c r="F34" i="2"/>
  <c r="F37" i="2"/>
  <c r="F23" i="2"/>
  <c r="F59" i="2"/>
  <c r="F44" i="2"/>
  <c r="F41" i="2"/>
  <c r="F57" i="2"/>
  <c r="G24" i="6"/>
  <c r="G34" i="6"/>
  <c r="G40" i="6"/>
  <c r="F40" i="6"/>
  <c r="F34" i="6"/>
  <c r="F24" i="6"/>
  <c r="Q5" i="4"/>
  <c r="F33" i="6"/>
  <c r="F37" i="6"/>
  <c r="F30" i="6"/>
  <c r="F35" i="6"/>
  <c r="F27" i="6"/>
  <c r="F44" i="6"/>
  <c r="F41" i="6"/>
  <c r="F43" i="6"/>
  <c r="F39" i="6"/>
  <c r="F28" i="6"/>
  <c r="F25" i="6"/>
  <c r="F38" i="6"/>
  <c r="F36" i="6"/>
  <c r="F29" i="6"/>
  <c r="G33" i="6"/>
  <c r="G37" i="6"/>
  <c r="G30" i="6"/>
  <c r="F24" i="23" s="1"/>
  <c r="T7" i="6"/>
  <c r="G32" i="6"/>
  <c r="G36" i="6"/>
  <c r="G25" i="6"/>
  <c r="F23" i="23" s="1"/>
  <c r="G38" i="6"/>
  <c r="G39" i="6"/>
  <c r="G29" i="6"/>
  <c r="G43" i="6"/>
  <c r="G27" i="6"/>
  <c r="G44" i="6"/>
  <c r="G41" i="6"/>
  <c r="G35" i="6"/>
  <c r="G28" i="6"/>
  <c r="F32" i="6"/>
  <c r="G67" i="4"/>
  <c r="G47" i="4"/>
  <c r="G63" i="4"/>
  <c r="G33" i="4"/>
  <c r="F11" i="23" s="1"/>
  <c r="G35" i="4"/>
  <c r="G30" i="4"/>
  <c r="G26" i="4"/>
  <c r="G59" i="4"/>
  <c r="G71" i="4"/>
  <c r="G45" i="4"/>
  <c r="G23" i="4"/>
  <c r="G24" i="4"/>
  <c r="G28" i="4"/>
  <c r="G41" i="4"/>
  <c r="G49" i="4"/>
  <c r="G53" i="4"/>
  <c r="G36" i="4"/>
  <c r="F12" i="23" s="1"/>
  <c r="G32" i="4"/>
  <c r="G27" i="4"/>
  <c r="G46" i="4"/>
  <c r="G64" i="4"/>
  <c r="G51" i="4"/>
  <c r="G39" i="4"/>
  <c r="G37" i="4"/>
  <c r="T7" i="4"/>
  <c r="G21" i="4"/>
  <c r="G56" i="4"/>
  <c r="G29" i="4"/>
  <c r="G43" i="4"/>
  <c r="G55" i="4"/>
  <c r="G60" i="4"/>
  <c r="G61" i="4"/>
  <c r="G38" i="4"/>
  <c r="G42" i="4"/>
  <c r="G65" i="4"/>
  <c r="F127" i="13"/>
  <c r="F23" i="13"/>
  <c r="F84" i="13"/>
  <c r="F52" i="13"/>
  <c r="F61" i="13"/>
  <c r="F56" i="13"/>
  <c r="F107" i="13"/>
  <c r="F108" i="13"/>
  <c r="F34" i="13"/>
  <c r="F74" i="13"/>
  <c r="F20" i="13"/>
  <c r="F40" i="13"/>
  <c r="F41" i="13"/>
  <c r="F36" i="13"/>
  <c r="F130" i="13"/>
  <c r="F62" i="13"/>
  <c r="F55" i="13"/>
  <c r="F73" i="13"/>
  <c r="F124" i="13"/>
  <c r="F59" i="13"/>
  <c r="F66" i="13"/>
  <c r="F64" i="13"/>
  <c r="F120" i="13"/>
  <c r="F24" i="13"/>
  <c r="F87" i="13"/>
  <c r="F82" i="13"/>
  <c r="F53" i="13"/>
  <c r="F75" i="13"/>
  <c r="F60" i="13"/>
  <c r="F81" i="13"/>
  <c r="F35" i="13"/>
  <c r="F22" i="13"/>
  <c r="F106" i="13"/>
  <c r="F102" i="13"/>
  <c r="F104" i="13"/>
  <c r="F80" i="13"/>
  <c r="F48" i="13"/>
  <c r="F38" i="13"/>
  <c r="F63" i="13"/>
  <c r="F79" i="13"/>
  <c r="F117" i="13"/>
  <c r="F21" i="13"/>
  <c r="F78" i="13"/>
  <c r="F51" i="13"/>
  <c r="F86" i="13"/>
  <c r="F49" i="13"/>
  <c r="F98" i="13"/>
  <c r="F93" i="13"/>
  <c r="F116" i="13"/>
  <c r="F122" i="13"/>
  <c r="F119" i="13"/>
  <c r="F103" i="13"/>
  <c r="F31" i="13"/>
  <c r="F96" i="13"/>
  <c r="F115" i="13"/>
  <c r="F25" i="13"/>
  <c r="F128" i="13"/>
  <c r="F97" i="13"/>
  <c r="F33" i="13"/>
  <c r="F95" i="13"/>
  <c r="F129" i="13"/>
  <c r="F91" i="13"/>
  <c r="F71" i="13"/>
  <c r="F30" i="13"/>
  <c r="F76" i="13"/>
  <c r="F65" i="13"/>
  <c r="F123" i="13"/>
  <c r="F39" i="13"/>
  <c r="F121" i="13"/>
  <c r="F100" i="13"/>
  <c r="F45" i="13"/>
  <c r="F57" i="13"/>
  <c r="F111" i="13"/>
  <c r="F47" i="13"/>
  <c r="F70" i="13"/>
  <c r="F113" i="13"/>
  <c r="F29" i="13"/>
  <c r="F118" i="13"/>
  <c r="F126" i="13"/>
  <c r="Y7" i="13" a="1"/>
  <c r="Y7" i="13" s="1"/>
  <c r="F54" i="13" s="1"/>
  <c r="Z159" i="14" a="1"/>
  <c r="Z159" i="14" s="1"/>
  <c r="Z131" i="14" a="1"/>
  <c r="Z131" i="14" s="1"/>
  <c r="Z101" i="14" a="1"/>
  <c r="Z101" i="14" s="1"/>
  <c r="Z80" i="14" a="1"/>
  <c r="Z80" i="14" s="1"/>
  <c r="Z58" i="14" a="1"/>
  <c r="Z58" i="14" s="1"/>
  <c r="G114" i="14" s="1"/>
  <c r="Z43" i="14" a="1"/>
  <c r="Z43" i="14" s="1"/>
  <c r="Z13" i="14" a="1"/>
  <c r="Z13" i="14" s="1"/>
  <c r="Z7" i="14" a="1"/>
  <c r="Z7" i="14" s="1"/>
  <c r="Z166" i="14" a="1"/>
  <c r="Z166" i="14" s="1"/>
  <c r="Z158" i="14" a="1"/>
  <c r="Z158" i="14" s="1"/>
  <c r="Z145" i="14" a="1"/>
  <c r="Z145" i="14" s="1"/>
  <c r="Z138" i="14" a="1"/>
  <c r="Z138" i="14" s="1"/>
  <c r="Z130" i="14" a="1"/>
  <c r="Z130" i="14" s="1"/>
  <c r="Z116" i="14" a="1"/>
  <c r="Z116" i="14" s="1"/>
  <c r="Z108" i="14" a="1"/>
  <c r="Z108" i="14" s="1"/>
  <c r="Z100" i="14" a="1"/>
  <c r="Z100" i="14" s="1"/>
  <c r="Z93" i="14" a="1"/>
  <c r="Z93" i="14" s="1"/>
  <c r="G124" i="14" s="1"/>
  <c r="Z87" i="14" a="1"/>
  <c r="Z87" i="14" s="1"/>
  <c r="Z79" i="14" a="1"/>
  <c r="Z79" i="14" s="1"/>
  <c r="Z71" i="14" a="1"/>
  <c r="Z71" i="14" s="1"/>
  <c r="Z57" i="14" a="1"/>
  <c r="Z57" i="14" s="1"/>
  <c r="Z50" i="14" a="1"/>
  <c r="Z50" i="14" s="1"/>
  <c r="G34" i="14" s="1"/>
  <c r="Z42" i="14" a="1"/>
  <c r="Z42" i="14" s="1"/>
  <c r="Z34" i="14" a="1"/>
  <c r="Z34" i="14" s="1"/>
  <c r="Z20" i="14" a="1"/>
  <c r="Z20" i="14" s="1"/>
  <c r="Z12" i="14" a="1"/>
  <c r="Z12" i="14" s="1"/>
  <c r="Z152" i="14" a="1"/>
  <c r="Z152" i="14" s="1"/>
  <c r="Z124" i="14" a="1"/>
  <c r="Z124" i="14" s="1"/>
  <c r="Z94" i="14" a="1"/>
  <c r="Z94" i="14" s="1"/>
  <c r="Z72" i="14" a="1"/>
  <c r="Z72" i="14" s="1"/>
  <c r="Z51" i="14" a="1"/>
  <c r="Z51" i="14" s="1"/>
  <c r="Z21" i="14" a="1"/>
  <c r="Z21" i="14" s="1"/>
  <c r="Z173" i="14" a="1"/>
  <c r="Z173" i="14" s="1"/>
  <c r="Z165" i="14" a="1"/>
  <c r="Z165" i="14" s="1"/>
  <c r="Z157" i="14" a="1"/>
  <c r="Z157" i="14" s="1"/>
  <c r="Z151" i="14" a="1"/>
  <c r="Z151" i="14" s="1"/>
  <c r="Z144" i="14" a="1"/>
  <c r="Z144" i="14" s="1"/>
  <c r="Z137" i="14" a="1"/>
  <c r="Z137" i="14" s="1"/>
  <c r="Z129" i="14" a="1"/>
  <c r="Z129" i="14" s="1"/>
  <c r="Z123" i="14" a="1"/>
  <c r="Z123" i="14" s="1"/>
  <c r="Z115" i="14" a="1"/>
  <c r="Z115" i="14" s="1"/>
  <c r="Z107" i="14" a="1"/>
  <c r="Z107" i="14" s="1"/>
  <c r="Z99" i="14" a="1"/>
  <c r="Z99" i="14" s="1"/>
  <c r="Z92" i="14" a="1"/>
  <c r="Z92" i="14" s="1"/>
  <c r="Z86" i="14" a="1"/>
  <c r="Z86" i="14" s="1"/>
  <c r="Z78" i="14" a="1"/>
  <c r="Z78" i="14" s="1"/>
  <c r="G33" i="14" s="1"/>
  <c r="Z70" i="14" a="1"/>
  <c r="Z70" i="14" s="1"/>
  <c r="G86" i="14" s="1"/>
  <c r="Z63" i="14" a="1"/>
  <c r="Z63" i="14" s="1"/>
  <c r="Z56" i="14" a="1"/>
  <c r="Z56" i="14" s="1"/>
  <c r="Z49" i="14" a="1"/>
  <c r="Z49" i="14" s="1"/>
  <c r="Z41" i="14" a="1"/>
  <c r="Z41" i="14" s="1"/>
  <c r="Z33" i="14" a="1"/>
  <c r="Z33" i="14" s="1"/>
  <c r="G65" i="14" s="1"/>
  <c r="Z27" i="14" a="1"/>
  <c r="Z27" i="14" s="1"/>
  <c r="Z19" i="14" a="1"/>
  <c r="Z19" i="14" s="1"/>
  <c r="Z11" i="14" a="1"/>
  <c r="Z11" i="14" s="1"/>
  <c r="Z172" i="14" a="1"/>
  <c r="Z172" i="14" s="1"/>
  <c r="Z164" i="14" a="1"/>
  <c r="Z164" i="14" s="1"/>
  <c r="Z156" i="14" a="1"/>
  <c r="Z156" i="14" s="1"/>
  <c r="Z150" i="14" a="1"/>
  <c r="Z150" i="14" s="1"/>
  <c r="Z136" i="14" a="1"/>
  <c r="Z136" i="14" s="1"/>
  <c r="Z128" i="14" a="1"/>
  <c r="Z128" i="14" s="1"/>
  <c r="Z122" i="14" a="1"/>
  <c r="Z122" i="14" s="1"/>
  <c r="Z114" i="14" a="1"/>
  <c r="Z114" i="14" s="1"/>
  <c r="Z106" i="14" a="1"/>
  <c r="Z106" i="14" s="1"/>
  <c r="Z98" i="14" a="1"/>
  <c r="Z98" i="14" s="1"/>
  <c r="Z85" i="14" a="1"/>
  <c r="Z85" i="14" s="1"/>
  <c r="G101" i="14" s="1"/>
  <c r="Z77" i="14" a="1"/>
  <c r="Z77" i="14" s="1"/>
  <c r="Z69" i="14" a="1"/>
  <c r="Z69" i="14" s="1"/>
  <c r="Z62" i="14" a="1"/>
  <c r="Z62" i="14" s="1"/>
  <c r="G92" i="14" s="1"/>
  <c r="Z48" i="14" a="1"/>
  <c r="Z48" i="14" s="1"/>
  <c r="Z40" i="14" a="1"/>
  <c r="Z40" i="14" s="1"/>
  <c r="Z32" i="14" a="1"/>
  <c r="Z32" i="14" s="1"/>
  <c r="Z26" i="14" a="1"/>
  <c r="Z26" i="14" s="1"/>
  <c r="Z18" i="14" a="1"/>
  <c r="Z18" i="14" s="1"/>
  <c r="G117" i="14" s="1"/>
  <c r="Z10" i="14" a="1"/>
  <c r="Z10" i="14" s="1"/>
  <c r="Z146" i="14" a="1"/>
  <c r="Z146" i="14" s="1"/>
  <c r="Z117" i="14" a="1"/>
  <c r="Z117" i="14" s="1"/>
  <c r="Z64" i="14" a="1"/>
  <c r="Z64" i="14" s="1"/>
  <c r="G88" i="14" s="1"/>
  <c r="Z28" i="14" a="1"/>
  <c r="Z28" i="14" s="1"/>
  <c r="Z171" i="14" a="1"/>
  <c r="Z171" i="14" s="1"/>
  <c r="Z163" i="14" a="1"/>
  <c r="Z163" i="14" s="1"/>
  <c r="Z149" i="14" a="1"/>
  <c r="Z149" i="14" s="1"/>
  <c r="Z143" i="14" a="1"/>
  <c r="Z143" i="14" s="1"/>
  <c r="Z135" i="14" a="1"/>
  <c r="Z135" i="14" s="1"/>
  <c r="Z121" i="14" a="1"/>
  <c r="Z121" i="14" s="1"/>
  <c r="Z113" i="14" a="1"/>
  <c r="Z113" i="14" s="1"/>
  <c r="Z105" i="14" a="1"/>
  <c r="Z105" i="14" s="1"/>
  <c r="Z97" i="14" a="1"/>
  <c r="Z97" i="14" s="1"/>
  <c r="Z91" i="14" a="1"/>
  <c r="Z91" i="14" s="1"/>
  <c r="Z84" i="14" a="1"/>
  <c r="Z84" i="14" s="1"/>
  <c r="Z76" i="14" a="1"/>
  <c r="Z76" i="14" s="1"/>
  <c r="Z68" i="14" a="1"/>
  <c r="Z68" i="14" s="1"/>
  <c r="Z61" i="14" a="1"/>
  <c r="Z61" i="14" s="1"/>
  <c r="Z55" i="14" a="1"/>
  <c r="Z55" i="14" s="1"/>
  <c r="Z47" i="14" a="1"/>
  <c r="Z47" i="14" s="1"/>
  <c r="Z39" i="14" a="1"/>
  <c r="Z39" i="14" s="1"/>
  <c r="Z25" i="14" a="1"/>
  <c r="Z25" i="14" s="1"/>
  <c r="Z17" i="14" a="1"/>
  <c r="Z17" i="14" s="1"/>
  <c r="Z9" i="14" a="1"/>
  <c r="Z9" i="14" s="1"/>
  <c r="Z167" i="14" a="1"/>
  <c r="Z167" i="14" s="1"/>
  <c r="Z139" i="14" a="1"/>
  <c r="Z139" i="14" s="1"/>
  <c r="Z109" i="14" a="1"/>
  <c r="Z109" i="14" s="1"/>
  <c r="Z35" i="14" a="1"/>
  <c r="Z35" i="14" s="1"/>
  <c r="Z170" i="14" a="1"/>
  <c r="Z170" i="14" s="1"/>
  <c r="Z162" i="14" a="1"/>
  <c r="Z162" i="14" s="1"/>
  <c r="Z155" i="14" a="1"/>
  <c r="Z155" i="14" s="1"/>
  <c r="Z148" i="14" a="1"/>
  <c r="Z148" i="14" s="1"/>
  <c r="Z142" i="14" a="1"/>
  <c r="Z142" i="14" s="1"/>
  <c r="Z134" i="14" a="1"/>
  <c r="Z134" i="14" s="1"/>
  <c r="Z127" i="14" a="1"/>
  <c r="Z127" i="14" s="1"/>
  <c r="Z120" i="14" a="1"/>
  <c r="Z120" i="14" s="1"/>
  <c r="Z112" i="14" a="1"/>
  <c r="Z112" i="14" s="1"/>
  <c r="Z104" i="14" a="1"/>
  <c r="Z104" i="14" s="1"/>
  <c r="Z96" i="14" a="1"/>
  <c r="Z96" i="14" s="1"/>
  <c r="Z90" i="14" a="1"/>
  <c r="Z90" i="14" s="1"/>
  <c r="Z83" i="14" a="1"/>
  <c r="Z83" i="14" s="1"/>
  <c r="G24" i="14" s="1"/>
  <c r="Z75" i="14" a="1"/>
  <c r="Z75" i="14" s="1"/>
  <c r="Z67" i="14" a="1"/>
  <c r="Z67" i="14" s="1"/>
  <c r="Z60" i="14" a="1"/>
  <c r="Z60" i="14" s="1"/>
  <c r="Z54" i="14" a="1"/>
  <c r="Z54" i="14" s="1"/>
  <c r="Z46" i="14" a="1"/>
  <c r="Z46" i="14" s="1"/>
  <c r="G54" i="14" s="1"/>
  <c r="Z38" i="14" a="1"/>
  <c r="Z38" i="14" s="1"/>
  <c r="G121" i="14" s="1"/>
  <c r="Z31" i="14" a="1"/>
  <c r="Z31" i="14" s="1"/>
  <c r="Z24" i="14" a="1"/>
  <c r="Z24" i="14" s="1"/>
  <c r="Z16" i="14" a="1"/>
  <c r="Z16" i="14" s="1"/>
  <c r="Z8" i="14" a="1"/>
  <c r="Z8" i="14" s="1"/>
  <c r="Z169" i="14" a="1"/>
  <c r="Z169" i="14" s="1"/>
  <c r="Z161" i="14" a="1"/>
  <c r="Z161" i="14" s="1"/>
  <c r="Z154" i="14" a="1"/>
  <c r="Z154" i="14" s="1"/>
  <c r="Z141" i="14" a="1"/>
  <c r="Z141" i="14" s="1"/>
  <c r="Z133" i="14" a="1"/>
  <c r="Z133" i="14" s="1"/>
  <c r="Z126" i="14" a="1"/>
  <c r="Z126" i="14" s="1"/>
  <c r="Z119" i="14" a="1"/>
  <c r="Z119" i="14" s="1"/>
  <c r="Z111" i="14" a="1"/>
  <c r="Z111" i="14" s="1"/>
  <c r="Z103" i="14" a="1"/>
  <c r="Z103" i="14" s="1"/>
  <c r="G97" i="14" s="1"/>
  <c r="Z89" i="14" a="1"/>
  <c r="Z89" i="14" s="1"/>
  <c r="Z82" i="14" a="1"/>
  <c r="Z82" i="14" s="1"/>
  <c r="Z74" i="14" a="1"/>
  <c r="Z74" i="14" s="1"/>
  <c r="G115" i="14" s="1"/>
  <c r="Z66" i="14" a="1"/>
  <c r="Z66" i="14" s="1"/>
  <c r="Z53" i="14" a="1"/>
  <c r="Z53" i="14" s="1"/>
  <c r="Z45" i="14" a="1"/>
  <c r="Z45" i="14" s="1"/>
  <c r="Z37" i="14" a="1"/>
  <c r="Z37" i="14" s="1"/>
  <c r="Z30" i="14" a="1"/>
  <c r="Z30" i="14" s="1"/>
  <c r="Z23" i="14" a="1"/>
  <c r="Z23" i="14" s="1"/>
  <c r="Z15" i="14" a="1"/>
  <c r="Z15" i="14" s="1"/>
  <c r="Z168" i="14" a="1"/>
  <c r="Z168" i="14" s="1"/>
  <c r="Z160" i="14" a="1"/>
  <c r="Z160" i="14" s="1"/>
  <c r="Z153" i="14" a="1"/>
  <c r="Z153" i="14" s="1"/>
  <c r="Z147" i="14" a="1"/>
  <c r="Z147" i="14" s="1"/>
  <c r="Z140" i="14" a="1"/>
  <c r="Z140" i="14" s="1"/>
  <c r="Z132" i="14" a="1"/>
  <c r="Z132" i="14" s="1"/>
  <c r="Z125" i="14" a="1"/>
  <c r="Z125" i="14" s="1"/>
  <c r="Z118" i="14" a="1"/>
  <c r="Z118" i="14" s="1"/>
  <c r="Z110" i="14" a="1"/>
  <c r="Z110" i="14" s="1"/>
  <c r="G53" i="14" s="1"/>
  <c r="Z102" i="14" a="1"/>
  <c r="Z102" i="14" s="1"/>
  <c r="Z95" i="14" a="1"/>
  <c r="Z95" i="14" s="1"/>
  <c r="Z88" i="14" a="1"/>
  <c r="Z88" i="14" s="1"/>
  <c r="Z81" i="14" a="1"/>
  <c r="Z81" i="14" s="1"/>
  <c r="Z73" i="14" a="1"/>
  <c r="Z73" i="14" s="1"/>
  <c r="Z65" i="14" a="1"/>
  <c r="Z65" i="14" s="1"/>
  <c r="Z59" i="14" a="1"/>
  <c r="Z59" i="14" s="1"/>
  <c r="Z52" i="14" a="1"/>
  <c r="Z52" i="14" s="1"/>
  <c r="Z44" i="14" a="1"/>
  <c r="Z44" i="14" s="1"/>
  <c r="Z36" i="14" a="1"/>
  <c r="Z36" i="14" s="1"/>
  <c r="Z29" i="14" a="1"/>
  <c r="Z29" i="14" s="1"/>
  <c r="Z22" i="14" a="1"/>
  <c r="Z22" i="14" s="1"/>
  <c r="Z14" i="14" a="1"/>
  <c r="Z14" i="14" s="1"/>
  <c r="G87" i="14" s="1"/>
  <c r="E32" i="17"/>
  <c r="E25" i="17"/>
  <c r="E30" i="17"/>
  <c r="E24" i="17"/>
  <c r="E22" i="17"/>
  <c r="E23" i="17"/>
  <c r="E26" i="17"/>
  <c r="E29" i="17"/>
  <c r="E31" i="17"/>
  <c r="E28" i="17"/>
  <c r="E27" i="17"/>
  <c r="L19" i="23" l="1"/>
  <c r="H95" i="3"/>
  <c r="H92" i="3"/>
  <c r="H48" i="3"/>
  <c r="H60" i="3"/>
  <c r="H100" i="3"/>
  <c r="H76" i="3"/>
  <c r="H77" i="3"/>
  <c r="H73" i="3"/>
  <c r="H35" i="3"/>
  <c r="H62" i="3"/>
  <c r="H52" i="3"/>
  <c r="H79" i="3"/>
  <c r="H47" i="3"/>
  <c r="H84" i="3"/>
  <c r="H51" i="3"/>
  <c r="H38" i="3"/>
  <c r="H57" i="3"/>
  <c r="H99" i="3"/>
  <c r="H50" i="3"/>
  <c r="H78" i="3"/>
  <c r="H93" i="3"/>
  <c r="H85" i="3"/>
  <c r="H91" i="3"/>
  <c r="H67" i="3"/>
  <c r="H87" i="3"/>
  <c r="H98" i="3"/>
  <c r="H26" i="3"/>
  <c r="H22" i="3"/>
  <c r="H56" i="3"/>
  <c r="H74" i="3"/>
  <c r="H63" i="3"/>
  <c r="H43" i="3"/>
  <c r="H96" i="3"/>
  <c r="H45" i="3"/>
  <c r="H40" i="3"/>
  <c r="H53" i="3"/>
  <c r="M17" i="23"/>
  <c r="H66" i="3"/>
  <c r="H58" i="3"/>
  <c r="H80" i="3"/>
  <c r="H21" i="3"/>
  <c r="H23" i="3"/>
  <c r="H39" i="3"/>
  <c r="H72" i="3"/>
  <c r="H49" i="3"/>
  <c r="H32" i="3"/>
  <c r="H86" i="3"/>
  <c r="H90" i="3"/>
  <c r="H37" i="3"/>
  <c r="H41" i="3"/>
  <c r="H34" i="3"/>
  <c r="H55" i="3"/>
  <c r="H29" i="3"/>
  <c r="H68" i="3"/>
  <c r="H71" i="3"/>
  <c r="H33" i="3"/>
  <c r="H89" i="3"/>
  <c r="H31" i="3"/>
  <c r="H94" i="3"/>
  <c r="H97" i="3"/>
  <c r="H82" i="3"/>
  <c r="H25" i="3"/>
  <c r="H36" i="3"/>
  <c r="H59" i="3"/>
  <c r="H88" i="3"/>
  <c r="H30" i="3"/>
  <c r="H70" i="3"/>
  <c r="H83" i="3"/>
  <c r="H54" i="3"/>
  <c r="H75" i="3"/>
  <c r="H61" i="3"/>
  <c r="H24" i="3"/>
  <c r="H44" i="3"/>
  <c r="H64" i="3"/>
  <c r="H27" i="3"/>
  <c r="M18" i="23"/>
  <c r="H42" i="3"/>
  <c r="H69" i="3"/>
  <c r="H65" i="3"/>
  <c r="H46" i="3"/>
  <c r="H101" i="3"/>
  <c r="H81" i="3"/>
  <c r="H28" i="3"/>
  <c r="H20" i="3"/>
  <c r="H66" i="2"/>
  <c r="H45" i="11"/>
  <c r="H26" i="11"/>
  <c r="H21" i="6"/>
  <c r="H88" i="12"/>
  <c r="H70" i="12"/>
  <c r="H82" i="12"/>
  <c r="H55" i="12"/>
  <c r="H68" i="4"/>
  <c r="H57" i="4"/>
  <c r="H40" i="2"/>
  <c r="R13" i="19" a="1"/>
  <c r="R13" i="19" s="1"/>
  <c r="H31" i="6"/>
  <c r="H89" i="12"/>
  <c r="H87" i="12"/>
  <c r="H57" i="12"/>
  <c r="H80" i="12"/>
  <c r="H20" i="4"/>
  <c r="H40" i="4"/>
  <c r="H69" i="4"/>
  <c r="H43" i="2"/>
  <c r="H56" i="2"/>
  <c r="H32" i="2"/>
  <c r="H39" i="2"/>
  <c r="H46" i="11"/>
  <c r="H26" i="6"/>
  <c r="H49" i="12"/>
  <c r="H53" i="12"/>
  <c r="H58" i="12"/>
  <c r="H74" i="12"/>
  <c r="H51" i="12"/>
  <c r="H54" i="4"/>
  <c r="H22" i="4"/>
  <c r="H52" i="4"/>
  <c r="H62" i="2"/>
  <c r="H43" i="11"/>
  <c r="H23" i="6"/>
  <c r="H86" i="12"/>
  <c r="H72" i="12"/>
  <c r="E19" i="23"/>
  <c r="H58" i="4"/>
  <c r="H73" i="4"/>
  <c r="H49" i="11"/>
  <c r="H23" i="11"/>
  <c r="H42" i="11"/>
  <c r="H59" i="12"/>
  <c r="H68" i="12"/>
  <c r="F22" i="17"/>
  <c r="H47" i="11"/>
  <c r="H42" i="6"/>
  <c r="H27" i="12"/>
  <c r="H46" i="12"/>
  <c r="H66" i="12"/>
  <c r="H72" i="4"/>
  <c r="H70" i="4"/>
  <c r="H31" i="4"/>
  <c r="H66" i="4"/>
  <c r="H44" i="4"/>
  <c r="M6" i="23"/>
  <c r="H47" i="2"/>
  <c r="H60" i="2"/>
  <c r="H35" i="2"/>
  <c r="H28" i="11"/>
  <c r="H40" i="11"/>
  <c r="H20" i="6"/>
  <c r="H22" i="6"/>
  <c r="H77" i="12"/>
  <c r="H85" i="12"/>
  <c r="H38" i="12"/>
  <c r="H62" i="4"/>
  <c r="H20" i="2"/>
  <c r="H22" i="11"/>
  <c r="H27" i="11"/>
  <c r="H52" i="12"/>
  <c r="H50" i="12"/>
  <c r="H69" i="12"/>
  <c r="H23" i="12"/>
  <c r="H32" i="12"/>
  <c r="H21" i="12"/>
  <c r="H39" i="12"/>
  <c r="H78" i="12"/>
  <c r="H64" i="12"/>
  <c r="H29" i="12"/>
  <c r="H37" i="12"/>
  <c r="H56" i="12"/>
  <c r="H36" i="12"/>
  <c r="H63" i="12"/>
  <c r="H62" i="12"/>
  <c r="H42" i="12"/>
  <c r="H33" i="12"/>
  <c r="H45" i="12"/>
  <c r="H67" i="12"/>
  <c r="H73" i="12"/>
  <c r="H41" i="12"/>
  <c r="H22" i="12"/>
  <c r="H84" i="12"/>
  <c r="H26" i="12"/>
  <c r="H60" i="12"/>
  <c r="H20" i="12"/>
  <c r="H65" i="12"/>
  <c r="H83" i="12"/>
  <c r="H79" i="12"/>
  <c r="H54" i="12"/>
  <c r="H61" i="12"/>
  <c r="H31" i="12"/>
  <c r="H47" i="12"/>
  <c r="H75" i="12"/>
  <c r="H44" i="12"/>
  <c r="H81" i="12"/>
  <c r="H28" i="12"/>
  <c r="H35" i="12"/>
  <c r="H48" i="12"/>
  <c r="H34" i="12"/>
  <c r="H40" i="12"/>
  <c r="H43" i="12"/>
  <c r="H71" i="12"/>
  <c r="H25" i="12"/>
  <c r="H30" i="12"/>
  <c r="H24" i="12"/>
  <c r="H76" i="12"/>
  <c r="H50" i="4"/>
  <c r="H48" i="4"/>
  <c r="H34" i="4"/>
  <c r="H25" i="4"/>
  <c r="H29" i="16"/>
  <c r="H22" i="16"/>
  <c r="H20" i="16"/>
  <c r="H24" i="16"/>
  <c r="H25" i="16"/>
  <c r="H27" i="16"/>
  <c r="H26" i="16"/>
  <c r="H23" i="16"/>
  <c r="H21" i="16"/>
  <c r="H28" i="16"/>
  <c r="H30" i="16"/>
  <c r="H29" i="11"/>
  <c r="H31" i="11"/>
  <c r="H30" i="11"/>
  <c r="H33" i="11"/>
  <c r="H20" i="11"/>
  <c r="H36" i="11"/>
  <c r="H34" i="11"/>
  <c r="H35" i="11"/>
  <c r="H21" i="11"/>
  <c r="H32" i="11"/>
  <c r="H48" i="11"/>
  <c r="H24" i="11"/>
  <c r="H38" i="11"/>
  <c r="H41" i="11"/>
  <c r="H25" i="11"/>
  <c r="H37" i="11"/>
  <c r="H50" i="11"/>
  <c r="H39" i="11"/>
  <c r="H44" i="11"/>
  <c r="H25" i="2"/>
  <c r="H63" i="2"/>
  <c r="H36" i="2"/>
  <c r="H65" i="2"/>
  <c r="H51" i="2"/>
  <c r="H53" i="2"/>
  <c r="H64" i="2"/>
  <c r="H33" i="2"/>
  <c r="H50" i="2"/>
  <c r="H54" i="2"/>
  <c r="H38" i="2"/>
  <c r="H28" i="2"/>
  <c r="H61" i="2"/>
  <c r="H49" i="2"/>
  <c r="H58" i="2"/>
  <c r="H52" i="2"/>
  <c r="H26" i="2"/>
  <c r="H30" i="2"/>
  <c r="H21" i="2"/>
  <c r="H24" i="2"/>
  <c r="H22" i="2"/>
  <c r="H55" i="2"/>
  <c r="H23" i="2"/>
  <c r="H44" i="2"/>
  <c r="H29" i="2"/>
  <c r="H48" i="2"/>
  <c r="H41" i="2"/>
  <c r="H31" i="2"/>
  <c r="H45" i="2"/>
  <c r="H59" i="2"/>
  <c r="H27" i="2"/>
  <c r="H37" i="2"/>
  <c r="H34" i="2"/>
  <c r="H46" i="2"/>
  <c r="H57" i="2"/>
  <c r="H42" i="2"/>
  <c r="H40" i="6"/>
  <c r="H34" i="6"/>
  <c r="H24" i="6"/>
  <c r="H37" i="6"/>
  <c r="H30" i="6"/>
  <c r="H28" i="6"/>
  <c r="H43" i="6"/>
  <c r="H38" i="6"/>
  <c r="H35" i="6"/>
  <c r="H25" i="6"/>
  <c r="H41" i="6"/>
  <c r="H29" i="6"/>
  <c r="H36" i="6"/>
  <c r="H39" i="6"/>
  <c r="H44" i="6"/>
  <c r="H32" i="6"/>
  <c r="H33" i="6"/>
  <c r="H27" i="6"/>
  <c r="H39" i="4"/>
  <c r="H32" i="4"/>
  <c r="H65" i="4"/>
  <c r="H56" i="4"/>
  <c r="H45" i="4"/>
  <c r="H67" i="4"/>
  <c r="H30" i="4"/>
  <c r="H38" i="4"/>
  <c r="H27" i="4"/>
  <c r="H35" i="4"/>
  <c r="H42" i="4"/>
  <c r="H71" i="4"/>
  <c r="H61" i="4"/>
  <c r="H37" i="4"/>
  <c r="H33" i="4"/>
  <c r="H46" i="4"/>
  <c r="H63" i="4"/>
  <c r="H55" i="4"/>
  <c r="H51" i="4"/>
  <c r="H36" i="4"/>
  <c r="H28" i="4"/>
  <c r="H59" i="4"/>
  <c r="H47" i="4"/>
  <c r="H21" i="4"/>
  <c r="H41" i="4"/>
  <c r="H43" i="4"/>
  <c r="H64" i="4"/>
  <c r="H53" i="4"/>
  <c r="H24" i="4"/>
  <c r="H26" i="4"/>
  <c r="H60" i="4"/>
  <c r="H29" i="4"/>
  <c r="H49" i="4"/>
  <c r="H23" i="4"/>
  <c r="G127" i="14"/>
  <c r="G38" i="14"/>
  <c r="G56" i="14"/>
  <c r="G78" i="14"/>
  <c r="G111" i="14"/>
  <c r="G120" i="14"/>
  <c r="G112" i="14"/>
  <c r="G107" i="14"/>
  <c r="G125" i="14"/>
  <c r="G108" i="14"/>
  <c r="G89" i="14"/>
  <c r="G94" i="14"/>
  <c r="G129" i="14"/>
  <c r="G123" i="14"/>
  <c r="G122" i="14"/>
  <c r="G130" i="14"/>
  <c r="G113" i="14"/>
  <c r="G118" i="14"/>
  <c r="G85" i="14"/>
  <c r="G95" i="14"/>
  <c r="G106" i="14"/>
  <c r="G126" i="14"/>
  <c r="G131" i="14"/>
  <c r="G105" i="14"/>
  <c r="G119" i="14"/>
  <c r="G128" i="14"/>
  <c r="G32" i="14"/>
  <c r="G98" i="14"/>
  <c r="G64" i="14"/>
  <c r="G109" i="14"/>
  <c r="G83" i="14"/>
  <c r="G116" i="14"/>
  <c r="G23" i="14"/>
  <c r="G99" i="14"/>
  <c r="G110" i="14"/>
  <c r="G61" i="14"/>
  <c r="G82" i="14"/>
  <c r="G102" i="14"/>
  <c r="G100" i="14"/>
  <c r="G96" i="14"/>
  <c r="G44" i="14"/>
  <c r="G39" i="14"/>
  <c r="G22" i="14"/>
  <c r="G63" i="14"/>
  <c r="G52" i="14"/>
  <c r="G67" i="14"/>
  <c r="G37" i="14"/>
  <c r="G71" i="14"/>
  <c r="G66" i="14"/>
  <c r="G42" i="14"/>
  <c r="G47" i="14"/>
  <c r="G40" i="14"/>
  <c r="G72" i="14"/>
  <c r="G51" i="14"/>
  <c r="G76" i="14"/>
  <c r="G50" i="14"/>
  <c r="G59" i="14"/>
  <c r="G84" i="14"/>
  <c r="G43" i="14"/>
  <c r="G69" i="14"/>
  <c r="G68" i="14"/>
  <c r="G46" i="14"/>
  <c r="G60" i="14"/>
  <c r="G81" i="14"/>
  <c r="G48" i="14"/>
  <c r="G30" i="14"/>
  <c r="G31" i="14"/>
  <c r="G90" i="14"/>
  <c r="G93" i="14"/>
  <c r="G20" i="14"/>
  <c r="G74" i="14"/>
  <c r="G35" i="14"/>
  <c r="G45" i="14"/>
  <c r="G91" i="14"/>
  <c r="G80" i="14"/>
  <c r="G57" i="14"/>
  <c r="G28" i="14"/>
  <c r="G26" i="14"/>
  <c r="G29" i="14"/>
  <c r="G73" i="14"/>
  <c r="G75" i="14"/>
  <c r="G70" i="14"/>
  <c r="G58" i="14"/>
  <c r="G41" i="14"/>
  <c r="G62" i="14"/>
  <c r="G77" i="14"/>
  <c r="G27" i="14"/>
  <c r="G36" i="14"/>
  <c r="G25" i="14"/>
  <c r="G79" i="14"/>
  <c r="G104" i="14"/>
  <c r="G103" i="14"/>
  <c r="G21" i="14"/>
  <c r="G49" i="14"/>
  <c r="G55" i="14"/>
  <c r="C15" i="17" l="1"/>
  <c r="C12" i="17"/>
  <c r="C11" i="17"/>
  <c r="C13" i="17"/>
  <c r="C14" i="17"/>
  <c r="C5" i="17"/>
  <c r="C8" i="17"/>
  <c r="C9" i="17"/>
  <c r="C6" i="17"/>
  <c r="C7" i="17"/>
  <c r="C10" i="17"/>
  <c r="G3" i="17"/>
  <c r="G4" i="14" l="1"/>
  <c r="G4" i="13"/>
  <c r="C7" i="9"/>
  <c r="G4" i="9"/>
  <c r="P427" i="9" l="1"/>
  <c r="Q427" i="9" s="1"/>
  <c r="P440" i="9"/>
  <c r="Q440" i="9" s="1"/>
  <c r="P448" i="9"/>
  <c r="P456" i="9"/>
  <c r="P472" i="9"/>
  <c r="P556" i="9"/>
  <c r="Q556" i="9" s="1"/>
  <c r="P596" i="9"/>
  <c r="P612" i="9"/>
  <c r="Q612" i="9" s="1"/>
  <c r="P620" i="9"/>
  <c r="Q620" i="9" s="1"/>
  <c r="P397" i="9"/>
  <c r="P450" i="9"/>
  <c r="P474" i="9"/>
  <c r="P534" i="9"/>
  <c r="P550" i="9"/>
  <c r="Q550" i="9" s="1"/>
  <c r="P558" i="9"/>
  <c r="P574" i="9"/>
  <c r="P598" i="9"/>
  <c r="Q598" i="9" s="1"/>
  <c r="P614" i="9"/>
  <c r="P514" i="9"/>
  <c r="Q514" i="9" s="1"/>
  <c r="P559" i="9"/>
  <c r="P599" i="9"/>
  <c r="P423" i="9"/>
  <c r="Q423" i="9" s="1"/>
  <c r="P536" i="9"/>
  <c r="P552" i="9"/>
  <c r="Q552" i="9" s="1"/>
  <c r="P600" i="9"/>
  <c r="Q600" i="9" s="1"/>
  <c r="P425" i="9"/>
  <c r="P454" i="9"/>
  <c r="P610" i="9"/>
  <c r="P394" i="9"/>
  <c r="P471" i="9"/>
  <c r="P555" i="9"/>
  <c r="Q555" i="9" s="1"/>
  <c r="P396" i="9"/>
  <c r="P441" i="9"/>
  <c r="P449" i="9"/>
  <c r="Q449" i="9" s="1"/>
  <c r="P457" i="9"/>
  <c r="P473" i="9"/>
  <c r="P557" i="9"/>
  <c r="P573" i="9"/>
  <c r="P597" i="9"/>
  <c r="Q597" i="9" s="1"/>
  <c r="P613" i="9"/>
  <c r="Q613" i="9" s="1"/>
  <c r="P621" i="9"/>
  <c r="Q621" i="9" s="1"/>
  <c r="P421" i="9"/>
  <c r="P442" i="9"/>
  <c r="P458" i="9"/>
  <c r="Q458" i="9" s="1"/>
  <c r="P390" i="9"/>
  <c r="P422" i="9"/>
  <c r="Q422" i="9" s="1"/>
  <c r="P443" i="9"/>
  <c r="Q443" i="9" s="1"/>
  <c r="P451" i="9"/>
  <c r="Q451" i="9" s="1"/>
  <c r="P459" i="9"/>
  <c r="Q459" i="9" s="1"/>
  <c r="P475" i="9"/>
  <c r="Q475" i="9" s="1"/>
  <c r="P535" i="9"/>
  <c r="Q535" i="9" s="1"/>
  <c r="P551" i="9"/>
  <c r="P575" i="9"/>
  <c r="P615" i="9"/>
  <c r="P444" i="9"/>
  <c r="Q444" i="9" s="1"/>
  <c r="P460" i="9"/>
  <c r="Q460" i="9" s="1"/>
  <c r="P560" i="9"/>
  <c r="Q560" i="9" s="1"/>
  <c r="P616" i="9"/>
  <c r="P392" i="9"/>
  <c r="P453" i="9"/>
  <c r="P461" i="9"/>
  <c r="Q461" i="9" s="1"/>
  <c r="P594" i="9"/>
  <c r="P618" i="9"/>
  <c r="Q618" i="9" s="1"/>
  <c r="P452" i="9"/>
  <c r="P576" i="9"/>
  <c r="P424" i="9"/>
  <c r="P537" i="9"/>
  <c r="Q537" i="9" s="1"/>
  <c r="P553" i="9"/>
  <c r="Q553" i="9" s="1"/>
  <c r="P446" i="9"/>
  <c r="Q446" i="9" s="1"/>
  <c r="P426" i="9"/>
  <c r="P439" i="9"/>
  <c r="Q439" i="9" s="1"/>
  <c r="P447" i="9"/>
  <c r="P595" i="9"/>
  <c r="P619" i="9"/>
  <c r="Q619" i="9" s="1"/>
  <c r="P445" i="9"/>
  <c r="P577" i="9"/>
  <c r="Q577" i="9" s="1"/>
  <c r="P617" i="9"/>
  <c r="Q617" i="9" s="1"/>
  <c r="P470" i="9"/>
  <c r="Q470" i="9" s="1"/>
  <c r="P538" i="9"/>
  <c r="Q538" i="9" s="1"/>
  <c r="P554" i="9"/>
  <c r="P455" i="9"/>
  <c r="Q455" i="9" s="1"/>
  <c r="P611" i="9"/>
  <c r="Q611" i="9" s="1"/>
  <c r="P8" i="9"/>
  <c r="P24" i="9"/>
  <c r="P40" i="9"/>
  <c r="P48" i="9"/>
  <c r="P64" i="9"/>
  <c r="P80" i="9"/>
  <c r="P88" i="9"/>
  <c r="P104" i="9"/>
  <c r="P128" i="9"/>
  <c r="P136" i="9"/>
  <c r="P168" i="9"/>
  <c r="P176" i="9"/>
  <c r="P216" i="9"/>
  <c r="P240" i="9"/>
  <c r="Q240" i="9" s="1"/>
  <c r="P248" i="9"/>
  <c r="Q248" i="9" s="1"/>
  <c r="P256" i="9"/>
  <c r="P264" i="9"/>
  <c r="P272" i="9"/>
  <c r="P288" i="9"/>
  <c r="Q288" i="9" s="1"/>
  <c r="P296" i="9"/>
  <c r="P304" i="9"/>
  <c r="Q304" i="9" s="1"/>
  <c r="P312" i="9"/>
  <c r="P328" i="9"/>
  <c r="Q328" i="9" s="1"/>
  <c r="P360" i="9"/>
  <c r="Q360" i="9" s="1"/>
  <c r="P376" i="9"/>
  <c r="P384" i="9"/>
  <c r="P400" i="9"/>
  <c r="Q400" i="9" s="1"/>
  <c r="P432" i="9"/>
  <c r="Q432" i="9" s="1"/>
  <c r="P464" i="9"/>
  <c r="Q464" i="9" s="1"/>
  <c r="P480" i="9"/>
  <c r="P488" i="9"/>
  <c r="Q488" i="9" s="1"/>
  <c r="P496" i="9"/>
  <c r="P512" i="9"/>
  <c r="P528" i="9"/>
  <c r="P544" i="9"/>
  <c r="Q544" i="9" s="1"/>
  <c r="P568" i="9"/>
  <c r="Q568" i="9" s="1"/>
  <c r="P584" i="9"/>
  <c r="P592" i="9"/>
  <c r="Q592" i="9" s="1"/>
  <c r="P608" i="9"/>
  <c r="P624" i="9"/>
  <c r="P9" i="9"/>
  <c r="P25" i="9"/>
  <c r="P33" i="9"/>
  <c r="P89" i="9"/>
  <c r="P121" i="9"/>
  <c r="P145" i="9"/>
  <c r="P153" i="9"/>
  <c r="P169" i="9"/>
  <c r="P185" i="9"/>
  <c r="P201" i="9"/>
  <c r="P217" i="9"/>
  <c r="P225" i="9"/>
  <c r="P233" i="9"/>
  <c r="Q233" i="9" s="1"/>
  <c r="P241" i="9"/>
  <c r="P249" i="9"/>
  <c r="Q249" i="9" s="1"/>
  <c r="P289" i="9"/>
  <c r="Q289" i="9" s="1"/>
  <c r="P297" i="9"/>
  <c r="P305" i="9"/>
  <c r="Q305" i="9" s="1"/>
  <c r="P313" i="9"/>
  <c r="P321" i="9"/>
  <c r="P337" i="9"/>
  <c r="Q337" i="9" s="1"/>
  <c r="P345" i="9"/>
  <c r="P361" i="9"/>
  <c r="P369" i="9"/>
  <c r="Q369" i="9" s="1"/>
  <c r="P377" i="9"/>
  <c r="Q377" i="9" s="1"/>
  <c r="P385" i="9"/>
  <c r="P401" i="9"/>
  <c r="Q401" i="9" s="1"/>
  <c r="P465" i="9"/>
  <c r="Q465" i="9" s="1"/>
  <c r="P481" i="9"/>
  <c r="Q481" i="9" s="1"/>
  <c r="P489" i="9"/>
  <c r="P497" i="9"/>
  <c r="P505" i="9"/>
  <c r="Q505" i="9" s="1"/>
  <c r="P513" i="9"/>
  <c r="Q513" i="9" s="1"/>
  <c r="P521" i="9"/>
  <c r="Q521" i="9" s="1"/>
  <c r="P529" i="9"/>
  <c r="Q529" i="9" s="1"/>
  <c r="P545" i="9"/>
  <c r="P569" i="9"/>
  <c r="Q569" i="9" s="1"/>
  <c r="P585" i="9"/>
  <c r="Q585" i="9" s="1"/>
  <c r="P593" i="9"/>
  <c r="P601" i="9"/>
  <c r="P625" i="9"/>
  <c r="Q625" i="9" s="1"/>
  <c r="P10" i="9"/>
  <c r="P34" i="9"/>
  <c r="P42" i="9"/>
  <c r="P58" i="9"/>
  <c r="P66" i="9"/>
  <c r="P82" i="9"/>
  <c r="P90" i="9"/>
  <c r="P98" i="9"/>
  <c r="P106" i="9"/>
  <c r="P114" i="9"/>
  <c r="P122" i="9"/>
  <c r="P130" i="9"/>
  <c r="P138" i="9"/>
  <c r="P154" i="9"/>
  <c r="P194" i="9"/>
  <c r="P202" i="9"/>
  <c r="P218" i="9"/>
  <c r="Q218" i="9" s="1"/>
  <c r="P226" i="9"/>
  <c r="P250" i="9"/>
  <c r="P266" i="9"/>
  <c r="P274" i="9"/>
  <c r="Q274" i="9" s="1"/>
  <c r="P282" i="9"/>
  <c r="Q282" i="9" s="1"/>
  <c r="P290" i="9"/>
  <c r="P306" i="9"/>
  <c r="Q306" i="9" s="1"/>
  <c r="P314" i="9"/>
  <c r="P346" i="9"/>
  <c r="P354" i="9"/>
  <c r="P362" i="9"/>
  <c r="Q362" i="9" s="1"/>
  <c r="P370" i="9"/>
  <c r="P378" i="9"/>
  <c r="P386" i="9"/>
  <c r="Q386" i="9" s="1"/>
  <c r="P402" i="9"/>
  <c r="P466" i="9"/>
  <c r="Q466" i="9" s="1"/>
  <c r="P482" i="9"/>
  <c r="Q482" i="9" s="1"/>
  <c r="P490" i="9"/>
  <c r="Q490" i="9" s="1"/>
  <c r="P498" i="9"/>
  <c r="P506" i="9"/>
  <c r="P522" i="9"/>
  <c r="Q522" i="9" s="1"/>
  <c r="P530" i="9"/>
  <c r="Q530" i="9" s="1"/>
  <c r="P546" i="9"/>
  <c r="Q546" i="9" s="1"/>
  <c r="P570" i="9"/>
  <c r="P578" i="9"/>
  <c r="P586" i="9"/>
  <c r="Q586" i="9" s="1"/>
  <c r="P602" i="9"/>
  <c r="P626" i="9"/>
  <c r="P11" i="9"/>
  <c r="P19" i="9"/>
  <c r="P43" i="9"/>
  <c r="P59" i="9"/>
  <c r="P75" i="9"/>
  <c r="P107" i="9"/>
  <c r="P115" i="9"/>
  <c r="P147" i="9"/>
  <c r="P155" i="9"/>
  <c r="P171" i="9"/>
  <c r="P179" i="9"/>
  <c r="P195" i="9"/>
  <c r="P203" i="9"/>
  <c r="P243" i="9"/>
  <c r="P259" i="9"/>
  <c r="Q259" i="9" s="1"/>
  <c r="P291" i="9"/>
  <c r="Q291" i="9" s="1"/>
  <c r="P299" i="9"/>
  <c r="Q299" i="9" s="1"/>
  <c r="P307" i="9"/>
  <c r="Q307" i="9" s="1"/>
  <c r="P315" i="9"/>
  <c r="P331" i="9"/>
  <c r="P371" i="9"/>
  <c r="P379" i="9"/>
  <c r="Q379" i="9" s="1"/>
  <c r="P387" i="9"/>
  <c r="P403" i="9"/>
  <c r="P467" i="9"/>
  <c r="Q467" i="9" s="1"/>
  <c r="P483" i="9"/>
  <c r="P491" i="9"/>
  <c r="Q491" i="9" s="1"/>
  <c r="P499" i="9"/>
  <c r="P507" i="9"/>
  <c r="P523" i="9"/>
  <c r="Q523" i="9" s="1"/>
  <c r="P531" i="9"/>
  <c r="Q531" i="9" s="1"/>
  <c r="P547" i="9"/>
  <c r="P571" i="9"/>
  <c r="Q571" i="9" s="1"/>
  <c r="P579" i="9"/>
  <c r="P587" i="9"/>
  <c r="Q587" i="9" s="1"/>
  <c r="P603" i="9"/>
  <c r="Q603" i="9" s="1"/>
  <c r="P627" i="9"/>
  <c r="P28" i="9"/>
  <c r="P68" i="9"/>
  <c r="P76" i="9"/>
  <c r="P84" i="9"/>
  <c r="P92" i="9"/>
  <c r="P108" i="9"/>
  <c r="P116" i="9"/>
  <c r="P124" i="9"/>
  <c r="P132" i="9"/>
  <c r="P148" i="9"/>
  <c r="P156" i="9"/>
  <c r="P164" i="9"/>
  <c r="P212" i="9"/>
  <c r="Q212" i="9" s="1"/>
  <c r="P220" i="9"/>
  <c r="Q220" i="9" s="1"/>
  <c r="P228" i="9"/>
  <c r="Q228" i="9" s="1"/>
  <c r="P236" i="9"/>
  <c r="P244" i="9"/>
  <c r="Q244" i="9" s="1"/>
  <c r="P268" i="9"/>
  <c r="Q268" i="9" s="1"/>
  <c r="P276" i="9"/>
  <c r="P284" i="9"/>
  <c r="P332" i="9"/>
  <c r="Q332" i="9" s="1"/>
  <c r="P340" i="9"/>
  <c r="P356" i="9"/>
  <c r="P364" i="9"/>
  <c r="Q364" i="9" s="1"/>
  <c r="P372" i="9"/>
  <c r="Q372" i="9" s="1"/>
  <c r="P380" i="9"/>
  <c r="P388" i="9"/>
  <c r="Q388" i="9" s="1"/>
  <c r="P404" i="9"/>
  <c r="P428" i="9"/>
  <c r="Q428" i="9" s="1"/>
  <c r="P468" i="9"/>
  <c r="P484" i="9"/>
  <c r="Q484" i="9" s="1"/>
  <c r="P492" i="9"/>
  <c r="Q492" i="9" s="1"/>
  <c r="P508" i="9"/>
  <c r="Q508" i="9" s="1"/>
  <c r="P524" i="9"/>
  <c r="Q524" i="9" s="1"/>
  <c r="P532" i="9"/>
  <c r="Q532" i="9" s="1"/>
  <c r="P548" i="9"/>
  <c r="P572" i="9"/>
  <c r="Q572" i="9" s="1"/>
  <c r="P580" i="9"/>
  <c r="Q580" i="9" s="1"/>
  <c r="P588" i="9"/>
  <c r="Q588" i="9" s="1"/>
  <c r="P604" i="9"/>
  <c r="Q604" i="9" s="1"/>
  <c r="P628" i="9"/>
  <c r="Q628" i="9" s="1"/>
  <c r="P13" i="9"/>
  <c r="P29" i="9"/>
  <c r="P37" i="9"/>
  <c r="P77" i="9"/>
  <c r="P85" i="9"/>
  <c r="P93" i="9"/>
  <c r="P101" i="9"/>
  <c r="P109" i="9"/>
  <c r="P125" i="9"/>
  <c r="P157" i="9"/>
  <c r="P173" i="9"/>
  <c r="P189" i="9"/>
  <c r="P197" i="9"/>
  <c r="P205" i="9"/>
  <c r="P229" i="9"/>
  <c r="P237" i="9"/>
  <c r="Q237" i="9" s="1"/>
  <c r="P245" i="9"/>
  <c r="Q245" i="9" s="1"/>
  <c r="P285" i="9"/>
  <c r="P301" i="9"/>
  <c r="Q301" i="9" s="1"/>
  <c r="P309" i="9"/>
  <c r="P325" i="9"/>
  <c r="P349" i="9"/>
  <c r="Q349" i="9" s="1"/>
  <c r="P357" i="9"/>
  <c r="P373" i="9"/>
  <c r="P381" i="9"/>
  <c r="P389" i="9"/>
  <c r="Q389" i="9" s="1"/>
  <c r="P405" i="9"/>
  <c r="P429" i="9"/>
  <c r="P469" i="9"/>
  <c r="P485" i="9"/>
  <c r="P493" i="9"/>
  <c r="Q493" i="9" s="1"/>
  <c r="P509" i="9"/>
  <c r="P525" i="9"/>
  <c r="Q525" i="9" s="1"/>
  <c r="P533" i="9"/>
  <c r="P549" i="9"/>
  <c r="P565" i="9"/>
  <c r="P581" i="9"/>
  <c r="P589" i="9"/>
  <c r="P605" i="9"/>
  <c r="P629" i="9"/>
  <c r="Q629" i="9" s="1"/>
  <c r="P14" i="9"/>
  <c r="P22" i="9"/>
  <c r="P46" i="9"/>
  <c r="P54" i="9"/>
  <c r="P70" i="9"/>
  <c r="P102" i="9"/>
  <c r="P110" i="9"/>
  <c r="P134" i="9"/>
  <c r="P158" i="9"/>
  <c r="P174" i="9"/>
  <c r="P190" i="9"/>
  <c r="P198" i="9"/>
  <c r="P206" i="9"/>
  <c r="Q206" i="9" s="1"/>
  <c r="P214" i="9"/>
  <c r="Q214" i="9" s="1"/>
  <c r="P222" i="9"/>
  <c r="Q222" i="9" s="1"/>
  <c r="P286" i="9"/>
  <c r="Q286" i="9" s="1"/>
  <c r="P294" i="9"/>
  <c r="P302" i="9"/>
  <c r="Q302" i="9" s="1"/>
  <c r="P326" i="9"/>
  <c r="Q326" i="9" s="1"/>
  <c r="P342" i="9"/>
  <c r="P350" i="9"/>
  <c r="Q350" i="9" s="1"/>
  <c r="P358" i="9"/>
  <c r="P366" i="9"/>
  <c r="P374" i="9"/>
  <c r="P382" i="9"/>
  <c r="Q382" i="9" s="1"/>
  <c r="P398" i="9"/>
  <c r="Q398" i="9" s="1"/>
  <c r="P430" i="9"/>
  <c r="P462" i="9"/>
  <c r="Q462" i="9" s="1"/>
  <c r="P478" i="9"/>
  <c r="P486" i="9"/>
  <c r="P494" i="9"/>
  <c r="P510" i="9"/>
  <c r="P526" i="9"/>
  <c r="Q526" i="9" s="1"/>
  <c r="P542" i="9"/>
  <c r="P566" i="9"/>
  <c r="P582" i="9"/>
  <c r="P590" i="9"/>
  <c r="Q590" i="9" s="1"/>
  <c r="P606" i="9"/>
  <c r="Q606" i="9" s="1"/>
  <c r="P630" i="9"/>
  <c r="P23" i="9"/>
  <c r="P39" i="9"/>
  <c r="P47" i="9"/>
  <c r="P55" i="9"/>
  <c r="P79" i="9"/>
  <c r="P111" i="9"/>
  <c r="P127" i="9"/>
  <c r="P143" i="9"/>
  <c r="P175" i="9"/>
  <c r="P191" i="9"/>
  <c r="P199" i="9"/>
  <c r="P231" i="9"/>
  <c r="Q231" i="9" s="1"/>
  <c r="P239" i="9"/>
  <c r="Q239" i="9" s="1"/>
  <c r="P263" i="9"/>
  <c r="Q263" i="9" s="1"/>
  <c r="P287" i="9"/>
  <c r="P303" i="9"/>
  <c r="Q303" i="9" s="1"/>
  <c r="P359" i="9"/>
  <c r="P375" i="9"/>
  <c r="P383" i="9"/>
  <c r="P399" i="9"/>
  <c r="Q399" i="9" s="1"/>
  <c r="P431" i="9"/>
  <c r="Q431" i="9" s="1"/>
  <c r="P463" i="9"/>
  <c r="Q463" i="9" s="1"/>
  <c r="P479" i="9"/>
  <c r="P487" i="9"/>
  <c r="P495" i="9"/>
  <c r="P511" i="9"/>
  <c r="P527" i="9"/>
  <c r="Q527" i="9" s="1"/>
  <c r="P543" i="9"/>
  <c r="Q543" i="9" s="1"/>
  <c r="P567" i="9"/>
  <c r="P583" i="9"/>
  <c r="P591" i="9"/>
  <c r="P607" i="9"/>
  <c r="Q415" i="9"/>
  <c r="Q413" i="9"/>
  <c r="Q348" i="9"/>
  <c r="Q341" i="9"/>
  <c r="Q609" i="9"/>
  <c r="Q411" i="9"/>
  <c r="Q334" i="9"/>
  <c r="Q433" i="9"/>
  <c r="Q435" i="9"/>
  <c r="Q343" i="9"/>
  <c r="Q393" i="9"/>
  <c r="Q420" i="9"/>
  <c r="Q355" i="9"/>
  <c r="Q434" i="9"/>
  <c r="Q561" i="9"/>
  <c r="Q336" i="9"/>
  <c r="Q318" i="9"/>
  <c r="Q311" i="9"/>
  <c r="Q503" i="9"/>
  <c r="Q395" i="9"/>
  <c r="Q540" i="9"/>
  <c r="Q407" i="9"/>
  <c r="Q363" i="9"/>
  <c r="Q416" i="9"/>
  <c r="Q406" i="9"/>
  <c r="Q564" i="9"/>
  <c r="Q367" i="9"/>
  <c r="Q308" i="9"/>
  <c r="Q298" i="9"/>
  <c r="Q295" i="9"/>
  <c r="Q436" i="9"/>
  <c r="Q275" i="9"/>
  <c r="Q281" i="9"/>
  <c r="Q270" i="9"/>
  <c r="Q292" i="9"/>
  <c r="Q338" i="9"/>
  <c r="Q265" i="9"/>
  <c r="Q300" i="9"/>
  <c r="Q622" i="9"/>
  <c r="Q252" i="9"/>
  <c r="Q330" i="9"/>
  <c r="Q518" i="9"/>
  <c r="Q235" i="9"/>
  <c r="Q273" i="9"/>
  <c r="Q476" i="9"/>
  <c r="Q261" i="9"/>
  <c r="Q251" i="9"/>
  <c r="Q246" i="9"/>
  <c r="Q410" i="9"/>
  <c r="Q238" i="9"/>
  <c r="Q278" i="9"/>
  <c r="Q339" i="9"/>
  <c r="N16" i="14"/>
  <c r="O16" i="14" s="1"/>
  <c r="N32" i="14"/>
  <c r="O32" i="14" s="1"/>
  <c r="N40" i="14"/>
  <c r="O40" i="14" s="1"/>
  <c r="N48" i="14"/>
  <c r="O48" i="14" s="1"/>
  <c r="N72" i="14"/>
  <c r="O72" i="14" s="1"/>
  <c r="N80" i="14"/>
  <c r="N104" i="14"/>
  <c r="N120" i="14"/>
  <c r="O120" i="14" s="1"/>
  <c r="N136" i="14"/>
  <c r="O136" i="14" s="1"/>
  <c r="N144" i="14"/>
  <c r="O144" i="14" s="1"/>
  <c r="N168" i="14"/>
  <c r="O168" i="14" s="1"/>
  <c r="N176" i="14"/>
  <c r="O176" i="14" s="1"/>
  <c r="N192" i="14"/>
  <c r="O192" i="14" s="1"/>
  <c r="N200" i="14"/>
  <c r="O200" i="14" s="1"/>
  <c r="N289" i="14"/>
  <c r="N272" i="14"/>
  <c r="N257" i="14"/>
  <c r="N279" i="14"/>
  <c r="N241" i="14"/>
  <c r="N283" i="14"/>
  <c r="N246" i="14"/>
  <c r="N354" i="14"/>
  <c r="N303" i="14"/>
  <c r="N347" i="14"/>
  <c r="N320" i="14"/>
  <c r="N302" i="14"/>
  <c r="N410" i="14"/>
  <c r="N425" i="14"/>
  <c r="N422" i="14"/>
  <c r="N401" i="14"/>
  <c r="N437" i="14"/>
  <c r="N384" i="14"/>
  <c r="N511" i="14"/>
  <c r="N502" i="14"/>
  <c r="N531" i="14"/>
  <c r="N475" i="14"/>
  <c r="N507" i="14"/>
  <c r="N513" i="14"/>
  <c r="N655" i="14"/>
  <c r="N620" i="14"/>
  <c r="N589" i="14"/>
  <c r="N585" i="14"/>
  <c r="N652" i="14"/>
  <c r="N667" i="14"/>
  <c r="N753" i="14"/>
  <c r="N712" i="14"/>
  <c r="N713" i="14"/>
  <c r="N694" i="14"/>
  <c r="N676" i="14"/>
  <c r="N804" i="14"/>
  <c r="N836" i="14"/>
  <c r="N808" i="14"/>
  <c r="N840" i="14"/>
  <c r="N789" i="14"/>
  <c r="N843" i="14"/>
  <c r="N784" i="14"/>
  <c r="N935" i="14"/>
  <c r="N907" i="14"/>
  <c r="N937" i="14"/>
  <c r="N918" i="14"/>
  <c r="N877" i="14"/>
  <c r="N913" i="14"/>
  <c r="N909" i="14"/>
  <c r="N1052" i="14"/>
  <c r="N967" i="14"/>
  <c r="N962" i="14"/>
  <c r="N1000" i="14"/>
  <c r="N1037" i="14"/>
  <c r="N1050" i="14"/>
  <c r="N1119" i="14"/>
  <c r="N1137" i="14"/>
  <c r="N1154" i="14"/>
  <c r="N1156" i="14"/>
  <c r="N1106" i="14"/>
  <c r="N1149" i="14"/>
  <c r="N1238" i="14"/>
  <c r="N1169" i="14"/>
  <c r="N1204" i="14"/>
  <c r="N1160" i="14"/>
  <c r="N1161" i="14"/>
  <c r="N1299" i="14"/>
  <c r="N7" i="14"/>
  <c r="O7" i="14" s="1"/>
  <c r="N9" i="14"/>
  <c r="O9" i="14" s="1"/>
  <c r="N17" i="14"/>
  <c r="O17" i="14" s="1"/>
  <c r="N49" i="14"/>
  <c r="O49" i="14" s="1"/>
  <c r="N57" i="14"/>
  <c r="O57" i="14" s="1"/>
  <c r="N65" i="14"/>
  <c r="O65" i="14" s="1"/>
  <c r="N73" i="14"/>
  <c r="O73" i="14" s="1"/>
  <c r="N89" i="14"/>
  <c r="N105" i="14"/>
  <c r="N121" i="14"/>
  <c r="O121" i="14" s="1"/>
  <c r="N145" i="14"/>
  <c r="O145" i="14" s="1"/>
  <c r="N153" i="14"/>
  <c r="O153" i="14" s="1"/>
  <c r="N161" i="14"/>
  <c r="O161" i="14" s="1"/>
  <c r="N293" i="14"/>
  <c r="N262" i="14"/>
  <c r="N281" i="14"/>
  <c r="N288" i="14"/>
  <c r="N243" i="14"/>
  <c r="N294" i="14"/>
  <c r="N337" i="14"/>
  <c r="N377" i="14"/>
  <c r="N313" i="14"/>
  <c r="N310" i="14"/>
  <c r="N331" i="14"/>
  <c r="N443" i="14"/>
  <c r="N463" i="14"/>
  <c r="N460" i="14"/>
  <c r="N419" i="14"/>
  <c r="N438" i="14"/>
  <c r="N440" i="14"/>
  <c r="N503" i="14"/>
  <c r="N544" i="14"/>
  <c r="N497" i="14"/>
  <c r="N570" i="14"/>
  <c r="N527" i="14"/>
  <c r="N597" i="14"/>
  <c r="N601" i="14"/>
  <c r="N626" i="14"/>
  <c r="N640" i="14"/>
  <c r="N664" i="14"/>
  <c r="N668" i="14"/>
  <c r="N698" i="14"/>
  <c r="N710" i="14"/>
  <c r="N763" i="14"/>
  <c r="N718" i="14"/>
  <c r="N670" i="14"/>
  <c r="N810" i="14"/>
  <c r="N800" i="14"/>
  <c r="N809" i="14"/>
  <c r="N855" i="14"/>
  <c r="N806" i="14"/>
  <c r="N859" i="14"/>
  <c r="N10" i="14"/>
  <c r="O10" i="14" s="1"/>
  <c r="N42" i="14"/>
  <c r="O42" i="14" s="1"/>
  <c r="N50" i="14"/>
  <c r="O50" i="14" s="1"/>
  <c r="N58" i="14"/>
  <c r="O58" i="14" s="1"/>
  <c r="N74" i="14"/>
  <c r="O74" i="14" s="1"/>
  <c r="N82" i="14"/>
  <c r="N90" i="14"/>
  <c r="N122" i="14"/>
  <c r="O122" i="14" s="1"/>
  <c r="N130" i="14"/>
  <c r="N146" i="14"/>
  <c r="O146" i="14" s="1"/>
  <c r="N170" i="14"/>
  <c r="O170" i="14" s="1"/>
  <c r="N178" i="14"/>
  <c r="O178" i="14" s="1"/>
  <c r="N186" i="14"/>
  <c r="O186" i="14" s="1"/>
  <c r="N194" i="14"/>
  <c r="O194" i="14" s="1"/>
  <c r="N202" i="14"/>
  <c r="O202" i="14" s="1"/>
  <c r="N270" i="14"/>
  <c r="N211" i="14"/>
  <c r="N239" i="14"/>
  <c r="N274" i="14"/>
  <c r="N220" i="14"/>
  <c r="N227" i="14"/>
  <c r="N322" i="14"/>
  <c r="N328" i="14"/>
  <c r="N312" i="14"/>
  <c r="N324" i="14"/>
  <c r="N441" i="14"/>
  <c r="N407" i="14"/>
  <c r="N448" i="14"/>
  <c r="N416" i="14"/>
  <c r="N470" i="14"/>
  <c r="N434" i="14"/>
  <c r="N568" i="14"/>
  <c r="N501" i="14"/>
  <c r="N494" i="14"/>
  <c r="N499" i="14"/>
  <c r="N480" i="14"/>
  <c r="N524" i="14"/>
  <c r="N645" i="14"/>
  <c r="N636" i="14"/>
  <c r="N634" i="14"/>
  <c r="N604" i="14"/>
  <c r="N602" i="14"/>
  <c r="N600" i="14"/>
  <c r="N646" i="14"/>
  <c r="N740" i="14"/>
  <c r="N693" i="14"/>
  <c r="N734" i="14"/>
  <c r="N758" i="14"/>
  <c r="N707" i="14"/>
  <c r="N686" i="14"/>
  <c r="N821" i="14"/>
  <c r="N839" i="14"/>
  <c r="N842" i="14"/>
  <c r="N779" i="14"/>
  <c r="N846" i="14"/>
  <c r="N862" i="14"/>
  <c r="N802" i="14"/>
  <c r="N871" i="14"/>
  <c r="N920" i="14"/>
  <c r="N939" i="14"/>
  <c r="N955" i="14"/>
  <c r="N884" i="14"/>
  <c r="N906" i="14"/>
  <c r="N1025" i="14"/>
  <c r="N1042" i="14"/>
  <c r="N1044" i="14"/>
  <c r="N998" i="14"/>
  <c r="N1001" i="14"/>
  <c r="N1039" i="14"/>
  <c r="N1073" i="14"/>
  <c r="N1123" i="14"/>
  <c r="N1098" i="14"/>
  <c r="N1118" i="14"/>
  <c r="N1114" i="14"/>
  <c r="N1185" i="14"/>
  <c r="N1224" i="14"/>
  <c r="N1167" i="14"/>
  <c r="N1193" i="14"/>
  <c r="N1209" i="14"/>
  <c r="N1243" i="14"/>
  <c r="N1334" i="14"/>
  <c r="N51" i="14"/>
  <c r="O51" i="14" s="1"/>
  <c r="N67" i="14"/>
  <c r="O67" i="14" s="1"/>
  <c r="N75" i="14"/>
  <c r="O75" i="14" s="1"/>
  <c r="N83" i="14"/>
  <c r="N107" i="14"/>
  <c r="N131" i="14"/>
  <c r="N155" i="14"/>
  <c r="O155" i="14" s="1"/>
  <c r="N171" i="14"/>
  <c r="O171" i="14" s="1"/>
  <c r="N195" i="14"/>
  <c r="O195" i="14" s="1"/>
  <c r="N265" i="14"/>
  <c r="N252" i="14"/>
  <c r="N231" i="14"/>
  <c r="N256" i="14"/>
  <c r="N255" i="14"/>
  <c r="N286" i="14"/>
  <c r="N371" i="14"/>
  <c r="N375" i="14"/>
  <c r="N307" i="14"/>
  <c r="N305" i="14"/>
  <c r="N432" i="14"/>
  <c r="N454" i="14"/>
  <c r="N412" i="14"/>
  <c r="N414" i="14"/>
  <c r="N467" i="14"/>
  <c r="N436" i="14"/>
  <c r="N398" i="14"/>
  <c r="N563" i="14"/>
  <c r="N526" i="14"/>
  <c r="N556" i="14"/>
  <c r="N558" i="14"/>
  <c r="N549" i="14"/>
  <c r="N545" i="14"/>
  <c r="N586" i="14"/>
  <c r="N584" i="14"/>
  <c r="N573" i="14"/>
  <c r="N596" i="14"/>
  <c r="N642" i="14"/>
  <c r="N654" i="14"/>
  <c r="N744" i="14"/>
  <c r="N736" i="14"/>
  <c r="N738" i="14"/>
  <c r="N729" i="14"/>
  <c r="N673" i="14"/>
  <c r="N720" i="14"/>
  <c r="N851" i="14"/>
  <c r="N823" i="14"/>
  <c r="N845" i="14"/>
  <c r="N819" i="14"/>
  <c r="N813" i="14"/>
  <c r="N833" i="14"/>
  <c r="N908" i="14"/>
  <c r="N947" i="14"/>
  <c r="N931" i="14"/>
  <c r="N864" i="14"/>
  <c r="N949" i="14"/>
  <c r="N1024" i="14"/>
  <c r="N979" i="14"/>
  <c r="N1034" i="14"/>
  <c r="N995" i="14"/>
  <c r="N1055" i="14"/>
  <c r="N1036" i="14"/>
  <c r="N1146" i="14"/>
  <c r="N1070" i="14"/>
  <c r="N1074" i="14"/>
  <c r="N1157" i="14"/>
  <c r="N1109" i="14"/>
  <c r="N1125" i="14"/>
  <c r="N1188" i="14"/>
  <c r="N1231" i="14"/>
  <c r="N1159" i="14"/>
  <c r="N1173" i="14"/>
  <c r="N1181" i="14"/>
  <c r="N1246" i="14"/>
  <c r="N1324" i="14"/>
  <c r="N68" i="14"/>
  <c r="O68" i="14" s="1"/>
  <c r="N76" i="14"/>
  <c r="O76" i="14" s="1"/>
  <c r="N84" i="14"/>
  <c r="N100" i="14"/>
  <c r="N124" i="14"/>
  <c r="O124" i="14" s="1"/>
  <c r="N132" i="14"/>
  <c r="N148" i="14"/>
  <c r="O148" i="14" s="1"/>
  <c r="N156" i="14"/>
  <c r="O156" i="14" s="1"/>
  <c r="N164" i="14"/>
  <c r="O164" i="14" s="1"/>
  <c r="N172" i="14"/>
  <c r="N188" i="14"/>
  <c r="O188" i="14" s="1"/>
  <c r="N196" i="14"/>
  <c r="N298" i="14"/>
  <c r="N261" i="14"/>
  <c r="N209" i="14"/>
  <c r="N295" i="14"/>
  <c r="N212" i="14"/>
  <c r="N206" i="14"/>
  <c r="N273" i="14"/>
  <c r="N350" i="14"/>
  <c r="N364" i="14"/>
  <c r="N355" i="14"/>
  <c r="N300" i="14"/>
  <c r="N455" i="14"/>
  <c r="N464" i="14"/>
  <c r="N417" i="14"/>
  <c r="N415" i="14"/>
  <c r="N471" i="14"/>
  <c r="N380" i="14"/>
  <c r="N557" i="14"/>
  <c r="N534" i="14"/>
  <c r="N518" i="14"/>
  <c r="N548" i="14"/>
  <c r="N492" i="14"/>
  <c r="N540" i="14"/>
  <c r="N537" i="14"/>
  <c r="N622" i="14"/>
  <c r="N651" i="14"/>
  <c r="N625" i="14"/>
  <c r="N623" i="14"/>
  <c r="N582" i="14"/>
  <c r="N613" i="14"/>
  <c r="N658" i="14"/>
  <c r="N643" i="14"/>
  <c r="N714" i="14"/>
  <c r="N680" i="14"/>
  <c r="N719" i="14"/>
  <c r="N762" i="14"/>
  <c r="N692" i="14"/>
  <c r="N730" i="14"/>
  <c r="N838" i="14"/>
  <c r="N814" i="14"/>
  <c r="N825" i="14"/>
  <c r="N852" i="14"/>
  <c r="N837" i="14"/>
  <c r="N914" i="14"/>
  <c r="N938" i="14"/>
  <c r="N957" i="14"/>
  <c r="N875" i="14"/>
  <c r="N954" i="14"/>
  <c r="N1013" i="14"/>
  <c r="N1038" i="14"/>
  <c r="N986" i="14"/>
  <c r="N991" i="14"/>
  <c r="N1032" i="14"/>
  <c r="N1009" i="14"/>
  <c r="N1140" i="14"/>
  <c r="N1101" i="14"/>
  <c r="N1135" i="14"/>
  <c r="N1103" i="14"/>
  <c r="N1084" i="14"/>
  <c r="N1132" i="14"/>
  <c r="N1104" i="14"/>
  <c r="N1170" i="14"/>
  <c r="N1165" i="14"/>
  <c r="N1253" i="14"/>
  <c r="N1198" i="14"/>
  <c r="N1172" i="14"/>
  <c r="N1276" i="14"/>
  <c r="N13" i="14"/>
  <c r="O13" i="14" s="1"/>
  <c r="N29" i="14"/>
  <c r="O29" i="14" s="1"/>
  <c r="N37" i="14"/>
  <c r="O37" i="14" s="1"/>
  <c r="N45" i="14"/>
  <c r="O45" i="14" s="1"/>
  <c r="N53" i="14"/>
  <c r="O53" i="14" s="1"/>
  <c r="N61" i="14"/>
  <c r="O61" i="14" s="1"/>
  <c r="N69" i="14"/>
  <c r="O69" i="14" s="1"/>
  <c r="N77" i="14"/>
  <c r="N85" i="14"/>
  <c r="N93" i="14"/>
  <c r="O93" i="14" s="1"/>
  <c r="N125" i="14"/>
  <c r="O125" i="14" s="1"/>
  <c r="N157" i="14"/>
  <c r="N165" i="14"/>
  <c r="O165" i="14" s="1"/>
  <c r="N173" i="14"/>
  <c r="O173" i="14" s="1"/>
  <c r="N181" i="14"/>
  <c r="O181" i="14" s="1"/>
  <c r="N197" i="14"/>
  <c r="O197" i="14" s="1"/>
  <c r="N297" i="14"/>
  <c r="N223" i="14"/>
  <c r="N260" i="14"/>
  <c r="N240" i="14"/>
  <c r="N253" i="14"/>
  <c r="N251" i="14"/>
  <c r="N247" i="14"/>
  <c r="N314" i="14"/>
  <c r="N362" i="14"/>
  <c r="N344" i="14"/>
  <c r="N358" i="14"/>
  <c r="N309" i="14"/>
  <c r="N409" i="14"/>
  <c r="N446" i="14"/>
  <c r="N399" i="14"/>
  <c r="N445" i="14"/>
  <c r="N428" i="14"/>
  <c r="N418" i="14"/>
  <c r="N495" i="14"/>
  <c r="N541" i="14"/>
  <c r="N560" i="14"/>
  <c r="N561" i="14"/>
  <c r="N485" i="14"/>
  <c r="N478" i="14"/>
  <c r="N630" i="14"/>
  <c r="N615" i="14"/>
  <c r="N665" i="14"/>
  <c r="N648" i="14"/>
  <c r="N593" i="14"/>
  <c r="N595" i="14"/>
  <c r="N635" i="14"/>
  <c r="N627" i="14"/>
  <c r="N704" i="14"/>
  <c r="N678" i="14"/>
  <c r="N717" i="14"/>
  <c r="N709" i="14"/>
  <c r="N672" i="14"/>
  <c r="N786" i="14"/>
  <c r="N797" i="14"/>
  <c r="N790" i="14"/>
  <c r="N826" i="14"/>
  <c r="N770" i="14"/>
  <c r="N880" i="14"/>
  <c r="N883" i="14"/>
  <c r="N923" i="14"/>
  <c r="N885" i="14"/>
  <c r="N929" i="14"/>
  <c r="N1041" i="14"/>
  <c r="N1045" i="14"/>
  <c r="N990" i="14"/>
  <c r="N993" i="14"/>
  <c r="N992" i="14"/>
  <c r="N1047" i="14"/>
  <c r="N963" i="14"/>
  <c r="N1129" i="14"/>
  <c r="N1110" i="14"/>
  <c r="N1093" i="14"/>
  <c r="N1131" i="14"/>
  <c r="N1155" i="14"/>
  <c r="N1108" i="14"/>
  <c r="N1096" i="14"/>
  <c r="N1089" i="14"/>
  <c r="N1202" i="14"/>
  <c r="N1201" i="14"/>
  <c r="N1226" i="14"/>
  <c r="N1187" i="14"/>
  <c r="N1196" i="14"/>
  <c r="N1237" i="14"/>
  <c r="N1312" i="14"/>
  <c r="N30" i="14"/>
  <c r="O30" i="14" s="1"/>
  <c r="N78" i="14"/>
  <c r="N86" i="14"/>
  <c r="N102" i="14"/>
  <c r="N110" i="14"/>
  <c r="N126" i="14"/>
  <c r="N142" i="14"/>
  <c r="O142" i="14" s="1"/>
  <c r="N174" i="14"/>
  <c r="O174" i="14" s="1"/>
  <c r="N296" i="14"/>
  <c r="N235" i="14"/>
  <c r="N218" i="14"/>
  <c r="N268" i="14"/>
  <c r="N285" i="14"/>
  <c r="N250" i="14"/>
  <c r="N352" i="14"/>
  <c r="N372" i="14"/>
  <c r="N374" i="14"/>
  <c r="N333" i="14"/>
  <c r="N345" i="14"/>
  <c r="N404" i="14"/>
  <c r="N430" i="14"/>
  <c r="N429" i="14"/>
  <c r="N427" i="14"/>
  <c r="N468" i="14"/>
  <c r="N23" i="14"/>
  <c r="O23" i="14" s="1"/>
  <c r="N31" i="14"/>
  <c r="O31" i="14" s="1"/>
  <c r="N39" i="14"/>
  <c r="O39" i="14" s="1"/>
  <c r="N47" i="14"/>
  <c r="O47" i="14" s="1"/>
  <c r="N63" i="14"/>
  <c r="O63" i="14" s="1"/>
  <c r="N79" i="14"/>
  <c r="N111" i="14"/>
  <c r="N119" i="14"/>
  <c r="O119" i="14" s="1"/>
  <c r="N151" i="14"/>
  <c r="O151" i="14" s="1"/>
  <c r="N167" i="14"/>
  <c r="O167" i="14" s="1"/>
  <c r="N183" i="14"/>
  <c r="O183" i="14" s="1"/>
  <c r="N199" i="14"/>
  <c r="N258" i="14"/>
  <c r="N242" i="14"/>
  <c r="N263" i="14"/>
  <c r="N267" i="14"/>
  <c r="N226" i="14"/>
  <c r="N292" i="14"/>
  <c r="N329" i="14"/>
  <c r="N326" i="14"/>
  <c r="N336" i="14"/>
  <c r="N343" i="14"/>
  <c r="N346" i="14"/>
  <c r="N466" i="14"/>
  <c r="N390" i="14"/>
  <c r="N381" i="14"/>
  <c r="N421" i="14"/>
  <c r="N458" i="14"/>
  <c r="N449" i="14"/>
  <c r="N546" i="14"/>
  <c r="N559" i="14"/>
  <c r="N552" i="14"/>
  <c r="N482" i="14"/>
  <c r="N538" i="14"/>
  <c r="N659" i="14"/>
  <c r="N619" i="14"/>
  <c r="N587" i="14"/>
  <c r="N632" i="14"/>
  <c r="N621" i="14"/>
  <c r="N756" i="14"/>
  <c r="N681" i="14"/>
  <c r="N766" i="14"/>
  <c r="N695" i="14"/>
  <c r="N700" i="14"/>
  <c r="N778" i="14"/>
  <c r="N849" i="14"/>
  <c r="N811" i="14"/>
  <c r="N850" i="14"/>
  <c r="N861" i="14"/>
  <c r="N817" i="14"/>
  <c r="N941" i="14"/>
  <c r="N872" i="14"/>
  <c r="N881" i="14"/>
  <c r="N960" i="14"/>
  <c r="N878" i="14"/>
  <c r="N946" i="14"/>
  <c r="N922" i="14"/>
  <c r="N982" i="14"/>
  <c r="N1007" i="14"/>
  <c r="N1005" i="14"/>
  <c r="N1010" i="14"/>
  <c r="N1011" i="14"/>
  <c r="N1008" i="14"/>
  <c r="N1046" i="14"/>
  <c r="N1111" i="14"/>
  <c r="N1148" i="14"/>
  <c r="N1122" i="14"/>
  <c r="N1151" i="14"/>
  <c r="N1105" i="14"/>
  <c r="N1082" i="14"/>
  <c r="N1195" i="14"/>
  <c r="N1192" i="14"/>
  <c r="N1168" i="14"/>
  <c r="N1239" i="14"/>
  <c r="N1208" i="14"/>
  <c r="N1206" i="14"/>
  <c r="N1295" i="14"/>
  <c r="N1323" i="14"/>
  <c r="N542" i="14"/>
  <c r="N484" i="14"/>
  <c r="N591" i="14"/>
  <c r="N807" i="14"/>
  <c r="N915" i="14"/>
  <c r="N867" i="14"/>
  <c r="N988" i="14"/>
  <c r="N974" i="14"/>
  <c r="N1143" i="14"/>
  <c r="N565" i="14"/>
  <c r="N638" i="14"/>
  <c r="N827" i="14"/>
  <c r="N925" i="14"/>
  <c r="N896" i="14"/>
  <c r="N989" i="14"/>
  <c r="N1035" i="14"/>
  <c r="N1069" i="14"/>
  <c r="N701" i="14"/>
  <c r="N685" i="14"/>
  <c r="N812" i="14"/>
  <c r="N928" i="14"/>
  <c r="N1220" i="14"/>
  <c r="N656" i="14"/>
  <c r="N663" i="14"/>
  <c r="N749" i="14"/>
  <c r="N902" i="14"/>
  <c r="N870" i="14"/>
  <c r="N1031" i="14"/>
  <c r="N1017" i="14"/>
  <c r="N1078" i="14"/>
  <c r="N1205" i="14"/>
  <c r="N1234" i="14"/>
  <c r="N912" i="14"/>
  <c r="N999" i="14"/>
  <c r="N1056" i="14"/>
  <c r="N1117" i="14"/>
  <c r="N1230" i="14"/>
  <c r="N1225" i="14"/>
  <c r="N1107" i="14"/>
  <c r="N1175" i="14"/>
  <c r="N547" i="14"/>
  <c r="N631" i="14"/>
  <c r="N675" i="14"/>
  <c r="N768" i="14"/>
  <c r="N936" i="14"/>
  <c r="N972" i="14"/>
  <c r="N1076" i="14"/>
  <c r="N1144" i="14"/>
  <c r="N1095" i="14"/>
  <c r="N1248" i="14"/>
  <c r="N1029" i="14"/>
  <c r="N521" i="14"/>
  <c r="N761" i="14"/>
  <c r="N679" i="14"/>
  <c r="N858" i="14"/>
  <c r="N822" i="14"/>
  <c r="N994" i="14"/>
  <c r="N1139" i="14"/>
  <c r="N1136" i="14"/>
  <c r="N1152" i="14"/>
  <c r="N1163" i="14"/>
  <c r="N1247" i="14"/>
  <c r="N1308" i="14"/>
  <c r="N614" i="14"/>
  <c r="N869" i="14"/>
  <c r="N1102" i="14"/>
  <c r="N1273" i="14"/>
  <c r="N1194" i="14"/>
  <c r="N447" i="14"/>
  <c r="N637" i="14"/>
  <c r="N708" i="14"/>
  <c r="N791" i="14"/>
  <c r="N873" i="14"/>
  <c r="N958" i="14"/>
  <c r="N976" i="14"/>
  <c r="N1028" i="14"/>
  <c r="P1028" i="14" s="1" a="1"/>
  <c r="P1028" i="14" s="1"/>
  <c r="N1130" i="14"/>
  <c r="N1158" i="14"/>
  <c r="M16" i="13"/>
  <c r="N16" i="13" s="1"/>
  <c r="M24" i="13"/>
  <c r="N24" i="13" s="1"/>
  <c r="M32" i="13"/>
  <c r="N32" i="13" s="1"/>
  <c r="M56" i="13"/>
  <c r="N56" i="13" s="1"/>
  <c r="M72" i="13"/>
  <c r="N72" i="13" s="1"/>
  <c r="M88" i="13"/>
  <c r="M104" i="13"/>
  <c r="N104" i="13" s="1"/>
  <c r="M120" i="13"/>
  <c r="M144" i="13"/>
  <c r="M160" i="13"/>
  <c r="M168" i="13"/>
  <c r="N168" i="13" s="1"/>
  <c r="M184" i="13"/>
  <c r="N184" i="13" s="1"/>
  <c r="M208" i="13"/>
  <c r="N208" i="13" s="1"/>
  <c r="M224" i="13"/>
  <c r="N224" i="13" s="1"/>
  <c r="M292" i="13"/>
  <c r="N292" i="13" s="1"/>
  <c r="M286" i="13"/>
  <c r="N286" i="13" s="1"/>
  <c r="M240" i="13"/>
  <c r="M321" i="13"/>
  <c r="N321" i="13" s="1"/>
  <c r="M246" i="13"/>
  <c r="N246" i="13" s="1"/>
  <c r="M258" i="13"/>
  <c r="M388" i="13"/>
  <c r="N388" i="13" s="1"/>
  <c r="M338" i="13"/>
  <c r="N338" i="13" s="1"/>
  <c r="M377" i="13"/>
  <c r="N377" i="13" s="1"/>
  <c r="M358" i="13"/>
  <c r="N358" i="13" s="1"/>
  <c r="M351" i="13"/>
  <c r="M490" i="13"/>
  <c r="M429" i="13"/>
  <c r="N429" i="13" s="1"/>
  <c r="M426" i="13"/>
  <c r="N426" i="13" s="1"/>
  <c r="M470" i="13"/>
  <c r="N470" i="13" s="1"/>
  <c r="M435" i="13"/>
  <c r="N435" i="13" s="1"/>
  <c r="M438" i="13"/>
  <c r="N438" i="13" s="1"/>
  <c r="M599" i="13"/>
  <c r="M578" i="13"/>
  <c r="N578" i="13" s="1"/>
  <c r="M532" i="13"/>
  <c r="N532" i="13" s="1"/>
  <c r="M564" i="13"/>
  <c r="N564" i="13" s="1"/>
  <c r="M610" i="13"/>
  <c r="N610" i="13" s="1"/>
  <c r="M570" i="13"/>
  <c r="N570" i="13" s="1"/>
  <c r="M518" i="13"/>
  <c r="M514" i="13"/>
  <c r="N514" i="13" s="1"/>
  <c r="M626" i="13"/>
  <c r="M680" i="13"/>
  <c r="N680" i="13" s="1"/>
  <c r="M639" i="13"/>
  <c r="N639" i="13" s="1"/>
  <c r="M714" i="13"/>
  <c r="N714" i="13" s="1"/>
  <c r="M689" i="13"/>
  <c r="N689" i="13" s="1"/>
  <c r="M705" i="13"/>
  <c r="N705" i="13" s="1"/>
  <c r="M783" i="13"/>
  <c r="N783" i="13" s="1"/>
  <c r="M773" i="13"/>
  <c r="N773" i="13" s="1"/>
  <c r="M781" i="13"/>
  <c r="N781" i="13" s="1"/>
  <c r="M799" i="13"/>
  <c r="M725" i="13"/>
  <c r="N725" i="13" s="1"/>
  <c r="M761" i="13"/>
  <c r="N761" i="13" s="1"/>
  <c r="M765" i="13"/>
  <c r="N765" i="13" s="1"/>
  <c r="M846" i="13"/>
  <c r="M864" i="13"/>
  <c r="N864" i="13" s="1"/>
  <c r="M858" i="13"/>
  <c r="M915" i="13"/>
  <c r="N915" i="13" s="1"/>
  <c r="M893" i="13"/>
  <c r="N893" i="13" s="1"/>
  <c r="M845" i="13"/>
  <c r="M957" i="13"/>
  <c r="N957" i="13" s="1"/>
  <c r="M1002" i="13"/>
  <c r="N1002" i="13" s="1"/>
  <c r="M962" i="13"/>
  <c r="N962" i="13" s="1"/>
  <c r="M996" i="13"/>
  <c r="M930" i="13"/>
  <c r="M928" i="13"/>
  <c r="M938" i="13"/>
  <c r="M1112" i="13"/>
  <c r="N1112" i="13" s="1"/>
  <c r="M1126" i="13"/>
  <c r="N1126" i="13" s="1"/>
  <c r="M1108" i="13"/>
  <c r="M1046" i="13"/>
  <c r="N1046" i="13" s="1"/>
  <c r="M1097" i="13"/>
  <c r="M1069" i="13"/>
  <c r="N1069" i="13" s="1"/>
  <c r="M25" i="13"/>
  <c r="N25" i="13" s="1"/>
  <c r="M41" i="13"/>
  <c r="N41" i="13" s="1"/>
  <c r="M49" i="13"/>
  <c r="M65" i="13"/>
  <c r="N65" i="13" s="1"/>
  <c r="M81" i="13"/>
  <c r="N81" i="13" s="1"/>
  <c r="M89" i="13"/>
  <c r="M97" i="13"/>
  <c r="M105" i="13"/>
  <c r="N105" i="13" s="1"/>
  <c r="M113" i="13"/>
  <c r="M153" i="13"/>
  <c r="N153" i="13" s="1"/>
  <c r="M161" i="13"/>
  <c r="N161" i="13" s="1"/>
  <c r="M209" i="13"/>
  <c r="N209" i="13" s="1"/>
  <c r="M225" i="13"/>
  <c r="N225" i="13" s="1"/>
  <c r="M276" i="13"/>
  <c r="N276" i="13" s="1"/>
  <c r="M306" i="13"/>
  <c r="N306" i="13" s="1"/>
  <c r="M248" i="13"/>
  <c r="M252" i="13"/>
  <c r="N252" i="13" s="1"/>
  <c r="M272" i="13"/>
  <c r="N272" i="13" s="1"/>
  <c r="M262" i="13"/>
  <c r="M403" i="13"/>
  <c r="N403" i="13" s="1"/>
  <c r="M399" i="13"/>
  <c r="N399" i="13" s="1"/>
  <c r="M345" i="13"/>
  <c r="N345" i="13" s="1"/>
  <c r="M386" i="13"/>
  <c r="N386" i="13" s="1"/>
  <c r="M341" i="13"/>
  <c r="M422" i="13"/>
  <c r="N422" i="13" s="1"/>
  <c r="M471" i="13"/>
  <c r="N471" i="13" s="1"/>
  <c r="M415" i="13"/>
  <c r="N415" i="13" s="1"/>
  <c r="M464" i="13"/>
  <c r="N464" i="13" s="1"/>
  <c r="M441" i="13"/>
  <c r="N441" i="13" s="1"/>
  <c r="M427" i="13"/>
  <c r="M571" i="13"/>
  <c r="N571" i="13" s="1"/>
  <c r="M560" i="13"/>
  <c r="M523" i="13"/>
  <c r="M531" i="13"/>
  <c r="N531" i="13" s="1"/>
  <c r="M572" i="13"/>
  <c r="N572" i="13" s="1"/>
  <c r="M566" i="13"/>
  <c r="N566" i="13" s="1"/>
  <c r="M543" i="13"/>
  <c r="N543" i="13" s="1"/>
  <c r="M632" i="13"/>
  <c r="N632" i="13" s="1"/>
  <c r="M710" i="13"/>
  <c r="M681" i="13"/>
  <c r="N681" i="13" s="1"/>
  <c r="M709" i="13"/>
  <c r="N709" i="13" s="1"/>
  <c r="M628" i="13"/>
  <c r="N628" i="13" s="1"/>
  <c r="M756" i="13"/>
  <c r="N756" i="13" s="1"/>
  <c r="M796" i="13"/>
  <c r="N796" i="13" s="1"/>
  <c r="M723" i="13"/>
  <c r="M760" i="13"/>
  <c r="N760" i="13" s="1"/>
  <c r="M816" i="13"/>
  <c r="M803" i="13"/>
  <c r="M780" i="13"/>
  <c r="M916" i="13"/>
  <c r="M847" i="13"/>
  <c r="N847" i="13" s="1"/>
  <c r="M879" i="13"/>
  <c r="N879" i="13" s="1"/>
  <c r="M836" i="13"/>
  <c r="N836" i="13" s="1"/>
  <c r="M870" i="13"/>
  <c r="N870" i="13" s="1"/>
  <c r="M826" i="13"/>
  <c r="M856" i="13"/>
  <c r="M968" i="13"/>
  <c r="N968" i="13" s="1"/>
  <c r="M970" i="13"/>
  <c r="N970" i="13" s="1"/>
  <c r="M975" i="13"/>
  <c r="M1000" i="13"/>
  <c r="M980" i="13"/>
  <c r="N980" i="13" s="1"/>
  <c r="M952" i="13"/>
  <c r="M1018" i="13"/>
  <c r="M1129" i="13"/>
  <c r="N1129" i="13" s="1"/>
  <c r="M1128" i="13"/>
  <c r="M1044" i="13"/>
  <c r="N1044" i="13" s="1"/>
  <c r="M1084" i="13"/>
  <c r="M1062" i="13"/>
  <c r="D64" i="13" s="1"/>
  <c r="M1054" i="13"/>
  <c r="D56" i="13" s="1"/>
  <c r="M1088" i="13"/>
  <c r="M1212" i="13"/>
  <c r="N1212" i="13" s="1"/>
  <c r="M1225" i="13"/>
  <c r="M1179" i="13"/>
  <c r="N1179" i="13" s="1"/>
  <c r="M1207" i="13"/>
  <c r="M1146" i="13"/>
  <c r="M1218" i="13"/>
  <c r="N1218" i="13" s="1"/>
  <c r="M1222" i="13"/>
  <c r="M1267" i="13"/>
  <c r="M1268" i="13"/>
  <c r="M1291" i="13"/>
  <c r="N1291" i="13" s="1"/>
  <c r="M1317" i="13"/>
  <c r="N1317" i="13" s="1"/>
  <c r="M1284" i="13"/>
  <c r="N1284" i="13" s="1"/>
  <c r="M1259" i="13"/>
  <c r="N1259" i="13" s="1"/>
  <c r="M1349" i="13"/>
  <c r="N1349" i="13" s="1"/>
  <c r="M1385" i="13"/>
  <c r="N1385" i="13" s="1"/>
  <c r="M18" i="13"/>
  <c r="N18" i="13" s="1"/>
  <c r="M26" i="13"/>
  <c r="N26" i="13" s="1"/>
  <c r="M34" i="13"/>
  <c r="N34" i="13" s="1"/>
  <c r="M42" i="13"/>
  <c r="N42" i="13" s="1"/>
  <c r="M50" i="13"/>
  <c r="N50" i="13" s="1"/>
  <c r="M58" i="13"/>
  <c r="N58" i="13" s="1"/>
  <c r="M82" i="13"/>
  <c r="N82" i="13" s="1"/>
  <c r="M90" i="13"/>
  <c r="M122" i="13"/>
  <c r="M138" i="13"/>
  <c r="N138" i="13" s="1"/>
  <c r="M154" i="13"/>
  <c r="N154" i="13" s="1"/>
  <c r="M186" i="13"/>
  <c r="N186" i="13" s="1"/>
  <c r="M194" i="13"/>
  <c r="N194" i="13" s="1"/>
  <c r="M210" i="13"/>
  <c r="N210" i="13" s="1"/>
  <c r="M285" i="13"/>
  <c r="N285" i="13" s="1"/>
  <c r="M287" i="13"/>
  <c r="N287" i="13" s="1"/>
  <c r="M253" i="13"/>
  <c r="M324" i="13"/>
  <c r="M295" i="13"/>
  <c r="N295" i="13" s="1"/>
  <c r="M259" i="13"/>
  <c r="N259" i="13" s="1"/>
  <c r="M297" i="13"/>
  <c r="M404" i="13"/>
  <c r="M382" i="13"/>
  <c r="N382" i="13" s="1"/>
  <c r="M380" i="13"/>
  <c r="N380" i="13" s="1"/>
  <c r="M335" i="13"/>
  <c r="M356" i="13"/>
  <c r="N356" i="13" s="1"/>
  <c r="M501" i="13"/>
  <c r="N501" i="13" s="1"/>
  <c r="M496" i="13"/>
  <c r="M434" i="13"/>
  <c r="N434" i="13" s="1"/>
  <c r="M439" i="13"/>
  <c r="N439" i="13" s="1"/>
  <c r="M485" i="13"/>
  <c r="N485" i="13" s="1"/>
  <c r="M442" i="13"/>
  <c r="M550" i="13"/>
  <c r="N550" i="13" s="1"/>
  <c r="M596" i="13"/>
  <c r="N596" i="13" s="1"/>
  <c r="M530" i="13"/>
  <c r="N530" i="13" s="1"/>
  <c r="M582" i="13"/>
  <c r="N582" i="13" s="1"/>
  <c r="M529" i="13"/>
  <c r="N529" i="13" s="1"/>
  <c r="M519" i="13"/>
  <c r="N519" i="13" s="1"/>
  <c r="M513" i="13"/>
  <c r="N513" i="13" s="1"/>
  <c r="M694" i="13"/>
  <c r="N694" i="13" s="1"/>
  <c r="M634" i="13"/>
  <c r="N634" i="13" s="1"/>
  <c r="M643" i="13"/>
  <c r="N643" i="13" s="1"/>
  <c r="M703" i="13"/>
  <c r="N703" i="13" s="1"/>
  <c r="M687" i="13"/>
  <c r="N687" i="13" s="1"/>
  <c r="M627" i="13"/>
  <c r="N627" i="13" s="1"/>
  <c r="M711" i="13"/>
  <c r="M770" i="13"/>
  <c r="N770" i="13" s="1"/>
  <c r="M774" i="13"/>
  <c r="M794" i="13"/>
  <c r="N794" i="13" s="1"/>
  <c r="M787" i="13"/>
  <c r="N787" i="13" s="1"/>
  <c r="M727" i="13"/>
  <c r="N727" i="13" s="1"/>
  <c r="M722" i="13"/>
  <c r="N722" i="13" s="1"/>
  <c r="M728" i="13"/>
  <c r="N728" i="13" s="1"/>
  <c r="M837" i="13"/>
  <c r="N837" i="13" s="1"/>
  <c r="M877" i="13"/>
  <c r="N877" i="13" s="1"/>
  <c r="M867" i="13"/>
  <c r="N867" i="13" s="1"/>
  <c r="M898" i="13"/>
  <c r="N898" i="13" s="1"/>
  <c r="M889" i="13"/>
  <c r="N889" i="13" s="1"/>
  <c r="M862" i="13"/>
  <c r="N862" i="13" s="1"/>
  <c r="M989" i="13"/>
  <c r="N989" i="13" s="1"/>
  <c r="M1027" i="13"/>
  <c r="N1027" i="13" s="1"/>
  <c r="M983" i="13"/>
  <c r="M947" i="13"/>
  <c r="N947" i="13" s="1"/>
  <c r="M931" i="13"/>
  <c r="M927" i="13"/>
  <c r="N927" i="13" s="1"/>
  <c r="M944" i="13"/>
  <c r="M1116" i="13"/>
  <c r="M1101" i="13"/>
  <c r="M1130" i="13"/>
  <c r="M1067" i="13"/>
  <c r="N1067" i="13" s="1"/>
  <c r="M1037" i="13"/>
  <c r="N1037" i="13" s="1"/>
  <c r="M1057" i="13"/>
  <c r="D61" i="13" s="1"/>
  <c r="M1120" i="13"/>
  <c r="N1120" i="13" s="1"/>
  <c r="M1159" i="13"/>
  <c r="N1159" i="13" s="1"/>
  <c r="M1223" i="13"/>
  <c r="N1223" i="13" s="1"/>
  <c r="M1233" i="13"/>
  <c r="N1233" i="13" s="1"/>
  <c r="M1214" i="13"/>
  <c r="M1191" i="13"/>
  <c r="M1131" i="13"/>
  <c r="M1224" i="13"/>
  <c r="N1224" i="13" s="1"/>
  <c r="M11" i="13"/>
  <c r="N11" i="13" s="1"/>
  <c r="M19" i="13"/>
  <c r="N19" i="13" s="1"/>
  <c r="M43" i="13"/>
  <c r="N43" i="13" s="1"/>
  <c r="M67" i="13"/>
  <c r="M75" i="13"/>
  <c r="N75" i="13" s="1"/>
  <c r="M91" i="13"/>
  <c r="M107" i="13"/>
  <c r="N107" i="13" s="1"/>
  <c r="M147" i="13"/>
  <c r="M155" i="13"/>
  <c r="M163" i="13"/>
  <c r="M179" i="13"/>
  <c r="N179" i="13" s="1"/>
  <c r="M195" i="13"/>
  <c r="N195" i="13" s="1"/>
  <c r="M203" i="13"/>
  <c r="N203" i="13" s="1"/>
  <c r="M298" i="13"/>
  <c r="N298" i="13" s="1"/>
  <c r="M311" i="13"/>
  <c r="N311" i="13" s="1"/>
  <c r="M257" i="13"/>
  <c r="N257" i="13" s="1"/>
  <c r="M325" i="13"/>
  <c r="M247" i="13"/>
  <c r="N247" i="13" s="1"/>
  <c r="M239" i="13"/>
  <c r="N239" i="13" s="1"/>
  <c r="M374" i="13"/>
  <c r="N374" i="13" s="1"/>
  <c r="M367" i="13"/>
  <c r="N367" i="13" s="1"/>
  <c r="M384" i="13"/>
  <c r="N384" i="13" s="1"/>
  <c r="M393" i="13"/>
  <c r="M364" i="13"/>
  <c r="M503" i="13"/>
  <c r="N503" i="13" s="1"/>
  <c r="M431" i="13"/>
  <c r="N431" i="13" s="1"/>
  <c r="M450" i="13"/>
  <c r="N450" i="13" s="1"/>
  <c r="M419" i="13"/>
  <c r="N419" i="13" s="1"/>
  <c r="M462" i="13"/>
  <c r="N462" i="13" s="1"/>
  <c r="M557" i="13"/>
  <c r="M561" i="13"/>
  <c r="N561" i="13" s="1"/>
  <c r="M534" i="13"/>
  <c r="N534" i="13" s="1"/>
  <c r="M527" i="13"/>
  <c r="N527" i="13" s="1"/>
  <c r="M576" i="13"/>
  <c r="N576" i="13" s="1"/>
  <c r="M603" i="13"/>
  <c r="N603" i="13" s="1"/>
  <c r="M625" i="13"/>
  <c r="N625" i="13" s="1"/>
  <c r="M646" i="13"/>
  <c r="N646" i="13" s="1"/>
  <c r="M696" i="13"/>
  <c r="N696" i="13" s="1"/>
  <c r="M712" i="13"/>
  <c r="N712" i="13" s="1"/>
  <c r="M707" i="13"/>
  <c r="N707" i="13" s="1"/>
  <c r="M636" i="13"/>
  <c r="N636" i="13" s="1"/>
  <c r="M784" i="13"/>
  <c r="N784" i="13" s="1"/>
  <c r="M795" i="13"/>
  <c r="N795" i="13" s="1"/>
  <c r="M789" i="13"/>
  <c r="N789" i="13" s="1"/>
  <c r="M804" i="13"/>
  <c r="N804" i="13" s="1"/>
  <c r="M772" i="13"/>
  <c r="N772" i="13" s="1"/>
  <c r="M759" i="13"/>
  <c r="N759" i="13" s="1"/>
  <c r="M890" i="13"/>
  <c r="N890" i="13" s="1"/>
  <c r="M840" i="13"/>
  <c r="N840" i="13" s="1"/>
  <c r="M831" i="13"/>
  <c r="N831" i="13" s="1"/>
  <c r="M901" i="13"/>
  <c r="M865" i="13"/>
  <c r="M823" i="13"/>
  <c r="M991" i="13"/>
  <c r="N991" i="13" s="1"/>
  <c r="M956" i="13"/>
  <c r="M1008" i="13"/>
  <c r="M1012" i="13"/>
  <c r="M976" i="13"/>
  <c r="M981" i="13"/>
  <c r="M1115" i="13"/>
  <c r="N1115" i="13" s="1"/>
  <c r="M1055" i="13"/>
  <c r="N1055" i="13" s="1"/>
  <c r="M1068" i="13"/>
  <c r="M1109" i="13"/>
  <c r="N1109" i="13" s="1"/>
  <c r="M12" i="13"/>
  <c r="M20" i="13"/>
  <c r="N20" i="13" s="1"/>
  <c r="M28" i="13"/>
  <c r="N28" i="13" s="1"/>
  <c r="M36" i="13"/>
  <c r="N36" i="13" s="1"/>
  <c r="M60" i="13"/>
  <c r="N60" i="13" s="1"/>
  <c r="M116" i="13"/>
  <c r="M124" i="13"/>
  <c r="M132" i="13"/>
  <c r="N132" i="13" s="1"/>
  <c r="M140" i="13"/>
  <c r="N140" i="13" s="1"/>
  <c r="M148" i="13"/>
  <c r="M164" i="13"/>
  <c r="N164" i="13" s="1"/>
  <c r="M204" i="13"/>
  <c r="N204" i="13" s="1"/>
  <c r="M212" i="13"/>
  <c r="N212" i="13" s="1"/>
  <c r="M220" i="13"/>
  <c r="N220" i="13" s="1"/>
  <c r="M228" i="13"/>
  <c r="N228" i="13" s="1"/>
  <c r="M300" i="13"/>
  <c r="N300" i="13" s="1"/>
  <c r="M243" i="13"/>
  <c r="N243" i="13" s="1"/>
  <c r="M315" i="13"/>
  <c r="M255" i="13"/>
  <c r="N255" i="13" s="1"/>
  <c r="M249" i="13"/>
  <c r="N249" i="13" s="1"/>
  <c r="M268" i="13"/>
  <c r="N268" i="13" s="1"/>
  <c r="M342" i="13"/>
  <c r="N342" i="13" s="1"/>
  <c r="M369" i="13"/>
  <c r="N369" i="13" s="1"/>
  <c r="M392" i="13"/>
  <c r="N392" i="13" s="1"/>
  <c r="M340" i="13"/>
  <c r="M368" i="13"/>
  <c r="M478" i="13"/>
  <c r="N478" i="13" s="1"/>
  <c r="M424" i="13"/>
  <c r="N424" i="13" s="1"/>
  <c r="M436" i="13"/>
  <c r="M447" i="13"/>
  <c r="N447" i="13" s="1"/>
  <c r="M448" i="13"/>
  <c r="N448" i="13" s="1"/>
  <c r="M466" i="13"/>
  <c r="M577" i="13"/>
  <c r="N577" i="13" s="1"/>
  <c r="M607" i="13"/>
  <c r="M538" i="13"/>
  <c r="M588" i="13"/>
  <c r="N588" i="13" s="1"/>
  <c r="M583" i="13"/>
  <c r="N583" i="13" s="1"/>
  <c r="M526" i="13"/>
  <c r="N526" i="13" s="1"/>
  <c r="M658" i="13"/>
  <c r="N658" i="13" s="1"/>
  <c r="M704" i="13"/>
  <c r="N704" i="13" s="1"/>
  <c r="M644" i="13"/>
  <c r="N644" i="13" s="1"/>
  <c r="M713" i="13"/>
  <c r="N713" i="13" s="1"/>
  <c r="M679" i="13"/>
  <c r="N679" i="13" s="1"/>
  <c r="M665" i="13"/>
  <c r="M669" i="13"/>
  <c r="N669" i="13" s="1"/>
  <c r="M786" i="13"/>
  <c r="N786" i="13" s="1"/>
  <c r="M763" i="13"/>
  <c r="N763" i="13" s="1"/>
  <c r="M724" i="13"/>
  <c r="M741" i="13"/>
  <c r="N741" i="13" s="1"/>
  <c r="M730" i="13"/>
  <c r="N730" i="13" s="1"/>
  <c r="M720" i="13"/>
  <c r="N720" i="13" s="1"/>
  <c r="M811" i="13"/>
  <c r="N811" i="13" s="1"/>
  <c r="M888" i="13"/>
  <c r="N888" i="13" s="1"/>
  <c r="M875" i="13"/>
  <c r="N875" i="13" s="1"/>
  <c r="M871" i="13"/>
  <c r="N871" i="13" s="1"/>
  <c r="M859" i="13"/>
  <c r="M848" i="13"/>
  <c r="N848" i="13" s="1"/>
  <c r="M850" i="13"/>
  <c r="M1003" i="13"/>
  <c r="M1026" i="13"/>
  <c r="N1026" i="13" s="1"/>
  <c r="M1009" i="13"/>
  <c r="N1009" i="13" s="1"/>
  <c r="M940" i="13"/>
  <c r="M926" i="13"/>
  <c r="M986" i="13"/>
  <c r="M1047" i="13"/>
  <c r="M1098" i="13"/>
  <c r="M1043" i="13"/>
  <c r="M1104" i="13"/>
  <c r="M1076" i="13"/>
  <c r="M1059" i="13"/>
  <c r="N1059" i="13" s="1"/>
  <c r="M1197" i="13"/>
  <c r="M1186" i="13"/>
  <c r="M1149" i="13"/>
  <c r="M1184" i="13"/>
  <c r="M1165" i="13"/>
  <c r="M1219" i="13"/>
  <c r="M1210" i="13"/>
  <c r="N1210" i="13" s="1"/>
  <c r="M1304" i="13"/>
  <c r="N1304" i="13" s="1"/>
  <c r="M1296" i="13"/>
  <c r="N1296" i="13" s="1"/>
  <c r="M1273" i="13"/>
  <c r="N1273" i="13" s="1"/>
  <c r="M13" i="13"/>
  <c r="N13" i="13" s="1"/>
  <c r="M37" i="13"/>
  <c r="N37" i="13" s="1"/>
  <c r="M45" i="13"/>
  <c r="N45" i="13" s="1"/>
  <c r="M53" i="13"/>
  <c r="N53" i="13" s="1"/>
  <c r="M77" i="13"/>
  <c r="N77" i="13" s="1"/>
  <c r="M93" i="13"/>
  <c r="M101" i="13"/>
  <c r="M109" i="13"/>
  <c r="N109" i="13" s="1"/>
  <c r="M117" i="13"/>
  <c r="M141" i="13"/>
  <c r="N141" i="13" s="1"/>
  <c r="M149" i="13"/>
  <c r="M181" i="13"/>
  <c r="N181" i="13" s="1"/>
  <c r="M205" i="13"/>
  <c r="N205" i="13" s="1"/>
  <c r="M213" i="13"/>
  <c r="N213" i="13" s="1"/>
  <c r="M229" i="13"/>
  <c r="N229" i="13" s="1"/>
  <c r="M308" i="13"/>
  <c r="N308" i="13" s="1"/>
  <c r="M290" i="13"/>
  <c r="N290" i="13" s="1"/>
  <c r="M319" i="13"/>
  <c r="N319" i="13" s="1"/>
  <c r="M327" i="13"/>
  <c r="N327" i="13" s="1"/>
  <c r="M291" i="13"/>
  <c r="M237" i="13"/>
  <c r="N237" i="13" s="1"/>
  <c r="M375" i="13"/>
  <c r="N375" i="13" s="1"/>
  <c r="M387" i="13"/>
  <c r="M363" i="13"/>
  <c r="N363" i="13" s="1"/>
  <c r="M365" i="13"/>
  <c r="M334" i="13"/>
  <c r="N334" i="13" s="1"/>
  <c r="M487" i="13"/>
  <c r="N487" i="13" s="1"/>
  <c r="M505" i="13"/>
  <c r="N505" i="13" s="1"/>
  <c r="M489" i="13"/>
  <c r="N489" i="13" s="1"/>
  <c r="M418" i="13"/>
  <c r="N418" i="13" s="1"/>
  <c r="M416" i="13"/>
  <c r="M420" i="13"/>
  <c r="N420" i="13" s="1"/>
  <c r="M579" i="13"/>
  <c r="N579" i="13" s="1"/>
  <c r="M524" i="13"/>
  <c r="N524" i="13" s="1"/>
  <c r="M609" i="13"/>
  <c r="N609" i="13" s="1"/>
  <c r="M594" i="13"/>
  <c r="N594" i="13" s="1"/>
  <c r="M562" i="13"/>
  <c r="N562" i="13" s="1"/>
  <c r="M656" i="13"/>
  <c r="N656" i="13" s="1"/>
  <c r="M629" i="13"/>
  <c r="N629" i="13" s="1"/>
  <c r="M692" i="13"/>
  <c r="N692" i="13" s="1"/>
  <c r="M668" i="13"/>
  <c r="N668" i="13" s="1"/>
  <c r="M653" i="13"/>
  <c r="M614" i="13"/>
  <c r="N614" i="13" s="1"/>
  <c r="M674" i="13"/>
  <c r="N674" i="13" s="1"/>
  <c r="M797" i="13"/>
  <c r="N797" i="13" s="1"/>
  <c r="M776" i="13"/>
  <c r="N776" i="13" s="1"/>
  <c r="M802" i="13"/>
  <c r="N802" i="13" s="1"/>
  <c r="M790" i="13"/>
  <c r="M814" i="13"/>
  <c r="N814" i="13" s="1"/>
  <c r="M742" i="13"/>
  <c r="N742" i="13" s="1"/>
  <c r="M844" i="13"/>
  <c r="N844" i="13" s="1"/>
  <c r="M925" i="13"/>
  <c r="N925" i="13" s="1"/>
  <c r="M849" i="13"/>
  <c r="N849" i="13" s="1"/>
  <c r="M909" i="13"/>
  <c r="N909" i="13" s="1"/>
  <c r="M830" i="13"/>
  <c r="N830" i="13" s="1"/>
  <c r="M855" i="13"/>
  <c r="M899" i="13"/>
  <c r="N899" i="13" s="1"/>
  <c r="M949" i="13"/>
  <c r="N949" i="13" s="1"/>
  <c r="M1025" i="13"/>
  <c r="N1025" i="13" s="1"/>
  <c r="M1014" i="13"/>
  <c r="M973" i="13"/>
  <c r="M1024" i="13"/>
  <c r="M1001" i="13"/>
  <c r="M1122" i="13"/>
  <c r="M1114" i="13"/>
  <c r="M1078" i="13"/>
  <c r="M1086" i="13"/>
  <c r="M1077" i="13"/>
  <c r="N1077" i="13" s="1"/>
  <c r="M1174" i="13"/>
  <c r="M1211" i="13"/>
  <c r="N1211" i="13" s="1"/>
  <c r="M1167" i="13"/>
  <c r="N1167" i="13" s="1"/>
  <c r="M1135" i="13"/>
  <c r="M1144" i="13"/>
  <c r="N1144" i="13" s="1"/>
  <c r="M1215" i="13"/>
  <c r="M1230" i="13"/>
  <c r="N1230" i="13" s="1"/>
  <c r="M1257" i="13"/>
  <c r="N1257" i="13" s="1"/>
  <c r="M1258" i="13"/>
  <c r="M1320" i="13"/>
  <c r="N1320" i="13" s="1"/>
  <c r="M1313" i="13"/>
  <c r="N1313" i="13" s="1"/>
  <c r="M1247" i="13"/>
  <c r="M14" i="13"/>
  <c r="N14" i="13" s="1"/>
  <c r="M22" i="13"/>
  <c r="N22" i="13" s="1"/>
  <c r="M54" i="13"/>
  <c r="N54" i="13" s="1"/>
  <c r="M62" i="13"/>
  <c r="N62" i="13" s="1"/>
  <c r="M110" i="13"/>
  <c r="M126" i="13"/>
  <c r="M174" i="13"/>
  <c r="N174" i="13" s="1"/>
  <c r="M190" i="13"/>
  <c r="N190" i="13" s="1"/>
  <c r="M206" i="13"/>
  <c r="N206" i="13" s="1"/>
  <c r="M214" i="13"/>
  <c r="N214" i="13" s="1"/>
  <c r="M222" i="13"/>
  <c r="N222" i="13" s="1"/>
  <c r="M230" i="13"/>
  <c r="N230" i="13" s="1"/>
  <c r="M270" i="13"/>
  <c r="N270" i="13" s="1"/>
  <c r="M288" i="13"/>
  <c r="N288" i="13" s="1"/>
  <c r="M329" i="13"/>
  <c r="N329" i="13" s="1"/>
  <c r="M328" i="13"/>
  <c r="N328" i="13" s="1"/>
  <c r="M238" i="13"/>
  <c r="N238" i="13" s="1"/>
  <c r="M269" i="13"/>
  <c r="M390" i="13"/>
  <c r="N390" i="13" s="1"/>
  <c r="M361" i="13"/>
  <c r="N361" i="13" s="1"/>
  <c r="M331" i="13"/>
  <c r="N331" i="13" s="1"/>
  <c r="M366" i="13"/>
  <c r="N366" i="13" s="1"/>
  <c r="M362" i="13"/>
  <c r="N362" i="13" s="1"/>
  <c r="M510" i="13"/>
  <c r="N510" i="13" s="1"/>
  <c r="M506" i="13"/>
  <c r="M423" i="13"/>
  <c r="M443" i="13"/>
  <c r="N443" i="13" s="1"/>
  <c r="M452" i="13"/>
  <c r="M458" i="13"/>
  <c r="M598" i="13"/>
  <c r="N598" i="13" s="1"/>
  <c r="M589" i="13"/>
  <c r="N589" i="13" s="1"/>
  <c r="M563" i="13"/>
  <c r="N563" i="13" s="1"/>
  <c r="M587" i="13"/>
  <c r="M515" i="13"/>
  <c r="N515" i="13" s="1"/>
  <c r="M537" i="13"/>
  <c r="N537" i="13" s="1"/>
  <c r="M630" i="13"/>
  <c r="N630" i="13" s="1"/>
  <c r="M691" i="13"/>
  <c r="N691" i="13" s="1"/>
  <c r="M718" i="13"/>
  <c r="N718" i="13" s="1"/>
  <c r="M655" i="13"/>
  <c r="M633" i="13"/>
  <c r="N633" i="13" s="1"/>
  <c r="M660" i="13"/>
  <c r="N660" i="13" s="1"/>
  <c r="M715" i="13"/>
  <c r="M690" i="13"/>
  <c r="N690" i="13" s="1"/>
  <c r="M749" i="13"/>
  <c r="N749" i="13" s="1"/>
  <c r="M819" i="13"/>
  <c r="M810" i="13"/>
  <c r="N810" i="13" s="1"/>
  <c r="M793" i="13"/>
  <c r="N793" i="13" s="1"/>
  <c r="M745" i="13"/>
  <c r="N745" i="13" s="1"/>
  <c r="M736" i="13"/>
  <c r="N736" i="13" s="1"/>
  <c r="M833" i="13"/>
  <c r="N833" i="13" s="1"/>
  <c r="M851" i="13"/>
  <c r="N851" i="13" s="1"/>
  <c r="M908" i="13"/>
  <c r="N908" i="13" s="1"/>
  <c r="M857" i="13"/>
  <c r="N857" i="13" s="1"/>
  <c r="M860" i="13"/>
  <c r="N860" i="13" s="1"/>
  <c r="M843" i="13"/>
  <c r="M1005" i="13"/>
  <c r="M990" i="13"/>
  <c r="N990" i="13" s="1"/>
  <c r="M972" i="13"/>
  <c r="N972" i="13" s="1"/>
  <c r="M1011" i="13"/>
  <c r="M929" i="13"/>
  <c r="N929" i="13" s="1"/>
  <c r="M948" i="13"/>
  <c r="N948" i="13" s="1"/>
  <c r="M960" i="13"/>
  <c r="M1124" i="13"/>
  <c r="M1058" i="13"/>
  <c r="M1089" i="13"/>
  <c r="M1074" i="13"/>
  <c r="D73" i="13" s="1"/>
  <c r="M1034" i="13"/>
  <c r="M1094" i="13"/>
  <c r="M1185" i="13"/>
  <c r="N1185" i="13" s="1"/>
  <c r="M1187" i="13"/>
  <c r="M1175" i="13"/>
  <c r="N1175" i="13" s="1"/>
  <c r="M1203" i="13"/>
  <c r="N1203" i="13" s="1"/>
  <c r="M1180" i="13"/>
  <c r="N1180" i="13" s="1"/>
  <c r="M15" i="13"/>
  <c r="N15" i="13" s="1"/>
  <c r="M39" i="13"/>
  <c r="N39" i="13" s="1"/>
  <c r="M55" i="13"/>
  <c r="N55" i="13" s="1"/>
  <c r="M63" i="13"/>
  <c r="N63" i="13" s="1"/>
  <c r="M95" i="13"/>
  <c r="M103" i="13"/>
  <c r="M111" i="13"/>
  <c r="M119" i="13"/>
  <c r="M135" i="13"/>
  <c r="N135" i="13" s="1"/>
  <c r="M151" i="13"/>
  <c r="M159" i="13"/>
  <c r="M175" i="13"/>
  <c r="N175" i="13" s="1"/>
  <c r="M183" i="13"/>
  <c r="N183" i="13" s="1"/>
  <c r="M199" i="13"/>
  <c r="N199" i="13" s="1"/>
  <c r="M215" i="13"/>
  <c r="N215" i="13" s="1"/>
  <c r="M223" i="13"/>
  <c r="N223" i="13" s="1"/>
  <c r="M310" i="13"/>
  <c r="N310" i="13" s="1"/>
  <c r="M299" i="13"/>
  <c r="N299" i="13" s="1"/>
  <c r="M251" i="13"/>
  <c r="M322" i="13"/>
  <c r="N322" i="13" s="1"/>
  <c r="M282" i="13"/>
  <c r="M293" i="13"/>
  <c r="M400" i="13"/>
  <c r="N400" i="13" s="1"/>
  <c r="M376" i="13"/>
  <c r="N376" i="13" s="1"/>
  <c r="M401" i="13"/>
  <c r="N401" i="13" s="1"/>
  <c r="M373" i="13"/>
  <c r="M398" i="13"/>
  <c r="M492" i="13"/>
  <c r="M480" i="13"/>
  <c r="N480" i="13" s="1"/>
  <c r="M511" i="13"/>
  <c r="N511" i="13" s="1"/>
  <c r="M425" i="13"/>
  <c r="N425" i="13" s="1"/>
  <c r="M481" i="13"/>
  <c r="N481" i="13" s="1"/>
  <c r="M499" i="13"/>
  <c r="N499" i="13" s="1"/>
  <c r="M541" i="13"/>
  <c r="N541" i="13" s="1"/>
  <c r="M585" i="13"/>
  <c r="M567" i="13"/>
  <c r="N567" i="13" s="1"/>
  <c r="M547" i="13"/>
  <c r="N547" i="13" s="1"/>
  <c r="M604" i="13"/>
  <c r="M565" i="13"/>
  <c r="N565" i="13" s="1"/>
  <c r="M624" i="13"/>
  <c r="N624" i="13" s="1"/>
  <c r="M640" i="13"/>
  <c r="N640" i="13" s="1"/>
  <c r="M659" i="13"/>
  <c r="N659" i="13" s="1"/>
  <c r="M716" i="13"/>
  <c r="N716" i="13" s="1"/>
  <c r="M671" i="13"/>
  <c r="N671" i="13" s="1"/>
  <c r="M651" i="13"/>
  <c r="N651" i="13" s="1"/>
  <c r="M800" i="13"/>
  <c r="N800" i="13" s="1"/>
  <c r="M785" i="13"/>
  <c r="M782" i="13"/>
  <c r="M807" i="13"/>
  <c r="M798" i="13"/>
  <c r="N798" i="13" s="1"/>
  <c r="M748" i="13"/>
  <c r="N748" i="13" s="1"/>
  <c r="M842" i="13"/>
  <c r="N842" i="13" s="1"/>
  <c r="M835" i="13"/>
  <c r="N835" i="13" s="1"/>
  <c r="M900" i="13"/>
  <c r="N900" i="13" s="1"/>
  <c r="M861" i="13"/>
  <c r="N861" i="13" s="1"/>
  <c r="M874" i="13"/>
  <c r="M834" i="13"/>
  <c r="M982" i="13"/>
  <c r="N982" i="13" s="1"/>
  <c r="M969" i="13"/>
  <c r="N969" i="13" s="1"/>
  <c r="M953" i="13"/>
  <c r="N953" i="13" s="1"/>
  <c r="M965" i="13"/>
  <c r="N965" i="13" s="1"/>
  <c r="M1015" i="13"/>
  <c r="M979" i="13"/>
  <c r="M1013" i="13"/>
  <c r="M1107" i="13"/>
  <c r="M1051" i="13"/>
  <c r="M1065" i="13"/>
  <c r="M1085" i="13"/>
  <c r="N1085" i="13" s="1"/>
  <c r="M1092" i="13"/>
  <c r="N1092" i="13" s="1"/>
  <c r="M1082" i="13"/>
  <c r="M1099" i="13"/>
  <c r="N1099" i="13" s="1"/>
  <c r="M1200" i="13"/>
  <c r="N1200" i="13" s="1"/>
  <c r="M1231" i="13"/>
  <c r="M1183" i="13"/>
  <c r="M1204" i="13"/>
  <c r="M1196" i="13"/>
  <c r="N1196" i="13" s="1"/>
  <c r="M1045" i="13"/>
  <c r="M1137" i="13"/>
  <c r="M1153" i="13"/>
  <c r="N1153" i="13" s="1"/>
  <c r="M1249" i="13"/>
  <c r="N1249" i="13" s="1"/>
  <c r="M1264" i="13"/>
  <c r="N1264" i="13" s="1"/>
  <c r="M1240" i="13"/>
  <c r="N1240" i="13" s="1"/>
  <c r="M1237" i="13"/>
  <c r="N1237" i="13" s="1"/>
  <c r="M1282" i="13"/>
  <c r="M1409" i="13"/>
  <c r="N1409" i="13" s="1"/>
  <c r="M1423" i="13"/>
  <c r="N1423" i="13" s="1"/>
  <c r="M1424" i="13"/>
  <c r="M1353" i="13"/>
  <c r="N1353" i="13" s="1"/>
  <c r="M1418" i="13"/>
  <c r="N1418" i="13" s="1"/>
  <c r="M1272" i="13"/>
  <c r="N1272" i="13" s="1"/>
  <c r="M1213" i="13"/>
  <c r="M1235" i="13"/>
  <c r="M1232" i="13"/>
  <c r="N1232" i="13" s="1"/>
  <c r="M1300" i="13"/>
  <c r="M1287" i="13"/>
  <c r="M1325" i="13"/>
  <c r="M1407" i="13"/>
  <c r="M1388" i="13"/>
  <c r="M1355" i="13"/>
  <c r="N1355" i="13" s="1"/>
  <c r="M1399" i="13"/>
  <c r="N1399" i="13" s="1"/>
  <c r="M1415" i="13"/>
  <c r="M1414" i="13"/>
  <c r="N1414" i="13" s="1"/>
  <c r="M1202" i="13"/>
  <c r="N1202" i="13" s="1"/>
  <c r="M1192" i="13"/>
  <c r="N1192" i="13" s="1"/>
  <c r="M1177" i="13"/>
  <c r="M1322" i="13"/>
  <c r="N1322" i="13" s="1"/>
  <c r="M1242" i="13"/>
  <c r="N1242" i="13" s="1"/>
  <c r="M1360" i="13"/>
  <c r="N1360" i="13" s="1"/>
  <c r="M1338" i="13"/>
  <c r="M1343" i="13"/>
  <c r="M1389" i="13"/>
  <c r="M1386" i="13"/>
  <c r="N1386" i="13" s="1"/>
  <c r="M1311" i="13"/>
  <c r="N1311" i="13" s="1"/>
  <c r="M1239" i="13"/>
  <c r="N1239" i="13" s="1"/>
  <c r="M1270" i="13"/>
  <c r="M1379" i="13"/>
  <c r="M1201" i="13"/>
  <c r="N1201" i="13" s="1"/>
  <c r="M1160" i="13"/>
  <c r="M1228" i="13"/>
  <c r="M1314" i="13"/>
  <c r="N1314" i="13" s="1"/>
  <c r="M1250" i="13"/>
  <c r="N1250" i="13" s="1"/>
  <c r="M1357" i="13"/>
  <c r="M1402" i="13"/>
  <c r="N1402" i="13" s="1"/>
  <c r="M1365" i="13"/>
  <c r="M1410" i="13"/>
  <c r="N1410" i="13" s="1"/>
  <c r="M1351" i="13"/>
  <c r="M1369" i="13"/>
  <c r="M1154" i="13"/>
  <c r="N1154" i="13" s="1"/>
  <c r="M1294" i="13"/>
  <c r="N1294" i="13" s="1"/>
  <c r="M1260" i="13"/>
  <c r="N1260" i="13" s="1"/>
  <c r="M1315" i="13"/>
  <c r="M1283" i="13"/>
  <c r="M1271" i="13"/>
  <c r="M1361" i="13"/>
  <c r="N1361" i="13" s="1"/>
  <c r="M1403" i="13"/>
  <c r="N1403" i="13" s="1"/>
  <c r="M1375" i="13"/>
  <c r="M1411" i="13"/>
  <c r="M1234" i="13"/>
  <c r="N1234" i="13" s="1"/>
  <c r="M1171" i="13"/>
  <c r="M1318" i="13"/>
  <c r="M1244" i="13"/>
  <c r="N1244" i="13" s="1"/>
  <c r="M1321" i="13"/>
  <c r="N1321" i="13" s="1"/>
  <c r="M1266" i="13"/>
  <c r="N1266" i="13" s="1"/>
  <c r="M1276" i="13"/>
  <c r="N1276" i="13" s="1"/>
  <c r="M1368" i="13"/>
  <c r="M1339" i="13"/>
  <c r="N1339" i="13" s="1"/>
  <c r="M1371" i="13"/>
  <c r="N1371" i="13" s="1"/>
  <c r="M1364" i="13"/>
  <c r="N1364" i="13" s="1"/>
  <c r="M1073" i="13"/>
  <c r="N1073" i="13" s="1"/>
  <c r="M1297" i="13"/>
  <c r="M1064" i="13"/>
  <c r="N1064" i="13" s="1"/>
  <c r="M1172" i="13"/>
  <c r="N1172" i="13" s="1"/>
  <c r="M1263" i="13"/>
  <c r="N1263" i="13" s="1"/>
  <c r="M1241" i="13"/>
  <c r="M1326" i="13"/>
  <c r="N1326" i="13" s="1"/>
  <c r="M1238" i="13"/>
  <c r="N1238" i="13" s="1"/>
  <c r="M1286" i="13"/>
  <c r="M1421" i="13"/>
  <c r="M1376" i="13"/>
  <c r="M1405" i="13"/>
  <c r="N1405" i="13" s="1"/>
  <c r="M1344" i="13"/>
  <c r="N1344" i="13" s="1"/>
  <c r="M1413" i="13"/>
  <c r="M1188" i="13"/>
  <c r="N1188" i="13" s="1"/>
  <c r="M1412" i="13"/>
  <c r="N1412" i="13" s="1"/>
  <c r="O139" i="14"/>
  <c r="O141" i="14"/>
  <c r="O217" i="14"/>
  <c r="O237" i="14"/>
  <c r="O191" i="14"/>
  <c r="O169" i="14"/>
  <c r="O154" i="14"/>
  <c r="O238" i="14"/>
  <c r="O423" i="14"/>
  <c r="O506" i="14"/>
  <c r="O477" i="14"/>
  <c r="O533" i="14"/>
  <c r="O496" i="14"/>
  <c r="O574" i="14"/>
  <c r="O703" i="14"/>
  <c r="O805" i="14"/>
  <c r="O865" i="14"/>
  <c r="O910" i="14"/>
  <c r="O887" i="14"/>
  <c r="O166" i="14"/>
  <c r="O519" i="14"/>
  <c r="O402" i="14"/>
  <c r="O606" i="14"/>
  <c r="O616" i="14"/>
  <c r="O721" i="14"/>
  <c r="O726" i="14"/>
  <c r="O816" i="14"/>
  <c r="O924" i="14"/>
  <c r="O933" i="14"/>
  <c r="O945" i="14"/>
  <c r="O201" i="14"/>
  <c r="O149" i="14"/>
  <c r="O135" i="14"/>
  <c r="O215" i="14"/>
  <c r="O315" i="14"/>
  <c r="O504" i="14"/>
  <c r="O498" i="14"/>
  <c r="O575" i="14"/>
  <c r="O628" i="14"/>
  <c r="O824" i="14"/>
  <c r="O904" i="14"/>
  <c r="O901" i="14"/>
  <c r="O956" i="14"/>
  <c r="O198" i="14"/>
  <c r="O140" i="14"/>
  <c r="O290" i="14"/>
  <c r="O569" i="14"/>
  <c r="O444" i="14"/>
  <c r="O456" i="14"/>
  <c r="O491" i="14"/>
  <c r="O489" i="14"/>
  <c r="O671" i="14"/>
  <c r="O737" i="14"/>
  <c r="O829" i="14"/>
  <c r="O952" i="14"/>
  <c r="O917" i="14"/>
  <c r="O555" i="14"/>
  <c r="O633" i="14"/>
  <c r="O687" i="14"/>
  <c r="O916" i="14"/>
  <c r="O1012" i="14"/>
  <c r="O184" i="14"/>
  <c r="O391" i="14"/>
  <c r="O942" i="14"/>
  <c r="O919" i="14"/>
  <c r="O177" i="14"/>
  <c r="O254" i="14"/>
  <c r="O451" i="14"/>
  <c r="O403" i="14"/>
  <c r="O462" i="14"/>
  <c r="O408" i="14"/>
  <c r="O831" i="14"/>
  <c r="O882" i="14"/>
  <c r="O388" i="14"/>
  <c r="O741" i="14"/>
  <c r="O598" i="14"/>
  <c r="O856" i="14"/>
  <c r="O796" i="14"/>
  <c r="O236" i="14"/>
  <c r="O514" i="14"/>
  <c r="O483" i="14"/>
  <c r="O572" i="14"/>
  <c r="O715" i="14"/>
  <c r="O835" i="14"/>
  <c r="O927" i="14"/>
  <c r="O1057" i="14"/>
  <c r="O1043" i="14"/>
  <c r="O138" i="14"/>
  <c r="O396" i="14"/>
  <c r="O392" i="14"/>
  <c r="O610" i="14"/>
  <c r="O691" i="14"/>
  <c r="O690" i="14"/>
  <c r="O940" i="14"/>
  <c r="N187" i="13"/>
  <c r="N192" i="13"/>
  <c r="N304" i="13"/>
  <c r="N445" i="13"/>
  <c r="N440" i="13"/>
  <c r="N497" i="13"/>
  <c r="N516" i="13"/>
  <c r="N672" i="13"/>
  <c r="N700" i="13"/>
  <c r="N666" i="13"/>
  <c r="N820" i="13"/>
  <c r="N202" i="13"/>
  <c r="N216" i="13"/>
  <c r="N507" i="13"/>
  <c r="N459" i="13"/>
  <c r="N605" i="13"/>
  <c r="N593" i="13"/>
  <c r="N556" i="13"/>
  <c r="N708" i="13"/>
  <c r="N682" i="13"/>
  <c r="N649" i="13"/>
  <c r="N815" i="13"/>
  <c r="N734" i="13"/>
  <c r="N732" i="13"/>
  <c r="N906" i="13"/>
  <c r="N904" i="13"/>
  <c r="N165" i="13"/>
  <c r="N316" i="13"/>
  <c r="N348" i="13"/>
  <c r="N468" i="13"/>
  <c r="N408" i="13"/>
  <c r="N495" i="13"/>
  <c r="N553" i="13"/>
  <c r="N540" i="13"/>
  <c r="N667" i="13"/>
  <c r="N590" i="13"/>
  <c r="N663" i="13"/>
  <c r="N574" i="13"/>
  <c r="N747" i="13"/>
  <c r="N818" i="13"/>
  <c r="N735" i="13"/>
  <c r="N801" i="13"/>
  <c r="N933" i="13"/>
  <c r="N1123" i="13"/>
  <c r="N381" i="13"/>
  <c r="N491" i="13"/>
  <c r="N520" i="13"/>
  <c r="N617" i="13"/>
  <c r="N755" i="13"/>
  <c r="N911" i="13"/>
  <c r="N219" i="13"/>
  <c r="N359" i="13"/>
  <c r="N568" i="13"/>
  <c r="N647" i="13"/>
  <c r="N719" i="13"/>
  <c r="N767" i="13"/>
  <c r="N806" i="13"/>
  <c r="N200" i="13"/>
  <c r="N170" i="13"/>
  <c r="N333" i="13"/>
  <c r="N463" i="13"/>
  <c r="N592" i="13"/>
  <c r="N701" i="13"/>
  <c r="N686" i="13"/>
  <c r="N746" i="13"/>
  <c r="N1105" i="13"/>
  <c r="N197" i="13"/>
  <c r="N372" i="13"/>
  <c r="N595" i="13"/>
  <c r="N544" i="13"/>
  <c r="N808" i="13"/>
  <c r="N764" i="13"/>
  <c r="N788" i="13"/>
  <c r="N914" i="13"/>
  <c r="N196" i="13"/>
  <c r="N227" i="13"/>
  <c r="N414" i="13"/>
  <c r="N432" i="13"/>
  <c r="N654" i="13"/>
  <c r="N777" i="13"/>
  <c r="N731" i="13"/>
  <c r="N775" i="13"/>
  <c r="N171" i="13"/>
  <c r="N218" i="13"/>
  <c r="N536" i="13"/>
  <c r="N612" i="13"/>
  <c r="N729" i="13"/>
  <c r="N1106" i="13"/>
  <c r="N173" i="13"/>
  <c r="N182" i="13"/>
  <c r="N339" i="13"/>
  <c r="N410" i="13"/>
  <c r="N517" i="13"/>
  <c r="N622" i="13"/>
  <c r="N652" i="13"/>
  <c r="N817" i="13"/>
  <c r="N891" i="13"/>
  <c r="N217" i="13"/>
  <c r="N318" i="13"/>
  <c r="N279" i="13"/>
  <c r="N645" i="13"/>
  <c r="N698" i="13"/>
  <c r="N661" i="13"/>
  <c r="N752" i="13"/>
  <c r="N769" i="13"/>
  <c r="N910" i="13"/>
  <c r="D11" i="19" a="1"/>
  <c r="D11" i="19" s="1"/>
  <c r="O96" i="14"/>
  <c r="O112" i="14"/>
  <c r="O193" i="14"/>
  <c r="O373" i="14"/>
  <c r="O338" i="14"/>
  <c r="O317" i="14"/>
  <c r="O472" i="14"/>
  <c r="O461" i="14"/>
  <c r="O386" i="14"/>
  <c r="O562" i="14"/>
  <c r="O487" i="14"/>
  <c r="O508" i="14"/>
  <c r="O699" i="14"/>
  <c r="O757" i="14"/>
  <c r="O733" i="14"/>
  <c r="O754" i="14"/>
  <c r="O828" i="14"/>
  <c r="O892" i="14"/>
  <c r="O97" i="14"/>
  <c r="O113" i="14"/>
  <c r="O189" i="14"/>
  <c r="O134" i="14"/>
  <c r="O147" i="14"/>
  <c r="O233" i="14"/>
  <c r="O370" i="14"/>
  <c r="O339" i="14"/>
  <c r="O319" i="14"/>
  <c r="O348" i="14"/>
  <c r="O439" i="14"/>
  <c r="O465" i="14"/>
  <c r="O551" i="14"/>
  <c r="O618" i="14"/>
  <c r="O723" i="14"/>
  <c r="O677" i="14"/>
  <c r="O743" i="14"/>
  <c r="O944" i="14"/>
  <c r="O1020" i="14"/>
  <c r="O985" i="14"/>
  <c r="O516" i="14"/>
  <c r="O696" i="14"/>
  <c r="O114" i="14"/>
  <c r="O204" i="14"/>
  <c r="O359" i="14"/>
  <c r="O327" i="14"/>
  <c r="O379" i="14"/>
  <c r="O394" i="14"/>
  <c r="O522" i="14"/>
  <c r="O580" i="14"/>
  <c r="O759" i="14"/>
  <c r="O745" i="14"/>
  <c r="O830" i="14"/>
  <c r="O868" i="14"/>
  <c r="O903" i="14"/>
  <c r="O94" i="14"/>
  <c r="O229" i="14"/>
  <c r="O505" i="14"/>
  <c r="O528" i="14"/>
  <c r="O798" i="14"/>
  <c r="O91" i="14"/>
  <c r="O115" i="14"/>
  <c r="O123" i="14"/>
  <c r="O137" i="14"/>
  <c r="O190" i="14"/>
  <c r="O232" i="14"/>
  <c r="O271" i="14"/>
  <c r="O342" i="14"/>
  <c r="O368" i="14"/>
  <c r="O351" i="14"/>
  <c r="O383" i="14"/>
  <c r="O536" i="14"/>
  <c r="O571" i="14"/>
  <c r="O735" i="14"/>
  <c r="O818" i="14"/>
  <c r="O959" i="14"/>
  <c r="O1022" i="14"/>
  <c r="O118" i="14"/>
  <c r="O349" i="14"/>
  <c r="O424" i="14"/>
  <c r="O92" i="14"/>
  <c r="O116" i="14"/>
  <c r="O203" i="14"/>
  <c r="O222" i="14"/>
  <c r="O299" i="14"/>
  <c r="O335" i="14"/>
  <c r="O453" i="14"/>
  <c r="O532" i="14"/>
  <c r="O500" i="14"/>
  <c r="O599" i="14"/>
  <c r="O702" i="14"/>
  <c r="O750" i="14"/>
  <c r="O905" i="14"/>
  <c r="O866" i="14"/>
  <c r="O706" i="14"/>
  <c r="O674" i="14"/>
  <c r="O1019" i="14"/>
  <c r="O117" i="14"/>
  <c r="O175" i="14"/>
  <c r="O143" i="14"/>
  <c r="O259" i="14"/>
  <c r="O277" i="14"/>
  <c r="O360" i="14"/>
  <c r="O332" i="14"/>
  <c r="O535" i="14"/>
  <c r="O523" i="14"/>
  <c r="O609" i="14"/>
  <c r="O539" i="14"/>
  <c r="O732" i="14"/>
  <c r="O705" i="14"/>
  <c r="O697" i="14"/>
  <c r="O751" i="14"/>
  <c r="O853" i="14"/>
  <c r="O815" i="14"/>
  <c r="O891" i="14"/>
  <c r="O981" i="14"/>
  <c r="O234" i="14"/>
  <c r="O316" i="14"/>
  <c r="O950" i="14"/>
  <c r="O95" i="14"/>
  <c r="O160" i="14"/>
  <c r="O205" i="14"/>
  <c r="O308" i="14"/>
  <c r="O369" i="14"/>
  <c r="O433" i="14"/>
  <c r="O393" i="14"/>
  <c r="O529" i="14"/>
  <c r="O530" i="14"/>
  <c r="O688" i="14"/>
  <c r="O832" i="14"/>
  <c r="O953" i="14"/>
  <c r="O997" i="14"/>
  <c r="O899" i="14"/>
  <c r="V8" i="19" a="1"/>
  <c r="V8" i="19" s="1"/>
  <c r="N128" i="13"/>
  <c r="N136" i="13"/>
  <c r="N191" i="13"/>
  <c r="N201" i="13"/>
  <c r="N289" i="13"/>
  <c r="N281" i="13"/>
  <c r="N467" i="13"/>
  <c r="N573" i="13"/>
  <c r="N545" i="13"/>
  <c r="N528" i="13"/>
  <c r="N880" i="13"/>
  <c r="N917" i="13"/>
  <c r="N751" i="13"/>
  <c r="N824" i="13"/>
  <c r="N1087" i="13"/>
  <c r="N1096" i="13"/>
  <c r="N1063" i="13"/>
  <c r="N129" i="13"/>
  <c r="N137" i="13"/>
  <c r="N157" i="13"/>
  <c r="N189" i="13"/>
  <c r="N180" i="13"/>
  <c r="N320" i="13"/>
  <c r="N337" i="13"/>
  <c r="N350" i="13"/>
  <c r="N461" i="13"/>
  <c r="N433" i="13"/>
  <c r="N621" i="13"/>
  <c r="N812" i="13"/>
  <c r="N868" i="13"/>
  <c r="N758" i="13"/>
  <c r="N854" i="13"/>
  <c r="N869" i="13"/>
  <c r="N106" i="13"/>
  <c r="N130" i="13"/>
  <c r="N226" i="13"/>
  <c r="N267" i="13"/>
  <c r="N352" i="13"/>
  <c r="N413" i="13"/>
  <c r="N608" i="13"/>
  <c r="N678" i="13"/>
  <c r="N895" i="13"/>
  <c r="N131" i="13"/>
  <c r="N139" i="13"/>
  <c r="N193" i="13"/>
  <c r="N198" i="13"/>
  <c r="N278" i="13"/>
  <c r="N254" i="13"/>
  <c r="N371" i="13"/>
  <c r="N351" i="13"/>
  <c r="N385" i="13"/>
  <c r="N453" i="13"/>
  <c r="N451" i="13"/>
  <c r="N670" i="13"/>
  <c r="N813" i="13"/>
  <c r="N743" i="13"/>
  <c r="N1040" i="13"/>
  <c r="N108" i="13"/>
  <c r="N185" i="13"/>
  <c r="N172" i="13"/>
  <c r="N263" i="13"/>
  <c r="N241" i="13"/>
  <c r="N360" i="13"/>
  <c r="N521" i="13"/>
  <c r="N542" i="13"/>
  <c r="N637" i="13"/>
  <c r="N809" i="13"/>
  <c r="N805" i="13"/>
  <c r="N673" i="13"/>
  <c r="N1029" i="13"/>
  <c r="N1022" i="13"/>
  <c r="N133" i="13"/>
  <c r="N178" i="13"/>
  <c r="N188" i="13"/>
  <c r="N330" i="13"/>
  <c r="N274" i="13"/>
  <c r="N389" i="13"/>
  <c r="N500" i="13"/>
  <c r="N546" i="13"/>
  <c r="N762" i="13"/>
  <c r="N134" i="13"/>
  <c r="N142" i="13"/>
  <c r="N347" i="13"/>
  <c r="N395" i="13"/>
  <c r="N446" i="13"/>
  <c r="N454" i="13"/>
  <c r="N551" i="13"/>
  <c r="N606" i="13"/>
  <c r="N779" i="13"/>
  <c r="N897" i="13"/>
  <c r="N827" i="13"/>
  <c r="N757" i="13"/>
  <c r="N838" i="13"/>
  <c r="N1032" i="13"/>
  <c r="N127" i="13"/>
  <c r="N167" i="13"/>
  <c r="N323" i="13"/>
  <c r="N314" i="13"/>
  <c r="N391" i="13"/>
  <c r="N406" i="13"/>
  <c r="N476" i="13"/>
  <c r="N484" i="13"/>
  <c r="N493" i="13"/>
  <c r="N601" i="13"/>
  <c r="N750" i="13"/>
  <c r="N766" i="13"/>
  <c r="N932" i="13"/>
  <c r="D5" i="19" a="1"/>
  <c r="D5" i="19" s="1"/>
  <c r="N15" i="19" a="1"/>
  <c r="N15" i="19" s="1"/>
  <c r="N12" i="19" a="1"/>
  <c r="N12" i="19" s="1"/>
  <c r="K15" i="19" a="1"/>
  <c r="K15" i="19" s="1"/>
  <c r="N13" i="19" a="1"/>
  <c r="N13" i="19" s="1"/>
  <c r="N14" i="19" a="1"/>
  <c r="N14" i="19" s="1"/>
  <c r="Q370" i="9" l="1"/>
  <c r="E28" i="9" a="1"/>
  <c r="E28" i="9" s="1"/>
  <c r="E20" i="9" a="1"/>
  <c r="E20" i="9" s="1"/>
  <c r="E75" i="9" a="1"/>
  <c r="E75" i="9" s="1"/>
  <c r="E90" i="9" a="1"/>
  <c r="E90" i="9" s="1"/>
  <c r="E84" i="9" a="1"/>
  <c r="E84" i="9" s="1"/>
  <c r="E71" i="9" a="1"/>
  <c r="E71" i="9" s="1"/>
  <c r="E95" i="9" a="1"/>
  <c r="E95" i="9" s="1"/>
  <c r="E55" i="9" a="1"/>
  <c r="E55" i="9" s="1"/>
  <c r="E72" i="9" a="1"/>
  <c r="E72" i="9" s="1"/>
  <c r="E27" i="9" a="1"/>
  <c r="E27" i="9" s="1"/>
  <c r="E85" i="9" a="1"/>
  <c r="E85" i="9" s="1"/>
  <c r="E26" i="9" a="1"/>
  <c r="E26" i="9" s="1"/>
  <c r="E77" i="9" a="1"/>
  <c r="E77" i="9" s="1"/>
  <c r="E48" i="9" a="1"/>
  <c r="E48" i="9" s="1"/>
  <c r="E91" i="9" a="1"/>
  <c r="E91" i="9" s="1"/>
  <c r="E79" i="9" a="1"/>
  <c r="E79" i="9" s="1"/>
  <c r="E94" i="9" a="1"/>
  <c r="E94" i="9" s="1"/>
  <c r="E30" i="9" a="1"/>
  <c r="E30" i="9" s="1"/>
  <c r="E59" i="9" a="1"/>
  <c r="E59" i="9" s="1"/>
  <c r="Q205" i="9"/>
  <c r="R624" i="9" a="1"/>
  <c r="R624" i="9" s="1"/>
  <c r="Q624" i="9"/>
  <c r="R563" i="9" a="1"/>
  <c r="R563" i="9" s="1"/>
  <c r="Q563" i="9"/>
  <c r="R509" i="9" a="1"/>
  <c r="R509" i="9" s="1"/>
  <c r="Q509" i="9"/>
  <c r="R487" i="9" a="1"/>
  <c r="R487" i="9" s="1"/>
  <c r="Q487" i="9"/>
  <c r="R438" i="9" a="1"/>
  <c r="R438" i="9" s="1"/>
  <c r="Q438" i="9"/>
  <c r="R502" i="9" a="1"/>
  <c r="R502" i="9" s="1"/>
  <c r="Q502" i="9"/>
  <c r="R158" i="9" a="1"/>
  <c r="R158" i="9" s="1"/>
  <c r="Q158" i="9"/>
  <c r="R616" i="9" a="1"/>
  <c r="R616" i="9" s="1"/>
  <c r="Q616" i="9"/>
  <c r="R357" i="9" a="1"/>
  <c r="R357" i="9" s="1"/>
  <c r="Q357" i="9"/>
  <c r="R562" i="9" a="1"/>
  <c r="R562" i="9" s="1"/>
  <c r="Q562" i="9"/>
  <c r="R425" i="9" a="1"/>
  <c r="R425" i="9" s="1"/>
  <c r="Q425" i="9"/>
  <c r="R605" i="9" a="1"/>
  <c r="R605" i="9" s="1"/>
  <c r="Q605" i="9"/>
  <c r="R309" i="9" a="1"/>
  <c r="R309" i="9" s="1"/>
  <c r="Q309" i="9"/>
  <c r="R229" i="9" a="1"/>
  <c r="R229" i="9" s="1"/>
  <c r="Q229" i="9"/>
  <c r="R93" i="9" a="1"/>
  <c r="R93" i="9" s="1"/>
  <c r="Q93" i="9"/>
  <c r="R345" i="9" a="1"/>
  <c r="R345" i="9" s="1"/>
  <c r="Q345" i="9"/>
  <c r="R329" i="9" a="1"/>
  <c r="R329" i="9" s="1"/>
  <c r="Q329" i="9"/>
  <c r="R164" i="9" a="1"/>
  <c r="R164" i="9" s="1"/>
  <c r="Q164" i="9"/>
  <c r="R84" i="9" a="1"/>
  <c r="R84" i="9" s="1"/>
  <c r="Q84" i="9"/>
  <c r="R441" i="9" a="1"/>
  <c r="R441" i="9" s="1"/>
  <c r="Q441" i="9"/>
  <c r="R374" i="9" a="1"/>
  <c r="R374" i="9" s="1"/>
  <c r="Q374" i="9"/>
  <c r="R354" i="9" a="1"/>
  <c r="R354" i="9" s="1"/>
  <c r="Q354" i="9"/>
  <c r="R179" i="9" a="1"/>
  <c r="R179" i="9" s="1"/>
  <c r="Q179" i="9"/>
  <c r="R58" i="9" a="1"/>
  <c r="R58" i="9" s="1"/>
  <c r="Q58" i="9"/>
  <c r="R501" i="9" a="1"/>
  <c r="R501" i="9" s="1"/>
  <c r="Q501" i="9"/>
  <c r="R269" i="9" a="1"/>
  <c r="R269" i="9" s="1"/>
  <c r="Q269" i="9"/>
  <c r="R130" i="9" a="1"/>
  <c r="R130" i="9" s="1"/>
  <c r="Q130" i="9"/>
  <c r="R39" i="9" a="1"/>
  <c r="R39" i="9" s="1"/>
  <c r="Q39" i="9"/>
  <c r="R489" i="9" a="1"/>
  <c r="R489" i="9" s="1"/>
  <c r="Q489" i="9"/>
  <c r="R485" i="9" a="1"/>
  <c r="R485" i="9" s="1"/>
  <c r="Q485" i="9"/>
  <c r="R456" i="9" a="1"/>
  <c r="R456" i="9" s="1"/>
  <c r="Q456" i="9"/>
  <c r="R264" i="9" a="1"/>
  <c r="R264" i="9" s="1"/>
  <c r="Q264" i="9"/>
  <c r="R64" i="9" a="1"/>
  <c r="R64" i="9" s="1"/>
  <c r="Q64" i="9"/>
  <c r="R576" i="9" a="1"/>
  <c r="R576" i="9" s="1"/>
  <c r="Q576" i="9"/>
  <c r="R392" i="9" a="1"/>
  <c r="R392" i="9" s="1"/>
  <c r="Q392" i="9"/>
  <c r="R266" i="9" a="1"/>
  <c r="R266" i="9" s="1"/>
  <c r="Q266" i="9"/>
  <c r="R168" i="9" a="1"/>
  <c r="R168" i="9" s="1"/>
  <c r="Q168" i="9"/>
  <c r="R28" i="9" a="1"/>
  <c r="R28" i="9" s="1"/>
  <c r="Q28" i="9"/>
  <c r="R313" i="9" a="1"/>
  <c r="R313" i="9" s="1"/>
  <c r="Q313" i="9"/>
  <c r="R175" i="9" a="1"/>
  <c r="R175" i="9" s="1"/>
  <c r="Q175" i="9"/>
  <c r="R33" i="9" a="1"/>
  <c r="R33" i="9" s="1"/>
  <c r="Q33" i="9"/>
  <c r="R497" i="9" a="1"/>
  <c r="R497" i="9" s="1"/>
  <c r="Q497" i="9"/>
  <c r="R471" i="9" a="1"/>
  <c r="R471" i="9" s="1"/>
  <c r="Q471" i="9"/>
  <c r="R366" i="9" a="1"/>
  <c r="R366" i="9" s="1"/>
  <c r="Q366" i="9"/>
  <c r="R375" i="9" a="1"/>
  <c r="R375" i="9" s="1"/>
  <c r="Q375" i="9"/>
  <c r="R545" i="9" a="1"/>
  <c r="R545" i="9" s="1"/>
  <c r="Q545" i="9"/>
  <c r="R474" i="9" a="1"/>
  <c r="R474" i="9" s="1"/>
  <c r="Q474" i="9"/>
  <c r="R279" i="9" a="1"/>
  <c r="R279" i="9" s="1"/>
  <c r="Q279" i="9"/>
  <c r="R584" i="9" a="1"/>
  <c r="R584" i="9" s="1"/>
  <c r="Q584" i="9"/>
  <c r="R426" i="9" a="1"/>
  <c r="R426" i="9" s="1"/>
  <c r="Q426" i="9"/>
  <c r="R574" i="9" a="1"/>
  <c r="R574" i="9" s="1"/>
  <c r="Q574" i="9"/>
  <c r="R226" i="9" a="1"/>
  <c r="R226" i="9" s="1"/>
  <c r="Q226" i="9"/>
  <c r="R197" i="9" a="1"/>
  <c r="R197" i="9" s="1"/>
  <c r="Q197" i="9"/>
  <c r="R85" i="9" a="1"/>
  <c r="R85" i="9" s="1"/>
  <c r="Q85" i="9"/>
  <c r="R397" i="9" a="1"/>
  <c r="R397" i="9" s="1"/>
  <c r="Q397" i="9"/>
  <c r="R236" i="9" a="1"/>
  <c r="R236" i="9" s="1"/>
  <c r="Q236" i="9"/>
  <c r="R156" i="9" a="1"/>
  <c r="R156" i="9" s="1"/>
  <c r="Q156" i="9"/>
  <c r="R76" i="9" a="1"/>
  <c r="R76" i="9" s="1"/>
  <c r="Q76" i="9"/>
  <c r="R516" i="9" a="1"/>
  <c r="R516" i="9" s="1"/>
  <c r="Q516" i="9"/>
  <c r="R404" i="9" a="1"/>
  <c r="R404" i="9" s="1"/>
  <c r="Q404" i="9"/>
  <c r="R287" i="9" a="1"/>
  <c r="R287" i="9" s="1"/>
  <c r="Q287" i="9"/>
  <c r="R171" i="9" a="1"/>
  <c r="R171" i="9" s="1"/>
  <c r="Q171" i="9"/>
  <c r="R40" i="9" a="1"/>
  <c r="R40" i="9" s="1"/>
  <c r="Q40" i="9"/>
  <c r="R380" i="9" a="1"/>
  <c r="R380" i="9" s="1"/>
  <c r="Q380" i="9"/>
  <c r="R209" i="9" a="1"/>
  <c r="R209" i="9" s="1"/>
  <c r="Q209" i="9"/>
  <c r="R122" i="9" a="1"/>
  <c r="R122" i="9" s="1"/>
  <c r="Q122" i="9"/>
  <c r="Q559" i="9"/>
  <c r="R559" i="9" a="1"/>
  <c r="R559" i="9" s="1"/>
  <c r="R445" i="9" a="1"/>
  <c r="R445" i="9" s="1"/>
  <c r="Q445" i="9"/>
  <c r="R371" i="9" a="1"/>
  <c r="R371" i="9" s="1"/>
  <c r="Q371" i="9"/>
  <c r="R201" i="9" a="1"/>
  <c r="R201" i="9" s="1"/>
  <c r="Q201" i="9"/>
  <c r="R47" i="9" a="1"/>
  <c r="R47" i="9" s="1"/>
  <c r="Q47" i="9"/>
  <c r="R591" i="9" a="1"/>
  <c r="R591" i="9" s="1"/>
  <c r="Q591" i="9"/>
  <c r="R421" i="9" a="1"/>
  <c r="R421" i="9" s="1"/>
  <c r="Q421" i="9"/>
  <c r="R418" i="9" a="1"/>
  <c r="R418" i="9" s="1"/>
  <c r="Q418" i="9"/>
  <c r="R310" i="9" a="1"/>
  <c r="R310" i="9" s="1"/>
  <c r="Q310" i="9"/>
  <c r="R136" i="9" a="1"/>
  <c r="R136" i="9" s="1"/>
  <c r="Q136" i="9"/>
  <c r="R448" i="9" a="1"/>
  <c r="R448" i="9" s="1"/>
  <c r="Q448" i="9"/>
  <c r="R417" i="9" a="1"/>
  <c r="R417" i="9" s="1"/>
  <c r="Q417" i="9"/>
  <c r="R143" i="9" a="1"/>
  <c r="R143" i="9" s="1"/>
  <c r="Q143" i="9"/>
  <c r="R25" i="9" a="1"/>
  <c r="R25" i="9" s="1"/>
  <c r="Q25" i="9"/>
  <c r="R627" i="9" a="1"/>
  <c r="R627" i="9" s="1"/>
  <c r="Q627" i="9"/>
  <c r="R565" i="9" a="1"/>
  <c r="R565" i="9" s="1"/>
  <c r="Q565" i="9"/>
  <c r="R593" i="9" a="1"/>
  <c r="R593" i="9" s="1"/>
  <c r="Q593" i="9"/>
  <c r="R457" i="9" a="1"/>
  <c r="R457" i="9" s="1"/>
  <c r="Q457" i="9"/>
  <c r="R322" i="9" a="1"/>
  <c r="R322" i="9" s="1"/>
  <c r="Q322" i="9"/>
  <c r="R510" i="9" a="1"/>
  <c r="R510" i="9" s="1"/>
  <c r="Q510" i="9"/>
  <c r="Q626" i="9"/>
  <c r="R626" i="9" a="1"/>
  <c r="R626" i="9" s="1"/>
  <c r="R424" i="9" a="1"/>
  <c r="R424" i="9" s="1"/>
  <c r="Q424" i="9"/>
  <c r="R213" i="9" a="1"/>
  <c r="R213" i="9" s="1"/>
  <c r="Q213" i="9"/>
  <c r="R480" i="9" a="1"/>
  <c r="R480" i="9" s="1"/>
  <c r="Q480" i="9"/>
  <c r="R558" i="9" a="1"/>
  <c r="R558" i="9" s="1"/>
  <c r="Q558" i="9"/>
  <c r="R391" i="9" a="1"/>
  <c r="R391" i="9" s="1"/>
  <c r="Q391" i="9"/>
  <c r="R548" i="9" a="1"/>
  <c r="R548" i="9" s="1"/>
  <c r="Q548" i="9"/>
  <c r="R211" i="9" a="1"/>
  <c r="R211" i="9" s="1"/>
  <c r="Q211" i="9"/>
  <c r="R189" i="9" a="1"/>
  <c r="R189" i="9" s="1"/>
  <c r="Q189" i="9"/>
  <c r="R77" i="9" a="1"/>
  <c r="R77" i="9" s="1"/>
  <c r="Q77" i="9"/>
  <c r="R534" i="9" a="1"/>
  <c r="R534" i="9" s="1"/>
  <c r="Q534" i="9"/>
  <c r="R390" i="9" a="1"/>
  <c r="R390" i="9" s="1"/>
  <c r="Q390" i="9"/>
  <c r="R148" i="9" a="1"/>
  <c r="R148" i="9" s="1"/>
  <c r="Q148" i="9"/>
  <c r="R59" i="9" a="1"/>
  <c r="R59" i="9" s="1"/>
  <c r="Q59" i="9"/>
  <c r="R479" i="9" a="1"/>
  <c r="R479" i="9" s="1"/>
  <c r="Q479" i="9"/>
  <c r="R346" i="9" a="1"/>
  <c r="R346" i="9" s="1"/>
  <c r="Q346" i="9"/>
  <c r="R254" i="9" a="1"/>
  <c r="R254" i="9" s="1"/>
  <c r="Q254" i="9"/>
  <c r="R155" i="9" a="1"/>
  <c r="R155" i="9" s="1"/>
  <c r="Q155" i="9"/>
  <c r="R8" i="9" a="1"/>
  <c r="R8" i="9" s="1"/>
  <c r="Q8" i="9"/>
  <c r="R618" i="9" a="1"/>
  <c r="R618" i="9" s="1"/>
  <c r="R550" i="9" a="1"/>
  <c r="R550" i="9" s="1"/>
  <c r="R434" i="9" a="1"/>
  <c r="R434" i="9" s="1"/>
  <c r="R251" i="9" a="1"/>
  <c r="R251" i="9" s="1"/>
  <c r="R543" i="9" a="1"/>
  <c r="R543" i="9" s="1"/>
  <c r="R215" i="9" a="1"/>
  <c r="R215" i="9" s="1"/>
  <c r="R149" i="9" a="1"/>
  <c r="R149" i="9" s="1"/>
  <c r="R60" i="9" a="1"/>
  <c r="R60" i="9" s="1"/>
  <c r="R493" i="9" a="1"/>
  <c r="R493" i="9" s="1"/>
  <c r="R398" i="9" a="1"/>
  <c r="R398" i="9" s="1"/>
  <c r="R180" i="9" a="1"/>
  <c r="R180" i="9" s="1"/>
  <c r="R561" i="9" a="1"/>
  <c r="R561" i="9" s="1"/>
  <c r="R372" i="9" a="1"/>
  <c r="R372" i="9" s="1"/>
  <c r="R379" i="9" a="1"/>
  <c r="R379" i="9" s="1"/>
  <c r="R163" i="9" a="1"/>
  <c r="R163" i="9" s="1"/>
  <c r="R83" i="9" a="1"/>
  <c r="R83" i="9" s="1"/>
  <c r="R362" i="9" a="1"/>
  <c r="R362" i="9" s="1"/>
  <c r="R246" i="9" a="1"/>
  <c r="R246" i="9" s="1"/>
  <c r="R186" i="9" a="1"/>
  <c r="R186" i="9" s="1"/>
  <c r="R146" i="9" a="1"/>
  <c r="R146" i="9" s="1"/>
  <c r="R620" i="9" a="1"/>
  <c r="R620" i="9" s="1"/>
  <c r="R518" i="9" a="1"/>
  <c r="R518" i="9" s="1"/>
  <c r="R222" i="9" a="1"/>
  <c r="R222" i="9" s="1"/>
  <c r="R161" i="9" a="1"/>
  <c r="R161" i="9" s="1"/>
  <c r="R105" i="9" a="1"/>
  <c r="R105" i="9" s="1"/>
  <c r="R341" i="9" a="1"/>
  <c r="R341" i="9" s="1"/>
  <c r="R449" i="9" a="1"/>
  <c r="R449" i="9" s="1"/>
  <c r="R239" i="9" a="1"/>
  <c r="R239" i="9" s="1"/>
  <c r="R119" i="9" a="1"/>
  <c r="R119" i="9" s="1"/>
  <c r="R71" i="9" a="1"/>
  <c r="R71" i="9" s="1"/>
  <c r="R17" i="9" a="1"/>
  <c r="R17" i="9" s="1"/>
  <c r="R490" i="9" a="1"/>
  <c r="R490" i="9" s="1"/>
  <c r="R299" i="9" a="1"/>
  <c r="R299" i="9" s="1"/>
  <c r="R200" i="9" a="1"/>
  <c r="R200" i="9" s="1"/>
  <c r="R96" i="9" a="1"/>
  <c r="R96" i="9" s="1"/>
  <c r="R348" i="9" a="1"/>
  <c r="R348" i="9" s="1"/>
  <c r="R183" i="9" a="1"/>
  <c r="R183" i="9" s="1"/>
  <c r="R120" i="9" a="1"/>
  <c r="R120" i="9" s="1"/>
  <c r="R569" i="9" a="1"/>
  <c r="R569" i="9" s="1"/>
  <c r="R411" i="9" a="1"/>
  <c r="R411" i="9" s="1"/>
  <c r="R94" i="9" a="1"/>
  <c r="R94" i="9" s="1"/>
  <c r="R520" i="9" a="1"/>
  <c r="R520" i="9" s="1"/>
  <c r="R338" i="9" a="1"/>
  <c r="R338" i="9" s="1"/>
  <c r="R552" i="9" a="1"/>
  <c r="R552" i="9" s="1"/>
  <c r="R422" i="9" a="1"/>
  <c r="R422" i="9" s="1"/>
  <c r="R330" i="9" a="1"/>
  <c r="R330" i="9" s="1"/>
  <c r="R182" i="9" a="1"/>
  <c r="R182" i="9" s="1"/>
  <c r="R432" i="9" a="1"/>
  <c r="R432" i="9" s="1"/>
  <c r="R118" i="9" a="1"/>
  <c r="R118" i="9" s="1"/>
  <c r="R546" i="9" a="1"/>
  <c r="R546" i="9" s="1"/>
  <c r="R532" i="9" a="1"/>
  <c r="R532" i="9" s="1"/>
  <c r="R388" i="9" a="1"/>
  <c r="R388" i="9" s="1"/>
  <c r="R622" i="9" a="1"/>
  <c r="R622" i="9" s="1"/>
  <c r="R564" i="9" a="1"/>
  <c r="R564" i="9" s="1"/>
  <c r="R555" i="9" a="1"/>
  <c r="R555" i="9" s="1"/>
  <c r="R336" i="9" a="1"/>
  <c r="R336" i="9" s="1"/>
  <c r="R52" i="9" a="1"/>
  <c r="R52" i="9" s="1"/>
  <c r="R355" i="9" a="1"/>
  <c r="R355" i="9" s="1"/>
  <c r="R50" i="9" a="1"/>
  <c r="R50" i="9" s="1"/>
  <c r="R531" i="9" a="1"/>
  <c r="R531" i="9" s="1"/>
  <c r="R268" i="9" a="1"/>
  <c r="R268" i="9" s="1"/>
  <c r="R247" i="9" a="1"/>
  <c r="R247" i="9" s="1"/>
  <c r="R451" i="9" a="1"/>
  <c r="R451" i="9" s="1"/>
  <c r="R364" i="9" a="1"/>
  <c r="R364" i="9" s="1"/>
  <c r="R74" i="9" a="1"/>
  <c r="R74" i="9" s="1"/>
  <c r="R544" i="9" a="1"/>
  <c r="R544" i="9" s="1"/>
  <c r="R324" i="9" a="1"/>
  <c r="R324" i="9" s="1"/>
  <c r="R305" i="9" a="1"/>
  <c r="R305" i="9" s="1"/>
  <c r="R261" i="9" a="1"/>
  <c r="R261" i="9" s="1"/>
  <c r="R235" i="9" a="1"/>
  <c r="R235" i="9" s="1"/>
  <c r="R334" i="9" a="1"/>
  <c r="R334" i="9" s="1"/>
  <c r="R219" i="9" a="1"/>
  <c r="R219" i="9" s="1"/>
  <c r="R152" i="9" a="1"/>
  <c r="R152" i="9" s="1"/>
  <c r="R328" i="9" a="1"/>
  <c r="R328" i="9" s="1"/>
  <c r="R244" i="9" a="1"/>
  <c r="R244" i="9" s="1"/>
  <c r="R15" i="9" a="1"/>
  <c r="R15" i="9" s="1"/>
  <c r="R462" i="9" a="1"/>
  <c r="R462" i="9" s="1"/>
  <c r="R370" i="9" a="1"/>
  <c r="R370" i="9" s="1"/>
  <c r="R16" i="9" a="1"/>
  <c r="R16" i="9" s="1"/>
  <c r="R598" i="9" a="1"/>
  <c r="R598" i="9" s="1"/>
  <c r="R443" i="9" a="1"/>
  <c r="R443" i="9" s="1"/>
  <c r="R585" i="9" a="1"/>
  <c r="R585" i="9" s="1"/>
  <c r="R288" i="9" a="1"/>
  <c r="R288" i="9" s="1"/>
  <c r="R629" i="9" a="1"/>
  <c r="R629" i="9" s="1"/>
  <c r="R78" i="9" a="1"/>
  <c r="R78" i="9" s="1"/>
  <c r="R428" i="9" a="1"/>
  <c r="R428" i="9" s="1"/>
  <c r="R308" i="9" a="1"/>
  <c r="R308" i="9" s="1"/>
  <c r="R141" i="9" a="1"/>
  <c r="R141" i="9" s="1"/>
  <c r="R51" i="9" a="1"/>
  <c r="R51" i="9" s="1"/>
  <c r="R377" i="9" a="1"/>
  <c r="R377" i="9" s="1"/>
  <c r="R298" i="9" a="1"/>
  <c r="R298" i="9" s="1"/>
  <c r="R400" i="9" a="1"/>
  <c r="R400" i="9" s="1"/>
  <c r="R172" i="9" a="1"/>
  <c r="R172" i="9" s="1"/>
  <c r="R32" i="9" a="1"/>
  <c r="R32" i="9" s="1"/>
  <c r="R556" i="9" a="1"/>
  <c r="R556" i="9" s="1"/>
  <c r="R412" i="9" a="1"/>
  <c r="R412" i="9" s="1"/>
  <c r="R302" i="9" a="1"/>
  <c r="R302" i="9" s="1"/>
  <c r="R139" i="9" a="1"/>
  <c r="R139" i="9" s="1"/>
  <c r="R49" i="9" a="1"/>
  <c r="R49" i="9" s="1"/>
  <c r="R455" i="9" a="1"/>
  <c r="R455" i="9" s="1"/>
  <c r="R286" i="9" a="1"/>
  <c r="R286" i="9" s="1"/>
  <c r="R274" i="9" a="1"/>
  <c r="R274" i="9" s="1"/>
  <c r="R178" i="9" a="1"/>
  <c r="R178" i="9" s="1"/>
  <c r="R65" i="9" a="1"/>
  <c r="R65" i="9" s="1"/>
  <c r="R613" i="9" a="1"/>
  <c r="R613" i="9" s="1"/>
  <c r="R137" i="9" a="1"/>
  <c r="R137" i="9" s="1"/>
  <c r="R97" i="9" a="1"/>
  <c r="R97" i="9" s="1"/>
  <c r="R588" i="9" a="1"/>
  <c r="R588" i="9" s="1"/>
  <c r="R337" i="9" a="1"/>
  <c r="R337" i="9" s="1"/>
  <c r="R167" i="9" a="1"/>
  <c r="R167" i="9" s="1"/>
  <c r="R103" i="9" a="1"/>
  <c r="R103" i="9" s="1"/>
  <c r="R53" i="9" a="1"/>
  <c r="R53" i="9" s="1"/>
  <c r="R144" i="9" a="1"/>
  <c r="R144" i="9" s="1"/>
  <c r="R349" i="9" a="1"/>
  <c r="R349" i="9" s="1"/>
  <c r="R228" i="9" a="1"/>
  <c r="R228" i="9" s="1"/>
  <c r="R301" i="9" a="1"/>
  <c r="R301" i="9" s="1"/>
  <c r="R326" i="9" a="1"/>
  <c r="R326" i="9" s="1"/>
  <c r="R231" i="9" a="1"/>
  <c r="R231" i="9" s="1"/>
  <c r="R41" i="9" a="1"/>
  <c r="R41" i="9" s="1"/>
  <c r="R61" i="9" a="1"/>
  <c r="R61" i="9" s="1"/>
  <c r="R484" i="9" a="1"/>
  <c r="R484" i="9" s="1"/>
  <c r="R281" i="9" a="1"/>
  <c r="R281" i="9" s="1"/>
  <c r="R611" i="9" a="1"/>
  <c r="R611" i="9" s="1"/>
  <c r="R612" i="9" a="1"/>
  <c r="R612" i="9" s="1"/>
  <c r="R436" i="9" a="1"/>
  <c r="R436" i="9" s="1"/>
  <c r="R282" i="9" a="1"/>
  <c r="R282" i="9" s="1"/>
  <c r="R475" i="9" a="1"/>
  <c r="R475" i="9" s="1"/>
  <c r="R525" i="9" a="1"/>
  <c r="R525" i="9" s="1"/>
  <c r="R407" i="9" a="1"/>
  <c r="R407" i="9" s="1"/>
  <c r="R86" i="9" a="1"/>
  <c r="R86" i="9" s="1"/>
  <c r="R606" i="9" a="1"/>
  <c r="R606" i="9" s="1"/>
  <c r="R537" i="9" a="1"/>
  <c r="R537" i="9" s="1"/>
  <c r="R527" i="9" a="1"/>
  <c r="R527" i="9" s="1"/>
  <c r="R415" i="9" a="1"/>
  <c r="R415" i="9" s="1"/>
  <c r="R580" i="9" a="1"/>
  <c r="R580" i="9" s="1"/>
  <c r="R535" i="9" a="1"/>
  <c r="R535" i="9" s="1"/>
  <c r="R431" i="9" a="1"/>
  <c r="R431" i="9" s="1"/>
  <c r="R382" i="9" a="1"/>
  <c r="R382" i="9" s="1"/>
  <c r="R204" i="9" a="1"/>
  <c r="R204" i="9" s="1"/>
  <c r="R140" i="9" a="1"/>
  <c r="R140" i="9" s="1"/>
  <c r="R466" i="9" a="1"/>
  <c r="R466" i="9" s="1"/>
  <c r="R572" i="9" a="1"/>
  <c r="R572" i="9" s="1"/>
  <c r="R363" i="9" a="1"/>
  <c r="R363" i="9" s="1"/>
  <c r="R212" i="9" a="1"/>
  <c r="R212" i="9" s="1"/>
  <c r="R131" i="9" a="1"/>
  <c r="R131" i="9" s="1"/>
  <c r="R416" i="9" a="1"/>
  <c r="R416" i="9" s="1"/>
  <c r="R628" i="9" a="1"/>
  <c r="R628" i="9" s="1"/>
  <c r="R513" i="9" a="1"/>
  <c r="R513" i="9" s="1"/>
  <c r="R491" i="9" a="1"/>
  <c r="R491" i="9" s="1"/>
  <c r="R350" i="9" a="1"/>
  <c r="R350" i="9" s="1"/>
  <c r="R291" i="9" a="1"/>
  <c r="R291" i="9" s="1"/>
  <c r="R240" i="9" a="1"/>
  <c r="R240" i="9" s="1"/>
  <c r="R267" i="9" a="1"/>
  <c r="R267" i="9" s="1"/>
  <c r="R619" i="9" a="1"/>
  <c r="R619" i="9" s="1"/>
  <c r="R413" i="9" a="1"/>
  <c r="R413" i="9" s="1"/>
  <c r="R395" i="9" a="1"/>
  <c r="R395" i="9" s="1"/>
  <c r="R234" i="9" a="1"/>
  <c r="R234" i="9" s="1"/>
  <c r="R192" i="9" a="1"/>
  <c r="R192" i="9" s="1"/>
  <c r="R72" i="9" a="1"/>
  <c r="R72" i="9" s="1"/>
  <c r="R353" i="9" a="1"/>
  <c r="R353" i="9" s="1"/>
  <c r="R35" i="9" a="1"/>
  <c r="R35" i="9" s="1"/>
  <c r="R184" i="9" a="1"/>
  <c r="R184" i="9" s="1"/>
  <c r="R38" i="9" a="1"/>
  <c r="R38" i="9" s="1"/>
  <c r="R112" i="9" a="1"/>
  <c r="R112" i="9" s="1"/>
  <c r="R621" i="9" a="1"/>
  <c r="R621" i="9" s="1"/>
  <c r="R503" i="9" a="1"/>
  <c r="R503" i="9" s="1"/>
  <c r="R433" i="9" a="1"/>
  <c r="R433" i="9" s="1"/>
  <c r="R166" i="9" a="1"/>
  <c r="R166" i="9" s="1"/>
  <c r="R553" i="9" a="1"/>
  <c r="R553" i="9" s="1"/>
  <c r="R623" i="9" a="1"/>
  <c r="R623" i="9" s="1"/>
  <c r="R461" i="9" a="1"/>
  <c r="R461" i="9" s="1"/>
  <c r="R427" i="9" a="1"/>
  <c r="R427" i="9" s="1"/>
  <c r="R181" i="9" a="1"/>
  <c r="R181" i="9" s="1"/>
  <c r="R133" i="9" a="1"/>
  <c r="R133" i="9" s="1"/>
  <c r="R401" i="9" a="1"/>
  <c r="R401" i="9" s="1"/>
  <c r="R300" i="9" a="1"/>
  <c r="R300" i="9" s="1"/>
  <c r="R12" i="9" a="1"/>
  <c r="R12" i="9" s="1"/>
  <c r="R505" i="9" a="1"/>
  <c r="R505" i="9" s="1"/>
  <c r="R367" i="9" a="1"/>
  <c r="R367" i="9" s="1"/>
  <c r="R31" i="9" a="1"/>
  <c r="R31" i="9" s="1"/>
  <c r="R360" i="9" a="1"/>
  <c r="R360" i="9" s="1"/>
  <c r="R265" i="9" a="1"/>
  <c r="R265" i="9" s="1"/>
  <c r="R245" i="9" a="1"/>
  <c r="R245" i="9" s="1"/>
  <c r="R242" i="9" a="1"/>
  <c r="R242" i="9" s="1"/>
  <c r="R170" i="9" a="1"/>
  <c r="R170" i="9" s="1"/>
  <c r="R57" i="9" a="1"/>
  <c r="R57" i="9" s="1"/>
  <c r="R193" i="9" a="1"/>
  <c r="R193" i="9" s="1"/>
  <c r="R129" i="9" a="1"/>
  <c r="R129" i="9" s="1"/>
  <c r="R81" i="9" a="1"/>
  <c r="R81" i="9" s="1"/>
  <c r="R492" i="9" a="1"/>
  <c r="R492" i="9" s="1"/>
  <c r="R482" i="9" a="1"/>
  <c r="R482" i="9" s="1"/>
  <c r="R467" i="9" a="1"/>
  <c r="R467" i="9" s="1"/>
  <c r="R435" i="9" a="1"/>
  <c r="R435" i="9" s="1"/>
  <c r="R252" i="9" a="1"/>
  <c r="R252" i="9" s="1"/>
  <c r="R159" i="9" a="1"/>
  <c r="R159" i="9" s="1"/>
  <c r="R95" i="9" a="1"/>
  <c r="R95" i="9" s="1"/>
  <c r="R44" i="9" a="1"/>
  <c r="R44" i="9" s="1"/>
  <c r="R27" i="9" a="1"/>
  <c r="R27" i="9" s="1"/>
  <c r="R62" i="9" a="1"/>
  <c r="R62" i="9" s="1"/>
  <c r="R123" i="9" a="1"/>
  <c r="R123" i="9" s="1"/>
  <c r="R275" i="9" a="1"/>
  <c r="R275" i="9" s="1"/>
  <c r="R592" i="9" a="1"/>
  <c r="R592" i="9" s="1"/>
  <c r="R538" i="9" a="1"/>
  <c r="R538" i="9" s="1"/>
  <c r="R343" i="9" a="1"/>
  <c r="R343" i="9" s="1"/>
  <c r="R586" i="9" a="1"/>
  <c r="R586" i="9" s="1"/>
  <c r="R63" i="9" a="1"/>
  <c r="R63" i="9" s="1"/>
  <c r="R465" i="9" a="1"/>
  <c r="R465" i="9" s="1"/>
  <c r="R238" i="9" a="1"/>
  <c r="R238" i="9" s="1"/>
  <c r="R577" i="9" a="1"/>
  <c r="R577" i="9" s="1"/>
  <c r="R514" i="9" a="1"/>
  <c r="R514" i="9" s="1"/>
  <c r="R304" i="9" a="1"/>
  <c r="R304" i="9" s="1"/>
  <c r="R590" i="9" a="1"/>
  <c r="R590" i="9" s="1"/>
  <c r="R521" i="9" a="1"/>
  <c r="R521" i="9" s="1"/>
  <c r="R278" i="9" a="1"/>
  <c r="R278" i="9" s="1"/>
  <c r="R444" i="9" a="1"/>
  <c r="R444" i="9" s="1"/>
  <c r="R420" i="9" a="1"/>
  <c r="R420" i="9" s="1"/>
  <c r="R389" i="9" a="1"/>
  <c r="R389" i="9" s="1"/>
  <c r="R69" i="9" a="1"/>
  <c r="R69" i="9" s="1"/>
  <c r="R295" i="9" a="1"/>
  <c r="R295" i="9" s="1"/>
  <c r="R568" i="9" a="1"/>
  <c r="R568" i="9" s="1"/>
  <c r="R339" i="9" a="1"/>
  <c r="R339" i="9" s="1"/>
  <c r="R26" i="9" a="1"/>
  <c r="R26" i="9" s="1"/>
  <c r="R587" i="9" a="1"/>
  <c r="R587" i="9" s="1"/>
  <c r="R463" i="9" a="1"/>
  <c r="R463" i="9" s="1"/>
  <c r="R270" i="9" a="1"/>
  <c r="R270" i="9" s="1"/>
  <c r="R263" i="9" a="1"/>
  <c r="R263" i="9" s="1"/>
  <c r="R332" i="9" a="1"/>
  <c r="R332" i="9" s="1"/>
  <c r="R459" i="9" a="1"/>
  <c r="R459" i="9" s="1"/>
  <c r="R196" i="9" a="1"/>
  <c r="R196" i="9" s="1"/>
  <c r="R100" i="9" a="1"/>
  <c r="R100" i="9" s="1"/>
  <c r="R524" i="9" a="1"/>
  <c r="R524" i="9" s="1"/>
  <c r="R609" i="9" a="1"/>
  <c r="R609" i="9" s="1"/>
  <c r="R464" i="9" a="1"/>
  <c r="R464" i="9" s="1"/>
  <c r="R289" i="9" a="1"/>
  <c r="R289" i="9" s="1"/>
  <c r="R206" i="9" a="1"/>
  <c r="R206" i="9" s="1"/>
  <c r="R508" i="9" a="1"/>
  <c r="R508" i="9" s="1"/>
  <c r="R522" i="9" a="1"/>
  <c r="R522" i="9" s="1"/>
  <c r="R458" i="9" a="1"/>
  <c r="R458" i="9" s="1"/>
  <c r="R237" i="9" a="1"/>
  <c r="R237" i="9" s="1"/>
  <c r="R248" i="9" a="1"/>
  <c r="R248" i="9" s="1"/>
  <c r="R151" i="9" a="1"/>
  <c r="R151" i="9" s="1"/>
  <c r="R160" i="9" a="1"/>
  <c r="R160" i="9" s="1"/>
  <c r="R540" i="9" a="1"/>
  <c r="R540" i="9" s="1"/>
  <c r="R476" i="9" a="1"/>
  <c r="R476" i="9" s="1"/>
  <c r="R526" i="9" a="1"/>
  <c r="R526" i="9" s="1"/>
  <c r="R126" i="9" a="1"/>
  <c r="R126" i="9" s="1"/>
  <c r="R306" i="9" a="1"/>
  <c r="R306" i="9" s="1"/>
  <c r="R393" i="9" a="1"/>
  <c r="R393" i="9" s="1"/>
  <c r="R165" i="9" a="1"/>
  <c r="R165" i="9" s="1"/>
  <c r="R117" i="9" a="1"/>
  <c r="R117" i="9" s="1"/>
  <c r="R220" i="9" a="1"/>
  <c r="R220" i="9" s="1"/>
  <c r="R188" i="9" a="1"/>
  <c r="R188" i="9" s="1"/>
  <c r="R597" i="9" a="1"/>
  <c r="R597" i="9" s="1"/>
  <c r="R604" i="9" a="1"/>
  <c r="R604" i="9" s="1"/>
  <c r="R410" i="9" a="1"/>
  <c r="R410" i="9" s="1"/>
  <c r="R386" i="9" a="1"/>
  <c r="R386" i="9" s="1"/>
  <c r="R187" i="9" a="1"/>
  <c r="R187" i="9" s="1"/>
  <c r="R99" i="9" a="1"/>
  <c r="R99" i="9" s="1"/>
  <c r="R21" i="9" a="1"/>
  <c r="R21" i="9" s="1"/>
  <c r="R307" i="9" a="1"/>
  <c r="R307" i="9" s="1"/>
  <c r="R227" i="9" a="1"/>
  <c r="R227" i="9" s="1"/>
  <c r="R162" i="9" a="1"/>
  <c r="R162" i="9" s="1"/>
  <c r="R20" i="9" a="1"/>
  <c r="R20" i="9" s="1"/>
  <c r="R177" i="9" a="1"/>
  <c r="R177" i="9" s="1"/>
  <c r="R113" i="9" a="1"/>
  <c r="R113" i="9" s="1"/>
  <c r="R73" i="9" a="1"/>
  <c r="R73" i="9" s="1"/>
  <c r="R523" i="9" a="1"/>
  <c r="R523" i="9" s="1"/>
  <c r="R446" i="9" a="1"/>
  <c r="R446" i="9" s="1"/>
  <c r="R214" i="9" a="1"/>
  <c r="R214" i="9" s="1"/>
  <c r="R87" i="9" a="1"/>
  <c r="R87" i="9" s="1"/>
  <c r="R36" i="9" a="1"/>
  <c r="R36" i="9" s="1"/>
  <c r="R18" i="9" a="1"/>
  <c r="R18" i="9" s="1"/>
  <c r="R30" i="9" a="1"/>
  <c r="R30" i="9" s="1"/>
  <c r="R292" i="9" a="1"/>
  <c r="R292" i="9" s="1"/>
  <c r="R135" i="9" a="1"/>
  <c r="R135" i="9" s="1"/>
  <c r="R218" i="9" a="1"/>
  <c r="R218" i="9" s="1"/>
  <c r="R603" i="9" a="1"/>
  <c r="R603" i="9" s="1"/>
  <c r="R600" i="9" a="1"/>
  <c r="R600" i="9" s="1"/>
  <c r="R560" i="9" a="1"/>
  <c r="R560" i="9" s="1"/>
  <c r="R150" i="9" a="1"/>
  <c r="R150" i="9" s="1"/>
  <c r="R369" i="9" a="1"/>
  <c r="R369" i="9" s="1"/>
  <c r="R617" i="9" a="1"/>
  <c r="R617" i="9" s="1"/>
  <c r="R488" i="9" a="1"/>
  <c r="R488" i="9" s="1"/>
  <c r="R440" i="9" a="1"/>
  <c r="R440" i="9" s="1"/>
  <c r="R303" i="9" a="1"/>
  <c r="R303" i="9" s="1"/>
  <c r="R571" i="9" a="1"/>
  <c r="R571" i="9" s="1"/>
  <c r="R257" i="9" a="1"/>
  <c r="R257" i="9" s="1"/>
  <c r="R625" i="9" a="1"/>
  <c r="R625" i="9" s="1"/>
  <c r="R460" i="9" a="1"/>
  <c r="R460" i="9" s="1"/>
  <c r="R439" i="9" a="1"/>
  <c r="R439" i="9" s="1"/>
  <c r="R529" i="9" a="1"/>
  <c r="R529" i="9" s="1"/>
  <c r="R399" i="9" a="1"/>
  <c r="R399" i="9" s="1"/>
  <c r="R142" i="9" a="1"/>
  <c r="R142" i="9" s="1"/>
  <c r="R210" i="9" a="1"/>
  <c r="R210" i="9" s="1"/>
  <c r="R470" i="9" a="1"/>
  <c r="R470" i="9" s="1"/>
  <c r="R259" i="9" a="1"/>
  <c r="R259" i="9" s="1"/>
  <c r="R67" i="9" a="1"/>
  <c r="R67" i="9" s="1"/>
  <c r="R423" i="9" a="1"/>
  <c r="R423" i="9" s="1"/>
  <c r="R205" i="9" a="1"/>
  <c r="R205" i="9" s="1"/>
  <c r="R91" i="9" a="1"/>
  <c r="R91" i="9" s="1"/>
  <c r="R406" i="9" a="1"/>
  <c r="R406" i="9" s="1"/>
  <c r="R318" i="9" a="1"/>
  <c r="R318" i="9" s="1"/>
  <c r="R249" i="9" a="1"/>
  <c r="R249" i="9" s="1"/>
  <c r="R481" i="9" a="1"/>
  <c r="R481" i="9" s="1"/>
  <c r="R530" i="9" a="1"/>
  <c r="R530" i="9" s="1"/>
  <c r="R311" i="9" a="1"/>
  <c r="R311" i="9" s="1"/>
  <c r="R273" i="9" a="1"/>
  <c r="R273" i="9" s="1"/>
  <c r="R233" i="9" a="1"/>
  <c r="R233" i="9" s="1"/>
  <c r="R56" i="9" a="1"/>
  <c r="R56" i="9" s="1"/>
  <c r="R45" i="9" a="1"/>
  <c r="R45" i="9" s="1"/>
  <c r="R285" i="9" a="1"/>
  <c r="R285" i="9" s="1"/>
  <c r="Q285" i="9"/>
  <c r="R321" i="9" a="1"/>
  <c r="R321" i="9" s="1"/>
  <c r="Q321" i="9"/>
  <c r="R114" i="9" a="1"/>
  <c r="R114" i="9" s="1"/>
  <c r="Q114" i="9"/>
  <c r="R539" i="9" a="1"/>
  <c r="R539" i="9" s="1"/>
  <c r="Q539" i="9"/>
  <c r="R356" i="9" a="1"/>
  <c r="R356" i="9" s="1"/>
  <c r="Q356" i="9"/>
  <c r="R243" i="9" a="1"/>
  <c r="R243" i="9" s="1"/>
  <c r="Q243" i="9"/>
  <c r="R185" i="9" a="1"/>
  <c r="R185" i="9" s="1"/>
  <c r="Q185" i="9"/>
  <c r="R29" i="9" a="1"/>
  <c r="R29" i="9" s="1"/>
  <c r="Q29" i="9"/>
  <c r="R566" i="9" a="1"/>
  <c r="R566" i="9" s="1"/>
  <c r="Q566" i="9"/>
  <c r="R430" i="9" a="1"/>
  <c r="R430" i="9" s="1"/>
  <c r="Q430" i="9"/>
  <c r="R276" i="9" a="1"/>
  <c r="R276" i="9" s="1"/>
  <c r="Q276" i="9"/>
  <c r="R128" i="9" a="1"/>
  <c r="R128" i="9" s="1"/>
  <c r="Q128" i="9"/>
  <c r="R511" i="9" a="1"/>
  <c r="R511" i="9" s="1"/>
  <c r="Q511" i="9"/>
  <c r="R223" i="9" a="1"/>
  <c r="R223" i="9" s="1"/>
  <c r="Q223" i="9"/>
  <c r="R127" i="9" a="1"/>
  <c r="R127" i="9" s="1"/>
  <c r="Q127" i="9"/>
  <c r="R9" i="9" a="1"/>
  <c r="R9" i="9" s="1"/>
  <c r="Q9" i="9"/>
  <c r="R533" i="9" a="1"/>
  <c r="R533" i="9" s="1"/>
  <c r="Q533" i="9"/>
  <c r="R583" i="9" a="1"/>
  <c r="R583" i="9" s="1"/>
  <c r="Q583" i="9"/>
  <c r="R320" i="9" a="1"/>
  <c r="R320" i="9" s="1"/>
  <c r="Q320" i="9"/>
  <c r="R396" i="9" a="1"/>
  <c r="R396" i="9" s="1"/>
  <c r="Q396" i="9"/>
  <c r="R630" i="9" a="1"/>
  <c r="R630" i="9" s="1"/>
  <c r="Q630" i="9"/>
  <c r="R557" i="9" a="1"/>
  <c r="R557" i="9" s="1"/>
  <c r="Q557" i="9"/>
  <c r="R174" i="9" a="1"/>
  <c r="R174" i="9" s="1"/>
  <c r="Q174" i="9"/>
  <c r="R549" i="9" a="1"/>
  <c r="R549" i="9" s="1"/>
  <c r="Q549" i="9"/>
  <c r="R335" i="9" a="1"/>
  <c r="R335" i="9" s="1"/>
  <c r="Q335" i="9"/>
  <c r="R579" i="9" a="1"/>
  <c r="R579" i="9" s="1"/>
  <c r="Q579" i="9"/>
  <c r="R290" i="9" a="1"/>
  <c r="R290" i="9" s="1"/>
  <c r="Q290" i="9"/>
  <c r="R173" i="9" a="1"/>
  <c r="R173" i="9" s="1"/>
  <c r="Q173" i="9"/>
  <c r="R68" i="9" a="1"/>
  <c r="R68" i="9" s="1"/>
  <c r="Q68" i="9"/>
  <c r="R419" i="9" a="1"/>
  <c r="R419" i="9" s="1"/>
  <c r="Q419" i="9"/>
  <c r="R250" i="9" a="1"/>
  <c r="R250" i="9" s="1"/>
  <c r="Q250" i="9"/>
  <c r="R132" i="9" a="1"/>
  <c r="R132" i="9" s="1"/>
  <c r="Q132" i="9"/>
  <c r="R23" i="9" a="1"/>
  <c r="R23" i="9" s="1"/>
  <c r="Q23" i="9"/>
  <c r="R447" i="9" a="1"/>
  <c r="R447" i="9" s="1"/>
  <c r="Q447" i="9"/>
  <c r="R365" i="9" a="1"/>
  <c r="R365" i="9" s="1"/>
  <c r="Q365" i="9"/>
  <c r="R225" i="9" a="1"/>
  <c r="R225" i="9" s="1"/>
  <c r="Q225" i="9"/>
  <c r="R147" i="9" a="1"/>
  <c r="R147" i="9" s="1"/>
  <c r="Q147" i="9"/>
  <c r="R469" i="9" a="1"/>
  <c r="R469" i="9" s="1"/>
  <c r="Q469" i="9"/>
  <c r="R280" i="9" a="1"/>
  <c r="R280" i="9" s="1"/>
  <c r="Q280" i="9"/>
  <c r="R241" i="9" a="1"/>
  <c r="R241" i="9" s="1"/>
  <c r="Q241" i="9"/>
  <c r="R106" i="9" a="1"/>
  <c r="R106" i="9" s="1"/>
  <c r="Q106" i="9"/>
  <c r="Q602" i="9"/>
  <c r="R602" i="9" a="1"/>
  <c r="R602" i="9" s="1"/>
  <c r="R486" i="9" a="1"/>
  <c r="R486" i="9" s="1"/>
  <c r="Q486" i="9"/>
  <c r="R342" i="9" a="1"/>
  <c r="R342" i="9" s="1"/>
  <c r="Q342" i="9"/>
  <c r="R169" i="9" a="1"/>
  <c r="R169" i="9" s="1"/>
  <c r="Q169" i="9"/>
  <c r="R507" i="9" a="1"/>
  <c r="R507" i="9" s="1"/>
  <c r="Q507" i="9"/>
  <c r="R414" i="9" a="1"/>
  <c r="R414" i="9" s="1"/>
  <c r="Q414" i="9"/>
  <c r="R317" i="9" a="1"/>
  <c r="R317" i="9" s="1"/>
  <c r="Q317" i="9"/>
  <c r="R104" i="9" a="1"/>
  <c r="R104" i="9" s="1"/>
  <c r="Q104" i="9"/>
  <c r="R385" i="9" a="1"/>
  <c r="R385" i="9" s="1"/>
  <c r="Q385" i="9"/>
  <c r="R217" i="9" a="1"/>
  <c r="R217" i="9" s="1"/>
  <c r="Q217" i="9"/>
  <c r="R111" i="9" a="1"/>
  <c r="R111" i="9" s="1"/>
  <c r="Q111" i="9"/>
  <c r="R70" i="9" a="1"/>
  <c r="R70" i="9" s="1"/>
  <c r="Q70" i="9"/>
  <c r="R403" i="9" a="1"/>
  <c r="R403" i="9" s="1"/>
  <c r="Q403" i="9"/>
  <c r="R453" i="9" a="1"/>
  <c r="R453" i="9" s="1"/>
  <c r="Q453" i="9"/>
  <c r="R554" i="9" a="1"/>
  <c r="R554" i="9" s="1"/>
  <c r="Q554" i="9"/>
  <c r="R314" i="9" a="1"/>
  <c r="R314" i="9" s="1"/>
  <c r="Q314" i="9"/>
  <c r="R517" i="9" a="1"/>
  <c r="R517" i="9" s="1"/>
  <c r="Q517" i="9"/>
  <c r="R134" i="9" a="1"/>
  <c r="R134" i="9" s="1"/>
  <c r="Q134" i="9"/>
  <c r="R500" i="9" a="1"/>
  <c r="R500" i="9" s="1"/>
  <c r="Q500" i="9"/>
  <c r="R277" i="9" a="1"/>
  <c r="R277" i="9" s="1"/>
  <c r="Q277" i="9"/>
  <c r="R495" i="9" a="1"/>
  <c r="R495" i="9" s="1"/>
  <c r="Q495" i="9"/>
  <c r="R253" i="9" a="1"/>
  <c r="R253" i="9" s="1"/>
  <c r="Q253" i="9"/>
  <c r="R157" i="9" a="1"/>
  <c r="R157" i="9" s="1"/>
  <c r="Q157" i="9"/>
  <c r="R42" i="9" a="1"/>
  <c r="R42" i="9" s="1"/>
  <c r="Q42" i="9"/>
  <c r="R312" i="9" a="1"/>
  <c r="R312" i="9" s="1"/>
  <c r="Q312" i="9"/>
  <c r="R216" i="9" a="1"/>
  <c r="R216" i="9" s="1"/>
  <c r="Q216" i="9"/>
  <c r="R124" i="9" a="1"/>
  <c r="R124" i="9" s="1"/>
  <c r="Q124" i="9"/>
  <c r="R358" i="9" a="1"/>
  <c r="R358" i="9" s="1"/>
  <c r="Q358" i="9"/>
  <c r="R327" i="9" a="1"/>
  <c r="R327" i="9" s="1"/>
  <c r="Q327" i="9"/>
  <c r="R325" i="9" a="1"/>
  <c r="R325" i="9" s="1"/>
  <c r="Q325" i="9"/>
  <c r="R115" i="9" a="1"/>
  <c r="R115" i="9" s="1"/>
  <c r="Q115" i="9"/>
  <c r="R473" i="9" a="1"/>
  <c r="R473" i="9" s="1"/>
  <c r="Q473" i="9"/>
  <c r="R283" i="9" a="1"/>
  <c r="R283" i="9" s="1"/>
  <c r="Q283" i="9"/>
  <c r="R202" i="9" a="1"/>
  <c r="R202" i="9" s="1"/>
  <c r="Q202" i="9"/>
  <c r="R98" i="9" a="1"/>
  <c r="R98" i="9" s="1"/>
  <c r="Q98" i="9"/>
  <c r="R528" i="9" a="1"/>
  <c r="R528" i="9" s="1"/>
  <c r="Q528" i="9"/>
  <c r="R373" i="9" a="1"/>
  <c r="R373" i="9" s="1"/>
  <c r="Q373" i="9"/>
  <c r="R296" i="9" a="1"/>
  <c r="R296" i="9" s="1"/>
  <c r="Q296" i="9"/>
  <c r="R153" i="9" a="1"/>
  <c r="R153" i="9" s="1"/>
  <c r="Q153" i="9"/>
  <c r="R575" i="9" a="1"/>
  <c r="R575" i="9" s="1"/>
  <c r="Q575" i="9"/>
  <c r="R595" i="9" a="1"/>
  <c r="R595" i="9" s="1"/>
  <c r="Q595" i="9"/>
  <c r="R402" i="9" a="1"/>
  <c r="R402" i="9" s="1"/>
  <c r="Q402" i="9"/>
  <c r="R255" i="9" a="1"/>
  <c r="R255" i="9" s="1"/>
  <c r="Q255" i="9"/>
  <c r="R88" i="9" a="1"/>
  <c r="R88" i="9" s="1"/>
  <c r="Q88" i="9"/>
  <c r="R347" i="9" a="1"/>
  <c r="R347" i="9" s="1"/>
  <c r="Q347" i="9"/>
  <c r="R230" i="9" a="1"/>
  <c r="R230" i="9" s="1"/>
  <c r="Q230" i="9"/>
  <c r="R79" i="9" a="1"/>
  <c r="R79" i="9" s="1"/>
  <c r="Q79" i="9"/>
  <c r="R54" i="9" a="1"/>
  <c r="R54" i="9" s="1"/>
  <c r="Q54" i="9"/>
  <c r="R578" i="9" a="1"/>
  <c r="R578" i="9" s="1"/>
  <c r="Q578" i="9"/>
  <c r="R272" i="9" a="1"/>
  <c r="R272" i="9" s="1"/>
  <c r="Q272" i="9"/>
  <c r="R409" i="9" a="1"/>
  <c r="R409" i="9" s="1"/>
  <c r="Q409" i="9"/>
  <c r="R581" i="9" a="1"/>
  <c r="R581" i="9" s="1"/>
  <c r="Q581" i="9"/>
  <c r="R102" i="9" a="1"/>
  <c r="R102" i="9" s="1"/>
  <c r="Q102" i="9"/>
  <c r="R376" i="9" a="1"/>
  <c r="R376" i="9" s="1"/>
  <c r="Q376" i="9"/>
  <c r="R43" i="9" a="1"/>
  <c r="R43" i="9" s="1"/>
  <c r="Q43" i="9"/>
  <c r="R512" i="9" a="1"/>
  <c r="R512" i="9" s="1"/>
  <c r="Q512" i="9"/>
  <c r="R198" i="9" a="1"/>
  <c r="R198" i="9" s="1"/>
  <c r="Q198" i="9"/>
  <c r="R601" i="9" a="1"/>
  <c r="R601" i="9" s="1"/>
  <c r="Q601" i="9"/>
  <c r="R478" i="9" a="1"/>
  <c r="R478" i="9" s="1"/>
  <c r="Q478" i="9"/>
  <c r="R271" i="9" a="1"/>
  <c r="R271" i="9" s="1"/>
  <c r="Q271" i="9"/>
  <c r="R125" i="9" a="1"/>
  <c r="R125" i="9" s="1"/>
  <c r="Q125" i="9"/>
  <c r="R34" i="9" a="1"/>
  <c r="R34" i="9" s="1"/>
  <c r="Q34" i="9"/>
  <c r="R333" i="9" a="1"/>
  <c r="R333" i="9" s="1"/>
  <c r="Q333" i="9"/>
  <c r="R260" i="9" a="1"/>
  <c r="R260" i="9" s="1"/>
  <c r="Q260" i="9"/>
  <c r="R116" i="9" a="1"/>
  <c r="R116" i="9" s="1"/>
  <c r="Q116" i="9"/>
  <c r="R506" i="9" a="1"/>
  <c r="R506" i="9" s="1"/>
  <c r="Q506" i="9"/>
  <c r="R344" i="9" a="1"/>
  <c r="R344" i="9" s="1"/>
  <c r="Q344" i="9"/>
  <c r="R262" i="9" a="1"/>
  <c r="R262" i="9" s="1"/>
  <c r="Q262" i="9"/>
  <c r="E31" i="9" a="1"/>
  <c r="E31" i="9" s="1"/>
  <c r="E97" i="9" a="1"/>
  <c r="E97" i="9" s="1"/>
  <c r="R107" i="9" a="1"/>
  <c r="R107" i="9" s="1"/>
  <c r="Q107" i="9"/>
  <c r="R340" i="9" a="1"/>
  <c r="R340" i="9" s="1"/>
  <c r="Q340" i="9"/>
  <c r="R378" i="9" a="1"/>
  <c r="R378" i="9" s="1"/>
  <c r="Q378" i="9"/>
  <c r="R194" i="9" a="1"/>
  <c r="R194" i="9" s="1"/>
  <c r="Q194" i="9"/>
  <c r="R90" i="9" a="1"/>
  <c r="R90" i="9" s="1"/>
  <c r="Q90" i="9"/>
  <c r="R608" i="9" a="1"/>
  <c r="R608" i="9" s="1"/>
  <c r="Q608" i="9"/>
  <c r="R477" i="9" a="1"/>
  <c r="R477" i="9" s="1"/>
  <c r="Q477" i="9"/>
  <c r="R315" i="9" a="1"/>
  <c r="R315" i="9" s="1"/>
  <c r="Q315" i="9"/>
  <c r="R352" i="9" a="1"/>
  <c r="R352" i="9" s="1"/>
  <c r="Q352" i="9"/>
  <c r="R145" i="9" a="1"/>
  <c r="R145" i="9" s="1"/>
  <c r="Q145" i="9"/>
  <c r="R596" i="9" a="1"/>
  <c r="R596" i="9" s="1"/>
  <c r="Q596" i="9"/>
  <c r="R384" i="9" a="1"/>
  <c r="R384" i="9" s="1"/>
  <c r="Q384" i="9"/>
  <c r="R316" i="9" a="1"/>
  <c r="R316" i="9" s="1"/>
  <c r="Q316" i="9"/>
  <c r="R294" i="9" a="1"/>
  <c r="R294" i="9" s="1"/>
  <c r="Q294" i="9"/>
  <c r="R80" i="9" a="1"/>
  <c r="R80" i="9" s="1"/>
  <c r="Q80" i="9"/>
  <c r="R468" i="9" a="1"/>
  <c r="R468" i="9" s="1"/>
  <c r="Q468" i="9"/>
  <c r="R224" i="9" a="1"/>
  <c r="R224" i="9" s="1"/>
  <c r="Q224" i="9"/>
  <c r="R19" i="9" a="1"/>
  <c r="R19" i="9" s="1"/>
  <c r="Q19" i="9"/>
  <c r="R46" i="9" a="1"/>
  <c r="R46" i="9" s="1"/>
  <c r="Q46" i="9"/>
  <c r="R547" i="9" a="1"/>
  <c r="R547" i="9" s="1"/>
  <c r="Q547" i="9"/>
  <c r="R293" i="9" a="1"/>
  <c r="R293" i="9" s="1"/>
  <c r="Q293" i="9"/>
  <c r="R331" i="9" a="1"/>
  <c r="R331" i="9" s="1"/>
  <c r="Q331" i="9"/>
  <c r="R607" i="9" a="1"/>
  <c r="R607" i="9" s="1"/>
  <c r="Q607" i="9"/>
  <c r="R494" i="9" a="1"/>
  <c r="R494" i="9" s="1"/>
  <c r="Q494" i="9"/>
  <c r="R496" i="9" a="1"/>
  <c r="R496" i="9" s="1"/>
  <c r="Q496" i="9"/>
  <c r="R599" i="9" a="1"/>
  <c r="R599" i="9" s="1"/>
  <c r="Q599" i="9"/>
  <c r="R429" i="9" a="1"/>
  <c r="R429" i="9" s="1"/>
  <c r="Q429" i="9"/>
  <c r="R614" i="9" a="1"/>
  <c r="R614" i="9" s="1"/>
  <c r="Q614" i="9"/>
  <c r="R483" i="9" a="1"/>
  <c r="R483" i="9" s="1"/>
  <c r="Q483" i="9"/>
  <c r="R551" i="9" a="1"/>
  <c r="R551" i="9" s="1"/>
  <c r="Q551" i="9"/>
  <c r="R573" i="9" a="1"/>
  <c r="R573" i="9" s="1"/>
  <c r="Q573" i="9"/>
  <c r="R207" i="9" a="1"/>
  <c r="R207" i="9" s="1"/>
  <c r="Q207" i="9"/>
  <c r="R109" i="9" a="1"/>
  <c r="R109" i="9" s="1"/>
  <c r="Q109" i="9"/>
  <c r="R24" i="9" a="1"/>
  <c r="R24" i="9" s="1"/>
  <c r="Q24" i="9"/>
  <c r="R408" i="9" a="1"/>
  <c r="R408" i="9" s="1"/>
  <c r="Q408" i="9"/>
  <c r="R221" i="9" a="1"/>
  <c r="R221" i="9" s="1"/>
  <c r="Q221" i="9"/>
  <c r="R108" i="9" a="1"/>
  <c r="R108" i="9" s="1"/>
  <c r="Q108" i="9"/>
  <c r="R541" i="9" a="1"/>
  <c r="R541" i="9" s="1"/>
  <c r="Q541" i="9"/>
  <c r="R361" i="9" a="1"/>
  <c r="R361" i="9" s="1"/>
  <c r="Q361" i="9"/>
  <c r="R442" i="9" a="1"/>
  <c r="R442" i="9" s="1"/>
  <c r="Q442" i="9"/>
  <c r="R203" i="9" a="1"/>
  <c r="R203" i="9" s="1"/>
  <c r="Q203" i="9"/>
  <c r="R75" i="9" a="1"/>
  <c r="R75" i="9" s="1"/>
  <c r="Q75" i="9"/>
  <c r="R570" i="9" a="1"/>
  <c r="R570" i="9" s="1"/>
  <c r="Q570" i="9"/>
  <c r="R323" i="9" a="1"/>
  <c r="R323" i="9" s="1"/>
  <c r="Q323" i="9"/>
  <c r="R154" i="9" a="1"/>
  <c r="R154" i="9" s="1"/>
  <c r="Q154" i="9"/>
  <c r="R82" i="9" a="1"/>
  <c r="R82" i="9" s="1"/>
  <c r="Q82" i="9"/>
  <c r="R594" i="9" a="1"/>
  <c r="R594" i="9" s="1"/>
  <c r="Q594" i="9"/>
  <c r="R405" i="9" a="1"/>
  <c r="R405" i="9" s="1"/>
  <c r="Q405" i="9"/>
  <c r="R450" i="9" a="1"/>
  <c r="R450" i="9" s="1"/>
  <c r="Q450" i="9"/>
  <c r="R387" i="9" a="1"/>
  <c r="R387" i="9" s="1"/>
  <c r="Q387" i="9"/>
  <c r="R121" i="9" a="1"/>
  <c r="R121" i="9" s="1"/>
  <c r="Q121" i="9"/>
  <c r="R519" i="9" a="1"/>
  <c r="R519" i="9" s="1"/>
  <c r="Q519" i="9"/>
  <c r="R359" i="9" a="1"/>
  <c r="R359" i="9" s="1"/>
  <c r="Q359" i="9"/>
  <c r="R232" i="9" a="1"/>
  <c r="R232" i="9" s="1"/>
  <c r="Q232" i="9"/>
  <c r="R55" i="9" a="1"/>
  <c r="R55" i="9" s="1"/>
  <c r="Q55" i="9"/>
  <c r="R454" i="9" a="1"/>
  <c r="R454" i="9" s="1"/>
  <c r="Q454" i="9"/>
  <c r="R199" i="9" a="1"/>
  <c r="R199" i="9" s="1"/>
  <c r="Q199" i="9"/>
  <c r="R11" i="9" a="1"/>
  <c r="R11" i="9" s="1"/>
  <c r="Q11" i="9"/>
  <c r="R22" i="9" a="1"/>
  <c r="R22" i="9" s="1"/>
  <c r="Q22" i="9"/>
  <c r="R542" i="9" a="1"/>
  <c r="R542" i="9" s="1"/>
  <c r="Q542" i="9"/>
  <c r="R110" i="9" a="1"/>
  <c r="R110" i="9" s="1"/>
  <c r="Q110" i="9"/>
  <c r="R515" i="9" a="1"/>
  <c r="R515" i="9" s="1"/>
  <c r="Q515" i="9"/>
  <c r="R190" i="9" a="1"/>
  <c r="R190" i="9" s="1"/>
  <c r="Q190" i="9"/>
  <c r="R472" i="9" a="1"/>
  <c r="R472" i="9" s="1"/>
  <c r="Q472" i="9"/>
  <c r="R504" i="9" a="1"/>
  <c r="R504" i="9" s="1"/>
  <c r="Q504" i="9"/>
  <c r="R615" i="9" a="1"/>
  <c r="R615" i="9" s="1"/>
  <c r="Q615" i="9"/>
  <c r="R394" i="9" a="1"/>
  <c r="R394" i="9" s="1"/>
  <c r="Q394" i="9"/>
  <c r="R499" i="9" a="1"/>
  <c r="R499" i="9" s="1"/>
  <c r="Q499" i="9"/>
  <c r="R610" i="9" a="1"/>
  <c r="R610" i="9" s="1"/>
  <c r="Q610" i="9"/>
  <c r="R582" i="9" a="1"/>
  <c r="R582" i="9" s="1"/>
  <c r="Q582" i="9"/>
  <c r="R297" i="9" a="1"/>
  <c r="R297" i="9" s="1"/>
  <c r="Q297" i="9"/>
  <c r="R256" i="9" a="1"/>
  <c r="R256" i="9" s="1"/>
  <c r="Q256" i="9"/>
  <c r="R101" i="9" a="1"/>
  <c r="R101" i="9" s="1"/>
  <c r="Q101" i="9"/>
  <c r="R13" i="9" a="1"/>
  <c r="R13" i="9" s="1"/>
  <c r="Q13" i="9"/>
  <c r="R452" i="9" a="1"/>
  <c r="R452" i="9" s="1"/>
  <c r="Q452" i="9"/>
  <c r="R208" i="9" a="1"/>
  <c r="R208" i="9" s="1"/>
  <c r="Q208" i="9"/>
  <c r="R92" i="9" a="1"/>
  <c r="R92" i="9" s="1"/>
  <c r="Q92" i="9"/>
  <c r="R351" i="9" a="1"/>
  <c r="R351" i="9" s="1"/>
  <c r="Q351" i="9"/>
  <c r="R258" i="9" a="1"/>
  <c r="R258" i="9" s="1"/>
  <c r="Q258" i="9"/>
  <c r="R195" i="9" a="1"/>
  <c r="R195" i="9" s="1"/>
  <c r="Q195" i="9"/>
  <c r="R66" i="9" a="1"/>
  <c r="R66" i="9" s="1"/>
  <c r="Q66" i="9"/>
  <c r="R437" i="9" a="1"/>
  <c r="R437" i="9" s="1"/>
  <c r="Q437" i="9"/>
  <c r="R383" i="9" a="1"/>
  <c r="R383" i="9" s="1"/>
  <c r="Q383" i="9"/>
  <c r="R138" i="9" a="1"/>
  <c r="R138" i="9" s="1"/>
  <c r="Q138" i="9"/>
  <c r="R48" i="9" a="1"/>
  <c r="R48" i="9" s="1"/>
  <c r="Q48" i="9"/>
  <c r="R536" i="9" a="1"/>
  <c r="R536" i="9" s="1"/>
  <c r="Q536" i="9"/>
  <c r="R498" i="9" a="1"/>
  <c r="R498" i="9" s="1"/>
  <c r="Q498" i="9"/>
  <c r="Q319" i="9"/>
  <c r="R319" i="9" a="1"/>
  <c r="R319" i="9" s="1"/>
  <c r="R368" i="9" a="1"/>
  <c r="R368" i="9" s="1"/>
  <c r="Q368" i="9"/>
  <c r="R89" i="9" a="1"/>
  <c r="R89" i="9" s="1"/>
  <c r="Q89" i="9"/>
  <c r="R567" i="9" a="1"/>
  <c r="R567" i="9" s="1"/>
  <c r="Q567" i="9"/>
  <c r="R589" i="9" a="1"/>
  <c r="R589" i="9" s="1"/>
  <c r="Q589" i="9"/>
  <c r="R381" i="9" a="1"/>
  <c r="R381" i="9" s="1"/>
  <c r="Q381" i="9"/>
  <c r="R176" i="9" a="1"/>
  <c r="R176" i="9" s="1"/>
  <c r="Q176" i="9"/>
  <c r="R37" i="9" a="1"/>
  <c r="R37" i="9" s="1"/>
  <c r="Q37" i="9"/>
  <c r="R284" i="9" a="1"/>
  <c r="R284" i="9" s="1"/>
  <c r="Q284" i="9"/>
  <c r="R191" i="9" a="1"/>
  <c r="R191" i="9" s="1"/>
  <c r="Q191" i="9"/>
  <c r="R10" i="9" a="1"/>
  <c r="R10" i="9" s="1"/>
  <c r="Q10" i="9"/>
  <c r="R14" i="9" a="1"/>
  <c r="R14" i="9" s="1"/>
  <c r="Q14" i="9"/>
  <c r="E88" i="9" a="1"/>
  <c r="E88" i="9" s="1"/>
  <c r="E93" i="9" a="1"/>
  <c r="E93" i="9" s="1"/>
  <c r="E58" i="9" a="1"/>
  <c r="E58" i="9" s="1"/>
  <c r="E65" i="9" a="1"/>
  <c r="E65" i="9" s="1"/>
  <c r="E98" i="9" a="1"/>
  <c r="E98" i="9" s="1"/>
  <c r="E92" i="9" a="1"/>
  <c r="E92" i="9" s="1"/>
  <c r="E36" i="9" a="1"/>
  <c r="E36" i="9" s="1"/>
  <c r="E86" i="9" a="1"/>
  <c r="E86" i="9" s="1"/>
  <c r="E70" i="9" a="1"/>
  <c r="E70" i="9" s="1"/>
  <c r="E76" i="9" a="1"/>
  <c r="E76" i="9" s="1"/>
  <c r="E41" i="9" a="1"/>
  <c r="E41" i="9" s="1"/>
  <c r="E89" i="9" a="1"/>
  <c r="E89" i="9" s="1"/>
  <c r="E64" i="9" a="1"/>
  <c r="E64" i="9" s="1"/>
  <c r="E69" i="9" a="1"/>
  <c r="E69" i="9" s="1"/>
  <c r="E66" i="9" a="1"/>
  <c r="E66" i="9" s="1"/>
  <c r="E101" i="9" a="1"/>
  <c r="E101" i="9" s="1"/>
  <c r="E51" i="9" a="1"/>
  <c r="E51" i="9" s="1"/>
  <c r="E40" i="9" a="1"/>
  <c r="E40" i="9" s="1"/>
  <c r="E57" i="9" a="1"/>
  <c r="E57" i="9" s="1"/>
  <c r="E50" i="9" a="1"/>
  <c r="E50" i="9" s="1"/>
  <c r="E56" i="9" a="1"/>
  <c r="E56" i="9" s="1"/>
  <c r="E81" i="9" a="1"/>
  <c r="E81" i="9" s="1"/>
  <c r="E22" i="9" a="1"/>
  <c r="E22" i="9" s="1"/>
  <c r="E35" i="9" a="1"/>
  <c r="E35" i="9" s="1"/>
  <c r="E25" i="9" a="1"/>
  <c r="E25" i="9" s="1"/>
  <c r="E34" i="9" a="1"/>
  <c r="E34" i="9" s="1"/>
  <c r="E74" i="9" a="1"/>
  <c r="E74" i="9" s="1"/>
  <c r="E63" i="9" a="1"/>
  <c r="E63" i="9" s="1"/>
  <c r="E52" i="9" a="1"/>
  <c r="E52" i="9" s="1"/>
  <c r="E62" i="9" a="1"/>
  <c r="E62" i="9" s="1"/>
  <c r="T7" i="9" a="1"/>
  <c r="E24" i="9" a="1"/>
  <c r="E24" i="9" s="1"/>
  <c r="E45" i="9" a="1"/>
  <c r="E45" i="9" s="1"/>
  <c r="E47" i="9" a="1"/>
  <c r="E47" i="9" s="1"/>
  <c r="E100" i="9" a="1"/>
  <c r="E100" i="9" s="1"/>
  <c r="E46" i="9" a="1"/>
  <c r="E46" i="9" s="1"/>
  <c r="E96" i="9" a="1"/>
  <c r="E96" i="9" s="1"/>
  <c r="E21" i="9" a="1"/>
  <c r="E21" i="9" s="1"/>
  <c r="E33" i="9" a="1"/>
  <c r="E33" i="9" s="1"/>
  <c r="E37" i="9" a="1"/>
  <c r="E37" i="9" s="1"/>
  <c r="E29" i="9" a="1"/>
  <c r="E29" i="9" s="1"/>
  <c r="E78" i="9" a="1"/>
  <c r="E78" i="9" s="1"/>
  <c r="E68" i="9" a="1"/>
  <c r="E68" i="9" s="1"/>
  <c r="E99" i="9" a="1"/>
  <c r="E99" i="9" s="1"/>
  <c r="E23" i="9" a="1"/>
  <c r="E23" i="9" s="1"/>
  <c r="E38" i="9" a="1"/>
  <c r="E38" i="9" s="1"/>
  <c r="E61" i="9" a="1"/>
  <c r="E61" i="9" s="1"/>
  <c r="E82" i="9" a="1"/>
  <c r="E82" i="9" s="1"/>
  <c r="E44" i="9" a="1"/>
  <c r="E44" i="9" s="1"/>
  <c r="E83" i="9" a="1"/>
  <c r="E83" i="9" s="1"/>
  <c r="E67" i="9" a="1"/>
  <c r="E67" i="9" s="1"/>
  <c r="E32" i="9" a="1"/>
  <c r="E32" i="9" s="1"/>
  <c r="E39" i="9" a="1"/>
  <c r="E39" i="9" s="1"/>
  <c r="E43" i="9" a="1"/>
  <c r="E43" i="9" s="1"/>
  <c r="E73" i="9" a="1"/>
  <c r="E73" i="9" s="1"/>
  <c r="E102" i="9" a="1"/>
  <c r="E102" i="9" s="1"/>
  <c r="E49" i="9" a="1"/>
  <c r="E49" i="9" s="1"/>
  <c r="E54" i="9" a="1"/>
  <c r="E54" i="9" s="1"/>
  <c r="E42" i="9" a="1"/>
  <c r="E42" i="9" s="1"/>
  <c r="E53" i="9" a="1"/>
  <c r="E53" i="9" s="1"/>
  <c r="E87" i="9" a="1"/>
  <c r="E87" i="9" s="1"/>
  <c r="E80" i="9" a="1"/>
  <c r="E80" i="9" s="1"/>
  <c r="E103" i="9" a="1"/>
  <c r="E103" i="9" s="1"/>
  <c r="E60" i="9" a="1"/>
  <c r="E60" i="9" s="1"/>
  <c r="R7" i="9" a="1"/>
  <c r="R7" i="9" s="1"/>
  <c r="P1076" i="14" a="1"/>
  <c r="P1076" i="14" s="1"/>
  <c r="O1107" i="14"/>
  <c r="P1107" i="14" a="1"/>
  <c r="P1107" i="14" s="1"/>
  <c r="P989" i="14" a="1"/>
  <c r="P989" i="14" s="1"/>
  <c r="O988" i="14"/>
  <c r="P988" i="14" a="1"/>
  <c r="P988" i="14" s="1"/>
  <c r="P449" i="14" a="1"/>
  <c r="P449" i="14" s="1"/>
  <c r="O1158" i="14"/>
  <c r="P1158" i="14" a="1"/>
  <c r="P1158" i="14" s="1"/>
  <c r="P679" i="14" a="1"/>
  <c r="P679" i="14" s="1"/>
  <c r="P896" i="14" a="1"/>
  <c r="P896" i="14" s="1"/>
  <c r="P867" i="14" a="1"/>
  <c r="P867" i="14" s="1"/>
  <c r="O1206" i="14"/>
  <c r="P1206" i="14" a="1"/>
  <c r="P1206" i="14" s="1"/>
  <c r="P1151" i="14" a="1"/>
  <c r="P1151" i="14" s="1"/>
  <c r="O1005" i="14"/>
  <c r="P1005" i="14" a="1"/>
  <c r="P1005" i="14" s="1"/>
  <c r="O872" i="14"/>
  <c r="P872" i="14" a="1"/>
  <c r="P872" i="14" s="1"/>
  <c r="P700" i="14" a="1"/>
  <c r="P700" i="14" s="1"/>
  <c r="O619" i="14"/>
  <c r="P619" i="14" a="1"/>
  <c r="P619" i="14" s="1"/>
  <c r="O458" i="14"/>
  <c r="P458" i="14" a="1"/>
  <c r="P458" i="14" s="1"/>
  <c r="O326" i="14"/>
  <c r="P326" i="14" a="1"/>
  <c r="P326" i="14" s="1"/>
  <c r="P404" i="14" a="1"/>
  <c r="P404" i="14" s="1"/>
  <c r="O268" i="14"/>
  <c r="P268" i="14" a="1"/>
  <c r="P268" i="14" s="1"/>
  <c r="P1226" i="14" a="1"/>
  <c r="P1226" i="14" s="1"/>
  <c r="P1093" i="14" a="1"/>
  <c r="P1093" i="14" s="1"/>
  <c r="P1045" i="14" a="1"/>
  <c r="P1045" i="14" s="1"/>
  <c r="O826" i="14"/>
  <c r="P826" i="14" a="1"/>
  <c r="P826" i="14" s="1"/>
  <c r="O704" i="14"/>
  <c r="P704" i="14" a="1"/>
  <c r="P704" i="14" s="1"/>
  <c r="O630" i="14"/>
  <c r="P630" i="14" a="1"/>
  <c r="P630" i="14" s="1"/>
  <c r="O428" i="14"/>
  <c r="P428" i="14" a="1"/>
  <c r="P428" i="14" s="1"/>
  <c r="O362" i="14"/>
  <c r="P362" i="14" a="1"/>
  <c r="P362" i="14" s="1"/>
  <c r="O297" i="14"/>
  <c r="P297" i="14" a="1"/>
  <c r="P297" i="14" s="1"/>
  <c r="O1132" i="14"/>
  <c r="P1132" i="14" a="1"/>
  <c r="P1132" i="14" s="1"/>
  <c r="O991" i="14"/>
  <c r="P991" i="14" a="1"/>
  <c r="P991" i="14" s="1"/>
  <c r="O914" i="14"/>
  <c r="P914" i="14" a="1"/>
  <c r="P914" i="14" s="1"/>
  <c r="O762" i="14"/>
  <c r="P762" i="14" a="1"/>
  <c r="P762" i="14" s="1"/>
  <c r="O623" i="14"/>
  <c r="P623" i="14" a="1"/>
  <c r="P623" i="14" s="1"/>
  <c r="O518" i="14"/>
  <c r="P518" i="14" a="1"/>
  <c r="P518" i="14" s="1"/>
  <c r="P455" i="14" a="1"/>
  <c r="P455" i="14" s="1"/>
  <c r="P295" i="14" a="1"/>
  <c r="P295" i="14" s="1"/>
  <c r="O1324" i="14"/>
  <c r="P1324" i="14" a="1"/>
  <c r="P1324" i="14" s="1"/>
  <c r="O1109" i="14"/>
  <c r="P1109" i="14" a="1"/>
  <c r="P1109" i="14" s="1"/>
  <c r="P1034" i="14" a="1"/>
  <c r="P1034" i="14" s="1"/>
  <c r="O833" i="14"/>
  <c r="P833" i="14" a="1"/>
  <c r="P833" i="14" s="1"/>
  <c r="O729" i="14"/>
  <c r="P729" i="14" a="1"/>
  <c r="P729" i="14" s="1"/>
  <c r="O584" i="14"/>
  <c r="P584" i="14" a="1"/>
  <c r="P584" i="14" s="1"/>
  <c r="O398" i="14"/>
  <c r="P398" i="14" a="1"/>
  <c r="P398" i="14" s="1"/>
  <c r="O307" i="14"/>
  <c r="P307" i="14" a="1"/>
  <c r="P307" i="14" s="1"/>
  <c r="O265" i="14"/>
  <c r="P265" i="14" a="1"/>
  <c r="P265" i="14" s="1"/>
  <c r="P1185" i="14" a="1"/>
  <c r="P1185" i="14" s="1"/>
  <c r="O998" i="14"/>
  <c r="P998" i="14" a="1"/>
  <c r="P998" i="14" s="1"/>
  <c r="O920" i="14"/>
  <c r="P920" i="14" a="1"/>
  <c r="P920" i="14" s="1"/>
  <c r="P821" i="14" a="1"/>
  <c r="P821" i="14" s="1"/>
  <c r="P600" i="14" a="1"/>
  <c r="P600" i="14" s="1"/>
  <c r="O499" i="14"/>
  <c r="P499" i="14" a="1"/>
  <c r="P499" i="14" s="1"/>
  <c r="P407" i="14" a="1"/>
  <c r="P407" i="14" s="1"/>
  <c r="P274" i="14" a="1"/>
  <c r="P274" i="14" s="1"/>
  <c r="O810" i="14"/>
  <c r="P810" i="14" a="1"/>
  <c r="P810" i="14" s="1"/>
  <c r="O640" i="14"/>
  <c r="P640" i="14" a="1"/>
  <c r="P640" i="14" s="1"/>
  <c r="O503" i="14"/>
  <c r="P503" i="14" a="1"/>
  <c r="P503" i="14" s="1"/>
  <c r="O310" i="14"/>
  <c r="P310" i="14" a="1"/>
  <c r="P310" i="14" s="1"/>
  <c r="O262" i="14"/>
  <c r="P262" i="14" a="1"/>
  <c r="P262" i="14" s="1"/>
  <c r="O1161" i="14"/>
  <c r="P1161" i="14" a="1"/>
  <c r="P1161" i="14" s="1"/>
  <c r="P1154" i="14" a="1"/>
  <c r="P1154" i="14" s="1"/>
  <c r="O1052" i="14"/>
  <c r="P1052" i="14" a="1"/>
  <c r="P1052" i="14" s="1"/>
  <c r="P784" i="14" a="1"/>
  <c r="P784" i="14" s="1"/>
  <c r="O694" i="14"/>
  <c r="P694" i="14" a="1"/>
  <c r="P694" i="14" s="1"/>
  <c r="O620" i="14"/>
  <c r="P620" i="14" a="1"/>
  <c r="P620" i="14" s="1"/>
  <c r="P384" i="14" a="1"/>
  <c r="P384" i="14" s="1"/>
  <c r="P347" i="14" a="1"/>
  <c r="P347" i="14" s="1"/>
  <c r="O272" i="14"/>
  <c r="P272" i="14" a="1"/>
  <c r="P272" i="14" s="1"/>
  <c r="O708" i="14"/>
  <c r="P708" i="14" a="1"/>
  <c r="P708" i="14" s="1"/>
  <c r="O1308" i="14"/>
  <c r="P1308" i="14" a="1"/>
  <c r="P1308" i="14" s="1"/>
  <c r="P1205" i="14" a="1"/>
  <c r="P1205" i="14" s="1"/>
  <c r="O656" i="14"/>
  <c r="P656" i="14" a="1"/>
  <c r="P656" i="14" s="1"/>
  <c r="P1105" i="14" a="1"/>
  <c r="P1105" i="14" s="1"/>
  <c r="P637" i="14" a="1"/>
  <c r="P637" i="14" s="1"/>
  <c r="O1247" i="14"/>
  <c r="P1247" i="14" a="1"/>
  <c r="P1247" i="14" s="1"/>
  <c r="P972" i="14" a="1"/>
  <c r="P972" i="14" s="1"/>
  <c r="O1225" i="14"/>
  <c r="P1225" i="14" a="1"/>
  <c r="P1225" i="14" s="1"/>
  <c r="O1078" i="14"/>
  <c r="P1078" i="14" a="1"/>
  <c r="P1078" i="14" s="1"/>
  <c r="O1220" i="14"/>
  <c r="P1220" i="14" a="1"/>
  <c r="P1220" i="14" s="1"/>
  <c r="P1130" i="14" a="1"/>
  <c r="P1130" i="14" s="1"/>
  <c r="P447" i="14" a="1"/>
  <c r="P447" i="14" s="1"/>
  <c r="P1163" i="14" a="1"/>
  <c r="P1163" i="14" s="1"/>
  <c r="O761" i="14"/>
  <c r="P761" i="14" a="1"/>
  <c r="P761" i="14" s="1"/>
  <c r="P936" i="14" a="1"/>
  <c r="P936" i="14" s="1"/>
  <c r="P1230" i="14" a="1"/>
  <c r="P1230" i="14" s="1"/>
  <c r="O1017" i="14"/>
  <c r="P1017" i="14" a="1"/>
  <c r="P1017" i="14" s="1"/>
  <c r="O928" i="14"/>
  <c r="P928" i="14" a="1"/>
  <c r="P928" i="14" s="1"/>
  <c r="O925" i="14"/>
  <c r="P925" i="14" a="1"/>
  <c r="P925" i="14" s="1"/>
  <c r="O915" i="14"/>
  <c r="P915" i="14" a="1"/>
  <c r="P915" i="14" s="1"/>
  <c r="O1208" i="14"/>
  <c r="P1208" i="14" a="1"/>
  <c r="P1208" i="14" s="1"/>
  <c r="P1122" i="14" a="1"/>
  <c r="P1122" i="14" s="1"/>
  <c r="P1007" i="14" a="1"/>
  <c r="P1007" i="14" s="1"/>
  <c r="O941" i="14"/>
  <c r="P941" i="14" a="1"/>
  <c r="P941" i="14" s="1"/>
  <c r="O695" i="14"/>
  <c r="P695" i="14" a="1"/>
  <c r="P695" i="14" s="1"/>
  <c r="P659" i="14" a="1"/>
  <c r="P659" i="14" s="1"/>
  <c r="O421" i="14"/>
  <c r="P421" i="14" a="1"/>
  <c r="P421" i="14" s="1"/>
  <c r="O329" i="14"/>
  <c r="P329" i="14" a="1"/>
  <c r="P329" i="14" s="1"/>
  <c r="P345" i="14" a="1"/>
  <c r="P345" i="14" s="1"/>
  <c r="P218" i="14" a="1"/>
  <c r="P218" i="14" s="1"/>
  <c r="P1201" i="14" a="1"/>
  <c r="P1201" i="14" s="1"/>
  <c r="O1110" i="14"/>
  <c r="P1110" i="14" a="1"/>
  <c r="P1110" i="14" s="1"/>
  <c r="O1041" i="14"/>
  <c r="P1041" i="14" a="1"/>
  <c r="P1041" i="14" s="1"/>
  <c r="P790" i="14" a="1"/>
  <c r="P790" i="14" s="1"/>
  <c r="O627" i="14"/>
  <c r="P627" i="14" a="1"/>
  <c r="P627" i="14" s="1"/>
  <c r="O478" i="14"/>
  <c r="P478" i="14" a="1"/>
  <c r="P478" i="14" s="1"/>
  <c r="O445" i="14"/>
  <c r="P445" i="14" a="1"/>
  <c r="P445" i="14" s="1"/>
  <c r="O314" i="14"/>
  <c r="P314" i="14" a="1"/>
  <c r="P314" i="14" s="1"/>
  <c r="O1276" i="14"/>
  <c r="P1276" i="14" a="1"/>
  <c r="P1276" i="14" s="1"/>
  <c r="O1084" i="14"/>
  <c r="P1084" i="14" a="1"/>
  <c r="P1084" i="14" s="1"/>
  <c r="O986" i="14"/>
  <c r="P986" i="14" a="1"/>
  <c r="P986" i="14" s="1"/>
  <c r="O837" i="14"/>
  <c r="P837" i="14" a="1"/>
  <c r="P837" i="14" s="1"/>
  <c r="O719" i="14"/>
  <c r="P719" i="14" a="1"/>
  <c r="P719" i="14" s="1"/>
  <c r="P625" i="14" a="1"/>
  <c r="P625" i="14" s="1"/>
  <c r="O534" i="14"/>
  <c r="P534" i="14" a="1"/>
  <c r="P534" i="14" s="1"/>
  <c r="P300" i="14" a="1"/>
  <c r="P300" i="14" s="1"/>
  <c r="O209" i="14"/>
  <c r="P209" i="14" a="1"/>
  <c r="P209" i="14" s="1"/>
  <c r="P1246" i="14" a="1"/>
  <c r="P1246" i="14" s="1"/>
  <c r="P1157" i="14" a="1"/>
  <c r="P1157" i="14" s="1"/>
  <c r="P979" i="14" a="1"/>
  <c r="P979" i="14" s="1"/>
  <c r="O813" i="14"/>
  <c r="P813" i="14" a="1"/>
  <c r="P813" i="14" s="1"/>
  <c r="O738" i="14"/>
  <c r="P738" i="14" a="1"/>
  <c r="P738" i="14" s="1"/>
  <c r="O586" i="14"/>
  <c r="P586" i="14" a="1"/>
  <c r="P586" i="14" s="1"/>
  <c r="O436" i="14"/>
  <c r="P436" i="14" a="1"/>
  <c r="P436" i="14" s="1"/>
  <c r="O375" i="14"/>
  <c r="P375" i="14" a="1"/>
  <c r="P375" i="14" s="1"/>
  <c r="P1114" i="14" a="1"/>
  <c r="P1114" i="14" s="1"/>
  <c r="O1044" i="14"/>
  <c r="P1044" i="14" a="1"/>
  <c r="P1044" i="14" s="1"/>
  <c r="O871" i="14"/>
  <c r="P871" i="14" a="1"/>
  <c r="P871" i="14" s="1"/>
  <c r="O686" i="14"/>
  <c r="P686" i="14" a="1"/>
  <c r="P686" i="14" s="1"/>
  <c r="O602" i="14"/>
  <c r="P602" i="14" a="1"/>
  <c r="P602" i="14" s="1"/>
  <c r="O494" i="14"/>
  <c r="P494" i="14" a="1"/>
  <c r="P494" i="14" s="1"/>
  <c r="O441" i="14"/>
  <c r="P441" i="14" a="1"/>
  <c r="P441" i="14" s="1"/>
  <c r="O239" i="14"/>
  <c r="P239" i="14" a="1"/>
  <c r="P239" i="14" s="1"/>
  <c r="O670" i="14"/>
  <c r="P670" i="14" a="1"/>
  <c r="P670" i="14" s="1"/>
  <c r="O626" i="14"/>
  <c r="P626" i="14" a="1"/>
  <c r="P626" i="14" s="1"/>
  <c r="O440" i="14"/>
  <c r="P440" i="14" a="1"/>
  <c r="P440" i="14" s="1"/>
  <c r="O313" i="14"/>
  <c r="P313" i="14" a="1"/>
  <c r="P313" i="14" s="1"/>
  <c r="O293" i="14"/>
  <c r="P293" i="14" a="1"/>
  <c r="P293" i="14" s="1"/>
  <c r="O1160" i="14"/>
  <c r="P1160" i="14" a="1"/>
  <c r="P1160" i="14" s="1"/>
  <c r="P1137" i="14" a="1"/>
  <c r="P1137" i="14" s="1"/>
  <c r="P909" i="14" a="1"/>
  <c r="P909" i="14" s="1"/>
  <c r="O843" i="14"/>
  <c r="P843" i="14" a="1"/>
  <c r="P843" i="14" s="1"/>
  <c r="O713" i="14"/>
  <c r="P713" i="14" a="1"/>
  <c r="P713" i="14" s="1"/>
  <c r="P655" i="14" a="1"/>
  <c r="P655" i="14" s="1"/>
  <c r="O437" i="14"/>
  <c r="P437" i="14" a="1"/>
  <c r="P437" i="14" s="1"/>
  <c r="O303" i="14"/>
  <c r="P303" i="14" a="1"/>
  <c r="P303" i="14" s="1"/>
  <c r="O289" i="14"/>
  <c r="P289" i="14" a="1"/>
  <c r="P289" i="14" s="1"/>
  <c r="O1194" i="14"/>
  <c r="P1194" i="14" a="1"/>
  <c r="P1194" i="14" s="1"/>
  <c r="P1181" i="14" a="1"/>
  <c r="P1181" i="14" s="1"/>
  <c r="P1074" i="14" a="1"/>
  <c r="P1074" i="14" s="1"/>
  <c r="P1024" i="14" a="1"/>
  <c r="P1024" i="14" s="1"/>
  <c r="P819" i="14" a="1"/>
  <c r="P819" i="14" s="1"/>
  <c r="O736" i="14"/>
  <c r="P736" i="14" a="1"/>
  <c r="P736" i="14" s="1"/>
  <c r="O545" i="14"/>
  <c r="P545" i="14" a="1"/>
  <c r="P545" i="14" s="1"/>
  <c r="O467" i="14"/>
  <c r="P467" i="14" a="1"/>
  <c r="P467" i="14" s="1"/>
  <c r="P371" i="14" a="1"/>
  <c r="P371" i="14" s="1"/>
  <c r="O1334" i="14"/>
  <c r="P1334" i="14" a="1"/>
  <c r="P1334" i="14" s="1"/>
  <c r="P1118" i="14" a="1"/>
  <c r="P1118" i="14" s="1"/>
  <c r="P1042" i="14" a="1"/>
  <c r="P1042" i="14" s="1"/>
  <c r="O802" i="14"/>
  <c r="P802" i="14" a="1"/>
  <c r="P802" i="14" s="1"/>
  <c r="O707" i="14"/>
  <c r="P707" i="14" a="1"/>
  <c r="P707" i="14" s="1"/>
  <c r="P604" i="14" a="1"/>
  <c r="P604" i="14" s="1"/>
  <c r="O501" i="14"/>
  <c r="P501" i="14" a="1"/>
  <c r="P501" i="14" s="1"/>
  <c r="O324" i="14"/>
  <c r="P324" i="14" a="1"/>
  <c r="P324" i="14" s="1"/>
  <c r="O211" i="14"/>
  <c r="P211" i="14" a="1"/>
  <c r="P211" i="14" s="1"/>
  <c r="O718" i="14"/>
  <c r="P718" i="14" a="1"/>
  <c r="P718" i="14" s="1"/>
  <c r="O601" i="14"/>
  <c r="P601" i="14" a="1"/>
  <c r="P601" i="14" s="1"/>
  <c r="O438" i="14"/>
  <c r="P438" i="14" a="1"/>
  <c r="P438" i="14" s="1"/>
  <c r="P377" i="14" a="1"/>
  <c r="P377" i="14" s="1"/>
  <c r="O1204" i="14"/>
  <c r="P1204" i="14" a="1"/>
  <c r="P1204" i="14" s="1"/>
  <c r="O1119" i="14"/>
  <c r="P1119" i="14" a="1"/>
  <c r="P1119" i="14" s="1"/>
  <c r="O913" i="14"/>
  <c r="P913" i="14" a="1"/>
  <c r="P913" i="14" s="1"/>
  <c r="P789" i="14" a="1"/>
  <c r="P789" i="14" s="1"/>
  <c r="O712" i="14"/>
  <c r="P712" i="14" a="1"/>
  <c r="P712" i="14" s="1"/>
  <c r="O513" i="14"/>
  <c r="P513" i="14" a="1"/>
  <c r="P513" i="14" s="1"/>
  <c r="P401" i="14" a="1"/>
  <c r="P401" i="14" s="1"/>
  <c r="O354" i="14"/>
  <c r="P354" i="14" a="1"/>
  <c r="P354" i="14" s="1"/>
  <c r="P1152" i="14" a="1"/>
  <c r="P1152" i="14" s="1"/>
  <c r="O521" i="14"/>
  <c r="P521" i="14" a="1"/>
  <c r="P521" i="14" s="1"/>
  <c r="O768" i="14"/>
  <c r="P768" i="14" a="1"/>
  <c r="P768" i="14" s="1"/>
  <c r="O1117" i="14"/>
  <c r="P1117" i="14" a="1"/>
  <c r="P1117" i="14" s="1"/>
  <c r="O1031" i="14"/>
  <c r="P1031" i="14" a="1"/>
  <c r="P1031" i="14" s="1"/>
  <c r="O812" i="14"/>
  <c r="P812" i="14" a="1"/>
  <c r="P812" i="14" s="1"/>
  <c r="P817" i="14" a="1"/>
  <c r="P817" i="14" s="1"/>
  <c r="O766" i="14"/>
  <c r="P766" i="14" a="1"/>
  <c r="P766" i="14" s="1"/>
  <c r="O538" i="14"/>
  <c r="P538" i="14" a="1"/>
  <c r="P538" i="14" s="1"/>
  <c r="O381" i="14"/>
  <c r="P381" i="14" a="1"/>
  <c r="P381" i="14" s="1"/>
  <c r="O292" i="14"/>
  <c r="P292" i="14" a="1"/>
  <c r="P292" i="14" s="1"/>
  <c r="P1129" i="14" a="1"/>
  <c r="P1129" i="14" s="1"/>
  <c r="O929" i="14"/>
  <c r="P929" i="14" a="1"/>
  <c r="P929" i="14" s="1"/>
  <c r="O797" i="14"/>
  <c r="P797" i="14" a="1"/>
  <c r="P797" i="14" s="1"/>
  <c r="O635" i="14"/>
  <c r="P635" i="14" a="1"/>
  <c r="P635" i="14" s="1"/>
  <c r="O485" i="14"/>
  <c r="P485" i="14" a="1"/>
  <c r="P485" i="14" s="1"/>
  <c r="O399" i="14"/>
  <c r="P399" i="14" a="1"/>
  <c r="P399" i="14" s="1"/>
  <c r="P852" i="14" a="1"/>
  <c r="P852" i="14" s="1"/>
  <c r="P1029" i="14" a="1"/>
  <c r="P1029" i="14" s="1"/>
  <c r="O675" i="14"/>
  <c r="P675" i="14" a="1"/>
  <c r="P675" i="14" s="1"/>
  <c r="O1056" i="14"/>
  <c r="P1056" i="14" a="1"/>
  <c r="P1056" i="14" s="1"/>
  <c r="O870" i="14"/>
  <c r="P870" i="14" a="1"/>
  <c r="P870" i="14" s="1"/>
  <c r="O685" i="14"/>
  <c r="P685" i="14" a="1"/>
  <c r="P685" i="14" s="1"/>
  <c r="P1168" i="14" a="1"/>
  <c r="P1168" i="14" s="1"/>
  <c r="O1111" i="14"/>
  <c r="P1111" i="14" a="1"/>
  <c r="P1111" i="14" s="1"/>
  <c r="P226" i="14" a="1"/>
  <c r="P226" i="14" s="1"/>
  <c r="O374" i="14"/>
  <c r="P374" i="14" a="1"/>
  <c r="P374" i="14" s="1"/>
  <c r="O296" i="14"/>
  <c r="P296" i="14" a="1"/>
  <c r="P296" i="14" s="1"/>
  <c r="P963" i="14" a="1"/>
  <c r="P963" i="14" s="1"/>
  <c r="O885" i="14"/>
  <c r="P885" i="14" a="1"/>
  <c r="P885" i="14" s="1"/>
  <c r="O786" i="14"/>
  <c r="P786" i="14" a="1"/>
  <c r="P786" i="14" s="1"/>
  <c r="O595" i="14"/>
  <c r="P595" i="14" a="1"/>
  <c r="P595" i="14" s="1"/>
  <c r="O561" i="14"/>
  <c r="P561" i="14" a="1"/>
  <c r="P561" i="14" s="1"/>
  <c r="O446" i="14"/>
  <c r="P446" i="14" a="1"/>
  <c r="P446" i="14" s="1"/>
  <c r="P251" i="14" a="1"/>
  <c r="P251" i="14" s="1"/>
  <c r="O1198" i="14"/>
  <c r="P1198" i="14" a="1"/>
  <c r="P1198" i="14" s="1"/>
  <c r="P1135" i="14" a="1"/>
  <c r="P1135" i="14" s="1"/>
  <c r="O1013" i="14"/>
  <c r="P1013" i="14" a="1"/>
  <c r="P1013" i="14" s="1"/>
  <c r="O825" i="14"/>
  <c r="P825" i="14" a="1"/>
  <c r="P825" i="14" s="1"/>
  <c r="O714" i="14"/>
  <c r="P714" i="14" a="1"/>
  <c r="P714" i="14" s="1"/>
  <c r="O622" i="14"/>
  <c r="P622" i="14" a="1"/>
  <c r="P622" i="14" s="1"/>
  <c r="O380" i="14"/>
  <c r="P380" i="14" a="1"/>
  <c r="P380" i="14" s="1"/>
  <c r="O364" i="14"/>
  <c r="P364" i="14" a="1"/>
  <c r="P364" i="14" s="1"/>
  <c r="O298" i="14"/>
  <c r="P298" i="14" a="1"/>
  <c r="P298" i="14" s="1"/>
  <c r="O1173" i="14"/>
  <c r="P1173" i="14" a="1"/>
  <c r="P1173" i="14" s="1"/>
  <c r="O1070" i="14"/>
  <c r="P1070" i="14" a="1"/>
  <c r="P1070" i="14" s="1"/>
  <c r="O949" i="14"/>
  <c r="P949" i="14" a="1"/>
  <c r="P949" i="14" s="1"/>
  <c r="O845" i="14"/>
  <c r="P845" i="14" a="1"/>
  <c r="P845" i="14" s="1"/>
  <c r="O744" i="14"/>
  <c r="P744" i="14" a="1"/>
  <c r="P744" i="14" s="1"/>
  <c r="P549" i="14" a="1"/>
  <c r="P549" i="14" s="1"/>
  <c r="O414" i="14"/>
  <c r="P414" i="14" a="1"/>
  <c r="P414" i="14" s="1"/>
  <c r="P286" i="14" a="1"/>
  <c r="P286" i="14" s="1"/>
  <c r="P1243" i="14" a="1"/>
  <c r="P1243" i="14" s="1"/>
  <c r="P1098" i="14" a="1"/>
  <c r="P1098" i="14" s="1"/>
  <c r="P1025" i="14" a="1"/>
  <c r="P1025" i="14" s="1"/>
  <c r="O862" i="14"/>
  <c r="P862" i="14" a="1"/>
  <c r="P862" i="14" s="1"/>
  <c r="O758" i="14"/>
  <c r="P758" i="14" a="1"/>
  <c r="P758" i="14" s="1"/>
  <c r="O634" i="14"/>
  <c r="P634" i="14" a="1"/>
  <c r="P634" i="14" s="1"/>
  <c r="O568" i="14"/>
  <c r="P568" i="14" a="1"/>
  <c r="P568" i="14" s="1"/>
  <c r="O312" i="14"/>
  <c r="P312" i="14" a="1"/>
  <c r="P312" i="14" s="1"/>
  <c r="P270" i="14" a="1"/>
  <c r="P270" i="14" s="1"/>
  <c r="P859" i="14" a="1"/>
  <c r="P859" i="14" s="1"/>
  <c r="P763" i="14" a="1"/>
  <c r="P763" i="14" s="1"/>
  <c r="O597" i="14"/>
  <c r="P597" i="14" a="1"/>
  <c r="P597" i="14" s="1"/>
  <c r="O419" i="14"/>
  <c r="P419" i="14" a="1"/>
  <c r="P419" i="14" s="1"/>
  <c r="O337" i="14"/>
  <c r="P337" i="14" a="1"/>
  <c r="P337" i="14" s="1"/>
  <c r="P1169" i="14" a="1"/>
  <c r="P1169" i="14" s="1"/>
  <c r="P1050" i="14" a="1"/>
  <c r="P1050" i="14" s="1"/>
  <c r="O877" i="14"/>
  <c r="P877" i="14" a="1"/>
  <c r="P877" i="14" s="1"/>
  <c r="O840" i="14"/>
  <c r="P840" i="14" a="1"/>
  <c r="P840" i="14" s="1"/>
  <c r="O753" i="14"/>
  <c r="P753" i="14" a="1"/>
  <c r="P753" i="14" s="1"/>
  <c r="O507" i="14"/>
  <c r="P507" i="14" a="1"/>
  <c r="P507" i="14" s="1"/>
  <c r="O422" i="14"/>
  <c r="P422" i="14" a="1"/>
  <c r="P422" i="14" s="1"/>
  <c r="P246" i="14" a="1"/>
  <c r="P246" i="14" s="1"/>
  <c r="P1148" i="14" a="1"/>
  <c r="P1148" i="14" s="1"/>
  <c r="O982" i="14"/>
  <c r="P982" i="14" a="1"/>
  <c r="P982" i="14" s="1"/>
  <c r="P1202" i="14" a="1"/>
  <c r="P1202" i="14" s="1"/>
  <c r="P1172" i="14" a="1"/>
  <c r="P1172" i="14" s="1"/>
  <c r="P651" i="14" a="1"/>
  <c r="P651" i="14" s="1"/>
  <c r="O557" i="14"/>
  <c r="P557" i="14" a="1"/>
  <c r="P557" i="14" s="1"/>
  <c r="O355" i="14"/>
  <c r="P355" i="14" a="1"/>
  <c r="P355" i="14" s="1"/>
  <c r="O261" i="14"/>
  <c r="P261" i="14" a="1"/>
  <c r="P261" i="14" s="1"/>
  <c r="O976" i="14"/>
  <c r="P976" i="14" a="1"/>
  <c r="P976" i="14" s="1"/>
  <c r="O1273" i="14"/>
  <c r="P1273" i="14" a="1"/>
  <c r="P1273" i="14" s="1"/>
  <c r="P638" i="14" a="1"/>
  <c r="P638" i="14" s="1"/>
  <c r="O591" i="14"/>
  <c r="P591" i="14" a="1"/>
  <c r="P591" i="14" s="1"/>
  <c r="P922" i="14" a="1"/>
  <c r="P922" i="14" s="1"/>
  <c r="O861" i="14"/>
  <c r="P861" i="14" a="1"/>
  <c r="P861" i="14" s="1"/>
  <c r="O681" i="14"/>
  <c r="P681" i="14" a="1"/>
  <c r="P681" i="14" s="1"/>
  <c r="O482" i="14"/>
  <c r="P482" i="14" a="1"/>
  <c r="P482" i="14" s="1"/>
  <c r="O390" i="14"/>
  <c r="P390" i="14" a="1"/>
  <c r="P390" i="14" s="1"/>
  <c r="P1089" i="14" a="1"/>
  <c r="P1089" i="14" s="1"/>
  <c r="O958" i="14"/>
  <c r="P958" i="14" a="1"/>
  <c r="P958" i="14" s="1"/>
  <c r="P1102" i="14" a="1"/>
  <c r="P1102" i="14" s="1"/>
  <c r="P1139" i="14" a="1"/>
  <c r="P1139" i="14" s="1"/>
  <c r="O1248" i="14"/>
  <c r="P1248" i="14" a="1"/>
  <c r="P1248" i="14" s="1"/>
  <c r="O631" i="14"/>
  <c r="P631" i="14" a="1"/>
  <c r="P631" i="14" s="1"/>
  <c r="P999" i="14" a="1"/>
  <c r="P999" i="14" s="1"/>
  <c r="O902" i="14"/>
  <c r="P902" i="14" a="1"/>
  <c r="P902" i="14" s="1"/>
  <c r="O701" i="14"/>
  <c r="P701" i="14" a="1"/>
  <c r="P701" i="14" s="1"/>
  <c r="O565" i="14"/>
  <c r="P565" i="14" a="1"/>
  <c r="P565" i="14" s="1"/>
  <c r="O484" i="14"/>
  <c r="P484" i="14" a="1"/>
  <c r="P484" i="14" s="1"/>
  <c r="O1192" i="14"/>
  <c r="P1192" i="14" a="1"/>
  <c r="P1192" i="14" s="1"/>
  <c r="P1046" i="14" a="1"/>
  <c r="P1046" i="14" s="1"/>
  <c r="O946" i="14"/>
  <c r="P946" i="14" a="1"/>
  <c r="P946" i="14" s="1"/>
  <c r="O850" i="14"/>
  <c r="P850" i="14" a="1"/>
  <c r="P850" i="14" s="1"/>
  <c r="O756" i="14"/>
  <c r="P756" i="14" a="1"/>
  <c r="P756" i="14" s="1"/>
  <c r="P552" i="14" a="1"/>
  <c r="P552" i="14" s="1"/>
  <c r="O466" i="14"/>
  <c r="P466" i="14" a="1"/>
  <c r="P466" i="14" s="1"/>
  <c r="O267" i="14"/>
  <c r="P267" i="14" a="1"/>
  <c r="P267" i="14" s="1"/>
  <c r="O468" i="14"/>
  <c r="P468" i="14" a="1"/>
  <c r="P468" i="14" s="1"/>
  <c r="O372" i="14"/>
  <c r="P372" i="14" a="1"/>
  <c r="P372" i="14" s="1"/>
  <c r="O1312" i="14"/>
  <c r="P1312" i="14" a="1"/>
  <c r="P1312" i="14" s="1"/>
  <c r="O1096" i="14"/>
  <c r="P1096" i="14" a="1"/>
  <c r="P1096" i="14" s="1"/>
  <c r="P1047" i="14" a="1"/>
  <c r="P1047" i="14" s="1"/>
  <c r="O923" i="14"/>
  <c r="P923" i="14" a="1"/>
  <c r="P923" i="14" s="1"/>
  <c r="O672" i="14"/>
  <c r="P672" i="14" a="1"/>
  <c r="P672" i="14" s="1"/>
  <c r="O593" i="14"/>
  <c r="P593" i="14" a="1"/>
  <c r="P593" i="14" s="1"/>
  <c r="P560" i="14" a="1"/>
  <c r="P560" i="14" s="1"/>
  <c r="O409" i="14"/>
  <c r="P409" i="14" a="1"/>
  <c r="P409" i="14" s="1"/>
  <c r="O253" i="14"/>
  <c r="P253" i="14" a="1"/>
  <c r="P253" i="14" s="1"/>
  <c r="O1253" i="14"/>
  <c r="P1253" i="14" a="1"/>
  <c r="P1253" i="14" s="1"/>
  <c r="O1101" i="14"/>
  <c r="P1101" i="14" a="1"/>
  <c r="P1101" i="14" s="1"/>
  <c r="O954" i="14"/>
  <c r="P954" i="14" a="1"/>
  <c r="P954" i="14" s="1"/>
  <c r="P814" i="14" a="1"/>
  <c r="P814" i="14" s="1"/>
  <c r="O643" i="14"/>
  <c r="P643" i="14" a="1"/>
  <c r="P643" i="14" s="1"/>
  <c r="P537" i="14" a="1"/>
  <c r="P537" i="14" s="1"/>
  <c r="O471" i="14"/>
  <c r="P471" i="14" a="1"/>
  <c r="P471" i="14" s="1"/>
  <c r="O350" i="14"/>
  <c r="P350" i="14" a="1"/>
  <c r="P350" i="14" s="1"/>
  <c r="O1159" i="14"/>
  <c r="P1159" i="14" a="1"/>
  <c r="P1159" i="14" s="1"/>
  <c r="P1146" i="14" a="1"/>
  <c r="P1146" i="14" s="1"/>
  <c r="P864" i="14" a="1"/>
  <c r="P864" i="14" s="1"/>
  <c r="O823" i="14"/>
  <c r="P823" i="14" a="1"/>
  <c r="P823" i="14" s="1"/>
  <c r="O654" i="14"/>
  <c r="P654" i="14" a="1"/>
  <c r="P654" i="14" s="1"/>
  <c r="P558" i="14" a="1"/>
  <c r="P558" i="14" s="1"/>
  <c r="P412" i="14" a="1"/>
  <c r="P412" i="14" s="1"/>
  <c r="O255" i="14"/>
  <c r="P255" i="14" a="1"/>
  <c r="P255" i="14" s="1"/>
  <c r="P1209" i="14" a="1"/>
  <c r="P1209" i="14" s="1"/>
  <c r="P1123" i="14" a="1"/>
  <c r="P1123" i="14" s="1"/>
  <c r="O906" i="14"/>
  <c r="P906" i="14" a="1"/>
  <c r="P906" i="14" s="1"/>
  <c r="O846" i="14"/>
  <c r="P846" i="14" a="1"/>
  <c r="P846" i="14" s="1"/>
  <c r="O734" i="14"/>
  <c r="P734" i="14" a="1"/>
  <c r="P734" i="14" s="1"/>
  <c r="O636" i="14"/>
  <c r="P636" i="14" a="1"/>
  <c r="P636" i="14" s="1"/>
  <c r="O434" i="14"/>
  <c r="P434" i="14" a="1"/>
  <c r="P434" i="14" s="1"/>
  <c r="O328" i="14"/>
  <c r="P328" i="14" a="1"/>
  <c r="P328" i="14" s="1"/>
  <c r="O806" i="14"/>
  <c r="P806" i="14" a="1"/>
  <c r="P806" i="14" s="1"/>
  <c r="O710" i="14"/>
  <c r="P710" i="14" a="1"/>
  <c r="P710" i="14" s="1"/>
  <c r="P527" i="14" a="1"/>
  <c r="P527" i="14" s="1"/>
  <c r="O460" i="14"/>
  <c r="P460" i="14" a="1"/>
  <c r="P460" i="14" s="1"/>
  <c r="O294" i="14"/>
  <c r="P294" i="14" a="1"/>
  <c r="P294" i="14" s="1"/>
  <c r="P1238" i="14" a="1"/>
  <c r="P1238" i="14" s="1"/>
  <c r="O1037" i="14"/>
  <c r="P1037" i="14" a="1"/>
  <c r="P1037" i="14" s="1"/>
  <c r="O918" i="14"/>
  <c r="P918" i="14" a="1"/>
  <c r="P918" i="14" s="1"/>
  <c r="O808" i="14"/>
  <c r="P808" i="14" a="1"/>
  <c r="P808" i="14" s="1"/>
  <c r="O667" i="14"/>
  <c r="P667" i="14" a="1"/>
  <c r="P667" i="14" s="1"/>
  <c r="O475" i="14"/>
  <c r="P475" i="14" a="1"/>
  <c r="P475" i="14" s="1"/>
  <c r="O425" i="14"/>
  <c r="P425" i="14" a="1"/>
  <c r="P425" i="14" s="1"/>
  <c r="P283" i="14" a="1"/>
  <c r="P283" i="14" s="1"/>
  <c r="P827" i="14" a="1"/>
  <c r="P827" i="14" s="1"/>
  <c r="O807" i="14"/>
  <c r="P807" i="14" a="1"/>
  <c r="P807" i="14" s="1"/>
  <c r="O1239" i="14"/>
  <c r="P1239" i="14" a="1"/>
  <c r="P1239" i="14" s="1"/>
  <c r="P333" i="14" a="1"/>
  <c r="P333" i="14" s="1"/>
  <c r="O235" i="14"/>
  <c r="P235" i="14" a="1"/>
  <c r="P235" i="14" s="1"/>
  <c r="P247" i="14" a="1"/>
  <c r="P247" i="14" s="1"/>
  <c r="P1103" i="14" a="1"/>
  <c r="P1103" i="14" s="1"/>
  <c r="O1038" i="14"/>
  <c r="P1038" i="14" a="1"/>
  <c r="P1038" i="14" s="1"/>
  <c r="O680" i="14"/>
  <c r="P680" i="14" a="1"/>
  <c r="P680" i="14" s="1"/>
  <c r="P1136" i="14" a="1"/>
  <c r="P1136" i="14" s="1"/>
  <c r="P873" i="14" a="1"/>
  <c r="P873" i="14" s="1"/>
  <c r="O869" i="14"/>
  <c r="P869" i="14" a="1"/>
  <c r="P869" i="14" s="1"/>
  <c r="O994" i="14"/>
  <c r="P994" i="14" a="1"/>
  <c r="P994" i="14" s="1"/>
  <c r="O1095" i="14"/>
  <c r="P1095" i="14" a="1"/>
  <c r="P1095" i="14" s="1"/>
  <c r="O547" i="14"/>
  <c r="P547" i="14" a="1"/>
  <c r="P547" i="14" s="1"/>
  <c r="O912" i="14"/>
  <c r="P912" i="14" a="1"/>
  <c r="P912" i="14" s="1"/>
  <c r="O749" i="14"/>
  <c r="P749" i="14" a="1"/>
  <c r="P749" i="14" s="1"/>
  <c r="O1069" i="14"/>
  <c r="P1069" i="14" a="1"/>
  <c r="P1069" i="14" s="1"/>
  <c r="P1143" i="14" a="1"/>
  <c r="P1143" i="14" s="1"/>
  <c r="O542" i="14"/>
  <c r="P542" i="14" a="1"/>
  <c r="P542" i="14" s="1"/>
  <c r="P1195" i="14" a="1"/>
  <c r="P1195" i="14" s="1"/>
  <c r="O1008" i="14"/>
  <c r="P1008" i="14" a="1"/>
  <c r="P1008" i="14" s="1"/>
  <c r="P878" i="14" a="1"/>
  <c r="P878" i="14" s="1"/>
  <c r="O811" i="14"/>
  <c r="P811" i="14" a="1"/>
  <c r="P811" i="14" s="1"/>
  <c r="O621" i="14"/>
  <c r="P621" i="14" a="1"/>
  <c r="P621" i="14" s="1"/>
  <c r="O559" i="14"/>
  <c r="P559" i="14" a="1"/>
  <c r="P559" i="14" s="1"/>
  <c r="O346" i="14"/>
  <c r="P346" i="14" a="1"/>
  <c r="P346" i="14" s="1"/>
  <c r="P263" i="14" a="1"/>
  <c r="P263" i="14" s="1"/>
  <c r="O427" i="14"/>
  <c r="P427" i="14" a="1"/>
  <c r="P427" i="14" s="1"/>
  <c r="O352" i="14"/>
  <c r="P352" i="14" a="1"/>
  <c r="P352" i="14" s="1"/>
  <c r="P1237" i="14" a="1"/>
  <c r="P1237" i="14" s="1"/>
  <c r="O1108" i="14"/>
  <c r="P1108" i="14" a="1"/>
  <c r="P1108" i="14" s="1"/>
  <c r="O992" i="14"/>
  <c r="P992" i="14" a="1"/>
  <c r="P992" i="14" s="1"/>
  <c r="P883" i="14" a="1"/>
  <c r="P883" i="14" s="1"/>
  <c r="P709" i="14" a="1"/>
  <c r="P709" i="14" s="1"/>
  <c r="O648" i="14"/>
  <c r="P648" i="14" a="1"/>
  <c r="P648" i="14" s="1"/>
  <c r="O541" i="14"/>
  <c r="P541" i="14" a="1"/>
  <c r="P541" i="14" s="1"/>
  <c r="O309" i="14"/>
  <c r="P309" i="14" a="1"/>
  <c r="P309" i="14" s="1"/>
  <c r="O240" i="14"/>
  <c r="P240" i="14" a="1"/>
  <c r="P240" i="14" s="1"/>
  <c r="P1165" i="14" a="1"/>
  <c r="P1165" i="14" s="1"/>
  <c r="P1140" i="14" a="1"/>
  <c r="P1140" i="14" s="1"/>
  <c r="O875" i="14"/>
  <c r="P875" i="14" a="1"/>
  <c r="P875" i="14" s="1"/>
  <c r="O838" i="14"/>
  <c r="P838" i="14" a="1"/>
  <c r="P838" i="14" s="1"/>
  <c r="O658" i="14"/>
  <c r="P658" i="14" a="1"/>
  <c r="P658" i="14" s="1"/>
  <c r="O540" i="14"/>
  <c r="P540" i="14" a="1"/>
  <c r="P540" i="14" s="1"/>
  <c r="O415" i="14"/>
  <c r="P415" i="14" a="1"/>
  <c r="P415" i="14" s="1"/>
  <c r="P273" i="14" a="1"/>
  <c r="P273" i="14" s="1"/>
  <c r="P1231" i="14" a="1"/>
  <c r="P1231" i="14" s="1"/>
  <c r="P1036" i="14" a="1"/>
  <c r="P1036" i="14" s="1"/>
  <c r="P931" i="14" a="1"/>
  <c r="P931" i="14" s="1"/>
  <c r="P851" i="14" a="1"/>
  <c r="P851" i="14" s="1"/>
  <c r="P642" i="14" a="1"/>
  <c r="P642" i="14" s="1"/>
  <c r="O556" i="14"/>
  <c r="P556" i="14" a="1"/>
  <c r="P556" i="14" s="1"/>
  <c r="P454" i="14" a="1"/>
  <c r="P454" i="14" s="1"/>
  <c r="O256" i="14"/>
  <c r="P256" i="14" a="1"/>
  <c r="P256" i="14" s="1"/>
  <c r="O1193" i="14"/>
  <c r="P1193" i="14" a="1"/>
  <c r="P1193" i="14" s="1"/>
  <c r="O1073" i="14"/>
  <c r="P1073" i="14" a="1"/>
  <c r="P1073" i="14" s="1"/>
  <c r="O884" i="14"/>
  <c r="P884" i="14" a="1"/>
  <c r="P884" i="14" s="1"/>
  <c r="O779" i="14"/>
  <c r="P779" i="14" a="1"/>
  <c r="P779" i="14" s="1"/>
  <c r="O693" i="14"/>
  <c r="P693" i="14" a="1"/>
  <c r="P693" i="14" s="1"/>
  <c r="O645" i="14"/>
  <c r="P645" i="14" a="1"/>
  <c r="P645" i="14" s="1"/>
  <c r="P470" i="14" a="1"/>
  <c r="P470" i="14" s="1"/>
  <c r="O322" i="14"/>
  <c r="P322" i="14" a="1"/>
  <c r="P322" i="14" s="1"/>
  <c r="O855" i="14"/>
  <c r="P855" i="14" a="1"/>
  <c r="P855" i="14" s="1"/>
  <c r="O698" i="14"/>
  <c r="P698" i="14" a="1"/>
  <c r="P698" i="14" s="1"/>
  <c r="O570" i="14"/>
  <c r="P570" i="14" a="1"/>
  <c r="P570" i="14" s="1"/>
  <c r="O463" i="14"/>
  <c r="P463" i="14" a="1"/>
  <c r="P463" i="14" s="1"/>
  <c r="O243" i="14"/>
  <c r="P243" i="14" a="1"/>
  <c r="P243" i="14" s="1"/>
  <c r="P1149" i="14" a="1"/>
  <c r="P1149" i="14" s="1"/>
  <c r="P1000" i="14" a="1"/>
  <c r="P1000" i="14" s="1"/>
  <c r="O937" i="14"/>
  <c r="P937" i="14" a="1"/>
  <c r="P937" i="14" s="1"/>
  <c r="O836" i="14"/>
  <c r="P836" i="14" a="1"/>
  <c r="P836" i="14" s="1"/>
  <c r="P652" i="14" a="1"/>
  <c r="P652" i="14" s="1"/>
  <c r="O531" i="14"/>
  <c r="P531" i="14" a="1"/>
  <c r="P531" i="14" s="1"/>
  <c r="O410" i="14"/>
  <c r="P410" i="14" a="1"/>
  <c r="P410" i="14" s="1"/>
  <c r="O241" i="14"/>
  <c r="P241" i="14" a="1"/>
  <c r="P241" i="14" s="1"/>
  <c r="O791" i="14"/>
  <c r="P791" i="14" a="1"/>
  <c r="P791" i="14" s="1"/>
  <c r="O614" i="14"/>
  <c r="P614" i="14" a="1"/>
  <c r="P614" i="14" s="1"/>
  <c r="O822" i="14"/>
  <c r="P822" i="14" a="1"/>
  <c r="P822" i="14" s="1"/>
  <c r="P1144" i="14" a="1"/>
  <c r="P1144" i="14" s="1"/>
  <c r="P1175" i="14" a="1"/>
  <c r="P1175" i="14" s="1"/>
  <c r="O1234" i="14"/>
  <c r="P1234" i="14" a="1"/>
  <c r="P1234" i="14" s="1"/>
  <c r="P663" i="14" a="1"/>
  <c r="P663" i="14" s="1"/>
  <c r="P1035" i="14" a="1"/>
  <c r="P1035" i="14" s="1"/>
  <c r="P974" i="14" a="1"/>
  <c r="P974" i="14" s="1"/>
  <c r="O1323" i="14"/>
  <c r="P1323" i="14" a="1"/>
  <c r="P1323" i="14" s="1"/>
  <c r="O1082" i="14"/>
  <c r="P1082" i="14" a="1"/>
  <c r="P1082" i="14" s="1"/>
  <c r="P1011" i="14" a="1"/>
  <c r="P1011" i="14" s="1"/>
  <c r="O960" i="14"/>
  <c r="P960" i="14" a="1"/>
  <c r="P960" i="14" s="1"/>
  <c r="O849" i="14"/>
  <c r="P849" i="14" a="1"/>
  <c r="P849" i="14" s="1"/>
  <c r="O632" i="14"/>
  <c r="P632" i="14" a="1"/>
  <c r="P632" i="14" s="1"/>
  <c r="O546" i="14"/>
  <c r="P546" i="14" a="1"/>
  <c r="P546" i="14" s="1"/>
  <c r="O343" i="14"/>
  <c r="P343" i="14" a="1"/>
  <c r="P343" i="14" s="1"/>
  <c r="O242" i="14"/>
  <c r="P242" i="14" a="1"/>
  <c r="P242" i="14" s="1"/>
  <c r="P429" i="14" a="1"/>
  <c r="P429" i="14" s="1"/>
  <c r="O250" i="14"/>
  <c r="P250" i="14" a="1"/>
  <c r="P250" i="14" s="1"/>
  <c r="O1196" i="14"/>
  <c r="P1196" i="14" a="1"/>
  <c r="P1196" i="14" s="1"/>
  <c r="P1155" i="14" a="1"/>
  <c r="P1155" i="14" s="1"/>
  <c r="O993" i="14"/>
  <c r="P993" i="14" a="1"/>
  <c r="P993" i="14" s="1"/>
  <c r="O880" i="14"/>
  <c r="P880" i="14" a="1"/>
  <c r="P880" i="14" s="1"/>
  <c r="P717" i="14" a="1"/>
  <c r="P717" i="14" s="1"/>
  <c r="O665" i="14"/>
  <c r="P665" i="14" a="1"/>
  <c r="P665" i="14" s="1"/>
  <c r="P495" i="14" a="1"/>
  <c r="P495" i="14" s="1"/>
  <c r="O358" i="14"/>
  <c r="P358" i="14" a="1"/>
  <c r="P358" i="14" s="1"/>
  <c r="O260" i="14"/>
  <c r="P260" i="14" a="1"/>
  <c r="P260" i="14" s="1"/>
  <c r="P1170" i="14" a="1"/>
  <c r="P1170" i="14" s="1"/>
  <c r="P1009" i="14" a="1"/>
  <c r="P1009" i="14" s="1"/>
  <c r="P957" i="14" a="1"/>
  <c r="P957" i="14" s="1"/>
  <c r="O730" i="14"/>
  <c r="P730" i="14" a="1"/>
  <c r="P730" i="14" s="1"/>
  <c r="O613" i="14"/>
  <c r="P613" i="14" a="1"/>
  <c r="P613" i="14" s="1"/>
  <c r="P492" i="14" a="1"/>
  <c r="P492" i="14" s="1"/>
  <c r="P417" i="14" a="1"/>
  <c r="P417" i="14" s="1"/>
  <c r="O206" i="14"/>
  <c r="P206" i="14" a="1"/>
  <c r="P206" i="14" s="1"/>
  <c r="P1164" i="14" a="1"/>
  <c r="P1164" i="14" s="1"/>
  <c r="P1077" i="14" a="1"/>
  <c r="P1077" i="14" s="1"/>
  <c r="P1057" i="14" a="1"/>
  <c r="P1057" i="14" s="1"/>
  <c r="P1366" i="14" a="1"/>
  <c r="P1366" i="14" s="1"/>
  <c r="P1153" i="14" a="1"/>
  <c r="P1153" i="14" s="1"/>
  <c r="P1051" i="14" a="1"/>
  <c r="P1051" i="14" s="1"/>
  <c r="P1407" i="14" a="1"/>
  <c r="P1407" i="14" s="1"/>
  <c r="P1200" i="14" a="1"/>
  <c r="P1200" i="14" s="1"/>
  <c r="P1210" i="14" a="1"/>
  <c r="P1210" i="14" s="1"/>
  <c r="P1422" i="14" a="1"/>
  <c r="P1422" i="14" s="1"/>
  <c r="P1203" i="14" a="1"/>
  <c r="P1203" i="14" s="1"/>
  <c r="P1141" i="14" a="1"/>
  <c r="P1141" i="14" s="1"/>
  <c r="P1419" i="14" a="1"/>
  <c r="P1419" i="14" s="1"/>
  <c r="P1251" i="14" a="1"/>
  <c r="P1251" i="14" s="1"/>
  <c r="P968" i="14" a="1"/>
  <c r="P968" i="14" s="1"/>
  <c r="P1368" i="14" a="1"/>
  <c r="P1368" i="14" s="1"/>
  <c r="P1068" i="14" a="1"/>
  <c r="P1068" i="14" s="1"/>
  <c r="P1222" i="14" a="1"/>
  <c r="P1222" i="14" s="1"/>
  <c r="P1371" i="14" a="1"/>
  <c r="P1371" i="14" s="1"/>
  <c r="P978" i="14" a="1"/>
  <c r="P978" i="14" s="1"/>
  <c r="P1235" i="14" a="1"/>
  <c r="P1235" i="14" s="1"/>
  <c r="P1180" i="14" a="1"/>
  <c r="P1180" i="14" s="1"/>
  <c r="P1066" i="14" a="1"/>
  <c r="P1066" i="14" s="1"/>
  <c r="P980" i="14" a="1"/>
  <c r="P980" i="14" s="1"/>
  <c r="P1145" i="14" a="1"/>
  <c r="P1145" i="14" s="1"/>
  <c r="P1020" i="14" a="1"/>
  <c r="P1020" i="14" s="1"/>
  <c r="P818" i="14" a="1"/>
  <c r="P818" i="14" s="1"/>
  <c r="P750" i="14" a="1"/>
  <c r="P750" i="14" s="1"/>
  <c r="P580" i="14" a="1"/>
  <c r="P580" i="14" s="1"/>
  <c r="P555" i="14" a="1"/>
  <c r="P555" i="14" s="1"/>
  <c r="P317" i="14" a="1"/>
  <c r="P317" i="14" s="1"/>
  <c r="P238" i="14" a="1"/>
  <c r="P238" i="14" s="1"/>
  <c r="P1414" i="14" a="1"/>
  <c r="P1414" i="14" s="1"/>
  <c r="P1313" i="14" a="1"/>
  <c r="P1313" i="14" s="1"/>
  <c r="P996" i="14" a="1"/>
  <c r="P996" i="14" s="1"/>
  <c r="P865" i="14" a="1"/>
  <c r="P865" i="14" s="1"/>
  <c r="P776" i="14" a="1"/>
  <c r="P776" i="14" s="1"/>
  <c r="P581" i="14" a="1"/>
  <c r="P581" i="14" s="1"/>
  <c r="P500" i="14" a="1"/>
  <c r="P500" i="14" s="1"/>
  <c r="P433" i="14" a="1"/>
  <c r="P433" i="14" s="1"/>
  <c r="P228" i="14" a="1"/>
  <c r="P228" i="14" s="1"/>
  <c r="P1298" i="14" a="1"/>
  <c r="P1298" i="14" s="1"/>
  <c r="P932" i="14" a="1"/>
  <c r="P932" i="14" s="1"/>
  <c r="P856" i="14" a="1"/>
  <c r="P856" i="14" s="1"/>
  <c r="P732" i="14" a="1"/>
  <c r="P732" i="14" s="1"/>
  <c r="P515" i="14" a="1"/>
  <c r="P515" i="14" s="1"/>
  <c r="P396" i="14" a="1"/>
  <c r="P396" i="14" s="1"/>
  <c r="P276" i="14" a="1"/>
  <c r="P276" i="14" s="1"/>
  <c r="P1425" i="14" a="1"/>
  <c r="P1425" i="14" s="1"/>
  <c r="P1338" i="14" a="1"/>
  <c r="P1338" i="14" s="1"/>
  <c r="P965" i="14" a="1"/>
  <c r="P965" i="14" s="1"/>
  <c r="P844" i="14" a="1"/>
  <c r="P844" i="14" s="1"/>
  <c r="P703" i="14" a="1"/>
  <c r="P703" i="14" s="1"/>
  <c r="P579" i="14" a="1"/>
  <c r="P579" i="14" s="1"/>
  <c r="P413" i="14" a="1"/>
  <c r="P413" i="14" s="1"/>
  <c r="P360" i="14" a="1"/>
  <c r="P360" i="14" s="1"/>
  <c r="P232" i="14" a="1"/>
  <c r="P232" i="14" s="1"/>
  <c r="P1421" i="14" a="1"/>
  <c r="P1421" i="14" s="1"/>
  <c r="P1345" i="14" a="1"/>
  <c r="P1345" i="14" s="1"/>
  <c r="P782" i="14" a="1"/>
  <c r="P782" i="14" s="1"/>
  <c r="P728" i="14" a="1"/>
  <c r="P728" i="14" s="1"/>
  <c r="P633" i="14" a="1"/>
  <c r="P633" i="14" s="1"/>
  <c r="P435" i="14" a="1"/>
  <c r="P435" i="14" s="1"/>
  <c r="P325" i="14" a="1"/>
  <c r="P325" i="14" s="1"/>
  <c r="P230" i="14" a="1"/>
  <c r="P230" i="14" s="1"/>
  <c r="P1297" i="14" a="1"/>
  <c r="P1297" i="14" s="1"/>
  <c r="P1354" i="14" a="1"/>
  <c r="P1354" i="14" s="1"/>
  <c r="P1319" i="14" a="1"/>
  <c r="P1319" i="14" s="1"/>
  <c r="P945" i="14" a="1"/>
  <c r="P945" i="14" s="1"/>
  <c r="P832" i="14" a="1"/>
  <c r="P832" i="14" s="1"/>
  <c r="P697" i="14" a="1"/>
  <c r="P697" i="14" s="1"/>
  <c r="P479" i="14" a="1"/>
  <c r="P479" i="14" s="1"/>
  <c r="P402" i="14" a="1"/>
  <c r="P402" i="14" s="1"/>
  <c r="P368" i="14" a="1"/>
  <c r="P368" i="14" s="1"/>
  <c r="P1389" i="14" a="1"/>
  <c r="P1389" i="14" s="1"/>
  <c r="P794" i="14" a="1"/>
  <c r="P794" i="14" s="1"/>
  <c r="P746" i="14" a="1"/>
  <c r="P746" i="14" s="1"/>
  <c r="P609" i="14" a="1"/>
  <c r="P609" i="14" s="1"/>
  <c r="P456" i="14" a="1"/>
  <c r="P456" i="14" s="1"/>
  <c r="P334" i="14" a="1"/>
  <c r="P334" i="14" s="1"/>
  <c r="P278" i="14" a="1"/>
  <c r="P278" i="14" s="1"/>
  <c r="P1369" i="14" a="1"/>
  <c r="P1369" i="14" s="1"/>
  <c r="P1374" i="14" a="1"/>
  <c r="P1374" i="14" s="1"/>
  <c r="P1019" i="14" a="1"/>
  <c r="P1019" i="14" s="1"/>
  <c r="P1362" i="14" a="1"/>
  <c r="P1362" i="14" s="1"/>
  <c r="P1236" i="14" a="1"/>
  <c r="P1236" i="14" s="1"/>
  <c r="P1071" i="14" a="1"/>
  <c r="P1071" i="14" s="1"/>
  <c r="P1027" i="14" a="1"/>
  <c r="P1027" i="14" s="1"/>
  <c r="P1410" i="14" a="1"/>
  <c r="P1410" i="14" s="1"/>
  <c r="P1375" i="14" a="1"/>
  <c r="P1375" i="14" s="1"/>
  <c r="P1126" i="14" a="1"/>
  <c r="P1126" i="14" s="1"/>
  <c r="P1177" i="14" a="1"/>
  <c r="P1177" i="14" s="1"/>
  <c r="P1150" i="14" a="1"/>
  <c r="P1150" i="14" s="1"/>
  <c r="P1330" i="14" a="1"/>
  <c r="P1330" i="14" s="1"/>
  <c r="P1075" i="14" a="1"/>
  <c r="P1075" i="14" s="1"/>
  <c r="P1016" i="14" a="1"/>
  <c r="P1016" i="14" s="1"/>
  <c r="P1437" i="14" a="1"/>
  <c r="P1437" i="14" s="1"/>
  <c r="P1176" i="14" a="1"/>
  <c r="P1176" i="14" s="1"/>
  <c r="P1249" i="14" a="1"/>
  <c r="P1249" i="14" s="1"/>
  <c r="P1363" i="14" a="1"/>
  <c r="P1363" i="14" s="1"/>
  <c r="P1120" i="14" a="1"/>
  <c r="P1120" i="14" s="1"/>
  <c r="P1053" i="14" a="1"/>
  <c r="P1053" i="14" s="1"/>
  <c r="P985" i="14" a="1"/>
  <c r="P985" i="14" s="1"/>
  <c r="P775" i="14" a="1"/>
  <c r="P775" i="14" s="1"/>
  <c r="P722" i="14" a="1"/>
  <c r="P722" i="14" s="1"/>
  <c r="P616" i="14" a="1"/>
  <c r="P616" i="14" s="1"/>
  <c r="P397" i="14" a="1"/>
  <c r="P397" i="14" s="1"/>
  <c r="P319" i="14" a="1"/>
  <c r="P319" i="14" s="1"/>
  <c r="P1392" i="14" a="1"/>
  <c r="P1392" i="14" s="1"/>
  <c r="P1315" i="14" a="1"/>
  <c r="P1315" i="14" s="1"/>
  <c r="P1023" i="14" a="1"/>
  <c r="P1023" i="14" s="1"/>
  <c r="P868" i="14" a="1"/>
  <c r="P868" i="14" s="1"/>
  <c r="P764" i="14" a="1"/>
  <c r="P764" i="14" s="1"/>
  <c r="P571" i="14" a="1"/>
  <c r="P571" i="14" s="1"/>
  <c r="P512" i="14" a="1"/>
  <c r="P512" i="14" s="1"/>
  <c r="P339" i="14" a="1"/>
  <c r="P339" i="14" s="1"/>
  <c r="P229" i="14" a="1"/>
  <c r="P229" i="14" s="1"/>
  <c r="P1294" i="14" a="1"/>
  <c r="P1294" i="14" s="1"/>
  <c r="P1290" i="14" a="1"/>
  <c r="P1290" i="14" s="1"/>
  <c r="P1283" i="14" a="1"/>
  <c r="P1283" i="14" s="1"/>
  <c r="P900" i="14" a="1"/>
  <c r="P900" i="14" s="1"/>
  <c r="P853" i="14" a="1"/>
  <c r="P853" i="14" s="1"/>
  <c r="P610" i="14" a="1"/>
  <c r="P610" i="14" s="1"/>
  <c r="P567" i="14" a="1"/>
  <c r="P567" i="14" s="1"/>
  <c r="P389" i="14" a="1"/>
  <c r="P389" i="14" s="1"/>
  <c r="P225" i="14" a="1"/>
  <c r="P225" i="14" s="1"/>
  <c r="P1262" i="14" a="1"/>
  <c r="P1262" i="14" s="1"/>
  <c r="P1383" i="14" a="1"/>
  <c r="P1383" i="14" s="1"/>
  <c r="P1342" i="14" a="1"/>
  <c r="P1342" i="14" s="1"/>
  <c r="P971" i="14" a="1"/>
  <c r="P971" i="14" s="1"/>
  <c r="P919" i="14" a="1"/>
  <c r="P919" i="14" s="1"/>
  <c r="P769" i="14" a="1"/>
  <c r="P769" i="14" s="1"/>
  <c r="P689" i="14" a="1"/>
  <c r="P689" i="14" s="1"/>
  <c r="P603" i="14" a="1"/>
  <c r="P603" i="14" s="1"/>
  <c r="P444" i="14" a="1"/>
  <c r="P444" i="14" s="1"/>
  <c r="P361" i="14" a="1"/>
  <c r="P361" i="14" s="1"/>
  <c r="P1360" i="14" a="1"/>
  <c r="P1360" i="14" s="1"/>
  <c r="P1267" i="14" a="1"/>
  <c r="P1267" i="14" s="1"/>
  <c r="P793" i="14" a="1"/>
  <c r="P793" i="14" s="1"/>
  <c r="P671" i="14" a="1"/>
  <c r="P671" i="14" s="1"/>
  <c r="P657" i="14" a="1"/>
  <c r="P657" i="14" s="1"/>
  <c r="P383" i="14" a="1"/>
  <c r="P383" i="14" s="1"/>
  <c r="P327" i="14" a="1"/>
  <c r="P327" i="14" s="1"/>
  <c r="P1356" i="14" a="1"/>
  <c r="P1356" i="14" s="1"/>
  <c r="P1296" i="14" a="1"/>
  <c r="P1296" i="14" s="1"/>
  <c r="P886" i="14" a="1"/>
  <c r="P886" i="14" s="1"/>
  <c r="P830" i="14" a="1"/>
  <c r="P830" i="14" s="1"/>
  <c r="P747" i="14" a="1"/>
  <c r="P747" i="14" s="1"/>
  <c r="P483" i="14" a="1"/>
  <c r="P483" i="14" s="1"/>
  <c r="P391" i="14" a="1"/>
  <c r="P391" i="14" s="1"/>
  <c r="P284" i="14" a="1"/>
  <c r="P284" i="14" s="1"/>
  <c r="P1406" i="14" a="1"/>
  <c r="P1406" i="14" s="1"/>
  <c r="P783" i="14" a="1"/>
  <c r="P783" i="14" s="1"/>
  <c r="P677" i="14" a="1"/>
  <c r="P677" i="14" s="1"/>
  <c r="P666" i="14" a="1"/>
  <c r="P666" i="14" s="1"/>
  <c r="P386" i="14" a="1"/>
  <c r="P386" i="14" s="1"/>
  <c r="P335" i="14" a="1"/>
  <c r="P335" i="14" s="1"/>
  <c r="P1311" i="14" a="1"/>
  <c r="P1311" i="14" s="1"/>
  <c r="P1291" i="14" a="1"/>
  <c r="P1291" i="14" s="1"/>
  <c r="P1424" i="14" a="1"/>
  <c r="P1424" i="14" s="1"/>
  <c r="P940" i="14" a="1"/>
  <c r="P940" i="14" s="1"/>
  <c r="P824" i="14" a="1"/>
  <c r="P824" i="14" s="1"/>
  <c r="P594" i="14" a="1"/>
  <c r="P594" i="14" s="1"/>
  <c r="P508" i="14" a="1"/>
  <c r="P508" i="14" s="1"/>
  <c r="P385" i="14" a="1"/>
  <c r="P385" i="14" s="1"/>
  <c r="P277" i="14" a="1"/>
  <c r="P277" i="14" s="1"/>
  <c r="P67" i="14" a="1"/>
  <c r="P67" i="14" s="1"/>
  <c r="P130" i="14" a="1"/>
  <c r="P130" i="14" s="1"/>
  <c r="P1218" i="14" a="1"/>
  <c r="P1218" i="14" s="1"/>
  <c r="P1002" i="14" a="1"/>
  <c r="P1002" i="14" s="1"/>
  <c r="P930" i="14" a="1"/>
  <c r="P930" i="14" s="1"/>
  <c r="P1397" i="14" a="1"/>
  <c r="P1397" i="14" s="1"/>
  <c r="P1227" i="14" a="1"/>
  <c r="P1227" i="14" s="1"/>
  <c r="P899" i="14" a="1"/>
  <c r="P899" i="14" s="1"/>
  <c r="P1229" i="14" a="1"/>
  <c r="P1229" i="14" s="1"/>
  <c r="P1214" i="14" a="1"/>
  <c r="P1214" i="14" s="1"/>
  <c r="P1094" i="14" a="1"/>
  <c r="P1094" i="14" s="1"/>
  <c r="P1365" i="14" a="1"/>
  <c r="P1365" i="14" s="1"/>
  <c r="P1447" i="14" a="1"/>
  <c r="P1447" i="14" s="1"/>
  <c r="P1221" i="14" a="1"/>
  <c r="P1221" i="14" s="1"/>
  <c r="P1081" i="14" a="1"/>
  <c r="P1081" i="14" s="1"/>
  <c r="P1337" i="14" a="1"/>
  <c r="P1337" i="14" s="1"/>
  <c r="P1040" i="14" a="1"/>
  <c r="P1040" i="14" s="1"/>
  <c r="P1395" i="14" a="1"/>
  <c r="P1395" i="14" s="1"/>
  <c r="P1147" i="14" a="1"/>
  <c r="P1147" i="14" s="1"/>
  <c r="P1215" i="14" a="1"/>
  <c r="P1215" i="14" s="1"/>
  <c r="P1162" i="14" a="1"/>
  <c r="P1162" i="14" s="1"/>
  <c r="P1412" i="14" a="1"/>
  <c r="P1412" i="14" s="1"/>
  <c r="P1014" i="14" a="1"/>
  <c r="P1014" i="14" s="1"/>
  <c r="P1207" i="14" a="1"/>
  <c r="P1207" i="14" s="1"/>
  <c r="P1233" i="14" a="1"/>
  <c r="P1233" i="14" s="1"/>
  <c r="P969" i="14" a="1"/>
  <c r="P969" i="14" s="1"/>
  <c r="P997" i="14" a="1"/>
  <c r="P997" i="14" s="1"/>
  <c r="P1138" i="14" a="1"/>
  <c r="P1138" i="14" s="1"/>
  <c r="P863" i="14" a="1"/>
  <c r="P863" i="14" s="1"/>
  <c r="P773" i="14" a="1"/>
  <c r="P773" i="14" s="1"/>
  <c r="P687" i="14" a="1"/>
  <c r="P687" i="14" s="1"/>
  <c r="P476" i="14" a="1"/>
  <c r="P476" i="14" s="1"/>
  <c r="P393" i="14" a="1"/>
  <c r="P393" i="14" s="1"/>
  <c r="P349" i="14" a="1"/>
  <c r="P349" i="14" s="1"/>
  <c r="P1439" i="14" a="1"/>
  <c r="P1439" i="14" s="1"/>
  <c r="P1083" i="14" a="1"/>
  <c r="P1083" i="14" s="1"/>
  <c r="P970" i="14" a="1"/>
  <c r="P970" i="14" s="1"/>
  <c r="P959" i="14" a="1"/>
  <c r="P959" i="14" s="1"/>
  <c r="P755" i="14" a="1"/>
  <c r="P755" i="14" s="1"/>
  <c r="P641" i="14" a="1"/>
  <c r="P641" i="14" s="1"/>
  <c r="P553" i="14" a="1"/>
  <c r="P553" i="14" s="1"/>
  <c r="P365" i="14" a="1"/>
  <c r="P365" i="14" s="1"/>
  <c r="P291" i="14" a="1"/>
  <c r="P291" i="14" s="1"/>
  <c r="P1401" i="14" a="1"/>
  <c r="P1401" i="14" s="1"/>
  <c r="P1280" i="14" a="1"/>
  <c r="P1280" i="14" s="1"/>
  <c r="P903" i="14" a="1"/>
  <c r="P903" i="14" s="1"/>
  <c r="P834" i="14" a="1"/>
  <c r="P834" i="14" s="1"/>
  <c r="P599" i="14" a="1"/>
  <c r="P599" i="14" s="1"/>
  <c r="P530" i="14" a="1"/>
  <c r="P530" i="14" s="1"/>
  <c r="P439" i="14" a="1"/>
  <c r="P439" i="14" s="1"/>
  <c r="P234" i="14" a="1"/>
  <c r="P234" i="14" s="1"/>
  <c r="P1415" i="14" a="1"/>
  <c r="P1415" i="14" s="1"/>
  <c r="P1303" i="14" a="1"/>
  <c r="P1303" i="14" s="1"/>
  <c r="P895" i="14" a="1"/>
  <c r="P895" i="14" s="1"/>
  <c r="P774" i="14" a="1"/>
  <c r="P774" i="14" s="1"/>
  <c r="P690" i="14" a="1"/>
  <c r="P690" i="14" s="1"/>
  <c r="P487" i="14" a="1"/>
  <c r="P487" i="14" s="1"/>
  <c r="P388" i="14" a="1"/>
  <c r="P388" i="14" s="1"/>
  <c r="P363" i="14" a="1"/>
  <c r="P363" i="14" s="1"/>
  <c r="P1416" i="14" a="1"/>
  <c r="P1416" i="14" s="1"/>
  <c r="P952" i="14" a="1"/>
  <c r="P952" i="14" s="1"/>
  <c r="P816" i="14" a="1"/>
  <c r="P816" i="14" s="1"/>
  <c r="P674" i="14" a="1"/>
  <c r="P674" i="14" s="1"/>
  <c r="P474" i="14" a="1"/>
  <c r="P474" i="14" s="1"/>
  <c r="P382" i="14" a="1"/>
  <c r="P382" i="14" s="1"/>
  <c r="P341" i="14" a="1"/>
  <c r="P341" i="14" s="1"/>
  <c r="P1287" i="14" a="1"/>
  <c r="P1287" i="14" s="1"/>
  <c r="P1259" i="14" a="1"/>
  <c r="P1259" i="14" s="1"/>
  <c r="P1359" i="14" a="1"/>
  <c r="P1359" i="14" s="1"/>
  <c r="P1329" i="14" a="1"/>
  <c r="P1329" i="14" s="1"/>
  <c r="P887" i="14" a="1"/>
  <c r="P887" i="14" s="1"/>
  <c r="P780" i="14" a="1"/>
  <c r="P780" i="14" s="1"/>
  <c r="P608" i="14" a="1"/>
  <c r="P608" i="14" s="1"/>
  <c r="P566" i="14" a="1"/>
  <c r="P566" i="14" s="1"/>
  <c r="P392" i="14" a="1"/>
  <c r="P392" i="14" s="1"/>
  <c r="P254" i="14" a="1"/>
  <c r="P254" i="14" s="1"/>
  <c r="P1301" i="14" a="1"/>
  <c r="P1301" i="14" s="1"/>
  <c r="P1339" i="14" a="1"/>
  <c r="P1339" i="14" s="1"/>
  <c r="P771" i="14" a="1"/>
  <c r="P771" i="14" s="1"/>
  <c r="P742" i="14" a="1"/>
  <c r="P742" i="14" s="1"/>
  <c r="P510" i="14" a="1"/>
  <c r="P510" i="14" s="1"/>
  <c r="P459" i="14" a="1"/>
  <c r="P459" i="14" s="1"/>
  <c r="P376" i="14" a="1"/>
  <c r="P376" i="14" s="1"/>
  <c r="P1409" i="14" a="1"/>
  <c r="P1409" i="14" s="1"/>
  <c r="P1373" i="14" a="1"/>
  <c r="P1373" i="14" s="1"/>
  <c r="P944" i="14" a="1"/>
  <c r="P944" i="14" s="1"/>
  <c r="P760" i="14" a="1"/>
  <c r="P760" i="14" s="1"/>
  <c r="P590" i="14" a="1"/>
  <c r="P590" i="14" s="1"/>
  <c r="P490" i="14" a="1"/>
  <c r="P490" i="14" s="1"/>
  <c r="P469" i="14" a="1"/>
  <c r="P469" i="14" s="1"/>
  <c r="P8" i="14" a="1"/>
  <c r="P8" i="14" s="1"/>
  <c r="P1142" i="14" a="1"/>
  <c r="P1142" i="14" s="1"/>
  <c r="P924" i="14" a="1"/>
  <c r="P924" i="14" s="1"/>
  <c r="P1400" i="14" a="1"/>
  <c r="P1400" i="14" s="1"/>
  <c r="P984" i="14" a="1"/>
  <c r="P984" i="14" s="1"/>
  <c r="P951" i="14" a="1"/>
  <c r="P951" i="14" s="1"/>
  <c r="P1377" i="14" a="1"/>
  <c r="P1377" i="14" s="1"/>
  <c r="P1217" i="14" a="1"/>
  <c r="P1217" i="14" s="1"/>
  <c r="P1124" i="14" a="1"/>
  <c r="P1124" i="14" s="1"/>
  <c r="P1408" i="14" a="1"/>
  <c r="P1408" i="14" s="1"/>
  <c r="P1244" i="14" a="1"/>
  <c r="P1244" i="14" s="1"/>
  <c r="P1171" i="14" a="1"/>
  <c r="P1171" i="14" s="1"/>
  <c r="P1353" i="14" a="1"/>
  <c r="P1353" i="14" s="1"/>
  <c r="P1121" i="14" a="1"/>
  <c r="P1121" i="14" s="1"/>
  <c r="P1115" i="14" a="1"/>
  <c r="P1115" i="14" s="1"/>
  <c r="P1022" i="14" a="1"/>
  <c r="P1022" i="14" s="1"/>
  <c r="P1382" i="14" a="1"/>
  <c r="P1382" i="14" s="1"/>
  <c r="P1134" i="14" a="1"/>
  <c r="P1134" i="14" s="1"/>
  <c r="P1320" i="14" a="1"/>
  <c r="P1320" i="14" s="1"/>
  <c r="P1212" i="14" a="1"/>
  <c r="P1212" i="14" s="1"/>
  <c r="P1378" i="14" a="1"/>
  <c r="P1378" i="14" s="1"/>
  <c r="P1288" i="14" a="1"/>
  <c r="P1288" i="14" s="1"/>
  <c r="P1100" i="14" a="1"/>
  <c r="P1100" i="14" s="1"/>
  <c r="P866" i="14" a="1"/>
  <c r="P866" i="14" s="1"/>
  <c r="P1033" i="14" a="1"/>
  <c r="P1033" i="14" s="1"/>
  <c r="P892" i="14" a="1"/>
  <c r="P892" i="14" s="1"/>
  <c r="P767" i="14" a="1"/>
  <c r="P767" i="14" s="1"/>
  <c r="P739" i="14" a="1"/>
  <c r="P739" i="14" s="1"/>
  <c r="P509" i="14" a="1"/>
  <c r="P509" i="14" s="1"/>
  <c r="P450" i="14" a="1"/>
  <c r="P450" i="14" s="1"/>
  <c r="P356" i="14" a="1"/>
  <c r="P356" i="14" s="1"/>
  <c r="P1393" i="14" a="1"/>
  <c r="P1393" i="14" s="1"/>
  <c r="P981" i="14" a="1"/>
  <c r="P981" i="14" s="1"/>
  <c r="P805" i="14" a="1"/>
  <c r="P805" i="14" s="1"/>
  <c r="P725" i="14" a="1"/>
  <c r="P725" i="14" s="1"/>
  <c r="P650" i="14" a="1"/>
  <c r="P650" i="14" s="1"/>
  <c r="P520" i="14" a="1"/>
  <c r="P520" i="14" s="1"/>
  <c r="P316" i="14" a="1"/>
  <c r="P316" i="14" s="1"/>
  <c r="P248" i="14" a="1"/>
  <c r="P248" i="14" s="1"/>
  <c r="P1293" i="14" a="1"/>
  <c r="P1293" i="14" s="1"/>
  <c r="P1358" i="14" a="1"/>
  <c r="P1358" i="14" s="1"/>
  <c r="P1304" i="14" a="1"/>
  <c r="P1304" i="14" s="1"/>
  <c r="P905" i="14" a="1"/>
  <c r="P905" i="14" s="1"/>
  <c r="P721" i="14" a="1"/>
  <c r="P721" i="14" s="1"/>
  <c r="P575" i="14" a="1"/>
  <c r="P575" i="14" s="1"/>
  <c r="P506" i="14" a="1"/>
  <c r="P506" i="14" s="1"/>
  <c r="P370" i="14" a="1"/>
  <c r="P370" i="14" s="1"/>
  <c r="P214" i="14" a="1"/>
  <c r="P214" i="14" s="1"/>
  <c r="P1340" i="14" a="1"/>
  <c r="P1340" i="14" s="1"/>
  <c r="P1341" i="14" a="1"/>
  <c r="P1341" i="14" s="1"/>
  <c r="P1430" i="14" a="1"/>
  <c r="P1430" i="14" s="1"/>
  <c r="P1260" i="14" a="1"/>
  <c r="P1260" i="14" s="1"/>
  <c r="P1026" i="14" a="1"/>
  <c r="P1026" i="14" s="1"/>
  <c r="P898" i="14" a="1"/>
  <c r="P898" i="14" s="1"/>
  <c r="P848" i="14" a="1"/>
  <c r="P848" i="14" s="1"/>
  <c r="P684" i="14" a="1"/>
  <c r="P684" i="14" s="1"/>
  <c r="P554" i="14" a="1"/>
  <c r="P554" i="14" s="1"/>
  <c r="P473" i="14" a="1"/>
  <c r="P473" i="14" s="1"/>
  <c r="P216" i="14" a="1"/>
  <c r="P216" i="14" s="1"/>
  <c r="P1390" i="14" a="1"/>
  <c r="P1390" i="14" s="1"/>
  <c r="P927" i="14" a="1"/>
  <c r="P927" i="14" s="1"/>
  <c r="P828" i="14" a="1"/>
  <c r="P828" i="14" s="1"/>
  <c r="P741" i="14" a="1"/>
  <c r="P741" i="14" s="1"/>
  <c r="P550" i="14" a="1"/>
  <c r="P550" i="14" s="1"/>
  <c r="P379" i="14" a="1"/>
  <c r="P379" i="14" s="1"/>
  <c r="P287" i="14" a="1"/>
  <c r="P287" i="14" s="1"/>
  <c r="P1420" i="14" a="1"/>
  <c r="P1420" i="14" s="1"/>
  <c r="P1344" i="14" a="1"/>
  <c r="P1344" i="14" s="1"/>
  <c r="P891" i="14" a="1"/>
  <c r="P891" i="14" s="1"/>
  <c r="P727" i="14" a="1"/>
  <c r="P727" i="14" s="1"/>
  <c r="P653" i="14" a="1"/>
  <c r="P653" i="14" s="1"/>
  <c r="P477" i="14" a="1"/>
  <c r="P477" i="14" s="1"/>
  <c r="P426" i="14" a="1"/>
  <c r="P426" i="14" s="1"/>
  <c r="P221" i="14" a="1"/>
  <c r="P221" i="14" s="1"/>
  <c r="P1277" i="14" a="1"/>
  <c r="P1277" i="14" s="1"/>
  <c r="P799" i="14" a="1"/>
  <c r="P799" i="14" s="1"/>
  <c r="P724" i="14" a="1"/>
  <c r="P724" i="14" s="1"/>
  <c r="P493" i="14" a="1"/>
  <c r="P493" i="14" s="1"/>
  <c r="P452" i="14" a="1"/>
  <c r="P452" i="14" s="1"/>
  <c r="P264" i="14" a="1"/>
  <c r="P264" i="14" s="1"/>
  <c r="P1261" i="14" a="1"/>
  <c r="P1261" i="14" s="1"/>
  <c r="P1388" i="14" a="1"/>
  <c r="P1388" i="14" s="1"/>
  <c r="P1097" i="14" a="1"/>
  <c r="P1097" i="14" s="1"/>
  <c r="P987" i="14" a="1"/>
  <c r="P987" i="14" s="1"/>
  <c r="P889" i="14" a="1"/>
  <c r="P889" i="14" s="1"/>
  <c r="P1321" i="14" a="1"/>
  <c r="P1321" i="14" s="1"/>
  <c r="P1241" i="14" a="1"/>
  <c r="P1241" i="14" s="1"/>
  <c r="P1018" i="14" a="1"/>
  <c r="P1018" i="14" s="1"/>
  <c r="P7" i="14" a="1"/>
  <c r="P7" i="14" s="1"/>
  <c r="P1242" i="14" a="1"/>
  <c r="P1242" i="14" s="1"/>
  <c r="P1092" i="14" a="1"/>
  <c r="P1092" i="14" s="1"/>
  <c r="P1432" i="14" a="1"/>
  <c r="P1432" i="14" s="1"/>
  <c r="P1064" i="14" a="1"/>
  <c r="P1064" i="14" s="1"/>
  <c r="P1186" i="14" a="1"/>
  <c r="P1186" i="14" s="1"/>
  <c r="P1361" i="14" a="1"/>
  <c r="P1361" i="14" s="1"/>
  <c r="P1343" i="14" a="1"/>
  <c r="P1343" i="14" s="1"/>
  <c r="P1065" i="14" a="1"/>
  <c r="P1065" i="14" s="1"/>
  <c r="P1015" i="14" a="1"/>
  <c r="P1015" i="14" s="1"/>
  <c r="P1387" i="14" a="1"/>
  <c r="P1387" i="14" s="1"/>
  <c r="P1252" i="14" a="1"/>
  <c r="P1252" i="14" s="1"/>
  <c r="P1394" i="14" a="1"/>
  <c r="P1394" i="14" s="1"/>
  <c r="P1006" i="14" a="1"/>
  <c r="P1006" i="14" s="1"/>
  <c r="P1179" i="14" a="1"/>
  <c r="P1179" i="14" s="1"/>
  <c r="P1091" i="14" a="1"/>
  <c r="P1091" i="14" s="1"/>
  <c r="P973" i="14" a="1"/>
  <c r="P973" i="14" s="1"/>
  <c r="P1445" i="14" a="1"/>
  <c r="P1445" i="14" s="1"/>
  <c r="P1003" i="14" a="1"/>
  <c r="P1003" i="14" s="1"/>
  <c r="P874" i="14" a="1"/>
  <c r="P874" i="14" s="1"/>
  <c r="P796" i="14" a="1"/>
  <c r="P796" i="14" s="1"/>
  <c r="P711" i="14" a="1"/>
  <c r="P711" i="14" s="1"/>
  <c r="P539" i="14" a="1"/>
  <c r="P539" i="14" s="1"/>
  <c r="P411" i="14" a="1"/>
  <c r="P411" i="14" s="1"/>
  <c r="P249" i="14" a="1"/>
  <c r="P249" i="14" s="1"/>
  <c r="P1434" i="14" a="1"/>
  <c r="P1434" i="14" s="1"/>
  <c r="P1030" i="14" a="1"/>
  <c r="P1030" i="14" s="1"/>
  <c r="P795" i="14" a="1"/>
  <c r="P795" i="14" s="1"/>
  <c r="P751" i="14" a="1"/>
  <c r="P751" i="14" s="1"/>
  <c r="P649" i="14" a="1"/>
  <c r="P649" i="14" s="1"/>
  <c r="P405" i="14" a="1"/>
  <c r="P405" i="14" s="1"/>
  <c r="P315" i="14" a="1"/>
  <c r="P315" i="14" s="1"/>
  <c r="P1257" i="14" a="1"/>
  <c r="P1257" i="14" s="1"/>
  <c r="P1446" i="14" a="1"/>
  <c r="P1446" i="14" s="1"/>
  <c r="P1266" i="14" a="1"/>
  <c r="P1266" i="14" s="1"/>
  <c r="P910" i="14" a="1"/>
  <c r="P910" i="14" s="1"/>
  <c r="P706" i="14" a="1"/>
  <c r="P706" i="14" s="1"/>
  <c r="P624" i="14" a="1"/>
  <c r="P624" i="14" s="1"/>
  <c r="P532" i="14" a="1"/>
  <c r="P532" i="14" s="1"/>
  <c r="P318" i="14" a="1"/>
  <c r="P318" i="14" s="1"/>
  <c r="P224" i="14" a="1"/>
  <c r="P224" i="14" s="1"/>
  <c r="P1442" i="14" a="1"/>
  <c r="P1442" i="14" s="1"/>
  <c r="P1086" i="14" a="1"/>
  <c r="P1086" i="14" s="1"/>
  <c r="P921" i="14" a="1"/>
  <c r="P921" i="14" s="1"/>
  <c r="P815" i="14" a="1"/>
  <c r="P815" i="14" s="1"/>
  <c r="P592" i="14" a="1"/>
  <c r="P592" i="14" s="1"/>
  <c r="P551" i="14" a="1"/>
  <c r="P551" i="14" s="1"/>
  <c r="P395" i="14" a="1"/>
  <c r="P395" i="14" s="1"/>
  <c r="P245" i="14" a="1"/>
  <c r="P245" i="14" s="1"/>
  <c r="P1357" i="14" a="1"/>
  <c r="P1357" i="14" s="1"/>
  <c r="P888" i="14" a="1"/>
  <c r="P888" i="14" s="1"/>
  <c r="P777" i="14" a="1"/>
  <c r="P777" i="14" s="1"/>
  <c r="P572" i="14" a="1"/>
  <c r="P572" i="14" s="1"/>
  <c r="P528" i="14" a="1"/>
  <c r="P528" i="14" s="1"/>
  <c r="P423" i="14" a="1"/>
  <c r="P423" i="14" s="1"/>
  <c r="P259" i="14" a="1"/>
  <c r="P259" i="14" s="1"/>
  <c r="P1348" i="14" a="1"/>
  <c r="P1348" i="14" s="1"/>
  <c r="P1316" i="14" a="1"/>
  <c r="P1316" i="14" s="1"/>
  <c r="P1386" i="14" a="1"/>
  <c r="P1386" i="14" s="1"/>
  <c r="P1333" i="14" a="1"/>
  <c r="P1333" i="14" s="1"/>
  <c r="P950" i="14" a="1"/>
  <c r="P950" i="14" s="1"/>
  <c r="P731" i="14" a="1"/>
  <c r="P731" i="14" s="1"/>
  <c r="P576" i="14" a="1"/>
  <c r="P576" i="14" s="1"/>
  <c r="P481" i="14" a="1"/>
  <c r="P481" i="14" s="1"/>
  <c r="P357" i="14" a="1"/>
  <c r="P357" i="14" s="1"/>
  <c r="P233" i="14" a="1"/>
  <c r="P233" i="14" s="1"/>
  <c r="P1317" i="14" a="1"/>
  <c r="P1317" i="14" s="1"/>
  <c r="P1271" i="14" a="1"/>
  <c r="P1271" i="14" s="1"/>
  <c r="P787" i="14" a="1"/>
  <c r="P787" i="14" s="1"/>
  <c r="P618" i="14" a="1"/>
  <c r="P618" i="14" s="1"/>
  <c r="P488" i="14" a="1"/>
  <c r="P488" i="14" s="1"/>
  <c r="P420" i="14" a="1"/>
  <c r="P420" i="14" s="1"/>
  <c r="P282" i="14" a="1"/>
  <c r="P282" i="14" s="1"/>
  <c r="P1427" i="14" a="1"/>
  <c r="P1427" i="14" s="1"/>
  <c r="P1307" i="14" a="1"/>
  <c r="P1307" i="14" s="1"/>
  <c r="P801" i="14" a="1"/>
  <c r="P801" i="14" s="1"/>
  <c r="P757" i="14" a="1"/>
  <c r="P757" i="14" s="1"/>
  <c r="P926" i="14" a="1"/>
  <c r="P926" i="14" s="1"/>
  <c r="P1223" i="14" a="1"/>
  <c r="P1223" i="14" s="1"/>
  <c r="P983" i="14" a="1"/>
  <c r="P983" i="14" s="1"/>
  <c r="P1399" i="14" a="1"/>
  <c r="P1399" i="14" s="1"/>
  <c r="P1189" i="14" a="1"/>
  <c r="P1189" i="14" s="1"/>
  <c r="P1219" i="14" a="1"/>
  <c r="P1219" i="14" s="1"/>
  <c r="P1085" i="14" a="1"/>
  <c r="P1085" i="14" s="1"/>
  <c r="P1346" i="14" a="1"/>
  <c r="P1346" i="14" s="1"/>
  <c r="P1284" i="14" a="1"/>
  <c r="P1284" i="14" s="1"/>
  <c r="P1250" i="14" a="1"/>
  <c r="P1250" i="14" s="1"/>
  <c r="P1306" i="14" a="1"/>
  <c r="P1306" i="14" s="1"/>
  <c r="P1184" i="14" a="1"/>
  <c r="P1184" i="14" s="1"/>
  <c r="P1088" i="14" a="1"/>
  <c r="P1088" i="14" s="1"/>
  <c r="P1404" i="14" a="1"/>
  <c r="P1404" i="14" s="1"/>
  <c r="P1314" i="14" a="1"/>
  <c r="P1314" i="14" s="1"/>
  <c r="P1113" i="14" a="1"/>
  <c r="P1113" i="14" s="1"/>
  <c r="P1228" i="14" a="1"/>
  <c r="P1228" i="14" s="1"/>
  <c r="P1112" i="14" a="1"/>
  <c r="P1112" i="14" s="1"/>
  <c r="P1183" i="14" a="1"/>
  <c r="P1183" i="14" s="1"/>
  <c r="P1211" i="14" a="1"/>
  <c r="P1211" i="14" s="1"/>
  <c r="P1199" i="14" a="1"/>
  <c r="P1199" i="14" s="1"/>
  <c r="P1099" i="14" a="1"/>
  <c r="P1099" i="14" s="1"/>
  <c r="P1367" i="14" a="1"/>
  <c r="P1367" i="14" s="1"/>
  <c r="P1048" i="14" a="1"/>
  <c r="P1048" i="14" s="1"/>
  <c r="P897" i="14" a="1"/>
  <c r="P897" i="14" s="1"/>
  <c r="P820" i="14" a="1"/>
  <c r="P820" i="14" s="1"/>
  <c r="P598" i="14" a="1"/>
  <c r="P598" i="14" s="1"/>
  <c r="P536" i="14" a="1"/>
  <c r="P536" i="14" s="1"/>
  <c r="P431" i="14" a="1"/>
  <c r="P431" i="14" s="1"/>
  <c r="P222" i="14" a="1"/>
  <c r="P222" i="14" s="1"/>
  <c r="P1436" i="14" a="1"/>
  <c r="P1436" i="14" s="1"/>
  <c r="P879" i="14" a="1"/>
  <c r="P879" i="14" s="1"/>
  <c r="P772" i="14" a="1"/>
  <c r="P772" i="14" s="1"/>
  <c r="P682" i="14" a="1"/>
  <c r="P682" i="14" s="1"/>
  <c r="P533" i="14" a="1"/>
  <c r="P533" i="14" s="1"/>
  <c r="P400" i="14" a="1"/>
  <c r="P400" i="14" s="1"/>
  <c r="P367" i="14" a="1"/>
  <c r="P367" i="14" s="1"/>
  <c r="P1336" i="14" a="1"/>
  <c r="P1336" i="14" s="1"/>
  <c r="P1258" i="14" a="1"/>
  <c r="P1258" i="14" s="1"/>
  <c r="P1429" i="14" a="1"/>
  <c r="P1429" i="14" s="1"/>
  <c r="P975" i="14" a="1"/>
  <c r="P975" i="14" s="1"/>
  <c r="P847" i="14" a="1"/>
  <c r="P847" i="14" s="1"/>
  <c r="P726" i="14" a="1"/>
  <c r="P726" i="14" s="1"/>
  <c r="P577" i="14" a="1"/>
  <c r="P577" i="14" s="1"/>
  <c r="P403" i="14" a="1"/>
  <c r="P403" i="14" s="1"/>
  <c r="P351" i="14" a="1"/>
  <c r="P351" i="14" s="1"/>
  <c r="P266" i="14" a="1"/>
  <c r="P266" i="14" s="1"/>
  <c r="P1350" i="14" a="1"/>
  <c r="P1350" i="14" s="1"/>
  <c r="P1335" i="14" a="1"/>
  <c r="P1335" i="14" s="1"/>
  <c r="P1443" i="14" a="1"/>
  <c r="P1443" i="14" s="1"/>
  <c r="P1049" i="14" a="1"/>
  <c r="P1049" i="14" s="1"/>
  <c r="P876" i="14" a="1"/>
  <c r="P876" i="14" s="1"/>
  <c r="P841" i="14" a="1"/>
  <c r="P841" i="14" s="1"/>
  <c r="P660" i="14" a="1"/>
  <c r="P660" i="14" s="1"/>
  <c r="P486" i="14" a="1"/>
  <c r="P486" i="14" s="1"/>
  <c r="P462" i="14" a="1"/>
  <c r="P462" i="14" s="1"/>
  <c r="P269" i="14" a="1"/>
  <c r="P269" i="14" s="1"/>
  <c r="P1444" i="14" a="1"/>
  <c r="P1444" i="14" s="1"/>
  <c r="P894" i="14" a="1"/>
  <c r="P894" i="14" s="1"/>
  <c r="P854" i="14" a="1"/>
  <c r="P854" i="14" s="1"/>
  <c r="P611" i="14" a="1"/>
  <c r="P611" i="14" s="1"/>
  <c r="P517" i="14" a="1"/>
  <c r="P517" i="14" s="1"/>
  <c r="P457" i="14" a="1"/>
  <c r="P457" i="14" s="1"/>
  <c r="P210" i="14" a="1"/>
  <c r="P210" i="14" s="1"/>
  <c r="P1411" i="14" a="1"/>
  <c r="P1411" i="14" s="1"/>
  <c r="P1012" i="14" a="1"/>
  <c r="P1012" i="14" s="1"/>
  <c r="P933" i="14" a="1"/>
  <c r="P933" i="14" s="1"/>
  <c r="P754" i="14" a="1"/>
  <c r="P754" i="14" s="1"/>
  <c r="P629" i="14" a="1"/>
  <c r="P629" i="14" s="1"/>
  <c r="P569" i="14" a="1"/>
  <c r="P569" i="14" s="1"/>
  <c r="P323" i="14" a="1"/>
  <c r="P323" i="14" s="1"/>
  <c r="P236" i="14" a="1"/>
  <c r="P236" i="14" s="1"/>
  <c r="P1292" i="14" a="1"/>
  <c r="P1292" i="14" s="1"/>
  <c r="P1286" i="14" a="1"/>
  <c r="P1286" i="14" s="1"/>
  <c r="P765" i="14" a="1"/>
  <c r="P765" i="14" s="1"/>
  <c r="P661" i="14" a="1"/>
  <c r="P661" i="14" s="1"/>
  <c r="P522" i="14" a="1"/>
  <c r="P522" i="14" s="1"/>
  <c r="P465" i="14" a="1"/>
  <c r="P465" i="14" s="1"/>
  <c r="P213" i="14" a="1"/>
  <c r="P213" i="14" s="1"/>
  <c r="P1263" i="14" a="1"/>
  <c r="P1263" i="14" s="1"/>
  <c r="P1380" i="14" a="1"/>
  <c r="P1380" i="14" s="1"/>
  <c r="P1278" i="14" a="1"/>
  <c r="P1278" i="14" s="1"/>
  <c r="P829" i="14" a="1"/>
  <c r="P829" i="14" s="1"/>
  <c r="P723" i="14" a="1"/>
  <c r="P723" i="14" s="1"/>
  <c r="P612" i="14" a="1"/>
  <c r="P612" i="14" s="1"/>
  <c r="P1080" i="14" a="1"/>
  <c r="P1080" i="14" s="1"/>
  <c r="P977" i="14" a="1"/>
  <c r="P977" i="14" s="1"/>
  <c r="P882" i="14" a="1"/>
  <c r="P882" i="14" s="1"/>
  <c r="P1384" i="14" a="1"/>
  <c r="P1384" i="14" s="1"/>
  <c r="P1128" i="14" a="1"/>
  <c r="P1128" i="14" s="1"/>
  <c r="P1441" i="14" a="1"/>
  <c r="P1441" i="14" s="1"/>
  <c r="P1191" i="14" a="1"/>
  <c r="P1191" i="14" s="1"/>
  <c r="P1379" i="14" a="1"/>
  <c r="P1379" i="14" s="1"/>
  <c r="P1279" i="14" a="1"/>
  <c r="P1279" i="14" s="1"/>
  <c r="P1059" i="14" a="1"/>
  <c r="P1059" i="14" s="1"/>
  <c r="P1166" i="14" a="1"/>
  <c r="P1166" i="14" s="1"/>
  <c r="P1174" i="14" a="1"/>
  <c r="P1174" i="14" s="1"/>
  <c r="P1060" i="14" a="1"/>
  <c r="P1060" i="14" s="1"/>
  <c r="P1364" i="14" a="1"/>
  <c r="P1364" i="14" s="1"/>
  <c r="P1300" i="14" a="1"/>
  <c r="P1300" i="14" s="1"/>
  <c r="P1281" i="14" a="1"/>
  <c r="P1281" i="14" s="1"/>
  <c r="P1178" i="14" a="1"/>
  <c r="P1178" i="14" s="1"/>
  <c r="P1116" i="14" a="1"/>
  <c r="P1116" i="14" s="1"/>
  <c r="P1079" i="14" a="1"/>
  <c r="P1079" i="14" s="1"/>
  <c r="P1058" i="14" a="1"/>
  <c r="P1058" i="14" s="1"/>
  <c r="P1318" i="14" a="1"/>
  <c r="P1318" i="14" s="1"/>
  <c r="P1127" i="14" a="1"/>
  <c r="P1127" i="14" s="1"/>
  <c r="P1004" i="14" a="1"/>
  <c r="P1004" i="14" s="1"/>
  <c r="P1405" i="14" a="1"/>
  <c r="P1405" i="14" s="1"/>
  <c r="P901" i="14" a="1"/>
  <c r="P901" i="14" s="1"/>
  <c r="P745" i="14" a="1"/>
  <c r="P745" i="14" s="1"/>
  <c r="P669" i="14" a="1"/>
  <c r="P669" i="14" s="1"/>
  <c r="P514" i="14" a="1"/>
  <c r="P514" i="14" s="1"/>
  <c r="P472" i="14" a="1"/>
  <c r="P472" i="14" s="1"/>
  <c r="P219" i="14" a="1"/>
  <c r="P219" i="14" s="1"/>
  <c r="P1310" i="14" a="1"/>
  <c r="P1310" i="14" s="1"/>
  <c r="P1440" i="14" a="1"/>
  <c r="P1440" i="14" s="1"/>
  <c r="P964" i="14" a="1"/>
  <c r="P964" i="14" s="1"/>
  <c r="P904" i="14" a="1"/>
  <c r="P904" i="14" s="1"/>
  <c r="P835" i="14" a="1"/>
  <c r="P835" i="14" s="1"/>
  <c r="P683" i="14" a="1"/>
  <c r="P683" i="14" s="1"/>
  <c r="P525" i="14" a="1"/>
  <c r="P525" i="14" s="1"/>
  <c r="P461" i="14" a="1"/>
  <c r="P461" i="14" s="1"/>
  <c r="P353" i="14" a="1"/>
  <c r="P353" i="14" s="1"/>
  <c r="P1435" i="14" a="1"/>
  <c r="P1435" i="14" s="1"/>
  <c r="P781" i="14" a="1"/>
  <c r="P781" i="14" s="1"/>
  <c r="P759" i="14" a="1"/>
  <c r="P759" i="14" s="1"/>
  <c r="P647" i="14" a="1"/>
  <c r="P647" i="14" s="1"/>
  <c r="P406" i="14" a="1"/>
  <c r="P406" i="14" s="1"/>
  <c r="P311" i="14" a="1"/>
  <c r="P311" i="14" s="1"/>
  <c r="P1355" i="14" a="1"/>
  <c r="P1355" i="14" s="1"/>
  <c r="P1285" i="14" a="1"/>
  <c r="P1285" i="14" s="1"/>
  <c r="P1087" i="14" a="1"/>
  <c r="P1087" i="14" s="1"/>
  <c r="P1043" i="14" a="1"/>
  <c r="P1043" i="14" s="1"/>
  <c r="P948" i="14" a="1"/>
  <c r="P948" i="14" s="1"/>
  <c r="P735" i="14" a="1"/>
  <c r="P735" i="14" s="1"/>
  <c r="P639" i="14" a="1"/>
  <c r="P639" i="14" s="1"/>
  <c r="P564" i="14" a="1"/>
  <c r="P564" i="14" s="1"/>
  <c r="P342" i="14" a="1"/>
  <c r="P342" i="14" s="1"/>
  <c r="P215" i="14" a="1"/>
  <c r="P215" i="14" s="1"/>
  <c r="P1418" i="14" a="1"/>
  <c r="P1418" i="14" s="1"/>
  <c r="P956" i="14" a="1"/>
  <c r="P956" i="14" s="1"/>
  <c r="P752" i="14" a="1"/>
  <c r="P752" i="14" s="1"/>
  <c r="P578" i="14" a="1"/>
  <c r="P578" i="14" s="1"/>
  <c r="P519" i="14" a="1"/>
  <c r="P519" i="14" s="1"/>
  <c r="P340" i="14" a="1"/>
  <c r="P340" i="14" s="1"/>
  <c r="P208" i="14" a="1"/>
  <c r="P208" i="14" s="1"/>
  <c r="P1270" i="14" a="1"/>
  <c r="P1270" i="14" s="1"/>
  <c r="P961" i="14" a="1"/>
  <c r="P961" i="14" s="1"/>
  <c r="P1396" i="14" a="1"/>
  <c r="P1396" i="14" s="1"/>
  <c r="P1240" i="14" a="1"/>
  <c r="P1240" i="14" s="1"/>
  <c r="P1063" i="14" a="1"/>
  <c r="P1063" i="14" s="1"/>
  <c r="P1021" i="14" a="1"/>
  <c r="P1021" i="14" s="1"/>
  <c r="P1398" i="14" a="1"/>
  <c r="P1398" i="14" s="1"/>
  <c r="P1190" i="14" a="1"/>
  <c r="P1190" i="14" s="1"/>
  <c r="P1402" i="14" a="1"/>
  <c r="P1402" i="14" s="1"/>
  <c r="P1062" i="14" a="1"/>
  <c r="P1062" i="14" s="1"/>
  <c r="P1197" i="14" a="1"/>
  <c r="P1197" i="14" s="1"/>
  <c r="P1133" i="14" a="1"/>
  <c r="P1133" i="14" s="1"/>
  <c r="P1067" i="14" a="1"/>
  <c r="P1067" i="14" s="1"/>
  <c r="P1061" i="14" a="1"/>
  <c r="P1061" i="14" s="1"/>
  <c r="P1431" i="14" a="1"/>
  <c r="P1431" i="14" s="1"/>
  <c r="P1245" i="14" a="1"/>
  <c r="P1245" i="14" s="1"/>
  <c r="P1232" i="14" a="1"/>
  <c r="P1232" i="14" s="1"/>
  <c r="P1072" i="14" a="1"/>
  <c r="P1072" i="14" s="1"/>
  <c r="P1182" i="14" a="1"/>
  <c r="P1182" i="14" s="1"/>
  <c r="P1216" i="14" a="1"/>
  <c r="P1216" i="14" s="1"/>
  <c r="P1213" i="14" a="1"/>
  <c r="P1213" i="14" s="1"/>
  <c r="P1265" i="14" a="1"/>
  <c r="P1265" i="14" s="1"/>
  <c r="P1054" i="14" a="1"/>
  <c r="P1054" i="14" s="1"/>
  <c r="P917" i="14" a="1"/>
  <c r="P917" i="14" s="1"/>
  <c r="P702" i="14" a="1"/>
  <c r="P702" i="14" s="1"/>
  <c r="P574" i="14" a="1"/>
  <c r="P574" i="14" s="1"/>
  <c r="P562" i="14" a="1"/>
  <c r="P562" i="14" s="1"/>
  <c r="P373" i="14" a="1"/>
  <c r="P373" i="14" s="1"/>
  <c r="P280" i="14" a="1"/>
  <c r="P280" i="14" s="1"/>
  <c r="P1438" i="14" a="1"/>
  <c r="P1438" i="14" s="1"/>
  <c r="P1327" i="14" a="1"/>
  <c r="P1327" i="14" s="1"/>
  <c r="P893" i="14" a="1"/>
  <c r="P893" i="14" s="1"/>
  <c r="P798" i="14" a="1"/>
  <c r="P798" i="14" s="1"/>
  <c r="P583" i="14" a="1"/>
  <c r="P583" i="14" s="1"/>
  <c r="P491" i="14" a="1"/>
  <c r="P491" i="14" s="1"/>
  <c r="P451" i="14" a="1"/>
  <c r="P451" i="14" s="1"/>
  <c r="P275" i="14" a="1"/>
  <c r="P275" i="14" s="1"/>
  <c r="P1274" i="14" a="1"/>
  <c r="P1274" i="14" s="1"/>
  <c r="P1322" i="14" a="1"/>
  <c r="P1322" i="14" s="1"/>
  <c r="P1381" i="14" a="1"/>
  <c r="P1381" i="14" s="1"/>
  <c r="P911" i="14" a="1"/>
  <c r="P911" i="14" s="1"/>
  <c r="P831" i="14" a="1"/>
  <c r="P831" i="14" s="1"/>
  <c r="P743" i="14" a="1"/>
  <c r="P743" i="14" s="1"/>
  <c r="P529" i="14" a="1"/>
  <c r="P529" i="14" s="1"/>
  <c r="P387" i="14" a="1"/>
  <c r="P387" i="14" s="1"/>
  <c r="P338" i="14" a="1"/>
  <c r="P338" i="14" s="1"/>
  <c r="P1269" i="14" a="1"/>
  <c r="P1269" i="14" s="1"/>
  <c r="P1428" i="14" a="1"/>
  <c r="P1428" i="14" s="1"/>
  <c r="P1349" i="14" a="1"/>
  <c r="P1349" i="14" s="1"/>
  <c r="P1090" i="14" a="1"/>
  <c r="P1090" i="14" s="1"/>
  <c r="P916" i="14" a="1"/>
  <c r="P916" i="14" s="1"/>
  <c r="P705" i="14" a="1"/>
  <c r="P705" i="14" s="1"/>
  <c r="P617" i="14" a="1"/>
  <c r="P617" i="14" s="1"/>
  <c r="P535" i="14" a="1"/>
  <c r="P535" i="14" s="1"/>
  <c r="P321" i="14" a="1"/>
  <c r="P321" i="14" s="1"/>
  <c r="P299" i="14" a="1"/>
  <c r="P299" i="14" s="1"/>
  <c r="P1256" i="14" a="1"/>
  <c r="P1256" i="14" s="1"/>
  <c r="P1289" i="14" a="1"/>
  <c r="P1289" i="14" s="1"/>
  <c r="P953" i="14" a="1"/>
  <c r="P953" i="14" s="1"/>
  <c r="P737" i="14" a="1"/>
  <c r="P737" i="14" s="1"/>
  <c r="P644" i="14" a="1"/>
  <c r="P644" i="14" s="1"/>
  <c r="P505" i="14" a="1"/>
  <c r="P505" i="14" s="1"/>
  <c r="P308" i="14" a="1"/>
  <c r="P308" i="14" s="1"/>
  <c r="P205" i="14" a="1"/>
  <c r="P205" i="14" s="1"/>
  <c r="P1413" i="14" a="1"/>
  <c r="P1413" i="14" s="1"/>
  <c r="P1426" i="14" a="1"/>
  <c r="P1426" i="14" s="1"/>
  <c r="P934" i="14" a="1"/>
  <c r="P934" i="14" s="1"/>
  <c r="P803" i="14" a="1"/>
  <c r="P803" i="14" s="1"/>
  <c r="P696" i="14" a="1"/>
  <c r="P696" i="14" s="1"/>
  <c r="P662" i="14" a="1"/>
  <c r="P662" i="14" s="1"/>
  <c r="P966" i="14" a="1"/>
  <c r="P966" i="14" s="1"/>
  <c r="P271" i="14" a="1"/>
  <c r="P271" i="14" s="1"/>
  <c r="P788" i="14" a="1"/>
  <c r="P788" i="14" s="1"/>
  <c r="P332" i="14" a="1"/>
  <c r="P332" i="14" s="1"/>
  <c r="P1433" i="14" a="1"/>
  <c r="P1433" i="14" s="1"/>
  <c r="P857" i="14" a="1"/>
  <c r="P857" i="14" s="1"/>
  <c r="P516" i="14" a="1"/>
  <c r="P516" i="14" s="1"/>
  <c r="P442" i="14" a="1"/>
  <c r="P442" i="14" s="1"/>
  <c r="P21" i="14" a="1"/>
  <c r="P21" i="14" s="1"/>
  <c r="P98" i="14" a="1"/>
  <c r="P98" i="14" s="1"/>
  <c r="P168" i="14" a="1"/>
  <c r="P168" i="14" s="1"/>
  <c r="P42" i="14" a="1"/>
  <c r="P42" i="14" s="1"/>
  <c r="P124" i="14" a="1"/>
  <c r="P124" i="14" s="1"/>
  <c r="P201" i="14" a="1"/>
  <c r="P201" i="14" s="1"/>
  <c r="P62" i="14" a="1"/>
  <c r="P62" i="14" s="1"/>
  <c r="P118" i="14" a="1"/>
  <c r="P118" i="14" s="1"/>
  <c r="P182" i="14" a="1"/>
  <c r="P182" i="14" s="1"/>
  <c r="P37" i="14" a="1"/>
  <c r="P37" i="14" s="1"/>
  <c r="P94" i="14" a="1"/>
  <c r="P94" i="14" s="1"/>
  <c r="P145" i="14" a="1"/>
  <c r="P145" i="14" s="1"/>
  <c r="P196" i="14" a="1"/>
  <c r="P196" i="14" s="1"/>
  <c r="P82" i="14" a="1"/>
  <c r="P82" i="14" s="1"/>
  <c r="P146" i="14" a="1"/>
  <c r="P146" i="14" s="1"/>
  <c r="P12" i="14" a="1"/>
  <c r="P12" i="14" s="1"/>
  <c r="P70" i="14" a="1"/>
  <c r="P70" i="14" s="1"/>
  <c r="P147" i="14" a="1"/>
  <c r="P147" i="14" s="1"/>
  <c r="P39" i="14" a="1"/>
  <c r="P39" i="14" s="1"/>
  <c r="P53" i="14" a="1"/>
  <c r="P53" i="14" s="1"/>
  <c r="P116" i="14" a="1"/>
  <c r="P116" i="14" s="1"/>
  <c r="P167" i="14" a="1"/>
  <c r="P167" i="14" s="1"/>
  <c r="P160" i="14" a="1"/>
  <c r="P160" i="14" s="1"/>
  <c r="P154" i="14" a="1"/>
  <c r="P154" i="14" s="1"/>
  <c r="P1332" i="14" a="1"/>
  <c r="P1332" i="14" s="1"/>
  <c r="P1351" i="14" a="1"/>
  <c r="P1351" i="14" s="1"/>
  <c r="P792" i="14" a="1"/>
  <c r="P792" i="14" s="1"/>
  <c r="P748" i="14" a="1"/>
  <c r="P748" i="14" s="1"/>
  <c r="P290" i="14" a="1"/>
  <c r="P290" i="14" s="1"/>
  <c r="P1423" i="14" a="1"/>
  <c r="P1423" i="14" s="1"/>
  <c r="P860" i="14" a="1"/>
  <c r="P860" i="14" s="1"/>
  <c r="P489" i="14" a="1"/>
  <c r="P489" i="14" s="1"/>
  <c r="P330" i="14" a="1"/>
  <c r="P330" i="14" s="1"/>
  <c r="P28" i="14" a="1"/>
  <c r="P28" i="14" s="1"/>
  <c r="P104" i="14" a="1"/>
  <c r="P104" i="14" s="1"/>
  <c r="P175" i="14" a="1"/>
  <c r="P175" i="14" s="1"/>
  <c r="P48" i="14" a="1"/>
  <c r="P48" i="14" s="1"/>
  <c r="P131" i="14" a="1"/>
  <c r="P131" i="14" s="1"/>
  <c r="P16" i="14" a="1"/>
  <c r="P16" i="14" s="1"/>
  <c r="P68" i="14" a="1"/>
  <c r="P68" i="14" s="1"/>
  <c r="P125" i="14" a="1"/>
  <c r="P125" i="14" s="1"/>
  <c r="P189" i="14" a="1"/>
  <c r="P189" i="14" s="1"/>
  <c r="P50" i="14" a="1"/>
  <c r="P50" i="14" s="1"/>
  <c r="P100" i="14" a="1"/>
  <c r="P100" i="14" s="1"/>
  <c r="P151" i="14" a="1"/>
  <c r="P151" i="14" s="1"/>
  <c r="P203" i="14" a="1"/>
  <c r="P203" i="14" s="1"/>
  <c r="P88" i="14" a="1"/>
  <c r="P88" i="14" s="1"/>
  <c r="P152" i="14" a="1"/>
  <c r="P152" i="14" s="1"/>
  <c r="P19" i="14" a="1"/>
  <c r="P19" i="14" s="1"/>
  <c r="P76" i="14" a="1"/>
  <c r="P76" i="14" s="1"/>
  <c r="P153" i="14" a="1"/>
  <c r="P153" i="14" s="1"/>
  <c r="P46" i="14" a="1"/>
  <c r="P46" i="14" s="1"/>
  <c r="P66" i="14" a="1"/>
  <c r="P66" i="14" s="1"/>
  <c r="P123" i="14" a="1"/>
  <c r="P123" i="14" s="1"/>
  <c r="P174" i="14" a="1"/>
  <c r="P174" i="14" s="1"/>
  <c r="P65" i="14" a="1"/>
  <c r="P65" i="14" s="1"/>
  <c r="P186" i="14" a="1"/>
  <c r="P186" i="14" s="1"/>
  <c r="P733" i="14" a="1"/>
  <c r="P733" i="14" s="1"/>
  <c r="P691" i="14" a="1"/>
  <c r="P691" i="14" s="1"/>
  <c r="P237" i="14" a="1"/>
  <c r="P237" i="14" s="1"/>
  <c r="P1302" i="14" a="1"/>
  <c r="P1302" i="14" s="1"/>
  <c r="P715" i="14" a="1"/>
  <c r="P715" i="14" s="1"/>
  <c r="P496" i="14" a="1"/>
  <c r="P496" i="14" s="1"/>
  <c r="P348" i="14" a="1"/>
  <c r="P348" i="14" s="1"/>
  <c r="P35" i="14" a="1"/>
  <c r="P35" i="14" s="1"/>
  <c r="P111" i="14" a="1"/>
  <c r="P111" i="14" s="1"/>
  <c r="P181" i="14" a="1"/>
  <c r="P181" i="14" s="1"/>
  <c r="P54" i="14" a="1"/>
  <c r="P54" i="14" s="1"/>
  <c r="P137" i="14" a="1"/>
  <c r="P137" i="14" s="1"/>
  <c r="P23" i="14" a="1"/>
  <c r="P23" i="14" s="1"/>
  <c r="P74" i="14" a="1"/>
  <c r="P74" i="14" s="1"/>
  <c r="P138" i="14" a="1"/>
  <c r="P138" i="14" s="1"/>
  <c r="P202" i="14" a="1"/>
  <c r="P202" i="14" s="1"/>
  <c r="P56" i="14" a="1"/>
  <c r="P56" i="14" s="1"/>
  <c r="P107" i="14" a="1"/>
  <c r="P107" i="14" s="1"/>
  <c r="P158" i="14" a="1"/>
  <c r="P158" i="14" s="1"/>
  <c r="P11" i="14" a="1"/>
  <c r="P11" i="14" s="1"/>
  <c r="P95" i="14" a="1"/>
  <c r="P95" i="14" s="1"/>
  <c r="P159" i="14" a="1"/>
  <c r="P159" i="14" s="1"/>
  <c r="P26" i="14" a="1"/>
  <c r="P26" i="14" s="1"/>
  <c r="P83" i="14" a="1"/>
  <c r="P83" i="14" s="1"/>
  <c r="P172" i="14" a="1"/>
  <c r="P172" i="14" s="1"/>
  <c r="P52" i="14" a="1"/>
  <c r="P52" i="14" s="1"/>
  <c r="P78" i="14" a="1"/>
  <c r="P78" i="14" s="1"/>
  <c r="P129" i="14" a="1"/>
  <c r="P129" i="14" s="1"/>
  <c r="P180" i="14" a="1"/>
  <c r="P180" i="14" s="1"/>
  <c r="P166" i="14" a="1"/>
  <c r="P166" i="14" s="1"/>
  <c r="P90" i="14" a="1"/>
  <c r="P90" i="14" s="1"/>
  <c r="P217" i="14" a="1"/>
  <c r="P217" i="14" s="1"/>
  <c r="P1331" i="14" a="1"/>
  <c r="P1331" i="14" s="1"/>
  <c r="P1347" i="14" a="1"/>
  <c r="P1347" i="14" s="1"/>
  <c r="P588" i="14" a="1"/>
  <c r="P588" i="14" s="1"/>
  <c r="P605" i="14" a="1"/>
  <c r="P605" i="14" s="1"/>
  <c r="P1275" i="14" a="1"/>
  <c r="P1275" i="14" s="1"/>
  <c r="P688" i="14" a="1"/>
  <c r="P688" i="14" s="1"/>
  <c r="P543" i="14" a="1"/>
  <c r="P543" i="14" s="1"/>
  <c r="P306" i="14" a="1"/>
  <c r="P306" i="14" s="1"/>
  <c r="P41" i="14" a="1"/>
  <c r="P41" i="14" s="1"/>
  <c r="P117" i="14" a="1"/>
  <c r="P117" i="14" s="1"/>
  <c r="P194" i="14" a="1"/>
  <c r="P194" i="14" s="1"/>
  <c r="P61" i="14" a="1"/>
  <c r="P61" i="14" s="1"/>
  <c r="P156" i="14" a="1"/>
  <c r="P156" i="14" s="1"/>
  <c r="P30" i="14" a="1"/>
  <c r="P30" i="14" s="1"/>
  <c r="P80" i="14" a="1"/>
  <c r="P80" i="14" s="1"/>
  <c r="P144" i="14" a="1"/>
  <c r="P144" i="14" s="1"/>
  <c r="P204" i="14" a="1"/>
  <c r="P204" i="14" s="1"/>
  <c r="P63" i="14" a="1"/>
  <c r="P63" i="14" s="1"/>
  <c r="P113" i="14" a="1"/>
  <c r="P113" i="14" s="1"/>
  <c r="P164" i="14" a="1"/>
  <c r="P164" i="14" s="1"/>
  <c r="P18" i="14" a="1"/>
  <c r="P18" i="14" s="1"/>
  <c r="P101" i="14" a="1"/>
  <c r="P101" i="14" s="1"/>
  <c r="P165" i="14" a="1"/>
  <c r="P165" i="14" s="1"/>
  <c r="P32" i="14" a="1"/>
  <c r="P32" i="14" s="1"/>
  <c r="P89" i="14" a="1"/>
  <c r="P89" i="14" s="1"/>
  <c r="P179" i="14" a="1"/>
  <c r="P179" i="14" s="1"/>
  <c r="P14" i="14" a="1"/>
  <c r="P14" i="14" s="1"/>
  <c r="P84" i="14" a="1"/>
  <c r="P84" i="14" s="1"/>
  <c r="P135" i="14" a="1"/>
  <c r="P135" i="14" s="1"/>
  <c r="P187" i="14" a="1"/>
  <c r="P187" i="14" s="1"/>
  <c r="P71" i="14" a="1"/>
  <c r="P71" i="14" s="1"/>
  <c r="P141" i="14" a="1"/>
  <c r="P141" i="14" s="1"/>
  <c r="P1352" i="14" a="1"/>
  <c r="P1352" i="14" s="1"/>
  <c r="P1268" i="14" a="1"/>
  <c r="P1268" i="14" s="1"/>
  <c r="P1282" i="14" a="1"/>
  <c r="P1282" i="14" s="1"/>
  <c r="P424" i="14" a="1"/>
  <c r="P424" i="14" s="1"/>
  <c r="P606" i="14" a="1"/>
  <c r="P606" i="14" s="1"/>
  <c r="P1305" i="14" a="1"/>
  <c r="P1305" i="14" s="1"/>
  <c r="P699" i="14" a="1"/>
  <c r="P699" i="14" s="1"/>
  <c r="P504" i="14" a="1"/>
  <c r="P504" i="14" s="1"/>
  <c r="P369" i="14" a="1"/>
  <c r="P369" i="14" s="1"/>
  <c r="P60" i="14" a="1"/>
  <c r="P60" i="14" s="1"/>
  <c r="P136" i="14" a="1"/>
  <c r="P136" i="14" s="1"/>
  <c r="P200" i="14" a="1"/>
  <c r="P200" i="14" s="1"/>
  <c r="P73" i="14" a="1"/>
  <c r="P73" i="14" s="1"/>
  <c r="P163" i="14" a="1"/>
  <c r="P163" i="14" s="1"/>
  <c r="P36" i="14" a="1"/>
  <c r="P36" i="14" s="1"/>
  <c r="P86" i="14" a="1"/>
  <c r="P86" i="14" s="1"/>
  <c r="P150" i="14" a="1"/>
  <c r="P150" i="14" s="1"/>
  <c r="P10" i="14" a="1"/>
  <c r="P10" i="14" s="1"/>
  <c r="P69" i="14" a="1"/>
  <c r="P69" i="14" s="1"/>
  <c r="P119" i="14" a="1"/>
  <c r="P119" i="14" s="1"/>
  <c r="P171" i="14" a="1"/>
  <c r="P171" i="14" s="1"/>
  <c r="P25" i="14" a="1"/>
  <c r="P25" i="14" s="1"/>
  <c r="P114" i="14" a="1"/>
  <c r="P114" i="14" s="1"/>
  <c r="P178" i="14" a="1"/>
  <c r="P178" i="14" s="1"/>
  <c r="P38" i="14" a="1"/>
  <c r="P38" i="14" s="1"/>
  <c r="P108" i="14" a="1"/>
  <c r="P108" i="14" s="1"/>
  <c r="P185" i="14" a="1"/>
  <c r="P185" i="14" s="1"/>
  <c r="P20" i="14" a="1"/>
  <c r="P20" i="14" s="1"/>
  <c r="P91" i="14" a="1"/>
  <c r="P91" i="14" s="1"/>
  <c r="P142" i="14" a="1"/>
  <c r="P142" i="14" s="1"/>
  <c r="P193" i="14" a="1"/>
  <c r="P193" i="14" s="1"/>
  <c r="P122" i="14" a="1"/>
  <c r="P122" i="14" s="1"/>
  <c r="P192" i="14" a="1"/>
  <c r="P192" i="14" s="1"/>
  <c r="P1328" i="14" a="1"/>
  <c r="P1328" i="14" s="1"/>
  <c r="P1272" i="14" a="1"/>
  <c r="P1272" i="14" s="1"/>
  <c r="P1385" i="14" a="1"/>
  <c r="P1385" i="14" s="1"/>
  <c r="P394" i="14" a="1"/>
  <c r="P394" i="14" s="1"/>
  <c r="P1417" i="14" a="1"/>
  <c r="P1417" i="14" s="1"/>
  <c r="P523" i="14" a="1"/>
  <c r="P523" i="14" s="1"/>
  <c r="P890" i="14" a="1"/>
  <c r="P890" i="14" s="1"/>
  <c r="P716" i="14" a="1"/>
  <c r="P716" i="14" s="1"/>
  <c r="P453" i="14" a="1"/>
  <c r="P453" i="14" s="1"/>
  <c r="P359" i="14" a="1"/>
  <c r="P359" i="14" s="1"/>
  <c r="P72" i="14" a="1"/>
  <c r="P72" i="14" s="1"/>
  <c r="P143" i="14" a="1"/>
  <c r="P143" i="14" s="1"/>
  <c r="P9" i="14" a="1"/>
  <c r="P9" i="14" s="1"/>
  <c r="P92" i="14" a="1"/>
  <c r="P92" i="14" s="1"/>
  <c r="P169" i="14" a="1"/>
  <c r="P169" i="14" s="1"/>
  <c r="P43" i="14" a="1"/>
  <c r="P43" i="14" s="1"/>
  <c r="P93" i="14" a="1"/>
  <c r="P93" i="14" s="1"/>
  <c r="P157" i="14" a="1"/>
  <c r="P157" i="14" s="1"/>
  <c r="P17" i="14" a="1"/>
  <c r="P17" i="14" s="1"/>
  <c r="P75" i="14" a="1"/>
  <c r="P75" i="14" s="1"/>
  <c r="P126" i="14" a="1"/>
  <c r="P126" i="14" s="1"/>
  <c r="P177" i="14" a="1"/>
  <c r="P177" i="14" s="1"/>
  <c r="P44" i="14" a="1"/>
  <c r="P44" i="14" s="1"/>
  <c r="P120" i="14" a="1"/>
  <c r="P120" i="14" s="1"/>
  <c r="P184" i="14" a="1"/>
  <c r="P184" i="14" s="1"/>
  <c r="P45" i="14" a="1"/>
  <c r="P45" i="14" s="1"/>
  <c r="P115" i="14" a="1"/>
  <c r="P115" i="14" s="1"/>
  <c r="P13" i="14" a="1"/>
  <c r="P13" i="14" s="1"/>
  <c r="P34" i="14" a="1"/>
  <c r="P34" i="14" s="1"/>
  <c r="P97" i="14" a="1"/>
  <c r="P97" i="14" s="1"/>
  <c r="P148" i="14" a="1"/>
  <c r="P148" i="14" s="1"/>
  <c r="P199" i="14" a="1"/>
  <c r="P199" i="14" s="1"/>
  <c r="P173" i="14" a="1"/>
  <c r="P173" i="14" s="1"/>
  <c r="P96" i="14" a="1"/>
  <c r="P96" i="14" s="1"/>
  <c r="P1370" i="14" a="1"/>
  <c r="P1370" i="14" s="1"/>
  <c r="P1326" i="14" a="1"/>
  <c r="P1326" i="14" s="1"/>
  <c r="P1325" i="14" a="1"/>
  <c r="P1325" i="14" s="1"/>
  <c r="P301" i="14" a="1"/>
  <c r="P301" i="14" s="1"/>
  <c r="P1391" i="14" a="1"/>
  <c r="P1391" i="14" s="1"/>
  <c r="P498" i="14" a="1"/>
  <c r="P498" i="14" s="1"/>
  <c r="P1264" i="14" a="1"/>
  <c r="P1264" i="14" s="1"/>
  <c r="P943" i="14" a="1"/>
  <c r="P943" i="14" s="1"/>
  <c r="P628" i="14" a="1"/>
  <c r="P628" i="14" s="1"/>
  <c r="P378" i="14" a="1"/>
  <c r="P378" i="14" s="1"/>
  <c r="P207" i="14" a="1"/>
  <c r="P207" i="14" s="1"/>
  <c r="P79" i="14" a="1"/>
  <c r="P79" i="14" s="1"/>
  <c r="P149" i="14" a="1"/>
  <c r="P149" i="14" s="1"/>
  <c r="P22" i="14" a="1"/>
  <c r="P22" i="14" s="1"/>
  <c r="P99" i="14" a="1"/>
  <c r="P99" i="14" s="1"/>
  <c r="P188" i="14" a="1"/>
  <c r="P188" i="14" s="1"/>
  <c r="P49" i="14" a="1"/>
  <c r="P49" i="14" s="1"/>
  <c r="P106" i="14" a="1"/>
  <c r="P106" i="14" s="1"/>
  <c r="P170" i="14" a="1"/>
  <c r="P170" i="14" s="1"/>
  <c r="P24" i="14" a="1"/>
  <c r="P24" i="14" s="1"/>
  <c r="P81" i="14" a="1"/>
  <c r="P81" i="14" s="1"/>
  <c r="P132" i="14" a="1"/>
  <c r="P132" i="14" s="1"/>
  <c r="P183" i="14" a="1"/>
  <c r="P183" i="14" s="1"/>
  <c r="P51" i="14" a="1"/>
  <c r="P51" i="14" s="1"/>
  <c r="P127" i="14" a="1"/>
  <c r="P127" i="14" s="1"/>
  <c r="P191" i="14" a="1"/>
  <c r="P191" i="14" s="1"/>
  <c r="P58" i="14" a="1"/>
  <c r="P58" i="14" s="1"/>
  <c r="P121" i="14" a="1"/>
  <c r="P121" i="14" s="1"/>
  <c r="P27" i="14" a="1"/>
  <c r="P27" i="14" s="1"/>
  <c r="P40" i="14" a="1"/>
  <c r="P40" i="14" s="1"/>
  <c r="P103" i="14" a="1"/>
  <c r="P103" i="14" s="1"/>
  <c r="P155" i="14" a="1"/>
  <c r="P155" i="14" s="1"/>
  <c r="P59" i="14" a="1"/>
  <c r="P59" i="14" s="1"/>
  <c r="P77" i="14" a="1"/>
  <c r="P77" i="14" s="1"/>
  <c r="P198" i="14" a="1"/>
  <c r="P198" i="14" s="1"/>
  <c r="P1309" i="14" a="1"/>
  <c r="P1309" i="14" s="1"/>
  <c r="P1254" i="14" a="1"/>
  <c r="P1254" i="14" s="1"/>
  <c r="P1403" i="14" a="1"/>
  <c r="P1403" i="14" s="1"/>
  <c r="P134" i="14" a="1"/>
  <c r="P134" i="14" s="1"/>
  <c r="P1255" i="14" a="1"/>
  <c r="P1255" i="14" s="1"/>
  <c r="P244" i="14" a="1"/>
  <c r="P244" i="14" s="1"/>
  <c r="P1372" i="14" a="1"/>
  <c r="P1372" i="14" s="1"/>
  <c r="P304" i="14" a="1"/>
  <c r="P304" i="14" s="1"/>
  <c r="P942" i="14" a="1"/>
  <c r="P942" i="14" s="1"/>
  <c r="P366" i="14" a="1"/>
  <c r="P366" i="14" s="1"/>
  <c r="P785" i="14" a="1"/>
  <c r="P785" i="14" s="1"/>
  <c r="P607" i="14" a="1"/>
  <c r="P607" i="14" s="1"/>
  <c r="P408" i="14" a="1"/>
  <c r="P408" i="14" s="1"/>
  <c r="P15" i="14" a="1"/>
  <c r="P15" i="14" s="1"/>
  <c r="P85" i="14" a="1"/>
  <c r="P85" i="14" s="1"/>
  <c r="P162" i="14" a="1"/>
  <c r="P162" i="14" s="1"/>
  <c r="P29" i="14" a="1"/>
  <c r="P29" i="14" s="1"/>
  <c r="P105" i="14" a="1"/>
  <c r="P105" i="14" s="1"/>
  <c r="P195" i="14" a="1"/>
  <c r="P195" i="14" s="1"/>
  <c r="P55" i="14" a="1"/>
  <c r="P55" i="14" s="1"/>
  <c r="P112" i="14" a="1"/>
  <c r="P112" i="14" s="1"/>
  <c r="P176" i="14" a="1"/>
  <c r="P176" i="14" s="1"/>
  <c r="P31" i="14" a="1"/>
  <c r="P31" i="14" s="1"/>
  <c r="P87" i="14" a="1"/>
  <c r="P87" i="14" s="1"/>
  <c r="P139" i="14" a="1"/>
  <c r="P139" i="14" s="1"/>
  <c r="P190" i="14" a="1"/>
  <c r="P190" i="14" s="1"/>
  <c r="P57" i="14" a="1"/>
  <c r="P57" i="14" s="1"/>
  <c r="P133" i="14" a="1"/>
  <c r="P133" i="14" s="1"/>
  <c r="P197" i="14" a="1"/>
  <c r="P197" i="14" s="1"/>
  <c r="P64" i="14" a="1"/>
  <c r="P64" i="14" s="1"/>
  <c r="P140" i="14" a="1"/>
  <c r="P140" i="14" s="1"/>
  <c r="P33" i="14" a="1"/>
  <c r="P33" i="14" s="1"/>
  <c r="P47" i="14" a="1"/>
  <c r="P47" i="14" s="1"/>
  <c r="P110" i="14" a="1"/>
  <c r="P110" i="14" s="1"/>
  <c r="P161" i="14" a="1"/>
  <c r="P161" i="14" s="1"/>
  <c r="P109" i="14" a="1"/>
  <c r="P109" i="14" s="1"/>
  <c r="P128" i="14" a="1"/>
  <c r="P128" i="14" s="1"/>
  <c r="P102" i="14" a="1"/>
  <c r="P102" i="14" s="1"/>
  <c r="P1376" i="14" a="1"/>
  <c r="P1376" i="14" s="1"/>
  <c r="P1188" i="14" a="1"/>
  <c r="P1188" i="14" s="1"/>
  <c r="P1055" i="14" a="1"/>
  <c r="P1055" i="14" s="1"/>
  <c r="P947" i="14" a="1"/>
  <c r="P947" i="14" s="1"/>
  <c r="O720" i="14"/>
  <c r="P720" i="14" a="1"/>
  <c r="P720" i="14" s="1"/>
  <c r="O596" i="14"/>
  <c r="P596" i="14" a="1"/>
  <c r="P596" i="14" s="1"/>
  <c r="O526" i="14"/>
  <c r="P526" i="14" a="1"/>
  <c r="P526" i="14" s="1"/>
  <c r="O432" i="14"/>
  <c r="P432" i="14" a="1"/>
  <c r="P432" i="14" s="1"/>
  <c r="P231" i="14" a="1"/>
  <c r="P231" i="14" s="1"/>
  <c r="O1167" i="14"/>
  <c r="P1167" i="14" a="1"/>
  <c r="P1167" i="14" s="1"/>
  <c r="P1039" i="14" a="1"/>
  <c r="P1039" i="14" s="1"/>
  <c r="O955" i="14"/>
  <c r="P955" i="14" a="1"/>
  <c r="P955" i="14" s="1"/>
  <c r="O842" i="14"/>
  <c r="P842" i="14" a="1"/>
  <c r="P842" i="14" s="1"/>
  <c r="O740" i="14"/>
  <c r="P740" i="14" a="1"/>
  <c r="P740" i="14" s="1"/>
  <c r="O524" i="14"/>
  <c r="P524" i="14" a="1"/>
  <c r="P524" i="14" s="1"/>
  <c r="P416" i="14" a="1"/>
  <c r="P416" i="14" s="1"/>
  <c r="O227" i="14"/>
  <c r="P227" i="14" a="1"/>
  <c r="P227" i="14" s="1"/>
  <c r="P809" i="14" a="1"/>
  <c r="P809" i="14" s="1"/>
  <c r="O668" i="14"/>
  <c r="P668" i="14" a="1"/>
  <c r="P668" i="14" s="1"/>
  <c r="O497" i="14"/>
  <c r="P497" i="14" a="1"/>
  <c r="P497" i="14" s="1"/>
  <c r="P443" i="14" a="1"/>
  <c r="P443" i="14" s="1"/>
  <c r="P288" i="14" a="1"/>
  <c r="P288" i="14" s="1"/>
  <c r="P1106" i="14" a="1"/>
  <c r="P1106" i="14" s="1"/>
  <c r="O962" i="14"/>
  <c r="P962" i="14" a="1"/>
  <c r="P962" i="14" s="1"/>
  <c r="O907" i="14"/>
  <c r="P907" i="14" a="1"/>
  <c r="P907" i="14" s="1"/>
  <c r="O804" i="14"/>
  <c r="P804" i="14" a="1"/>
  <c r="P804" i="14" s="1"/>
  <c r="O585" i="14"/>
  <c r="P585" i="14" a="1"/>
  <c r="P585" i="14" s="1"/>
  <c r="P502" i="14" a="1"/>
  <c r="P502" i="14" s="1"/>
  <c r="O302" i="14"/>
  <c r="P302" i="14" a="1"/>
  <c r="P302" i="14" s="1"/>
  <c r="P279" i="14" a="1"/>
  <c r="P279" i="14" s="1"/>
  <c r="P858" i="14" a="1"/>
  <c r="P858" i="14" s="1"/>
  <c r="P1295" i="14" a="1"/>
  <c r="P1295" i="14" s="1"/>
  <c r="P1010" i="14" a="1"/>
  <c r="P1010" i="14" s="1"/>
  <c r="O881" i="14"/>
  <c r="P881" i="14" a="1"/>
  <c r="P881" i="14" s="1"/>
  <c r="O778" i="14"/>
  <c r="P778" i="14" a="1"/>
  <c r="P778" i="14" s="1"/>
  <c r="O587" i="14"/>
  <c r="P587" i="14" a="1"/>
  <c r="P587" i="14" s="1"/>
  <c r="P336" i="14" a="1"/>
  <c r="P336" i="14" s="1"/>
  <c r="O258" i="14"/>
  <c r="P258" i="14" a="1"/>
  <c r="P258" i="14" s="1"/>
  <c r="O430" i="14"/>
  <c r="P430" i="14" a="1"/>
  <c r="P430" i="14" s="1"/>
  <c r="O285" i="14"/>
  <c r="P285" i="14" a="1"/>
  <c r="P285" i="14" s="1"/>
  <c r="O1187" i="14"/>
  <c r="P1187" i="14" a="1"/>
  <c r="P1187" i="14" s="1"/>
  <c r="P1131" i="14" a="1"/>
  <c r="P1131" i="14" s="1"/>
  <c r="P990" i="14" a="1"/>
  <c r="P990" i="14" s="1"/>
  <c r="O770" i="14"/>
  <c r="P770" i="14" a="1"/>
  <c r="P770" i="14" s="1"/>
  <c r="O678" i="14"/>
  <c r="P678" i="14" a="1"/>
  <c r="P678" i="14" s="1"/>
  <c r="O615" i="14"/>
  <c r="P615" i="14" a="1"/>
  <c r="P615" i="14" s="1"/>
  <c r="P418" i="14" a="1"/>
  <c r="P418" i="14" s="1"/>
  <c r="P344" i="14" a="1"/>
  <c r="P344" i="14" s="1"/>
  <c r="O223" i="14"/>
  <c r="P223" i="14" a="1"/>
  <c r="P223" i="14" s="1"/>
  <c r="P1104" i="14" a="1"/>
  <c r="P1104" i="14" s="1"/>
  <c r="O1032" i="14"/>
  <c r="P1032" i="14" a="1"/>
  <c r="P1032" i="14" s="1"/>
  <c r="O938" i="14"/>
  <c r="P938" i="14" a="1"/>
  <c r="P938" i="14" s="1"/>
  <c r="O692" i="14"/>
  <c r="P692" i="14" a="1"/>
  <c r="P692" i="14" s="1"/>
  <c r="O582" i="14"/>
  <c r="P582" i="14" a="1"/>
  <c r="P582" i="14" s="1"/>
  <c r="P548" i="14" a="1"/>
  <c r="P548" i="14" s="1"/>
  <c r="O464" i="14"/>
  <c r="P464" i="14" a="1"/>
  <c r="P464" i="14" s="1"/>
  <c r="O212" i="14"/>
  <c r="P212" i="14" a="1"/>
  <c r="P212" i="14" s="1"/>
  <c r="P1125" i="14" a="1"/>
  <c r="P1125" i="14" s="1"/>
  <c r="O995" i="14"/>
  <c r="P995" i="14" a="1"/>
  <c r="P995" i="14" s="1"/>
  <c r="O908" i="14"/>
  <c r="P908" i="14" a="1"/>
  <c r="P908" i="14" s="1"/>
  <c r="O673" i="14"/>
  <c r="P673" i="14" a="1"/>
  <c r="P673" i="14" s="1"/>
  <c r="O573" i="14"/>
  <c r="P573" i="14" a="1"/>
  <c r="P573" i="14" s="1"/>
  <c r="O563" i="14"/>
  <c r="P563" i="14" a="1"/>
  <c r="P563" i="14" s="1"/>
  <c r="O305" i="14"/>
  <c r="P305" i="14" a="1"/>
  <c r="P305" i="14" s="1"/>
  <c r="P252" i="14" a="1"/>
  <c r="P252" i="14" s="1"/>
  <c r="P1224" i="14" a="1"/>
  <c r="P1224" i="14" s="1"/>
  <c r="O1001" i="14"/>
  <c r="P1001" i="14" a="1"/>
  <c r="P1001" i="14" s="1"/>
  <c r="O939" i="14"/>
  <c r="P939" i="14" a="1"/>
  <c r="P939" i="14" s="1"/>
  <c r="O839" i="14"/>
  <c r="P839" i="14" a="1"/>
  <c r="P839" i="14" s="1"/>
  <c r="O646" i="14"/>
  <c r="P646" i="14" a="1"/>
  <c r="P646" i="14" s="1"/>
  <c r="O480" i="14"/>
  <c r="P480" i="14" a="1"/>
  <c r="P480" i="14" s="1"/>
  <c r="O448" i="14"/>
  <c r="P448" i="14" a="1"/>
  <c r="P448" i="14" s="1"/>
  <c r="P220" i="14" a="1"/>
  <c r="P220" i="14" s="1"/>
  <c r="O800" i="14"/>
  <c r="P800" i="14" a="1"/>
  <c r="P800" i="14" s="1"/>
  <c r="O664" i="14"/>
  <c r="P664" i="14" a="1"/>
  <c r="P664" i="14" s="1"/>
  <c r="P544" i="14" a="1"/>
  <c r="P544" i="14" s="1"/>
  <c r="P331" i="14" a="1"/>
  <c r="P331" i="14" s="1"/>
  <c r="P281" i="14" a="1"/>
  <c r="P281" i="14" s="1"/>
  <c r="P1299" i="14" a="1"/>
  <c r="P1299" i="14" s="1"/>
  <c r="P1156" i="14" a="1"/>
  <c r="P1156" i="14" s="1"/>
  <c r="P967" i="14" a="1"/>
  <c r="P967" i="14" s="1"/>
  <c r="O935" i="14"/>
  <c r="P935" i="14" a="1"/>
  <c r="P935" i="14" s="1"/>
  <c r="O676" i="14"/>
  <c r="P676" i="14" a="1"/>
  <c r="P676" i="14" s="1"/>
  <c r="O589" i="14"/>
  <c r="P589" i="14" a="1"/>
  <c r="P589" i="14" s="1"/>
  <c r="O511" i="14"/>
  <c r="P511" i="14" a="1"/>
  <c r="P511" i="14" s="1"/>
  <c r="O320" i="14"/>
  <c r="P320" i="14" a="1"/>
  <c r="P320" i="14" s="1"/>
  <c r="O257" i="14"/>
  <c r="P257" i="14" a="1"/>
  <c r="P257" i="14" s="1"/>
  <c r="N1057" i="13"/>
  <c r="N1054" i="13"/>
  <c r="D84" i="13"/>
  <c r="D108" i="13"/>
  <c r="N1300" i="13"/>
  <c r="D107" i="13"/>
  <c r="D89" i="13"/>
  <c r="N1197" i="13"/>
  <c r="D20" i="13"/>
  <c r="N926" i="13"/>
  <c r="D32" i="13"/>
  <c r="O1050" i="14"/>
  <c r="O564" i="14"/>
  <c r="O221" i="14"/>
  <c r="O1141" i="14"/>
  <c r="O353" i="14"/>
  <c r="O1121" i="14"/>
  <c r="O1191" i="14"/>
  <c r="O883" i="14"/>
  <c r="O469" i="14"/>
  <c r="O1284" i="14"/>
  <c r="O1135" i="14"/>
  <c r="O603" i="14"/>
  <c r="O336" i="14"/>
  <c r="O1068" i="14"/>
  <c r="O356" i="14"/>
  <c r="O1299" i="14"/>
  <c r="O1116" i="14"/>
  <c r="O970" i="14"/>
  <c r="O752" i="14"/>
  <c r="O473" i="14"/>
  <c r="O1242" i="14"/>
  <c r="O1155" i="14"/>
  <c r="O943" i="14"/>
  <c r="O652" i="14"/>
  <c r="O1330" i="14"/>
  <c r="O1081" i="14"/>
  <c r="O821" i="14"/>
  <c r="O1168" i="14"/>
  <c r="O1105" i="14"/>
  <c r="O1053" i="14"/>
  <c r="O890" i="14"/>
  <c r="O748" i="14"/>
  <c r="O552" i="14"/>
  <c r="O276" i="14"/>
  <c r="O922" i="14"/>
  <c r="O590" i="14"/>
  <c r="O452" i="14"/>
  <c r="O1125" i="14"/>
  <c r="O1036" i="14"/>
  <c r="O763" i="14"/>
  <c r="O417" i="14"/>
  <c r="O246" i="14"/>
  <c r="O999" i="14"/>
  <c r="O727" i="14"/>
  <c r="O724" i="14"/>
  <c r="O492" i="14"/>
  <c r="O207" i="14"/>
  <c r="O864" i="14"/>
  <c r="O608" i="14"/>
  <c r="O376" i="14"/>
  <c r="O867" i="14"/>
  <c r="O657" i="14"/>
  <c r="O264" i="14"/>
  <c r="O1288" i="14"/>
  <c r="O1106" i="14"/>
  <c r="O894" i="14"/>
  <c r="O617" i="14"/>
  <c r="O284" i="14"/>
  <c r="O1088" i="14"/>
  <c r="O1097" i="14"/>
  <c r="O1226" i="14"/>
  <c r="O1098" i="14"/>
  <c r="O809" i="14"/>
  <c r="O1200" i="14"/>
  <c r="O1083" i="14"/>
  <c r="O859" i="14"/>
  <c r="O323" i="14"/>
  <c r="O1166" i="14"/>
  <c r="O1151" i="14"/>
  <c r="O793" i="14"/>
  <c r="O629" i="14"/>
  <c r="O249" i="14"/>
  <c r="O157" i="14"/>
  <c r="O1320" i="14"/>
  <c r="O1091" i="14"/>
  <c r="O972" i="14"/>
  <c r="O717" i="14"/>
  <c r="O549" i="14"/>
  <c r="O278" i="14"/>
  <c r="O131" i="14"/>
  <c r="O878" i="14"/>
  <c r="O787" i="14"/>
  <c r="O341" i="14"/>
  <c r="O244" i="14"/>
  <c r="O90" i="14"/>
  <c r="O252" i="14"/>
  <c r="O196" i="14"/>
  <c r="O104" i="14"/>
  <c r="O841" i="14"/>
  <c r="O1086" i="14"/>
  <c r="O1154" i="14"/>
  <c r="O1343" i="14"/>
  <c r="O1143" i="14"/>
  <c r="O502" i="14"/>
  <c r="O1118" i="14"/>
  <c r="O377" i="14"/>
  <c r="O1230" i="14"/>
  <c r="O1029" i="14"/>
  <c r="O659" i="14"/>
  <c r="O230" i="14"/>
  <c r="O1243" i="14"/>
  <c r="O1131" i="14"/>
  <c r="O566" i="14"/>
  <c r="O283" i="14"/>
  <c r="O1318" i="14"/>
  <c r="O1144" i="14"/>
  <c r="O576" i="14"/>
  <c r="O1337" i="14"/>
  <c r="O1185" i="14"/>
  <c r="O1137" i="14"/>
  <c r="O777" i="14"/>
  <c r="O311" i="14"/>
  <c r="O1165" i="14"/>
  <c r="O1102" i="14"/>
  <c r="O479" i="14"/>
  <c r="O1195" i="14"/>
  <c r="O1122" i="14"/>
  <c r="O873" i="14"/>
  <c r="O395" i="14"/>
  <c r="O210" i="14"/>
  <c r="O382" i="14"/>
  <c r="O333" i="14"/>
  <c r="O281" i="14"/>
  <c r="O1246" i="14"/>
  <c r="O1099" i="14"/>
  <c r="O931" i="14"/>
  <c r="O700" i="14"/>
  <c r="O583" i="14"/>
  <c r="O418" i="14"/>
  <c r="O404" i="14"/>
  <c r="O107" i="14"/>
  <c r="O1045" i="14"/>
  <c r="O371" i="14"/>
  <c r="O82" i="14"/>
  <c r="O263" i="14"/>
  <c r="O80" i="14"/>
  <c r="O321" i="14"/>
  <c r="O544" i="14"/>
  <c r="O454" i="14"/>
  <c r="O888" i="14"/>
  <c r="O407" i="14"/>
  <c r="O86" i="14"/>
  <c r="O1232" i="14"/>
  <c r="O1139" i="14"/>
  <c r="O1281" i="14"/>
  <c r="O1156" i="14"/>
  <c r="O921" i="14"/>
  <c r="O474" i="14"/>
  <c r="O225" i="14"/>
  <c r="O1229" i="14"/>
  <c r="O1023" i="14"/>
  <c r="O689" i="14"/>
  <c r="O158" i="14"/>
  <c r="O1216" i="14"/>
  <c r="O1123" i="14"/>
  <c r="O817" i="14"/>
  <c r="O509" i="14"/>
  <c r="O1245" i="14"/>
  <c r="O1103" i="14"/>
  <c r="O951" i="14"/>
  <c r="O607" i="14"/>
  <c r="O363" i="14"/>
  <c r="O1203" i="14"/>
  <c r="O1221" i="14"/>
  <c r="O1009" i="14"/>
  <c r="O814" i="14"/>
  <c r="O638" i="14"/>
  <c r="O318" i="14"/>
  <c r="O1175" i="14"/>
  <c r="O1007" i="14"/>
  <c r="O722" i="14"/>
  <c r="O405" i="14"/>
  <c r="O219" i="14"/>
  <c r="O1184" i="14"/>
  <c r="O1148" i="14"/>
  <c r="O947" i="14"/>
  <c r="O858" i="14"/>
  <c r="O642" i="14"/>
  <c r="O476" i="14"/>
  <c r="O401" i="14"/>
  <c r="O218" i="14"/>
  <c r="O765" i="14"/>
  <c r="O345" i="14"/>
  <c r="O273" i="14"/>
  <c r="O132" i="14"/>
  <c r="O1181" i="14"/>
  <c r="O1127" i="14"/>
  <c r="O1034" i="14"/>
  <c r="O588" i="14"/>
  <c r="O431" i="14"/>
  <c r="O247" i="14"/>
  <c r="O83" i="14"/>
  <c r="O827" i="14"/>
  <c r="O550" i="14"/>
  <c r="O442" i="14"/>
  <c r="O344" i="14"/>
  <c r="O226" i="14"/>
  <c r="O747" i="14"/>
  <c r="O455" i="14"/>
  <c r="O1164" i="14"/>
  <c r="O1178" i="14"/>
  <c r="O1140" i="14"/>
  <c r="O764" i="14"/>
  <c r="O387" i="14"/>
  <c r="O85" i="14"/>
  <c r="O1237" i="14"/>
  <c r="O1093" i="14"/>
  <c r="O647" i="14"/>
  <c r="O1059" i="14"/>
  <c r="O1010" i="14"/>
  <c r="O709" i="14"/>
  <c r="O543" i="14"/>
  <c r="O102" i="14"/>
  <c r="O1169" i="14"/>
  <c r="O1028" i="14"/>
  <c r="O848" i="14"/>
  <c r="O126" i="14"/>
  <c r="O1205" i="14"/>
  <c r="O1076" i="14"/>
  <c r="O795" i="14"/>
  <c r="O357" i="14"/>
  <c r="O1224" i="14"/>
  <c r="O1162" i="14"/>
  <c r="O1035" i="14"/>
  <c r="O682" i="14"/>
  <c r="O495" i="14"/>
  <c r="O231" i="14"/>
  <c r="O1199" i="14"/>
  <c r="O725" i="14"/>
  <c r="O384" i="14"/>
  <c r="O1215" i="14"/>
  <c r="O1046" i="14"/>
  <c r="O331" i="14"/>
  <c r="O208" i="14"/>
  <c r="O936" i="14"/>
  <c r="O755" i="14"/>
  <c r="O663" i="14"/>
  <c r="O449" i="14"/>
  <c r="O1231" i="14"/>
  <c r="O1061" i="14"/>
  <c r="O851" i="14"/>
  <c r="O560" i="14"/>
  <c r="O930" i="14"/>
  <c r="O578" i="14"/>
  <c r="O412" i="14"/>
  <c r="O213" i="14"/>
  <c r="O105" i="14"/>
  <c r="O269" i="14"/>
  <c r="O1295" i="14"/>
  <c r="O1065" i="14"/>
  <c r="O666" i="14"/>
  <c r="O592" i="14"/>
  <c r="O1152" i="14"/>
  <c r="O1163" i="14"/>
  <c r="O989" i="14"/>
  <c r="O1209" i="14"/>
  <c r="O974" i="14"/>
  <c r="O199" i="14"/>
  <c r="O1072" i="14"/>
  <c r="O898" i="14"/>
  <c r="O604" i="14"/>
  <c r="O1201" i="14"/>
  <c r="O1027" i="14"/>
  <c r="O776" i="14"/>
  <c r="O558" i="14"/>
  <c r="O77" i="14"/>
  <c r="O1170" i="14"/>
  <c r="O963" i="14"/>
  <c r="O784" i="14"/>
  <c r="O554" i="14"/>
  <c r="O295" i="14"/>
  <c r="O895" i="14"/>
  <c r="O1104" i="14"/>
  <c r="O1025" i="14"/>
  <c r="O834" i="14"/>
  <c r="O548" i="14"/>
  <c r="O1114" i="14"/>
  <c r="O1075" i="14"/>
  <c r="O979" i="14"/>
  <c r="O790" i="14"/>
  <c r="O291" i="14"/>
  <c r="O111" i="14"/>
  <c r="O967" i="14"/>
  <c r="O889" i="14"/>
  <c r="O731" i="14"/>
  <c r="O527" i="14"/>
  <c r="O287" i="14"/>
  <c r="O286" i="14"/>
  <c r="O100" i="14"/>
  <c r="O1188" i="14"/>
  <c r="O1157" i="14"/>
  <c r="O909" i="14"/>
  <c r="O581" i="14"/>
  <c r="O537" i="14"/>
  <c r="O325" i="14"/>
  <c r="O789" i="14"/>
  <c r="O649" i="14"/>
  <c r="O288" i="14"/>
  <c r="O270" i="14"/>
  <c r="O224" i="14"/>
  <c r="O89" i="14"/>
  <c r="O274" i="14"/>
  <c r="O1172" i="14"/>
  <c r="O780" i="14"/>
  <c r="O216" i="14"/>
  <c r="O1090" i="14"/>
  <c r="O1227" i="14"/>
  <c r="O385" i="14"/>
  <c r="O1180" i="14"/>
  <c r="O1051" i="14"/>
  <c r="O679" i="14"/>
  <c r="O1136" i="14"/>
  <c r="O416" i="14"/>
  <c r="O78" i="14"/>
  <c r="O1235" i="14"/>
  <c r="O1011" i="14"/>
  <c r="O637" i="14"/>
  <c r="O1217" i="14"/>
  <c r="O1042" i="14"/>
  <c r="O852" i="14"/>
  <c r="O655" i="14"/>
  <c r="O1067" i="14"/>
  <c r="O110" i="14"/>
  <c r="O1142" i="14"/>
  <c r="O1092" i="14"/>
  <c r="O990" i="14"/>
  <c r="O611" i="14"/>
  <c r="O447" i="14"/>
  <c r="O366" i="14"/>
  <c r="O248" i="14"/>
  <c r="O79" i="14"/>
  <c r="O1047" i="14"/>
  <c r="O874" i="14"/>
  <c r="O579" i="14"/>
  <c r="O334" i="14"/>
  <c r="O84" i="14"/>
  <c r="O1240" i="14"/>
  <c r="O1074" i="14"/>
  <c r="O860" i="14"/>
  <c r="O306" i="14"/>
  <c r="O553" i="14"/>
  <c r="O300" i="14"/>
  <c r="O220" i="14"/>
  <c r="O279" i="14"/>
  <c r="O172" i="14"/>
  <c r="O819" i="14"/>
  <c r="O966" i="14"/>
  <c r="O1149" i="14"/>
  <c r="O897" i="14"/>
  <c r="O457" i="14"/>
  <c r="O1238" i="14"/>
  <c r="O1202" i="14"/>
  <c r="O450" i="14"/>
  <c r="O1129" i="14"/>
  <c r="O1130" i="14"/>
  <c r="O876" i="14"/>
  <c r="O304" i="14"/>
  <c r="O1112" i="14"/>
  <c r="O1000" i="14"/>
  <c r="O443" i="14"/>
  <c r="O1089" i="14"/>
  <c r="O1055" i="14"/>
  <c r="O785" i="14"/>
  <c r="O1279" i="14"/>
  <c r="O1063" i="14"/>
  <c r="O1150" i="14"/>
  <c r="O896" i="14"/>
  <c r="O600" i="14"/>
  <c r="O470" i="14"/>
  <c r="O1189" i="14"/>
  <c r="O1085" i="14"/>
  <c r="O1024" i="14"/>
  <c r="O957" i="14"/>
  <c r="O820" i="14"/>
  <c r="O651" i="14"/>
  <c r="O330" i="14"/>
  <c r="O773" i="14"/>
  <c r="O577" i="14"/>
  <c r="O486" i="14"/>
  <c r="O301" i="14"/>
  <c r="O1218" i="14"/>
  <c r="O1146" i="14"/>
  <c r="O625" i="14"/>
  <c r="O429" i="14"/>
  <c r="O347" i="14"/>
  <c r="O182" i="14"/>
  <c r="O1039" i="14"/>
  <c r="O746" i="14"/>
  <c r="O389" i="14"/>
  <c r="O282" i="14"/>
  <c r="O130" i="14"/>
  <c r="O251" i="14"/>
  <c r="O1352" i="13" a="1"/>
  <c r="O1352" i="13" s="1"/>
  <c r="N1352" i="13"/>
  <c r="N1308" i="13"/>
  <c r="O1308" i="13" a="1"/>
  <c r="O1308" i="13" s="1"/>
  <c r="O855" i="13" a="1"/>
  <c r="O855" i="13" s="1"/>
  <c r="O752" i="13" a="1"/>
  <c r="O752" i="13" s="1"/>
  <c r="O564" i="13" a="1"/>
  <c r="O564" i="13" s="1"/>
  <c r="O342" i="13" a="1"/>
  <c r="O342" i="13" s="1"/>
  <c r="O119" i="13" a="1"/>
  <c r="O119" i="13" s="1"/>
  <c r="N119" i="13"/>
  <c r="N1289" i="13"/>
  <c r="O1289" i="13" a="1"/>
  <c r="O1289" i="13" s="1"/>
  <c r="O1061" i="13" a="1"/>
  <c r="O1061" i="13" s="1"/>
  <c r="N1061" i="13"/>
  <c r="N1391" i="13"/>
  <c r="O1391" i="13" a="1"/>
  <c r="O1391" i="13" s="1"/>
  <c r="N1140" i="13"/>
  <c r="O1140" i="13" a="1"/>
  <c r="O1140" i="13" s="1"/>
  <c r="O1056" i="13" a="1"/>
  <c r="O1056" i="13" s="1"/>
  <c r="O891" i="13" a="1"/>
  <c r="O891" i="13" s="1"/>
  <c r="O655" i="13" a="1"/>
  <c r="O655" i="13" s="1"/>
  <c r="N655" i="13"/>
  <c r="O410" i="13" a="1"/>
  <c r="O410" i="13" s="1"/>
  <c r="O308" i="13" a="1"/>
  <c r="O308" i="13" s="1"/>
  <c r="N1318" i="13"/>
  <c r="O1318" i="13" a="1"/>
  <c r="O1318" i="13" s="1"/>
  <c r="N1141" i="13"/>
  <c r="O1141" i="13" a="1"/>
  <c r="O1141" i="13" s="1"/>
  <c r="O981" i="13" a="1"/>
  <c r="O981" i="13" s="1"/>
  <c r="O729" i="13" a="1"/>
  <c r="O729" i="13" s="1"/>
  <c r="O710" i="13" a="1"/>
  <c r="O710" i="13" s="1"/>
  <c r="N710" i="13"/>
  <c r="O470" i="13" a="1"/>
  <c r="O470" i="13" s="1"/>
  <c r="O210" i="13" a="1"/>
  <c r="O210" i="13" s="1"/>
  <c r="N1419" i="13"/>
  <c r="O1419" i="13" a="1"/>
  <c r="O1419" i="13" s="1"/>
  <c r="O1226" i="13" a="1"/>
  <c r="O1226" i="13" s="1"/>
  <c r="N1226" i="13"/>
  <c r="O1089" i="13" a="1"/>
  <c r="O1089" i="13" s="1"/>
  <c r="O918" i="13" a="1"/>
  <c r="O918" i="13" s="1"/>
  <c r="N918" i="13"/>
  <c r="O616" i="13" a="1"/>
  <c r="O616" i="13" s="1"/>
  <c r="N616" i="13"/>
  <c r="O610" i="13" a="1"/>
  <c r="O610" i="13" s="1"/>
  <c r="O336" i="13" a="1"/>
  <c r="O336" i="13" s="1"/>
  <c r="N336" i="13"/>
  <c r="O159" i="13" a="1"/>
  <c r="O159" i="13" s="1"/>
  <c r="N159" i="13"/>
  <c r="O22" i="13" a="1"/>
  <c r="O22" i="13" s="1"/>
  <c r="N1347" i="13"/>
  <c r="O1347" i="13" a="1"/>
  <c r="O1347" i="13" s="1"/>
  <c r="N1204" i="13"/>
  <c r="O1204" i="13" a="1"/>
  <c r="O1204" i="13" s="1"/>
  <c r="D80" i="13"/>
  <c r="O1101" i="13" a="1"/>
  <c r="O1101" i="13" s="1"/>
  <c r="N1101" i="13"/>
  <c r="O914" i="13" a="1"/>
  <c r="O914" i="13" s="1"/>
  <c r="O808" i="13" a="1"/>
  <c r="O808" i="13" s="1"/>
  <c r="O466" i="13" a="1"/>
  <c r="O466" i="13" s="1"/>
  <c r="N466" i="13"/>
  <c r="O302" i="13" a="1"/>
  <c r="O302" i="13" s="1"/>
  <c r="N302" i="13"/>
  <c r="O54" i="13" a="1"/>
  <c r="O54" i="13" s="1"/>
  <c r="N1198" i="13"/>
  <c r="O1198" i="13" a="1"/>
  <c r="O1198" i="13" s="1"/>
  <c r="O1105" i="13" a="1"/>
  <c r="O1105" i="13" s="1"/>
  <c r="O907" i="13" a="1"/>
  <c r="O907" i="13" s="1"/>
  <c r="N907" i="13"/>
  <c r="O746" i="13" a="1"/>
  <c r="O746" i="13" s="1"/>
  <c r="O557" i="13" a="1"/>
  <c r="O557" i="13" s="1"/>
  <c r="N557" i="13"/>
  <c r="O329" i="13" a="1"/>
  <c r="O329" i="13" s="1"/>
  <c r="O124" i="13" a="1"/>
  <c r="O124" i="13" s="1"/>
  <c r="N124" i="13"/>
  <c r="N1282" i="13"/>
  <c r="O1282" i="13" a="1"/>
  <c r="O1282" i="13" s="1"/>
  <c r="N1131" i="13"/>
  <c r="O1131" i="13" a="1"/>
  <c r="O1131" i="13" s="1"/>
  <c r="O1097" i="13" a="1"/>
  <c r="O1097" i="13" s="1"/>
  <c r="O865" i="13" a="1"/>
  <c r="O865" i="13" s="1"/>
  <c r="N865" i="13"/>
  <c r="O767" i="13" a="1"/>
  <c r="O767" i="13" s="1"/>
  <c r="O602" i="13" a="1"/>
  <c r="O602" i="13" s="1"/>
  <c r="N602" i="13"/>
  <c r="O359" i="13" a="1"/>
  <c r="O359" i="13" s="1"/>
  <c r="O222" i="13" a="1"/>
  <c r="O222" i="13" s="1"/>
  <c r="N1407" i="13"/>
  <c r="O1407" i="13" a="1"/>
  <c r="O1407" i="13" s="1"/>
  <c r="N1261" i="13"/>
  <c r="O1261" i="13" a="1"/>
  <c r="O1261" i="13" s="1"/>
  <c r="N1150" i="13"/>
  <c r="O1150" i="13" a="1"/>
  <c r="O1150" i="13" s="1"/>
  <c r="O1020" i="13" a="1"/>
  <c r="O1020" i="13" s="1"/>
  <c r="O778" i="13" a="1"/>
  <c r="O778" i="13" s="1"/>
  <c r="N778" i="13"/>
  <c r="O626" i="13" a="1"/>
  <c r="O626" i="13" s="1"/>
  <c r="N626" i="13"/>
  <c r="O496" i="13" a="1"/>
  <c r="O496" i="13" s="1"/>
  <c r="N496" i="13"/>
  <c r="O381" i="13" a="1"/>
  <c r="O381" i="13" s="1"/>
  <c r="N1328" i="13"/>
  <c r="O1328" i="13" a="1"/>
  <c r="O1328" i="13" s="1"/>
  <c r="N1166" i="13"/>
  <c r="O1166" i="13" a="1"/>
  <c r="O1166" i="13" s="1"/>
  <c r="O1051" i="13" a="1"/>
  <c r="O1051" i="13" s="1"/>
  <c r="D54" i="13"/>
  <c r="N1051" i="13"/>
  <c r="O832" i="13" a="1"/>
  <c r="O832" i="13" s="1"/>
  <c r="N832" i="13"/>
  <c r="O921" i="13" a="1"/>
  <c r="O921" i="13" s="1"/>
  <c r="N921" i="13"/>
  <c r="O768" i="13" a="1"/>
  <c r="O768" i="13" s="1"/>
  <c r="N768" i="13"/>
  <c r="O540" i="13" a="1"/>
  <c r="O540" i="13" s="1"/>
  <c r="O474" i="13" a="1"/>
  <c r="O474" i="13" s="1"/>
  <c r="N474" i="13"/>
  <c r="O269" i="13" a="1"/>
  <c r="O269" i="13" s="1"/>
  <c r="N269" i="13"/>
  <c r="O206" i="13" a="1"/>
  <c r="O206" i="13" s="1"/>
  <c r="O50" i="13" a="1"/>
  <c r="O50" i="13" s="1"/>
  <c r="O1068" i="13" a="1"/>
  <c r="O1068" i="13" s="1"/>
  <c r="O881" i="13" a="1"/>
  <c r="O881" i="13" s="1"/>
  <c r="O814" i="13" a="1"/>
  <c r="O814" i="13" s="1"/>
  <c r="O802" i="13" a="1"/>
  <c r="O802" i="13" s="1"/>
  <c r="O556" i="13" a="1"/>
  <c r="O556" i="13" s="1"/>
  <c r="O416" i="13" a="1"/>
  <c r="O416" i="13" s="1"/>
  <c r="N416" i="13"/>
  <c r="O244" i="13" a="1"/>
  <c r="O244" i="13" s="1"/>
  <c r="N244" i="13"/>
  <c r="O202" i="13" a="1"/>
  <c r="O202" i="13" s="1"/>
  <c r="O65" i="13" a="1"/>
  <c r="O65" i="13" s="1"/>
  <c r="O714" i="13" a="1"/>
  <c r="O714" i="13" s="1"/>
  <c r="O533" i="13" a="1"/>
  <c r="O533" i="13" s="1"/>
  <c r="N533" i="13"/>
  <c r="O379" i="13" a="1"/>
  <c r="O379" i="13" s="1"/>
  <c r="N379" i="13"/>
  <c r="O307" i="13" a="1"/>
  <c r="O307" i="13" s="1"/>
  <c r="N307" i="13"/>
  <c r="O120" i="13" a="1"/>
  <c r="O120" i="13" s="1"/>
  <c r="N120" i="13"/>
  <c r="O983" i="13" a="1"/>
  <c r="O983" i="13" s="1"/>
  <c r="D22" i="13"/>
  <c r="N983" i="13"/>
  <c r="O110" i="13" a="1"/>
  <c r="O110" i="13" s="1"/>
  <c r="O373" i="13" a="1"/>
  <c r="O373" i="13" s="1"/>
  <c r="N373" i="13"/>
  <c r="O739" i="13" a="1"/>
  <c r="O739" i="13" s="1"/>
  <c r="N1184" i="13"/>
  <c r="O1184" i="13" a="1"/>
  <c r="O1184" i="13" s="1"/>
  <c r="O599" i="13" a="1"/>
  <c r="O599" i="13" s="1"/>
  <c r="N599" i="13"/>
  <c r="N1160" i="13"/>
  <c r="O1160" i="13" a="1"/>
  <c r="O1160" i="13" s="1"/>
  <c r="O291" i="13" a="1"/>
  <c r="O291" i="13" s="1"/>
  <c r="N291" i="13"/>
  <c r="O103" i="13" a="1"/>
  <c r="O103" i="13" s="1"/>
  <c r="O149" i="13" a="1"/>
  <c r="O149" i="13" s="1"/>
  <c r="N149" i="13"/>
  <c r="O539" i="13" a="1"/>
  <c r="O539" i="13" s="1"/>
  <c r="O961" i="13" a="1"/>
  <c r="O961" i="13" s="1"/>
  <c r="O585" i="13" a="1"/>
  <c r="O585" i="13" s="1"/>
  <c r="N585" i="13"/>
  <c r="O771" i="13" a="1"/>
  <c r="O771" i="13" s="1"/>
  <c r="N771" i="13"/>
  <c r="O160" i="13" a="1"/>
  <c r="O160" i="13" s="1"/>
  <c r="N160" i="13"/>
  <c r="O700" i="13" a="1"/>
  <c r="O700" i="13" s="1"/>
  <c r="N1411" i="13"/>
  <c r="O1411" i="13" a="1"/>
  <c r="O1411" i="13" s="1"/>
  <c r="N1408" i="13"/>
  <c r="O1408" i="13" a="1"/>
  <c r="O1408" i="13" s="1"/>
  <c r="N1357" i="13"/>
  <c r="O1357" i="13" a="1"/>
  <c r="O1357" i="13" s="1"/>
  <c r="O829" i="13" a="1"/>
  <c r="O829" i="13" s="1"/>
  <c r="N829" i="13"/>
  <c r="O661" i="13" a="1"/>
  <c r="O661" i="13" s="1"/>
  <c r="O579" i="13" a="1"/>
  <c r="O579" i="13" s="1"/>
  <c r="O279" i="13" a="1"/>
  <c r="O279" i="13" s="1"/>
  <c r="O91" i="13" a="1"/>
  <c r="O91" i="13" s="1"/>
  <c r="N91" i="13"/>
  <c r="N1209" i="13"/>
  <c r="O1209" i="13" a="1"/>
  <c r="O1209" i="13" s="1"/>
  <c r="O1325" i="13" a="1"/>
  <c r="O1325" i="13" s="1"/>
  <c r="N1325" i="13"/>
  <c r="N1333" i="13"/>
  <c r="O1333" i="13" a="1"/>
  <c r="O1333" i="13" s="1"/>
  <c r="N1137" i="13"/>
  <c r="O1137" i="13" a="1"/>
  <c r="O1137" i="13" s="1"/>
  <c r="D30" i="13"/>
  <c r="O1107" i="13" a="1"/>
  <c r="O1107" i="13" s="1"/>
  <c r="O817" i="13" a="1"/>
  <c r="O817" i="13" s="1"/>
  <c r="O442" i="13" a="1"/>
  <c r="O442" i="13" s="1"/>
  <c r="N442" i="13"/>
  <c r="O349" i="13" a="1"/>
  <c r="O349" i="13" s="1"/>
  <c r="N349" i="13"/>
  <c r="O109" i="13" a="1"/>
  <c r="O109" i="13" s="1"/>
  <c r="N1267" i="13"/>
  <c r="O1267" i="13" a="1"/>
  <c r="O1267" i="13" s="1"/>
  <c r="O1106" i="13" a="1"/>
  <c r="O1106" i="13" s="1"/>
  <c r="O874" i="13" a="1"/>
  <c r="O874" i="13" s="1"/>
  <c r="N874" i="13"/>
  <c r="O715" i="13" a="1"/>
  <c r="O715" i="13" s="1"/>
  <c r="N715" i="13"/>
  <c r="O560" i="13" a="1"/>
  <c r="O560" i="13" s="1"/>
  <c r="N560" i="13"/>
  <c r="O405" i="13" a="1"/>
  <c r="O405" i="13" s="1"/>
  <c r="N405" i="13"/>
  <c r="O171" i="13" a="1"/>
  <c r="O171" i="13" s="1"/>
  <c r="N1290" i="13"/>
  <c r="O1290" i="13" a="1"/>
  <c r="O1290" i="13" s="1"/>
  <c r="N1165" i="13"/>
  <c r="O1165" i="13" a="1"/>
  <c r="O1165" i="13" s="1"/>
  <c r="O1065" i="13" a="1"/>
  <c r="O1065" i="13" s="1"/>
  <c r="D88" i="13"/>
  <c r="N1065" i="13"/>
  <c r="O851" i="13" a="1"/>
  <c r="O851" i="13" s="1"/>
  <c r="O791" i="13" a="1"/>
  <c r="O791" i="13" s="1"/>
  <c r="N791" i="13"/>
  <c r="O518" i="13" a="1"/>
  <c r="O518" i="13" s="1"/>
  <c r="N518" i="13"/>
  <c r="O253" i="13" a="1"/>
  <c r="O253" i="13" s="1"/>
  <c r="N253" i="13"/>
  <c r="O126" i="13" a="1"/>
  <c r="O126" i="13" s="1"/>
  <c r="N126" i="13"/>
  <c r="N1389" i="13"/>
  <c r="O1389" i="13" a="1"/>
  <c r="O1389" i="13" s="1"/>
  <c r="N1319" i="13"/>
  <c r="O1319" i="13" a="1"/>
  <c r="O1319" i="13" s="1"/>
  <c r="N1145" i="13"/>
  <c r="O1145" i="13" a="1"/>
  <c r="O1145" i="13" s="1"/>
  <c r="O1008" i="13" a="1"/>
  <c r="O1008" i="13" s="1"/>
  <c r="N1008" i="13"/>
  <c r="O857" i="13" a="1"/>
  <c r="O857" i="13" s="1"/>
  <c r="O724" i="13" a="1"/>
  <c r="O724" i="13" s="1"/>
  <c r="N724" i="13"/>
  <c r="O421" i="13" a="1"/>
  <c r="O421" i="13" s="1"/>
  <c r="N421" i="13"/>
  <c r="O402" i="13" a="1"/>
  <c r="O402" i="13" s="1"/>
  <c r="N402" i="13"/>
  <c r="N1397" i="13"/>
  <c r="O1397" i="13" a="1"/>
  <c r="O1397" i="13" s="1"/>
  <c r="N1191" i="13"/>
  <c r="O1191" i="13" a="1"/>
  <c r="O1191" i="13" s="1"/>
  <c r="O1041" i="13" a="1"/>
  <c r="O1041" i="13" s="1"/>
  <c r="O1025" i="13" a="1"/>
  <c r="O1025" i="13" s="1"/>
  <c r="O618" i="13" a="1"/>
  <c r="O618" i="13" s="1"/>
  <c r="N618" i="13"/>
  <c r="O509" i="13" a="1"/>
  <c r="O509" i="13" s="1"/>
  <c r="N509" i="13"/>
  <c r="O170" i="13" a="1"/>
  <c r="O170" i="13" s="1"/>
  <c r="O63" i="13" a="1"/>
  <c r="O63" i="13" s="1"/>
  <c r="N1359" i="13"/>
  <c r="O1359" i="13" a="1"/>
  <c r="O1359" i="13" s="1"/>
  <c r="N1176" i="13"/>
  <c r="O1176" i="13" a="1"/>
  <c r="O1176" i="13" s="1"/>
  <c r="D42" i="13"/>
  <c r="O1122" i="13" a="1"/>
  <c r="O1122" i="13" s="1"/>
  <c r="N1122" i="13"/>
  <c r="O957" i="13" a="1"/>
  <c r="O957" i="13" s="1"/>
  <c r="O697" i="13" a="1"/>
  <c r="O697" i="13" s="1"/>
  <c r="N697" i="13"/>
  <c r="O607" i="13" a="1"/>
  <c r="O607" i="13" s="1"/>
  <c r="N607" i="13"/>
  <c r="O236" i="13" a="1"/>
  <c r="O236" i="13" s="1"/>
  <c r="N236" i="13"/>
  <c r="O140" i="13" a="1"/>
  <c r="O140" i="13" s="1"/>
  <c r="N1415" i="13"/>
  <c r="O1415" i="13" a="1"/>
  <c r="O1415" i="13" s="1"/>
  <c r="O1268" i="13" a="1"/>
  <c r="O1268" i="13" s="1"/>
  <c r="N1268" i="13"/>
  <c r="O1225" i="13" a="1"/>
  <c r="O1225" i="13" s="1"/>
  <c r="N1225" i="13"/>
  <c r="O978" i="13" a="1"/>
  <c r="O978" i="13" s="1"/>
  <c r="D57" i="13"/>
  <c r="N978" i="13"/>
  <c r="O617" i="13" a="1"/>
  <c r="O617" i="13" s="1"/>
  <c r="O520" i="13" a="1"/>
  <c r="O520" i="13" s="1"/>
  <c r="O368" i="13" a="1"/>
  <c r="O368" i="13" s="1"/>
  <c r="N368" i="13"/>
  <c r="O164" i="13" a="1"/>
  <c r="O164" i="13" s="1"/>
  <c r="N1287" i="13"/>
  <c r="O1287" i="13" a="1"/>
  <c r="O1287" i="13" s="1"/>
  <c r="O1036" i="13" a="1"/>
  <c r="O1036" i="13" s="1"/>
  <c r="O964" i="13" a="1"/>
  <c r="O964" i="13" s="1"/>
  <c r="N964" i="13"/>
  <c r="O889" i="13" a="1"/>
  <c r="O889" i="13" s="1"/>
  <c r="O801" i="13" a="1"/>
  <c r="O801" i="13" s="1"/>
  <c r="O574" i="13" a="1"/>
  <c r="O574" i="13" s="1"/>
  <c r="O553" i="13" a="1"/>
  <c r="O553" i="13" s="1"/>
  <c r="O468" i="13" a="1"/>
  <c r="O468" i="13" s="1"/>
  <c r="O250" i="13" a="1"/>
  <c r="O250" i="13" s="1"/>
  <c r="N250" i="13"/>
  <c r="O165" i="13" a="1"/>
  <c r="O165" i="13" s="1"/>
  <c r="O34" i="13" a="1"/>
  <c r="O34" i="13" s="1"/>
  <c r="D128" i="13"/>
  <c r="O1044" i="13" a="1"/>
  <c r="O1044" i="13" s="1"/>
  <c r="O843" i="13" a="1"/>
  <c r="O843" i="13" s="1"/>
  <c r="N843" i="13"/>
  <c r="O906" i="13" a="1"/>
  <c r="O906" i="13" s="1"/>
  <c r="O665" i="13" a="1"/>
  <c r="O665" i="13" s="1"/>
  <c r="N665" i="13"/>
  <c r="O593" i="13" a="1"/>
  <c r="O593" i="13" s="1"/>
  <c r="O507" i="13" a="1"/>
  <c r="O507" i="13" s="1"/>
  <c r="O344" i="13" a="1"/>
  <c r="O344" i="13" s="1"/>
  <c r="N344" i="13"/>
  <c r="O270" i="13" a="1"/>
  <c r="O270" i="13" s="1"/>
  <c r="O41" i="13" a="1"/>
  <c r="O41" i="13" s="1"/>
  <c r="O672" i="13" a="1"/>
  <c r="O672" i="13" s="1"/>
  <c r="O440" i="13" a="1"/>
  <c r="O440" i="13" s="1"/>
  <c r="O366" i="13" a="1"/>
  <c r="O366" i="13" s="1"/>
  <c r="O230" i="13" a="1"/>
  <c r="O230" i="13" s="1"/>
  <c r="O88" i="13" a="1"/>
  <c r="O88" i="13" s="1"/>
  <c r="N88" i="13"/>
  <c r="O231" i="13" a="1"/>
  <c r="O231" i="13" s="1"/>
  <c r="N231" i="13"/>
  <c r="O587" i="13" a="1"/>
  <c r="O587" i="13" s="1"/>
  <c r="O597" i="13" a="1"/>
  <c r="O597" i="13" s="1"/>
  <c r="O795" i="13" a="1"/>
  <c r="O795" i="13" s="1"/>
  <c r="O940" i="13" a="1"/>
  <c r="O940" i="13" s="1"/>
  <c r="O1360" i="13" a="1"/>
  <c r="O1360" i="13" s="1"/>
  <c r="O1353" i="13" a="1"/>
  <c r="O1353" i="13" s="1"/>
  <c r="O1370" i="13" a="1"/>
  <c r="O1370" i="13" s="1"/>
  <c r="O1339" i="13" a="1"/>
  <c r="O1339" i="13" s="1"/>
  <c r="O927" i="13" a="1"/>
  <c r="O927" i="13" s="1"/>
  <c r="O1014" i="13" a="1"/>
  <c r="O1014" i="13" s="1"/>
  <c r="O982" i="13" a="1"/>
  <c r="O982" i="13" s="1"/>
  <c r="O690" i="13" a="1"/>
  <c r="O690" i="13" s="1"/>
  <c r="O527" i="13" a="1"/>
  <c r="O527" i="13" s="1"/>
  <c r="O1320" i="13" a="1"/>
  <c r="O1320" i="13" s="1"/>
  <c r="O1189" i="13" a="1"/>
  <c r="O1189" i="13" s="1"/>
  <c r="O1174" i="13" a="1"/>
  <c r="O1174" i="13" s="1"/>
  <c r="O276" i="13" a="1"/>
  <c r="O276" i="13" s="1"/>
  <c r="O1355" i="13" a="1"/>
  <c r="O1355" i="13" s="1"/>
  <c r="O1257" i="13" a="1"/>
  <c r="O1257" i="13" s="1"/>
  <c r="O1327" i="13" a="1"/>
  <c r="O1327" i="13" s="1"/>
  <c r="O1220" i="13" a="1"/>
  <c r="O1220" i="13" s="1"/>
  <c r="O1158" i="13" a="1"/>
  <c r="O1158" i="13" s="1"/>
  <c r="O942" i="13" a="1"/>
  <c r="O942" i="13" s="1"/>
  <c r="O1363" i="13" a="1"/>
  <c r="O1363" i="13" s="1"/>
  <c r="O1311" i="13" a="1"/>
  <c r="O1311" i="13" s="1"/>
  <c r="O1322" i="13" a="1"/>
  <c r="O1322" i="13" s="1"/>
  <c r="O7" i="13" a="1"/>
  <c r="O7" i="13" s="1"/>
  <c r="O1273" i="13" a="1"/>
  <c r="O1273" i="13" s="1"/>
  <c r="O677" i="13" a="1"/>
  <c r="O677" i="13" s="1"/>
  <c r="O462" i="13" a="1"/>
  <c r="O462" i="13" s="1"/>
  <c r="O548" i="13" a="1"/>
  <c r="O548" i="13" s="1"/>
  <c r="O484" i="13" a="1"/>
  <c r="O484" i="13" s="1"/>
  <c r="O406" i="13" a="1"/>
  <c r="O406" i="13" s="1"/>
  <c r="O314" i="13" a="1"/>
  <c r="O314" i="13" s="1"/>
  <c r="O242" i="13" a="1"/>
  <c r="O242" i="13" s="1"/>
  <c r="O298" i="13" a="1"/>
  <c r="O298" i="13" s="1"/>
  <c r="O1066" i="13" a="1"/>
  <c r="O1066" i="13" s="1"/>
  <c r="O973" i="13" a="1"/>
  <c r="O973" i="13" s="1"/>
  <c r="O1342" i="13" a="1"/>
  <c r="O1342" i="13" s="1"/>
  <c r="O821" i="13" a="1"/>
  <c r="O821" i="13" s="1"/>
  <c r="O1055" i="13" a="1"/>
  <c r="O1055" i="13" s="1"/>
  <c r="O1412" i="13" a="1"/>
  <c r="O1412" i="13" s="1"/>
  <c r="O1296" i="13" a="1"/>
  <c r="O1296" i="13" s="1"/>
  <c r="O1364" i="13" a="1"/>
  <c r="O1364" i="13" s="1"/>
  <c r="O1233" i="13" a="1"/>
  <c r="O1233" i="13" s="1"/>
  <c r="O1212" i="13" a="1"/>
  <c r="O1212" i="13" s="1"/>
  <c r="O1015" i="13" a="1"/>
  <c r="O1015" i="13" s="1"/>
  <c r="O861" i="13" a="1"/>
  <c r="O861" i="13" s="1"/>
  <c r="O783" i="13" a="1"/>
  <c r="O783" i="13" s="1"/>
  <c r="O601" i="13" a="1"/>
  <c r="O601" i="13" s="1"/>
  <c r="O1396" i="13" a="1"/>
  <c r="O1396" i="13" s="1"/>
  <c r="O1195" i="13" a="1"/>
  <c r="O1195" i="13" s="1"/>
  <c r="O1031" i="13" a="1"/>
  <c r="O1031" i="13" s="1"/>
  <c r="O1276" i="13" a="1"/>
  <c r="O1276" i="13" s="1"/>
  <c r="O1223" i="13" a="1"/>
  <c r="O1223" i="13" s="1"/>
  <c r="O949" i="13" a="1"/>
  <c r="O949" i="13" s="1"/>
  <c r="O742" i="13" a="1"/>
  <c r="O742" i="13" s="1"/>
  <c r="O827" i="13" a="1"/>
  <c r="O827" i="13" s="1"/>
  <c r="O810" i="13" a="1"/>
  <c r="O810" i="13" s="1"/>
  <c r="O656" i="13" a="1"/>
  <c r="O656" i="13" s="1"/>
  <c r="O704" i="13" a="1"/>
  <c r="O704" i="13" s="1"/>
  <c r="O1372" i="13" a="1"/>
  <c r="O1372" i="13" s="1"/>
  <c r="O1400" i="13" a="1"/>
  <c r="O1400" i="13" s="1"/>
  <c r="O1405" i="13" a="1"/>
  <c r="O1405" i="13" s="1"/>
  <c r="O1349" i="13" a="1"/>
  <c r="O1349" i="13" s="1"/>
  <c r="O1317" i="13" a="1"/>
  <c r="O1317" i="13" s="1"/>
  <c r="O1132" i="13" a="1"/>
  <c r="O1132" i="13" s="1"/>
  <c r="O898" i="13" a="1"/>
  <c r="O898" i="13" s="1"/>
  <c r="O766" i="13" a="1"/>
  <c r="O766" i="13" s="1"/>
  <c r="O833" i="13" a="1"/>
  <c r="O833" i="13" s="1"/>
  <c r="O689" i="13" a="1"/>
  <c r="O689" i="13" s="1"/>
  <c r="O537" i="13" a="1"/>
  <c r="O537" i="13" s="1"/>
  <c r="O425" i="13" a="1"/>
  <c r="O425" i="13" s="1"/>
  <c r="O487" i="13" a="1"/>
  <c r="O487" i="13" s="1"/>
  <c r="O361" i="13" a="1"/>
  <c r="O361" i="13" s="1"/>
  <c r="O288" i="13" a="1"/>
  <c r="O288" i="13" s="1"/>
  <c r="O167" i="13" a="1"/>
  <c r="O167" i="13" s="1"/>
  <c r="O1227" i="13" a="1"/>
  <c r="O1227" i="13" s="1"/>
  <c r="O966" i="13" a="1"/>
  <c r="O966" i="13" s="1"/>
  <c r="O1269" i="13" a="1"/>
  <c r="O1269" i="13" s="1"/>
  <c r="O1109" i="13" a="1"/>
  <c r="O1109" i="13" s="1"/>
  <c r="O1142" i="13" a="1"/>
  <c r="O1142" i="13" s="1"/>
  <c r="O1086" i="13" a="1"/>
  <c r="O1086" i="13" s="1"/>
  <c r="O943" i="13" a="1"/>
  <c r="O943" i="13" s="1"/>
  <c r="O870" i="13" a="1"/>
  <c r="O870" i="13" s="1"/>
  <c r="O831" i="13" a="1"/>
  <c r="O831" i="13" s="1"/>
  <c r="O750" i="13" a="1"/>
  <c r="O750" i="13" s="1"/>
  <c r="O643" i="13" a="1"/>
  <c r="O643" i="13" s="1"/>
  <c r="O1280" i="13" a="1"/>
  <c r="O1280" i="13" s="1"/>
  <c r="O1172" i="13" a="1"/>
  <c r="O1172" i="13" s="1"/>
  <c r="O1073" i="13" a="1"/>
  <c r="O1073" i="13" s="1"/>
  <c r="O838" i="13" a="1"/>
  <c r="O838" i="13" s="1"/>
  <c r="O962" i="13" a="1"/>
  <c r="O962" i="13" s="1"/>
  <c r="O757" i="13" a="1"/>
  <c r="O757" i="13" s="1"/>
  <c r="O897" i="13" a="1"/>
  <c r="O897" i="13" s="1"/>
  <c r="O615" i="13" a="1"/>
  <c r="O615" i="13" s="1"/>
  <c r="O660" i="13" a="1"/>
  <c r="O660" i="13" s="1"/>
  <c r="O606" i="13" a="1"/>
  <c r="O606" i="13" s="1"/>
  <c r="O1378" i="13" a="1"/>
  <c r="O1378" i="13" s="1"/>
  <c r="O1356" i="13" a="1"/>
  <c r="O1356" i="13" s="1"/>
  <c r="O1240" i="13" a="1"/>
  <c r="O1240" i="13" s="1"/>
  <c r="O1167" i="13" a="1"/>
  <c r="O1167" i="13" s="1"/>
  <c r="O1129" i="13" a="1"/>
  <c r="O1129" i="13" s="1"/>
  <c r="O999" i="13" a="1"/>
  <c r="O999" i="13" s="1"/>
  <c r="O969" i="13" a="1"/>
  <c r="O969" i="13" s="1"/>
  <c r="O886" i="13" a="1"/>
  <c r="O886" i="13" s="1"/>
  <c r="O733" i="13" a="1"/>
  <c r="O733" i="13" s="1"/>
  <c r="O680" i="13" a="1"/>
  <c r="O680" i="13" s="1"/>
  <c r="O630" i="13" a="1"/>
  <c r="O630" i="13" s="1"/>
  <c r="O508" i="13" a="1"/>
  <c r="O508" i="13" s="1"/>
  <c r="O437" i="13" a="1"/>
  <c r="O437" i="13" s="1"/>
  <c r="O476" i="13" a="1"/>
  <c r="O476" i="13" s="1"/>
  <c r="O391" i="13" a="1"/>
  <c r="O391" i="13" s="1"/>
  <c r="O323" i="13" a="1"/>
  <c r="O323" i="13" s="1"/>
  <c r="O317" i="13" a="1"/>
  <c r="O317" i="13" s="1"/>
  <c r="O204" i="13" a="1"/>
  <c r="O204" i="13" s="1"/>
  <c r="O1162" i="13" a="1"/>
  <c r="O1162" i="13" s="1"/>
  <c r="O1032" i="13" a="1"/>
  <c r="O1032" i="13" s="1"/>
  <c r="O1199" i="13" a="1"/>
  <c r="O1199" i="13" s="1"/>
  <c r="O1301" i="13" a="1"/>
  <c r="O1301" i="13" s="1"/>
  <c r="O1277" i="13" a="1"/>
  <c r="O1277" i="13" s="1"/>
  <c r="O1103" i="13" a="1"/>
  <c r="O1103" i="13" s="1"/>
  <c r="O932" i="13" a="1"/>
  <c r="O932" i="13" s="1"/>
  <c r="O972" i="13" a="1"/>
  <c r="O972" i="13" s="1"/>
  <c r="O625" i="13" a="1"/>
  <c r="O625" i="13" s="1"/>
  <c r="O1307" i="13" a="1"/>
  <c r="O1307" i="13" s="1"/>
  <c r="O1299" i="13" a="1"/>
  <c r="O1299" i="13" s="1"/>
  <c r="O1402" i="13" a="1"/>
  <c r="O1402" i="13" s="1"/>
  <c r="O1237" i="13" a="1"/>
  <c r="O1237" i="13" s="1"/>
  <c r="O1202" i="13" a="1"/>
  <c r="O1202" i="13" s="1"/>
  <c r="O923" i="13" a="1"/>
  <c r="O923" i="13" s="1"/>
  <c r="O925" i="13" a="1"/>
  <c r="O925" i="13" s="1"/>
  <c r="O797" i="13" a="1"/>
  <c r="O797" i="13" s="1"/>
  <c r="O1367" i="13" a="1"/>
  <c r="O1367" i="13" s="1"/>
  <c r="O1190" i="13" a="1"/>
  <c r="O1190" i="13" s="1"/>
  <c r="O756" i="13" a="1"/>
  <c r="O756" i="13" s="1"/>
  <c r="O1354" i="13" a="1"/>
  <c r="O1354" i="13" s="1"/>
  <c r="O1294" i="13" a="1"/>
  <c r="O1294" i="13" s="1"/>
  <c r="O811" i="13" a="1"/>
  <c r="O811" i="13" s="1"/>
  <c r="O765" i="13" a="1"/>
  <c r="O765" i="13" s="1"/>
  <c r="O572" i="13" a="1"/>
  <c r="O572" i="13" s="1"/>
  <c r="O493" i="13" a="1"/>
  <c r="O493" i="13" s="1"/>
  <c r="O477" i="13" a="1"/>
  <c r="O477" i="13" s="1"/>
  <c r="O399" i="13" a="1"/>
  <c r="O399" i="13" s="1"/>
  <c r="O249" i="13" a="1"/>
  <c r="O249" i="13" s="1"/>
  <c r="O937" i="13" a="1"/>
  <c r="O937" i="13" s="1"/>
  <c r="O577" i="13" a="1"/>
  <c r="O577" i="13" s="1"/>
  <c r="O1332" i="13" a="1"/>
  <c r="O1332" i="13" s="1"/>
  <c r="O1217" i="13" a="1"/>
  <c r="O1217" i="13" s="1"/>
  <c r="O991" i="13" a="1"/>
  <c r="O991" i="13" s="1"/>
  <c r="O1399" i="13" a="1"/>
  <c r="O1399" i="13" s="1"/>
  <c r="O1249" i="13" a="1"/>
  <c r="O1249" i="13" s="1"/>
  <c r="O1414" i="13" a="1"/>
  <c r="O1414" i="13" s="1"/>
  <c r="O1316" i="13" a="1"/>
  <c r="O1316" i="13" s="1"/>
  <c r="O1139" i="13" a="1"/>
  <c r="O1139" i="13" s="1"/>
  <c r="O1050" i="13" a="1"/>
  <c r="O1050" i="13" s="1"/>
  <c r="O1040" i="13" a="1"/>
  <c r="O1040" i="13" s="1"/>
  <c r="O945" i="13" a="1"/>
  <c r="O945" i="13" s="1"/>
  <c r="O997" i="13" a="1"/>
  <c r="O997" i="13" s="1"/>
  <c r="O990" i="13" a="1"/>
  <c r="O990" i="13" s="1"/>
  <c r="O836" i="13" a="1"/>
  <c r="O836" i="13" s="1"/>
  <c r="O784" i="13" a="1"/>
  <c r="O784" i="13" s="1"/>
  <c r="O1095" i="13" a="1"/>
  <c r="O1095" i="13" s="1"/>
  <c r="O1387" i="13" a="1"/>
  <c r="O1387" i="13" s="1"/>
  <c r="O931" i="13" a="1"/>
  <c r="O931" i="13" s="1"/>
  <c r="O809" i="13" a="1"/>
  <c r="O809" i="13" s="1"/>
  <c r="O637" i="13" a="1"/>
  <c r="O637" i="13" s="1"/>
  <c r="O692" i="13" a="1"/>
  <c r="O692" i="13" s="1"/>
  <c r="O619" i="13" a="1"/>
  <c r="O619" i="13" s="1"/>
  <c r="O502" i="13" a="1"/>
  <c r="O502" i="13" s="1"/>
  <c r="O598" i="13" a="1"/>
  <c r="O598" i="13" s="1"/>
  <c r="O481" i="13" a="1"/>
  <c r="O481" i="13" s="1"/>
  <c r="O1192" i="13" a="1"/>
  <c r="O1192" i="13" s="1"/>
  <c r="O1154" i="13" a="1"/>
  <c r="O1154" i="13" s="1"/>
  <c r="O967" i="13" a="1"/>
  <c r="O967" i="13" s="1"/>
  <c r="O893" i="13" a="1"/>
  <c r="O893" i="13" s="1"/>
  <c r="O688" i="13" a="1"/>
  <c r="O688" i="13" s="1"/>
  <c r="O1313" i="13" a="1"/>
  <c r="O1313" i="13" s="1"/>
  <c r="O1224" i="13" a="1"/>
  <c r="O1224" i="13" s="1"/>
  <c r="O948" i="13" a="1"/>
  <c r="O948" i="13" s="1"/>
  <c r="O1344" i="13" a="1"/>
  <c r="O1344" i="13" s="1"/>
  <c r="O1321" i="13" a="1"/>
  <c r="O1321" i="13" s="1"/>
  <c r="O1334" i="13" a="1"/>
  <c r="O1334" i="13" s="1"/>
  <c r="O1242" i="13" a="1"/>
  <c r="O1242" i="13" s="1"/>
  <c r="O1157" i="13" a="1"/>
  <c r="O1157" i="13" s="1"/>
  <c r="O1201" i="13" a="1"/>
  <c r="O1201" i="13" s="1"/>
  <c r="O1094" i="13" a="1"/>
  <c r="O1094" i="13" s="1"/>
  <c r="O860" i="13" a="1"/>
  <c r="O860" i="13" s="1"/>
  <c r="O789" i="13" a="1"/>
  <c r="O789" i="13" s="1"/>
  <c r="O685" i="13" a="1"/>
  <c r="O685" i="13" s="1"/>
  <c r="O786" i="13" a="1"/>
  <c r="O786" i="13" s="1"/>
  <c r="O670" i="13" a="1"/>
  <c r="O670" i="13" s="1"/>
  <c r="O600" i="13" a="1"/>
  <c r="O600" i="13" s="1"/>
  <c r="O549" i="13" a="1"/>
  <c r="O549" i="13" s="1"/>
  <c r="O1099" i="13" a="1"/>
  <c r="O1099" i="13" s="1"/>
  <c r="O687" i="13" a="1"/>
  <c r="O687" i="13" s="1"/>
  <c r="O1304" i="13" a="1"/>
  <c r="O1304" i="13" s="1"/>
  <c r="O1314" i="13" a="1"/>
  <c r="O1314" i="13" s="1"/>
  <c r="O1059" i="13" a="1"/>
  <c r="O1059" i="13" s="1"/>
  <c r="O993" i="13" a="1"/>
  <c r="O993" i="13" s="1"/>
  <c r="O887" i="13" a="1"/>
  <c r="O887" i="13" s="1"/>
  <c r="O787" i="13" a="1"/>
  <c r="O787" i="13" s="1"/>
  <c r="O203" i="13" a="1"/>
  <c r="O203" i="13" s="1"/>
  <c r="O1231" i="13" a="1"/>
  <c r="O1231" i="13" s="1"/>
  <c r="O992" i="13" a="1"/>
  <c r="O992" i="13" s="1"/>
  <c r="O863" i="13" a="1"/>
  <c r="O863" i="13" s="1"/>
  <c r="O894" i="13" a="1"/>
  <c r="O894" i="13" s="1"/>
  <c r="O748" i="13" a="1"/>
  <c r="O748" i="13" s="1"/>
  <c r="O779" i="13" a="1"/>
  <c r="O779" i="13" s="1"/>
  <c r="O1138" i="13" a="1"/>
  <c r="O1138" i="13" s="1"/>
  <c r="O1021" i="13" a="1"/>
  <c r="O1021" i="13" s="1"/>
  <c r="O877" i="13" a="1"/>
  <c r="O877" i="13" s="1"/>
  <c r="O1305" i="13" a="1"/>
  <c r="O1305" i="13" s="1"/>
  <c r="O1395" i="13" a="1"/>
  <c r="O1395" i="13" s="1"/>
  <c r="O1272" i="13" a="1"/>
  <c r="O1272" i="13" s="1"/>
  <c r="O1169" i="13" a="1"/>
  <c r="O1169" i="13" s="1"/>
  <c r="O1218" i="13" a="1"/>
  <c r="O1218" i="13" s="1"/>
  <c r="O1085" i="13" a="1"/>
  <c r="O1085" i="13" s="1"/>
  <c r="O1234" i="13" a="1"/>
  <c r="O1234" i="13" s="1"/>
  <c r="O671" i="13" a="1"/>
  <c r="O671" i="13" s="1"/>
  <c r="O551" i="13" a="1"/>
  <c r="O551" i="13" s="1"/>
  <c r="O1039" i="13" a="1"/>
  <c r="O1039" i="13" s="1"/>
  <c r="O763" i="13" a="1"/>
  <c r="O763" i="13" s="1"/>
  <c r="O514" i="13" a="1"/>
  <c r="O514" i="13" s="1"/>
  <c r="O716" i="13" a="1"/>
  <c r="O716" i="13" s="1"/>
  <c r="O581" i="13" a="1"/>
  <c r="O581" i="13" s="1"/>
  <c r="O1232" i="13" a="1"/>
  <c r="O1232" i="13" s="1"/>
  <c r="O1113" i="13" a="1"/>
  <c r="O1113" i="13" s="1"/>
  <c r="O980" i="13" a="1"/>
  <c r="O980" i="13" s="1"/>
  <c r="O985" i="13" a="1"/>
  <c r="O985" i="13" s="1"/>
  <c r="O890" i="13" a="1"/>
  <c r="O890" i="13" s="1"/>
  <c r="O884" i="13" a="1"/>
  <c r="O884" i="13" s="1"/>
  <c r="O674" i="13" a="1"/>
  <c r="O674" i="13" s="1"/>
  <c r="O211" i="13" a="1"/>
  <c r="O211" i="13" s="1"/>
  <c r="O1302" i="13" a="1"/>
  <c r="O1302" i="13" s="1"/>
  <c r="O1238" i="13" a="1"/>
  <c r="O1238" i="13" s="1"/>
  <c r="O1350" i="13" a="1"/>
  <c r="O1350" i="13" s="1"/>
  <c r="O1371" i="13" a="1"/>
  <c r="O1371" i="13" s="1"/>
  <c r="O1229" i="13" a="1"/>
  <c r="O1229" i="13" s="1"/>
  <c r="O1164" i="13" a="1"/>
  <c r="O1164" i="13" s="1"/>
  <c r="O1211" i="13" a="1"/>
  <c r="O1211" i="13" s="1"/>
  <c r="O995" i="13" a="1"/>
  <c r="O995" i="13" s="1"/>
  <c r="O971" i="13" a="1"/>
  <c r="O971" i="13" s="1"/>
  <c r="O839" i="13" a="1"/>
  <c r="O839" i="13" s="1"/>
  <c r="O919" i="13" a="1"/>
  <c r="O919" i="13" s="1"/>
  <c r="O759" i="13" a="1"/>
  <c r="O759" i="13" s="1"/>
  <c r="O676" i="13" a="1"/>
  <c r="O676" i="13" s="1"/>
  <c r="O813" i="13" a="1"/>
  <c r="O813" i="13" s="1"/>
  <c r="O1329" i="13" a="1"/>
  <c r="O1329" i="13" s="1"/>
  <c r="O562" i="13" a="1"/>
  <c r="O562" i="13" s="1"/>
  <c r="O613" i="13" a="1"/>
  <c r="O613" i="13" s="1"/>
  <c r="O1064" i="13" a="1"/>
  <c r="O1064" i="13" s="1"/>
  <c r="O844" i="13" a="1"/>
  <c r="O844" i="13" s="1"/>
  <c r="O737" i="13" a="1"/>
  <c r="O737" i="13" s="1"/>
  <c r="O521" i="13" a="1"/>
  <c r="O521" i="13" s="1"/>
  <c r="O1246" i="13" a="1"/>
  <c r="O1246" i="13" s="1"/>
  <c r="O743" i="13" a="1"/>
  <c r="O743" i="13" s="1"/>
  <c r="O668" i="13" a="1"/>
  <c r="O668" i="13" s="1"/>
  <c r="O644" i="13" a="1"/>
  <c r="O644" i="13" s="1"/>
  <c r="O295" i="13" a="1"/>
  <c r="O295" i="13" s="1"/>
  <c r="O1263" i="13" a="1"/>
  <c r="O1263" i="13" s="1"/>
  <c r="O1265" i="13" a="1"/>
  <c r="O1265" i="13" s="1"/>
  <c r="O1180" i="13" a="1"/>
  <c r="O1180" i="13" s="1"/>
  <c r="O955" i="13" a="1"/>
  <c r="O955" i="13" s="1"/>
  <c r="O584" i="13" a="1"/>
  <c r="O584" i="13" s="1"/>
  <c r="O526" i="13" a="1"/>
  <c r="O526" i="13" s="1"/>
  <c r="O505" i="13" a="1"/>
  <c r="O505" i="13" s="1"/>
  <c r="O351" i="13" a="1"/>
  <c r="O351" i="13" s="1"/>
  <c r="O296" i="13" a="1"/>
  <c r="O296" i="13" s="1"/>
  <c r="O193" i="13" a="1"/>
  <c r="O193" i="13" s="1"/>
  <c r="O1047" i="13" a="1"/>
  <c r="O1047" i="13" s="1"/>
  <c r="O947" i="13" a="1"/>
  <c r="O947" i="13" s="1"/>
  <c r="O1023" i="13" a="1"/>
  <c r="O1023" i="13" s="1"/>
  <c r="O896" i="13" a="1"/>
  <c r="O896" i="13" s="1"/>
  <c r="O825" i="13" a="1"/>
  <c r="O825" i="13" s="1"/>
  <c r="O965" i="13" a="1"/>
  <c r="O965" i="13" s="1"/>
  <c r="O722" i="13" a="1"/>
  <c r="O722" i="13" s="1"/>
  <c r="O679" i="13" a="1"/>
  <c r="O679" i="13" s="1"/>
  <c r="O451" i="13" a="1"/>
  <c r="O451" i="13" s="1"/>
  <c r="O353" i="13" a="1"/>
  <c r="O353" i="13" s="1"/>
  <c r="O1178" i="13" a="1"/>
  <c r="O1178" i="13" s="1"/>
  <c r="O1393" i="13" a="1"/>
  <c r="O1393" i="13" s="1"/>
  <c r="O1260" i="13" a="1"/>
  <c r="O1260" i="13" s="1"/>
  <c r="O1151" i="13" a="1"/>
  <c r="O1151" i="13" s="1"/>
  <c r="O1046" i="13" a="1"/>
  <c r="O1046" i="13" s="1"/>
  <c r="O693" i="13" a="1"/>
  <c r="O693" i="13" s="1"/>
  <c r="O453" i="13" a="1"/>
  <c r="O453" i="13" s="1"/>
  <c r="O371" i="13" a="1"/>
  <c r="O371" i="13" s="1"/>
  <c r="O1398" i="13" a="1"/>
  <c r="O1398" i="13" s="1"/>
  <c r="O902" i="13" a="1"/>
  <c r="O902" i="13" s="1"/>
  <c r="O1200" i="13" a="1"/>
  <c r="O1200" i="13" s="1"/>
  <c r="O681" i="13" a="1"/>
  <c r="O681" i="13" s="1"/>
  <c r="O920" i="13" a="1"/>
  <c r="O920" i="13" s="1"/>
  <c r="O1012" i="13" a="1"/>
  <c r="O1012" i="13" s="1"/>
  <c r="O646" i="13" a="1"/>
  <c r="O646" i="13" s="1"/>
  <c r="O603" i="13" a="1"/>
  <c r="O603" i="13" s="1"/>
  <c r="O499" i="13" a="1"/>
  <c r="O499" i="13" s="1"/>
  <c r="O334" i="13" a="1"/>
  <c r="O334" i="13" s="1"/>
  <c r="O385" i="13" a="1"/>
  <c r="O385" i="13" s="1"/>
  <c r="O254" i="13" a="1"/>
  <c r="O254" i="13" s="1"/>
  <c r="O290" i="13" a="1"/>
  <c r="O290" i="13" s="1"/>
  <c r="O310" i="13" a="1"/>
  <c r="O310" i="13" s="1"/>
  <c r="O154" i="13" a="1"/>
  <c r="O154" i="13" s="1"/>
  <c r="O1284" i="13" a="1"/>
  <c r="O1284" i="13" s="1"/>
  <c r="O542" i="13" a="1"/>
  <c r="O542" i="13" s="1"/>
  <c r="O909" i="13" a="1"/>
  <c r="O909" i="13" s="1"/>
  <c r="O963" i="13" a="1"/>
  <c r="O963" i="13" s="1"/>
  <c r="O482" i="13" a="1"/>
  <c r="O482" i="13" s="1"/>
  <c r="O277" i="13" a="1"/>
  <c r="O277" i="13" s="1"/>
  <c r="O208" i="13" a="1"/>
  <c r="O208" i="13" s="1"/>
  <c r="O1125" i="13" a="1"/>
  <c r="O1125" i="13" s="1"/>
  <c r="O1092" i="13" a="1"/>
  <c r="O1092" i="13" s="1"/>
  <c r="O951" i="13" a="1"/>
  <c r="O951" i="13" s="1"/>
  <c r="O1188" i="13" a="1"/>
  <c r="O1188" i="13" s="1"/>
  <c r="O805" i="13" a="1"/>
  <c r="O805" i="13" s="1"/>
  <c r="O596" i="13" a="1"/>
  <c r="O596" i="13" s="1"/>
  <c r="O582" i="13" a="1"/>
  <c r="O582" i="13" s="1"/>
  <c r="O401" i="13" a="1"/>
  <c r="O401" i="13" s="1"/>
  <c r="O278" i="13" a="1"/>
  <c r="O278" i="13" s="1"/>
  <c r="O1418" i="13" a="1"/>
  <c r="O1418" i="13" s="1"/>
  <c r="O1022" i="13" a="1"/>
  <c r="O1022" i="13" s="1"/>
  <c r="O1029" i="13" a="1"/>
  <c r="O1029" i="13" s="1"/>
  <c r="O760" i="13" a="1"/>
  <c r="O760" i="13" s="1"/>
  <c r="O1016" i="13" a="1"/>
  <c r="O1016" i="13" s="1"/>
  <c r="O772" i="13" a="1"/>
  <c r="O772" i="13" s="1"/>
  <c r="O546" i="13" a="1"/>
  <c r="O546" i="13" s="1"/>
  <c r="O415" i="13" a="1"/>
  <c r="O415" i="13" s="1"/>
  <c r="O275" i="13" a="1"/>
  <c r="O275" i="13" s="1"/>
  <c r="O1266" i="13" a="1"/>
  <c r="O1266" i="13" s="1"/>
  <c r="O1278" i="13" a="1"/>
  <c r="O1278" i="13" s="1"/>
  <c r="O1080" i="13" a="1"/>
  <c r="O1080" i="13" s="1"/>
  <c r="O1013" i="13" a="1"/>
  <c r="O1013" i="13" s="1"/>
  <c r="O639" i="13" a="1"/>
  <c r="O639" i="13" s="1"/>
  <c r="O561" i="13" a="1"/>
  <c r="O561" i="13" s="1"/>
  <c r="O522" i="13" a="1"/>
  <c r="O522" i="13" s="1"/>
  <c r="O411" i="13" a="1"/>
  <c r="O411" i="13" s="1"/>
  <c r="O386" i="13" a="1"/>
  <c r="O386" i="13" s="1"/>
  <c r="O257" i="13" a="1"/>
  <c r="O257" i="13" s="1"/>
  <c r="O255" i="13" a="1"/>
  <c r="O255" i="13" s="1"/>
  <c r="O162" i="13" a="1"/>
  <c r="O162" i="13" s="1"/>
  <c r="O1120" i="13" a="1"/>
  <c r="O1120" i="13" s="1"/>
  <c r="O1026" i="13" a="1"/>
  <c r="O1026" i="13" s="1"/>
  <c r="O754" i="13" a="1"/>
  <c r="O754" i="13" s="1"/>
  <c r="O673" i="13" a="1"/>
  <c r="O673" i="13" s="1"/>
  <c r="O558" i="13" a="1"/>
  <c r="O558" i="13" s="1"/>
  <c r="O439" i="13" a="1"/>
  <c r="O439" i="13" s="1"/>
  <c r="O455" i="13" a="1"/>
  <c r="O455" i="13" s="1"/>
  <c r="O363" i="13" a="1"/>
  <c r="O363" i="13" s="1"/>
  <c r="O259" i="13" a="1"/>
  <c r="O259" i="13" s="1"/>
  <c r="O195" i="13" a="1"/>
  <c r="O195" i="13" s="1"/>
  <c r="O1239" i="13" a="1"/>
  <c r="O1239" i="13" s="1"/>
  <c r="O1194" i="13" a="1"/>
  <c r="O1194" i="13" s="1"/>
  <c r="O946" i="13" a="1"/>
  <c r="O946" i="13" s="1"/>
  <c r="O1093" i="13" a="1"/>
  <c r="O1093" i="13" s="1"/>
  <c r="O1002" i="13" a="1"/>
  <c r="O1002" i="13" s="1"/>
  <c r="O900" i="13" a="1"/>
  <c r="O900" i="13" s="1"/>
  <c r="O699" i="13" a="1"/>
  <c r="O699" i="13" s="1"/>
  <c r="O1410" i="13" a="1"/>
  <c r="O1410" i="13" s="1"/>
  <c r="O1250" i="13" a="1"/>
  <c r="O1250" i="13" s="1"/>
  <c r="O198" i="13" a="1"/>
  <c r="O198" i="13" s="1"/>
  <c r="O702" i="13" a="1"/>
  <c r="O702" i="13" s="1"/>
  <c r="O529" i="13" a="1"/>
  <c r="O529" i="13" s="1"/>
  <c r="O274" i="13" a="1"/>
  <c r="O274" i="13" s="1"/>
  <c r="O1079" i="13" a="1"/>
  <c r="O1079" i="13" s="1"/>
  <c r="O793" i="13" a="1"/>
  <c r="O793" i="13" s="1"/>
  <c r="O744" i="13" a="1"/>
  <c r="O744" i="13" s="1"/>
  <c r="O678" i="13" a="1"/>
  <c r="O678" i="13" s="1"/>
  <c r="O413" i="13" a="1"/>
  <c r="O413" i="13" s="1"/>
  <c r="O494" i="13" a="1"/>
  <c r="O494" i="13" s="1"/>
  <c r="O400" i="13" a="1"/>
  <c r="O400" i="13" s="1"/>
  <c r="O266" i="13" a="1"/>
  <c r="O266" i="13" s="1"/>
  <c r="O207" i="13" a="1"/>
  <c r="O207" i="13" s="1"/>
  <c r="O1181" i="13" a="1"/>
  <c r="O1181" i="13" s="1"/>
  <c r="O1423" i="13" a="1"/>
  <c r="O1423" i="13" s="1"/>
  <c r="O936" i="13" a="1"/>
  <c r="O936" i="13" s="1"/>
  <c r="O306" i="13" a="1"/>
  <c r="O306" i="13" s="1"/>
  <c r="O1210" i="13" a="1"/>
  <c r="O1210" i="13" s="1"/>
  <c r="O1027" i="13" a="1"/>
  <c r="O1027" i="13" s="1"/>
  <c r="O903" i="13" a="1"/>
  <c r="O903" i="13" s="1"/>
  <c r="O888" i="13" a="1"/>
  <c r="O888" i="13" s="1"/>
  <c r="O669" i="13" a="1"/>
  <c r="O669" i="13" s="1"/>
  <c r="O611" i="13" a="1"/>
  <c r="O611" i="13" s="1"/>
  <c r="O594" i="13" a="1"/>
  <c r="O594" i="13" s="1"/>
  <c r="O500" i="13" a="1"/>
  <c r="O500" i="13" s="1"/>
  <c r="O469" i="13" a="1"/>
  <c r="O469" i="13" s="1"/>
  <c r="O389" i="13" a="1"/>
  <c r="O389" i="13" s="1"/>
  <c r="O169" i="13" a="1"/>
  <c r="O169" i="13" s="1"/>
  <c r="O1159" i="13" a="1"/>
  <c r="O1159" i="13" s="1"/>
  <c r="O1067" i="13" a="1"/>
  <c r="O1067" i="13" s="1"/>
  <c r="O954" i="13" a="1"/>
  <c r="O954" i="13" s="1"/>
  <c r="O1019" i="13" a="1"/>
  <c r="O1019" i="13" s="1"/>
  <c r="O905" i="13" a="1"/>
  <c r="O905" i="13" s="1"/>
  <c r="O1386" i="13" a="1"/>
  <c r="O1386" i="13" s="1"/>
  <c r="O1409" i="13" a="1"/>
  <c r="O1409" i="13" s="1"/>
  <c r="O1361" i="13" a="1"/>
  <c r="O1361" i="13" s="1"/>
  <c r="O1196" i="13" a="1"/>
  <c r="O1196" i="13" s="1"/>
  <c r="O1193" i="13" a="1"/>
  <c r="O1193" i="13" s="1"/>
  <c r="O1110" i="13" a="1"/>
  <c r="O1110" i="13" s="1"/>
  <c r="O550" i="13" a="1"/>
  <c r="O550" i="13" s="1"/>
  <c r="O330" i="13" a="1"/>
  <c r="O330" i="13" s="1"/>
  <c r="O1300" i="13" a="1"/>
  <c r="O1300" i="13" s="1"/>
  <c r="O1326" i="13" a="1"/>
  <c r="O1326" i="13" s="1"/>
  <c r="O1230" i="13" a="1"/>
  <c r="O1230" i="13" s="1"/>
  <c r="O869" i="13" a="1"/>
  <c r="O869" i="13" s="1"/>
  <c r="O776" i="13" a="1"/>
  <c r="O776" i="13" s="1"/>
  <c r="O608" i="13" a="1"/>
  <c r="O608" i="13" s="1"/>
  <c r="O717" i="13" a="1"/>
  <c r="O717" i="13" s="1"/>
  <c r="O569" i="13" a="1"/>
  <c r="O569" i="13" s="1"/>
  <c r="O362" i="13" a="1"/>
  <c r="O362" i="13" s="1"/>
  <c r="O375" i="13" a="1"/>
  <c r="O375" i="13" s="1"/>
  <c r="O374" i="13" a="1"/>
  <c r="O374" i="13" s="1"/>
  <c r="O1009" i="13" a="1"/>
  <c r="O1009" i="13" s="1"/>
  <c r="O761" i="13" a="1"/>
  <c r="O761" i="13" s="1"/>
  <c r="O800" i="13" a="1"/>
  <c r="O800" i="13" s="1"/>
  <c r="O640" i="13" a="1"/>
  <c r="O640" i="13" s="1"/>
  <c r="O503" i="13" a="1"/>
  <c r="O503" i="13" s="1"/>
  <c r="O392" i="13" a="1"/>
  <c r="O392" i="13" s="1"/>
  <c r="O252" i="13" a="1"/>
  <c r="O252" i="13" s="1"/>
  <c r="O188" i="13" a="1"/>
  <c r="O188" i="13" s="1"/>
  <c r="O1244" i="13" a="1"/>
  <c r="O1244" i="13" s="1"/>
  <c r="O1203" i="13" a="1"/>
  <c r="O1203" i="13" s="1"/>
  <c r="O926" i="13" a="1"/>
  <c r="O926" i="13" s="1"/>
  <c r="O922" i="13" a="1"/>
  <c r="O922" i="13" s="1"/>
  <c r="O912" i="13" a="1"/>
  <c r="O912" i="13" s="1"/>
  <c r="O651" i="13" a="1"/>
  <c r="O651" i="13" s="1"/>
  <c r="O512" i="13" a="1"/>
  <c r="O512" i="13" s="1"/>
  <c r="O1373" i="13" a="1"/>
  <c r="O1373" i="13" s="1"/>
  <c r="O1374" i="13" a="1"/>
  <c r="O1374" i="13" s="1"/>
  <c r="O1303" i="13" a="1"/>
  <c r="O1303" i="13" s="1"/>
  <c r="O1070" i="13" a="1"/>
  <c r="O1070" i="13" s="1"/>
  <c r="O1037" i="13" a="1"/>
  <c r="O1037" i="13" s="1"/>
  <c r="O762" i="13" a="1"/>
  <c r="O762" i="13" s="1"/>
  <c r="O623" i="13" a="1"/>
  <c r="O623" i="13" s="1"/>
  <c r="O473" i="13" a="1"/>
  <c r="O473" i="13" s="1"/>
  <c r="O303" i="13" a="1"/>
  <c r="O303" i="13" s="1"/>
  <c r="O1077" i="13" a="1"/>
  <c r="O1077" i="13" s="1"/>
  <c r="O895" i="13" a="1"/>
  <c r="O895" i="13" s="1"/>
  <c r="O770" i="13" a="1"/>
  <c r="O770" i="13" s="1"/>
  <c r="O641" i="13" a="1"/>
  <c r="O641" i="13" s="1"/>
  <c r="O515" i="13" a="1"/>
  <c r="O515" i="13" s="1"/>
  <c r="O563" i="13" a="1"/>
  <c r="O563" i="13" s="1"/>
  <c r="O511" i="13" a="1"/>
  <c r="O511" i="13" s="1"/>
  <c r="O426" i="13" a="1"/>
  <c r="O426" i="13" s="1"/>
  <c r="O352" i="13" a="1"/>
  <c r="O352" i="13" s="1"/>
  <c r="O267" i="13" a="1"/>
  <c r="O267" i="13" s="1"/>
  <c r="O183" i="13" a="1"/>
  <c r="O183" i="13" s="1"/>
  <c r="O1358" i="13" a="1"/>
  <c r="O1358" i="13" s="1"/>
  <c r="O1264" i="13" a="1"/>
  <c r="O1264" i="13" s="1"/>
  <c r="O872" i="13" a="1"/>
  <c r="O872" i="13" s="1"/>
  <c r="O1133" i="13" a="1"/>
  <c r="O1133" i="13" s="1"/>
  <c r="O977" i="13" a="1"/>
  <c r="O977" i="13" s="1"/>
  <c r="O867" i="13" a="1"/>
  <c r="O867" i="13" s="1"/>
  <c r="O628" i="13" a="1"/>
  <c r="O628" i="13" s="1"/>
  <c r="O591" i="13" a="1"/>
  <c r="O591" i="13" s="1"/>
  <c r="O384" i="13" a="1"/>
  <c r="O384" i="13" s="1"/>
  <c r="O229" i="13" a="1"/>
  <c r="O229" i="13" s="1"/>
  <c r="O178" i="13" a="1"/>
  <c r="O178" i="13" s="1"/>
  <c r="O1382" i="13" a="1"/>
  <c r="O1382" i="13" s="1"/>
  <c r="O1221" i="13" a="1"/>
  <c r="O1221" i="13" s="1"/>
  <c r="O1285" i="13" a="1"/>
  <c r="O1285" i="13" s="1"/>
  <c r="O1063" i="13" a="1"/>
  <c r="O1063" i="13" s="1"/>
  <c r="O953" i="13" a="1"/>
  <c r="O953" i="13" s="1"/>
  <c r="O1417" i="13" a="1"/>
  <c r="O1417" i="13" s="1"/>
  <c r="O841" i="13" a="1"/>
  <c r="O841" i="13" s="1"/>
  <c r="O513" i="13" a="1"/>
  <c r="O513" i="13" s="1"/>
  <c r="O531" i="13" a="1"/>
  <c r="O531" i="13" s="1"/>
  <c r="O264" i="13" a="1"/>
  <c r="O264" i="13" s="1"/>
  <c r="O968" i="13" a="1"/>
  <c r="O968" i="13" s="1"/>
  <c r="O917" i="13" a="1"/>
  <c r="O917" i="13" s="1"/>
  <c r="O74" i="13" a="1"/>
  <c r="O74" i="13" s="1"/>
  <c r="O31" i="13" a="1"/>
  <c r="O31" i="13" s="1"/>
  <c r="O99" i="13" a="1"/>
  <c r="O99" i="13" s="1"/>
  <c r="O92" i="13" a="1"/>
  <c r="O92" i="13" s="1"/>
  <c r="O86" i="13" a="1"/>
  <c r="O86" i="13" s="1"/>
  <c r="O145" i="13" a="1"/>
  <c r="O145" i="13" s="1"/>
  <c r="O64" i="13" a="1"/>
  <c r="O64" i="13" s="1"/>
  <c r="O131" i="13" a="1"/>
  <c r="O131" i="13" s="1"/>
  <c r="O271" i="13" a="1"/>
  <c r="O271" i="13" s="1"/>
  <c r="O220" i="13" a="1"/>
  <c r="O220" i="13" s="1"/>
  <c r="O1057" i="13" a="1"/>
  <c r="O1057" i="13" s="1"/>
  <c r="O1111" i="13" a="1"/>
  <c r="O1111" i="13" s="1"/>
  <c r="O1017" i="13" a="1"/>
  <c r="O1017" i="13" s="1"/>
  <c r="O970" i="13" a="1"/>
  <c r="O970" i="13" s="1"/>
  <c r="O758" i="13" a="1"/>
  <c r="O758" i="13" s="1"/>
  <c r="O588" i="13" a="1"/>
  <c r="O588" i="13" s="1"/>
  <c r="O409" i="13" a="1"/>
  <c r="O409" i="13" s="1"/>
  <c r="O350" i="13" a="1"/>
  <c r="O350" i="13" s="1"/>
  <c r="O1403" i="13" a="1"/>
  <c r="O1403" i="13" s="1"/>
  <c r="O614" i="13" a="1"/>
  <c r="O614" i="13" s="1"/>
  <c r="O712" i="13" a="1"/>
  <c r="O712" i="13" s="1"/>
  <c r="O684" i="13" a="1"/>
  <c r="O684" i="13" s="1"/>
  <c r="O555" i="13" a="1"/>
  <c r="O555" i="13" s="1"/>
  <c r="O467" i="13" a="1"/>
  <c r="O467" i="13" s="1"/>
  <c r="O390" i="13" a="1"/>
  <c r="O390" i="13" s="1"/>
  <c r="O924" i="13" a="1"/>
  <c r="O924" i="13" s="1"/>
  <c r="O868" i="13" a="1"/>
  <c r="O868" i="13" s="1"/>
  <c r="O721" i="13" a="1"/>
  <c r="O721" i="13" s="1"/>
  <c r="O650" i="13" a="1"/>
  <c r="O650" i="13" s="1"/>
  <c r="O627" i="13" a="1"/>
  <c r="O627" i="13" s="1"/>
  <c r="O433" i="13" a="1"/>
  <c r="O433" i="13" s="1"/>
  <c r="O357" i="13" a="1"/>
  <c r="O357" i="13" s="1"/>
  <c r="O321" i="13" a="1"/>
  <c r="O321" i="13" s="1"/>
  <c r="O189" i="13" a="1"/>
  <c r="O189" i="13" s="1"/>
  <c r="O835" i="13" a="1"/>
  <c r="O835" i="13" s="1"/>
  <c r="O837" i="13" a="1"/>
  <c r="O837" i="13" s="1"/>
  <c r="O29" i="13" a="1"/>
  <c r="O29" i="13" s="1"/>
  <c r="O142" i="13" a="1"/>
  <c r="O142" i="13" s="1"/>
  <c r="O114" i="13" a="1"/>
  <c r="O114" i="13" s="1"/>
  <c r="O33" i="13" a="1"/>
  <c r="O33" i="13" s="1"/>
  <c r="O79" i="13" a="1"/>
  <c r="O79" i="13" s="1"/>
  <c r="O146" i="13" a="1"/>
  <c r="O146" i="13" s="1"/>
  <c r="O1259" i="13" a="1"/>
  <c r="O1259" i="13" s="1"/>
  <c r="O1104" i="13" a="1"/>
  <c r="O1104" i="13" s="1"/>
  <c r="O974" i="13" a="1"/>
  <c r="O974" i="13" s="1"/>
  <c r="O941" i="13" a="1"/>
  <c r="O941" i="13" s="1"/>
  <c r="O736" i="13" a="1"/>
  <c r="O736" i="13" s="1"/>
  <c r="O634" i="13" a="1"/>
  <c r="O634" i="13" s="1"/>
  <c r="O420" i="13" a="1"/>
  <c r="O420" i="13" s="1"/>
  <c r="O157" i="13" a="1"/>
  <c r="O157" i="13" s="1"/>
  <c r="O1038" i="13" a="1"/>
  <c r="O1038" i="13" s="1"/>
  <c r="O824" i="13" a="1"/>
  <c r="O824" i="13" s="1"/>
  <c r="O727" i="13" a="1"/>
  <c r="O727" i="13" s="1"/>
  <c r="O636" i="13" a="1"/>
  <c r="O636" i="13" s="1"/>
  <c r="O706" i="13" a="1"/>
  <c r="O706" i="13" s="1"/>
  <c r="O528" i="13" a="1"/>
  <c r="O528" i="13" s="1"/>
  <c r="O629" i="13" a="1"/>
  <c r="O629" i="13" s="1"/>
  <c r="O573" i="13" a="1"/>
  <c r="O573" i="13" s="1"/>
  <c r="O749" i="13" a="1"/>
  <c r="O749" i="13" s="1"/>
  <c r="O1153" i="13" a="1"/>
  <c r="O1153" i="13" s="1"/>
  <c r="O1112" i="13" a="1"/>
  <c r="O1112" i="13" s="1"/>
  <c r="O726" i="13" a="1"/>
  <c r="O726" i="13" s="1"/>
  <c r="O796" i="13" a="1"/>
  <c r="O796" i="13" s="1"/>
  <c r="O632" i="13" a="1"/>
  <c r="O632" i="13" s="1"/>
  <c r="O461" i="13" a="1"/>
  <c r="O461" i="13" s="1"/>
  <c r="O337" i="13" a="1"/>
  <c r="O337" i="13" s="1"/>
  <c r="O180" i="13" a="1"/>
  <c r="O180" i="13" s="1"/>
  <c r="O44" i="13" a="1"/>
  <c r="O44" i="13" s="1"/>
  <c r="O30" i="13" a="1"/>
  <c r="O30" i="13" s="1"/>
  <c r="O69" i="13" a="1"/>
  <c r="O69" i="13" s="1"/>
  <c r="O128" i="13" a="1"/>
  <c r="O128" i="13" s="1"/>
  <c r="O129" i="13" a="1"/>
  <c r="O129" i="13" s="1"/>
  <c r="O48" i="13" a="1"/>
  <c r="O48" i="13" s="1"/>
  <c r="O115" i="13" a="1"/>
  <c r="O115" i="13" s="1"/>
  <c r="O226" i="13" a="1"/>
  <c r="O226" i="13" s="1"/>
  <c r="O1179" i="13" a="1"/>
  <c r="O1179" i="13" s="1"/>
  <c r="O1116" i="13" a="1"/>
  <c r="O1116" i="13" s="1"/>
  <c r="O781" i="13" a="1"/>
  <c r="O781" i="13" s="1"/>
  <c r="O583" i="13" a="1"/>
  <c r="O583" i="13" s="1"/>
  <c r="O552" i="13" a="1"/>
  <c r="O552" i="13" s="1"/>
  <c r="O457" i="13" a="1"/>
  <c r="O457" i="13" s="1"/>
  <c r="O246" i="13" a="1"/>
  <c r="O246" i="13" s="1"/>
  <c r="O239" i="13" a="1"/>
  <c r="O239" i="13" s="1"/>
  <c r="O287" i="13" a="1"/>
  <c r="O287" i="13" s="1"/>
  <c r="O773" i="13" a="1"/>
  <c r="O773" i="13" s="1"/>
  <c r="O554" i="13" a="1"/>
  <c r="O554" i="13" s="1"/>
  <c r="O412" i="13" a="1"/>
  <c r="O412" i="13" s="1"/>
  <c r="O382" i="13" a="1"/>
  <c r="O382" i="13" s="1"/>
  <c r="O289" i="13" a="1"/>
  <c r="O289" i="13" s="1"/>
  <c r="O319" i="13" a="1"/>
  <c r="O319" i="13" s="1"/>
  <c r="O52" i="13" a="1"/>
  <c r="O52" i="13" s="1"/>
  <c r="O112" i="13" a="1"/>
  <c r="O112" i="13" s="1"/>
  <c r="O1385" i="13" a="1"/>
  <c r="O1385" i="13" s="1"/>
  <c r="O1255" i="13" a="1"/>
  <c r="O1255" i="13" s="1"/>
  <c r="O830" i="13" a="1"/>
  <c r="O830" i="13" s="1"/>
  <c r="O812" i="13" a="1"/>
  <c r="O812" i="13" s="1"/>
  <c r="O621" i="13" a="1"/>
  <c r="O621" i="13" s="1"/>
  <c r="O456" i="13" a="1"/>
  <c r="O456" i="13" s="1"/>
  <c r="O376" i="13" a="1"/>
  <c r="O376" i="13" s="1"/>
  <c r="O286" i="13" a="1"/>
  <c r="O286" i="13" s="1"/>
  <c r="O205" i="13" a="1"/>
  <c r="O205" i="13" s="1"/>
  <c r="O944" i="13" a="1"/>
  <c r="O944" i="13" s="1"/>
  <c r="O186" i="13" a="1"/>
  <c r="O186" i="13" s="1"/>
  <c r="O1197" i="13" a="1"/>
  <c r="O1197" i="13" s="1"/>
  <c r="O929" i="13" a="1"/>
  <c r="O929" i="13" s="1"/>
  <c r="O960" i="13" a="1"/>
  <c r="O960" i="13" s="1"/>
  <c r="O854" i="13" a="1"/>
  <c r="O854" i="13" s="1"/>
  <c r="O659" i="13" a="1"/>
  <c r="O659" i="13" s="1"/>
  <c r="O703" i="13" a="1"/>
  <c r="O703" i="13" s="1"/>
  <c r="O589" i="13" a="1"/>
  <c r="O589" i="13" s="1"/>
  <c r="O489" i="13" a="1"/>
  <c r="O489" i="13" s="1"/>
  <c r="O380" i="13" a="1"/>
  <c r="O380" i="13" s="1"/>
  <c r="O320" i="13" a="1"/>
  <c r="O320" i="13" s="1"/>
  <c r="O842" i="13" a="1"/>
  <c r="O842" i="13" s="1"/>
  <c r="O696" i="13" a="1"/>
  <c r="O696" i="13" s="1"/>
  <c r="O530" i="13" a="1"/>
  <c r="O530" i="13" s="1"/>
  <c r="O545" i="13" a="1"/>
  <c r="O545" i="13" s="1"/>
  <c r="O429" i="13" a="1"/>
  <c r="O429" i="13" s="1"/>
  <c r="O444" i="13" a="1"/>
  <c r="O444" i="13" s="1"/>
  <c r="O281" i="13" a="1"/>
  <c r="O281" i="13" s="1"/>
  <c r="O201" i="13" a="1"/>
  <c r="O201" i="13" s="1"/>
  <c r="O8" i="13" a="1"/>
  <c r="O8" i="13" s="1"/>
  <c r="O106" i="13" a="1"/>
  <c r="O106" i="13" s="1"/>
  <c r="O40" i="13" a="1"/>
  <c r="O40" i="13" s="1"/>
  <c r="O137" i="13" a="1"/>
  <c r="O137" i="13" s="1"/>
  <c r="O94" i="13" a="1"/>
  <c r="O94" i="13" s="1"/>
  <c r="O27" i="13" a="1"/>
  <c r="O27" i="13" s="1"/>
  <c r="O96" i="13" a="1"/>
  <c r="O96" i="13" s="1"/>
  <c r="O143" i="13" a="1"/>
  <c r="O143" i="13" s="1"/>
  <c r="O488" i="13" a="1"/>
  <c r="O488" i="13" s="1"/>
  <c r="O853" i="13" a="1"/>
  <c r="O853" i="13" s="1"/>
  <c r="O327" i="13" a="1"/>
  <c r="O327" i="13" s="1"/>
  <c r="O68" i="13" a="1"/>
  <c r="O68" i="13" s="1"/>
  <c r="O85" i="13" a="1"/>
  <c r="O85" i="13" s="1"/>
  <c r="O11" i="13" a="1"/>
  <c r="O11" i="13" s="1"/>
  <c r="O102" i="13" a="1"/>
  <c r="O102" i="13" s="1"/>
  <c r="O35" i="13" a="1"/>
  <c r="O35" i="13" s="1"/>
  <c r="O150" i="13" a="1"/>
  <c r="O150" i="13" s="1"/>
  <c r="O1147" i="13" a="1"/>
  <c r="O1147" i="13" s="1"/>
  <c r="O434" i="13" a="1"/>
  <c r="O434" i="13" s="1"/>
  <c r="O430" i="13" a="1"/>
  <c r="O430" i="13" s="1"/>
  <c r="O395" i="13" a="1"/>
  <c r="O395" i="13" s="1"/>
  <c r="O235" i="13" a="1"/>
  <c r="O235" i="13" s="1"/>
  <c r="O199" i="13" a="1"/>
  <c r="O199" i="13" s="1"/>
  <c r="O480" i="13" a="1"/>
  <c r="O480" i="13" s="1"/>
  <c r="O547" i="13" a="1"/>
  <c r="O547" i="13" s="1"/>
  <c r="O751" i="13" a="1"/>
  <c r="O751" i="13" s="1"/>
  <c r="O83" i="13" a="1"/>
  <c r="O83" i="13" s="1"/>
  <c r="O23" i="13" a="1"/>
  <c r="O23" i="13" s="1"/>
  <c r="O100" i="13" a="1"/>
  <c r="O100" i="13" s="1"/>
  <c r="O51" i="13" a="1"/>
  <c r="O51" i="13" s="1"/>
  <c r="O1144" i="13" a="1"/>
  <c r="O1144" i="13" s="1"/>
  <c r="O575" i="13" a="1"/>
  <c r="O575" i="13" s="1"/>
  <c r="O1383" i="13" a="1"/>
  <c r="O1383" i="13" s="1"/>
  <c r="O1136" i="13" a="1"/>
  <c r="O1136" i="13" s="1"/>
  <c r="O247" i="13" a="1"/>
  <c r="O247" i="13" s="1"/>
  <c r="O179" i="13" a="1"/>
  <c r="O179" i="13" s="1"/>
  <c r="O1185" i="13" a="1"/>
  <c r="O1185" i="13" s="1"/>
  <c r="O369" i="13" a="1"/>
  <c r="O369" i="13" s="1"/>
  <c r="O172" i="13" a="1"/>
  <c r="O172" i="13" s="1"/>
  <c r="O707" i="13" a="1"/>
  <c r="O707" i="13" s="1"/>
  <c r="O312" i="13" a="1"/>
  <c r="O312" i="13" s="1"/>
  <c r="O134" i="13" a="1"/>
  <c r="O134" i="13" s="1"/>
  <c r="O98" i="13" a="1"/>
  <c r="O98" i="13" s="1"/>
  <c r="O46" i="13" a="1"/>
  <c r="O46" i="13" s="1"/>
  <c r="O9" i="13" a="1"/>
  <c r="O9" i="13" s="1"/>
  <c r="O121" i="13" a="1"/>
  <c r="O121" i="13" s="1"/>
  <c r="O78" i="13" a="1"/>
  <c r="O78" i="13" s="1"/>
  <c r="O57" i="13" a="1"/>
  <c r="O57" i="13" s="1"/>
  <c r="O118" i="13" a="1"/>
  <c r="O118" i="13" s="1"/>
  <c r="O214" i="13" a="1"/>
  <c r="O214" i="13" s="1"/>
  <c r="O510" i="13" a="1"/>
  <c r="O510" i="13" s="1"/>
  <c r="O403" i="13" a="1"/>
  <c r="O403" i="13" s="1"/>
  <c r="O347" i="13" a="1"/>
  <c r="O347" i="13" s="1"/>
  <c r="O228" i="13" a="1"/>
  <c r="O228" i="13" s="1"/>
  <c r="O1291" i="13" a="1"/>
  <c r="O1291" i="13" s="1"/>
  <c r="O478" i="13" a="1"/>
  <c r="O478" i="13" s="1"/>
  <c r="O268" i="13" a="1"/>
  <c r="O268" i="13" s="1"/>
  <c r="O311" i="13" a="1"/>
  <c r="O311" i="13" s="1"/>
  <c r="O185" i="13" a="1"/>
  <c r="O185" i="13" s="1"/>
  <c r="O260" i="13" a="1"/>
  <c r="O260" i="13" s="1"/>
  <c r="O285" i="13" a="1"/>
  <c r="O285" i="13" s="1"/>
  <c r="O191" i="13" a="1"/>
  <c r="O191" i="13" s="1"/>
  <c r="O61" i="13" a="1"/>
  <c r="O61" i="13" s="1"/>
  <c r="O17" i="13" a="1"/>
  <c r="O17" i="13" s="1"/>
  <c r="O136" i="13" a="1"/>
  <c r="O136" i="13" s="1"/>
  <c r="O123" i="13" a="1"/>
  <c r="O123" i="13" s="1"/>
  <c r="O139" i="13" a="1"/>
  <c r="O139" i="13" s="1"/>
  <c r="O66" i="13" a="1"/>
  <c r="O66" i="13" s="1"/>
  <c r="O125" i="13" a="1"/>
  <c r="O125" i="13" s="1"/>
  <c r="O1087" i="13" a="1"/>
  <c r="O1087" i="13" s="1"/>
  <c r="O1096" i="13" a="1"/>
  <c r="O1096" i="13" s="1"/>
  <c r="O446" i="13" a="1"/>
  <c r="O446" i="13" s="1"/>
  <c r="O238" i="13" a="1"/>
  <c r="O238" i="13" s="1"/>
  <c r="O950" i="13" a="1"/>
  <c r="O950" i="13" s="1"/>
  <c r="O241" i="13" a="1"/>
  <c r="O241" i="13" s="1"/>
  <c r="O265" i="13" a="1"/>
  <c r="O265" i="13" s="1"/>
  <c r="O472" i="13" a="1"/>
  <c r="O472" i="13" s="1"/>
  <c r="O358" i="13" a="1"/>
  <c r="O358" i="13" s="1"/>
  <c r="O76" i="13" a="1"/>
  <c r="O76" i="13" s="1"/>
  <c r="O108" i="13" a="1"/>
  <c r="O108" i="13" s="1"/>
  <c r="O151" i="13" a="1"/>
  <c r="O151" i="13" s="1"/>
  <c r="O73" i="13" a="1"/>
  <c r="O73" i="13" s="1"/>
  <c r="O133" i="13" a="1"/>
  <c r="O133" i="13" s="1"/>
  <c r="O243" i="13" a="1"/>
  <c r="O243" i="13" s="1"/>
  <c r="O567" i="13" a="1"/>
  <c r="O567" i="13" s="1"/>
  <c r="O464" i="13" a="1"/>
  <c r="O464" i="13" s="1"/>
  <c r="O356" i="13" a="1"/>
  <c r="O356" i="13" s="1"/>
  <c r="O152" i="13" a="1"/>
  <c r="O152" i="13" s="1"/>
  <c r="O443" i="13" a="1"/>
  <c r="O443" i="13" s="1"/>
  <c r="O360" i="13" a="1"/>
  <c r="O360" i="13" s="1"/>
  <c r="O209" i="13" a="1"/>
  <c r="O209" i="13" s="1"/>
  <c r="O59" i="13" a="1"/>
  <c r="O59" i="13" s="1"/>
  <c r="O38" i="13" a="1"/>
  <c r="O38" i="13" s="1"/>
  <c r="O127" i="13" a="1"/>
  <c r="O127" i="13" s="1"/>
  <c r="O84" i="13" a="1"/>
  <c r="O84" i="13" s="1"/>
  <c r="O47" i="13" a="1"/>
  <c r="O47" i="13" s="1"/>
  <c r="O10" i="13" a="1"/>
  <c r="O10" i="13" s="1"/>
  <c r="O80" i="13" a="1"/>
  <c r="O80" i="13" s="1"/>
  <c r="O272" i="13" a="1"/>
  <c r="O272" i="13" s="1"/>
  <c r="O1004" i="13" a="1"/>
  <c r="O1004" i="13" s="1"/>
  <c r="O987" i="13" a="1"/>
  <c r="O987" i="13" s="1"/>
  <c r="O935" i="13" a="1"/>
  <c r="O935" i="13" s="1"/>
  <c r="O465" i="13" a="1"/>
  <c r="O465" i="13" s="1"/>
  <c r="O313" i="13" a="1"/>
  <c r="O313" i="13" s="1"/>
  <c r="O263" i="13" a="1"/>
  <c r="O263" i="13" s="1"/>
  <c r="O959" i="13" a="1"/>
  <c r="O959" i="13" s="1"/>
  <c r="O880" i="13" a="1"/>
  <c r="O880" i="13" s="1"/>
  <c r="O305" i="13" a="1"/>
  <c r="O305" i="13" s="1"/>
  <c r="O501" i="13" a="1"/>
  <c r="O501" i="13" s="1"/>
  <c r="O343" i="13" a="1"/>
  <c r="O343" i="13" s="1"/>
  <c r="O70" i="13" a="1"/>
  <c r="O70" i="13" s="1"/>
  <c r="O130" i="13" a="1"/>
  <c r="O130" i="13" s="1"/>
  <c r="O71" i="13" a="1"/>
  <c r="O71" i="13" s="1"/>
  <c r="O87" i="13" a="1"/>
  <c r="O87" i="13" s="1"/>
  <c r="O21" i="13" a="1"/>
  <c r="O21" i="13" s="1"/>
  <c r="O454" i="13" a="1"/>
  <c r="O454" i="13" s="1"/>
  <c r="O397" i="13" a="1"/>
  <c r="O397" i="13" s="1"/>
  <c r="O299" i="13" a="1"/>
  <c r="O299" i="13" s="1"/>
  <c r="O345" i="13" a="1"/>
  <c r="O345" i="13" s="1"/>
  <c r="O245" i="13" a="1"/>
  <c r="O245" i="13" s="1"/>
  <c r="O176" i="13" a="1"/>
  <c r="O176" i="13" s="1"/>
  <c r="O338" i="13" a="1"/>
  <c r="O338" i="13" s="1"/>
  <c r="O221" i="13" a="1"/>
  <c r="O221" i="13" s="1"/>
  <c r="O686" i="13" a="1"/>
  <c r="O686" i="13" s="1"/>
  <c r="O1054" i="13" a="1"/>
  <c r="O1054" i="13" s="1"/>
  <c r="O427" i="13" a="1"/>
  <c r="O427" i="13" s="1"/>
  <c r="O1118" i="13" a="1"/>
  <c r="O1118" i="13" s="1"/>
  <c r="N1279" i="13"/>
  <c r="O1279" i="13" a="1"/>
  <c r="O1279" i="13" s="1"/>
  <c r="O435" i="13" a="1"/>
  <c r="O435" i="13" s="1"/>
  <c r="O823" i="13" a="1"/>
  <c r="O823" i="13" s="1"/>
  <c r="N823" i="13"/>
  <c r="O104" i="13" a="1"/>
  <c r="O104" i="13" s="1"/>
  <c r="N587" i="13"/>
  <c r="O1390" i="13" a="1"/>
  <c r="O1390" i="13" s="1"/>
  <c r="N1390" i="13"/>
  <c r="O1379" i="13" a="1"/>
  <c r="O1379" i="13" s="1"/>
  <c r="N1379" i="13"/>
  <c r="N1252" i="13"/>
  <c r="O1252" i="13" a="1"/>
  <c r="O1252" i="13" s="1"/>
  <c r="O883" i="13" a="1"/>
  <c r="O883" i="13" s="1"/>
  <c r="N883" i="13"/>
  <c r="O698" i="13" a="1"/>
  <c r="O698" i="13" s="1"/>
  <c r="O424" i="13" a="1"/>
  <c r="O424" i="13" s="1"/>
  <c r="O318" i="13" a="1"/>
  <c r="O318" i="13" s="1"/>
  <c r="O60" i="13" a="1"/>
  <c r="O60" i="13" s="1"/>
  <c r="O1214" i="13" a="1"/>
  <c r="O1214" i="13" s="1"/>
  <c r="N1214" i="13"/>
  <c r="N1380" i="13"/>
  <c r="O1380" i="13" a="1"/>
  <c r="O1380" i="13" s="1"/>
  <c r="N1323" i="13"/>
  <c r="O1323" i="13" a="1"/>
  <c r="O1323" i="13" s="1"/>
  <c r="O1035" i="13" a="1"/>
  <c r="O1035" i="13" s="1"/>
  <c r="O826" i="13" a="1"/>
  <c r="O826" i="13" s="1"/>
  <c r="O657" i="13" a="1"/>
  <c r="O657" i="13" s="1"/>
  <c r="N657" i="13"/>
  <c r="O517" i="13" a="1"/>
  <c r="O517" i="13" s="1"/>
  <c r="O388" i="13" a="1"/>
  <c r="O388" i="13" s="1"/>
  <c r="O77" i="13" a="1"/>
  <c r="O77" i="13" s="1"/>
  <c r="N1248" i="13"/>
  <c r="O1248" i="13" a="1"/>
  <c r="O1248" i="13" s="1"/>
  <c r="O1102" i="13" a="1"/>
  <c r="O1102" i="13" s="1"/>
  <c r="O892" i="13" a="1"/>
  <c r="O892" i="13" s="1"/>
  <c r="N892" i="13"/>
  <c r="O620" i="13" a="1"/>
  <c r="O620" i="13" s="1"/>
  <c r="N620" i="13"/>
  <c r="O536" i="13" a="1"/>
  <c r="O536" i="13" s="1"/>
  <c r="O331" i="13" a="1"/>
  <c r="O331" i="13" s="1"/>
  <c r="O135" i="13" a="1"/>
  <c r="O135" i="13" s="1"/>
  <c r="N1331" i="13"/>
  <c r="O1331" i="13" a="1"/>
  <c r="O1331" i="13" s="1"/>
  <c r="O1134" i="13" a="1"/>
  <c r="O1134" i="13" s="1"/>
  <c r="N1134" i="13"/>
  <c r="O1011" i="13" a="1"/>
  <c r="O1011" i="13" s="1"/>
  <c r="N1011" i="13"/>
  <c r="O728" i="13" a="1"/>
  <c r="O728" i="13" s="1"/>
  <c r="O658" i="13" a="1"/>
  <c r="O658" i="13" s="1"/>
  <c r="O432" i="13" a="1"/>
  <c r="O432" i="13" s="1"/>
  <c r="O283" i="13" a="1"/>
  <c r="O283" i="13" s="1"/>
  <c r="N283" i="13"/>
  <c r="O116" i="13" a="1"/>
  <c r="O116" i="13" s="1"/>
  <c r="N116" i="13"/>
  <c r="N1388" i="13"/>
  <c r="O1388" i="13" a="1"/>
  <c r="O1388" i="13" s="1"/>
  <c r="N1288" i="13"/>
  <c r="O1288" i="13" a="1"/>
  <c r="O1288" i="13" s="1"/>
  <c r="O1076" i="13" a="1"/>
  <c r="O1076" i="13" s="1"/>
  <c r="O1006" i="13" a="1"/>
  <c r="O1006" i="13" s="1"/>
  <c r="O780" i="13" a="1"/>
  <c r="O780" i="13" s="1"/>
  <c r="N780" i="13"/>
  <c r="O653" i="13" a="1"/>
  <c r="O653" i="13" s="1"/>
  <c r="N653" i="13"/>
  <c r="O398" i="13" a="1"/>
  <c r="O398" i="13" s="1"/>
  <c r="N398" i="13"/>
  <c r="O197" i="13" a="1"/>
  <c r="O197" i="13" s="1"/>
  <c r="N1286" i="13"/>
  <c r="O1286" i="13" a="1"/>
  <c r="O1286" i="13" s="1"/>
  <c r="N1146" i="13"/>
  <c r="O1146" i="13" a="1"/>
  <c r="O1146" i="13" s="1"/>
  <c r="O1007" i="13" a="1"/>
  <c r="O1007" i="13" s="1"/>
  <c r="N1007" i="13"/>
  <c r="O908" i="13" a="1"/>
  <c r="O908" i="13" s="1"/>
  <c r="O740" i="13" a="1"/>
  <c r="O740" i="13" s="1"/>
  <c r="N740" i="13"/>
  <c r="O463" i="13" a="1"/>
  <c r="O463" i="13" s="1"/>
  <c r="O200" i="13" a="1"/>
  <c r="O200" i="13" s="1"/>
  <c r="O53" i="13" a="1"/>
  <c r="O53" i="13" s="1"/>
  <c r="N1245" i="13"/>
  <c r="O1245" i="13" a="1"/>
  <c r="O1245" i="13" s="1"/>
  <c r="N1163" i="13"/>
  <c r="O1163" i="13" a="1"/>
  <c r="O1163" i="13" s="1"/>
  <c r="D78" i="13"/>
  <c r="O1058" i="13" a="1"/>
  <c r="O1058" i="13" s="1"/>
  <c r="O849" i="13" a="1"/>
  <c r="O849" i="13" s="1"/>
  <c r="O782" i="13" a="1"/>
  <c r="O782" i="13" s="1"/>
  <c r="N782" i="13"/>
  <c r="O504" i="13" a="1"/>
  <c r="O504" i="13" s="1"/>
  <c r="N504" i="13"/>
  <c r="O237" i="13" a="1"/>
  <c r="O237" i="13" s="1"/>
  <c r="O93" i="13" a="1"/>
  <c r="O93" i="13" s="1"/>
  <c r="N93" i="13"/>
  <c r="N1348" i="13"/>
  <c r="O1348" i="13" a="1"/>
  <c r="O1348" i="13" s="1"/>
  <c r="N1253" i="13"/>
  <c r="O1253" i="13" a="1"/>
  <c r="O1253" i="13" s="1"/>
  <c r="O1030" i="13" a="1"/>
  <c r="O1030" i="13" s="1"/>
  <c r="N1030" i="13"/>
  <c r="O1005" i="13" a="1"/>
  <c r="O1005" i="13" s="1"/>
  <c r="N1005" i="13"/>
  <c r="O648" i="13" a="1"/>
  <c r="O648" i="13" s="1"/>
  <c r="N648" i="13"/>
  <c r="O609" i="13" a="1"/>
  <c r="O609" i="13" s="1"/>
  <c r="O404" i="13" a="1"/>
  <c r="O404" i="13" s="1"/>
  <c r="N404" i="13"/>
  <c r="O158" i="13" a="1"/>
  <c r="O158" i="13" s="1"/>
  <c r="N158" i="13"/>
  <c r="N1281" i="13"/>
  <c r="O1281" i="13" a="1"/>
  <c r="O1281" i="13" s="1"/>
  <c r="O1060" i="13" a="1"/>
  <c r="O1060" i="13" s="1"/>
  <c r="N1060" i="13"/>
  <c r="O1049" i="13" a="1"/>
  <c r="O1049" i="13" s="1"/>
  <c r="D131" i="13"/>
  <c r="N1049" i="13"/>
  <c r="O1003" i="13" a="1"/>
  <c r="O1003" i="13" s="1"/>
  <c r="N1003" i="13"/>
  <c r="O735" i="13" a="1"/>
  <c r="O735" i="13" s="1"/>
  <c r="O663" i="13" a="1"/>
  <c r="O663" i="13" s="1"/>
  <c r="O495" i="13" a="1"/>
  <c r="O495" i="13" s="1"/>
  <c r="O335" i="13" a="1"/>
  <c r="O335" i="13" s="1"/>
  <c r="N335" i="13"/>
  <c r="O316" i="13" a="1"/>
  <c r="O316" i="13" s="1"/>
  <c r="O138" i="13" a="1"/>
  <c r="O138" i="13" s="1"/>
  <c r="O26" i="13" a="1"/>
  <c r="O26" i="13" s="1"/>
  <c r="O1042" i="13" a="1"/>
  <c r="O1042" i="13" s="1"/>
  <c r="O904" i="13" a="1"/>
  <c r="O904" i="13" s="1"/>
  <c r="O730" i="13" a="1"/>
  <c r="O730" i="13" s="1"/>
  <c r="O649" i="13" a="1"/>
  <c r="O649" i="13" s="1"/>
  <c r="O605" i="13" a="1"/>
  <c r="O605" i="13" s="1"/>
  <c r="O364" i="13" a="1"/>
  <c r="O364" i="13" s="1"/>
  <c r="N364" i="13"/>
  <c r="O328" i="13" a="1"/>
  <c r="O328" i="13" s="1"/>
  <c r="O113" i="13" a="1"/>
  <c r="O113" i="13" s="1"/>
  <c r="N113" i="13"/>
  <c r="O25" i="13" a="1"/>
  <c r="O25" i="13" s="1"/>
  <c r="O525" i="13" a="1"/>
  <c r="O525" i="13" s="1"/>
  <c r="N525" i="13"/>
  <c r="O506" i="13" a="1"/>
  <c r="O506" i="13" s="1"/>
  <c r="N506" i="13"/>
  <c r="O240" i="13" a="1"/>
  <c r="O240" i="13" s="1"/>
  <c r="N240" i="13"/>
  <c r="O187" i="13" a="1"/>
  <c r="O187" i="13" s="1"/>
  <c r="O72" i="13" a="1"/>
  <c r="O72" i="13" s="1"/>
  <c r="O1368" i="13" a="1"/>
  <c r="O1368" i="13" s="1"/>
  <c r="N1368" i="13"/>
  <c r="O541" i="13" a="1"/>
  <c r="O541" i="13" s="1"/>
  <c r="D55" i="13"/>
  <c r="O1124" i="13" a="1"/>
  <c r="O1124" i="13" s="1"/>
  <c r="N1124" i="13"/>
  <c r="O1091" i="13" a="1"/>
  <c r="O1091" i="13" s="1"/>
  <c r="O939" i="13" a="1"/>
  <c r="O939" i="13" s="1"/>
  <c r="N939" i="13"/>
  <c r="O12" i="13" a="1"/>
  <c r="O12" i="13" s="1"/>
  <c r="O523" i="13" a="1"/>
  <c r="O523" i="13" s="1"/>
  <c r="N523" i="13"/>
  <c r="O848" i="13" a="1"/>
  <c r="O848" i="13" s="1"/>
  <c r="O282" i="13" a="1"/>
  <c r="O282" i="13" s="1"/>
  <c r="N282" i="13"/>
  <c r="O774" i="13" a="1"/>
  <c r="O774" i="13" s="1"/>
  <c r="O976" i="13" a="1"/>
  <c r="O976" i="13" s="1"/>
  <c r="N1170" i="13"/>
  <c r="O1170" i="13" a="1"/>
  <c r="O1170" i="13" s="1"/>
  <c r="O232" i="13" a="1"/>
  <c r="O232" i="13" s="1"/>
  <c r="N232" i="13"/>
  <c r="O475" i="13" a="1"/>
  <c r="O475" i="13" s="1"/>
  <c r="O394" i="13" a="1"/>
  <c r="O394" i="13" s="1"/>
  <c r="N394" i="13"/>
  <c r="N1366" i="13"/>
  <c r="O1366" i="13" a="1"/>
  <c r="O1366" i="13" s="1"/>
  <c r="N1369" i="13"/>
  <c r="O1369" i="13" a="1"/>
  <c r="O1369" i="13" s="1"/>
  <c r="N1422" i="13"/>
  <c r="O1422" i="13" a="1"/>
  <c r="O1422" i="13" s="1"/>
  <c r="O862" i="13" a="1"/>
  <c r="O862" i="13" s="1"/>
  <c r="O645" i="13" a="1"/>
  <c r="O645" i="13" s="1"/>
  <c r="O428" i="13" a="1"/>
  <c r="O428" i="13" s="1"/>
  <c r="N428" i="13"/>
  <c r="O215" i="13" a="1"/>
  <c r="O215" i="13" s="1"/>
  <c r="O28" i="13" a="1"/>
  <c r="O28" i="13" s="1"/>
  <c r="O1206" i="13" a="1"/>
  <c r="O1206" i="13" s="1"/>
  <c r="N1206" i="13"/>
  <c r="N1424" i="13"/>
  <c r="O1424" i="13" a="1"/>
  <c r="O1424" i="13" s="1"/>
  <c r="N1335" i="13"/>
  <c r="O1335" i="13" a="1"/>
  <c r="O1335" i="13" s="1"/>
  <c r="O1045" i="13" a="1"/>
  <c r="O1045" i="13" s="1"/>
  <c r="N1045" i="13"/>
  <c r="O856" i="13" a="1"/>
  <c r="O856" i="13" s="1"/>
  <c r="N856" i="13"/>
  <c r="O711" i="13" a="1"/>
  <c r="O711" i="13" s="1"/>
  <c r="N711" i="13"/>
  <c r="O438" i="13" a="1"/>
  <c r="O438" i="13" s="1"/>
  <c r="O383" i="13" a="1"/>
  <c r="O383" i="13" s="1"/>
  <c r="N383" i="13"/>
  <c r="O37" i="13" a="1"/>
  <c r="O37" i="13" s="1"/>
  <c r="N1312" i="13"/>
  <c r="O1312" i="13" a="1"/>
  <c r="O1312" i="13" s="1"/>
  <c r="O1033" i="13" a="1"/>
  <c r="O1033" i="13" s="1"/>
  <c r="N1033" i="13"/>
  <c r="D81" i="13"/>
  <c r="O988" i="13" a="1"/>
  <c r="O988" i="13" s="1"/>
  <c r="N988" i="13"/>
  <c r="O694" i="13" a="1"/>
  <c r="O694" i="13" s="1"/>
  <c r="O458" i="13" a="1"/>
  <c r="O458" i="13" s="1"/>
  <c r="N458" i="13"/>
  <c r="O262" i="13" a="1"/>
  <c r="O262" i="13" s="1"/>
  <c r="N262" i="13"/>
  <c r="O117" i="13" a="1"/>
  <c r="O117" i="13" s="1"/>
  <c r="N117" i="13"/>
  <c r="N1295" i="13"/>
  <c r="O1295" i="13" a="1"/>
  <c r="O1295" i="13" s="1"/>
  <c r="N1207" i="13"/>
  <c r="O1207" i="13" a="1"/>
  <c r="O1207" i="13" s="1"/>
  <c r="O998" i="13" a="1"/>
  <c r="O998" i="13" s="1"/>
  <c r="N998" i="13"/>
  <c r="O804" i="13" a="1"/>
  <c r="O804" i="13" s="1"/>
  <c r="O718" i="13" a="1"/>
  <c r="O718" i="13" s="1"/>
  <c r="O452" i="13" a="1"/>
  <c r="O452" i="13" s="1"/>
  <c r="N452" i="13"/>
  <c r="O256" i="13" a="1"/>
  <c r="O256" i="13" s="1"/>
  <c r="N256" i="13"/>
  <c r="O107" i="13" a="1"/>
  <c r="O107" i="13" s="1"/>
  <c r="N1394" i="13"/>
  <c r="O1394" i="13" a="1"/>
  <c r="O1394" i="13" s="1"/>
  <c r="O1241" i="13" a="1"/>
  <c r="O1241" i="13" s="1"/>
  <c r="N1241" i="13"/>
  <c r="O1074" i="13" a="1"/>
  <c r="O1074" i="13" s="1"/>
  <c r="N1074" i="13"/>
  <c r="O1114" i="13" a="1"/>
  <c r="O1114" i="13" s="1"/>
  <c r="D28" i="13"/>
  <c r="O798" i="13" a="1"/>
  <c r="O798" i="13" s="1"/>
  <c r="O544" i="13" a="1"/>
  <c r="O544" i="13" s="1"/>
  <c r="O418" i="13" a="1"/>
  <c r="O418" i="13" s="1"/>
  <c r="O212" i="13" a="1"/>
  <c r="O212" i="13" s="1"/>
  <c r="N1293" i="13"/>
  <c r="O1293" i="13" a="1"/>
  <c r="O1293" i="13" s="1"/>
  <c r="N1156" i="13"/>
  <c r="O1156" i="13" a="1"/>
  <c r="O1156" i="13" s="1"/>
  <c r="O938" i="13" a="1"/>
  <c r="O938" i="13" s="1"/>
  <c r="O846" i="13" a="1"/>
  <c r="O846" i="13" s="1"/>
  <c r="N846" i="13"/>
  <c r="O631" i="13" a="1"/>
  <c r="O631" i="13" s="1"/>
  <c r="N631" i="13"/>
  <c r="O396" i="13" a="1"/>
  <c r="O396" i="13" s="1"/>
  <c r="N396" i="13"/>
  <c r="O177" i="13" a="1"/>
  <c r="O177" i="13" s="1"/>
  <c r="N177" i="13"/>
  <c r="O43" i="13" a="1"/>
  <c r="O43" i="13" s="1"/>
  <c r="N1330" i="13"/>
  <c r="O1330" i="13" a="1"/>
  <c r="O1330" i="13" s="1"/>
  <c r="N1216" i="13"/>
  <c r="O1216" i="13" a="1"/>
  <c r="O1216" i="13" s="1"/>
  <c r="D85" i="13"/>
  <c r="O1098" i="13" a="1"/>
  <c r="O1098" i="13" s="1"/>
  <c r="N1098" i="13"/>
  <c r="O858" i="13" a="1"/>
  <c r="O858" i="13" s="1"/>
  <c r="N858" i="13"/>
  <c r="O719" i="13" a="1"/>
  <c r="O719" i="13" s="1"/>
  <c r="O422" i="13" a="1"/>
  <c r="O422" i="13" s="1"/>
  <c r="O284" i="13" a="1"/>
  <c r="O284" i="13" s="1"/>
  <c r="N284" i="13"/>
  <c r="O62" i="13" a="1"/>
  <c r="O62" i="13" s="1"/>
  <c r="N1381" i="13"/>
  <c r="O1381" i="13" a="1"/>
  <c r="O1381" i="13" s="1"/>
  <c r="N1275" i="13"/>
  <c r="O1275" i="13" a="1"/>
  <c r="O1275" i="13" s="1"/>
  <c r="O1078" i="13" a="1"/>
  <c r="O1078" i="13" s="1"/>
  <c r="N1078" i="13"/>
  <c r="O850" i="13" a="1"/>
  <c r="O850" i="13" s="1"/>
  <c r="N850" i="13"/>
  <c r="O819" i="13" a="1"/>
  <c r="O819" i="13" s="1"/>
  <c r="N819" i="13"/>
  <c r="O491" i="13" a="1"/>
  <c r="O491" i="13" s="1"/>
  <c r="O377" i="13" a="1"/>
  <c r="O377" i="13" s="1"/>
  <c r="O148" i="13" a="1"/>
  <c r="O148" i="13" s="1"/>
  <c r="N148" i="13"/>
  <c r="N1148" i="13"/>
  <c r="O1148" i="13" a="1"/>
  <c r="O1148" i="13" s="1"/>
  <c r="O1149" i="13" a="1"/>
  <c r="O1149" i="13" s="1"/>
  <c r="N1149" i="13"/>
  <c r="O996" i="13" a="1"/>
  <c r="O996" i="13" s="1"/>
  <c r="D68" i="13"/>
  <c r="O933" i="13" a="1"/>
  <c r="O933" i="13" s="1"/>
  <c r="O818" i="13" a="1"/>
  <c r="O818" i="13" s="1"/>
  <c r="O590" i="13" a="1"/>
  <c r="O590" i="13" s="1"/>
  <c r="O604" i="13" a="1"/>
  <c r="O604" i="13" s="1"/>
  <c r="N604" i="13"/>
  <c r="O355" i="13" a="1"/>
  <c r="O355" i="13" s="1"/>
  <c r="N355" i="13"/>
  <c r="O273" i="13" a="1"/>
  <c r="O273" i="13" s="1"/>
  <c r="N273" i="13"/>
  <c r="O122" i="13" a="1"/>
  <c r="O122" i="13" s="1"/>
  <c r="N122" i="13"/>
  <c r="O18" i="13" a="1"/>
  <c r="O18" i="13" s="1"/>
  <c r="O1010" i="13" a="1"/>
  <c r="O1010" i="13" s="1"/>
  <c r="N1010" i="13"/>
  <c r="O834" i="13" a="1"/>
  <c r="O834" i="13" s="1"/>
  <c r="N834" i="13"/>
  <c r="O732" i="13" a="1"/>
  <c r="O732" i="13" s="1"/>
  <c r="O682" i="13" a="1"/>
  <c r="O682" i="13" s="1"/>
  <c r="O449" i="13" a="1"/>
  <c r="O449" i="13" s="1"/>
  <c r="N449" i="13"/>
  <c r="O332" i="13" a="1"/>
  <c r="O332" i="13" s="1"/>
  <c r="N332" i="13"/>
  <c r="O309" i="13" a="1"/>
  <c r="O309" i="13" s="1"/>
  <c r="N309" i="13"/>
  <c r="O105" i="13" a="1"/>
  <c r="O105" i="13" s="1"/>
  <c r="O820" i="13" a="1"/>
  <c r="O820" i="13" s="1"/>
  <c r="O516" i="13" a="1"/>
  <c r="O516" i="13" s="1"/>
  <c r="O483" i="13" a="1"/>
  <c r="O483" i="13" s="1"/>
  <c r="N483" i="13"/>
  <c r="O293" i="13" a="1"/>
  <c r="O293" i="13" s="1"/>
  <c r="N293" i="13"/>
  <c r="O223" i="13" a="1"/>
  <c r="O223" i="13" s="1"/>
  <c r="O56" i="13" a="1"/>
  <c r="O56" i="13" s="1"/>
  <c r="O738" i="13" a="1"/>
  <c r="O738" i="13" s="1"/>
  <c r="N738" i="13"/>
  <c r="N1262" i="13"/>
  <c r="O1262" i="13" a="1"/>
  <c r="O1262" i="13" s="1"/>
  <c r="O1243" i="13" a="1"/>
  <c r="O1243" i="13" s="1"/>
  <c r="N1243" i="13"/>
  <c r="O218" i="13" a="1"/>
  <c r="O218" i="13" s="1"/>
  <c r="O387" i="13" a="1"/>
  <c r="O387" i="13" s="1"/>
  <c r="O664" i="13" a="1"/>
  <c r="O664" i="13" s="1"/>
  <c r="N664" i="13"/>
  <c r="O479" i="13" a="1"/>
  <c r="O479" i="13" s="1"/>
  <c r="N479" i="13"/>
  <c r="O956" i="13" a="1"/>
  <c r="O956" i="13" s="1"/>
  <c r="O251" i="13" a="1"/>
  <c r="O251" i="13" s="1"/>
  <c r="N251" i="13"/>
  <c r="O755" i="13" a="1"/>
  <c r="O755" i="13" s="1"/>
  <c r="O840" i="13" a="1"/>
  <c r="O840" i="13" s="1"/>
  <c r="D98" i="13"/>
  <c r="O1187" i="13" a="1"/>
  <c r="O1187" i="13" s="1"/>
  <c r="N1187" i="13"/>
  <c r="O326" i="13" a="1"/>
  <c r="O326" i="13" s="1"/>
  <c r="N326" i="13"/>
  <c r="O192" i="13" a="1"/>
  <c r="O192" i="13" s="1"/>
  <c r="N110" i="13"/>
  <c r="N774" i="13"/>
  <c r="N1351" i="13"/>
  <c r="O1351" i="13" a="1"/>
  <c r="O1351" i="13" s="1"/>
  <c r="N1345" i="13"/>
  <c r="O1345" i="13" a="1"/>
  <c r="O1345" i="13" s="1"/>
  <c r="O928" i="13" a="1"/>
  <c r="O928" i="13" s="1"/>
  <c r="O910" i="13" a="1"/>
  <c r="O910" i="13" s="1"/>
  <c r="O535" i="13" a="1"/>
  <c r="O535" i="13" s="1"/>
  <c r="N535" i="13"/>
  <c r="O485" i="13" a="1"/>
  <c r="O485" i="13" s="1"/>
  <c r="O217" i="13" a="1"/>
  <c r="O217" i="13" s="1"/>
  <c r="O15" i="13" a="1"/>
  <c r="O15" i="13" s="1"/>
  <c r="O1100" i="13" a="1"/>
  <c r="O1100" i="13" s="1"/>
  <c r="N1376" i="13"/>
  <c r="O1376" i="13" a="1"/>
  <c r="O1376" i="13" s="1"/>
  <c r="N1315" i="13"/>
  <c r="O1315" i="13" a="1"/>
  <c r="O1315" i="13" s="1"/>
  <c r="O1183" i="13" a="1"/>
  <c r="O1183" i="13" s="1"/>
  <c r="O882" i="13" a="1"/>
  <c r="O882" i="13" s="1"/>
  <c r="N882" i="13"/>
  <c r="O652" i="13" a="1"/>
  <c r="O652" i="13" s="1"/>
  <c r="O519" i="13" a="1"/>
  <c r="O519" i="13" s="1"/>
  <c r="O339" i="13" a="1"/>
  <c r="O339" i="13" s="1"/>
  <c r="O14" i="13" a="1"/>
  <c r="O14" i="13" s="1"/>
  <c r="N1168" i="13"/>
  <c r="O1168" i="13" a="1"/>
  <c r="O1168" i="13" s="1"/>
  <c r="D33" i="13"/>
  <c r="O1115" i="13" a="1"/>
  <c r="O1115" i="13" s="1"/>
  <c r="O875" i="13" a="1"/>
  <c r="O875" i="13" s="1"/>
  <c r="O675" i="13" a="1"/>
  <c r="O675" i="13" s="1"/>
  <c r="N675" i="13"/>
  <c r="O532" i="13" a="1"/>
  <c r="O532" i="13" s="1"/>
  <c r="O233" i="13" a="1"/>
  <c r="O233" i="13" s="1"/>
  <c r="N233" i="13"/>
  <c r="O67" i="13" a="1"/>
  <c r="O67" i="13" s="1"/>
  <c r="N1270" i="13"/>
  <c r="O1270" i="13" a="1"/>
  <c r="O1270" i="13" s="1"/>
  <c r="O1090" i="13" a="1"/>
  <c r="O1090" i="13" s="1"/>
  <c r="O986" i="13" a="1"/>
  <c r="O986" i="13" s="1"/>
  <c r="O775" i="13" a="1"/>
  <c r="O775" i="13" s="1"/>
  <c r="O654" i="13" a="1"/>
  <c r="O654" i="13" s="1"/>
  <c r="O414" i="13" a="1"/>
  <c r="O414" i="13" s="1"/>
  <c r="O297" i="13" a="1"/>
  <c r="O297" i="13" s="1"/>
  <c r="N297" i="13"/>
  <c r="O75" i="13" a="1"/>
  <c r="O75" i="13" s="1"/>
  <c r="N1421" i="13"/>
  <c r="O1421" i="13" a="1"/>
  <c r="O1421" i="13" s="1"/>
  <c r="O1306" i="13" a="1"/>
  <c r="O1306" i="13" s="1"/>
  <c r="N1306" i="13"/>
  <c r="O1213" i="13" a="1"/>
  <c r="O1213" i="13" s="1"/>
  <c r="N1213" i="13"/>
  <c r="O828" i="13" a="1"/>
  <c r="O828" i="13" s="1"/>
  <c r="O871" i="13" a="1"/>
  <c r="O871" i="13" s="1"/>
  <c r="O543" i="13" a="1"/>
  <c r="O543" i="13" s="1"/>
  <c r="O370" i="13" a="1"/>
  <c r="O370" i="13" s="1"/>
  <c r="N370" i="13"/>
  <c r="O163" i="13" a="1"/>
  <c r="O163" i="13" s="1"/>
  <c r="N163" i="13"/>
  <c r="O1258" i="13" a="1"/>
  <c r="O1258" i="13" s="1"/>
  <c r="N1258" i="13"/>
  <c r="O1127" i="13" a="1"/>
  <c r="O1127" i="13" s="1"/>
  <c r="N1127" i="13"/>
  <c r="O952" i="13" a="1"/>
  <c r="O952" i="13" s="1"/>
  <c r="O790" i="13" a="1"/>
  <c r="O790" i="13" s="1"/>
  <c r="N790" i="13"/>
  <c r="O701" i="13" a="1"/>
  <c r="O701" i="13" s="1"/>
  <c r="O333" i="13" a="1"/>
  <c r="O333" i="13" s="1"/>
  <c r="O292" i="13" a="1"/>
  <c r="O292" i="13" s="1"/>
  <c r="O20" i="13" a="1"/>
  <c r="O20" i="13" s="1"/>
  <c r="N1251" i="13"/>
  <c r="O1251" i="13" a="1"/>
  <c r="O1251" i="13" s="1"/>
  <c r="O1121" i="13" a="1"/>
  <c r="O1121" i="13" s="1"/>
  <c r="N1121" i="13"/>
  <c r="O1000" i="13" a="1"/>
  <c r="O1000" i="13" s="1"/>
  <c r="O816" i="13" a="1"/>
  <c r="O816" i="13" s="1"/>
  <c r="N816" i="13"/>
  <c r="O633" i="13" a="1"/>
  <c r="O633" i="13" s="1"/>
  <c r="O423" i="13" a="1"/>
  <c r="O423" i="13" s="1"/>
  <c r="N423" i="13"/>
  <c r="O224" i="13" a="1"/>
  <c r="O224" i="13" s="1"/>
  <c r="O19" i="13" a="1"/>
  <c r="O19" i="13" s="1"/>
  <c r="N1406" i="13"/>
  <c r="O1406" i="13" a="1"/>
  <c r="O1406" i="13" s="1"/>
  <c r="N1143" i="13"/>
  <c r="O1143" i="13" a="1"/>
  <c r="O1143" i="13" s="1"/>
  <c r="O1069" i="13" a="1"/>
  <c r="O1069" i="13" s="1"/>
  <c r="O899" i="13" a="1"/>
  <c r="O899" i="13" s="1"/>
  <c r="O705" i="13" a="1"/>
  <c r="O705" i="13" s="1"/>
  <c r="O578" i="13" a="1"/>
  <c r="O578" i="13" s="1"/>
  <c r="O1338" i="13" a="1"/>
  <c r="O1338" i="13" s="1"/>
  <c r="O248" i="13" a="1"/>
  <c r="O248" i="13" s="1"/>
  <c r="N248" i="13"/>
  <c r="O111" i="13" a="1"/>
  <c r="O111" i="13" s="1"/>
  <c r="N111" i="13"/>
  <c r="N1177" i="13"/>
  <c r="O1177" i="13" a="1"/>
  <c r="O1177" i="13" s="1"/>
  <c r="O1075" i="13" a="1"/>
  <c r="O1075" i="13" s="1"/>
  <c r="O979" i="13" a="1"/>
  <c r="O979" i="13" s="1"/>
  <c r="O864" i="13" a="1"/>
  <c r="O864" i="13" s="1"/>
  <c r="O747" i="13" a="1"/>
  <c r="O747" i="13" s="1"/>
  <c r="O667" i="13" a="1"/>
  <c r="O667" i="13" s="1"/>
  <c r="O408" i="13" a="1"/>
  <c r="O408" i="13" s="1"/>
  <c r="O407" i="13" a="1"/>
  <c r="O407" i="13" s="1"/>
  <c r="N407" i="13"/>
  <c r="O161" i="13" a="1"/>
  <c r="O161" i="13" s="1"/>
  <c r="O90" i="13" a="1"/>
  <c r="O90" i="13" s="1"/>
  <c r="N90" i="13"/>
  <c r="O1082" i="13" a="1"/>
  <c r="O1082" i="13" s="1"/>
  <c r="N1082" i="13"/>
  <c r="O984" i="13" a="1"/>
  <c r="O984" i="13" s="1"/>
  <c r="N984" i="13"/>
  <c r="O989" i="13" a="1"/>
  <c r="O989" i="13" s="1"/>
  <c r="O734" i="13" a="1"/>
  <c r="O734" i="13" s="1"/>
  <c r="O709" i="13" a="1"/>
  <c r="O709" i="13" s="1"/>
  <c r="O459" i="13" a="1"/>
  <c r="O459" i="13" s="1"/>
  <c r="O378" i="13" a="1"/>
  <c r="O378" i="13" s="1"/>
  <c r="N378" i="13"/>
  <c r="O190" i="13" a="1"/>
  <c r="O190" i="13" s="1"/>
  <c r="O97" i="13" a="1"/>
  <c r="O97" i="13" s="1"/>
  <c r="N97" i="13"/>
  <c r="O723" i="13" a="1"/>
  <c r="O723" i="13" s="1"/>
  <c r="N723" i="13"/>
  <c r="O524" i="13" a="1"/>
  <c r="O524" i="13" s="1"/>
  <c r="O445" i="13" a="1"/>
  <c r="O445" i="13" s="1"/>
  <c r="O301" i="13" a="1"/>
  <c r="O301" i="13" s="1"/>
  <c r="N301" i="13"/>
  <c r="O155" i="13" a="1"/>
  <c r="O155" i="13" s="1"/>
  <c r="N155" i="13"/>
  <c r="O32" i="13" a="1"/>
  <c r="O32" i="13" s="1"/>
  <c r="N1336" i="13"/>
  <c r="O1336" i="13" a="1"/>
  <c r="O1336" i="13" s="1"/>
  <c r="O1175" i="13" a="1"/>
  <c r="O1175" i="13" s="1"/>
  <c r="O803" i="13" a="1"/>
  <c r="O803" i="13" s="1"/>
  <c r="N803" i="13"/>
  <c r="O393" i="13" a="1"/>
  <c r="O393" i="13" s="1"/>
  <c r="N393" i="13"/>
  <c r="O1084" i="13" a="1"/>
  <c r="O1084" i="13" s="1"/>
  <c r="N1084" i="13"/>
  <c r="N1236" i="13"/>
  <c r="O1236" i="13" a="1"/>
  <c r="O1236" i="13" s="1"/>
  <c r="D59" i="13"/>
  <c r="O1128" i="13" a="1"/>
  <c r="O1128" i="13" s="1"/>
  <c r="N1128" i="13"/>
  <c r="N1340" i="13"/>
  <c r="O1340" i="13" a="1"/>
  <c r="O1340" i="13" s="1"/>
  <c r="N1401" i="13"/>
  <c r="O1401" i="13" a="1"/>
  <c r="O1401" i="13" s="1"/>
  <c r="O300" i="13" a="1"/>
  <c r="O300" i="13" s="1"/>
  <c r="O785" i="13" a="1"/>
  <c r="O785" i="13" s="1"/>
  <c r="N785" i="13"/>
  <c r="O156" i="13" a="1"/>
  <c r="O156" i="13" s="1"/>
  <c r="N156" i="13"/>
  <c r="O538" i="13" a="1"/>
  <c r="O538" i="13" s="1"/>
  <c r="O49" i="13" a="1"/>
  <c r="O49" i="13" s="1"/>
  <c r="N956" i="13"/>
  <c r="N12" i="13"/>
  <c r="O1420" i="13" a="1"/>
  <c r="O1420" i="13" s="1"/>
  <c r="N1420" i="13"/>
  <c r="N1338" i="13"/>
  <c r="O994" i="13" a="1"/>
  <c r="O994" i="13" s="1"/>
  <c r="N994" i="13"/>
  <c r="O807" i="13" a="1"/>
  <c r="O807" i="13" s="1"/>
  <c r="N807" i="13"/>
  <c r="O566" i="13" a="1"/>
  <c r="O566" i="13" s="1"/>
  <c r="O365" i="13" a="1"/>
  <c r="O365" i="13" s="1"/>
  <c r="N365" i="13"/>
  <c r="O184" i="13" a="1"/>
  <c r="O184" i="13" s="1"/>
  <c r="N1256" i="13"/>
  <c r="O1256" i="13" a="1"/>
  <c r="O1256" i="13" s="1"/>
  <c r="O1062" i="13" a="1"/>
  <c r="O1062" i="13" s="1"/>
  <c r="N1062" i="13"/>
  <c r="N1377" i="13"/>
  <c r="O1377" i="13" a="1"/>
  <c r="O1377" i="13" s="1"/>
  <c r="O1310" i="13" a="1"/>
  <c r="O1310" i="13" s="1"/>
  <c r="N1310" i="13"/>
  <c r="O1171" i="13" a="1"/>
  <c r="O1171" i="13" s="1"/>
  <c r="N1171" i="13"/>
  <c r="O822" i="13" a="1"/>
  <c r="O822" i="13" s="1"/>
  <c r="N822" i="13"/>
  <c r="O565" i="13" a="1"/>
  <c r="O565" i="13" s="1"/>
  <c r="O460" i="13" a="1"/>
  <c r="O460" i="13" s="1"/>
  <c r="N460" i="13"/>
  <c r="O182" i="13" a="1"/>
  <c r="O182" i="13" s="1"/>
  <c r="N1416" i="13"/>
  <c r="O1416" i="13" a="1"/>
  <c r="O1416" i="13" s="1"/>
  <c r="N1219" i="13"/>
  <c r="O1219" i="13" a="1"/>
  <c r="O1219" i="13" s="1"/>
  <c r="O1052" i="13" a="1"/>
  <c r="O1052" i="13" s="1"/>
  <c r="O847" i="13" a="1"/>
  <c r="O847" i="13" s="1"/>
  <c r="O612" i="13" a="1"/>
  <c r="O612" i="13" s="1"/>
  <c r="O492" i="13" a="1"/>
  <c r="O492" i="13" s="1"/>
  <c r="N492" i="13"/>
  <c r="O234" i="13" a="1"/>
  <c r="O234" i="13" s="1"/>
  <c r="N234" i="13"/>
  <c r="O36" i="13" a="1"/>
  <c r="O36" i="13" s="1"/>
  <c r="N1297" i="13"/>
  <c r="O1297" i="13" a="1"/>
  <c r="O1297" i="13" s="1"/>
  <c r="O1043" i="13" a="1"/>
  <c r="O1043" i="13" s="1"/>
  <c r="N1043" i="13"/>
  <c r="O876" i="13" a="1"/>
  <c r="O876" i="13" s="1"/>
  <c r="O731" i="13" a="1"/>
  <c r="O731" i="13" s="1"/>
  <c r="O638" i="13" a="1"/>
  <c r="O638" i="13" s="1"/>
  <c r="N638" i="13"/>
  <c r="O447" i="13" a="1"/>
  <c r="O447" i="13" s="1"/>
  <c r="O194" i="13" a="1"/>
  <c r="O194" i="13" s="1"/>
  <c r="O55" i="13" a="1"/>
  <c r="O55" i="13" s="1"/>
  <c r="N1341" i="13"/>
  <c r="O1341" i="13" a="1"/>
  <c r="O1341" i="13" s="1"/>
  <c r="O1161" i="13" a="1"/>
  <c r="O1161" i="13" s="1"/>
  <c r="N1161" i="13"/>
  <c r="O1130" i="13" a="1"/>
  <c r="O1130" i="13" s="1"/>
  <c r="O1028" i="13" a="1"/>
  <c r="O1028" i="13" s="1"/>
  <c r="D25" i="13"/>
  <c r="N1028" i="13"/>
  <c r="O788" i="13" a="1"/>
  <c r="O788" i="13" s="1"/>
  <c r="O595" i="13" a="1"/>
  <c r="O595" i="13" s="1"/>
  <c r="O372" i="13" a="1"/>
  <c r="O372" i="13" s="1"/>
  <c r="O168" i="13" a="1"/>
  <c r="O168" i="13" s="1"/>
  <c r="N1283" i="13"/>
  <c r="O1283" i="13" a="1"/>
  <c r="O1283" i="13" s="1"/>
  <c r="O1048" i="13" a="1"/>
  <c r="O1048" i="13" s="1"/>
  <c r="N1048" i="13"/>
  <c r="O859" i="13" a="1"/>
  <c r="O859" i="13" s="1"/>
  <c r="O720" i="13" a="1"/>
  <c r="O720" i="13" s="1"/>
  <c r="O713" i="13" a="1"/>
  <c r="O713" i="13" s="1"/>
  <c r="O315" i="13" a="1"/>
  <c r="O315" i="13" s="1"/>
  <c r="N315" i="13"/>
  <c r="O141" i="13" a="1"/>
  <c r="O141" i="13" s="1"/>
  <c r="N1384" i="13"/>
  <c r="O1384" i="13" a="1"/>
  <c r="O1384" i="13" s="1"/>
  <c r="N1324" i="13"/>
  <c r="O1324" i="13" a="1"/>
  <c r="O1324" i="13" s="1"/>
  <c r="O1072" i="13" a="1"/>
  <c r="O1072" i="13" s="1"/>
  <c r="N1072" i="13"/>
  <c r="D87" i="13"/>
  <c r="O1108" i="13" a="1"/>
  <c r="O1108" i="13" s="1"/>
  <c r="O745" i="13" a="1"/>
  <c r="O745" i="13" s="1"/>
  <c r="O647" i="13" a="1"/>
  <c r="O647" i="13" s="1"/>
  <c r="O450" i="13" a="1"/>
  <c r="O450" i="13" s="1"/>
  <c r="O219" i="13" a="1"/>
  <c r="O219" i="13" s="1"/>
  <c r="O1365" i="13" a="1"/>
  <c r="O1365" i="13" s="1"/>
  <c r="N1365" i="13"/>
  <c r="N1392" i="13"/>
  <c r="O1392" i="13" a="1"/>
  <c r="O1392" i="13" s="1"/>
  <c r="N1173" i="13"/>
  <c r="O1173" i="13" a="1"/>
  <c r="O1173" i="13" s="1"/>
  <c r="O1024" i="13" a="1"/>
  <c r="O1024" i="13" s="1"/>
  <c r="O911" i="13" a="1"/>
  <c r="O911" i="13" s="1"/>
  <c r="O691" i="13" a="1"/>
  <c r="O691" i="13" s="1"/>
  <c r="O486" i="13" a="1"/>
  <c r="O486" i="13" s="1"/>
  <c r="N486" i="13"/>
  <c r="O294" i="13" a="1"/>
  <c r="O294" i="13" s="1"/>
  <c r="N294" i="13"/>
  <c r="O101" i="13" a="1"/>
  <c r="O101" i="13" s="1"/>
  <c r="N101" i="13"/>
  <c r="N1135" i="13"/>
  <c r="O1135" i="13" a="1"/>
  <c r="O1135" i="13" s="1"/>
  <c r="O1034" i="13" a="1"/>
  <c r="O1034" i="13" s="1"/>
  <c r="N1034" i="13"/>
  <c r="O878" i="13" a="1"/>
  <c r="O878" i="13" s="1"/>
  <c r="O873" i="13" a="1"/>
  <c r="O873" i="13" s="1"/>
  <c r="N873" i="13"/>
  <c r="O635" i="13" a="1"/>
  <c r="O635" i="13" s="1"/>
  <c r="N635" i="13"/>
  <c r="O683" i="13" a="1"/>
  <c r="O683" i="13" s="1"/>
  <c r="N683" i="13"/>
  <c r="O419" i="13" a="1"/>
  <c r="O419" i="13" s="1"/>
  <c r="O348" i="13" a="1"/>
  <c r="O348" i="13" s="1"/>
  <c r="O225" i="13" a="1"/>
  <c r="O225" i="13" s="1"/>
  <c r="O82" i="13" a="1"/>
  <c r="O82" i="13" s="1"/>
  <c r="O1186" i="13" a="1"/>
  <c r="O1186" i="13" s="1"/>
  <c r="N1186" i="13"/>
  <c r="O1018" i="13" a="1"/>
  <c r="O1018" i="13" s="1"/>
  <c r="O879" i="13" a="1"/>
  <c r="O879" i="13" s="1"/>
  <c r="O815" i="13" a="1"/>
  <c r="O815" i="13" s="1"/>
  <c r="O708" i="13" a="1"/>
  <c r="O708" i="13" s="1"/>
  <c r="O431" i="13" a="1"/>
  <c r="O431" i="13" s="1"/>
  <c r="O367" i="13" a="1"/>
  <c r="O367" i="13" s="1"/>
  <c r="O213" i="13" a="1"/>
  <c r="O213" i="13" s="1"/>
  <c r="O89" i="13" a="1"/>
  <c r="O89" i="13" s="1"/>
  <c r="N89" i="13"/>
  <c r="O662" i="13" a="1"/>
  <c r="O662" i="13" s="1"/>
  <c r="N662" i="13"/>
  <c r="O580" i="13" a="1"/>
  <c r="O580" i="13" s="1"/>
  <c r="N580" i="13"/>
  <c r="O448" i="13" a="1"/>
  <c r="O448" i="13" s="1"/>
  <c r="O261" i="13" a="1"/>
  <c r="O261" i="13" s="1"/>
  <c r="N261" i="13"/>
  <c r="O174" i="13" a="1"/>
  <c r="O174" i="13" s="1"/>
  <c r="O24" i="13" a="1"/>
  <c r="O24" i="13" s="1"/>
  <c r="N1182" i="13"/>
  <c r="O1182" i="13" a="1"/>
  <c r="O1182" i="13" s="1"/>
  <c r="O1152" i="13" a="1"/>
  <c r="O1152" i="13" s="1"/>
  <c r="N1152" i="13"/>
  <c r="O1298" i="13" a="1"/>
  <c r="O1298" i="13" s="1"/>
  <c r="O153" i="13" a="1"/>
  <c r="O153" i="13" s="1"/>
  <c r="O901" i="13" a="1"/>
  <c r="O901" i="13" s="1"/>
  <c r="N1346" i="13"/>
  <c r="O1346" i="13" a="1"/>
  <c r="O1346" i="13" s="1"/>
  <c r="O196" i="13" a="1"/>
  <c r="O196" i="13" s="1"/>
  <c r="O852" i="13" a="1"/>
  <c r="O852" i="13" s="1"/>
  <c r="N852" i="13"/>
  <c r="N1222" i="13"/>
  <c r="O1222" i="13" a="1"/>
  <c r="O1222" i="13" s="1"/>
  <c r="N1205" i="13"/>
  <c r="O1205" i="13" a="1"/>
  <c r="O1205" i="13" s="1"/>
  <c r="N1271" i="13"/>
  <c r="O1271" i="13" a="1"/>
  <c r="O1271" i="13" s="1"/>
  <c r="O441" i="13" a="1"/>
  <c r="O441" i="13" s="1"/>
  <c r="O866" i="13" a="1"/>
  <c r="O866" i="13" s="1"/>
  <c r="N866" i="13"/>
  <c r="O42" i="13" a="1"/>
  <c r="O42" i="13" s="1"/>
  <c r="O792" i="13" a="1"/>
  <c r="O792" i="13" s="1"/>
  <c r="N792" i="13"/>
  <c r="O497" i="13" a="1"/>
  <c r="O497" i="13" s="1"/>
  <c r="N739" i="13"/>
  <c r="N539" i="13"/>
  <c r="N427" i="13"/>
  <c r="N387" i="13"/>
  <c r="N597" i="13"/>
  <c r="N538" i="13"/>
  <c r="N475" i="13"/>
  <c r="N49" i="13"/>
  <c r="O1375" i="13" a="1"/>
  <c r="O1375" i="13" s="1"/>
  <c r="N1375" i="13"/>
  <c r="N1413" i="13"/>
  <c r="O1413" i="13" a="1"/>
  <c r="O1413" i="13" s="1"/>
  <c r="O1001" i="13" a="1"/>
  <c r="O1001" i="13" s="1"/>
  <c r="O769" i="13" a="1"/>
  <c r="O769" i="13" s="1"/>
  <c r="O571" i="13" a="1"/>
  <c r="O571" i="13" s="1"/>
  <c r="O346" i="13" a="1"/>
  <c r="O346" i="13" s="1"/>
  <c r="N346" i="13"/>
  <c r="O147" i="13" a="1"/>
  <c r="O147" i="13" s="1"/>
  <c r="N147" i="13"/>
  <c r="O1274" i="13" a="1"/>
  <c r="O1274" i="13" s="1"/>
  <c r="N1274" i="13"/>
  <c r="O1088" i="13" a="1"/>
  <c r="O1088" i="13" s="1"/>
  <c r="N1088" i="13"/>
  <c r="N1337" i="13"/>
  <c r="O1337" i="13" a="1"/>
  <c r="O1337" i="13" s="1"/>
  <c r="N1228" i="13"/>
  <c r="O1228" i="13" a="1"/>
  <c r="O1228" i="13" s="1"/>
  <c r="O1126" i="13" a="1"/>
  <c r="O1126" i="13" s="1"/>
  <c r="D70" i="13"/>
  <c r="O915" i="13" a="1"/>
  <c r="O915" i="13" s="1"/>
  <c r="O622" i="13" a="1"/>
  <c r="O622" i="13" s="1"/>
  <c r="O498" i="13" a="1"/>
  <c r="O498" i="13" s="1"/>
  <c r="N498" i="13"/>
  <c r="O173" i="13" a="1"/>
  <c r="O173" i="13" s="1"/>
  <c r="N1247" i="13"/>
  <c r="O1247" i="13" a="1"/>
  <c r="O1247" i="13" s="1"/>
  <c r="O1155" i="13" a="1"/>
  <c r="O1155" i="13" s="1"/>
  <c r="N1155" i="13"/>
  <c r="O930" i="13" a="1"/>
  <c r="O930" i="13" s="1"/>
  <c r="N930" i="13"/>
  <c r="O916" i="13" a="1"/>
  <c r="O916" i="13" s="1"/>
  <c r="N916" i="13"/>
  <c r="O695" i="13" a="1"/>
  <c r="O695" i="13" s="1"/>
  <c r="N695" i="13"/>
  <c r="O490" i="13" a="1"/>
  <c r="O490" i="13" s="1"/>
  <c r="N490" i="13"/>
  <c r="O181" i="13" a="1"/>
  <c r="O181" i="13" s="1"/>
  <c r="O13" i="13" a="1"/>
  <c r="O13" i="13" s="1"/>
  <c r="N1254" i="13"/>
  <c r="O1254" i="13" a="1"/>
  <c r="O1254" i="13" s="1"/>
  <c r="O1083" i="13" a="1"/>
  <c r="O1083" i="13" s="1"/>
  <c r="N1083" i="13"/>
  <c r="O885" i="13" a="1"/>
  <c r="O885" i="13" s="1"/>
  <c r="N885" i="13"/>
  <c r="O777" i="13" a="1"/>
  <c r="O777" i="13" s="1"/>
  <c r="O559" i="13" a="1"/>
  <c r="O559" i="13" s="1"/>
  <c r="N559" i="13"/>
  <c r="O340" i="13" a="1"/>
  <c r="O340" i="13" s="1"/>
  <c r="N340" i="13"/>
  <c r="O227" i="13" a="1"/>
  <c r="O227" i="13" s="1"/>
  <c r="O45" i="13" a="1"/>
  <c r="O45" i="13" s="1"/>
  <c r="N1362" i="13"/>
  <c r="O1362" i="13" a="1"/>
  <c r="O1362" i="13" s="1"/>
  <c r="N1208" i="13"/>
  <c r="O1208" i="13" a="1"/>
  <c r="O1208" i="13" s="1"/>
  <c r="O1071" i="13" a="1"/>
  <c r="O1071" i="13" s="1"/>
  <c r="N1071" i="13"/>
  <c r="O913" i="13" a="1"/>
  <c r="O913" i="13" s="1"/>
  <c r="N913" i="13"/>
  <c r="O764" i="13" a="1"/>
  <c r="O764" i="13" s="1"/>
  <c r="O570" i="13" a="1"/>
  <c r="O570" i="13" s="1"/>
  <c r="O324" i="13" a="1"/>
  <c r="O324" i="13" s="1"/>
  <c r="N324" i="13"/>
  <c r="O95" i="13" a="1"/>
  <c r="O95" i="13" s="1"/>
  <c r="N95" i="13"/>
  <c r="O1292" i="13" a="1"/>
  <c r="O1292" i="13" s="1"/>
  <c r="N1292" i="13"/>
  <c r="O1119" i="13" a="1"/>
  <c r="O1119" i="13" s="1"/>
  <c r="O845" i="13" a="1"/>
  <c r="O845" i="13" s="1"/>
  <c r="N845" i="13"/>
  <c r="O741" i="13" a="1"/>
  <c r="O741" i="13" s="1"/>
  <c r="O592" i="13" a="1"/>
  <c r="O592" i="13" s="1"/>
  <c r="O258" i="13" a="1"/>
  <c r="O258" i="13" s="1"/>
  <c r="N258" i="13"/>
  <c r="O132" i="13" a="1"/>
  <c r="O132" i="13" s="1"/>
  <c r="N1404" i="13"/>
  <c r="O1404" i="13" a="1"/>
  <c r="O1404" i="13" s="1"/>
  <c r="N1309" i="13"/>
  <c r="O1309" i="13" a="1"/>
  <c r="O1309" i="13" s="1"/>
  <c r="O1081" i="13" a="1"/>
  <c r="O1081" i="13" s="1"/>
  <c r="N1081" i="13"/>
  <c r="D21" i="13"/>
  <c r="O975" i="13" a="1"/>
  <c r="O975" i="13" s="1"/>
  <c r="N975" i="13"/>
  <c r="O806" i="13" a="1"/>
  <c r="O806" i="13" s="1"/>
  <c r="O568" i="13" a="1"/>
  <c r="O568" i="13" s="1"/>
  <c r="O354" i="13" a="1"/>
  <c r="O354" i="13" s="1"/>
  <c r="N354" i="13"/>
  <c r="O166" i="13" a="1"/>
  <c r="O166" i="13" s="1"/>
  <c r="N166" i="13"/>
  <c r="N1343" i="13"/>
  <c r="O1343" i="13" a="1"/>
  <c r="O1343" i="13" s="1"/>
  <c r="N1298" i="13"/>
  <c r="N1215" i="13"/>
  <c r="O1215" i="13" a="1"/>
  <c r="O1215" i="13" s="1"/>
  <c r="O958" i="13" a="1"/>
  <c r="O958" i="13" s="1"/>
  <c r="N958" i="13"/>
  <c r="O799" i="13" a="1"/>
  <c r="O799" i="13" s="1"/>
  <c r="N799" i="13"/>
  <c r="O624" i="13" a="1"/>
  <c r="O624" i="13" s="1"/>
  <c r="O471" i="13" a="1"/>
  <c r="O471" i="13" s="1"/>
  <c r="O322" i="13" a="1"/>
  <c r="O322" i="13" s="1"/>
  <c r="O39" i="13" a="1"/>
  <c r="O39" i="13" s="1"/>
  <c r="N1235" i="13"/>
  <c r="O1235" i="13" a="1"/>
  <c r="O1235" i="13" s="1"/>
  <c r="O1123" i="13" a="1"/>
  <c r="O1123" i="13" s="1"/>
  <c r="D50" i="13"/>
  <c r="O934" i="13" a="1"/>
  <c r="O934" i="13" s="1"/>
  <c r="N934" i="13"/>
  <c r="O725" i="13" a="1"/>
  <c r="O725" i="13" s="1"/>
  <c r="O794" i="13" a="1"/>
  <c r="O794" i="13" s="1"/>
  <c r="O576" i="13" a="1"/>
  <c r="O576" i="13" s="1"/>
  <c r="O436" i="13" a="1"/>
  <c r="O436" i="13" s="1"/>
  <c r="N436" i="13"/>
  <c r="O280" i="13" a="1"/>
  <c r="O280" i="13" s="1"/>
  <c r="N280" i="13"/>
  <c r="O175" i="13" a="1"/>
  <c r="O175" i="13" s="1"/>
  <c r="O58" i="13" a="1"/>
  <c r="O58" i="13" s="1"/>
  <c r="O1117" i="13" a="1"/>
  <c r="O1117" i="13" s="1"/>
  <c r="N1117" i="13"/>
  <c r="O1053" i="13" a="1"/>
  <c r="O1053" i="13" s="1"/>
  <c r="O753" i="13" a="1"/>
  <c r="O753" i="13" s="1"/>
  <c r="N753" i="13"/>
  <c r="O642" i="13" a="1"/>
  <c r="O642" i="13" s="1"/>
  <c r="N642" i="13"/>
  <c r="O586" i="13" a="1"/>
  <c r="O586" i="13" s="1"/>
  <c r="N586" i="13"/>
  <c r="O417" i="13" a="1"/>
  <c r="O417" i="13" s="1"/>
  <c r="N417" i="13"/>
  <c r="O325" i="13" a="1"/>
  <c r="O325" i="13" s="1"/>
  <c r="N325" i="13"/>
  <c r="O216" i="13" a="1"/>
  <c r="O216" i="13" s="1"/>
  <c r="O81" i="13" a="1"/>
  <c r="O81" i="13" s="1"/>
  <c r="O666" i="13" a="1"/>
  <c r="O666" i="13" s="1"/>
  <c r="O534" i="13" a="1"/>
  <c r="O534" i="13" s="1"/>
  <c r="O341" i="13" a="1"/>
  <c r="O341" i="13" s="1"/>
  <c r="N341" i="13"/>
  <c r="O304" i="13" a="1"/>
  <c r="O304" i="13" s="1"/>
  <c r="O144" i="13" a="1"/>
  <c r="O144" i="13" s="1"/>
  <c r="N144" i="13"/>
  <c r="O16" i="13" a="1"/>
  <c r="O16" i="13" s="1"/>
  <c r="D10" i="18" a="1"/>
  <c r="D10" i="18" s="1"/>
  <c r="R23" i="19" a="1"/>
  <c r="R23" i="19" s="1"/>
  <c r="R24" i="19" a="1"/>
  <c r="R24" i="19" s="1"/>
  <c r="R19" i="19" a="1"/>
  <c r="R19" i="19" s="1"/>
  <c r="N1130" i="13"/>
  <c r="D124" i="13"/>
  <c r="D34" i="13"/>
  <c r="N876" i="13"/>
  <c r="N1042" i="13"/>
  <c r="D31" i="13"/>
  <c r="D38" i="13"/>
  <c r="N1075" i="13"/>
  <c r="D51" i="13"/>
  <c r="N987" i="13"/>
  <c r="D69" i="13"/>
  <c r="N1100" i="13"/>
  <c r="D91" i="13"/>
  <c r="N977" i="13"/>
  <c r="N940" i="13"/>
  <c r="D110" i="13"/>
  <c r="D103" i="13"/>
  <c r="N986" i="13"/>
  <c r="N995" i="13"/>
  <c r="D77" i="13"/>
  <c r="D112" i="13"/>
  <c r="N1013" i="13"/>
  <c r="N1018" i="13"/>
  <c r="D44" i="13"/>
  <c r="N1076" i="13"/>
  <c r="D114" i="13"/>
  <c r="N944" i="13"/>
  <c r="D66" i="13"/>
  <c r="D92" i="13"/>
  <c r="N859" i="13"/>
  <c r="D102" i="13"/>
  <c r="N979" i="13"/>
  <c r="N1118" i="13"/>
  <c r="D72" i="13"/>
  <c r="N1090" i="13"/>
  <c r="D74" i="13"/>
  <c r="N1058" i="13"/>
  <c r="D130" i="13"/>
  <c r="D96" i="13"/>
  <c r="N1024" i="13"/>
  <c r="D101" i="13"/>
  <c r="N996" i="13"/>
  <c r="N1231" i="13"/>
  <c r="D104" i="13"/>
  <c r="N981" i="13"/>
  <c r="D119" i="13"/>
  <c r="N1035" i="13"/>
  <c r="D43" i="13"/>
  <c r="N1052" i="13"/>
  <c r="D79" i="13"/>
  <c r="D118" i="13"/>
  <c r="N826" i="13"/>
  <c r="N1041" i="13"/>
  <c r="D90" i="13"/>
  <c r="D71" i="13"/>
  <c r="N1093" i="13"/>
  <c r="N1104" i="13"/>
  <c r="D123" i="13"/>
  <c r="N1053" i="13"/>
  <c r="D94" i="13"/>
  <c r="N1001" i="13"/>
  <c r="D100" i="13"/>
  <c r="N973" i="13"/>
  <c r="D95" i="13"/>
  <c r="N928" i="13"/>
  <c r="D39" i="13"/>
  <c r="N1006" i="13"/>
  <c r="D65" i="13"/>
  <c r="N1174" i="13"/>
  <c r="D24" i="13"/>
  <c r="D113" i="13"/>
  <c r="N1015" i="13"/>
  <c r="N103" i="13"/>
  <c r="Q7" i="13" a="1"/>
  <c r="Q7" i="13" s="1"/>
  <c r="N992" i="13"/>
  <c r="D127" i="13"/>
  <c r="N1047" i="13"/>
  <c r="D27" i="13"/>
  <c r="N1000" i="13"/>
  <c r="D41" i="13"/>
  <c r="N1091" i="13"/>
  <c r="D62" i="13"/>
  <c r="D58" i="13"/>
  <c r="N1012" i="13"/>
  <c r="D115" i="13"/>
  <c r="N878" i="13"/>
  <c r="N960" i="13"/>
  <c r="D75" i="13"/>
  <c r="N1038" i="13"/>
  <c r="D125" i="13"/>
  <c r="N1108" i="13"/>
  <c r="D60" i="13"/>
  <c r="D105" i="13"/>
  <c r="N1097" i="13"/>
  <c r="N954" i="13"/>
  <c r="D35" i="13"/>
  <c r="D86" i="13"/>
  <c r="N1111" i="13"/>
  <c r="N1183" i="13"/>
  <c r="D117" i="13"/>
  <c r="N855" i="13"/>
  <c r="D76" i="13"/>
  <c r="D99" i="13"/>
  <c r="N938" i="13"/>
  <c r="D53" i="13"/>
  <c r="N1113" i="13"/>
  <c r="D67" i="13"/>
  <c r="N1114" i="13"/>
  <c r="N1020" i="13"/>
  <c r="D109" i="13"/>
  <c r="N1068" i="13"/>
  <c r="D120" i="13"/>
  <c r="N881" i="13"/>
  <c r="D82" i="13"/>
  <c r="N959" i="13"/>
  <c r="D37" i="13"/>
  <c r="D129" i="13"/>
  <c r="N1102" i="13"/>
  <c r="D45" i="13"/>
  <c r="N967" i="13"/>
  <c r="D116" i="13"/>
  <c r="N1036" i="13"/>
  <c r="D47" i="13"/>
  <c r="N961" i="13"/>
  <c r="D122" i="13"/>
  <c r="N1110" i="13"/>
  <c r="D29" i="13"/>
  <c r="N1107" i="13"/>
  <c r="D63" i="13"/>
  <c r="N1079" i="13"/>
  <c r="D83" i="13"/>
  <c r="N1086" i="13"/>
  <c r="D111" i="13"/>
  <c r="N976" i="13"/>
  <c r="D46" i="13"/>
  <c r="N1056" i="13"/>
  <c r="N1023" i="13"/>
  <c r="D93" i="13"/>
  <c r="N931" i="13"/>
  <c r="D23" i="13"/>
  <c r="N1094" i="13"/>
  <c r="D126" i="13"/>
  <c r="N952" i="13"/>
  <c r="D49" i="13"/>
  <c r="C5" i="18" a="1"/>
  <c r="C5" i="18" s="1"/>
  <c r="N67" i="13"/>
  <c r="N1119" i="13"/>
  <c r="D48" i="13"/>
  <c r="D52" i="13"/>
  <c r="N828" i="13"/>
  <c r="N1014" i="13"/>
  <c r="D26" i="13"/>
  <c r="N937" i="13"/>
  <c r="D121" i="13"/>
  <c r="D40" i="13"/>
  <c r="N1089" i="13"/>
  <c r="N901" i="13"/>
  <c r="D97" i="13"/>
  <c r="N971" i="13"/>
  <c r="D36" i="13"/>
  <c r="N1116" i="13"/>
  <c r="D106" i="13"/>
  <c r="N151" i="13"/>
  <c r="D5" i="18" a="1"/>
  <c r="D5" i="18" s="1"/>
  <c r="V7" i="19" a="1"/>
  <c r="V7" i="19" s="1"/>
  <c r="V6" i="19" a="1"/>
  <c r="V6" i="19" s="1"/>
  <c r="V5" i="19" a="1"/>
  <c r="V5" i="19" s="1"/>
  <c r="K12" i="19" a="1"/>
  <c r="K12" i="19" s="1"/>
  <c r="C5" i="19" a="1"/>
  <c r="C5" i="19" s="1"/>
  <c r="K14" i="19" a="1"/>
  <c r="K14" i="19" s="1"/>
  <c r="K13" i="19" a="1"/>
  <c r="K13" i="19" s="1"/>
  <c r="C10" i="18" a="1"/>
  <c r="C10" i="18" s="1"/>
  <c r="R7" i="14" a="1"/>
  <c r="R7" i="14" s="1"/>
  <c r="C10" i="19" a="1"/>
  <c r="C10" i="19" s="1"/>
  <c r="C7" i="19" a="1"/>
  <c r="C7" i="19" s="1"/>
  <c r="C7" i="18" a="1"/>
  <c r="C7" i="18" s="1"/>
  <c r="D7" i="19" a="1"/>
  <c r="D7" i="19" s="1"/>
  <c r="D7" i="18" a="1"/>
  <c r="D7" i="18" s="1"/>
  <c r="C4" i="19" a="1"/>
  <c r="C4" i="19" s="1"/>
  <c r="D4" i="18" a="1"/>
  <c r="D4" i="18" s="1"/>
  <c r="C4" i="18" a="1"/>
  <c r="C4" i="18" s="1"/>
  <c r="D4" i="19" a="1"/>
  <c r="D4" i="19" s="1"/>
  <c r="F42" i="9" l="1"/>
  <c r="F68" i="9"/>
  <c r="F91" i="9"/>
  <c r="F40" i="9"/>
  <c r="F48" i="9"/>
  <c r="F71" i="9"/>
  <c r="F74" i="9"/>
  <c r="F83" i="9"/>
  <c r="F76" i="9"/>
  <c r="F44" i="9"/>
  <c r="F25" i="9"/>
  <c r="F31" i="9"/>
  <c r="F77" i="9"/>
  <c r="F57" i="9"/>
  <c r="F47" i="9"/>
  <c r="F49" i="9"/>
  <c r="F88" i="9"/>
  <c r="F84" i="9"/>
  <c r="F60" i="9"/>
  <c r="F102" i="9"/>
  <c r="F82" i="9"/>
  <c r="F37" i="9"/>
  <c r="F24" i="9"/>
  <c r="F35" i="9"/>
  <c r="F101" i="9"/>
  <c r="F86" i="9"/>
  <c r="F26" i="9"/>
  <c r="F90" i="9"/>
  <c r="F41" i="9"/>
  <c r="F34" i="9"/>
  <c r="F51" i="9"/>
  <c r="F73" i="9"/>
  <c r="F22" i="9"/>
  <c r="F59" i="9"/>
  <c r="F85" i="9"/>
  <c r="F75" i="9"/>
  <c r="F58" i="9"/>
  <c r="F78" i="9"/>
  <c r="F29" i="9"/>
  <c r="F33" i="9"/>
  <c r="F36" i="9"/>
  <c r="F80" i="9"/>
  <c r="F43" i="9"/>
  <c r="F38" i="9"/>
  <c r="F21" i="9"/>
  <c r="F62" i="9"/>
  <c r="F81" i="9"/>
  <c r="F69" i="9"/>
  <c r="F92" i="9"/>
  <c r="F30" i="9"/>
  <c r="F27" i="9"/>
  <c r="F20" i="9"/>
  <c r="F100" i="9"/>
  <c r="F95" i="9"/>
  <c r="F93" i="9"/>
  <c r="F70" i="9"/>
  <c r="F87" i="9"/>
  <c r="F39" i="9"/>
  <c r="F96" i="9"/>
  <c r="F56" i="9"/>
  <c r="F98" i="9"/>
  <c r="F94" i="9"/>
  <c r="F72" i="9"/>
  <c r="F28" i="9"/>
  <c r="F67" i="9"/>
  <c r="F54" i="9"/>
  <c r="F97" i="9"/>
  <c r="F45" i="9"/>
  <c r="F103" i="9"/>
  <c r="F61" i="9"/>
  <c r="F66" i="9"/>
  <c r="E6" i="23"/>
  <c r="F23" i="9"/>
  <c r="F52" i="9"/>
  <c r="F64" i="9"/>
  <c r="F53" i="9"/>
  <c r="F32" i="9"/>
  <c r="F99" i="9"/>
  <c r="F46" i="9"/>
  <c r="F63" i="9"/>
  <c r="F50" i="9"/>
  <c r="F89" i="9"/>
  <c r="F65" i="9"/>
  <c r="F79" i="9"/>
  <c r="F55" i="9"/>
  <c r="G20" i="9"/>
  <c r="G28" i="9"/>
  <c r="G75" i="9"/>
  <c r="G90" i="9"/>
  <c r="G71" i="9"/>
  <c r="G84" i="9"/>
  <c r="G55" i="9"/>
  <c r="G95" i="9"/>
  <c r="G27" i="9"/>
  <c r="G26" i="9"/>
  <c r="G85" i="9"/>
  <c r="G72" i="9"/>
  <c r="G48" i="9"/>
  <c r="G77" i="9"/>
  <c r="E5" i="23"/>
  <c r="G79" i="9"/>
  <c r="G91" i="9"/>
  <c r="G59" i="9"/>
  <c r="G30" i="9"/>
  <c r="G94" i="9"/>
  <c r="G38" i="9"/>
  <c r="G31" i="9"/>
  <c r="G97" i="9"/>
  <c r="G98" i="9"/>
  <c r="G93" i="9"/>
  <c r="G58" i="9"/>
  <c r="G88" i="9"/>
  <c r="G65" i="9"/>
  <c r="G86" i="9"/>
  <c r="G76" i="9"/>
  <c r="G36" i="9"/>
  <c r="G70" i="9"/>
  <c r="G92" i="9"/>
  <c r="Q5" i="9"/>
  <c r="T7" i="9"/>
  <c r="G24" i="9"/>
  <c r="G42" i="9"/>
  <c r="G50" i="9"/>
  <c r="G46" i="9"/>
  <c r="G83" i="9"/>
  <c r="G60" i="9"/>
  <c r="G21" i="9"/>
  <c r="G32" i="9"/>
  <c r="G89" i="9"/>
  <c r="G74" i="9"/>
  <c r="G78" i="9"/>
  <c r="G102" i="9"/>
  <c r="G103" i="9"/>
  <c r="G23" i="9"/>
  <c r="G54" i="9"/>
  <c r="G57" i="9"/>
  <c r="G100" i="9"/>
  <c r="G44" i="9"/>
  <c r="G80" i="9"/>
  <c r="G101" i="9"/>
  <c r="G49" i="9"/>
  <c r="G40" i="9"/>
  <c r="G47" i="9"/>
  <c r="G82" i="9"/>
  <c r="G87" i="9"/>
  <c r="G81" i="9"/>
  <c r="G22" i="9"/>
  <c r="G41" i="9"/>
  <c r="G34" i="9"/>
  <c r="G29" i="9"/>
  <c r="G73" i="9"/>
  <c r="G66" i="9"/>
  <c r="G62" i="9"/>
  <c r="G51" i="9"/>
  <c r="G45" i="9"/>
  <c r="G61" i="9"/>
  <c r="G53" i="9"/>
  <c r="G56" i="9"/>
  <c r="G96" i="9"/>
  <c r="G25" i="9"/>
  <c r="G37" i="9"/>
  <c r="G43" i="9"/>
  <c r="G69" i="9"/>
  <c r="G52" i="9"/>
  <c r="G99" i="9"/>
  <c r="G35" i="9"/>
  <c r="G33" i="9"/>
  <c r="G39" i="9"/>
  <c r="G64" i="9"/>
  <c r="G63" i="9"/>
  <c r="G68" i="9"/>
  <c r="G67" i="9"/>
  <c r="D86" i="14"/>
  <c r="D114" i="14"/>
  <c r="D34" i="14"/>
  <c r="D24" i="14"/>
  <c r="D38" i="14"/>
  <c r="D92" i="14"/>
  <c r="D121" i="14"/>
  <c r="D117" i="14"/>
  <c r="D65" i="14"/>
  <c r="D88" i="14"/>
  <c r="D53" i="14"/>
  <c r="D33" i="14"/>
  <c r="D54" i="14"/>
  <c r="D97" i="14"/>
  <c r="D78" i="14"/>
  <c r="D124" i="14"/>
  <c r="E32" i="13"/>
  <c r="E107" i="13"/>
  <c r="E89" i="13"/>
  <c r="E20" i="13"/>
  <c r="E73" i="13"/>
  <c r="E56" i="13"/>
  <c r="E64" i="13"/>
  <c r="E61" i="13"/>
  <c r="E108" i="13"/>
  <c r="E84" i="13"/>
  <c r="D131" i="14"/>
  <c r="D22" i="14"/>
  <c r="D20" i="14"/>
  <c r="D89" i="14"/>
  <c r="D93" i="14"/>
  <c r="D44" i="14"/>
  <c r="D109" i="14"/>
  <c r="D31" i="14"/>
  <c r="D79" i="14"/>
  <c r="D110" i="14"/>
  <c r="D99" i="14"/>
  <c r="D43" i="14"/>
  <c r="D129" i="14"/>
  <c r="D80" i="14"/>
  <c r="D83" i="14"/>
  <c r="D87" i="14"/>
  <c r="D37" i="14"/>
  <c r="D21" i="14"/>
  <c r="D25" i="14"/>
  <c r="D76" i="14"/>
  <c r="D127" i="14"/>
  <c r="D128" i="14"/>
  <c r="D94" i="14"/>
  <c r="D30" i="14"/>
  <c r="D64" i="14"/>
  <c r="D130" i="14"/>
  <c r="D42" i="14"/>
  <c r="E81" i="13"/>
  <c r="E33" i="13"/>
  <c r="E128" i="13"/>
  <c r="E68" i="13"/>
  <c r="E87" i="13"/>
  <c r="E25" i="13"/>
  <c r="E70" i="13"/>
  <c r="E57" i="13"/>
  <c r="E42" i="13"/>
  <c r="E78" i="13"/>
  <c r="E21" i="13"/>
  <c r="E55" i="13"/>
  <c r="E59" i="13"/>
  <c r="E88" i="13"/>
  <c r="E30" i="13"/>
  <c r="E80" i="13"/>
  <c r="E50" i="13"/>
  <c r="E85" i="13"/>
  <c r="E98" i="13"/>
  <c r="E28" i="13"/>
  <c r="E22" i="13"/>
  <c r="E54" i="13"/>
  <c r="E131" i="13"/>
  <c r="D119" i="14"/>
  <c r="D122" i="14"/>
  <c r="D126" i="14"/>
  <c r="D125" i="14"/>
  <c r="D101" i="14"/>
  <c r="E106" i="13"/>
  <c r="E36" i="13"/>
  <c r="E26" i="13"/>
  <c r="E49" i="13"/>
  <c r="E120" i="13"/>
  <c r="E35" i="13"/>
  <c r="E75" i="13"/>
  <c r="E41" i="13"/>
  <c r="E95" i="13"/>
  <c r="E43" i="13"/>
  <c r="E44" i="13"/>
  <c r="E110" i="13"/>
  <c r="E99" i="13"/>
  <c r="E71" i="13"/>
  <c r="E102" i="13"/>
  <c r="E97" i="13"/>
  <c r="E126" i="13"/>
  <c r="E109" i="13"/>
  <c r="E76" i="13"/>
  <c r="E27" i="13"/>
  <c r="E24" i="13"/>
  <c r="E100" i="13"/>
  <c r="E90" i="13"/>
  <c r="E119" i="13"/>
  <c r="E130" i="13"/>
  <c r="E31" i="13"/>
  <c r="E46" i="13"/>
  <c r="E113" i="13"/>
  <c r="E96" i="13"/>
  <c r="E38" i="13"/>
  <c r="E52" i="13"/>
  <c r="E111" i="13"/>
  <c r="E122" i="13"/>
  <c r="E129" i="13"/>
  <c r="E105" i="13"/>
  <c r="E115" i="13"/>
  <c r="E92" i="13"/>
  <c r="E112" i="13"/>
  <c r="E91" i="13"/>
  <c r="E45" i="13"/>
  <c r="E48" i="13"/>
  <c r="E23" i="13"/>
  <c r="E37" i="13"/>
  <c r="E117" i="13"/>
  <c r="E60" i="13"/>
  <c r="E127" i="13"/>
  <c r="E65" i="13"/>
  <c r="E94" i="13"/>
  <c r="E104" i="13"/>
  <c r="E74" i="13"/>
  <c r="E66" i="13"/>
  <c r="E77" i="13"/>
  <c r="E29" i="13"/>
  <c r="E40" i="13"/>
  <c r="E83" i="13"/>
  <c r="E47" i="13"/>
  <c r="E67" i="13"/>
  <c r="E58" i="13"/>
  <c r="E118" i="13"/>
  <c r="E69" i="13"/>
  <c r="E34" i="13"/>
  <c r="E39" i="13"/>
  <c r="E123" i="13"/>
  <c r="E79" i="13"/>
  <c r="E72" i="13"/>
  <c r="E114" i="13"/>
  <c r="E124" i="13"/>
  <c r="E121" i="13"/>
  <c r="E93" i="13"/>
  <c r="E82" i="13"/>
  <c r="E125" i="13"/>
  <c r="E62" i="13"/>
  <c r="E63" i="13"/>
  <c r="E116" i="13"/>
  <c r="E53" i="13"/>
  <c r="E86" i="13"/>
  <c r="E101" i="13"/>
  <c r="E103" i="13"/>
  <c r="E51" i="13"/>
  <c r="D56" i="14"/>
  <c r="D66" i="14"/>
  <c r="D63" i="14"/>
  <c r="D61" i="14"/>
  <c r="D75" i="14"/>
  <c r="D60" i="14"/>
  <c r="D40" i="14"/>
  <c r="D68" i="14"/>
  <c r="D74" i="14"/>
  <c r="D123" i="14"/>
  <c r="D70" i="14"/>
  <c r="D81" i="14"/>
  <c r="D62" i="14"/>
  <c r="D67" i="14"/>
  <c r="D118" i="14"/>
  <c r="D59" i="14"/>
  <c r="D47" i="14"/>
  <c r="D105" i="14"/>
  <c r="D28" i="14"/>
  <c r="D112" i="14"/>
  <c r="D120" i="14"/>
  <c r="D72" i="14"/>
  <c r="D69" i="14"/>
  <c r="D46" i="14"/>
  <c r="D103" i="14"/>
  <c r="D77" i="14"/>
  <c r="D39" i="14"/>
  <c r="D51" i="14"/>
  <c r="D26" i="14"/>
  <c r="D115" i="14"/>
  <c r="D29" i="14"/>
  <c r="D23" i="14"/>
  <c r="D73" i="14"/>
  <c r="D90" i="14"/>
  <c r="D100" i="14"/>
  <c r="D50" i="14"/>
  <c r="D52" i="14"/>
  <c r="D98" i="14"/>
  <c r="D85" i="14"/>
  <c r="D55" i="14"/>
  <c r="D95" i="14"/>
  <c r="D58" i="14"/>
  <c r="D32" i="14"/>
  <c r="D108" i="14"/>
  <c r="D106" i="14"/>
  <c r="D111" i="14"/>
  <c r="D104" i="14"/>
  <c r="D48" i="14"/>
  <c r="D71" i="14"/>
  <c r="D113" i="14"/>
  <c r="D27" i="14"/>
  <c r="D91" i="14"/>
  <c r="D102" i="14"/>
  <c r="D107" i="14"/>
  <c r="D84" i="14"/>
  <c r="D116" i="14"/>
  <c r="D57" i="14"/>
  <c r="D36" i="14"/>
  <c r="D82" i="14"/>
  <c r="D41" i="14"/>
  <c r="D49" i="14"/>
  <c r="D45" i="14"/>
  <c r="D96" i="14"/>
  <c r="D35" i="14"/>
  <c r="O5" i="14"/>
  <c r="D10" i="19" s="1" a="1"/>
  <c r="D10" i="19" s="1"/>
  <c r="N5" i="13"/>
  <c r="E7" i="23" l="1"/>
  <c r="H90" i="9"/>
  <c r="H75" i="9"/>
  <c r="H28" i="9"/>
  <c r="H20" i="9"/>
  <c r="H95" i="9"/>
  <c r="H55" i="9"/>
  <c r="H84" i="9"/>
  <c r="H71" i="9"/>
  <c r="H72" i="9"/>
  <c r="H85" i="9"/>
  <c r="H26" i="9"/>
  <c r="H27" i="9"/>
  <c r="H77" i="9"/>
  <c r="H48" i="9"/>
  <c r="H91" i="9"/>
  <c r="H79" i="9"/>
  <c r="H94" i="9"/>
  <c r="H30" i="9"/>
  <c r="H59" i="9"/>
  <c r="H97" i="9"/>
  <c r="H31" i="9"/>
  <c r="F6" i="23"/>
  <c r="M25" i="23"/>
  <c r="N25" i="23" s="1"/>
  <c r="F5" i="23"/>
  <c r="H65" i="9"/>
  <c r="H88" i="9"/>
  <c r="H58" i="9"/>
  <c r="H93" i="9"/>
  <c r="H98" i="9"/>
  <c r="H92" i="9"/>
  <c r="H70" i="9"/>
  <c r="H36" i="9"/>
  <c r="H76" i="9"/>
  <c r="H86" i="9"/>
  <c r="E124" i="14"/>
  <c r="E117" i="14"/>
  <c r="E78" i="14"/>
  <c r="E121" i="14"/>
  <c r="E97" i="14"/>
  <c r="E92" i="14"/>
  <c r="E54" i="14"/>
  <c r="E38" i="14"/>
  <c r="E33" i="14"/>
  <c r="E24" i="14"/>
  <c r="E53" i="14"/>
  <c r="E34" i="14"/>
  <c r="E88" i="14"/>
  <c r="E114" i="14"/>
  <c r="E65" i="14"/>
  <c r="E86" i="14"/>
  <c r="E22" i="14"/>
  <c r="E93" i="14"/>
  <c r="E109" i="14"/>
  <c r="E119" i="14"/>
  <c r="E87" i="14"/>
  <c r="E31" i="14"/>
  <c r="E128" i="14"/>
  <c r="E80" i="14"/>
  <c r="E44" i="14"/>
  <c r="E129" i="14"/>
  <c r="E101" i="14"/>
  <c r="E76" i="14"/>
  <c r="E43" i="14"/>
  <c r="E89" i="14"/>
  <c r="E125" i="14"/>
  <c r="E42" i="14"/>
  <c r="E25" i="14"/>
  <c r="E126" i="14"/>
  <c r="E130" i="14"/>
  <c r="E21" i="14"/>
  <c r="E110" i="14"/>
  <c r="E127" i="14"/>
  <c r="E37" i="14"/>
  <c r="E131" i="14"/>
  <c r="E64" i="14"/>
  <c r="E30" i="14"/>
  <c r="E79" i="14"/>
  <c r="E94" i="14"/>
  <c r="E83" i="14"/>
  <c r="E99" i="14"/>
  <c r="E20" i="14"/>
  <c r="E122" i="14"/>
  <c r="E61" i="14"/>
  <c r="E71" i="14"/>
  <c r="E52" i="14"/>
  <c r="E111" i="14"/>
  <c r="E47" i="14"/>
  <c r="E41" i="14"/>
  <c r="E91" i="14"/>
  <c r="E77" i="14"/>
  <c r="E120" i="14"/>
  <c r="E105" i="14"/>
  <c r="E116" i="14"/>
  <c r="E55" i="14"/>
  <c r="E95" i="14"/>
  <c r="E28" i="14"/>
  <c r="E68" i="14"/>
  <c r="E56" i="14"/>
  <c r="E49" i="14"/>
  <c r="E57" i="14"/>
  <c r="E104" i="14"/>
  <c r="E58" i="14"/>
  <c r="E85" i="14"/>
  <c r="E50" i="14"/>
  <c r="E103" i="14"/>
  <c r="E29" i="14"/>
  <c r="E51" i="14"/>
  <c r="E59" i="14"/>
  <c r="E102" i="14"/>
  <c r="E113" i="14"/>
  <c r="E46" i="14"/>
  <c r="E96" i="14"/>
  <c r="E32" i="14"/>
  <c r="E107" i="14"/>
  <c r="E70" i="14"/>
  <c r="E63" i="14"/>
  <c r="E69" i="14"/>
  <c r="E98" i="14"/>
  <c r="E100" i="14"/>
  <c r="E73" i="14"/>
  <c r="E84" i="14"/>
  <c r="E90" i="14"/>
  <c r="E81" i="14"/>
  <c r="E67" i="14"/>
  <c r="E60" i="14"/>
  <c r="E123" i="14"/>
  <c r="E112" i="14"/>
  <c r="E82" i="14"/>
  <c r="E23" i="14"/>
  <c r="E115" i="14"/>
  <c r="E106" i="14"/>
  <c r="E62" i="14"/>
  <c r="E40" i="14"/>
  <c r="E75" i="14"/>
  <c r="E27" i="14"/>
  <c r="E48" i="14"/>
  <c r="E39" i="14"/>
  <c r="E118" i="14"/>
  <c r="E74" i="14"/>
  <c r="E66" i="14"/>
  <c r="E35" i="14"/>
  <c r="E45" i="14"/>
  <c r="E36" i="14"/>
  <c r="E72" i="14"/>
  <c r="E26" i="14"/>
  <c r="E108" i="14"/>
  <c r="F7" i="23" l="1"/>
  <c r="G7" i="23" s="1"/>
  <c r="M19" i="23"/>
  <c r="N19" i="23" s="1"/>
  <c r="M13" i="23"/>
  <c r="N13" i="23" s="1"/>
  <c r="M7" i="23"/>
  <c r="N7" i="23" s="1"/>
  <c r="F25" i="23"/>
  <c r="G25" i="23" s="1"/>
  <c r="F13" i="23"/>
  <c r="G13" i="23" s="1"/>
  <c r="F19" i="23"/>
  <c r="G19" i="23" s="1"/>
  <c r="V15" i="19" a="1"/>
  <c r="V15" i="19" s="1"/>
  <c r="R15" i="19" a="1"/>
  <c r="R15" i="19" s="1"/>
  <c r="R14" i="19" a="1"/>
  <c r="R14" i="19" s="1"/>
  <c r="R7" i="19" a="1"/>
  <c r="R7" i="19" s="1"/>
  <c r="R8" i="19" a="1"/>
  <c r="R8" i="19" s="1"/>
  <c r="C6" i="18" a="1"/>
  <c r="C6" i="18" s="1"/>
  <c r="V12" i="19" l="1" a="1"/>
  <c r="V12" i="19" s="1"/>
  <c r="V14" i="19" a="1"/>
  <c r="V14" i="19" s="1"/>
  <c r="V13" i="19" a="1"/>
  <c r="V13" i="19" s="1"/>
  <c r="R12" i="19" a="1"/>
  <c r="R12" i="19" s="1"/>
  <c r="D8" i="18" a="1"/>
  <c r="D8" i="18" s="1"/>
  <c r="C8" i="18" a="1"/>
  <c r="C8" i="18" s="1"/>
  <c r="C8" i="19" a="1"/>
  <c r="C8" i="19" s="1"/>
  <c r="D8" i="19" a="1"/>
  <c r="D8" i="19" s="1"/>
  <c r="D6" i="18" a="1"/>
  <c r="D6" i="18" s="1"/>
  <c r="D6" i="19" a="1"/>
  <c r="D6" i="19" s="1"/>
  <c r="C6" i="19" a="1"/>
  <c r="C6" i="19" s="1"/>
  <c r="C9" i="18" a="1"/>
  <c r="C9" i="18" s="1"/>
  <c r="C9" i="19" a="1"/>
  <c r="C9" i="19" s="1"/>
  <c r="D9" i="18" a="1"/>
  <c r="D9" i="18" s="1"/>
  <c r="D9" i="19" a="1"/>
  <c r="D9" i="19" s="1"/>
  <c r="D11" i="18" l="1" a="1"/>
  <c r="D11" i="18" s="1"/>
  <c r="C11" i="18" a="1"/>
  <c r="C11" i="18" s="1"/>
  <c r="H73" i="9" l="1"/>
  <c r="H96" i="9"/>
  <c r="H29" i="9"/>
  <c r="H80" i="9"/>
  <c r="H21" i="9"/>
  <c r="H35" i="9"/>
  <c r="H43" i="9"/>
  <c r="H68" i="9"/>
  <c r="H37" i="9"/>
  <c r="H33" i="9"/>
  <c r="H61" i="9"/>
  <c r="H39" i="9"/>
  <c r="H62" i="9"/>
  <c r="H67" i="9"/>
  <c r="H63" i="9"/>
  <c r="H64" i="9"/>
  <c r="H44" i="9"/>
  <c r="H69" i="9"/>
  <c r="H42" i="9"/>
  <c r="H40" i="9"/>
  <c r="H24" i="9"/>
  <c r="H74" i="9"/>
  <c r="H54" i="9"/>
  <c r="H47" i="9"/>
  <c r="H38" i="9"/>
  <c r="H82" i="9"/>
  <c r="H53" i="9"/>
  <c r="H101" i="9"/>
  <c r="H45" i="9"/>
  <c r="H100" i="9"/>
  <c r="H23" i="9"/>
  <c r="H103" i="9"/>
  <c r="H66" i="9"/>
  <c r="H51" i="9"/>
  <c r="H89" i="9"/>
  <c r="H46" i="9"/>
  <c r="H25" i="9"/>
  <c r="H60" i="9"/>
  <c r="H57" i="9"/>
  <c r="H52" i="9"/>
  <c r="H41" i="9"/>
  <c r="H78" i="9"/>
  <c r="H49" i="9"/>
  <c r="H56" i="9"/>
  <c r="H32" i="9"/>
  <c r="H34" i="9"/>
  <c r="H50" i="9"/>
  <c r="H81" i="9"/>
  <c r="H87" i="9"/>
  <c r="H102" i="9"/>
  <c r="H99" i="9"/>
  <c r="H83" i="9"/>
  <c r="H22" i="9"/>
  <c r="K6" i="19" l="1" a="1"/>
  <c r="K6" i="19" s="1"/>
  <c r="D2" i="18" a="1"/>
  <c r="D2" i="18" s="1"/>
  <c r="D12" i="18" s="1"/>
  <c r="C2" i="18" a="1"/>
  <c r="C2" i="18" s="1"/>
  <c r="C12" i="18" s="1"/>
  <c r="K7" i="19" a="1"/>
  <c r="K7" i="19" s="1"/>
  <c r="K8" i="19" a="1"/>
  <c r="K8" i="19" s="1"/>
  <c r="C2" i="19" a="1"/>
  <c r="C2" i="19" s="1"/>
  <c r="C12" i="19" s="1"/>
  <c r="K5" i="19" a="1"/>
  <c r="K5" i="19" s="1"/>
  <c r="D2" i="19" a="1"/>
  <c r="D2" i="19" s="1"/>
  <c r="D12" i="19" s="1"/>
  <c r="D13" i="18" l="1"/>
  <c r="D13" i="19"/>
  <c r="C13" i="18"/>
  <c r="C13" i="19"/>
  <c r="D3" i="18" a="1"/>
  <c r="D3" i="18" s="1"/>
  <c r="N5" i="19" a="1"/>
  <c r="N5" i="19" s="1"/>
  <c r="C3" i="18" a="1"/>
  <c r="C3" i="18" s="1"/>
  <c r="N8" i="19" a="1"/>
  <c r="N8" i="19" s="1"/>
  <c r="N6" i="19" a="1"/>
  <c r="N6" i="19" s="1"/>
  <c r="N7" i="19" a="1"/>
  <c r="N7" i="19" s="1"/>
  <c r="D3" i="19" a="1"/>
  <c r="D3" i="19" s="1"/>
  <c r="C3" i="19" a="1"/>
  <c r="C3" i="1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<sst xmlns="http://schemas.openxmlformats.org/spreadsheetml/2006/main" count="32194" uniqueCount="712">
  <si>
    <t>Ross Depperschmidt</t>
  </si>
  <si>
    <t>JP Du Plessis</t>
  </si>
  <si>
    <t>CHI</t>
  </si>
  <si>
    <t>Home</t>
  </si>
  <si>
    <t>NOLA</t>
  </si>
  <si>
    <t>Will Leonard</t>
  </si>
  <si>
    <t>LA</t>
  </si>
  <si>
    <t>OGDC</t>
  </si>
  <si>
    <t>Billy Meakes</t>
  </si>
  <si>
    <t>Away</t>
  </si>
  <si>
    <t>William Talataina</t>
  </si>
  <si>
    <t>Junior Gafa</t>
  </si>
  <si>
    <t>Mark O'Keeffe</t>
  </si>
  <si>
    <t>UTAH</t>
  </si>
  <si>
    <t>ARC</t>
  </si>
  <si>
    <t>Mitch Richardson</t>
  </si>
  <si>
    <t>Dan Kriel</t>
  </si>
  <si>
    <t>SEA</t>
  </si>
  <si>
    <t>DAL</t>
  </si>
  <si>
    <t>Jason Emery</t>
  </si>
  <si>
    <t>Connor Winchester</t>
  </si>
  <si>
    <t>Tomas Inciarte</t>
  </si>
  <si>
    <t>Mika Kruse</t>
  </si>
  <si>
    <t>NEFJ</t>
  </si>
  <si>
    <t>MIA</t>
  </si>
  <si>
    <t>Ben LeSage</t>
  </si>
  <si>
    <t>Nick Grigg</t>
  </si>
  <si>
    <t>Paul Lasike</t>
  </si>
  <si>
    <t>Te Rangatira Waitokia</t>
  </si>
  <si>
    <t>Rating</t>
  </si>
  <si>
    <t>Player</t>
  </si>
  <si>
    <t>Rank</t>
  </si>
  <si>
    <t>Le Roux Malan</t>
  </si>
  <si>
    <t>Cael Hodgson</t>
  </si>
  <si>
    <t>SDL</t>
  </si>
  <si>
    <t>Guiseppe du Toit</t>
  </si>
  <si>
    <t>HOU</t>
  </si>
  <si>
    <t>Divan Rossouw</t>
  </si>
  <si>
    <t>Dom Akina</t>
  </si>
  <si>
    <t>Tiaan Loots</t>
  </si>
  <si>
    <t>Sam Windsor</t>
  </si>
  <si>
    <t>Ethan Grayson</t>
  </si>
  <si>
    <t>Jordan Jackson-Hope</t>
  </si>
  <si>
    <t>Seth Purdey</t>
  </si>
  <si>
    <t>Bryce Campbell</t>
  </si>
  <si>
    <t>Tommaso Boni</t>
  </si>
  <si>
    <t>Wayne van der Bank</t>
  </si>
  <si>
    <t>Marcell Muller</t>
  </si>
  <si>
    <t>Sam Hill</t>
  </si>
  <si>
    <t>Zion Going</t>
  </si>
  <si>
    <t>Louritz van der Schyff</t>
  </si>
  <si>
    <t>Marcel Brache</t>
  </si>
  <si>
    <t>Tavite Lopeti</t>
  </si>
  <si>
    <t>Spencer Jones</t>
  </si>
  <si>
    <t xml:space="preserve"> </t>
  </si>
  <si>
    <t>Squared Error</t>
  </si>
  <si>
    <t>Forecast</t>
  </si>
  <si>
    <t>Opp</t>
  </si>
  <si>
    <t>home</t>
  </si>
  <si>
    <t>Points</t>
  </si>
  <si>
    <t>Team</t>
  </si>
  <si>
    <t>Rnd</t>
  </si>
  <si>
    <t>Mean:</t>
  </si>
  <si>
    <t>Adriaan Carelse</t>
  </si>
  <si>
    <t>Andrew Coe</t>
  </si>
  <si>
    <t>Axel Muller</t>
  </si>
  <si>
    <t>Christian Dyer</t>
  </si>
  <si>
    <t>Damien Hoyland</t>
  </si>
  <si>
    <t>Danyon Morgan-Puterangi</t>
  </si>
  <si>
    <t>Dave Kearney</t>
  </si>
  <si>
    <t>David Still</t>
  </si>
  <si>
    <t>Davy Coetzer</t>
  </si>
  <si>
    <t>Dougie Fife</t>
  </si>
  <si>
    <t>Drew Wild</t>
  </si>
  <si>
    <t>Ed Fidow</t>
  </si>
  <si>
    <t>Jack Shaw</t>
  </si>
  <si>
    <t>Jade Stighling</t>
  </si>
  <si>
    <t>Jason Robertson</t>
  </si>
  <si>
    <t>Jeremy Misailegalu</t>
  </si>
  <si>
    <t>Joe Mano</t>
  </si>
  <si>
    <t>John Rizzo</t>
  </si>
  <si>
    <t>JP Smith</t>
  </si>
  <si>
    <t>Lauina Futi</t>
  </si>
  <si>
    <t>Line Latu</t>
  </si>
  <si>
    <t>Marcos Young</t>
  </si>
  <si>
    <t>Matias Freyre</t>
  </si>
  <si>
    <t>Michael Manson</t>
  </si>
  <si>
    <t>Mitch Wilson</t>
  </si>
  <si>
    <t>Nate Augspurger</t>
  </si>
  <si>
    <t>Nazareno Valentini</t>
  </si>
  <si>
    <t>Noah Brown</t>
  </si>
  <si>
    <t>Paula Balekana</t>
  </si>
  <si>
    <t>Perry Humphreys</t>
  </si>
  <si>
    <t>Reece Macdonald</t>
  </si>
  <si>
    <t>Rory van Vugt</t>
  </si>
  <si>
    <t>Ryan James</t>
  </si>
  <si>
    <t>Santiago Videla</t>
  </si>
  <si>
    <t>Shane Barry</t>
  </si>
  <si>
    <t>Sione Mahe</t>
  </si>
  <si>
    <t>Taniela Filimone</t>
  </si>
  <si>
    <t>Tomas Aoake</t>
  </si>
  <si>
    <t>Tomas Malanos</t>
  </si>
  <si>
    <t>Vaughan Isaacs</t>
  </si>
  <si>
    <t>Frank Lochore</t>
  </si>
  <si>
    <t>Rob Harley</t>
  </si>
  <si>
    <t>Rhyno Herbst</t>
  </si>
  <si>
    <t>Justin Basson</t>
  </si>
  <si>
    <t>Sam Golla</t>
  </si>
  <si>
    <t>James Scott</t>
  </si>
  <si>
    <t>Malcolm May</t>
  </si>
  <si>
    <t>Ignacio Dotti</t>
  </si>
  <si>
    <t>Conor Keys</t>
  </si>
  <si>
    <t>Johan Momsen</t>
  </si>
  <si>
    <t>Josh Larsen</t>
  </si>
  <si>
    <t>William Waguespack</t>
  </si>
  <si>
    <t>Mason Flesch</t>
  </si>
  <si>
    <t>Reegan O'Gorman</t>
  </si>
  <si>
    <t>Nathan Den Hoedt</t>
  </si>
  <si>
    <t>Callum Botchar</t>
  </si>
  <si>
    <t>Charlie Hewitt</t>
  </si>
  <si>
    <t>Matt Jenson</t>
  </si>
  <si>
    <t>(highest rank is most helpful matchup)</t>
  </si>
  <si>
    <t>Niall Saunders</t>
  </si>
  <si>
    <t>Andre Warner</t>
  </si>
  <si>
    <t>Tomas Cubelli</t>
  </si>
  <si>
    <t>Luke Campbell</t>
  </si>
  <si>
    <t>Connor Buckley</t>
  </si>
  <si>
    <t>John Poland</t>
  </si>
  <si>
    <t>Nick McCarthy</t>
  </si>
  <si>
    <t>Siaosi Nai</t>
  </si>
  <si>
    <t>Juan Dee Olivier</t>
  </si>
  <si>
    <t>Ethan McVeigh</t>
  </si>
  <si>
    <t>Ryan Rees</t>
  </si>
  <si>
    <t>Cam Nordli-Kelemeti</t>
  </si>
  <si>
    <t>C</t>
  </si>
  <si>
    <t>FR</t>
  </si>
  <si>
    <t>SR</t>
  </si>
  <si>
    <t>BR</t>
  </si>
  <si>
    <t>SH</t>
  </si>
  <si>
    <t>FH</t>
  </si>
  <si>
    <t>B3</t>
  </si>
  <si>
    <t>DSP</t>
  </si>
  <si>
    <t>Alec McDonnell</t>
  </si>
  <si>
    <t>Alex Maughan</t>
  </si>
  <si>
    <t>Andrew Quattrin</t>
  </si>
  <si>
    <t>Angus MacLellan</t>
  </si>
  <si>
    <t>Augusto Bohme</t>
  </si>
  <si>
    <t>Bruce Kuaika-Peterson</t>
  </si>
  <si>
    <t>Cali Martinez</t>
  </si>
  <si>
    <t>Cameron Orr</t>
  </si>
  <si>
    <t>Cole Keith</t>
  </si>
  <si>
    <t>Conor Young</t>
  </si>
  <si>
    <t>Dane Zander</t>
  </si>
  <si>
    <t>Darcy Breen</t>
  </si>
  <si>
    <t>Declan Moore</t>
  </si>
  <si>
    <t>Dewald Kotze</t>
  </si>
  <si>
    <t>Dylan Fawsitt</t>
  </si>
  <si>
    <t>Ezekiel Lindenmuth</t>
  </si>
  <si>
    <t>Facundo Gattas</t>
  </si>
  <si>
    <t>Faka'osi Pifeleti</t>
  </si>
  <si>
    <t>Franco van den Berg</t>
  </si>
  <si>
    <t>Hugh Roach</t>
  </si>
  <si>
    <t>Ignacio Peculo</t>
  </si>
  <si>
    <t>Jack Iscaro</t>
  </si>
  <si>
    <t>Jake Turnbull</t>
  </si>
  <si>
    <t>Joe Taufete'e</t>
  </si>
  <si>
    <t>Jonas Petrakopoulos</t>
  </si>
  <si>
    <t>Juan Pablo Zeiss</t>
  </si>
  <si>
    <t>Kirby Myhill</t>
  </si>
  <si>
    <t>Kyle Ciquera</t>
  </si>
  <si>
    <t>Maks van Dyk</t>
  </si>
  <si>
    <t>Martin Vaca</t>
  </si>
  <si>
    <t>Matt Harmon</t>
  </si>
  <si>
    <t>Nic Souchon</t>
  </si>
  <si>
    <t>Paddy Ryan</t>
  </si>
  <si>
    <t>Pat O'Toole</t>
  </si>
  <si>
    <t>Paul Mullen</t>
  </si>
  <si>
    <t>Payton Telea-Ilalio</t>
  </si>
  <si>
    <t>Pita Ah Sue</t>
  </si>
  <si>
    <t>Sean McNulty</t>
  </si>
  <si>
    <t>Sean Paranihi</t>
  </si>
  <si>
    <t>Joe Apikotoa</t>
  </si>
  <si>
    <t>Chance Wenglewski</t>
  </si>
  <si>
    <t>Olive Kilifi</t>
  </si>
  <si>
    <t>Joaquin Horcada</t>
  </si>
  <si>
    <t>Charlie Abel</t>
  </si>
  <si>
    <t>Week 6 Front Row</t>
  </si>
  <si>
    <t>Dan Hollinshead</t>
  </si>
  <si>
    <t>Dorian Jones</t>
  </si>
  <si>
    <t>Felipe Etcheverry</t>
  </si>
  <si>
    <t>Jayson Potroz</t>
  </si>
  <si>
    <t>Joel Hodgson</t>
  </si>
  <si>
    <t>Lincoln McClutchie</t>
  </si>
  <si>
    <t>Mack Mason</t>
  </si>
  <si>
    <t>Martin Elias</t>
  </si>
  <si>
    <t>Oscar Koller</t>
  </si>
  <si>
    <t>Rodney Iona</t>
  </si>
  <si>
    <t>Albert O'Shannessey</t>
  </si>
  <si>
    <t>Bailey Wilson</t>
  </si>
  <si>
    <t>Benjamin Bonasso</t>
  </si>
  <si>
    <t>Christian Poidevin</t>
  </si>
  <si>
    <t>Collin Grosse</t>
  </si>
  <si>
    <t>Cory Daniel</t>
  </si>
  <si>
    <t>Dylan Fortune</t>
  </si>
  <si>
    <t>Dylan Nel</t>
  </si>
  <si>
    <t>Emmanuel Albert</t>
  </si>
  <si>
    <t>Huw Taylor</t>
  </si>
  <si>
    <t>Jamason Fa'anana-Schultz</t>
  </si>
  <si>
    <t>Jason Damm</t>
  </si>
  <si>
    <t>Jonah Mau'u</t>
  </si>
  <si>
    <t>Kalisi Moli</t>
  </si>
  <si>
    <t>Lautaro Bavaro</t>
  </si>
  <si>
    <t>Lucas Rumball</t>
  </si>
  <si>
    <t>Maclean Jones</t>
  </si>
  <si>
    <t>Makeen Alikham</t>
  </si>
  <si>
    <t>Manuel Ardao</t>
  </si>
  <si>
    <t>Marno Redelinghuys</t>
  </si>
  <si>
    <t>Marques Fuala'au</t>
  </si>
  <si>
    <t>Martin Sigren</t>
  </si>
  <si>
    <t>Matt Heaton</t>
  </si>
  <si>
    <t>Pago Haini</t>
  </si>
  <si>
    <t>Piers von Dadelszen</t>
  </si>
  <si>
    <t>Riekert Hattingh</t>
  </si>
  <si>
    <t>Ronan Foley</t>
  </si>
  <si>
    <t>Ronan Murphy</t>
  </si>
  <si>
    <t>Sam Tuifua</t>
  </si>
  <si>
    <t>Semi Kunatani</t>
  </si>
  <si>
    <t>Tevita Tameilau</t>
  </si>
  <si>
    <t>Vili Helu</t>
  </si>
  <si>
    <t>Wian Conradie</t>
  </si>
  <si>
    <t>Week 6 Back Flex</t>
  </si>
  <si>
    <t>Anthem Rugby Carolina</t>
  </si>
  <si>
    <t>Chicago Hounds</t>
  </si>
  <si>
    <t>Dallas Jackals</t>
  </si>
  <si>
    <t>Houston SaberCats</t>
  </si>
  <si>
    <t>Miami Sharks</t>
  </si>
  <si>
    <t>New England Free Jacks</t>
  </si>
  <si>
    <t>NOLA Gold</t>
  </si>
  <si>
    <t>Old Glory DC</t>
  </si>
  <si>
    <t>San Diego Legion</t>
  </si>
  <si>
    <t>Seattle Seawolves</t>
  </si>
  <si>
    <t>Utah Warriors</t>
  </si>
  <si>
    <t>*Top performer</t>
  </si>
  <si>
    <t>Dewald Kotze*</t>
  </si>
  <si>
    <t>projected</t>
  </si>
  <si>
    <t>actual</t>
  </si>
  <si>
    <t>points</t>
  </si>
  <si>
    <t>Use R to check statistical correlation</t>
  </si>
  <si>
    <t>Connor Robinson</t>
  </si>
  <si>
    <t>Jason Higgins</t>
  </si>
  <si>
    <t>Sean Ralph</t>
  </si>
  <si>
    <t>James Irey</t>
  </si>
  <si>
    <t>Malakai Hala-Ngatai</t>
  </si>
  <si>
    <t>Average score per position versus Opp (rank)</t>
  </si>
  <si>
    <t>Average score per position versus Opp (score)</t>
  </si>
  <si>
    <t>projections:</t>
  </si>
  <si>
    <t>NULL</t>
  </si>
  <si>
    <t>Home edge</t>
  </si>
  <si>
    <t>mean</t>
  </si>
  <si>
    <t>off_mean:</t>
  </si>
  <si>
    <t>def_mean:</t>
  </si>
  <si>
    <t>SSE</t>
  </si>
  <si>
    <t>Overall</t>
  </si>
  <si>
    <t>Offense Rank</t>
  </si>
  <si>
    <t>Offense</t>
  </si>
  <si>
    <t>Defense Rank</t>
  </si>
  <si>
    <t>Defense</t>
  </si>
  <si>
    <t>Home Team</t>
  </si>
  <si>
    <t>Away Team</t>
  </si>
  <si>
    <t>Home Points</t>
  </si>
  <si>
    <t>Away Points</t>
  </si>
  <si>
    <t>Home Prediction</t>
  </si>
  <si>
    <t>Away Prediction</t>
  </si>
  <si>
    <t>UTA</t>
  </si>
  <si>
    <t>SD</t>
  </si>
  <si>
    <t>RFCLA</t>
  </si>
  <si>
    <t>Week8</t>
  </si>
  <si>
    <t>Tevita Naqali</t>
  </si>
  <si>
    <t>Conner Mooneyham</t>
  </si>
  <si>
    <t>ROS</t>
  </si>
  <si>
    <t>ROS_Rank</t>
  </si>
  <si>
    <t>Current_Rank</t>
  </si>
  <si>
    <t>*</t>
  </si>
  <si>
    <t>Seth Smith</t>
  </si>
  <si>
    <t>Taylor Krumrei</t>
  </si>
  <si>
    <t>Jason Tidwell</t>
  </si>
  <si>
    <t>Julian Roberts</t>
  </si>
  <si>
    <t>Bench</t>
  </si>
  <si>
    <t>Pos</t>
  </si>
  <si>
    <t>Week18</t>
  </si>
  <si>
    <t>Week17</t>
  </si>
  <si>
    <t>Week16</t>
  </si>
  <si>
    <t>Week15</t>
  </si>
  <si>
    <t>Week14</t>
  </si>
  <si>
    <t>Week13</t>
  </si>
  <si>
    <t>Week12</t>
  </si>
  <si>
    <t>Week11</t>
  </si>
  <si>
    <t>Week10</t>
  </si>
  <si>
    <t>Week9</t>
  </si>
  <si>
    <t>Week7</t>
  </si>
  <si>
    <t>Week6</t>
  </si>
  <si>
    <t>Week5</t>
  </si>
  <si>
    <t>Week4</t>
  </si>
  <si>
    <t>Week3</t>
  </si>
  <si>
    <t>Week2</t>
  </si>
  <si>
    <t>Week1</t>
  </si>
  <si>
    <t>(After Week X)</t>
  </si>
  <si>
    <t>Rankings History</t>
  </si>
  <si>
    <t>Movers</t>
  </si>
  <si>
    <t>LastRank</t>
  </si>
  <si>
    <t>Change</t>
  </si>
  <si>
    <t>Pick:</t>
  </si>
  <si>
    <t>Overall, Offense, and Defense ranks</t>
  </si>
  <si>
    <t>Overall Ranking with Change from Last Week</t>
  </si>
  <si>
    <t>Team Rankings</t>
  </si>
  <si>
    <t>Ranking Changes</t>
  </si>
  <si>
    <t>Tomas Cubilla</t>
  </si>
  <si>
    <t>Y</t>
  </si>
  <si>
    <t>N</t>
  </si>
  <si>
    <t>Position</t>
  </si>
  <si>
    <t>My guy</t>
  </si>
  <si>
    <t>My points</t>
  </si>
  <si>
    <t>His points</t>
  </si>
  <si>
    <t>His guy</t>
  </si>
  <si>
    <t>FF</t>
  </si>
  <si>
    <t>BF</t>
  </si>
  <si>
    <t>Look for their points for the current week. IFERROR fill in with average of starters for that team against that opponent</t>
  </si>
  <si>
    <t>Sum:</t>
  </si>
  <si>
    <t>Win/Loss</t>
  </si>
  <si>
    <t>Week 11:</t>
  </si>
  <si>
    <t>Pred_theirs</t>
  </si>
  <si>
    <t>Real_my</t>
  </si>
  <si>
    <t>Pred_my</t>
  </si>
  <si>
    <t>Real_theirs</t>
  </si>
  <si>
    <t>Seimou Smith</t>
  </si>
  <si>
    <t>Cam Dolan</t>
  </si>
  <si>
    <t>Matt Giteau</t>
  </si>
  <si>
    <t>Ethan Fryer</t>
  </si>
  <si>
    <t>OverallRating</t>
  </si>
  <si>
    <t>OverallRank</t>
  </si>
  <si>
    <t>Isaac Olson</t>
  </si>
  <si>
    <t>Week</t>
  </si>
  <si>
    <t>Rostered</t>
  </si>
  <si>
    <t>&lt;-- Currently IFERROR null for missing players, would love to make this averages</t>
  </si>
  <si>
    <t>ROFSRank</t>
  </si>
  <si>
    <t>ROFSRating</t>
  </si>
  <si>
    <t>ROFS</t>
  </si>
  <si>
    <t>ROFS_Rank</t>
  </si>
  <si>
    <t>Week 14:</t>
  </si>
  <si>
    <t>Home Team Offense Favorability</t>
  </si>
  <si>
    <t>Away Team Offense Favorability</t>
  </si>
  <si>
    <t>Djustice Sears-Duru</t>
  </si>
  <si>
    <t xml:space="preserve">Finished Week: </t>
  </si>
  <si>
    <t>Remaining Games for ROFS Calc</t>
  </si>
  <si>
    <t>Holden Yungert</t>
  </si>
  <si>
    <t>Predicted Week:</t>
  </si>
  <si>
    <t>Last5GamesStart%</t>
  </si>
  <si>
    <t>Players</t>
  </si>
  <si>
    <t>Projection</t>
  </si>
  <si>
    <t>Front Row</t>
  </si>
  <si>
    <t>Second Row</t>
  </si>
  <si>
    <t>Proj.Week</t>
  </si>
  <si>
    <t>Set for Ryan Ye Week 15 Matchup w/Lads On Tour</t>
  </si>
  <si>
    <t>Nola Gold</t>
  </si>
  <si>
    <t>Back Flex</t>
  </si>
  <si>
    <t>Scrumhalf</t>
  </si>
  <si>
    <t>Flyhalf</t>
  </si>
  <si>
    <t>Center</t>
  </si>
  <si>
    <t>Back Three</t>
  </si>
  <si>
    <t>Back Row</t>
  </si>
  <si>
    <t>Forward Flex</t>
  </si>
  <si>
    <t>(currently back row only, will typically be BR)</t>
  </si>
  <si>
    <t>Pick best 5$</t>
  </si>
  <si>
    <t>Pick best 4$</t>
  </si>
  <si>
    <t>Pick best 3$</t>
  </si>
  <si>
    <t>Pick best 2$</t>
  </si>
  <si>
    <t>Pick best 1$</t>
  </si>
  <si>
    <t>Other combinations to make 15:</t>
  </si>
  <si>
    <t>55221, 55500, 443321, etc.</t>
  </si>
  <si>
    <t>Choose highest prediction</t>
  </si>
  <si>
    <t>Currently will choose FF as BR2</t>
  </si>
  <si>
    <t>rank</t>
  </si>
  <si>
    <t>This needs to be filtered for non-rank 1 from the backs</t>
  </si>
  <si>
    <t>Remove IR players?</t>
  </si>
  <si>
    <t>Player list like below, filter out to fill FR, SR, etc.</t>
  </si>
  <si>
    <t>IR</t>
  </si>
  <si>
    <t>…</t>
  </si>
  <si>
    <t>Integrate with site to pull automatically</t>
  </si>
  <si>
    <t>Henry Speight</t>
  </si>
  <si>
    <t>Jed Melvin</t>
  </si>
  <si>
    <t>Preseason</t>
  </si>
  <si>
    <t>Costs</t>
  </si>
  <si>
    <t>Proj.Points</t>
  </si>
  <si>
    <t>TotalPoints</t>
  </si>
  <si>
    <t xml:space="preserve">Also needs to account for </t>
  </si>
  <si>
    <t>SR/BR</t>
  </si>
  <si>
    <t>Makeen Alikhan</t>
  </si>
  <si>
    <t>FR vs Def 2025</t>
  </si>
  <si>
    <t>SR vs Def 2025</t>
  </si>
  <si>
    <t>BR vs Def 2025</t>
  </si>
  <si>
    <t>SH vs Def 2025</t>
  </si>
  <si>
    <t>FH vs Def 2025</t>
  </si>
  <si>
    <t>Matias Orlando</t>
  </si>
  <si>
    <t>C vs Def 2025</t>
  </si>
  <si>
    <t>B3 vs Def 2025</t>
  </si>
  <si>
    <t>BF vs Def 2025</t>
  </si>
  <si>
    <t>DSP vs Def 2025</t>
  </si>
  <si>
    <t>Log</t>
  </si>
  <si>
    <t>PointsvsDef</t>
  </si>
  <si>
    <t>PointsforTeam</t>
  </si>
  <si>
    <t>PointsforTeam Ranking</t>
  </si>
  <si>
    <t>Ma'ake Muti</t>
  </si>
  <si>
    <t>Kaleb Geiger</t>
  </si>
  <si>
    <t>Ethan Howard</t>
  </si>
  <si>
    <t>Val Lee-Lo</t>
  </si>
  <si>
    <t>Pono Davis</t>
  </si>
  <si>
    <t>Alessandro Heaney</t>
  </si>
  <si>
    <t>Ben Sugars</t>
  </si>
  <si>
    <t>Cronan Gleeson</t>
  </si>
  <si>
    <t>Mauro Rebussone</t>
  </si>
  <si>
    <t>Jed Holloway</t>
  </si>
  <si>
    <t>Sam Caird</t>
  </si>
  <si>
    <t>Federico Gutíerrez</t>
  </si>
  <si>
    <t>Malembe Mpofu</t>
  </si>
  <si>
    <t>Brandon Harvey</t>
  </si>
  <si>
    <t>Shawn Clark</t>
  </si>
  <si>
    <t>Hamish Bain</t>
  </si>
  <si>
    <t>OJ Noa</t>
  </si>
  <si>
    <t>Joe Johnston</t>
  </si>
  <si>
    <t>Brad Wilkin</t>
  </si>
  <si>
    <t>Tim Anstee</t>
  </si>
  <si>
    <t>Jero Gomez Vara</t>
  </si>
  <si>
    <t>Ben Houston</t>
  </si>
  <si>
    <t>Ed Timpson</t>
  </si>
  <si>
    <t>Tesimoni Tonga'uiha</t>
  </si>
  <si>
    <t>Kellen Galletier</t>
  </si>
  <si>
    <t>Jimmy Hokafonu</t>
  </si>
  <si>
    <t>Gonzalo Bertranou</t>
  </si>
  <si>
    <t>Karl Keane</t>
  </si>
  <si>
    <t>Tomás Cubelli</t>
  </si>
  <si>
    <t>Richard Judd</t>
  </si>
  <si>
    <t>Mitch Short</t>
  </si>
  <si>
    <t>Christian Leali'ifano</t>
  </si>
  <si>
    <t>Harrison Boyle</t>
  </si>
  <si>
    <t>Tim Swiel</t>
  </si>
  <si>
    <t>Matias Jensen</t>
  </si>
  <si>
    <t>Tomás Cubilla</t>
  </si>
  <si>
    <t>Steffan Hughes</t>
  </si>
  <si>
    <t>Erich Storti</t>
  </si>
  <si>
    <t>Ollie Devoto</t>
  </si>
  <si>
    <t>Mikaela Kruse</t>
  </si>
  <si>
    <t>Nick Chan</t>
  </si>
  <si>
    <t>Isaac Te Tamaki</t>
  </si>
  <si>
    <t>Xavier Mignot</t>
  </si>
  <si>
    <t>Cameron Gerlach</t>
  </si>
  <si>
    <t>Ben Pollack</t>
  </si>
  <si>
    <t>Simon-Peter Toleafoa</t>
  </si>
  <si>
    <t>Cooper Coats</t>
  </si>
  <si>
    <t>Jeremiah Sio</t>
  </si>
  <si>
    <t>Connor Burns</t>
  </si>
  <si>
    <t>Ashawnty Staples Flowers</t>
  </si>
  <si>
    <t>RFC Los Angeles</t>
  </si>
  <si>
    <t>Shilo Klein</t>
  </si>
  <si>
    <t>Liam Coltman</t>
  </si>
  <si>
    <t>Aki Seiuli</t>
  </si>
  <si>
    <t>Alex Tucci</t>
  </si>
  <si>
    <t>Pita Anae-Ah Sue</t>
  </si>
  <si>
    <t>Tonga Kofe</t>
  </si>
  <si>
    <t>GroupRnk</t>
  </si>
  <si>
    <t>Gavin Thornbury</t>
  </si>
  <si>
    <t>Mikey Grandy</t>
  </si>
  <si>
    <t>Viliami Vuli</t>
  </si>
  <si>
    <t>Logan Crowley</t>
  </si>
  <si>
    <t>D'Angelo Leuila</t>
  </si>
  <si>
    <t>Kyle Brown</t>
  </si>
  <si>
    <t>Nikolai Foliaki</t>
  </si>
  <si>
    <t>Max Schumacher</t>
  </si>
  <si>
    <t>Jordan Trainor</t>
  </si>
  <si>
    <t>Blake Makiri</t>
  </si>
  <si>
    <t>Rufus McLean</t>
  </si>
  <si>
    <t>Kerron van Vuuren</t>
  </si>
  <si>
    <t>Alex Lopeti</t>
  </si>
  <si>
    <t>Tau Koloamatangi</t>
  </si>
  <si>
    <t>Siaosi Mahoni</t>
  </si>
  <si>
    <t>Chase Jones</t>
  </si>
  <si>
    <t>Devin Short</t>
  </si>
  <si>
    <t>Tupou Ma'afu Afungia</t>
  </si>
  <si>
    <t>Tomás Inciarte</t>
  </si>
  <si>
    <t>Carlo de Nysschen</t>
  </si>
  <si>
    <t>Ruben de Haas</t>
  </si>
  <si>
    <t>Tautalatasi Tasi</t>
  </si>
  <si>
    <t>AJ Alatimu</t>
  </si>
  <si>
    <t>Eddie Fouche</t>
  </si>
  <si>
    <t>Luke Carty</t>
  </si>
  <si>
    <t>Nic Benn</t>
  </si>
  <si>
    <t>Michael Hand</t>
  </si>
  <si>
    <t>James Vaifale</t>
  </si>
  <si>
    <t>Duncan Matthews</t>
  </si>
  <si>
    <t>Killian Coghlan</t>
  </si>
  <si>
    <t>Julian Dominguez</t>
  </si>
  <si>
    <t>PointsvsDef Ranking</t>
  </si>
  <si>
    <t>Mike Sosene Feagai</t>
  </si>
  <si>
    <t>KoiKoi Nelligan</t>
  </si>
  <si>
    <t>Maliu Niuafe</t>
  </si>
  <si>
    <t>Janus Venter</t>
  </si>
  <si>
    <t>Jone Koroiduadua</t>
  </si>
  <si>
    <t>Tevita Sole</t>
  </si>
  <si>
    <t>Joe Wrafter</t>
  </si>
  <si>
    <t>PlayerID</t>
  </si>
  <si>
    <t>WeeklyRating</t>
  </si>
  <si>
    <t>WeeklyRank</t>
  </si>
  <si>
    <t>Tomás Casares</t>
  </si>
  <si>
    <t>Bill Whiteside</t>
  </si>
  <si>
    <t>Took way too long, not worth running , DEPRECATED</t>
  </si>
  <si>
    <t>Tomalati Ma'afu</t>
  </si>
  <si>
    <t>Oscar Lennon</t>
  </si>
  <si>
    <t>Jay Renton</t>
  </si>
  <si>
    <t>Watson Filikitonga</t>
  </si>
  <si>
    <t>Faletoi Peni</t>
  </si>
  <si>
    <t>Cliven Loubser</t>
  </si>
  <si>
    <t>Christopher Hilsenbeck</t>
  </si>
  <si>
    <t>Owen Sheehy</t>
  </si>
  <si>
    <t>Brock Webster</t>
  </si>
  <si>
    <t>Isaac Salmon</t>
  </si>
  <si>
    <t>Fred Apulu</t>
  </si>
  <si>
    <t>Sam Davies</t>
  </si>
  <si>
    <t>Remsy Lemisio</t>
  </si>
  <si>
    <t>Zurab Zhvania</t>
  </si>
  <si>
    <t>Tuvere Vugakoto</t>
  </si>
  <si>
    <t>Jurie van Vuuren</t>
  </si>
  <si>
    <t>Conall Boomer</t>
  </si>
  <si>
    <t>Malacchi Esdale</t>
  </si>
  <si>
    <t>Reece Botha</t>
  </si>
  <si>
    <t>Shane O'Leary</t>
  </si>
  <si>
    <t>EJ Freeman</t>
  </si>
  <si>
    <t>Marcos Elisagaray</t>
  </si>
  <si>
    <t>Rhian Stowers</t>
  </si>
  <si>
    <t>Toni Pulu</t>
  </si>
  <si>
    <t>Abe Turpen</t>
  </si>
  <si>
    <t>Aidan King</t>
  </si>
  <si>
    <t>Alejandro Martinez Tapia</t>
  </si>
  <si>
    <t>Alesana Pohla</t>
  </si>
  <si>
    <t>Bart Vermeulen</t>
  </si>
  <si>
    <t>Ben Strang</t>
  </si>
  <si>
    <t>Brock Gallagher</t>
  </si>
  <si>
    <t>Brook To'omalatai</t>
  </si>
  <si>
    <t>Cassh Maluia</t>
  </si>
  <si>
    <t>Chase Schor-Haskin</t>
  </si>
  <si>
    <t>Colin Turner</t>
  </si>
  <si>
    <t>Connal McInerney</t>
  </si>
  <si>
    <t>Connor Tupai</t>
  </si>
  <si>
    <t>Damian Morley</t>
  </si>
  <si>
    <t>Damian Stevens</t>
  </si>
  <si>
    <t>Dan Hanson</t>
  </si>
  <si>
    <t>David Busby</t>
  </si>
  <si>
    <t>Declan Leaney</t>
  </si>
  <si>
    <t>Dewald Donald</t>
  </si>
  <si>
    <t>Emerson Prior</t>
  </si>
  <si>
    <t>Foster Dewitt</t>
  </si>
  <si>
    <t>Gabe Casey</t>
  </si>
  <si>
    <t>Harris Rutherford</t>
  </si>
  <si>
    <t>Inoke Waqavesi</t>
  </si>
  <si>
    <t>Isaia Lotawa</t>
  </si>
  <si>
    <t>Ishma-eel Safodien</t>
  </si>
  <si>
    <t>Isikeli Kava</t>
  </si>
  <si>
    <t>Jack Reeves</t>
  </si>
  <si>
    <t>Jackson Zabierek</t>
  </si>
  <si>
    <t>Jarred Adams</t>
  </si>
  <si>
    <t>Jesse Mackail</t>
  </si>
  <si>
    <t>John LeFevre</t>
  </si>
  <si>
    <t>John Powers</t>
  </si>
  <si>
    <t>Jonah Dietenberger</t>
  </si>
  <si>
    <t>Josiah Morra</t>
  </si>
  <si>
    <t>Juan Dee Oliver</t>
  </si>
  <si>
    <t>Kaden Duguid</t>
  </si>
  <si>
    <t>Kaipono Kayoshi</t>
  </si>
  <si>
    <t>Keni Nasoqeqe</t>
  </si>
  <si>
    <t>Koby Baker</t>
  </si>
  <si>
    <t>Kyle Baillie</t>
  </si>
  <si>
    <t>Kyle Steeves</t>
  </si>
  <si>
    <t>LaRome White</t>
  </si>
  <si>
    <t>Lautaro Soto</t>
  </si>
  <si>
    <t>Liam Fletcher</t>
  </si>
  <si>
    <t>Liki Chan-Tung</t>
  </si>
  <si>
    <t>Logan Weidner</t>
  </si>
  <si>
    <t>Luke White</t>
  </si>
  <si>
    <t>Mason Pedersen</t>
  </si>
  <si>
    <t>Mateo Gadsden</t>
  </si>
  <si>
    <t>Matt Carrion</t>
  </si>
  <si>
    <t>Matt Oworu</t>
  </si>
  <si>
    <t>Michael Baska</t>
  </si>
  <si>
    <t>Michael Scott</t>
  </si>
  <si>
    <t>Mikaea Wynyard</t>
  </si>
  <si>
    <t>Nathan Sylvia</t>
  </si>
  <si>
    <t>Njabulo Gumede</t>
  </si>
  <si>
    <t>Noah Bain</t>
  </si>
  <si>
    <t>Noah Flesch</t>
  </si>
  <si>
    <t>Oliver Kane</t>
  </si>
  <si>
    <t>Osaiasi Tonga'uiha</t>
  </si>
  <si>
    <t>Phil Bradford</t>
  </si>
  <si>
    <t>Reid Davis</t>
  </si>
  <si>
    <t>Sam Walsh</t>
  </si>
  <si>
    <t>Sean Nolan</t>
  </si>
  <si>
    <t>Semi Kunitani</t>
  </si>
  <si>
    <t>Stephan Bernal-Wendt</t>
  </si>
  <si>
    <t>Tas Smith</t>
  </si>
  <si>
    <t>Tinashe Muchena</t>
  </si>
  <si>
    <t>Tomas Bekerman</t>
  </si>
  <si>
    <t>Tyler Matchem</t>
  </si>
  <si>
    <t>Tyler Wong</t>
  </si>
  <si>
    <t>Javon Camp Villalovos</t>
  </si>
  <si>
    <t>Weekly</t>
  </si>
  <si>
    <t>Trade?</t>
  </si>
  <si>
    <t>Nathan den Hoedt</t>
  </si>
  <si>
    <t>approx -115 each</t>
  </si>
  <si>
    <t>All 3:</t>
  </si>
  <si>
    <t>All 3 hit</t>
  </si>
  <si>
    <t>SDL Lose</t>
  </si>
  <si>
    <t>CHI Lose</t>
  </si>
  <si>
    <t>UTAH Lose</t>
  </si>
  <si>
    <t>-$70 in</t>
  </si>
  <si>
    <t>Profit</t>
  </si>
  <si>
    <t>CHI/SDL</t>
  </si>
  <si>
    <t>CHI/UTAH</t>
  </si>
  <si>
    <t>SDL/UTAH</t>
  </si>
  <si>
    <t>All 3 lose</t>
  </si>
  <si>
    <t>chance</t>
  </si>
  <si>
    <t>W</t>
  </si>
  <si>
    <t>L</t>
  </si>
  <si>
    <t>sum changes</t>
  </si>
  <si>
    <t>Joe Rees</t>
  </si>
  <si>
    <t>Charles Elton</t>
  </si>
  <si>
    <t>Cian Darling</t>
  </si>
  <si>
    <t>Harley Wheeler</t>
  </si>
  <si>
    <t>Lucas Bur</t>
  </si>
  <si>
    <t>Rhys Mitchell</t>
  </si>
  <si>
    <t>Saia 'Uhila</t>
  </si>
  <si>
    <t>Sam Reimer</t>
  </si>
  <si>
    <t>Tamarau McGahan</t>
  </si>
  <si>
    <t>Toby Fricker</t>
  </si>
  <si>
    <t>Reinaldo Piussi</t>
  </si>
  <si>
    <t>Calvin Ihrig</t>
  </si>
  <si>
    <t>Graeme Pedegana</t>
  </si>
  <si>
    <t>Jay Tuivaiti</t>
  </si>
  <si>
    <t>Josh McAdam</t>
  </si>
  <si>
    <t>Robert Mapa</t>
  </si>
  <si>
    <t>Zak Farrance</t>
  </si>
  <si>
    <t>TFR</t>
  </si>
  <si>
    <t>Braemar Murray</t>
  </si>
  <si>
    <t>Cole Semu</t>
  </si>
  <si>
    <t>D’Angelo Leuila</t>
  </si>
  <si>
    <t>Drake Davis</t>
  </si>
  <si>
    <t>Rick Rose</t>
  </si>
  <si>
    <t>Wilton Rebolo</t>
  </si>
  <si>
    <t>ML Underdog</t>
  </si>
  <si>
    <t>anything more than 10 to cover</t>
  </si>
  <si>
    <t>last few weeks</t>
  </si>
  <si>
    <t>TFR_line</t>
  </si>
  <si>
    <t>if RFCLA underdog hammer</t>
  </si>
  <si>
    <t>ML UTAH underdog</t>
  </si>
  <si>
    <t>RFCLA ML</t>
  </si>
  <si>
    <t>SEA ML</t>
  </si>
  <si>
    <t>ARC cover</t>
  </si>
  <si>
    <t>OGDC +10.5 or HOU -</t>
  </si>
  <si>
    <t>Alexander Hernandez</t>
  </si>
  <si>
    <t>Brad Tucker</t>
  </si>
  <si>
    <t>Brady Daniel</t>
  </si>
  <si>
    <t>Declan O'Loughlin</t>
  </si>
  <si>
    <t>Jake Kinneeveauk</t>
  </si>
  <si>
    <t>Justus Tavai</t>
  </si>
  <si>
    <t>Lance Williams</t>
  </si>
  <si>
    <t>Lindsey Stevens</t>
  </si>
  <si>
    <t>Neil Trainor</t>
  </si>
  <si>
    <t>Quinton Tindel</t>
  </si>
  <si>
    <t>Steffan Crimp</t>
  </si>
  <si>
    <t>Vaughen Isaacs</t>
  </si>
  <si>
    <t>T</t>
  </si>
  <si>
    <t>Midweeks:</t>
  </si>
  <si>
    <t>Aminae Amiatu-Tanoi</t>
  </si>
  <si>
    <t>Chris Turori</t>
  </si>
  <si>
    <t>Dalton Musselman</t>
  </si>
  <si>
    <t>Darius Law</t>
  </si>
  <si>
    <t>Emanuel Lai</t>
  </si>
  <si>
    <t>Jack Webster</t>
  </si>
  <si>
    <t>James Rivers</t>
  </si>
  <si>
    <t>Matt Anticev</t>
  </si>
  <si>
    <t>Miah Noaese</t>
  </si>
  <si>
    <t>Nolan Tuamoheloa</t>
  </si>
  <si>
    <t>Peyton Wall</t>
  </si>
  <si>
    <t>Ronnie McElligott</t>
  </si>
  <si>
    <t>Tavius Sykorea-Matthess</t>
  </si>
  <si>
    <t>Tielu Sagala</t>
  </si>
  <si>
    <t>Tim Ohlwein</t>
  </si>
  <si>
    <t>Tomasi Tonga</t>
  </si>
  <si>
    <t>Vilimone Koroi</t>
  </si>
  <si>
    <t>TFR_pick</t>
  </si>
  <si>
    <t>midweek</t>
  </si>
  <si>
    <t>if NEFJ underdog SMASH</t>
  </si>
  <si>
    <t>HOU cover</t>
  </si>
  <si>
    <t>SEA cover</t>
  </si>
  <si>
    <t>Through Week 13</t>
  </si>
  <si>
    <t>Corbin Smith</t>
  </si>
  <si>
    <t>Nick Boyer</t>
  </si>
  <si>
    <t>Rhys Jones</t>
  </si>
  <si>
    <t>parlay analyzer</t>
  </si>
  <si>
    <t>2024 info:</t>
  </si>
  <si>
    <t>Playoffs</t>
  </si>
  <si>
    <t>QF</t>
  </si>
  <si>
    <t>SF</t>
  </si>
  <si>
    <t>F</t>
  </si>
  <si>
    <t>away</t>
  </si>
  <si>
    <t>going with away for both in neutral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</si>
</sst>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</patternFill>
    </fill>
    <fill>
      <patternFill patternType="solid">
        <fgColor rgb="FFFFC000"/>
        <bgColor rgb="FF000000"/>
      </patternFill>
    </fill>
    <fill>
      <patternFill patternType="solid">
        <fgColor theme="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6" borderId="0" applyNumberFormat="0" applyBorder="0" applyAlignment="0" applyProtection="0"/>
  </cellStyleXfs>
  <cellXfs count="122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0" borderId="0" xfId="0" applyFont="1"/>
    <xf numFmtId="0" fontId="1" fillId="0" borderId="0" xfId="0" applyFont="1"/>
    <xf numFmtId="0" fontId="0" fillId="0" borderId="2" xfId="0" applyBorder="1"/>
    <xf numFmtId="0" fontId="2" fillId="3" borderId="1" xfId="0" applyFont="1" applyFill="1" applyBorder="1"/>
    <xf numFmtId="0" fontId="2" fillId="2" borderId="0" xfId="0" applyFont="1" applyFill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0" fillId="0" borderId="12" xfId="0" applyBorder="1"/>
    <xf numFmtId="0" fontId="0" fillId="0" borderId="13" xfId="0" applyBorder="1"/>
    <xf numFmtId="0" fontId="2" fillId="3" borderId="14" xfId="0" applyFont="1" applyFill="1" applyBorder="1"/>
    <xf numFmtId="0" fontId="0" fillId="3" borderId="15" xfId="0" applyFill="1" applyBorder="1"/>
    <xf numFmtId="0" fontId="2" fillId="3" borderId="16" xfId="0" applyFont="1" applyFill="1" applyBorder="1"/>
    <xf numFmtId="0" fontId="0" fillId="3" borderId="17" xfId="0" applyFill="1" applyBorder="1"/>
    <xf numFmtId="0" fontId="0" fillId="3" borderId="18" xfId="0" applyFill="1" applyBorder="1"/>
    <xf numFmtId="2" fontId="2" fillId="4" borderId="0" xfId="0" applyNumberFormat="1" applyFont="1" applyFill="1"/>
    <xf numFmtId="0" fontId="2" fillId="0" borderId="0" xfId="0" applyFont="1" applyAlignment="1">
      <alignment horizontal="right"/>
    </xf>
    <xf numFmtId="2" fontId="2" fillId="0" borderId="0" xfId="0" applyNumberFormat="1" applyFont="1"/>
    <xf numFmtId="0" fontId="2" fillId="0" borderId="0" xfId="0" quotePrefix="1" applyFont="1" applyAlignment="1">
      <alignment horizontal="right"/>
    </xf>
    <xf numFmtId="0" fontId="2" fillId="0" borderId="1" xfId="0" applyFont="1" applyBorder="1"/>
    <xf numFmtId="2" fontId="0" fillId="0" borderId="1" xfId="0" applyNumberFormat="1" applyBorder="1"/>
    <xf numFmtId="2" fontId="0" fillId="4" borderId="1" xfId="0" applyNumberFormat="1" applyFill="1" applyBorder="1"/>
    <xf numFmtId="0" fontId="0" fillId="3" borderId="1" xfId="0" applyFill="1" applyBorder="1"/>
    <xf numFmtId="0" fontId="0" fillId="3" borderId="19" xfId="0" applyFill="1" applyBorder="1"/>
    <xf numFmtId="0" fontId="0" fillId="5" borderId="0" xfId="0" applyFill="1"/>
    <xf numFmtId="0" fontId="4" fillId="5" borderId="0" xfId="0" applyFont="1" applyFill="1"/>
    <xf numFmtId="0" fontId="2" fillId="0" borderId="17" xfId="0" applyFont="1" applyBorder="1"/>
    <xf numFmtId="0" fontId="2" fillId="0" borderId="20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21" xfId="0" applyFont="1" applyBorder="1"/>
    <xf numFmtId="0" fontId="2" fillId="0" borderId="15" xfId="0" applyFont="1" applyBorder="1"/>
    <xf numFmtId="0" fontId="2" fillId="0" borderId="22" xfId="0" applyFont="1" applyBorder="1"/>
    <xf numFmtId="16" fontId="0" fillId="0" borderId="5" xfId="0" applyNumberFormat="1" applyBorder="1"/>
    <xf numFmtId="0" fontId="2" fillId="0" borderId="6" xfId="0" applyFont="1" applyBorder="1"/>
    <xf numFmtId="16" fontId="0" fillId="0" borderId="8" xfId="0" applyNumberFormat="1" applyBorder="1"/>
    <xf numFmtId="16" fontId="0" fillId="0" borderId="10" xfId="0" applyNumberFormat="1" applyBorder="1"/>
    <xf numFmtId="16" fontId="0" fillId="0" borderId="23" xfId="0" applyNumberFormat="1" applyBorder="1"/>
    <xf numFmtId="0" fontId="0" fillId="0" borderId="24" xfId="0" applyBorder="1"/>
    <xf numFmtId="16" fontId="0" fillId="0" borderId="12" xfId="0" applyNumberFormat="1" applyBorder="1"/>
    <xf numFmtId="0" fontId="2" fillId="0" borderId="2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19" xfId="0" applyFont="1" applyFill="1" applyBorder="1"/>
    <xf numFmtId="0" fontId="2" fillId="0" borderId="19" xfId="0" applyFont="1" applyBorder="1"/>
    <xf numFmtId="0" fontId="2" fillId="3" borderId="0" xfId="0" applyFont="1" applyFill="1"/>
    <xf numFmtId="1" fontId="0" fillId="3" borderId="0" xfId="0" applyNumberFormat="1" applyFill="1"/>
    <xf numFmtId="0" fontId="0" fillId="3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6" fillId="0" borderId="0" xfId="0" applyFont="1"/>
    <xf numFmtId="0" fontId="6" fillId="7" borderId="16" xfId="0" applyFont="1" applyFill="1" applyBorder="1"/>
    <xf numFmtId="0" fontId="2" fillId="3" borderId="27" xfId="0" applyFont="1" applyFill="1" applyBorder="1"/>
    <xf numFmtId="0" fontId="0" fillId="0" borderId="27" xfId="0" applyBorder="1"/>
    <xf numFmtId="0" fontId="0" fillId="0" borderId="28" xfId="0" applyBorder="1"/>
    <xf numFmtId="0" fontId="0" fillId="0" borderId="16" xfId="0" applyBorder="1"/>
    <xf numFmtId="0" fontId="0" fillId="0" borderId="29" xfId="0" applyBorder="1"/>
    <xf numFmtId="0" fontId="0" fillId="0" borderId="17" xfId="0" applyBorder="1"/>
    <xf numFmtId="0" fontId="0" fillId="0" borderId="26" xfId="0" applyBorder="1"/>
    <xf numFmtId="0" fontId="0" fillId="0" borderId="20" xfId="0" applyBorder="1"/>
    <xf numFmtId="6" fontId="2" fillId="0" borderId="0" xfId="0" applyNumberFormat="1" applyFont="1"/>
    <xf numFmtId="0" fontId="2" fillId="0" borderId="0" xfId="0" quotePrefix="1" applyFont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0" fillId="0" borderId="32" xfId="0" applyBorder="1"/>
    <xf numFmtId="0" fontId="0" fillId="0" borderId="14" xfId="0" applyBorder="1"/>
    <xf numFmtId="0" fontId="0" fillId="0" borderId="33" xfId="0" applyBorder="1"/>
    <xf numFmtId="0" fontId="2" fillId="0" borderId="32" xfId="0" applyFont="1" applyBorder="1"/>
    <xf numFmtId="0" fontId="2" fillId="0" borderId="14" xfId="0" applyFont="1" applyBorder="1"/>
    <xf numFmtId="0" fontId="2" fillId="0" borderId="16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28" xfId="0" applyFont="1" applyBorder="1"/>
    <xf numFmtId="0" fontId="2" fillId="0" borderId="26" xfId="0" applyFont="1" applyBorder="1"/>
    <xf numFmtId="0" fontId="2" fillId="0" borderId="39" xfId="0" applyFont="1" applyBorder="1"/>
    <xf numFmtId="0" fontId="0" fillId="0" borderId="23" xfId="0" applyBorder="1"/>
    <xf numFmtId="0" fontId="2" fillId="0" borderId="24" xfId="0" applyFont="1" applyBorder="1"/>
    <xf numFmtId="0" fontId="2" fillId="0" borderId="23" xfId="0" applyFont="1" applyBorder="1"/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/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0" fontId="7" fillId="8" borderId="0" xfId="1" applyFont="1" applyFill="1" applyAlignment="1">
      <alignment horizontal="center"/>
    </xf>
  </cellXfs>
  <cellStyles count="2">
    <cellStyle name="Accent4" xfId="1" builtinId="41"/>
    <cellStyle name="Normal" xfId="0" builtinId="0"/>
  </cellStyles>
  <dxfs count="16"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Off(x)</a:t>
            </a:r>
            <a:r>
              <a:rPr lang="en-US" baseline="0"/>
              <a:t> vs Def(y)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Def</c:v>
          </c:tx>
          <c:spPr>
            <a:ln w="25400">
              <a:noFill/>
            </a:ln>
          </c:spPr>
          <c:marker>
            <c:symbol val="circle"/>
            <c:size val="5"/>
          </c:marker>
          <c:dPt>
            <c:idx val="0"/>
            <c:marker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4B-4450-9ABB-D242C75D3BA1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4B-4450-9ABB-D242C75D3BA1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4B-4450-9ABB-D242C75D3BA1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64B-4450-9ABB-D242C75D3BA1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64B-4450-9ABB-D242C75D3BA1}"/>
              </c:ext>
            </c:extLst>
          </c:dPt>
          <c:dPt>
            <c:idx val="5"/>
            <c:marker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64B-4450-9ABB-D242C75D3BA1}"/>
              </c:ext>
            </c:extLst>
          </c:dPt>
          <c:dPt>
            <c:idx val="6"/>
            <c:marker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64B-4450-9ABB-D242C75D3BA1}"/>
              </c:ext>
            </c:extLst>
          </c:dPt>
          <c:dPt>
            <c:idx val="7"/>
            <c:marker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64B-4450-9ABB-D242C75D3BA1}"/>
              </c:ext>
            </c:extLst>
          </c:dPt>
          <c:dPt>
            <c:idx val="8"/>
            <c:marker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64B-4450-9ABB-D242C75D3BA1}"/>
              </c:ext>
            </c:extLst>
          </c:dPt>
          <c:dPt>
            <c:idx val="9"/>
            <c:marker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64B-4450-9ABB-D242C75D3BA1}"/>
              </c:ext>
            </c:extLst>
          </c:dPt>
          <c:dPt>
            <c:idx val="10"/>
            <c:marker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64B-4450-9ABB-D242C75D3BA1}"/>
              </c:ext>
            </c:extLst>
          </c:dPt>
          <c:dPt>
            <c:idx val="11"/>
            <c:marker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E64B-4450-9ABB-D242C75D3BA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A9B1698-F46C-4C94-B413-11DDB0782E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64B-4450-9ABB-D242C75D3BA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5DCEA37-75E2-478C-A7F3-B6217DE056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64B-4450-9ABB-D242C75D3BA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4D2C0A0-47F5-438E-AAD5-0002EDF41D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64B-4450-9ABB-D242C75D3BA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31E7E94-512C-4A37-B282-4D274F4548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64B-4450-9ABB-D242C75D3BA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DACE7BE-F020-4942-BED6-B6A6F67B6B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64B-4450-9ABB-D242C75D3BA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83D0570-2959-41B2-8D10-E3E611260E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64B-4450-9ABB-D242C75D3BA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13A1BA5-B50E-421A-A78D-90DCDA91D7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64B-4450-9ABB-D242C75D3BA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4A7DC43-DB89-43F3-9447-26C2FDC8E4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64B-4450-9ABB-D242C75D3BA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13FE0C5-3AB1-4B94-B3E7-E94C69CF3B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64B-4450-9ABB-D242C75D3BA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E4CC7B1-6F20-449E-867E-72F33D3B3F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64B-4450-9ABB-D242C75D3BA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ADA8DBF-199F-4F56-BB9B-072E8D4ADA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64B-4450-9ABB-D242C75D3BA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E134538-33CD-41DE-AAD0-CEC39BD63A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64B-4450-9ABB-D242C75D3B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2"/>
              <c:pt idx="0">
                <c:v>7.6176142169948822</c:v>
              </c:pt>
              <c:pt idx="1">
                <c:v>4.1257420034587469</c:v>
              </c:pt>
              <c:pt idx="2">
                <c:v>7.2706173557194473</c:v>
              </c:pt>
              <c:pt idx="3">
                <c:v>-0.21092122724486428</c:v>
              </c:pt>
              <c:pt idx="4">
                <c:v>5.6282420341072541</c:v>
              </c:pt>
              <c:pt idx="5">
                <c:v>2.2235962942537402</c:v>
              </c:pt>
              <c:pt idx="6">
                <c:v>-5.0941897842142918</c:v>
              </c:pt>
              <c:pt idx="7">
                <c:v>-4.8197490532102991</c:v>
              </c:pt>
              <c:pt idx="8">
                <c:v>-6.7667236241569251</c:v>
              </c:pt>
              <c:pt idx="9">
                <c:v>-3.8881188473998702</c:v>
              </c:pt>
              <c:pt idx="10">
                <c:v>-4.7975683454286164</c:v>
              </c:pt>
              <c:pt idx="11">
                <c:v>-1.2885410228795633</c:v>
              </c:pt>
            </c:numLit>
          </c:xVal>
          <c:yVal>
            <c:numLit>
              <c:formatCode>General</c:formatCode>
              <c:ptCount val="12"/>
              <c:pt idx="0">
                <c:v>3.7811879506992856</c:v>
              </c:pt>
              <c:pt idx="1">
                <c:v>4.4648574582363612</c:v>
              </c:pt>
              <c:pt idx="2">
                <c:v>9.8258675586475261E-2</c:v>
              </c:pt>
              <c:pt idx="3">
                <c:v>5.470973673733865</c:v>
              </c:pt>
              <c:pt idx="4">
                <c:v>-3.4434792628197473</c:v>
              </c:pt>
              <c:pt idx="5">
                <c:v>-0.4066052562828491</c:v>
              </c:pt>
              <c:pt idx="6">
                <c:v>6.5880166921888019</c:v>
              </c:pt>
              <c:pt idx="7">
                <c:v>3.2759513714748332</c:v>
              </c:pt>
              <c:pt idx="8">
                <c:v>4.7834779419288482</c:v>
              </c:pt>
              <c:pt idx="9">
                <c:v>0.41644587998465887</c:v>
              </c:pt>
              <c:pt idx="10">
                <c:v>1.7136624668209043E-2</c:v>
              </c:pt>
              <c:pt idx="11">
                <c:v>-25.046221900233654</c:v>
              </c:pt>
            </c:numLit>
          </c:yVal>
          <c:smooth val="0"/>
          <c:extLst>
            <c:ext xmlns:c15="http://schemas.microsoft.com/office/drawing/2012/chart" uri="{02D57815-91ED-43cb-92C2-25804820EDAC}">
              <c15:datalabelsRange>
                <c15:f>{"SEA","NEFJ","HOU","SD","DAL","CHI","UTA","NOLA","MIA","RFCLA","OGDC","ARC"}</c15:f>
                <c15:dlblRangeCache>
                  <c:ptCount val="12"/>
                  <c:pt idx="0">
                    <c:v>SEA</c:v>
                  </c:pt>
                  <c:pt idx="1">
                    <c:v>NEFJ</c:v>
                  </c:pt>
                  <c:pt idx="2">
                    <c:v>HOU</c:v>
                  </c:pt>
                  <c:pt idx="3">
                    <c:v>SD</c:v>
                  </c:pt>
                  <c:pt idx="4">
                    <c:v>DAL</c:v>
                  </c:pt>
                  <c:pt idx="5">
                    <c:v>CHI</c:v>
                  </c:pt>
                  <c:pt idx="6">
                    <c:v>UTA</c:v>
                  </c:pt>
                  <c:pt idx="7">
                    <c:v>NOLA</c:v>
                  </c:pt>
                  <c:pt idx="8">
                    <c:v>MIA</c:v>
                  </c:pt>
                  <c:pt idx="9">
                    <c:v>RFCLA</c:v>
                  </c:pt>
                  <c:pt idx="10">
                    <c:v>OGDC</c:v>
                  </c:pt>
                  <c:pt idx="11">
                    <c:v>ARC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E64B-4450-9ABB-D242C75D3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458832"/>
        <c:axId val="1419467984"/>
      </c:scatterChart>
      <c:valAx>
        <c:axId val="141945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467984"/>
        <c:crosses val="autoZero"/>
        <c:crossBetween val="midCat"/>
      </c:valAx>
      <c:valAx>
        <c:axId val="141946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45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Def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Lit>
              <c:formatCode>General</c:formatCode>
              <c:ptCount val="12"/>
              <c:pt idx="0">
                <c:v>7.6176142169948822</c:v>
              </c:pt>
              <c:pt idx="1">
                <c:v>4.1257420034587469</c:v>
              </c:pt>
              <c:pt idx="2">
                <c:v>7.2706173557194473</c:v>
              </c:pt>
              <c:pt idx="3">
                <c:v>-0.21092122724486428</c:v>
              </c:pt>
              <c:pt idx="4">
                <c:v>5.6282420341072541</c:v>
              </c:pt>
              <c:pt idx="5">
                <c:v>2.2235962942537402</c:v>
              </c:pt>
              <c:pt idx="6">
                <c:v>-5.0941897842142918</c:v>
              </c:pt>
              <c:pt idx="7">
                <c:v>-4.8197490532102991</c:v>
              </c:pt>
              <c:pt idx="8">
                <c:v>-6.7667236241569251</c:v>
              </c:pt>
              <c:pt idx="9">
                <c:v>-3.8881188473998702</c:v>
              </c:pt>
              <c:pt idx="10">
                <c:v>-4.7975683454286164</c:v>
              </c:pt>
              <c:pt idx="11">
                <c:v>-1.2885410228795633</c:v>
              </c:pt>
            </c:numLit>
          </c:xVal>
          <c:yVal>
            <c:numLit>
              <c:formatCode>General</c:formatCode>
              <c:ptCount val="12"/>
              <c:pt idx="0">
                <c:v>3.7811879506992856</c:v>
              </c:pt>
              <c:pt idx="1">
                <c:v>4.4648574582363612</c:v>
              </c:pt>
              <c:pt idx="2">
                <c:v>9.8258675586475261E-2</c:v>
              </c:pt>
              <c:pt idx="3">
                <c:v>5.470973673733865</c:v>
              </c:pt>
              <c:pt idx="4">
                <c:v>-3.4434792628197473</c:v>
              </c:pt>
              <c:pt idx="5">
                <c:v>-0.4066052562828491</c:v>
              </c:pt>
              <c:pt idx="6">
                <c:v>6.5880166921888019</c:v>
              </c:pt>
              <c:pt idx="7">
                <c:v>3.2759513714748332</c:v>
              </c:pt>
              <c:pt idx="8">
                <c:v>4.7834779419288482</c:v>
              </c:pt>
              <c:pt idx="9">
                <c:v>0.41644587998465887</c:v>
              </c:pt>
              <c:pt idx="10">
                <c:v>1.7136624668209043E-2</c:v>
              </c:pt>
              <c:pt idx="11">
                <c:v>-25.046221900233654</c:v>
              </c:pt>
            </c:numLit>
          </c:yVal>
          <c:bubbleSize>
            <c:numLit>
              <c:formatCode>General</c:formatCode>
              <c:ptCount val="12"/>
              <c:pt idx="0">
                <c:v>12</c:v>
              </c:pt>
              <c:pt idx="1">
                <c:v>11</c:v>
              </c:pt>
              <c:pt idx="2">
                <c:v>10</c:v>
              </c:pt>
              <c:pt idx="3">
                <c:v>9</c:v>
              </c:pt>
              <c:pt idx="4">
                <c:v>8</c:v>
              </c:pt>
              <c:pt idx="5">
                <c:v>7</c:v>
              </c:pt>
              <c:pt idx="6">
                <c:v>6</c:v>
              </c:pt>
              <c:pt idx="7">
                <c:v>5</c:v>
              </c:pt>
              <c:pt idx="8">
                <c:v>4</c:v>
              </c:pt>
              <c:pt idx="9">
                <c:v>3</c:v>
              </c:pt>
              <c:pt idx="10">
                <c:v>2</c:v>
              </c:pt>
              <c:pt idx="11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2C70-4746-9757-4B620DDB3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138616368"/>
        <c:axId val="1138620112"/>
      </c:bubbleChart>
      <c:valAx>
        <c:axId val="113861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20112"/>
        <c:crosses val="autoZero"/>
        <c:crossBetween val="midCat"/>
      </c:valAx>
      <c:valAx>
        <c:axId val="11386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1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73296</xdr:colOff>
      <xdr:row>33</xdr:row>
      <xdr:rowOff>136629</xdr:rowOff>
    </xdr:from>
    <xdr:to>
      <xdr:col>6</xdr:col>
      <xdr:colOff>170108</xdr:colOff>
      <xdr:row>46</xdr:row>
      <xdr:rowOff>95021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2F8ABA-240C-4E90-882A-04DE4A990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46</xdr:row>
      <xdr:rowOff>43328</xdr:rowOff>
    </xdr:from>
    <xdr:to>
      <xdr:col>6</xdr:col>
      <xdr:colOff>97901</xdr:colOff>
      <xdr:row>58</xdr:row>
      <xdr:rowOff>85201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830B2A-5A6D-49B6-BB2F-A102A59E3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948C-DE47-470A-A1F3-F894F118E2EE}">
  <dimension ref="A1:AL109"/>
  <sheetViews>
    <sheetView tabSelected="1" topLeftCell="A90" zoomScaleNormal="100" workbookViewId="0">
      <selection activeCell="F107" sqref="F107"/>
    </sheetView>
  </sheetViews>
  <sheetFormatPr defaultColWidth="8.6328125" defaultRowHeight="14.5" x14ac:dyDescent="0.35"/>
  <cols>
    <col min="1" max="1" width="8.6328125" style="3"/>
    <col min="2" max="2" width="9.90625" style="3" customWidth="1"/>
    <col min="3" max="3" width="7.26953125" style="3" bestFit="1" customWidth="1"/>
    <col min="4" max="4" width="8.81640625" style="3" customWidth="1"/>
    <col min="5" max="5" width="8.1796875" style="3" customWidth="1"/>
    <col min="6" max="6" width="7.81640625" style="3" customWidth="1"/>
    <col min="7" max="7" width="8" style="3" customWidth="1"/>
    <col min="8" max="8" width="8.6328125" style="3"/>
    <col min="9" max="9" width="13.6328125" style="3" customWidth="1"/>
    <col min="10" max="10" width="7.54296875" style="3" customWidth="1"/>
    <col min="11" max="11" width="7.36328125" style="3" customWidth="1"/>
    <col min="12" max="12" width="7.1796875" customWidth="1"/>
    <col min="13" max="13" width="8.54296875" customWidth="1"/>
    <col min="14" max="14" width="16.1796875" style="3" customWidth="1"/>
    <col min="15" max="15" width="14.6328125" style="3" customWidth="1"/>
    <col min="16" max="16" width="12.26953125" style="3" customWidth="1"/>
    <col min="17" max="17" width="28.08984375" style="3" customWidth="1"/>
    <col min="18" max="18" width="27.26953125" style="3" customWidth="1"/>
    <col min="19" max="32" width="8.6328125" style="3"/>
    <col min="33" max="33" width="9.81640625" style="3" bestFit="1" customWidth="1"/>
    <col min="34" max="16384" width="8.6328125" style="3"/>
  </cols>
  <sheetData>
    <row r="1" spans="1:38" x14ac:dyDescent="0.35">
      <c r="F1" s="3" t="s">
        <v>257</v>
      </c>
      <c r="G1" s="28">
        <v>3.6631115207270653</v>
      </c>
      <c r="S1" t="s">
        <v>307</v>
      </c>
      <c r="T1"/>
      <c r="U1" t="s">
        <v>306</v>
      </c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spans="1:38" x14ac:dyDescent="0.35">
      <c r="F2" s="3" t="s">
        <v>258</v>
      </c>
      <c r="G2" s="3">
        <v>22.775367726934252</v>
      </c>
      <c r="S2" s="6"/>
      <c r="T2" s="6" t="s">
        <v>390</v>
      </c>
      <c r="U2" s="6" t="s">
        <v>305</v>
      </c>
      <c r="V2" s="6" t="s">
        <v>304</v>
      </c>
      <c r="W2" s="6" t="s">
        <v>303</v>
      </c>
      <c r="X2" s="6" t="s">
        <v>302</v>
      </c>
      <c r="Y2" s="6" t="s">
        <v>301</v>
      </c>
      <c r="Z2" s="6" t="s">
        <v>300</v>
      </c>
      <c r="AA2" s="6" t="s">
        <v>299</v>
      </c>
      <c r="AB2" s="6" t="s">
        <v>276</v>
      </c>
      <c r="AC2" s="6" t="s">
        <v>298</v>
      </c>
      <c r="AD2" s="6" t="s">
        <v>297</v>
      </c>
      <c r="AE2" s="6" t="s">
        <v>296</v>
      </c>
      <c r="AF2" s="6" t="s">
        <v>295</v>
      </c>
      <c r="AG2" s="6" t="s">
        <v>294</v>
      </c>
      <c r="AH2" s="6" t="s">
        <v>293</v>
      </c>
      <c r="AI2" s="6" t="s">
        <v>292</v>
      </c>
      <c r="AJ2" s="6" t="s">
        <v>291</v>
      </c>
      <c r="AK2" s="6" t="s">
        <v>290</v>
      </c>
      <c r="AL2" s="6" t="s">
        <v>289</v>
      </c>
    </row>
    <row r="3" spans="1:38" x14ac:dyDescent="0.35">
      <c r="B3" s="3" t="s">
        <v>258</v>
      </c>
      <c r="D3" s="29" t="s">
        <v>259</v>
      </c>
      <c r="E3" s="30">
        <f>AVERAGE(E5:E14)</f>
        <v>-5.2693514085433436E-8</v>
      </c>
      <c r="F3" s="31" t="s">
        <v>260</v>
      </c>
      <c r="G3" s="30">
        <f>AVERAGE(G5:G14)</f>
        <v>1.7866241515118729E-7</v>
      </c>
      <c r="P3" s="3" t="s">
        <v>261</v>
      </c>
      <c r="S3" s="6" t="s">
        <v>14</v>
      </c>
      <c r="T3" s="1">
        <v>11</v>
      </c>
      <c r="U3" s="1">
        <v>8</v>
      </c>
      <c r="V3" s="1">
        <v>11</v>
      </c>
      <c r="W3" s="1">
        <v>11</v>
      </c>
      <c r="X3" s="1">
        <v>11</v>
      </c>
      <c r="Y3" s="1">
        <v>11</v>
      </c>
      <c r="Z3" s="1">
        <v>11</v>
      </c>
      <c r="AA3" s="1">
        <v>11</v>
      </c>
      <c r="AB3" s="32">
        <v>11</v>
      </c>
      <c r="AC3" s="32">
        <v>11</v>
      </c>
      <c r="AD3" s="32">
        <v>11</v>
      </c>
      <c r="AE3" s="32">
        <v>11</v>
      </c>
      <c r="AF3" s="32">
        <v>11</v>
      </c>
      <c r="AG3" s="32">
        <v>11</v>
      </c>
      <c r="AH3" s="32">
        <v>11</v>
      </c>
      <c r="AI3" s="32">
        <v>11</v>
      </c>
      <c r="AJ3" s="32">
        <v>11</v>
      </c>
      <c r="AK3" s="32">
        <v>11</v>
      </c>
      <c r="AL3" s="1"/>
    </row>
    <row r="4" spans="1:38" x14ac:dyDescent="0.35">
      <c r="B4" s="6" t="s">
        <v>60</v>
      </c>
      <c r="C4" s="6" t="s">
        <v>262</v>
      </c>
      <c r="D4" s="6" t="s">
        <v>263</v>
      </c>
      <c r="E4" s="6" t="s">
        <v>264</v>
      </c>
      <c r="F4" s="6" t="s">
        <v>265</v>
      </c>
      <c r="G4" s="6" t="s">
        <v>266</v>
      </c>
      <c r="P4" s="3">
        <f>SUM(P6:P277)</f>
        <v>18273.420156000575</v>
      </c>
      <c r="S4" s="6" t="s">
        <v>2</v>
      </c>
      <c r="T4" s="1">
        <v>4</v>
      </c>
      <c r="U4" s="1">
        <v>4</v>
      </c>
      <c r="V4" s="1">
        <v>2</v>
      </c>
      <c r="W4" s="1">
        <v>3</v>
      </c>
      <c r="X4" s="1">
        <v>4</v>
      </c>
      <c r="Y4" s="1">
        <v>4</v>
      </c>
      <c r="Z4" s="1">
        <v>4</v>
      </c>
      <c r="AA4" s="1">
        <v>3</v>
      </c>
      <c r="AB4" s="32">
        <v>3</v>
      </c>
      <c r="AC4" s="32">
        <v>2</v>
      </c>
      <c r="AD4" s="32">
        <v>3</v>
      </c>
      <c r="AE4" s="32">
        <v>4</v>
      </c>
      <c r="AF4" s="32">
        <v>3</v>
      </c>
      <c r="AG4" s="32">
        <v>4</v>
      </c>
      <c r="AH4" s="32">
        <v>4</v>
      </c>
      <c r="AI4" s="32">
        <v>4</v>
      </c>
      <c r="AJ4" s="32">
        <v>4</v>
      </c>
      <c r="AK4" s="32">
        <v>4</v>
      </c>
      <c r="AL4" s="1"/>
    </row>
    <row r="5" spans="1:38" x14ac:dyDescent="0.35">
      <c r="A5" s="3">
        <v>1</v>
      </c>
      <c r="B5" s="6" t="s">
        <v>13</v>
      </c>
      <c r="C5" s="33">
        <f t="shared" ref="C5:C15" si="0">E5-G5</f>
        <v>3.4176487815249406</v>
      </c>
      <c r="D5" s="1">
        <f t="shared" ref="D5:D15" si="1">RANK(E5,$E$5:$E$15,0)</f>
        <v>1</v>
      </c>
      <c r="E5" s="34">
        <v>4.8535337481214338</v>
      </c>
      <c r="F5" s="1">
        <f t="shared" ref="F5:F15" si="2">RANK(G5,$G$5:$G$15,1)</f>
        <v>6</v>
      </c>
      <c r="G5" s="34">
        <v>1.4358849665964932</v>
      </c>
      <c r="I5" s="3" t="s">
        <v>61</v>
      </c>
      <c r="J5" s="3" t="s">
        <v>267</v>
      </c>
      <c r="K5" s="3" t="s">
        <v>268</v>
      </c>
      <c r="L5" s="3" t="s">
        <v>269</v>
      </c>
      <c r="M5" s="3" t="s">
        <v>270</v>
      </c>
      <c r="N5" s="3" t="s">
        <v>271</v>
      </c>
      <c r="O5" s="3" t="s">
        <v>272</v>
      </c>
      <c r="P5" s="3" t="s">
        <v>55</v>
      </c>
      <c r="S5" s="6" t="s">
        <v>36</v>
      </c>
      <c r="T5" s="1">
        <v>1</v>
      </c>
      <c r="U5" s="1">
        <v>7</v>
      </c>
      <c r="V5" s="1">
        <v>3</v>
      </c>
      <c r="W5" s="1">
        <v>5</v>
      </c>
      <c r="X5" s="1">
        <v>1</v>
      </c>
      <c r="Y5" s="1">
        <v>2</v>
      </c>
      <c r="Z5" s="1">
        <v>3</v>
      </c>
      <c r="AA5" s="1">
        <v>2</v>
      </c>
      <c r="AB5" s="32">
        <v>2</v>
      </c>
      <c r="AC5" s="32">
        <v>4</v>
      </c>
      <c r="AD5" s="32">
        <v>4</v>
      </c>
      <c r="AE5" s="32">
        <v>3</v>
      </c>
      <c r="AF5" s="32">
        <v>4</v>
      </c>
      <c r="AG5" s="32">
        <v>3</v>
      </c>
      <c r="AH5" s="32">
        <v>1</v>
      </c>
      <c r="AI5" s="32">
        <v>1</v>
      </c>
      <c r="AJ5" s="32">
        <v>3</v>
      </c>
      <c r="AK5" s="32">
        <v>2</v>
      </c>
      <c r="AL5" s="1"/>
    </row>
    <row r="6" spans="1:38" x14ac:dyDescent="0.35">
      <c r="A6" s="3">
        <v>2</v>
      </c>
      <c r="B6" s="6" t="s">
        <v>36</v>
      </c>
      <c r="C6" s="33">
        <f t="shared" si="0"/>
        <v>4.6010256190192305</v>
      </c>
      <c r="D6" s="1">
        <f t="shared" si="1"/>
        <v>4</v>
      </c>
      <c r="E6" s="34">
        <v>9.4130043144146414E-2</v>
      </c>
      <c r="F6" s="1">
        <f t="shared" si="2"/>
        <v>2</v>
      </c>
      <c r="G6" s="34">
        <v>-4.5068955758750837</v>
      </c>
      <c r="I6" s="68">
        <v>1</v>
      </c>
      <c r="J6" t="s">
        <v>24</v>
      </c>
      <c r="K6" t="s">
        <v>7</v>
      </c>
      <c r="L6">
        <v>29</v>
      </c>
      <c r="M6">
        <v>31</v>
      </c>
      <c r="N6" s="3">
        <f t="shared" ref="N6:N37" si="3">IFERROR(mean+0.5*Home_edge+VLOOKUP(J6,$B$5:$G$15,4,FALSE)+VLOOKUP(K6,$B$5:$G$15,6,FALSE),"")</f>
        <v>23.177631791793821</v>
      </c>
      <c r="O6" s="3">
        <f t="shared" ref="O6:O37" si="4">IFERROR(mean-0.5*Home_edge+VLOOKUP(K6,$B$5:$G$15,4,FALSE)+VLOOKUP(J6,$B$5:$G$15,6,FALSE),"")</f>
        <v>21.340441504254215</v>
      </c>
      <c r="P6" s="3">
        <f>IFERROR((N6-L6)^2+(O6-M6)^2,"")</f>
        <v>127.20704188466459</v>
      </c>
      <c r="S6" s="6" t="s">
        <v>24</v>
      </c>
      <c r="T6" s="1">
        <v>9</v>
      </c>
      <c r="U6" s="1">
        <v>6</v>
      </c>
      <c r="V6" s="1">
        <v>9</v>
      </c>
      <c r="W6" s="1">
        <v>8</v>
      </c>
      <c r="X6" s="1">
        <v>9</v>
      </c>
      <c r="Y6" s="1">
        <v>8</v>
      </c>
      <c r="Z6" s="1">
        <v>8</v>
      </c>
      <c r="AA6" s="1">
        <v>10</v>
      </c>
      <c r="AB6" s="32">
        <v>10</v>
      </c>
      <c r="AC6" s="32">
        <v>10</v>
      </c>
      <c r="AD6" s="32">
        <v>10</v>
      </c>
      <c r="AE6" s="32">
        <v>10</v>
      </c>
      <c r="AF6" s="32">
        <v>10</v>
      </c>
      <c r="AG6" s="32">
        <v>10</v>
      </c>
      <c r="AH6" s="32">
        <v>10</v>
      </c>
      <c r="AI6" s="32">
        <v>10</v>
      </c>
      <c r="AJ6" s="32">
        <v>9</v>
      </c>
      <c r="AK6" s="32">
        <v>10</v>
      </c>
      <c r="AL6" s="1"/>
    </row>
    <row r="7" spans="1:38" x14ac:dyDescent="0.35">
      <c r="A7" s="3">
        <v>3</v>
      </c>
      <c r="B7" s="6" t="s">
        <v>23</v>
      </c>
      <c r="C7" s="33">
        <f t="shared" si="0"/>
        <v>3.7860479034746115</v>
      </c>
      <c r="D7" s="1">
        <f t="shared" si="1"/>
        <v>7</v>
      </c>
      <c r="E7" s="34">
        <v>-1.2736361461481194</v>
      </c>
      <c r="F7" s="1">
        <f t="shared" si="2"/>
        <v>1</v>
      </c>
      <c r="G7" s="34">
        <v>-5.0596840496227307</v>
      </c>
      <c r="I7" s="68">
        <v>1</v>
      </c>
      <c r="J7" t="s">
        <v>4</v>
      </c>
      <c r="K7" t="s">
        <v>14</v>
      </c>
      <c r="L7">
        <v>35</v>
      </c>
      <c r="M7">
        <v>14</v>
      </c>
      <c r="N7" s="3">
        <f t="shared" si="3"/>
        <v>36.040002610874694</v>
      </c>
      <c r="O7" s="3">
        <f t="shared" si="4"/>
        <v>19.600698955363367</v>
      </c>
      <c r="P7" s="3">
        <f t="shared" ref="P7:P70" si="5">IFERROR((N7-L7)^2+(O7-M7)^2,"")</f>
        <v>32.44943421923449</v>
      </c>
      <c r="S7" s="6" t="s">
        <v>23</v>
      </c>
      <c r="T7" s="1">
        <v>3</v>
      </c>
      <c r="U7" s="1">
        <v>3</v>
      </c>
      <c r="V7" s="1">
        <v>5</v>
      </c>
      <c r="W7" s="1">
        <v>9</v>
      </c>
      <c r="X7" s="1">
        <v>7</v>
      </c>
      <c r="Y7" s="1">
        <v>9</v>
      </c>
      <c r="Z7" s="1">
        <v>9</v>
      </c>
      <c r="AA7" s="1">
        <v>5</v>
      </c>
      <c r="AB7" s="32">
        <v>5</v>
      </c>
      <c r="AC7" s="32">
        <v>3</v>
      </c>
      <c r="AD7" s="32">
        <v>2</v>
      </c>
      <c r="AE7" s="32">
        <v>2</v>
      </c>
      <c r="AF7" s="32">
        <v>2</v>
      </c>
      <c r="AG7" s="32">
        <v>1</v>
      </c>
      <c r="AH7" s="32">
        <v>2</v>
      </c>
      <c r="AI7" s="32">
        <v>3</v>
      </c>
      <c r="AJ7" s="32">
        <v>1</v>
      </c>
      <c r="AK7" s="32">
        <v>3</v>
      </c>
      <c r="AL7" s="1"/>
    </row>
    <row r="8" spans="1:38" x14ac:dyDescent="0.35">
      <c r="A8" s="3">
        <v>4</v>
      </c>
      <c r="B8" s="6" t="s">
        <v>2</v>
      </c>
      <c r="C8" s="33">
        <f t="shared" si="0"/>
        <v>2.2108852996891812</v>
      </c>
      <c r="D8" s="1">
        <f t="shared" si="1"/>
        <v>9</v>
      </c>
      <c r="E8" s="34">
        <v>-1.9649609615083456</v>
      </c>
      <c r="F8" s="1">
        <f t="shared" si="2"/>
        <v>3</v>
      </c>
      <c r="G8" s="34">
        <v>-4.1758462611975267</v>
      </c>
      <c r="I8" s="68">
        <v>1</v>
      </c>
      <c r="J8" t="s">
        <v>36</v>
      </c>
      <c r="K8" t="s">
        <v>2</v>
      </c>
      <c r="L8">
        <v>22</v>
      </c>
      <c r="M8">
        <v>25</v>
      </c>
      <c r="N8" s="3">
        <f t="shared" si="3"/>
        <v>20.525207269244405</v>
      </c>
      <c r="O8" s="3">
        <f t="shared" si="4"/>
        <v>14.47195542918729</v>
      </c>
      <c r="P8" s="3">
        <f t="shared" si="5"/>
        <v>113.01473608370853</v>
      </c>
      <c r="S8" s="6" t="s">
        <v>4</v>
      </c>
      <c r="T8" s="1">
        <v>6</v>
      </c>
      <c r="U8" s="1">
        <v>1</v>
      </c>
      <c r="V8" s="1">
        <v>10</v>
      </c>
      <c r="W8" s="1">
        <v>7</v>
      </c>
      <c r="X8" s="1">
        <v>10</v>
      </c>
      <c r="Y8" s="1">
        <v>10</v>
      </c>
      <c r="Z8" s="1">
        <v>10</v>
      </c>
      <c r="AA8" s="1">
        <v>9</v>
      </c>
      <c r="AB8" s="32">
        <v>9</v>
      </c>
      <c r="AC8" s="32">
        <v>7</v>
      </c>
      <c r="AD8" s="32">
        <v>6</v>
      </c>
      <c r="AE8" s="32">
        <v>6</v>
      </c>
      <c r="AF8" s="32">
        <v>8</v>
      </c>
      <c r="AG8" s="32">
        <v>8</v>
      </c>
      <c r="AH8" s="32">
        <v>9</v>
      </c>
      <c r="AI8" s="32">
        <v>9</v>
      </c>
      <c r="AJ8" s="32">
        <v>10</v>
      </c>
      <c r="AK8" s="32">
        <v>9</v>
      </c>
      <c r="AL8" s="1"/>
    </row>
    <row r="9" spans="1:38" x14ac:dyDescent="0.35">
      <c r="A9" s="3">
        <v>5</v>
      </c>
      <c r="B9" s="6" t="s">
        <v>34</v>
      </c>
      <c r="C9" s="33">
        <f t="shared" si="0"/>
        <v>1.905216847585123</v>
      </c>
      <c r="D9" s="1">
        <f t="shared" si="1"/>
        <v>3</v>
      </c>
      <c r="E9" s="34">
        <v>2.1899097073450777</v>
      </c>
      <c r="F9" s="1">
        <f t="shared" si="2"/>
        <v>5</v>
      </c>
      <c r="G9" s="34">
        <v>0.28469285975995473</v>
      </c>
      <c r="I9" s="68">
        <v>1</v>
      </c>
      <c r="J9" t="s">
        <v>34</v>
      </c>
      <c r="K9" t="s">
        <v>17</v>
      </c>
      <c r="L9">
        <v>40</v>
      </c>
      <c r="M9">
        <v>26</v>
      </c>
      <c r="N9" s="3">
        <f t="shared" si="3"/>
        <v>25.994749867165776</v>
      </c>
      <c r="O9" s="3">
        <f t="shared" si="4"/>
        <v>21.247826840464935</v>
      </c>
      <c r="P9" s="3">
        <f t="shared" si="5"/>
        <v>218.73018102145855</v>
      </c>
      <c r="S9" s="6" t="s">
        <v>7</v>
      </c>
      <c r="T9" s="1">
        <v>8</v>
      </c>
      <c r="U9" s="1">
        <v>5</v>
      </c>
      <c r="V9" s="1">
        <v>8</v>
      </c>
      <c r="W9" s="1">
        <v>6</v>
      </c>
      <c r="X9" s="1">
        <v>8</v>
      </c>
      <c r="Y9" s="1">
        <v>7</v>
      </c>
      <c r="Z9" s="1">
        <v>6</v>
      </c>
      <c r="AA9" s="1">
        <v>7</v>
      </c>
      <c r="AB9" s="32">
        <v>7</v>
      </c>
      <c r="AC9" s="32">
        <v>9</v>
      </c>
      <c r="AD9" s="32">
        <v>9</v>
      </c>
      <c r="AE9" s="32">
        <v>9</v>
      </c>
      <c r="AF9" s="32">
        <v>9</v>
      </c>
      <c r="AG9" s="32">
        <v>9</v>
      </c>
      <c r="AH9" s="32">
        <v>8</v>
      </c>
      <c r="AI9" s="32">
        <v>8</v>
      </c>
      <c r="AJ9" s="32">
        <v>8</v>
      </c>
      <c r="AK9" s="32">
        <v>8</v>
      </c>
      <c r="AL9" s="1"/>
    </row>
    <row r="10" spans="1:38" x14ac:dyDescent="0.35">
      <c r="A10" s="3">
        <v>6</v>
      </c>
      <c r="B10" s="6" t="s">
        <v>17</v>
      </c>
      <c r="C10" s="33">
        <f t="shared" si="0"/>
        <v>0.82140534161134493</v>
      </c>
      <c r="D10" s="1">
        <f t="shared" si="1"/>
        <v>5</v>
      </c>
      <c r="E10" s="34">
        <v>1.9322014134261468E-2</v>
      </c>
      <c r="F10" s="1">
        <f t="shared" si="2"/>
        <v>4</v>
      </c>
      <c r="G10" s="34">
        <v>-0.80208332747708344</v>
      </c>
      <c r="I10" s="68">
        <v>1</v>
      </c>
      <c r="J10" t="s">
        <v>275</v>
      </c>
      <c r="K10" t="s">
        <v>23</v>
      </c>
      <c r="L10">
        <v>17</v>
      </c>
      <c r="M10">
        <v>24</v>
      </c>
      <c r="N10" s="3">
        <f t="shared" si="3"/>
        <v>23.393479933132969</v>
      </c>
      <c r="O10" s="3">
        <f t="shared" si="4"/>
        <v>24.036738117651797</v>
      </c>
      <c r="P10" s="3">
        <f t="shared" si="5"/>
        <v>40.877935344662554</v>
      </c>
      <c r="Q10" s="3" t="s">
        <v>349</v>
      </c>
      <c r="R10" s="3" t="s">
        <v>350</v>
      </c>
      <c r="S10" s="6" t="s">
        <v>275</v>
      </c>
      <c r="T10" s="1">
        <v>10</v>
      </c>
      <c r="U10" s="1">
        <v>9</v>
      </c>
      <c r="V10" s="1">
        <v>6</v>
      </c>
      <c r="W10" s="1">
        <v>10</v>
      </c>
      <c r="X10" s="1">
        <v>6</v>
      </c>
      <c r="Y10" s="1">
        <v>5</v>
      </c>
      <c r="Z10" s="1">
        <v>7</v>
      </c>
      <c r="AA10" s="1">
        <v>6</v>
      </c>
      <c r="AB10" s="32">
        <v>6</v>
      </c>
      <c r="AC10" s="32">
        <v>6</v>
      </c>
      <c r="AD10" s="32">
        <v>7</v>
      </c>
      <c r="AE10" s="32">
        <v>7</v>
      </c>
      <c r="AF10" s="32">
        <v>6</v>
      </c>
      <c r="AG10" s="32">
        <v>7</v>
      </c>
      <c r="AH10" s="32">
        <v>6</v>
      </c>
      <c r="AI10" s="32">
        <v>7</v>
      </c>
      <c r="AJ10" s="32">
        <v>5</v>
      </c>
      <c r="AK10" s="32">
        <v>7</v>
      </c>
      <c r="AL10" s="1"/>
    </row>
    <row r="11" spans="1:38" x14ac:dyDescent="0.35">
      <c r="A11" s="3">
        <v>7</v>
      </c>
      <c r="B11" s="6" t="s">
        <v>275</v>
      </c>
      <c r="C11" s="33">
        <f t="shared" si="0"/>
        <v>-0.52032180177128273</v>
      </c>
      <c r="D11" s="1">
        <f t="shared" si="1"/>
        <v>2</v>
      </c>
      <c r="E11" s="34">
        <v>3.8462404954579159</v>
      </c>
      <c r="F11" s="1">
        <f t="shared" si="2"/>
        <v>10</v>
      </c>
      <c r="G11" s="34">
        <v>4.3665622972291986</v>
      </c>
      <c r="I11" s="68">
        <v>2</v>
      </c>
      <c r="J11" t="s">
        <v>14</v>
      </c>
      <c r="K11" t="s">
        <v>34</v>
      </c>
      <c r="L11">
        <v>5</v>
      </c>
      <c r="M11">
        <v>52</v>
      </c>
      <c r="N11" s="3">
        <f t="shared" si="3"/>
        <v>20.034377307426844</v>
      </c>
      <c r="O11" s="3">
        <f t="shared" si="4"/>
        <v>36.355433218366372</v>
      </c>
      <c r="P11" s="3">
        <f t="shared" si="5"/>
        <v>470.78497080706563</v>
      </c>
      <c r="Q11" s="1">
        <f>VLOOKUP($J11,$B$5:$G$15,4, FALSE)+VLOOKUP($K11,$B$5:$G$15,6, FALSE)</f>
        <v>-4.5725461798709386</v>
      </c>
      <c r="R11" s="1">
        <f>VLOOKUP($K11,$B$5:$G$15,4, FALSE)+VLOOKUP($J11,$B$5:$G$15,6, FALSE)</f>
        <v>15.411621251795648</v>
      </c>
      <c r="S11" s="6" t="s">
        <v>34</v>
      </c>
      <c r="T11" s="1">
        <v>5</v>
      </c>
      <c r="U11" s="1">
        <v>2</v>
      </c>
      <c r="V11" s="1">
        <v>4</v>
      </c>
      <c r="W11" s="1">
        <v>2</v>
      </c>
      <c r="X11" s="1">
        <v>3</v>
      </c>
      <c r="Y11" s="1">
        <v>1</v>
      </c>
      <c r="Z11" s="1">
        <v>1</v>
      </c>
      <c r="AA11" s="1">
        <v>1</v>
      </c>
      <c r="AB11" s="32">
        <v>1</v>
      </c>
      <c r="AC11" s="32">
        <v>5</v>
      </c>
      <c r="AD11" s="32">
        <v>5</v>
      </c>
      <c r="AE11" s="32">
        <v>5</v>
      </c>
      <c r="AF11" s="32">
        <v>5</v>
      </c>
      <c r="AG11" s="32">
        <v>5</v>
      </c>
      <c r="AH11" s="32">
        <v>5</v>
      </c>
      <c r="AI11" s="32">
        <v>5</v>
      </c>
      <c r="AJ11" s="32">
        <v>6</v>
      </c>
      <c r="AK11" s="32">
        <v>5</v>
      </c>
      <c r="AL11" s="1"/>
    </row>
    <row r="12" spans="1:38" x14ac:dyDescent="0.35">
      <c r="A12" s="3">
        <v>8</v>
      </c>
      <c r="B12" s="6" t="s">
        <v>7</v>
      </c>
      <c r="C12" s="33">
        <f t="shared" si="0"/>
        <v>-4.5466153111038921</v>
      </c>
      <c r="D12" s="1">
        <f t="shared" si="1"/>
        <v>6</v>
      </c>
      <c r="E12" s="34">
        <v>-1.174185668753863</v>
      </c>
      <c r="F12" s="1">
        <f t="shared" si="2"/>
        <v>8</v>
      </c>
      <c r="G12" s="34">
        <v>3.3724296423500295</v>
      </c>
      <c r="I12" s="68">
        <v>2</v>
      </c>
      <c r="J12" t="s">
        <v>24</v>
      </c>
      <c r="K12" t="s">
        <v>4</v>
      </c>
      <c r="L12">
        <v>30</v>
      </c>
      <c r="M12">
        <v>25</v>
      </c>
      <c r="N12" s="3">
        <f t="shared" si="3"/>
        <v>23.319328177867334</v>
      </c>
      <c r="O12" s="3">
        <f t="shared" si="4"/>
        <v>20.725994752134419</v>
      </c>
      <c r="P12" s="3">
        <f t="shared" si="5"/>
        <v>62.898496853819921</v>
      </c>
      <c r="Q12" s="1">
        <f t="shared" ref="Q12:Q75" si="6">VLOOKUP($J12,$B$5:$G$15,4, FALSE)+VLOOKUP($K12,$B$5:$G$15,6, FALSE)</f>
        <v>-1.2875953094304515</v>
      </c>
      <c r="R12" s="1">
        <f t="shared" ref="R12:R75" si="7">VLOOKUP($K12,$B$5:$G$15,4, FALSE)+VLOOKUP($J12,$B$5:$G$15,6, FALSE)</f>
        <v>-0.21781721443629931</v>
      </c>
      <c r="S12" s="6" t="s">
        <v>17</v>
      </c>
      <c r="T12" s="1">
        <v>2</v>
      </c>
      <c r="U12" s="1">
        <v>10</v>
      </c>
      <c r="V12" s="1">
        <v>7</v>
      </c>
      <c r="W12" s="1">
        <v>4</v>
      </c>
      <c r="X12" s="1">
        <v>5</v>
      </c>
      <c r="Y12" s="1">
        <v>6</v>
      </c>
      <c r="Z12" s="1">
        <v>5</v>
      </c>
      <c r="AA12" s="1">
        <v>8</v>
      </c>
      <c r="AB12" s="32">
        <v>8</v>
      </c>
      <c r="AC12" s="32">
        <v>8</v>
      </c>
      <c r="AD12" s="32">
        <v>8</v>
      </c>
      <c r="AE12" s="32">
        <v>8</v>
      </c>
      <c r="AF12" s="32">
        <v>7</v>
      </c>
      <c r="AG12" s="32">
        <v>6</v>
      </c>
      <c r="AH12" s="32">
        <v>7</v>
      </c>
      <c r="AI12" s="32">
        <v>6</v>
      </c>
      <c r="AJ12" s="32">
        <v>7</v>
      </c>
      <c r="AK12" s="32">
        <v>6</v>
      </c>
      <c r="AL12" s="1"/>
    </row>
    <row r="13" spans="1:38" x14ac:dyDescent="0.35">
      <c r="A13" s="3">
        <v>9</v>
      </c>
      <c r="B13" s="6" t="s">
        <v>4</v>
      </c>
      <c r="C13" s="33">
        <f t="shared" si="0"/>
        <v>-5.3027584492971984</v>
      </c>
      <c r="D13" s="1">
        <f t="shared" si="1"/>
        <v>8</v>
      </c>
      <c r="E13" s="34">
        <v>-1.7886324208736593</v>
      </c>
      <c r="F13" s="1">
        <f t="shared" si="2"/>
        <v>9</v>
      </c>
      <c r="G13" s="34">
        <v>3.5141260284235392</v>
      </c>
      <c r="I13" s="68">
        <v>2</v>
      </c>
      <c r="J13" t="s">
        <v>2</v>
      </c>
      <c r="K13" t="s">
        <v>13</v>
      </c>
      <c r="L13">
        <v>31</v>
      </c>
      <c r="M13">
        <v>45</v>
      </c>
      <c r="N13" s="3">
        <f t="shared" si="3"/>
        <v>24.077847492385931</v>
      </c>
      <c r="O13" s="3">
        <f t="shared" si="4"/>
        <v>21.621499453494629</v>
      </c>
      <c r="P13" s="3">
        <f t="shared" si="5"/>
        <v>594.47048314161975</v>
      </c>
      <c r="Q13" s="1">
        <f t="shared" si="6"/>
        <v>-0.52907599491185242</v>
      </c>
      <c r="R13" s="1">
        <f t="shared" si="7"/>
        <v>0.67768748692390712</v>
      </c>
      <c r="S13" s="6" t="s">
        <v>13</v>
      </c>
      <c r="T13" s="1">
        <v>7</v>
      </c>
      <c r="U13" s="1"/>
      <c r="V13" s="1">
        <v>1</v>
      </c>
      <c r="W13" s="1">
        <v>1</v>
      </c>
      <c r="X13" s="1">
        <v>2</v>
      </c>
      <c r="Y13" s="1">
        <v>3</v>
      </c>
      <c r="Z13" s="1">
        <v>2</v>
      </c>
      <c r="AA13" s="1">
        <v>4</v>
      </c>
      <c r="AB13" s="32">
        <v>4</v>
      </c>
      <c r="AC13" s="32">
        <v>1</v>
      </c>
      <c r="AD13" s="32">
        <v>1</v>
      </c>
      <c r="AE13" s="32">
        <v>1</v>
      </c>
      <c r="AF13" s="32">
        <v>1</v>
      </c>
      <c r="AG13" s="32">
        <v>2</v>
      </c>
      <c r="AH13" s="32">
        <v>3</v>
      </c>
      <c r="AI13" s="32">
        <v>2</v>
      </c>
      <c r="AJ13" s="32">
        <v>2</v>
      </c>
      <c r="AK13" s="32">
        <v>1</v>
      </c>
      <c r="AL13" s="1"/>
    </row>
    <row r="14" spans="1:38" ht="15" thickBot="1" x14ac:dyDescent="0.4">
      <c r="A14" s="3">
        <v>10</v>
      </c>
      <c r="B14" s="6" t="s">
        <v>24</v>
      </c>
      <c r="C14" s="33">
        <f t="shared" si="0"/>
        <v>-6.3725365442913509</v>
      </c>
      <c r="D14" s="1">
        <f t="shared" si="1"/>
        <v>10</v>
      </c>
      <c r="E14" s="34">
        <v>-4.8017213378539907</v>
      </c>
      <c r="F14" s="1">
        <f t="shared" si="2"/>
        <v>7</v>
      </c>
      <c r="G14" s="34">
        <v>1.5708152064373599</v>
      </c>
      <c r="I14" s="68">
        <v>2</v>
      </c>
      <c r="J14" t="s">
        <v>275</v>
      </c>
      <c r="K14" t="s">
        <v>36</v>
      </c>
      <c r="L14">
        <v>28</v>
      </c>
      <c r="M14">
        <v>45</v>
      </c>
      <c r="N14" s="3">
        <f t="shared" si="3"/>
        <v>23.946268406880616</v>
      </c>
      <c r="O14" s="3">
        <f t="shared" si="4"/>
        <v>25.404504306944066</v>
      </c>
      <c r="P14" s="3">
        <f t="shared" si="5"/>
        <v>400.41619128562792</v>
      </c>
      <c r="Q14" s="1">
        <f t="shared" si="6"/>
        <v>-0.66065508041716781</v>
      </c>
      <c r="R14" s="1">
        <f t="shared" si="7"/>
        <v>4.4606923403733454</v>
      </c>
    </row>
    <row r="15" spans="1:38" ht="15" thickBot="1" x14ac:dyDescent="0.4">
      <c r="A15" s="3">
        <v>11</v>
      </c>
      <c r="B15" s="6" t="s">
        <v>14</v>
      </c>
      <c r="C15" s="33">
        <f t="shared" si="0"/>
        <v>-18.078950584081465</v>
      </c>
      <c r="D15" s="1">
        <f t="shared" si="1"/>
        <v>11</v>
      </c>
      <c r="E15" s="34">
        <v>-4.8572390396308931</v>
      </c>
      <c r="F15" s="1">
        <f t="shared" si="2"/>
        <v>11</v>
      </c>
      <c r="G15" s="34">
        <v>13.221711544450571</v>
      </c>
      <c r="I15" s="68">
        <v>3</v>
      </c>
      <c r="J15" t="s">
        <v>14</v>
      </c>
      <c r="K15" t="s">
        <v>24</v>
      </c>
      <c r="L15">
        <v>31</v>
      </c>
      <c r="M15">
        <v>32</v>
      </c>
      <c r="N15" s="3">
        <f t="shared" si="3"/>
        <v>21.32049965410425</v>
      </c>
      <c r="O15" s="3">
        <f t="shared" si="4"/>
        <v>29.363802173167301</v>
      </c>
      <c r="P15" s="3">
        <f t="shared" si="5"/>
        <v>100.6422659283934</v>
      </c>
      <c r="Q15" s="1">
        <f t="shared" si="6"/>
        <v>-3.2864238331935329</v>
      </c>
      <c r="R15" s="1">
        <f t="shared" si="7"/>
        <v>8.4199902065965802</v>
      </c>
      <c r="T15" s="3" t="s">
        <v>407</v>
      </c>
      <c r="AA15" s="90" t="s">
        <v>262</v>
      </c>
      <c r="AB15" s="91"/>
    </row>
    <row r="16" spans="1:38" x14ac:dyDescent="0.35">
      <c r="I16" s="68">
        <v>3</v>
      </c>
      <c r="J16" t="s">
        <v>13</v>
      </c>
      <c r="K16" t="s">
        <v>4</v>
      </c>
      <c r="L16">
        <v>55</v>
      </c>
      <c r="M16">
        <v>21</v>
      </c>
      <c r="N16" s="3">
        <f t="shared" si="3"/>
        <v>32.97458326384276</v>
      </c>
      <c r="O16" s="3">
        <f t="shared" si="4"/>
        <v>20.591064512293553</v>
      </c>
      <c r="P16" s="3">
        <f t="shared" si="5"/>
        <v>485.28621063450117</v>
      </c>
      <c r="Q16" s="1">
        <f t="shared" si="6"/>
        <v>8.3676597765449721</v>
      </c>
      <c r="R16" s="1">
        <f t="shared" si="7"/>
        <v>-0.35274745427716603</v>
      </c>
      <c r="T16" s="116">
        <v>1</v>
      </c>
      <c r="U16" s="11" t="s">
        <v>7</v>
      </c>
      <c r="V16" s="47">
        <v>19.097850255724723</v>
      </c>
      <c r="W16" s="47">
        <v>17.959617669535874</v>
      </c>
      <c r="X16" s="13" t="s">
        <v>24</v>
      </c>
      <c r="Y16" s="54" t="s">
        <v>317</v>
      </c>
      <c r="Z16" s="87" t="s">
        <v>7</v>
      </c>
      <c r="AA16" s="92" t="s">
        <v>317</v>
      </c>
      <c r="AB16" s="93" t="s">
        <v>318</v>
      </c>
    </row>
    <row r="17" spans="2:34" x14ac:dyDescent="0.35">
      <c r="I17" s="68">
        <v>3</v>
      </c>
      <c r="J17" t="s">
        <v>7</v>
      </c>
      <c r="K17" t="s">
        <v>34</v>
      </c>
      <c r="L17">
        <v>10</v>
      </c>
      <c r="M17">
        <v>26</v>
      </c>
      <c r="N17" s="3">
        <f t="shared" si="3"/>
        <v>23.717430678303874</v>
      </c>
      <c r="O17" s="3">
        <f t="shared" si="4"/>
        <v>26.506151316265829</v>
      </c>
      <c r="P17" s="3">
        <f t="shared" si="5"/>
        <v>188.42409356902991</v>
      </c>
      <c r="Q17" s="1">
        <f t="shared" si="6"/>
        <v>-0.88949280899390826</v>
      </c>
      <c r="R17" s="1">
        <f t="shared" si="7"/>
        <v>5.5623393496951072</v>
      </c>
      <c r="T17" s="117"/>
      <c r="U17" s="14" t="s">
        <v>14</v>
      </c>
      <c r="V17" s="32">
        <v>15.665112520025604</v>
      </c>
      <c r="W17" s="32">
        <v>38.43646576548587</v>
      </c>
      <c r="X17" s="15" t="s">
        <v>4</v>
      </c>
      <c r="Y17" s="56" t="s">
        <v>317</v>
      </c>
      <c r="Z17" s="88" t="s">
        <v>4</v>
      </c>
      <c r="AA17" s="92">
        <f>COUNTIF(Y16:Y93,"Y")</f>
        <v>47</v>
      </c>
      <c r="AB17" s="93">
        <f>COUNTIF(Y16:Y95, "N")</f>
        <v>28</v>
      </c>
    </row>
    <row r="18" spans="2:34" x14ac:dyDescent="0.35">
      <c r="I18" s="68">
        <v>3</v>
      </c>
      <c r="J18" t="s">
        <v>36</v>
      </c>
      <c r="K18" t="s">
        <v>17</v>
      </c>
      <c r="L18">
        <v>24</v>
      </c>
      <c r="M18">
        <v>21</v>
      </c>
      <c r="N18" s="3">
        <f t="shared" si="3"/>
        <v>23.898970202964847</v>
      </c>
      <c r="O18" s="3">
        <f t="shared" si="4"/>
        <v>16.456238404829897</v>
      </c>
      <c r="P18" s="3">
        <f t="shared" si="5"/>
        <v>20.655976453631727</v>
      </c>
      <c r="Q18" s="1">
        <f t="shared" si="6"/>
        <v>-0.70795328433293703</v>
      </c>
      <c r="R18" s="1">
        <f t="shared" si="7"/>
        <v>-4.4875735617408221</v>
      </c>
      <c r="T18" s="117"/>
      <c r="U18" s="14" t="s">
        <v>2</v>
      </c>
      <c r="V18" s="32">
        <v>18.801577204649718</v>
      </c>
      <c r="W18" s="32">
        <v>25.44774721704481</v>
      </c>
      <c r="X18" s="15" t="s">
        <v>36</v>
      </c>
      <c r="Y18" s="56" t="s">
        <v>318</v>
      </c>
      <c r="Z18" s="88" t="s">
        <v>36</v>
      </c>
      <c r="AA18" s="92"/>
      <c r="AB18" s="93"/>
    </row>
    <row r="19" spans="2:34" x14ac:dyDescent="0.35">
      <c r="I19" s="68">
        <v>3</v>
      </c>
      <c r="J19" t="s">
        <v>2</v>
      </c>
      <c r="K19" t="s">
        <v>23</v>
      </c>
      <c r="L19">
        <v>36</v>
      </c>
      <c r="M19">
        <v>7</v>
      </c>
      <c r="N19" s="3">
        <f t="shared" si="3"/>
        <v>17.582278476166707</v>
      </c>
      <c r="O19" s="3">
        <f t="shared" si="4"/>
        <v>15.494329559225072</v>
      </c>
      <c r="P19" s="3">
        <f t="shared" si="5"/>
        <v>411.36610079019692</v>
      </c>
      <c r="Q19" s="1">
        <f t="shared" si="6"/>
        <v>-7.0246450111310761</v>
      </c>
      <c r="R19" s="1">
        <f t="shared" si="7"/>
        <v>-5.4494824073456458</v>
      </c>
      <c r="T19" s="117"/>
      <c r="U19" s="14" t="s">
        <v>17</v>
      </c>
      <c r="V19" s="32">
        <v>24.879672568558213</v>
      </c>
      <c r="W19" s="32">
        <v>17.689526540029522</v>
      </c>
      <c r="X19" s="15" t="s">
        <v>274</v>
      </c>
      <c r="Y19" s="56" t="s">
        <v>318</v>
      </c>
      <c r="Z19" s="88" t="s">
        <v>17</v>
      </c>
      <c r="AA19" s="92">
        <f>COUNTIF(Y16:Y48, "Y")</f>
        <v>24</v>
      </c>
      <c r="AB19" s="93">
        <f>COUNTIF(Y16:Y48, "N")</f>
        <v>9</v>
      </c>
    </row>
    <row r="20" spans="2:34" ht="15" thickBot="1" x14ac:dyDescent="0.4">
      <c r="B20" s="3" t="s">
        <v>308</v>
      </c>
      <c r="I20" s="68">
        <v>4</v>
      </c>
      <c r="J20" t="s">
        <v>13</v>
      </c>
      <c r="K20" t="s">
        <v>36</v>
      </c>
      <c r="L20">
        <v>17</v>
      </c>
      <c r="M20">
        <v>37</v>
      </c>
      <c r="N20" s="3">
        <f t="shared" si="3"/>
        <v>24.953561659544135</v>
      </c>
      <c r="O20" s="3">
        <f t="shared" si="4"/>
        <v>22.473826976311361</v>
      </c>
      <c r="P20" s="3">
        <f t="shared" si="5"/>
        <v>274.26884578631001</v>
      </c>
      <c r="Q20" s="1">
        <f t="shared" si="6"/>
        <v>0.34663817224635007</v>
      </c>
      <c r="R20" s="1">
        <f t="shared" si="7"/>
        <v>1.5300150097406395</v>
      </c>
      <c r="T20" s="118"/>
      <c r="U20" s="21" t="s">
        <v>23</v>
      </c>
      <c r="V20" s="53">
        <v>28.088043826052093</v>
      </c>
      <c r="W20" s="53">
        <v>17.510607364380967</v>
      </c>
      <c r="X20" s="22" t="s">
        <v>275</v>
      </c>
      <c r="Y20" s="60" t="s">
        <v>317</v>
      </c>
      <c r="Z20" s="89" t="s">
        <v>23</v>
      </c>
      <c r="AA20" s="92" t="s">
        <v>656</v>
      </c>
      <c r="AB20" s="93"/>
    </row>
    <row r="21" spans="2:34" ht="15" thickBot="1" x14ac:dyDescent="0.4">
      <c r="B21" s="6" t="s">
        <v>60</v>
      </c>
      <c r="C21" s="6" t="s">
        <v>309</v>
      </c>
      <c r="D21" s="6" t="s">
        <v>31</v>
      </c>
      <c r="E21" s="6" t="s">
        <v>310</v>
      </c>
      <c r="F21" s="3" t="s">
        <v>629</v>
      </c>
      <c r="I21" s="68">
        <v>4</v>
      </c>
      <c r="J21" t="s">
        <v>7</v>
      </c>
      <c r="K21" t="s">
        <v>14</v>
      </c>
      <c r="L21">
        <v>26</v>
      </c>
      <c r="M21">
        <v>22</v>
      </c>
      <c r="N21" s="3">
        <f t="shared" si="3"/>
        <v>36.654449362994491</v>
      </c>
      <c r="O21" s="3">
        <f t="shared" si="4"/>
        <v>19.459002569289858</v>
      </c>
      <c r="P21" s="3">
        <f t="shared" si="5"/>
        <v>119.97395917148926</v>
      </c>
      <c r="Q21" s="1">
        <f t="shared" si="6"/>
        <v>12.047525875696708</v>
      </c>
      <c r="R21" s="1">
        <f t="shared" si="7"/>
        <v>-1.4848093972808636</v>
      </c>
      <c r="T21" s="116">
        <v>2</v>
      </c>
      <c r="U21" s="11" t="s">
        <v>14</v>
      </c>
      <c r="V21" s="47" t="str">
        <f>IFERROR(mean+0.5*Home_edge+VLOOKUP(U21,$B$5:$G$14,4,FALSE)+VLOOKUP(X21,$B$5:$G$14,6,FALSE),"")</f>
        <v/>
      </c>
      <c r="W21" s="47" t="str">
        <f>IFERROR(mean-0.5*Home_edge+VLOOKUP(X21,$B$5:$G$14,4,FALSE)+VLOOKUP(U21,$B$5:$G$14,6,FALSE),"")</f>
        <v/>
      </c>
      <c r="X21" s="13" t="s">
        <v>34</v>
      </c>
      <c r="Y21" s="54" t="s">
        <v>317</v>
      </c>
      <c r="Z21" s="87" t="s">
        <v>34</v>
      </c>
      <c r="AA21" s="83">
        <f>COUNTIF(Y49:Y94, "Y")</f>
        <v>24</v>
      </c>
      <c r="AB21" s="94">
        <f>COUNTIF(Y49:Y94, "N")</f>
        <v>19</v>
      </c>
    </row>
    <row r="22" spans="2:34" x14ac:dyDescent="0.35">
      <c r="B22" s="6" t="s">
        <v>23</v>
      </c>
      <c r="C22" s="32">
        <v>1</v>
      </c>
      <c r="D22" s="32">
        <v>3</v>
      </c>
      <c r="E22" s="32">
        <f t="shared" ref="E22:E32" si="8">C22-D22</f>
        <v>-2</v>
      </c>
      <c r="F22" s="3">
        <f>SUM(E22:E32)</f>
        <v>0</v>
      </c>
      <c r="I22" s="68">
        <v>4</v>
      </c>
      <c r="J22" t="s">
        <v>24</v>
      </c>
      <c r="K22" t="s">
        <v>2</v>
      </c>
      <c r="L22">
        <v>18</v>
      </c>
      <c r="M22">
        <v>31</v>
      </c>
      <c r="N22" s="3">
        <f t="shared" si="3"/>
        <v>15.629355888246266</v>
      </c>
      <c r="O22" s="3">
        <f t="shared" si="4"/>
        <v>20.549666211499733</v>
      </c>
      <c r="P22" s="3">
        <f t="shared" si="5"/>
        <v>114.82942979566297</v>
      </c>
      <c r="Q22" s="1">
        <f t="shared" si="6"/>
        <v>-8.9775675990515182</v>
      </c>
      <c r="R22" s="1">
        <f t="shared" si="7"/>
        <v>-0.3941457550709857</v>
      </c>
      <c r="T22" s="117"/>
      <c r="U22" s="14" t="s">
        <v>24</v>
      </c>
      <c r="V22" s="32">
        <f>IFERROR(mean+0.5*Home_edge+VLOOKUP(U22,$B$5:$G$14,4,FALSE)+VLOOKUP(X22,$B$5:$G$14,6,FALSE),"")</f>
        <v>23.319328177867334</v>
      </c>
      <c r="W22" s="32">
        <f>IFERROR(mean-0.5*Home_edge+VLOOKUP(X22,$B$5:$G$14,4,FALSE)+VLOOKUP(U22,$B$5:$G$14,6,FALSE),"")</f>
        <v>20.725994752134419</v>
      </c>
      <c r="X22" s="15" t="s">
        <v>4</v>
      </c>
      <c r="Y22" s="56" t="s">
        <v>318</v>
      </c>
      <c r="Z22" s="57" t="s">
        <v>4</v>
      </c>
    </row>
    <row r="23" spans="2:34" x14ac:dyDescent="0.35">
      <c r="B23" s="6" t="s">
        <v>13</v>
      </c>
      <c r="C23" s="32">
        <v>2</v>
      </c>
      <c r="D23" s="32">
        <v>1</v>
      </c>
      <c r="E23" s="32">
        <f t="shared" si="8"/>
        <v>1</v>
      </c>
      <c r="I23" s="68">
        <v>4</v>
      </c>
      <c r="J23" t="s">
        <v>34</v>
      </c>
      <c r="K23" t="s">
        <v>275</v>
      </c>
      <c r="L23">
        <v>36</v>
      </c>
      <c r="M23">
        <v>28</v>
      </c>
      <c r="N23" s="3">
        <f t="shared" si="3"/>
        <v>31.163395491872059</v>
      </c>
      <c r="O23" s="3">
        <f t="shared" si="4"/>
        <v>25.074745321788591</v>
      </c>
      <c r="P23" s="3">
        <f t="shared" si="5"/>
        <v>31.949858100441261</v>
      </c>
      <c r="Q23" s="1">
        <f t="shared" si="6"/>
        <v>6.5564720045742764</v>
      </c>
      <c r="R23" s="1">
        <f t="shared" si="7"/>
        <v>4.1309333552178709</v>
      </c>
      <c r="T23" s="117"/>
      <c r="U23" s="14" t="s">
        <v>2</v>
      </c>
      <c r="V23" s="32">
        <f>IFERROR(mean+0.5*Home_edge+VLOOKUP(U23,$B$5:$G$14,4,FALSE)+VLOOKUP(X23,$B$5:$G$14,6,FALSE),"")</f>
        <v>24.077847492385931</v>
      </c>
      <c r="W23" s="32">
        <f>IFERROR(mean-0.5*Home_edge+VLOOKUP(X23,$B$5:$G$14,4,FALSE)+VLOOKUP(U23,$B$5:$G$14,6,FALSE),"")</f>
        <v>21.621499453494629</v>
      </c>
      <c r="X23" s="15" t="s">
        <v>13</v>
      </c>
      <c r="Y23" s="56" t="s">
        <v>318</v>
      </c>
      <c r="Z23" s="57" t="s">
        <v>2</v>
      </c>
    </row>
    <row r="24" spans="2:34" ht="15" thickBot="1" x14ac:dyDescent="0.4">
      <c r="B24" s="6" t="s">
        <v>36</v>
      </c>
      <c r="C24" s="32">
        <v>3</v>
      </c>
      <c r="D24" s="32">
        <v>2</v>
      </c>
      <c r="E24" s="32">
        <f t="shared" si="8"/>
        <v>1</v>
      </c>
      <c r="I24" s="68">
        <v>4</v>
      </c>
      <c r="J24" t="s">
        <v>17</v>
      </c>
      <c r="K24" t="s">
        <v>23</v>
      </c>
      <c r="L24">
        <v>27</v>
      </c>
      <c r="M24">
        <v>24</v>
      </c>
      <c r="N24" s="3">
        <f t="shared" si="3"/>
        <v>19.566561451809314</v>
      </c>
      <c r="O24" s="3">
        <f t="shared" si="4"/>
        <v>18.868092492945514</v>
      </c>
      <c r="P24" s="3">
        <f t="shared" si="5"/>
        <v>81.592483310689445</v>
      </c>
      <c r="Q24" s="1">
        <f t="shared" si="6"/>
        <v>-5.0403620354884691</v>
      </c>
      <c r="R24" s="1">
        <f t="shared" si="7"/>
        <v>-2.0757194736252029</v>
      </c>
      <c r="T24" s="118"/>
      <c r="U24" s="21" t="s">
        <v>275</v>
      </c>
      <c r="V24" s="53">
        <f>IFERROR(mean+0.5*Home_edge+VLOOKUP(U24,$B$5:$G$14,4,FALSE)+VLOOKUP(X24,$B$5:$G$14,6,FALSE),"")</f>
        <v>23.946268406880616</v>
      </c>
      <c r="W24" s="53">
        <f>IFERROR(mean-0.5*Home_edge+VLOOKUP(X24,$B$5:$G$14,4,FALSE)+VLOOKUP(U24,$B$5:$G$14,6,FALSE),"")</f>
        <v>25.404504306944066</v>
      </c>
      <c r="X24" s="22" t="s">
        <v>36</v>
      </c>
      <c r="Y24" s="60" t="s">
        <v>317</v>
      </c>
      <c r="Z24" s="61" t="s">
        <v>36</v>
      </c>
    </row>
    <row r="25" spans="2:34" x14ac:dyDescent="0.35">
      <c r="B25" s="6" t="s">
        <v>2</v>
      </c>
      <c r="C25" s="32">
        <v>4</v>
      </c>
      <c r="D25" s="32">
        <v>4</v>
      </c>
      <c r="E25" s="32">
        <f t="shared" si="8"/>
        <v>0</v>
      </c>
      <c r="I25" s="68">
        <v>5</v>
      </c>
      <c r="J25" t="s">
        <v>2</v>
      </c>
      <c r="K25" t="s">
        <v>7</v>
      </c>
      <c r="L25">
        <v>30</v>
      </c>
      <c r="M25">
        <v>26</v>
      </c>
      <c r="N25" s="3">
        <f t="shared" si="3"/>
        <v>26.014392168139466</v>
      </c>
      <c r="O25" s="3">
        <f t="shared" si="4"/>
        <v>15.593780036619329</v>
      </c>
      <c r="P25" s="3">
        <f t="shared" si="5"/>
        <v>124.17448371565045</v>
      </c>
      <c r="Q25" s="1">
        <f t="shared" si="6"/>
        <v>1.4074686808416839</v>
      </c>
      <c r="R25" s="1">
        <f t="shared" si="7"/>
        <v>-5.3500319299513901</v>
      </c>
      <c r="T25" s="116">
        <v>3</v>
      </c>
      <c r="U25" s="11" t="s">
        <v>14</v>
      </c>
      <c r="V25" s="47">
        <f t="shared" ref="V25:V34" si="9">IFERROR(mean+0.5*Home_edge+VLOOKUP(U25,$B$5:$G$15,4,FALSE)+VLOOKUP(X25,$B$5:$G$15,6,FALSE),"")</f>
        <v>21.32049965410425</v>
      </c>
      <c r="W25" s="47">
        <f t="shared" ref="W25:W34" si="10">IFERROR(mean-0.5*Home_edge+VLOOKUP(X25,$B$5:$G$15,4,FALSE)+VLOOKUP(U25,$B$5:$G$15,6,FALSE),"")</f>
        <v>29.363802173167301</v>
      </c>
      <c r="X25" s="13" t="s">
        <v>24</v>
      </c>
      <c r="Y25" s="54" t="s">
        <v>317</v>
      </c>
      <c r="Z25" s="55" t="s">
        <v>24</v>
      </c>
    </row>
    <row r="26" spans="2:34" x14ac:dyDescent="0.35">
      <c r="B26" s="6" t="s">
        <v>275</v>
      </c>
      <c r="C26" s="32">
        <v>5</v>
      </c>
      <c r="D26" s="32">
        <v>7</v>
      </c>
      <c r="E26" s="32">
        <f t="shared" si="8"/>
        <v>-2</v>
      </c>
      <c r="I26" s="68">
        <v>5</v>
      </c>
      <c r="J26" t="s">
        <v>23</v>
      </c>
      <c r="K26" t="s">
        <v>4</v>
      </c>
      <c r="L26">
        <v>35</v>
      </c>
      <c r="M26">
        <v>31</v>
      </c>
      <c r="N26" s="3">
        <f t="shared" si="3"/>
        <v>26.847413369573204</v>
      </c>
      <c r="O26" s="3">
        <f t="shared" si="4"/>
        <v>14.095495496074328</v>
      </c>
      <c r="P26" s="3">
        <f t="shared" si="5"/>
        <v>352.22694128985705</v>
      </c>
      <c r="Q26" s="1">
        <f t="shared" si="6"/>
        <v>2.24048988227542</v>
      </c>
      <c r="R26" s="1">
        <f t="shared" si="7"/>
        <v>-6.8483164704963899</v>
      </c>
      <c r="T26" s="117"/>
      <c r="U26" s="14" t="s">
        <v>13</v>
      </c>
      <c r="V26" s="32">
        <f t="shared" si="9"/>
        <v>32.97458326384276</v>
      </c>
      <c r="W26" s="32">
        <f t="shared" si="10"/>
        <v>20.591064512293553</v>
      </c>
      <c r="X26" s="15" t="s">
        <v>4</v>
      </c>
      <c r="Y26" s="56" t="s">
        <v>317</v>
      </c>
      <c r="Z26" s="57" t="s">
        <v>13</v>
      </c>
    </row>
    <row r="27" spans="2:34" x14ac:dyDescent="0.35">
      <c r="B27" s="6" t="s">
        <v>34</v>
      </c>
      <c r="C27" s="32">
        <v>6</v>
      </c>
      <c r="D27" s="32">
        <v>5</v>
      </c>
      <c r="E27" s="32">
        <f t="shared" si="8"/>
        <v>1</v>
      </c>
      <c r="I27" s="68">
        <v>5</v>
      </c>
      <c r="J27" t="s">
        <v>24</v>
      </c>
      <c r="K27" t="s">
        <v>13</v>
      </c>
      <c r="L27">
        <v>19</v>
      </c>
      <c r="M27">
        <v>36</v>
      </c>
      <c r="N27" s="3">
        <f t="shared" si="3"/>
        <v>21.241087116040287</v>
      </c>
      <c r="O27" s="3">
        <f t="shared" si="4"/>
        <v>27.368160921129515</v>
      </c>
      <c r="P27" s="3">
        <f t="shared" si="5"/>
        <v>79.53111734519743</v>
      </c>
      <c r="Q27" s="1">
        <f t="shared" si="6"/>
        <v>-3.3658363712574975</v>
      </c>
      <c r="R27" s="1">
        <f t="shared" si="7"/>
        <v>6.424348954558794</v>
      </c>
      <c r="T27" s="117"/>
      <c r="U27" s="14" t="s">
        <v>7</v>
      </c>
      <c r="V27" s="32">
        <f t="shared" si="9"/>
        <v>23.717430678303874</v>
      </c>
      <c r="W27" s="32">
        <f t="shared" si="10"/>
        <v>26.506151316265829</v>
      </c>
      <c r="X27" s="15" t="s">
        <v>34</v>
      </c>
      <c r="Y27" s="56" t="s">
        <v>317</v>
      </c>
      <c r="Z27" s="57" t="s">
        <v>34</v>
      </c>
    </row>
    <row r="28" spans="2:34" x14ac:dyDescent="0.35">
      <c r="B28" s="6" t="s">
        <v>17</v>
      </c>
      <c r="C28" s="32">
        <v>7</v>
      </c>
      <c r="D28" s="32">
        <v>6</v>
      </c>
      <c r="E28" s="32">
        <f t="shared" si="8"/>
        <v>1</v>
      </c>
      <c r="I28" s="68">
        <v>5</v>
      </c>
      <c r="J28" t="s">
        <v>275</v>
      </c>
      <c r="K28" t="s">
        <v>17</v>
      </c>
      <c r="L28">
        <v>35</v>
      </c>
      <c r="M28">
        <v>29</v>
      </c>
      <c r="N28" s="3">
        <f t="shared" si="3"/>
        <v>27.651080655278616</v>
      </c>
      <c r="O28" s="3">
        <f t="shared" si="4"/>
        <v>25.329696277934179</v>
      </c>
      <c r="P28" s="3">
        <f t="shared" si="5"/>
        <v>67.477744947430395</v>
      </c>
      <c r="Q28" s="1">
        <f t="shared" si="6"/>
        <v>3.0441571679808326</v>
      </c>
      <c r="R28" s="1">
        <f t="shared" si="7"/>
        <v>4.3858843113634602</v>
      </c>
      <c r="T28" s="117"/>
      <c r="U28" s="14" t="s">
        <v>36</v>
      </c>
      <c r="V28" s="32">
        <f t="shared" si="9"/>
        <v>23.898970202964847</v>
      </c>
      <c r="W28" s="32">
        <f t="shared" si="10"/>
        <v>16.456238404829897</v>
      </c>
      <c r="X28" s="15" t="s">
        <v>17</v>
      </c>
      <c r="Y28" s="56" t="s">
        <v>317</v>
      </c>
      <c r="Z28" s="57" t="s">
        <v>36</v>
      </c>
      <c r="AC28" s="3" t="s">
        <v>704</v>
      </c>
    </row>
    <row r="29" spans="2:34" ht="15" thickBot="1" x14ac:dyDescent="0.4">
      <c r="B29" s="6" t="s">
        <v>7</v>
      </c>
      <c r="C29" s="32">
        <v>8</v>
      </c>
      <c r="D29" s="32">
        <v>8</v>
      </c>
      <c r="E29" s="32">
        <f t="shared" si="8"/>
        <v>0</v>
      </c>
      <c r="I29" s="68">
        <v>6</v>
      </c>
      <c r="J29" t="s">
        <v>7</v>
      </c>
      <c r="K29" t="s">
        <v>23</v>
      </c>
      <c r="L29">
        <v>28</v>
      </c>
      <c r="M29">
        <v>15</v>
      </c>
      <c r="N29" s="3">
        <f t="shared" si="3"/>
        <v>18.373053768921189</v>
      </c>
      <c r="O29" s="3">
        <f t="shared" si="4"/>
        <v>23.042605462772627</v>
      </c>
      <c r="P29" s="3">
        <f t="shared" si="5"/>
        <v>157.36159636590264</v>
      </c>
      <c r="Q29" s="1">
        <f t="shared" si="6"/>
        <v>-6.2338697183765941</v>
      </c>
      <c r="R29" s="1">
        <f t="shared" si="7"/>
        <v>2.0987934962019104</v>
      </c>
      <c r="T29" s="118"/>
      <c r="U29" s="21" t="s">
        <v>2</v>
      </c>
      <c r="V29" s="53">
        <f t="shared" si="9"/>
        <v>17.582278476166707</v>
      </c>
      <c r="W29" s="53">
        <f t="shared" si="10"/>
        <v>15.494329559225072</v>
      </c>
      <c r="X29" s="22" t="s">
        <v>23</v>
      </c>
      <c r="Y29" s="60" t="s">
        <v>317</v>
      </c>
      <c r="Z29" s="61" t="s">
        <v>2</v>
      </c>
      <c r="AC29" s="3" t="s">
        <v>2</v>
      </c>
      <c r="AD29" s="3" t="s">
        <v>34</v>
      </c>
      <c r="AE29" s="3" t="s">
        <v>13</v>
      </c>
      <c r="AF29" s="3" t="s">
        <v>2</v>
      </c>
      <c r="AG29" s="3" t="s">
        <v>34</v>
      </c>
      <c r="AH29" s="3" t="s">
        <v>13</v>
      </c>
    </row>
    <row r="30" spans="2:34" x14ac:dyDescent="0.35">
      <c r="B30" s="6" t="s">
        <v>24</v>
      </c>
      <c r="C30" s="32">
        <v>9</v>
      </c>
      <c r="D30" s="32">
        <v>10</v>
      </c>
      <c r="E30" s="32">
        <f t="shared" si="8"/>
        <v>-1</v>
      </c>
      <c r="I30" s="68">
        <v>6</v>
      </c>
      <c r="J30" t="s">
        <v>14</v>
      </c>
      <c r="K30" t="s">
        <v>36</v>
      </c>
      <c r="L30">
        <v>45</v>
      </c>
      <c r="M30">
        <v>46</v>
      </c>
      <c r="N30" s="3">
        <f t="shared" si="3"/>
        <v>15.242788871791806</v>
      </c>
      <c r="O30" s="3">
        <f t="shared" si="4"/>
        <v>34.259653554165439</v>
      </c>
      <c r="P30" s="3">
        <f t="shared" si="5"/>
        <v>1023.3273487969777</v>
      </c>
      <c r="Q30" s="1">
        <f t="shared" si="6"/>
        <v>-9.3641346155059768</v>
      </c>
      <c r="R30" s="1">
        <f t="shared" si="7"/>
        <v>13.315841587594717</v>
      </c>
      <c r="T30" s="116">
        <v>4</v>
      </c>
      <c r="U30" s="11" t="s">
        <v>13</v>
      </c>
      <c r="V30" s="47">
        <f t="shared" si="9"/>
        <v>24.953561659544135</v>
      </c>
      <c r="W30" s="47">
        <f t="shared" si="10"/>
        <v>22.473826976311361</v>
      </c>
      <c r="X30" s="13" t="s">
        <v>36</v>
      </c>
      <c r="Y30" s="54" t="s">
        <v>318</v>
      </c>
      <c r="Z30" s="55" t="s">
        <v>13</v>
      </c>
      <c r="AC30" s="3" t="s">
        <v>627</v>
      </c>
      <c r="AD30" s="3" t="s">
        <v>627</v>
      </c>
      <c r="AE30" s="3" t="s">
        <v>627</v>
      </c>
      <c r="AF30" s="3">
        <f t="shared" ref="AF30:AG37" si="11">IF(AC30="W", 18.69, 0)</f>
        <v>18.690000000000001</v>
      </c>
      <c r="AG30" s="3">
        <f t="shared" si="11"/>
        <v>18.690000000000001</v>
      </c>
      <c r="AH30" s="3">
        <f>IF(AE30="W", 19.52, 0)</f>
        <v>19.52</v>
      </c>
    </row>
    <row r="31" spans="2:34" x14ac:dyDescent="0.35">
      <c r="B31" s="6" t="s">
        <v>4</v>
      </c>
      <c r="C31" s="32">
        <v>10</v>
      </c>
      <c r="D31" s="32">
        <v>9</v>
      </c>
      <c r="E31" s="32">
        <f t="shared" si="8"/>
        <v>1</v>
      </c>
      <c r="I31" s="68">
        <v>6</v>
      </c>
      <c r="J31" t="s">
        <v>4</v>
      </c>
      <c r="K31" t="s">
        <v>275</v>
      </c>
      <c r="L31">
        <v>24</v>
      </c>
      <c r="M31">
        <v>31</v>
      </c>
      <c r="N31" s="3">
        <f t="shared" si="3"/>
        <v>27.184853363653321</v>
      </c>
      <c r="O31" s="3">
        <f t="shared" si="4"/>
        <v>28.304178490452177</v>
      </c>
      <c r="P31" s="3">
        <f t="shared" si="5"/>
        <v>17.410744559314576</v>
      </c>
      <c r="Q31" s="1">
        <f t="shared" si="6"/>
        <v>2.5779298763555394</v>
      </c>
      <c r="R31" s="1">
        <f t="shared" si="7"/>
        <v>7.3603665238814546</v>
      </c>
      <c r="T31" s="117"/>
      <c r="U31" s="14" t="s">
        <v>7</v>
      </c>
      <c r="V31" s="32">
        <f t="shared" si="9"/>
        <v>36.654449362994491</v>
      </c>
      <c r="W31" s="32">
        <f t="shared" si="10"/>
        <v>19.459002569289858</v>
      </c>
      <c r="X31" s="15" t="s">
        <v>14</v>
      </c>
      <c r="Y31" s="56" t="s">
        <v>317</v>
      </c>
      <c r="Z31" s="57" t="s">
        <v>7</v>
      </c>
      <c r="AC31" s="3" t="s">
        <v>627</v>
      </c>
      <c r="AD31" s="3" t="s">
        <v>627</v>
      </c>
      <c r="AE31" s="3" t="s">
        <v>628</v>
      </c>
      <c r="AF31" s="3">
        <f t="shared" si="11"/>
        <v>18.690000000000001</v>
      </c>
      <c r="AG31" s="3">
        <f t="shared" si="11"/>
        <v>18.690000000000001</v>
      </c>
      <c r="AH31" s="3">
        <f t="shared" ref="AH31:AH37" si="12">IF(AE31="W", 19.52, 0)</f>
        <v>0</v>
      </c>
    </row>
    <row r="32" spans="2:34" x14ac:dyDescent="0.35">
      <c r="B32" s="6" t="s">
        <v>14</v>
      </c>
      <c r="C32" s="32">
        <v>11</v>
      </c>
      <c r="D32" s="32">
        <v>11</v>
      </c>
      <c r="E32" s="32">
        <f t="shared" si="8"/>
        <v>0</v>
      </c>
      <c r="I32" s="68">
        <v>6</v>
      </c>
      <c r="J32" t="s">
        <v>34</v>
      </c>
      <c r="K32" t="s">
        <v>24</v>
      </c>
      <c r="L32">
        <v>31</v>
      </c>
      <c r="M32">
        <v>12</v>
      </c>
      <c r="N32" s="3">
        <f t="shared" si="3"/>
        <v>28.367648401080221</v>
      </c>
      <c r="O32" s="3">
        <f t="shared" si="4"/>
        <v>16.426783488476683</v>
      </c>
      <c r="P32" s="3">
        <f t="shared" si="5"/>
        <v>26.525686994185314</v>
      </c>
      <c r="Q32" s="1">
        <f t="shared" si="6"/>
        <v>3.7607249137824379</v>
      </c>
      <c r="R32" s="1">
        <f t="shared" si="7"/>
        <v>-4.5170284780940362</v>
      </c>
      <c r="T32" s="117"/>
      <c r="U32" s="14" t="s">
        <v>24</v>
      </c>
      <c r="V32" s="32">
        <f t="shared" si="9"/>
        <v>15.629355888246266</v>
      </c>
      <c r="W32" s="32">
        <f t="shared" si="10"/>
        <v>20.549666211499733</v>
      </c>
      <c r="X32" s="15" t="s">
        <v>2</v>
      </c>
      <c r="Y32" s="56" t="s">
        <v>317</v>
      </c>
      <c r="Z32" s="57" t="s">
        <v>2</v>
      </c>
      <c r="AC32" s="3" t="s">
        <v>628</v>
      </c>
      <c r="AD32" s="3" t="s">
        <v>627</v>
      </c>
      <c r="AE32" s="3" t="s">
        <v>627</v>
      </c>
      <c r="AF32" s="3">
        <f t="shared" si="11"/>
        <v>0</v>
      </c>
      <c r="AG32" s="3">
        <f t="shared" si="11"/>
        <v>18.690000000000001</v>
      </c>
      <c r="AH32" s="3">
        <f t="shared" si="12"/>
        <v>19.52</v>
      </c>
    </row>
    <row r="33" spans="3:35" x14ac:dyDescent="0.35">
      <c r="I33" s="68">
        <v>6</v>
      </c>
      <c r="J33" t="s">
        <v>17</v>
      </c>
      <c r="K33" t="s">
        <v>13</v>
      </c>
      <c r="L33">
        <v>27</v>
      </c>
      <c r="M33">
        <v>30</v>
      </c>
      <c r="N33" s="3">
        <f t="shared" si="3"/>
        <v>26.062130468028538</v>
      </c>
      <c r="O33" s="3">
        <f t="shared" si="4"/>
        <v>24.995262387215071</v>
      </c>
      <c r="P33" s="3">
        <f t="shared" si="5"/>
        <v>25.926997831824558</v>
      </c>
      <c r="Q33" s="1">
        <f t="shared" si="6"/>
        <v>1.4552069807307546</v>
      </c>
      <c r="R33" s="1">
        <f t="shared" si="7"/>
        <v>4.0514504206443505</v>
      </c>
      <c r="T33" s="117"/>
      <c r="U33" s="14" t="s">
        <v>34</v>
      </c>
      <c r="V33" s="32">
        <f t="shared" si="9"/>
        <v>31.163395491872059</v>
      </c>
      <c r="W33" s="32">
        <f t="shared" si="10"/>
        <v>25.074745321788591</v>
      </c>
      <c r="X33" s="15" t="s">
        <v>275</v>
      </c>
      <c r="Y33" s="56" t="s">
        <v>317</v>
      </c>
      <c r="Z33" s="57" t="s">
        <v>34</v>
      </c>
      <c r="AC33" s="3" t="s">
        <v>627</v>
      </c>
      <c r="AD33" s="3" t="s">
        <v>628</v>
      </c>
      <c r="AE33" s="3" t="s">
        <v>627</v>
      </c>
      <c r="AF33" s="3">
        <f t="shared" si="11"/>
        <v>18.690000000000001</v>
      </c>
      <c r="AG33" s="3">
        <f t="shared" si="11"/>
        <v>0</v>
      </c>
      <c r="AH33" s="3">
        <f t="shared" si="12"/>
        <v>19.52</v>
      </c>
    </row>
    <row r="34" spans="3:35" ht="15" thickBot="1" x14ac:dyDescent="0.4">
      <c r="I34" s="68">
        <v>7</v>
      </c>
      <c r="J34" t="s">
        <v>4</v>
      </c>
      <c r="K34" t="s">
        <v>2</v>
      </c>
      <c r="L34">
        <v>18</v>
      </c>
      <c r="M34">
        <v>20</v>
      </c>
      <c r="N34" s="3">
        <f t="shared" si="3"/>
        <v>18.642444805226596</v>
      </c>
      <c r="O34" s="3">
        <f t="shared" si="4"/>
        <v>22.492977033485914</v>
      </c>
      <c r="P34" s="3">
        <f t="shared" si="5"/>
        <v>6.6276698172508679</v>
      </c>
      <c r="Q34" s="1">
        <f t="shared" si="6"/>
        <v>-5.9644786820711859</v>
      </c>
      <c r="R34" s="1">
        <f t="shared" si="7"/>
        <v>1.5491650669151935</v>
      </c>
      <c r="T34" s="118"/>
      <c r="U34" s="21" t="s">
        <v>17</v>
      </c>
      <c r="V34" s="53">
        <f t="shared" si="9"/>
        <v>19.566561451809314</v>
      </c>
      <c r="W34" s="53">
        <f t="shared" si="10"/>
        <v>18.868092492945514</v>
      </c>
      <c r="X34" s="22" t="s">
        <v>23</v>
      </c>
      <c r="Y34" s="60" t="s">
        <v>317</v>
      </c>
      <c r="Z34" s="61" t="s">
        <v>17</v>
      </c>
      <c r="AC34" s="3" t="s">
        <v>627</v>
      </c>
      <c r="AD34" s="3" t="s">
        <v>628</v>
      </c>
      <c r="AE34" s="3" t="s">
        <v>628</v>
      </c>
      <c r="AF34" s="3">
        <f t="shared" si="11"/>
        <v>18.690000000000001</v>
      </c>
      <c r="AG34" s="3">
        <f t="shared" si="11"/>
        <v>0</v>
      </c>
      <c r="AH34" s="3">
        <f t="shared" si="12"/>
        <v>0</v>
      </c>
    </row>
    <row r="35" spans="3:35" x14ac:dyDescent="0.35">
      <c r="I35" s="68">
        <v>7</v>
      </c>
      <c r="J35" t="s">
        <v>36</v>
      </c>
      <c r="K35" t="s">
        <v>34</v>
      </c>
      <c r="L35">
        <v>34</v>
      </c>
      <c r="M35">
        <v>14</v>
      </c>
      <c r="N35" s="3">
        <f t="shared" si="3"/>
        <v>24.985746390201886</v>
      </c>
      <c r="O35" s="3">
        <f t="shared" si="4"/>
        <v>18.626826098040713</v>
      </c>
      <c r="P35" s="3">
        <f t="shared" si="5"/>
        <v>102.66428788326897</v>
      </c>
      <c r="Q35" s="1">
        <f t="shared" si="6"/>
        <v>0.37882290290410114</v>
      </c>
      <c r="R35" s="1">
        <f t="shared" si="7"/>
        <v>-2.316985868530006</v>
      </c>
      <c r="T35" s="110">
        <v>5</v>
      </c>
      <c r="U35" s="11" t="s">
        <v>2</v>
      </c>
      <c r="V35" s="47">
        <f>IFERROR(mean+0.5*Home_edge+VLOOKUP(U35,$B$5:$G$15,4,FALSE)+VLOOKUP(X35,$B$5:$G$15,6,FALSE),"")</f>
        <v>26.014392168139466</v>
      </c>
      <c r="W35" s="47">
        <f>IFERROR(mean-0.5*Home_edge+VLOOKUP(X35,$B$5:$G$15,4,FALSE)+VLOOKUP(U35,$B$5:$G$15,6,FALSE),"")</f>
        <v>15.593780036619329</v>
      </c>
      <c r="X35" s="13" t="s">
        <v>7</v>
      </c>
      <c r="Y35" s="54" t="s">
        <v>317</v>
      </c>
      <c r="Z35" s="55" t="s">
        <v>2</v>
      </c>
      <c r="AC35" s="3" t="s">
        <v>628</v>
      </c>
      <c r="AD35" s="3" t="s">
        <v>627</v>
      </c>
      <c r="AE35" s="3" t="s">
        <v>628</v>
      </c>
      <c r="AF35" s="3">
        <f t="shared" si="11"/>
        <v>0</v>
      </c>
      <c r="AG35" s="3">
        <f t="shared" si="11"/>
        <v>18.690000000000001</v>
      </c>
      <c r="AH35" s="3">
        <f t="shared" si="12"/>
        <v>0</v>
      </c>
    </row>
    <row r="36" spans="3:35" x14ac:dyDescent="0.35">
      <c r="C36" s="30"/>
      <c r="D36" s="30"/>
      <c r="E36" s="30"/>
      <c r="I36" s="68">
        <v>7</v>
      </c>
      <c r="J36" t="s">
        <v>17</v>
      </c>
      <c r="K36" t="s">
        <v>14</v>
      </c>
      <c r="L36">
        <v>25</v>
      </c>
      <c r="M36">
        <v>17</v>
      </c>
      <c r="N36" s="3">
        <f t="shared" si="3"/>
        <v>37.847957045882616</v>
      </c>
      <c r="O36" s="3">
        <f t="shared" si="4"/>
        <v>15.284489599462743</v>
      </c>
      <c r="P36" s="3">
        <f t="shared" si="5"/>
        <v>168.01297618719624</v>
      </c>
      <c r="Q36" s="1">
        <f t="shared" si="6"/>
        <v>13.241033558584832</v>
      </c>
      <c r="R36" s="1">
        <f t="shared" si="7"/>
        <v>-5.6593223671079764</v>
      </c>
      <c r="T36" s="119"/>
      <c r="U36" s="14" t="s">
        <v>23</v>
      </c>
      <c r="V36" s="32">
        <f>IFERROR(mean+0.5*Home_edge+VLOOKUP(U36,$B$5:$G$15,4,FALSE)+VLOOKUP(X36,$B$5:$G$15,6,FALSE),"")</f>
        <v>26.847413369573204</v>
      </c>
      <c r="W36" s="32">
        <f>IFERROR(mean-0.5*Home_edge+VLOOKUP(X36,$B$5:$G$15,4,FALSE)+VLOOKUP(U36,$B$5:$G$15,6,FALSE),"")</f>
        <v>14.095495496074328</v>
      </c>
      <c r="X36" s="15" t="s">
        <v>4</v>
      </c>
      <c r="Y36" s="56" t="s">
        <v>317</v>
      </c>
      <c r="Z36" s="57" t="s">
        <v>23</v>
      </c>
      <c r="AC36" s="3" t="s">
        <v>628</v>
      </c>
      <c r="AD36" s="3" t="s">
        <v>628</v>
      </c>
      <c r="AE36" s="3" t="s">
        <v>627</v>
      </c>
      <c r="AF36" s="3">
        <f t="shared" si="11"/>
        <v>0</v>
      </c>
      <c r="AG36" s="3">
        <f t="shared" si="11"/>
        <v>0</v>
      </c>
      <c r="AH36" s="3">
        <f t="shared" si="12"/>
        <v>19.52</v>
      </c>
    </row>
    <row r="37" spans="3:35" x14ac:dyDescent="0.35">
      <c r="I37" s="68">
        <v>7</v>
      </c>
      <c r="J37" t="s">
        <v>13</v>
      </c>
      <c r="K37" t="s">
        <v>23</v>
      </c>
      <c r="L37">
        <v>26</v>
      </c>
      <c r="M37">
        <v>33</v>
      </c>
      <c r="N37" s="3">
        <f t="shared" si="3"/>
        <v>24.400773185796488</v>
      </c>
      <c r="O37" s="3">
        <f t="shared" si="4"/>
        <v>21.106060787019093</v>
      </c>
      <c r="P37" s="3">
        <f t="shared" si="5"/>
        <v>144.02331640535238</v>
      </c>
      <c r="Q37" s="1">
        <f t="shared" si="6"/>
        <v>-0.20615030150129687</v>
      </c>
      <c r="R37" s="1">
        <f t="shared" si="7"/>
        <v>0.16224882044837385</v>
      </c>
      <c r="T37" s="119"/>
      <c r="U37" s="14" t="s">
        <v>24</v>
      </c>
      <c r="V37" s="32">
        <f>IFERROR(mean+0.5*Home_edge+VLOOKUP(U37,$B$5:$G$15,4,FALSE)+VLOOKUP(X37,$B$5:$G$15,6,FALSE),"")</f>
        <v>21.241087116040287</v>
      </c>
      <c r="W37" s="32">
        <f>IFERROR(mean-0.5*Home_edge+VLOOKUP(X37,$B$5:$G$15,4,FALSE)+VLOOKUP(U37,$B$5:$G$15,6,FALSE),"")</f>
        <v>27.368160921129515</v>
      </c>
      <c r="X37" s="15" t="s">
        <v>13</v>
      </c>
      <c r="Y37" s="56" t="s">
        <v>317</v>
      </c>
      <c r="Z37" s="57" t="s">
        <v>13</v>
      </c>
      <c r="AC37" s="3" t="s">
        <v>628</v>
      </c>
      <c r="AD37" s="3" t="s">
        <v>628</v>
      </c>
      <c r="AE37" s="3" t="s">
        <v>628</v>
      </c>
      <c r="AF37" s="3">
        <f t="shared" si="11"/>
        <v>0</v>
      </c>
      <c r="AG37" s="3">
        <f t="shared" si="11"/>
        <v>0</v>
      </c>
      <c r="AH37" s="3">
        <f t="shared" si="12"/>
        <v>0</v>
      </c>
    </row>
    <row r="38" spans="3:35" ht="15" thickBot="1" x14ac:dyDescent="0.4">
      <c r="I38" s="68">
        <v>7</v>
      </c>
      <c r="J38" t="s">
        <v>275</v>
      </c>
      <c r="K38" t="s">
        <v>7</v>
      </c>
      <c r="L38">
        <v>54</v>
      </c>
      <c r="M38">
        <v>44</v>
      </c>
      <c r="N38" s="3">
        <f t="shared" ref="N38:N69" si="13">IFERROR(mean+0.5*Home_edge+VLOOKUP(J38,$B$5:$G$15,4,FALSE)+VLOOKUP(K38,$B$5:$G$15,6,FALSE),"")</f>
        <v>31.825593625105732</v>
      </c>
      <c r="O38" s="3">
        <f t="shared" ref="O38:O69" si="14">IFERROR(mean-0.5*Home_edge+VLOOKUP(K38,$B$5:$G$15,4,FALSE)+VLOOKUP(J38,$B$5:$G$15,6,FALSE),"")</f>
        <v>24.136188595046054</v>
      </c>
      <c r="P38" s="3">
        <f t="shared" si="5"/>
        <v>886.27530161053005</v>
      </c>
      <c r="Q38" s="1">
        <f t="shared" si="6"/>
        <v>7.2186701378079459</v>
      </c>
      <c r="R38" s="1">
        <f t="shared" si="7"/>
        <v>3.1923766284753357</v>
      </c>
      <c r="T38" s="120"/>
      <c r="U38" s="21" t="s">
        <v>275</v>
      </c>
      <c r="V38" s="53">
        <f>IFERROR(mean+0.5*Home_edge+VLOOKUP(U38,$B$5:$G$15,4,FALSE)+VLOOKUP(X38,$B$5:$G$15,6,FALSE),"")</f>
        <v>27.651080655278616</v>
      </c>
      <c r="W38" s="53">
        <f>IFERROR(mean-0.5*Home_edge+VLOOKUP(X38,$B$5:$G$15,4,FALSE)+VLOOKUP(U38,$B$5:$G$15,6,FALSE),"")</f>
        <v>25.329696277934179</v>
      </c>
      <c r="X38" s="22" t="s">
        <v>17</v>
      </c>
      <c r="Y38" s="60" t="s">
        <v>318</v>
      </c>
      <c r="Z38" s="61" t="s">
        <v>17</v>
      </c>
    </row>
    <row r="39" spans="3:35" x14ac:dyDescent="0.35">
      <c r="I39" s="68">
        <v>8</v>
      </c>
      <c r="J39" t="s">
        <v>7</v>
      </c>
      <c r="K39" t="s">
        <v>17</v>
      </c>
      <c r="L39">
        <v>29</v>
      </c>
      <c r="M39">
        <v>12</v>
      </c>
      <c r="N39" s="3">
        <f t="shared" si="13"/>
        <v>22.630654491066835</v>
      </c>
      <c r="O39" s="3">
        <f t="shared" si="14"/>
        <v>24.335563623055009</v>
      </c>
      <c r="P39" s="3">
        <f t="shared" si="5"/>
        <v>192.7346921106051</v>
      </c>
      <c r="Q39" s="1">
        <f t="shared" si="6"/>
        <v>-1.9762689962309463</v>
      </c>
      <c r="R39" s="1">
        <f t="shared" si="7"/>
        <v>3.3917516564842911</v>
      </c>
      <c r="T39" s="109">
        <v>6</v>
      </c>
      <c r="U39" s="11" t="s">
        <v>7</v>
      </c>
      <c r="V39" s="47">
        <v>13.804043922607207</v>
      </c>
      <c r="W39" s="47">
        <v>13.067093816857204</v>
      </c>
      <c r="X39" s="13" t="s">
        <v>23</v>
      </c>
      <c r="Y39" s="54" t="s">
        <v>317</v>
      </c>
      <c r="Z39" s="55" t="s">
        <v>7</v>
      </c>
    </row>
    <row r="40" spans="3:35" x14ac:dyDescent="0.35">
      <c r="I40" s="68">
        <v>8</v>
      </c>
      <c r="J40" t="s">
        <v>14</v>
      </c>
      <c r="K40" t="s">
        <v>4</v>
      </c>
      <c r="L40">
        <v>19</v>
      </c>
      <c r="M40">
        <v>33</v>
      </c>
      <c r="N40" s="3">
        <f t="shared" si="13"/>
        <v>23.263810476090431</v>
      </c>
      <c r="O40" s="3">
        <f t="shared" si="14"/>
        <v>32.37689109014763</v>
      </c>
      <c r="P40" s="3">
        <f t="shared" si="5"/>
        <v>18.568344489555912</v>
      </c>
      <c r="Q40" s="1">
        <f t="shared" si="6"/>
        <v>-1.3431130112073539</v>
      </c>
      <c r="R40" s="1">
        <f t="shared" si="7"/>
        <v>11.433079123576912</v>
      </c>
      <c r="T40" s="109"/>
      <c r="U40" s="14" t="s">
        <v>14</v>
      </c>
      <c r="V40" s="32">
        <v>5.9253454833558816</v>
      </c>
      <c r="W40" s="32">
        <v>42.955168771932506</v>
      </c>
      <c r="X40" s="15" t="s">
        <v>36</v>
      </c>
      <c r="Y40" s="56" t="s">
        <v>317</v>
      </c>
      <c r="Z40" s="57" t="s">
        <v>36</v>
      </c>
    </row>
    <row r="41" spans="3:35" x14ac:dyDescent="0.35">
      <c r="I41" s="68">
        <v>8</v>
      </c>
      <c r="J41" t="s">
        <v>36</v>
      </c>
      <c r="K41" t="s">
        <v>275</v>
      </c>
      <c r="L41">
        <v>22</v>
      </c>
      <c r="M41">
        <v>24</v>
      </c>
      <c r="N41" s="3">
        <f t="shared" si="13"/>
        <v>29.06761582767113</v>
      </c>
      <c r="O41" s="3">
        <f t="shared" si="14"/>
        <v>20.283156886153552</v>
      </c>
      <c r="P41" s="3">
        <f t="shared" si="5"/>
        <v>63.766116220495228</v>
      </c>
      <c r="Q41" s="1">
        <f t="shared" si="6"/>
        <v>4.4606923403733454</v>
      </c>
      <c r="R41" s="1">
        <f t="shared" si="7"/>
        <v>-0.66065508041716781</v>
      </c>
      <c r="T41" s="109"/>
      <c r="U41" s="14" t="s">
        <v>4</v>
      </c>
      <c r="V41" s="32">
        <v>22.24083558872648</v>
      </c>
      <c r="W41" s="32">
        <v>36.566011107747869</v>
      </c>
      <c r="X41" s="15" t="s">
        <v>275</v>
      </c>
      <c r="Y41" s="56" t="s">
        <v>317</v>
      </c>
      <c r="Z41" s="57" t="s">
        <v>275</v>
      </c>
    </row>
    <row r="42" spans="3:35" x14ac:dyDescent="0.35">
      <c r="I42" s="68">
        <v>8</v>
      </c>
      <c r="J42" t="s">
        <v>34</v>
      </c>
      <c r="K42" t="s">
        <v>2</v>
      </c>
      <c r="L42">
        <v>20</v>
      </c>
      <c r="M42">
        <v>27</v>
      </c>
      <c r="N42" s="3">
        <f t="shared" si="13"/>
        <v>22.620986933445334</v>
      </c>
      <c r="O42" s="3">
        <f t="shared" si="14"/>
        <v>19.263543864822328</v>
      </c>
      <c r="P42" s="3">
        <f t="shared" si="5"/>
        <v>66.722326036819425</v>
      </c>
      <c r="Q42" s="1">
        <f t="shared" si="6"/>
        <v>-1.9859365538524489</v>
      </c>
      <c r="R42" s="1">
        <f t="shared" si="7"/>
        <v>-1.6802681017483909</v>
      </c>
      <c r="T42" s="109"/>
      <c r="U42" s="14" t="s">
        <v>34</v>
      </c>
      <c r="V42" s="32">
        <v>29.992504076524426</v>
      </c>
      <c r="W42" s="32">
        <v>10.264665451508513</v>
      </c>
      <c r="X42" s="15" t="s">
        <v>24</v>
      </c>
      <c r="Y42" s="56" t="s">
        <v>317</v>
      </c>
      <c r="Z42" s="57" t="s">
        <v>34</v>
      </c>
      <c r="AE42" s="3" t="s">
        <v>614</v>
      </c>
    </row>
    <row r="43" spans="3:35" ht="15" thickBot="1" x14ac:dyDescent="0.4">
      <c r="I43" s="68">
        <v>8</v>
      </c>
      <c r="J43" t="s">
        <v>23</v>
      </c>
      <c r="K43" t="s">
        <v>24</v>
      </c>
      <c r="L43">
        <v>43</v>
      </c>
      <c r="M43">
        <v>6</v>
      </c>
      <c r="N43" s="3">
        <f t="shared" si="13"/>
        <v>24.904102547587023</v>
      </c>
      <c r="O43" s="3">
        <f t="shared" si="14"/>
        <v>11.082406579093998</v>
      </c>
      <c r="P43" s="3">
        <f t="shared" si="5"/>
        <v>353.29236124346443</v>
      </c>
      <c r="Q43" s="1">
        <f t="shared" si="6"/>
        <v>0.29717906028924057</v>
      </c>
      <c r="R43" s="1">
        <f t="shared" si="7"/>
        <v>-9.8614053874767222</v>
      </c>
      <c r="T43" s="110"/>
      <c r="U43" s="21" t="s">
        <v>17</v>
      </c>
      <c r="V43" s="53">
        <v>22.362404559149756</v>
      </c>
      <c r="W43" s="53">
        <v>37.442733612755042</v>
      </c>
      <c r="X43" s="22" t="s">
        <v>13</v>
      </c>
      <c r="Y43" s="60" t="s">
        <v>317</v>
      </c>
      <c r="Z43" s="61" t="s">
        <v>13</v>
      </c>
      <c r="AE43" s="79">
        <v>10</v>
      </c>
      <c r="AF43" s="32"/>
      <c r="AG43" s="32" t="s">
        <v>2</v>
      </c>
      <c r="AH43" s="32" t="s">
        <v>34</v>
      </c>
      <c r="AI43" s="32" t="s">
        <v>13</v>
      </c>
    </row>
    <row r="44" spans="3:35" x14ac:dyDescent="0.35">
      <c r="I44" s="68">
        <v>9</v>
      </c>
      <c r="J44" t="s">
        <v>23</v>
      </c>
      <c r="K44" t="s">
        <v>34</v>
      </c>
      <c r="L44">
        <v>39</v>
      </c>
      <c r="M44">
        <v>12</v>
      </c>
      <c r="N44" s="3">
        <f t="shared" si="13"/>
        <v>23.617980200909617</v>
      </c>
      <c r="O44" s="3">
        <f t="shared" si="14"/>
        <v>18.074037624293066</v>
      </c>
      <c r="P44" s="3">
        <f t="shared" si="5"/>
        <v>273.5004661609363</v>
      </c>
      <c r="Q44" s="1">
        <f t="shared" si="6"/>
        <v>-0.98894328638816464</v>
      </c>
      <c r="R44" s="1">
        <f t="shared" si="7"/>
        <v>-2.8697743422776529</v>
      </c>
      <c r="T44" s="109">
        <v>7</v>
      </c>
      <c r="U44" s="11" t="s">
        <v>4</v>
      </c>
      <c r="V44" s="47"/>
      <c r="W44" s="47"/>
      <c r="X44" s="13" t="s">
        <v>2</v>
      </c>
      <c r="Y44" s="54" t="s">
        <v>317</v>
      </c>
      <c r="Z44" s="55" t="s">
        <v>2</v>
      </c>
      <c r="AC44" s="3" t="str">
        <f t="shared" ref="AC44:AC49" si="15">Z44</f>
        <v>CHI</v>
      </c>
      <c r="AD44" s="3">
        <f>W44-V44</f>
        <v>0</v>
      </c>
      <c r="AE44" s="3" t="s">
        <v>317</v>
      </c>
      <c r="AF44" s="32" t="s">
        <v>2</v>
      </c>
      <c r="AG44" s="32">
        <v>18.690000000000001</v>
      </c>
      <c r="AH44" s="32">
        <v>34.950000000000003</v>
      </c>
      <c r="AI44" s="32">
        <v>36.5</v>
      </c>
    </row>
    <row r="45" spans="3:35" x14ac:dyDescent="0.35">
      <c r="I45" s="68">
        <v>9</v>
      </c>
      <c r="J45" t="s">
        <v>24</v>
      </c>
      <c r="K45" t="s">
        <v>36</v>
      </c>
      <c r="L45">
        <v>31</v>
      </c>
      <c r="M45">
        <v>22</v>
      </c>
      <c r="N45" s="3">
        <f t="shared" si="13"/>
        <v>15.298306573568709</v>
      </c>
      <c r="O45" s="3">
        <f t="shared" si="14"/>
        <v>22.608757216152227</v>
      </c>
      <c r="P45" s="3">
        <f t="shared" si="5"/>
        <v>246.91376180585303</v>
      </c>
      <c r="Q45" s="1">
        <f t="shared" si="6"/>
        <v>-9.3086169137290753</v>
      </c>
      <c r="R45" s="1">
        <f t="shared" si="7"/>
        <v>1.6649452495815065</v>
      </c>
      <c r="T45" s="109"/>
      <c r="U45" s="14" t="s">
        <v>36</v>
      </c>
      <c r="V45" s="32"/>
      <c r="W45" s="32"/>
      <c r="X45" s="15" t="s">
        <v>34</v>
      </c>
      <c r="Y45" s="56" t="s">
        <v>318</v>
      </c>
      <c r="Z45" s="57" t="s">
        <v>34</v>
      </c>
      <c r="AC45" s="3" t="str">
        <f t="shared" si="15"/>
        <v>SDL</v>
      </c>
      <c r="AD45" s="3">
        <f>W45-V45</f>
        <v>0</v>
      </c>
      <c r="AE45" s="3" t="s">
        <v>317</v>
      </c>
      <c r="AF45" s="32" t="s">
        <v>34</v>
      </c>
      <c r="AG45" s="32"/>
      <c r="AH45" s="32">
        <v>18.690000000000001</v>
      </c>
      <c r="AI45" s="32">
        <v>36.5</v>
      </c>
    </row>
    <row r="46" spans="3:35" x14ac:dyDescent="0.35">
      <c r="I46" s="68">
        <v>9</v>
      </c>
      <c r="J46" t="s">
        <v>4</v>
      </c>
      <c r="K46" t="s">
        <v>7</v>
      </c>
      <c r="L46">
        <v>51</v>
      </c>
      <c r="M46">
        <v>29</v>
      </c>
      <c r="N46" s="3">
        <f t="shared" si="13"/>
        <v>26.190720708774151</v>
      </c>
      <c r="O46" s="3">
        <f t="shared" si="14"/>
        <v>23.283752326240396</v>
      </c>
      <c r="P46" s="3">
        <f t="shared" si="5"/>
        <v>648.17582641780984</v>
      </c>
      <c r="Q46" s="1">
        <f t="shared" si="6"/>
        <v>1.5837972214763703</v>
      </c>
      <c r="R46" s="1">
        <f t="shared" si="7"/>
        <v>2.3399403596696762</v>
      </c>
      <c r="T46" s="109"/>
      <c r="U46" s="14" t="s">
        <v>17</v>
      </c>
      <c r="V46" s="32"/>
      <c r="W46" s="32"/>
      <c r="X46" s="15" t="s">
        <v>14</v>
      </c>
      <c r="Y46" s="56" t="s">
        <v>317</v>
      </c>
      <c r="Z46" s="57" t="s">
        <v>17</v>
      </c>
      <c r="AC46" s="3" t="str">
        <f t="shared" si="15"/>
        <v>SEA</v>
      </c>
      <c r="AD46" s="3">
        <f>V46-W46</f>
        <v>0</v>
      </c>
      <c r="AE46" s="3" t="s">
        <v>318</v>
      </c>
      <c r="AF46" s="32" t="s">
        <v>13</v>
      </c>
      <c r="AG46" s="32"/>
      <c r="AH46" s="32"/>
      <c r="AI46" s="32">
        <v>19.52</v>
      </c>
    </row>
    <row r="47" spans="3:35" x14ac:dyDescent="0.35">
      <c r="I47" s="68">
        <v>9</v>
      </c>
      <c r="J47" t="s">
        <v>275</v>
      </c>
      <c r="K47" t="s">
        <v>13</v>
      </c>
      <c r="L47">
        <v>28</v>
      </c>
      <c r="M47">
        <v>45</v>
      </c>
      <c r="N47" s="3">
        <f t="shared" si="13"/>
        <v>29.889048949352194</v>
      </c>
      <c r="O47" s="3">
        <f t="shared" si="14"/>
        <v>30.163908011921354</v>
      </c>
      <c r="P47" s="3">
        <f t="shared" si="5"/>
        <v>223.67813141178004</v>
      </c>
      <c r="Q47" s="1">
        <f t="shared" si="6"/>
        <v>5.2821254620544096</v>
      </c>
      <c r="R47" s="1">
        <f t="shared" si="7"/>
        <v>9.2200960453506333</v>
      </c>
      <c r="T47" s="109"/>
      <c r="U47" s="14" t="s">
        <v>13</v>
      </c>
      <c r="V47" s="32"/>
      <c r="W47" s="32"/>
      <c r="X47" s="15" t="s">
        <v>23</v>
      </c>
      <c r="Y47" s="56" t="s">
        <v>318</v>
      </c>
      <c r="Z47" s="57" t="s">
        <v>13</v>
      </c>
      <c r="AC47" s="3" t="str">
        <f t="shared" si="15"/>
        <v>UTAH</v>
      </c>
      <c r="AD47" s="3">
        <f>V47-W47</f>
        <v>0</v>
      </c>
      <c r="AE47" s="3" t="s">
        <v>317</v>
      </c>
      <c r="AF47" s="3" t="s">
        <v>615</v>
      </c>
      <c r="AG47" s="3">
        <v>68.239999999999995</v>
      </c>
    </row>
    <row r="48" spans="3:35" ht="15" thickBot="1" x14ac:dyDescent="0.4">
      <c r="I48" s="68">
        <v>9</v>
      </c>
      <c r="J48" t="s">
        <v>2</v>
      </c>
      <c r="K48" t="s">
        <v>14</v>
      </c>
      <c r="L48">
        <v>28</v>
      </c>
      <c r="M48">
        <v>20</v>
      </c>
      <c r="N48" s="3">
        <f t="shared" si="13"/>
        <v>35.863674070240009</v>
      </c>
      <c r="O48" s="3">
        <f t="shared" si="14"/>
        <v>11.910726665742299</v>
      </c>
      <c r="P48" s="3">
        <f t="shared" si="5"/>
        <v>127.27371295929777</v>
      </c>
      <c r="Q48" s="1">
        <f t="shared" si="6"/>
        <v>11.256750582942225</v>
      </c>
      <c r="R48" s="1">
        <f t="shared" si="7"/>
        <v>-9.0330853008284198</v>
      </c>
      <c r="T48" s="109"/>
      <c r="U48" s="21" t="s">
        <v>275</v>
      </c>
      <c r="V48" s="53"/>
      <c r="W48" s="53"/>
      <c r="X48" s="22" t="s">
        <v>7</v>
      </c>
      <c r="Y48" s="60" t="s">
        <v>318</v>
      </c>
      <c r="Z48" s="61" t="s">
        <v>7</v>
      </c>
      <c r="AC48" s="3" t="str">
        <f t="shared" si="15"/>
        <v>OGDC</v>
      </c>
      <c r="AD48" s="3">
        <f>W48-V48</f>
        <v>0</v>
      </c>
      <c r="AE48" s="3" t="s">
        <v>318</v>
      </c>
    </row>
    <row r="49" spans="2:36" x14ac:dyDescent="0.35">
      <c r="I49" s="68">
        <v>10</v>
      </c>
      <c r="J49" t="s">
        <v>14</v>
      </c>
      <c r="K49" t="s">
        <v>23</v>
      </c>
      <c r="L49">
        <v>6</v>
      </c>
      <c r="M49">
        <v>26</v>
      </c>
      <c r="N49" s="3">
        <f t="shared" si="13"/>
        <v>14.690000398044159</v>
      </c>
      <c r="O49" s="3">
        <f t="shared" si="14"/>
        <v>32.89188736487317</v>
      </c>
      <c r="P49" s="3">
        <f t="shared" si="5"/>
        <v>123.0142183681061</v>
      </c>
      <c r="Q49" s="1">
        <f t="shared" si="6"/>
        <v>-9.9169230892536238</v>
      </c>
      <c r="R49" s="1">
        <f t="shared" si="7"/>
        <v>11.948075398302452</v>
      </c>
      <c r="T49" s="108">
        <v>8</v>
      </c>
      <c r="U49" s="11" t="s">
        <v>7</v>
      </c>
      <c r="V49" s="47">
        <v>19.361879161718448</v>
      </c>
      <c r="W49" s="47">
        <v>21.151828374876594</v>
      </c>
      <c r="X49" s="13" t="s">
        <v>17</v>
      </c>
      <c r="Y49" s="82" t="s">
        <v>318</v>
      </c>
      <c r="Z49" s="55" t="s">
        <v>17</v>
      </c>
      <c r="AC49" s="3" t="str">
        <f t="shared" si="15"/>
        <v>SEA</v>
      </c>
      <c r="AD49" s="3">
        <f>W49-V49</f>
        <v>1.7899492131581454</v>
      </c>
      <c r="AH49" s="3" t="s">
        <v>621</v>
      </c>
    </row>
    <row r="50" spans="2:36" x14ac:dyDescent="0.35">
      <c r="I50" s="68">
        <v>10</v>
      </c>
      <c r="J50" t="s">
        <v>17</v>
      </c>
      <c r="K50" t="s">
        <v>2</v>
      </c>
      <c r="L50">
        <v>28</v>
      </c>
      <c r="M50">
        <v>22</v>
      </c>
      <c r="N50" s="3">
        <f t="shared" si="13"/>
        <v>20.450399240234518</v>
      </c>
      <c r="O50" s="3">
        <f t="shared" si="14"/>
        <v>18.176767677585289</v>
      </c>
      <c r="P50" s="3">
        <f t="shared" si="5"/>
        <v>71.613577023008133</v>
      </c>
      <c r="Q50" s="1">
        <f t="shared" si="6"/>
        <v>-4.1565242470632651</v>
      </c>
      <c r="R50" s="1">
        <f t="shared" si="7"/>
        <v>-2.7670442889854292</v>
      </c>
      <c r="T50" s="114"/>
      <c r="U50" s="14" t="s">
        <v>14</v>
      </c>
      <c r="V50" s="32">
        <v>26.718212761406193</v>
      </c>
      <c r="W50" s="32">
        <v>31.42360703664594</v>
      </c>
      <c r="X50" s="15" t="s">
        <v>4</v>
      </c>
      <c r="Y50" s="44" t="s">
        <v>317</v>
      </c>
      <c r="Z50" s="57" t="s">
        <v>4</v>
      </c>
      <c r="AC50" s="3" t="s">
        <v>4</v>
      </c>
      <c r="AD50" s="3">
        <f>W50-V50</f>
        <v>4.7053942752397475</v>
      </c>
      <c r="AH50" s="80" t="s">
        <v>620</v>
      </c>
      <c r="AI50" s="3" t="s">
        <v>626</v>
      </c>
    </row>
    <row r="51" spans="2:36" x14ac:dyDescent="0.35">
      <c r="I51" s="68">
        <v>10</v>
      </c>
      <c r="J51" t="s">
        <v>7</v>
      </c>
      <c r="K51" t="s">
        <v>24</v>
      </c>
      <c r="L51">
        <v>35</v>
      </c>
      <c r="M51">
        <v>37</v>
      </c>
      <c r="N51" s="3">
        <f t="shared" si="13"/>
        <v>25.003553024981279</v>
      </c>
      <c r="O51" s="3">
        <f t="shared" si="14"/>
        <v>19.514520271066758</v>
      </c>
      <c r="P51" s="3">
        <f t="shared" si="5"/>
        <v>405.67095347529624</v>
      </c>
      <c r="Q51" s="1">
        <f t="shared" si="6"/>
        <v>0.39662953768349696</v>
      </c>
      <c r="R51" s="1">
        <f t="shared" si="7"/>
        <v>-1.4292916955039612</v>
      </c>
      <c r="T51" s="114"/>
      <c r="U51" s="14" t="s">
        <v>36</v>
      </c>
      <c r="V51" s="32">
        <v>36.619311463633181</v>
      </c>
      <c r="W51" s="32">
        <v>24.032408921976558</v>
      </c>
      <c r="X51" s="15" t="s">
        <v>275</v>
      </c>
      <c r="Y51" s="44" t="s">
        <v>318</v>
      </c>
      <c r="Z51" s="57" t="s">
        <v>36</v>
      </c>
      <c r="AC51" s="3" t="s">
        <v>36</v>
      </c>
      <c r="AD51" s="3">
        <f>V51-W51</f>
        <v>12.586902541656624</v>
      </c>
      <c r="AG51" s="3" t="s">
        <v>616</v>
      </c>
      <c r="AH51" s="3">
        <f>SUM(AG44:AI47)-70</f>
        <v>163.08999999999997</v>
      </c>
      <c r="AI51" s="3">
        <f>1/8</f>
        <v>0.125</v>
      </c>
      <c r="AJ51" s="3">
        <f>AI51*AH51</f>
        <v>20.386249999999997</v>
      </c>
    </row>
    <row r="52" spans="2:36" x14ac:dyDescent="0.35">
      <c r="I52" s="68">
        <v>10</v>
      </c>
      <c r="J52" t="s">
        <v>36</v>
      </c>
      <c r="K52" t="s">
        <v>4</v>
      </c>
      <c r="L52">
        <v>17</v>
      </c>
      <c r="M52">
        <v>15</v>
      </c>
      <c r="N52" s="3">
        <f t="shared" si="13"/>
        <v>28.215179558865472</v>
      </c>
      <c r="O52" s="3">
        <f t="shared" si="14"/>
        <v>14.648283969821975</v>
      </c>
      <c r="P52" s="3">
        <f t="shared" si="5"/>
        <v>125.90395670347812</v>
      </c>
      <c r="Q52" s="1">
        <f t="shared" si="6"/>
        <v>3.6082560715676855</v>
      </c>
      <c r="R52" s="1">
        <f t="shared" si="7"/>
        <v>-6.295527996748743</v>
      </c>
      <c r="T52" s="114"/>
      <c r="U52" s="14" t="s">
        <v>34</v>
      </c>
      <c r="V52" s="32">
        <v>21.818199417294377</v>
      </c>
      <c r="W52" s="32">
        <v>14.606210073007325</v>
      </c>
      <c r="X52" s="15" t="s">
        <v>2</v>
      </c>
      <c r="Y52" s="44" t="s">
        <v>318</v>
      </c>
      <c r="Z52" s="57" t="s">
        <v>34</v>
      </c>
      <c r="AC52" s="3" t="s">
        <v>34</v>
      </c>
      <c r="AD52" s="3">
        <f>V52-W52</f>
        <v>7.2119893442870513</v>
      </c>
      <c r="AG52" s="3" t="s">
        <v>618</v>
      </c>
      <c r="AH52" s="3">
        <f>SUM(AF45:AI46)-70</f>
        <v>4.7099999999999937</v>
      </c>
      <c r="AI52" s="3">
        <f t="shared" ref="AI52:AI58" si="16">1/8</f>
        <v>0.125</v>
      </c>
      <c r="AJ52" s="3">
        <f t="shared" ref="AJ52:AJ58" si="17">AI52*AH52</f>
        <v>0.58874999999999922</v>
      </c>
    </row>
    <row r="53" spans="2:36" ht="15" thickBot="1" x14ac:dyDescent="0.4">
      <c r="H53" s="3" t="s">
        <v>311</v>
      </c>
      <c r="I53" s="68">
        <v>10</v>
      </c>
      <c r="J53" t="s">
        <v>34</v>
      </c>
      <c r="K53" t="s">
        <v>13</v>
      </c>
      <c r="L53">
        <v>18</v>
      </c>
      <c r="M53">
        <v>31</v>
      </c>
      <c r="N53" s="3">
        <f t="shared" si="13"/>
        <v>28.232718161239355</v>
      </c>
      <c r="O53" s="3">
        <f t="shared" si="14"/>
        <v>26.08203857445211</v>
      </c>
      <c r="P53" s="3">
        <f t="shared" si="5"/>
        <v>128.89486555053475</v>
      </c>
      <c r="Q53" s="1">
        <f t="shared" si="6"/>
        <v>3.625794673941571</v>
      </c>
      <c r="R53" s="1">
        <f t="shared" si="7"/>
        <v>5.1382266078813883</v>
      </c>
      <c r="T53" s="115"/>
      <c r="U53" s="21" t="s">
        <v>23</v>
      </c>
      <c r="V53" s="53">
        <v>20.357214442635254</v>
      </c>
      <c r="W53" s="53">
        <v>15.54789252825385</v>
      </c>
      <c r="X53" s="22" t="s">
        <v>24</v>
      </c>
      <c r="Y53" s="39" t="s">
        <v>317</v>
      </c>
      <c r="Z53" s="61" t="s">
        <v>23</v>
      </c>
      <c r="AA53" s="3" t="s">
        <v>647</v>
      </c>
      <c r="AC53" s="3" t="s">
        <v>23</v>
      </c>
      <c r="AD53" s="3">
        <f>V53-W53</f>
        <v>4.8093219143814032</v>
      </c>
      <c r="AG53" s="3" t="s">
        <v>617</v>
      </c>
      <c r="AH53" s="3">
        <f>SUM(AG44,AI44,AI46,AI46)-70</f>
        <v>24.22999999999999</v>
      </c>
      <c r="AI53" s="3">
        <f t="shared" si="16"/>
        <v>0.125</v>
      </c>
      <c r="AJ53" s="3">
        <f t="shared" si="17"/>
        <v>3.0287499999999987</v>
      </c>
    </row>
    <row r="54" spans="2:36" x14ac:dyDescent="0.35">
      <c r="G54" s="32" t="s">
        <v>317</v>
      </c>
      <c r="H54" s="32" t="s">
        <v>17</v>
      </c>
      <c r="I54" s="68">
        <v>11</v>
      </c>
      <c r="J54" t="s">
        <v>36</v>
      </c>
      <c r="K54" t="s">
        <v>7</v>
      </c>
      <c r="L54">
        <v>48</v>
      </c>
      <c r="M54">
        <v>27</v>
      </c>
      <c r="N54" s="3">
        <f t="shared" si="13"/>
        <v>28.07348317279196</v>
      </c>
      <c r="O54" s="3">
        <f t="shared" si="14"/>
        <v>15.262730721941772</v>
      </c>
      <c r="P54" s="3">
        <f t="shared" si="5"/>
        <v>534.82956297065471</v>
      </c>
      <c r="Q54" s="1">
        <f t="shared" si="6"/>
        <v>3.4665596854941758</v>
      </c>
      <c r="R54" s="1">
        <f t="shared" si="7"/>
        <v>-5.6810812446289471</v>
      </c>
      <c r="T54" s="107">
        <v>9</v>
      </c>
      <c r="U54" s="11" t="s">
        <v>23</v>
      </c>
      <c r="V54" s="47">
        <v>15.403744474308262</v>
      </c>
      <c r="W54" s="47">
        <v>21.022480411497412</v>
      </c>
      <c r="X54" s="13" t="s">
        <v>34</v>
      </c>
      <c r="Y54" s="82" t="s">
        <v>318</v>
      </c>
      <c r="Z54" s="55" t="s">
        <v>34</v>
      </c>
      <c r="AA54" s="3" t="s">
        <v>34</v>
      </c>
      <c r="AG54" s="3" t="s">
        <v>619</v>
      </c>
      <c r="AH54" s="3">
        <f>SUM(AG44:AH45)-70</f>
        <v>2.3299999999999983</v>
      </c>
      <c r="AI54" s="3">
        <f t="shared" si="16"/>
        <v>0.125</v>
      </c>
      <c r="AJ54" s="3">
        <f t="shared" si="17"/>
        <v>0.29124999999999979</v>
      </c>
    </row>
    <row r="55" spans="2:36" x14ac:dyDescent="0.35">
      <c r="G55" s="32" t="s">
        <v>318</v>
      </c>
      <c r="H55" s="32" t="s">
        <v>24</v>
      </c>
      <c r="I55" s="68">
        <v>11</v>
      </c>
      <c r="J55" t="s">
        <v>13</v>
      </c>
      <c r="K55" t="s">
        <v>2</v>
      </c>
      <c r="L55">
        <v>41</v>
      </c>
      <c r="M55">
        <v>31</v>
      </c>
      <c r="N55" s="3">
        <f t="shared" si="13"/>
        <v>25.284610974221692</v>
      </c>
      <c r="O55" s="3">
        <f t="shared" si="14"/>
        <v>20.414735971658867</v>
      </c>
      <c r="P55" s="3">
        <f t="shared" si="5"/>
        <v>359.02126678124603</v>
      </c>
      <c r="Q55" s="1">
        <f t="shared" si="6"/>
        <v>0.67768748692390712</v>
      </c>
      <c r="R55" s="1">
        <f t="shared" si="7"/>
        <v>-0.52907599491185242</v>
      </c>
      <c r="T55" s="107"/>
      <c r="U55" s="14" t="s">
        <v>24</v>
      </c>
      <c r="V55" s="32">
        <v>11.928217997794462</v>
      </c>
      <c r="W55" s="32">
        <v>30.525516802740505</v>
      </c>
      <c r="X55" s="15" t="s">
        <v>36</v>
      </c>
      <c r="Y55" s="44" t="s">
        <v>318</v>
      </c>
      <c r="Z55" s="57" t="s">
        <v>36</v>
      </c>
      <c r="AA55" s="3" t="s">
        <v>36</v>
      </c>
      <c r="AG55" s="3" t="s">
        <v>622</v>
      </c>
      <c r="AH55" s="3">
        <f>AI46-70</f>
        <v>-50.480000000000004</v>
      </c>
      <c r="AI55" s="3">
        <f t="shared" si="16"/>
        <v>0.125</v>
      </c>
      <c r="AJ55" s="3">
        <f t="shared" si="17"/>
        <v>-6.3100000000000005</v>
      </c>
    </row>
    <row r="56" spans="2:36" x14ac:dyDescent="0.35">
      <c r="G56" s="32" t="s">
        <v>317</v>
      </c>
      <c r="H56" s="32" t="s">
        <v>36</v>
      </c>
      <c r="I56" s="68">
        <v>11</v>
      </c>
      <c r="J56" t="s">
        <v>275</v>
      </c>
      <c r="K56" t="s">
        <v>34</v>
      </c>
      <c r="L56">
        <v>36</v>
      </c>
      <c r="M56">
        <v>38</v>
      </c>
      <c r="N56" s="3">
        <f t="shared" si="13"/>
        <v>28.737856842515654</v>
      </c>
      <c r="O56" s="3">
        <f t="shared" si="14"/>
        <v>27.500283971144995</v>
      </c>
      <c r="P56" s="3">
        <f t="shared" si="5"/>
        <v>162.9827599263914</v>
      </c>
      <c r="Q56" s="1">
        <f t="shared" si="6"/>
        <v>4.1309333552178709</v>
      </c>
      <c r="R56" s="1">
        <f t="shared" si="7"/>
        <v>6.5564720045742764</v>
      </c>
      <c r="T56" s="107"/>
      <c r="U56" s="14" t="s">
        <v>4</v>
      </c>
      <c r="V56" s="32">
        <v>19.025197613408839</v>
      </c>
      <c r="W56" s="32">
        <v>22.049805262019689</v>
      </c>
      <c r="X56" s="15" t="s">
        <v>7</v>
      </c>
      <c r="Y56" s="44" t="s">
        <v>318</v>
      </c>
      <c r="Z56" s="57" t="s">
        <v>7</v>
      </c>
      <c r="AA56" s="3" t="s">
        <v>7</v>
      </c>
      <c r="AG56" s="3" t="s">
        <v>623</v>
      </c>
      <c r="AH56" s="3">
        <f>AH45-70</f>
        <v>-51.31</v>
      </c>
      <c r="AI56" s="3">
        <f t="shared" si="16"/>
        <v>0.125</v>
      </c>
      <c r="AJ56" s="3">
        <f t="shared" si="17"/>
        <v>-6.4137500000000003</v>
      </c>
    </row>
    <row r="57" spans="2:36" x14ac:dyDescent="0.35">
      <c r="G57" s="32" t="s">
        <v>318</v>
      </c>
      <c r="H57" s="32" t="s">
        <v>23</v>
      </c>
      <c r="I57" s="68">
        <v>11</v>
      </c>
      <c r="J57" t="s">
        <v>4</v>
      </c>
      <c r="K57" t="s">
        <v>17</v>
      </c>
      <c r="L57">
        <v>44</v>
      </c>
      <c r="M57">
        <v>36</v>
      </c>
      <c r="N57" s="3">
        <f t="shared" si="13"/>
        <v>22.016207738947038</v>
      </c>
      <c r="O57" s="3">
        <f t="shared" si="14"/>
        <v>24.477260009128521</v>
      </c>
      <c r="P57" s="3">
        <f t="shared" si="5"/>
        <v>616.06065907436096</v>
      </c>
      <c r="Q57" s="1">
        <f t="shared" si="6"/>
        <v>-2.5907157483507426</v>
      </c>
      <c r="R57" s="1">
        <f t="shared" si="7"/>
        <v>3.5334480425578008</v>
      </c>
      <c r="T57" s="107"/>
      <c r="U57" s="14" t="s">
        <v>275</v>
      </c>
      <c r="V57" s="32">
        <v>33.058371934488228</v>
      </c>
      <c r="W57" s="32">
        <v>36.250196048406522</v>
      </c>
      <c r="X57" s="15" t="s">
        <v>13</v>
      </c>
      <c r="Y57" s="44" t="s">
        <v>317</v>
      </c>
      <c r="Z57" s="57" t="s">
        <v>13</v>
      </c>
      <c r="AA57" s="3" t="s">
        <v>275</v>
      </c>
      <c r="AG57" s="3" t="s">
        <v>624</v>
      </c>
      <c r="AH57" s="3">
        <f>AG44-70</f>
        <v>-51.31</v>
      </c>
      <c r="AI57" s="3">
        <f t="shared" si="16"/>
        <v>0.125</v>
      </c>
      <c r="AJ57" s="3">
        <f t="shared" si="17"/>
        <v>-6.4137500000000003</v>
      </c>
    </row>
    <row r="58" spans="2:36" ht="15" thickBot="1" x14ac:dyDescent="0.4">
      <c r="G58" s="42" t="s">
        <v>318</v>
      </c>
      <c r="H58" s="42" t="s">
        <v>18</v>
      </c>
      <c r="I58" s="68">
        <v>11</v>
      </c>
      <c r="J58" t="s">
        <v>24</v>
      </c>
      <c r="K58" t="s">
        <v>14</v>
      </c>
      <c r="L58">
        <v>31</v>
      </c>
      <c r="M58">
        <v>5</v>
      </c>
      <c r="N58" s="3">
        <f t="shared" si="13"/>
        <v>33.026913693894365</v>
      </c>
      <c r="O58" s="3">
        <f t="shared" si="14"/>
        <v>17.657388133377186</v>
      </c>
      <c r="P58" s="3">
        <f t="shared" si="5"/>
        <v>164.31785348145411</v>
      </c>
      <c r="Q58" s="1">
        <f t="shared" si="6"/>
        <v>8.4199902065965802</v>
      </c>
      <c r="R58" s="1">
        <f t="shared" si="7"/>
        <v>-3.2864238331935329</v>
      </c>
      <c r="T58" s="108"/>
      <c r="U58" s="21" t="s">
        <v>2</v>
      </c>
      <c r="V58" s="53">
        <v>41.673375251008359</v>
      </c>
      <c r="W58" s="53">
        <v>16.926548894333862</v>
      </c>
      <c r="X58" s="22" t="s">
        <v>14</v>
      </c>
      <c r="Y58" s="39" t="s">
        <v>317</v>
      </c>
      <c r="Z58" s="61" t="s">
        <v>2</v>
      </c>
      <c r="AA58" s="83" t="s">
        <v>2</v>
      </c>
      <c r="AG58" s="3" t="s">
        <v>625</v>
      </c>
      <c r="AH58" s="3">
        <v>-70</v>
      </c>
      <c r="AI58" s="3">
        <f t="shared" si="16"/>
        <v>0.125</v>
      </c>
      <c r="AJ58" s="3">
        <f t="shared" si="17"/>
        <v>-8.75</v>
      </c>
    </row>
    <row r="59" spans="2:36" x14ac:dyDescent="0.35">
      <c r="G59" s="41" t="s">
        <v>317</v>
      </c>
      <c r="H59" s="41" t="s">
        <v>36</v>
      </c>
      <c r="I59" s="68">
        <v>12</v>
      </c>
      <c r="J59" t="s">
        <v>17</v>
      </c>
      <c r="K59" t="s">
        <v>275</v>
      </c>
      <c r="L59">
        <v>26</v>
      </c>
      <c r="M59">
        <v>26</v>
      </c>
      <c r="N59" s="3">
        <f t="shared" si="13"/>
        <v>28.992807798661243</v>
      </c>
      <c r="O59" s="3">
        <f t="shared" si="14"/>
        <v>23.987969134551552</v>
      </c>
      <c r="P59" s="3">
        <f t="shared" si="5"/>
        <v>13.005166723244786</v>
      </c>
      <c r="Q59" s="1">
        <f t="shared" si="6"/>
        <v>4.3858843113634602</v>
      </c>
      <c r="R59" s="1">
        <f t="shared" si="7"/>
        <v>3.0441571679808326</v>
      </c>
      <c r="T59" s="109">
        <v>10</v>
      </c>
      <c r="U59" s="11" t="s">
        <v>14</v>
      </c>
      <c r="V59" s="47">
        <v>18.977493358602867</v>
      </c>
      <c r="W59" s="47">
        <v>34.6861623456155</v>
      </c>
      <c r="X59" s="84" t="s">
        <v>23</v>
      </c>
      <c r="Y59" s="54" t="s">
        <v>317</v>
      </c>
      <c r="Z59" s="55" t="s">
        <v>23</v>
      </c>
      <c r="AA59" s="3" t="s">
        <v>14</v>
      </c>
      <c r="AB59" s="3">
        <v>12.5</v>
      </c>
      <c r="AC59" s="3" t="s">
        <v>655</v>
      </c>
      <c r="AH59" s="81">
        <f>SUM(AH51:AH58)</f>
        <v>-28.740000000000066</v>
      </c>
      <c r="AI59" s="81"/>
      <c r="AJ59" s="81">
        <f>SUM(AJ51:AJ58)</f>
        <v>-3.5925000000000082</v>
      </c>
    </row>
    <row r="60" spans="2:36" x14ac:dyDescent="0.35">
      <c r="G60" s="32" t="s">
        <v>318</v>
      </c>
      <c r="H60" s="32" t="s">
        <v>18</v>
      </c>
      <c r="I60" s="68">
        <v>12</v>
      </c>
      <c r="J60" t="s">
        <v>7</v>
      </c>
      <c r="K60" t="s">
        <v>13</v>
      </c>
      <c r="L60">
        <v>28</v>
      </c>
      <c r="M60">
        <v>12</v>
      </c>
      <c r="N60" s="3">
        <f t="shared" si="13"/>
        <v>24.868622785140413</v>
      </c>
      <c r="O60" s="3">
        <f t="shared" si="14"/>
        <v>29.169775357042184</v>
      </c>
      <c r="P60" s="3">
        <f t="shared" si="5"/>
        <v>304.60670907303484</v>
      </c>
      <c r="Q60" s="1">
        <f t="shared" si="6"/>
        <v>0.26169929784263024</v>
      </c>
      <c r="R60" s="1">
        <f t="shared" si="7"/>
        <v>8.2259633904714633</v>
      </c>
      <c r="T60" s="109"/>
      <c r="U60" s="14" t="s">
        <v>17</v>
      </c>
      <c r="V60" s="32">
        <v>13.23573070773373</v>
      </c>
      <c r="W60" s="32">
        <v>19.229835861653022</v>
      </c>
      <c r="X60" s="85" t="s">
        <v>2</v>
      </c>
      <c r="Y60" s="56" t="s">
        <v>318</v>
      </c>
      <c r="Z60" s="57" t="s">
        <v>2</v>
      </c>
      <c r="AA60" s="3" t="s">
        <v>2</v>
      </c>
      <c r="AB60" s="3">
        <v>-10.5</v>
      </c>
    </row>
    <row r="61" spans="2:36" x14ac:dyDescent="0.35">
      <c r="B61" s="3" t="s">
        <v>705</v>
      </c>
      <c r="G61" s="32" t="s">
        <v>318</v>
      </c>
      <c r="H61" s="32" t="s">
        <v>17</v>
      </c>
      <c r="I61" s="68">
        <v>12</v>
      </c>
      <c r="J61" t="s">
        <v>23</v>
      </c>
      <c r="K61" t="s">
        <v>36</v>
      </c>
      <c r="L61">
        <v>36</v>
      </c>
      <c r="M61">
        <v>17</v>
      </c>
      <c r="N61" s="3">
        <f t="shared" si="13"/>
        <v>18.826391765274579</v>
      </c>
      <c r="O61" s="3">
        <f t="shared" si="14"/>
        <v>15.978257960092137</v>
      </c>
      <c r="P61" s="3">
        <f t="shared" si="5"/>
        <v>295.97677659594387</v>
      </c>
      <c r="Q61" s="1">
        <f t="shared" si="6"/>
        <v>-5.7805317220232029</v>
      </c>
      <c r="R61" s="1">
        <f t="shared" si="7"/>
        <v>-4.9655540064785839</v>
      </c>
      <c r="T61" s="109"/>
      <c r="U61" s="14" t="s">
        <v>7</v>
      </c>
      <c r="V61" s="32">
        <v>27.513881659617532</v>
      </c>
      <c r="W61" s="32">
        <v>19.098077422644717</v>
      </c>
      <c r="X61" s="85" t="s">
        <v>24</v>
      </c>
      <c r="Y61" s="56" t="s">
        <v>318</v>
      </c>
      <c r="Z61" s="57" t="s">
        <v>7</v>
      </c>
      <c r="AA61" s="3" t="s">
        <v>7</v>
      </c>
      <c r="AB61" s="3">
        <v>-2.5</v>
      </c>
    </row>
    <row r="62" spans="2:36" x14ac:dyDescent="0.35">
      <c r="G62" s="32" t="s">
        <v>318</v>
      </c>
      <c r="H62" s="32" t="s">
        <v>2</v>
      </c>
      <c r="I62" s="68">
        <v>12</v>
      </c>
      <c r="J62" t="s">
        <v>2</v>
      </c>
      <c r="K62" t="s">
        <v>24</v>
      </c>
      <c r="L62">
        <v>14</v>
      </c>
      <c r="M62">
        <v>7</v>
      </c>
      <c r="N62" s="3">
        <f t="shared" si="13"/>
        <v>24.212777732226797</v>
      </c>
      <c r="O62" s="3">
        <f t="shared" si="14"/>
        <v>11.966244367519202</v>
      </c>
      <c r="P62" s="3">
        <f t="shared" si="5"/>
        <v>128.96441212578372</v>
      </c>
      <c r="Q62" s="1">
        <f t="shared" si="6"/>
        <v>-0.3941457550709857</v>
      </c>
      <c r="R62" s="1">
        <f t="shared" si="7"/>
        <v>-8.9775675990515182</v>
      </c>
      <c r="T62" s="109"/>
      <c r="U62" s="14" t="s">
        <v>36</v>
      </c>
      <c r="V62" s="32">
        <v>27.689537900055271</v>
      </c>
      <c r="W62" s="32">
        <v>17.658492184181195</v>
      </c>
      <c r="X62" s="85" t="s">
        <v>4</v>
      </c>
      <c r="Y62" s="56" t="s">
        <v>317</v>
      </c>
      <c r="Z62" s="57" t="s">
        <v>36</v>
      </c>
      <c r="AA62" s="3" t="s">
        <v>36</v>
      </c>
      <c r="AB62" s="3">
        <v>-7.5</v>
      </c>
    </row>
    <row r="63" spans="2:36" ht="15" thickBot="1" x14ac:dyDescent="0.4">
      <c r="B63" s="43"/>
      <c r="C63" s="43"/>
      <c r="D63" s="43"/>
      <c r="E63" s="43"/>
      <c r="F63" s="43"/>
      <c r="G63" s="42" t="s">
        <v>318</v>
      </c>
      <c r="H63" s="42" t="s">
        <v>273</v>
      </c>
      <c r="I63" s="68">
        <v>12</v>
      </c>
      <c r="J63" t="s">
        <v>34</v>
      </c>
      <c r="K63" t="s">
        <v>4</v>
      </c>
      <c r="L63">
        <v>45</v>
      </c>
      <c r="M63">
        <v>36</v>
      </c>
      <c r="N63" s="3">
        <f t="shared" si="13"/>
        <v>30.310959223066401</v>
      </c>
      <c r="O63" s="3">
        <f t="shared" si="14"/>
        <v>19.439872405457013</v>
      </c>
      <c r="P63" s="3">
        <f t="shared" si="5"/>
        <v>490.00574489396206</v>
      </c>
      <c r="Q63" s="1">
        <f t="shared" si="6"/>
        <v>5.7040357357686169</v>
      </c>
      <c r="R63" s="1">
        <f t="shared" si="7"/>
        <v>-1.5039395611137045</v>
      </c>
      <c r="T63" s="109"/>
      <c r="U63" s="16" t="s">
        <v>34</v>
      </c>
      <c r="V63" s="42">
        <v>25.5250378777218</v>
      </c>
      <c r="W63" s="42">
        <v>26.59655143827127</v>
      </c>
      <c r="X63" s="86" t="s">
        <v>13</v>
      </c>
      <c r="Y63" s="58" t="s">
        <v>317</v>
      </c>
      <c r="Z63" s="59" t="s">
        <v>13</v>
      </c>
      <c r="AA63" s="3" t="s">
        <v>13</v>
      </c>
      <c r="AB63" s="3">
        <v>-2.5</v>
      </c>
      <c r="AC63" s="3" t="s">
        <v>654</v>
      </c>
    </row>
    <row r="64" spans="2:36" x14ac:dyDescent="0.35">
      <c r="B64" s="46">
        <v>45430</v>
      </c>
      <c r="C64" s="12" t="s">
        <v>14</v>
      </c>
      <c r="D64" s="47">
        <v>19.210025118754359</v>
      </c>
      <c r="E64" s="47">
        <v>38.121255842604242</v>
      </c>
      <c r="F64" s="13" t="s">
        <v>275</v>
      </c>
      <c r="G64" s="40" t="s">
        <v>317</v>
      </c>
      <c r="H64" s="41" t="s">
        <v>275</v>
      </c>
      <c r="I64" s="68">
        <v>13</v>
      </c>
      <c r="J64" t="s">
        <v>4</v>
      </c>
      <c r="K64" t="s">
        <v>24</v>
      </c>
      <c r="L64">
        <v>19</v>
      </c>
      <c r="M64">
        <v>25</v>
      </c>
      <c r="N64" s="3">
        <f t="shared" si="13"/>
        <v>24.389106272861483</v>
      </c>
      <c r="O64" s="3">
        <f t="shared" si="14"/>
        <v>19.65621665714027</v>
      </c>
      <c r="P64" s="3">
        <f t="shared" si="5"/>
        <v>57.598486835620093</v>
      </c>
      <c r="Q64" s="1">
        <f t="shared" si="6"/>
        <v>-0.21781721443629931</v>
      </c>
      <c r="R64" s="1">
        <f t="shared" si="7"/>
        <v>-1.2875953094304515</v>
      </c>
      <c r="T64" t="s">
        <v>696</v>
      </c>
      <c r="Z64" s="3" t="s">
        <v>17</v>
      </c>
    </row>
    <row r="65" spans="1:30" ht="15" thickBot="1" x14ac:dyDescent="0.4">
      <c r="B65" s="48">
        <v>45430</v>
      </c>
      <c r="C65" s="1" t="s">
        <v>4</v>
      </c>
      <c r="D65" s="32">
        <v>18.020179785198561</v>
      </c>
      <c r="E65" s="32">
        <v>21.29305832398072</v>
      </c>
      <c r="F65" s="15" t="s">
        <v>273</v>
      </c>
      <c r="G65" s="44" t="s">
        <v>318</v>
      </c>
      <c r="H65" s="32" t="s">
        <v>273</v>
      </c>
      <c r="I65" s="68">
        <v>13</v>
      </c>
      <c r="J65" t="s">
        <v>23</v>
      </c>
      <c r="K65" t="s">
        <v>2</v>
      </c>
      <c r="L65">
        <v>27</v>
      </c>
      <c r="M65">
        <v>17</v>
      </c>
      <c r="N65" s="3">
        <f t="shared" si="13"/>
        <v>19.157441079952136</v>
      </c>
      <c r="O65" s="3">
        <f t="shared" si="14"/>
        <v>13.919166955439643</v>
      </c>
      <c r="P65" s="3">
        <f t="shared" si="5"/>
        <v>70.997262662877361</v>
      </c>
      <c r="Q65" s="1">
        <f t="shared" si="6"/>
        <v>-5.4494824073456458</v>
      </c>
      <c r="R65" s="1">
        <f t="shared" si="7"/>
        <v>-7.0246450111310761</v>
      </c>
      <c r="T65" t="s">
        <v>696</v>
      </c>
      <c r="Z65" s="3" t="s">
        <v>23</v>
      </c>
      <c r="AA65" s="3" t="s">
        <v>647</v>
      </c>
      <c r="AB65" s="3" t="s">
        <v>657</v>
      </c>
    </row>
    <row r="66" spans="1:30" x14ac:dyDescent="0.35">
      <c r="B66" s="48">
        <v>45430</v>
      </c>
      <c r="C66" s="1" t="s">
        <v>36</v>
      </c>
      <c r="D66" s="32">
        <v>27.599199895292593</v>
      </c>
      <c r="E66" s="32">
        <v>23.739508047892887</v>
      </c>
      <c r="F66" s="15" t="s">
        <v>2</v>
      </c>
      <c r="G66" s="44" t="s">
        <v>317</v>
      </c>
      <c r="H66" s="32" t="s">
        <v>36</v>
      </c>
      <c r="I66" s="68">
        <v>13</v>
      </c>
      <c r="J66" t="s">
        <v>34</v>
      </c>
      <c r="K66" t="s">
        <v>36</v>
      </c>
      <c r="L66">
        <v>20</v>
      </c>
      <c r="M66">
        <v>37</v>
      </c>
      <c r="N66" s="3">
        <f t="shared" si="13"/>
        <v>22.289937618767777</v>
      </c>
      <c r="O66" s="3">
        <f t="shared" si="14"/>
        <v>21.322634869474822</v>
      </c>
      <c r="P66" s="3">
        <f t="shared" si="5"/>
        <v>251.0235917336546</v>
      </c>
      <c r="Q66" s="1">
        <f t="shared" si="6"/>
        <v>-2.316985868530006</v>
      </c>
      <c r="R66" s="1">
        <f t="shared" si="7"/>
        <v>0.37882290290410114</v>
      </c>
      <c r="T66" s="109">
        <v>11</v>
      </c>
      <c r="U66" s="11" t="s">
        <v>36</v>
      </c>
      <c r="V66" s="47">
        <v>30.163104780612024</v>
      </c>
      <c r="W66" s="47">
        <v>18.49586230095888</v>
      </c>
      <c r="X66" s="84" t="s">
        <v>7</v>
      </c>
      <c r="Y66" s="54" t="s">
        <v>317</v>
      </c>
      <c r="Z66" s="55" t="s">
        <v>36</v>
      </c>
      <c r="AA66" s="3" t="s">
        <v>36</v>
      </c>
      <c r="AB66" s="3">
        <v>-6.5</v>
      </c>
      <c r="AC66" s="3" t="s">
        <v>663</v>
      </c>
    </row>
    <row r="67" spans="1:30" x14ac:dyDescent="0.35">
      <c r="B67" s="48">
        <v>45431</v>
      </c>
      <c r="C67" s="1" t="s">
        <v>274</v>
      </c>
      <c r="D67" s="32">
        <v>14.192521328136314</v>
      </c>
      <c r="E67" s="32">
        <v>22.516074402306536</v>
      </c>
      <c r="F67" s="15" t="s">
        <v>23</v>
      </c>
      <c r="G67" s="44" t="s">
        <v>317</v>
      </c>
      <c r="H67" s="32" t="s">
        <v>23</v>
      </c>
      <c r="I67" s="68">
        <v>13</v>
      </c>
      <c r="J67" t="s">
        <v>275</v>
      </c>
      <c r="K67" t="s">
        <v>14</v>
      </c>
      <c r="L67">
        <v>45</v>
      </c>
      <c r="M67">
        <v>17</v>
      </c>
      <c r="N67" s="3">
        <f t="shared" si="13"/>
        <v>41.674875527206268</v>
      </c>
      <c r="O67" s="3">
        <f t="shared" si="14"/>
        <v>20.453135224169024</v>
      </c>
      <c r="P67" s="3">
        <f t="shared" si="5"/>
        <v>22.980595635968651</v>
      </c>
      <c r="Q67" s="1">
        <f t="shared" si="6"/>
        <v>17.067952039908487</v>
      </c>
      <c r="R67" s="1">
        <f t="shared" si="7"/>
        <v>-0.49067674240169445</v>
      </c>
      <c r="T67" s="109"/>
      <c r="U67" s="14" t="s">
        <v>13</v>
      </c>
      <c r="V67" s="32">
        <v>29.710182337877079</v>
      </c>
      <c r="W67" s="32">
        <v>21.134336781475103</v>
      </c>
      <c r="X67" s="85" t="s">
        <v>2</v>
      </c>
      <c r="Y67" s="56" t="s">
        <v>317</v>
      </c>
      <c r="Z67" s="57" t="s">
        <v>13</v>
      </c>
      <c r="AA67" s="3" t="s">
        <v>2</v>
      </c>
      <c r="AB67" s="3" t="s">
        <v>13</v>
      </c>
      <c r="AC67" s="3" t="s">
        <v>659</v>
      </c>
    </row>
    <row r="68" spans="1:30" ht="15" thickBot="1" x14ac:dyDescent="0.4">
      <c r="B68" s="49">
        <v>45431</v>
      </c>
      <c r="C68" s="9" t="s">
        <v>18</v>
      </c>
      <c r="D68" s="42">
        <v>23.074514103900345</v>
      </c>
      <c r="E68" s="42">
        <v>31.112700447535843</v>
      </c>
      <c r="F68" s="17" t="s">
        <v>17</v>
      </c>
      <c r="G68" s="45" t="s">
        <v>318</v>
      </c>
      <c r="H68" s="42" t="s">
        <v>17</v>
      </c>
      <c r="I68" s="68">
        <v>13</v>
      </c>
      <c r="J68" t="s">
        <v>13</v>
      </c>
      <c r="K68" t="s">
        <v>17</v>
      </c>
      <c r="L68">
        <v>24</v>
      </c>
      <c r="M68">
        <v>28</v>
      </c>
      <c r="N68" s="3">
        <f t="shared" si="13"/>
        <v>28.658373907942135</v>
      </c>
      <c r="O68" s="3">
        <f t="shared" si="14"/>
        <v>22.399018947301474</v>
      </c>
      <c r="P68" s="3">
        <f t="shared" si="5"/>
        <v>53.07143621888396</v>
      </c>
      <c r="Q68" s="1">
        <f t="shared" si="6"/>
        <v>4.0514504206443505</v>
      </c>
      <c r="R68" s="1">
        <f t="shared" si="7"/>
        <v>1.4552069807307546</v>
      </c>
      <c r="T68" s="109"/>
      <c r="U68" s="14" t="s">
        <v>275</v>
      </c>
      <c r="V68" s="32">
        <v>24.938711165472863</v>
      </c>
      <c r="W68" s="32">
        <v>26.465435105072295</v>
      </c>
      <c r="X68" s="85" t="s">
        <v>34</v>
      </c>
      <c r="Y68" s="56" t="s">
        <v>317</v>
      </c>
      <c r="Z68" s="57" t="s">
        <v>34</v>
      </c>
      <c r="AA68" s="3" t="s">
        <v>275</v>
      </c>
      <c r="AB68" s="3">
        <v>-5.5</v>
      </c>
      <c r="AC68" s="3" t="s">
        <v>658</v>
      </c>
      <c r="AD68" s="3" t="s">
        <v>660</v>
      </c>
    </row>
    <row r="69" spans="1:30" x14ac:dyDescent="0.35">
      <c r="B69" s="50">
        <v>45436</v>
      </c>
      <c r="C69" s="8" t="s">
        <v>17</v>
      </c>
      <c r="D69" s="41">
        <v>24.176519159424476</v>
      </c>
      <c r="E69" s="41">
        <v>13.646506702847315</v>
      </c>
      <c r="F69" s="51" t="s">
        <v>7</v>
      </c>
      <c r="G69" s="40" t="s">
        <v>317</v>
      </c>
      <c r="H69" s="41" t="s">
        <v>17</v>
      </c>
      <c r="I69" s="68">
        <v>14</v>
      </c>
      <c r="J69" t="s">
        <v>24</v>
      </c>
      <c r="K69" t="s">
        <v>23</v>
      </c>
      <c r="L69">
        <v>30</v>
      </c>
      <c r="M69">
        <v>19</v>
      </c>
      <c r="N69" s="3">
        <f t="shared" si="13"/>
        <v>14.745518099821062</v>
      </c>
      <c r="O69" s="3">
        <f t="shared" si="14"/>
        <v>21.240991026859959</v>
      </c>
      <c r="P69" s="3">
        <f t="shared" si="5"/>
        <v>237.72125882535369</v>
      </c>
      <c r="Q69" s="1">
        <f t="shared" si="6"/>
        <v>-9.8614053874767222</v>
      </c>
      <c r="R69" s="1">
        <f t="shared" si="7"/>
        <v>0.29717906028924057</v>
      </c>
      <c r="T69" s="109"/>
      <c r="U69" s="14" t="s">
        <v>4</v>
      </c>
      <c r="V69" s="32">
        <v>21.444163795081781</v>
      </c>
      <c r="W69" s="32">
        <v>17.40953050299861</v>
      </c>
      <c r="X69" s="85" t="s">
        <v>17</v>
      </c>
      <c r="Y69" s="56" t="s">
        <v>317</v>
      </c>
      <c r="Z69" s="57" t="s">
        <v>4</v>
      </c>
      <c r="AA69" s="3" t="s">
        <v>4</v>
      </c>
      <c r="AB69" s="3">
        <v>-1.5</v>
      </c>
      <c r="AC69" s="3" t="s">
        <v>661</v>
      </c>
    </row>
    <row r="70" spans="1:30" ht="15" thickBot="1" x14ac:dyDescent="0.4">
      <c r="B70" s="48">
        <v>45437</v>
      </c>
      <c r="C70" s="1" t="s">
        <v>24</v>
      </c>
      <c r="D70" s="32">
        <v>14.164246302346225</v>
      </c>
      <c r="E70" s="32">
        <v>24.611394029860861</v>
      </c>
      <c r="F70" s="15" t="s">
        <v>23</v>
      </c>
      <c r="G70" s="44" t="s">
        <v>318</v>
      </c>
      <c r="H70" s="32" t="s">
        <v>23</v>
      </c>
      <c r="I70" s="68">
        <v>14</v>
      </c>
      <c r="J70" t="s">
        <v>36</v>
      </c>
      <c r="K70" t="s">
        <v>13</v>
      </c>
      <c r="L70">
        <v>40</v>
      </c>
      <c r="M70">
        <v>19</v>
      </c>
      <c r="N70" s="3">
        <f t="shared" ref="N70:N83" si="18">IFERROR(mean+0.5*Home_edge+VLOOKUP(J70,$B$5:$G$15,4,FALSE)+VLOOKUP(K70,$B$5:$G$15,6,FALSE),"")</f>
        <v>26.136938497038425</v>
      </c>
      <c r="O70" s="3">
        <f t="shared" ref="O70:O83" si="19">IFERROR(mean-0.5*Home_edge+VLOOKUP(K70,$B$5:$G$15,4,FALSE)+VLOOKUP(J70,$B$5:$G$15,6,FALSE),"")</f>
        <v>21.290450138817071</v>
      </c>
      <c r="P70" s="3">
        <f t="shared" si="5"/>
        <v>197.4306360733024</v>
      </c>
      <c r="Q70" s="1">
        <f t="shared" si="6"/>
        <v>1.5300150097406395</v>
      </c>
      <c r="R70" s="1">
        <f t="shared" si="7"/>
        <v>0.34663817224635007</v>
      </c>
      <c r="T70" s="110"/>
      <c r="U70" s="21" t="s">
        <v>24</v>
      </c>
      <c r="V70" s="53">
        <v>32.750474783633749</v>
      </c>
      <c r="W70" s="53">
        <v>23.526673996194639</v>
      </c>
      <c r="X70" s="74" t="s">
        <v>14</v>
      </c>
      <c r="Y70" s="60" t="s">
        <v>317</v>
      </c>
      <c r="Z70" s="61" t="s">
        <v>24</v>
      </c>
      <c r="AA70" s="83" t="s">
        <v>24</v>
      </c>
      <c r="AB70" s="3">
        <v>-13.5</v>
      </c>
      <c r="AC70" s="3" t="s">
        <v>662</v>
      </c>
    </row>
    <row r="71" spans="1:30" x14ac:dyDescent="0.35">
      <c r="B71" s="48">
        <v>45438</v>
      </c>
      <c r="C71" s="1" t="s">
        <v>2</v>
      </c>
      <c r="D71" s="32">
        <v>24.413924097326028</v>
      </c>
      <c r="E71" s="32">
        <v>21.591112030116907</v>
      </c>
      <c r="F71" s="15" t="s">
        <v>4</v>
      </c>
      <c r="G71" s="44" t="s">
        <v>318</v>
      </c>
      <c r="H71" s="32" t="s">
        <v>2</v>
      </c>
      <c r="I71" s="68">
        <v>14</v>
      </c>
      <c r="J71" t="s">
        <v>17</v>
      </c>
      <c r="K71" t="s">
        <v>34</v>
      </c>
      <c r="L71">
        <v>29</v>
      </c>
      <c r="M71">
        <v>25</v>
      </c>
      <c r="N71" s="3">
        <f t="shared" si="18"/>
        <v>24.910938361191999</v>
      </c>
      <c r="O71" s="3">
        <f t="shared" si="19"/>
        <v>22.331638346438712</v>
      </c>
      <c r="P71" s="3">
        <f t="shared" ref="P71:P87" si="20">IFERROR((N71-L71)^2+(O71-M71)^2,"")</f>
        <v>23.840579000167505</v>
      </c>
      <c r="Q71" s="1">
        <f t="shared" si="6"/>
        <v>0.30401487389421622</v>
      </c>
      <c r="R71" s="1">
        <f t="shared" si="7"/>
        <v>1.3878263798679944</v>
      </c>
      <c r="T71" s="111">
        <v>12</v>
      </c>
      <c r="U71" s="11" t="s">
        <v>17</v>
      </c>
      <c r="V71" s="47">
        <v>27.350790020772749</v>
      </c>
      <c r="W71" s="47">
        <v>25.072219988649323</v>
      </c>
      <c r="X71" s="13" t="s">
        <v>275</v>
      </c>
      <c r="Y71" s="82" t="s">
        <v>676</v>
      </c>
      <c r="Z71" s="55" t="s">
        <v>17</v>
      </c>
      <c r="AA71" s="3" t="s">
        <v>275</v>
      </c>
    </row>
    <row r="72" spans="1:30" ht="15" thickBot="1" x14ac:dyDescent="0.4">
      <c r="A72" s="3" t="s">
        <v>341</v>
      </c>
      <c r="B72" s="52">
        <v>45438</v>
      </c>
      <c r="C72" s="5" t="s">
        <v>275</v>
      </c>
      <c r="D72" s="53">
        <v>15.595287475774207</v>
      </c>
      <c r="E72" s="53">
        <v>25.731788935518694</v>
      </c>
      <c r="F72" s="22" t="s">
        <v>274</v>
      </c>
      <c r="G72" s="39" t="s">
        <v>317</v>
      </c>
      <c r="H72" s="53" t="s">
        <v>274</v>
      </c>
      <c r="I72" s="68">
        <v>14</v>
      </c>
      <c r="J72" t="s">
        <v>14</v>
      </c>
      <c r="K72" t="s">
        <v>7</v>
      </c>
      <c r="L72">
        <v>19</v>
      </c>
      <c r="M72">
        <v>41</v>
      </c>
      <c r="N72" s="3">
        <f t="shared" si="18"/>
        <v>23.122114090016922</v>
      </c>
      <c r="O72" s="3">
        <f t="shared" si="19"/>
        <v>32.991337842267427</v>
      </c>
      <c r="P72" s="3">
        <f t="shared" si="20"/>
        <v>81.13049412781379</v>
      </c>
      <c r="Q72" s="1">
        <f t="shared" si="6"/>
        <v>-1.4848093972808636</v>
      </c>
      <c r="R72" s="1">
        <f t="shared" si="7"/>
        <v>12.047525875696708</v>
      </c>
      <c r="T72" s="112"/>
      <c r="U72" s="14" t="s">
        <v>7</v>
      </c>
      <c r="V72" s="32">
        <v>24.512271991081253</v>
      </c>
      <c r="W72" s="32">
        <v>37.06608089422118</v>
      </c>
      <c r="X72" s="15" t="s">
        <v>13</v>
      </c>
      <c r="Y72" s="44" t="s">
        <v>318</v>
      </c>
      <c r="Z72" s="57" t="s">
        <v>13</v>
      </c>
      <c r="AA72" s="3" t="s">
        <v>13</v>
      </c>
    </row>
    <row r="73" spans="1:30" x14ac:dyDescent="0.35">
      <c r="A73" s="3">
        <v>14</v>
      </c>
      <c r="B73" s="46">
        <v>45444</v>
      </c>
      <c r="C73" s="12" t="s">
        <v>7</v>
      </c>
      <c r="D73" s="47">
        <v>36.856916850636651</v>
      </c>
      <c r="E73" s="47">
        <v>18.849680983948286</v>
      </c>
      <c r="F73" s="13" t="s">
        <v>14</v>
      </c>
      <c r="G73" s="54" t="s">
        <v>317</v>
      </c>
      <c r="H73" s="55" t="s">
        <v>7</v>
      </c>
      <c r="I73" s="68">
        <v>14</v>
      </c>
      <c r="J73" t="s">
        <v>2</v>
      </c>
      <c r="K73" t="s">
        <v>275</v>
      </c>
      <c r="L73">
        <v>24</v>
      </c>
      <c r="M73">
        <v>26</v>
      </c>
      <c r="N73" s="3">
        <f t="shared" si="18"/>
        <v>27.008524823018636</v>
      </c>
      <c r="O73" s="3">
        <f t="shared" si="19"/>
        <v>20.614206200831109</v>
      </c>
      <c r="P73" s="3">
        <f t="shared" si="20"/>
        <v>38.057996457885388</v>
      </c>
      <c r="Q73" s="1">
        <f t="shared" si="6"/>
        <v>2.4016013357208532</v>
      </c>
      <c r="R73" s="1">
        <f t="shared" si="7"/>
        <v>-0.32960576573961076</v>
      </c>
      <c r="T73" s="112"/>
      <c r="U73" s="14" t="s">
        <v>23</v>
      </c>
      <c r="V73" s="32">
        <v>18.987519989476077</v>
      </c>
      <c r="W73" s="32">
        <v>14.256852865779722</v>
      </c>
      <c r="X73" s="15" t="s">
        <v>36</v>
      </c>
      <c r="Y73" s="44" t="s">
        <v>317</v>
      </c>
      <c r="Z73" s="57" t="s">
        <v>23</v>
      </c>
      <c r="AA73" s="3" t="s">
        <v>23</v>
      </c>
    </row>
    <row r="74" spans="1:30" x14ac:dyDescent="0.35">
      <c r="A74" s="3">
        <v>14</v>
      </c>
      <c r="B74" s="48">
        <v>45444</v>
      </c>
      <c r="C74" s="1" t="s">
        <v>4</v>
      </c>
      <c r="D74" s="32">
        <v>18.114328404856394</v>
      </c>
      <c r="E74" s="32">
        <v>25.857452405607027</v>
      </c>
      <c r="F74" s="15" t="s">
        <v>36</v>
      </c>
      <c r="G74" s="56" t="s">
        <v>317</v>
      </c>
      <c r="H74" s="57" t="s">
        <v>36</v>
      </c>
      <c r="I74" s="68">
        <v>15</v>
      </c>
      <c r="J74" t="s">
        <v>275</v>
      </c>
      <c r="K74" t="s">
        <v>24</v>
      </c>
      <c r="L74">
        <v>26</v>
      </c>
      <c r="M74">
        <v>20</v>
      </c>
      <c r="N74" s="3">
        <f t="shared" si="18"/>
        <v>30.02397918919306</v>
      </c>
      <c r="O74" s="3">
        <f t="shared" si="19"/>
        <v>20.508652925945928</v>
      </c>
      <c r="P74" s="3">
        <f t="shared" si="20"/>
        <v>16.451136314132189</v>
      </c>
      <c r="Q74" s="1">
        <f t="shared" si="6"/>
        <v>5.4170557018952756</v>
      </c>
      <c r="R74" s="1">
        <f t="shared" si="7"/>
        <v>-0.43515904062479205</v>
      </c>
      <c r="T74" s="112"/>
      <c r="U74" s="14" t="s">
        <v>2</v>
      </c>
      <c r="V74" s="32">
        <v>26.353300586158284</v>
      </c>
      <c r="W74" s="32">
        <v>11.508090640481461</v>
      </c>
      <c r="X74" s="15" t="s">
        <v>24</v>
      </c>
      <c r="Y74" s="44" t="s">
        <v>317</v>
      </c>
      <c r="Z74" s="57" t="s">
        <v>2</v>
      </c>
      <c r="AA74" s="3" t="s">
        <v>24</v>
      </c>
    </row>
    <row r="75" spans="1:30" ht="15" thickBot="1" x14ac:dyDescent="0.4">
      <c r="A75" s="3">
        <v>14</v>
      </c>
      <c r="B75" s="48">
        <v>45444</v>
      </c>
      <c r="C75" s="1" t="s">
        <v>273</v>
      </c>
      <c r="D75" s="32">
        <v>18.136691052756802</v>
      </c>
      <c r="E75" s="32">
        <v>20.0355721414331</v>
      </c>
      <c r="F75" s="15" t="s">
        <v>274</v>
      </c>
      <c r="G75" s="56" t="s">
        <v>317</v>
      </c>
      <c r="H75" s="57" t="s">
        <v>274</v>
      </c>
      <c r="I75" s="68">
        <v>15</v>
      </c>
      <c r="J75" t="s">
        <v>17</v>
      </c>
      <c r="K75" t="s">
        <v>36</v>
      </c>
      <c r="L75">
        <v>14</v>
      </c>
      <c r="M75">
        <v>9</v>
      </c>
      <c r="N75" s="3">
        <f t="shared" si="18"/>
        <v>20.119349925556961</v>
      </c>
      <c r="O75" s="3">
        <f t="shared" si="19"/>
        <v>20.235858682237783</v>
      </c>
      <c r="P75" s="3">
        <f t="shared" si="20"/>
        <v>163.69096383863214</v>
      </c>
      <c r="Q75" s="1">
        <f t="shared" si="6"/>
        <v>-4.4875735617408221</v>
      </c>
      <c r="R75" s="1">
        <f t="shared" si="7"/>
        <v>-0.70795328433293703</v>
      </c>
      <c r="T75" s="113"/>
      <c r="U75" s="21" t="s">
        <v>34</v>
      </c>
      <c r="V75" s="53">
        <v>25.188748224159465</v>
      </c>
      <c r="W75" s="53">
        <v>17.457803431494227</v>
      </c>
      <c r="X75" s="22" t="s">
        <v>4</v>
      </c>
      <c r="Y75" s="39" t="s">
        <v>317</v>
      </c>
      <c r="Z75" s="61" t="s">
        <v>34</v>
      </c>
      <c r="AA75" s="97" t="s">
        <v>34</v>
      </c>
      <c r="AB75" s="96" t="s">
        <v>695</v>
      </c>
      <c r="AC75" s="95" t="s">
        <v>657</v>
      </c>
    </row>
    <row r="76" spans="1:30" x14ac:dyDescent="0.35">
      <c r="A76" s="3">
        <v>14</v>
      </c>
      <c r="B76" s="48">
        <v>45445</v>
      </c>
      <c r="C76" s="1" t="s">
        <v>23</v>
      </c>
      <c r="D76" s="32">
        <v>26.120132809586252</v>
      </c>
      <c r="E76" s="32">
        <v>23.064289198878924</v>
      </c>
      <c r="F76" s="15" t="s">
        <v>18</v>
      </c>
      <c r="G76" s="56" t="s">
        <v>317</v>
      </c>
      <c r="H76" s="57" t="s">
        <v>23</v>
      </c>
      <c r="I76" s="68">
        <v>15</v>
      </c>
      <c r="J76" t="s">
        <v>23</v>
      </c>
      <c r="K76" t="s">
        <v>7</v>
      </c>
      <c r="L76">
        <v>17</v>
      </c>
      <c r="M76">
        <v>20</v>
      </c>
      <c r="N76" s="3">
        <f t="shared" si="18"/>
        <v>26.705716983499691</v>
      </c>
      <c r="O76" s="3">
        <f t="shared" si="19"/>
        <v>14.709942248194125</v>
      </c>
      <c r="P76" s="3">
        <f t="shared" si="20"/>
        <v>122.18565318123578</v>
      </c>
      <c r="Q76" s="1">
        <f t="shared" ref="Q76:Q101" si="21">VLOOKUP($J76,$B$5:$G$15,4, FALSE)+VLOOKUP($K76,$B$5:$G$15,6, FALSE)</f>
        <v>2.0987934962019104</v>
      </c>
      <c r="R76" s="1">
        <f t="shared" ref="R76:R101" si="22">VLOOKUP($K76,$B$5:$G$15,4, FALSE)+VLOOKUP($J76,$B$5:$G$15,6, FALSE)</f>
        <v>-6.2338697183765941</v>
      </c>
      <c r="T76" s="111">
        <v>13</v>
      </c>
      <c r="U76" s="11" t="s">
        <v>4</v>
      </c>
      <c r="V76" s="47">
        <v>26.216777027030115</v>
      </c>
      <c r="W76" s="47">
        <v>16.886499462636671</v>
      </c>
      <c r="X76" s="13" t="s">
        <v>24</v>
      </c>
      <c r="Y76" s="82" t="s">
        <v>318</v>
      </c>
      <c r="Z76" s="55" t="s">
        <v>4</v>
      </c>
      <c r="AA76" s="3">
        <f>V76-W76</f>
        <v>9.3302775643934446</v>
      </c>
      <c r="AB76" s="3" t="s">
        <v>4</v>
      </c>
      <c r="AC76" s="3">
        <v>-5.5</v>
      </c>
    </row>
    <row r="77" spans="1:30" ht="15" thickBot="1" x14ac:dyDescent="0.4">
      <c r="A77" s="3">
        <v>14</v>
      </c>
      <c r="B77" s="52">
        <v>45445</v>
      </c>
      <c r="C77" s="5" t="s">
        <v>275</v>
      </c>
      <c r="D77" s="53">
        <v>16.071638068664669</v>
      </c>
      <c r="E77" s="53">
        <v>23.289604526227834</v>
      </c>
      <c r="F77" s="22" t="s">
        <v>24</v>
      </c>
      <c r="G77" s="60" t="s">
        <v>318</v>
      </c>
      <c r="H77" s="61" t="s">
        <v>24</v>
      </c>
      <c r="I77" s="68">
        <v>15</v>
      </c>
      <c r="J77" t="s">
        <v>4</v>
      </c>
      <c r="K77" t="s">
        <v>13</v>
      </c>
      <c r="L77">
        <v>28</v>
      </c>
      <c r="M77">
        <v>31</v>
      </c>
      <c r="N77" s="3">
        <f t="shared" si="18"/>
        <v>24.254176033020617</v>
      </c>
      <c r="O77" s="3">
        <f t="shared" si="19"/>
        <v>29.311471743115696</v>
      </c>
      <c r="P77" s="3">
        <f t="shared" si="20"/>
        <v>16.88232486589391</v>
      </c>
      <c r="Q77" s="1">
        <f t="shared" si="21"/>
        <v>-0.35274745427716603</v>
      </c>
      <c r="R77" s="1">
        <f t="shared" si="22"/>
        <v>8.3676597765449721</v>
      </c>
      <c r="T77" s="112"/>
      <c r="U77" s="14" t="s">
        <v>23</v>
      </c>
      <c r="V77" s="32">
        <v>18.825646437041861</v>
      </c>
      <c r="W77" s="32">
        <v>11.242151278303044</v>
      </c>
      <c r="X77" s="15" t="s">
        <v>2</v>
      </c>
      <c r="Y77" s="44" t="s">
        <v>317</v>
      </c>
      <c r="Z77" s="57" t="s">
        <v>23</v>
      </c>
      <c r="AA77" s="3">
        <f>V77-W77</f>
        <v>7.5834951587388169</v>
      </c>
      <c r="AB77" s="3" t="s">
        <v>23</v>
      </c>
      <c r="AC77" s="3">
        <v>-2.5</v>
      </c>
      <c r="AD77" s="3" t="s">
        <v>697</v>
      </c>
    </row>
    <row r="78" spans="1:30" x14ac:dyDescent="0.35">
      <c r="A78" s="3">
        <v>15</v>
      </c>
      <c r="B78" s="46">
        <v>45451</v>
      </c>
      <c r="C78" s="12" t="s">
        <v>7</v>
      </c>
      <c r="D78" s="47">
        <v>15.081304500312502</v>
      </c>
      <c r="E78" s="47">
        <v>25.475477623317431</v>
      </c>
      <c r="F78" s="13" t="s">
        <v>23</v>
      </c>
      <c r="G78" s="54" t="s">
        <v>317</v>
      </c>
      <c r="H78" s="55" t="s">
        <v>23</v>
      </c>
      <c r="I78" s="68">
        <v>15</v>
      </c>
      <c r="J78" t="s">
        <v>14</v>
      </c>
      <c r="K78" t="s">
        <v>2</v>
      </c>
      <c r="L78">
        <v>19</v>
      </c>
      <c r="M78">
        <v>33</v>
      </c>
      <c r="N78" s="3">
        <f t="shared" si="18"/>
        <v>15.573838186469363</v>
      </c>
      <c r="O78" s="3">
        <f t="shared" si="19"/>
        <v>32.200562549512945</v>
      </c>
      <c r="P78" s="3">
        <f t="shared" si="20"/>
        <v>12.377685009736787</v>
      </c>
      <c r="Q78" s="1">
        <f t="shared" si="21"/>
        <v>-9.0330853008284198</v>
      </c>
      <c r="R78" s="1">
        <f t="shared" si="22"/>
        <v>11.256750582942225</v>
      </c>
      <c r="T78" s="112"/>
      <c r="U78" s="14" t="s">
        <v>34</v>
      </c>
      <c r="V78" s="32">
        <v>24.634995861329049</v>
      </c>
      <c r="W78" s="32">
        <v>20.961071431706117</v>
      </c>
      <c r="X78" s="15" t="s">
        <v>36</v>
      </c>
      <c r="Y78" s="44" t="s">
        <v>318</v>
      </c>
      <c r="Z78" s="57" t="s">
        <v>34</v>
      </c>
      <c r="AA78" s="3">
        <f>V78-W78</f>
        <v>3.6739244296229323</v>
      </c>
      <c r="AB78" s="3" t="s">
        <v>36</v>
      </c>
      <c r="AC78" s="3">
        <v>5.5</v>
      </c>
      <c r="AD78" s="3" t="s">
        <v>698</v>
      </c>
    </row>
    <row r="79" spans="1:30" x14ac:dyDescent="0.35">
      <c r="A79" s="3">
        <v>15</v>
      </c>
      <c r="B79" s="48">
        <v>45451</v>
      </c>
      <c r="C79" s="1" t="s">
        <v>36</v>
      </c>
      <c r="D79" s="32">
        <v>30.282448458645895</v>
      </c>
      <c r="E79" s="32">
        <v>17.077825812553236</v>
      </c>
      <c r="F79" s="15" t="s">
        <v>275</v>
      </c>
      <c r="G79" s="56" t="s">
        <v>317</v>
      </c>
      <c r="H79" s="57" t="s">
        <v>36</v>
      </c>
      <c r="I79" s="68">
        <v>16</v>
      </c>
      <c r="J79" t="s">
        <v>7</v>
      </c>
      <c r="K79" t="s">
        <v>275</v>
      </c>
      <c r="L79">
        <v>32</v>
      </c>
      <c r="M79">
        <v>43</v>
      </c>
      <c r="N79" s="3">
        <f t="shared" si="18"/>
        <v>27.799300115773118</v>
      </c>
      <c r="O79" s="3">
        <f t="shared" si="19"/>
        <v>28.162482104378668</v>
      </c>
      <c r="P79" s="3">
        <f t="shared" si="20"/>
        <v>237.79781682022701</v>
      </c>
      <c r="Q79" s="1">
        <f t="shared" si="21"/>
        <v>3.1923766284753357</v>
      </c>
      <c r="R79" s="1">
        <f t="shared" si="22"/>
        <v>7.2186701378079459</v>
      </c>
      <c r="T79" s="112"/>
      <c r="U79" s="14" t="s">
        <v>275</v>
      </c>
      <c r="V79" s="32">
        <v>42.067018100865958</v>
      </c>
      <c r="W79" s="32">
        <v>21.577718545987722</v>
      </c>
      <c r="X79" s="15" t="s">
        <v>14</v>
      </c>
      <c r="Y79" s="44" t="s">
        <v>317</v>
      </c>
      <c r="Z79" s="57" t="s">
        <v>275</v>
      </c>
      <c r="AA79" s="3">
        <f>V79-W79</f>
        <v>20.489299554878237</v>
      </c>
      <c r="AB79" s="3" t="s">
        <v>275</v>
      </c>
      <c r="AC79" s="3">
        <v>18.5</v>
      </c>
      <c r="AD79" s="3" t="s">
        <v>662</v>
      </c>
    </row>
    <row r="80" spans="1:30" ht="15" thickBot="1" x14ac:dyDescent="0.4">
      <c r="A80" s="3">
        <v>15</v>
      </c>
      <c r="B80" s="48">
        <v>45452</v>
      </c>
      <c r="C80" s="1" t="s">
        <v>274</v>
      </c>
      <c r="D80" s="32">
        <v>40.842238447002472</v>
      </c>
      <c r="E80" s="32">
        <v>16.334162518320802</v>
      </c>
      <c r="F80" s="15" t="s">
        <v>14</v>
      </c>
      <c r="G80" s="56" t="s">
        <v>317</v>
      </c>
      <c r="H80" s="57" t="s">
        <v>274</v>
      </c>
      <c r="I80" s="68">
        <v>16</v>
      </c>
      <c r="J80" t="s">
        <v>24</v>
      </c>
      <c r="K80" t="s">
        <v>34</v>
      </c>
      <c r="L80">
        <v>36</v>
      </c>
      <c r="M80">
        <v>32</v>
      </c>
      <c r="N80" s="3">
        <f t="shared" si="18"/>
        <v>20.089895009203747</v>
      </c>
      <c r="O80" s="3">
        <f t="shared" si="19"/>
        <v>24.704536880353157</v>
      </c>
      <c r="P80" s="3">
        <f t="shared" si="20"/>
        <v>306.35522294828706</v>
      </c>
      <c r="Q80" s="1">
        <f t="shared" si="21"/>
        <v>-4.5170284780940362</v>
      </c>
      <c r="R80" s="1">
        <f t="shared" si="22"/>
        <v>3.7607249137824379</v>
      </c>
      <c r="T80" s="113"/>
      <c r="U80" s="16" t="s">
        <v>13</v>
      </c>
      <c r="V80" s="42">
        <v>33.192999998478598</v>
      </c>
      <c r="W80" s="42">
        <v>18.749801503615235</v>
      </c>
      <c r="X80" s="17" t="s">
        <v>17</v>
      </c>
      <c r="Y80" s="45" t="s">
        <v>318</v>
      </c>
      <c r="Z80" s="59" t="s">
        <v>13</v>
      </c>
      <c r="AA80" s="3">
        <f>V80-W80</f>
        <v>14.443198494863363</v>
      </c>
      <c r="AB80" s="3" t="s">
        <v>13</v>
      </c>
      <c r="AC80" s="3">
        <v>-10.5</v>
      </c>
      <c r="AD80" s="3" t="s">
        <v>699</v>
      </c>
    </row>
    <row r="81" spans="1:27" ht="15" thickBot="1" x14ac:dyDescent="0.4">
      <c r="A81" s="3">
        <v>15</v>
      </c>
      <c r="B81" s="48">
        <v>45452</v>
      </c>
      <c r="C81" s="1" t="s">
        <v>24</v>
      </c>
      <c r="D81" s="32">
        <v>14.469473866577268</v>
      </c>
      <c r="E81" s="32">
        <v>20.070493273648218</v>
      </c>
      <c r="F81" s="15" t="s">
        <v>4</v>
      </c>
      <c r="G81" s="56" t="s">
        <v>317</v>
      </c>
      <c r="H81" s="57" t="s">
        <v>4</v>
      </c>
      <c r="I81" s="68">
        <v>16</v>
      </c>
      <c r="J81" t="s">
        <v>2</v>
      </c>
      <c r="K81" t="s">
        <v>4</v>
      </c>
      <c r="L81">
        <v>38</v>
      </c>
      <c r="M81">
        <v>17</v>
      </c>
      <c r="N81" s="3">
        <f t="shared" si="18"/>
        <v>26.156088554212978</v>
      </c>
      <c r="O81" s="3">
        <f t="shared" si="19"/>
        <v>14.979333284499532</v>
      </c>
      <c r="P81" s="3">
        <f t="shared" si="20"/>
        <v>144.36133231077628</v>
      </c>
      <c r="Q81" s="1">
        <f t="shared" si="21"/>
        <v>1.5491650669151935</v>
      </c>
      <c r="R81" s="1">
        <f t="shared" si="22"/>
        <v>-5.9644786820711859</v>
      </c>
      <c r="T81" t="s">
        <v>696</v>
      </c>
      <c r="U81" t="s">
        <v>4</v>
      </c>
      <c r="V81" s="3">
        <v>29.71677688906037</v>
      </c>
      <c r="W81" s="3">
        <v>23.435884643252901</v>
      </c>
      <c r="X81" t="s">
        <v>7</v>
      </c>
      <c r="Y81" s="3" t="s">
        <v>318</v>
      </c>
      <c r="Z81" s="3" t="s">
        <v>4</v>
      </c>
    </row>
    <row r="82" spans="1:27" x14ac:dyDescent="0.35">
      <c r="A82" s="3">
        <v>15</v>
      </c>
      <c r="B82" s="48">
        <v>45452</v>
      </c>
      <c r="C82" s="1" t="s">
        <v>18</v>
      </c>
      <c r="D82" s="32">
        <v>26.174088270848756</v>
      </c>
      <c r="E82" s="32">
        <v>26.534334851014972</v>
      </c>
      <c r="F82" s="15" t="s">
        <v>2</v>
      </c>
      <c r="G82" s="56" t="s">
        <v>318</v>
      </c>
      <c r="H82" s="57" t="s">
        <v>2</v>
      </c>
      <c r="I82" s="68">
        <v>16</v>
      </c>
      <c r="J82" t="s">
        <v>13</v>
      </c>
      <c r="K82" t="s">
        <v>14</v>
      </c>
      <c r="L82">
        <v>31</v>
      </c>
      <c r="M82">
        <v>10</v>
      </c>
      <c r="N82" s="3">
        <f t="shared" si="18"/>
        <v>42.682168779869791</v>
      </c>
      <c r="O82" s="3">
        <f t="shared" si="19"/>
        <v>17.52245789353632</v>
      </c>
      <c r="P82" s="3">
        <f t="shared" si="20"/>
        <v>193.06044016139131</v>
      </c>
      <c r="Q82" s="1">
        <f t="shared" si="21"/>
        <v>18.075245292572006</v>
      </c>
      <c r="R82" s="1">
        <f t="shared" si="22"/>
        <v>-3.4213540730343999</v>
      </c>
      <c r="T82" s="111">
        <v>14</v>
      </c>
      <c r="U82" s="11" t="s">
        <v>24</v>
      </c>
      <c r="V82" s="47">
        <v>10.745728998508643</v>
      </c>
      <c r="W82" s="47">
        <v>19.762651040224952</v>
      </c>
      <c r="X82" s="13" t="s">
        <v>23</v>
      </c>
      <c r="Y82" s="82" t="s">
        <v>318</v>
      </c>
      <c r="Z82" s="55" t="s">
        <v>23</v>
      </c>
      <c r="AA82" s="3">
        <f>W82-V82</f>
        <v>9.0169220417163096</v>
      </c>
    </row>
    <row r="83" spans="1:27" ht="15" thickBot="1" x14ac:dyDescent="0.4">
      <c r="A83" s="3">
        <v>15</v>
      </c>
      <c r="B83" s="49">
        <v>45452</v>
      </c>
      <c r="C83" s="9" t="s">
        <v>17</v>
      </c>
      <c r="D83" s="42">
        <v>23.188621723952483</v>
      </c>
      <c r="E83" s="42">
        <v>17.773943624997191</v>
      </c>
      <c r="F83" s="17" t="s">
        <v>273</v>
      </c>
      <c r="G83" s="58" t="s">
        <v>317</v>
      </c>
      <c r="H83" s="59" t="s">
        <v>17</v>
      </c>
      <c r="I83" s="68">
        <v>16</v>
      </c>
      <c r="J83" t="s">
        <v>23</v>
      </c>
      <c r="K83" t="s">
        <v>17</v>
      </c>
      <c r="L83">
        <v>37</v>
      </c>
      <c r="M83">
        <v>30</v>
      </c>
      <c r="N83" s="3">
        <f t="shared" si="18"/>
        <v>22.531204013672578</v>
      </c>
      <c r="O83" s="3">
        <f t="shared" si="19"/>
        <v>15.90344993108225</v>
      </c>
      <c r="P83" s="3">
        <f t="shared" si="20"/>
        <v>408.05878113946949</v>
      </c>
      <c r="Q83" s="1">
        <f t="shared" si="21"/>
        <v>-2.0757194736252029</v>
      </c>
      <c r="R83" s="1">
        <f t="shared" si="22"/>
        <v>-5.0403620354884691</v>
      </c>
      <c r="T83" s="112"/>
      <c r="U83" s="14" t="s">
        <v>36</v>
      </c>
      <c r="V83" s="32">
        <v>27.135052428284929</v>
      </c>
      <c r="W83" s="32">
        <v>25.746095993118207</v>
      </c>
      <c r="X83" s="15" t="s">
        <v>13</v>
      </c>
      <c r="Y83" s="44" t="s">
        <v>317</v>
      </c>
      <c r="Z83" s="57" t="s">
        <v>36</v>
      </c>
      <c r="AA83" s="3">
        <f>V83-W83</f>
        <v>1.3889564351667225</v>
      </c>
    </row>
    <row r="84" spans="1:27" x14ac:dyDescent="0.35">
      <c r="I84" s="3" t="s">
        <v>677</v>
      </c>
      <c r="J84" s="3" t="s">
        <v>17</v>
      </c>
      <c r="K84" s="3" t="s">
        <v>14</v>
      </c>
      <c r="L84" s="3">
        <v>60</v>
      </c>
      <c r="M84" s="3">
        <v>19</v>
      </c>
      <c r="N84" s="3">
        <f t="shared" ref="N84:N85" si="23">IFERROR(mean+0.5*Home_edge+VLOOKUP(J84,$B$5:$G$15,4,FALSE)+VLOOKUP(K84,$B$5:$G$15,6,FALSE),"")</f>
        <v>37.847957045882616</v>
      </c>
      <c r="O84" s="3">
        <f t="shared" ref="O84:O85" si="24">IFERROR(mean-0.5*Home_edge+VLOOKUP(K84,$B$5:$G$15,4,FALSE)+VLOOKUP(J84,$B$5:$G$15,6,FALSE),"")</f>
        <v>15.284489599462743</v>
      </c>
      <c r="P84" s="3">
        <f t="shared" si="20"/>
        <v>504.51802457756219</v>
      </c>
      <c r="Q84" s="3">
        <f t="shared" si="21"/>
        <v>13.241033558584832</v>
      </c>
      <c r="R84" s="3">
        <f t="shared" si="22"/>
        <v>-5.6593223671079764</v>
      </c>
      <c r="T84" s="112"/>
      <c r="U84" s="14" t="s">
        <v>17</v>
      </c>
      <c r="V84" s="32">
        <v>23.650756807029865</v>
      </c>
      <c r="W84" s="32">
        <v>21.439351407585995</v>
      </c>
      <c r="X84" s="15" t="s">
        <v>34</v>
      </c>
      <c r="Y84" s="44" t="s">
        <v>317</v>
      </c>
      <c r="Z84" s="57" t="s">
        <v>17</v>
      </c>
      <c r="AA84" s="3">
        <f>V84-W84</f>
        <v>2.2114053994438692</v>
      </c>
    </row>
    <row r="85" spans="1:27" x14ac:dyDescent="0.35">
      <c r="J85" s="3" t="s">
        <v>275</v>
      </c>
      <c r="K85" s="3" t="s">
        <v>23</v>
      </c>
      <c r="L85" s="3">
        <v>21</v>
      </c>
      <c r="M85" s="3">
        <v>23</v>
      </c>
      <c r="N85" s="3">
        <f t="shared" si="23"/>
        <v>23.393479933132969</v>
      </c>
      <c r="O85" s="3">
        <f t="shared" si="24"/>
        <v>24.036738117651797</v>
      </c>
      <c r="P85" s="3">
        <f t="shared" si="20"/>
        <v>6.8035721149023951</v>
      </c>
      <c r="Q85" s="3">
        <f t="shared" si="21"/>
        <v>-1.2134435541648148</v>
      </c>
      <c r="R85" s="3">
        <f t="shared" si="22"/>
        <v>3.0929261510810795</v>
      </c>
      <c r="T85" s="112"/>
      <c r="U85" s="14" t="s">
        <v>14</v>
      </c>
      <c r="V85" s="32">
        <v>24.124988332056837</v>
      </c>
      <c r="W85" s="32">
        <v>35.2681116981082</v>
      </c>
      <c r="X85" s="15" t="s">
        <v>7</v>
      </c>
      <c r="Y85" s="44" t="s">
        <v>317</v>
      </c>
      <c r="Z85" s="57" t="s">
        <v>7</v>
      </c>
      <c r="AA85" s="3">
        <f>W85-V85</f>
        <v>11.143123366051363</v>
      </c>
    </row>
    <row r="86" spans="1:27" ht="15" thickBot="1" x14ac:dyDescent="0.4">
      <c r="J86" s="3" t="s">
        <v>34</v>
      </c>
      <c r="K86" s="3" t="s">
        <v>13</v>
      </c>
      <c r="L86" s="3">
        <v>31</v>
      </c>
      <c r="M86" s="3">
        <v>38</v>
      </c>
      <c r="N86" s="3">
        <f t="shared" ref="N86:N92" si="25">IFERROR(mean+0.5*Home_edge+VLOOKUP(J86,$B$5:$G$15,4,FALSE)+VLOOKUP(K86,$B$5:$G$15,6,FALSE),"")</f>
        <v>28.232718161239355</v>
      </c>
      <c r="O86" s="3">
        <f t="shared" ref="O86:O92" si="26">IFERROR(mean-0.5*Home_edge+VLOOKUP(K86,$B$5:$G$15,4,FALSE)+VLOOKUP(J86,$B$5:$G$15,6,FALSE),"")</f>
        <v>26.08203857445211</v>
      </c>
      <c r="P86" s="3">
        <f t="shared" si="20"/>
        <v>149.69565331598201</v>
      </c>
      <c r="Q86" s="3">
        <f t="shared" si="21"/>
        <v>3.625794673941571</v>
      </c>
      <c r="R86" s="3">
        <f t="shared" si="22"/>
        <v>5.1382266078813883</v>
      </c>
      <c r="T86" s="113"/>
      <c r="U86" s="21" t="s">
        <v>2</v>
      </c>
      <c r="V86" s="53">
        <v>27.093730688748842</v>
      </c>
      <c r="W86" s="53">
        <v>19.783539520789624</v>
      </c>
      <c r="X86" s="22" t="s">
        <v>275</v>
      </c>
      <c r="Y86" s="39" t="s">
        <v>318</v>
      </c>
      <c r="Z86" s="61" t="s">
        <v>2</v>
      </c>
      <c r="AA86" s="3">
        <f>V86-W86</f>
        <v>7.3101911679592178</v>
      </c>
    </row>
    <row r="87" spans="1:27" x14ac:dyDescent="0.35">
      <c r="J87" s="3" t="s">
        <v>4</v>
      </c>
      <c r="K87" s="3" t="s">
        <v>7</v>
      </c>
      <c r="L87" s="3">
        <v>14</v>
      </c>
      <c r="M87" s="3">
        <v>27</v>
      </c>
      <c r="N87" s="3">
        <f t="shared" si="25"/>
        <v>26.190720708774151</v>
      </c>
      <c r="O87" s="3">
        <f t="shared" si="26"/>
        <v>23.283752326240396</v>
      </c>
      <c r="P87" s="3">
        <f t="shared" si="20"/>
        <v>162.42416817205861</v>
      </c>
      <c r="Q87" s="3">
        <f t="shared" si="21"/>
        <v>1.5837972214763703</v>
      </c>
      <c r="R87" s="3">
        <f t="shared" si="22"/>
        <v>2.3399403596696762</v>
      </c>
      <c r="T87" s="107">
        <v>15</v>
      </c>
      <c r="U87" s="11" t="s">
        <v>275</v>
      </c>
      <c r="V87" s="47"/>
      <c r="W87" s="47"/>
      <c r="X87" s="13" t="s">
        <v>24</v>
      </c>
      <c r="Y87" s="82" t="s">
        <v>317</v>
      </c>
      <c r="Z87" s="55" t="s">
        <v>275</v>
      </c>
    </row>
    <row r="88" spans="1:27" x14ac:dyDescent="0.35">
      <c r="I88" s="68">
        <v>17</v>
      </c>
      <c r="J88" t="s">
        <v>4</v>
      </c>
      <c r="K88" t="s">
        <v>23</v>
      </c>
      <c r="L88">
        <v>17</v>
      </c>
      <c r="M88">
        <v>21</v>
      </c>
      <c r="N88" s="3">
        <f t="shared" si="25"/>
        <v>17.758607016801392</v>
      </c>
      <c r="O88" s="3">
        <f t="shared" si="26"/>
        <v>23.18430184884614</v>
      </c>
      <c r="P88" s="3">
        <f t="shared" ref="P88:P101" si="27">IFERROR((N88-L88)^2+(O88-M88)^2,"")</f>
        <v>5.3466591728129709</v>
      </c>
      <c r="Q88" s="1">
        <f t="shared" si="21"/>
        <v>-6.8483164704963899</v>
      </c>
      <c r="R88" s="1">
        <f t="shared" si="22"/>
        <v>2.24048988227542</v>
      </c>
      <c r="T88" s="107"/>
      <c r="U88" s="14" t="s">
        <v>17</v>
      </c>
      <c r="V88" s="32"/>
      <c r="W88" s="32"/>
      <c r="X88" s="15" t="s">
        <v>36</v>
      </c>
      <c r="Y88" s="44" t="s">
        <v>318</v>
      </c>
      <c r="Z88" s="57" t="s">
        <v>36</v>
      </c>
    </row>
    <row r="89" spans="1:27" x14ac:dyDescent="0.35">
      <c r="I89" s="68">
        <v>17</v>
      </c>
      <c r="J89" t="s">
        <v>13</v>
      </c>
      <c r="K89" t="s">
        <v>275</v>
      </c>
      <c r="L89">
        <v>48</v>
      </c>
      <c r="M89">
        <v>33</v>
      </c>
      <c r="N89" s="3">
        <f t="shared" si="25"/>
        <v>33.827019532648421</v>
      </c>
      <c r="O89" s="3">
        <f t="shared" si="26"/>
        <v>26.22593742862513</v>
      </c>
      <c r="P89" s="3">
        <f t="shared" si="27"/>
        <v>246.76129904883129</v>
      </c>
      <c r="Q89" s="1">
        <f t="shared" si="21"/>
        <v>9.2200960453506333</v>
      </c>
      <c r="R89" s="1">
        <f t="shared" si="22"/>
        <v>5.2821254620544096</v>
      </c>
      <c r="T89" s="107"/>
      <c r="U89" s="14" t="s">
        <v>23</v>
      </c>
      <c r="V89" s="32"/>
      <c r="W89" s="32"/>
      <c r="X89" s="15" t="s">
        <v>7</v>
      </c>
      <c r="Y89" s="44" t="s">
        <v>318</v>
      </c>
      <c r="Z89" s="57" t="s">
        <v>23</v>
      </c>
    </row>
    <row r="90" spans="1:27" x14ac:dyDescent="0.35">
      <c r="I90" s="68">
        <v>17</v>
      </c>
      <c r="J90" t="s">
        <v>34</v>
      </c>
      <c r="K90" t="s">
        <v>7</v>
      </c>
      <c r="L90">
        <v>50</v>
      </c>
      <c r="M90">
        <v>5</v>
      </c>
      <c r="N90" s="3">
        <f t="shared" si="25"/>
        <v>30.169262836992893</v>
      </c>
      <c r="O90" s="3">
        <f t="shared" si="26"/>
        <v>20.05431915757681</v>
      </c>
      <c r="P90" s="3">
        <f t="shared" si="27"/>
        <v>619.89066172645539</v>
      </c>
      <c r="Q90" s="1">
        <f t="shared" si="21"/>
        <v>5.5623393496951072</v>
      </c>
      <c r="R90" s="1">
        <f t="shared" si="22"/>
        <v>-0.88949280899390826</v>
      </c>
      <c r="T90" s="107"/>
      <c r="U90" s="14" t="s">
        <v>4</v>
      </c>
      <c r="V90" s="32"/>
      <c r="W90" s="32"/>
      <c r="X90" s="15" t="s">
        <v>13</v>
      </c>
      <c r="Y90" s="44" t="s">
        <v>317</v>
      </c>
      <c r="Z90" s="57" t="s">
        <v>13</v>
      </c>
    </row>
    <row r="91" spans="1:27" ht="15" thickBot="1" x14ac:dyDescent="0.4">
      <c r="I91" s="68">
        <v>17</v>
      </c>
      <c r="J91" t="s">
        <v>36</v>
      </c>
      <c r="K91" t="s">
        <v>14</v>
      </c>
      <c r="L91">
        <v>26</v>
      </c>
      <c r="M91">
        <v>14</v>
      </c>
      <c r="N91" s="3">
        <f t="shared" si="25"/>
        <v>37.922765074892503</v>
      </c>
      <c r="O91" s="3">
        <f t="shared" si="26"/>
        <v>11.579677351064742</v>
      </c>
      <c r="P91" s="3">
        <f t="shared" si="27"/>
        <v>148.0102887560254</v>
      </c>
      <c r="Q91" s="3">
        <f t="shared" si="21"/>
        <v>13.315841587594717</v>
      </c>
      <c r="R91" s="3">
        <f t="shared" si="22"/>
        <v>-9.3641346155059768</v>
      </c>
      <c r="T91" s="107"/>
      <c r="U91" s="16" t="s">
        <v>14</v>
      </c>
      <c r="V91" s="42"/>
      <c r="W91" s="42"/>
      <c r="X91" s="17" t="s">
        <v>2</v>
      </c>
      <c r="Y91" s="45" t="s">
        <v>317</v>
      </c>
      <c r="Z91" s="59" t="s">
        <v>2</v>
      </c>
    </row>
    <row r="92" spans="1:27" x14ac:dyDescent="0.35">
      <c r="I92" s="68">
        <v>17</v>
      </c>
      <c r="J92" t="s">
        <v>17</v>
      </c>
      <c r="K92" t="s">
        <v>24</v>
      </c>
      <c r="L92">
        <v>42</v>
      </c>
      <c r="M92">
        <v>17</v>
      </c>
      <c r="N92" s="3">
        <f t="shared" si="25"/>
        <v>26.197060707869404</v>
      </c>
      <c r="O92" s="3">
        <f t="shared" si="26"/>
        <v>15.340007301239647</v>
      </c>
      <c r="P92" s="3">
        <f t="shared" si="27"/>
        <v>252.48846603070271</v>
      </c>
      <c r="Q92" s="3">
        <f t="shared" si="21"/>
        <v>1.5901372205716213</v>
      </c>
      <c r="R92" s="3">
        <f t="shared" si="22"/>
        <v>-5.603804665331074</v>
      </c>
      <c r="T92" s="108">
        <v>16</v>
      </c>
      <c r="U92" s="98" t="s">
        <v>7</v>
      </c>
      <c r="V92" s="41">
        <v>28.976878077297432</v>
      </c>
      <c r="W92" s="41">
        <v>25.847571016881229</v>
      </c>
      <c r="X92" s="51" t="s">
        <v>275</v>
      </c>
      <c r="Y92" s="40" t="s">
        <v>318</v>
      </c>
      <c r="Z92" s="99" t="s">
        <v>7</v>
      </c>
    </row>
    <row r="93" spans="1:27" ht="15" thickBot="1" x14ac:dyDescent="0.4">
      <c r="I93" s="68">
        <v>17</v>
      </c>
      <c r="J93" s="3" t="s">
        <v>2</v>
      </c>
      <c r="K93" s="3" t="s">
        <v>36</v>
      </c>
      <c r="L93">
        <v>15</v>
      </c>
      <c r="M93">
        <v>12</v>
      </c>
      <c r="N93" s="3">
        <f t="shared" ref="N93:N97" si="28">IFERROR(mean+0.5*Home_edge+VLOOKUP(J93,$B$5:$G$15,4,FALSE)+VLOOKUP(K93,$B$5:$G$15,6,FALSE),"")</f>
        <v>18.135066949914354</v>
      </c>
      <c r="O93" s="3">
        <f t="shared" ref="O93:O97" si="29">IFERROR(mean-0.5*Home_edge+VLOOKUP(K93,$B$5:$G$15,4,FALSE)+VLOOKUP(J93,$B$5:$G$15,6,FALSE),"")</f>
        <v>16.862095748517341</v>
      </c>
      <c r="P93" s="3">
        <f t="shared" si="27"/>
        <v>33.468619848195686</v>
      </c>
      <c r="Q93" s="3">
        <f t="shared" si="21"/>
        <v>-6.4718565373834291</v>
      </c>
      <c r="R93" s="3">
        <f t="shared" si="22"/>
        <v>-4.0817162180533799</v>
      </c>
      <c r="T93" s="114"/>
      <c r="U93" s="14" t="s">
        <v>24</v>
      </c>
      <c r="V93" s="32">
        <v>20.179409437842139</v>
      </c>
      <c r="W93" s="32">
        <v>22.082635227023477</v>
      </c>
      <c r="X93" s="15" t="s">
        <v>34</v>
      </c>
      <c r="Y93" s="44" t="s">
        <v>318</v>
      </c>
      <c r="Z93" s="57" t="s">
        <v>34</v>
      </c>
    </row>
    <row r="94" spans="1:27" x14ac:dyDescent="0.35">
      <c r="A94" s="88" t="s">
        <v>707</v>
      </c>
      <c r="B94" s="54" t="s">
        <v>23</v>
      </c>
      <c r="C94" s="47">
        <v>24.205334297242441</v>
      </c>
      <c r="D94" s="47">
        <v>10.807607903781197</v>
      </c>
      <c r="E94" s="55" t="s">
        <v>24</v>
      </c>
      <c r="F94" s="104" t="s">
        <v>317</v>
      </c>
      <c r="G94" s="55" t="s">
        <v>23</v>
      </c>
      <c r="I94" s="3" t="s">
        <v>706</v>
      </c>
      <c r="J94" s="3" t="s">
        <v>23</v>
      </c>
      <c r="K94" s="3" t="s">
        <v>24</v>
      </c>
      <c r="L94" s="3">
        <v>32</v>
      </c>
      <c r="M94" s="3">
        <v>10</v>
      </c>
      <c r="N94" s="3">
        <f t="shared" si="28"/>
        <v>24.904102547587023</v>
      </c>
      <c r="O94" s="3">
        <f t="shared" si="29"/>
        <v>11.082406579093998</v>
      </c>
      <c r="P94" s="3">
        <f t="shared" si="27"/>
        <v>51.523364657626949</v>
      </c>
      <c r="Q94" s="3">
        <f t="shared" si="21"/>
        <v>0.29717906028924057</v>
      </c>
      <c r="R94" s="3">
        <f t="shared" si="22"/>
        <v>-9.8614053874767222</v>
      </c>
      <c r="T94" s="114"/>
      <c r="U94" s="14" t="s">
        <v>2</v>
      </c>
      <c r="V94" s="32">
        <v>25.840758208296311</v>
      </c>
      <c r="W94" s="32">
        <v>16.772152614228755</v>
      </c>
      <c r="X94" s="15" t="s">
        <v>4</v>
      </c>
      <c r="Y94" s="44" t="s">
        <v>317</v>
      </c>
      <c r="Z94" s="57" t="s">
        <v>2</v>
      </c>
    </row>
    <row r="95" spans="1:27" x14ac:dyDescent="0.35">
      <c r="A95" s="88" t="s">
        <v>707</v>
      </c>
      <c r="B95" s="56" t="s">
        <v>36</v>
      </c>
      <c r="C95" s="32">
        <v>28.973049055811774</v>
      </c>
      <c r="D95" s="32">
        <v>20.526548925869086</v>
      </c>
      <c r="E95" s="57" t="s">
        <v>275</v>
      </c>
      <c r="F95" s="105" t="s">
        <v>317</v>
      </c>
      <c r="G95" s="57" t="s">
        <v>36</v>
      </c>
      <c r="J95" s="3" t="s">
        <v>36</v>
      </c>
      <c r="K95" s="3" t="s">
        <v>275</v>
      </c>
      <c r="L95" s="3">
        <v>27</v>
      </c>
      <c r="M95" s="3">
        <v>21</v>
      </c>
      <c r="N95" s="3">
        <f t="shared" si="28"/>
        <v>29.06761582767113</v>
      </c>
      <c r="O95" s="3">
        <f t="shared" si="29"/>
        <v>20.283156886153552</v>
      </c>
      <c r="P95" s="3">
        <f t="shared" si="27"/>
        <v>4.788899260705243</v>
      </c>
      <c r="Q95" s="3">
        <f t="shared" si="21"/>
        <v>4.4606923403733454</v>
      </c>
      <c r="R95" s="3">
        <f t="shared" si="22"/>
        <v>-0.66065508041716781</v>
      </c>
      <c r="T95" s="114"/>
      <c r="U95" s="14" t="s">
        <v>13</v>
      </c>
      <c r="V95" s="32">
        <v>45.790821849992227</v>
      </c>
      <c r="W95" s="32">
        <v>18.737442169722243</v>
      </c>
      <c r="X95" s="15" t="s">
        <v>14</v>
      </c>
      <c r="Y95" s="44" t="s">
        <v>317</v>
      </c>
      <c r="Z95" s="57" t="s">
        <v>13</v>
      </c>
    </row>
    <row r="96" spans="1:27" ht="15" thickBot="1" x14ac:dyDescent="0.4">
      <c r="A96" s="88" t="s">
        <v>707</v>
      </c>
      <c r="B96" s="56" t="s">
        <v>2</v>
      </c>
      <c r="C96" s="32">
        <v>25.82508064739681</v>
      </c>
      <c r="D96" s="32">
        <v>15.478370302708662</v>
      </c>
      <c r="E96" s="57" t="s">
        <v>7</v>
      </c>
      <c r="F96" s="105" t="s">
        <v>317</v>
      </c>
      <c r="G96" s="57" t="s">
        <v>2</v>
      </c>
      <c r="J96" s="3" t="s">
        <v>2</v>
      </c>
      <c r="K96" s="3" t="s">
        <v>7</v>
      </c>
      <c r="L96" s="3">
        <v>27</v>
      </c>
      <c r="M96" s="3">
        <v>16</v>
      </c>
      <c r="N96" s="3">
        <f t="shared" si="28"/>
        <v>26.014392168139466</v>
      </c>
      <c r="O96" s="3">
        <f t="shared" si="29"/>
        <v>15.593780036619329</v>
      </c>
      <c r="P96" s="3">
        <f t="shared" si="27"/>
        <v>1.1364374568738169</v>
      </c>
      <c r="Q96" s="3">
        <f t="shared" si="21"/>
        <v>1.4074686808416839</v>
      </c>
      <c r="R96" s="3">
        <f t="shared" si="22"/>
        <v>-5.3500319299513901</v>
      </c>
      <c r="T96" s="114"/>
      <c r="U96" s="21" t="s">
        <v>23</v>
      </c>
      <c r="V96" s="53">
        <v>21.768570314159305</v>
      </c>
      <c r="W96" s="53">
        <v>13.817569631899916</v>
      </c>
      <c r="X96" s="22" t="s">
        <v>17</v>
      </c>
      <c r="Y96" s="39" t="s">
        <v>317</v>
      </c>
      <c r="Z96" s="61" t="s">
        <v>23</v>
      </c>
    </row>
    <row r="97" spans="1:26" ht="15" thickBot="1" x14ac:dyDescent="0.4">
      <c r="A97" s="88" t="s">
        <v>707</v>
      </c>
      <c r="B97" s="58" t="s">
        <v>13</v>
      </c>
      <c r="C97" s="42">
        <v>29.978824413349553</v>
      </c>
      <c r="D97" s="42">
        <v>21.903518830592041</v>
      </c>
      <c r="E97" s="59" t="s">
        <v>17</v>
      </c>
      <c r="F97" s="106" t="s">
        <v>317</v>
      </c>
      <c r="G97" s="59" t="s">
        <v>13</v>
      </c>
      <c r="J97" s="3" t="s">
        <v>13</v>
      </c>
      <c r="K97" s="3" t="s">
        <v>17</v>
      </c>
      <c r="L97" s="3">
        <v>23</v>
      </c>
      <c r="M97" s="3">
        <v>21</v>
      </c>
      <c r="N97" s="3">
        <f t="shared" si="28"/>
        <v>28.658373907942135</v>
      </c>
      <c r="O97" s="3">
        <f t="shared" si="29"/>
        <v>22.399018947301474</v>
      </c>
      <c r="P97" s="3">
        <f t="shared" si="27"/>
        <v>33.97444929698888</v>
      </c>
      <c r="Q97" s="3">
        <f t="shared" si="21"/>
        <v>4.0514504206443505</v>
      </c>
      <c r="R97" s="3">
        <f t="shared" si="22"/>
        <v>1.4552069807307546</v>
      </c>
      <c r="T97" s="109">
        <v>17</v>
      </c>
      <c r="U97" s="11" t="s">
        <v>4</v>
      </c>
      <c r="V97" s="47">
        <v>18.121102404549976</v>
      </c>
      <c r="W97" s="47">
        <v>23.65202152904596</v>
      </c>
      <c r="X97" s="13" t="s">
        <v>23</v>
      </c>
      <c r="Y97" s="82" t="s">
        <v>317</v>
      </c>
      <c r="Z97" s="55" t="s">
        <v>23</v>
      </c>
    </row>
    <row r="98" spans="1:26" x14ac:dyDescent="0.35">
      <c r="A98" s="88" t="s">
        <v>708</v>
      </c>
      <c r="B98" s="100" t="s">
        <v>23</v>
      </c>
      <c r="C98" s="41">
        <v>19.16204401992827</v>
      </c>
      <c r="D98" s="41">
        <v>13.205112493765998</v>
      </c>
      <c r="E98" s="99" t="s">
        <v>2</v>
      </c>
      <c r="F98" s="40"/>
      <c r="G98" s="99" t="s">
        <v>23</v>
      </c>
      <c r="J98" s="3" t="s">
        <v>23</v>
      </c>
      <c r="K98" s="3" t="s">
        <v>2</v>
      </c>
      <c r="L98" s="3">
        <v>21</v>
      </c>
      <c r="M98" s="3">
        <v>20</v>
      </c>
      <c r="N98" s="3">
        <f t="shared" ref="N98:N104" si="30">IFERROR(mean+0.5*Home_edge+VLOOKUP(J98,$B$5:$G$15,4,FALSE)+VLOOKUP(K98,$B$5:$G$15,6,FALSE),"")</f>
        <v>19.157441079952136</v>
      </c>
      <c r="O98" s="3">
        <f t="shared" ref="O98:O104" si="31">IFERROR(mean-0.5*Home_edge+VLOOKUP(K98,$B$5:$G$15,4,FALSE)+VLOOKUP(J98,$B$5:$G$15,6,FALSE),"")</f>
        <v>13.919166955439643</v>
      </c>
      <c r="P98" s="3">
        <f t="shared" si="27"/>
        <v>40.37155388966513</v>
      </c>
      <c r="Q98" s="3">
        <f t="shared" si="21"/>
        <v>-5.4494824073456458</v>
      </c>
      <c r="R98" s="3">
        <f t="shared" si="22"/>
        <v>-7.0246450111310761</v>
      </c>
      <c r="T98" s="109"/>
      <c r="U98" s="14" t="s">
        <v>13</v>
      </c>
      <c r="V98" s="32">
        <v>32.882785304213115</v>
      </c>
      <c r="W98" s="32">
        <v>25.271066395249711</v>
      </c>
      <c r="X98" s="15" t="s">
        <v>275</v>
      </c>
      <c r="Y98" s="44" t="s">
        <v>317</v>
      </c>
      <c r="Z98" s="57" t="s">
        <v>13</v>
      </c>
    </row>
    <row r="99" spans="1:26" ht="15" thickBot="1" x14ac:dyDescent="0.4">
      <c r="A99" s="88" t="s">
        <v>708</v>
      </c>
      <c r="B99" s="58" t="s">
        <v>13</v>
      </c>
      <c r="C99" s="42">
        <v>25.829835025610489</v>
      </c>
      <c r="D99" s="42">
        <v>21.337056450092451</v>
      </c>
      <c r="E99" s="59" t="s">
        <v>36</v>
      </c>
      <c r="F99" s="45"/>
      <c r="G99" s="59" t="s">
        <v>13</v>
      </c>
      <c r="J99" s="3" t="s">
        <v>13</v>
      </c>
      <c r="K99" s="3" t="s">
        <v>36</v>
      </c>
      <c r="L99" s="3">
        <v>19</v>
      </c>
      <c r="M99" s="3">
        <v>33</v>
      </c>
      <c r="N99" s="3">
        <f t="shared" si="30"/>
        <v>24.953561659544135</v>
      </c>
      <c r="O99" s="3">
        <f t="shared" si="31"/>
        <v>22.473826976311361</v>
      </c>
      <c r="P99" s="3">
        <f t="shared" si="27"/>
        <v>146.24521495862433</v>
      </c>
      <c r="Q99" s="3">
        <f t="shared" si="21"/>
        <v>0.34663817224635007</v>
      </c>
      <c r="R99" s="3">
        <f t="shared" si="22"/>
        <v>1.5300150097406395</v>
      </c>
      <c r="T99" s="109"/>
      <c r="U99" s="14" t="s">
        <v>34</v>
      </c>
      <c r="V99" s="32">
        <v>28.140838311867302</v>
      </c>
      <c r="W99" s="32">
        <v>22.674372012760294</v>
      </c>
      <c r="X99" s="15" t="s">
        <v>7</v>
      </c>
      <c r="Y99" s="44" t="s">
        <v>317</v>
      </c>
      <c r="Z99" s="57" t="s">
        <v>34</v>
      </c>
    </row>
    <row r="100" spans="1:26" ht="15" thickBot="1" x14ac:dyDescent="0.4">
      <c r="A100" s="88" t="s">
        <v>709</v>
      </c>
      <c r="B100" s="97" t="s">
        <v>36</v>
      </c>
      <c r="C100" s="101">
        <f>AVERAGE(C104,D103)</f>
        <v>17.809813720455669</v>
      </c>
      <c r="D100" s="101">
        <f>AVERAGE(D104,C103)</f>
        <v>16.994836004911047</v>
      </c>
      <c r="E100" s="102" t="s">
        <v>23</v>
      </c>
      <c r="F100" s="103"/>
      <c r="G100" s="102" t="s">
        <v>36</v>
      </c>
      <c r="J100" s="3" t="s">
        <v>23</v>
      </c>
      <c r="K100" s="3" t="s">
        <v>36</v>
      </c>
      <c r="L100" s="3"/>
      <c r="M100" s="3"/>
      <c r="N100" s="3">
        <f t="shared" si="30"/>
        <v>18.826391765274579</v>
      </c>
      <c r="O100" s="3">
        <f t="shared" si="31"/>
        <v>15.978257960092137</v>
      </c>
      <c r="Q100" s="3">
        <f t="shared" si="21"/>
        <v>-5.7805317220232029</v>
      </c>
      <c r="R100" s="3">
        <f t="shared" si="22"/>
        <v>-4.9655540064785839</v>
      </c>
      <c r="T100" s="109"/>
      <c r="U100" s="14" t="s">
        <v>36</v>
      </c>
      <c r="V100" s="32">
        <v>39.429526660797151</v>
      </c>
      <c r="W100" s="32">
        <v>12.621620664816351</v>
      </c>
      <c r="X100" s="15" t="s">
        <v>14</v>
      </c>
      <c r="Y100" s="44"/>
      <c r="Z100" s="57" t="s">
        <v>36</v>
      </c>
    </row>
    <row r="101" spans="1:26" ht="15" thickBot="1" x14ac:dyDescent="0.4">
      <c r="B101" s="3" t="s">
        <v>711</v>
      </c>
      <c r="J101" s="3" t="s">
        <v>36</v>
      </c>
      <c r="K101" s="3" t="s">
        <v>23</v>
      </c>
      <c r="L101" s="3"/>
      <c r="M101" s="3"/>
      <c r="N101" s="3">
        <f t="shared" si="30"/>
        <v>19.641369480819201</v>
      </c>
      <c r="O101" s="3">
        <f t="shared" si="31"/>
        <v>15.163280244547515</v>
      </c>
      <c r="Q101" s="3">
        <f t="shared" si="21"/>
        <v>-4.9655540064785839</v>
      </c>
      <c r="R101" s="3">
        <f t="shared" si="22"/>
        <v>-5.7805317220232029</v>
      </c>
      <c r="T101" s="109"/>
      <c r="U101" s="16" t="s">
        <v>17</v>
      </c>
      <c r="V101" s="42">
        <v>23.488543528116967</v>
      </c>
      <c r="W101" s="42">
        <v>16.06404626613018</v>
      </c>
      <c r="X101" s="17" t="s">
        <v>24</v>
      </c>
      <c r="Y101" s="45"/>
      <c r="Z101" s="59" t="s">
        <v>17</v>
      </c>
    </row>
    <row r="102" spans="1:26" x14ac:dyDescent="0.35">
      <c r="B102" s="3" t="s">
        <v>58</v>
      </c>
      <c r="E102" s="3" t="s">
        <v>710</v>
      </c>
      <c r="L102" s="3"/>
      <c r="M102" s="3"/>
      <c r="N102" s="3" t="str">
        <f t="shared" si="30"/>
        <v/>
      </c>
      <c r="O102" s="3" t="str">
        <f t="shared" si="31"/>
        <v/>
      </c>
    </row>
    <row r="103" spans="1:26" x14ac:dyDescent="0.35">
      <c r="B103" s="3" t="s">
        <v>23</v>
      </c>
      <c r="C103" s="3">
        <v>18.826391765274579</v>
      </c>
      <c r="D103" s="3">
        <v>15.978257960092137</v>
      </c>
      <c r="E103" s="3" t="s">
        <v>36</v>
      </c>
      <c r="L103" s="3"/>
      <c r="M103" s="3"/>
      <c r="N103" s="3" t="str">
        <f t="shared" si="30"/>
        <v/>
      </c>
      <c r="O103" s="3" t="str">
        <f t="shared" si="31"/>
        <v/>
      </c>
    </row>
    <row r="104" spans="1:26" x14ac:dyDescent="0.35">
      <c r="B104" s="3" t="s">
        <v>36</v>
      </c>
      <c r="C104" s="3">
        <v>19.641369480819201</v>
      </c>
      <c r="D104" s="3">
        <v>15.163280244547515</v>
      </c>
      <c r="E104" s="3" t="s">
        <v>23</v>
      </c>
      <c r="L104" s="3"/>
      <c r="M104" s="3"/>
      <c r="N104" s="3" t="str">
        <f t="shared" si="30"/>
        <v/>
      </c>
      <c r="O104" s="3" t="str">
        <f t="shared" si="31"/>
        <v/>
      </c>
    </row>
    <row r="105" spans="1:26" x14ac:dyDescent="0.35">
      <c r="L105" s="3"/>
      <c r="M105" s="3"/>
    </row>
    <row r="106" spans="1:26" x14ac:dyDescent="0.35">
      <c r="L106" s="3"/>
      <c r="M106" s="3"/>
    </row>
    <row r="107" spans="1:26" x14ac:dyDescent="0.35">
      <c r="L107" s="3"/>
      <c r="M107" s="3"/>
    </row>
    <row r="108" spans="1:26" x14ac:dyDescent="0.35">
      <c r="L108" s="3"/>
      <c r="M108" s="3"/>
    </row>
    <row r="109" spans="1:26" x14ac:dyDescent="0.35">
      <c r="L109" s="3"/>
      <c r="M109" s="3"/>
    </row>
  </sheetData>
  <sortState xmlns:xlrd2="http://schemas.microsoft.com/office/spreadsheetml/2017/richdata2" ref="AG17:AH27">
    <sortCondition ref="AG17:AG27"/>
  </sortState>
  <mergeCells count="17">
    <mergeCell ref="T87:T91"/>
    <mergeCell ref="T92:T96"/>
    <mergeCell ref="T97:T101"/>
    <mergeCell ref="T82:T86"/>
    <mergeCell ref="T76:T80"/>
    <mergeCell ref="T44:T48"/>
    <mergeCell ref="T16:T20"/>
    <mergeCell ref="T21:T24"/>
    <mergeCell ref="T25:T29"/>
    <mergeCell ref="T30:T34"/>
    <mergeCell ref="T35:T38"/>
    <mergeCell ref="T39:T43"/>
    <mergeCell ref="T54:T58"/>
    <mergeCell ref="T59:T63"/>
    <mergeCell ref="T66:T70"/>
    <mergeCell ref="T71:T75"/>
    <mergeCell ref="T49:T53"/>
  </mergeCells>
  <conditionalFormatting sqref="C5:C15">
    <cfRule type="colorScale" priority="14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5">
    <cfRule type="colorScale" priority="15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:C32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5:D15 F5:F15">
    <cfRule type="colorScale" priority="14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2:D32">
    <cfRule type="colorScale" priority="149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5:E15">
    <cfRule type="colorScale" priority="14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:E15 G6:G15">
    <cfRule type="colorScale" priority="15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:E15">
    <cfRule type="colorScale" priority="150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22:E32">
    <cfRule type="colorScale" priority="15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3:F32 F21">
    <cfRule type="colorScale" priority="10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3:F32"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5:G15">
    <cfRule type="colorScale" priority="149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6:G15">
    <cfRule type="colorScale" priority="15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11:Q83 Q88:Q90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4:Q87 Q91:Q93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:R83 Q88:R90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:R83 R88:R90"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4:R87 R91:R93"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13">
    <cfRule type="colorScale" priority="13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3:U13">
    <cfRule type="colorScale" priority="13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3:V13">
    <cfRule type="colorScale" priority="13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13 AL3:AL13">
    <cfRule type="colorScale" priority="13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13">
    <cfRule type="colorScale" priority="13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3:X13">
    <cfRule type="colorScale" priority="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Y3:Y13"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3:Z13"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13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13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C3:AC13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3:AD13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E3:AE13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F3:AF13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G3:AG13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H3:AH13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H17:AH2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I3:AI13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J3:AJ1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K3:AK1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1EB9-55B5-4763-8FF5-464D02D6F3AE}">
  <dimension ref="A1:B433"/>
  <sheetViews>
    <sheetView workbookViewId="0">
      <selection sqref="A1:B433"/>
    </sheetView>
  </sheetViews>
  <sheetFormatPr defaultRowHeight="14.5" x14ac:dyDescent="0.35"/>
  <cols>
    <col min="1" max="1" width="23.26953125" bestFit="1" customWidth="1"/>
  </cols>
  <sheetData>
    <row r="1" spans="1:2" x14ac:dyDescent="0.35">
      <c r="A1" t="s">
        <v>538</v>
      </c>
      <c r="B1">
        <v>811</v>
      </c>
    </row>
    <row r="2" spans="1:2" x14ac:dyDescent="0.35">
      <c r="A2" t="s">
        <v>63</v>
      </c>
      <c r="B2">
        <v>4</v>
      </c>
    </row>
    <row r="3" spans="1:2" x14ac:dyDescent="0.35">
      <c r="A3" t="s">
        <v>539</v>
      </c>
      <c r="B3">
        <v>812</v>
      </c>
    </row>
    <row r="4" spans="1:2" x14ac:dyDescent="0.35">
      <c r="A4" t="s">
        <v>491</v>
      </c>
      <c r="B4">
        <v>6</v>
      </c>
    </row>
    <row r="5" spans="1:2" x14ac:dyDescent="0.35">
      <c r="A5" t="s">
        <v>464</v>
      </c>
      <c r="B5">
        <v>858</v>
      </c>
    </row>
    <row r="6" spans="1:2" x14ac:dyDescent="0.35">
      <c r="A6" t="s">
        <v>197</v>
      </c>
      <c r="B6">
        <v>527</v>
      </c>
    </row>
    <row r="7" spans="1:2" x14ac:dyDescent="0.35">
      <c r="A7" t="s">
        <v>142</v>
      </c>
      <c r="B7">
        <v>8</v>
      </c>
    </row>
    <row r="8" spans="1:2" x14ac:dyDescent="0.35">
      <c r="A8" t="s">
        <v>540</v>
      </c>
      <c r="B8">
        <v>827</v>
      </c>
    </row>
    <row r="9" spans="1:2" x14ac:dyDescent="0.35">
      <c r="A9" t="s">
        <v>541</v>
      </c>
      <c r="B9">
        <v>687</v>
      </c>
    </row>
    <row r="10" spans="1:2" x14ac:dyDescent="0.35">
      <c r="A10" t="s">
        <v>416</v>
      </c>
      <c r="B10">
        <v>589</v>
      </c>
    </row>
    <row r="11" spans="1:2" x14ac:dyDescent="0.35">
      <c r="A11" t="s">
        <v>481</v>
      </c>
      <c r="B11">
        <v>7</v>
      </c>
    </row>
    <row r="12" spans="1:2" x14ac:dyDescent="0.35">
      <c r="A12" t="s">
        <v>143</v>
      </c>
      <c r="B12">
        <v>14</v>
      </c>
    </row>
    <row r="13" spans="1:2" x14ac:dyDescent="0.35">
      <c r="A13" t="s">
        <v>465</v>
      </c>
      <c r="B13">
        <v>15</v>
      </c>
    </row>
    <row r="14" spans="1:2" x14ac:dyDescent="0.35">
      <c r="A14" t="s">
        <v>664</v>
      </c>
      <c r="B14">
        <v>869</v>
      </c>
    </row>
    <row r="15" spans="1:2" x14ac:dyDescent="0.35">
      <c r="A15" t="s">
        <v>678</v>
      </c>
      <c r="B15">
        <v>698</v>
      </c>
    </row>
    <row r="16" spans="1:2" x14ac:dyDescent="0.35">
      <c r="A16" t="s">
        <v>123</v>
      </c>
      <c r="B16">
        <v>581</v>
      </c>
    </row>
    <row r="17" spans="1:2" x14ac:dyDescent="0.35">
      <c r="A17" t="s">
        <v>64</v>
      </c>
      <c r="B17">
        <v>16</v>
      </c>
    </row>
    <row r="18" spans="1:2" x14ac:dyDescent="0.35">
      <c r="A18" t="s">
        <v>144</v>
      </c>
      <c r="B18">
        <v>19</v>
      </c>
    </row>
    <row r="19" spans="1:2" x14ac:dyDescent="0.35">
      <c r="A19" t="s">
        <v>145</v>
      </c>
      <c r="B19">
        <v>21</v>
      </c>
    </row>
    <row r="20" spans="1:2" x14ac:dyDescent="0.35">
      <c r="A20" t="s">
        <v>231</v>
      </c>
      <c r="B20">
        <v>693</v>
      </c>
    </row>
    <row r="21" spans="1:2" x14ac:dyDescent="0.35">
      <c r="A21" t="s">
        <v>460</v>
      </c>
      <c r="B21">
        <v>835</v>
      </c>
    </row>
    <row r="22" spans="1:2" x14ac:dyDescent="0.35">
      <c r="A22" t="s">
        <v>65</v>
      </c>
      <c r="B22">
        <v>650</v>
      </c>
    </row>
    <row r="23" spans="1:2" x14ac:dyDescent="0.35">
      <c r="A23" t="s">
        <v>198</v>
      </c>
      <c r="B23">
        <v>27</v>
      </c>
    </row>
    <row r="24" spans="1:2" x14ac:dyDescent="0.35">
      <c r="A24" t="s">
        <v>542</v>
      </c>
      <c r="B24">
        <v>633</v>
      </c>
    </row>
    <row r="25" spans="1:2" x14ac:dyDescent="0.35">
      <c r="A25" t="s">
        <v>432</v>
      </c>
      <c r="B25">
        <v>751</v>
      </c>
    </row>
    <row r="26" spans="1:2" x14ac:dyDescent="0.35">
      <c r="A26" t="s">
        <v>25</v>
      </c>
      <c r="B26">
        <v>30</v>
      </c>
    </row>
    <row r="27" spans="1:2" x14ac:dyDescent="0.35">
      <c r="A27" t="s">
        <v>455</v>
      </c>
      <c r="B27">
        <v>785</v>
      </c>
    </row>
    <row r="28" spans="1:2" x14ac:dyDescent="0.35">
      <c r="A28" t="s">
        <v>543</v>
      </c>
      <c r="B28">
        <v>32</v>
      </c>
    </row>
    <row r="29" spans="1:2" x14ac:dyDescent="0.35">
      <c r="A29" t="s">
        <v>417</v>
      </c>
      <c r="B29">
        <v>749</v>
      </c>
    </row>
    <row r="30" spans="1:2" x14ac:dyDescent="0.35">
      <c r="A30" t="s">
        <v>199</v>
      </c>
      <c r="B30">
        <v>33</v>
      </c>
    </row>
    <row r="31" spans="1:2" x14ac:dyDescent="0.35">
      <c r="A31" t="s">
        <v>512</v>
      </c>
      <c r="B31">
        <v>453</v>
      </c>
    </row>
    <row r="32" spans="1:2" x14ac:dyDescent="0.35">
      <c r="A32" t="s">
        <v>8</v>
      </c>
      <c r="B32">
        <v>34</v>
      </c>
    </row>
    <row r="33" spans="1:2" x14ac:dyDescent="0.35">
      <c r="A33" t="s">
        <v>478</v>
      </c>
      <c r="B33">
        <v>818</v>
      </c>
    </row>
    <row r="34" spans="1:2" x14ac:dyDescent="0.35">
      <c r="A34" t="s">
        <v>665</v>
      </c>
      <c r="B34">
        <v>37</v>
      </c>
    </row>
    <row r="35" spans="1:2" x14ac:dyDescent="0.35">
      <c r="A35" t="s">
        <v>429</v>
      </c>
      <c r="B35">
        <v>729</v>
      </c>
    </row>
    <row r="36" spans="1:2" x14ac:dyDescent="0.35">
      <c r="A36" t="s">
        <v>666</v>
      </c>
      <c r="B36">
        <v>38</v>
      </c>
    </row>
    <row r="37" spans="1:2" x14ac:dyDescent="0.35">
      <c r="A37" t="s">
        <v>648</v>
      </c>
      <c r="B37">
        <v>534</v>
      </c>
    </row>
    <row r="38" spans="1:2" x14ac:dyDescent="0.35">
      <c r="A38" t="s">
        <v>424</v>
      </c>
      <c r="B38">
        <v>657</v>
      </c>
    </row>
    <row r="39" spans="1:2" x14ac:dyDescent="0.35">
      <c r="A39" t="s">
        <v>544</v>
      </c>
      <c r="B39">
        <v>567</v>
      </c>
    </row>
    <row r="40" spans="1:2" x14ac:dyDescent="0.35">
      <c r="A40" t="s">
        <v>522</v>
      </c>
      <c r="B40">
        <v>793</v>
      </c>
    </row>
    <row r="41" spans="1:2" x14ac:dyDescent="0.35">
      <c r="A41" t="s">
        <v>545</v>
      </c>
      <c r="B41">
        <v>854</v>
      </c>
    </row>
    <row r="42" spans="1:2" x14ac:dyDescent="0.35">
      <c r="A42" t="s">
        <v>44</v>
      </c>
      <c r="B42">
        <v>44</v>
      </c>
    </row>
    <row r="43" spans="1:2" x14ac:dyDescent="0.35">
      <c r="A43" t="s">
        <v>148</v>
      </c>
      <c r="B43">
        <v>48</v>
      </c>
    </row>
    <row r="44" spans="1:2" x14ac:dyDescent="0.35">
      <c r="A44" t="s">
        <v>118</v>
      </c>
      <c r="B44">
        <v>634</v>
      </c>
    </row>
    <row r="45" spans="1:2" x14ac:dyDescent="0.35">
      <c r="A45" t="s">
        <v>641</v>
      </c>
      <c r="B45">
        <v>806</v>
      </c>
    </row>
    <row r="46" spans="1:2" x14ac:dyDescent="0.35">
      <c r="A46" t="s">
        <v>335</v>
      </c>
      <c r="B46">
        <v>52</v>
      </c>
    </row>
    <row r="47" spans="1:2" x14ac:dyDescent="0.35">
      <c r="A47" t="s">
        <v>133</v>
      </c>
      <c r="B47">
        <v>628</v>
      </c>
    </row>
    <row r="48" spans="1:2" x14ac:dyDescent="0.35">
      <c r="A48" t="s">
        <v>454</v>
      </c>
      <c r="B48">
        <v>851</v>
      </c>
    </row>
    <row r="49" spans="1:2" x14ac:dyDescent="0.35">
      <c r="A49" t="s">
        <v>149</v>
      </c>
      <c r="B49">
        <v>666</v>
      </c>
    </row>
    <row r="50" spans="1:2" x14ac:dyDescent="0.35">
      <c r="A50" t="s">
        <v>488</v>
      </c>
      <c r="B50">
        <v>54</v>
      </c>
    </row>
    <row r="51" spans="1:2" x14ac:dyDescent="0.35">
      <c r="A51" t="s">
        <v>546</v>
      </c>
      <c r="B51">
        <v>556</v>
      </c>
    </row>
    <row r="52" spans="1:2" x14ac:dyDescent="0.35">
      <c r="A52" t="s">
        <v>182</v>
      </c>
      <c r="B52">
        <v>57</v>
      </c>
    </row>
    <row r="53" spans="1:2" x14ac:dyDescent="0.35">
      <c r="A53" t="s">
        <v>631</v>
      </c>
      <c r="B53">
        <v>58</v>
      </c>
    </row>
    <row r="54" spans="1:2" x14ac:dyDescent="0.35">
      <c r="A54" t="s">
        <v>185</v>
      </c>
      <c r="B54">
        <v>59</v>
      </c>
    </row>
    <row r="55" spans="1:2" x14ac:dyDescent="0.35">
      <c r="A55" t="s">
        <v>119</v>
      </c>
      <c r="B55">
        <v>60</v>
      </c>
    </row>
    <row r="56" spans="1:2" x14ac:dyDescent="0.35">
      <c r="A56" t="s">
        <v>484</v>
      </c>
      <c r="B56">
        <v>62</v>
      </c>
    </row>
    <row r="57" spans="1:2" x14ac:dyDescent="0.35">
      <c r="A57" t="s">
        <v>547</v>
      </c>
      <c r="B57">
        <v>610</v>
      </c>
    </row>
    <row r="58" spans="1:2" x14ac:dyDescent="0.35">
      <c r="A58" t="s">
        <v>232</v>
      </c>
      <c r="B58">
        <v>63</v>
      </c>
    </row>
    <row r="59" spans="1:2" x14ac:dyDescent="0.35">
      <c r="A59" t="s">
        <v>679</v>
      </c>
      <c r="B59">
        <v>65</v>
      </c>
    </row>
    <row r="60" spans="1:2" x14ac:dyDescent="0.35">
      <c r="A60" t="s">
        <v>66</v>
      </c>
      <c r="B60">
        <v>66</v>
      </c>
    </row>
    <row r="61" spans="1:2" x14ac:dyDescent="0.35">
      <c r="A61" t="s">
        <v>442</v>
      </c>
      <c r="B61">
        <v>803</v>
      </c>
    </row>
    <row r="62" spans="1:2" x14ac:dyDescent="0.35">
      <c r="A62" t="s">
        <v>200</v>
      </c>
      <c r="B62">
        <v>68</v>
      </c>
    </row>
    <row r="63" spans="1:2" x14ac:dyDescent="0.35">
      <c r="A63" t="s">
        <v>520</v>
      </c>
      <c r="B63">
        <v>514</v>
      </c>
    </row>
    <row r="64" spans="1:2" x14ac:dyDescent="0.35">
      <c r="A64" t="s">
        <v>632</v>
      </c>
      <c r="B64">
        <v>636</v>
      </c>
    </row>
    <row r="65" spans="1:2" x14ac:dyDescent="0.35">
      <c r="A65" t="s">
        <v>519</v>
      </c>
      <c r="B65">
        <v>70</v>
      </c>
    </row>
    <row r="66" spans="1:2" x14ac:dyDescent="0.35">
      <c r="A66" t="s">
        <v>150</v>
      </c>
      <c r="B66">
        <v>73</v>
      </c>
    </row>
    <row r="67" spans="1:2" x14ac:dyDescent="0.35">
      <c r="A67" t="s">
        <v>649</v>
      </c>
      <c r="B67">
        <v>855</v>
      </c>
    </row>
    <row r="68" spans="1:2" x14ac:dyDescent="0.35">
      <c r="A68" t="s">
        <v>548</v>
      </c>
      <c r="B68">
        <v>828</v>
      </c>
    </row>
    <row r="69" spans="1:2" x14ac:dyDescent="0.35">
      <c r="A69" t="s">
        <v>201</v>
      </c>
      <c r="B69">
        <v>77</v>
      </c>
    </row>
    <row r="70" spans="1:2" x14ac:dyDescent="0.35">
      <c r="A70" t="s">
        <v>530</v>
      </c>
      <c r="B70">
        <v>552</v>
      </c>
    </row>
    <row r="71" spans="1:2" x14ac:dyDescent="0.35">
      <c r="A71" t="s">
        <v>549</v>
      </c>
      <c r="B71">
        <v>787</v>
      </c>
    </row>
    <row r="72" spans="1:2" x14ac:dyDescent="0.35">
      <c r="A72" t="s">
        <v>278</v>
      </c>
      <c r="B72">
        <v>79</v>
      </c>
    </row>
    <row r="73" spans="1:2" x14ac:dyDescent="0.35">
      <c r="A73" t="s">
        <v>126</v>
      </c>
      <c r="B73">
        <v>80</v>
      </c>
    </row>
    <row r="74" spans="1:2" x14ac:dyDescent="0.35">
      <c r="A74" t="s">
        <v>459</v>
      </c>
      <c r="B74">
        <v>81</v>
      </c>
    </row>
    <row r="75" spans="1:2" x14ac:dyDescent="0.35">
      <c r="A75" t="s">
        <v>248</v>
      </c>
      <c r="B75">
        <v>84</v>
      </c>
    </row>
    <row r="76" spans="1:2" x14ac:dyDescent="0.35">
      <c r="A76" t="s">
        <v>550</v>
      </c>
      <c r="B76">
        <v>660</v>
      </c>
    </row>
    <row r="77" spans="1:2" x14ac:dyDescent="0.35">
      <c r="A77" t="s">
        <v>111</v>
      </c>
      <c r="B77">
        <v>85</v>
      </c>
    </row>
    <row r="78" spans="1:2" x14ac:dyDescent="0.35">
      <c r="A78" t="s">
        <v>457</v>
      </c>
      <c r="B78">
        <v>772</v>
      </c>
    </row>
    <row r="79" spans="1:2" x14ac:dyDescent="0.35">
      <c r="A79" t="s">
        <v>701</v>
      </c>
      <c r="B79">
        <v>876</v>
      </c>
    </row>
    <row r="80" spans="1:2" x14ac:dyDescent="0.35">
      <c r="A80" t="s">
        <v>202</v>
      </c>
      <c r="B80">
        <v>90</v>
      </c>
    </row>
    <row r="81" spans="1:2" x14ac:dyDescent="0.35">
      <c r="A81" t="s">
        <v>418</v>
      </c>
      <c r="B81">
        <v>802</v>
      </c>
    </row>
    <row r="82" spans="1:2" x14ac:dyDescent="0.35">
      <c r="A82" t="s">
        <v>473</v>
      </c>
      <c r="B82">
        <v>860</v>
      </c>
    </row>
    <row r="83" spans="1:2" x14ac:dyDescent="0.35">
      <c r="A83" t="s">
        <v>650</v>
      </c>
      <c r="B83">
        <v>860</v>
      </c>
    </row>
    <row r="84" spans="1:2" x14ac:dyDescent="0.35">
      <c r="A84" t="s">
        <v>680</v>
      </c>
      <c r="B84">
        <v>814</v>
      </c>
    </row>
    <row r="85" spans="1:2" x14ac:dyDescent="0.35">
      <c r="A85" t="s">
        <v>551</v>
      </c>
      <c r="B85">
        <v>613</v>
      </c>
    </row>
    <row r="86" spans="1:2" x14ac:dyDescent="0.35">
      <c r="A86" t="s">
        <v>552</v>
      </c>
      <c r="B86">
        <v>95</v>
      </c>
    </row>
    <row r="87" spans="1:2" x14ac:dyDescent="0.35">
      <c r="A87" t="s">
        <v>67</v>
      </c>
      <c r="B87">
        <v>651</v>
      </c>
    </row>
    <row r="88" spans="1:2" x14ac:dyDescent="0.35">
      <c r="A88" t="s">
        <v>553</v>
      </c>
      <c r="B88">
        <v>518</v>
      </c>
    </row>
    <row r="89" spans="1:2" x14ac:dyDescent="0.35">
      <c r="A89" t="s">
        <v>187</v>
      </c>
      <c r="B89">
        <v>864</v>
      </c>
    </row>
    <row r="90" spans="1:2" x14ac:dyDescent="0.35">
      <c r="A90" t="s">
        <v>16</v>
      </c>
      <c r="B90">
        <v>96</v>
      </c>
    </row>
    <row r="91" spans="1:2" x14ac:dyDescent="0.35">
      <c r="A91" t="s">
        <v>152</v>
      </c>
      <c r="B91">
        <v>590</v>
      </c>
    </row>
    <row r="92" spans="1:2" x14ac:dyDescent="0.35">
      <c r="A92" t="s">
        <v>153</v>
      </c>
      <c r="B92">
        <v>656</v>
      </c>
    </row>
    <row r="93" spans="1:2" x14ac:dyDescent="0.35">
      <c r="A93" t="s">
        <v>681</v>
      </c>
      <c r="B93">
        <v>872</v>
      </c>
    </row>
    <row r="94" spans="1:2" x14ac:dyDescent="0.35">
      <c r="A94" t="s">
        <v>554</v>
      </c>
      <c r="B94">
        <v>104</v>
      </c>
    </row>
    <row r="95" spans="1:2" x14ac:dyDescent="0.35">
      <c r="A95" t="s">
        <v>71</v>
      </c>
      <c r="B95">
        <v>105</v>
      </c>
    </row>
    <row r="96" spans="1:2" x14ac:dyDescent="0.35">
      <c r="A96" t="s">
        <v>555</v>
      </c>
      <c r="B96">
        <v>801</v>
      </c>
    </row>
    <row r="97" spans="1:2" x14ac:dyDescent="0.35">
      <c r="A97" t="s">
        <v>154</v>
      </c>
      <c r="B97">
        <v>519</v>
      </c>
    </row>
    <row r="98" spans="1:2" x14ac:dyDescent="0.35">
      <c r="A98" t="s">
        <v>667</v>
      </c>
      <c r="B98">
        <v>767</v>
      </c>
    </row>
    <row r="99" spans="1:2" x14ac:dyDescent="0.35">
      <c r="A99" t="s">
        <v>485</v>
      </c>
      <c r="B99">
        <v>110</v>
      </c>
    </row>
    <row r="100" spans="1:2" x14ac:dyDescent="0.35">
      <c r="A100" t="s">
        <v>556</v>
      </c>
      <c r="B100">
        <v>111</v>
      </c>
    </row>
    <row r="101" spans="1:2" x14ac:dyDescent="0.35">
      <c r="A101" t="s">
        <v>155</v>
      </c>
      <c r="B101">
        <v>112</v>
      </c>
    </row>
    <row r="102" spans="1:2" x14ac:dyDescent="0.35">
      <c r="A102" t="s">
        <v>37</v>
      </c>
      <c r="B102">
        <v>677</v>
      </c>
    </row>
    <row r="103" spans="1:2" x14ac:dyDescent="0.35">
      <c r="A103" t="s">
        <v>351</v>
      </c>
      <c r="B103">
        <v>115</v>
      </c>
    </row>
    <row r="104" spans="1:2" x14ac:dyDescent="0.35">
      <c r="A104" t="s">
        <v>38</v>
      </c>
      <c r="B104">
        <v>116</v>
      </c>
    </row>
    <row r="105" spans="1:2" x14ac:dyDescent="0.35">
      <c r="A105" t="s">
        <v>188</v>
      </c>
      <c r="B105">
        <v>638</v>
      </c>
    </row>
    <row r="106" spans="1:2" x14ac:dyDescent="0.35">
      <c r="A106" t="s">
        <v>651</v>
      </c>
      <c r="B106">
        <v>585</v>
      </c>
    </row>
    <row r="107" spans="1:2" x14ac:dyDescent="0.35">
      <c r="A107" t="s">
        <v>73</v>
      </c>
      <c r="B107">
        <v>120</v>
      </c>
    </row>
    <row r="108" spans="1:2" x14ac:dyDescent="0.35">
      <c r="A108" t="s">
        <v>497</v>
      </c>
      <c r="B108">
        <v>122</v>
      </c>
    </row>
    <row r="109" spans="1:2" x14ac:dyDescent="0.35">
      <c r="A109" t="s">
        <v>156</v>
      </c>
      <c r="B109">
        <v>124</v>
      </c>
    </row>
    <row r="110" spans="1:2" x14ac:dyDescent="0.35">
      <c r="A110" t="s">
        <v>203</v>
      </c>
      <c r="B110">
        <v>528</v>
      </c>
    </row>
    <row r="111" spans="1:2" x14ac:dyDescent="0.35">
      <c r="A111" t="s">
        <v>204</v>
      </c>
      <c r="B111">
        <v>684</v>
      </c>
    </row>
    <row r="112" spans="1:2" x14ac:dyDescent="0.35">
      <c r="A112" t="s">
        <v>74</v>
      </c>
      <c r="B112">
        <v>126</v>
      </c>
    </row>
    <row r="113" spans="1:2" x14ac:dyDescent="0.35">
      <c r="A113" t="s">
        <v>433</v>
      </c>
      <c r="B113">
        <v>752</v>
      </c>
    </row>
    <row r="114" spans="1:2" x14ac:dyDescent="0.35">
      <c r="A114" t="s">
        <v>492</v>
      </c>
      <c r="B114">
        <v>761</v>
      </c>
    </row>
    <row r="115" spans="1:2" x14ac:dyDescent="0.35">
      <c r="A115" t="s">
        <v>534</v>
      </c>
      <c r="B115">
        <v>834</v>
      </c>
    </row>
    <row r="116" spans="1:2" x14ac:dyDescent="0.35">
      <c r="A116" t="s">
        <v>682</v>
      </c>
      <c r="B116">
        <v>845</v>
      </c>
    </row>
    <row r="117" spans="1:2" x14ac:dyDescent="0.35">
      <c r="A117" t="s">
        <v>557</v>
      </c>
      <c r="B117">
        <v>128</v>
      </c>
    </row>
    <row r="118" spans="1:2" x14ac:dyDescent="0.35">
      <c r="A118" t="s">
        <v>205</v>
      </c>
      <c r="B118">
        <v>129</v>
      </c>
    </row>
    <row r="119" spans="1:2" x14ac:dyDescent="0.35">
      <c r="A119" t="s">
        <v>448</v>
      </c>
      <c r="B119">
        <v>833</v>
      </c>
    </row>
    <row r="120" spans="1:2" x14ac:dyDescent="0.35">
      <c r="A120" t="s">
        <v>337</v>
      </c>
      <c r="B120">
        <v>133</v>
      </c>
    </row>
    <row r="121" spans="1:2" x14ac:dyDescent="0.35">
      <c r="A121" t="s">
        <v>41</v>
      </c>
      <c r="B121">
        <v>664</v>
      </c>
    </row>
    <row r="122" spans="1:2" x14ac:dyDescent="0.35">
      <c r="A122" t="s">
        <v>413</v>
      </c>
      <c r="B122">
        <v>820</v>
      </c>
    </row>
    <row r="123" spans="1:2" x14ac:dyDescent="0.35">
      <c r="A123" t="s">
        <v>131</v>
      </c>
      <c r="B123">
        <v>646</v>
      </c>
    </row>
    <row r="124" spans="1:2" x14ac:dyDescent="0.35">
      <c r="A124" t="s">
        <v>157</v>
      </c>
      <c r="B124">
        <v>577</v>
      </c>
    </row>
    <row r="125" spans="1:2" x14ac:dyDescent="0.35">
      <c r="A125" t="s">
        <v>158</v>
      </c>
      <c r="B125">
        <v>138</v>
      </c>
    </row>
    <row r="126" spans="1:2" x14ac:dyDescent="0.35">
      <c r="A126" t="s">
        <v>159</v>
      </c>
      <c r="B126">
        <v>139</v>
      </c>
    </row>
    <row r="127" spans="1:2" x14ac:dyDescent="0.35">
      <c r="A127" t="s">
        <v>518</v>
      </c>
      <c r="B127">
        <v>790</v>
      </c>
    </row>
    <row r="128" spans="1:2" x14ac:dyDescent="0.35">
      <c r="A128" t="s">
        <v>422</v>
      </c>
      <c r="B128">
        <v>776</v>
      </c>
    </row>
    <row r="129" spans="1:2" x14ac:dyDescent="0.35">
      <c r="A129" t="s">
        <v>558</v>
      </c>
      <c r="B129">
        <v>145</v>
      </c>
    </row>
    <row r="130" spans="1:2" x14ac:dyDescent="0.35">
      <c r="A130" t="s">
        <v>160</v>
      </c>
      <c r="B130">
        <v>146</v>
      </c>
    </row>
    <row r="131" spans="1:2" x14ac:dyDescent="0.35">
      <c r="A131" t="s">
        <v>103</v>
      </c>
      <c r="B131">
        <v>681</v>
      </c>
    </row>
    <row r="132" spans="1:2" x14ac:dyDescent="0.35">
      <c r="A132" t="s">
        <v>524</v>
      </c>
      <c r="B132">
        <v>147</v>
      </c>
    </row>
    <row r="133" spans="1:2" x14ac:dyDescent="0.35">
      <c r="A133" t="s">
        <v>559</v>
      </c>
      <c r="B133">
        <v>151</v>
      </c>
    </row>
    <row r="134" spans="1:2" x14ac:dyDescent="0.35">
      <c r="A134" t="s">
        <v>469</v>
      </c>
      <c r="B134">
        <v>856</v>
      </c>
    </row>
    <row r="135" spans="1:2" x14ac:dyDescent="0.35">
      <c r="A135" t="s">
        <v>437</v>
      </c>
      <c r="B135">
        <v>753</v>
      </c>
    </row>
    <row r="136" spans="1:2" x14ac:dyDescent="0.35">
      <c r="A136" t="s">
        <v>642</v>
      </c>
      <c r="B136">
        <v>723</v>
      </c>
    </row>
    <row r="137" spans="1:2" x14ac:dyDescent="0.35">
      <c r="A137" t="s">
        <v>35</v>
      </c>
      <c r="B137">
        <v>615</v>
      </c>
    </row>
    <row r="138" spans="1:2" x14ac:dyDescent="0.35">
      <c r="A138" t="s">
        <v>426</v>
      </c>
      <c r="B138">
        <v>779</v>
      </c>
    </row>
    <row r="139" spans="1:2" x14ac:dyDescent="0.35">
      <c r="A139" t="s">
        <v>633</v>
      </c>
      <c r="B139">
        <v>166</v>
      </c>
    </row>
    <row r="140" spans="1:2" x14ac:dyDescent="0.35">
      <c r="A140" t="s">
        <v>560</v>
      </c>
      <c r="B140">
        <v>663</v>
      </c>
    </row>
    <row r="141" spans="1:2" x14ac:dyDescent="0.35">
      <c r="A141" t="s">
        <v>443</v>
      </c>
      <c r="B141">
        <v>846</v>
      </c>
    </row>
    <row r="142" spans="1:2" x14ac:dyDescent="0.35">
      <c r="A142" t="s">
        <v>234</v>
      </c>
      <c r="B142">
        <v>170</v>
      </c>
    </row>
    <row r="143" spans="1:2" x14ac:dyDescent="0.35">
      <c r="A143" t="s">
        <v>161</v>
      </c>
      <c r="B143">
        <v>171</v>
      </c>
    </row>
    <row r="144" spans="1:2" x14ac:dyDescent="0.35">
      <c r="A144" t="s">
        <v>206</v>
      </c>
      <c r="B144">
        <v>671</v>
      </c>
    </row>
    <row r="145" spans="1:2" x14ac:dyDescent="0.35">
      <c r="A145" t="s">
        <v>110</v>
      </c>
      <c r="B145">
        <v>644</v>
      </c>
    </row>
    <row r="146" spans="1:2" x14ac:dyDescent="0.35">
      <c r="A146" t="s">
        <v>162</v>
      </c>
      <c r="B146">
        <v>549</v>
      </c>
    </row>
    <row r="147" spans="1:2" x14ac:dyDescent="0.35">
      <c r="A147" t="s">
        <v>561</v>
      </c>
      <c r="B147">
        <v>733</v>
      </c>
    </row>
    <row r="148" spans="1:2" x14ac:dyDescent="0.35">
      <c r="A148" t="s">
        <v>340</v>
      </c>
      <c r="B148">
        <v>175</v>
      </c>
    </row>
    <row r="149" spans="1:2" x14ac:dyDescent="0.35">
      <c r="A149" t="s">
        <v>523</v>
      </c>
      <c r="B149">
        <v>177</v>
      </c>
    </row>
    <row r="150" spans="1:2" x14ac:dyDescent="0.35">
      <c r="A150" t="s">
        <v>452</v>
      </c>
      <c r="B150">
        <v>771</v>
      </c>
    </row>
    <row r="151" spans="1:2" x14ac:dyDescent="0.35">
      <c r="A151" t="s">
        <v>562</v>
      </c>
      <c r="B151">
        <v>178</v>
      </c>
    </row>
    <row r="152" spans="1:2" x14ac:dyDescent="0.35">
      <c r="A152" t="s">
        <v>563</v>
      </c>
      <c r="B152">
        <v>830</v>
      </c>
    </row>
    <row r="153" spans="1:2" x14ac:dyDescent="0.35">
      <c r="A153" t="s">
        <v>564</v>
      </c>
      <c r="B153">
        <v>836</v>
      </c>
    </row>
    <row r="154" spans="1:2" x14ac:dyDescent="0.35">
      <c r="A154" t="s">
        <v>163</v>
      </c>
      <c r="B154">
        <v>182</v>
      </c>
    </row>
    <row r="155" spans="1:2" x14ac:dyDescent="0.35">
      <c r="A155" t="s">
        <v>565</v>
      </c>
      <c r="B155">
        <v>791</v>
      </c>
    </row>
    <row r="156" spans="1:2" x14ac:dyDescent="0.35">
      <c r="A156" t="s">
        <v>75</v>
      </c>
      <c r="B156">
        <v>184</v>
      </c>
    </row>
    <row r="157" spans="1:2" x14ac:dyDescent="0.35">
      <c r="A157" t="s">
        <v>683</v>
      </c>
      <c r="B157">
        <v>185</v>
      </c>
    </row>
    <row r="158" spans="1:2" x14ac:dyDescent="0.35">
      <c r="A158" t="s">
        <v>566</v>
      </c>
      <c r="B158">
        <v>746</v>
      </c>
    </row>
    <row r="159" spans="1:2" x14ac:dyDescent="0.35">
      <c r="A159" t="s">
        <v>76</v>
      </c>
      <c r="B159">
        <v>676</v>
      </c>
    </row>
    <row r="160" spans="1:2" x14ac:dyDescent="0.35">
      <c r="A160" t="s">
        <v>668</v>
      </c>
      <c r="B160">
        <v>809</v>
      </c>
    </row>
    <row r="161" spans="1:2" x14ac:dyDescent="0.35">
      <c r="A161" t="s">
        <v>164</v>
      </c>
      <c r="B161">
        <v>188</v>
      </c>
    </row>
    <row r="162" spans="1:2" x14ac:dyDescent="0.35">
      <c r="A162" t="s">
        <v>207</v>
      </c>
      <c r="B162">
        <v>190</v>
      </c>
    </row>
    <row r="163" spans="1:2" x14ac:dyDescent="0.35">
      <c r="A163" t="s">
        <v>684</v>
      </c>
      <c r="B163">
        <v>523</v>
      </c>
    </row>
    <row r="164" spans="1:2" x14ac:dyDescent="0.35">
      <c r="A164" t="s">
        <v>108</v>
      </c>
      <c r="B164">
        <v>551</v>
      </c>
    </row>
    <row r="165" spans="1:2" x14ac:dyDescent="0.35">
      <c r="A165" t="s">
        <v>496</v>
      </c>
      <c r="B165">
        <v>195</v>
      </c>
    </row>
    <row r="166" spans="1:2" x14ac:dyDescent="0.35">
      <c r="A166" t="s">
        <v>504</v>
      </c>
      <c r="B166">
        <v>545</v>
      </c>
    </row>
    <row r="167" spans="1:2" x14ac:dyDescent="0.35">
      <c r="A167" t="s">
        <v>567</v>
      </c>
      <c r="B167">
        <v>198</v>
      </c>
    </row>
    <row r="168" spans="1:2" x14ac:dyDescent="0.35">
      <c r="A168" t="s">
        <v>208</v>
      </c>
      <c r="B168">
        <v>199</v>
      </c>
    </row>
    <row r="169" spans="1:2" x14ac:dyDescent="0.35">
      <c r="A169" t="s">
        <v>19</v>
      </c>
      <c r="B169">
        <v>200</v>
      </c>
    </row>
    <row r="170" spans="1:2" x14ac:dyDescent="0.35">
      <c r="A170" t="s">
        <v>249</v>
      </c>
      <c r="B170">
        <v>201</v>
      </c>
    </row>
    <row r="171" spans="1:2" x14ac:dyDescent="0.35">
      <c r="A171" t="s">
        <v>77</v>
      </c>
      <c r="B171">
        <v>647</v>
      </c>
    </row>
    <row r="172" spans="1:2" x14ac:dyDescent="0.35">
      <c r="A172" t="s">
        <v>285</v>
      </c>
      <c r="B172">
        <v>202</v>
      </c>
    </row>
    <row r="173" spans="1:2" x14ac:dyDescent="0.35">
      <c r="A173" t="s">
        <v>610</v>
      </c>
      <c r="B173">
        <v>747</v>
      </c>
    </row>
    <row r="174" spans="1:2" x14ac:dyDescent="0.35">
      <c r="A174" t="s">
        <v>516</v>
      </c>
      <c r="B174">
        <v>725</v>
      </c>
    </row>
    <row r="175" spans="1:2" x14ac:dyDescent="0.35">
      <c r="A175" t="s">
        <v>643</v>
      </c>
      <c r="B175">
        <v>659</v>
      </c>
    </row>
    <row r="176" spans="1:2" x14ac:dyDescent="0.35">
      <c r="A176" t="s">
        <v>190</v>
      </c>
      <c r="B176">
        <v>204</v>
      </c>
    </row>
    <row r="177" spans="1:2" x14ac:dyDescent="0.35">
      <c r="A177" t="s">
        <v>420</v>
      </c>
      <c r="B177">
        <v>730</v>
      </c>
    </row>
    <row r="178" spans="1:2" x14ac:dyDescent="0.35">
      <c r="A178" t="s">
        <v>389</v>
      </c>
      <c r="B178">
        <v>736</v>
      </c>
    </row>
    <row r="179" spans="1:2" x14ac:dyDescent="0.35">
      <c r="A179" t="s">
        <v>458</v>
      </c>
      <c r="B179">
        <v>206</v>
      </c>
    </row>
    <row r="180" spans="1:2" x14ac:dyDescent="0.35">
      <c r="A180" t="s">
        <v>78</v>
      </c>
      <c r="B180">
        <v>587</v>
      </c>
    </row>
    <row r="181" spans="1:2" x14ac:dyDescent="0.35">
      <c r="A181" t="s">
        <v>431</v>
      </c>
      <c r="B181">
        <v>207</v>
      </c>
    </row>
    <row r="182" spans="1:2" x14ac:dyDescent="0.35">
      <c r="A182" t="s">
        <v>568</v>
      </c>
      <c r="B182">
        <v>758</v>
      </c>
    </row>
    <row r="183" spans="1:2" x14ac:dyDescent="0.35">
      <c r="A183" t="s">
        <v>436</v>
      </c>
      <c r="B183">
        <v>731</v>
      </c>
    </row>
    <row r="184" spans="1:2" x14ac:dyDescent="0.35">
      <c r="A184" t="s">
        <v>181</v>
      </c>
      <c r="B184">
        <v>521</v>
      </c>
    </row>
    <row r="185" spans="1:2" x14ac:dyDescent="0.35">
      <c r="A185" t="s">
        <v>428</v>
      </c>
      <c r="B185">
        <v>789</v>
      </c>
    </row>
    <row r="186" spans="1:2" x14ac:dyDescent="0.35">
      <c r="A186" t="s">
        <v>79</v>
      </c>
      <c r="B186">
        <v>210</v>
      </c>
    </row>
    <row r="187" spans="1:2" x14ac:dyDescent="0.35">
      <c r="A187" t="s">
        <v>630</v>
      </c>
      <c r="B187">
        <v>862</v>
      </c>
    </row>
    <row r="188" spans="1:2" x14ac:dyDescent="0.35">
      <c r="A188" t="s">
        <v>165</v>
      </c>
      <c r="B188">
        <v>506</v>
      </c>
    </row>
    <row r="189" spans="1:2" x14ac:dyDescent="0.35">
      <c r="A189" t="s">
        <v>507</v>
      </c>
      <c r="B189">
        <v>641</v>
      </c>
    </row>
    <row r="190" spans="1:2" x14ac:dyDescent="0.35">
      <c r="A190" t="s">
        <v>191</v>
      </c>
      <c r="B190">
        <v>212</v>
      </c>
    </row>
    <row r="191" spans="1:2" x14ac:dyDescent="0.35">
      <c r="A191" t="s">
        <v>112</v>
      </c>
      <c r="B191">
        <v>214</v>
      </c>
    </row>
    <row r="192" spans="1:2" x14ac:dyDescent="0.35">
      <c r="A192" t="s">
        <v>569</v>
      </c>
      <c r="B192">
        <v>815</v>
      </c>
    </row>
    <row r="193" spans="1:2" x14ac:dyDescent="0.35">
      <c r="A193" t="s">
        <v>127</v>
      </c>
      <c r="B193">
        <v>217</v>
      </c>
    </row>
    <row r="194" spans="1:2" x14ac:dyDescent="0.35">
      <c r="A194" t="s">
        <v>570</v>
      </c>
      <c r="B194">
        <v>218</v>
      </c>
    </row>
    <row r="195" spans="1:2" x14ac:dyDescent="0.35">
      <c r="A195" t="s">
        <v>80</v>
      </c>
      <c r="B195">
        <v>219</v>
      </c>
    </row>
    <row r="196" spans="1:2" x14ac:dyDescent="0.35">
      <c r="A196" t="s">
        <v>571</v>
      </c>
      <c r="B196">
        <v>221</v>
      </c>
    </row>
    <row r="197" spans="1:2" x14ac:dyDescent="0.35">
      <c r="A197" t="s">
        <v>209</v>
      </c>
      <c r="B197">
        <v>637</v>
      </c>
    </row>
    <row r="198" spans="1:2" x14ac:dyDescent="0.35">
      <c r="A198" t="s">
        <v>166</v>
      </c>
      <c r="B198">
        <v>222</v>
      </c>
    </row>
    <row r="199" spans="1:2" x14ac:dyDescent="0.35">
      <c r="A199" t="s">
        <v>505</v>
      </c>
      <c r="B199">
        <v>786</v>
      </c>
    </row>
    <row r="200" spans="1:2" x14ac:dyDescent="0.35">
      <c r="A200" t="s">
        <v>477</v>
      </c>
      <c r="B200">
        <v>226</v>
      </c>
    </row>
    <row r="201" spans="1:2" x14ac:dyDescent="0.35">
      <c r="A201" t="s">
        <v>113</v>
      </c>
      <c r="B201">
        <v>228</v>
      </c>
    </row>
    <row r="202" spans="1:2" x14ac:dyDescent="0.35">
      <c r="A202" t="s">
        <v>644</v>
      </c>
      <c r="B202">
        <v>618</v>
      </c>
    </row>
    <row r="203" spans="1:2" x14ac:dyDescent="0.35">
      <c r="A203" t="s">
        <v>572</v>
      </c>
      <c r="B203">
        <v>792</v>
      </c>
    </row>
    <row r="204" spans="1:2" x14ac:dyDescent="0.35">
      <c r="A204" t="s">
        <v>1</v>
      </c>
      <c r="B204">
        <v>229</v>
      </c>
    </row>
    <row r="205" spans="1:2" x14ac:dyDescent="0.35">
      <c r="A205" t="s">
        <v>81</v>
      </c>
      <c r="B205">
        <v>231</v>
      </c>
    </row>
    <row r="206" spans="1:2" x14ac:dyDescent="0.35">
      <c r="A206" t="s">
        <v>573</v>
      </c>
      <c r="B206">
        <v>568</v>
      </c>
    </row>
    <row r="207" spans="1:2" x14ac:dyDescent="0.35">
      <c r="A207" t="s">
        <v>167</v>
      </c>
      <c r="B207">
        <v>233</v>
      </c>
    </row>
    <row r="208" spans="1:2" x14ac:dyDescent="0.35">
      <c r="A208" t="s">
        <v>499</v>
      </c>
      <c r="B208">
        <v>461</v>
      </c>
    </row>
    <row r="209" spans="1:2" x14ac:dyDescent="0.35">
      <c r="A209" t="s">
        <v>286</v>
      </c>
      <c r="B209">
        <v>639</v>
      </c>
    </row>
    <row r="210" spans="1:2" x14ac:dyDescent="0.35">
      <c r="A210" t="s">
        <v>11</v>
      </c>
      <c r="B210">
        <v>540</v>
      </c>
    </row>
    <row r="211" spans="1:2" x14ac:dyDescent="0.35">
      <c r="A211" t="s">
        <v>529</v>
      </c>
      <c r="B211">
        <v>235</v>
      </c>
    </row>
    <row r="212" spans="1:2" x14ac:dyDescent="0.35">
      <c r="A212" t="s">
        <v>106</v>
      </c>
      <c r="B212">
        <v>236</v>
      </c>
    </row>
    <row r="213" spans="1:2" x14ac:dyDescent="0.35">
      <c r="A213" t="s">
        <v>669</v>
      </c>
      <c r="B213">
        <v>868</v>
      </c>
    </row>
    <row r="214" spans="1:2" x14ac:dyDescent="0.35">
      <c r="A214" t="s">
        <v>574</v>
      </c>
      <c r="B214">
        <v>769</v>
      </c>
    </row>
    <row r="215" spans="1:2" x14ac:dyDescent="0.35">
      <c r="A215" t="s">
        <v>575</v>
      </c>
      <c r="B215">
        <v>798</v>
      </c>
    </row>
    <row r="216" spans="1:2" x14ac:dyDescent="0.35">
      <c r="A216" t="s">
        <v>412</v>
      </c>
      <c r="B216">
        <v>237</v>
      </c>
    </row>
    <row r="217" spans="1:2" x14ac:dyDescent="0.35">
      <c r="A217" t="s">
        <v>210</v>
      </c>
      <c r="B217">
        <v>683</v>
      </c>
    </row>
    <row r="218" spans="1:2" x14ac:dyDescent="0.35">
      <c r="A218" t="s">
        <v>438</v>
      </c>
      <c r="B218">
        <v>831</v>
      </c>
    </row>
    <row r="219" spans="1:2" x14ac:dyDescent="0.35">
      <c r="A219" t="s">
        <v>435</v>
      </c>
      <c r="B219">
        <v>813</v>
      </c>
    </row>
    <row r="220" spans="1:2" x14ac:dyDescent="0.35">
      <c r="A220" t="s">
        <v>576</v>
      </c>
      <c r="B220">
        <v>241</v>
      </c>
    </row>
    <row r="221" spans="1:2" x14ac:dyDescent="0.35">
      <c r="A221" t="s">
        <v>480</v>
      </c>
      <c r="B221">
        <v>757</v>
      </c>
    </row>
    <row r="222" spans="1:2" x14ac:dyDescent="0.35">
      <c r="A222" t="s">
        <v>498</v>
      </c>
      <c r="B222">
        <v>631</v>
      </c>
    </row>
    <row r="223" spans="1:2" x14ac:dyDescent="0.35">
      <c r="A223" t="s">
        <v>168</v>
      </c>
      <c r="B223">
        <v>602</v>
      </c>
    </row>
    <row r="224" spans="1:2" x14ac:dyDescent="0.35">
      <c r="A224" t="s">
        <v>577</v>
      </c>
      <c r="B224">
        <v>745</v>
      </c>
    </row>
    <row r="225" spans="1:2" x14ac:dyDescent="0.35">
      <c r="A225" t="s">
        <v>502</v>
      </c>
      <c r="B225">
        <v>248</v>
      </c>
    </row>
    <row r="226" spans="1:2" x14ac:dyDescent="0.35">
      <c r="A226" t="s">
        <v>578</v>
      </c>
      <c r="B226">
        <v>859</v>
      </c>
    </row>
    <row r="227" spans="1:2" x14ac:dyDescent="0.35">
      <c r="A227" t="s">
        <v>474</v>
      </c>
      <c r="B227">
        <v>744</v>
      </c>
    </row>
    <row r="228" spans="1:2" x14ac:dyDescent="0.35">
      <c r="A228" t="s">
        <v>169</v>
      </c>
      <c r="B228">
        <v>251</v>
      </c>
    </row>
    <row r="229" spans="1:2" x14ac:dyDescent="0.35">
      <c r="A229" t="s">
        <v>579</v>
      </c>
      <c r="B229">
        <v>253</v>
      </c>
    </row>
    <row r="230" spans="1:2" x14ac:dyDescent="0.35">
      <c r="A230" t="s">
        <v>670</v>
      </c>
      <c r="B230">
        <v>255</v>
      </c>
    </row>
    <row r="231" spans="1:2" x14ac:dyDescent="0.35">
      <c r="A231" t="s">
        <v>580</v>
      </c>
      <c r="B231">
        <v>256</v>
      </c>
    </row>
    <row r="232" spans="1:2" x14ac:dyDescent="0.35">
      <c r="A232" t="s">
        <v>82</v>
      </c>
      <c r="B232">
        <v>257</v>
      </c>
    </row>
    <row r="233" spans="1:2" x14ac:dyDescent="0.35">
      <c r="A233" t="s">
        <v>211</v>
      </c>
      <c r="B233">
        <v>258</v>
      </c>
    </row>
    <row r="234" spans="1:2" x14ac:dyDescent="0.35">
      <c r="A234" t="s">
        <v>581</v>
      </c>
      <c r="B234">
        <v>800</v>
      </c>
    </row>
    <row r="235" spans="1:2" x14ac:dyDescent="0.35">
      <c r="A235" t="s">
        <v>32</v>
      </c>
      <c r="B235">
        <v>259</v>
      </c>
    </row>
    <row r="236" spans="1:2" x14ac:dyDescent="0.35">
      <c r="A236" t="s">
        <v>463</v>
      </c>
      <c r="B236">
        <v>738</v>
      </c>
    </row>
    <row r="237" spans="1:2" x14ac:dyDescent="0.35">
      <c r="A237" t="s">
        <v>463</v>
      </c>
      <c r="B237">
        <v>863</v>
      </c>
    </row>
    <row r="238" spans="1:2" x14ac:dyDescent="0.35">
      <c r="A238" t="s">
        <v>582</v>
      </c>
      <c r="B238">
        <v>796</v>
      </c>
    </row>
    <row r="239" spans="1:2" x14ac:dyDescent="0.35">
      <c r="A239" t="s">
        <v>583</v>
      </c>
      <c r="B239">
        <v>727</v>
      </c>
    </row>
    <row r="240" spans="1:2" x14ac:dyDescent="0.35">
      <c r="A240" t="s">
        <v>192</v>
      </c>
      <c r="B240">
        <v>662</v>
      </c>
    </row>
    <row r="241" spans="1:2" x14ac:dyDescent="0.35">
      <c r="A241" t="s">
        <v>671</v>
      </c>
      <c r="B241">
        <v>865</v>
      </c>
    </row>
    <row r="242" spans="1:2" x14ac:dyDescent="0.35">
      <c r="A242" t="s">
        <v>83</v>
      </c>
      <c r="B242">
        <v>586</v>
      </c>
    </row>
    <row r="243" spans="1:2" x14ac:dyDescent="0.35">
      <c r="A243" t="s">
        <v>472</v>
      </c>
      <c r="B243">
        <v>743</v>
      </c>
    </row>
    <row r="244" spans="1:2" x14ac:dyDescent="0.35">
      <c r="A244" t="s">
        <v>584</v>
      </c>
      <c r="B244">
        <v>524</v>
      </c>
    </row>
    <row r="245" spans="1:2" x14ac:dyDescent="0.35">
      <c r="A245" t="s">
        <v>50</v>
      </c>
      <c r="B245">
        <v>267</v>
      </c>
    </row>
    <row r="246" spans="1:2" x14ac:dyDescent="0.35">
      <c r="A246" t="s">
        <v>634</v>
      </c>
      <c r="B246">
        <v>268</v>
      </c>
    </row>
    <row r="247" spans="1:2" x14ac:dyDescent="0.35">
      <c r="A247" t="s">
        <v>212</v>
      </c>
      <c r="B247">
        <v>269</v>
      </c>
    </row>
    <row r="248" spans="1:2" x14ac:dyDescent="0.35">
      <c r="A248" t="s">
        <v>125</v>
      </c>
      <c r="B248">
        <v>272</v>
      </c>
    </row>
    <row r="249" spans="1:2" x14ac:dyDescent="0.35">
      <c r="A249" t="s">
        <v>493</v>
      </c>
      <c r="B249">
        <v>273</v>
      </c>
    </row>
    <row r="250" spans="1:2" x14ac:dyDescent="0.35">
      <c r="A250" t="s">
        <v>585</v>
      </c>
      <c r="B250">
        <v>274</v>
      </c>
    </row>
    <row r="251" spans="1:2" x14ac:dyDescent="0.35">
      <c r="A251" t="s">
        <v>411</v>
      </c>
      <c r="B251">
        <v>774</v>
      </c>
    </row>
    <row r="252" spans="1:2" x14ac:dyDescent="0.35">
      <c r="A252" t="s">
        <v>213</v>
      </c>
      <c r="B252">
        <v>277</v>
      </c>
    </row>
    <row r="253" spans="1:2" x14ac:dyDescent="0.35">
      <c r="A253" t="s">
        <v>396</v>
      </c>
      <c r="B253">
        <v>703</v>
      </c>
    </row>
    <row r="254" spans="1:2" x14ac:dyDescent="0.35">
      <c r="A254" t="s">
        <v>531</v>
      </c>
      <c r="B254">
        <v>763</v>
      </c>
    </row>
    <row r="255" spans="1:2" x14ac:dyDescent="0.35">
      <c r="A255" t="s">
        <v>252</v>
      </c>
      <c r="B255">
        <v>621</v>
      </c>
    </row>
    <row r="256" spans="1:2" x14ac:dyDescent="0.35">
      <c r="A256" t="s">
        <v>109</v>
      </c>
      <c r="B256">
        <v>279</v>
      </c>
    </row>
    <row r="257" spans="1:2" x14ac:dyDescent="0.35">
      <c r="A257" t="s">
        <v>423</v>
      </c>
      <c r="B257">
        <v>760</v>
      </c>
    </row>
    <row r="258" spans="1:2" x14ac:dyDescent="0.35">
      <c r="A258" t="s">
        <v>503</v>
      </c>
      <c r="B258">
        <v>853</v>
      </c>
    </row>
    <row r="259" spans="1:2" x14ac:dyDescent="0.35">
      <c r="A259" t="s">
        <v>215</v>
      </c>
      <c r="B259">
        <v>609</v>
      </c>
    </row>
    <row r="260" spans="1:2" x14ac:dyDescent="0.35">
      <c r="A260" t="s">
        <v>51</v>
      </c>
      <c r="B260">
        <v>281</v>
      </c>
    </row>
    <row r="261" spans="1:2" x14ac:dyDescent="0.35">
      <c r="A261" t="s">
        <v>535</v>
      </c>
      <c r="B261">
        <v>778</v>
      </c>
    </row>
    <row r="262" spans="1:2" x14ac:dyDescent="0.35">
      <c r="A262" t="s">
        <v>84</v>
      </c>
      <c r="B262">
        <v>283</v>
      </c>
    </row>
    <row r="263" spans="1:2" x14ac:dyDescent="0.35">
      <c r="A263" t="s">
        <v>12</v>
      </c>
      <c r="B263">
        <v>284</v>
      </c>
    </row>
    <row r="264" spans="1:2" x14ac:dyDescent="0.35">
      <c r="A264" t="s">
        <v>216</v>
      </c>
      <c r="B264">
        <v>285</v>
      </c>
    </row>
    <row r="265" spans="1:2" x14ac:dyDescent="0.35">
      <c r="A265" t="s">
        <v>217</v>
      </c>
      <c r="B265">
        <v>564</v>
      </c>
    </row>
    <row r="266" spans="1:2" x14ac:dyDescent="0.35">
      <c r="A266" t="s">
        <v>194</v>
      </c>
      <c r="B266">
        <v>286</v>
      </c>
    </row>
    <row r="267" spans="1:2" x14ac:dyDescent="0.35">
      <c r="A267" t="s">
        <v>171</v>
      </c>
      <c r="B267">
        <v>642</v>
      </c>
    </row>
    <row r="268" spans="1:2" x14ac:dyDescent="0.35">
      <c r="A268" t="s">
        <v>115</v>
      </c>
      <c r="B268">
        <v>289</v>
      </c>
    </row>
    <row r="269" spans="1:2" x14ac:dyDescent="0.35">
      <c r="A269" t="s">
        <v>586</v>
      </c>
      <c r="B269">
        <v>291</v>
      </c>
    </row>
    <row r="270" spans="1:2" x14ac:dyDescent="0.35">
      <c r="A270" t="s">
        <v>587</v>
      </c>
      <c r="B270">
        <v>541</v>
      </c>
    </row>
    <row r="271" spans="1:2" x14ac:dyDescent="0.35">
      <c r="A271" t="s">
        <v>445</v>
      </c>
      <c r="B271">
        <v>755</v>
      </c>
    </row>
    <row r="272" spans="1:2" x14ac:dyDescent="0.35">
      <c r="A272" t="s">
        <v>402</v>
      </c>
      <c r="B272">
        <v>728</v>
      </c>
    </row>
    <row r="273" spans="1:2" x14ac:dyDescent="0.35">
      <c r="A273" t="s">
        <v>685</v>
      </c>
      <c r="B273">
        <v>597</v>
      </c>
    </row>
    <row r="274" spans="1:2" x14ac:dyDescent="0.35">
      <c r="A274" t="s">
        <v>588</v>
      </c>
      <c r="B274">
        <v>799</v>
      </c>
    </row>
    <row r="275" spans="1:2" x14ac:dyDescent="0.35">
      <c r="A275" t="s">
        <v>172</v>
      </c>
      <c r="B275">
        <v>295</v>
      </c>
    </row>
    <row r="276" spans="1:2" x14ac:dyDescent="0.35">
      <c r="A276" t="s">
        <v>219</v>
      </c>
      <c r="B276">
        <v>296</v>
      </c>
    </row>
    <row r="277" spans="1:2" x14ac:dyDescent="0.35">
      <c r="A277" t="s">
        <v>120</v>
      </c>
      <c r="B277">
        <v>682</v>
      </c>
    </row>
    <row r="278" spans="1:2" x14ac:dyDescent="0.35">
      <c r="A278" t="s">
        <v>589</v>
      </c>
      <c r="B278">
        <v>780</v>
      </c>
    </row>
    <row r="279" spans="1:2" x14ac:dyDescent="0.35">
      <c r="A279" t="s">
        <v>419</v>
      </c>
      <c r="B279">
        <v>777</v>
      </c>
    </row>
    <row r="280" spans="1:2" x14ac:dyDescent="0.35">
      <c r="A280" t="s">
        <v>476</v>
      </c>
      <c r="B280">
        <v>582</v>
      </c>
    </row>
    <row r="281" spans="1:2" x14ac:dyDescent="0.35">
      <c r="A281" t="s">
        <v>686</v>
      </c>
      <c r="B281">
        <v>205</v>
      </c>
    </row>
    <row r="282" spans="1:2" x14ac:dyDescent="0.35">
      <c r="A282" t="s">
        <v>235</v>
      </c>
      <c r="B282">
        <v>695</v>
      </c>
    </row>
    <row r="283" spans="1:2" x14ac:dyDescent="0.35">
      <c r="A283" t="s">
        <v>590</v>
      </c>
      <c r="B283">
        <v>299</v>
      </c>
    </row>
    <row r="284" spans="1:2" x14ac:dyDescent="0.35">
      <c r="A284" t="s">
        <v>495</v>
      </c>
      <c r="B284">
        <v>558</v>
      </c>
    </row>
    <row r="285" spans="1:2" x14ac:dyDescent="0.35">
      <c r="A285" t="s">
        <v>591</v>
      </c>
      <c r="B285">
        <v>764</v>
      </c>
    </row>
    <row r="286" spans="1:2" x14ac:dyDescent="0.35">
      <c r="A286" t="s">
        <v>592</v>
      </c>
      <c r="B286">
        <v>849</v>
      </c>
    </row>
    <row r="287" spans="1:2" x14ac:dyDescent="0.35">
      <c r="A287" t="s">
        <v>450</v>
      </c>
      <c r="B287">
        <v>302</v>
      </c>
    </row>
    <row r="288" spans="1:2" x14ac:dyDescent="0.35">
      <c r="A288" t="s">
        <v>501</v>
      </c>
      <c r="B288">
        <v>805</v>
      </c>
    </row>
    <row r="289" spans="1:2" x14ac:dyDescent="0.35">
      <c r="A289" t="s">
        <v>470</v>
      </c>
      <c r="B289">
        <v>822</v>
      </c>
    </row>
    <row r="290" spans="1:2" x14ac:dyDescent="0.35">
      <c r="A290" t="s">
        <v>441</v>
      </c>
      <c r="B290">
        <v>781</v>
      </c>
    </row>
    <row r="291" spans="1:2" x14ac:dyDescent="0.35">
      <c r="A291" t="s">
        <v>87</v>
      </c>
      <c r="B291">
        <v>313</v>
      </c>
    </row>
    <row r="292" spans="1:2" x14ac:dyDescent="0.35">
      <c r="A292" t="s">
        <v>88</v>
      </c>
      <c r="B292">
        <v>319</v>
      </c>
    </row>
    <row r="293" spans="1:2" x14ac:dyDescent="0.35">
      <c r="A293" t="s">
        <v>117</v>
      </c>
      <c r="B293">
        <v>321</v>
      </c>
    </row>
    <row r="294" spans="1:2" x14ac:dyDescent="0.35">
      <c r="A294" t="s">
        <v>593</v>
      </c>
      <c r="B294">
        <v>322</v>
      </c>
    </row>
    <row r="295" spans="1:2" x14ac:dyDescent="0.35">
      <c r="A295" t="s">
        <v>672</v>
      </c>
      <c r="B295">
        <v>819</v>
      </c>
    </row>
    <row r="296" spans="1:2" x14ac:dyDescent="0.35">
      <c r="A296" t="s">
        <v>236</v>
      </c>
      <c r="B296">
        <v>324</v>
      </c>
    </row>
    <row r="297" spans="1:2" x14ac:dyDescent="0.35">
      <c r="A297" t="s">
        <v>494</v>
      </c>
      <c r="B297">
        <v>326</v>
      </c>
    </row>
    <row r="298" spans="1:2" x14ac:dyDescent="0.35">
      <c r="A298" t="s">
        <v>702</v>
      </c>
      <c r="B298">
        <v>329</v>
      </c>
    </row>
    <row r="299" spans="1:2" x14ac:dyDescent="0.35">
      <c r="A299" t="s">
        <v>451</v>
      </c>
      <c r="B299">
        <v>754</v>
      </c>
    </row>
    <row r="300" spans="1:2" x14ac:dyDescent="0.35">
      <c r="A300" t="s">
        <v>26</v>
      </c>
      <c r="B300">
        <v>616</v>
      </c>
    </row>
    <row r="301" spans="1:2" x14ac:dyDescent="0.35">
      <c r="A301" t="s">
        <v>475</v>
      </c>
      <c r="B301">
        <v>770</v>
      </c>
    </row>
    <row r="302" spans="1:2" x14ac:dyDescent="0.35">
      <c r="A302" t="s">
        <v>594</v>
      </c>
      <c r="B302">
        <v>759</v>
      </c>
    </row>
    <row r="303" spans="1:2" x14ac:dyDescent="0.35">
      <c r="A303" t="s">
        <v>595</v>
      </c>
      <c r="B303">
        <v>688</v>
      </c>
    </row>
    <row r="304" spans="1:2" x14ac:dyDescent="0.35">
      <c r="A304" t="s">
        <v>90</v>
      </c>
      <c r="B304">
        <v>557</v>
      </c>
    </row>
    <row r="305" spans="1:2" x14ac:dyDescent="0.35">
      <c r="A305" t="s">
        <v>596</v>
      </c>
      <c r="B305">
        <v>784</v>
      </c>
    </row>
    <row r="306" spans="1:2" x14ac:dyDescent="0.35">
      <c r="A306" t="s">
        <v>237</v>
      </c>
      <c r="B306">
        <v>333</v>
      </c>
    </row>
    <row r="307" spans="1:2" x14ac:dyDescent="0.35">
      <c r="A307" t="s">
        <v>687</v>
      </c>
      <c r="B307">
        <v>874</v>
      </c>
    </row>
    <row r="308" spans="1:2" x14ac:dyDescent="0.35">
      <c r="A308" t="s">
        <v>427</v>
      </c>
      <c r="B308">
        <v>635</v>
      </c>
    </row>
    <row r="309" spans="1:2" x14ac:dyDescent="0.35">
      <c r="A309" t="s">
        <v>238</v>
      </c>
      <c r="B309">
        <v>336</v>
      </c>
    </row>
    <row r="310" spans="1:2" x14ac:dyDescent="0.35">
      <c r="A310" t="s">
        <v>597</v>
      </c>
      <c r="B310">
        <v>238</v>
      </c>
    </row>
    <row r="311" spans="1:2" x14ac:dyDescent="0.35">
      <c r="A311" t="s">
        <v>449</v>
      </c>
      <c r="B311">
        <v>783</v>
      </c>
    </row>
    <row r="312" spans="1:2" x14ac:dyDescent="0.35">
      <c r="A312" t="s">
        <v>598</v>
      </c>
      <c r="B312">
        <v>338</v>
      </c>
    </row>
    <row r="313" spans="1:2" x14ac:dyDescent="0.35">
      <c r="A313" t="s">
        <v>515</v>
      </c>
      <c r="B313">
        <v>857</v>
      </c>
    </row>
    <row r="314" spans="1:2" x14ac:dyDescent="0.35">
      <c r="A314" t="s">
        <v>521</v>
      </c>
      <c r="B314">
        <v>816</v>
      </c>
    </row>
    <row r="315" spans="1:2" x14ac:dyDescent="0.35">
      <c r="A315" t="s">
        <v>174</v>
      </c>
      <c r="B315">
        <v>341</v>
      </c>
    </row>
    <row r="316" spans="1:2" x14ac:dyDescent="0.35">
      <c r="A316" t="s">
        <v>174</v>
      </c>
      <c r="B316">
        <v>705</v>
      </c>
    </row>
    <row r="317" spans="1:2" x14ac:dyDescent="0.35">
      <c r="A317" t="s">
        <v>220</v>
      </c>
      <c r="B317">
        <v>342</v>
      </c>
    </row>
    <row r="318" spans="1:2" x14ac:dyDescent="0.35">
      <c r="A318" t="s">
        <v>175</v>
      </c>
      <c r="B318">
        <v>343</v>
      </c>
    </row>
    <row r="319" spans="1:2" x14ac:dyDescent="0.35">
      <c r="A319" t="s">
        <v>27</v>
      </c>
      <c r="B319">
        <v>347</v>
      </c>
    </row>
    <row r="320" spans="1:2" x14ac:dyDescent="0.35">
      <c r="A320" t="s">
        <v>176</v>
      </c>
      <c r="B320">
        <v>348</v>
      </c>
    </row>
    <row r="321" spans="1:2" x14ac:dyDescent="0.35">
      <c r="A321" t="s">
        <v>91</v>
      </c>
      <c r="B321">
        <v>349</v>
      </c>
    </row>
    <row r="322" spans="1:2" x14ac:dyDescent="0.35">
      <c r="A322" t="s">
        <v>177</v>
      </c>
      <c r="B322">
        <v>655</v>
      </c>
    </row>
    <row r="323" spans="1:2" x14ac:dyDescent="0.35">
      <c r="A323" t="s">
        <v>92</v>
      </c>
      <c r="B323">
        <v>649</v>
      </c>
    </row>
    <row r="324" spans="1:2" x14ac:dyDescent="0.35">
      <c r="A324" t="s">
        <v>688</v>
      </c>
      <c r="B324">
        <v>810</v>
      </c>
    </row>
    <row r="325" spans="1:2" x14ac:dyDescent="0.35">
      <c r="A325" t="s">
        <v>599</v>
      </c>
      <c r="B325">
        <v>679</v>
      </c>
    </row>
    <row r="326" spans="1:2" x14ac:dyDescent="0.35">
      <c r="A326" t="s">
        <v>221</v>
      </c>
      <c r="B326">
        <v>627</v>
      </c>
    </row>
    <row r="327" spans="1:2" x14ac:dyDescent="0.35">
      <c r="A327" t="s">
        <v>466</v>
      </c>
      <c r="B327">
        <v>696</v>
      </c>
    </row>
    <row r="328" spans="1:2" x14ac:dyDescent="0.35">
      <c r="A328" t="s">
        <v>415</v>
      </c>
      <c r="B328">
        <v>353</v>
      </c>
    </row>
    <row r="329" spans="1:2" x14ac:dyDescent="0.35">
      <c r="A329" t="s">
        <v>673</v>
      </c>
      <c r="B329">
        <v>821</v>
      </c>
    </row>
    <row r="330" spans="1:2" x14ac:dyDescent="0.35">
      <c r="A330" t="s">
        <v>532</v>
      </c>
      <c r="B330">
        <v>358</v>
      </c>
    </row>
    <row r="331" spans="1:2" x14ac:dyDescent="0.35">
      <c r="A331" t="s">
        <v>93</v>
      </c>
      <c r="B331">
        <v>359</v>
      </c>
    </row>
    <row r="332" spans="1:2" x14ac:dyDescent="0.35">
      <c r="A332" t="s">
        <v>116</v>
      </c>
      <c r="B332">
        <v>360</v>
      </c>
    </row>
    <row r="333" spans="1:2" x14ac:dyDescent="0.35">
      <c r="A333" t="s">
        <v>600</v>
      </c>
      <c r="B333">
        <v>672</v>
      </c>
    </row>
    <row r="334" spans="1:2" x14ac:dyDescent="0.35">
      <c r="A334" t="s">
        <v>640</v>
      </c>
      <c r="B334">
        <v>604</v>
      </c>
    </row>
    <row r="335" spans="1:2" x14ac:dyDescent="0.35">
      <c r="A335" t="s">
        <v>526</v>
      </c>
      <c r="B335">
        <v>847</v>
      </c>
    </row>
    <row r="336" spans="1:2" x14ac:dyDescent="0.35">
      <c r="A336" t="s">
        <v>461</v>
      </c>
      <c r="B336">
        <v>694</v>
      </c>
    </row>
    <row r="337" spans="1:2" x14ac:dyDescent="0.35">
      <c r="A337" t="s">
        <v>536</v>
      </c>
      <c r="B337">
        <v>735</v>
      </c>
    </row>
    <row r="338" spans="1:2" x14ac:dyDescent="0.35">
      <c r="A338" t="s">
        <v>536</v>
      </c>
      <c r="B338">
        <v>870</v>
      </c>
    </row>
    <row r="339" spans="1:2" x14ac:dyDescent="0.35">
      <c r="A339" t="s">
        <v>105</v>
      </c>
      <c r="B339">
        <v>363</v>
      </c>
    </row>
    <row r="340" spans="1:2" x14ac:dyDescent="0.35">
      <c r="A340" t="s">
        <v>703</v>
      </c>
      <c r="B340">
        <v>750</v>
      </c>
    </row>
    <row r="341" spans="1:2" x14ac:dyDescent="0.35">
      <c r="A341" t="s">
        <v>635</v>
      </c>
      <c r="B341">
        <v>825</v>
      </c>
    </row>
    <row r="342" spans="1:2" x14ac:dyDescent="0.35">
      <c r="A342" t="s">
        <v>440</v>
      </c>
      <c r="B342">
        <v>732</v>
      </c>
    </row>
    <row r="343" spans="1:2" x14ac:dyDescent="0.35">
      <c r="A343" t="s">
        <v>652</v>
      </c>
      <c r="B343">
        <v>607</v>
      </c>
    </row>
    <row r="344" spans="1:2" x14ac:dyDescent="0.35">
      <c r="A344" t="s">
        <v>222</v>
      </c>
      <c r="B344">
        <v>365</v>
      </c>
    </row>
    <row r="345" spans="1:2" x14ac:dyDescent="0.35">
      <c r="A345" t="s">
        <v>104</v>
      </c>
      <c r="B345">
        <v>645</v>
      </c>
    </row>
    <row r="346" spans="1:2" x14ac:dyDescent="0.35">
      <c r="A346" t="s">
        <v>645</v>
      </c>
      <c r="B346">
        <v>756</v>
      </c>
    </row>
    <row r="347" spans="1:2" x14ac:dyDescent="0.35">
      <c r="A347" t="s">
        <v>196</v>
      </c>
      <c r="B347">
        <v>369</v>
      </c>
    </row>
    <row r="348" spans="1:2" x14ac:dyDescent="0.35">
      <c r="A348" t="s">
        <v>223</v>
      </c>
      <c r="B348">
        <v>370</v>
      </c>
    </row>
    <row r="349" spans="1:2" x14ac:dyDescent="0.35">
      <c r="A349" t="s">
        <v>224</v>
      </c>
      <c r="B349">
        <v>580</v>
      </c>
    </row>
    <row r="350" spans="1:2" x14ac:dyDescent="0.35">
      <c r="A350" t="s">
        <v>689</v>
      </c>
      <c r="B350">
        <v>565</v>
      </c>
    </row>
    <row r="351" spans="1:2" x14ac:dyDescent="0.35">
      <c r="A351" t="s">
        <v>94</v>
      </c>
      <c r="B351">
        <v>601</v>
      </c>
    </row>
    <row r="352" spans="1:2" x14ac:dyDescent="0.35">
      <c r="A352" t="s">
        <v>0</v>
      </c>
      <c r="B352">
        <v>373</v>
      </c>
    </row>
    <row r="353" spans="1:2" x14ac:dyDescent="0.35">
      <c r="A353" t="s">
        <v>489</v>
      </c>
      <c r="B353">
        <v>807</v>
      </c>
    </row>
    <row r="354" spans="1:2" x14ac:dyDescent="0.35">
      <c r="A354" t="s">
        <v>479</v>
      </c>
      <c r="B354">
        <v>850</v>
      </c>
    </row>
    <row r="355" spans="1:2" x14ac:dyDescent="0.35">
      <c r="A355" t="s">
        <v>95</v>
      </c>
      <c r="B355">
        <v>665</v>
      </c>
    </row>
    <row r="356" spans="1:2" x14ac:dyDescent="0.35">
      <c r="A356" t="s">
        <v>636</v>
      </c>
      <c r="B356">
        <v>378</v>
      </c>
    </row>
    <row r="357" spans="1:2" x14ac:dyDescent="0.35">
      <c r="A357" t="s">
        <v>421</v>
      </c>
      <c r="B357">
        <v>788</v>
      </c>
    </row>
    <row r="358" spans="1:2" x14ac:dyDescent="0.35">
      <c r="A358" t="s">
        <v>525</v>
      </c>
      <c r="B358">
        <v>852</v>
      </c>
    </row>
    <row r="359" spans="1:2" x14ac:dyDescent="0.35">
      <c r="A359" t="s">
        <v>107</v>
      </c>
      <c r="B359">
        <v>382</v>
      </c>
    </row>
    <row r="360" spans="1:2" x14ac:dyDescent="0.35">
      <c r="A360" t="s">
        <v>48</v>
      </c>
      <c r="B360">
        <v>583</v>
      </c>
    </row>
    <row r="361" spans="1:2" x14ac:dyDescent="0.35">
      <c r="A361" t="s">
        <v>637</v>
      </c>
      <c r="B361">
        <v>685</v>
      </c>
    </row>
    <row r="362" spans="1:2" x14ac:dyDescent="0.35">
      <c r="A362" t="s">
        <v>225</v>
      </c>
      <c r="B362">
        <v>566</v>
      </c>
    </row>
    <row r="363" spans="1:2" x14ac:dyDescent="0.35">
      <c r="A363" t="s">
        <v>601</v>
      </c>
      <c r="B363">
        <v>599</v>
      </c>
    </row>
    <row r="364" spans="1:2" x14ac:dyDescent="0.35">
      <c r="A364" t="s">
        <v>239</v>
      </c>
      <c r="B364">
        <v>391</v>
      </c>
    </row>
    <row r="365" spans="1:2" x14ac:dyDescent="0.35">
      <c r="A365" t="s">
        <v>96</v>
      </c>
      <c r="B365">
        <v>619</v>
      </c>
    </row>
    <row r="366" spans="1:2" x14ac:dyDescent="0.35">
      <c r="A366" t="s">
        <v>179</v>
      </c>
      <c r="B366">
        <v>393</v>
      </c>
    </row>
    <row r="367" spans="1:2" x14ac:dyDescent="0.35">
      <c r="A367" t="s">
        <v>602</v>
      </c>
      <c r="B367">
        <v>861</v>
      </c>
    </row>
    <row r="368" spans="1:2" x14ac:dyDescent="0.35">
      <c r="A368" t="s">
        <v>240</v>
      </c>
      <c r="B368">
        <v>392</v>
      </c>
    </row>
    <row r="369" spans="1:2" x14ac:dyDescent="0.35">
      <c r="A369" t="s">
        <v>334</v>
      </c>
      <c r="B369">
        <v>584</v>
      </c>
    </row>
    <row r="370" spans="1:2" x14ac:dyDescent="0.35">
      <c r="A370" t="s">
        <v>603</v>
      </c>
      <c r="B370">
        <v>595</v>
      </c>
    </row>
    <row r="371" spans="1:2" x14ac:dyDescent="0.35">
      <c r="A371" t="s">
        <v>43</v>
      </c>
      <c r="B371">
        <v>398</v>
      </c>
    </row>
    <row r="372" spans="1:2" x14ac:dyDescent="0.35">
      <c r="A372" t="s">
        <v>283</v>
      </c>
      <c r="B372">
        <v>576</v>
      </c>
    </row>
    <row r="373" spans="1:2" x14ac:dyDescent="0.35">
      <c r="A373" t="s">
        <v>533</v>
      </c>
      <c r="B373">
        <v>399</v>
      </c>
    </row>
    <row r="374" spans="1:2" x14ac:dyDescent="0.35">
      <c r="A374" t="s">
        <v>425</v>
      </c>
      <c r="B374">
        <v>826</v>
      </c>
    </row>
    <row r="375" spans="1:2" x14ac:dyDescent="0.35">
      <c r="A375" t="s">
        <v>462</v>
      </c>
      <c r="B375">
        <v>726</v>
      </c>
    </row>
    <row r="376" spans="1:2" x14ac:dyDescent="0.35">
      <c r="A376" t="s">
        <v>483</v>
      </c>
      <c r="B376">
        <v>401</v>
      </c>
    </row>
    <row r="377" spans="1:2" x14ac:dyDescent="0.35">
      <c r="A377" t="s">
        <v>456</v>
      </c>
      <c r="B377">
        <v>794</v>
      </c>
    </row>
    <row r="378" spans="1:2" x14ac:dyDescent="0.35">
      <c r="A378" t="s">
        <v>98</v>
      </c>
      <c r="B378">
        <v>686</v>
      </c>
    </row>
    <row r="379" spans="1:2" x14ac:dyDescent="0.35">
      <c r="A379" t="s">
        <v>53</v>
      </c>
      <c r="B379">
        <v>404</v>
      </c>
    </row>
    <row r="380" spans="1:2" x14ac:dyDescent="0.35">
      <c r="A380" t="s">
        <v>674</v>
      </c>
      <c r="B380">
        <v>735</v>
      </c>
    </row>
    <row r="381" spans="1:2" x14ac:dyDescent="0.35">
      <c r="A381" t="s">
        <v>447</v>
      </c>
      <c r="B381">
        <v>766</v>
      </c>
    </row>
    <row r="382" spans="1:2" x14ac:dyDescent="0.35">
      <c r="A382" t="s">
        <v>604</v>
      </c>
      <c r="B382">
        <v>522</v>
      </c>
    </row>
    <row r="383" spans="1:2" x14ac:dyDescent="0.35">
      <c r="A383" t="s">
        <v>638</v>
      </c>
      <c r="B383">
        <v>740</v>
      </c>
    </row>
    <row r="384" spans="1:2" x14ac:dyDescent="0.35">
      <c r="A384" t="s">
        <v>605</v>
      </c>
      <c r="B384">
        <v>596</v>
      </c>
    </row>
    <row r="385" spans="1:2" x14ac:dyDescent="0.35">
      <c r="A385" t="s">
        <v>482</v>
      </c>
      <c r="B385">
        <v>737</v>
      </c>
    </row>
    <row r="386" spans="1:2" x14ac:dyDescent="0.35">
      <c r="A386" t="s">
        <v>490</v>
      </c>
      <c r="B386">
        <v>460</v>
      </c>
    </row>
    <row r="387" spans="1:2" x14ac:dyDescent="0.35">
      <c r="A387" t="s">
        <v>52</v>
      </c>
      <c r="B387">
        <v>409</v>
      </c>
    </row>
    <row r="388" spans="1:2" x14ac:dyDescent="0.35">
      <c r="A388" t="s">
        <v>690</v>
      </c>
      <c r="B388">
        <v>808</v>
      </c>
    </row>
    <row r="389" spans="1:2" x14ac:dyDescent="0.35">
      <c r="A389" t="s">
        <v>284</v>
      </c>
      <c r="B389">
        <v>410</v>
      </c>
    </row>
    <row r="390" spans="1:2" x14ac:dyDescent="0.35">
      <c r="A390" t="s">
        <v>434</v>
      </c>
      <c r="B390">
        <v>314</v>
      </c>
    </row>
    <row r="391" spans="1:2" x14ac:dyDescent="0.35">
      <c r="A391" t="s">
        <v>277</v>
      </c>
      <c r="B391">
        <v>414</v>
      </c>
    </row>
    <row r="392" spans="1:2" x14ac:dyDescent="0.35">
      <c r="A392" t="s">
        <v>506</v>
      </c>
      <c r="B392">
        <v>415</v>
      </c>
    </row>
    <row r="393" spans="1:2" x14ac:dyDescent="0.35">
      <c r="A393" t="s">
        <v>227</v>
      </c>
      <c r="B393">
        <v>416</v>
      </c>
    </row>
    <row r="394" spans="1:2" x14ac:dyDescent="0.35">
      <c r="A394" t="s">
        <v>39</v>
      </c>
      <c r="B394">
        <v>459</v>
      </c>
    </row>
    <row r="395" spans="1:2" x14ac:dyDescent="0.35">
      <c r="A395" t="s">
        <v>691</v>
      </c>
      <c r="B395">
        <v>748</v>
      </c>
    </row>
    <row r="396" spans="1:2" x14ac:dyDescent="0.35">
      <c r="A396" t="s">
        <v>430</v>
      </c>
      <c r="B396">
        <v>841</v>
      </c>
    </row>
    <row r="397" spans="1:2" x14ac:dyDescent="0.35">
      <c r="A397" t="s">
        <v>692</v>
      </c>
      <c r="B397">
        <v>469</v>
      </c>
    </row>
    <row r="398" spans="1:2" x14ac:dyDescent="0.35">
      <c r="A398" t="s">
        <v>692</v>
      </c>
      <c r="B398">
        <v>873</v>
      </c>
    </row>
    <row r="399" spans="1:2" x14ac:dyDescent="0.35">
      <c r="A399" t="s">
        <v>444</v>
      </c>
      <c r="B399">
        <v>782</v>
      </c>
    </row>
    <row r="400" spans="1:2" x14ac:dyDescent="0.35">
      <c r="A400" t="s">
        <v>606</v>
      </c>
      <c r="B400">
        <v>423</v>
      </c>
    </row>
    <row r="401" spans="1:2" x14ac:dyDescent="0.35">
      <c r="A401" t="s">
        <v>639</v>
      </c>
      <c r="B401">
        <v>738</v>
      </c>
    </row>
    <row r="402" spans="1:2" x14ac:dyDescent="0.35">
      <c r="A402" t="s">
        <v>514</v>
      </c>
      <c r="B402">
        <v>829</v>
      </c>
    </row>
    <row r="403" spans="1:2" x14ac:dyDescent="0.35">
      <c r="A403" t="s">
        <v>100</v>
      </c>
      <c r="B403">
        <v>417</v>
      </c>
    </row>
    <row r="404" spans="1:2" x14ac:dyDescent="0.35">
      <c r="A404" t="s">
        <v>607</v>
      </c>
      <c r="B404">
        <v>560</v>
      </c>
    </row>
    <row r="405" spans="1:2" x14ac:dyDescent="0.35">
      <c r="A405" t="s">
        <v>511</v>
      </c>
      <c r="B405">
        <v>428</v>
      </c>
    </row>
    <row r="406" spans="1:2" x14ac:dyDescent="0.35">
      <c r="A406" t="s">
        <v>439</v>
      </c>
      <c r="B406">
        <v>612</v>
      </c>
    </row>
    <row r="407" spans="1:2" x14ac:dyDescent="0.35">
      <c r="A407" t="s">
        <v>446</v>
      </c>
      <c r="B407">
        <v>489</v>
      </c>
    </row>
    <row r="408" spans="1:2" x14ac:dyDescent="0.35">
      <c r="A408" t="s">
        <v>487</v>
      </c>
      <c r="B408">
        <v>617</v>
      </c>
    </row>
    <row r="409" spans="1:2" x14ac:dyDescent="0.35">
      <c r="A409" t="s">
        <v>101</v>
      </c>
      <c r="B409">
        <v>429</v>
      </c>
    </row>
    <row r="410" spans="1:2" x14ac:dyDescent="0.35">
      <c r="A410" t="s">
        <v>693</v>
      </c>
      <c r="B410">
        <v>430</v>
      </c>
    </row>
    <row r="411" spans="1:2" x14ac:dyDescent="0.35">
      <c r="A411" t="s">
        <v>45</v>
      </c>
      <c r="B411">
        <v>648</v>
      </c>
    </row>
    <row r="412" spans="1:2" x14ac:dyDescent="0.35">
      <c r="A412" t="s">
        <v>467</v>
      </c>
      <c r="B412">
        <v>714</v>
      </c>
    </row>
    <row r="413" spans="1:2" x14ac:dyDescent="0.35">
      <c r="A413" t="s">
        <v>537</v>
      </c>
      <c r="B413">
        <v>675</v>
      </c>
    </row>
    <row r="414" spans="1:2" x14ac:dyDescent="0.35">
      <c r="A414" t="s">
        <v>486</v>
      </c>
      <c r="B414">
        <v>436</v>
      </c>
    </row>
    <row r="415" spans="1:2" x14ac:dyDescent="0.35">
      <c r="A415" t="s">
        <v>528</v>
      </c>
      <c r="B415">
        <v>437</v>
      </c>
    </row>
    <row r="416" spans="1:2" x14ac:dyDescent="0.35">
      <c r="A416" t="s">
        <v>608</v>
      </c>
      <c r="B416">
        <v>768</v>
      </c>
    </row>
    <row r="417" spans="1:2" x14ac:dyDescent="0.35">
      <c r="A417" t="s">
        <v>609</v>
      </c>
      <c r="B417">
        <v>494</v>
      </c>
    </row>
    <row r="418" spans="1:2" x14ac:dyDescent="0.35">
      <c r="A418" t="s">
        <v>241</v>
      </c>
      <c r="B418">
        <v>440</v>
      </c>
    </row>
    <row r="419" spans="1:2" x14ac:dyDescent="0.35">
      <c r="A419" t="s">
        <v>414</v>
      </c>
      <c r="B419">
        <v>515</v>
      </c>
    </row>
    <row r="420" spans="1:2" x14ac:dyDescent="0.35">
      <c r="A420" t="s">
        <v>675</v>
      </c>
      <c r="B420">
        <v>574</v>
      </c>
    </row>
    <row r="421" spans="1:2" x14ac:dyDescent="0.35">
      <c r="A421" t="s">
        <v>228</v>
      </c>
      <c r="B421">
        <v>442</v>
      </c>
    </row>
    <row r="422" spans="1:2" x14ac:dyDescent="0.35">
      <c r="A422" t="s">
        <v>471</v>
      </c>
      <c r="B422">
        <v>824</v>
      </c>
    </row>
    <row r="423" spans="1:2" x14ac:dyDescent="0.35">
      <c r="A423" t="s">
        <v>694</v>
      </c>
      <c r="B423">
        <v>795</v>
      </c>
    </row>
    <row r="424" spans="1:2" x14ac:dyDescent="0.35">
      <c r="A424" t="s">
        <v>517</v>
      </c>
      <c r="B424">
        <v>832</v>
      </c>
    </row>
    <row r="425" spans="1:2" x14ac:dyDescent="0.35">
      <c r="A425" t="s">
        <v>46</v>
      </c>
      <c r="B425">
        <v>443</v>
      </c>
    </row>
    <row r="426" spans="1:2" x14ac:dyDescent="0.35">
      <c r="A426" t="s">
        <v>229</v>
      </c>
      <c r="B426">
        <v>444</v>
      </c>
    </row>
    <row r="427" spans="1:2" x14ac:dyDescent="0.35">
      <c r="A427" t="s">
        <v>5</v>
      </c>
      <c r="B427">
        <v>449</v>
      </c>
    </row>
    <row r="428" spans="1:2" x14ac:dyDescent="0.35">
      <c r="A428" t="s">
        <v>114</v>
      </c>
      <c r="B428">
        <v>452</v>
      </c>
    </row>
    <row r="429" spans="1:2" x14ac:dyDescent="0.35">
      <c r="A429" t="s">
        <v>653</v>
      </c>
      <c r="B429">
        <v>707</v>
      </c>
    </row>
    <row r="430" spans="1:2" x14ac:dyDescent="0.35">
      <c r="A430" t="s">
        <v>453</v>
      </c>
      <c r="B430">
        <v>773</v>
      </c>
    </row>
    <row r="431" spans="1:2" x14ac:dyDescent="0.35">
      <c r="A431" t="s">
        <v>646</v>
      </c>
      <c r="B431">
        <v>866</v>
      </c>
    </row>
    <row r="432" spans="1:2" x14ac:dyDescent="0.35">
      <c r="A432" t="s">
        <v>49</v>
      </c>
      <c r="B432">
        <v>458</v>
      </c>
    </row>
    <row r="433" spans="1:2" x14ac:dyDescent="0.35">
      <c r="A433" t="s">
        <v>527</v>
      </c>
      <c r="B433">
        <v>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F503-6E0F-4AD3-9E03-B0730C7C7060}">
  <dimension ref="A1:Z748"/>
  <sheetViews>
    <sheetView zoomScaleNormal="100" workbookViewId="0">
      <selection activeCell="I12" sqref="I12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6" x14ac:dyDescent="0.35">
      <c r="A1" s="3" t="s">
        <v>397</v>
      </c>
      <c r="F1" s="3" t="s">
        <v>352</v>
      </c>
      <c r="G1">
        <v>13</v>
      </c>
    </row>
    <row r="2" spans="1:26" x14ac:dyDescent="0.35">
      <c r="B2">
        <v>0</v>
      </c>
    </row>
    <row r="3" spans="1:26" x14ac:dyDescent="0.35">
      <c r="A3" s="3" t="s">
        <v>62</v>
      </c>
      <c r="B3" s="4">
        <f>AVERAGE(B6:B49)</f>
        <v>6.1036242121110199E-9</v>
      </c>
      <c r="F3" s="3" t="s">
        <v>3</v>
      </c>
      <c r="G3" s="4">
        <v>7.6396245461824455E-2</v>
      </c>
    </row>
    <row r="4" spans="1:26" x14ac:dyDescent="0.35">
      <c r="A4" s="3" t="s">
        <v>121</v>
      </c>
      <c r="F4" t="s">
        <v>9</v>
      </c>
      <c r="G4">
        <f>-G3</f>
        <v>-7.6396245461824455E-2</v>
      </c>
    </row>
    <row r="5" spans="1:26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2470.0598837065349</v>
      </c>
    </row>
    <row r="6" spans="1:26" x14ac:dyDescent="0.35">
      <c r="A6" s="1" t="s">
        <v>34</v>
      </c>
      <c r="B6" s="1">
        <v>1.430199971277536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</row>
    <row r="7" spans="1:26" x14ac:dyDescent="0.35">
      <c r="A7" s="1" t="s">
        <v>14</v>
      </c>
      <c r="B7" s="1">
        <v>0.56968284877298792</v>
      </c>
      <c r="C7" s="1">
        <f t="shared" si="0"/>
        <v>2</v>
      </c>
      <c r="J7" s="65">
        <v>1</v>
      </c>
      <c r="K7" t="s">
        <v>4</v>
      </c>
      <c r="L7" t="s">
        <v>175</v>
      </c>
      <c r="M7">
        <v>15.2</v>
      </c>
      <c r="N7" t="s">
        <v>3</v>
      </c>
      <c r="O7" t="s">
        <v>14</v>
      </c>
      <c r="P7">
        <f>VLOOKUP($N7,$F$3:$G$4,2,FALSE)+VLOOKUP($L7,$B$20:$C$150,2,FALSE)+VLOOKUP($O7,$A$6:$B$16,2,FALSE)</f>
        <v>11.69307419964526</v>
      </c>
      <c r="Q7">
        <f t="shared" ref="Q7:Q70" si="1">IFERROR(($M7-$P7)^2,"")</f>
        <v>12.298528569193731</v>
      </c>
      <c r="R7" s="67" cm="1">
        <f t="array" ref="R7">SUMPRODUCT((J7=$J$7:$J$1000)*(P7&lt;$P$7:$P$1000))+1</f>
        <v>1</v>
      </c>
      <c r="S7" s="72"/>
      <c r="T7" cm="1">
        <f t="array" ref="T7:Z237">_xlfn._xlws.FILTER($J$7:$P$10000,($J$7:$J$10000&gt;$G$1)*($J$7:$J$10000&lt;18))</f>
        <v>14</v>
      </c>
      <c r="U7" t="str">
        <v>ARC</v>
      </c>
      <c r="V7" t="str">
        <v>Alex Maughan</v>
      </c>
      <c r="W7" t="str">
        <v>NULL</v>
      </c>
      <c r="X7" t="str">
        <v>Home</v>
      </c>
      <c r="Y7" t="str">
        <v>OGDC</v>
      </c>
      <c r="Z7">
        <v>2.8843746914610517</v>
      </c>
    </row>
    <row r="8" spans="1:26" x14ac:dyDescent="0.35">
      <c r="A8" s="1" t="s">
        <v>6</v>
      </c>
      <c r="B8" s="1">
        <v>0.36202542600805865</v>
      </c>
      <c r="C8" s="1">
        <f t="shared" si="0"/>
        <v>3</v>
      </c>
      <c r="J8" s="65">
        <v>1</v>
      </c>
      <c r="K8" t="s">
        <v>23</v>
      </c>
      <c r="L8" t="s">
        <v>412</v>
      </c>
      <c r="M8">
        <v>8.6</v>
      </c>
      <c r="N8" t="s">
        <v>9</v>
      </c>
      <c r="O8" t="s">
        <v>6</v>
      </c>
      <c r="P8">
        <f t="shared" ref="P8:P71" si="2">VLOOKUP($N8,$F$3:$G$4,2,FALSE)+VLOOKUP($L8,$B$20:$C$150,2,FALSE)+VLOOKUP($O8,$A$6:$B$16,2,FALSE)</f>
        <v>5.9737488787919872</v>
      </c>
      <c r="Q8">
        <f t="shared" si="1"/>
        <v>6.897194951646342</v>
      </c>
      <c r="R8" s="67" cm="1">
        <f t="array" ref="R8">SUMPRODUCT((J8=$J$7:$J$1000)*(P8&lt;$P$7:$P$1000))+1</f>
        <v>7</v>
      </c>
      <c r="S8" s="72"/>
      <c r="T8">
        <v>14</v>
      </c>
      <c r="U8" t="str">
        <v>ARC</v>
      </c>
      <c r="V8" t="str">
        <v>Alexander Hernandez</v>
      </c>
      <c r="W8" t="str">
        <v>NULL</v>
      </c>
      <c r="X8" t="str">
        <v>Home</v>
      </c>
      <c r="Y8" t="str">
        <v>OGDC</v>
      </c>
      <c r="Z8">
        <v>1.3514586475464327</v>
      </c>
    </row>
    <row r="9" spans="1:26" x14ac:dyDescent="0.35">
      <c r="A9" s="1" t="s">
        <v>23</v>
      </c>
      <c r="B9" s="1">
        <v>0.22713604847937369</v>
      </c>
      <c r="C9" s="1">
        <f t="shared" si="0"/>
        <v>4</v>
      </c>
      <c r="J9" s="65">
        <v>1</v>
      </c>
      <c r="K9" t="s">
        <v>17</v>
      </c>
      <c r="L9" t="s">
        <v>149</v>
      </c>
      <c r="M9">
        <v>7.7</v>
      </c>
      <c r="N9" t="s">
        <v>9</v>
      </c>
      <c r="O9" t="s">
        <v>34</v>
      </c>
      <c r="P9">
        <f t="shared" si="2"/>
        <v>6.910397278949362</v>
      </c>
      <c r="Q9">
        <f t="shared" si="1"/>
        <v>0.62347245709057197</v>
      </c>
      <c r="R9" s="67" cm="1">
        <f t="array" ref="R9">SUMPRODUCT((J9=$J$7:$J$1000)*(P9&lt;$P$7:$P$1000))+1</f>
        <v>4</v>
      </c>
      <c r="S9" s="72"/>
      <c r="T9">
        <v>14</v>
      </c>
      <c r="U9" t="str">
        <v>ARC</v>
      </c>
      <c r="V9" t="str">
        <v>Connor Robinson</v>
      </c>
      <c r="W9" t="str">
        <v>NULL</v>
      </c>
      <c r="X9" t="str">
        <v>Home</v>
      </c>
      <c r="Y9" t="str">
        <v>OGDC</v>
      </c>
      <c r="Z9">
        <v>5.019190584542006</v>
      </c>
    </row>
    <row r="10" spans="1:26" x14ac:dyDescent="0.35">
      <c r="A10" s="1" t="s">
        <v>36</v>
      </c>
      <c r="B10" s="1">
        <v>0.14961929615810918</v>
      </c>
      <c r="C10" s="1">
        <f t="shared" si="0"/>
        <v>5</v>
      </c>
      <c r="J10" s="65">
        <v>1</v>
      </c>
      <c r="K10" t="s">
        <v>23</v>
      </c>
      <c r="L10" t="s">
        <v>144</v>
      </c>
      <c r="M10">
        <v>7.6</v>
      </c>
      <c r="N10" t="s">
        <v>9</v>
      </c>
      <c r="O10" t="s">
        <v>6</v>
      </c>
      <c r="P10">
        <f t="shared" si="2"/>
        <v>6.4561451459046708</v>
      </c>
      <c r="Q10">
        <f t="shared" si="1"/>
        <v>1.3084039272374459</v>
      </c>
      <c r="R10" s="67" cm="1">
        <f t="array" ref="R10">SUMPRODUCT((J10=$J$7:$J$1000)*(P10&lt;$P$7:$P$1000))+1</f>
        <v>6</v>
      </c>
      <c r="S10" s="72"/>
      <c r="T10">
        <v>14</v>
      </c>
      <c r="U10" t="str">
        <v>ARC</v>
      </c>
      <c r="V10" t="str">
        <v>Dan Hanson</v>
      </c>
      <c r="W10" t="str">
        <v>NULL</v>
      </c>
      <c r="X10" t="str">
        <v>Home</v>
      </c>
      <c r="Y10" t="str">
        <v>OGDC</v>
      </c>
      <c r="Z10">
        <v>1.4355120039253428</v>
      </c>
    </row>
    <row r="11" spans="1:26" x14ac:dyDescent="0.35">
      <c r="A11" s="1" t="s">
        <v>4</v>
      </c>
      <c r="B11" s="1">
        <v>7.0668616082004018E-2</v>
      </c>
      <c r="C11" s="1">
        <f t="shared" si="0"/>
        <v>6</v>
      </c>
      <c r="J11" s="65">
        <v>1</v>
      </c>
      <c r="K11" t="s">
        <v>2</v>
      </c>
      <c r="L11" t="s">
        <v>156</v>
      </c>
      <c r="M11">
        <v>7.2</v>
      </c>
      <c r="N11" t="s">
        <v>9</v>
      </c>
      <c r="O11" t="s">
        <v>36</v>
      </c>
      <c r="P11">
        <f t="shared" si="2"/>
        <v>7.8761385737957097</v>
      </c>
      <c r="Q11">
        <f t="shared" si="1"/>
        <v>0.45716337097449611</v>
      </c>
      <c r="R11" s="67" cm="1">
        <f t="array" ref="R11">SUMPRODUCT((J11=$J$7:$J$1000)*(P11&lt;$P$7:$P$1000))+1</f>
        <v>2</v>
      </c>
      <c r="S11" s="72"/>
      <c r="T11">
        <v>14</v>
      </c>
      <c r="U11" t="str">
        <v>ARC</v>
      </c>
      <c r="V11" t="str">
        <v>Ethan Howard</v>
      </c>
      <c r="W11" t="str">
        <v>NULL</v>
      </c>
      <c r="X11" t="str">
        <v>Home</v>
      </c>
      <c r="Y11" t="str">
        <v>OGDC</v>
      </c>
      <c r="Z11">
        <v>5.2756223398557411</v>
      </c>
    </row>
    <row r="12" spans="1:26" x14ac:dyDescent="0.35">
      <c r="A12" s="1" t="s">
        <v>2</v>
      </c>
      <c r="B12" s="1">
        <v>-2.8426274227099362E-2</v>
      </c>
      <c r="C12" s="1">
        <f t="shared" si="0"/>
        <v>7</v>
      </c>
      <c r="J12" s="65">
        <v>1</v>
      </c>
      <c r="K12" t="s">
        <v>24</v>
      </c>
      <c r="L12" t="s">
        <v>411</v>
      </c>
      <c r="M12">
        <v>6.6</v>
      </c>
      <c r="N12" t="s">
        <v>3</v>
      </c>
      <c r="O12" t="s">
        <v>7</v>
      </c>
      <c r="P12">
        <f t="shared" si="2"/>
        <v>2.3146356449708314</v>
      </c>
      <c r="Q12">
        <f t="shared" si="1"/>
        <v>18.36434765535456</v>
      </c>
      <c r="R12" s="67" cm="1">
        <f t="array" ref="R12">SUMPRODUCT((J12=$J$7:$J$1000)*(P12&lt;$P$7:$P$1000))+1</f>
        <v>26</v>
      </c>
      <c r="S12" s="72"/>
      <c r="T12">
        <v>14</v>
      </c>
      <c r="U12" t="str">
        <v>ARC</v>
      </c>
      <c r="V12" t="str">
        <v>Jake Turnbull</v>
      </c>
      <c r="W12" t="str">
        <v>NULL</v>
      </c>
      <c r="X12" t="str">
        <v>Home</v>
      </c>
      <c r="Y12" t="str">
        <v>OGDC</v>
      </c>
      <c r="Z12">
        <v>3.0778226771916142</v>
      </c>
    </row>
    <row r="13" spans="1:26" x14ac:dyDescent="0.35">
      <c r="A13" s="1" t="s">
        <v>24</v>
      </c>
      <c r="B13" s="1">
        <v>-0.26375397563076758</v>
      </c>
      <c r="C13" s="1">
        <f t="shared" si="0"/>
        <v>8</v>
      </c>
      <c r="J13" s="65">
        <v>1</v>
      </c>
      <c r="K13" t="s">
        <v>2</v>
      </c>
      <c r="L13" t="s">
        <v>185</v>
      </c>
      <c r="M13">
        <v>5.3</v>
      </c>
      <c r="N13" t="s">
        <v>9</v>
      </c>
      <c r="O13" t="s">
        <v>36</v>
      </c>
      <c r="P13">
        <f t="shared" si="2"/>
        <v>3.7295944354550237</v>
      </c>
      <c r="Q13">
        <f t="shared" si="1"/>
        <v>2.4661736371538252</v>
      </c>
      <c r="R13" s="67" cm="1">
        <f t="array" ref="R13">SUMPRODUCT((J13=$J$7:$J$1000)*(P13&lt;$P$7:$P$1000))+1</f>
        <v>18</v>
      </c>
      <c r="S13" s="72"/>
      <c r="T13">
        <v>14</v>
      </c>
      <c r="U13" t="str">
        <v>ARC</v>
      </c>
      <c r="V13" t="str">
        <v>Joe Apikotoa</v>
      </c>
      <c r="W13" t="str">
        <v>NULL</v>
      </c>
      <c r="X13" t="str">
        <v>Home</v>
      </c>
      <c r="Y13" t="str">
        <v>OGDC</v>
      </c>
      <c r="Z13">
        <v>4.4938413064003653</v>
      </c>
    </row>
    <row r="14" spans="1:26" x14ac:dyDescent="0.35">
      <c r="A14" s="1" t="s">
        <v>17</v>
      </c>
      <c r="B14" s="1">
        <v>-0.52755575501687813</v>
      </c>
      <c r="C14" s="1">
        <f t="shared" si="0"/>
        <v>9</v>
      </c>
      <c r="J14" s="65">
        <v>1</v>
      </c>
      <c r="K14" t="s">
        <v>7</v>
      </c>
      <c r="L14" t="s">
        <v>158</v>
      </c>
      <c r="M14">
        <v>4.7</v>
      </c>
      <c r="N14" t="s">
        <v>9</v>
      </c>
      <c r="O14" t="s">
        <v>24</v>
      </c>
      <c r="P14">
        <f t="shared" si="2"/>
        <v>5.0533442986130543</v>
      </c>
      <c r="Q14">
        <f t="shared" si="1"/>
        <v>0.12485219336235119</v>
      </c>
      <c r="R14" s="67" cm="1">
        <f t="array" ref="R14">SUMPRODUCT((J14=$J$7:$J$1000)*(P14&lt;$P$7:$P$1000))+1</f>
        <v>10</v>
      </c>
      <c r="S14" s="72"/>
      <c r="T14">
        <v>14</v>
      </c>
      <c r="U14" t="str">
        <v>ARC</v>
      </c>
      <c r="V14" t="str">
        <v>Stephan Bernal-Wendt</v>
      </c>
      <c r="W14" t="str">
        <v>NULL</v>
      </c>
      <c r="X14" t="str">
        <v>Home</v>
      </c>
      <c r="Y14" t="str">
        <v>OGDC</v>
      </c>
      <c r="Z14">
        <v>2.4237843449476704</v>
      </c>
    </row>
    <row r="15" spans="1:26" x14ac:dyDescent="0.35">
      <c r="A15" s="1" t="s">
        <v>7</v>
      </c>
      <c r="B15" s="1">
        <v>-0.63922173866049548</v>
      </c>
      <c r="C15" s="1">
        <f t="shared" si="0"/>
        <v>10</v>
      </c>
      <c r="J15" s="65">
        <v>1</v>
      </c>
      <c r="K15" t="s">
        <v>36</v>
      </c>
      <c r="L15" t="s">
        <v>415</v>
      </c>
      <c r="M15">
        <v>4.0999999999999996</v>
      </c>
      <c r="N15" t="s">
        <v>3</v>
      </c>
      <c r="O15" t="s">
        <v>2</v>
      </c>
      <c r="P15">
        <f t="shared" si="2"/>
        <v>3.2042120234612135</v>
      </c>
      <c r="Q15">
        <f t="shared" si="1"/>
        <v>0.80243609891145296</v>
      </c>
      <c r="R15" s="67" cm="1">
        <f t="array" ref="R15">SUMPRODUCT((J15=$J$7:$J$1000)*(P15&lt;$P$7:$P$1000))+1</f>
        <v>21</v>
      </c>
      <c r="S15" s="72"/>
      <c r="T15">
        <v>14</v>
      </c>
      <c r="U15" t="str">
        <v>CHI</v>
      </c>
      <c r="V15" t="str">
        <v>Charlie Abel</v>
      </c>
      <c r="W15" t="str">
        <v>NULL</v>
      </c>
      <c r="X15" t="str">
        <v>Home</v>
      </c>
      <c r="Y15" t="str">
        <v>LA</v>
      </c>
      <c r="Z15">
        <v>4.0947930562286228</v>
      </c>
    </row>
    <row r="16" spans="1:26" x14ac:dyDescent="0.35">
      <c r="A16" s="1" t="s">
        <v>13</v>
      </c>
      <c r="B16" s="1">
        <v>-1.3503743961029624</v>
      </c>
      <c r="C16" s="1">
        <f t="shared" si="0"/>
        <v>11</v>
      </c>
      <c r="D16" s="3"/>
      <c r="J16" s="65">
        <v>1</v>
      </c>
      <c r="K16" t="s">
        <v>36</v>
      </c>
      <c r="L16" t="s">
        <v>283</v>
      </c>
      <c r="M16">
        <v>4</v>
      </c>
      <c r="N16" t="s">
        <v>3</v>
      </c>
      <c r="O16" t="s">
        <v>2</v>
      </c>
      <c r="P16">
        <f t="shared" si="2"/>
        <v>5.7124412854183317</v>
      </c>
      <c r="Q16">
        <f t="shared" si="1"/>
        <v>2.9324551560051884</v>
      </c>
      <c r="R16" s="67" cm="1">
        <f t="array" ref="R16">SUMPRODUCT((J16=$J$7:$J$1000)*(P16&lt;$P$7:$P$1000))+1</f>
        <v>9</v>
      </c>
      <c r="S16" s="72"/>
      <c r="T16">
        <v>14</v>
      </c>
      <c r="U16" t="str">
        <v>CHI</v>
      </c>
      <c r="V16" t="str">
        <v>Dylan Fawsitt</v>
      </c>
      <c r="W16" t="str">
        <v>NULL</v>
      </c>
      <c r="X16" t="str">
        <v>Home</v>
      </c>
      <c r="Y16" t="str">
        <v>LA</v>
      </c>
      <c r="Z16">
        <v>8.2413371945693079</v>
      </c>
    </row>
    <row r="17" spans="1:26" x14ac:dyDescent="0.35">
      <c r="J17" s="65">
        <v>1</v>
      </c>
      <c r="K17" t="s">
        <v>6</v>
      </c>
      <c r="L17" t="s">
        <v>416</v>
      </c>
      <c r="M17">
        <v>4</v>
      </c>
      <c r="N17" t="s">
        <v>3</v>
      </c>
      <c r="O17" t="s">
        <v>23</v>
      </c>
      <c r="P17">
        <f t="shared" si="2"/>
        <v>3.7835866218335399</v>
      </c>
      <c r="Q17">
        <f t="shared" si="1"/>
        <v>4.6834750249419271E-2</v>
      </c>
      <c r="R17" s="67" cm="1">
        <f t="array" ref="R17">SUMPRODUCT((J17=$J$7:$J$1000)*(P17&lt;$P$7:$P$1000))+1</f>
        <v>17</v>
      </c>
      <c r="S17" s="72"/>
      <c r="T17">
        <v>14</v>
      </c>
      <c r="U17" t="str">
        <v>CHI</v>
      </c>
      <c r="V17" t="str">
        <v>Faka'osi Pifeleti</v>
      </c>
      <c r="W17" t="str">
        <v>NULL</v>
      </c>
      <c r="X17" t="str">
        <v>Home</v>
      </c>
      <c r="Y17" t="str">
        <v>LA</v>
      </c>
      <c r="Z17">
        <v>2.8071549677920826</v>
      </c>
    </row>
    <row r="18" spans="1:26" x14ac:dyDescent="0.35">
      <c r="J18" s="65">
        <v>1</v>
      </c>
      <c r="K18" t="s">
        <v>34</v>
      </c>
      <c r="L18" t="s">
        <v>161</v>
      </c>
      <c r="M18">
        <v>3.9</v>
      </c>
      <c r="N18" t="s">
        <v>3</v>
      </c>
      <c r="O18" t="s">
        <v>17</v>
      </c>
      <c r="P18">
        <f t="shared" si="2"/>
        <v>6.9577449021049329</v>
      </c>
      <c r="Q18">
        <f t="shared" si="1"/>
        <v>9.3498038863487061</v>
      </c>
      <c r="R18" s="67" cm="1">
        <f t="array" ref="R18">SUMPRODUCT((J18=$J$7:$J$1000)*(P18&lt;$P$7:$P$1000))+1</f>
        <v>3</v>
      </c>
      <c r="S18" s="72"/>
      <c r="T18">
        <v>14</v>
      </c>
      <c r="U18" t="str">
        <v>CHI</v>
      </c>
      <c r="V18" t="str">
        <v>Ignacio Peculo</v>
      </c>
      <c r="W18" t="str">
        <v>NULL</v>
      </c>
      <c r="X18" t="str">
        <v>Home</v>
      </c>
      <c r="Y18" t="str">
        <v>LA</v>
      </c>
      <c r="Z18">
        <v>5.9127590957532252</v>
      </c>
    </row>
    <row r="19" spans="1:26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1</v>
      </c>
      <c r="K19" t="s">
        <v>23</v>
      </c>
      <c r="L19" t="s">
        <v>252</v>
      </c>
      <c r="M19">
        <v>3.7</v>
      </c>
      <c r="N19" t="s">
        <v>9</v>
      </c>
      <c r="O19" t="s">
        <v>6</v>
      </c>
      <c r="P19">
        <f t="shared" si="2"/>
        <v>2.2794780942812518</v>
      </c>
      <c r="Q19">
        <f t="shared" si="1"/>
        <v>2.0178824846268246</v>
      </c>
      <c r="R19" s="67" cm="1">
        <f t="array" ref="R19">SUMPRODUCT((J19=$J$7:$J$1000)*(P19&lt;$P$7:$P$1000))+1</f>
        <v>28</v>
      </c>
      <c r="S19" s="72"/>
      <c r="T19">
        <v>14</v>
      </c>
      <c r="U19" t="str">
        <v>CHI</v>
      </c>
      <c r="V19" t="str">
        <v>Janus Venter</v>
      </c>
      <c r="W19" t="str">
        <v>NULL</v>
      </c>
      <c r="X19" t="str">
        <v>Home</v>
      </c>
      <c r="Y19" t="str">
        <v>LA</v>
      </c>
      <c r="Z19">
        <v>4.5467102961113319</v>
      </c>
    </row>
    <row r="20" spans="1:26" x14ac:dyDescent="0.35">
      <c r="A20">
        <f>VLOOKUP($B20, PlayerIDs!$A$1:$B$1000, 2, FALSE)</f>
        <v>32</v>
      </c>
      <c r="B20" t="s">
        <v>543</v>
      </c>
      <c r="C20" s="1">
        <v>11.052139889448592</v>
      </c>
      <c r="D20" s="1">
        <f t="shared" ref="D20:D51" si="3">RANK($C20,$C$20:$C$106)</f>
        <v>1</v>
      </c>
      <c r="E20" s="1" cm="1">
        <f t="array" ref="E20">IFERROR(VLOOKUP($B20,_xlfn._xlws.FILTER($L$7:$P$10000,$J$7:$J$10000=G$1+1),5, FALSE), 0)</f>
        <v>10.947317369759668</v>
      </c>
      <c r="F20" s="1">
        <f t="shared" ref="F20:F51" si="4">RANK(E20,$E$20:$E$150)</f>
        <v>1</v>
      </c>
      <c r="G20" s="1">
        <f t="shared" ref="G20:G51" ca="1" si="5">SUMIF(V:Z,$B20,Z:Z)</f>
        <v>32.148621434365587</v>
      </c>
      <c r="H20" s="1">
        <f t="shared" ref="H20:H51" ca="1" si="6">RANK($G20,$G$20:$G$106)</f>
        <v>1</v>
      </c>
      <c r="I20" s="1" cm="1">
        <f t="array" ref="I20">COUNT(_xlfn._xlws.FILTER($J$7:$J$10000,($L$7:$L$10000=B20)*($M$7:$M$10000&lt;&gt;"NULL")*($J$7:$J$10000 &gt;= ($G$1-4))))/5</f>
        <v>0.2</v>
      </c>
      <c r="J20" s="65">
        <v>1</v>
      </c>
      <c r="K20" t="s">
        <v>34</v>
      </c>
      <c r="L20" t="s">
        <v>153</v>
      </c>
      <c r="M20">
        <v>3.6</v>
      </c>
      <c r="N20" t="s">
        <v>3</v>
      </c>
      <c r="O20" t="s">
        <v>17</v>
      </c>
      <c r="P20">
        <f t="shared" si="2"/>
        <v>3.6377643129284865</v>
      </c>
      <c r="Q20">
        <f t="shared" si="1"/>
        <v>1.4261433309606425E-3</v>
      </c>
      <c r="R20" s="67" cm="1">
        <f t="array" ref="R20">SUMPRODUCT((J20=$J$7:$J$1000)*(P20&lt;$P$7:$P$1000))+1</f>
        <v>19</v>
      </c>
      <c r="S20" s="72"/>
      <c r="T20">
        <v>14</v>
      </c>
      <c r="U20" t="str">
        <v>CHI</v>
      </c>
      <c r="V20" t="str">
        <v>Paddy Ryan</v>
      </c>
      <c r="W20" t="str">
        <v>NULL</v>
      </c>
      <c r="X20" t="str">
        <v>Home</v>
      </c>
      <c r="Y20" t="str">
        <v>LA</v>
      </c>
      <c r="Z20">
        <v>2.863504304132126</v>
      </c>
    </row>
    <row r="21" spans="1:26" x14ac:dyDescent="0.35">
      <c r="A21">
        <f>VLOOKUP($B21, PlayerIDs!$A$1:$B$1000, 2, FALSE)</f>
        <v>343</v>
      </c>
      <c r="B21" t="s">
        <v>175</v>
      </c>
      <c r="C21" s="1">
        <v>11.046995105410447</v>
      </c>
      <c r="D21" s="1">
        <f t="shared" si="3"/>
        <v>2</v>
      </c>
      <c r="E21" s="1" cm="1">
        <f t="array" ref="E21">IFERROR(VLOOKUP($B21,_xlfn._xlws.FILTER($L$7:$P$10000,$J$7:$J$10000=G$1+1),5, FALSE), 0)</f>
        <v>0</v>
      </c>
      <c r="F21" s="1">
        <f t="shared" si="4"/>
        <v>74</v>
      </c>
      <c r="G21" s="1">
        <f t="shared" ca="1" si="5"/>
        <v>20.715189540490833</v>
      </c>
      <c r="H21" s="1">
        <f t="shared" ca="1" si="6"/>
        <v>8</v>
      </c>
      <c r="I21" s="1" cm="1">
        <f t="array" ref="I21">COUNT(_xlfn._xlws.FILTER($J$7:$J$10000,($L$7:$L$10000=B21)*($M$7:$M$10000&lt;&gt;"NULL")*($J$7:$J$10000 &gt;= ($G$1-4))))/5</f>
        <v>0</v>
      </c>
      <c r="J21" s="65">
        <v>1</v>
      </c>
      <c r="K21" t="s">
        <v>34</v>
      </c>
      <c r="L21" t="s">
        <v>177</v>
      </c>
      <c r="M21">
        <v>3.6</v>
      </c>
      <c r="N21" t="s">
        <v>3</v>
      </c>
      <c r="O21" t="s">
        <v>17</v>
      </c>
      <c r="P21">
        <f t="shared" si="2"/>
        <v>4.1520716355161076</v>
      </c>
      <c r="Q21">
        <f t="shared" si="1"/>
        <v>0.30478309074142984</v>
      </c>
      <c r="R21" s="67" cm="1">
        <f t="array" ref="R21">SUMPRODUCT((J21=$J$7:$J$1000)*(P21&lt;$P$7:$P$1000))+1</f>
        <v>15</v>
      </c>
      <c r="S21" s="72"/>
      <c r="T21">
        <v>14</v>
      </c>
      <c r="U21" t="str">
        <v>CHI</v>
      </c>
      <c r="V21" t="str">
        <v>Zurab Zhvania</v>
      </c>
      <c r="W21" t="str">
        <v>NULL</v>
      </c>
      <c r="X21" t="str">
        <v>Home</v>
      </c>
      <c r="Y21" t="str">
        <v>LA</v>
      </c>
      <c r="Z21">
        <v>6.4203011731724526</v>
      </c>
    </row>
    <row r="22" spans="1:26" x14ac:dyDescent="0.35">
      <c r="A22">
        <f>VLOOKUP($B22, PlayerIDs!$A$1:$B$1000, 2, FALSE)</f>
        <v>726</v>
      </c>
      <c r="B22" t="s">
        <v>462</v>
      </c>
      <c r="C22" s="1">
        <v>10.747805861960746</v>
      </c>
      <c r="D22" s="1">
        <f t="shared" si="3"/>
        <v>3</v>
      </c>
      <c r="E22" s="1" cm="1">
        <f t="array" ref="E22">IFERROR(VLOOKUP($B22,_xlfn._xlws.FILTER($L$7:$P$10000,$J$7:$J$10000=G$1+1),5, FALSE), 0)</f>
        <v>10.143853861482043</v>
      </c>
      <c r="F22" s="1">
        <f t="shared" si="4"/>
        <v>2</v>
      </c>
      <c r="G22" s="1">
        <f t="shared" ca="1" si="5"/>
        <v>20.5515095023502</v>
      </c>
      <c r="H22" s="1">
        <f t="shared" ca="1" si="6"/>
        <v>9</v>
      </c>
      <c r="I22" s="1" cm="1">
        <f t="array" ref="I22">COUNT(_xlfn._xlws.FILTER($J$7:$J$10000,($L$7:$L$10000=B22)*($M$7:$M$10000&lt;&gt;"NULL")*($J$7:$J$10000 &gt;= ($G$1-4))))/5</f>
        <v>0.2</v>
      </c>
      <c r="J22" s="65">
        <v>1</v>
      </c>
      <c r="K22" t="s">
        <v>17</v>
      </c>
      <c r="L22" t="s">
        <v>167</v>
      </c>
      <c r="M22">
        <v>3.6</v>
      </c>
      <c r="N22" t="s">
        <v>9</v>
      </c>
      <c r="O22" t="s">
        <v>34</v>
      </c>
      <c r="P22">
        <f t="shared" si="2"/>
        <v>4.3102084350439949</v>
      </c>
      <c r="Q22">
        <f t="shared" si="1"/>
        <v>0.50439602120764016</v>
      </c>
      <c r="R22" s="67" cm="1">
        <f t="array" ref="R22">SUMPRODUCT((J22=$J$7:$J$1000)*(P22&lt;$P$7:$P$1000))+1</f>
        <v>14</v>
      </c>
      <c r="S22" s="72"/>
      <c r="T22">
        <v>14</v>
      </c>
      <c r="U22" t="str">
        <v>HOU</v>
      </c>
      <c r="V22" t="str">
        <v>Ezekiel Lindenmuth</v>
      </c>
      <c r="W22" t="str">
        <v>NULL</v>
      </c>
      <c r="X22" t="str">
        <v>Home</v>
      </c>
      <c r="Y22" t="str">
        <v>UTAH</v>
      </c>
      <c r="Z22">
        <v>2.7651790030785479</v>
      </c>
    </row>
    <row r="23" spans="1:26" x14ac:dyDescent="0.35">
      <c r="A23">
        <f>VLOOKUP($B23, PlayerIDs!$A$1:$B$1000, 2, FALSE)</f>
        <v>738</v>
      </c>
      <c r="B23" t="s">
        <v>463</v>
      </c>
      <c r="C23" s="1">
        <v>9.2229621067464649</v>
      </c>
      <c r="D23" s="1">
        <f t="shared" si="3"/>
        <v>4</v>
      </c>
      <c r="E23" s="1" cm="1">
        <f t="array" ref="E23">IFERROR(VLOOKUP($B23,_xlfn._xlws.FILTER($L$7:$P$10000,$J$7:$J$10000=G$1+1),5, FALSE), 0)</f>
        <v>9.2961851574427499</v>
      </c>
      <c r="F23" s="1">
        <f t="shared" si="4"/>
        <v>3</v>
      </c>
      <c r="G23" s="1">
        <f t="shared" ca="1" si="5"/>
        <v>28.382460835790674</v>
      </c>
      <c r="H23" s="1">
        <f t="shared" ca="1" si="6"/>
        <v>2</v>
      </c>
      <c r="I23" s="1" cm="1">
        <f t="array" ref="I23">COUNT(_xlfn._xlws.FILTER($J$7:$J$10000,($L$7:$L$10000=B23)*($M$7:$M$10000&lt;&gt;"NULL")*($J$7:$J$10000 &gt;= ($G$1-4))))/5</f>
        <v>0.8</v>
      </c>
      <c r="J23" s="65">
        <v>1</v>
      </c>
      <c r="K23" t="s">
        <v>14</v>
      </c>
      <c r="L23" t="s">
        <v>413</v>
      </c>
      <c r="M23">
        <v>3.5</v>
      </c>
      <c r="N23" t="s">
        <v>9</v>
      </c>
      <c r="O23" t="s">
        <v>4</v>
      </c>
      <c r="P23">
        <f t="shared" si="2"/>
        <v>5.832720203674592</v>
      </c>
      <c r="Q23">
        <f t="shared" si="1"/>
        <v>5.4415835486316295</v>
      </c>
      <c r="R23" s="67" cm="1">
        <f t="array" ref="R23">SUMPRODUCT((J23=$J$7:$J$1000)*(P23&lt;$P$7:$P$1000))+1</f>
        <v>8</v>
      </c>
      <c r="S23" s="72"/>
      <c r="T23">
        <v>14</v>
      </c>
      <c r="U23" t="str">
        <v>HOU</v>
      </c>
      <c r="V23" t="str">
        <v>Michael Scott</v>
      </c>
      <c r="W23" t="str">
        <v>NULL</v>
      </c>
      <c r="X23" t="str">
        <v>Home</v>
      </c>
      <c r="Y23" t="str">
        <v>UTAH</v>
      </c>
      <c r="Z23">
        <v>0.61396837840924157</v>
      </c>
    </row>
    <row r="24" spans="1:26" x14ac:dyDescent="0.35">
      <c r="A24">
        <f>VLOOKUP($B24, PlayerIDs!$A$1:$B$1000, 2, FALSE)</f>
        <v>696</v>
      </c>
      <c r="B24" t="s">
        <v>466</v>
      </c>
      <c r="C24" s="1">
        <v>8.7451071862629153</v>
      </c>
      <c r="D24" s="1">
        <f t="shared" si="3"/>
        <v>5</v>
      </c>
      <c r="E24" s="1" cm="1">
        <f t="array" ref="E24">IFERROR(VLOOKUP($B24,_xlfn._xlws.FILTER($L$7:$P$10000,$J$7:$J$10000=G$1+1),5, FALSE), 0)</f>
        <v>7.471129035621777</v>
      </c>
      <c r="F24" s="1">
        <f t="shared" si="4"/>
        <v>8</v>
      </c>
      <c r="G24" s="1">
        <f t="shared" ca="1" si="5"/>
        <v>15.612284221405989</v>
      </c>
      <c r="H24" s="1">
        <f t="shared" ca="1" si="6"/>
        <v>22</v>
      </c>
      <c r="I24" s="1" cm="1">
        <f t="array" ref="I24">COUNT(_xlfn._xlws.FILTER($J$7:$J$10000,($L$7:$L$10000=B24)*($M$7:$M$10000&lt;&gt;"NULL")*($J$7:$J$10000 &gt;= ($G$1-4))))/5</f>
        <v>0.8</v>
      </c>
      <c r="J24" s="65">
        <v>1</v>
      </c>
      <c r="K24" t="s">
        <v>7</v>
      </c>
      <c r="L24" t="s">
        <v>163</v>
      </c>
      <c r="M24">
        <v>2.9</v>
      </c>
      <c r="N24" t="s">
        <v>9</v>
      </c>
      <c r="O24" t="s">
        <v>24</v>
      </c>
      <c r="P24">
        <f t="shared" si="2"/>
        <v>4.4895055647702042</v>
      </c>
      <c r="Q24">
        <f t="shared" si="1"/>
        <v>2.5265279404354462</v>
      </c>
      <c r="R24" s="67" cm="1">
        <f t="array" ref="R24">SUMPRODUCT((J24=$J$7:$J$1000)*(P24&lt;$P$7:$P$1000))+1</f>
        <v>13</v>
      </c>
      <c r="S24" s="72"/>
      <c r="T24">
        <v>14</v>
      </c>
      <c r="U24" t="str">
        <v>HOU</v>
      </c>
      <c r="V24" t="str">
        <v>Pita Anae-Ah Sue</v>
      </c>
      <c r="W24" t="str">
        <v>NULL</v>
      </c>
      <c r="X24" t="str">
        <v>Home</v>
      </c>
      <c r="Y24" t="str">
        <v>UTAH</v>
      </c>
      <c r="Z24">
        <v>7.471129035621777</v>
      </c>
    </row>
    <row r="25" spans="1:26" x14ac:dyDescent="0.35">
      <c r="A25">
        <f>VLOOKUP($B25, PlayerIDs!$A$1:$B$1000, 2, FALSE)</f>
        <v>124</v>
      </c>
      <c r="B25" t="s">
        <v>156</v>
      </c>
      <c r="C25" s="1">
        <v>7.8029155230994247</v>
      </c>
      <c r="D25" s="1">
        <f t="shared" si="3"/>
        <v>6</v>
      </c>
      <c r="E25" s="1" cm="1">
        <f t="array" ref="E25">IFERROR(VLOOKUP($B25,_xlfn._xlws.FILTER($L$7:$P$10000,$J$7:$J$10000=G$1+1),5, FALSE), 0)</f>
        <v>8.2413371945693079</v>
      </c>
      <c r="F25" s="1">
        <f t="shared" si="4"/>
        <v>4</v>
      </c>
      <c r="G25" s="1">
        <f t="shared" ca="1" si="5"/>
        <v>24.48751970562315</v>
      </c>
      <c r="H25" s="1">
        <f t="shared" ca="1" si="6"/>
        <v>3</v>
      </c>
      <c r="I25" s="1" cm="1">
        <f t="array" ref="I25">COUNT(_xlfn._xlws.FILTER($J$7:$J$10000,($L$7:$L$10000=B25)*($M$7:$M$10000&lt;&gt;"NULL")*($J$7:$J$10000 &gt;= ($G$1-4))))/5</f>
        <v>0.8</v>
      </c>
      <c r="J25" s="65">
        <v>1</v>
      </c>
      <c r="K25" t="s">
        <v>14</v>
      </c>
      <c r="L25" t="s">
        <v>164</v>
      </c>
      <c r="M25">
        <v>2.8</v>
      </c>
      <c r="N25" t="s">
        <v>9</v>
      </c>
      <c r="O25" t="s">
        <v>4</v>
      </c>
      <c r="P25">
        <f t="shared" si="2"/>
        <v>3.6349205410104646</v>
      </c>
      <c r="Q25">
        <f t="shared" si="1"/>
        <v>0.69709230980120718</v>
      </c>
      <c r="R25" s="67" cm="1">
        <f t="array" ref="R25">SUMPRODUCT((J25=$J$7:$J$1000)*(P25&lt;$P$7:$P$1000))+1</f>
        <v>20</v>
      </c>
      <c r="S25" s="72"/>
      <c r="T25">
        <v>14</v>
      </c>
      <c r="U25" t="str">
        <v>HOU</v>
      </c>
      <c r="V25" t="str">
        <v>Pono Davis</v>
      </c>
      <c r="W25" t="str">
        <v>NULL</v>
      </c>
      <c r="X25" t="str">
        <v>Home</v>
      </c>
      <c r="Y25" t="str">
        <v>UTAH</v>
      </c>
      <c r="Z25">
        <v>1.8822639015853504</v>
      </c>
    </row>
    <row r="26" spans="1:26" x14ac:dyDescent="0.35">
      <c r="A26">
        <f>VLOOKUP($B26, PlayerIDs!$A$1:$B$1000, 2, FALSE)</f>
        <v>679</v>
      </c>
      <c r="B26" t="s">
        <v>599</v>
      </c>
      <c r="C26" s="1">
        <v>7.7498685583372868</v>
      </c>
      <c r="D26" s="1">
        <f t="shared" si="3"/>
        <v>7</v>
      </c>
      <c r="E26" s="1" cm="1">
        <f t="array" ref="E26">IFERROR(VLOOKUP($B26,_xlfn._xlws.FILTER($L$7:$P$10000,$J$7:$J$10000=G$1+1),5, FALSE), 0)</f>
        <v>7.8230916090335718</v>
      </c>
      <c r="F26" s="1">
        <f t="shared" si="4"/>
        <v>6</v>
      </c>
      <c r="G26" s="1">
        <f t="shared" ca="1" si="5"/>
        <v>23.963180190563136</v>
      </c>
      <c r="H26" s="1">
        <f t="shared" ca="1" si="6"/>
        <v>5</v>
      </c>
      <c r="I26" s="1" cm="1">
        <f t="array" ref="I26">COUNT(_xlfn._xlws.FILTER($J$7:$J$10000,($L$7:$L$10000=B26)*($M$7:$M$10000&lt;&gt;"NULL")*($J$7:$J$10000 &gt;= ($G$1-4))))/5</f>
        <v>0.2</v>
      </c>
      <c r="J26" s="65">
        <v>1</v>
      </c>
      <c r="K26" t="s">
        <v>36</v>
      </c>
      <c r="L26" t="s">
        <v>414</v>
      </c>
      <c r="M26">
        <v>2.6</v>
      </c>
      <c r="N26" t="s">
        <v>3</v>
      </c>
      <c r="O26" t="s">
        <v>2</v>
      </c>
      <c r="P26">
        <f t="shared" si="2"/>
        <v>2.2835864713913305</v>
      </c>
      <c r="Q26">
        <f t="shared" si="1"/>
        <v>0.10011752108658935</v>
      </c>
      <c r="R26" s="67" cm="1">
        <f t="array" ref="R26">SUMPRODUCT((J26=$J$7:$J$1000)*(P26&lt;$P$7:$P$1000))+1</f>
        <v>27</v>
      </c>
      <c r="S26" s="72"/>
      <c r="T26">
        <v>14</v>
      </c>
      <c r="U26" t="str">
        <v>HOU</v>
      </c>
      <c r="V26" t="str">
        <v>Seth Smith</v>
      </c>
      <c r="W26" t="str">
        <v>NULL</v>
      </c>
      <c r="X26" t="str">
        <v>Home</v>
      </c>
      <c r="Y26" t="str">
        <v>UTAH</v>
      </c>
      <c r="Z26">
        <v>4.3904931635424687</v>
      </c>
    </row>
    <row r="27" spans="1:26" x14ac:dyDescent="0.35">
      <c r="A27">
        <f>VLOOKUP($B27, PlayerIDs!$A$1:$B$1000, 2, FALSE)</f>
        <v>642</v>
      </c>
      <c r="B27" t="s">
        <v>171</v>
      </c>
      <c r="C27" s="1">
        <v>7.7272766354989342</v>
      </c>
      <c r="D27" s="1">
        <f t="shared" si="3"/>
        <v>8</v>
      </c>
      <c r="E27" s="1" cm="1">
        <f t="array" ref="E27">IFERROR(VLOOKUP($B27,_xlfn._xlws.FILTER($L$7:$P$10000,$J$7:$J$10000=G$1+1),5, FALSE), 0)</f>
        <v>8.2205632388100973</v>
      </c>
      <c r="F27" s="1">
        <f t="shared" si="4"/>
        <v>5</v>
      </c>
      <c r="G27" s="1">
        <f t="shared" ca="1" si="5"/>
        <v>24.264277984295401</v>
      </c>
      <c r="H27" s="1">
        <f t="shared" ca="1" si="6"/>
        <v>4</v>
      </c>
      <c r="I27" s="1" cm="1">
        <f t="array" ref="I27">COUNT(_xlfn._xlws.FILTER($J$7:$J$10000,($L$7:$L$10000=B27)*($M$7:$M$10000&lt;&gt;"NULL")*($J$7:$J$10000 &gt;= ($G$1-4))))/5</f>
        <v>0.2</v>
      </c>
      <c r="J27" s="65">
        <v>1</v>
      </c>
      <c r="K27" t="s">
        <v>4</v>
      </c>
      <c r="L27" t="s">
        <v>176</v>
      </c>
      <c r="M27">
        <v>2.6</v>
      </c>
      <c r="N27" t="s">
        <v>3</v>
      </c>
      <c r="O27" t="s">
        <v>14</v>
      </c>
      <c r="P27">
        <f t="shared" si="2"/>
        <v>3.858074429095609</v>
      </c>
      <c r="Q27">
        <f t="shared" si="1"/>
        <v>1.5827512691442425</v>
      </c>
      <c r="R27" s="67" cm="1">
        <f t="array" ref="R27">SUMPRODUCT((J27=$J$7:$J$1000)*(P27&lt;$P$7:$P$1000))+1</f>
        <v>16</v>
      </c>
      <c r="S27" s="72"/>
      <c r="T27">
        <v>14</v>
      </c>
      <c r="U27" t="str">
        <v>HOU</v>
      </c>
      <c r="V27" t="str">
        <v>Val Lee-Lo</v>
      </c>
      <c r="W27" t="str">
        <v>NULL</v>
      </c>
      <c r="X27" t="str">
        <v>Home</v>
      </c>
      <c r="Y27" t="str">
        <v>UTAH</v>
      </c>
      <c r="Z27">
        <v>0.96163834951546745</v>
      </c>
    </row>
    <row r="28" spans="1:26" x14ac:dyDescent="0.35">
      <c r="A28">
        <f>VLOOKUP($B28, PlayerIDs!$A$1:$B$1000, 2, FALSE)</f>
        <v>868</v>
      </c>
      <c r="B28" t="s">
        <v>669</v>
      </c>
      <c r="C28" s="1">
        <v>7.6533040567892225</v>
      </c>
      <c r="D28" s="1">
        <f t="shared" si="3"/>
        <v>9</v>
      </c>
      <c r="E28" s="1" cm="1">
        <f t="array" ref="E28">IFERROR(VLOOKUP($B28,_xlfn._xlws.FILTER($L$7:$P$10000,$J$7:$J$10000=G$1+1),5, FALSE), 0)</f>
        <v>7.5484815371002991</v>
      </c>
      <c r="F28" s="1">
        <f t="shared" si="4"/>
        <v>7</v>
      </c>
      <c r="G28" s="1">
        <f t="shared" ca="1" si="5"/>
        <v>21.95211393638748</v>
      </c>
      <c r="H28" s="1">
        <f t="shared" ca="1" si="6"/>
        <v>7</v>
      </c>
      <c r="I28" s="1" cm="1">
        <f t="array" ref="I28">COUNT(_xlfn._xlws.FILTER($J$7:$J$10000,($L$7:$L$10000=B28)*($M$7:$M$10000&lt;&gt;"NULL")*($J$7:$J$10000 &gt;= ($G$1-4))))/5</f>
        <v>0.2</v>
      </c>
      <c r="J28" s="65">
        <v>1</v>
      </c>
      <c r="K28" t="s">
        <v>17</v>
      </c>
      <c r="L28" t="s">
        <v>155</v>
      </c>
      <c r="M28">
        <v>2.5</v>
      </c>
      <c r="N28" t="s">
        <v>9</v>
      </c>
      <c r="O28" t="s">
        <v>34</v>
      </c>
      <c r="P28">
        <f t="shared" si="2"/>
        <v>6.6389311779385975</v>
      </c>
      <c r="Q28">
        <f t="shared" si="1"/>
        <v>17.130751295712187</v>
      </c>
      <c r="R28" s="67" cm="1">
        <f t="array" ref="R28">SUMPRODUCT((J28=$J$7:$J$1000)*(P28&lt;$P$7:$P$1000))+1</f>
        <v>5</v>
      </c>
      <c r="S28" s="72"/>
      <c r="T28">
        <v>14</v>
      </c>
      <c r="U28" t="str">
        <v>LA</v>
      </c>
      <c r="V28" t="str">
        <v>Alessandro Heaney</v>
      </c>
      <c r="W28" t="str">
        <v>NULL</v>
      </c>
      <c r="X28" t="str">
        <v>Away</v>
      </c>
      <c r="Y28" t="str">
        <v>CHI</v>
      </c>
      <c r="Z28">
        <v>3.3752318082034178</v>
      </c>
    </row>
    <row r="29" spans="1:26" x14ac:dyDescent="0.35">
      <c r="A29">
        <f>VLOOKUP($B29, PlayerIDs!$A$1:$B$1000, 2, FALSE)</f>
        <v>171</v>
      </c>
      <c r="B29" t="s">
        <v>161</v>
      </c>
      <c r="C29" s="1">
        <v>7.4089044116599867</v>
      </c>
      <c r="D29" s="1">
        <f t="shared" si="3"/>
        <v>10</v>
      </c>
      <c r="E29" s="1" cm="1">
        <f t="array" ref="E29">IFERROR(VLOOKUP($B29,_xlfn._xlws.FILTER($L$7:$P$10000,$J$7:$J$10000=G$1+1),5, FALSE), 0)</f>
        <v>6.8049524111812847</v>
      </c>
      <c r="F29" s="1">
        <f t="shared" si="4"/>
        <v>12</v>
      </c>
      <c r="G29" s="1">
        <f t="shared" ca="1" si="5"/>
        <v>13.87370660174868</v>
      </c>
      <c r="H29" s="1">
        <f t="shared" ca="1" si="6"/>
        <v>29</v>
      </c>
      <c r="I29" s="1" cm="1">
        <f t="array" ref="I29">COUNT(_xlfn._xlws.FILTER($J$7:$J$10000,($L$7:$L$10000=B29)*($M$7:$M$10000&lt;&gt;"NULL")*($J$7:$J$10000 &gt;= ($G$1-4))))/5</f>
        <v>1</v>
      </c>
      <c r="J29" s="65">
        <v>1</v>
      </c>
      <c r="K29" t="s">
        <v>7</v>
      </c>
      <c r="L29" t="s">
        <v>148</v>
      </c>
      <c r="M29">
        <v>2.2999999999999998</v>
      </c>
      <c r="N29" t="s">
        <v>9</v>
      </c>
      <c r="O29" t="s">
        <v>24</v>
      </c>
      <c r="P29">
        <f t="shared" si="2"/>
        <v>2.9488127121473231</v>
      </c>
      <c r="Q29">
        <f t="shared" si="1"/>
        <v>0.42095793544396537</v>
      </c>
      <c r="R29" s="67" cm="1">
        <f t="array" ref="R29">SUMPRODUCT((J29=$J$7:$J$1000)*(P29&lt;$P$7:$P$1000))+1</f>
        <v>23</v>
      </c>
      <c r="S29" s="72"/>
      <c r="T29">
        <v>14</v>
      </c>
      <c r="U29" t="str">
        <v>LA</v>
      </c>
      <c r="V29" t="str">
        <v>Ben Strang</v>
      </c>
      <c r="W29" t="str">
        <v>NULL</v>
      </c>
      <c r="X29" t="str">
        <v>Away</v>
      </c>
      <c r="Y29" t="str">
        <v>CHI</v>
      </c>
      <c r="Z29">
        <v>10.947317369759668</v>
      </c>
    </row>
    <row r="30" spans="1:26" x14ac:dyDescent="0.35">
      <c r="A30">
        <f>VLOOKUP($B30, PlayerIDs!$A$1:$B$1000, 2, FALSE)</f>
        <v>801</v>
      </c>
      <c r="B30" t="s">
        <v>555</v>
      </c>
      <c r="C30" s="1">
        <v>7.150201685767569</v>
      </c>
      <c r="D30" s="1">
        <f t="shared" si="3"/>
        <v>11</v>
      </c>
      <c r="E30" s="1" cm="1">
        <f t="array" ref="E30">IFERROR(VLOOKUP($B30,_xlfn._xlws.FILTER($L$7:$P$10000,$J$7:$J$10000=G$1+1),5, FALSE), 0)</f>
        <v>7.0453791660786456</v>
      </c>
      <c r="F30" s="1">
        <f t="shared" si="4"/>
        <v>10</v>
      </c>
      <c r="G30" s="1">
        <f t="shared" ca="1" si="5"/>
        <v>20.44280682332252</v>
      </c>
      <c r="H30" s="1">
        <f t="shared" ca="1" si="6"/>
        <v>10</v>
      </c>
      <c r="I30" s="1" cm="1">
        <f t="array" ref="I30">COUNT(_xlfn._xlws.FILTER($J$7:$J$10000,($L$7:$L$10000=B30)*($M$7:$M$10000&lt;&gt;"NULL")*($J$7:$J$10000 &gt;= ($G$1-4))))/5</f>
        <v>0.2</v>
      </c>
      <c r="J30" s="65">
        <v>1</v>
      </c>
      <c r="K30" t="s">
        <v>6</v>
      </c>
      <c r="L30" t="s">
        <v>417</v>
      </c>
      <c r="M30">
        <v>1.9</v>
      </c>
      <c r="N30" t="s">
        <v>3</v>
      </c>
      <c r="O30" t="s">
        <v>23</v>
      </c>
      <c r="P30">
        <f t="shared" si="2"/>
        <v>5.005693785788849</v>
      </c>
      <c r="Q30">
        <f t="shared" si="1"/>
        <v>9.6453338910874731</v>
      </c>
      <c r="R30" s="67" cm="1">
        <f t="array" ref="R30">SUMPRODUCT((J30=$J$7:$J$1000)*(P30&lt;$P$7:$P$1000))+1</f>
        <v>12</v>
      </c>
      <c r="S30" s="72"/>
      <c r="T30">
        <v>14</v>
      </c>
      <c r="U30" t="str">
        <v>LA</v>
      </c>
      <c r="V30" t="str">
        <v>Ben Sugars</v>
      </c>
      <c r="W30" t="str">
        <v>NULL</v>
      </c>
      <c r="X30" t="str">
        <v>Away</v>
      </c>
      <c r="Y30" t="str">
        <v>CHI</v>
      </c>
      <c r="Z30">
        <v>4.5973389721587274</v>
      </c>
    </row>
    <row r="31" spans="1:26" x14ac:dyDescent="0.35">
      <c r="A31">
        <f>VLOOKUP($B31, PlayerIDs!$A$1:$B$1000, 2, FALSE)</f>
        <v>787</v>
      </c>
      <c r="B31" t="s">
        <v>549</v>
      </c>
      <c r="C31" s="1">
        <v>7.127585619692181</v>
      </c>
      <c r="D31" s="1">
        <f t="shared" si="3"/>
        <v>12</v>
      </c>
      <c r="E31" s="1" cm="1">
        <f t="array" ref="E31">IFERROR(VLOOKUP($B31,_xlfn._xlws.FILTER($L$7:$P$10000,$J$7:$J$10000=G$1+1),5, FALSE), 0)</f>
        <v>6.7874353985995892</v>
      </c>
      <c r="F31" s="1">
        <f t="shared" si="4"/>
        <v>14</v>
      </c>
      <c r="G31" s="1">
        <f t="shared" ca="1" si="5"/>
        <v>20.028621635230223</v>
      </c>
      <c r="H31" s="1">
        <f t="shared" ca="1" si="6"/>
        <v>11</v>
      </c>
      <c r="I31" s="1" cm="1">
        <f t="array" ref="I31">COUNT(_xlfn._xlws.FILTER($J$7:$J$10000,($L$7:$L$10000=B31)*($M$7:$M$10000&lt;&gt;"NULL")*($J$7:$J$10000 &gt;= ($G$1-4))))/5</f>
        <v>0</v>
      </c>
      <c r="J31" s="65">
        <v>1</v>
      </c>
      <c r="K31" t="s">
        <v>24</v>
      </c>
      <c r="L31" t="s">
        <v>179</v>
      </c>
      <c r="M31">
        <v>1.8</v>
      </c>
      <c r="N31" t="s">
        <v>3</v>
      </c>
      <c r="O31" t="s">
        <v>7</v>
      </c>
      <c r="P31">
        <f t="shared" si="2"/>
        <v>2.7087204530350757</v>
      </c>
      <c r="Q31">
        <f t="shared" si="1"/>
        <v>0.82577286176427311</v>
      </c>
      <c r="R31" s="67" cm="1">
        <f t="array" ref="R31">SUMPRODUCT((J31=$J$7:$J$1000)*(P31&lt;$P$7:$P$1000))+1</f>
        <v>24</v>
      </c>
      <c r="S31" s="72"/>
      <c r="T31">
        <v>14</v>
      </c>
      <c r="U31" t="str">
        <v>LA</v>
      </c>
      <c r="V31" t="str">
        <v>Cronan Gleeson</v>
      </c>
      <c r="W31" t="str">
        <v>NULL</v>
      </c>
      <c r="X31" t="str">
        <v>Away</v>
      </c>
      <c r="Y31" t="str">
        <v>CHI</v>
      </c>
      <c r="Z31">
        <v>0.2049736930387408</v>
      </c>
    </row>
    <row r="32" spans="1:26" x14ac:dyDescent="0.35">
      <c r="A32">
        <f>VLOOKUP($B32, PlayerIDs!$A$1:$B$1000, 2, FALSE)</f>
        <v>15</v>
      </c>
      <c r="B32" t="s">
        <v>465</v>
      </c>
      <c r="C32" s="1">
        <v>6.6337916289490231</v>
      </c>
      <c r="D32" s="1">
        <f t="shared" si="3"/>
        <v>13</v>
      </c>
      <c r="E32" s="1" cm="1">
        <f t="array" ref="E32">IFERROR(VLOOKUP($B32,_xlfn._xlws.FILTER($L$7:$P$10000,$J$7:$J$10000=G$1+1),5, FALSE), 0)</f>
        <v>6.9373239228902213</v>
      </c>
      <c r="F32" s="1">
        <f t="shared" si="4"/>
        <v>11</v>
      </c>
      <c r="G32" s="1">
        <f t="shared" ca="1" si="5"/>
        <v>21.997132578073863</v>
      </c>
      <c r="H32" s="1">
        <f t="shared" ca="1" si="6"/>
        <v>6</v>
      </c>
      <c r="I32" s="1" cm="1">
        <f t="array" ref="I32">COUNT(_xlfn._xlws.FILTER($J$7:$J$10000,($L$7:$L$10000=B32)*($M$7:$M$10000&lt;&gt;"NULL")*($J$7:$J$10000 &gt;= ($G$1-4))))/5</f>
        <v>0</v>
      </c>
      <c r="J32" s="65">
        <v>1</v>
      </c>
      <c r="K32" t="s">
        <v>4</v>
      </c>
      <c r="L32" t="s">
        <v>172</v>
      </c>
      <c r="M32">
        <v>1.5</v>
      </c>
      <c r="N32" t="s">
        <v>3</v>
      </c>
      <c r="O32" t="s">
        <v>14</v>
      </c>
      <c r="P32">
        <f t="shared" si="2"/>
        <v>3.0251827673300165</v>
      </c>
      <c r="Q32">
        <f t="shared" si="1"/>
        <v>2.3261824737604471</v>
      </c>
      <c r="R32" s="67" cm="1">
        <f t="array" ref="R32">SUMPRODUCT((J32=$J$7:$J$1000)*(P32&lt;$P$7:$P$1000))+1</f>
        <v>22</v>
      </c>
      <c r="S32" s="72"/>
      <c r="T32">
        <v>14</v>
      </c>
      <c r="U32" t="str">
        <v>LA</v>
      </c>
      <c r="V32" t="str">
        <v>Dane Zander</v>
      </c>
      <c r="W32" t="str">
        <v>NULL</v>
      </c>
      <c r="X32" t="str">
        <v>Away</v>
      </c>
      <c r="Y32" t="str">
        <v>CHI</v>
      </c>
      <c r="Z32">
        <v>-1.0583877223580398</v>
      </c>
    </row>
    <row r="33" spans="1:26" x14ac:dyDescent="0.35">
      <c r="A33">
        <f>VLOOKUP($B33, PlayerIDs!$A$1:$B$1000, 2, FALSE)</f>
        <v>19</v>
      </c>
      <c r="B33" t="s">
        <v>144</v>
      </c>
      <c r="C33" s="1">
        <v>6.1705159653584358</v>
      </c>
      <c r="D33" s="1">
        <f t="shared" si="3"/>
        <v>14</v>
      </c>
      <c r="E33" s="1" cm="1">
        <f t="array" ref="E33">IFERROR(VLOOKUP($B33,_xlfn._xlws.FILTER($L$7:$P$10000,$J$7:$J$10000=G$1+1),5, FALSE), 0)</f>
        <v>5.8303657442658441</v>
      </c>
      <c r="F33" s="1">
        <f t="shared" si="4"/>
        <v>21</v>
      </c>
      <c r="G33" s="1">
        <f t="shared" ca="1" si="5"/>
        <v>17.15741267222899</v>
      </c>
      <c r="H33" s="1">
        <f t="shared" ca="1" si="6"/>
        <v>19</v>
      </c>
      <c r="I33" s="1" cm="1">
        <f t="array" ref="I33">COUNT(_xlfn._xlws.FILTER($J$7:$J$10000,($L$7:$L$10000=B33)*($M$7:$M$10000&lt;&gt;"NULL")*($J$7:$J$10000 &gt;= ($G$1-4))))/5</f>
        <v>0.8</v>
      </c>
      <c r="J33" s="65">
        <v>1</v>
      </c>
      <c r="K33" t="s">
        <v>2</v>
      </c>
      <c r="L33" t="s">
        <v>159</v>
      </c>
      <c r="M33">
        <v>1.3</v>
      </c>
      <c r="N33" t="s">
        <v>9</v>
      </c>
      <c r="O33" t="s">
        <v>36</v>
      </c>
      <c r="P33">
        <f t="shared" si="2"/>
        <v>2.441956347018484</v>
      </c>
      <c r="Q33">
        <f t="shared" si="1"/>
        <v>1.3040642984958</v>
      </c>
      <c r="R33" s="67" cm="1">
        <f t="array" ref="R33">SUMPRODUCT((J33=$J$7:$J$1000)*(P33&lt;$P$7:$P$1000))+1</f>
        <v>25</v>
      </c>
      <c r="S33" s="72"/>
      <c r="T33">
        <v>14</v>
      </c>
      <c r="U33" t="str">
        <v>LA</v>
      </c>
      <c r="V33" t="str">
        <v>Declan Leaney</v>
      </c>
      <c r="W33" t="str">
        <v>NULL</v>
      </c>
      <c r="X33" t="str">
        <v>Away</v>
      </c>
      <c r="Y33" t="str">
        <v>CHI</v>
      </c>
      <c r="Z33">
        <v>7.0453791660786456</v>
      </c>
    </row>
    <row r="34" spans="1:26" x14ac:dyDescent="0.35">
      <c r="A34">
        <f>VLOOKUP($B34, PlayerIDs!$A$1:$B$1000, 2, FALSE)</f>
        <v>858</v>
      </c>
      <c r="B34" t="s">
        <v>464</v>
      </c>
      <c r="C34" s="1">
        <v>6.0340880713241116</v>
      </c>
      <c r="D34" s="1">
        <f t="shared" si="3"/>
        <v>15</v>
      </c>
      <c r="E34" s="1" cm="1">
        <f t="array" ref="E34">IFERROR(VLOOKUP($B34,_xlfn._xlws.FILTER($L$7:$P$10000,$J$7:$J$10000=G$1+1),5, FALSE), 0)</f>
        <v>6.1073111220203966</v>
      </c>
      <c r="F34" s="1">
        <f t="shared" si="4"/>
        <v>17</v>
      </c>
      <c r="G34" s="1">
        <f t="shared" ca="1" si="5"/>
        <v>18.815838729523612</v>
      </c>
      <c r="H34" s="1">
        <f t="shared" ca="1" si="6"/>
        <v>13</v>
      </c>
      <c r="I34" s="1" cm="1">
        <f t="array" ref="I34">COUNT(_xlfn._xlws.FILTER($J$7:$J$10000,($L$7:$L$10000=B34)*($M$7:$M$10000&lt;&gt;"NULL")*($J$7:$J$10000 &gt;= ($G$1-4))))/5</f>
        <v>0.8</v>
      </c>
      <c r="J34" s="65">
        <v>1</v>
      </c>
      <c r="K34" t="s">
        <v>14</v>
      </c>
      <c r="L34" t="s">
        <v>181</v>
      </c>
      <c r="M34">
        <v>-1.7</v>
      </c>
      <c r="N34" t="s">
        <v>9</v>
      </c>
      <c r="O34" t="s">
        <v>4</v>
      </c>
      <c r="P34">
        <f t="shared" si="2"/>
        <v>5.0509391702192161</v>
      </c>
      <c r="Q34">
        <f t="shared" si="1"/>
        <v>45.575179680000119</v>
      </c>
      <c r="R34" s="67" cm="1">
        <f t="array" ref="R34">SUMPRODUCT((J34=$J$7:$J$1000)*(P34&lt;$P$7:$P$1000))+1</f>
        <v>11</v>
      </c>
      <c r="S34" s="72"/>
      <c r="T34">
        <v>14</v>
      </c>
      <c r="U34" t="str">
        <v>LA</v>
      </c>
      <c r="V34" t="str">
        <v>Franco van den Berg</v>
      </c>
      <c r="W34" t="str">
        <v>NULL</v>
      </c>
      <c r="X34" t="str">
        <v>Away</v>
      </c>
      <c r="Y34" t="str">
        <v>CHI</v>
      </c>
      <c r="Z34">
        <v>2.2887198834769751</v>
      </c>
    </row>
    <row r="35" spans="1:26" x14ac:dyDescent="0.35">
      <c r="A35">
        <f>VLOOKUP($B35, PlayerIDs!$A$1:$B$1000, 2, FALSE)</f>
        <v>115</v>
      </c>
      <c r="B35" t="s">
        <v>351</v>
      </c>
      <c r="C35" s="1">
        <v>5.9999815114955837</v>
      </c>
      <c r="D35" s="1">
        <f t="shared" si="3"/>
        <v>16</v>
      </c>
      <c r="E35" s="1" cm="1">
        <f t="array" ref="E35">IFERROR(VLOOKUP($B35,_xlfn._xlws.FILTER($L$7:$P$10000,$J$7:$J$10000=G$1+1),5, FALSE), 0)</f>
        <v>5.3960295110168817</v>
      </c>
      <c r="F35" s="1">
        <f t="shared" si="4"/>
        <v>23</v>
      </c>
      <c r="G35" s="1">
        <f t="shared" ca="1" si="5"/>
        <v>11.055860801419874</v>
      </c>
      <c r="H35" s="1">
        <f t="shared" ca="1" si="6"/>
        <v>36</v>
      </c>
      <c r="I35" s="1" cm="1">
        <f t="array" ref="I35">COUNT(_xlfn._xlws.FILTER($J$7:$J$10000,($L$7:$L$10000=B35)*($M$7:$M$10000&lt;&gt;"NULL")*($J$7:$J$10000 &gt;= ($G$1-4))))/5</f>
        <v>0</v>
      </c>
      <c r="J35" s="65">
        <v>1</v>
      </c>
      <c r="K35" t="s">
        <v>6</v>
      </c>
      <c r="L35" t="s">
        <v>418</v>
      </c>
      <c r="M35">
        <v>-2.8</v>
      </c>
      <c r="N35" t="s">
        <v>3</v>
      </c>
      <c r="O35" t="s">
        <v>23</v>
      </c>
      <c r="P35">
        <f t="shared" si="2"/>
        <v>0.61332850666886274</v>
      </c>
      <c r="Q35">
        <f t="shared" si="1"/>
        <v>11.650811494438285</v>
      </c>
      <c r="R35" s="67" cm="1">
        <f t="array" ref="R35">SUMPRODUCT((J35=$J$7:$J$1000)*(P35&lt;$P$7:$P$1000))+1</f>
        <v>29</v>
      </c>
      <c r="S35" s="72"/>
      <c r="T35">
        <v>14</v>
      </c>
      <c r="U35" t="str">
        <v>LA</v>
      </c>
      <c r="V35" t="str">
        <v>Justus Tavai</v>
      </c>
      <c r="W35" t="str">
        <v>NULL</v>
      </c>
      <c r="X35" t="str">
        <v>Away</v>
      </c>
      <c r="Y35" t="str">
        <v>CHI</v>
      </c>
      <c r="Z35">
        <v>7.5484815371002991</v>
      </c>
    </row>
    <row r="36" spans="1:26" x14ac:dyDescent="0.35">
      <c r="A36">
        <f>VLOOKUP($B36, PlayerIDs!$A$1:$B$1000, 2, FALSE)</f>
        <v>546</v>
      </c>
      <c r="B36" t="s">
        <v>527</v>
      </c>
      <c r="C36" s="1">
        <v>5.9818795017025703</v>
      </c>
      <c r="D36" s="1">
        <f t="shared" si="3"/>
        <v>17</v>
      </c>
      <c r="E36" s="1" cm="1">
        <f t="array" ref="E36">IFERROR(VLOOKUP($B36,_xlfn._xlws.FILTER($L$7:$P$10000,$J$7:$J$10000=G$1+1),5, FALSE), 0)</f>
        <v>6.4203011731724526</v>
      </c>
      <c r="F36" s="1">
        <f t="shared" si="4"/>
        <v>16</v>
      </c>
      <c r="G36" s="1">
        <f t="shared" ca="1" si="5"/>
        <v>19.024411641432586</v>
      </c>
      <c r="H36" s="1">
        <f t="shared" ca="1" si="6"/>
        <v>12</v>
      </c>
      <c r="I36" s="1" cm="1">
        <f t="array" ref="I36">COUNT(_xlfn._xlws.FILTER($J$7:$J$10000,($L$7:$L$10000=B36)*($M$7:$M$10000&lt;&gt;"NULL")*($J$7:$J$10000 &gt;= ($G$1-4))))/5</f>
        <v>0.2</v>
      </c>
      <c r="J36" s="65">
        <v>1</v>
      </c>
      <c r="K36" t="s">
        <v>24</v>
      </c>
      <c r="L36" t="s">
        <v>142</v>
      </c>
      <c r="M36">
        <v>-7.7</v>
      </c>
      <c r="N36" t="s">
        <v>3</v>
      </c>
      <c r="O36" t="s">
        <v>7</v>
      </c>
      <c r="P36">
        <f t="shared" si="2"/>
        <v>-0.79463544533870811</v>
      </c>
      <c r="Q36">
        <f t="shared" si="1"/>
        <v>47.684059632772538</v>
      </c>
      <c r="R36" s="67" cm="1">
        <f t="array" ref="R36">SUMPRODUCT((J36=$J$7:$J$1000)*(P36&lt;$P$7:$P$1000))+1</f>
        <v>30</v>
      </c>
      <c r="S36" s="72"/>
      <c r="T36">
        <v>14</v>
      </c>
      <c r="U36" t="str">
        <v>LA</v>
      </c>
      <c r="V36" t="str">
        <v>Maliu Niuafe</v>
      </c>
      <c r="W36" t="str">
        <v>NULL</v>
      </c>
      <c r="X36" t="str">
        <v>Away</v>
      </c>
      <c r="Y36" t="str">
        <v>CHI</v>
      </c>
      <c r="Z36">
        <v>2.1624441399562624</v>
      </c>
    </row>
    <row r="37" spans="1:26" x14ac:dyDescent="0.35">
      <c r="A37">
        <f>VLOOKUP($B37, PlayerIDs!$A$1:$B$1000, 2, FALSE)</f>
        <v>820</v>
      </c>
      <c r="B37" t="s">
        <v>413</v>
      </c>
      <c r="C37" s="1">
        <v>5.8384478330544125</v>
      </c>
      <c r="D37" s="1">
        <f t="shared" si="3"/>
        <v>18</v>
      </c>
      <c r="E37" s="1" cm="1">
        <f t="array" ref="E37">IFERROR(VLOOKUP($B37,_xlfn._xlws.FILTER($L$7:$P$10000,$J$7:$J$10000=G$1+1),5, FALSE), 0)</f>
        <v>5.2756223398557411</v>
      </c>
      <c r="F37" s="1">
        <f t="shared" si="4"/>
        <v>27</v>
      </c>
      <c r="G37" s="1">
        <f t="shared" ca="1" si="5"/>
        <v>15.573717335634505</v>
      </c>
      <c r="H37" s="1">
        <f t="shared" ca="1" si="6"/>
        <v>23</v>
      </c>
      <c r="I37" s="1" cm="1">
        <f t="array" ref="I37">COUNT(_xlfn._xlws.FILTER($J$7:$J$10000,($L$7:$L$10000=B37)*($M$7:$M$10000&lt;&gt;"NULL")*($J$7:$J$10000 &gt;= ($G$1-4))))/5</f>
        <v>0.2</v>
      </c>
      <c r="J37" s="65">
        <v>2</v>
      </c>
      <c r="K37" t="s">
        <v>34</v>
      </c>
      <c r="L37" t="s">
        <v>462</v>
      </c>
      <c r="M37">
        <v>13.1</v>
      </c>
      <c r="N37" t="s">
        <v>9</v>
      </c>
      <c r="O37" t="s">
        <v>14</v>
      </c>
      <c r="P37">
        <f t="shared" si="2"/>
        <v>11.24109246527191</v>
      </c>
      <c r="Q37">
        <f t="shared" si="1"/>
        <v>3.4555372226688639</v>
      </c>
      <c r="R37" s="67" cm="1">
        <f t="array" ref="R37">SUMPRODUCT((J37=$J$7:$J$1000)*(P37&lt;$P$7:$P$1000))+1</f>
        <v>1</v>
      </c>
      <c r="S37" s="72"/>
      <c r="T37">
        <v>14</v>
      </c>
      <c r="U37" t="str">
        <v>LA</v>
      </c>
      <c r="V37" t="str">
        <v>Mike Sosene Feagai</v>
      </c>
      <c r="W37" t="str">
        <v>NULL</v>
      </c>
      <c r="X37" t="str">
        <v>Away</v>
      </c>
      <c r="Y37" t="str">
        <v>CHI</v>
      </c>
      <c r="Z37">
        <v>4.8115672314832052</v>
      </c>
    </row>
    <row r="38" spans="1:26" x14ac:dyDescent="0.35">
      <c r="A38">
        <f>VLOOKUP($B38, PlayerIDs!$A$1:$B$1000, 2, FALSE)</f>
        <v>237</v>
      </c>
      <c r="B38" t="s">
        <v>412</v>
      </c>
      <c r="C38" s="1">
        <v>5.6881196982457523</v>
      </c>
      <c r="D38" s="1">
        <f t="shared" si="3"/>
        <v>19</v>
      </c>
      <c r="E38" s="1" cm="1">
        <f t="array" ref="E38">IFERROR(VLOOKUP($B38,_xlfn._xlws.FILTER($L$7:$P$10000,$J$7:$J$10000=G$1+1),5, FALSE), 0)</f>
        <v>5.3479694771531605</v>
      </c>
      <c r="F38" s="1">
        <f t="shared" si="4"/>
        <v>24</v>
      </c>
      <c r="G38" s="1">
        <f t="shared" ca="1" si="5"/>
        <v>15.710223870890939</v>
      </c>
      <c r="H38" s="1">
        <f t="shared" ca="1" si="6"/>
        <v>21</v>
      </c>
      <c r="I38" s="1" cm="1">
        <f t="array" ref="I38">COUNT(_xlfn._xlws.FILTER($J$7:$J$10000,($L$7:$L$10000=B38)*($M$7:$M$10000&lt;&gt;"NULL")*($J$7:$J$10000 &gt;= ($G$1-4))))/5</f>
        <v>0.2</v>
      </c>
      <c r="J38" s="65">
        <v>2</v>
      </c>
      <c r="K38" t="s">
        <v>2</v>
      </c>
      <c r="L38" t="s">
        <v>156</v>
      </c>
      <c r="M38">
        <v>10.7</v>
      </c>
      <c r="N38" t="s">
        <v>3</v>
      </c>
      <c r="O38" t="s">
        <v>13</v>
      </c>
      <c r="P38">
        <f t="shared" si="2"/>
        <v>6.5289373724582864</v>
      </c>
      <c r="Q38">
        <f t="shared" si="1"/>
        <v>17.397763442875178</v>
      </c>
      <c r="R38" s="67" cm="1">
        <f t="array" ref="R38">SUMPRODUCT((J38=$J$7:$J$1000)*(P38&lt;$P$7:$P$1000))+1</f>
        <v>8</v>
      </c>
      <c r="S38" s="72"/>
      <c r="T38">
        <v>14</v>
      </c>
      <c r="U38" t="str">
        <v>MIA</v>
      </c>
      <c r="V38" t="str">
        <v>Alec McDonnell</v>
      </c>
      <c r="W38" t="str">
        <v>NULL</v>
      </c>
      <c r="X38" t="str">
        <v>Home</v>
      </c>
      <c r="Y38" t="str">
        <v>NEFJ</v>
      </c>
      <c r="Z38">
        <v>7.1722341801161105E-2</v>
      </c>
    </row>
    <row r="39" spans="1:26" x14ac:dyDescent="0.35">
      <c r="A39">
        <f>VLOOKUP($B39, PlayerIDs!$A$1:$B$1000, 2, FALSE)</f>
        <v>576</v>
      </c>
      <c r="B39" t="s">
        <v>283</v>
      </c>
      <c r="C39" s="1">
        <v>5.6644713141836069</v>
      </c>
      <c r="D39" s="1">
        <f t="shared" si="3"/>
        <v>20</v>
      </c>
      <c r="E39" s="1" cm="1">
        <f t="array" ref="E39">IFERROR(VLOOKUP($B39,_xlfn._xlws.FILTER($L$7:$P$10000,$J$7:$J$10000=G$1+1),5, FALSE), 0)</f>
        <v>4.3904931635424687</v>
      </c>
      <c r="F39" s="1">
        <f t="shared" si="4"/>
        <v>35</v>
      </c>
      <c r="G39" s="1">
        <f t="shared" ca="1" si="5"/>
        <v>9.4510124772473745</v>
      </c>
      <c r="H39" s="1">
        <f t="shared" ca="1" si="6"/>
        <v>44</v>
      </c>
      <c r="I39" s="1" cm="1">
        <f t="array" ref="I39">COUNT(_xlfn._xlws.FILTER($J$7:$J$10000,($L$7:$L$10000=B39)*($M$7:$M$10000&lt;&gt;"NULL")*($J$7:$J$10000 &gt;= ($G$1-4))))/5</f>
        <v>0.2</v>
      </c>
      <c r="J39" s="65">
        <v>2</v>
      </c>
      <c r="K39" t="s">
        <v>34</v>
      </c>
      <c r="L39" t="s">
        <v>351</v>
      </c>
      <c r="M39">
        <v>10.7</v>
      </c>
      <c r="N39" t="s">
        <v>9</v>
      </c>
      <c r="O39" t="s">
        <v>14</v>
      </c>
      <c r="P39">
        <f t="shared" si="2"/>
        <v>6.4932681148067477</v>
      </c>
      <c r="Q39">
        <f t="shared" si="1"/>
        <v>17.696593153901567</v>
      </c>
      <c r="R39" s="67" cm="1">
        <f t="array" ref="R39">SUMPRODUCT((J39=$J$7:$J$1000)*(P39&lt;$P$7:$P$1000))+1</f>
        <v>9</v>
      </c>
      <c r="S39" s="72"/>
      <c r="T39">
        <v>14</v>
      </c>
      <c r="U39" t="str">
        <v>MIA</v>
      </c>
      <c r="V39" t="str">
        <v>Alex Tucci</v>
      </c>
      <c r="W39" t="str">
        <v>NULL</v>
      </c>
      <c r="X39" t="str">
        <v>Home</v>
      </c>
      <c r="Y39" t="str">
        <v>NEFJ</v>
      </c>
      <c r="Z39">
        <v>6.9373239228902213</v>
      </c>
    </row>
    <row r="40" spans="1:26" x14ac:dyDescent="0.35">
      <c r="A40">
        <f>VLOOKUP($B40, PlayerIDs!$A$1:$B$1000, 2, FALSE)</f>
        <v>84</v>
      </c>
      <c r="B40" t="s">
        <v>248</v>
      </c>
      <c r="C40" s="1">
        <v>5.5820160777406773</v>
      </c>
      <c r="D40" s="1">
        <f t="shared" si="3"/>
        <v>21</v>
      </c>
      <c r="E40" s="1" cm="1">
        <f t="array" ref="E40">IFERROR(VLOOKUP($B40,_xlfn._xlws.FILTER($L$7:$P$10000,$J$7:$J$10000=G$1+1),5, FALSE), 0)</f>
        <v>5.019190584542006</v>
      </c>
      <c r="F40" s="1">
        <f t="shared" si="4"/>
        <v>28</v>
      </c>
      <c r="G40" s="1">
        <f t="shared" ca="1" si="5"/>
        <v>14.804422069693299</v>
      </c>
      <c r="H40" s="1">
        <f t="shared" ca="1" si="6"/>
        <v>28</v>
      </c>
      <c r="I40" s="1" cm="1">
        <f t="array" ref="I40">COUNT(_xlfn._xlws.FILTER($J$7:$J$10000,($L$7:$L$10000=B40)*($M$7:$M$10000&lt;&gt;"NULL")*($J$7:$J$10000 &gt;= ($G$1-4))))/5</f>
        <v>0.8</v>
      </c>
      <c r="J40" s="66">
        <v>2</v>
      </c>
      <c r="K40" t="s">
        <v>13</v>
      </c>
      <c r="L40" t="s">
        <v>463</v>
      </c>
      <c r="M40">
        <v>10.3</v>
      </c>
      <c r="N40" t="s">
        <v>9</v>
      </c>
      <c r="O40" t="s">
        <v>2</v>
      </c>
      <c r="P40">
        <f t="shared" si="2"/>
        <v>9.1181395870575415</v>
      </c>
      <c r="Q40">
        <f t="shared" si="1"/>
        <v>1.3967940356805204</v>
      </c>
      <c r="R40" s="67" cm="1">
        <f t="array" ref="R40">SUMPRODUCT((J40=$J$7:$J$1000)*(P40&lt;$P$7:$P$1000))+1</f>
        <v>3</v>
      </c>
      <c r="S40" s="72"/>
      <c r="T40">
        <v>14</v>
      </c>
      <c r="U40" t="str">
        <v>MIA</v>
      </c>
      <c r="V40" t="str">
        <v>Jonas Petrakopoulos</v>
      </c>
      <c r="W40" t="str">
        <v>NULL</v>
      </c>
      <c r="X40" t="str">
        <v>Home</v>
      </c>
      <c r="Y40" t="str">
        <v>NEFJ</v>
      </c>
      <c r="Z40">
        <v>4.6051263483387999</v>
      </c>
    </row>
    <row r="41" spans="1:26" x14ac:dyDescent="0.35">
      <c r="A41">
        <f>VLOOKUP($B41, PlayerIDs!$A$1:$B$1000, 2, FALSE)</f>
        <v>666</v>
      </c>
      <c r="B41" t="s">
        <v>149</v>
      </c>
      <c r="C41" s="1">
        <v>5.5565935531336503</v>
      </c>
      <c r="D41" s="1">
        <f t="shared" si="3"/>
        <v>22</v>
      </c>
      <c r="E41" s="1" cm="1">
        <f t="array" ref="E41">IFERROR(VLOOKUP($B41,_xlfn._xlws.FILTER($L$7:$P$10000,$J$7:$J$10000=G$1+1),5, FALSE), 0)</f>
        <v>7.0631897698730102</v>
      </c>
      <c r="F41" s="1">
        <f t="shared" si="4"/>
        <v>9</v>
      </c>
      <c r="G41" s="1">
        <f t="shared" ca="1" si="5"/>
        <v>18.553132220777794</v>
      </c>
      <c r="H41" s="1">
        <f t="shared" ca="1" si="6"/>
        <v>14</v>
      </c>
      <c r="I41" s="1" cm="1">
        <f t="array" ref="I41">COUNT(_xlfn._xlws.FILTER($J$7:$J$10000,($L$7:$L$10000=B41)*($M$7:$M$10000&lt;&gt;"NULL")*($J$7:$J$10000 &gt;= ($G$1-4))))/5</f>
        <v>1</v>
      </c>
      <c r="J41" s="65">
        <v>2</v>
      </c>
      <c r="K41" t="s">
        <v>14</v>
      </c>
      <c r="L41" t="s">
        <v>181</v>
      </c>
      <c r="M41">
        <v>8.9</v>
      </c>
      <c r="N41" t="s">
        <v>3</v>
      </c>
      <c r="O41" t="s">
        <v>34</v>
      </c>
      <c r="P41">
        <f t="shared" si="2"/>
        <v>6.5632630163383965</v>
      </c>
      <c r="Q41">
        <f t="shared" si="1"/>
        <v>5.4603397308119304</v>
      </c>
      <c r="R41" s="67" cm="1">
        <f t="array" ref="R41">SUMPRODUCT((J41=$J$7:$J$1000)*(P41&lt;$P$7:$P$1000))+1</f>
        <v>7</v>
      </c>
      <c r="S41" s="72"/>
      <c r="T41">
        <v>14</v>
      </c>
      <c r="U41" t="str">
        <v>MIA</v>
      </c>
      <c r="V41" t="str">
        <v>Kirby Myhill</v>
      </c>
      <c r="W41" t="str">
        <v>NULL</v>
      </c>
      <c r="X41" t="str">
        <v>Home</v>
      </c>
      <c r="Y41" t="str">
        <v>NEFJ</v>
      </c>
      <c r="Z41">
        <v>5.5386054535592439</v>
      </c>
    </row>
    <row r="42" spans="1:26" x14ac:dyDescent="0.35">
      <c r="A42">
        <f>VLOOKUP($B42, PlayerIDs!$A$1:$B$1000, 2, FALSE)</f>
        <v>549</v>
      </c>
      <c r="B42" t="s">
        <v>162</v>
      </c>
      <c r="C42" s="1">
        <v>5.4743374242833429</v>
      </c>
      <c r="D42" s="1">
        <f t="shared" si="3"/>
        <v>23</v>
      </c>
      <c r="E42" s="1" cm="1">
        <f t="array" ref="E42">IFERROR(VLOOKUP($B42,_xlfn._xlws.FILTER($L$7:$P$10000,$J$7:$J$10000=G$1+1),5, FALSE), 0)</f>
        <v>5.9127590957532252</v>
      </c>
      <c r="F42" s="1">
        <f t="shared" si="4"/>
        <v>19</v>
      </c>
      <c r="G42" s="1">
        <f t="shared" ca="1" si="5"/>
        <v>17.501785409174904</v>
      </c>
      <c r="H42" s="1">
        <f t="shared" ca="1" si="6"/>
        <v>17</v>
      </c>
      <c r="I42" s="1" cm="1">
        <f t="array" ref="I42">COUNT(_xlfn._xlws.FILTER($J$7:$J$10000,($L$7:$L$10000=B42)*($M$7:$M$10000&lt;&gt;"NULL")*($J$7:$J$10000 &gt;= ($G$1-4))))/5</f>
        <v>0.4</v>
      </c>
      <c r="J42" s="65">
        <v>2</v>
      </c>
      <c r="K42" t="s">
        <v>13</v>
      </c>
      <c r="L42" t="s">
        <v>464</v>
      </c>
      <c r="M42">
        <v>7.8</v>
      </c>
      <c r="N42" t="s">
        <v>9</v>
      </c>
      <c r="O42" t="s">
        <v>2</v>
      </c>
      <c r="P42">
        <f t="shared" si="2"/>
        <v>5.9292655516351882</v>
      </c>
      <c r="Q42">
        <f t="shared" si="1"/>
        <v>3.4996473762987961</v>
      </c>
      <c r="R42" s="67" cm="1">
        <f t="array" ref="R42">SUMPRODUCT((J42=$J$7:$J$1000)*(P42&lt;$P$7:$P$1000))+1</f>
        <v>10</v>
      </c>
      <c r="S42" s="72"/>
      <c r="T42">
        <v>14</v>
      </c>
      <c r="U42" t="str">
        <v>MIA</v>
      </c>
      <c r="V42" t="str">
        <v>Ma'ake Muti</v>
      </c>
      <c r="W42" t="str">
        <v>NULL</v>
      </c>
      <c r="X42" t="str">
        <v>Home</v>
      </c>
      <c r="Y42" t="str">
        <v>NEFJ</v>
      </c>
      <c r="Z42">
        <v>3.1809934321107005</v>
      </c>
    </row>
    <row r="43" spans="1:26" x14ac:dyDescent="0.35">
      <c r="A43">
        <f>VLOOKUP($B43, PlayerIDs!$A$1:$B$1000, 2, FALSE)</f>
        <v>138</v>
      </c>
      <c r="B43" t="s">
        <v>158</v>
      </c>
      <c r="C43" s="1">
        <v>5.3934945197056461</v>
      </c>
      <c r="D43" s="1">
        <f t="shared" si="3"/>
        <v>24</v>
      </c>
      <c r="E43" s="1" cm="1">
        <f t="array" ref="E43">IFERROR(VLOOKUP($B43,_xlfn._xlws.FILTER($L$7:$P$10000,$J$7:$J$10000=G$1+1),5, FALSE), 0)</f>
        <v>5.8867811230168101</v>
      </c>
      <c r="F43" s="1">
        <f t="shared" si="4"/>
        <v>20</v>
      </c>
      <c r="G43" s="1">
        <f t="shared" ca="1" si="5"/>
        <v>17.262931636915532</v>
      </c>
      <c r="H43" s="1">
        <f t="shared" ca="1" si="6"/>
        <v>18</v>
      </c>
      <c r="I43" s="1" cm="1">
        <f t="array" ref="I43">COUNT(_xlfn._xlws.FILTER($J$7:$J$10000,($L$7:$L$10000=B43)*($M$7:$M$10000&lt;&gt;"NULL")*($J$7:$J$10000 &gt;= ($G$1-4))))/5</f>
        <v>0.4</v>
      </c>
      <c r="J43" s="65">
        <v>2</v>
      </c>
      <c r="K43" t="s">
        <v>4</v>
      </c>
      <c r="L43" t="s">
        <v>175</v>
      </c>
      <c r="M43">
        <v>7.2</v>
      </c>
      <c r="N43" t="s">
        <v>9</v>
      </c>
      <c r="O43" t="s">
        <v>24</v>
      </c>
      <c r="P43">
        <f t="shared" si="2"/>
        <v>10.706844884317857</v>
      </c>
      <c r="Q43">
        <f t="shared" si="1"/>
        <v>12.297961042666319</v>
      </c>
      <c r="R43" s="67" cm="1">
        <f t="array" ref="R43">SUMPRODUCT((J43=$J$7:$J$1000)*(P43&lt;$P$7:$P$1000))+1</f>
        <v>2</v>
      </c>
      <c r="S43" s="72"/>
      <c r="T43">
        <v>14</v>
      </c>
      <c r="U43" t="str">
        <v>MIA</v>
      </c>
      <c r="V43" t="str">
        <v>Reinaldo Piussi</v>
      </c>
      <c r="W43" t="str">
        <v>NULL</v>
      </c>
      <c r="X43" t="str">
        <v>Home</v>
      </c>
      <c r="Y43" t="str">
        <v>NEFJ</v>
      </c>
      <c r="Z43">
        <v>1.6793602657336058</v>
      </c>
    </row>
    <row r="44" spans="1:26" x14ac:dyDescent="0.35">
      <c r="A44">
        <f>VLOOKUP($B44, PlayerIDs!$A$1:$B$1000, 2, FALSE)</f>
        <v>112</v>
      </c>
      <c r="B44" t="s">
        <v>155</v>
      </c>
      <c r="C44" s="1">
        <v>5.2851274521228859</v>
      </c>
      <c r="D44" s="1">
        <f t="shared" si="3"/>
        <v>25</v>
      </c>
      <c r="E44" s="1" cm="1">
        <f t="array" ref="E44">IFERROR(VLOOKUP($B44,_xlfn._xlws.FILTER($L$7:$P$10000,$J$7:$J$10000=G$1+1),5, FALSE), 0)</f>
        <v>6.7917236688622458</v>
      </c>
      <c r="F44" s="1">
        <f t="shared" si="4"/>
        <v>13</v>
      </c>
      <c r="G44" s="1">
        <f t="shared" ca="1" si="5"/>
        <v>17.738733917745503</v>
      </c>
      <c r="H44" s="1">
        <f t="shared" ca="1" si="6"/>
        <v>16</v>
      </c>
      <c r="I44" s="1" cm="1">
        <f t="array" ref="I44">COUNT(_xlfn._xlws.FILTER($J$7:$J$10000,($L$7:$L$10000=B44)*($M$7:$M$10000&lt;&gt;"NULL")*($J$7:$J$10000 &gt;= ($G$1-4))))/5</f>
        <v>0.6</v>
      </c>
      <c r="J44" s="65">
        <v>2</v>
      </c>
      <c r="K44" t="s">
        <v>24</v>
      </c>
      <c r="L44" t="s">
        <v>465</v>
      </c>
      <c r="M44">
        <v>6.8</v>
      </c>
      <c r="N44" t="s">
        <v>3</v>
      </c>
      <c r="O44" t="s">
        <v>4</v>
      </c>
      <c r="P44">
        <f t="shared" si="2"/>
        <v>6.7808564904928508</v>
      </c>
      <c r="Q44">
        <f t="shared" si="1"/>
        <v>3.6647395625030596E-4</v>
      </c>
      <c r="R44" s="67" cm="1">
        <f t="array" ref="R44">SUMPRODUCT((J44=$J$7:$J$1000)*(P44&lt;$P$7:$P$1000))+1</f>
        <v>6</v>
      </c>
      <c r="S44" s="72"/>
      <c r="T44">
        <v>14</v>
      </c>
      <c r="U44" t="str">
        <v>MIA</v>
      </c>
      <c r="V44" t="str">
        <v>Sean McNulty</v>
      </c>
      <c r="W44" t="str">
        <v>NULL</v>
      </c>
      <c r="X44" t="str">
        <v>Home</v>
      </c>
      <c r="Y44" t="str">
        <v>NEFJ</v>
      </c>
      <c r="Z44">
        <v>3.5750782401749448</v>
      </c>
    </row>
    <row r="45" spans="1:26" x14ac:dyDescent="0.35">
      <c r="A45">
        <f>VLOOKUP($B45, PlayerIDs!$A$1:$B$1000, 2, FALSE)</f>
        <v>602</v>
      </c>
      <c r="B45" t="s">
        <v>168</v>
      </c>
      <c r="C45" s="1">
        <v>5.2350731596180458</v>
      </c>
      <c r="D45" s="1">
        <f t="shared" si="3"/>
        <v>26</v>
      </c>
      <c r="E45" s="1" cm="1">
        <f t="array" ref="E45">IFERROR(VLOOKUP($B45,_xlfn._xlws.FILTER($L$7:$P$10000,$J$7:$J$10000=G$1+1),5, FALSE), 0)</f>
        <v>5.5386054535592439</v>
      </c>
      <c r="F45" s="1">
        <f t="shared" si="4"/>
        <v>22</v>
      </c>
      <c r="G45" s="1">
        <f t="shared" ca="1" si="5"/>
        <v>17.80097717008093</v>
      </c>
      <c r="H45" s="1">
        <f t="shared" ca="1" si="6"/>
        <v>15</v>
      </c>
      <c r="I45" s="1" cm="1">
        <f t="array" ref="I45">COUNT(_xlfn._xlws.FILTER($J$7:$J$10000,($L$7:$L$10000=B45)*($M$7:$M$10000&lt;&gt;"NULL")*($J$7:$J$10000 &gt;= ($G$1-4))))/5</f>
        <v>0.4</v>
      </c>
      <c r="J45" s="65">
        <v>2</v>
      </c>
      <c r="K45" t="s">
        <v>24</v>
      </c>
      <c r="L45" t="s">
        <v>411</v>
      </c>
      <c r="M45">
        <v>6.2</v>
      </c>
      <c r="N45" t="s">
        <v>3</v>
      </c>
      <c r="O45" t="s">
        <v>4</v>
      </c>
      <c r="P45">
        <f t="shared" si="2"/>
        <v>3.0245259997133309</v>
      </c>
      <c r="Q45">
        <f t="shared" si="1"/>
        <v>10.083635126496622</v>
      </c>
      <c r="R45" s="67" cm="1">
        <f t="array" ref="R45">SUMPRODUCT((J45=$J$7:$J$1000)*(P45&lt;$P$7:$P$1000))+1</f>
        <v>18</v>
      </c>
      <c r="S45" s="72"/>
      <c r="T45">
        <v>14</v>
      </c>
      <c r="U45" t="str">
        <v>MIA</v>
      </c>
      <c r="V45" t="str">
        <v>Tau Koloamatangi</v>
      </c>
      <c r="W45" t="str">
        <v>NULL</v>
      </c>
      <c r="X45" t="str">
        <v>Home</v>
      </c>
      <c r="Y45" t="str">
        <v>NEFJ</v>
      </c>
      <c r="Z45">
        <v>0.95751726027364792</v>
      </c>
    </row>
    <row r="46" spans="1:26" x14ac:dyDescent="0.35">
      <c r="A46">
        <f>VLOOKUP($B46, PlayerIDs!$A$1:$B$1000, 2, FALSE)</f>
        <v>7</v>
      </c>
      <c r="B46" t="s">
        <v>481</v>
      </c>
      <c r="C46" s="1">
        <v>5.0649860713737</v>
      </c>
      <c r="D46" s="1">
        <f t="shared" si="3"/>
        <v>27</v>
      </c>
      <c r="E46" s="1" cm="1">
        <f t="array" ref="E46">IFERROR(VLOOKUP($B46,_xlfn._xlws.FILTER($L$7:$P$10000,$J$7:$J$10000=G$1+1),5, FALSE), 0)</f>
        <v>0</v>
      </c>
      <c r="F46" s="1">
        <f t="shared" si="4"/>
        <v>74</v>
      </c>
      <c r="G46" s="1">
        <f t="shared" ca="1" si="5"/>
        <v>8.7511714724173384</v>
      </c>
      <c r="H46" s="1">
        <f t="shared" ca="1" si="6"/>
        <v>47</v>
      </c>
      <c r="I46" s="1" cm="1">
        <f t="array" ref="I46">COUNT(_xlfn._xlws.FILTER($J$7:$J$10000,($L$7:$L$10000=B46)*($M$7:$M$10000&lt;&gt;"NULL")*($J$7:$J$10000 &gt;= ($G$1-4))))/5</f>
        <v>0.6</v>
      </c>
      <c r="J46" s="65">
        <v>2</v>
      </c>
      <c r="K46" t="s">
        <v>4</v>
      </c>
      <c r="L46" t="s">
        <v>176</v>
      </c>
      <c r="M46">
        <v>6.1</v>
      </c>
      <c r="N46" t="s">
        <v>9</v>
      </c>
      <c r="O46" t="s">
        <v>24</v>
      </c>
      <c r="P46">
        <f t="shared" si="2"/>
        <v>2.8718451137682042</v>
      </c>
      <c r="Q46">
        <f t="shared" si="1"/>
        <v>10.420983969502217</v>
      </c>
      <c r="R46" s="67" cm="1">
        <f t="array" ref="R46">SUMPRODUCT((J46=$J$7:$J$1000)*(P46&lt;$P$7:$P$1000))+1</f>
        <v>19</v>
      </c>
      <c r="S46" s="72"/>
      <c r="T46">
        <v>14</v>
      </c>
      <c r="U46" t="str">
        <v>NEFJ</v>
      </c>
      <c r="V46" t="str">
        <v>Andrew Quattrin</v>
      </c>
      <c r="W46" t="str">
        <v>NULL</v>
      </c>
      <c r="X46" t="str">
        <v>Away</v>
      </c>
      <c r="Y46" t="str">
        <v>MIA</v>
      </c>
      <c r="Z46">
        <v>5.8303657442658441</v>
      </c>
    </row>
    <row r="47" spans="1:26" x14ac:dyDescent="0.35">
      <c r="A47">
        <f>VLOOKUP($B47, PlayerIDs!$A$1:$B$1000, 2, FALSE)</f>
        <v>521</v>
      </c>
      <c r="B47" t="s">
        <v>181</v>
      </c>
      <c r="C47" s="1">
        <v>5.0566667995990366</v>
      </c>
      <c r="D47" s="1">
        <f t="shared" si="3"/>
        <v>28</v>
      </c>
      <c r="E47" s="1" cm="1">
        <f t="array" ref="E47">IFERROR(VLOOKUP($B47,_xlfn._xlws.FILTER($L$7:$P$10000,$J$7:$J$10000=G$1+1),5, FALSE), 0)</f>
        <v>4.4938413064003653</v>
      </c>
      <c r="F47" s="1">
        <f t="shared" si="4"/>
        <v>33</v>
      </c>
      <c r="G47" s="1">
        <f t="shared" ca="1" si="5"/>
        <v>13.228374235268376</v>
      </c>
      <c r="H47" s="1">
        <f t="shared" ca="1" si="6"/>
        <v>32</v>
      </c>
      <c r="I47" s="1" cm="1">
        <f t="array" ref="I47">COUNT(_xlfn._xlws.FILTER($J$7:$J$10000,($L$7:$L$10000=B47)*($M$7:$M$10000&lt;&gt;"NULL")*($J$7:$J$10000 &gt;= ($G$1-4))))/5</f>
        <v>0</v>
      </c>
      <c r="J47" s="65">
        <v>2</v>
      </c>
      <c r="K47" t="s">
        <v>34</v>
      </c>
      <c r="L47" t="s">
        <v>153</v>
      </c>
      <c r="M47">
        <v>5.4</v>
      </c>
      <c r="N47" t="s">
        <v>9</v>
      </c>
      <c r="O47" t="s">
        <v>14</v>
      </c>
      <c r="P47">
        <f t="shared" si="2"/>
        <v>4.5822104257947043</v>
      </c>
      <c r="Q47">
        <f t="shared" si="1"/>
        <v>0.66877978767887947</v>
      </c>
      <c r="R47" s="67" cm="1">
        <f t="array" ref="R47">SUMPRODUCT((J47=$J$7:$J$1000)*(P47&lt;$P$7:$P$1000))+1</f>
        <v>14</v>
      </c>
      <c r="S47" s="72"/>
      <c r="T47">
        <v>14</v>
      </c>
      <c r="U47" t="str">
        <v>NEFJ</v>
      </c>
      <c r="V47" t="str">
        <v>Cole Keith</v>
      </c>
      <c r="W47" t="str">
        <v>NULL</v>
      </c>
      <c r="X47" t="str">
        <v>Away</v>
      </c>
      <c r="Y47" t="str">
        <v>MIA</v>
      </c>
      <c r="Z47">
        <v>1.2413805482953408</v>
      </c>
    </row>
    <row r="48" spans="1:26" x14ac:dyDescent="0.35">
      <c r="A48">
        <f>VLOOKUP($B48, PlayerIDs!$A$1:$B$1000, 2, FALSE)</f>
        <v>291</v>
      </c>
      <c r="B48" t="s">
        <v>586</v>
      </c>
      <c r="C48" s="1">
        <v>5.0070948124876216</v>
      </c>
      <c r="D48" s="1">
        <f t="shared" si="3"/>
        <v>29</v>
      </c>
      <c r="E48" s="1" cm="1">
        <f t="array" ref="E48">IFERROR(VLOOKUP($B48,_xlfn._xlws.FILTER($L$7:$P$10000,$J$7:$J$10000=G$1+1),5, FALSE), 0)</f>
        <v>6.5136910292269814</v>
      </c>
      <c r="F48" s="1">
        <f t="shared" si="4"/>
        <v>15</v>
      </c>
      <c r="G48" s="1">
        <f t="shared" ca="1" si="5"/>
        <v>16.904635998839709</v>
      </c>
      <c r="H48" s="1">
        <f t="shared" ca="1" si="6"/>
        <v>20</v>
      </c>
      <c r="I48" s="1" cm="1">
        <f t="array" ref="I48">COUNT(_xlfn._xlws.FILTER($J$7:$J$10000,($L$7:$L$10000=B48)*($M$7:$M$10000&lt;&gt;"NULL")*($J$7:$J$10000 &gt;= ($G$1-4))))/5</f>
        <v>0.4</v>
      </c>
      <c r="J48" s="65">
        <v>2</v>
      </c>
      <c r="K48" t="s">
        <v>36</v>
      </c>
      <c r="L48" t="s">
        <v>466</v>
      </c>
      <c r="M48">
        <v>4.8</v>
      </c>
      <c r="N48" t="s">
        <v>9</v>
      </c>
      <c r="O48" t="s">
        <v>6</v>
      </c>
      <c r="P48">
        <f t="shared" si="2"/>
        <v>9.0307363668091494</v>
      </c>
      <c r="Q48">
        <f t="shared" si="1"/>
        <v>17.899130205441484</v>
      </c>
      <c r="R48" s="67" cm="1">
        <f t="array" ref="R48">SUMPRODUCT((J48=$J$7:$J$1000)*(P48&lt;$P$7:$P$1000))+1</f>
        <v>4</v>
      </c>
      <c r="S48" s="72"/>
      <c r="T48">
        <v>14</v>
      </c>
      <c r="U48" t="str">
        <v>NEFJ</v>
      </c>
      <c r="V48" t="str">
        <v>Connal McInerney</v>
      </c>
      <c r="W48" t="str">
        <v>NULL</v>
      </c>
      <c r="X48" t="str">
        <v>Away</v>
      </c>
      <c r="Y48" t="str">
        <v>MIA</v>
      </c>
      <c r="Z48">
        <v>6.7874353985995892</v>
      </c>
    </row>
    <row r="49" spans="1:26" x14ac:dyDescent="0.35">
      <c r="A49">
        <f>VLOOKUP($B49, PlayerIDs!$A$1:$B$1000, 2, FALSE)</f>
        <v>805</v>
      </c>
      <c r="B49" t="s">
        <v>501</v>
      </c>
      <c r="C49" s="1">
        <v>4.9163897511721286</v>
      </c>
      <c r="D49" s="1">
        <f t="shared" si="3"/>
        <v>30</v>
      </c>
      <c r="E49" s="1" cm="1">
        <f t="array" ref="E49">IFERROR(VLOOKUP($B49,_xlfn._xlws.FILTER($L$7:$P$10000,$J$7:$J$10000=G$1+1),5, FALSE), 0)</f>
        <v>4.8115672314832052</v>
      </c>
      <c r="F49" s="1">
        <f t="shared" si="4"/>
        <v>29</v>
      </c>
      <c r="G49" s="1">
        <f t="shared" ca="1" si="5"/>
        <v>13.741371019536199</v>
      </c>
      <c r="H49" s="1">
        <f t="shared" ca="1" si="6"/>
        <v>30</v>
      </c>
      <c r="I49" s="1" cm="1">
        <f t="array" ref="I49">COUNT(_xlfn._xlws.FILTER($J$7:$J$10000,($L$7:$L$10000=B49)*($M$7:$M$10000&lt;&gt;"NULL")*($J$7:$J$10000 &gt;= ($G$1-4))))/5</f>
        <v>0</v>
      </c>
      <c r="J49" s="66">
        <v>2</v>
      </c>
      <c r="K49" t="s">
        <v>24</v>
      </c>
      <c r="L49" t="s">
        <v>168</v>
      </c>
      <c r="M49">
        <v>4.5</v>
      </c>
      <c r="N49" t="s">
        <v>3</v>
      </c>
      <c r="O49" t="s">
        <v>4</v>
      </c>
      <c r="P49">
        <f t="shared" si="2"/>
        <v>5.3821380211618735</v>
      </c>
      <c r="Q49">
        <f t="shared" si="1"/>
        <v>0.77816748837938587</v>
      </c>
      <c r="R49" s="67" cm="1">
        <f t="array" ref="R49">SUMPRODUCT((J49=$J$7:$J$1000)*(P49&lt;$P$7:$P$1000))+1</f>
        <v>11</v>
      </c>
      <c r="S49" s="72"/>
      <c r="T49">
        <v>14</v>
      </c>
      <c r="U49" t="str">
        <v>NEFJ</v>
      </c>
      <c r="V49" t="str">
        <v>Jone Koroiduadua</v>
      </c>
      <c r="W49" t="str">
        <v>NULL</v>
      </c>
      <c r="X49" t="str">
        <v>Away</v>
      </c>
      <c r="Y49" t="str">
        <v>MIA</v>
      </c>
      <c r="Z49">
        <v>-0.31794018614523922</v>
      </c>
    </row>
    <row r="50" spans="1:26" x14ac:dyDescent="0.35">
      <c r="A50">
        <f>VLOOKUP($B50, PlayerIDs!$A$1:$B$1000, 2, FALSE)</f>
        <v>182</v>
      </c>
      <c r="B50" t="s">
        <v>163</v>
      </c>
      <c r="C50" s="1">
        <v>4.829655785862796</v>
      </c>
      <c r="D50" s="1">
        <f t="shared" si="3"/>
        <v>31</v>
      </c>
      <c r="E50" s="1" cm="1">
        <f t="array" ref="E50">IFERROR(VLOOKUP($B50,_xlfn._xlws.FILTER($L$7:$P$10000,$J$7:$J$10000=G$1+1),5, FALSE), 0)</f>
        <v>5.32294238917396</v>
      </c>
      <c r="F50" s="1">
        <f t="shared" si="4"/>
        <v>25</v>
      </c>
      <c r="G50" s="1">
        <f t="shared" ca="1" si="5"/>
        <v>15.571415435386983</v>
      </c>
      <c r="H50" s="1">
        <f t="shared" ca="1" si="6"/>
        <v>24</v>
      </c>
      <c r="I50" s="1" cm="1">
        <f t="array" ref="I50">COUNT(_xlfn._xlws.FILTER($J$7:$J$10000,($L$7:$L$10000=B50)*($M$7:$M$10000&lt;&gt;"NULL")*($J$7:$J$10000 &gt;= ($G$1-4))))/5</f>
        <v>0.6</v>
      </c>
      <c r="J50" s="65">
        <v>2</v>
      </c>
      <c r="K50" t="s">
        <v>14</v>
      </c>
      <c r="L50" t="s">
        <v>164</v>
      </c>
      <c r="M50">
        <v>4.4000000000000004</v>
      </c>
      <c r="N50" t="s">
        <v>3</v>
      </c>
      <c r="O50" t="s">
        <v>34</v>
      </c>
      <c r="P50">
        <f t="shared" si="2"/>
        <v>5.1472443871296454</v>
      </c>
      <c r="Q50">
        <f t="shared" si="1"/>
        <v>0.55837417409675882</v>
      </c>
      <c r="R50" s="67" cm="1">
        <f t="array" ref="R50">SUMPRODUCT((J50=$J$7:$J$1000)*(P50&lt;$P$7:$P$1000))+1</f>
        <v>12</v>
      </c>
      <c r="S50" s="72"/>
      <c r="T50">
        <v>14</v>
      </c>
      <c r="U50" t="str">
        <v>NEFJ</v>
      </c>
      <c r="V50" t="str">
        <v>Kaleb Geiger</v>
      </c>
      <c r="W50" t="str">
        <v>NULL</v>
      </c>
      <c r="X50" t="str">
        <v>Away</v>
      </c>
      <c r="Y50" t="str">
        <v>MIA</v>
      </c>
      <c r="Z50">
        <v>5.3479694771531605</v>
      </c>
    </row>
    <row r="51" spans="1:26" x14ac:dyDescent="0.35">
      <c r="A51">
        <f>VLOOKUP($B51, PlayerIDs!$A$1:$B$1000, 2, FALSE)</f>
        <v>248</v>
      </c>
      <c r="B51" t="s">
        <v>502</v>
      </c>
      <c r="C51" s="1">
        <v>4.8125851180406025</v>
      </c>
      <c r="D51" s="1">
        <f t="shared" si="3"/>
        <v>32</v>
      </c>
      <c r="E51" s="1" cm="1">
        <f t="array" ref="E51">IFERROR(VLOOKUP($B51,_xlfn._xlws.FILTER($L$7:$P$10000,$J$7:$J$10000=G$1+1),5, FALSE), 0)</f>
        <v>5.3058717213517665</v>
      </c>
      <c r="F51" s="1">
        <f t="shared" si="4"/>
        <v>26</v>
      </c>
      <c r="G51" s="1">
        <f t="shared" ca="1" si="5"/>
        <v>15.520203431920406</v>
      </c>
      <c r="H51" s="1">
        <f t="shared" ca="1" si="6"/>
        <v>25</v>
      </c>
      <c r="I51" s="1" cm="1">
        <f t="array" ref="I51">COUNT(_xlfn._xlws.FILTER($J$7:$J$10000,($L$7:$L$10000=B51)*($M$7:$M$10000&lt;&gt;"NULL")*($J$7:$J$10000 &gt;= ($G$1-4))))/5</f>
        <v>0.2</v>
      </c>
      <c r="J51" s="65">
        <v>2</v>
      </c>
      <c r="K51" t="s">
        <v>6</v>
      </c>
      <c r="L51" t="s">
        <v>418</v>
      </c>
      <c r="M51">
        <v>4.0999999999999996</v>
      </c>
      <c r="N51" t="s">
        <v>3</v>
      </c>
      <c r="O51" t="s">
        <v>36</v>
      </c>
      <c r="P51">
        <f t="shared" si="2"/>
        <v>0.5358117543475982</v>
      </c>
      <c r="Q51">
        <f t="shared" si="1"/>
        <v>12.703437850446742</v>
      </c>
      <c r="R51" s="67" cm="1">
        <f t="array" ref="R51">SUMPRODUCT((J51=$J$7:$J$1000)*(P51&lt;$P$7:$P$1000))+1</f>
        <v>24</v>
      </c>
      <c r="S51" s="72"/>
      <c r="T51">
        <v>14</v>
      </c>
      <c r="U51" t="str">
        <v>NEFJ</v>
      </c>
      <c r="V51" t="str">
        <v>Kyle Ciquera</v>
      </c>
      <c r="W51" t="str">
        <v>NULL</v>
      </c>
      <c r="X51" t="str">
        <v>Away</v>
      </c>
      <c r="Y51" t="str">
        <v>MIA</v>
      </c>
      <c r="Z51">
        <v>2.5115902464617959</v>
      </c>
    </row>
    <row r="52" spans="1:26" x14ac:dyDescent="0.35">
      <c r="A52">
        <f>VLOOKUP($B52, PlayerIDs!$A$1:$B$1000, 2, FALSE)</f>
        <v>749</v>
      </c>
      <c r="B52" t="s">
        <v>417</v>
      </c>
      <c r="C52" s="1">
        <v>4.7021614918476509</v>
      </c>
      <c r="D52" s="1">
        <f t="shared" ref="D52:D83" si="7">RANK($C52,$C$20:$C$106)</f>
        <v>33</v>
      </c>
      <c r="E52" s="1" cm="1">
        <f t="array" ref="E52">IFERROR(VLOOKUP($B52,_xlfn._xlws.FILTER($L$7:$P$10000,$J$7:$J$10000=G$1+1),5, FALSE), 0)</f>
        <v>4.5973389721587274</v>
      </c>
      <c r="F52" s="1">
        <f t="shared" ref="F52:F83" si="8">RANK(E52,$E$20:$E$150)</f>
        <v>31</v>
      </c>
      <c r="G52" s="1">
        <f t="shared" ref="G52:G83" ca="1" si="9">SUMIF(V:Z,$B52,Z:Z)</f>
        <v>13.098686241562765</v>
      </c>
      <c r="H52" s="1">
        <f t="shared" ref="H52:H83" ca="1" si="10">RANK($G52,$G$20:$G$106)</f>
        <v>33</v>
      </c>
      <c r="I52" s="1" cm="1">
        <f t="array" ref="I52">COUNT(_xlfn._xlws.FILTER($J$7:$J$10000,($L$7:$L$10000=B52)*($M$7:$M$10000&lt;&gt;"NULL")*($J$7:$J$10000 &gt;= ($G$1-4))))/5</f>
        <v>0.8</v>
      </c>
      <c r="J52" s="65">
        <v>2</v>
      </c>
      <c r="K52" t="s">
        <v>6</v>
      </c>
      <c r="L52" t="s">
        <v>417</v>
      </c>
      <c r="M52">
        <v>3.6</v>
      </c>
      <c r="N52" t="s">
        <v>3</v>
      </c>
      <c r="O52" t="s">
        <v>36</v>
      </c>
      <c r="P52">
        <f t="shared" si="2"/>
        <v>4.9281770334675841</v>
      </c>
      <c r="Q52">
        <f t="shared" si="1"/>
        <v>1.7640542322307518</v>
      </c>
      <c r="R52" s="67" cm="1">
        <f t="array" ref="R52">SUMPRODUCT((J52=$J$7:$J$1000)*(P52&lt;$P$7:$P$1000))+1</f>
        <v>13</v>
      </c>
      <c r="S52" s="72"/>
      <c r="T52">
        <v>14</v>
      </c>
      <c r="U52" t="str">
        <v>NEFJ</v>
      </c>
      <c r="V52" t="str">
        <v>Malakai Hala-Ngatai</v>
      </c>
      <c r="W52" t="str">
        <v>NULL</v>
      </c>
      <c r="X52" t="str">
        <v>Away</v>
      </c>
      <c r="Y52" t="str">
        <v>MIA</v>
      </c>
      <c r="Z52">
        <v>1.6536986926424255</v>
      </c>
    </row>
    <row r="53" spans="1:26" x14ac:dyDescent="0.35">
      <c r="A53">
        <f>VLOOKUP($B53, PlayerIDs!$A$1:$B$1000, 2, FALSE)</f>
        <v>655</v>
      </c>
      <c r="B53" t="s">
        <v>177</v>
      </c>
      <c r="C53" s="1">
        <v>4.6032311450711614</v>
      </c>
      <c r="D53" s="1">
        <f t="shared" si="7"/>
        <v>34</v>
      </c>
      <c r="E53" s="1" cm="1">
        <f t="array" ref="E53">IFERROR(VLOOKUP($B53,_xlfn._xlws.FILTER($L$7:$P$10000,$J$7:$J$10000=G$1+1),5, FALSE), 0)</f>
        <v>3.9992791445924594</v>
      </c>
      <c r="F53" s="1">
        <f t="shared" si="8"/>
        <v>37</v>
      </c>
      <c r="G53" s="1">
        <f t="shared" ca="1" si="9"/>
        <v>8.262360068571029</v>
      </c>
      <c r="H53" s="1">
        <f t="shared" ca="1" si="10"/>
        <v>50</v>
      </c>
      <c r="I53" s="1" cm="1">
        <f t="array" ref="I53">COUNT(_xlfn._xlws.FILTER($J$7:$J$10000,($L$7:$L$10000=B53)*($M$7:$M$10000&lt;&gt;"NULL")*($J$7:$J$10000 &gt;= ($G$1-4))))/5</f>
        <v>1</v>
      </c>
      <c r="J53" s="65">
        <v>2</v>
      </c>
      <c r="K53" t="s">
        <v>14</v>
      </c>
      <c r="L53" t="s">
        <v>248</v>
      </c>
      <c r="M53">
        <v>2.7</v>
      </c>
      <c r="N53" t="s">
        <v>3</v>
      </c>
      <c r="O53" t="s">
        <v>34</v>
      </c>
      <c r="P53">
        <f t="shared" si="2"/>
        <v>7.0886122944800372</v>
      </c>
      <c r="Q53">
        <f t="shared" si="1"/>
        <v>19.259917871261337</v>
      </c>
      <c r="R53" s="67" cm="1">
        <f t="array" ref="R53">SUMPRODUCT((J53=$J$7:$J$1000)*(P53&lt;$P$7:$P$1000))+1</f>
        <v>5</v>
      </c>
      <c r="S53" s="72"/>
      <c r="T53">
        <v>14</v>
      </c>
      <c r="U53" t="str">
        <v>NEFJ</v>
      </c>
      <c r="V53" t="str">
        <v>Tevita Sole</v>
      </c>
      <c r="W53" t="str">
        <v>NULL</v>
      </c>
      <c r="X53" t="str">
        <v>Away</v>
      </c>
      <c r="Y53" t="str">
        <v>MIA</v>
      </c>
      <c r="Z53">
        <v>1.7391738539074604</v>
      </c>
    </row>
    <row r="54" spans="1:26" x14ac:dyDescent="0.35">
      <c r="A54">
        <f>VLOOKUP($B54, PlayerIDs!$A$1:$B$1000, 2, FALSE)</f>
        <v>757</v>
      </c>
      <c r="B54" t="s">
        <v>480</v>
      </c>
      <c r="C54" s="1">
        <v>4.5298396371488545</v>
      </c>
      <c r="D54" s="1">
        <f t="shared" si="7"/>
        <v>35</v>
      </c>
      <c r="E54" s="1" cm="1">
        <f t="array" ref="E54">IFERROR(VLOOKUP($B54,_xlfn._xlws.FILTER($L$7:$P$10000,$J$7:$J$10000=G$1+1),5, FALSE), 0)</f>
        <v>6.0364358538882144</v>
      </c>
      <c r="F54" s="1">
        <f t="shared" si="8"/>
        <v>18</v>
      </c>
      <c r="G54" s="1">
        <f t="shared" ca="1" si="9"/>
        <v>15.472870472823406</v>
      </c>
      <c r="H54" s="1">
        <f t="shared" ca="1" si="10"/>
        <v>26</v>
      </c>
      <c r="I54" s="1" cm="1">
        <f t="array" ref="I54">COUNT(_xlfn._xlws.FILTER($J$7:$J$10000,($L$7:$L$10000=B54)*($M$7:$M$10000&lt;&gt;"NULL")*($J$7:$J$10000 &gt;= ($G$1-4))))/5</f>
        <v>0.4</v>
      </c>
      <c r="J54" s="65">
        <v>2</v>
      </c>
      <c r="K54" t="s">
        <v>4</v>
      </c>
      <c r="L54" t="s">
        <v>172</v>
      </c>
      <c r="M54">
        <v>2.6</v>
      </c>
      <c r="N54" t="s">
        <v>9</v>
      </c>
      <c r="O54" t="s">
        <v>24</v>
      </c>
      <c r="P54">
        <f t="shared" si="2"/>
        <v>2.038953452002612</v>
      </c>
      <c r="Q54">
        <f t="shared" si="1"/>
        <v>0.31477322901978549</v>
      </c>
      <c r="R54" s="67" cm="1">
        <f t="array" ref="R54">SUMPRODUCT((J54=$J$7:$J$1000)*(P54&lt;$P$7:$P$1000))+1</f>
        <v>22</v>
      </c>
      <c r="S54" s="72"/>
      <c r="T54">
        <v>14</v>
      </c>
      <c r="U54" t="str">
        <v>OGDC</v>
      </c>
      <c r="V54" t="str">
        <v>Cali Martinez</v>
      </c>
      <c r="W54" t="str">
        <v>NULL</v>
      </c>
      <c r="X54" t="str">
        <v>Away</v>
      </c>
      <c r="Y54" t="str">
        <v>ARC</v>
      </c>
      <c r="Z54">
        <v>3.7822495365510784</v>
      </c>
    </row>
    <row r="55" spans="1:26" x14ac:dyDescent="0.35">
      <c r="A55">
        <f>VLOOKUP($B55, PlayerIDs!$A$1:$B$1000, 2, FALSE)</f>
        <v>222</v>
      </c>
      <c r="B55" t="s">
        <v>166</v>
      </c>
      <c r="C55" s="1">
        <v>4.3015940543976017</v>
      </c>
      <c r="D55" s="1">
        <f t="shared" si="7"/>
        <v>36</v>
      </c>
      <c r="E55" s="1" cm="1">
        <f t="array" ref="E55">IFERROR(VLOOKUP($B55,_xlfn._xlws.FILTER($L$7:$P$10000,$J$7:$J$10000=G$1+1),5, FALSE), 0)</f>
        <v>4.6051263483387999</v>
      </c>
      <c r="F55" s="1">
        <f t="shared" si="8"/>
        <v>30</v>
      </c>
      <c r="G55" s="1">
        <f t="shared" ca="1" si="9"/>
        <v>15.000539854419598</v>
      </c>
      <c r="H55" s="1">
        <f t="shared" ca="1" si="10"/>
        <v>27</v>
      </c>
      <c r="I55" s="1" cm="1">
        <f t="array" ref="I55">COUNT(_xlfn._xlws.FILTER($J$7:$J$10000,($L$7:$L$10000=B55)*($M$7:$M$10000&lt;&gt;"NULL")*($J$7:$J$10000 &gt;= ($G$1-4))))/5</f>
        <v>0.2</v>
      </c>
      <c r="J55" s="65">
        <v>2</v>
      </c>
      <c r="K55" t="s">
        <v>36</v>
      </c>
      <c r="L55" t="s">
        <v>415</v>
      </c>
      <c r="M55">
        <v>2.4</v>
      </c>
      <c r="N55" t="s">
        <v>9</v>
      </c>
      <c r="O55" t="s">
        <v>6</v>
      </c>
      <c r="P55">
        <f t="shared" si="2"/>
        <v>3.4418712327727223</v>
      </c>
      <c r="Q55">
        <f t="shared" si="1"/>
        <v>1.0854956656793524</v>
      </c>
      <c r="R55" s="67" cm="1">
        <f t="array" ref="R55">SUMPRODUCT((J55=$J$7:$J$1000)*(P55&lt;$P$7:$P$1000))+1</f>
        <v>16</v>
      </c>
      <c r="S55" s="72"/>
      <c r="T55">
        <v>14</v>
      </c>
      <c r="U55" t="str">
        <v>OGDC</v>
      </c>
      <c r="V55" t="str">
        <v>Facundo Gattas</v>
      </c>
      <c r="W55" t="str">
        <v>NULL</v>
      </c>
      <c r="X55" t="str">
        <v>Away</v>
      </c>
      <c r="Y55" t="str">
        <v>ARC</v>
      </c>
      <c r="Z55">
        <v>5.8867811230168101</v>
      </c>
    </row>
    <row r="56" spans="1:26" x14ac:dyDescent="0.35">
      <c r="A56">
        <f>VLOOKUP($B56, PlayerIDs!$A$1:$B$1000, 2, FALSE)</f>
        <v>545</v>
      </c>
      <c r="B56" t="s">
        <v>504</v>
      </c>
      <c r="C56" s="1">
        <v>4.1082886246414496</v>
      </c>
      <c r="D56" s="1">
        <f t="shared" si="7"/>
        <v>37</v>
      </c>
      <c r="E56" s="1" cm="1">
        <f t="array" ref="E56">IFERROR(VLOOKUP($B56,_xlfn._xlws.FILTER($L$7:$P$10000,$J$7:$J$10000=G$1+1),5, FALSE), 0)</f>
        <v>4.5467102961113319</v>
      </c>
      <c r="F56" s="1">
        <f t="shared" si="8"/>
        <v>32</v>
      </c>
      <c r="G56" s="1">
        <f t="shared" ca="1" si="9"/>
        <v>13.403639010249222</v>
      </c>
      <c r="H56" s="1">
        <f t="shared" ca="1" si="10"/>
        <v>31</v>
      </c>
      <c r="I56" s="1" cm="1">
        <f t="array" ref="I56">COUNT(_xlfn._xlws.FILTER($J$7:$J$10000,($L$7:$L$10000=B56)*($M$7:$M$10000&lt;&gt;"NULL")*($J$7:$J$10000 &gt;= ($G$1-4))))/5</f>
        <v>0.2</v>
      </c>
      <c r="J56" s="65">
        <v>2</v>
      </c>
      <c r="K56" t="s">
        <v>6</v>
      </c>
      <c r="L56" t="s">
        <v>416</v>
      </c>
      <c r="M56">
        <v>2.2000000000000002</v>
      </c>
      <c r="N56" t="s">
        <v>3</v>
      </c>
      <c r="O56" t="s">
        <v>36</v>
      </c>
      <c r="P56">
        <f t="shared" si="2"/>
        <v>3.7060698695122753</v>
      </c>
      <c r="Q56">
        <f t="shared" si="1"/>
        <v>2.2682464518527214</v>
      </c>
      <c r="R56" s="67" cm="1">
        <f t="array" ref="R56">SUMPRODUCT((J56=$J$7:$J$1000)*(P56&lt;$P$7:$P$1000))+1</f>
        <v>15</v>
      </c>
      <c r="S56" s="72"/>
      <c r="T56">
        <v>14</v>
      </c>
      <c r="U56" t="str">
        <v>OGDC</v>
      </c>
      <c r="V56" t="str">
        <v>Jack Iscaro</v>
      </c>
      <c r="W56" t="str">
        <v>NULL</v>
      </c>
      <c r="X56" t="str">
        <v>Away</v>
      </c>
      <c r="Y56" t="str">
        <v>ARC</v>
      </c>
      <c r="Z56">
        <v>5.32294238917396</v>
      </c>
    </row>
    <row r="57" spans="1:26" x14ac:dyDescent="0.35">
      <c r="A57">
        <f>VLOOKUP($B57, PlayerIDs!$A$1:$B$1000, 2, FALSE)</f>
        <v>656</v>
      </c>
      <c r="B57" t="s">
        <v>153</v>
      </c>
      <c r="C57" s="1">
        <v>4.0889238224835402</v>
      </c>
      <c r="D57" s="1">
        <f t="shared" si="7"/>
        <v>38</v>
      </c>
      <c r="E57" s="1" cm="1">
        <f t="array" ref="E57">IFERROR(VLOOKUP($B57,_xlfn._xlws.FILTER($L$7:$P$10000,$J$7:$J$10000=G$1+1),5, FALSE), 0)</f>
        <v>3.4849718220048382</v>
      </c>
      <c r="F57" s="1">
        <f t="shared" si="8"/>
        <v>41</v>
      </c>
      <c r="G57" s="1">
        <f t="shared" ca="1" si="9"/>
        <v>7.2337454233957867</v>
      </c>
      <c r="H57" s="1">
        <f t="shared" ca="1" si="10"/>
        <v>52</v>
      </c>
      <c r="I57" s="1" cm="1">
        <f t="array" ref="I57">COUNT(_xlfn._xlws.FILTER($J$7:$J$10000,($L$7:$L$10000=B57)*($M$7:$M$10000&lt;&gt;"NULL")*($J$7:$J$10000 &gt;= ($G$1-4))))/5</f>
        <v>1</v>
      </c>
      <c r="J57" s="65">
        <v>2</v>
      </c>
      <c r="K57" t="s">
        <v>2</v>
      </c>
      <c r="L57" t="s">
        <v>159</v>
      </c>
      <c r="M57">
        <v>1.5</v>
      </c>
      <c r="N57" t="s">
        <v>3</v>
      </c>
      <c r="O57" t="s">
        <v>13</v>
      </c>
      <c r="P57">
        <f t="shared" si="2"/>
        <v>1.0947551456810616</v>
      </c>
      <c r="Q57">
        <f t="shared" si="1"/>
        <v>0.16422339195197763</v>
      </c>
      <c r="R57" s="67" cm="1">
        <f t="array" ref="R57">SUMPRODUCT((J57=$J$7:$J$1000)*(P57&lt;$P$7:$P$1000))+1</f>
        <v>23</v>
      </c>
      <c r="S57" s="72"/>
      <c r="T57">
        <v>14</v>
      </c>
      <c r="U57" t="str">
        <v>OGDC</v>
      </c>
      <c r="V57" t="str">
        <v>Joe Rees</v>
      </c>
      <c r="W57" t="str">
        <v>NULL</v>
      </c>
      <c r="X57" t="str">
        <v>Away</v>
      </c>
      <c r="Y57" t="str">
        <v>ARC</v>
      </c>
      <c r="Z57">
        <v>0.94846452047452745</v>
      </c>
    </row>
    <row r="58" spans="1:26" x14ac:dyDescent="0.35">
      <c r="A58">
        <f>VLOOKUP($B58, PlayerIDs!$A$1:$B$1000, 2, FALSE)</f>
        <v>577</v>
      </c>
      <c r="B58" t="s">
        <v>157</v>
      </c>
      <c r="C58" s="1">
        <v>4.0391571537196862</v>
      </c>
      <c r="D58" s="1">
        <f t="shared" si="7"/>
        <v>39</v>
      </c>
      <c r="E58" s="1" cm="1">
        <f t="array" ref="E58">IFERROR(VLOOKUP($B58,_xlfn._xlws.FILTER($L$7:$P$10000,$J$7:$J$10000=G$1+1),5, FALSE), 0)</f>
        <v>2.7651790030785479</v>
      </c>
      <c r="F58" s="1">
        <f t="shared" si="8"/>
        <v>51</v>
      </c>
      <c r="G58" s="1">
        <f t="shared" ca="1" si="9"/>
        <v>6.2003841563195312</v>
      </c>
      <c r="H58" s="1">
        <f t="shared" ca="1" si="10"/>
        <v>57</v>
      </c>
      <c r="I58" s="1" cm="1">
        <f t="array" ref="I58">COUNT(_xlfn._xlws.FILTER($J$7:$J$10000,($L$7:$L$10000=B58)*($M$7:$M$10000&lt;&gt;"NULL")*($J$7:$J$10000 &gt;= ($G$1-4))))/5</f>
        <v>1</v>
      </c>
      <c r="J58" s="65">
        <v>2</v>
      </c>
      <c r="K58" t="s">
        <v>36</v>
      </c>
      <c r="L58" t="s">
        <v>414</v>
      </c>
      <c r="M58">
        <v>1.2</v>
      </c>
      <c r="N58" t="s">
        <v>9</v>
      </c>
      <c r="O58" t="s">
        <v>6</v>
      </c>
      <c r="P58">
        <f t="shared" si="2"/>
        <v>2.5212456807028394</v>
      </c>
      <c r="Q58">
        <f t="shared" si="1"/>
        <v>1.7456901487759096</v>
      </c>
      <c r="R58" s="67" cm="1">
        <f t="array" ref="R58">SUMPRODUCT((J58=$J$7:$J$1000)*(P58&lt;$P$7:$P$1000))+1</f>
        <v>20</v>
      </c>
      <c r="S58" s="72"/>
      <c r="T58">
        <v>14</v>
      </c>
      <c r="U58" t="str">
        <v>OGDC</v>
      </c>
      <c r="V58" t="str">
        <v>Joe Wrafter</v>
      </c>
      <c r="W58" t="str">
        <v>NULL</v>
      </c>
      <c r="X58" t="str">
        <v>Away</v>
      </c>
      <c r="Y58" t="str">
        <v>ARC</v>
      </c>
      <c r="Z58">
        <v>-2.2384351939133111</v>
      </c>
    </row>
    <row r="59" spans="1:26" x14ac:dyDescent="0.35">
      <c r="A59">
        <f>VLOOKUP($B59, PlayerIDs!$A$1:$B$1000, 2, FALSE)</f>
        <v>506</v>
      </c>
      <c r="B59" t="s">
        <v>165</v>
      </c>
      <c r="C59" s="1">
        <v>3.7378018261157844</v>
      </c>
      <c r="D59" s="1">
        <f t="shared" si="7"/>
        <v>40</v>
      </c>
      <c r="E59" s="1" cm="1">
        <f t="array" ref="E59">IFERROR(VLOOKUP($B59,_xlfn._xlws.FILTER($L$7:$P$10000,$J$7:$J$10000=G$1+1),5, FALSE), 0)</f>
        <v>0</v>
      </c>
      <c r="F59" s="1">
        <f t="shared" si="8"/>
        <v>74</v>
      </c>
      <c r="G59" s="1">
        <f t="shared" ca="1" si="9"/>
        <v>6.096802981901507</v>
      </c>
      <c r="H59" s="1">
        <f t="shared" ca="1" si="10"/>
        <v>59</v>
      </c>
      <c r="I59" s="1" cm="1">
        <f t="array" ref="I59">COUNT(_xlfn._xlws.FILTER($J$7:$J$10000,($L$7:$L$10000=B59)*($M$7:$M$10000&lt;&gt;"NULL")*($J$7:$J$10000 &gt;= ($G$1-4))))/5</f>
        <v>0.4</v>
      </c>
      <c r="J59" s="65">
        <v>2</v>
      </c>
      <c r="K59" t="s">
        <v>13</v>
      </c>
      <c r="L59" t="s">
        <v>467</v>
      </c>
      <c r="M59">
        <v>0.9</v>
      </c>
      <c r="N59" t="s">
        <v>9</v>
      </c>
      <c r="O59" t="s">
        <v>2</v>
      </c>
      <c r="P59">
        <f t="shared" si="2"/>
        <v>3.307082935063649</v>
      </c>
      <c r="Q59">
        <f t="shared" si="1"/>
        <v>5.7940482562746318</v>
      </c>
      <c r="R59" s="67" cm="1">
        <f t="array" ref="R59">SUMPRODUCT((J59=$J$7:$J$1000)*(P59&lt;$P$7:$P$1000))+1</f>
        <v>17</v>
      </c>
      <c r="S59" s="72"/>
      <c r="T59">
        <v>14</v>
      </c>
      <c r="U59" t="str">
        <v>OGDC</v>
      </c>
      <c r="V59" t="str">
        <v>KoiKoi Nelligan</v>
      </c>
      <c r="W59" t="str">
        <v>NULL</v>
      </c>
      <c r="X59" t="str">
        <v>Away</v>
      </c>
      <c r="Y59" t="str">
        <v>ARC</v>
      </c>
      <c r="Z59">
        <v>5.3058717213517665</v>
      </c>
    </row>
    <row r="60" spans="1:26" x14ac:dyDescent="0.35">
      <c r="A60">
        <f>VLOOKUP($B60, PlayerIDs!$A$1:$B$1000, 2, FALSE)</f>
        <v>59</v>
      </c>
      <c r="B60" t="s">
        <v>185</v>
      </c>
      <c r="C60" s="1">
        <v>3.6563713847587391</v>
      </c>
      <c r="D60" s="1">
        <f t="shared" si="7"/>
        <v>41</v>
      </c>
      <c r="E60" s="1" cm="1">
        <f t="array" ref="E60">IFERROR(VLOOKUP($B60,_xlfn._xlws.FILTER($L$7:$P$10000,$J$7:$J$10000=G$1+1),5, FALSE), 0)</f>
        <v>4.0947930562286228</v>
      </c>
      <c r="F60" s="1">
        <f t="shared" si="8"/>
        <v>36</v>
      </c>
      <c r="G60" s="1">
        <f t="shared" ca="1" si="9"/>
        <v>12.047887290601093</v>
      </c>
      <c r="H60" s="1">
        <f t="shared" ca="1" si="10"/>
        <v>34</v>
      </c>
      <c r="I60" s="1" cm="1">
        <f t="array" ref="I60">COUNT(_xlfn._xlws.FILTER($J$7:$J$10000,($L$7:$L$10000=B60)*($M$7:$M$10000&lt;&gt;"NULL")*($J$7:$J$10000 &gt;= ($G$1-4))))/5</f>
        <v>0.6</v>
      </c>
      <c r="J60" s="65">
        <v>2</v>
      </c>
      <c r="K60" t="s">
        <v>2</v>
      </c>
      <c r="L60" t="s">
        <v>185</v>
      </c>
      <c r="M60">
        <v>-6</v>
      </c>
      <c r="N60" t="s">
        <v>3</v>
      </c>
      <c r="O60" t="s">
        <v>13</v>
      </c>
      <c r="P60">
        <f t="shared" si="2"/>
        <v>2.3823932341176013</v>
      </c>
      <c r="Q60">
        <f t="shared" si="1"/>
        <v>70.26451633138052</v>
      </c>
      <c r="R60" s="67" cm="1">
        <f t="array" ref="R60">SUMPRODUCT((J60=$J$7:$J$1000)*(P60&lt;$P$7:$P$1000))+1</f>
        <v>21</v>
      </c>
      <c r="S60" s="72"/>
      <c r="T60">
        <v>14</v>
      </c>
      <c r="U60" t="str">
        <v>OGDC</v>
      </c>
      <c r="V60" t="str">
        <v>Martin Vaca</v>
      </c>
      <c r="W60" t="str">
        <v>NULL</v>
      </c>
      <c r="X60" t="str">
        <v>Away</v>
      </c>
      <c r="Y60" t="str">
        <v>ARC</v>
      </c>
      <c r="Z60">
        <v>8.2205632388100973</v>
      </c>
    </row>
    <row r="61" spans="1:26" x14ac:dyDescent="0.35">
      <c r="A61">
        <f>VLOOKUP($B61, PlayerIDs!$A$1:$B$1000, 2, FALSE)</f>
        <v>188</v>
      </c>
      <c r="B61" t="s">
        <v>164</v>
      </c>
      <c r="C61" s="1">
        <v>3.6406481703902851</v>
      </c>
      <c r="D61" s="1">
        <f t="shared" si="7"/>
        <v>42</v>
      </c>
      <c r="E61" s="1" cm="1">
        <f t="array" ref="E61">IFERROR(VLOOKUP($B61,_xlfn._xlws.FILTER($L$7:$P$10000,$J$7:$J$10000=G$1+1),5, FALSE), 0)</f>
        <v>3.0778226771916142</v>
      </c>
      <c r="F61" s="1">
        <f t="shared" si="8"/>
        <v>47</v>
      </c>
      <c r="G61" s="1">
        <f t="shared" ca="1" si="9"/>
        <v>8.9803183476421218</v>
      </c>
      <c r="H61" s="1">
        <f t="shared" ca="1" si="10"/>
        <v>46</v>
      </c>
      <c r="I61" s="1" cm="1">
        <f t="array" ref="I61">COUNT(_xlfn._xlws.FILTER($J$7:$J$10000,($L$7:$L$10000=B61)*($M$7:$M$10000&lt;&gt;"NULL")*($J$7:$J$10000 &gt;= ($G$1-4))))/5</f>
        <v>0.4</v>
      </c>
      <c r="J61" s="65">
        <v>3</v>
      </c>
      <c r="K61" t="s">
        <v>36</v>
      </c>
      <c r="L61" t="s">
        <v>466</v>
      </c>
      <c r="M61">
        <v>18.8</v>
      </c>
      <c r="N61" t="s">
        <v>3</v>
      </c>
      <c r="O61" t="s">
        <v>17</v>
      </c>
      <c r="P61">
        <f t="shared" si="2"/>
        <v>8.2939476767078606</v>
      </c>
      <c r="Q61">
        <f t="shared" si="1"/>
        <v>110.37713541975218</v>
      </c>
      <c r="R61" s="67" cm="1">
        <f t="array" ref="R61">SUMPRODUCT((J61=$J$7:$J$1000)*(P61&lt;$P$7:$P$1000))+1</f>
        <v>2</v>
      </c>
      <c r="S61" s="72"/>
      <c r="T61">
        <v>14</v>
      </c>
      <c r="U61" t="str">
        <v>OGDC</v>
      </c>
      <c r="V61" t="str">
        <v>Sam Davies</v>
      </c>
      <c r="W61" t="str">
        <v>NULL</v>
      </c>
      <c r="X61" t="str">
        <v>Away</v>
      </c>
      <c r="Y61" t="str">
        <v>ARC</v>
      </c>
      <c r="Z61">
        <v>3.3040147744278547</v>
      </c>
    </row>
    <row r="62" spans="1:26" x14ac:dyDescent="0.35">
      <c r="A62">
        <f>VLOOKUP($B62, PlayerIDs!$A$1:$B$1000, 2, FALSE)</f>
        <v>589</v>
      </c>
      <c r="B62" t="s">
        <v>416</v>
      </c>
      <c r="C62" s="1">
        <v>3.4800543278923417</v>
      </c>
      <c r="D62" s="1">
        <f t="shared" si="7"/>
        <v>43</v>
      </c>
      <c r="E62" s="1" cm="1">
        <f t="array" ref="E62">IFERROR(VLOOKUP($B62,_xlfn._xlws.FILTER($L$7:$P$10000,$J$7:$J$10000=G$1+1),5, FALSE), 0)</f>
        <v>3.3752318082034178</v>
      </c>
      <c r="F62" s="1">
        <f t="shared" si="8"/>
        <v>42</v>
      </c>
      <c r="G62" s="1">
        <f t="shared" ca="1" si="9"/>
        <v>9.4323647496968377</v>
      </c>
      <c r="H62" s="1">
        <f t="shared" ca="1" si="10"/>
        <v>45</v>
      </c>
      <c r="I62" s="1" cm="1">
        <f t="array" ref="I62">COUNT(_xlfn._xlws.FILTER($J$7:$J$10000,($L$7:$L$10000=B62)*($M$7:$M$10000&lt;&gt;"NULL")*($J$7:$J$10000 &gt;= ($G$1-4))))/5</f>
        <v>0.8</v>
      </c>
      <c r="J62" s="65">
        <v>3</v>
      </c>
      <c r="K62" t="s">
        <v>14</v>
      </c>
      <c r="L62" t="s">
        <v>248</v>
      </c>
      <c r="M62">
        <v>10.9</v>
      </c>
      <c r="N62" t="s">
        <v>3</v>
      </c>
      <c r="O62" t="s">
        <v>24</v>
      </c>
      <c r="P62">
        <f t="shared" si="2"/>
        <v>5.3946583475717338</v>
      </c>
      <c r="Q62">
        <f t="shared" si="1"/>
        <v>30.308786709961595</v>
      </c>
      <c r="R62" s="67" cm="1">
        <f t="array" ref="R62">SUMPRODUCT((J62=$J$7:$J$1000)*(P62&lt;$P$7:$P$1000))+1</f>
        <v>12</v>
      </c>
      <c r="S62" s="72"/>
      <c r="T62">
        <v>14</v>
      </c>
      <c r="U62" t="str">
        <v>SDL</v>
      </c>
      <c r="V62" t="str">
        <v>Brook To'omalatai</v>
      </c>
      <c r="W62" t="str">
        <v>NULL</v>
      </c>
      <c r="X62" t="str">
        <v>Away</v>
      </c>
      <c r="Y62" t="str">
        <v>SEA</v>
      </c>
      <c r="Z62">
        <v>2.6921213162218169</v>
      </c>
    </row>
    <row r="63" spans="1:26" x14ac:dyDescent="0.35">
      <c r="A63">
        <f>VLOOKUP($B63, PlayerIDs!$A$1:$B$1000, 2, FALSE)</f>
        <v>14</v>
      </c>
      <c r="B63" t="s">
        <v>143</v>
      </c>
      <c r="C63" s="1">
        <v>3.4472001846597227</v>
      </c>
      <c r="D63" s="1">
        <f t="shared" si="7"/>
        <v>44</v>
      </c>
      <c r="E63" s="1" cm="1">
        <f t="array" ref="E63">IFERROR(VLOOKUP($B63,_xlfn._xlws.FILTER($L$7:$P$10000,$J$7:$J$10000=G$1+1),5, FALSE), 0)</f>
        <v>2.8843746914610517</v>
      </c>
      <c r="F63" s="1">
        <f t="shared" si="8"/>
        <v>48</v>
      </c>
      <c r="G63" s="1">
        <f t="shared" ca="1" si="9"/>
        <v>8.3999743904504349</v>
      </c>
      <c r="H63" s="1">
        <f t="shared" ca="1" si="10"/>
        <v>48</v>
      </c>
      <c r="I63" s="1" cm="1">
        <f t="array" ref="I63">COUNT(_xlfn._xlws.FILTER($J$7:$J$10000,($L$7:$L$10000=B63)*($M$7:$M$10000&lt;&gt;"NULL")*($J$7:$J$10000 &gt;= ($G$1-4))))/5</f>
        <v>0.6</v>
      </c>
      <c r="J63" s="65">
        <v>3</v>
      </c>
      <c r="K63" t="s">
        <v>13</v>
      </c>
      <c r="L63" t="s">
        <v>463</v>
      </c>
      <c r="M63">
        <v>10.4</v>
      </c>
      <c r="N63" t="s">
        <v>3</v>
      </c>
      <c r="O63" t="s">
        <v>4</v>
      </c>
      <c r="P63">
        <f t="shared" si="2"/>
        <v>9.3700269682902935</v>
      </c>
      <c r="Q63">
        <f t="shared" si="1"/>
        <v>1.060844446049285</v>
      </c>
      <c r="R63" s="67" cm="1">
        <f t="array" ref="R63">SUMPRODUCT((J63=$J$7:$J$1000)*(P63&lt;$P$7:$P$1000))+1</f>
        <v>1</v>
      </c>
      <c r="S63" s="72"/>
      <c r="T63">
        <v>14</v>
      </c>
      <c r="U63" t="str">
        <v>SDL</v>
      </c>
      <c r="V63" t="str">
        <v>Darcy Breen</v>
      </c>
      <c r="W63" t="str">
        <v>NULL</v>
      </c>
      <c r="X63" t="str">
        <v>Away</v>
      </c>
      <c r="Y63" t="str">
        <v>SEA</v>
      </c>
      <c r="Z63">
        <v>3.4849718220048382</v>
      </c>
    </row>
    <row r="64" spans="1:26" x14ac:dyDescent="0.35">
      <c r="A64">
        <f>VLOOKUP($B64, PlayerIDs!$A$1:$B$1000, 2, FALSE)</f>
        <v>714</v>
      </c>
      <c r="B64" t="s">
        <v>467</v>
      </c>
      <c r="C64" s="1">
        <v>3.4119054547525729</v>
      </c>
      <c r="D64" s="1">
        <f t="shared" si="7"/>
        <v>45</v>
      </c>
      <c r="E64" s="1" cm="1">
        <f t="array" ref="E64">IFERROR(VLOOKUP($B64,_xlfn._xlws.FILTER($L$7:$P$10000,$J$7:$J$10000=G$1+1),5, FALSE), 0)</f>
        <v>3.4851285054488574</v>
      </c>
      <c r="F64" s="1">
        <f t="shared" si="8"/>
        <v>40</v>
      </c>
      <c r="G64" s="1">
        <f t="shared" ca="1" si="9"/>
        <v>10.949290879808995</v>
      </c>
      <c r="H64" s="1">
        <f t="shared" ca="1" si="10"/>
        <v>38</v>
      </c>
      <c r="I64" s="1" cm="1">
        <f t="array" ref="I64">COUNT(_xlfn._xlws.FILTER($J$7:$J$10000,($L$7:$L$10000=B64)*($M$7:$M$10000&lt;&gt;"NULL")*($J$7:$J$10000 &gt;= ($G$1-4))))/5</f>
        <v>0.8</v>
      </c>
      <c r="J64" s="65">
        <v>3</v>
      </c>
      <c r="K64" t="s">
        <v>17</v>
      </c>
      <c r="L64" t="s">
        <v>480</v>
      </c>
      <c r="M64">
        <v>10.3</v>
      </c>
      <c r="N64" t="s">
        <v>9</v>
      </c>
      <c r="O64" t="s">
        <v>36</v>
      </c>
      <c r="P64">
        <f t="shared" si="2"/>
        <v>4.6030626878451395</v>
      </c>
      <c r="Q64">
        <f t="shared" si="1"/>
        <v>32.455094738622257</v>
      </c>
      <c r="R64" s="67" cm="1">
        <f t="array" ref="R64">SUMPRODUCT((J64=$J$7:$J$1000)*(P64&lt;$P$7:$P$1000))+1</f>
        <v>14</v>
      </c>
      <c r="S64" s="72"/>
      <c r="T64">
        <v>14</v>
      </c>
      <c r="U64" t="str">
        <v>SDL</v>
      </c>
      <c r="V64" t="str">
        <v>Djustice Sears-Duru</v>
      </c>
      <c r="W64" t="str">
        <v>NULL</v>
      </c>
      <c r="X64" t="str">
        <v>Away</v>
      </c>
      <c r="Y64" t="str">
        <v>SEA</v>
      </c>
      <c r="Z64">
        <v>5.3960295110168817</v>
      </c>
    </row>
    <row r="65" spans="1:26" x14ac:dyDescent="0.35">
      <c r="A65">
        <f>VLOOKUP($B65, PlayerIDs!$A$1:$B$1000, 2, FALSE)</f>
        <v>854</v>
      </c>
      <c r="B65" t="s">
        <v>545</v>
      </c>
      <c r="C65" s="1">
        <v>3.2960733167005194</v>
      </c>
      <c r="D65" s="1">
        <f t="shared" si="7"/>
        <v>46</v>
      </c>
      <c r="E65" s="1" cm="1">
        <f t="array" ref="E65">IFERROR(VLOOKUP($B65,_xlfn._xlws.FILTER($L$7:$P$10000,$J$7:$J$10000=G$1+1),5, FALSE), 0)</f>
        <v>2.6921213162218169</v>
      </c>
      <c r="F65" s="1">
        <f t="shared" si="8"/>
        <v>52</v>
      </c>
      <c r="G65" s="1">
        <f t="shared" ca="1" si="9"/>
        <v>5.6480444118297441</v>
      </c>
      <c r="H65" s="1">
        <f t="shared" ca="1" si="10"/>
        <v>61</v>
      </c>
      <c r="I65" s="1" cm="1">
        <f t="array" ref="I65">COUNT(_xlfn._xlws.FILTER($J$7:$J$10000,($L$7:$L$10000=B65)*($M$7:$M$10000&lt;&gt;"NULL")*($J$7:$J$10000 &gt;= ($G$1-4))))/5</f>
        <v>0.2</v>
      </c>
      <c r="J65" s="65">
        <v>3</v>
      </c>
      <c r="K65" t="s">
        <v>7</v>
      </c>
      <c r="L65" t="s">
        <v>163</v>
      </c>
      <c r="M65">
        <v>6.2</v>
      </c>
      <c r="N65" t="s">
        <v>3</v>
      </c>
      <c r="O65" t="s">
        <v>34</v>
      </c>
      <c r="P65">
        <f t="shared" si="2"/>
        <v>6.3362520026021558</v>
      </c>
      <c r="Q65">
        <f t="shared" si="1"/>
        <v>1.8564608213097827E-2</v>
      </c>
      <c r="R65" s="67" cm="1">
        <f t="array" ref="R65">SUMPRODUCT((J65=$J$7:$J$1000)*(P65&lt;$P$7:$P$1000))+1</f>
        <v>6</v>
      </c>
      <c r="S65" s="72"/>
      <c r="T65">
        <v>14</v>
      </c>
      <c r="U65" t="str">
        <v>SDL</v>
      </c>
      <c r="V65" t="str">
        <v>Hugh Roach</v>
      </c>
      <c r="W65" t="str">
        <v>NULL</v>
      </c>
      <c r="X65" t="str">
        <v>Away</v>
      </c>
      <c r="Y65" t="str">
        <v>SEA</v>
      </c>
      <c r="Z65">
        <v>6.8049524111812847</v>
      </c>
    </row>
    <row r="66" spans="1:26" x14ac:dyDescent="0.35">
      <c r="A66">
        <f>VLOOKUP($B66, PlayerIDs!$A$1:$B$1000, 2, FALSE)</f>
        <v>48</v>
      </c>
      <c r="B66" t="s">
        <v>148</v>
      </c>
      <c r="C66" s="1">
        <v>3.2889629332399153</v>
      </c>
      <c r="D66" s="1">
        <f t="shared" si="7"/>
        <v>47</v>
      </c>
      <c r="E66" s="1" cm="1">
        <f t="array" ref="E66">IFERROR(VLOOKUP($B66,_xlfn._xlws.FILTER($L$7:$P$10000,$J$7:$J$10000=G$1+1),5, FALSE), 0)</f>
        <v>3.7822495365510784</v>
      </c>
      <c r="F66" s="1">
        <f t="shared" si="8"/>
        <v>38</v>
      </c>
      <c r="G66" s="1">
        <f t="shared" ca="1" si="9"/>
        <v>10.949336877518341</v>
      </c>
      <c r="H66" s="1">
        <f t="shared" ca="1" si="10"/>
        <v>37</v>
      </c>
      <c r="I66" s="1" cm="1">
        <f t="array" ref="I66">COUNT(_xlfn._xlws.FILTER($J$7:$J$10000,($L$7:$L$10000=B66)*($M$7:$M$10000&lt;&gt;"NULL")*($J$7:$J$10000 &gt;= ($G$1-4))))/5</f>
        <v>0.2</v>
      </c>
      <c r="J66" s="65">
        <v>3</v>
      </c>
      <c r="K66" t="s">
        <v>23</v>
      </c>
      <c r="L66" t="s">
        <v>412</v>
      </c>
      <c r="M66">
        <v>6</v>
      </c>
      <c r="N66" t="s">
        <v>9</v>
      </c>
      <c r="O66" t="s">
        <v>2</v>
      </c>
      <c r="P66">
        <f t="shared" si="2"/>
        <v>5.5832971785568288</v>
      </c>
      <c r="Q66">
        <f t="shared" si="1"/>
        <v>0.17364124139869938</v>
      </c>
      <c r="R66" s="67" cm="1">
        <f t="array" ref="R66">SUMPRODUCT((J66=$J$7:$J$1000)*(P66&lt;$P$7:$P$1000))+1</f>
        <v>11</v>
      </c>
      <c r="S66" s="72"/>
      <c r="T66">
        <v>14</v>
      </c>
      <c r="U66" t="str">
        <v>SDL</v>
      </c>
      <c r="V66" t="str">
        <v>Nathan Sylvia</v>
      </c>
      <c r="W66" t="str">
        <v>NULL</v>
      </c>
      <c r="X66" t="str">
        <v>Away</v>
      </c>
      <c r="Y66" t="str">
        <v>SEA</v>
      </c>
      <c r="Z66">
        <v>1.6130257940197559</v>
      </c>
    </row>
    <row r="67" spans="1:26" x14ac:dyDescent="0.35">
      <c r="A67">
        <f>VLOOKUP($B67, PlayerIDs!$A$1:$B$1000, 2, FALSE)</f>
        <v>393</v>
      </c>
      <c r="B67" t="s">
        <v>179</v>
      </c>
      <c r="C67" s="1">
        <v>3.2715459462337466</v>
      </c>
      <c r="D67" s="1">
        <f t="shared" si="7"/>
        <v>48</v>
      </c>
      <c r="E67" s="1" cm="1">
        <f t="array" ref="E67">IFERROR(VLOOKUP($B67,_xlfn._xlws.FILTER($L$7:$P$10000,$J$7:$J$10000=G$1+1),5, FALSE), 0)</f>
        <v>3.5750782401749448</v>
      </c>
      <c r="F67" s="1">
        <f t="shared" si="8"/>
        <v>39</v>
      </c>
      <c r="G67" s="1">
        <f t="shared" ca="1" si="9"/>
        <v>11.910395529928032</v>
      </c>
      <c r="H67" s="1">
        <f t="shared" ca="1" si="10"/>
        <v>35</v>
      </c>
      <c r="I67" s="1" cm="1">
        <f t="array" ref="I67">COUNT(_xlfn._xlws.FILTER($J$7:$J$10000,($L$7:$L$10000=B67)*($M$7:$M$10000&lt;&gt;"NULL")*($J$7:$J$10000 &gt;= ($G$1-4))))/5</f>
        <v>0.6</v>
      </c>
      <c r="J67" s="65">
        <v>3</v>
      </c>
      <c r="K67" t="s">
        <v>13</v>
      </c>
      <c r="L67" t="s">
        <v>464</v>
      </c>
      <c r="M67">
        <v>5.9</v>
      </c>
      <c r="N67" t="s">
        <v>3</v>
      </c>
      <c r="O67" t="s">
        <v>4</v>
      </c>
      <c r="P67">
        <f t="shared" si="2"/>
        <v>6.1811529328679393</v>
      </c>
      <c r="Q67">
        <f t="shared" si="1"/>
        <v>7.9046971660243798E-2</v>
      </c>
      <c r="R67" s="67" cm="1">
        <f t="array" ref="R67">SUMPRODUCT((J67=$J$7:$J$1000)*(P67&lt;$P$7:$P$1000))+1</f>
        <v>7</v>
      </c>
      <c r="S67" s="72"/>
      <c r="T67">
        <v>14</v>
      </c>
      <c r="U67" t="str">
        <v>SDL</v>
      </c>
      <c r="V67" t="str">
        <v>Payton Telea-Ilalio</v>
      </c>
      <c r="W67" t="str">
        <v>NULL</v>
      </c>
      <c r="X67" t="str">
        <v>Away</v>
      </c>
      <c r="Y67" t="str">
        <v>SEA</v>
      </c>
      <c r="Z67">
        <v>3.9992791445924594</v>
      </c>
    </row>
    <row r="68" spans="1:26" x14ac:dyDescent="0.35">
      <c r="A68">
        <f>VLOOKUP($B68, PlayerIDs!$A$1:$B$1000, 2, FALSE)</f>
        <v>348</v>
      </c>
      <c r="B68" t="s">
        <v>176</v>
      </c>
      <c r="C68" s="1">
        <v>3.2119953348607964</v>
      </c>
      <c r="D68" s="1">
        <f t="shared" si="7"/>
        <v>49</v>
      </c>
      <c r="E68" s="1" cm="1">
        <f t="array" ref="E68">IFERROR(VLOOKUP($B68,_xlfn._xlws.FILTER($L$7:$P$10000,$J$7:$J$10000=G$1+1),5, FALSE), 0)</f>
        <v>0</v>
      </c>
      <c r="F68" s="1">
        <f t="shared" si="8"/>
        <v>74</v>
      </c>
      <c r="G68" s="1">
        <f t="shared" ca="1" si="9"/>
        <v>5.045189999391531</v>
      </c>
      <c r="H68" s="1">
        <f t="shared" ca="1" si="10"/>
        <v>63</v>
      </c>
      <c r="I68" s="1" cm="1">
        <f t="array" ref="I68">COUNT(_xlfn._xlws.FILTER($J$7:$J$10000,($L$7:$L$10000=B68)*($M$7:$M$10000&lt;&gt;"NULL")*($J$7:$J$10000 &gt;= ($G$1-4))))/5</f>
        <v>0.4</v>
      </c>
      <c r="J68" s="65">
        <v>3</v>
      </c>
      <c r="K68" t="s">
        <v>23</v>
      </c>
      <c r="L68" t="s">
        <v>144</v>
      </c>
      <c r="M68">
        <v>5.5</v>
      </c>
      <c r="N68" t="s">
        <v>9</v>
      </c>
      <c r="O68" t="s">
        <v>2</v>
      </c>
      <c r="P68">
        <f t="shared" si="2"/>
        <v>6.0656934456695124</v>
      </c>
      <c r="Q68">
        <f t="shared" si="1"/>
        <v>0.32000907447344557</v>
      </c>
      <c r="R68" s="67" cm="1">
        <f t="array" ref="R68">SUMPRODUCT((J68=$J$7:$J$1000)*(P68&lt;$P$7:$P$1000))+1</f>
        <v>8</v>
      </c>
      <c r="S68" s="72"/>
      <c r="T68">
        <v>14</v>
      </c>
      <c r="U68" t="str">
        <v>SDL</v>
      </c>
      <c r="V68" t="str">
        <v>Shilo Klein</v>
      </c>
      <c r="W68" t="str">
        <v>NULL</v>
      </c>
      <c r="X68" t="str">
        <v>Away</v>
      </c>
      <c r="Y68" t="str">
        <v>SEA</v>
      </c>
      <c r="Z68">
        <v>10.143853861482043</v>
      </c>
    </row>
    <row r="69" spans="1:26" x14ac:dyDescent="0.35">
      <c r="A69">
        <f>VLOOKUP($B69, PlayerIDs!$A$1:$B$1000, 2, FALSE)</f>
        <v>353</v>
      </c>
      <c r="B69" t="s">
        <v>415</v>
      </c>
      <c r="C69" s="1">
        <v>3.1562420522264882</v>
      </c>
      <c r="D69" s="1">
        <f t="shared" si="7"/>
        <v>50</v>
      </c>
      <c r="E69" s="1" cm="1">
        <f t="array" ref="E69">IFERROR(VLOOKUP($B69,_xlfn._xlws.FILTER($L$7:$P$10000,$J$7:$J$10000=G$1+1),5, FALSE), 0)</f>
        <v>1.8822639015853504</v>
      </c>
      <c r="F69" s="1">
        <f t="shared" si="8"/>
        <v>58</v>
      </c>
      <c r="G69" s="1">
        <f t="shared" ca="1" si="9"/>
        <v>4.4345539533331362</v>
      </c>
      <c r="H69" s="1">
        <f t="shared" ca="1" si="10"/>
        <v>66</v>
      </c>
      <c r="I69" s="1" cm="1">
        <f t="array" ref="I69">COUNT(_xlfn._xlws.FILTER($J$7:$J$10000,($L$7:$L$10000=B69)*($M$7:$M$10000&lt;&gt;"NULL")*($J$7:$J$10000 &gt;= ($G$1-4))))/5</f>
        <v>0.4</v>
      </c>
      <c r="J69" s="66">
        <v>3</v>
      </c>
      <c r="K69" t="s">
        <v>7</v>
      </c>
      <c r="L69" t="s">
        <v>148</v>
      </c>
      <c r="M69">
        <v>5.5</v>
      </c>
      <c r="N69" t="s">
        <v>3</v>
      </c>
      <c r="O69" t="s">
        <v>34</v>
      </c>
      <c r="P69">
        <f t="shared" si="2"/>
        <v>4.795559149979276</v>
      </c>
      <c r="Q69">
        <f t="shared" si="1"/>
        <v>0.49623691117792013</v>
      </c>
      <c r="R69" s="67" cm="1">
        <f t="array" ref="R69">SUMPRODUCT((J69=$J$7:$J$1000)*(P69&lt;$P$7:$P$1000))+1</f>
        <v>13</v>
      </c>
      <c r="S69" s="72"/>
      <c r="T69">
        <v>14</v>
      </c>
      <c r="U69" t="str">
        <v>SEA</v>
      </c>
      <c r="V69" t="str">
        <v>Cameron Orr</v>
      </c>
      <c r="W69" t="str">
        <v>NULL</v>
      </c>
      <c r="X69" t="str">
        <v>Home</v>
      </c>
      <c r="Y69" t="str">
        <v>SDL</v>
      </c>
      <c r="Z69">
        <v>7.0631897698730102</v>
      </c>
    </row>
    <row r="70" spans="1:26" x14ac:dyDescent="0.35">
      <c r="A70">
        <f>VLOOKUP($B70, PlayerIDs!$A$1:$B$1000, 2, FALSE)</f>
        <v>147</v>
      </c>
      <c r="B70" t="s">
        <v>524</v>
      </c>
      <c r="C70" s="1">
        <v>3.1408425826042294</v>
      </c>
      <c r="D70" s="1">
        <f t="shared" si="7"/>
        <v>51</v>
      </c>
      <c r="E70" s="1" cm="1">
        <f t="array" ref="E70">IFERROR(VLOOKUP($B70,_xlfn._xlws.FILTER($L$7:$P$10000,$J$7:$J$10000=G$1+1),5, FALSE), 0)</f>
        <v>3.214065633300514</v>
      </c>
      <c r="F70" s="1">
        <f t="shared" si="8"/>
        <v>44</v>
      </c>
      <c r="G70" s="1">
        <f t="shared" ca="1" si="9"/>
        <v>10.136102263363966</v>
      </c>
      <c r="H70" s="1">
        <f t="shared" ca="1" si="10"/>
        <v>41</v>
      </c>
      <c r="I70" s="1" cm="1">
        <f t="array" ref="I70">COUNT(_xlfn._xlws.FILTER($J$7:$J$10000,($L$7:$L$10000=B70)*($M$7:$M$10000&lt;&gt;"NULL")*($J$7:$J$10000 &gt;= ($G$1-4))))/5</f>
        <v>0.2</v>
      </c>
      <c r="J70" s="65">
        <v>3</v>
      </c>
      <c r="K70" t="s">
        <v>34</v>
      </c>
      <c r="L70" t="s">
        <v>177</v>
      </c>
      <c r="M70">
        <v>5</v>
      </c>
      <c r="N70" t="s">
        <v>9</v>
      </c>
      <c r="O70" t="s">
        <v>7</v>
      </c>
      <c r="P70">
        <f t="shared" si="2"/>
        <v>3.8876131609488418</v>
      </c>
      <c r="Q70">
        <f t="shared" si="1"/>
        <v>1.2374044796942274</v>
      </c>
      <c r="R70" s="67" cm="1">
        <f t="array" ref="R70">SUMPRODUCT((J70=$J$7:$J$1000)*(P70&lt;$P$7:$P$1000))+1</f>
        <v>15</v>
      </c>
      <c r="S70" s="72"/>
      <c r="T70">
        <v>14</v>
      </c>
      <c r="U70" t="str">
        <v>SEA</v>
      </c>
      <c r="V70" t="str">
        <v>Dewald Kotze</v>
      </c>
      <c r="W70" t="str">
        <v>NULL</v>
      </c>
      <c r="X70" t="str">
        <v>Home</v>
      </c>
      <c r="Y70" t="str">
        <v>SDL</v>
      </c>
      <c r="Z70">
        <v>6.7917236688622458</v>
      </c>
    </row>
    <row r="71" spans="1:26" x14ac:dyDescent="0.35">
      <c r="A71">
        <f>VLOOKUP($B71, PlayerIDs!$A$1:$B$1000, 2, FALSE)</f>
        <v>128</v>
      </c>
      <c r="B71" t="s">
        <v>557</v>
      </c>
      <c r="C71" s="1">
        <v>3.1179414361252626</v>
      </c>
      <c r="D71" s="1">
        <f t="shared" si="7"/>
        <v>52</v>
      </c>
      <c r="E71" s="1" cm="1">
        <f t="array" ref="E71">IFERROR(VLOOKUP($B71,_xlfn._xlws.FILTER($L$7:$P$10000,$J$7:$J$10000=G$1+1),5, FALSE), 0)</f>
        <v>3.1911644868215472</v>
      </c>
      <c r="F71" s="1">
        <f t="shared" si="8"/>
        <v>45</v>
      </c>
      <c r="G71" s="1">
        <f t="shared" ca="1" si="9"/>
        <v>10.067398823927064</v>
      </c>
      <c r="H71" s="1">
        <f t="shared" ca="1" si="10"/>
        <v>42</v>
      </c>
      <c r="I71" s="1" cm="1">
        <f t="array" ref="I71">COUNT(_xlfn._xlws.FILTER($J$7:$J$10000,($L$7:$L$10000=B71)*($M$7:$M$10000&lt;&gt;"NULL")*($J$7:$J$10000 &gt;= ($G$1-4))))/5</f>
        <v>0.2</v>
      </c>
      <c r="J71" s="66">
        <v>3</v>
      </c>
      <c r="K71" t="s">
        <v>14</v>
      </c>
      <c r="L71" t="s">
        <v>164</v>
      </c>
      <c r="M71">
        <v>4.9000000000000004</v>
      </c>
      <c r="N71" t="s">
        <v>3</v>
      </c>
      <c r="O71" t="s">
        <v>24</v>
      </c>
      <c r="P71">
        <f t="shared" si="2"/>
        <v>3.453290440221342</v>
      </c>
      <c r="Q71">
        <f t="shared" ref="Q71:Q134" si="11">IFERROR(($M71-$P71)^2,"")</f>
        <v>2.0929685503549593</v>
      </c>
      <c r="R71" s="67" cm="1">
        <f t="array" ref="R71">SUMPRODUCT((J71=$J$7:$J$1000)*(P71&lt;$P$7:$P$1000))+1</f>
        <v>18</v>
      </c>
      <c r="S71" s="72"/>
      <c r="T71">
        <v>14</v>
      </c>
      <c r="U71" t="str">
        <v>SEA</v>
      </c>
      <c r="V71" t="str">
        <v>Juan Pablo Zeiss</v>
      </c>
      <c r="W71" t="str">
        <v>NULL</v>
      </c>
      <c r="X71" t="str">
        <v>Home</v>
      </c>
      <c r="Y71" t="str">
        <v>SDL</v>
      </c>
      <c r="Z71">
        <v>4.463000925967644</v>
      </c>
    </row>
    <row r="72" spans="1:26" x14ac:dyDescent="0.35">
      <c r="A72">
        <f>VLOOKUP($B72, PlayerIDs!$A$1:$B$1000, 2, FALSE)</f>
        <v>522</v>
      </c>
      <c r="B72" t="s">
        <v>604</v>
      </c>
      <c r="C72" s="1">
        <v>2.9866098381463413</v>
      </c>
      <c r="D72" s="1">
        <f t="shared" si="7"/>
        <v>53</v>
      </c>
      <c r="E72" s="1" cm="1">
        <f t="array" ref="E72">IFERROR(VLOOKUP($B72,_xlfn._xlws.FILTER($L$7:$P$10000,$J$7:$J$10000=G$1+1),5, FALSE), 0)</f>
        <v>2.4237843449476704</v>
      </c>
      <c r="F72" s="1">
        <f t="shared" si="8"/>
        <v>54</v>
      </c>
      <c r="G72" s="1">
        <f t="shared" ca="1" si="9"/>
        <v>7.0182033509102908</v>
      </c>
      <c r="H72" s="1">
        <f t="shared" ca="1" si="10"/>
        <v>55</v>
      </c>
      <c r="I72" s="1" cm="1">
        <f t="array" ref="I72">COUNT(_xlfn._xlws.FILTER($J$7:$J$10000,($L$7:$L$10000=B72)*($M$7:$M$10000&lt;&gt;"NULL")*($J$7:$J$10000 &gt;= ($G$1-4))))/5</f>
        <v>0.2</v>
      </c>
      <c r="J72" s="65">
        <v>3</v>
      </c>
      <c r="K72" t="s">
        <v>14</v>
      </c>
      <c r="L72" t="s">
        <v>143</v>
      </c>
      <c r="M72">
        <v>4.5</v>
      </c>
      <c r="N72" t="s">
        <v>3</v>
      </c>
      <c r="O72" t="s">
        <v>24</v>
      </c>
      <c r="P72">
        <f t="shared" ref="P72:P135" si="12">VLOOKUP($N72,$F$3:$G$4,2,FALSE)+VLOOKUP($L72,$B$20:$C$150,2,FALSE)+VLOOKUP($O72,$A$6:$B$16,2,FALSE)</f>
        <v>3.2598424544907796</v>
      </c>
      <c r="Q72">
        <f t="shared" si="11"/>
        <v>1.5379907376834541</v>
      </c>
      <c r="R72" s="67" cm="1">
        <f t="array" ref="R72">SUMPRODUCT((J72=$J$7:$J$1000)*(P72&lt;$P$7:$P$1000))+1</f>
        <v>21</v>
      </c>
      <c r="S72" s="72"/>
      <c r="T72">
        <v>14</v>
      </c>
      <c r="U72" t="str">
        <v>SEA</v>
      </c>
      <c r="V72" t="str">
        <v>Kerron van Vuuren</v>
      </c>
      <c r="W72" t="str">
        <v>NULL</v>
      </c>
      <c r="X72" t="str">
        <v>Home</v>
      </c>
      <c r="Y72" t="str">
        <v>SDL</v>
      </c>
      <c r="Z72">
        <v>6.0364358538882144</v>
      </c>
    </row>
    <row r="73" spans="1:26" x14ac:dyDescent="0.35">
      <c r="A73">
        <f>VLOOKUP($B73, PlayerIDs!$A$1:$B$1000, 2, FALSE)</f>
        <v>233</v>
      </c>
      <c r="B73" t="s">
        <v>167</v>
      </c>
      <c r="C73" s="1">
        <v>2.9564047092282837</v>
      </c>
      <c r="D73" s="1">
        <f t="shared" si="7"/>
        <v>54</v>
      </c>
      <c r="E73" s="1" cm="1">
        <f t="array" ref="E73">IFERROR(VLOOKUP($B73,_xlfn._xlws.FILTER($L$7:$P$10000,$J$7:$J$10000=G$1+1),5, FALSE), 0)</f>
        <v>4.463000925967644</v>
      </c>
      <c r="F73" s="1">
        <f t="shared" si="8"/>
        <v>34</v>
      </c>
      <c r="G73" s="1">
        <f t="shared" ca="1" si="9"/>
        <v>10.752565689061694</v>
      </c>
      <c r="H73" s="1">
        <f t="shared" ca="1" si="10"/>
        <v>39</v>
      </c>
      <c r="I73" s="1" cm="1">
        <f t="array" ref="I73">COUNT(_xlfn._xlws.FILTER($J$7:$J$10000,($L$7:$L$10000=B73)*($M$7:$M$10000&lt;&gt;"NULL")*($J$7:$J$10000 &gt;= ($G$1-4))))/5</f>
        <v>0.6</v>
      </c>
      <c r="J73" s="65">
        <v>3</v>
      </c>
      <c r="K73" t="s">
        <v>7</v>
      </c>
      <c r="L73" t="s">
        <v>158</v>
      </c>
      <c r="M73">
        <v>4.5</v>
      </c>
      <c r="N73" t="s">
        <v>3</v>
      </c>
      <c r="O73" t="s">
        <v>34</v>
      </c>
      <c r="P73">
        <f t="shared" si="12"/>
        <v>6.9000907364450059</v>
      </c>
      <c r="Q73">
        <f t="shared" si="11"/>
        <v>5.7604355431691312</v>
      </c>
      <c r="R73" s="67" cm="1">
        <f t="array" ref="R73">SUMPRODUCT((J73=$J$7:$J$1000)*(P73&lt;$P$7:$P$1000))+1</f>
        <v>4</v>
      </c>
      <c r="S73" s="72"/>
      <c r="T73">
        <v>14</v>
      </c>
      <c r="U73" t="str">
        <v>SEA</v>
      </c>
      <c r="V73" t="str">
        <v>Mason Pedersen</v>
      </c>
      <c r="W73" t="str">
        <v>NULL</v>
      </c>
      <c r="X73" t="str">
        <v>Home</v>
      </c>
      <c r="Y73" t="str">
        <v>SDL</v>
      </c>
      <c r="Z73">
        <v>6.5136910292269814</v>
      </c>
    </row>
    <row r="74" spans="1:26" x14ac:dyDescent="0.35">
      <c r="A74">
        <f>VLOOKUP($B74, PlayerIDs!$A$1:$B$1000, 2, FALSE)</f>
        <v>774</v>
      </c>
      <c r="B74" t="s">
        <v>411</v>
      </c>
      <c r="C74" s="1">
        <v>2.8774611381695023</v>
      </c>
      <c r="D74" s="1">
        <f t="shared" si="7"/>
        <v>55</v>
      </c>
      <c r="E74" s="1" cm="1">
        <f t="array" ref="E74">IFERROR(VLOOKUP($B74,_xlfn._xlws.FILTER($L$7:$P$10000,$J$7:$J$10000=G$1+1),5, FALSE), 0)</f>
        <v>3.1809934321107005</v>
      </c>
      <c r="F74" s="1">
        <f t="shared" si="8"/>
        <v>46</v>
      </c>
      <c r="G74" s="1">
        <f t="shared" ca="1" si="9"/>
        <v>10.7281411057353</v>
      </c>
      <c r="H74" s="1">
        <f t="shared" ca="1" si="10"/>
        <v>40</v>
      </c>
      <c r="I74" s="1" cm="1">
        <f t="array" ref="I74">COUNT(_xlfn._xlws.FILTER($J$7:$J$10000,($L$7:$L$10000=B74)*($M$7:$M$10000&lt;&gt;"NULL")*($J$7:$J$10000 &gt;= ($G$1-4))))/5</f>
        <v>0.6</v>
      </c>
      <c r="J74" s="65">
        <v>3</v>
      </c>
      <c r="K74" t="s">
        <v>2</v>
      </c>
      <c r="L74" t="s">
        <v>156</v>
      </c>
      <c r="M74">
        <v>3.7</v>
      </c>
      <c r="N74" t="s">
        <v>3</v>
      </c>
      <c r="O74" t="s">
        <v>23</v>
      </c>
      <c r="P74">
        <f t="shared" si="12"/>
        <v>8.1064478170406229</v>
      </c>
      <c r="Q74">
        <f t="shared" si="11"/>
        <v>19.416782364302069</v>
      </c>
      <c r="R74" s="67" cm="1">
        <f t="array" ref="R74">SUMPRODUCT((J74=$J$7:$J$1000)*(P74&lt;$P$7:$P$1000))+1</f>
        <v>3</v>
      </c>
      <c r="S74" s="72"/>
      <c r="T74">
        <v>14</v>
      </c>
      <c r="U74" t="str">
        <v>UTAH</v>
      </c>
      <c r="V74" t="str">
        <v>Aki Seiuli</v>
      </c>
      <c r="W74" t="str">
        <v>NULL</v>
      </c>
      <c r="X74" t="str">
        <v>Away</v>
      </c>
      <c r="Y74" t="str">
        <v>HOU</v>
      </c>
      <c r="Z74">
        <v>6.1073111220203966</v>
      </c>
    </row>
    <row r="75" spans="1:26" x14ac:dyDescent="0.35">
      <c r="A75">
        <f>VLOOKUP($B75, PlayerIDs!$A$1:$B$1000, 2, FALSE)</f>
        <v>251</v>
      </c>
      <c r="B75" t="s">
        <v>169</v>
      </c>
      <c r="C75" s="1">
        <v>2.851740467554388</v>
      </c>
      <c r="D75" s="1">
        <f t="shared" si="7"/>
        <v>56</v>
      </c>
      <c r="E75" s="1" cm="1">
        <f t="array" ref="E75">IFERROR(VLOOKUP($B75,_xlfn._xlws.FILTER($L$7:$P$10000,$J$7:$J$10000=G$1+1),5, FALSE), 0)</f>
        <v>2.5115902464617959</v>
      </c>
      <c r="F75" s="1">
        <f t="shared" si="8"/>
        <v>53</v>
      </c>
      <c r="G75" s="1">
        <f t="shared" ca="1" si="9"/>
        <v>7.2010861788168476</v>
      </c>
      <c r="H75" s="1">
        <f t="shared" ca="1" si="10"/>
        <v>54</v>
      </c>
      <c r="I75" s="1" cm="1">
        <f t="array" ref="I75">COUNT(_xlfn._xlws.FILTER($J$7:$J$10000,($L$7:$L$10000=B75)*($M$7:$M$10000&lt;&gt;"NULL")*($J$7:$J$10000 &gt;= ($G$1-4))))/5</f>
        <v>0.2</v>
      </c>
      <c r="J75" s="65">
        <v>3</v>
      </c>
      <c r="K75" t="s">
        <v>17</v>
      </c>
      <c r="L75" t="s">
        <v>149</v>
      </c>
      <c r="M75">
        <v>3.7</v>
      </c>
      <c r="N75" t="s">
        <v>9</v>
      </c>
      <c r="O75" t="s">
        <v>36</v>
      </c>
      <c r="P75">
        <f t="shared" si="12"/>
        <v>5.6298166038299353</v>
      </c>
      <c r="Q75">
        <f t="shared" si="11"/>
        <v>3.724192124417705</v>
      </c>
      <c r="R75" s="67" cm="1">
        <f t="array" ref="R75">SUMPRODUCT((J75=$J$7:$J$1000)*(P75&lt;$P$7:$P$1000))+1</f>
        <v>10</v>
      </c>
      <c r="S75" s="72"/>
      <c r="T75">
        <v>14</v>
      </c>
      <c r="U75" t="str">
        <v>UTAH</v>
      </c>
      <c r="V75" t="str">
        <v>Angus MacLellan</v>
      </c>
      <c r="W75" t="str">
        <v>NULL</v>
      </c>
      <c r="X75" t="str">
        <v>Away</v>
      </c>
      <c r="Y75" t="str">
        <v>HOU</v>
      </c>
      <c r="Z75">
        <v>2.240715104644865</v>
      </c>
    </row>
    <row r="76" spans="1:26" x14ac:dyDescent="0.35">
      <c r="A76">
        <f>VLOOKUP($B76, PlayerIDs!$A$1:$B$1000, 2, FALSE)</f>
        <v>852</v>
      </c>
      <c r="B76" t="s">
        <v>525</v>
      </c>
      <c r="C76" s="1">
        <v>2.8107281711166916</v>
      </c>
      <c r="D76" s="1">
        <f t="shared" si="7"/>
        <v>57</v>
      </c>
      <c r="E76" s="1" cm="1">
        <f t="array" ref="E76">IFERROR(VLOOKUP($B76,_xlfn._xlws.FILTER($L$7:$P$10000,$J$7:$J$10000=G$1+1),5, FALSE), 0)</f>
        <v>3.3040147744278547</v>
      </c>
      <c r="F76" s="1">
        <f t="shared" si="8"/>
        <v>43</v>
      </c>
      <c r="G76" s="1">
        <f t="shared" ca="1" si="9"/>
        <v>9.5146325911486702</v>
      </c>
      <c r="H76" s="1">
        <f t="shared" ca="1" si="10"/>
        <v>43</v>
      </c>
      <c r="I76" s="1" cm="1">
        <f t="array" ref="I76">COUNT(_xlfn._xlws.FILTER($J$7:$J$10000,($L$7:$L$10000=B76)*($M$7:$M$10000&lt;&gt;"NULL")*($J$7:$J$10000 &gt;= ($G$1-4))))/5</f>
        <v>0</v>
      </c>
      <c r="J76" s="66">
        <v>3</v>
      </c>
      <c r="K76" t="s">
        <v>23</v>
      </c>
      <c r="L76" t="s">
        <v>252</v>
      </c>
      <c r="M76">
        <v>2.9</v>
      </c>
      <c r="N76" t="s">
        <v>9</v>
      </c>
      <c r="O76" t="s">
        <v>2</v>
      </c>
      <c r="P76">
        <f t="shared" si="12"/>
        <v>1.8890263940460938</v>
      </c>
      <c r="Q76">
        <f t="shared" si="11"/>
        <v>1.0220676319354438</v>
      </c>
      <c r="R76" s="67" cm="1">
        <f t="array" ref="R76">SUMPRODUCT((J76=$J$7:$J$1000)*(P76&lt;$P$7:$P$1000))+1</f>
        <v>26</v>
      </c>
      <c r="S76" s="72"/>
      <c r="T76">
        <v>14</v>
      </c>
      <c r="U76" t="str">
        <v>UTAH</v>
      </c>
      <c r="V76" t="str">
        <v>Emerson Prior</v>
      </c>
      <c r="W76" t="str">
        <v>NULL</v>
      </c>
      <c r="X76" t="str">
        <v>Away</v>
      </c>
      <c r="Y76" t="str">
        <v>HOU</v>
      </c>
      <c r="Z76">
        <v>3.1911644868215472</v>
      </c>
    </row>
    <row r="77" spans="1:26" x14ac:dyDescent="0.35">
      <c r="A77">
        <f>VLOOKUP($B77, PlayerIDs!$A$1:$B$1000, 2, FALSE)</f>
        <v>633</v>
      </c>
      <c r="B77" t="s">
        <v>542</v>
      </c>
      <c r="C77" s="1">
        <v>2.6998376189796902</v>
      </c>
      <c r="D77" s="1">
        <f t="shared" si="7"/>
        <v>58</v>
      </c>
      <c r="E77" s="1" cm="1">
        <f t="array" ref="E77">IFERROR(VLOOKUP($B77,_xlfn._xlws.FILTER($L$7:$P$10000,$J$7:$J$10000=G$1+1),5, FALSE), 0)</f>
        <v>0</v>
      </c>
      <c r="F77" s="1">
        <f t="shared" si="8"/>
        <v>74</v>
      </c>
      <c r="G77" s="1">
        <f t="shared" ca="1" si="9"/>
        <v>4.0208745676293187</v>
      </c>
      <c r="H77" s="1">
        <f t="shared" ca="1" si="10"/>
        <v>69</v>
      </c>
      <c r="I77" s="1" cm="1">
        <f t="array" ref="I77">COUNT(_xlfn._xlws.FILTER($J$7:$J$10000,($L$7:$L$10000=B77)*($M$7:$M$10000&lt;&gt;"NULL")*($J$7:$J$10000 &gt;= ($G$1-4))))/5</f>
        <v>0.4</v>
      </c>
      <c r="J77" s="66">
        <v>3</v>
      </c>
      <c r="K77" t="s">
        <v>17</v>
      </c>
      <c r="L77" t="s">
        <v>167</v>
      </c>
      <c r="M77">
        <v>2.9</v>
      </c>
      <c r="N77" t="s">
        <v>9</v>
      </c>
      <c r="O77" t="s">
        <v>36</v>
      </c>
      <c r="P77">
        <f t="shared" si="12"/>
        <v>3.0296277599245682</v>
      </c>
      <c r="Q77">
        <f t="shared" si="11"/>
        <v>1.6803356143061519E-2</v>
      </c>
      <c r="R77" s="67" cm="1">
        <f t="array" ref="R77">SUMPRODUCT((J77=$J$7:$J$1000)*(P77&lt;$P$7:$P$1000))+1</f>
        <v>22</v>
      </c>
      <c r="S77" s="72"/>
      <c r="T77">
        <v>14</v>
      </c>
      <c r="U77" t="str">
        <v>UTAH</v>
      </c>
      <c r="V77" t="str">
        <v>Fred Apulu</v>
      </c>
      <c r="W77" t="str">
        <v>NULL</v>
      </c>
      <c r="X77" t="str">
        <v>Away</v>
      </c>
      <c r="Y77" t="str">
        <v>HOU</v>
      </c>
      <c r="Z77">
        <v>3.214065633300514</v>
      </c>
    </row>
    <row r="78" spans="1:26" x14ac:dyDescent="0.35">
      <c r="A78">
        <f>VLOOKUP($B78, PlayerIDs!$A$1:$B$1000, 2, FALSE)</f>
        <v>341</v>
      </c>
      <c r="B78" t="s">
        <v>174</v>
      </c>
      <c r="C78" s="1">
        <v>2.4250826326622428</v>
      </c>
      <c r="D78" s="1">
        <f t="shared" si="7"/>
        <v>59</v>
      </c>
      <c r="E78" s="1" cm="1">
        <f t="array" ref="E78">IFERROR(VLOOKUP($B78,_xlfn._xlws.FILTER($L$7:$P$10000,$J$7:$J$10000=G$1+1),5, FALSE), 0)</f>
        <v>2.863504304132126</v>
      </c>
      <c r="F78" s="1">
        <f t="shared" si="8"/>
        <v>49</v>
      </c>
      <c r="G78" s="1">
        <f t="shared" ca="1" si="9"/>
        <v>8.3540210343116037</v>
      </c>
      <c r="H78" s="1">
        <f t="shared" ca="1" si="10"/>
        <v>49</v>
      </c>
      <c r="I78" s="1" cm="1">
        <f t="array" ref="I78">COUNT(_xlfn._xlws.FILTER($J$7:$J$10000,($L$7:$L$10000=B78)*($M$7:$M$10000&lt;&gt;"NULL")*($J$7:$J$10000 &gt;= ($G$1-4))))/5</f>
        <v>0</v>
      </c>
      <c r="J78" s="66">
        <v>3</v>
      </c>
      <c r="K78" t="s">
        <v>36</v>
      </c>
      <c r="L78" t="s">
        <v>415</v>
      </c>
      <c r="M78">
        <v>2.8</v>
      </c>
      <c r="N78" t="s">
        <v>3</v>
      </c>
      <c r="O78" t="s">
        <v>17</v>
      </c>
      <c r="P78">
        <f t="shared" si="12"/>
        <v>2.7050825426714349</v>
      </c>
      <c r="Q78">
        <f t="shared" si="11"/>
        <v>9.0093237057199457E-3</v>
      </c>
      <c r="R78" s="67" cm="1">
        <f t="array" ref="R78">SUMPRODUCT((J78=$J$7:$J$1000)*(P78&lt;$P$7:$P$1000))+1</f>
        <v>24</v>
      </c>
      <c r="S78" s="72"/>
      <c r="T78">
        <v>14</v>
      </c>
      <c r="U78" t="str">
        <v>UTAH</v>
      </c>
      <c r="V78" t="str">
        <v>Liam Coltman</v>
      </c>
      <c r="W78" t="str">
        <v>NULL</v>
      </c>
      <c r="X78" t="str">
        <v>Away</v>
      </c>
      <c r="Y78" t="str">
        <v>HOU</v>
      </c>
      <c r="Z78">
        <v>9.2961851574427499</v>
      </c>
    </row>
    <row r="79" spans="1:26" x14ac:dyDescent="0.35">
      <c r="A79">
        <f>VLOOKUP($B79, PlayerIDs!$A$1:$B$1000, 2, FALSE)</f>
        <v>146</v>
      </c>
      <c r="B79" t="s">
        <v>160</v>
      </c>
      <c r="C79" s="1">
        <v>2.3935424031658989</v>
      </c>
      <c r="D79" s="1">
        <f t="shared" si="7"/>
        <v>60</v>
      </c>
      <c r="E79" s="1" cm="1">
        <f t="array" ref="E79">IFERROR(VLOOKUP($B79,_xlfn._xlws.FILTER($L$7:$P$10000,$J$7:$J$10000=G$1+1),5, FALSE), 0)</f>
        <v>2.2887198834769751</v>
      </c>
      <c r="F79" s="1">
        <f t="shared" si="8"/>
        <v>55</v>
      </c>
      <c r="G79" s="1">
        <f t="shared" ca="1" si="9"/>
        <v>6.1728289755175094</v>
      </c>
      <c r="H79" s="1">
        <f t="shared" ca="1" si="10"/>
        <v>58</v>
      </c>
      <c r="I79" s="1" cm="1">
        <f t="array" ref="I79">COUNT(_xlfn._xlws.FILTER($J$7:$J$10000,($L$7:$L$10000=B79)*($M$7:$M$10000&lt;&gt;"NULL")*($J$7:$J$10000 &gt;= ($G$1-4))))/5</f>
        <v>0.4</v>
      </c>
      <c r="J79" s="65">
        <v>3</v>
      </c>
      <c r="K79" t="s">
        <v>24</v>
      </c>
      <c r="L79" t="s">
        <v>168</v>
      </c>
      <c r="M79">
        <v>2.7</v>
      </c>
      <c r="N79" t="s">
        <v>9</v>
      </c>
      <c r="O79" t="s">
        <v>14</v>
      </c>
      <c r="P79">
        <f t="shared" si="12"/>
        <v>5.7283597629292098</v>
      </c>
      <c r="Q79">
        <f t="shared" si="11"/>
        <v>9.1709628537286587</v>
      </c>
      <c r="R79" s="67" cm="1">
        <f t="array" ref="R79">SUMPRODUCT((J79=$J$7:$J$1000)*(P79&lt;$P$7:$P$1000))+1</f>
        <v>9</v>
      </c>
      <c r="S79" s="72"/>
      <c r="T79">
        <v>14</v>
      </c>
      <c r="U79" t="str">
        <v>UTAH</v>
      </c>
      <c r="V79" t="str">
        <v>Phil Bradford</v>
      </c>
      <c r="W79" t="str">
        <v>NULL</v>
      </c>
      <c r="X79" t="str">
        <v>Away</v>
      </c>
      <c r="Y79" t="str">
        <v>HOU</v>
      </c>
      <c r="Z79">
        <v>7.8230916090335718</v>
      </c>
    </row>
    <row r="80" spans="1:26" x14ac:dyDescent="0.35">
      <c r="A80">
        <f>VLOOKUP($B80, PlayerIDs!$A$1:$B$1000, 2, FALSE)</f>
        <v>295</v>
      </c>
      <c r="B80" t="s">
        <v>172</v>
      </c>
      <c r="C80" s="1">
        <v>2.3791036730952042</v>
      </c>
      <c r="D80" s="1">
        <f t="shared" si="7"/>
        <v>61</v>
      </c>
      <c r="E80" s="1" cm="1">
        <f t="array" ref="E80">IFERROR(VLOOKUP($B80,_xlfn._xlws.FILTER($L$7:$P$10000,$J$7:$J$10000=G$1+1),5, FALSE), 0)</f>
        <v>0</v>
      </c>
      <c r="F80" s="1">
        <f t="shared" si="8"/>
        <v>74</v>
      </c>
      <c r="G80" s="1">
        <f t="shared" ca="1" si="9"/>
        <v>3.3794066758603467</v>
      </c>
      <c r="H80" s="1">
        <f t="shared" ca="1" si="10"/>
        <v>73</v>
      </c>
      <c r="I80" s="1" cm="1">
        <f t="array" ref="I80">COUNT(_xlfn._xlws.FILTER($J$7:$J$10000,($L$7:$L$10000=B80)*($M$7:$M$10000&lt;&gt;"NULL")*($J$7:$J$10000 &gt;= ($G$1-4))))/5</f>
        <v>0.6</v>
      </c>
      <c r="J80" s="66">
        <v>3</v>
      </c>
      <c r="K80" t="s">
        <v>34</v>
      </c>
      <c r="L80" t="s">
        <v>153</v>
      </c>
      <c r="M80">
        <v>2.7</v>
      </c>
      <c r="N80" t="s">
        <v>9</v>
      </c>
      <c r="O80" t="s">
        <v>7</v>
      </c>
      <c r="P80">
        <f t="shared" si="12"/>
        <v>3.3733058383612207</v>
      </c>
      <c r="Q80">
        <f t="shared" si="11"/>
        <v>0.45334075197130597</v>
      </c>
      <c r="R80" s="67" cm="1">
        <f t="array" ref="R80">SUMPRODUCT((J80=$J$7:$J$1000)*(P80&lt;$P$7:$P$1000))+1</f>
        <v>19</v>
      </c>
      <c r="S80" s="72"/>
      <c r="T80">
        <v>14</v>
      </c>
      <c r="U80" t="str">
        <v>UTAH</v>
      </c>
      <c r="V80" t="str">
        <v>Remsy Lemisio</v>
      </c>
      <c r="W80" t="str">
        <v>NULL</v>
      </c>
      <c r="X80" t="str">
        <v>Away</v>
      </c>
      <c r="Y80" t="str">
        <v>HOU</v>
      </c>
      <c r="Z80">
        <v>1.6797773495565163</v>
      </c>
    </row>
    <row r="81" spans="1:26" x14ac:dyDescent="0.35">
      <c r="A81">
        <f>VLOOKUP($B81, PlayerIDs!$A$1:$B$1000, 2, FALSE)</f>
        <v>139</v>
      </c>
      <c r="B81" t="s">
        <v>159</v>
      </c>
      <c r="C81" s="1">
        <v>2.3687332963221994</v>
      </c>
      <c r="D81" s="1">
        <f t="shared" si="7"/>
        <v>62</v>
      </c>
      <c r="E81" s="1" cm="1">
        <f t="array" ref="E81">IFERROR(VLOOKUP($B81,_xlfn._xlws.FILTER($L$7:$P$10000,$J$7:$J$10000=G$1+1),5, FALSE), 0)</f>
        <v>2.8071549677920826</v>
      </c>
      <c r="F81" s="1">
        <f t="shared" si="8"/>
        <v>50</v>
      </c>
      <c r="G81" s="1">
        <f t="shared" ca="1" si="9"/>
        <v>8.1849730252914732</v>
      </c>
      <c r="H81" s="1">
        <f t="shared" ca="1" si="10"/>
        <v>51</v>
      </c>
      <c r="I81" s="1" cm="1">
        <f t="array" ref="I81">COUNT(_xlfn._xlws.FILTER($J$7:$J$10000,($L$7:$L$10000=B81)*($M$7:$M$10000&lt;&gt;"NULL")*($J$7:$J$10000 &gt;= ($G$1-4))))/5</f>
        <v>0.8</v>
      </c>
      <c r="J81" s="65">
        <v>3</v>
      </c>
      <c r="K81" t="s">
        <v>2</v>
      </c>
      <c r="L81" t="s">
        <v>159</v>
      </c>
      <c r="M81">
        <v>2.1</v>
      </c>
      <c r="N81" t="s">
        <v>3</v>
      </c>
      <c r="O81" t="s">
        <v>23</v>
      </c>
      <c r="P81">
        <f t="shared" si="12"/>
        <v>2.6722655902633976</v>
      </c>
      <c r="Q81">
        <f t="shared" si="11"/>
        <v>0.32748790579951476</v>
      </c>
      <c r="R81" s="67" cm="1">
        <f t="array" ref="R81">SUMPRODUCT((J81=$J$7:$J$1000)*(P81&lt;$P$7:$P$1000))+1</f>
        <v>25</v>
      </c>
      <c r="S81" s="72"/>
      <c r="T81">
        <v>14</v>
      </c>
      <c r="U81" t="str">
        <v>UTAH</v>
      </c>
      <c r="V81" t="str">
        <v>Tonga Kofe</v>
      </c>
      <c r="W81" t="str">
        <v>NULL</v>
      </c>
      <c r="X81" t="str">
        <v>Away</v>
      </c>
      <c r="Y81" t="str">
        <v>HOU</v>
      </c>
      <c r="Z81">
        <v>3.4851285054488574</v>
      </c>
    </row>
    <row r="82" spans="1:26" x14ac:dyDescent="0.35">
      <c r="A82">
        <f>VLOOKUP($B82, PlayerIDs!$A$1:$B$1000, 2, FALSE)</f>
        <v>853</v>
      </c>
      <c r="B82" t="s">
        <v>503</v>
      </c>
      <c r="C82" s="1">
        <v>2.2672666596451863</v>
      </c>
      <c r="D82" s="1">
        <f t="shared" si="7"/>
        <v>63</v>
      </c>
      <c r="E82" s="1" cm="1">
        <f t="array" ref="E82">IFERROR(VLOOKUP($B82,_xlfn._xlws.FILTER($L$7:$P$10000,$J$7:$J$10000=G$1+1),5, FALSE), 0)</f>
        <v>2.1624441399562624</v>
      </c>
      <c r="F82" s="1">
        <f t="shared" si="8"/>
        <v>57</v>
      </c>
      <c r="G82" s="1">
        <f t="shared" ca="1" si="9"/>
        <v>5.7940017449553718</v>
      </c>
      <c r="H82" s="1">
        <f t="shared" ca="1" si="10"/>
        <v>60</v>
      </c>
      <c r="I82" s="1" cm="1">
        <f t="array" ref="I82">COUNT(_xlfn._xlws.FILTER($J$7:$J$10000,($L$7:$L$10000=B82)*($M$7:$M$10000&lt;&gt;"NULL")*($J$7:$J$10000 &gt;= ($G$1-4))))/5</f>
        <v>0.4</v>
      </c>
      <c r="J82" s="65">
        <v>3</v>
      </c>
      <c r="K82" t="s">
        <v>4</v>
      </c>
      <c r="L82" t="s">
        <v>481</v>
      </c>
      <c r="M82">
        <v>1.8</v>
      </c>
      <c r="N82" t="s">
        <v>9</v>
      </c>
      <c r="O82" t="s">
        <v>13</v>
      </c>
      <c r="P82">
        <f t="shared" si="12"/>
        <v>3.6382154298089135</v>
      </c>
      <c r="Q82">
        <f t="shared" si="11"/>
        <v>3.3790359663875686</v>
      </c>
      <c r="R82" s="67" cm="1">
        <f t="array" ref="R82">SUMPRODUCT((J82=$J$7:$J$1000)*(P82&lt;$P$7:$P$1000))+1</f>
        <v>16</v>
      </c>
      <c r="S82" s="72"/>
      <c r="T82">
        <v>14</v>
      </c>
      <c r="U82" t="str">
        <v>UTAH</v>
      </c>
      <c r="V82" t="str">
        <v>Tuvere Vugakoto</v>
      </c>
      <c r="W82" t="str">
        <v>NULL</v>
      </c>
      <c r="X82" t="str">
        <v>Away</v>
      </c>
      <c r="Y82" t="str">
        <v>HOU</v>
      </c>
      <c r="Z82">
        <v>0.40582076005295342</v>
      </c>
    </row>
    <row r="83" spans="1:26" x14ac:dyDescent="0.35">
      <c r="A83">
        <f>VLOOKUP($B83, PlayerIDs!$A$1:$B$1000, 2, FALSE)</f>
        <v>515</v>
      </c>
      <c r="B83" t="s">
        <v>414</v>
      </c>
      <c r="C83" s="1">
        <v>2.2356165001566053</v>
      </c>
      <c r="D83" s="1">
        <f t="shared" si="7"/>
        <v>64</v>
      </c>
      <c r="E83" s="1" cm="1">
        <f t="array" ref="E83">IFERROR(VLOOKUP($B83,_xlfn._xlws.FILTER($L$7:$P$10000,$J$7:$J$10000=G$1+1),5, FALSE), 0)</f>
        <v>0.96163834951546745</v>
      </c>
      <c r="F83" s="1">
        <f t="shared" si="8"/>
        <v>67</v>
      </c>
      <c r="G83" s="1">
        <f t="shared" ca="1" si="9"/>
        <v>2.5933028491933703</v>
      </c>
      <c r="H83" s="1">
        <f t="shared" ca="1" si="10"/>
        <v>75</v>
      </c>
      <c r="I83" s="1" cm="1">
        <f t="array" ref="I83">COUNT(_xlfn._xlws.FILTER($J$7:$J$10000,($L$7:$L$10000=B83)*($M$7:$M$10000&lt;&gt;"NULL")*($J$7:$J$10000 &gt;= ($G$1-4))))/5</f>
        <v>0</v>
      </c>
      <c r="J83" s="66">
        <v>3</v>
      </c>
      <c r="K83" t="s">
        <v>2</v>
      </c>
      <c r="L83" t="s">
        <v>174</v>
      </c>
      <c r="M83">
        <v>1.7</v>
      </c>
      <c r="N83" t="s">
        <v>3</v>
      </c>
      <c r="O83" t="s">
        <v>23</v>
      </c>
      <c r="P83">
        <f t="shared" si="12"/>
        <v>2.728614926603441</v>
      </c>
      <c r="Q83">
        <f t="shared" si="11"/>
        <v>1.0580486672314022</v>
      </c>
      <c r="R83" s="67" cm="1">
        <f t="array" ref="R83">SUMPRODUCT((J83=$J$7:$J$1000)*(P83&lt;$P$7:$P$1000))+1</f>
        <v>23</v>
      </c>
      <c r="S83" s="72"/>
      <c r="T83">
        <v>15</v>
      </c>
      <c r="U83" t="str">
        <v>ARC</v>
      </c>
      <c r="V83" t="str">
        <v>Alex Maughan</v>
      </c>
      <c r="W83" t="str">
        <v>NULL</v>
      </c>
      <c r="X83" t="str">
        <v>Home</v>
      </c>
      <c r="Y83" t="str">
        <v>CHI</v>
      </c>
      <c r="Z83">
        <v>3.4951701558944479</v>
      </c>
    </row>
    <row r="84" spans="1:26" x14ac:dyDescent="0.35">
      <c r="A84">
        <f>VLOOKUP($B84, PlayerIDs!$A$1:$B$1000, 2, FALSE)</f>
        <v>322</v>
      </c>
      <c r="B84" t="s">
        <v>593</v>
      </c>
      <c r="C84" s="1">
        <v>2.2169777944984586</v>
      </c>
      <c r="D84" s="1">
        <f t="shared" ref="D84:D103" si="13">RANK($C84,$C$20:$C$106)</f>
        <v>65</v>
      </c>
      <c r="E84" s="1" cm="1">
        <f t="array" ref="E84">IFERROR(VLOOKUP($B84,_xlfn._xlws.FILTER($L$7:$P$10000,$J$7:$J$10000=G$1+1),5, FALSE), 0)</f>
        <v>1.6130257940197559</v>
      </c>
      <c r="F84" s="1">
        <f t="shared" ref="F84:F103" si="14">RANK(E84,$E$20:$E$150)</f>
        <v>63</v>
      </c>
      <c r="G84" s="1">
        <f t="shared" ref="G84:G103" ca="1" si="15">SUMIF(V:Z,$B84,Z:Z)</f>
        <v>3.4898533674256225</v>
      </c>
      <c r="H84" s="1">
        <f t="shared" ref="H84:H103" ca="1" si="16">RANK($G84,$G$20:$G$106)</f>
        <v>71</v>
      </c>
      <c r="I84" s="1" cm="1">
        <f t="array" ref="I84">COUNT(_xlfn._xlws.FILTER($J$7:$J$10000,($L$7:$L$10000=B84)*($M$7:$M$10000&lt;&gt;"NULL")*($J$7:$J$10000 &gt;= ($G$1-4))))/5</f>
        <v>0.2</v>
      </c>
      <c r="J84" s="66">
        <v>3</v>
      </c>
      <c r="K84" t="s">
        <v>4</v>
      </c>
      <c r="L84" t="s">
        <v>172</v>
      </c>
      <c r="M84">
        <v>1.3</v>
      </c>
      <c r="N84" t="s">
        <v>9</v>
      </c>
      <c r="O84" t="s">
        <v>13</v>
      </c>
      <c r="P84">
        <f t="shared" si="12"/>
        <v>0.95233303153041726</v>
      </c>
      <c r="Q84">
        <f t="shared" si="11"/>
        <v>0.12087232096482987</v>
      </c>
      <c r="R84" s="67" cm="1">
        <f t="array" ref="R84">SUMPRODUCT((J84=$J$7:$J$1000)*(P84&lt;$P$7:$P$1000))+1</f>
        <v>30</v>
      </c>
      <c r="S84" s="72"/>
      <c r="T84">
        <v>15</v>
      </c>
      <c r="U84" t="str">
        <v>ARC</v>
      </c>
      <c r="V84" t="str">
        <v>Alexander Hernandez</v>
      </c>
      <c r="W84" t="str">
        <v>NULL</v>
      </c>
      <c r="X84" t="str">
        <v>Home</v>
      </c>
      <c r="Y84" t="str">
        <v>CHI</v>
      </c>
      <c r="Z84">
        <v>1.9622541119798289</v>
      </c>
    </row>
    <row r="85" spans="1:26" x14ac:dyDescent="0.35">
      <c r="A85">
        <f>VLOOKUP($B85, PlayerIDs!$A$1:$B$1000, 2, FALSE)</f>
        <v>21</v>
      </c>
      <c r="B85" t="s">
        <v>145</v>
      </c>
      <c r="C85" s="1">
        <v>2.1674920539485805</v>
      </c>
      <c r="D85" s="1">
        <f t="shared" si="13"/>
        <v>66</v>
      </c>
      <c r="E85" s="1" cm="1">
        <f t="array" ref="E85">IFERROR(VLOOKUP($B85,_xlfn._xlws.FILTER($L$7:$P$10000,$J$7:$J$10000=G$1+1),5, FALSE), 0)</f>
        <v>2.240715104644865</v>
      </c>
      <c r="F85" s="1">
        <f t="shared" si="14"/>
        <v>56</v>
      </c>
      <c r="G85" s="1">
        <f t="shared" ca="1" si="15"/>
        <v>7.2160506773970186</v>
      </c>
      <c r="H85" s="1">
        <f t="shared" ca="1" si="16"/>
        <v>53</v>
      </c>
      <c r="I85" s="1" cm="1">
        <f t="array" ref="I85">COUNT(_xlfn._xlws.FILTER($J$7:$J$10000,($L$7:$L$10000=B85)*($M$7:$M$10000&lt;&gt;"NULL")*($J$7:$J$10000 &gt;= ($G$1-4))))/5</f>
        <v>0.2</v>
      </c>
      <c r="J85" s="65">
        <v>3</v>
      </c>
      <c r="K85" t="s">
        <v>24</v>
      </c>
      <c r="L85" t="s">
        <v>482</v>
      </c>
      <c r="M85">
        <v>1.2</v>
      </c>
      <c r="N85" t="s">
        <v>9</v>
      </c>
      <c r="O85" t="s">
        <v>14</v>
      </c>
      <c r="P85">
        <f t="shared" si="12"/>
        <v>1.1472715696436131</v>
      </c>
      <c r="Q85">
        <f t="shared" si="11"/>
        <v>2.7802873678483392E-3</v>
      </c>
      <c r="R85" s="67" cm="1">
        <f t="array" ref="R85">SUMPRODUCT((J85=$J$7:$J$1000)*(P85&lt;$P$7:$P$1000))+1</f>
        <v>29</v>
      </c>
      <c r="S85" s="72"/>
      <c r="T85">
        <v>15</v>
      </c>
      <c r="U85" t="str">
        <v>ARC</v>
      </c>
      <c r="V85" t="str">
        <v>Connor Robinson</v>
      </c>
      <c r="W85" t="str">
        <v>NULL</v>
      </c>
      <c r="X85" t="str">
        <v>Home</v>
      </c>
      <c r="Y85" t="str">
        <v>CHI</v>
      </c>
      <c r="Z85">
        <v>5.6299860489754021</v>
      </c>
    </row>
    <row r="86" spans="1:26" x14ac:dyDescent="0.35">
      <c r="A86">
        <f>VLOOKUP($B86, PlayerIDs!$A$1:$B$1000, 2, FALSE)</f>
        <v>177</v>
      </c>
      <c r="B86" t="s">
        <v>523</v>
      </c>
      <c r="C86" s="1">
        <v>2.1561674710710612</v>
      </c>
      <c r="D86" s="1">
        <f t="shared" si="13"/>
        <v>67</v>
      </c>
      <c r="E86" s="1" cm="1">
        <f t="array" ref="E86">IFERROR(VLOOKUP($B86,_xlfn._xlws.FILTER($L$7:$P$10000,$J$7:$J$10000=G$1+1),5, FALSE), 0)</f>
        <v>0</v>
      </c>
      <c r="F86" s="1">
        <f t="shared" si="14"/>
        <v>74</v>
      </c>
      <c r="G86" s="1">
        <f t="shared" ca="1" si="15"/>
        <v>2.9335342718120607</v>
      </c>
      <c r="H86" s="1">
        <f t="shared" ca="1" si="16"/>
        <v>74</v>
      </c>
      <c r="I86" s="1" cm="1">
        <f t="array" ref="I86">COUNT(_xlfn._xlws.FILTER($J$7:$J$10000,($L$7:$L$10000=B86)*($M$7:$M$10000&lt;&gt;"NULL")*($J$7:$J$10000 &gt;= ($G$1-4))))/5</f>
        <v>0.4</v>
      </c>
      <c r="J86" s="66">
        <v>3</v>
      </c>
      <c r="K86" t="s">
        <v>13</v>
      </c>
      <c r="L86" t="s">
        <v>467</v>
      </c>
      <c r="M86">
        <v>0.9</v>
      </c>
      <c r="N86" t="s">
        <v>3</v>
      </c>
      <c r="O86" t="s">
        <v>4</v>
      </c>
      <c r="P86">
        <f t="shared" si="12"/>
        <v>3.5589703162964015</v>
      </c>
      <c r="Q86">
        <f t="shared" si="11"/>
        <v>7.0701231429453859</v>
      </c>
      <c r="R86" s="67" cm="1">
        <f t="array" ref="R86">SUMPRODUCT((J86=$J$7:$J$1000)*(P86&lt;$P$7:$P$1000))+1</f>
        <v>17</v>
      </c>
      <c r="S86" s="72"/>
      <c r="T86">
        <v>15</v>
      </c>
      <c r="U86" t="str">
        <v>ARC</v>
      </c>
      <c r="V86" t="str">
        <v>Dan Hanson</v>
      </c>
      <c r="W86" t="str">
        <v>NULL</v>
      </c>
      <c r="X86" t="str">
        <v>Home</v>
      </c>
      <c r="Y86" t="str">
        <v>CHI</v>
      </c>
      <c r="Z86">
        <v>2.046307468358739</v>
      </c>
    </row>
    <row r="87" spans="1:26" x14ac:dyDescent="0.35">
      <c r="A87">
        <f>VLOOKUP($B87, PlayerIDs!$A$1:$B$1000, 2, FALSE)</f>
        <v>415</v>
      </c>
      <c r="B87" t="s">
        <v>506</v>
      </c>
      <c r="C87" s="1">
        <v>2.0793240750000526</v>
      </c>
      <c r="D87" s="1">
        <f t="shared" si="13"/>
        <v>68</v>
      </c>
      <c r="E87" s="1" cm="1">
        <f t="array" ref="E87">IFERROR(VLOOKUP($B87,_xlfn._xlws.FILTER($L$7:$P$10000,$J$7:$J$10000=G$1+1),5, FALSE), 0)</f>
        <v>1.7391738539074604</v>
      </c>
      <c r="F87" s="1">
        <f t="shared" si="14"/>
        <v>59</v>
      </c>
      <c r="G87" s="1">
        <f t="shared" ca="1" si="15"/>
        <v>4.8838370011538412</v>
      </c>
      <c r="H87" s="1">
        <f t="shared" ca="1" si="16"/>
        <v>64</v>
      </c>
      <c r="I87" s="1" cm="1">
        <f t="array" ref="I87">COUNT(_xlfn._xlws.FILTER($J$7:$J$10000,($L$7:$L$10000=B87)*($M$7:$M$10000&lt;&gt;"NULL")*($J$7:$J$10000 &gt;= ($G$1-4))))/5</f>
        <v>0.2</v>
      </c>
      <c r="J87" s="65">
        <v>3</v>
      </c>
      <c r="K87" t="s">
        <v>36</v>
      </c>
      <c r="L87" t="s">
        <v>414</v>
      </c>
      <c r="M87">
        <v>0.7</v>
      </c>
      <c r="N87" t="s">
        <v>3</v>
      </c>
      <c r="O87" t="s">
        <v>17</v>
      </c>
      <c r="P87">
        <f t="shared" si="12"/>
        <v>1.7844569906015517</v>
      </c>
      <c r="Q87">
        <f t="shared" si="11"/>
        <v>1.1760469644645741</v>
      </c>
      <c r="R87" s="67" cm="1">
        <f t="array" ref="R87">SUMPRODUCT((J87=$J$7:$J$1000)*(P87&lt;$P$7:$P$1000))+1</f>
        <v>28</v>
      </c>
      <c r="S87" s="72"/>
      <c r="T87">
        <v>15</v>
      </c>
      <c r="U87" t="str">
        <v>ARC</v>
      </c>
      <c r="V87" t="str">
        <v>Ethan Howard</v>
      </c>
      <c r="W87" t="str">
        <v>NULL</v>
      </c>
      <c r="X87" t="str">
        <v>Home</v>
      </c>
      <c r="Y87" t="str">
        <v>CHI</v>
      </c>
      <c r="Z87">
        <v>5.8864178042891373</v>
      </c>
    </row>
    <row r="88" spans="1:26" x14ac:dyDescent="0.35">
      <c r="A88">
        <f>VLOOKUP($B88, PlayerIDs!$A$1:$B$1000, 2, FALSE)</f>
        <v>518</v>
      </c>
      <c r="B88" t="s">
        <v>553</v>
      </c>
      <c r="C88" s="1">
        <v>1.9983374971240138</v>
      </c>
      <c r="D88" s="1">
        <f t="shared" si="13"/>
        <v>69</v>
      </c>
      <c r="E88" s="1" cm="1">
        <f t="array" ref="E88">IFERROR(VLOOKUP($B88,_xlfn._xlws.FILTER($L$7:$P$10000,$J$7:$J$10000=G$1+1),5, FALSE), 0)</f>
        <v>1.4355120039253428</v>
      </c>
      <c r="F88" s="1">
        <f t="shared" si="14"/>
        <v>64</v>
      </c>
      <c r="G88" s="1">
        <f t="shared" ca="1" si="15"/>
        <v>4.0533863278433087</v>
      </c>
      <c r="H88" s="1">
        <f t="shared" ca="1" si="16"/>
        <v>68</v>
      </c>
      <c r="I88" s="1" cm="1">
        <f t="array" ref="I88">COUNT(_xlfn._xlws.FILTER($J$7:$J$10000,($L$7:$L$10000=B88)*($M$7:$M$10000&lt;&gt;"NULL")*($J$7:$J$10000 &gt;= ($G$1-4))))/5</f>
        <v>0.6</v>
      </c>
      <c r="J88" s="65">
        <v>3</v>
      </c>
      <c r="K88" t="s">
        <v>34</v>
      </c>
      <c r="L88" t="s">
        <v>161</v>
      </c>
      <c r="M88">
        <v>0</v>
      </c>
      <c r="N88" t="s">
        <v>9</v>
      </c>
      <c r="O88" t="s">
        <v>7</v>
      </c>
      <c r="P88">
        <f t="shared" si="12"/>
        <v>6.6932864275376671</v>
      </c>
      <c r="Q88">
        <f t="shared" si="11"/>
        <v>44.800083201059948</v>
      </c>
      <c r="R88" s="67" cm="1">
        <f t="array" ref="R88">SUMPRODUCT((J88=$J$7:$J$1000)*(P88&lt;$P$7:$P$1000))+1</f>
        <v>5</v>
      </c>
      <c r="S88" s="72"/>
      <c r="T88">
        <v>15</v>
      </c>
      <c r="U88" t="str">
        <v>ARC</v>
      </c>
      <c r="V88" t="str">
        <v>Jake Turnbull</v>
      </c>
      <c r="W88" t="str">
        <v>NULL</v>
      </c>
      <c r="X88" t="str">
        <v>Home</v>
      </c>
      <c r="Y88" t="str">
        <v>CHI</v>
      </c>
      <c r="Z88">
        <v>3.6886181416250103</v>
      </c>
    </row>
    <row r="89" spans="1:26" x14ac:dyDescent="0.35">
      <c r="A89">
        <f>VLOOKUP($B89, PlayerIDs!$A$1:$B$1000, 2, FALSE)</f>
        <v>621</v>
      </c>
      <c r="B89" t="s">
        <v>252</v>
      </c>
      <c r="C89" s="1">
        <v>1.9938489137350177</v>
      </c>
      <c r="D89" s="1">
        <f t="shared" si="13"/>
        <v>70</v>
      </c>
      <c r="E89" s="1" cm="1">
        <f t="array" ref="E89">IFERROR(VLOOKUP($B89,_xlfn._xlws.FILTER($L$7:$P$10000,$J$7:$J$10000=G$1+1),5, FALSE), 0)</f>
        <v>1.6536986926424255</v>
      </c>
      <c r="F89" s="1">
        <f t="shared" si="14"/>
        <v>62</v>
      </c>
      <c r="G89" s="1">
        <f t="shared" ca="1" si="15"/>
        <v>4.6274115173587367</v>
      </c>
      <c r="H89" s="1">
        <f t="shared" ca="1" si="16"/>
        <v>65</v>
      </c>
      <c r="I89" s="1" cm="1">
        <f t="array" ref="I89">COUNT(_xlfn._xlws.FILTER($J$7:$J$10000,($L$7:$L$10000=B89)*($M$7:$M$10000&lt;&gt;"NULL")*($J$7:$J$10000 &gt;= ($G$1-4))))/5</f>
        <v>0.4</v>
      </c>
      <c r="J89" s="66">
        <v>3</v>
      </c>
      <c r="K89" t="s">
        <v>4</v>
      </c>
      <c r="L89" t="s">
        <v>176</v>
      </c>
      <c r="M89">
        <v>-0.2</v>
      </c>
      <c r="N89" t="s">
        <v>9</v>
      </c>
      <c r="O89" t="s">
        <v>13</v>
      </c>
      <c r="P89">
        <f t="shared" si="12"/>
        <v>1.7852246932960094</v>
      </c>
      <c r="Q89">
        <f t="shared" si="11"/>
        <v>3.9411170828722346</v>
      </c>
      <c r="R89" s="67" cm="1">
        <f t="array" ref="R89">SUMPRODUCT((J89=$J$7:$J$1000)*(P89&lt;$P$7:$P$1000))+1</f>
        <v>27</v>
      </c>
      <c r="S89" s="72"/>
      <c r="T89">
        <v>15</v>
      </c>
      <c r="U89" t="str">
        <v>ARC</v>
      </c>
      <c r="V89" t="str">
        <v>Joe Apikotoa</v>
      </c>
      <c r="W89" t="str">
        <v>NULL</v>
      </c>
      <c r="X89" t="str">
        <v>Home</v>
      </c>
      <c r="Y89" t="str">
        <v>CHI</v>
      </c>
      <c r="Z89">
        <v>5.1046367708337614</v>
      </c>
    </row>
    <row r="90" spans="1:26" x14ac:dyDescent="0.35">
      <c r="A90">
        <f>VLOOKUP($B90, PlayerIDs!$A$1:$B$1000, 2, FALSE)</f>
        <v>869</v>
      </c>
      <c r="B90" t="s">
        <v>664</v>
      </c>
      <c r="C90" s="1">
        <v>1.9142841407451037</v>
      </c>
      <c r="D90" s="1">
        <f t="shared" si="13"/>
        <v>71</v>
      </c>
      <c r="E90" s="1" cm="1">
        <f t="array" ref="E90">IFERROR(VLOOKUP($B90,_xlfn._xlws.FILTER($L$7:$P$10000,$J$7:$J$10000=G$1+1),5, FALSE), 0)</f>
        <v>1.3514586475464327</v>
      </c>
      <c r="F90" s="1">
        <f t="shared" si="14"/>
        <v>65</v>
      </c>
      <c r="G90" s="1">
        <f t="shared" ca="1" si="15"/>
        <v>3.8012262587065786</v>
      </c>
      <c r="H90" s="1">
        <f t="shared" ca="1" si="16"/>
        <v>70</v>
      </c>
      <c r="I90" s="1" cm="1">
        <f t="array" ref="I90">COUNT(_xlfn._xlws.FILTER($J$7:$J$10000,($L$7:$L$10000=B90)*($M$7:$M$10000&lt;&gt;"NULL")*($J$7:$J$10000 &gt;= ($G$1-4))))/5</f>
        <v>0.2</v>
      </c>
      <c r="J90" s="65">
        <v>3</v>
      </c>
      <c r="K90" t="s">
        <v>24</v>
      </c>
      <c r="L90" t="s">
        <v>411</v>
      </c>
      <c r="M90">
        <v>-0.6</v>
      </c>
      <c r="N90" t="s">
        <v>9</v>
      </c>
      <c r="O90" t="s">
        <v>14</v>
      </c>
      <c r="P90">
        <f t="shared" si="12"/>
        <v>3.3707477414806659</v>
      </c>
      <c r="Q90">
        <f t="shared" si="11"/>
        <v>15.76683762647381</v>
      </c>
      <c r="R90" s="67" cm="1">
        <f t="array" ref="R90">SUMPRODUCT((J90=$J$7:$J$1000)*(P90&lt;$P$7:$P$1000))+1</f>
        <v>20</v>
      </c>
      <c r="S90" s="72"/>
      <c r="T90">
        <v>15</v>
      </c>
      <c r="U90" t="str">
        <v>ARC</v>
      </c>
      <c r="V90" t="str">
        <v>Stephan Bernal-Wendt</v>
      </c>
      <c r="W90" t="str">
        <v>NULL</v>
      </c>
      <c r="X90" t="str">
        <v>Home</v>
      </c>
      <c r="Y90" t="str">
        <v>CHI</v>
      </c>
      <c r="Z90">
        <v>3.0345798093810665</v>
      </c>
    </row>
    <row r="91" spans="1:26" x14ac:dyDescent="0.35">
      <c r="A91">
        <f>VLOOKUP($B91, PlayerIDs!$A$1:$B$1000, 2, FALSE)</f>
        <v>764</v>
      </c>
      <c r="B91" t="s">
        <v>591</v>
      </c>
      <c r="C91" s="1">
        <v>1.8879465290503794</v>
      </c>
      <c r="D91" s="1">
        <f t="shared" si="13"/>
        <v>72</v>
      </c>
      <c r="E91" s="1" cm="1">
        <f t="array" ref="E91">IFERROR(VLOOKUP($B91,_xlfn._xlws.FILTER($L$7:$P$10000,$J$7:$J$10000=G$1+1),5, FALSE), 0)</f>
        <v>0.61396837840924157</v>
      </c>
      <c r="F91" s="1">
        <f t="shared" si="14"/>
        <v>70</v>
      </c>
      <c r="G91" s="1">
        <f t="shared" ca="1" si="15"/>
        <v>1.8979629069809183</v>
      </c>
      <c r="H91" s="1">
        <f t="shared" ca="1" si="16"/>
        <v>77</v>
      </c>
      <c r="I91" s="1" cm="1">
        <f t="array" ref="I91">COUNT(_xlfn._xlws.FILTER($J$7:$J$10000,($L$7:$L$10000=B91)*($M$7:$M$10000&lt;&gt;"NULL")*($J$7:$J$10000 &gt;= ($G$1-4))))/5</f>
        <v>0.6</v>
      </c>
      <c r="J91" s="66">
        <v>4</v>
      </c>
      <c r="K91" t="s">
        <v>17</v>
      </c>
      <c r="L91" t="s">
        <v>149</v>
      </c>
      <c r="M91">
        <v>11.8</v>
      </c>
      <c r="N91" t="s">
        <v>3</v>
      </c>
      <c r="O91" t="s">
        <v>23</v>
      </c>
      <c r="P91">
        <f t="shared" si="12"/>
        <v>5.8601258470748485</v>
      </c>
      <c r="Q91">
        <f t="shared" si="11"/>
        <v>35.282104952588291</v>
      </c>
      <c r="R91" s="67" cm="1">
        <f t="array" ref="R91">SUMPRODUCT((J91=$J$7:$J$1000)*(P91&lt;$P$7:$P$1000))+1</f>
        <v>5</v>
      </c>
      <c r="S91" s="72"/>
      <c r="T91">
        <v>15</v>
      </c>
      <c r="U91" t="str">
        <v>CHI</v>
      </c>
      <c r="V91" t="str">
        <v>Charlie Abel</v>
      </c>
      <c r="W91" t="str">
        <v>NULL</v>
      </c>
      <c r="X91" t="str">
        <v>Away</v>
      </c>
      <c r="Y91" t="str">
        <v>ARC</v>
      </c>
      <c r="Z91">
        <v>4.1496579880699027</v>
      </c>
    </row>
    <row r="92" spans="1:26" x14ac:dyDescent="0.35">
      <c r="A92">
        <f>VLOOKUP($B92, PlayerIDs!$A$1:$B$1000, 2, FALSE)</f>
        <v>847</v>
      </c>
      <c r="B92" t="s">
        <v>526</v>
      </c>
      <c r="C92" s="1">
        <v>1.6065542988602317</v>
      </c>
      <c r="D92" s="1">
        <f t="shared" si="13"/>
        <v>73</v>
      </c>
      <c r="E92" s="1" cm="1">
        <f t="array" ref="E92">IFERROR(VLOOKUP($B92,_xlfn._xlws.FILTER($L$7:$P$10000,$J$7:$J$10000=G$1+1),5, FALSE), 0)</f>
        <v>1.6797773495565163</v>
      </c>
      <c r="F92" s="1">
        <f t="shared" si="14"/>
        <v>60</v>
      </c>
      <c r="G92" s="1">
        <f t="shared" ca="1" si="15"/>
        <v>5.533237412131971</v>
      </c>
      <c r="H92" s="1">
        <f t="shared" ca="1" si="16"/>
        <v>62</v>
      </c>
      <c r="I92" s="1" cm="1">
        <f t="array" ref="I92">COUNT(_xlfn._xlws.FILTER($J$7:$J$10000,($L$7:$L$10000=B92)*($M$7:$M$10000&lt;&gt;"NULL")*($J$7:$J$10000 &gt;= ($G$1-4))))/5</f>
        <v>0.2</v>
      </c>
      <c r="J92" s="65">
        <v>4</v>
      </c>
      <c r="K92" t="s">
        <v>14</v>
      </c>
      <c r="L92" t="s">
        <v>248</v>
      </c>
      <c r="M92">
        <v>10.199999999999999</v>
      </c>
      <c r="N92" t="s">
        <v>9</v>
      </c>
      <c r="O92" t="s">
        <v>7</v>
      </c>
      <c r="P92">
        <f t="shared" si="12"/>
        <v>4.8663980936183577</v>
      </c>
      <c r="Q92">
        <f t="shared" si="11"/>
        <v>28.447309295757883</v>
      </c>
      <c r="R92" s="67" cm="1">
        <f t="array" ref="R92">SUMPRODUCT((J92=$J$7:$J$1000)*(P92&lt;$P$7:$P$1000))+1</f>
        <v>11</v>
      </c>
      <c r="S92" s="72"/>
      <c r="T92">
        <v>15</v>
      </c>
      <c r="U92" t="str">
        <v>CHI</v>
      </c>
      <c r="V92" t="str">
        <v>Dylan Fawsitt</v>
      </c>
      <c r="W92" t="str">
        <v>NULL</v>
      </c>
      <c r="X92" t="str">
        <v>Away</v>
      </c>
      <c r="Y92" t="str">
        <v>ARC</v>
      </c>
      <c r="Z92">
        <v>8.2962021264105879</v>
      </c>
    </row>
    <row r="93" spans="1:26" x14ac:dyDescent="0.35">
      <c r="A93">
        <f>VLOOKUP($B93, PlayerIDs!$A$1:$B$1000, 2, FALSE)</f>
        <v>73</v>
      </c>
      <c r="B93" t="s">
        <v>150</v>
      </c>
      <c r="C93" s="1">
        <v>1.581530769387933</v>
      </c>
      <c r="D93" s="1">
        <f t="shared" si="13"/>
        <v>74</v>
      </c>
      <c r="E93" s="1" cm="1">
        <f t="array" ref="E93">IFERROR(VLOOKUP($B93,_xlfn._xlws.FILTER($L$7:$P$10000,$J$7:$J$10000=G$1+1),5, FALSE), 0)</f>
        <v>1.2413805482953408</v>
      </c>
      <c r="F93" s="1">
        <f t="shared" si="14"/>
        <v>66</v>
      </c>
      <c r="G93" s="1">
        <f t="shared" ca="1" si="15"/>
        <v>3.3904570843174824</v>
      </c>
      <c r="H93" s="1">
        <f t="shared" ca="1" si="16"/>
        <v>72</v>
      </c>
      <c r="I93" s="1" cm="1">
        <f t="array" ref="I93">COUNT(_xlfn._xlws.FILTER($J$7:$J$10000,($L$7:$L$10000=B93)*($M$7:$M$10000&lt;&gt;"NULL")*($J$7:$J$10000 &gt;= ($G$1-4))))/5</f>
        <v>0</v>
      </c>
      <c r="J93" s="66">
        <v>4</v>
      </c>
      <c r="K93" t="s">
        <v>6</v>
      </c>
      <c r="L93" t="s">
        <v>501</v>
      </c>
      <c r="M93">
        <v>8.8000000000000007</v>
      </c>
      <c r="N93" t="s">
        <v>9</v>
      </c>
      <c r="O93" t="s">
        <v>34</v>
      </c>
      <c r="P93">
        <f t="shared" si="12"/>
        <v>6.2701934769878402</v>
      </c>
      <c r="Q93">
        <f t="shared" si="11"/>
        <v>6.399921043874877</v>
      </c>
      <c r="R93" s="67" cm="1">
        <f t="array" ref="R93">SUMPRODUCT((J93=$J$7:$J$1000)*(P93&lt;$P$7:$P$1000))+1</f>
        <v>3</v>
      </c>
      <c r="S93" s="72"/>
      <c r="T93">
        <v>15</v>
      </c>
      <c r="U93" t="str">
        <v>CHI</v>
      </c>
      <c r="V93" t="str">
        <v>Faka'osi Pifeleti</v>
      </c>
      <c r="W93" t="str">
        <v>NULL</v>
      </c>
      <c r="X93" t="str">
        <v>Away</v>
      </c>
      <c r="Y93" t="str">
        <v>ARC</v>
      </c>
      <c r="Z93">
        <v>2.8620198996333626</v>
      </c>
    </row>
    <row r="94" spans="1:26" x14ac:dyDescent="0.35">
      <c r="A94">
        <f>VLOOKUP($B94, PlayerIDs!$A$1:$B$1000, 2, FALSE)</f>
        <v>604</v>
      </c>
      <c r="B94" t="s">
        <v>640</v>
      </c>
      <c r="C94" s="1">
        <v>1.3758279717924076</v>
      </c>
      <c r="D94" s="1">
        <f t="shared" si="13"/>
        <v>75</v>
      </c>
      <c r="E94" s="1" cm="1">
        <f t="array" ref="E94">IFERROR(VLOOKUP($B94,_xlfn._xlws.FILTER($L$7:$P$10000,$J$7:$J$10000=G$1+1),5, FALSE), 0)</f>
        <v>1.6793602657336058</v>
      </c>
      <c r="F94" s="1">
        <f t="shared" si="14"/>
        <v>61</v>
      </c>
      <c r="G94" s="1">
        <f t="shared" ca="1" si="15"/>
        <v>6.2232416066040157</v>
      </c>
      <c r="H94" s="1">
        <f t="shared" ca="1" si="16"/>
        <v>56</v>
      </c>
      <c r="I94" s="1" cm="1">
        <f t="array" ref="I94">COUNT(_xlfn._xlws.FILTER($J$7:$J$10000,($L$7:$L$10000=B94)*($M$7:$M$10000&lt;&gt;"NULL")*($J$7:$J$10000 &gt;= ($G$1-4))))/5</f>
        <v>0.6</v>
      </c>
      <c r="J94" s="66">
        <v>4</v>
      </c>
      <c r="K94" t="s">
        <v>34</v>
      </c>
      <c r="L94" t="s">
        <v>161</v>
      </c>
      <c r="M94">
        <v>8.8000000000000007</v>
      </c>
      <c r="N94" t="s">
        <v>3</v>
      </c>
      <c r="O94" t="s">
        <v>6</v>
      </c>
      <c r="P94">
        <f t="shared" si="12"/>
        <v>7.8473260831298699</v>
      </c>
      <c r="Q94">
        <f t="shared" si="11"/>
        <v>0.90758759188467686</v>
      </c>
      <c r="R94" s="67" cm="1">
        <f t="array" ref="R94">SUMPRODUCT((J94=$J$7:$J$1000)*(P94&lt;$P$7:$P$1000))+1</f>
        <v>2</v>
      </c>
      <c r="S94" s="72"/>
      <c r="T94">
        <v>15</v>
      </c>
      <c r="U94" t="str">
        <v>CHI</v>
      </c>
      <c r="V94" t="str">
        <v>Ignacio Peculo</v>
      </c>
      <c r="W94" t="str">
        <v>NULL</v>
      </c>
      <c r="X94" t="str">
        <v>Away</v>
      </c>
      <c r="Y94" t="str">
        <v>ARC</v>
      </c>
      <c r="Z94">
        <v>5.9676240275945069</v>
      </c>
    </row>
    <row r="95" spans="1:26" x14ac:dyDescent="0.35">
      <c r="A95">
        <f>VLOOKUP($B95, PlayerIDs!$A$1:$B$1000, 2, FALSE)</f>
        <v>768</v>
      </c>
      <c r="B95" t="s">
        <v>608</v>
      </c>
      <c r="C95" s="1">
        <v>0.86571264124390535</v>
      </c>
      <c r="D95" s="1">
        <f t="shared" si="13"/>
        <v>76</v>
      </c>
      <c r="E95" s="1" cm="1">
        <f t="array" ref="E95">IFERROR(VLOOKUP($B95,_xlfn._xlws.FILTER($L$7:$P$10000,$J$7:$J$10000=G$1+1),5, FALSE), 0)</f>
        <v>0</v>
      </c>
      <c r="F95" s="1">
        <f t="shared" si="14"/>
        <v>74</v>
      </c>
      <c r="G95" s="1">
        <f t="shared" ca="1" si="15"/>
        <v>0.35262461215774898</v>
      </c>
      <c r="H95" s="1">
        <f t="shared" ca="1" si="16"/>
        <v>80</v>
      </c>
      <c r="I95" s="1" cm="1">
        <f t="array" ref="I95">COUNT(_xlfn._xlws.FILTER($J$7:$J$10000,($L$7:$L$10000=B95)*($M$7:$M$10000&lt;&gt;"NULL")*($J$7:$J$10000 &gt;= ($G$1-4))))/5</f>
        <v>0.2</v>
      </c>
      <c r="J95" s="66">
        <v>4</v>
      </c>
      <c r="K95" t="s">
        <v>13</v>
      </c>
      <c r="L95" t="s">
        <v>467</v>
      </c>
      <c r="M95">
        <v>8.6999999999999993</v>
      </c>
      <c r="N95" t="s">
        <v>3</v>
      </c>
      <c r="O95" t="s">
        <v>36</v>
      </c>
      <c r="P95">
        <f t="shared" si="12"/>
        <v>3.6379209963725065</v>
      </c>
      <c r="Q95">
        <f t="shared" si="11"/>
        <v>25.62464383896631</v>
      </c>
      <c r="R95" s="67" cm="1">
        <f t="array" ref="R95">SUMPRODUCT((J95=$J$7:$J$1000)*(P95&lt;$P$7:$P$1000))+1</f>
        <v>17</v>
      </c>
      <c r="S95" s="72"/>
      <c r="T95">
        <v>15</v>
      </c>
      <c r="U95" t="str">
        <v>CHI</v>
      </c>
      <c r="V95" t="str">
        <v>Janus Venter</v>
      </c>
      <c r="W95" t="str">
        <v>NULL</v>
      </c>
      <c r="X95" t="str">
        <v>Away</v>
      </c>
      <c r="Y95" t="str">
        <v>ARC</v>
      </c>
      <c r="Z95">
        <v>4.6015752279526136</v>
      </c>
    </row>
    <row r="96" spans="1:26" x14ac:dyDescent="0.35">
      <c r="A96">
        <f>VLOOKUP($B96, PlayerIDs!$A$1:$B$1000, 2, FALSE)</f>
        <v>737</v>
      </c>
      <c r="B96" t="s">
        <v>482</v>
      </c>
      <c r="C96" s="1">
        <v>0.65398496633244974</v>
      </c>
      <c r="D96" s="1">
        <f t="shared" si="13"/>
        <v>77</v>
      </c>
      <c r="E96" s="1" cm="1">
        <f t="array" ref="E96">IFERROR(VLOOKUP($B96,_xlfn._xlws.FILTER($L$7:$P$10000,$J$7:$J$10000=G$1+1),5, FALSE), 0)</f>
        <v>0.95751726027364792</v>
      </c>
      <c r="F96" s="1">
        <f t="shared" si="14"/>
        <v>68</v>
      </c>
      <c r="G96" s="1">
        <f t="shared" ca="1" si="15"/>
        <v>4.057712590224142</v>
      </c>
      <c r="H96" s="1">
        <f t="shared" ca="1" si="16"/>
        <v>67</v>
      </c>
      <c r="I96" s="1" cm="1">
        <f t="array" ref="I96">COUNT(_xlfn._xlws.FILTER($J$7:$J$10000,($L$7:$L$10000=B96)*($M$7:$M$10000&lt;&gt;"NULL")*($J$7:$J$10000 &gt;= ($G$1-4))))/5</f>
        <v>0</v>
      </c>
      <c r="J96" s="66">
        <v>4</v>
      </c>
      <c r="K96" t="s">
        <v>24</v>
      </c>
      <c r="L96" t="s">
        <v>168</v>
      </c>
      <c r="M96">
        <v>8.5</v>
      </c>
      <c r="N96" t="s">
        <v>3</v>
      </c>
      <c r="O96" t="s">
        <v>2</v>
      </c>
      <c r="P96">
        <f t="shared" si="12"/>
        <v>5.2830431308527706</v>
      </c>
      <c r="Q96">
        <f t="shared" si="11"/>
        <v>10.348811497953545</v>
      </c>
      <c r="R96" s="67" cm="1">
        <f t="array" ref="R96">SUMPRODUCT((J96=$J$7:$J$1000)*(P96&lt;$P$7:$P$1000))+1</f>
        <v>8</v>
      </c>
      <c r="S96" s="72"/>
      <c r="T96">
        <v>15</v>
      </c>
      <c r="U96" t="str">
        <v>CHI</v>
      </c>
      <c r="V96" t="str">
        <v>Paddy Ryan</v>
      </c>
      <c r="W96" t="str">
        <v>NULL</v>
      </c>
      <c r="X96" t="str">
        <v>Away</v>
      </c>
      <c r="Y96" t="str">
        <v>ARC</v>
      </c>
      <c r="Z96">
        <v>2.9183692359734064</v>
      </c>
    </row>
    <row r="97" spans="1:26" x14ac:dyDescent="0.35">
      <c r="A97">
        <f>VLOOKUP($B97, PlayerIDs!$A$1:$B$1000, 2, FALSE)</f>
        <v>862</v>
      </c>
      <c r="B97" t="s">
        <v>630</v>
      </c>
      <c r="C97" s="1">
        <v>0.45517791716336403</v>
      </c>
      <c r="D97" s="1">
        <f t="shared" si="13"/>
        <v>78</v>
      </c>
      <c r="E97" s="1" cm="1">
        <f t="array" ref="E97">IFERROR(VLOOKUP($B97,_xlfn._xlws.FILTER($L$7:$P$10000,$J$7:$J$10000=G$1+1),5, FALSE), 0)</f>
        <v>0.94846452047452745</v>
      </c>
      <c r="F97" s="1">
        <f t="shared" si="14"/>
        <v>69</v>
      </c>
      <c r="G97" s="1">
        <f t="shared" ca="1" si="15"/>
        <v>2.4479818292886879</v>
      </c>
      <c r="H97" s="1">
        <f t="shared" ca="1" si="16"/>
        <v>76</v>
      </c>
      <c r="I97" s="1" cm="1">
        <f t="array" ref="I97">COUNT(_xlfn._xlws.FILTER($J$7:$J$10000,($L$7:$L$10000=B97)*($M$7:$M$10000&lt;&gt;"NULL")*($J$7:$J$10000 &gt;= ($G$1-4))))/5</f>
        <v>0.8</v>
      </c>
      <c r="J97" s="66">
        <v>4</v>
      </c>
      <c r="K97" t="s">
        <v>7</v>
      </c>
      <c r="L97" t="s">
        <v>502</v>
      </c>
      <c r="M97">
        <v>8</v>
      </c>
      <c r="N97" t="s">
        <v>3</v>
      </c>
      <c r="O97" t="s">
        <v>14</v>
      </c>
      <c r="P97">
        <f t="shared" si="12"/>
        <v>5.4586642122754148</v>
      </c>
      <c r="Q97">
        <f t="shared" si="11"/>
        <v>6.4583875859697377</v>
      </c>
      <c r="R97" s="67" cm="1">
        <f t="array" ref="R97">SUMPRODUCT((J97=$J$7:$J$1000)*(P97&lt;$P$7:$P$1000))+1</f>
        <v>7</v>
      </c>
      <c r="S97" s="72"/>
      <c r="T97">
        <v>15</v>
      </c>
      <c r="U97" t="str">
        <v>CHI</v>
      </c>
      <c r="V97" t="str">
        <v>Zurab Zhvania</v>
      </c>
      <c r="W97" t="str">
        <v>NULL</v>
      </c>
      <c r="X97" t="str">
        <v>Away</v>
      </c>
      <c r="Y97" t="str">
        <v>ARC</v>
      </c>
      <c r="Z97">
        <v>6.4751661050137344</v>
      </c>
    </row>
    <row r="98" spans="1:26" x14ac:dyDescent="0.35">
      <c r="A98">
        <f>VLOOKUP($B98, PlayerIDs!$A$1:$B$1000, 2, FALSE)</f>
        <v>437</v>
      </c>
      <c r="B98" t="s">
        <v>528</v>
      </c>
      <c r="C98" s="1">
        <v>0.33259770935666866</v>
      </c>
      <c r="D98" s="1">
        <f t="shared" si="13"/>
        <v>79</v>
      </c>
      <c r="E98" s="1" cm="1">
        <f t="array" ref="E98">IFERROR(VLOOKUP($B98,_xlfn._xlws.FILTER($L$7:$P$10000,$J$7:$J$10000=G$1+1),5, FALSE), 0)</f>
        <v>0.40582076005295342</v>
      </c>
      <c r="F98" s="1">
        <f t="shared" si="14"/>
        <v>71</v>
      </c>
      <c r="G98" s="1">
        <f t="shared" ca="1" si="15"/>
        <v>1.7113676436212826</v>
      </c>
      <c r="H98" s="1">
        <f t="shared" ca="1" si="16"/>
        <v>78</v>
      </c>
      <c r="I98" s="1" cm="1">
        <f t="array" ref="I98">COUNT(_xlfn._xlws.FILTER($J$7:$J$10000,($L$7:$L$10000=B98)*($M$7:$M$10000&lt;&gt;"NULL")*($J$7:$J$10000 &gt;= ($G$1-4))))/5</f>
        <v>0.2</v>
      </c>
      <c r="J98" s="65">
        <v>4</v>
      </c>
      <c r="K98" t="s">
        <v>36</v>
      </c>
      <c r="L98" t="s">
        <v>283</v>
      </c>
      <c r="M98">
        <v>7.3</v>
      </c>
      <c r="N98" t="s">
        <v>9</v>
      </c>
      <c r="O98" t="s">
        <v>13</v>
      </c>
      <c r="P98">
        <f t="shared" si="12"/>
        <v>4.2377006726188204</v>
      </c>
      <c r="Q98">
        <f t="shared" si="11"/>
        <v>9.3776771704792239</v>
      </c>
      <c r="R98" s="67" cm="1">
        <f t="array" ref="R98">SUMPRODUCT((J98=$J$7:$J$1000)*(P98&lt;$P$7:$P$1000))+1</f>
        <v>14</v>
      </c>
      <c r="S98" s="72"/>
      <c r="T98">
        <v>15</v>
      </c>
      <c r="U98" t="str">
        <v>HOU</v>
      </c>
      <c r="V98" t="str">
        <v>Ezekiel Lindenmuth</v>
      </c>
      <c r="W98" t="str">
        <v>NULL</v>
      </c>
      <c r="X98" t="str">
        <v>Away</v>
      </c>
      <c r="Y98" t="str">
        <v>SEA</v>
      </c>
      <c r="Z98">
        <v>3.4352051532409833</v>
      </c>
    </row>
    <row r="99" spans="1:26" x14ac:dyDescent="0.35">
      <c r="A99">
        <f>VLOOKUP($B99, PlayerIDs!$A$1:$B$1000, 2, FALSE)</f>
        <v>802</v>
      </c>
      <c r="B99" t="s">
        <v>418</v>
      </c>
      <c r="C99" s="1">
        <v>0.30979621272766461</v>
      </c>
      <c r="D99" s="1">
        <f t="shared" si="13"/>
        <v>80</v>
      </c>
      <c r="E99" s="1" cm="1">
        <f t="array" ref="E99">IFERROR(VLOOKUP($B99,_xlfn._xlws.FILTER($L$7:$P$10000,$J$7:$J$10000=G$1+1),5, FALSE), 0)</f>
        <v>0.2049736930387408</v>
      </c>
      <c r="F99" s="1">
        <f t="shared" si="14"/>
        <v>72</v>
      </c>
      <c r="G99" s="1">
        <f t="shared" ca="1" si="15"/>
        <v>-7.8409595797193032E-2</v>
      </c>
      <c r="H99" s="1">
        <f t="shared" ca="1" si="16"/>
        <v>81</v>
      </c>
      <c r="I99" s="1" cm="1">
        <f t="array" ref="I99">COUNT(_xlfn._xlws.FILTER($J$7:$J$10000,($L$7:$L$10000=B99)*($M$7:$M$10000&lt;&gt;"NULL")*($J$7:$J$10000 &gt;= ($G$1-4))))/5</f>
        <v>0</v>
      </c>
      <c r="J99" s="66">
        <v>4</v>
      </c>
      <c r="K99" t="s">
        <v>13</v>
      </c>
      <c r="L99" t="s">
        <v>463</v>
      </c>
      <c r="M99">
        <v>7.2</v>
      </c>
      <c r="N99" t="s">
        <v>3</v>
      </c>
      <c r="O99" t="s">
        <v>36</v>
      </c>
      <c r="P99">
        <f t="shared" si="12"/>
        <v>9.4489776483663981</v>
      </c>
      <c r="Q99">
        <f t="shared" si="11"/>
        <v>5.0579004628516531</v>
      </c>
      <c r="R99" s="67" cm="1">
        <f t="array" ref="R99">SUMPRODUCT((J99=$J$7:$J$1000)*(P99&lt;$P$7:$P$1000))+1</f>
        <v>1</v>
      </c>
      <c r="S99" s="72"/>
      <c r="T99">
        <v>15</v>
      </c>
      <c r="U99" t="str">
        <v>HOU</v>
      </c>
      <c r="V99" t="str">
        <v>Michael Scott</v>
      </c>
      <c r="W99" t="str">
        <v>NULL</v>
      </c>
      <c r="X99" t="str">
        <v>Away</v>
      </c>
      <c r="Y99" t="str">
        <v>SEA</v>
      </c>
      <c r="Z99">
        <v>1.2839945285716767</v>
      </c>
    </row>
    <row r="100" spans="1:26" x14ac:dyDescent="0.35">
      <c r="A100">
        <f>VLOOKUP($B100, PlayerIDs!$A$1:$B$1000, 2, FALSE)</f>
        <v>786</v>
      </c>
      <c r="B100" t="s">
        <v>505</v>
      </c>
      <c r="C100" s="1">
        <v>2.2210034947352807E-2</v>
      </c>
      <c r="D100" s="1">
        <f t="shared" si="13"/>
        <v>81</v>
      </c>
      <c r="E100" s="1" cm="1">
        <f t="array" ref="E100">IFERROR(VLOOKUP($B100,_xlfn._xlws.FILTER($L$7:$P$10000,$J$7:$J$10000=G$1+1),5, FALSE), 0)</f>
        <v>-0.31794018614523922</v>
      </c>
      <c r="F100" s="1">
        <f t="shared" si="14"/>
        <v>82</v>
      </c>
      <c r="G100" s="1">
        <f t="shared" ca="1" si="15"/>
        <v>-1.2875051190042583</v>
      </c>
      <c r="H100" s="1">
        <f t="shared" ca="1" si="16"/>
        <v>82</v>
      </c>
      <c r="I100" s="1" cm="1">
        <f t="array" ref="I100">COUNT(_xlfn._xlws.FILTER($J$7:$J$10000,($L$7:$L$10000=B100)*($M$7:$M$10000&lt;&gt;"NULL")*($J$7:$J$10000 &gt;= ($G$1-4))))/5</f>
        <v>0.6</v>
      </c>
      <c r="J100" s="66">
        <v>4</v>
      </c>
      <c r="K100" t="s">
        <v>13</v>
      </c>
      <c r="L100" t="s">
        <v>464</v>
      </c>
      <c r="M100">
        <v>5.5</v>
      </c>
      <c r="N100" t="s">
        <v>3</v>
      </c>
      <c r="O100" t="s">
        <v>36</v>
      </c>
      <c r="P100">
        <f t="shared" si="12"/>
        <v>6.2601036129440448</v>
      </c>
      <c r="Q100">
        <f t="shared" si="11"/>
        <v>0.57775750241059032</v>
      </c>
      <c r="R100" s="67" cm="1">
        <f t="array" ref="R100">SUMPRODUCT((J100=$J$7:$J$1000)*(P100&lt;$P$7:$P$1000))+1</f>
        <v>4</v>
      </c>
      <c r="S100" s="72"/>
      <c r="T100">
        <v>15</v>
      </c>
      <c r="U100" t="str">
        <v>HOU</v>
      </c>
      <c r="V100" t="str">
        <v>Pita Anae-Ah Sue</v>
      </c>
      <c r="W100" t="str">
        <v>NULL</v>
      </c>
      <c r="X100" t="str">
        <v>Away</v>
      </c>
      <c r="Y100" t="str">
        <v>SEA</v>
      </c>
      <c r="Z100">
        <v>8.1411551857842124</v>
      </c>
    </row>
    <row r="101" spans="1:26" x14ac:dyDescent="0.35">
      <c r="A101">
        <f>VLOOKUP($B101, PlayerIDs!$A$1:$B$1000, 2, FALSE)</f>
        <v>8</v>
      </c>
      <c r="B101" t="s">
        <v>142</v>
      </c>
      <c r="C101" s="1">
        <v>-0.23180995214003705</v>
      </c>
      <c r="D101" s="1">
        <f t="shared" si="13"/>
        <v>82</v>
      </c>
      <c r="E101" s="1" cm="1">
        <f t="array" ref="E101">IFERROR(VLOOKUP($B101,_xlfn._xlws.FILTER($L$7:$P$10000,$J$7:$J$10000=G$1+1),5, FALSE), 0)</f>
        <v>7.1722341801161105E-2</v>
      </c>
      <c r="F101" s="1">
        <f t="shared" si="14"/>
        <v>73</v>
      </c>
      <c r="G101" s="1">
        <f t="shared" ca="1" si="15"/>
        <v>1.4003278348066814</v>
      </c>
      <c r="H101" s="1">
        <f t="shared" ca="1" si="16"/>
        <v>79</v>
      </c>
      <c r="I101" s="1" cm="1">
        <f t="array" ref="I101">COUNT(_xlfn._xlws.FILTER($J$7:$J$10000,($L$7:$L$10000=B101)*($M$7:$M$10000&lt;&gt;"NULL")*($J$7:$J$10000 &gt;= ($G$1-4))))/5</f>
        <v>0.6</v>
      </c>
      <c r="J101" s="65">
        <v>4</v>
      </c>
      <c r="K101" t="s">
        <v>2</v>
      </c>
      <c r="L101" t="s">
        <v>162</v>
      </c>
      <c r="M101">
        <v>5.4</v>
      </c>
      <c r="N101" t="s">
        <v>9</v>
      </c>
      <c r="O101" t="s">
        <v>24</v>
      </c>
      <c r="P101">
        <f t="shared" si="12"/>
        <v>5.1341872031907512</v>
      </c>
      <c r="Q101">
        <f t="shared" si="11"/>
        <v>7.0656442947555201E-2</v>
      </c>
      <c r="R101" s="67" cm="1">
        <f t="array" ref="R101">SUMPRODUCT((J101=$J$7:$J$1000)*(P101&lt;$P$7:$P$1000))+1</f>
        <v>9</v>
      </c>
      <c r="S101" s="72"/>
      <c r="T101">
        <v>15</v>
      </c>
      <c r="U101" t="str">
        <v>HOU</v>
      </c>
      <c r="V101" t="str">
        <v>Pono Davis</v>
      </c>
      <c r="W101" t="str">
        <v>NULL</v>
      </c>
      <c r="X101" t="str">
        <v>Away</v>
      </c>
      <c r="Y101" t="str">
        <v>SEA</v>
      </c>
      <c r="Z101">
        <v>2.5522900517477858</v>
      </c>
    </row>
    <row r="102" spans="1:26" x14ac:dyDescent="0.35">
      <c r="A102">
        <f>VLOOKUP($B102, PlayerIDs!$A$1:$B$1000, 2, FALSE)</f>
        <v>590</v>
      </c>
      <c r="B102" t="s">
        <v>152</v>
      </c>
      <c r="C102" s="1">
        <v>-0.95356520266911604</v>
      </c>
      <c r="D102" s="1">
        <f t="shared" si="13"/>
        <v>83</v>
      </c>
      <c r="E102" s="1" cm="1">
        <f t="array" ref="E102">IFERROR(VLOOKUP($B102,_xlfn._xlws.FILTER($L$7:$P$10000,$J$7:$J$10000=G$1+1),5, FALSE), 0)</f>
        <v>-1.0583877223580398</v>
      </c>
      <c r="F102" s="1">
        <f t="shared" si="14"/>
        <v>83</v>
      </c>
      <c r="G102" s="1">
        <f t="shared" ca="1" si="15"/>
        <v>-3.8684938419875348</v>
      </c>
      <c r="H102" s="1">
        <f t="shared" ca="1" si="16"/>
        <v>83</v>
      </c>
      <c r="I102" s="1" cm="1">
        <f t="array" ref="I102">COUNT(_xlfn._xlws.FILTER($J$7:$J$10000,($L$7:$L$10000=B102)*($M$7:$M$10000&lt;&gt;"NULL")*($J$7:$J$10000 &gt;= ($G$1-4))))/5</f>
        <v>0</v>
      </c>
      <c r="J102" s="65">
        <v>4</v>
      </c>
      <c r="K102" t="s">
        <v>23</v>
      </c>
      <c r="L102" t="s">
        <v>144</v>
      </c>
      <c r="M102">
        <v>4.5999999999999996</v>
      </c>
      <c r="N102" t="s">
        <v>9</v>
      </c>
      <c r="O102" t="s">
        <v>17</v>
      </c>
      <c r="P102">
        <f t="shared" si="12"/>
        <v>5.5665639648797338</v>
      </c>
      <c r="Q102">
        <f t="shared" si="11"/>
        <v>0.93424589820403203</v>
      </c>
      <c r="R102" s="67" cm="1">
        <f t="array" ref="R102">SUMPRODUCT((J102=$J$7:$J$1000)*(P102&lt;$P$7:$P$1000))+1</f>
        <v>6</v>
      </c>
      <c r="S102" s="72"/>
      <c r="T102">
        <v>15</v>
      </c>
      <c r="U102" t="str">
        <v>HOU</v>
      </c>
      <c r="V102" t="str">
        <v>Seth Smith</v>
      </c>
      <c r="W102" t="str">
        <v>NULL</v>
      </c>
      <c r="X102" t="str">
        <v>Away</v>
      </c>
      <c r="Y102" t="str">
        <v>SEA</v>
      </c>
      <c r="Z102">
        <v>5.0605193137049049</v>
      </c>
    </row>
    <row r="103" spans="1:26" x14ac:dyDescent="0.35">
      <c r="A103">
        <f>VLOOKUP($B103, PlayerIDs!$A$1:$B$1000, 2, FALSE)</f>
        <v>641</v>
      </c>
      <c r="B103" t="s">
        <v>507</v>
      </c>
      <c r="C103" s="1">
        <v>-2.7317217972244743</v>
      </c>
      <c r="D103" s="1">
        <f t="shared" si="13"/>
        <v>84</v>
      </c>
      <c r="E103" s="1" cm="1">
        <f t="array" ref="E103">IFERROR(VLOOKUP($B103,_xlfn._xlws.FILTER($L$7:$P$10000,$J$7:$J$10000=G$1+1),5, FALSE), 0)</f>
        <v>-2.2384351939133111</v>
      </c>
      <c r="F103" s="1">
        <f t="shared" si="14"/>
        <v>84</v>
      </c>
      <c r="G103" s="1">
        <f t="shared" ca="1" si="15"/>
        <v>-7.1127173138748274</v>
      </c>
      <c r="H103" s="1">
        <f t="shared" ca="1" si="16"/>
        <v>84</v>
      </c>
      <c r="I103" s="1" cm="1">
        <f t="array" ref="I103">COUNT(_xlfn._xlws.FILTER($J$7:$J$10000,($L$7:$L$10000=B103)*($M$7:$M$10000&lt;&gt;"NULL")*($J$7:$J$10000 &gt;= ($G$1-4))))/5</f>
        <v>0</v>
      </c>
      <c r="J103" s="66">
        <v>4</v>
      </c>
      <c r="K103" t="s">
        <v>34</v>
      </c>
      <c r="L103" t="s">
        <v>153</v>
      </c>
      <c r="M103">
        <v>4.4000000000000004</v>
      </c>
      <c r="N103" t="s">
        <v>3</v>
      </c>
      <c r="O103" t="s">
        <v>6</v>
      </c>
      <c r="P103">
        <f t="shared" si="12"/>
        <v>4.5273454939534226</v>
      </c>
      <c r="Q103">
        <f t="shared" si="11"/>
        <v>1.621687483024109E-2</v>
      </c>
      <c r="R103" s="67" cm="1">
        <f t="array" ref="R103">SUMPRODUCT((J103=$J$7:$J$1000)*(P103&lt;$P$7:$P$1000))+1</f>
        <v>13</v>
      </c>
      <c r="S103" s="72"/>
      <c r="T103">
        <v>15</v>
      </c>
      <c r="U103" t="str">
        <v>HOU</v>
      </c>
      <c r="V103" t="str">
        <v>Val Lee-Lo</v>
      </c>
      <c r="W103" t="str">
        <v>NULL</v>
      </c>
      <c r="X103" t="str">
        <v>Away</v>
      </c>
      <c r="Y103" t="str">
        <v>SEA</v>
      </c>
      <c r="Z103">
        <v>1.6316644996779026</v>
      </c>
    </row>
    <row r="104" spans="1:26" x14ac:dyDescent="0.35">
      <c r="J104" s="66">
        <v>4</v>
      </c>
      <c r="K104" t="s">
        <v>14</v>
      </c>
      <c r="L104" t="s">
        <v>164</v>
      </c>
      <c r="M104">
        <v>4.2</v>
      </c>
      <c r="N104" t="s">
        <v>9</v>
      </c>
      <c r="O104" t="s">
        <v>7</v>
      </c>
      <c r="P104">
        <f t="shared" si="12"/>
        <v>2.9250301862679651</v>
      </c>
      <c r="Q104">
        <f t="shared" si="11"/>
        <v>1.6255480259279003</v>
      </c>
      <c r="R104" s="67" cm="1">
        <f t="array" ref="R104">SUMPRODUCT((J104=$J$7:$J$1000)*(P104&lt;$P$7:$P$1000))+1</f>
        <v>21</v>
      </c>
      <c r="S104" s="72"/>
      <c r="T104">
        <v>15</v>
      </c>
      <c r="U104" t="str">
        <v>LA</v>
      </c>
      <c r="V104" t="str">
        <v>Alessandro Heaney</v>
      </c>
      <c r="W104" t="str">
        <v>NULL</v>
      </c>
      <c r="X104" t="str">
        <v>Home</v>
      </c>
      <c r="Y104" t="str">
        <v>MIA</v>
      </c>
      <c r="Z104">
        <v>3.2926965977233986</v>
      </c>
    </row>
    <row r="105" spans="1:26" x14ac:dyDescent="0.35">
      <c r="J105" s="66">
        <v>4</v>
      </c>
      <c r="K105" t="s">
        <v>17</v>
      </c>
      <c r="L105" t="s">
        <v>480</v>
      </c>
      <c r="M105">
        <v>3.7</v>
      </c>
      <c r="N105" t="s">
        <v>3</v>
      </c>
      <c r="O105" t="s">
        <v>23</v>
      </c>
      <c r="P105">
        <f t="shared" si="12"/>
        <v>4.8333719310900527</v>
      </c>
      <c r="Q105">
        <f t="shared" si="11"/>
        <v>1.2845319341827948</v>
      </c>
      <c r="R105" s="67" cm="1">
        <f t="array" ref="R105">SUMPRODUCT((J105=$J$7:$J$1000)*(P105&lt;$P$7:$P$1000))+1</f>
        <v>12</v>
      </c>
      <c r="S105" s="72"/>
      <c r="T105">
        <v>15</v>
      </c>
      <c r="U105" t="str">
        <v>LA</v>
      </c>
      <c r="V105" t="str">
        <v>Ben Strang</v>
      </c>
      <c r="W105" t="str">
        <v>NULL</v>
      </c>
      <c r="X105" t="str">
        <v>Home</v>
      </c>
      <c r="Y105" t="str">
        <v>MIA</v>
      </c>
      <c r="Z105">
        <v>10.864782159279649</v>
      </c>
    </row>
    <row r="106" spans="1:26" x14ac:dyDescent="0.35">
      <c r="J106" s="66">
        <v>4</v>
      </c>
      <c r="K106" t="s">
        <v>14</v>
      </c>
      <c r="L106" t="s">
        <v>143</v>
      </c>
      <c r="M106">
        <v>3.6</v>
      </c>
      <c r="N106" t="s">
        <v>9</v>
      </c>
      <c r="O106" t="s">
        <v>7</v>
      </c>
      <c r="P106">
        <f t="shared" si="12"/>
        <v>2.7315822005374026</v>
      </c>
      <c r="Q106">
        <f t="shared" si="11"/>
        <v>0.75414947442346014</v>
      </c>
      <c r="R106" s="67" cm="1">
        <f t="array" ref="R106">SUMPRODUCT((J106=$J$7:$J$1000)*(P106&lt;$P$7:$P$1000))+1</f>
        <v>22</v>
      </c>
      <c r="S106" s="72"/>
      <c r="T106">
        <v>15</v>
      </c>
      <c r="U106" t="str">
        <v>LA</v>
      </c>
      <c r="V106" t="str">
        <v>Ben Sugars</v>
      </c>
      <c r="W106" t="str">
        <v>NULL</v>
      </c>
      <c r="X106" t="str">
        <v>Home</v>
      </c>
      <c r="Y106" t="str">
        <v>MIA</v>
      </c>
      <c r="Z106">
        <v>4.5148037616787073</v>
      </c>
    </row>
    <row r="107" spans="1:26" x14ac:dyDescent="0.35">
      <c r="J107" s="65">
        <v>4</v>
      </c>
      <c r="K107" t="s">
        <v>36</v>
      </c>
      <c r="L107" t="s">
        <v>415</v>
      </c>
      <c r="M107">
        <v>3.3</v>
      </c>
      <c r="N107" t="s">
        <v>9</v>
      </c>
      <c r="O107" t="s">
        <v>13</v>
      </c>
      <c r="P107">
        <f t="shared" si="12"/>
        <v>1.7294714106617013</v>
      </c>
      <c r="Q107">
        <f t="shared" si="11"/>
        <v>2.4665600499289457</v>
      </c>
      <c r="R107" s="67" cm="1">
        <f t="array" ref="R107">SUMPRODUCT((J107=$J$7:$J$1000)*(P107&lt;$P$7:$P$1000))+1</f>
        <v>24</v>
      </c>
      <c r="S107" s="72"/>
      <c r="T107">
        <v>15</v>
      </c>
      <c r="U107" t="str">
        <v>LA</v>
      </c>
      <c r="V107" t="str">
        <v>Cronan Gleeson</v>
      </c>
      <c r="W107" t="str">
        <v>NULL</v>
      </c>
      <c r="X107" t="str">
        <v>Home</v>
      </c>
      <c r="Y107" t="str">
        <v>MIA</v>
      </c>
      <c r="Z107">
        <v>0.12243848255872147</v>
      </c>
    </row>
    <row r="108" spans="1:26" x14ac:dyDescent="0.35">
      <c r="J108" s="66">
        <v>4</v>
      </c>
      <c r="K108" t="s">
        <v>6</v>
      </c>
      <c r="L108" t="s">
        <v>503</v>
      </c>
      <c r="M108">
        <v>3.2</v>
      </c>
      <c r="N108" t="s">
        <v>9</v>
      </c>
      <c r="O108" t="s">
        <v>34</v>
      </c>
      <c r="P108">
        <f t="shared" si="12"/>
        <v>3.6210703854608974</v>
      </c>
      <c r="Q108">
        <f t="shared" si="11"/>
        <v>0.17730026951218861</v>
      </c>
      <c r="R108" s="67" cm="1">
        <f t="array" ref="R108">SUMPRODUCT((J108=$J$7:$J$1000)*(P108&lt;$P$7:$P$1000))+1</f>
        <v>18</v>
      </c>
      <c r="S108" s="72"/>
      <c r="T108">
        <v>15</v>
      </c>
      <c r="U108" t="str">
        <v>LA</v>
      </c>
      <c r="V108" t="str">
        <v>Dane Zander</v>
      </c>
      <c r="W108" t="str">
        <v>NULL</v>
      </c>
      <c r="X108" t="str">
        <v>Home</v>
      </c>
      <c r="Y108" t="str">
        <v>MIA</v>
      </c>
      <c r="Z108">
        <v>-1.1409229328380592</v>
      </c>
    </row>
    <row r="109" spans="1:26" x14ac:dyDescent="0.35">
      <c r="J109" s="66">
        <v>4</v>
      </c>
      <c r="K109" t="s">
        <v>36</v>
      </c>
      <c r="L109" t="s">
        <v>414</v>
      </c>
      <c r="M109">
        <v>2.9</v>
      </c>
      <c r="N109" t="s">
        <v>9</v>
      </c>
      <c r="O109" t="s">
        <v>13</v>
      </c>
      <c r="P109">
        <f t="shared" si="12"/>
        <v>0.80884585859181835</v>
      </c>
      <c r="Q109">
        <f t="shared" si="11"/>
        <v>4.372925643128589</v>
      </c>
      <c r="R109" s="67" cm="1">
        <f t="array" ref="R109">SUMPRODUCT((J109=$J$7:$J$1000)*(P109&lt;$P$7:$P$1000))+1</f>
        <v>26</v>
      </c>
      <c r="S109" s="72"/>
      <c r="T109">
        <v>15</v>
      </c>
      <c r="U109" t="str">
        <v>LA</v>
      </c>
      <c r="V109" t="str">
        <v>Declan Leaney</v>
      </c>
      <c r="W109" t="str">
        <v>NULL</v>
      </c>
      <c r="X109" t="str">
        <v>Home</v>
      </c>
      <c r="Y109" t="str">
        <v>MIA</v>
      </c>
      <c r="Z109">
        <v>6.9628439555986255</v>
      </c>
    </row>
    <row r="110" spans="1:26" x14ac:dyDescent="0.35">
      <c r="J110" s="66">
        <v>4</v>
      </c>
      <c r="K110" t="s">
        <v>2</v>
      </c>
      <c r="L110" t="s">
        <v>504</v>
      </c>
      <c r="M110">
        <v>2.8</v>
      </c>
      <c r="N110" t="s">
        <v>9</v>
      </c>
      <c r="O110" t="s">
        <v>24</v>
      </c>
      <c r="P110">
        <f t="shared" si="12"/>
        <v>3.7681384035488579</v>
      </c>
      <c r="Q110">
        <f t="shared" si="11"/>
        <v>0.93729196842613149</v>
      </c>
      <c r="R110" s="67" cm="1">
        <f t="array" ref="R110">SUMPRODUCT((J110=$J$7:$J$1000)*(P110&lt;$P$7:$P$1000))+1</f>
        <v>16</v>
      </c>
      <c r="S110" s="72"/>
      <c r="T110">
        <v>15</v>
      </c>
      <c r="U110" t="str">
        <v>LA</v>
      </c>
      <c r="V110" t="str">
        <v>Franco van den Berg</v>
      </c>
      <c r="W110" t="str">
        <v>NULL</v>
      </c>
      <c r="X110" t="str">
        <v>Home</v>
      </c>
      <c r="Y110" t="str">
        <v>MIA</v>
      </c>
      <c r="Z110">
        <v>2.2061846729969559</v>
      </c>
    </row>
    <row r="111" spans="1:26" x14ac:dyDescent="0.35">
      <c r="J111" s="66">
        <v>4</v>
      </c>
      <c r="K111" t="s">
        <v>2</v>
      </c>
      <c r="L111" t="s">
        <v>159</v>
      </c>
      <c r="M111">
        <v>2.7</v>
      </c>
      <c r="N111" t="s">
        <v>9</v>
      </c>
      <c r="O111" t="s">
        <v>24</v>
      </c>
      <c r="P111">
        <f t="shared" si="12"/>
        <v>2.0285830752296072</v>
      </c>
      <c r="Q111">
        <f t="shared" si="11"/>
        <v>0.45080068686813152</v>
      </c>
      <c r="R111" s="67" cm="1">
        <f t="array" ref="R111">SUMPRODUCT((J111=$J$7:$J$1000)*(P111&lt;$P$7:$P$1000))+1</f>
        <v>23</v>
      </c>
      <c r="S111" s="72"/>
      <c r="T111">
        <v>15</v>
      </c>
      <c r="U111" t="str">
        <v>LA</v>
      </c>
      <c r="V111" t="str">
        <v>Justus Tavai</v>
      </c>
      <c r="W111" t="str">
        <v>NULL</v>
      </c>
      <c r="X111" t="str">
        <v>Home</v>
      </c>
      <c r="Y111" t="str">
        <v>MIA</v>
      </c>
      <c r="Z111">
        <v>7.465946326620279</v>
      </c>
    </row>
    <row r="112" spans="1:26" x14ac:dyDescent="0.35">
      <c r="J112" s="65">
        <v>4</v>
      </c>
      <c r="K112" t="s">
        <v>17</v>
      </c>
      <c r="L112" t="s">
        <v>167</v>
      </c>
      <c r="M112">
        <v>2.5</v>
      </c>
      <c r="N112" t="s">
        <v>3</v>
      </c>
      <c r="O112" t="s">
        <v>23</v>
      </c>
      <c r="P112">
        <f t="shared" si="12"/>
        <v>3.2599370031694819</v>
      </c>
      <c r="Q112">
        <f t="shared" si="11"/>
        <v>0.57750424878621309</v>
      </c>
      <c r="R112" s="67" cm="1">
        <f t="array" ref="R112">SUMPRODUCT((J112=$J$7:$J$1000)*(P112&lt;$P$7:$P$1000))+1</f>
        <v>19</v>
      </c>
      <c r="S112" s="72"/>
      <c r="T112">
        <v>15</v>
      </c>
      <c r="U112" t="str">
        <v>LA</v>
      </c>
      <c r="V112" t="str">
        <v>Maliu Niuafe</v>
      </c>
      <c r="W112" t="str">
        <v>NULL</v>
      </c>
      <c r="X112" t="str">
        <v>Home</v>
      </c>
      <c r="Y112" t="str">
        <v>MIA</v>
      </c>
      <c r="Z112">
        <v>2.0799089294762432</v>
      </c>
    </row>
    <row r="113" spans="10:26" x14ac:dyDescent="0.35">
      <c r="J113" s="66">
        <v>4</v>
      </c>
      <c r="K113" t="s">
        <v>34</v>
      </c>
      <c r="L113" t="s">
        <v>177</v>
      </c>
      <c r="M113">
        <v>2.4</v>
      </c>
      <c r="N113" t="s">
        <v>3</v>
      </c>
      <c r="O113" t="s">
        <v>6</v>
      </c>
      <c r="P113">
        <f t="shared" si="12"/>
        <v>5.0416528165410437</v>
      </c>
      <c r="Q113">
        <f t="shared" si="11"/>
        <v>6.9783296031392297</v>
      </c>
      <c r="R113" s="67" cm="1">
        <f t="array" ref="R113">SUMPRODUCT((J113=$J$7:$J$1000)*(P113&lt;$P$7:$P$1000))+1</f>
        <v>10</v>
      </c>
      <c r="S113" s="72"/>
      <c r="T113">
        <v>15</v>
      </c>
      <c r="U113" t="str">
        <v>LA</v>
      </c>
      <c r="V113" t="str">
        <v>Mike Sosene Feagai</v>
      </c>
      <c r="W113" t="str">
        <v>NULL</v>
      </c>
      <c r="X113" t="str">
        <v>Home</v>
      </c>
      <c r="Y113" t="str">
        <v>MIA</v>
      </c>
      <c r="Z113">
        <v>4.7290320210031851</v>
      </c>
    </row>
    <row r="114" spans="10:26" x14ac:dyDescent="0.35">
      <c r="J114" s="66">
        <v>4</v>
      </c>
      <c r="K114" t="s">
        <v>23</v>
      </c>
      <c r="L114" t="s">
        <v>505</v>
      </c>
      <c r="M114">
        <v>2.2999999999999998</v>
      </c>
      <c r="N114" t="s">
        <v>9</v>
      </c>
      <c r="O114" t="s">
        <v>17</v>
      </c>
      <c r="P114">
        <f t="shared" si="12"/>
        <v>-0.58174196553134983</v>
      </c>
      <c r="Q114">
        <f t="shared" si="11"/>
        <v>8.3044367559044883</v>
      </c>
      <c r="R114" s="67" cm="1">
        <f t="array" ref="R114">SUMPRODUCT((J114=$J$7:$J$1000)*(P114&lt;$P$7:$P$1000))+1</f>
        <v>29</v>
      </c>
      <c r="S114" s="72"/>
      <c r="T114">
        <v>15</v>
      </c>
      <c r="U114" t="str">
        <v>MIA</v>
      </c>
      <c r="V114" t="str">
        <v>Alec McDonnell</v>
      </c>
      <c r="W114" t="str">
        <v>NULL</v>
      </c>
      <c r="X114" t="str">
        <v>Away</v>
      </c>
      <c r="Y114" t="str">
        <v>LA</v>
      </c>
      <c r="Z114">
        <v>5.3819228406197128E-2</v>
      </c>
    </row>
    <row r="115" spans="10:26" x14ac:dyDescent="0.35">
      <c r="J115" s="66">
        <v>4</v>
      </c>
      <c r="K115" t="s">
        <v>6</v>
      </c>
      <c r="L115" t="s">
        <v>152</v>
      </c>
      <c r="M115">
        <v>2.1</v>
      </c>
      <c r="N115" t="s">
        <v>9</v>
      </c>
      <c r="O115" t="s">
        <v>34</v>
      </c>
      <c r="P115">
        <f t="shared" si="12"/>
        <v>0.40023852314659547</v>
      </c>
      <c r="Q115">
        <f t="shared" si="11"/>
        <v>2.889189078194867</v>
      </c>
      <c r="R115" s="67" cm="1">
        <f t="array" ref="R115">SUMPRODUCT((J115=$J$7:$J$1000)*(P115&lt;$P$7:$P$1000))+1</f>
        <v>28</v>
      </c>
      <c r="S115" s="72"/>
      <c r="T115">
        <v>15</v>
      </c>
      <c r="U115" t="str">
        <v>MIA</v>
      </c>
      <c r="V115" t="str">
        <v>Alex Tucci</v>
      </c>
      <c r="W115" t="str">
        <v>NULL</v>
      </c>
      <c r="X115" t="str">
        <v>Away</v>
      </c>
      <c r="Y115" t="str">
        <v>LA</v>
      </c>
      <c r="Z115">
        <v>6.9194208094952572</v>
      </c>
    </row>
    <row r="116" spans="10:26" x14ac:dyDescent="0.35">
      <c r="J116" s="66">
        <v>4</v>
      </c>
      <c r="K116" t="s">
        <v>23</v>
      </c>
      <c r="L116" t="s">
        <v>506</v>
      </c>
      <c r="M116">
        <v>1.6</v>
      </c>
      <c r="N116" t="s">
        <v>9</v>
      </c>
      <c r="O116" t="s">
        <v>17</v>
      </c>
      <c r="P116">
        <f t="shared" si="12"/>
        <v>1.4753720745213499</v>
      </c>
      <c r="Q116">
        <f t="shared" si="11"/>
        <v>1.5532119809111988E-2</v>
      </c>
      <c r="R116" s="67" cm="1">
        <f t="array" ref="R116">SUMPRODUCT((J116=$J$7:$J$1000)*(P116&lt;$P$7:$P$1000))+1</f>
        <v>25</v>
      </c>
      <c r="S116" s="72"/>
      <c r="T116">
        <v>15</v>
      </c>
      <c r="U116" t="str">
        <v>MIA</v>
      </c>
      <c r="V116" t="str">
        <v>Jonas Petrakopoulos</v>
      </c>
      <c r="W116" t="str">
        <v>NULL</v>
      </c>
      <c r="X116" t="str">
        <v>Away</v>
      </c>
      <c r="Y116" t="str">
        <v>LA</v>
      </c>
      <c r="Z116">
        <v>4.5872232349438367</v>
      </c>
    </row>
    <row r="117" spans="10:26" x14ac:dyDescent="0.35">
      <c r="J117" s="65">
        <v>4</v>
      </c>
      <c r="K117" t="s">
        <v>24</v>
      </c>
      <c r="L117" t="s">
        <v>411</v>
      </c>
      <c r="M117">
        <v>1.5</v>
      </c>
      <c r="N117" t="s">
        <v>3</v>
      </c>
      <c r="O117" t="s">
        <v>2</v>
      </c>
      <c r="P117">
        <f t="shared" si="12"/>
        <v>2.9254311094042276</v>
      </c>
      <c r="Q117">
        <f t="shared" si="11"/>
        <v>2.0318538476573669</v>
      </c>
      <c r="R117" s="67" cm="1">
        <f t="array" ref="R117">SUMPRODUCT((J117=$J$7:$J$1000)*(P117&lt;$P$7:$P$1000))+1</f>
        <v>20</v>
      </c>
      <c r="S117" s="72"/>
      <c r="T117">
        <v>15</v>
      </c>
      <c r="U117" t="str">
        <v>MIA</v>
      </c>
      <c r="V117" t="str">
        <v>Kirby Myhill</v>
      </c>
      <c r="W117" t="str">
        <v>NULL</v>
      </c>
      <c r="X117" t="str">
        <v>Away</v>
      </c>
      <c r="Y117" t="str">
        <v>LA</v>
      </c>
      <c r="Z117">
        <v>5.5207023401642807</v>
      </c>
    </row>
    <row r="118" spans="10:26" x14ac:dyDescent="0.35">
      <c r="J118" s="65">
        <v>4</v>
      </c>
      <c r="K118" t="s">
        <v>7</v>
      </c>
      <c r="L118" t="s">
        <v>148</v>
      </c>
      <c r="M118">
        <v>1.5</v>
      </c>
      <c r="N118" t="s">
        <v>3</v>
      </c>
      <c r="O118" t="s">
        <v>14</v>
      </c>
      <c r="P118">
        <f t="shared" si="12"/>
        <v>3.9350420274747275</v>
      </c>
      <c r="Q118">
        <f t="shared" si="11"/>
        <v>5.9294296755682314</v>
      </c>
      <c r="R118" s="67" cm="1">
        <f t="array" ref="R118">SUMPRODUCT((J118=$J$7:$J$1000)*(P118&lt;$P$7:$P$1000))+1</f>
        <v>15</v>
      </c>
      <c r="S118" s="72"/>
      <c r="T118">
        <v>15</v>
      </c>
      <c r="U118" t="str">
        <v>MIA</v>
      </c>
      <c r="V118" t="str">
        <v>Ma'ake Muti</v>
      </c>
      <c r="W118" t="str">
        <v>NULL</v>
      </c>
      <c r="X118" t="str">
        <v>Away</v>
      </c>
      <c r="Y118" t="str">
        <v>LA</v>
      </c>
      <c r="Z118">
        <v>3.1630903187157364</v>
      </c>
    </row>
    <row r="119" spans="10:26" x14ac:dyDescent="0.35">
      <c r="J119" s="66">
        <v>4</v>
      </c>
      <c r="K119" t="s">
        <v>24</v>
      </c>
      <c r="L119" t="s">
        <v>482</v>
      </c>
      <c r="M119">
        <v>0.4</v>
      </c>
      <c r="N119" t="s">
        <v>3</v>
      </c>
      <c r="O119" t="s">
        <v>2</v>
      </c>
      <c r="P119">
        <f t="shared" si="12"/>
        <v>0.70195493756717486</v>
      </c>
      <c r="Q119">
        <f t="shared" si="11"/>
        <v>9.1176784321196455E-2</v>
      </c>
      <c r="R119" s="67" cm="1">
        <f t="array" ref="R119">SUMPRODUCT((J119=$J$7:$J$1000)*(P119&lt;$P$7:$P$1000))+1</f>
        <v>27</v>
      </c>
      <c r="S119" s="72"/>
      <c r="T119">
        <v>15</v>
      </c>
      <c r="U119" t="str">
        <v>MIA</v>
      </c>
      <c r="V119" t="str">
        <v>Reinaldo Piussi</v>
      </c>
      <c r="W119" t="str">
        <v>NULL</v>
      </c>
      <c r="X119" t="str">
        <v>Away</v>
      </c>
      <c r="Y119" t="str">
        <v>LA</v>
      </c>
      <c r="Z119">
        <v>1.6614571523386417</v>
      </c>
    </row>
    <row r="120" spans="10:26" x14ac:dyDescent="0.35">
      <c r="J120" s="65">
        <v>4</v>
      </c>
      <c r="K120" t="s">
        <v>7</v>
      </c>
      <c r="L120" t="s">
        <v>507</v>
      </c>
      <c r="M120">
        <v>-2.1</v>
      </c>
      <c r="N120" t="s">
        <v>3</v>
      </c>
      <c r="O120" t="s">
        <v>14</v>
      </c>
      <c r="P120">
        <f t="shared" si="12"/>
        <v>-2.085642702989662</v>
      </c>
      <c r="Q120">
        <f t="shared" si="11"/>
        <v>2.0613197744306206E-4</v>
      </c>
      <c r="R120" s="67" cm="1">
        <f t="array" ref="R120">SUMPRODUCT((J120=$J$7:$J$1000)*(P120&lt;$P$7:$P$1000))+1</f>
        <v>30</v>
      </c>
      <c r="S120" s="72"/>
      <c r="T120">
        <v>15</v>
      </c>
      <c r="U120" t="str">
        <v>MIA</v>
      </c>
      <c r="V120" t="str">
        <v>Sean McNulty</v>
      </c>
      <c r="W120" t="str">
        <v>NULL</v>
      </c>
      <c r="X120" t="str">
        <v>Away</v>
      </c>
      <c r="Y120" t="str">
        <v>LA</v>
      </c>
      <c r="Z120">
        <v>3.5571751267799807</v>
      </c>
    </row>
    <row r="121" spans="10:26" x14ac:dyDescent="0.35">
      <c r="J121" s="66">
        <v>5</v>
      </c>
      <c r="K121" t="s">
        <v>4</v>
      </c>
      <c r="L121" t="s">
        <v>481</v>
      </c>
      <c r="M121">
        <v>9.4</v>
      </c>
      <c r="N121" t="s">
        <v>9</v>
      </c>
      <c r="O121" t="s">
        <v>23</v>
      </c>
      <c r="P121">
        <f t="shared" si="12"/>
        <v>5.21572587439125</v>
      </c>
      <c r="Q121">
        <f t="shared" si="11"/>
        <v>17.508149958238871</v>
      </c>
      <c r="R121" s="67" cm="1">
        <f t="array" ref="R121">SUMPRODUCT((J121=$J$7:$J$1000)*(P121&lt;$P$7:$P$1000))+1</f>
        <v>5</v>
      </c>
      <c r="S121" s="72"/>
      <c r="T121">
        <v>15</v>
      </c>
      <c r="U121" t="str">
        <v>MIA</v>
      </c>
      <c r="V121" t="str">
        <v>Tau Koloamatangi</v>
      </c>
      <c r="W121" t="str">
        <v>NULL</v>
      </c>
      <c r="X121" t="str">
        <v>Away</v>
      </c>
      <c r="Y121" t="str">
        <v>LA</v>
      </c>
      <c r="Z121">
        <v>0.93961414687868394</v>
      </c>
    </row>
    <row r="122" spans="10:26" x14ac:dyDescent="0.35">
      <c r="J122" s="66">
        <v>5</v>
      </c>
      <c r="K122" t="s">
        <v>7</v>
      </c>
      <c r="L122" t="s">
        <v>502</v>
      </c>
      <c r="M122">
        <v>8.1999999999999993</v>
      </c>
      <c r="N122" t="s">
        <v>9</v>
      </c>
      <c r="O122" t="s">
        <v>2</v>
      </c>
      <c r="P122">
        <f t="shared" si="12"/>
        <v>4.7077625983516791</v>
      </c>
      <c r="Q122">
        <f t="shared" si="11"/>
        <v>12.195722069471412</v>
      </c>
      <c r="R122" s="67" cm="1">
        <f t="array" ref="R122">SUMPRODUCT((J122=$J$7:$J$1000)*(P122&lt;$P$7:$P$1000))+1</f>
        <v>8</v>
      </c>
      <c r="S122" s="72"/>
      <c r="T122">
        <v>15</v>
      </c>
      <c r="U122" t="str">
        <v>NEFJ</v>
      </c>
      <c r="V122" t="str">
        <v>Andrew Quattrin</v>
      </c>
      <c r="W122" t="str">
        <v>NULL</v>
      </c>
      <c r="X122" t="str">
        <v>Home</v>
      </c>
      <c r="Y122" t="str">
        <v>OGDC</v>
      </c>
      <c r="Z122">
        <v>5.6076904721597645</v>
      </c>
    </row>
    <row r="123" spans="10:26" x14ac:dyDescent="0.35">
      <c r="J123" s="66">
        <v>5</v>
      </c>
      <c r="K123" t="s">
        <v>24</v>
      </c>
      <c r="L123" t="s">
        <v>168</v>
      </c>
      <c r="M123">
        <v>6.5</v>
      </c>
      <c r="N123" t="s">
        <v>3</v>
      </c>
      <c r="O123" t="s">
        <v>13</v>
      </c>
      <c r="P123">
        <f t="shared" si="12"/>
        <v>3.9610950089769075</v>
      </c>
      <c r="Q123">
        <f t="shared" si="11"/>
        <v>6.4460385534419693</v>
      </c>
      <c r="R123" s="67" cm="1">
        <f t="array" ref="R123">SUMPRODUCT((J123=$J$7:$J$1000)*(P123&lt;$P$7:$P$1000))+1</f>
        <v>10</v>
      </c>
      <c r="S123" s="72"/>
      <c r="T123">
        <v>15</v>
      </c>
      <c r="U123" t="str">
        <v>NEFJ</v>
      </c>
      <c r="V123" t="str">
        <v>Cole Keith</v>
      </c>
      <c r="W123" t="str">
        <v>NULL</v>
      </c>
      <c r="X123" t="str">
        <v>Home</v>
      </c>
      <c r="Y123" t="str">
        <v>OGDC</v>
      </c>
      <c r="Z123">
        <v>1.0187052761892621</v>
      </c>
    </row>
    <row r="124" spans="10:26" x14ac:dyDescent="0.35">
      <c r="J124" s="66">
        <v>5</v>
      </c>
      <c r="K124" t="s">
        <v>17</v>
      </c>
      <c r="L124" t="s">
        <v>480</v>
      </c>
      <c r="M124">
        <v>4.9000000000000004</v>
      </c>
      <c r="N124" t="s">
        <v>9</v>
      </c>
      <c r="O124" t="s">
        <v>6</v>
      </c>
      <c r="P124">
        <f t="shared" si="12"/>
        <v>4.8154688176950895</v>
      </c>
      <c r="Q124">
        <f t="shared" si="11"/>
        <v>7.1455207818660743E-3</v>
      </c>
      <c r="R124" s="67" cm="1">
        <f t="array" ref="R124">SUMPRODUCT((J124=$J$7:$J$1000)*(P124&lt;$P$7:$P$1000))+1</f>
        <v>6</v>
      </c>
      <c r="S124" s="72"/>
      <c r="T124">
        <v>15</v>
      </c>
      <c r="U124" t="str">
        <v>NEFJ</v>
      </c>
      <c r="V124" t="str">
        <v>Connal McInerney</v>
      </c>
      <c r="W124" t="str">
        <v>NULL</v>
      </c>
      <c r="X124" t="str">
        <v>Home</v>
      </c>
      <c r="Y124" t="str">
        <v>OGDC</v>
      </c>
      <c r="Z124">
        <v>6.5647601264935096</v>
      </c>
    </row>
    <row r="125" spans="10:26" x14ac:dyDescent="0.35">
      <c r="J125" s="66">
        <v>5</v>
      </c>
      <c r="K125" t="s">
        <v>17</v>
      </c>
      <c r="L125" t="s">
        <v>149</v>
      </c>
      <c r="M125">
        <v>4.3</v>
      </c>
      <c r="N125" t="s">
        <v>9</v>
      </c>
      <c r="O125" t="s">
        <v>6</v>
      </c>
      <c r="P125">
        <f t="shared" si="12"/>
        <v>5.8422227336798844</v>
      </c>
      <c r="Q125">
        <f t="shared" si="11"/>
        <v>2.3784509602790562</v>
      </c>
      <c r="R125" s="67" cm="1">
        <f t="array" ref="R125">SUMPRODUCT((J125=$J$7:$J$1000)*(P125&lt;$P$7:$P$1000))+1</f>
        <v>3</v>
      </c>
      <c r="S125" s="72"/>
      <c r="T125">
        <v>15</v>
      </c>
      <c r="U125" t="str">
        <v>NEFJ</v>
      </c>
      <c r="V125" t="str">
        <v>Jone Koroiduadua</v>
      </c>
      <c r="W125" t="str">
        <v>NULL</v>
      </c>
      <c r="X125" t="str">
        <v>Home</v>
      </c>
      <c r="Y125" t="str">
        <v>OGDC</v>
      </c>
      <c r="Z125">
        <v>-0.54061545825131818</v>
      </c>
    </row>
    <row r="126" spans="10:26" x14ac:dyDescent="0.35">
      <c r="J126" s="66">
        <v>5</v>
      </c>
      <c r="K126" t="s">
        <v>2</v>
      </c>
      <c r="L126" t="s">
        <v>156</v>
      </c>
      <c r="M126">
        <v>4</v>
      </c>
      <c r="N126" t="s">
        <v>3</v>
      </c>
      <c r="O126" t="s">
        <v>7</v>
      </c>
      <c r="P126">
        <f t="shared" si="12"/>
        <v>7.2400900299007533</v>
      </c>
      <c r="Q126">
        <f t="shared" si="11"/>
        <v>10.498183401862265</v>
      </c>
      <c r="R126" s="67" cm="1">
        <f t="array" ref="R126">SUMPRODUCT((J126=$J$7:$J$1000)*(P126&lt;$P$7:$P$1000))+1</f>
        <v>1</v>
      </c>
      <c r="S126" s="72"/>
      <c r="T126">
        <v>15</v>
      </c>
      <c r="U126" t="str">
        <v>NEFJ</v>
      </c>
      <c r="V126" t="str">
        <v>Kaleb Geiger</v>
      </c>
      <c r="W126" t="str">
        <v>NULL</v>
      </c>
      <c r="X126" t="str">
        <v>Home</v>
      </c>
      <c r="Y126" t="str">
        <v>OGDC</v>
      </c>
      <c r="Z126">
        <v>5.1252942050470809</v>
      </c>
    </row>
    <row r="127" spans="10:26" x14ac:dyDescent="0.35">
      <c r="J127" s="66">
        <v>5</v>
      </c>
      <c r="K127" t="s">
        <v>7</v>
      </c>
      <c r="L127" t="s">
        <v>163</v>
      </c>
      <c r="M127">
        <v>3.6</v>
      </c>
      <c r="N127" t="s">
        <v>9</v>
      </c>
      <c r="O127" t="s">
        <v>2</v>
      </c>
      <c r="P127">
        <f t="shared" si="12"/>
        <v>4.7248332661738726</v>
      </c>
      <c r="Q127">
        <f t="shared" si="11"/>
        <v>1.2652498766913818</v>
      </c>
      <c r="R127" s="67" cm="1">
        <f t="array" ref="R127">SUMPRODUCT((J127=$J$7:$J$1000)*(P127&lt;$P$7:$P$1000))+1</f>
        <v>7</v>
      </c>
      <c r="S127" s="72"/>
      <c r="T127">
        <v>15</v>
      </c>
      <c r="U127" t="str">
        <v>NEFJ</v>
      </c>
      <c r="V127" t="str">
        <v>Kyle Ciquera</v>
      </c>
      <c r="W127" t="str">
        <v>NULL</v>
      </c>
      <c r="X127" t="str">
        <v>Home</v>
      </c>
      <c r="Y127" t="str">
        <v>OGDC</v>
      </c>
      <c r="Z127">
        <v>2.2889149743557171</v>
      </c>
    </row>
    <row r="128" spans="10:26" x14ac:dyDescent="0.35">
      <c r="J128" s="66">
        <v>5</v>
      </c>
      <c r="K128" t="s">
        <v>4</v>
      </c>
      <c r="L128" t="s">
        <v>172</v>
      </c>
      <c r="M128">
        <v>3.4</v>
      </c>
      <c r="N128" t="s">
        <v>9</v>
      </c>
      <c r="O128" t="s">
        <v>23</v>
      </c>
      <c r="P128">
        <f t="shared" si="12"/>
        <v>2.5298434761127533</v>
      </c>
      <c r="Q128">
        <f t="shared" si="11"/>
        <v>0.75717237606353638</v>
      </c>
      <c r="R128" s="67" cm="1">
        <f t="array" ref="R128">SUMPRODUCT((J128=$J$7:$J$1000)*(P128&lt;$P$7:$P$1000))+1</f>
        <v>14</v>
      </c>
      <c r="S128" s="72"/>
      <c r="T128">
        <v>15</v>
      </c>
      <c r="U128" t="str">
        <v>NEFJ</v>
      </c>
      <c r="V128" t="str">
        <v>Malakai Hala-Ngatai</v>
      </c>
      <c r="W128" t="str">
        <v>NULL</v>
      </c>
      <c r="X128" t="str">
        <v>Home</v>
      </c>
      <c r="Y128" t="str">
        <v>OGDC</v>
      </c>
      <c r="Z128">
        <v>1.4310234205363468</v>
      </c>
    </row>
    <row r="129" spans="10:26" x14ac:dyDescent="0.35">
      <c r="J129" s="66">
        <v>5</v>
      </c>
      <c r="K129" t="s">
        <v>6</v>
      </c>
      <c r="L129" t="s">
        <v>503</v>
      </c>
      <c r="M129">
        <v>3.3</v>
      </c>
      <c r="N129" t="s">
        <v>3</v>
      </c>
      <c r="O129" t="s">
        <v>17</v>
      </c>
      <c r="P129">
        <f t="shared" si="12"/>
        <v>1.8161071500901327</v>
      </c>
      <c r="Q129">
        <f t="shared" si="11"/>
        <v>2.2019379900136276</v>
      </c>
      <c r="R129" s="67" cm="1">
        <f t="array" ref="R129">SUMPRODUCT((J129=$J$7:$J$1000)*(P129&lt;$P$7:$P$1000))+1</f>
        <v>18</v>
      </c>
      <c r="S129" s="72"/>
      <c r="T129">
        <v>15</v>
      </c>
      <c r="U129" t="str">
        <v>NEFJ</v>
      </c>
      <c r="V129" t="str">
        <v>Tevita Sole</v>
      </c>
      <c r="W129" t="str">
        <v>NULL</v>
      </c>
      <c r="X129" t="str">
        <v>Home</v>
      </c>
      <c r="Y129" t="str">
        <v>OGDC</v>
      </c>
      <c r="Z129">
        <v>1.5164985818013816</v>
      </c>
    </row>
    <row r="130" spans="10:26" x14ac:dyDescent="0.35">
      <c r="J130" s="65">
        <v>5</v>
      </c>
      <c r="K130" t="s">
        <v>4</v>
      </c>
      <c r="L130" t="s">
        <v>523</v>
      </c>
      <c r="M130">
        <v>3.3</v>
      </c>
      <c r="N130" t="s">
        <v>9</v>
      </c>
      <c r="O130" t="s">
        <v>23</v>
      </c>
      <c r="P130">
        <f t="shared" si="12"/>
        <v>2.3069072740886103</v>
      </c>
      <c r="Q130">
        <f t="shared" si="11"/>
        <v>0.98623316225811419</v>
      </c>
      <c r="R130" s="67" cm="1">
        <f t="array" ref="R130">SUMPRODUCT((J130=$J$7:$J$1000)*(P130&lt;$P$7:$P$1000))+1</f>
        <v>15</v>
      </c>
      <c r="S130" s="72"/>
      <c r="T130">
        <v>15</v>
      </c>
      <c r="U130" t="str">
        <v>NOLA</v>
      </c>
      <c r="V130" t="str">
        <v>Alex Lopeti</v>
      </c>
      <c r="W130" t="str">
        <v>NULL</v>
      </c>
      <c r="X130" t="str">
        <v>Home</v>
      </c>
      <c r="Y130" t="str">
        <v>UTAH</v>
      </c>
      <c r="Z130">
        <v>3.7910079207325618</v>
      </c>
    </row>
    <row r="131" spans="10:26" x14ac:dyDescent="0.35">
      <c r="J131" s="66">
        <v>5</v>
      </c>
      <c r="K131" t="s">
        <v>23</v>
      </c>
      <c r="L131" t="s">
        <v>144</v>
      </c>
      <c r="M131">
        <v>3.2</v>
      </c>
      <c r="N131" t="s">
        <v>3</v>
      </c>
      <c r="O131" t="s">
        <v>4</v>
      </c>
      <c r="P131">
        <f t="shared" si="12"/>
        <v>6.3175808269022635</v>
      </c>
      <c r="Q131">
        <f t="shared" si="11"/>
        <v>9.7193102122685993</v>
      </c>
      <c r="R131" s="67" cm="1">
        <f t="array" ref="R131">SUMPRODUCT((J131=$J$7:$J$1000)*(P131&lt;$P$7:$P$1000))+1</f>
        <v>2</v>
      </c>
      <c r="S131" s="72"/>
      <c r="T131">
        <v>15</v>
      </c>
      <c r="U131" t="str">
        <v>NOLA</v>
      </c>
      <c r="V131" t="str">
        <v>Bart Vermeulen</v>
      </c>
      <c r="W131" t="str">
        <v>NULL</v>
      </c>
      <c r="X131" t="str">
        <v>Home</v>
      </c>
      <c r="Y131" t="str">
        <v>UTAH</v>
      </c>
      <c r="Z131">
        <v>1.4258594683385524</v>
      </c>
    </row>
    <row r="132" spans="10:26" x14ac:dyDescent="0.35">
      <c r="J132" s="66">
        <v>5</v>
      </c>
      <c r="K132" t="s">
        <v>13</v>
      </c>
      <c r="L132" t="s">
        <v>524</v>
      </c>
      <c r="M132">
        <v>3.1</v>
      </c>
      <c r="N132" t="s">
        <v>9</v>
      </c>
      <c r="O132" t="s">
        <v>24</v>
      </c>
      <c r="P132">
        <f t="shared" si="12"/>
        <v>2.8006923615116373</v>
      </c>
      <c r="Q132">
        <f t="shared" si="11"/>
        <v>8.9585062457480505E-2</v>
      </c>
      <c r="R132" s="67" cm="1">
        <f t="array" ref="R132">SUMPRODUCT((J132=$J$7:$J$1000)*(P132&lt;$P$7:$P$1000))+1</f>
        <v>12</v>
      </c>
      <c r="S132" s="72"/>
      <c r="T132">
        <v>15</v>
      </c>
      <c r="U132" t="str">
        <v>NOLA</v>
      </c>
      <c r="V132" t="str">
        <v>Isaac Salmon</v>
      </c>
      <c r="W132" t="str">
        <v>NULL</v>
      </c>
      <c r="X132" t="str">
        <v>Home</v>
      </c>
      <c r="Y132" t="str">
        <v>UTAH</v>
      </c>
      <c r="Z132">
        <v>0.88218932042992337</v>
      </c>
    </row>
    <row r="133" spans="10:26" x14ac:dyDescent="0.35">
      <c r="J133" s="66">
        <v>5</v>
      </c>
      <c r="K133" t="s">
        <v>2</v>
      </c>
      <c r="L133" t="s">
        <v>174</v>
      </c>
      <c r="M133">
        <v>2.9</v>
      </c>
      <c r="N133" t="s">
        <v>3</v>
      </c>
      <c r="O133" t="s">
        <v>7</v>
      </c>
      <c r="P133">
        <f t="shared" si="12"/>
        <v>1.8622571394635719</v>
      </c>
      <c r="Q133">
        <f t="shared" si="11"/>
        <v>1.0769102445943284</v>
      </c>
      <c r="R133" s="67" cm="1">
        <f t="array" ref="R133">SUMPRODUCT((J133=$J$7:$J$1000)*(P133&lt;$P$7:$P$1000))+1</f>
        <v>17</v>
      </c>
      <c r="S133" s="72"/>
      <c r="T133">
        <v>15</v>
      </c>
      <c r="U133" t="str">
        <v>NOLA</v>
      </c>
      <c r="V133" t="str">
        <v>Joe Taufete'e</v>
      </c>
      <c r="W133" t="str">
        <v>NULL</v>
      </c>
      <c r="X133" t="str">
        <v>Home</v>
      </c>
      <c r="Y133" t="str">
        <v>UTAH</v>
      </c>
      <c r="Z133">
        <v>2.4638236754746465</v>
      </c>
    </row>
    <row r="134" spans="10:26" x14ac:dyDescent="0.35">
      <c r="J134" s="66">
        <v>5</v>
      </c>
      <c r="K134" t="s">
        <v>7</v>
      </c>
      <c r="L134" t="s">
        <v>525</v>
      </c>
      <c r="M134">
        <v>2.7</v>
      </c>
      <c r="N134" t="s">
        <v>9</v>
      </c>
      <c r="O134" t="s">
        <v>2</v>
      </c>
      <c r="P134">
        <f t="shared" si="12"/>
        <v>2.7059056514277677</v>
      </c>
      <c r="Q134">
        <f t="shared" si="11"/>
        <v>3.4876718786292967E-5</v>
      </c>
      <c r="R134" s="67" cm="1">
        <f t="array" ref="R134">SUMPRODUCT((J134=$J$7:$J$1000)*(P134&lt;$P$7:$P$1000))+1</f>
        <v>13</v>
      </c>
      <c r="S134" s="72"/>
      <c r="T134">
        <v>15</v>
      </c>
      <c r="U134" t="str">
        <v>NOLA</v>
      </c>
      <c r="V134" t="str">
        <v>Matt Harmon</v>
      </c>
      <c r="W134" t="str">
        <v>NULL</v>
      </c>
      <c r="X134" t="str">
        <v>Home</v>
      </c>
      <c r="Y134" t="str">
        <v>UTAH</v>
      </c>
      <c r="Z134">
        <v>1.1051255224540664</v>
      </c>
    </row>
    <row r="135" spans="10:26" x14ac:dyDescent="0.35">
      <c r="J135" s="66">
        <v>5</v>
      </c>
      <c r="K135" t="s">
        <v>6</v>
      </c>
      <c r="L135" t="s">
        <v>501</v>
      </c>
      <c r="M135">
        <v>2.6</v>
      </c>
      <c r="N135" t="s">
        <v>3</v>
      </c>
      <c r="O135" t="s">
        <v>17</v>
      </c>
      <c r="P135">
        <f t="shared" si="12"/>
        <v>4.4652302416170748</v>
      </c>
      <c r="Q135">
        <f t="shared" ref="Q135:Q198" si="17">IFERROR(($M135-$P135)^2,"")</f>
        <v>3.4790838542428908</v>
      </c>
      <c r="R135" s="67" cm="1">
        <f t="array" ref="R135">SUMPRODUCT((J135=$J$7:$J$1000)*(P135&lt;$P$7:$P$1000))+1</f>
        <v>9</v>
      </c>
      <c r="S135" s="72"/>
      <c r="T135">
        <v>15</v>
      </c>
      <c r="U135" t="str">
        <v>NOLA</v>
      </c>
      <c r="V135" t="str">
        <v>Pat O'Toole</v>
      </c>
      <c r="W135" t="str">
        <v>NULL</v>
      </c>
      <c r="X135" t="str">
        <v>Home</v>
      </c>
      <c r="Y135" t="str">
        <v>UTAH</v>
      </c>
      <c r="Z135">
        <v>9.7730169547693091</v>
      </c>
    </row>
    <row r="136" spans="10:26" x14ac:dyDescent="0.35">
      <c r="J136" s="66">
        <v>5</v>
      </c>
      <c r="K136" t="s">
        <v>13</v>
      </c>
      <c r="L136" t="s">
        <v>526</v>
      </c>
      <c r="M136">
        <v>2.4</v>
      </c>
      <c r="N136" t="s">
        <v>9</v>
      </c>
      <c r="O136" t="s">
        <v>24</v>
      </c>
      <c r="P136">
        <f t="shared" ref="P136:P199" si="18">VLOOKUP($N136,$F$3:$G$4,2,FALSE)+VLOOKUP($L136,$B$20:$C$150,2,FALSE)+VLOOKUP($O136,$A$6:$B$16,2,FALSE)</f>
        <v>1.2664040777676395</v>
      </c>
      <c r="Q136">
        <f t="shared" si="17"/>
        <v>1.2850397149018356</v>
      </c>
      <c r="R136" s="67" cm="1">
        <f t="array" ref="R136">SUMPRODUCT((J136=$J$7:$J$1000)*(P136&lt;$P$7:$P$1000))+1</f>
        <v>20</v>
      </c>
      <c r="S136" s="72"/>
      <c r="T136">
        <v>15</v>
      </c>
      <c r="U136" t="str">
        <v>NOLA</v>
      </c>
      <c r="V136" t="str">
        <v>Paul Mullen</v>
      </c>
      <c r="W136" t="str">
        <v>NULL</v>
      </c>
      <c r="X136" t="str">
        <v>Home</v>
      </c>
      <c r="Y136" t="str">
        <v>UTAH</v>
      </c>
      <c r="Z136">
        <v>1.9380171842196585</v>
      </c>
    </row>
    <row r="137" spans="10:26" x14ac:dyDescent="0.35">
      <c r="J137" s="66">
        <v>5</v>
      </c>
      <c r="K137" t="s">
        <v>2</v>
      </c>
      <c r="L137" t="s">
        <v>527</v>
      </c>
      <c r="M137">
        <v>1.9</v>
      </c>
      <c r="N137" t="s">
        <v>3</v>
      </c>
      <c r="O137" t="s">
        <v>7</v>
      </c>
      <c r="P137">
        <f t="shared" si="18"/>
        <v>5.419054008503899</v>
      </c>
      <c r="Q137">
        <f t="shared" si="17"/>
        <v>12.383741114767361</v>
      </c>
      <c r="R137" s="67" cm="1">
        <f t="array" ref="R137">SUMPRODUCT((J137=$J$7:$J$1000)*(P137&lt;$P$7:$P$1000))+1</f>
        <v>4</v>
      </c>
      <c r="S137" s="72"/>
      <c r="T137">
        <v>15</v>
      </c>
      <c r="U137" t="str">
        <v>NOLA</v>
      </c>
      <c r="V137" t="str">
        <v>Tyler Matchem</v>
      </c>
      <c r="W137" t="str">
        <v>NULL</v>
      </c>
      <c r="X137" t="str">
        <v>Home</v>
      </c>
      <c r="Y137" t="str">
        <v>UTAH</v>
      </c>
      <c r="Z137">
        <v>-0.40826550939723261</v>
      </c>
    </row>
    <row r="138" spans="10:26" x14ac:dyDescent="0.35">
      <c r="J138" s="66">
        <v>5</v>
      </c>
      <c r="K138" t="s">
        <v>17</v>
      </c>
      <c r="L138" t="s">
        <v>167</v>
      </c>
      <c r="M138">
        <v>1.8</v>
      </c>
      <c r="N138" t="s">
        <v>9</v>
      </c>
      <c r="O138" t="s">
        <v>6</v>
      </c>
      <c r="P138">
        <f t="shared" si="18"/>
        <v>3.2420338897745178</v>
      </c>
      <c r="Q138">
        <f t="shared" si="17"/>
        <v>2.079461739258226</v>
      </c>
      <c r="R138" s="67" cm="1">
        <f t="array" ref="R138">SUMPRODUCT((J138=$J$7:$J$1000)*(P138&lt;$P$7:$P$1000))+1</f>
        <v>11</v>
      </c>
      <c r="S138" s="72"/>
      <c r="T138">
        <v>15</v>
      </c>
      <c r="U138" t="str">
        <v>OGDC</v>
      </c>
      <c r="V138" t="str">
        <v>Cali Martinez</v>
      </c>
      <c r="W138" t="str">
        <v>NULL</v>
      </c>
      <c r="X138" t="str">
        <v>Away</v>
      </c>
      <c r="Y138" t="str">
        <v>NEFJ</v>
      </c>
      <c r="Z138">
        <v>3.4397027362574644</v>
      </c>
    </row>
    <row r="139" spans="10:26" x14ac:dyDescent="0.35">
      <c r="J139" s="66">
        <v>5</v>
      </c>
      <c r="K139" t="s">
        <v>24</v>
      </c>
      <c r="L139" t="s">
        <v>411</v>
      </c>
      <c r="M139">
        <v>1.7</v>
      </c>
      <c r="N139" t="s">
        <v>3</v>
      </c>
      <c r="O139" t="s">
        <v>13</v>
      </c>
      <c r="P139">
        <f t="shared" si="18"/>
        <v>1.6034829875283645</v>
      </c>
      <c r="Q139">
        <f t="shared" si="17"/>
        <v>9.3155336964498361E-3</v>
      </c>
      <c r="R139" s="67" cm="1">
        <f t="array" ref="R139">SUMPRODUCT((J139=$J$7:$J$1000)*(P139&lt;$P$7:$P$1000))+1</f>
        <v>19</v>
      </c>
      <c r="S139" s="72"/>
      <c r="T139">
        <v>15</v>
      </c>
      <c r="U139" t="str">
        <v>OGDC</v>
      </c>
      <c r="V139" t="str">
        <v>Facundo Gattas</v>
      </c>
      <c r="W139" t="str">
        <v>NULL</v>
      </c>
      <c r="X139" t="str">
        <v>Away</v>
      </c>
      <c r="Y139" t="str">
        <v>NEFJ</v>
      </c>
      <c r="Z139">
        <v>5.5442343227231961</v>
      </c>
    </row>
    <row r="140" spans="10:26" x14ac:dyDescent="0.35">
      <c r="J140" s="65">
        <v>5</v>
      </c>
      <c r="K140" t="s">
        <v>23</v>
      </c>
      <c r="L140" t="s">
        <v>505</v>
      </c>
      <c r="M140">
        <v>1.5</v>
      </c>
      <c r="N140" t="s">
        <v>3</v>
      </c>
      <c r="O140" t="s">
        <v>4</v>
      </c>
      <c r="P140">
        <f t="shared" si="18"/>
        <v>0.16927489649118127</v>
      </c>
      <c r="Q140">
        <f t="shared" si="17"/>
        <v>1.7708293011085565</v>
      </c>
      <c r="R140" s="67" cm="1">
        <f t="array" ref="R140">SUMPRODUCT((J140=$J$7:$J$1000)*(P140&lt;$P$7:$P$1000))+1</f>
        <v>21</v>
      </c>
      <c r="S140" s="72"/>
      <c r="T140">
        <v>15</v>
      </c>
      <c r="U140" t="str">
        <v>OGDC</v>
      </c>
      <c r="V140" t="str">
        <v>Jack Iscaro</v>
      </c>
      <c r="W140" t="str">
        <v>NULL</v>
      </c>
      <c r="X140" t="str">
        <v>Away</v>
      </c>
      <c r="Y140" t="str">
        <v>NEFJ</v>
      </c>
      <c r="Z140">
        <v>4.9803955888803459</v>
      </c>
    </row>
    <row r="141" spans="10:26" x14ac:dyDescent="0.35">
      <c r="J141" s="66">
        <v>5</v>
      </c>
      <c r="K141" t="s">
        <v>23</v>
      </c>
      <c r="L141" t="s">
        <v>252</v>
      </c>
      <c r="M141">
        <v>1.4</v>
      </c>
      <c r="N141" t="s">
        <v>3</v>
      </c>
      <c r="O141" t="s">
        <v>4</v>
      </c>
      <c r="P141">
        <f t="shared" si="18"/>
        <v>2.1409137752788463</v>
      </c>
      <c r="Q141">
        <f t="shared" si="17"/>
        <v>0.54895322239795286</v>
      </c>
      <c r="R141" s="67" cm="1">
        <f t="array" ref="R141">SUMPRODUCT((J141=$J$7:$J$1000)*(P141&lt;$P$7:$P$1000))+1</f>
        <v>16</v>
      </c>
      <c r="S141" s="72"/>
      <c r="T141">
        <v>15</v>
      </c>
      <c r="U141" t="str">
        <v>OGDC</v>
      </c>
      <c r="V141" t="str">
        <v>Joe Rees</v>
      </c>
      <c r="W141" t="str">
        <v>NULL</v>
      </c>
      <c r="X141" t="str">
        <v>Away</v>
      </c>
      <c r="Y141" t="str">
        <v>NEFJ</v>
      </c>
      <c r="Z141">
        <v>0.60591772018091328</v>
      </c>
    </row>
    <row r="142" spans="10:26" x14ac:dyDescent="0.35">
      <c r="J142" s="66">
        <v>5</v>
      </c>
      <c r="K142" t="s">
        <v>24</v>
      </c>
      <c r="L142" t="s">
        <v>482</v>
      </c>
      <c r="M142">
        <v>0.7</v>
      </c>
      <c r="N142" t="s">
        <v>3</v>
      </c>
      <c r="O142" t="s">
        <v>13</v>
      </c>
      <c r="P142">
        <f t="shared" si="18"/>
        <v>-0.61999318430868822</v>
      </c>
      <c r="Q142">
        <f t="shared" si="17"/>
        <v>1.7423820066213902</v>
      </c>
      <c r="R142" s="67" cm="1">
        <f t="array" ref="R142">SUMPRODUCT((J142=$J$7:$J$1000)*(P142&lt;$P$7:$P$1000))+1</f>
        <v>23</v>
      </c>
      <c r="S142" s="72"/>
      <c r="T142">
        <v>15</v>
      </c>
      <c r="U142" t="str">
        <v>OGDC</v>
      </c>
      <c r="V142" t="str">
        <v>Joe Wrafter</v>
      </c>
      <c r="W142" t="str">
        <v>NULL</v>
      </c>
      <c r="X142" t="str">
        <v>Away</v>
      </c>
      <c r="Y142" t="str">
        <v>NEFJ</v>
      </c>
      <c r="Z142">
        <v>-2.5809819942069252</v>
      </c>
    </row>
    <row r="143" spans="10:26" x14ac:dyDescent="0.35">
      <c r="J143" s="66">
        <v>5</v>
      </c>
      <c r="K143" t="s">
        <v>13</v>
      </c>
      <c r="L143" t="s">
        <v>528</v>
      </c>
      <c r="M143">
        <v>-2.5</v>
      </c>
      <c r="N143" t="s">
        <v>9</v>
      </c>
      <c r="O143" t="s">
        <v>24</v>
      </c>
      <c r="P143">
        <f t="shared" si="18"/>
        <v>-7.5525117359233618E-3</v>
      </c>
      <c r="Q143">
        <f t="shared" si="17"/>
        <v>6.2122944817539043</v>
      </c>
      <c r="R143" s="67" cm="1">
        <f t="array" ref="R143">SUMPRODUCT((J143=$J$7:$J$1000)*(P143&lt;$P$7:$P$1000))+1</f>
        <v>22</v>
      </c>
      <c r="S143" s="72"/>
      <c r="T143">
        <v>15</v>
      </c>
      <c r="U143" t="str">
        <v>OGDC</v>
      </c>
      <c r="V143" t="str">
        <v>KoiKoi Nelligan</v>
      </c>
      <c r="W143" t="str">
        <v>NULL</v>
      </c>
      <c r="X143" t="str">
        <v>Away</v>
      </c>
      <c r="Y143" t="str">
        <v>NEFJ</v>
      </c>
      <c r="Z143">
        <v>4.9633249210581525</v>
      </c>
    </row>
    <row r="144" spans="10:26" x14ac:dyDescent="0.35">
      <c r="J144" s="66">
        <v>5</v>
      </c>
      <c r="K144" t="s">
        <v>6</v>
      </c>
      <c r="L144" t="s">
        <v>152</v>
      </c>
      <c r="M144">
        <v>-3.1</v>
      </c>
      <c r="N144" t="s">
        <v>3</v>
      </c>
      <c r="O144" t="s">
        <v>17</v>
      </c>
      <c r="P144">
        <f t="shared" si="18"/>
        <v>-1.4047247122241697</v>
      </c>
      <c r="Q144">
        <f t="shared" si="17"/>
        <v>2.8739583013434244</v>
      </c>
      <c r="R144" s="67" cm="1">
        <f t="array" ref="R144">SUMPRODUCT((J144=$J$7:$J$1000)*(P144&lt;$P$7:$P$1000))+1</f>
        <v>24</v>
      </c>
      <c r="S144" s="72"/>
      <c r="T144">
        <v>15</v>
      </c>
      <c r="U144" t="str">
        <v>OGDC</v>
      </c>
      <c r="V144" t="str">
        <v>Martin Vaca</v>
      </c>
      <c r="W144" t="str">
        <v>NULL</v>
      </c>
      <c r="X144" t="str">
        <v>Away</v>
      </c>
      <c r="Y144" t="str">
        <v>NEFJ</v>
      </c>
      <c r="Z144">
        <v>7.8780164385164841</v>
      </c>
    </row>
    <row r="145" spans="10:26" x14ac:dyDescent="0.35">
      <c r="J145" s="66">
        <v>6</v>
      </c>
      <c r="K145" t="s">
        <v>13</v>
      </c>
      <c r="L145" t="s">
        <v>463</v>
      </c>
      <c r="M145">
        <v>13.3</v>
      </c>
      <c r="N145" t="s">
        <v>9</v>
      </c>
      <c r="O145" t="s">
        <v>17</v>
      </c>
      <c r="P145">
        <f t="shared" si="18"/>
        <v>8.619010106267762</v>
      </c>
      <c r="Q145">
        <f t="shared" si="17"/>
        <v>21.911666385223356</v>
      </c>
      <c r="R145" s="67" cm="1">
        <f t="array" ref="R145">SUMPRODUCT((J145=$J$7:$J$1000)*(P145&lt;$P$7:$P$1000))+1</f>
        <v>1</v>
      </c>
      <c r="S145" s="72"/>
      <c r="T145">
        <v>15</v>
      </c>
      <c r="U145" t="str">
        <v>OGDC</v>
      </c>
      <c r="V145" t="str">
        <v>Sam Davies</v>
      </c>
      <c r="W145" t="str">
        <v>NULL</v>
      </c>
      <c r="X145" t="str">
        <v>Away</v>
      </c>
      <c r="Y145" t="str">
        <v>NEFJ</v>
      </c>
      <c r="Z145">
        <v>2.9614679741342407</v>
      </c>
    </row>
    <row r="146" spans="10:26" x14ac:dyDescent="0.35">
      <c r="J146" s="66">
        <v>6</v>
      </c>
      <c r="K146" t="s">
        <v>4</v>
      </c>
      <c r="L146" t="s">
        <v>481</v>
      </c>
      <c r="M146">
        <v>12.2</v>
      </c>
      <c r="N146" t="s">
        <v>3</v>
      </c>
      <c r="O146" t="s">
        <v>6</v>
      </c>
      <c r="P146">
        <f t="shared" si="18"/>
        <v>5.5034077428435833</v>
      </c>
      <c r="Q146">
        <f t="shared" si="17"/>
        <v>44.844347858607264</v>
      </c>
      <c r="R146" s="67" cm="1">
        <f t="array" ref="R146">SUMPRODUCT((J146=$J$7:$J$1000)*(P146&lt;$P$7:$P$1000))+1</f>
        <v>5</v>
      </c>
      <c r="S146" s="72"/>
      <c r="T146">
        <v>15</v>
      </c>
      <c r="U146" t="str">
        <v>SEA</v>
      </c>
      <c r="V146" t="str">
        <v>Cameron Orr</v>
      </c>
      <c r="W146" t="str">
        <v>NULL</v>
      </c>
      <c r="X146" t="str">
        <v>Home</v>
      </c>
      <c r="Y146" t="str">
        <v>HOU</v>
      </c>
      <c r="Z146">
        <v>5.7826090947535835</v>
      </c>
    </row>
    <row r="147" spans="10:26" x14ac:dyDescent="0.35">
      <c r="J147" s="66">
        <v>6</v>
      </c>
      <c r="K147" t="s">
        <v>23</v>
      </c>
      <c r="L147" t="s">
        <v>144</v>
      </c>
      <c r="M147">
        <v>11.5</v>
      </c>
      <c r="N147" t="s">
        <v>9</v>
      </c>
      <c r="O147" t="s">
        <v>7</v>
      </c>
      <c r="P147">
        <f t="shared" si="18"/>
        <v>5.4548979812361162</v>
      </c>
      <c r="Q147">
        <f t="shared" si="17"/>
        <v>36.543258417263182</v>
      </c>
      <c r="R147" s="67" cm="1">
        <f t="array" ref="R147">SUMPRODUCT((J147=$J$7:$J$1000)*(P147&lt;$P$7:$P$1000))+1</f>
        <v>6</v>
      </c>
      <c r="S147" s="72"/>
      <c r="T147">
        <v>15</v>
      </c>
      <c r="U147" t="str">
        <v>SEA</v>
      </c>
      <c r="V147" t="str">
        <v>Dewald Kotze</v>
      </c>
      <c r="W147" t="str">
        <v>NULL</v>
      </c>
      <c r="X147" t="str">
        <v>Home</v>
      </c>
      <c r="Y147" t="str">
        <v>HOU</v>
      </c>
      <c r="Z147">
        <v>5.5111429937428191</v>
      </c>
    </row>
    <row r="148" spans="10:26" x14ac:dyDescent="0.35">
      <c r="J148" s="66">
        <v>6</v>
      </c>
      <c r="K148" t="s">
        <v>36</v>
      </c>
      <c r="L148" t="s">
        <v>283</v>
      </c>
      <c r="M148">
        <v>11.2</v>
      </c>
      <c r="N148" t="s">
        <v>9</v>
      </c>
      <c r="O148" t="s">
        <v>14</v>
      </c>
      <c r="P148">
        <f t="shared" si="18"/>
        <v>6.157757917494771</v>
      </c>
      <c r="Q148">
        <f t="shared" si="17"/>
        <v>25.42420521858666</v>
      </c>
      <c r="R148" s="67" cm="1">
        <f t="array" ref="R148">SUMPRODUCT((J148=$J$7:$J$1000)*(P148&lt;$P$7:$P$1000))+1</f>
        <v>3</v>
      </c>
      <c r="S148" s="72"/>
      <c r="T148">
        <v>15</v>
      </c>
      <c r="U148" t="str">
        <v>SEA</v>
      </c>
      <c r="V148" t="str">
        <v>Juan Pablo Zeiss</v>
      </c>
      <c r="W148" t="str">
        <v>NULL</v>
      </c>
      <c r="X148" t="str">
        <v>Home</v>
      </c>
      <c r="Y148" t="str">
        <v>HOU</v>
      </c>
      <c r="Z148">
        <v>3.1824202508482173</v>
      </c>
    </row>
    <row r="149" spans="10:26" x14ac:dyDescent="0.35">
      <c r="J149" s="66">
        <v>6</v>
      </c>
      <c r="K149" t="s">
        <v>14</v>
      </c>
      <c r="L149" t="s">
        <v>181</v>
      </c>
      <c r="M149">
        <v>8.1</v>
      </c>
      <c r="N149" t="s">
        <v>3</v>
      </c>
      <c r="O149" t="s">
        <v>36</v>
      </c>
      <c r="P149">
        <f t="shared" si="18"/>
        <v>5.2826823412189698</v>
      </c>
      <c r="Q149">
        <f t="shared" si="17"/>
        <v>7.9372787904794233</v>
      </c>
      <c r="R149" s="67" cm="1">
        <f t="array" ref="R149">SUMPRODUCT((J149=$J$7:$J$1000)*(P149&lt;$P$7:$P$1000))+1</f>
        <v>8</v>
      </c>
      <c r="S149" s="72"/>
      <c r="T149">
        <v>15</v>
      </c>
      <c r="U149" t="str">
        <v>SEA</v>
      </c>
      <c r="V149" t="str">
        <v>Kerron van Vuuren</v>
      </c>
      <c r="W149" t="str">
        <v>NULL</v>
      </c>
      <c r="X149" t="str">
        <v>Home</v>
      </c>
      <c r="Y149" t="str">
        <v>HOU</v>
      </c>
      <c r="Z149">
        <v>4.7558551787687877</v>
      </c>
    </row>
    <row r="150" spans="10:26" x14ac:dyDescent="0.35">
      <c r="J150" s="66">
        <v>6</v>
      </c>
      <c r="K150" t="s">
        <v>7</v>
      </c>
      <c r="L150" t="s">
        <v>148</v>
      </c>
      <c r="M150">
        <v>5.6</v>
      </c>
      <c r="N150" t="s">
        <v>3</v>
      </c>
      <c r="O150" t="s">
        <v>23</v>
      </c>
      <c r="P150">
        <f t="shared" si="18"/>
        <v>3.5924952271811135</v>
      </c>
      <c r="Q150">
        <f t="shared" si="17"/>
        <v>4.030075412890608</v>
      </c>
      <c r="R150" s="67" cm="1">
        <f t="array" ref="R150">SUMPRODUCT((J150=$J$7:$J$1000)*(P150&lt;$P$7:$P$1000))+1</f>
        <v>18</v>
      </c>
      <c r="S150" s="72"/>
      <c r="T150">
        <v>15</v>
      </c>
      <c r="U150" t="str">
        <v>SEA</v>
      </c>
      <c r="V150" t="str">
        <v>Mason Pedersen</v>
      </c>
      <c r="W150" t="str">
        <v>NULL</v>
      </c>
      <c r="X150" t="str">
        <v>Home</v>
      </c>
      <c r="Y150" t="str">
        <v>HOU</v>
      </c>
      <c r="Z150">
        <v>5.2331103541075548</v>
      </c>
    </row>
    <row r="151" spans="10:26" x14ac:dyDescent="0.35">
      <c r="J151" s="66">
        <v>6</v>
      </c>
      <c r="K151" t="s">
        <v>17</v>
      </c>
      <c r="L151" t="s">
        <v>149</v>
      </c>
      <c r="M151">
        <v>4.7</v>
      </c>
      <c r="N151" t="s">
        <v>3</v>
      </c>
      <c r="O151" t="s">
        <v>13</v>
      </c>
      <c r="P151">
        <f t="shared" si="18"/>
        <v>4.282615402492512</v>
      </c>
      <c r="Q151">
        <f t="shared" si="17"/>
        <v>0.17420990223648786</v>
      </c>
      <c r="R151" s="67" cm="1">
        <f t="array" ref="R151">SUMPRODUCT((J151=$J$7:$J$1000)*(P151&lt;$P$7:$P$1000))+1</f>
        <v>14</v>
      </c>
      <c r="S151" s="72"/>
      <c r="T151">
        <v>15</v>
      </c>
      <c r="U151" t="str">
        <v>UTAH</v>
      </c>
      <c r="V151" t="str">
        <v>Aki Seiuli</v>
      </c>
      <c r="W151" t="str">
        <v>NULL</v>
      </c>
      <c r="X151" t="str">
        <v>Away</v>
      </c>
      <c r="Y151" t="str">
        <v>NOLA</v>
      </c>
      <c r="Z151">
        <v>6.0283604419442911</v>
      </c>
    </row>
    <row r="152" spans="10:26" x14ac:dyDescent="0.35">
      <c r="J152" s="66">
        <v>6</v>
      </c>
      <c r="K152" t="s">
        <v>14</v>
      </c>
      <c r="L152" t="s">
        <v>143</v>
      </c>
      <c r="M152">
        <v>4.5</v>
      </c>
      <c r="N152" t="s">
        <v>3</v>
      </c>
      <c r="O152" t="s">
        <v>36</v>
      </c>
      <c r="P152">
        <f t="shared" si="18"/>
        <v>3.6732157262796563</v>
      </c>
      <c r="Q152">
        <f t="shared" si="17"/>
        <v>0.6835722352712762</v>
      </c>
      <c r="R152" s="67" cm="1">
        <f t="array" ref="R152">SUMPRODUCT((J152=$J$7:$J$1000)*(P152&lt;$P$7:$P$1000))+1</f>
        <v>15</v>
      </c>
      <c r="S152" s="72"/>
      <c r="T152">
        <v>15</v>
      </c>
      <c r="U152" t="str">
        <v>UTAH</v>
      </c>
      <c r="V152" t="str">
        <v>Angus MacLellan</v>
      </c>
      <c r="W152" t="str">
        <v>NULL</v>
      </c>
      <c r="X152" t="str">
        <v>Away</v>
      </c>
      <c r="Y152" t="str">
        <v>NOLA</v>
      </c>
      <c r="Z152">
        <v>2.1617644245687599</v>
      </c>
    </row>
    <row r="153" spans="10:26" x14ac:dyDescent="0.35">
      <c r="J153" s="66">
        <v>6</v>
      </c>
      <c r="K153" t="s">
        <v>13</v>
      </c>
      <c r="L153" t="s">
        <v>467</v>
      </c>
      <c r="M153">
        <v>4.4000000000000004</v>
      </c>
      <c r="N153" t="s">
        <v>9</v>
      </c>
      <c r="O153" t="s">
        <v>17</v>
      </c>
      <c r="P153">
        <f t="shared" si="18"/>
        <v>2.8079534542738704</v>
      </c>
      <c r="Q153">
        <f t="shared" si="17"/>
        <v>2.5346122037585022</v>
      </c>
      <c r="R153" s="67" cm="1">
        <f t="array" ref="R153">SUMPRODUCT((J153=$J$7:$J$1000)*(P153&lt;$P$7:$P$1000))+1</f>
        <v>23</v>
      </c>
      <c r="S153" s="72"/>
      <c r="T153">
        <v>15</v>
      </c>
      <c r="U153" t="str">
        <v>UTAH</v>
      </c>
      <c r="V153" t="str">
        <v>Emerson Prior</v>
      </c>
      <c r="W153" t="str">
        <v>NULL</v>
      </c>
      <c r="X153" t="str">
        <v>Away</v>
      </c>
      <c r="Y153" t="str">
        <v>NOLA</v>
      </c>
      <c r="Z153">
        <v>3.1122138067454421</v>
      </c>
    </row>
    <row r="154" spans="10:26" x14ac:dyDescent="0.35">
      <c r="J154" s="66">
        <v>6</v>
      </c>
      <c r="K154" t="s">
        <v>6</v>
      </c>
      <c r="L154" t="s">
        <v>416</v>
      </c>
      <c r="M154">
        <v>4.2</v>
      </c>
      <c r="N154" t="s">
        <v>9</v>
      </c>
      <c r="O154" t="s">
        <v>4</v>
      </c>
      <c r="P154">
        <f t="shared" si="18"/>
        <v>3.4743266985125212</v>
      </c>
      <c r="Q154">
        <f t="shared" si="17"/>
        <v>0.52660174049173758</v>
      </c>
      <c r="R154" s="67" cm="1">
        <f t="array" ref="R154">SUMPRODUCT((J154=$J$7:$J$1000)*(P154&lt;$P$7:$P$1000))+1</f>
        <v>19</v>
      </c>
      <c r="S154" s="72"/>
      <c r="T154">
        <v>15</v>
      </c>
      <c r="U154" t="str">
        <v>UTAH</v>
      </c>
      <c r="V154" t="str">
        <v>Fred Apulu</v>
      </c>
      <c r="W154" t="str">
        <v>NULL</v>
      </c>
      <c r="X154" t="str">
        <v>Away</v>
      </c>
      <c r="Y154" t="str">
        <v>NOLA</v>
      </c>
      <c r="Z154">
        <v>3.1351149532244089</v>
      </c>
    </row>
    <row r="155" spans="10:26" x14ac:dyDescent="0.35">
      <c r="J155" s="66">
        <v>6</v>
      </c>
      <c r="K155" t="s">
        <v>13</v>
      </c>
      <c r="L155" t="s">
        <v>464</v>
      </c>
      <c r="M155">
        <v>3.7</v>
      </c>
      <c r="N155" t="s">
        <v>9</v>
      </c>
      <c r="O155" t="s">
        <v>17</v>
      </c>
      <c r="P155">
        <f t="shared" si="18"/>
        <v>5.4301360708454096</v>
      </c>
      <c r="Q155">
        <f t="shared" si="17"/>
        <v>2.9933708236403915</v>
      </c>
      <c r="R155" s="67" cm="1">
        <f t="array" ref="R155">SUMPRODUCT((J155=$J$7:$J$1000)*(P155&lt;$P$7:$P$1000))+1</f>
        <v>7</v>
      </c>
      <c r="S155" s="72"/>
      <c r="T155">
        <v>15</v>
      </c>
      <c r="U155" t="str">
        <v>UTAH</v>
      </c>
      <c r="V155" t="str">
        <v>Liam Coltman</v>
      </c>
      <c r="W155" t="str">
        <v>NULL</v>
      </c>
      <c r="X155" t="str">
        <v>Away</v>
      </c>
      <c r="Y155" t="str">
        <v>NOLA</v>
      </c>
      <c r="Z155">
        <v>9.2172344773666453</v>
      </c>
    </row>
    <row r="156" spans="10:26" x14ac:dyDescent="0.35">
      <c r="J156" s="66">
        <v>6</v>
      </c>
      <c r="K156" t="s">
        <v>6</v>
      </c>
      <c r="L156" t="s">
        <v>503</v>
      </c>
      <c r="M156">
        <v>3.5</v>
      </c>
      <c r="N156" t="s">
        <v>9</v>
      </c>
      <c r="O156" t="s">
        <v>4</v>
      </c>
      <c r="P156">
        <f t="shared" si="18"/>
        <v>2.2615390302653657</v>
      </c>
      <c r="Q156">
        <f t="shared" si="17"/>
        <v>1.5337855735560506</v>
      </c>
      <c r="R156" s="67" cm="1">
        <f t="array" ref="R156">SUMPRODUCT((J156=$J$7:$J$1000)*(P156&lt;$P$7:$P$1000))+1</f>
        <v>24</v>
      </c>
      <c r="S156" s="72"/>
      <c r="T156">
        <v>15</v>
      </c>
      <c r="U156" t="str">
        <v>UTAH</v>
      </c>
      <c r="V156" t="str">
        <v>Phil Bradford</v>
      </c>
      <c r="W156" t="str">
        <v>NULL</v>
      </c>
      <c r="X156" t="str">
        <v>Away</v>
      </c>
      <c r="Y156" t="str">
        <v>NOLA</v>
      </c>
      <c r="Z156">
        <v>7.7441409289574663</v>
      </c>
    </row>
    <row r="157" spans="10:26" x14ac:dyDescent="0.35">
      <c r="J157" s="66">
        <v>6</v>
      </c>
      <c r="K157" t="s">
        <v>24</v>
      </c>
      <c r="L157" t="s">
        <v>179</v>
      </c>
      <c r="M157">
        <v>3.5</v>
      </c>
      <c r="N157" t="s">
        <v>9</v>
      </c>
      <c r="O157" t="s">
        <v>34</v>
      </c>
      <c r="P157">
        <f t="shared" si="18"/>
        <v>4.6253496720494578</v>
      </c>
      <c r="Q157">
        <f t="shared" si="17"/>
        <v>1.2664118843818222</v>
      </c>
      <c r="R157" s="67" cm="1">
        <f t="array" ref="R157">SUMPRODUCT((J157=$J$7:$J$1000)*(P157&lt;$P$7:$P$1000))+1</f>
        <v>11</v>
      </c>
      <c r="S157" s="72"/>
      <c r="T157">
        <v>15</v>
      </c>
      <c r="U157" t="str">
        <v>UTAH</v>
      </c>
      <c r="V157" t="str">
        <v>Remsy Lemisio</v>
      </c>
      <c r="W157" t="str">
        <v>NULL</v>
      </c>
      <c r="X157" t="str">
        <v>Away</v>
      </c>
      <c r="Y157" t="str">
        <v>NOLA</v>
      </c>
      <c r="Z157">
        <v>1.6008266694804112</v>
      </c>
    </row>
    <row r="158" spans="10:26" x14ac:dyDescent="0.35">
      <c r="J158" s="66">
        <v>6</v>
      </c>
      <c r="K158" t="s">
        <v>36</v>
      </c>
      <c r="L158" t="s">
        <v>157</v>
      </c>
      <c r="M158">
        <v>3.2</v>
      </c>
      <c r="N158" t="s">
        <v>9</v>
      </c>
      <c r="O158" t="s">
        <v>14</v>
      </c>
      <c r="P158">
        <f t="shared" si="18"/>
        <v>4.5324437570308493</v>
      </c>
      <c r="Q158">
        <f t="shared" si="17"/>
        <v>1.7754063656504846</v>
      </c>
      <c r="R158" s="67" cm="1">
        <f t="array" ref="R158">SUMPRODUCT((J158=$J$7:$J$1000)*(P158&lt;$P$7:$P$1000))+1</f>
        <v>12</v>
      </c>
      <c r="S158" s="72"/>
      <c r="T158">
        <v>15</v>
      </c>
      <c r="U158" t="str">
        <v>UTAH</v>
      </c>
      <c r="V158" t="str">
        <v>Tonga Kofe</v>
      </c>
      <c r="W158" t="str">
        <v>NULL</v>
      </c>
      <c r="X158" t="str">
        <v>Away</v>
      </c>
      <c r="Y158" t="str">
        <v>NOLA</v>
      </c>
      <c r="Z158">
        <v>3.4061778253727524</v>
      </c>
    </row>
    <row r="159" spans="10:26" x14ac:dyDescent="0.35">
      <c r="J159" s="66">
        <v>6</v>
      </c>
      <c r="K159" t="s">
        <v>4</v>
      </c>
      <c r="L159" t="s">
        <v>172</v>
      </c>
      <c r="M159">
        <v>3.1</v>
      </c>
      <c r="N159" t="s">
        <v>3</v>
      </c>
      <c r="O159" t="s">
        <v>6</v>
      </c>
      <c r="P159">
        <f t="shared" si="18"/>
        <v>2.8175253445650874</v>
      </c>
      <c r="Q159">
        <f t="shared" si="17"/>
        <v>7.9791930963072646E-2</v>
      </c>
      <c r="R159" s="67" cm="1">
        <f t="array" ref="R159">SUMPRODUCT((J159=$J$7:$J$1000)*(P159&lt;$P$7:$P$1000))+1</f>
        <v>22</v>
      </c>
      <c r="S159" s="72"/>
      <c r="T159">
        <v>15</v>
      </c>
      <c r="U159" t="str">
        <v>UTAH</v>
      </c>
      <c r="V159" t="str">
        <v>Tuvere Vugakoto</v>
      </c>
      <c r="W159" t="str">
        <v>NULL</v>
      </c>
      <c r="X159" t="str">
        <v>Away</v>
      </c>
      <c r="Y159" t="str">
        <v>NOLA</v>
      </c>
      <c r="Z159">
        <v>0.32687007997684825</v>
      </c>
    </row>
    <row r="160" spans="10:26" x14ac:dyDescent="0.35">
      <c r="J160" s="66">
        <v>6</v>
      </c>
      <c r="K160" t="s">
        <v>7</v>
      </c>
      <c r="L160" t="s">
        <v>163</v>
      </c>
      <c r="M160">
        <v>3.1</v>
      </c>
      <c r="N160" t="s">
        <v>3</v>
      </c>
      <c r="O160" t="s">
        <v>23</v>
      </c>
      <c r="P160">
        <f t="shared" si="18"/>
        <v>5.1331880798039942</v>
      </c>
      <c r="Q160">
        <f t="shared" si="17"/>
        <v>4.1338537678570528</v>
      </c>
      <c r="R160" s="67" cm="1">
        <f t="array" ref="R160">SUMPRODUCT((J160=$J$7:$J$1000)*(P160&lt;$P$7:$P$1000))+1</f>
        <v>9</v>
      </c>
      <c r="S160" s="72"/>
      <c r="T160">
        <v>16</v>
      </c>
      <c r="U160" t="str">
        <v>ARC</v>
      </c>
      <c r="V160" t="str">
        <v>Alex Maughan</v>
      </c>
      <c r="W160" t="str">
        <v>NULL</v>
      </c>
      <c r="X160" t="str">
        <v>Away</v>
      </c>
      <c r="Y160" t="str">
        <v>UTAH</v>
      </c>
      <c r="Z160">
        <v>2.0204295430949357</v>
      </c>
    </row>
    <row r="161" spans="10:26" x14ac:dyDescent="0.35">
      <c r="J161" s="66">
        <v>6</v>
      </c>
      <c r="K161" t="s">
        <v>4</v>
      </c>
      <c r="L161" t="s">
        <v>176</v>
      </c>
      <c r="M161">
        <v>3</v>
      </c>
      <c r="N161" t="s">
        <v>3</v>
      </c>
      <c r="O161" t="s">
        <v>6</v>
      </c>
      <c r="P161">
        <f t="shared" si="18"/>
        <v>3.6504170063306796</v>
      </c>
      <c r="Q161">
        <f t="shared" si="17"/>
        <v>0.42304228212416323</v>
      </c>
      <c r="R161" s="67" cm="1">
        <f t="array" ref="R161">SUMPRODUCT((J161=$J$7:$J$1000)*(P161&lt;$P$7:$P$1000))+1</f>
        <v>16</v>
      </c>
      <c r="S161" s="72"/>
      <c r="T161">
        <v>16</v>
      </c>
      <c r="U161" t="str">
        <v>ARC</v>
      </c>
      <c r="V161" t="str">
        <v>Alexander Hernandez</v>
      </c>
      <c r="W161" t="str">
        <v>NULL</v>
      </c>
      <c r="X161" t="str">
        <v>Away</v>
      </c>
      <c r="Y161" t="str">
        <v>UTAH</v>
      </c>
      <c r="Z161">
        <v>0.48751349918031672</v>
      </c>
    </row>
    <row r="162" spans="10:26" x14ac:dyDescent="0.35">
      <c r="J162" s="66">
        <v>6</v>
      </c>
      <c r="K162" t="s">
        <v>34</v>
      </c>
      <c r="L162" t="s">
        <v>177</v>
      </c>
      <c r="M162">
        <v>3</v>
      </c>
      <c r="N162" t="s">
        <v>3</v>
      </c>
      <c r="O162" t="s">
        <v>24</v>
      </c>
      <c r="P162">
        <f t="shared" si="18"/>
        <v>4.4158734149022179</v>
      </c>
      <c r="Q162">
        <f t="shared" si="17"/>
        <v>2.0046975270268681</v>
      </c>
      <c r="R162" s="67" cm="1">
        <f t="array" ref="R162">SUMPRODUCT((J162=$J$7:$J$1000)*(P162&lt;$P$7:$P$1000))+1</f>
        <v>13</v>
      </c>
      <c r="S162" s="72"/>
      <c r="T162">
        <v>16</v>
      </c>
      <c r="U162" t="str">
        <v>ARC</v>
      </c>
      <c r="V162" t="str">
        <v>Connor Robinson</v>
      </c>
      <c r="W162" t="str">
        <v>NULL</v>
      </c>
      <c r="X162" t="str">
        <v>Away</v>
      </c>
      <c r="Y162" t="str">
        <v>UTAH</v>
      </c>
      <c r="Z162">
        <v>4.1552454361758908</v>
      </c>
    </row>
    <row r="163" spans="10:26" x14ac:dyDescent="0.35">
      <c r="J163" s="66">
        <v>6</v>
      </c>
      <c r="K163" t="s">
        <v>7</v>
      </c>
      <c r="L163" t="s">
        <v>158</v>
      </c>
      <c r="M163">
        <v>2.5</v>
      </c>
      <c r="N163" t="s">
        <v>3</v>
      </c>
      <c r="O163" t="s">
        <v>23</v>
      </c>
      <c r="P163">
        <f t="shared" si="18"/>
        <v>5.6970268136468443</v>
      </c>
      <c r="Q163">
        <f t="shared" si="17"/>
        <v>10.220980447176894</v>
      </c>
      <c r="R163" s="67" cm="1">
        <f t="array" ref="R163">SUMPRODUCT((J163=$J$7:$J$1000)*(P163&lt;$P$7:$P$1000))+1</f>
        <v>4</v>
      </c>
      <c r="S163" s="72"/>
      <c r="T163">
        <v>16</v>
      </c>
      <c r="U163" t="str">
        <v>ARC</v>
      </c>
      <c r="V163" t="str">
        <v>Dan Hanson</v>
      </c>
      <c r="W163" t="str">
        <v>NULL</v>
      </c>
      <c r="X163" t="str">
        <v>Away</v>
      </c>
      <c r="Y163" t="str">
        <v>UTAH</v>
      </c>
      <c r="Z163">
        <v>0.57156685555922682</v>
      </c>
    </row>
    <row r="164" spans="10:26" x14ac:dyDescent="0.35">
      <c r="J164" s="66">
        <v>6</v>
      </c>
      <c r="K164" t="s">
        <v>23</v>
      </c>
      <c r="L164" t="s">
        <v>252</v>
      </c>
      <c r="M164">
        <v>2.4</v>
      </c>
      <c r="N164" t="s">
        <v>9</v>
      </c>
      <c r="O164" t="s">
        <v>7</v>
      </c>
      <c r="P164">
        <f t="shared" si="18"/>
        <v>1.2782309296126977</v>
      </c>
      <c r="Q164">
        <f t="shared" si="17"/>
        <v>1.2583658472775923</v>
      </c>
      <c r="R164" s="67" cm="1">
        <f t="array" ref="R164">SUMPRODUCT((J164=$J$7:$J$1000)*(P164&lt;$P$7:$P$1000))+1</f>
        <v>28</v>
      </c>
      <c r="S164" s="72"/>
      <c r="T164">
        <v>16</v>
      </c>
      <c r="U164" t="str">
        <v>ARC</v>
      </c>
      <c r="V164" t="str">
        <v>Ethan Howard</v>
      </c>
      <c r="W164" t="str">
        <v>NULL</v>
      </c>
      <c r="X164" t="str">
        <v>Away</v>
      </c>
      <c r="Y164" t="str">
        <v>UTAH</v>
      </c>
      <c r="Z164">
        <v>4.411677191489626</v>
      </c>
    </row>
    <row r="165" spans="10:26" x14ac:dyDescent="0.35">
      <c r="J165" s="66">
        <v>6</v>
      </c>
      <c r="K165" t="s">
        <v>34</v>
      </c>
      <c r="L165" t="s">
        <v>161</v>
      </c>
      <c r="M165">
        <v>2.2000000000000002</v>
      </c>
      <c r="N165" t="s">
        <v>3</v>
      </c>
      <c r="O165" t="s">
        <v>24</v>
      </c>
      <c r="P165">
        <f t="shared" si="18"/>
        <v>7.2215466814910432</v>
      </c>
      <c r="Q165">
        <f t="shared" si="17"/>
        <v>25.215931074393705</v>
      </c>
      <c r="R165" s="67" cm="1">
        <f t="array" ref="R165">SUMPRODUCT((J165=$J$7:$J$1000)*(P165&lt;$P$7:$P$1000))+1</f>
        <v>2</v>
      </c>
      <c r="S165" s="72"/>
      <c r="T165">
        <v>16</v>
      </c>
      <c r="U165" t="str">
        <v>ARC</v>
      </c>
      <c r="V165" t="str">
        <v>Jake Turnbull</v>
      </c>
      <c r="W165" t="str">
        <v>NULL</v>
      </c>
      <c r="X165" t="str">
        <v>Away</v>
      </c>
      <c r="Y165" t="str">
        <v>UTAH</v>
      </c>
      <c r="Z165">
        <v>2.2138775288254982</v>
      </c>
    </row>
    <row r="166" spans="10:26" x14ac:dyDescent="0.35">
      <c r="J166" s="66">
        <v>6</v>
      </c>
      <c r="K166" t="s">
        <v>34</v>
      </c>
      <c r="L166" t="s">
        <v>545</v>
      </c>
      <c r="M166">
        <v>2.1</v>
      </c>
      <c r="N166" t="s">
        <v>3</v>
      </c>
      <c r="O166" t="s">
        <v>24</v>
      </c>
      <c r="P166">
        <f t="shared" si="18"/>
        <v>3.1087155865315763</v>
      </c>
      <c r="Q166">
        <f t="shared" si="17"/>
        <v>1.0175071345117419</v>
      </c>
      <c r="R166" s="67" cm="1">
        <f t="array" ref="R166">SUMPRODUCT((J166=$J$7:$J$1000)*(P166&lt;$P$7:$P$1000))+1</f>
        <v>21</v>
      </c>
      <c r="S166" s="72"/>
      <c r="T166">
        <v>16</v>
      </c>
      <c r="U166" t="str">
        <v>ARC</v>
      </c>
      <c r="V166" t="str">
        <v>Joe Apikotoa</v>
      </c>
      <c r="W166" t="str">
        <v>NULL</v>
      </c>
      <c r="X166" t="str">
        <v>Away</v>
      </c>
      <c r="Y166" t="str">
        <v>UTAH</v>
      </c>
      <c r="Z166">
        <v>3.6298961580342501</v>
      </c>
    </row>
    <row r="167" spans="10:26" x14ac:dyDescent="0.35">
      <c r="J167" s="66">
        <v>6</v>
      </c>
      <c r="K167" t="s">
        <v>14</v>
      </c>
      <c r="L167" t="s">
        <v>553</v>
      </c>
      <c r="M167">
        <v>2</v>
      </c>
      <c r="N167" t="s">
        <v>3</v>
      </c>
      <c r="O167" t="s">
        <v>36</v>
      </c>
      <c r="P167">
        <f t="shared" si="18"/>
        <v>2.2243530387439474</v>
      </c>
      <c r="Q167">
        <f t="shared" si="17"/>
        <v>5.0334285993643167E-2</v>
      </c>
      <c r="R167" s="67" cm="1">
        <f t="array" ref="R167">SUMPRODUCT((J167=$J$7:$J$1000)*(P167&lt;$P$7:$P$1000))+1</f>
        <v>25</v>
      </c>
      <c r="S167" s="72"/>
      <c r="T167">
        <v>16</v>
      </c>
      <c r="U167" t="str">
        <v>ARC</v>
      </c>
      <c r="V167" t="str">
        <v>Stephan Bernal-Wendt</v>
      </c>
      <c r="W167" t="str">
        <v>NULL</v>
      </c>
      <c r="X167" t="str">
        <v>Away</v>
      </c>
      <c r="Y167" t="str">
        <v>UTAH</v>
      </c>
      <c r="Z167">
        <v>1.5598391965815543</v>
      </c>
    </row>
    <row r="168" spans="10:26" x14ac:dyDescent="0.35">
      <c r="J168" s="66">
        <v>6</v>
      </c>
      <c r="K168" t="s">
        <v>24</v>
      </c>
      <c r="L168" t="s">
        <v>142</v>
      </c>
      <c r="M168">
        <v>1.8</v>
      </c>
      <c r="N168" t="s">
        <v>9</v>
      </c>
      <c r="O168" t="s">
        <v>34</v>
      </c>
      <c r="P168">
        <f t="shared" si="18"/>
        <v>1.1219937736756744</v>
      </c>
      <c r="Q168">
        <f t="shared" si="17"/>
        <v>0.45969244293455264</v>
      </c>
      <c r="R168" s="67" cm="1">
        <f t="array" ref="R168">SUMPRODUCT((J168=$J$7:$J$1000)*(P168&lt;$P$7:$P$1000))+1</f>
        <v>29</v>
      </c>
      <c r="S168" s="72"/>
      <c r="T168">
        <v>16</v>
      </c>
      <c r="U168" t="str">
        <v>CHI</v>
      </c>
      <c r="V168" t="str">
        <v>Charlie Abel</v>
      </c>
      <c r="W168" t="str">
        <v>NULL</v>
      </c>
      <c r="X168" t="str">
        <v>Home</v>
      </c>
      <c r="Y168" t="str">
        <v>NOLA</v>
      </c>
      <c r="Z168">
        <v>3.8034362463025677</v>
      </c>
    </row>
    <row r="169" spans="10:26" x14ac:dyDescent="0.35">
      <c r="J169" s="66">
        <v>6</v>
      </c>
      <c r="K169" t="s">
        <v>36</v>
      </c>
      <c r="L169" t="s">
        <v>415</v>
      </c>
      <c r="M169">
        <v>1.6</v>
      </c>
      <c r="N169" t="s">
        <v>9</v>
      </c>
      <c r="O169" t="s">
        <v>14</v>
      </c>
      <c r="P169">
        <f t="shared" si="18"/>
        <v>3.6495286555376518</v>
      </c>
      <c r="Q169">
        <f t="shared" si="17"/>
        <v>4.2005677098699739</v>
      </c>
      <c r="R169" s="67" cm="1">
        <f t="array" ref="R169">SUMPRODUCT((J169=$J$7:$J$1000)*(P169&lt;$P$7:$P$1000))+1</f>
        <v>17</v>
      </c>
      <c r="S169" s="72"/>
      <c r="T169">
        <v>16</v>
      </c>
      <c r="U169" t="str">
        <v>CHI</v>
      </c>
      <c r="V169" t="str">
        <v>Dylan Fawsitt</v>
      </c>
      <c r="W169" t="str">
        <v>NULL</v>
      </c>
      <c r="X169" t="str">
        <v>Home</v>
      </c>
      <c r="Y169" t="str">
        <v>NOLA</v>
      </c>
      <c r="Z169">
        <v>7.9499803846432524</v>
      </c>
    </row>
    <row r="170" spans="10:26" x14ac:dyDescent="0.35">
      <c r="J170" s="66">
        <v>6</v>
      </c>
      <c r="K170" t="s">
        <v>17</v>
      </c>
      <c r="L170" t="s">
        <v>480</v>
      </c>
      <c r="M170">
        <v>1.5</v>
      </c>
      <c r="N170" t="s">
        <v>3</v>
      </c>
      <c r="O170" t="s">
        <v>13</v>
      </c>
      <c r="P170">
        <f t="shared" si="18"/>
        <v>3.2558614865077162</v>
      </c>
      <c r="Q170">
        <f t="shared" si="17"/>
        <v>3.0830495598010867</v>
      </c>
      <c r="R170" s="67" cm="1">
        <f t="array" ref="R170">SUMPRODUCT((J170=$J$7:$J$1000)*(P170&lt;$P$7:$P$1000))+1</f>
        <v>20</v>
      </c>
      <c r="S170" s="72"/>
      <c r="T170">
        <v>16</v>
      </c>
      <c r="U170" t="str">
        <v>CHI</v>
      </c>
      <c r="V170" t="str">
        <v>Faka'osi Pifeleti</v>
      </c>
      <c r="W170" t="str">
        <v>NULL</v>
      </c>
      <c r="X170" t="str">
        <v>Home</v>
      </c>
      <c r="Y170" t="str">
        <v>NOLA</v>
      </c>
      <c r="Z170">
        <v>2.515798157866028</v>
      </c>
    </row>
    <row r="171" spans="10:26" x14ac:dyDescent="0.35">
      <c r="J171" s="66">
        <v>6</v>
      </c>
      <c r="K171" t="s">
        <v>6</v>
      </c>
      <c r="L171" t="s">
        <v>501</v>
      </c>
      <c r="M171">
        <v>1.1000000000000001</v>
      </c>
      <c r="N171" t="s">
        <v>9</v>
      </c>
      <c r="O171" t="s">
        <v>4</v>
      </c>
      <c r="P171">
        <f t="shared" si="18"/>
        <v>4.9106621217923081</v>
      </c>
      <c r="Q171">
        <f t="shared" si="17"/>
        <v>14.521145806462656</v>
      </c>
      <c r="R171" s="67" cm="1">
        <f t="array" ref="R171">SUMPRODUCT((J171=$J$7:$J$1000)*(P171&lt;$P$7:$P$1000))+1</f>
        <v>10</v>
      </c>
      <c r="S171" s="72"/>
      <c r="T171">
        <v>16</v>
      </c>
      <c r="U171" t="str">
        <v>CHI</v>
      </c>
      <c r="V171" t="str">
        <v>Ignacio Peculo</v>
      </c>
      <c r="W171" t="str">
        <v>NULL</v>
      </c>
      <c r="X171" t="str">
        <v>Home</v>
      </c>
      <c r="Y171" t="str">
        <v>NOLA</v>
      </c>
      <c r="Z171">
        <v>5.6214022858271706</v>
      </c>
    </row>
    <row r="172" spans="10:26" x14ac:dyDescent="0.35">
      <c r="J172" s="66">
        <v>6</v>
      </c>
      <c r="K172" t="s">
        <v>17</v>
      </c>
      <c r="L172" t="s">
        <v>167</v>
      </c>
      <c r="M172">
        <v>1.1000000000000001</v>
      </c>
      <c r="N172" t="s">
        <v>3</v>
      </c>
      <c r="O172" t="s">
        <v>13</v>
      </c>
      <c r="P172">
        <f t="shared" si="18"/>
        <v>1.6824265585871458</v>
      </c>
      <c r="Q172">
        <f t="shared" si="17"/>
        <v>0.33922069614766592</v>
      </c>
      <c r="R172" s="67" cm="1">
        <f t="array" ref="R172">SUMPRODUCT((J172=$J$7:$J$1000)*(P172&lt;$P$7:$P$1000))+1</f>
        <v>27</v>
      </c>
      <c r="S172" s="72"/>
      <c r="T172">
        <v>16</v>
      </c>
      <c r="U172" t="str">
        <v>CHI</v>
      </c>
      <c r="V172" t="str">
        <v>Janus Venter</v>
      </c>
      <c r="W172" t="str">
        <v>NULL</v>
      </c>
      <c r="X172" t="str">
        <v>Home</v>
      </c>
      <c r="Y172" t="str">
        <v>NOLA</v>
      </c>
      <c r="Z172">
        <v>4.2553534861852773</v>
      </c>
    </row>
    <row r="173" spans="10:26" x14ac:dyDescent="0.35">
      <c r="J173" s="66">
        <v>6</v>
      </c>
      <c r="K173" t="s">
        <v>24</v>
      </c>
      <c r="L173" t="s">
        <v>482</v>
      </c>
      <c r="M173">
        <v>0.9</v>
      </c>
      <c r="N173" t="s">
        <v>9</v>
      </c>
      <c r="O173" t="s">
        <v>34</v>
      </c>
      <c r="P173">
        <f t="shared" si="18"/>
        <v>2.0077886921481611</v>
      </c>
      <c r="Q173">
        <f t="shared" si="17"/>
        <v>1.2271957864513334</v>
      </c>
      <c r="R173" s="67" cm="1">
        <f t="array" ref="R173">SUMPRODUCT((J173=$J$7:$J$1000)*(P173&lt;$P$7:$P$1000))+1</f>
        <v>26</v>
      </c>
      <c r="S173" s="72"/>
      <c r="T173">
        <v>16</v>
      </c>
      <c r="U173" t="str">
        <v>CHI</v>
      </c>
      <c r="V173" t="str">
        <v>Paddy Ryan</v>
      </c>
      <c r="W173" t="str">
        <v>NULL</v>
      </c>
      <c r="X173" t="str">
        <v>Home</v>
      </c>
      <c r="Y173" t="str">
        <v>NOLA</v>
      </c>
      <c r="Z173">
        <v>2.5721474942060714</v>
      </c>
    </row>
    <row r="174" spans="10:26" x14ac:dyDescent="0.35">
      <c r="J174" s="66">
        <v>6</v>
      </c>
      <c r="K174" t="s">
        <v>23</v>
      </c>
      <c r="L174" t="s">
        <v>150</v>
      </c>
      <c r="M174">
        <v>0.9</v>
      </c>
      <c r="N174" t="s">
        <v>9</v>
      </c>
      <c r="O174" t="s">
        <v>7</v>
      </c>
      <c r="P174">
        <f t="shared" si="18"/>
        <v>0.86591278526561299</v>
      </c>
      <c r="Q174">
        <f t="shared" si="17"/>
        <v>1.1619382083482121E-3</v>
      </c>
      <c r="R174" s="67" cm="1">
        <f t="array" ref="R174">SUMPRODUCT((J174=$J$7:$J$1000)*(P174&lt;$P$7:$P$1000))+1</f>
        <v>30</v>
      </c>
      <c r="S174" s="72"/>
      <c r="T174">
        <v>16</v>
      </c>
      <c r="U174" t="str">
        <v>CHI</v>
      </c>
      <c r="V174" t="str">
        <v>Zurab Zhvania</v>
      </c>
      <c r="W174" t="str">
        <v>NULL</v>
      </c>
      <c r="X174" t="str">
        <v>Home</v>
      </c>
      <c r="Y174" t="str">
        <v>NOLA</v>
      </c>
      <c r="Z174">
        <v>6.128944363246398</v>
      </c>
    </row>
    <row r="175" spans="10:26" x14ac:dyDescent="0.35">
      <c r="J175" s="66">
        <v>7</v>
      </c>
      <c r="K175" t="s">
        <v>34</v>
      </c>
      <c r="L175" t="s">
        <v>462</v>
      </c>
      <c r="M175">
        <v>12.7</v>
      </c>
      <c r="N175" t="s">
        <v>9</v>
      </c>
      <c r="O175" t="s">
        <v>36</v>
      </c>
      <c r="P175">
        <f t="shared" si="18"/>
        <v>10.821028912657031</v>
      </c>
      <c r="Q175">
        <f t="shared" si="17"/>
        <v>3.530532347070817</v>
      </c>
      <c r="R175" s="67" cm="1">
        <f t="array" ref="R175">SUMPRODUCT((J175=$J$7:$J$1000)*(P175&lt;$P$7:$P$1000))+1</f>
        <v>1</v>
      </c>
      <c r="S175" s="72"/>
      <c r="T175">
        <v>16</v>
      </c>
      <c r="U175" t="str">
        <v>LA</v>
      </c>
      <c r="V175" t="str">
        <v>Alessandro Heaney</v>
      </c>
      <c r="W175" t="str">
        <v>NULL</v>
      </c>
      <c r="X175" t="str">
        <v>Away</v>
      </c>
      <c r="Y175" t="str">
        <v>OGDC</v>
      </c>
      <c r="Z175">
        <v>2.7644363437700217</v>
      </c>
    </row>
    <row r="176" spans="10:26" x14ac:dyDescent="0.35">
      <c r="J176" s="66">
        <v>7</v>
      </c>
      <c r="K176" t="s">
        <v>7</v>
      </c>
      <c r="L176" t="s">
        <v>163</v>
      </c>
      <c r="M176">
        <v>12.2</v>
      </c>
      <c r="N176" t="s">
        <v>9</v>
      </c>
      <c r="O176" t="s">
        <v>6</v>
      </c>
      <c r="P176">
        <f t="shared" si="18"/>
        <v>5.1152849664090301</v>
      </c>
      <c r="Q176">
        <f t="shared" si="17"/>
        <v>50.193187107189885</v>
      </c>
      <c r="R176" s="67" cm="1">
        <f t="array" ref="R176">SUMPRODUCT((J176=$J$7:$J$1000)*(P176&lt;$P$7:$P$1000))+1</f>
        <v>11</v>
      </c>
      <c r="S176" s="72"/>
      <c r="T176">
        <v>16</v>
      </c>
      <c r="U176" t="str">
        <v>LA</v>
      </c>
      <c r="V176" t="str">
        <v>Ben Strang</v>
      </c>
      <c r="W176" t="str">
        <v>NULL</v>
      </c>
      <c r="X176" t="str">
        <v>Away</v>
      </c>
      <c r="Y176" t="str">
        <v>OGDC</v>
      </c>
      <c r="Z176">
        <v>10.336521905326272</v>
      </c>
    </row>
    <row r="177" spans="10:26" x14ac:dyDescent="0.35">
      <c r="J177" s="66">
        <v>7</v>
      </c>
      <c r="K177" t="s">
        <v>13</v>
      </c>
      <c r="L177" t="s">
        <v>463</v>
      </c>
      <c r="M177">
        <v>10.1</v>
      </c>
      <c r="N177" t="s">
        <v>3</v>
      </c>
      <c r="O177" t="s">
        <v>23</v>
      </c>
      <c r="P177">
        <f t="shared" si="18"/>
        <v>9.5264944006876622</v>
      </c>
      <c r="Q177">
        <f t="shared" si="17"/>
        <v>0.32890867244260336</v>
      </c>
      <c r="R177" s="67" cm="1">
        <f t="array" ref="R177">SUMPRODUCT((J177=$J$7:$J$1000)*(P177&lt;$P$7:$P$1000))+1</f>
        <v>2</v>
      </c>
      <c r="S177" s="72"/>
      <c r="T177">
        <v>16</v>
      </c>
      <c r="U177" t="str">
        <v>LA</v>
      </c>
      <c r="V177" t="str">
        <v>Ben Sugars</v>
      </c>
      <c r="W177" t="str">
        <v>NULL</v>
      </c>
      <c r="X177" t="str">
        <v>Away</v>
      </c>
      <c r="Y177" t="str">
        <v>OGDC</v>
      </c>
      <c r="Z177">
        <v>3.9865435077253313</v>
      </c>
    </row>
    <row r="178" spans="10:26" x14ac:dyDescent="0.35">
      <c r="J178" s="66">
        <v>7</v>
      </c>
      <c r="K178" t="s">
        <v>13</v>
      </c>
      <c r="L178" t="s">
        <v>464</v>
      </c>
      <c r="M178">
        <v>9.5</v>
      </c>
      <c r="N178" t="s">
        <v>3</v>
      </c>
      <c r="O178" t="s">
        <v>23</v>
      </c>
      <c r="P178">
        <f t="shared" si="18"/>
        <v>6.3376203652653098</v>
      </c>
      <c r="Q178">
        <f t="shared" si="17"/>
        <v>10.000644954184713</v>
      </c>
      <c r="R178" s="67" cm="1">
        <f t="array" ref="R178">SUMPRODUCT((J178=$J$7:$J$1000)*(P178&lt;$P$7:$P$1000))+1</f>
        <v>5</v>
      </c>
      <c r="S178" s="72"/>
      <c r="T178">
        <v>16</v>
      </c>
      <c r="U178" t="str">
        <v>LA</v>
      </c>
      <c r="V178" t="str">
        <v>Cronan Gleeson</v>
      </c>
      <c r="W178" t="str">
        <v>NULL</v>
      </c>
      <c r="X178" t="str">
        <v>Away</v>
      </c>
      <c r="Y178" t="str">
        <v>OGDC</v>
      </c>
      <c r="Z178">
        <v>-0.40582177139465531</v>
      </c>
    </row>
    <row r="179" spans="10:26" x14ac:dyDescent="0.35">
      <c r="J179" s="66">
        <v>7</v>
      </c>
      <c r="K179" t="s">
        <v>2</v>
      </c>
      <c r="L179" t="s">
        <v>156</v>
      </c>
      <c r="M179">
        <v>9</v>
      </c>
      <c r="N179" t="s">
        <v>9</v>
      </c>
      <c r="O179" t="s">
        <v>4</v>
      </c>
      <c r="P179">
        <f t="shared" si="18"/>
        <v>7.7971878937196042</v>
      </c>
      <c r="Q179">
        <f t="shared" si="17"/>
        <v>1.4467569630146822</v>
      </c>
      <c r="R179" s="67" cm="1">
        <f t="array" ref="R179">SUMPRODUCT((J179=$J$7:$J$1000)*(P179&lt;$P$7:$P$1000))+1</f>
        <v>3</v>
      </c>
      <c r="S179" s="72"/>
      <c r="T179">
        <v>16</v>
      </c>
      <c r="U179" t="str">
        <v>LA</v>
      </c>
      <c r="V179" t="str">
        <v>Dane Zander</v>
      </c>
      <c r="W179" t="str">
        <v>NULL</v>
      </c>
      <c r="X179" t="str">
        <v>Away</v>
      </c>
      <c r="Y179" t="str">
        <v>OGDC</v>
      </c>
      <c r="Z179">
        <v>-1.669183186791436</v>
      </c>
    </row>
    <row r="180" spans="10:26" x14ac:dyDescent="0.35">
      <c r="J180" s="66">
        <v>7</v>
      </c>
      <c r="K180" t="s">
        <v>6</v>
      </c>
      <c r="L180" t="s">
        <v>501</v>
      </c>
      <c r="M180">
        <v>7.5</v>
      </c>
      <c r="N180" t="s">
        <v>3</v>
      </c>
      <c r="O180" t="s">
        <v>7</v>
      </c>
      <c r="P180">
        <f t="shared" si="18"/>
        <v>4.3535642579734573</v>
      </c>
      <c r="Q180">
        <f t="shared" si="17"/>
        <v>9.9000578787021212</v>
      </c>
      <c r="R180" s="67" cm="1">
        <f t="array" ref="R180">SUMPRODUCT((J180=$J$7:$J$1000)*(P180&lt;$P$7:$P$1000))+1</f>
        <v>16</v>
      </c>
      <c r="S180" s="72"/>
      <c r="T180">
        <v>16</v>
      </c>
      <c r="U180" t="str">
        <v>LA</v>
      </c>
      <c r="V180" t="str">
        <v>Declan Leaney</v>
      </c>
      <c r="W180" t="str">
        <v>NULL</v>
      </c>
      <c r="X180" t="str">
        <v>Away</v>
      </c>
      <c r="Y180" t="str">
        <v>OGDC</v>
      </c>
      <c r="Z180">
        <v>6.4345837016452494</v>
      </c>
    </row>
    <row r="181" spans="10:26" x14ac:dyDescent="0.35">
      <c r="J181" s="66">
        <v>7</v>
      </c>
      <c r="K181" t="s">
        <v>17</v>
      </c>
      <c r="L181" t="s">
        <v>167</v>
      </c>
      <c r="M181">
        <v>6.8</v>
      </c>
      <c r="N181" t="s">
        <v>3</v>
      </c>
      <c r="O181" t="s">
        <v>14</v>
      </c>
      <c r="P181">
        <f t="shared" si="18"/>
        <v>3.6024838034630964</v>
      </c>
      <c r="Q181">
        <f t="shared" si="17"/>
        <v>10.224109827115825</v>
      </c>
      <c r="R181" s="67" cm="1">
        <f t="array" ref="R181">SUMPRODUCT((J181=$J$7:$J$1000)*(P181&lt;$P$7:$P$1000))+1</f>
        <v>21</v>
      </c>
      <c r="S181" s="72"/>
      <c r="T181">
        <v>16</v>
      </c>
      <c r="U181" t="str">
        <v>LA</v>
      </c>
      <c r="V181" t="str">
        <v>Franco van den Berg</v>
      </c>
      <c r="W181" t="str">
        <v>NULL</v>
      </c>
      <c r="X181" t="str">
        <v>Away</v>
      </c>
      <c r="Y181" t="str">
        <v>OGDC</v>
      </c>
      <c r="Z181">
        <v>1.6779244190435789</v>
      </c>
    </row>
    <row r="182" spans="10:26" x14ac:dyDescent="0.35">
      <c r="J182" s="66">
        <v>7</v>
      </c>
      <c r="K182" t="s">
        <v>4</v>
      </c>
      <c r="L182" t="s">
        <v>481</v>
      </c>
      <c r="M182">
        <v>6.4</v>
      </c>
      <c r="N182" t="s">
        <v>3</v>
      </c>
      <c r="O182" t="s">
        <v>2</v>
      </c>
      <c r="P182">
        <f t="shared" si="18"/>
        <v>5.1129560426084248</v>
      </c>
      <c r="Q182">
        <f t="shared" si="17"/>
        <v>1.6564821482581675</v>
      </c>
      <c r="R182" s="67" cm="1">
        <f t="array" ref="R182">SUMPRODUCT((J182=$J$7:$J$1000)*(P182&lt;$P$7:$P$1000))+1</f>
        <v>12</v>
      </c>
      <c r="S182" s="72"/>
      <c r="T182">
        <v>16</v>
      </c>
      <c r="U182" t="str">
        <v>LA</v>
      </c>
      <c r="V182" t="str">
        <v>Justus Tavai</v>
      </c>
      <c r="W182" t="str">
        <v>NULL</v>
      </c>
      <c r="X182" t="str">
        <v>Away</v>
      </c>
      <c r="Y182" t="str">
        <v>OGDC</v>
      </c>
      <c r="Z182">
        <v>6.937686072666903</v>
      </c>
    </row>
    <row r="183" spans="10:26" x14ac:dyDescent="0.35">
      <c r="J183" s="66">
        <v>7</v>
      </c>
      <c r="K183" t="s">
        <v>17</v>
      </c>
      <c r="L183" t="s">
        <v>149</v>
      </c>
      <c r="M183">
        <v>6.3</v>
      </c>
      <c r="N183" t="s">
        <v>3</v>
      </c>
      <c r="O183" t="s">
        <v>14</v>
      </c>
      <c r="P183">
        <f t="shared" si="18"/>
        <v>6.2026726473684626</v>
      </c>
      <c r="Q183">
        <f t="shared" si="17"/>
        <v>9.4726135702635997E-3</v>
      </c>
      <c r="R183" s="67" cm="1">
        <f t="array" ref="R183">SUMPRODUCT((J183=$J$7:$J$1000)*(P183&lt;$P$7:$P$1000))+1</f>
        <v>6</v>
      </c>
      <c r="S183" s="72"/>
      <c r="T183">
        <v>16</v>
      </c>
      <c r="U183" t="str">
        <v>LA</v>
      </c>
      <c r="V183" t="str">
        <v>Maliu Niuafe</v>
      </c>
      <c r="W183" t="str">
        <v>NULL</v>
      </c>
      <c r="X183" t="str">
        <v>Away</v>
      </c>
      <c r="Y183" t="str">
        <v>OGDC</v>
      </c>
      <c r="Z183">
        <v>1.5516486755228662</v>
      </c>
    </row>
    <row r="184" spans="10:26" x14ac:dyDescent="0.35">
      <c r="J184" s="66">
        <v>7</v>
      </c>
      <c r="K184" t="s">
        <v>17</v>
      </c>
      <c r="L184" t="s">
        <v>480</v>
      </c>
      <c r="M184">
        <v>6.2</v>
      </c>
      <c r="N184" t="s">
        <v>3</v>
      </c>
      <c r="O184" t="s">
        <v>14</v>
      </c>
      <c r="P184">
        <f t="shared" si="18"/>
        <v>5.1759187313836668</v>
      </c>
      <c r="Q184">
        <f t="shared" si="17"/>
        <v>1.0487424447308389</v>
      </c>
      <c r="R184" s="67" cm="1">
        <f t="array" ref="R184">SUMPRODUCT((J184=$J$7:$J$1000)*(P184&lt;$P$7:$P$1000))+1</f>
        <v>10</v>
      </c>
      <c r="S184" s="72"/>
      <c r="T184">
        <v>16</v>
      </c>
      <c r="U184" t="str">
        <v>LA</v>
      </c>
      <c r="V184" t="str">
        <v>Mike Sosene Feagai</v>
      </c>
      <c r="W184" t="str">
        <v>NULL</v>
      </c>
      <c r="X184" t="str">
        <v>Away</v>
      </c>
      <c r="Y184" t="str">
        <v>OGDC</v>
      </c>
      <c r="Z184">
        <v>4.200771767049809</v>
      </c>
    </row>
    <row r="185" spans="10:26" x14ac:dyDescent="0.35">
      <c r="J185" s="66">
        <v>7</v>
      </c>
      <c r="K185" t="s">
        <v>23</v>
      </c>
      <c r="L185" t="s">
        <v>549</v>
      </c>
      <c r="M185">
        <v>5.7</v>
      </c>
      <c r="N185" t="s">
        <v>9</v>
      </c>
      <c r="O185" t="s">
        <v>13</v>
      </c>
      <c r="P185">
        <f t="shared" si="18"/>
        <v>5.7008149781273945</v>
      </c>
      <c r="Q185">
        <f t="shared" si="17"/>
        <v>6.641893481310931E-7</v>
      </c>
      <c r="R185" s="67" cm="1">
        <f t="array" ref="R185">SUMPRODUCT((J185=$J$7:$J$1000)*(P185&lt;$P$7:$P$1000))+1</f>
        <v>8</v>
      </c>
      <c r="S185" s="72"/>
      <c r="T185">
        <v>16</v>
      </c>
      <c r="U185" t="str">
        <v>MIA</v>
      </c>
      <c r="V185" t="str">
        <v>Alec McDonnell</v>
      </c>
      <c r="W185" t="str">
        <v>NULL</v>
      </c>
      <c r="X185" t="str">
        <v>Home</v>
      </c>
      <c r="Y185" t="str">
        <v>SDL</v>
      </c>
      <c r="Z185">
        <v>1.2747862645993233</v>
      </c>
    </row>
    <row r="186" spans="10:26" x14ac:dyDescent="0.35">
      <c r="J186" s="66">
        <v>7</v>
      </c>
      <c r="K186" t="s">
        <v>36</v>
      </c>
      <c r="L186" t="s">
        <v>157</v>
      </c>
      <c r="M186">
        <v>5.0999999999999996</v>
      </c>
      <c r="N186" t="s">
        <v>3</v>
      </c>
      <c r="O186" t="s">
        <v>34</v>
      </c>
      <c r="P186">
        <f t="shared" si="18"/>
        <v>5.545753370459046</v>
      </c>
      <c r="Q186">
        <f t="shared" si="17"/>
        <v>0.19869606727559985</v>
      </c>
      <c r="R186" s="67" cm="1">
        <f t="array" ref="R186">SUMPRODUCT((J186=$J$7:$J$1000)*(P186&lt;$P$7:$P$1000))+1</f>
        <v>9</v>
      </c>
      <c r="S186" s="72"/>
      <c r="T186">
        <v>16</v>
      </c>
      <c r="U186" t="str">
        <v>MIA</v>
      </c>
      <c r="V186" t="str">
        <v>Alex Tucci</v>
      </c>
      <c r="W186" t="str">
        <v>NULL</v>
      </c>
      <c r="X186" t="str">
        <v>Home</v>
      </c>
      <c r="Y186" t="str">
        <v>SDL</v>
      </c>
      <c r="Z186">
        <v>8.1403878456883838</v>
      </c>
    </row>
    <row r="187" spans="10:26" x14ac:dyDescent="0.35">
      <c r="J187" s="66">
        <v>7</v>
      </c>
      <c r="K187" t="s">
        <v>36</v>
      </c>
      <c r="L187" t="s">
        <v>415</v>
      </c>
      <c r="M187">
        <v>4.4000000000000004</v>
      </c>
      <c r="N187" t="s">
        <v>3</v>
      </c>
      <c r="O187" t="s">
        <v>34</v>
      </c>
      <c r="P187">
        <f t="shared" si="18"/>
        <v>4.6628382689658485</v>
      </c>
      <c r="Q187">
        <f t="shared" si="17"/>
        <v>6.9083955632963545E-2</v>
      </c>
      <c r="R187" s="67" cm="1">
        <f t="array" ref="R187">SUMPRODUCT((J187=$J$7:$J$1000)*(P187&lt;$P$7:$P$1000))+1</f>
        <v>15</v>
      </c>
      <c r="S187" s="72"/>
      <c r="T187">
        <v>16</v>
      </c>
      <c r="U187" t="str">
        <v>MIA</v>
      </c>
      <c r="V187" t="str">
        <v>Jonas Petrakopoulos</v>
      </c>
      <c r="W187" t="str">
        <v>NULL</v>
      </c>
      <c r="X187" t="str">
        <v>Home</v>
      </c>
      <c r="Y187" t="str">
        <v>SDL</v>
      </c>
      <c r="Z187">
        <v>5.8081902711369615</v>
      </c>
    </row>
    <row r="188" spans="10:26" x14ac:dyDescent="0.35">
      <c r="J188" s="66">
        <v>7</v>
      </c>
      <c r="K188" t="s">
        <v>4</v>
      </c>
      <c r="L188" t="s">
        <v>176</v>
      </c>
      <c r="M188">
        <v>4.4000000000000004</v>
      </c>
      <c r="N188" t="s">
        <v>3</v>
      </c>
      <c r="O188" t="s">
        <v>2</v>
      </c>
      <c r="P188">
        <f t="shared" si="18"/>
        <v>3.2599653060955216</v>
      </c>
      <c r="Q188">
        <f t="shared" si="17"/>
        <v>1.2996791033058785</v>
      </c>
      <c r="R188" s="67" cm="1">
        <f t="array" ref="R188">SUMPRODUCT((J188=$J$7:$J$1000)*(P188&lt;$P$7:$P$1000))+1</f>
        <v>22</v>
      </c>
      <c r="S188" s="72"/>
      <c r="T188">
        <v>16</v>
      </c>
      <c r="U188" t="str">
        <v>MIA</v>
      </c>
      <c r="V188" t="str">
        <v>Kirby Myhill</v>
      </c>
      <c r="W188" t="str">
        <v>NULL</v>
      </c>
      <c r="X188" t="str">
        <v>Home</v>
      </c>
      <c r="Y188" t="str">
        <v>SDL</v>
      </c>
      <c r="Z188">
        <v>6.7416693763574056</v>
      </c>
    </row>
    <row r="189" spans="10:26" x14ac:dyDescent="0.35">
      <c r="J189" s="66">
        <v>7</v>
      </c>
      <c r="K189" t="s">
        <v>34</v>
      </c>
      <c r="L189" t="s">
        <v>153</v>
      </c>
      <c r="M189">
        <v>4.4000000000000004</v>
      </c>
      <c r="N189" t="s">
        <v>9</v>
      </c>
      <c r="O189" t="s">
        <v>36</v>
      </c>
      <c r="P189">
        <f t="shared" si="18"/>
        <v>4.1621468731798252</v>
      </c>
      <c r="Q189">
        <f t="shared" si="17"/>
        <v>5.6574109938134311E-2</v>
      </c>
      <c r="R189" s="67" cm="1">
        <f t="array" ref="R189">SUMPRODUCT((J189=$J$7:$J$1000)*(P189&lt;$P$7:$P$1000))+1</f>
        <v>18</v>
      </c>
      <c r="S189" s="72"/>
      <c r="T189">
        <v>16</v>
      </c>
      <c r="U189" t="str">
        <v>MIA</v>
      </c>
      <c r="V189" t="str">
        <v>Ma'ake Muti</v>
      </c>
      <c r="W189" t="str">
        <v>NULL</v>
      </c>
      <c r="X189" t="str">
        <v>Home</v>
      </c>
      <c r="Y189" t="str">
        <v>SDL</v>
      </c>
      <c r="Z189">
        <v>4.3840573549088626</v>
      </c>
    </row>
    <row r="190" spans="10:26" x14ac:dyDescent="0.35">
      <c r="J190" s="66">
        <v>7</v>
      </c>
      <c r="K190" t="s">
        <v>14</v>
      </c>
      <c r="L190" t="s">
        <v>143</v>
      </c>
      <c r="M190">
        <v>4.3</v>
      </c>
      <c r="N190" t="s">
        <v>9</v>
      </c>
      <c r="O190" t="s">
        <v>17</v>
      </c>
      <c r="P190">
        <f t="shared" si="18"/>
        <v>2.8432481841810198</v>
      </c>
      <c r="Q190">
        <f t="shared" si="17"/>
        <v>2.1221258528918954</v>
      </c>
      <c r="R190" s="67" cm="1">
        <f t="array" ref="R190">SUMPRODUCT((J190=$J$7:$J$1000)*(P190&lt;$P$7:$P$1000))+1</f>
        <v>24</v>
      </c>
      <c r="S190" s="72"/>
      <c r="T190">
        <v>16</v>
      </c>
      <c r="U190" t="str">
        <v>MIA</v>
      </c>
      <c r="V190" t="str">
        <v>Reinaldo Piussi</v>
      </c>
      <c r="W190" t="str">
        <v>NULL</v>
      </c>
      <c r="X190" t="str">
        <v>Home</v>
      </c>
      <c r="Y190" t="str">
        <v>SDL</v>
      </c>
      <c r="Z190">
        <v>2.8824241885317683</v>
      </c>
    </row>
    <row r="191" spans="10:26" x14ac:dyDescent="0.35">
      <c r="J191" s="66">
        <v>7</v>
      </c>
      <c r="K191" t="s">
        <v>14</v>
      </c>
      <c r="L191" t="s">
        <v>248</v>
      </c>
      <c r="M191">
        <v>4</v>
      </c>
      <c r="N191" t="s">
        <v>9</v>
      </c>
      <c r="O191" t="s">
        <v>17</v>
      </c>
      <c r="P191">
        <f t="shared" si="18"/>
        <v>4.9780640772619753</v>
      </c>
      <c r="Q191">
        <f t="shared" si="17"/>
        <v>0.95660933923031921</v>
      </c>
      <c r="R191" s="67" cm="1">
        <f t="array" ref="R191">SUMPRODUCT((J191=$J$7:$J$1000)*(P191&lt;$P$7:$P$1000))+1</f>
        <v>14</v>
      </c>
      <c r="S191" s="72"/>
      <c r="T191">
        <v>16</v>
      </c>
      <c r="U191" t="str">
        <v>MIA</v>
      </c>
      <c r="V191" t="str">
        <v>Sean McNulty</v>
      </c>
      <c r="W191" t="str">
        <v>NULL</v>
      </c>
      <c r="X191" t="str">
        <v>Home</v>
      </c>
      <c r="Y191" t="str">
        <v>SDL</v>
      </c>
      <c r="Z191">
        <v>4.7781421629731069</v>
      </c>
    </row>
    <row r="192" spans="10:26" x14ac:dyDescent="0.35">
      <c r="J192" s="66">
        <v>7</v>
      </c>
      <c r="K192" t="s">
        <v>13</v>
      </c>
      <c r="L192" t="s">
        <v>467</v>
      </c>
      <c r="M192">
        <v>3.5</v>
      </c>
      <c r="N192" t="s">
        <v>3</v>
      </c>
      <c r="O192" t="s">
        <v>23</v>
      </c>
      <c r="P192">
        <f t="shared" si="18"/>
        <v>3.7154377486937711</v>
      </c>
      <c r="Q192">
        <f t="shared" si="17"/>
        <v>4.6413423562240465E-2</v>
      </c>
      <c r="R192" s="67" cm="1">
        <f t="array" ref="R192">SUMPRODUCT((J192=$J$7:$J$1000)*(P192&lt;$P$7:$P$1000))+1</f>
        <v>19</v>
      </c>
      <c r="S192" s="72"/>
      <c r="T192">
        <v>16</v>
      </c>
      <c r="U192" t="str">
        <v>MIA</v>
      </c>
      <c r="V192" t="str">
        <v>Tau Koloamatangi</v>
      </c>
      <c r="W192" t="str">
        <v>NULL</v>
      </c>
      <c r="X192" t="str">
        <v>Home</v>
      </c>
      <c r="Y192" t="str">
        <v>SDL</v>
      </c>
      <c r="Z192">
        <v>2.1605811830718102</v>
      </c>
    </row>
    <row r="193" spans="10:26" x14ac:dyDescent="0.35">
      <c r="J193" s="66">
        <v>7</v>
      </c>
      <c r="K193" t="s">
        <v>36</v>
      </c>
      <c r="L193" t="s">
        <v>283</v>
      </c>
      <c r="M193">
        <v>3.1</v>
      </c>
      <c r="N193" t="s">
        <v>3</v>
      </c>
      <c r="O193" t="s">
        <v>34</v>
      </c>
      <c r="P193">
        <f t="shared" si="18"/>
        <v>7.1710675309229668</v>
      </c>
      <c r="Q193">
        <f t="shared" si="17"/>
        <v>16.573590841335225</v>
      </c>
      <c r="R193" s="67" cm="1">
        <f t="array" ref="R193">SUMPRODUCT((J193=$J$7:$J$1000)*(P193&lt;$P$7:$P$1000))+1</f>
        <v>4</v>
      </c>
      <c r="S193" s="72"/>
      <c r="T193">
        <v>16</v>
      </c>
      <c r="U193" t="str">
        <v>NEFJ</v>
      </c>
      <c r="V193" t="str">
        <v>Andrew Quattrin</v>
      </c>
      <c r="W193" t="str">
        <v>NULL</v>
      </c>
      <c r="X193" t="str">
        <v>Home</v>
      </c>
      <c r="Y193" t="str">
        <v>SEA</v>
      </c>
      <c r="Z193">
        <v>5.719356455803382</v>
      </c>
    </row>
    <row r="194" spans="10:26" x14ac:dyDescent="0.35">
      <c r="J194" s="66">
        <v>7</v>
      </c>
      <c r="K194" t="s">
        <v>2</v>
      </c>
      <c r="L194" t="s">
        <v>185</v>
      </c>
      <c r="M194">
        <v>2.9</v>
      </c>
      <c r="N194" t="s">
        <v>9</v>
      </c>
      <c r="O194" t="s">
        <v>4</v>
      </c>
      <c r="P194">
        <f t="shared" si="18"/>
        <v>3.6506437553789186</v>
      </c>
      <c r="Q194">
        <f t="shared" si="17"/>
        <v>0.56346604748936591</v>
      </c>
      <c r="R194" s="67" cm="1">
        <f t="array" ref="R194">SUMPRODUCT((J194=$J$7:$J$1000)*(P194&lt;$P$7:$P$1000))+1</f>
        <v>20</v>
      </c>
      <c r="S194" s="72"/>
      <c r="T194">
        <v>16</v>
      </c>
      <c r="U194" t="str">
        <v>NEFJ</v>
      </c>
      <c r="V194" t="str">
        <v>Cole Keith</v>
      </c>
      <c r="W194" t="str">
        <v>NULL</v>
      </c>
      <c r="X194" t="str">
        <v>Home</v>
      </c>
      <c r="Y194" t="str">
        <v>SEA</v>
      </c>
      <c r="Z194">
        <v>1.1303712598328794</v>
      </c>
    </row>
    <row r="195" spans="10:26" x14ac:dyDescent="0.35">
      <c r="J195" s="66">
        <v>7</v>
      </c>
      <c r="K195" t="s">
        <v>2</v>
      </c>
      <c r="L195" t="s">
        <v>159</v>
      </c>
      <c r="M195">
        <v>2.9</v>
      </c>
      <c r="N195" t="s">
        <v>9</v>
      </c>
      <c r="O195" t="s">
        <v>4</v>
      </c>
      <c r="P195">
        <f t="shared" si="18"/>
        <v>2.3630056669423789</v>
      </c>
      <c r="Q195">
        <f t="shared" si="17"/>
        <v>0.2883629137359992</v>
      </c>
      <c r="R195" s="67" cm="1">
        <f t="array" ref="R195">SUMPRODUCT((J195=$J$7:$J$1000)*(P195&lt;$P$7:$P$1000))+1</f>
        <v>26</v>
      </c>
      <c r="S195" s="72"/>
      <c r="T195">
        <v>16</v>
      </c>
      <c r="U195" t="str">
        <v>NEFJ</v>
      </c>
      <c r="V195" t="str">
        <v>Connal McInerney</v>
      </c>
      <c r="W195" t="str">
        <v>NULL</v>
      </c>
      <c r="X195" t="str">
        <v>Home</v>
      </c>
      <c r="Y195" t="str">
        <v>SEA</v>
      </c>
      <c r="Z195">
        <v>6.6764261101371272</v>
      </c>
    </row>
    <row r="196" spans="10:26" x14ac:dyDescent="0.35">
      <c r="J196" s="66">
        <v>7</v>
      </c>
      <c r="K196" t="s">
        <v>4</v>
      </c>
      <c r="L196" t="s">
        <v>172</v>
      </c>
      <c r="M196">
        <v>2.9</v>
      </c>
      <c r="N196" t="s">
        <v>3</v>
      </c>
      <c r="O196" t="s">
        <v>2</v>
      </c>
      <c r="P196">
        <f t="shared" si="18"/>
        <v>2.4270736443299294</v>
      </c>
      <c r="Q196">
        <f t="shared" si="17"/>
        <v>0.22365933788737399</v>
      </c>
      <c r="R196" s="67" cm="1">
        <f t="array" ref="R196">SUMPRODUCT((J196=$J$7:$J$1000)*(P196&lt;$P$7:$P$1000))+1</f>
        <v>25</v>
      </c>
      <c r="S196" s="72"/>
      <c r="T196">
        <v>16</v>
      </c>
      <c r="U196" t="str">
        <v>NEFJ</v>
      </c>
      <c r="V196" t="str">
        <v>Jone Koroiduadua</v>
      </c>
      <c r="W196" t="str">
        <v>NULL</v>
      </c>
      <c r="X196" t="str">
        <v>Home</v>
      </c>
      <c r="Y196" t="str">
        <v>SEA</v>
      </c>
      <c r="Z196">
        <v>-0.42894947460770083</v>
      </c>
    </row>
    <row r="197" spans="10:26" x14ac:dyDescent="0.35">
      <c r="J197" s="66">
        <v>7</v>
      </c>
      <c r="K197" t="s">
        <v>23</v>
      </c>
      <c r="L197" t="s">
        <v>412</v>
      </c>
      <c r="M197">
        <v>2.5</v>
      </c>
      <c r="N197" t="s">
        <v>9</v>
      </c>
      <c r="O197" t="s">
        <v>13</v>
      </c>
      <c r="P197">
        <f t="shared" si="18"/>
        <v>4.2613490566809658</v>
      </c>
      <c r="Q197">
        <f t="shared" si="17"/>
        <v>3.1023504994709281</v>
      </c>
      <c r="R197" s="67" cm="1">
        <f t="array" ref="R197">SUMPRODUCT((J197=$J$7:$J$1000)*(P197&lt;$P$7:$P$1000))+1</f>
        <v>17</v>
      </c>
      <c r="S197" s="72"/>
      <c r="T197">
        <v>16</v>
      </c>
      <c r="U197" t="str">
        <v>NEFJ</v>
      </c>
      <c r="V197" t="str">
        <v>Kaleb Geiger</v>
      </c>
      <c r="W197" t="str">
        <v>NULL</v>
      </c>
      <c r="X197" t="str">
        <v>Home</v>
      </c>
      <c r="Y197" t="str">
        <v>SEA</v>
      </c>
      <c r="Z197">
        <v>5.2369601886906985</v>
      </c>
    </row>
    <row r="198" spans="10:26" x14ac:dyDescent="0.35">
      <c r="J198" s="66">
        <v>7</v>
      </c>
      <c r="K198" t="s">
        <v>14</v>
      </c>
      <c r="L198" t="s">
        <v>553</v>
      </c>
      <c r="M198">
        <v>2.2999999999999998</v>
      </c>
      <c r="N198" t="s">
        <v>9</v>
      </c>
      <c r="O198" t="s">
        <v>17</v>
      </c>
      <c r="P198">
        <f t="shared" si="18"/>
        <v>1.3943854966453111</v>
      </c>
      <c r="Q198">
        <f t="shared" si="17"/>
        <v>0.82013762868635953</v>
      </c>
      <c r="R198" s="67" cm="1">
        <f t="array" ref="R198">SUMPRODUCT((J198=$J$7:$J$1000)*(P198&lt;$P$7:$P$1000))+1</f>
        <v>28</v>
      </c>
      <c r="S198" s="72"/>
      <c r="T198">
        <v>16</v>
      </c>
      <c r="U198" t="str">
        <v>NEFJ</v>
      </c>
      <c r="V198" t="str">
        <v>Kyle Ciquera</v>
      </c>
      <c r="W198" t="str">
        <v>NULL</v>
      </c>
      <c r="X198" t="str">
        <v>Home</v>
      </c>
      <c r="Y198" t="str">
        <v>SEA</v>
      </c>
      <c r="Z198">
        <v>2.4005809579993347</v>
      </c>
    </row>
    <row r="199" spans="10:26" x14ac:dyDescent="0.35">
      <c r="J199" s="66">
        <v>7</v>
      </c>
      <c r="K199" t="s">
        <v>34</v>
      </c>
      <c r="L199" t="s">
        <v>351</v>
      </c>
      <c r="M199">
        <v>1.9</v>
      </c>
      <c r="N199" t="s">
        <v>9</v>
      </c>
      <c r="O199" t="s">
        <v>36</v>
      </c>
      <c r="P199">
        <f t="shared" si="18"/>
        <v>6.0732045621918687</v>
      </c>
      <c r="Q199">
        <f t="shared" ref="Q199:Q262" si="19">IFERROR(($M199-$P199)^2,"")</f>
        <v>17.415636317899022</v>
      </c>
      <c r="R199" s="67" cm="1">
        <f t="array" ref="R199">SUMPRODUCT((J199=$J$7:$J$1000)*(P199&lt;$P$7:$P$1000))+1</f>
        <v>7</v>
      </c>
      <c r="S199" s="72"/>
      <c r="T199">
        <v>16</v>
      </c>
      <c r="U199" t="str">
        <v>NEFJ</v>
      </c>
      <c r="V199" t="str">
        <v>Malakai Hala-Ngatai</v>
      </c>
      <c r="W199" t="str">
        <v>NULL</v>
      </c>
      <c r="X199" t="str">
        <v>Home</v>
      </c>
      <c r="Y199" t="str">
        <v>SEA</v>
      </c>
      <c r="Z199">
        <v>1.5426894041799641</v>
      </c>
    </row>
    <row r="200" spans="10:26" x14ac:dyDescent="0.35">
      <c r="J200" s="66">
        <v>7</v>
      </c>
      <c r="K200" t="s">
        <v>6</v>
      </c>
      <c r="L200" t="s">
        <v>416</v>
      </c>
      <c r="M200">
        <v>1.7</v>
      </c>
      <c r="N200" t="s">
        <v>3</v>
      </c>
      <c r="O200" t="s">
        <v>7</v>
      </c>
      <c r="P200">
        <f t="shared" ref="P200:P263" si="20">VLOOKUP($N200,$F$3:$G$4,2,FALSE)+VLOOKUP($L200,$B$20:$C$150,2,FALSE)+VLOOKUP($O200,$A$6:$B$16,2,FALSE)</f>
        <v>2.9172288346936708</v>
      </c>
      <c r="Q200">
        <f t="shared" si="19"/>
        <v>1.4816460360097119</v>
      </c>
      <c r="R200" s="67" cm="1">
        <f t="array" ref="R200">SUMPRODUCT((J200=$J$7:$J$1000)*(P200&lt;$P$7:$P$1000))+1</f>
        <v>23</v>
      </c>
      <c r="S200" s="72"/>
      <c r="T200">
        <v>16</v>
      </c>
      <c r="U200" t="str">
        <v>NEFJ</v>
      </c>
      <c r="V200" t="str">
        <v>Tevita Sole</v>
      </c>
      <c r="W200" t="str">
        <v>NULL</v>
      </c>
      <c r="X200" t="str">
        <v>Home</v>
      </c>
      <c r="Y200" t="str">
        <v>SEA</v>
      </c>
      <c r="Z200">
        <v>1.628164565444999</v>
      </c>
    </row>
    <row r="201" spans="10:26" x14ac:dyDescent="0.35">
      <c r="J201" s="66">
        <v>7</v>
      </c>
      <c r="K201" t="s">
        <v>7</v>
      </c>
      <c r="L201" t="s">
        <v>630</v>
      </c>
      <c r="M201">
        <v>1.5</v>
      </c>
      <c r="N201" t="s">
        <v>9</v>
      </c>
      <c r="O201" t="s">
        <v>6</v>
      </c>
      <c r="P201">
        <f t="shared" si="20"/>
        <v>0.74080709770959818</v>
      </c>
      <c r="Q201">
        <f t="shared" si="19"/>
        <v>0.57637386288812364</v>
      </c>
      <c r="R201" s="67" cm="1">
        <f t="array" ref="R201">SUMPRODUCT((J201=$J$7:$J$1000)*(P201&lt;$P$7:$P$1000))+1</f>
        <v>29</v>
      </c>
      <c r="S201" s="72"/>
      <c r="T201">
        <v>16</v>
      </c>
      <c r="U201" t="str">
        <v>NOLA</v>
      </c>
      <c r="V201" t="str">
        <v>Alex Lopeti</v>
      </c>
      <c r="W201" t="str">
        <v>NULL</v>
      </c>
      <c r="X201" t="str">
        <v>Away</v>
      </c>
      <c r="Y201" t="str">
        <v>CHI</v>
      </c>
      <c r="Z201">
        <v>4.9601635516847766</v>
      </c>
    </row>
    <row r="202" spans="10:26" x14ac:dyDescent="0.35">
      <c r="J202" s="66">
        <v>7</v>
      </c>
      <c r="K202" t="s">
        <v>23</v>
      </c>
      <c r="L202" t="s">
        <v>506</v>
      </c>
      <c r="M202">
        <v>1.3</v>
      </c>
      <c r="N202" t="s">
        <v>9</v>
      </c>
      <c r="O202" t="s">
        <v>13</v>
      </c>
      <c r="P202">
        <f t="shared" si="20"/>
        <v>0.65255343343526562</v>
      </c>
      <c r="Q202">
        <f t="shared" si="19"/>
        <v>0.4191870565564631</v>
      </c>
      <c r="R202" s="67" cm="1">
        <f t="array" ref="R202">SUMPRODUCT((J202=$J$7:$J$1000)*(P202&lt;$P$7:$P$1000))+1</f>
        <v>30</v>
      </c>
      <c r="S202" s="72"/>
      <c r="T202">
        <v>16</v>
      </c>
      <c r="U202" t="str">
        <v>NOLA</v>
      </c>
      <c r="V202" t="str">
        <v>Bart Vermeulen</v>
      </c>
      <c r="W202" t="str">
        <v>NULL</v>
      </c>
      <c r="X202" t="str">
        <v>Away</v>
      </c>
      <c r="Y202" t="str">
        <v>CHI</v>
      </c>
      <c r="Z202">
        <v>2.5950150992907663</v>
      </c>
    </row>
    <row r="203" spans="10:26" x14ac:dyDescent="0.35">
      <c r="J203" s="66">
        <v>7</v>
      </c>
      <c r="K203" t="s">
        <v>7</v>
      </c>
      <c r="L203" t="s">
        <v>502</v>
      </c>
      <c r="M203">
        <v>0.6</v>
      </c>
      <c r="N203" t="s">
        <v>9</v>
      </c>
      <c r="O203" t="s">
        <v>6</v>
      </c>
      <c r="P203">
        <f t="shared" si="20"/>
        <v>5.0982142985868375</v>
      </c>
      <c r="Q203">
        <f t="shared" si="19"/>
        <v>20.233931876011077</v>
      </c>
      <c r="R203" s="67" cm="1">
        <f t="array" ref="R203">SUMPRODUCT((J203=$J$7:$J$1000)*(P203&lt;$P$7:$P$1000))+1</f>
        <v>13</v>
      </c>
      <c r="S203" s="72"/>
      <c r="T203">
        <v>16</v>
      </c>
      <c r="U203" t="str">
        <v>NOLA</v>
      </c>
      <c r="V203" t="str">
        <v>Isaac Salmon</v>
      </c>
      <c r="W203" t="str">
        <v>NULL</v>
      </c>
      <c r="X203" t="str">
        <v>Away</v>
      </c>
      <c r="Y203" t="str">
        <v>CHI</v>
      </c>
      <c r="Z203">
        <v>2.0513449513821373</v>
      </c>
    </row>
    <row r="204" spans="10:26" x14ac:dyDescent="0.35">
      <c r="J204" s="66">
        <v>7</v>
      </c>
      <c r="K204" t="s">
        <v>6</v>
      </c>
      <c r="L204" t="s">
        <v>503</v>
      </c>
      <c r="M204">
        <v>-2.7</v>
      </c>
      <c r="N204" t="s">
        <v>3</v>
      </c>
      <c r="O204" t="s">
        <v>7</v>
      </c>
      <c r="P204">
        <f t="shared" si="20"/>
        <v>1.7044411664465153</v>
      </c>
      <c r="Q204">
        <f t="shared" si="19"/>
        <v>19.399101988688741</v>
      </c>
      <c r="R204" s="67" cm="1">
        <f t="array" ref="R204">SUMPRODUCT((J204=$J$7:$J$1000)*(P204&lt;$P$7:$P$1000))+1</f>
        <v>27</v>
      </c>
      <c r="S204" s="72"/>
      <c r="T204">
        <v>16</v>
      </c>
      <c r="U204" t="str">
        <v>NOLA</v>
      </c>
      <c r="V204" t="str">
        <v>Joe Taufete'e</v>
      </c>
      <c r="W204" t="str">
        <v>NULL</v>
      </c>
      <c r="X204" t="str">
        <v>Away</v>
      </c>
      <c r="Y204" t="str">
        <v>CHI</v>
      </c>
      <c r="Z204">
        <v>3.6329793064268605</v>
      </c>
    </row>
    <row r="205" spans="10:26" x14ac:dyDescent="0.35">
      <c r="J205" s="66">
        <v>8</v>
      </c>
      <c r="K205" t="s">
        <v>6</v>
      </c>
      <c r="L205" t="s">
        <v>555</v>
      </c>
      <c r="M205">
        <v>11.1</v>
      </c>
      <c r="N205" t="s">
        <v>9</v>
      </c>
      <c r="O205" t="s">
        <v>36</v>
      </c>
      <c r="P205">
        <f t="shared" si="20"/>
        <v>7.223424736463854</v>
      </c>
      <c r="Q205">
        <f t="shared" si="19"/>
        <v>15.027835773860337</v>
      </c>
      <c r="R205" s="67" cm="1">
        <f t="array" ref="R205">SUMPRODUCT((J205=$J$7:$J$1000)*(P205&lt;$P$7:$P$1000))+1</f>
        <v>3</v>
      </c>
      <c r="S205" s="72"/>
      <c r="T205">
        <v>16</v>
      </c>
      <c r="U205" t="str">
        <v>NOLA</v>
      </c>
      <c r="V205" t="str">
        <v>Matt Harmon</v>
      </c>
      <c r="W205" t="str">
        <v>NULL</v>
      </c>
      <c r="X205" t="str">
        <v>Away</v>
      </c>
      <c r="Y205" t="str">
        <v>CHI</v>
      </c>
      <c r="Z205">
        <v>2.2742811534062803</v>
      </c>
    </row>
    <row r="206" spans="10:26" x14ac:dyDescent="0.35">
      <c r="J206" s="66">
        <v>8</v>
      </c>
      <c r="K206" t="s">
        <v>2</v>
      </c>
      <c r="L206" t="s">
        <v>156</v>
      </c>
      <c r="M206">
        <v>7.6</v>
      </c>
      <c r="N206" t="s">
        <v>9</v>
      </c>
      <c r="O206" t="s">
        <v>34</v>
      </c>
      <c r="P206">
        <f t="shared" si="20"/>
        <v>9.1567192489151363</v>
      </c>
      <c r="Q206">
        <f t="shared" si="19"/>
        <v>2.4233748199429073</v>
      </c>
      <c r="R206" s="67" cm="1">
        <f t="array" ref="R206">SUMPRODUCT((J206=$J$7:$J$1000)*(P206&lt;$P$7:$P$1000))+1</f>
        <v>2</v>
      </c>
      <c r="S206" s="72"/>
      <c r="T206">
        <v>16</v>
      </c>
      <c r="U206" t="str">
        <v>NOLA</v>
      </c>
      <c r="V206" t="str">
        <v>Pat O'Toole</v>
      </c>
      <c r="W206" t="str">
        <v>NULL</v>
      </c>
      <c r="X206" t="str">
        <v>Away</v>
      </c>
      <c r="Y206" t="str">
        <v>CHI</v>
      </c>
      <c r="Z206">
        <v>10.942172585721524</v>
      </c>
    </row>
    <row r="207" spans="10:26" x14ac:dyDescent="0.35">
      <c r="J207" s="66">
        <v>8</v>
      </c>
      <c r="K207" t="s">
        <v>34</v>
      </c>
      <c r="L207" t="s">
        <v>462</v>
      </c>
      <c r="M207">
        <v>6.9</v>
      </c>
      <c r="N207" t="s">
        <v>3</v>
      </c>
      <c r="O207" t="s">
        <v>2</v>
      </c>
      <c r="P207">
        <f t="shared" si="20"/>
        <v>10.795775833195471</v>
      </c>
      <c r="Q207">
        <f t="shared" si="19"/>
        <v>15.177069342509862</v>
      </c>
      <c r="R207" s="67" cm="1">
        <f t="array" ref="R207">SUMPRODUCT((J207=$J$7:$J$1000)*(P207&lt;$P$7:$P$1000))+1</f>
        <v>1</v>
      </c>
      <c r="S207" s="72"/>
      <c r="T207">
        <v>16</v>
      </c>
      <c r="U207" t="str">
        <v>NOLA</v>
      </c>
      <c r="V207" t="str">
        <v>Paul Mullen</v>
      </c>
      <c r="W207" t="str">
        <v>NULL</v>
      </c>
      <c r="X207" t="str">
        <v>Away</v>
      </c>
      <c r="Y207" t="str">
        <v>CHI</v>
      </c>
      <c r="Z207">
        <v>3.1071728151718725</v>
      </c>
    </row>
    <row r="208" spans="10:26" x14ac:dyDescent="0.35">
      <c r="J208" s="66">
        <v>8</v>
      </c>
      <c r="K208" t="s">
        <v>14</v>
      </c>
      <c r="L208" t="s">
        <v>181</v>
      </c>
      <c r="M208">
        <v>6.8</v>
      </c>
      <c r="N208" t="s">
        <v>3</v>
      </c>
      <c r="O208" t="s">
        <v>4</v>
      </c>
      <c r="P208">
        <f t="shared" si="20"/>
        <v>5.2037316611428643</v>
      </c>
      <c r="Q208">
        <f t="shared" si="19"/>
        <v>2.5480726096377189</v>
      </c>
      <c r="R208" s="67" cm="1">
        <f t="array" ref="R208">SUMPRODUCT((J208=$J$7:$J$1000)*(P208&lt;$P$7:$P$1000))+1</f>
        <v>7</v>
      </c>
      <c r="S208" s="72"/>
      <c r="T208">
        <v>16</v>
      </c>
      <c r="U208" t="str">
        <v>NOLA</v>
      </c>
      <c r="V208" t="str">
        <v>Tyler Matchem</v>
      </c>
      <c r="W208" t="str">
        <v>NULL</v>
      </c>
      <c r="X208" t="str">
        <v>Away</v>
      </c>
      <c r="Y208" t="str">
        <v>CHI</v>
      </c>
      <c r="Z208">
        <v>0.76089012155498159</v>
      </c>
    </row>
    <row r="209" spans="10:26" x14ac:dyDescent="0.35">
      <c r="J209" s="66">
        <v>8</v>
      </c>
      <c r="K209" t="s">
        <v>36</v>
      </c>
      <c r="L209" t="s">
        <v>157</v>
      </c>
      <c r="M209">
        <v>6.3</v>
      </c>
      <c r="N209" t="s">
        <v>3</v>
      </c>
      <c r="O209" t="s">
        <v>6</v>
      </c>
      <c r="P209">
        <f t="shared" si="20"/>
        <v>4.4775788251895694</v>
      </c>
      <c r="Q209">
        <f t="shared" si="19"/>
        <v>3.3212189383974295</v>
      </c>
      <c r="R209" s="67" cm="1">
        <f t="array" ref="R209">SUMPRODUCT((J209=$J$7:$J$1000)*(P209&lt;$P$7:$P$1000))+1</f>
        <v>13</v>
      </c>
      <c r="S209" s="72"/>
      <c r="T209">
        <v>16</v>
      </c>
      <c r="U209" t="str">
        <v>OGDC</v>
      </c>
      <c r="V209" t="str">
        <v>Cali Martinez</v>
      </c>
      <c r="W209" t="str">
        <v>NULL</v>
      </c>
      <c r="X209" t="str">
        <v>Home</v>
      </c>
      <c r="Y209" t="str">
        <v>LA</v>
      </c>
      <c r="Z209">
        <v>3.7273846047097985</v>
      </c>
    </row>
    <row r="210" spans="10:26" x14ac:dyDescent="0.35">
      <c r="J210" s="66">
        <v>8</v>
      </c>
      <c r="K210" t="s">
        <v>14</v>
      </c>
      <c r="L210" t="s">
        <v>143</v>
      </c>
      <c r="M210">
        <v>5.4</v>
      </c>
      <c r="N210" t="s">
        <v>3</v>
      </c>
      <c r="O210" t="s">
        <v>4</v>
      </c>
      <c r="P210">
        <f t="shared" si="20"/>
        <v>3.5942650462035513</v>
      </c>
      <c r="Q210">
        <f t="shared" si="19"/>
        <v>3.2606787233622643</v>
      </c>
      <c r="R210" s="67" cm="1">
        <f t="array" ref="R210">SUMPRODUCT((J210=$J$7:$J$1000)*(P210&lt;$P$7:$P$1000))+1</f>
        <v>20</v>
      </c>
      <c r="S210" s="72"/>
      <c r="T210">
        <v>16</v>
      </c>
      <c r="U210" t="str">
        <v>OGDC</v>
      </c>
      <c r="V210" t="str">
        <v>Facundo Gattas</v>
      </c>
      <c r="W210" t="str">
        <v>NULL</v>
      </c>
      <c r="X210" t="str">
        <v>Home</v>
      </c>
      <c r="Y210" t="str">
        <v>LA</v>
      </c>
      <c r="Z210">
        <v>5.8319161911755284</v>
      </c>
    </row>
    <row r="211" spans="10:26" x14ac:dyDescent="0.35">
      <c r="J211" s="66">
        <v>8</v>
      </c>
      <c r="K211" t="s">
        <v>34</v>
      </c>
      <c r="L211" t="s">
        <v>177</v>
      </c>
      <c r="M211">
        <v>5.3</v>
      </c>
      <c r="N211" t="s">
        <v>3</v>
      </c>
      <c r="O211" t="s">
        <v>2</v>
      </c>
      <c r="P211">
        <f t="shared" si="20"/>
        <v>4.6512011163058862</v>
      </c>
      <c r="Q211">
        <f t="shared" si="19"/>
        <v>0.42093999148272798</v>
      </c>
      <c r="R211" s="67" cm="1">
        <f t="array" ref="R211">SUMPRODUCT((J211=$J$7:$J$1000)*(P211&lt;$P$7:$P$1000))+1</f>
        <v>12</v>
      </c>
      <c r="S211" s="72"/>
      <c r="T211">
        <v>16</v>
      </c>
      <c r="U211" t="str">
        <v>OGDC</v>
      </c>
      <c r="V211" t="str">
        <v>Jack Iscaro</v>
      </c>
      <c r="W211" t="str">
        <v>NULL</v>
      </c>
      <c r="X211" t="str">
        <v>Home</v>
      </c>
      <c r="Y211" t="str">
        <v>LA</v>
      </c>
      <c r="Z211">
        <v>5.2680774573326783</v>
      </c>
    </row>
    <row r="212" spans="10:26" x14ac:dyDescent="0.35">
      <c r="J212" s="66">
        <v>8</v>
      </c>
      <c r="K212" t="s">
        <v>24</v>
      </c>
      <c r="L212" t="s">
        <v>168</v>
      </c>
      <c r="M212">
        <v>4.8</v>
      </c>
      <c r="N212" t="s">
        <v>9</v>
      </c>
      <c r="O212" t="s">
        <v>23</v>
      </c>
      <c r="P212">
        <f t="shared" si="20"/>
        <v>5.3858129626355957</v>
      </c>
      <c r="Q212">
        <f t="shared" si="19"/>
        <v>0.34317682719189407</v>
      </c>
      <c r="R212" s="67" cm="1">
        <f t="array" ref="R212">SUMPRODUCT((J212=$J$7:$J$1000)*(P212&lt;$P$7:$P$1000))+1</f>
        <v>6</v>
      </c>
      <c r="S212" s="72"/>
      <c r="T212">
        <v>16</v>
      </c>
      <c r="U212" t="str">
        <v>OGDC</v>
      </c>
      <c r="V212" t="str">
        <v>Joe Rees</v>
      </c>
      <c r="W212" t="str">
        <v>NULL</v>
      </c>
      <c r="X212" t="str">
        <v>Home</v>
      </c>
      <c r="Y212" t="str">
        <v>LA</v>
      </c>
      <c r="Z212">
        <v>0.89359958863324718</v>
      </c>
    </row>
    <row r="213" spans="10:26" x14ac:dyDescent="0.35">
      <c r="J213" s="66">
        <v>8</v>
      </c>
      <c r="K213" t="s">
        <v>34</v>
      </c>
      <c r="L213" t="s">
        <v>153</v>
      </c>
      <c r="M213">
        <v>4.7</v>
      </c>
      <c r="N213" t="s">
        <v>3</v>
      </c>
      <c r="O213" t="s">
        <v>2</v>
      </c>
      <c r="P213">
        <f t="shared" si="20"/>
        <v>4.136893793718265</v>
      </c>
      <c r="Q213">
        <f t="shared" si="19"/>
        <v>0.31708859955300805</v>
      </c>
      <c r="R213" s="67" cm="1">
        <f t="array" ref="R213">SUMPRODUCT((J213=$J$7:$J$1000)*(P213&lt;$P$7:$P$1000))+1</f>
        <v>15</v>
      </c>
      <c r="S213" s="72"/>
      <c r="T213">
        <v>16</v>
      </c>
      <c r="U213" t="str">
        <v>OGDC</v>
      </c>
      <c r="V213" t="str">
        <v>Joe Wrafter</v>
      </c>
      <c r="W213" t="str">
        <v>NULL</v>
      </c>
      <c r="X213" t="str">
        <v>Home</v>
      </c>
      <c r="Y213" t="str">
        <v>LA</v>
      </c>
      <c r="Z213">
        <v>-2.2933001257545911</v>
      </c>
    </row>
    <row r="214" spans="10:26" x14ac:dyDescent="0.35">
      <c r="J214" s="66">
        <v>8</v>
      </c>
      <c r="K214" t="s">
        <v>6</v>
      </c>
      <c r="L214" t="s">
        <v>417</v>
      </c>
      <c r="M214">
        <v>4.5</v>
      </c>
      <c r="N214" t="s">
        <v>9</v>
      </c>
      <c r="O214" t="s">
        <v>36</v>
      </c>
      <c r="P214">
        <f t="shared" si="20"/>
        <v>4.7753845425439359</v>
      </c>
      <c r="Q214">
        <f t="shared" si="19"/>
        <v>7.583664627213281E-2</v>
      </c>
      <c r="R214" s="67" cm="1">
        <f t="array" ref="R214">SUMPRODUCT((J214=$J$7:$J$1000)*(P214&lt;$P$7:$P$1000))+1</f>
        <v>11</v>
      </c>
      <c r="S214" s="72"/>
      <c r="T214">
        <v>16</v>
      </c>
      <c r="U214" t="str">
        <v>OGDC</v>
      </c>
      <c r="V214" t="str">
        <v>KoiKoi Nelligan</v>
      </c>
      <c r="W214" t="str">
        <v>NULL</v>
      </c>
      <c r="X214" t="str">
        <v>Home</v>
      </c>
      <c r="Y214" t="str">
        <v>LA</v>
      </c>
      <c r="Z214">
        <v>5.2510067895104857</v>
      </c>
    </row>
    <row r="215" spans="10:26" x14ac:dyDescent="0.35">
      <c r="J215" s="66">
        <v>8</v>
      </c>
      <c r="K215" t="s">
        <v>7</v>
      </c>
      <c r="L215" t="s">
        <v>158</v>
      </c>
      <c r="M215">
        <v>4.4000000000000004</v>
      </c>
      <c r="N215" t="s">
        <v>3</v>
      </c>
      <c r="O215" t="s">
        <v>17</v>
      </c>
      <c r="P215">
        <f t="shared" si="20"/>
        <v>4.9423350101505923</v>
      </c>
      <c r="Q215">
        <f t="shared" si="19"/>
        <v>0.29412726323504268</v>
      </c>
      <c r="R215" s="67" cm="1">
        <f t="array" ref="R215">SUMPRODUCT((J215=$J$7:$J$1000)*(P215&lt;$P$7:$P$1000))+1</f>
        <v>9</v>
      </c>
      <c r="S215" s="72"/>
      <c r="T215">
        <v>16</v>
      </c>
      <c r="U215" t="str">
        <v>OGDC</v>
      </c>
      <c r="V215" t="str">
        <v>Martin Vaca</v>
      </c>
      <c r="W215" t="str">
        <v>NULL</v>
      </c>
      <c r="X215" t="str">
        <v>Home</v>
      </c>
      <c r="Y215" t="str">
        <v>LA</v>
      </c>
      <c r="Z215">
        <v>8.1656983069688174</v>
      </c>
    </row>
    <row r="216" spans="10:26" x14ac:dyDescent="0.35">
      <c r="J216" s="66">
        <v>8</v>
      </c>
      <c r="K216" t="s">
        <v>2</v>
      </c>
      <c r="L216" t="s">
        <v>185</v>
      </c>
      <c r="M216">
        <v>4.3</v>
      </c>
      <c r="N216" t="s">
        <v>9</v>
      </c>
      <c r="O216" t="s">
        <v>34</v>
      </c>
      <c r="P216">
        <f t="shared" si="20"/>
        <v>5.0101751105744503</v>
      </c>
      <c r="Q216">
        <f t="shared" si="19"/>
        <v>0.50434868767943297</v>
      </c>
      <c r="R216" s="67" cm="1">
        <f t="array" ref="R216">SUMPRODUCT((J216=$J$7:$J$1000)*(P216&lt;$P$7:$P$1000))+1</f>
        <v>8</v>
      </c>
      <c r="S216" s="72"/>
      <c r="T216">
        <v>16</v>
      </c>
      <c r="U216" t="str">
        <v>OGDC</v>
      </c>
      <c r="V216" t="str">
        <v>Sam Davies</v>
      </c>
      <c r="W216" t="str">
        <v>NULL</v>
      </c>
      <c r="X216" t="str">
        <v>Home</v>
      </c>
      <c r="Y216" t="str">
        <v>LA</v>
      </c>
      <c r="Z216">
        <v>3.2491498425865748</v>
      </c>
    </row>
    <row r="217" spans="10:26" x14ac:dyDescent="0.35">
      <c r="J217" s="66">
        <v>8</v>
      </c>
      <c r="K217" t="s">
        <v>2</v>
      </c>
      <c r="L217" t="s">
        <v>159</v>
      </c>
      <c r="M217">
        <v>4.0999999999999996</v>
      </c>
      <c r="N217" t="s">
        <v>9</v>
      </c>
      <c r="O217" t="s">
        <v>34</v>
      </c>
      <c r="P217">
        <f t="shared" si="20"/>
        <v>3.722537022137911</v>
      </c>
      <c r="Q217">
        <f t="shared" si="19"/>
        <v>0.14247829965651559</v>
      </c>
      <c r="R217" s="67" cm="1">
        <f t="array" ref="R217">SUMPRODUCT((J217=$J$7:$J$1000)*(P217&lt;$P$7:$P$1000))+1</f>
        <v>18</v>
      </c>
      <c r="S217" s="72"/>
      <c r="T217">
        <v>16</v>
      </c>
      <c r="U217" t="str">
        <v>SDL</v>
      </c>
      <c r="V217" t="str">
        <v>Brook To'omalatai</v>
      </c>
      <c r="W217" t="str">
        <v>NULL</v>
      </c>
      <c r="X217" t="str">
        <v>Away</v>
      </c>
      <c r="Y217" t="str">
        <v>MIA</v>
      </c>
      <c r="Z217">
        <v>2.9559230956079272</v>
      </c>
    </row>
    <row r="218" spans="10:26" x14ac:dyDescent="0.35">
      <c r="J218" s="66">
        <v>8</v>
      </c>
      <c r="K218" t="s">
        <v>6</v>
      </c>
      <c r="L218" t="s">
        <v>503</v>
      </c>
      <c r="M218">
        <v>4.0999999999999996</v>
      </c>
      <c r="N218" t="s">
        <v>9</v>
      </c>
      <c r="O218" t="s">
        <v>36</v>
      </c>
      <c r="P218">
        <f t="shared" si="20"/>
        <v>2.3404897103414708</v>
      </c>
      <c r="Q218">
        <f t="shared" si="19"/>
        <v>3.0958764594142401</v>
      </c>
      <c r="R218" s="67" cm="1">
        <f t="array" ref="R218">SUMPRODUCT((J218=$J$7:$J$1000)*(P218&lt;$P$7:$P$1000))+1</f>
        <v>24</v>
      </c>
      <c r="S218" s="72"/>
      <c r="T218">
        <v>16</v>
      </c>
      <c r="U218" t="str">
        <v>SDL</v>
      </c>
      <c r="V218" t="str">
        <v>Darcy Breen</v>
      </c>
      <c r="W218" t="str">
        <v>NULL</v>
      </c>
      <c r="X218" t="str">
        <v>Away</v>
      </c>
      <c r="Y218" t="str">
        <v>MIA</v>
      </c>
      <c r="Z218">
        <v>3.7487736013909485</v>
      </c>
    </row>
    <row r="219" spans="10:26" x14ac:dyDescent="0.35">
      <c r="J219" s="66">
        <v>8</v>
      </c>
      <c r="K219" t="s">
        <v>23</v>
      </c>
      <c r="L219" t="s">
        <v>144</v>
      </c>
      <c r="M219">
        <v>3.6</v>
      </c>
      <c r="N219" t="s">
        <v>3</v>
      </c>
      <c r="O219" t="s">
        <v>24</v>
      </c>
      <c r="P219">
        <f t="shared" si="20"/>
        <v>5.9831582351894923</v>
      </c>
      <c r="Q219">
        <f t="shared" si="19"/>
        <v>5.679443173951495</v>
      </c>
      <c r="R219" s="67" cm="1">
        <f t="array" ref="R219">SUMPRODUCT((J219=$J$7:$J$1000)*(P219&lt;$P$7:$P$1000))+1</f>
        <v>5</v>
      </c>
      <c r="S219" s="72"/>
      <c r="T219">
        <v>16</v>
      </c>
      <c r="U219" t="str">
        <v>SDL</v>
      </c>
      <c r="V219" t="str">
        <v>Djustice Sears-Duru</v>
      </c>
      <c r="W219" t="str">
        <v>NULL</v>
      </c>
      <c r="X219" t="str">
        <v>Away</v>
      </c>
      <c r="Y219" t="str">
        <v>MIA</v>
      </c>
      <c r="Z219">
        <v>5.6598312904029919</v>
      </c>
    </row>
    <row r="220" spans="10:26" x14ac:dyDescent="0.35">
      <c r="J220" s="66">
        <v>8</v>
      </c>
      <c r="K220" t="s">
        <v>17</v>
      </c>
      <c r="L220" t="s">
        <v>149</v>
      </c>
      <c r="M220">
        <v>3.3</v>
      </c>
      <c r="N220" t="s">
        <v>9</v>
      </c>
      <c r="O220" t="s">
        <v>7</v>
      </c>
      <c r="P220">
        <f t="shared" si="20"/>
        <v>4.8409755690113307</v>
      </c>
      <c r="Q220">
        <f t="shared" si="19"/>
        <v>2.3746057042897952</v>
      </c>
      <c r="R220" s="67" cm="1">
        <f t="array" ref="R220">SUMPRODUCT((J220=$J$7:$J$1000)*(P220&lt;$P$7:$P$1000))+1</f>
        <v>10</v>
      </c>
      <c r="S220" s="72"/>
      <c r="T220">
        <v>16</v>
      </c>
      <c r="U220" t="str">
        <v>SDL</v>
      </c>
      <c r="V220" t="str">
        <v>Hugh Roach</v>
      </c>
      <c r="W220" t="str">
        <v>NULL</v>
      </c>
      <c r="X220" t="str">
        <v>Away</v>
      </c>
      <c r="Y220" t="str">
        <v>MIA</v>
      </c>
      <c r="Z220">
        <v>7.068754190567395</v>
      </c>
    </row>
    <row r="221" spans="10:26" x14ac:dyDescent="0.35">
      <c r="J221" s="66">
        <v>8</v>
      </c>
      <c r="K221" t="s">
        <v>7</v>
      </c>
      <c r="L221" t="s">
        <v>148</v>
      </c>
      <c r="M221">
        <v>3.2</v>
      </c>
      <c r="N221" t="s">
        <v>3</v>
      </c>
      <c r="O221" t="s">
        <v>17</v>
      </c>
      <c r="P221">
        <f t="shared" si="20"/>
        <v>2.8378034236848615</v>
      </c>
      <c r="Q221">
        <f t="shared" si="19"/>
        <v>0.13118635989440808</v>
      </c>
      <c r="R221" s="67" cm="1">
        <f t="array" ref="R221">SUMPRODUCT((J221=$J$7:$J$1000)*(P221&lt;$P$7:$P$1000))+1</f>
        <v>22</v>
      </c>
      <c r="S221" s="72"/>
      <c r="T221">
        <v>16</v>
      </c>
      <c r="U221" t="str">
        <v>SDL</v>
      </c>
      <c r="V221" t="str">
        <v>Nathan Sylvia</v>
      </c>
      <c r="W221" t="str">
        <v>NULL</v>
      </c>
      <c r="X221" t="str">
        <v>Away</v>
      </c>
      <c r="Y221" t="str">
        <v>MIA</v>
      </c>
      <c r="Z221">
        <v>1.8768275734058664</v>
      </c>
    </row>
    <row r="222" spans="10:26" x14ac:dyDescent="0.35">
      <c r="J222" s="66">
        <v>8</v>
      </c>
      <c r="K222" t="s">
        <v>17</v>
      </c>
      <c r="L222" t="s">
        <v>480</v>
      </c>
      <c r="M222">
        <v>3.2</v>
      </c>
      <c r="N222" t="s">
        <v>9</v>
      </c>
      <c r="O222" t="s">
        <v>7</v>
      </c>
      <c r="P222">
        <f t="shared" si="20"/>
        <v>3.8142216530265349</v>
      </c>
      <c r="Q222">
        <f t="shared" si="19"/>
        <v>0.37726823904664886</v>
      </c>
      <c r="R222" s="67" cm="1">
        <f t="array" ref="R222">SUMPRODUCT((J222=$J$7:$J$1000)*(P222&lt;$P$7:$P$1000))+1</f>
        <v>16</v>
      </c>
      <c r="S222" s="72"/>
      <c r="T222">
        <v>16</v>
      </c>
      <c r="U222" t="str">
        <v>SDL</v>
      </c>
      <c r="V222" t="str">
        <v>Payton Telea-Ilalio</v>
      </c>
      <c r="W222" t="str">
        <v>NULL</v>
      </c>
      <c r="X222" t="str">
        <v>Away</v>
      </c>
      <c r="Y222" t="str">
        <v>MIA</v>
      </c>
      <c r="Z222">
        <v>4.2630809239785696</v>
      </c>
    </row>
    <row r="223" spans="10:26" x14ac:dyDescent="0.35">
      <c r="J223" s="66">
        <v>8</v>
      </c>
      <c r="K223" t="s">
        <v>36</v>
      </c>
      <c r="L223" t="s">
        <v>283</v>
      </c>
      <c r="M223">
        <v>3</v>
      </c>
      <c r="N223" t="s">
        <v>3</v>
      </c>
      <c r="O223" t="s">
        <v>6</v>
      </c>
      <c r="P223">
        <f t="shared" si="20"/>
        <v>6.1028929856534901</v>
      </c>
      <c r="Q223">
        <f t="shared" si="19"/>
        <v>9.6279448804176297</v>
      </c>
      <c r="R223" s="67" cm="1">
        <f t="array" ref="R223">SUMPRODUCT((J223=$J$7:$J$1000)*(P223&lt;$P$7:$P$1000))+1</f>
        <v>4</v>
      </c>
      <c r="S223" s="72"/>
      <c r="T223">
        <v>16</v>
      </c>
      <c r="U223" t="str">
        <v>SDL</v>
      </c>
      <c r="V223" t="str">
        <v>Shilo Klein</v>
      </c>
      <c r="W223" t="str">
        <v>NULL</v>
      </c>
      <c r="X223" t="str">
        <v>Away</v>
      </c>
      <c r="Y223" t="str">
        <v>MIA</v>
      </c>
      <c r="Z223">
        <v>10.407655640868155</v>
      </c>
    </row>
    <row r="224" spans="10:26" x14ac:dyDescent="0.35">
      <c r="J224" s="66">
        <v>8</v>
      </c>
      <c r="K224" t="s">
        <v>23</v>
      </c>
      <c r="L224" t="s">
        <v>506</v>
      </c>
      <c r="M224">
        <v>3</v>
      </c>
      <c r="N224" t="s">
        <v>3</v>
      </c>
      <c r="O224" t="s">
        <v>24</v>
      </c>
      <c r="P224">
        <f t="shared" si="20"/>
        <v>1.8919663448311095</v>
      </c>
      <c r="Q224">
        <f t="shared" si="19"/>
        <v>1.2277385809869319</v>
      </c>
      <c r="R224" s="67" cm="1">
        <f t="array" ref="R224">SUMPRODUCT((J224=$J$7:$J$1000)*(P224&lt;$P$7:$P$1000))+1</f>
        <v>26</v>
      </c>
      <c r="S224" s="72"/>
      <c r="T224">
        <v>16</v>
      </c>
      <c r="U224" t="str">
        <v>SEA</v>
      </c>
      <c r="V224" t="str">
        <v>Cameron Orr</v>
      </c>
      <c r="W224" t="str">
        <v>NULL</v>
      </c>
      <c r="X224" t="str">
        <v>Away</v>
      </c>
      <c r="Y224" t="str">
        <v>NEFJ</v>
      </c>
      <c r="Z224">
        <v>5.7073333561512003</v>
      </c>
    </row>
    <row r="225" spans="10:26" x14ac:dyDescent="0.35">
      <c r="J225" s="66">
        <v>8</v>
      </c>
      <c r="K225" t="s">
        <v>4</v>
      </c>
      <c r="L225" t="s">
        <v>165</v>
      </c>
      <c r="M225">
        <v>3</v>
      </c>
      <c r="N225" t="s">
        <v>9</v>
      </c>
      <c r="O225" t="s">
        <v>14</v>
      </c>
      <c r="P225">
        <f t="shared" si="20"/>
        <v>4.231088429426948</v>
      </c>
      <c r="Q225">
        <f t="shared" si="19"/>
        <v>1.5155787210689093</v>
      </c>
      <c r="R225" s="67" cm="1">
        <f t="array" ref="R225">SUMPRODUCT((J225=$J$7:$J$1000)*(P225&lt;$P$7:$P$1000))+1</f>
        <v>14</v>
      </c>
      <c r="S225" s="72"/>
      <c r="T225">
        <v>16</v>
      </c>
      <c r="U225" t="str">
        <v>SEA</v>
      </c>
      <c r="V225" t="str">
        <v>Dewald Kotze</v>
      </c>
      <c r="W225" t="str">
        <v>NULL</v>
      </c>
      <c r="X225" t="str">
        <v>Away</v>
      </c>
      <c r="Y225" t="str">
        <v>NEFJ</v>
      </c>
      <c r="Z225">
        <v>5.4358672551404359</v>
      </c>
    </row>
    <row r="226" spans="10:26" x14ac:dyDescent="0.35">
      <c r="J226" s="66">
        <v>8</v>
      </c>
      <c r="K226" t="s">
        <v>4</v>
      </c>
      <c r="L226" t="s">
        <v>172</v>
      </c>
      <c r="M226">
        <v>3</v>
      </c>
      <c r="N226" t="s">
        <v>9</v>
      </c>
      <c r="O226" t="s">
        <v>14</v>
      </c>
      <c r="P226">
        <f t="shared" si="20"/>
        <v>2.8723902764063673</v>
      </c>
      <c r="Q226">
        <f t="shared" si="19"/>
        <v>1.6284241555643324E-2</v>
      </c>
      <c r="R226" s="67" cm="1">
        <f t="array" ref="R226">SUMPRODUCT((J226=$J$7:$J$1000)*(P226&lt;$P$7:$P$1000))+1</f>
        <v>21</v>
      </c>
      <c r="S226" s="72"/>
      <c r="T226">
        <v>16</v>
      </c>
      <c r="U226" t="str">
        <v>SEA</v>
      </c>
      <c r="V226" t="str">
        <v>Juan Pablo Zeiss</v>
      </c>
      <c r="W226" t="str">
        <v>NULL</v>
      </c>
      <c r="X226" t="str">
        <v>Away</v>
      </c>
      <c r="Y226" t="str">
        <v>NEFJ</v>
      </c>
      <c r="Z226">
        <v>3.1071445122458328</v>
      </c>
    </row>
    <row r="227" spans="10:26" x14ac:dyDescent="0.35">
      <c r="J227" s="66">
        <v>8</v>
      </c>
      <c r="K227" t="s">
        <v>36</v>
      </c>
      <c r="L227" t="s">
        <v>415</v>
      </c>
      <c r="M227">
        <v>2.7</v>
      </c>
      <c r="N227" t="s">
        <v>3</v>
      </c>
      <c r="O227" t="s">
        <v>6</v>
      </c>
      <c r="P227">
        <f t="shared" si="20"/>
        <v>3.5946637236963714</v>
      </c>
      <c r="Q227">
        <f t="shared" si="19"/>
        <v>0.80042317849825695</v>
      </c>
      <c r="R227" s="67" cm="1">
        <f t="array" ref="R227">SUMPRODUCT((J227=$J$7:$J$1000)*(P227&lt;$P$7:$P$1000))+1</f>
        <v>19</v>
      </c>
      <c r="S227" s="72"/>
      <c r="T227">
        <v>16</v>
      </c>
      <c r="U227" t="str">
        <v>SEA</v>
      </c>
      <c r="V227" t="str">
        <v>Kerron van Vuuren</v>
      </c>
      <c r="W227" t="str">
        <v>NULL</v>
      </c>
      <c r="X227" t="str">
        <v>Away</v>
      </c>
      <c r="Y227" t="str">
        <v>NEFJ</v>
      </c>
      <c r="Z227">
        <v>4.6805794401664045</v>
      </c>
    </row>
    <row r="228" spans="10:26" x14ac:dyDescent="0.35">
      <c r="J228" s="66">
        <v>8</v>
      </c>
      <c r="K228" t="s">
        <v>24</v>
      </c>
      <c r="L228" t="s">
        <v>142</v>
      </c>
      <c r="M228">
        <v>2.4</v>
      </c>
      <c r="N228" t="s">
        <v>9</v>
      </c>
      <c r="O228" t="s">
        <v>23</v>
      </c>
      <c r="P228">
        <f t="shared" si="20"/>
        <v>-8.1070149122487833E-2</v>
      </c>
      <c r="Q228">
        <f t="shared" si="19"/>
        <v>6.1557090848666824</v>
      </c>
      <c r="R228" s="67" cm="1">
        <f t="array" ref="R228">SUMPRODUCT((J228=$J$7:$J$1000)*(P228&lt;$P$7:$P$1000))+1</f>
        <v>29</v>
      </c>
      <c r="S228" s="72"/>
      <c r="T228">
        <v>16</v>
      </c>
      <c r="U228" t="str">
        <v>SEA</v>
      </c>
      <c r="V228" t="str">
        <v>Mason Pedersen</v>
      </c>
      <c r="W228" t="str">
        <v>NULL</v>
      </c>
      <c r="X228" t="str">
        <v>Away</v>
      </c>
      <c r="Y228" t="str">
        <v>NEFJ</v>
      </c>
      <c r="Z228">
        <v>5.1578346155051715</v>
      </c>
    </row>
    <row r="229" spans="10:26" x14ac:dyDescent="0.35">
      <c r="J229" s="66">
        <v>8</v>
      </c>
      <c r="K229" t="s">
        <v>4</v>
      </c>
      <c r="L229" t="s">
        <v>523</v>
      </c>
      <c r="M229">
        <v>2.4</v>
      </c>
      <c r="N229" t="s">
        <v>9</v>
      </c>
      <c r="O229" t="s">
        <v>14</v>
      </c>
      <c r="P229">
        <f t="shared" si="20"/>
        <v>2.6494540743822244</v>
      </c>
      <c r="Q229">
        <f t="shared" si="19"/>
        <v>6.2227335225892369E-2</v>
      </c>
      <c r="R229" s="67" cm="1">
        <f t="array" ref="R229">SUMPRODUCT((J229=$J$7:$J$1000)*(P229&lt;$P$7:$P$1000))+1</f>
        <v>23</v>
      </c>
      <c r="S229" s="72"/>
      <c r="T229">
        <v>16</v>
      </c>
      <c r="U229" t="str">
        <v>UTAH</v>
      </c>
      <c r="V229" t="str">
        <v>Aki Seiuli</v>
      </c>
      <c r="W229" t="str">
        <v>NULL</v>
      </c>
      <c r="X229" t="str">
        <v>Home</v>
      </c>
      <c r="Y229" t="str">
        <v>ARC</v>
      </c>
      <c r="Z229">
        <v>6.6801671655589239</v>
      </c>
    </row>
    <row r="230" spans="10:26" x14ac:dyDescent="0.35">
      <c r="J230" s="65">
        <v>8</v>
      </c>
      <c r="K230" t="s">
        <v>14</v>
      </c>
      <c r="L230" t="s">
        <v>164</v>
      </c>
      <c r="M230">
        <v>2.2000000000000002</v>
      </c>
      <c r="N230" t="s">
        <v>3</v>
      </c>
      <c r="O230" t="s">
        <v>4</v>
      </c>
      <c r="P230">
        <f t="shared" si="20"/>
        <v>3.7877130319341137</v>
      </c>
      <c r="Q230">
        <f t="shared" si="19"/>
        <v>2.5208326717734155</v>
      </c>
      <c r="R230" s="67" cm="1">
        <f t="array" ref="R230">SUMPRODUCT((J230=$J$7:$J$1000)*(P230&lt;$P$7:$P$1000))+1</f>
        <v>17</v>
      </c>
      <c r="S230" s="72"/>
      <c r="T230">
        <v>16</v>
      </c>
      <c r="U230" t="str">
        <v>UTAH</v>
      </c>
      <c r="V230" t="str">
        <v>Angus MacLellan</v>
      </c>
      <c r="W230" t="str">
        <v>NULL</v>
      </c>
      <c r="X230" t="str">
        <v>Home</v>
      </c>
      <c r="Y230" t="str">
        <v>ARC</v>
      </c>
      <c r="Z230">
        <v>2.8135711481833932</v>
      </c>
    </row>
    <row r="231" spans="10:26" x14ac:dyDescent="0.35">
      <c r="J231" s="66">
        <v>8</v>
      </c>
      <c r="K231" t="s">
        <v>24</v>
      </c>
      <c r="L231" t="s">
        <v>640</v>
      </c>
      <c r="M231">
        <v>1.5</v>
      </c>
      <c r="N231" t="s">
        <v>9</v>
      </c>
      <c r="O231" t="s">
        <v>23</v>
      </c>
      <c r="P231">
        <f t="shared" si="20"/>
        <v>1.5265677748099566</v>
      </c>
      <c r="Q231">
        <f t="shared" si="19"/>
        <v>7.058466583525669E-4</v>
      </c>
      <c r="R231" s="67" cm="1">
        <f t="array" ref="R231">SUMPRODUCT((J231=$J$7:$J$1000)*(P231&lt;$P$7:$P$1000))+1</f>
        <v>27</v>
      </c>
      <c r="S231" s="72"/>
      <c r="T231">
        <v>16</v>
      </c>
      <c r="U231" t="str">
        <v>UTAH</v>
      </c>
      <c r="V231" t="str">
        <v>Emerson Prior</v>
      </c>
      <c r="W231" t="str">
        <v>NULL</v>
      </c>
      <c r="X231" t="str">
        <v>Home</v>
      </c>
      <c r="Y231" t="str">
        <v>ARC</v>
      </c>
      <c r="Z231">
        <v>3.7640205303600753</v>
      </c>
    </row>
    <row r="232" spans="10:26" x14ac:dyDescent="0.35">
      <c r="J232" s="66">
        <v>8</v>
      </c>
      <c r="K232" t="s">
        <v>7</v>
      </c>
      <c r="L232" t="s">
        <v>630</v>
      </c>
      <c r="M232">
        <v>1.5</v>
      </c>
      <c r="N232" t="s">
        <v>3</v>
      </c>
      <c r="O232" t="s">
        <v>17</v>
      </c>
      <c r="P232">
        <f t="shared" si="20"/>
        <v>4.0184076083104037E-3</v>
      </c>
      <c r="Q232">
        <f t="shared" si="19"/>
        <v>2.2379609247747752</v>
      </c>
      <c r="R232" s="67" cm="1">
        <f t="array" ref="R232">SUMPRODUCT((J232=$J$7:$J$1000)*(P232&lt;$P$7:$P$1000))+1</f>
        <v>28</v>
      </c>
      <c r="S232" s="72"/>
      <c r="T232">
        <v>16</v>
      </c>
      <c r="U232" t="str">
        <v>UTAH</v>
      </c>
      <c r="V232" t="str">
        <v>Fred Apulu</v>
      </c>
      <c r="W232" t="str">
        <v>NULL</v>
      </c>
      <c r="X232" t="str">
        <v>Home</v>
      </c>
      <c r="Y232" t="str">
        <v>ARC</v>
      </c>
      <c r="Z232">
        <v>3.7869216768390421</v>
      </c>
    </row>
    <row r="233" spans="10:26" x14ac:dyDescent="0.35">
      <c r="J233" s="66">
        <v>8</v>
      </c>
      <c r="K233" t="s">
        <v>17</v>
      </c>
      <c r="L233" t="s">
        <v>167</v>
      </c>
      <c r="M233">
        <v>1.3</v>
      </c>
      <c r="N233" t="s">
        <v>9</v>
      </c>
      <c r="O233" t="s">
        <v>7</v>
      </c>
      <c r="P233">
        <f t="shared" si="20"/>
        <v>2.2407867251059637</v>
      </c>
      <c r="Q233">
        <f t="shared" si="19"/>
        <v>0.88507966213560396</v>
      </c>
      <c r="R233" s="67" cm="1">
        <f t="array" ref="R233">SUMPRODUCT((J233=$J$7:$J$1000)*(P233&lt;$P$7:$P$1000))+1</f>
        <v>25</v>
      </c>
      <c r="S233" s="72"/>
      <c r="T233">
        <v>16</v>
      </c>
      <c r="U233" t="str">
        <v>UTAH</v>
      </c>
      <c r="V233" t="str">
        <v>Liam Coltman</v>
      </c>
      <c r="W233" t="str">
        <v>NULL</v>
      </c>
      <c r="X233" t="str">
        <v>Home</v>
      </c>
      <c r="Y233" t="str">
        <v>ARC</v>
      </c>
      <c r="Z233">
        <v>9.8690412009812771</v>
      </c>
    </row>
    <row r="234" spans="10:26" x14ac:dyDescent="0.35">
      <c r="J234" s="66">
        <v>8</v>
      </c>
      <c r="K234" t="s">
        <v>23</v>
      </c>
      <c r="L234" t="s">
        <v>505</v>
      </c>
      <c r="M234">
        <v>1.2</v>
      </c>
      <c r="N234" t="s">
        <v>3</v>
      </c>
      <c r="O234" t="s">
        <v>24</v>
      </c>
      <c r="P234">
        <f t="shared" si="20"/>
        <v>-0.16514769522159031</v>
      </c>
      <c r="Q234">
        <f t="shared" si="19"/>
        <v>1.8636282297688196</v>
      </c>
      <c r="R234" s="67" cm="1">
        <f t="array" ref="R234">SUMPRODUCT((J234=$J$7:$J$1000)*(P234&lt;$P$7:$P$1000))+1</f>
        <v>30</v>
      </c>
      <c r="S234" s="72"/>
      <c r="T234">
        <v>16</v>
      </c>
      <c r="U234" t="str">
        <v>UTAH</v>
      </c>
      <c r="V234" t="str">
        <v>Phil Bradford</v>
      </c>
      <c r="W234" t="str">
        <v>NULL</v>
      </c>
      <c r="X234" t="str">
        <v>Home</v>
      </c>
      <c r="Y234" t="str">
        <v>ARC</v>
      </c>
      <c r="Z234">
        <v>8.3959476525720991</v>
      </c>
    </row>
    <row r="235" spans="10:26" x14ac:dyDescent="0.35">
      <c r="J235" s="66">
        <v>9</v>
      </c>
      <c r="K235" t="s">
        <v>23</v>
      </c>
      <c r="L235" t="s">
        <v>144</v>
      </c>
      <c r="M235">
        <v>15.9</v>
      </c>
      <c r="N235" t="s">
        <v>3</v>
      </c>
      <c r="O235" t="s">
        <v>34</v>
      </c>
      <c r="P235">
        <f t="shared" si="20"/>
        <v>7.6771121820977957</v>
      </c>
      <c r="Q235">
        <f t="shared" si="19"/>
        <v>67.61588406580448</v>
      </c>
      <c r="R235" s="67" cm="1">
        <f t="array" ref="R235">SUMPRODUCT((J235=$J$7:$J$1000)*(P235&lt;$P$7:$P$1000))+1</f>
        <v>4</v>
      </c>
      <c r="S235" s="72"/>
      <c r="T235">
        <v>16</v>
      </c>
      <c r="U235" t="str">
        <v>UTAH</v>
      </c>
      <c r="V235" t="str">
        <v>Remsy Lemisio</v>
      </c>
      <c r="W235" t="str">
        <v>NULL</v>
      </c>
      <c r="X235" t="str">
        <v>Home</v>
      </c>
      <c r="Y235" t="str">
        <v>ARC</v>
      </c>
      <c r="Z235">
        <v>2.252633393095044</v>
      </c>
    </row>
    <row r="236" spans="10:26" x14ac:dyDescent="0.35">
      <c r="J236" s="66">
        <v>9</v>
      </c>
      <c r="K236" t="s">
        <v>34</v>
      </c>
      <c r="L236" t="s">
        <v>161</v>
      </c>
      <c r="M236">
        <v>15.1</v>
      </c>
      <c r="N236" t="s">
        <v>9</v>
      </c>
      <c r="O236" t="s">
        <v>23</v>
      </c>
      <c r="P236">
        <f t="shared" si="20"/>
        <v>7.5596442146775367</v>
      </c>
      <c r="Q236">
        <f t="shared" si="19"/>
        <v>56.856965369245934</v>
      </c>
      <c r="R236" s="67" cm="1">
        <f t="array" ref="R236">SUMPRODUCT((J236=$J$7:$J$1000)*(P236&lt;$P$7:$P$1000))+1</f>
        <v>5</v>
      </c>
      <c r="S236" s="72"/>
      <c r="T236">
        <v>16</v>
      </c>
      <c r="U236" t="str">
        <v>UTAH</v>
      </c>
      <c r="V236" t="str">
        <v>Tonga Kofe</v>
      </c>
      <c r="W236" t="str">
        <v>NULL</v>
      </c>
      <c r="X236" t="str">
        <v>Home</v>
      </c>
      <c r="Y236" t="str">
        <v>ARC</v>
      </c>
      <c r="Z236">
        <v>4.0579845489873856</v>
      </c>
    </row>
    <row r="237" spans="10:26" x14ac:dyDescent="0.35">
      <c r="J237" s="66">
        <v>9</v>
      </c>
      <c r="K237" t="s">
        <v>7</v>
      </c>
      <c r="L237" t="s">
        <v>158</v>
      </c>
      <c r="M237">
        <v>14.8</v>
      </c>
      <c r="N237" t="s">
        <v>9</v>
      </c>
      <c r="O237" t="s">
        <v>4</v>
      </c>
      <c r="P237">
        <f t="shared" si="20"/>
        <v>5.3877668903258256</v>
      </c>
      <c r="Q237">
        <f t="shared" si="19"/>
        <v>88.59013211084681</v>
      </c>
      <c r="R237" s="67" cm="1">
        <f t="array" ref="R237">SUMPRODUCT((J237=$J$7:$J$1000)*(P237&lt;$P$7:$P$1000))+1</f>
        <v>10</v>
      </c>
      <c r="S237" s="72"/>
      <c r="T237">
        <v>16</v>
      </c>
      <c r="U237" t="str">
        <v>UTAH</v>
      </c>
      <c r="V237" t="str">
        <v>Tuvere Vugakoto</v>
      </c>
      <c r="W237" t="str">
        <v>NULL</v>
      </c>
      <c r="X237" t="str">
        <v>Home</v>
      </c>
      <c r="Y237" t="str">
        <v>ARC</v>
      </c>
      <c r="Z237">
        <v>0.97867680359148101</v>
      </c>
    </row>
    <row r="238" spans="10:26" x14ac:dyDescent="0.35">
      <c r="J238" s="66">
        <v>9</v>
      </c>
      <c r="K238" t="s">
        <v>2</v>
      </c>
      <c r="L238" t="s">
        <v>156</v>
      </c>
      <c r="M238">
        <v>12.9</v>
      </c>
      <c r="N238" t="s">
        <v>3</v>
      </c>
      <c r="O238" t="s">
        <v>14</v>
      </c>
      <c r="P238">
        <f t="shared" si="20"/>
        <v>8.4489946173342361</v>
      </c>
      <c r="Q238">
        <f t="shared" si="19"/>
        <v>19.811448916519605</v>
      </c>
      <c r="R238" s="67" cm="1">
        <f t="array" ref="R238">SUMPRODUCT((J238=$J$7:$J$1000)*(P238&lt;$P$7:$P$1000))+1</f>
        <v>2</v>
      </c>
      <c r="S238" s="72"/>
    </row>
    <row r="239" spans="10:26" x14ac:dyDescent="0.35">
      <c r="J239" s="66">
        <v>9</v>
      </c>
      <c r="K239" t="s">
        <v>13</v>
      </c>
      <c r="L239" t="s">
        <v>463</v>
      </c>
      <c r="M239">
        <v>8</v>
      </c>
      <c r="N239" t="s">
        <v>9</v>
      </c>
      <c r="O239" t="s">
        <v>6</v>
      </c>
      <c r="P239">
        <f t="shared" si="20"/>
        <v>9.508591287292699</v>
      </c>
      <c r="Q239">
        <f t="shared" si="19"/>
        <v>2.2758476720954426</v>
      </c>
      <c r="R239" s="67" cm="1">
        <f t="array" ref="R239">SUMPRODUCT((J239=$J$7:$J$1000)*(P239&lt;$P$7:$P$1000))+1</f>
        <v>1</v>
      </c>
      <c r="S239" s="72"/>
    </row>
    <row r="240" spans="10:26" x14ac:dyDescent="0.35">
      <c r="J240" s="66">
        <v>9</v>
      </c>
      <c r="K240" t="s">
        <v>36</v>
      </c>
      <c r="L240" t="s">
        <v>466</v>
      </c>
      <c r="M240">
        <v>6.6</v>
      </c>
      <c r="N240" t="s">
        <v>9</v>
      </c>
      <c r="O240" t="s">
        <v>24</v>
      </c>
      <c r="P240">
        <f t="shared" si="20"/>
        <v>8.4049569651703244</v>
      </c>
      <c r="Q240">
        <f t="shared" si="19"/>
        <v>3.2578696461168688</v>
      </c>
      <c r="R240" s="67" cm="1">
        <f t="array" ref="R240">SUMPRODUCT((J240=$J$7:$J$1000)*(P240&lt;$P$7:$P$1000))+1</f>
        <v>3</v>
      </c>
      <c r="S240" s="72"/>
    </row>
    <row r="241" spans="10:19" x14ac:dyDescent="0.35">
      <c r="J241" s="66">
        <v>9</v>
      </c>
      <c r="K241" t="s">
        <v>14</v>
      </c>
      <c r="L241" t="s">
        <v>248</v>
      </c>
      <c r="M241">
        <v>5.7</v>
      </c>
      <c r="N241" t="s">
        <v>9</v>
      </c>
      <c r="O241" t="s">
        <v>2</v>
      </c>
      <c r="P241">
        <f t="shared" si="20"/>
        <v>5.4771935580517539</v>
      </c>
      <c r="Q241">
        <f t="shared" si="19"/>
        <v>4.9642710573637241E-2</v>
      </c>
      <c r="R241" s="67" cm="1">
        <f t="array" ref="R241">SUMPRODUCT((J241=$J$7:$J$1000)*(P241&lt;$P$7:$P$1000))+1</f>
        <v>9</v>
      </c>
      <c r="S241" s="72"/>
    </row>
    <row r="242" spans="10:19" x14ac:dyDescent="0.35">
      <c r="J242" s="66">
        <v>9</v>
      </c>
      <c r="K242" t="s">
        <v>2</v>
      </c>
      <c r="L242" t="s">
        <v>162</v>
      </c>
      <c r="M242">
        <v>4.7</v>
      </c>
      <c r="N242" t="s">
        <v>3</v>
      </c>
      <c r="O242" t="s">
        <v>14</v>
      </c>
      <c r="P242">
        <f t="shared" si="20"/>
        <v>6.1204165185181552</v>
      </c>
      <c r="Q242">
        <f t="shared" si="19"/>
        <v>2.0175830860792363</v>
      </c>
      <c r="R242" s="67" cm="1">
        <f t="array" ref="R242">SUMPRODUCT((J242=$J$7:$J$1000)*(P242&lt;$P$7:$P$1000))+1</f>
        <v>7</v>
      </c>
      <c r="S242" s="72"/>
    </row>
    <row r="243" spans="10:19" x14ac:dyDescent="0.35">
      <c r="J243" s="66">
        <v>9</v>
      </c>
      <c r="K243" t="s">
        <v>34</v>
      </c>
      <c r="L243" t="s">
        <v>153</v>
      </c>
      <c r="M243">
        <v>4.7</v>
      </c>
      <c r="N243" t="s">
        <v>9</v>
      </c>
      <c r="O243" t="s">
        <v>23</v>
      </c>
      <c r="P243">
        <f t="shared" si="20"/>
        <v>4.2396636255010902</v>
      </c>
      <c r="Q243">
        <f t="shared" si="19"/>
        <v>0.21190957768680069</v>
      </c>
      <c r="R243" s="67" cm="1">
        <f t="array" ref="R243">SUMPRODUCT((J243=$J$7:$J$1000)*(P243&lt;$P$7:$P$1000))+1</f>
        <v>12</v>
      </c>
      <c r="S243" s="72"/>
    </row>
    <row r="244" spans="10:19" x14ac:dyDescent="0.35">
      <c r="J244" s="66">
        <v>9</v>
      </c>
      <c r="K244" t="s">
        <v>34</v>
      </c>
      <c r="L244" t="s">
        <v>177</v>
      </c>
      <c r="M244">
        <v>4.7</v>
      </c>
      <c r="N244" t="s">
        <v>9</v>
      </c>
      <c r="O244" t="s">
        <v>23</v>
      </c>
      <c r="P244">
        <f t="shared" si="20"/>
        <v>4.7539709480887113</v>
      </c>
      <c r="Q244">
        <f t="shared" si="19"/>
        <v>2.9128632375943556E-3</v>
      </c>
      <c r="R244" s="67" cm="1">
        <f t="array" ref="R244">SUMPRODUCT((J244=$J$7:$J$1000)*(P244&lt;$P$7:$P$1000))+1</f>
        <v>11</v>
      </c>
      <c r="S244" s="72"/>
    </row>
    <row r="245" spans="10:19" x14ac:dyDescent="0.35">
      <c r="J245" s="66">
        <v>9</v>
      </c>
      <c r="K245" t="s">
        <v>13</v>
      </c>
      <c r="L245" t="s">
        <v>467</v>
      </c>
      <c r="M245">
        <v>4.2</v>
      </c>
      <c r="N245" t="s">
        <v>9</v>
      </c>
      <c r="O245" t="s">
        <v>6</v>
      </c>
      <c r="P245">
        <f t="shared" si="20"/>
        <v>3.697534635298807</v>
      </c>
      <c r="Q245">
        <f t="shared" si="19"/>
        <v>0.25247144272430305</v>
      </c>
      <c r="R245" s="67" cm="1">
        <f t="array" ref="R245">SUMPRODUCT((J245=$J$7:$J$1000)*(P245&lt;$P$7:$P$1000))+1</f>
        <v>14</v>
      </c>
      <c r="S245" s="72"/>
    </row>
    <row r="246" spans="10:19" x14ac:dyDescent="0.35">
      <c r="J246" s="66">
        <v>9</v>
      </c>
      <c r="K246" t="s">
        <v>6</v>
      </c>
      <c r="L246" t="s">
        <v>417</v>
      </c>
      <c r="M246">
        <v>3.8</v>
      </c>
      <c r="N246" t="s">
        <v>3</v>
      </c>
      <c r="O246" t="s">
        <v>13</v>
      </c>
      <c r="P246">
        <f t="shared" si="20"/>
        <v>3.4281833412065126</v>
      </c>
      <c r="Q246">
        <f t="shared" si="19"/>
        <v>0.13824762775635252</v>
      </c>
      <c r="R246" s="67" cm="1">
        <f t="array" ref="R246">SUMPRODUCT((J246=$J$7:$J$1000)*(P246&lt;$P$7:$P$1000))+1</f>
        <v>17</v>
      </c>
      <c r="S246" s="72"/>
    </row>
    <row r="247" spans="10:19" x14ac:dyDescent="0.35">
      <c r="J247" s="66">
        <v>9</v>
      </c>
      <c r="K247" t="s">
        <v>4</v>
      </c>
      <c r="L247" t="s">
        <v>165</v>
      </c>
      <c r="M247">
        <v>3.7</v>
      </c>
      <c r="N247" t="s">
        <v>3</v>
      </c>
      <c r="O247" t="s">
        <v>7</v>
      </c>
      <c r="P247">
        <f t="shared" si="20"/>
        <v>3.1749763329171135</v>
      </c>
      <c r="Q247">
        <f t="shared" si="19"/>
        <v>0.27564985099716188</v>
      </c>
      <c r="R247" s="67" cm="1">
        <f t="array" ref="R247">SUMPRODUCT((J247=$J$7:$J$1000)*(P247&lt;$P$7:$P$1000))+1</f>
        <v>20</v>
      </c>
      <c r="S247" s="72"/>
    </row>
    <row r="248" spans="10:19" x14ac:dyDescent="0.35">
      <c r="J248" s="66">
        <v>9</v>
      </c>
      <c r="K248" t="s">
        <v>13</v>
      </c>
      <c r="L248" t="s">
        <v>464</v>
      </c>
      <c r="M248">
        <v>3.7</v>
      </c>
      <c r="N248" t="s">
        <v>9</v>
      </c>
      <c r="O248" t="s">
        <v>6</v>
      </c>
      <c r="P248">
        <f t="shared" si="20"/>
        <v>6.3197172518703457</v>
      </c>
      <c r="Q248">
        <f t="shared" si="19"/>
        <v>6.8629184797471154</v>
      </c>
      <c r="R248" s="67" cm="1">
        <f t="array" ref="R248">SUMPRODUCT((J248=$J$7:$J$1000)*(P248&lt;$P$7:$P$1000))+1</f>
        <v>6</v>
      </c>
      <c r="S248" s="72"/>
    </row>
    <row r="249" spans="10:19" x14ac:dyDescent="0.35">
      <c r="J249" s="66">
        <v>9</v>
      </c>
      <c r="K249" t="s">
        <v>36</v>
      </c>
      <c r="L249" t="s">
        <v>157</v>
      </c>
      <c r="M249">
        <v>3.3</v>
      </c>
      <c r="N249" t="s">
        <v>9</v>
      </c>
      <c r="O249" t="s">
        <v>24</v>
      </c>
      <c r="P249">
        <f t="shared" si="20"/>
        <v>3.699006932627094</v>
      </c>
      <c r="Q249">
        <f t="shared" si="19"/>
        <v>0.15920653228448248</v>
      </c>
      <c r="R249" s="67" cm="1">
        <f t="array" ref="R249">SUMPRODUCT((J249=$J$7:$J$1000)*(P249&lt;$P$7:$P$1000))+1</f>
        <v>13</v>
      </c>
      <c r="S249" s="72"/>
    </row>
    <row r="250" spans="10:19" x14ac:dyDescent="0.35">
      <c r="J250" s="66">
        <v>9</v>
      </c>
      <c r="K250" t="s">
        <v>7</v>
      </c>
      <c r="L250" t="s">
        <v>148</v>
      </c>
      <c r="M250">
        <v>3.3</v>
      </c>
      <c r="N250" t="s">
        <v>9</v>
      </c>
      <c r="O250" t="s">
        <v>4</v>
      </c>
      <c r="P250">
        <f t="shared" si="20"/>
        <v>3.2832353038600948</v>
      </c>
      <c r="Q250">
        <f t="shared" si="19"/>
        <v>2.8105503666334749E-4</v>
      </c>
      <c r="R250" s="67" cm="1">
        <f t="array" ref="R250">SUMPRODUCT((J250=$J$7:$J$1000)*(P250&lt;$P$7:$P$1000))+1</f>
        <v>19</v>
      </c>
      <c r="S250" s="72"/>
    </row>
    <row r="251" spans="10:19" x14ac:dyDescent="0.35">
      <c r="J251" s="66">
        <v>9</v>
      </c>
      <c r="K251" t="s">
        <v>24</v>
      </c>
      <c r="L251" t="s">
        <v>640</v>
      </c>
      <c r="M251">
        <v>2.2999999999999998</v>
      </c>
      <c r="N251" t="s">
        <v>3</v>
      </c>
      <c r="O251" t="s">
        <v>36</v>
      </c>
      <c r="P251">
        <f t="shared" si="20"/>
        <v>1.6018435134123412</v>
      </c>
      <c r="Q251">
        <f t="shared" si="19"/>
        <v>0.48742247976442354</v>
      </c>
      <c r="R251" s="67" cm="1">
        <f t="array" ref="R251">SUMPRODUCT((J251=$J$7:$J$1000)*(P251&lt;$P$7:$P$1000))+1</f>
        <v>24</v>
      </c>
      <c r="S251" s="72"/>
    </row>
    <row r="252" spans="10:19" x14ac:dyDescent="0.35">
      <c r="J252" s="66">
        <v>9</v>
      </c>
      <c r="K252" t="s">
        <v>2</v>
      </c>
      <c r="L252" t="s">
        <v>159</v>
      </c>
      <c r="M252">
        <v>2.2000000000000002</v>
      </c>
      <c r="N252" t="s">
        <v>3</v>
      </c>
      <c r="O252" t="s">
        <v>14</v>
      </c>
      <c r="P252">
        <f t="shared" si="20"/>
        <v>3.0148123905570117</v>
      </c>
      <c r="Q252">
        <f t="shared" si="19"/>
        <v>0.66391923180523182</v>
      </c>
      <c r="R252" s="67" cm="1">
        <f t="array" ref="R252">SUMPRODUCT((J252=$J$7:$J$1000)*(P252&lt;$P$7:$P$1000))+1</f>
        <v>21</v>
      </c>
      <c r="S252" s="72"/>
    </row>
    <row r="253" spans="10:19" x14ac:dyDescent="0.35">
      <c r="J253" s="66">
        <v>9</v>
      </c>
      <c r="K253" t="s">
        <v>24</v>
      </c>
      <c r="L253" t="s">
        <v>179</v>
      </c>
      <c r="M253">
        <v>2.2000000000000002</v>
      </c>
      <c r="N253" t="s">
        <v>3</v>
      </c>
      <c r="O253" t="s">
        <v>36</v>
      </c>
      <c r="P253">
        <f t="shared" si="20"/>
        <v>3.4975614878536803</v>
      </c>
      <c r="Q253">
        <f t="shared" si="19"/>
        <v>1.6836658147610559</v>
      </c>
      <c r="R253" s="67" cm="1">
        <f t="array" ref="R253">SUMPRODUCT((J253=$J$7:$J$1000)*(P253&lt;$P$7:$P$1000))+1</f>
        <v>16</v>
      </c>
      <c r="S253" s="72"/>
    </row>
    <row r="254" spans="10:19" x14ac:dyDescent="0.35">
      <c r="J254" s="66">
        <v>9</v>
      </c>
      <c r="K254" t="s">
        <v>6</v>
      </c>
      <c r="L254" t="s">
        <v>555</v>
      </c>
      <c r="M254">
        <v>2</v>
      </c>
      <c r="N254" t="s">
        <v>3</v>
      </c>
      <c r="O254" t="s">
        <v>13</v>
      </c>
      <c r="P254">
        <f t="shared" si="20"/>
        <v>5.8762235351264307</v>
      </c>
      <c r="Q254">
        <f t="shared" si="19"/>
        <v>15.025108894268044</v>
      </c>
      <c r="R254" s="67" cm="1">
        <f t="array" ref="R254">SUMPRODUCT((J254=$J$7:$J$1000)*(P254&lt;$P$7:$P$1000))+1</f>
        <v>8</v>
      </c>
      <c r="S254" s="72"/>
    </row>
    <row r="255" spans="10:19" x14ac:dyDescent="0.35">
      <c r="J255" s="66">
        <v>9</v>
      </c>
      <c r="K255" t="s">
        <v>4</v>
      </c>
      <c r="L255" t="s">
        <v>172</v>
      </c>
      <c r="M255">
        <v>1.8</v>
      </c>
      <c r="N255" t="s">
        <v>3</v>
      </c>
      <c r="O255" t="s">
        <v>7</v>
      </c>
      <c r="P255">
        <f t="shared" si="20"/>
        <v>1.8162781798965333</v>
      </c>
      <c r="Q255">
        <f t="shared" si="19"/>
        <v>2.6497914074389894E-4</v>
      </c>
      <c r="R255" s="67" cm="1">
        <f t="array" ref="R255">SUMPRODUCT((J255=$J$7:$J$1000)*(P255&lt;$P$7:$P$1000))+1</f>
        <v>23</v>
      </c>
      <c r="S255" s="72"/>
    </row>
    <row r="256" spans="10:19" x14ac:dyDescent="0.35">
      <c r="J256" s="66">
        <v>9</v>
      </c>
      <c r="K256" t="s">
        <v>14</v>
      </c>
      <c r="L256" t="s">
        <v>553</v>
      </c>
      <c r="M256">
        <v>1.7</v>
      </c>
      <c r="N256" t="s">
        <v>9</v>
      </c>
      <c r="O256" t="s">
        <v>2</v>
      </c>
      <c r="P256">
        <f t="shared" si="20"/>
        <v>1.8935149774350899</v>
      </c>
      <c r="Q256">
        <f t="shared" si="19"/>
        <v>3.7448046491703371E-2</v>
      </c>
      <c r="R256" s="67" cm="1">
        <f t="array" ref="R256">SUMPRODUCT((J256=$J$7:$J$1000)*(P256&lt;$P$7:$P$1000))+1</f>
        <v>22</v>
      </c>
      <c r="S256" s="72"/>
    </row>
    <row r="257" spans="10:19" x14ac:dyDescent="0.35">
      <c r="J257" s="66">
        <v>9</v>
      </c>
      <c r="K257" t="s">
        <v>24</v>
      </c>
      <c r="L257" t="s">
        <v>142</v>
      </c>
      <c r="M257">
        <v>1.7</v>
      </c>
      <c r="N257" t="s">
        <v>3</v>
      </c>
      <c r="O257" t="s">
        <v>36</v>
      </c>
      <c r="P257">
        <f t="shared" si="20"/>
        <v>-5.7944105201034046E-3</v>
      </c>
      <c r="Q257">
        <f t="shared" si="19"/>
        <v>2.9097345709616267</v>
      </c>
      <c r="R257" s="67" cm="1">
        <f t="array" ref="R257">SUMPRODUCT((J257=$J$7:$J$1000)*(P257&lt;$P$7:$P$1000))+1</f>
        <v>30</v>
      </c>
      <c r="S257" s="72"/>
    </row>
    <row r="258" spans="10:19" x14ac:dyDescent="0.35">
      <c r="J258" s="66">
        <v>9</v>
      </c>
      <c r="K258" t="s">
        <v>23</v>
      </c>
      <c r="L258" t="s">
        <v>506</v>
      </c>
      <c r="M258">
        <v>1.7</v>
      </c>
      <c r="N258" t="s">
        <v>3</v>
      </c>
      <c r="O258" t="s">
        <v>34</v>
      </c>
      <c r="P258">
        <f t="shared" si="20"/>
        <v>3.5859202917394128</v>
      </c>
      <c r="Q258">
        <f t="shared" si="19"/>
        <v>3.5566953467944722</v>
      </c>
      <c r="R258" s="67" cm="1">
        <f t="array" ref="R258">SUMPRODUCT((J258=$J$7:$J$1000)*(P258&lt;$P$7:$P$1000))+1</f>
        <v>15</v>
      </c>
      <c r="S258" s="72"/>
    </row>
    <row r="259" spans="10:19" x14ac:dyDescent="0.35">
      <c r="J259" s="66">
        <v>9</v>
      </c>
      <c r="K259" t="s">
        <v>14</v>
      </c>
      <c r="L259" t="s">
        <v>143</v>
      </c>
      <c r="M259">
        <v>1.5</v>
      </c>
      <c r="N259" t="s">
        <v>9</v>
      </c>
      <c r="O259" t="s">
        <v>2</v>
      </c>
      <c r="P259">
        <f t="shared" si="20"/>
        <v>3.3423776649707988</v>
      </c>
      <c r="Q259">
        <f t="shared" si="19"/>
        <v>3.3943554603832529</v>
      </c>
      <c r="R259" s="67" cm="1">
        <f t="array" ref="R259">SUMPRODUCT((J259=$J$7:$J$1000)*(P259&lt;$P$7:$P$1000))+1</f>
        <v>18</v>
      </c>
      <c r="S259" s="72"/>
    </row>
    <row r="260" spans="10:19" x14ac:dyDescent="0.35">
      <c r="J260" s="66">
        <v>9</v>
      </c>
      <c r="K260" t="s">
        <v>23</v>
      </c>
      <c r="L260" t="s">
        <v>505</v>
      </c>
      <c r="M260">
        <v>1.5</v>
      </c>
      <c r="N260" t="s">
        <v>3</v>
      </c>
      <c r="O260" t="s">
        <v>34</v>
      </c>
      <c r="P260">
        <f t="shared" si="20"/>
        <v>1.5288062516867131</v>
      </c>
      <c r="Q260">
        <f t="shared" si="19"/>
        <v>8.298001362382634E-4</v>
      </c>
      <c r="R260" s="67" cm="1">
        <f t="array" ref="R260">SUMPRODUCT((J260=$J$7:$J$1000)*(P260&lt;$P$7:$P$1000))+1</f>
        <v>27</v>
      </c>
      <c r="S260" s="72"/>
    </row>
    <row r="261" spans="10:19" x14ac:dyDescent="0.35">
      <c r="J261" s="66">
        <v>9</v>
      </c>
      <c r="K261" t="s">
        <v>4</v>
      </c>
      <c r="L261" t="s">
        <v>523</v>
      </c>
      <c r="M261">
        <v>1.5</v>
      </c>
      <c r="N261" t="s">
        <v>3</v>
      </c>
      <c r="O261" t="s">
        <v>7</v>
      </c>
      <c r="P261">
        <f t="shared" si="20"/>
        <v>1.5933419778723903</v>
      </c>
      <c r="Q261">
        <f t="shared" si="19"/>
        <v>8.7127248331297993E-3</v>
      </c>
      <c r="R261" s="67" cm="1">
        <f t="array" ref="R261">SUMPRODUCT((J261=$J$7:$J$1000)*(P261&lt;$P$7:$P$1000))+1</f>
        <v>25</v>
      </c>
      <c r="S261" s="72"/>
    </row>
    <row r="262" spans="10:19" x14ac:dyDescent="0.35">
      <c r="J262" s="66">
        <v>9</v>
      </c>
      <c r="K262" t="s">
        <v>6</v>
      </c>
      <c r="L262" t="s">
        <v>160</v>
      </c>
      <c r="M262">
        <v>1</v>
      </c>
      <c r="N262" t="s">
        <v>3</v>
      </c>
      <c r="O262" t="s">
        <v>13</v>
      </c>
      <c r="P262">
        <f t="shared" si="20"/>
        <v>1.1195642525247611</v>
      </c>
      <c r="Q262">
        <f t="shared" si="19"/>
        <v>1.4295610481804843E-2</v>
      </c>
      <c r="R262" s="67" cm="1">
        <f t="array" ref="R262">SUMPRODUCT((J262=$J$7:$J$1000)*(P262&lt;$P$7:$P$1000))+1</f>
        <v>28</v>
      </c>
      <c r="S262" s="72"/>
    </row>
    <row r="263" spans="10:19" x14ac:dyDescent="0.35">
      <c r="J263" s="66">
        <v>9</v>
      </c>
      <c r="K263" t="s">
        <v>36</v>
      </c>
      <c r="L263" t="s">
        <v>591</v>
      </c>
      <c r="M263">
        <v>0.7</v>
      </c>
      <c r="N263" t="s">
        <v>9</v>
      </c>
      <c r="O263" t="s">
        <v>24</v>
      </c>
      <c r="P263">
        <f t="shared" si="20"/>
        <v>1.5477963079577872</v>
      </c>
      <c r="Q263">
        <f t="shared" ref="Q263:Q264" si="21">IFERROR(($M263-$P263)^2,"")</f>
        <v>0.71875857978685531</v>
      </c>
      <c r="R263" s="67" cm="1">
        <f t="array" ref="R263">SUMPRODUCT((J263=$J$7:$J$1000)*(P263&lt;$P$7:$P$1000))+1</f>
        <v>26</v>
      </c>
      <c r="S263" s="72"/>
    </row>
    <row r="264" spans="10:19" x14ac:dyDescent="0.35">
      <c r="J264" s="66">
        <v>9</v>
      </c>
      <c r="K264" t="s">
        <v>7</v>
      </c>
      <c r="L264" t="s">
        <v>630</v>
      </c>
      <c r="M264">
        <v>-3.9</v>
      </c>
      <c r="N264" t="s">
        <v>9</v>
      </c>
      <c r="O264" t="s">
        <v>4</v>
      </c>
      <c r="P264">
        <f t="shared" ref="P264:P327" si="22">VLOOKUP($N264,$F$3:$G$4,2,FALSE)+VLOOKUP($L264,$B$20:$C$150,2,FALSE)+VLOOKUP($O264,$A$6:$B$16,2,FALSE)</f>
        <v>0.44945028778354362</v>
      </c>
      <c r="Q264">
        <f t="shared" si="21"/>
        <v>18.917717805900352</v>
      </c>
      <c r="R264" s="67" cm="1">
        <f t="array" ref="R264">SUMPRODUCT((J264=$J$7:$J$1000)*(P264&lt;$P$7:$P$1000))+1</f>
        <v>29</v>
      </c>
      <c r="S264" s="72"/>
    </row>
    <row r="265" spans="10:19" x14ac:dyDescent="0.35">
      <c r="J265" s="66">
        <v>10</v>
      </c>
      <c r="K265" t="s">
        <v>36</v>
      </c>
      <c r="L265" t="s">
        <v>466</v>
      </c>
      <c r="M265">
        <v>14.3</v>
      </c>
      <c r="N265" t="s">
        <v>3</v>
      </c>
      <c r="O265" t="s">
        <v>4</v>
      </c>
      <c r="P265">
        <f t="shared" si="22"/>
        <v>8.8921720478067439</v>
      </c>
      <c r="Q265">
        <f t="shared" ref="Q265:Q294" si="23">IFERROR(($M265-$P265)^2,"")</f>
        <v>29.244603160522715</v>
      </c>
      <c r="R265" s="67" cm="1">
        <f t="array" ref="R265">SUMPRODUCT((J265=$J$7:$J$1000)*(P265&lt;$P$7:$P$1000))+1</f>
        <v>2</v>
      </c>
      <c r="S265" s="72"/>
    </row>
    <row r="266" spans="10:19" x14ac:dyDescent="0.35">
      <c r="J266" s="66">
        <v>10</v>
      </c>
      <c r="K266" t="s">
        <v>13</v>
      </c>
      <c r="L266" t="s">
        <v>463</v>
      </c>
      <c r="M266">
        <v>12.9</v>
      </c>
      <c r="N266" t="s">
        <v>9</v>
      </c>
      <c r="O266" t="s">
        <v>34</v>
      </c>
      <c r="P266">
        <f t="shared" si="22"/>
        <v>10.576765832562177</v>
      </c>
      <c r="Q266">
        <f t="shared" si="23"/>
        <v>5.3974169967505148</v>
      </c>
      <c r="R266" s="67" cm="1">
        <f t="array" ref="R266">SUMPRODUCT((J266=$J$7:$J$1000)*(P266&lt;$P$7:$P$1000))+1</f>
        <v>1</v>
      </c>
      <c r="S266" s="72"/>
    </row>
    <row r="267" spans="10:19" x14ac:dyDescent="0.35">
      <c r="J267" s="66">
        <v>10</v>
      </c>
      <c r="K267" t="s">
        <v>34</v>
      </c>
      <c r="L267" t="s">
        <v>161</v>
      </c>
      <c r="M267">
        <v>7.3</v>
      </c>
      <c r="N267" t="s">
        <v>3</v>
      </c>
      <c r="O267" t="s">
        <v>13</v>
      </c>
      <c r="P267">
        <f t="shared" si="22"/>
        <v>6.1349262610188484</v>
      </c>
      <c r="Q267">
        <f t="shared" si="23"/>
        <v>1.35739681726352</v>
      </c>
      <c r="R267" s="67" cm="1">
        <f t="array" ref="R267">SUMPRODUCT((J267=$J$7:$J$1000)*(P267&lt;$P$7:$P$1000))+1</f>
        <v>6</v>
      </c>
      <c r="S267" s="72"/>
    </row>
    <row r="268" spans="10:19" x14ac:dyDescent="0.35">
      <c r="J268" s="66">
        <v>10</v>
      </c>
      <c r="K268" t="s">
        <v>24</v>
      </c>
      <c r="L268" t="s">
        <v>179</v>
      </c>
      <c r="M268">
        <v>6.9</v>
      </c>
      <c r="N268" t="s">
        <v>9</v>
      </c>
      <c r="O268" t="s">
        <v>7</v>
      </c>
      <c r="P268">
        <f t="shared" si="22"/>
        <v>2.5559279621114266</v>
      </c>
      <c r="Q268">
        <f t="shared" si="23"/>
        <v>18.870961870365385</v>
      </c>
      <c r="R268" s="67" cm="1">
        <f t="array" ref="R268">SUMPRODUCT((J268=$J$7:$J$1000)*(P268&lt;$P$7:$P$1000))+1</f>
        <v>24</v>
      </c>
      <c r="S268" s="72"/>
    </row>
    <row r="269" spans="10:19" x14ac:dyDescent="0.35">
      <c r="J269" s="66">
        <v>10</v>
      </c>
      <c r="K269" t="s">
        <v>17</v>
      </c>
      <c r="L269" t="s">
        <v>149</v>
      </c>
      <c r="M269">
        <v>6.9</v>
      </c>
      <c r="N269" t="s">
        <v>3</v>
      </c>
      <c r="O269" t="s">
        <v>2</v>
      </c>
      <c r="P269">
        <f t="shared" si="22"/>
        <v>5.6045635243683751</v>
      </c>
      <c r="Q269">
        <f t="shared" si="23"/>
        <v>1.6781556623968863</v>
      </c>
      <c r="R269" s="67" cm="1">
        <f t="array" ref="R269">SUMPRODUCT((J269=$J$7:$J$1000)*(P269&lt;$P$7:$P$1000))+1</f>
        <v>8</v>
      </c>
      <c r="S269" s="72"/>
    </row>
    <row r="270" spans="10:19" x14ac:dyDescent="0.35">
      <c r="J270" s="66">
        <v>10</v>
      </c>
      <c r="K270" t="s">
        <v>36</v>
      </c>
      <c r="L270" t="s">
        <v>157</v>
      </c>
      <c r="M270">
        <v>6.2</v>
      </c>
      <c r="N270" t="s">
        <v>3</v>
      </c>
      <c r="O270" t="s">
        <v>4</v>
      </c>
      <c r="P270">
        <f t="shared" si="22"/>
        <v>4.1862220152635139</v>
      </c>
      <c r="Q270">
        <f t="shared" si="23"/>
        <v>4.0553017718093436</v>
      </c>
      <c r="R270" s="67" cm="1">
        <f t="array" ref="R270">SUMPRODUCT((J270=$J$7:$J$1000)*(P270&lt;$P$7:$P$1000))+1</f>
        <v>15</v>
      </c>
      <c r="S270" s="72"/>
    </row>
    <row r="271" spans="10:19" x14ac:dyDescent="0.35">
      <c r="J271" s="66">
        <v>10</v>
      </c>
      <c r="K271" t="s">
        <v>17</v>
      </c>
      <c r="L271" t="s">
        <v>586</v>
      </c>
      <c r="M271">
        <v>6.1</v>
      </c>
      <c r="N271" t="s">
        <v>3</v>
      </c>
      <c r="O271" t="s">
        <v>2</v>
      </c>
      <c r="P271">
        <f t="shared" si="22"/>
        <v>5.0550647837223464</v>
      </c>
      <c r="Q271">
        <f t="shared" si="23"/>
        <v>1.0918896062172261</v>
      </c>
      <c r="R271" s="67" cm="1">
        <f t="array" ref="R271">SUMPRODUCT((J271=$J$7:$J$1000)*(P271&lt;$P$7:$P$1000))+1</f>
        <v>10</v>
      </c>
      <c r="S271" s="72"/>
    </row>
    <row r="272" spans="10:19" x14ac:dyDescent="0.35">
      <c r="J272" s="66">
        <v>10</v>
      </c>
      <c r="K272" t="s">
        <v>13</v>
      </c>
      <c r="L272" t="s">
        <v>464</v>
      </c>
      <c r="M272">
        <v>5.6</v>
      </c>
      <c r="N272" t="s">
        <v>9</v>
      </c>
      <c r="O272" t="s">
        <v>34</v>
      </c>
      <c r="P272">
        <f t="shared" si="22"/>
        <v>7.3878917971398232</v>
      </c>
      <c r="Q272">
        <f t="shared" si="23"/>
        <v>3.1965570782798682</v>
      </c>
      <c r="R272" s="67" cm="1">
        <f t="array" ref="R272">SUMPRODUCT((J272=$J$7:$J$1000)*(P272&lt;$P$7:$P$1000))+1</f>
        <v>3</v>
      </c>
      <c r="S272" s="72"/>
    </row>
    <row r="273" spans="10:19" x14ac:dyDescent="0.35">
      <c r="J273" s="66">
        <v>10</v>
      </c>
      <c r="K273" t="s">
        <v>36</v>
      </c>
      <c r="L273" t="s">
        <v>415</v>
      </c>
      <c r="M273">
        <v>5.4</v>
      </c>
      <c r="N273" t="s">
        <v>3</v>
      </c>
      <c r="O273" t="s">
        <v>4</v>
      </c>
      <c r="P273">
        <f t="shared" si="22"/>
        <v>3.3033069137703168</v>
      </c>
      <c r="Q273">
        <f t="shared" si="23"/>
        <v>4.3961218978433552</v>
      </c>
      <c r="R273" s="67" cm="1">
        <f t="array" ref="R273">SUMPRODUCT((J273=$J$7:$J$1000)*(P273&lt;$P$7:$P$1000))+1</f>
        <v>20</v>
      </c>
      <c r="S273" s="72"/>
    </row>
    <row r="274" spans="10:19" x14ac:dyDescent="0.35">
      <c r="J274" s="66">
        <v>10</v>
      </c>
      <c r="K274" t="s">
        <v>23</v>
      </c>
      <c r="L274" t="s">
        <v>412</v>
      </c>
      <c r="M274">
        <v>4.9000000000000004</v>
      </c>
      <c r="N274" t="s">
        <v>9</v>
      </c>
      <c r="O274" t="s">
        <v>14</v>
      </c>
      <c r="P274">
        <f t="shared" si="22"/>
        <v>6.1814063015569163</v>
      </c>
      <c r="Q274">
        <f t="shared" si="23"/>
        <v>1.6420021096697737</v>
      </c>
      <c r="R274" s="67" cm="1">
        <f t="array" ref="R274">SUMPRODUCT((J274=$J$7:$J$1000)*(P274&lt;$P$7:$P$1000))+1</f>
        <v>5</v>
      </c>
      <c r="S274" s="72"/>
    </row>
    <row r="275" spans="10:19" x14ac:dyDescent="0.35">
      <c r="J275" s="66">
        <v>10</v>
      </c>
      <c r="K275" t="s">
        <v>14</v>
      </c>
      <c r="L275" t="s">
        <v>164</v>
      </c>
      <c r="M275">
        <v>4.5999999999999996</v>
      </c>
      <c r="N275" t="s">
        <v>3</v>
      </c>
      <c r="O275" t="s">
        <v>23</v>
      </c>
      <c r="P275">
        <f t="shared" si="22"/>
        <v>3.9441804643314833</v>
      </c>
      <c r="Q275">
        <f t="shared" si="23"/>
        <v>0.43009926336446841</v>
      </c>
      <c r="R275" s="67" cm="1">
        <f t="array" ref="R275">SUMPRODUCT((J275=$J$7:$J$1000)*(P275&lt;$P$7:$P$1000))+1</f>
        <v>16</v>
      </c>
      <c r="S275" s="72"/>
    </row>
    <row r="276" spans="10:19" x14ac:dyDescent="0.35">
      <c r="J276" s="66">
        <v>10</v>
      </c>
      <c r="K276" t="s">
        <v>2</v>
      </c>
      <c r="L276" t="s">
        <v>504</v>
      </c>
      <c r="M276">
        <v>4.5</v>
      </c>
      <c r="N276" t="s">
        <v>9</v>
      </c>
      <c r="O276" t="s">
        <v>17</v>
      </c>
      <c r="P276">
        <f t="shared" si="22"/>
        <v>3.5043366241627476</v>
      </c>
      <c r="Q276">
        <f t="shared" si="23"/>
        <v>0.99134555798363366</v>
      </c>
      <c r="R276" s="67" cm="1">
        <f t="array" ref="R276">SUMPRODUCT((J276=$J$7:$J$1000)*(P276&lt;$P$7:$P$1000))+1</f>
        <v>18</v>
      </c>
      <c r="S276" s="72"/>
    </row>
    <row r="277" spans="10:19" x14ac:dyDescent="0.35">
      <c r="J277" s="66">
        <v>10</v>
      </c>
      <c r="K277" t="s">
        <v>34</v>
      </c>
      <c r="L277" t="s">
        <v>177</v>
      </c>
      <c r="M277">
        <v>4.5</v>
      </c>
      <c r="N277" t="s">
        <v>3</v>
      </c>
      <c r="O277" t="s">
        <v>13</v>
      </c>
      <c r="P277">
        <f t="shared" si="22"/>
        <v>3.3292529944300231</v>
      </c>
      <c r="Q277">
        <f t="shared" si="23"/>
        <v>1.3706485510510675</v>
      </c>
      <c r="R277" s="67" cm="1">
        <f t="array" ref="R277">SUMPRODUCT((J277=$J$7:$J$1000)*(P277&lt;$P$7:$P$1000))+1</f>
        <v>19</v>
      </c>
      <c r="S277" s="72"/>
    </row>
    <row r="278" spans="10:19" x14ac:dyDescent="0.35">
      <c r="J278" s="66">
        <v>10</v>
      </c>
      <c r="K278" t="s">
        <v>7</v>
      </c>
      <c r="L278" t="s">
        <v>163</v>
      </c>
      <c r="M278">
        <v>4.2</v>
      </c>
      <c r="N278" t="s">
        <v>3</v>
      </c>
      <c r="O278" t="s">
        <v>24</v>
      </c>
      <c r="P278">
        <f t="shared" si="22"/>
        <v>4.6422980556938525</v>
      </c>
      <c r="Q278">
        <f t="shared" si="23"/>
        <v>0.19562757007056206</v>
      </c>
      <c r="R278" s="67" cm="1">
        <f t="array" ref="R278">SUMPRODUCT((J278=$J$7:$J$1000)*(P278&lt;$P$7:$P$1000))+1</f>
        <v>12</v>
      </c>
      <c r="S278" s="72"/>
    </row>
    <row r="279" spans="10:19" x14ac:dyDescent="0.35">
      <c r="J279" s="66">
        <v>10</v>
      </c>
      <c r="K279" t="s">
        <v>34</v>
      </c>
      <c r="L279" t="s">
        <v>153</v>
      </c>
      <c r="M279">
        <v>4.2</v>
      </c>
      <c r="N279" t="s">
        <v>3</v>
      </c>
      <c r="O279" t="s">
        <v>13</v>
      </c>
      <c r="P279">
        <f t="shared" si="22"/>
        <v>2.814945671842402</v>
      </c>
      <c r="Q279">
        <f t="shared" si="23"/>
        <v>1.9183754919480958</v>
      </c>
      <c r="R279" s="67" cm="1">
        <f t="array" ref="R279">SUMPRODUCT((J279=$J$7:$J$1000)*(P279&lt;$P$7:$P$1000))+1</f>
        <v>22</v>
      </c>
      <c r="S279" s="72"/>
    </row>
    <row r="280" spans="10:19" x14ac:dyDescent="0.35">
      <c r="J280" s="66">
        <v>10</v>
      </c>
      <c r="K280" t="s">
        <v>14</v>
      </c>
      <c r="L280" t="s">
        <v>248</v>
      </c>
      <c r="M280">
        <v>4.0999999999999996</v>
      </c>
      <c r="N280" t="s">
        <v>3</v>
      </c>
      <c r="O280" t="s">
        <v>23</v>
      </c>
      <c r="P280">
        <f t="shared" si="22"/>
        <v>5.8855483716818755</v>
      </c>
      <c r="Q280">
        <f t="shared" si="23"/>
        <v>3.1881829876157983</v>
      </c>
      <c r="R280" s="67" cm="1">
        <f t="array" ref="R280">SUMPRODUCT((J280=$J$7:$J$1000)*(P280&lt;$P$7:$P$1000))+1</f>
        <v>7</v>
      </c>
      <c r="S280" s="72"/>
    </row>
    <row r="281" spans="10:19" x14ac:dyDescent="0.35">
      <c r="J281" s="66">
        <v>10</v>
      </c>
      <c r="K281" t="s">
        <v>17</v>
      </c>
      <c r="L281" t="s">
        <v>480</v>
      </c>
      <c r="M281">
        <v>4</v>
      </c>
      <c r="N281" t="s">
        <v>3</v>
      </c>
      <c r="O281" t="s">
        <v>2</v>
      </c>
      <c r="P281">
        <f t="shared" si="22"/>
        <v>4.5778096083835793</v>
      </c>
      <c r="Q281">
        <f t="shared" si="23"/>
        <v>0.33386394354038529</v>
      </c>
      <c r="R281" s="67" cm="1">
        <f t="array" ref="R281">SUMPRODUCT((J281=$J$7:$J$1000)*(P281&lt;$P$7:$P$1000))+1</f>
        <v>14</v>
      </c>
      <c r="S281" s="72"/>
    </row>
    <row r="282" spans="10:19" x14ac:dyDescent="0.35">
      <c r="J282" s="66">
        <v>10</v>
      </c>
      <c r="K282" t="s">
        <v>23</v>
      </c>
      <c r="L282" t="s">
        <v>144</v>
      </c>
      <c r="M282">
        <v>3.1</v>
      </c>
      <c r="N282" t="s">
        <v>9</v>
      </c>
      <c r="O282" t="s">
        <v>14</v>
      </c>
      <c r="P282">
        <f t="shared" si="22"/>
        <v>6.6638025686695999</v>
      </c>
      <c r="Q282">
        <f t="shared" si="23"/>
        <v>12.700688748456038</v>
      </c>
      <c r="R282" s="67" cm="1">
        <f t="array" ref="R282">SUMPRODUCT((J282=$J$7:$J$1000)*(P282&lt;$P$7:$P$1000))+1</f>
        <v>4</v>
      </c>
      <c r="S282" s="72"/>
    </row>
    <row r="283" spans="10:19" x14ac:dyDescent="0.35">
      <c r="J283" s="66">
        <v>10</v>
      </c>
      <c r="K283" t="s">
        <v>7</v>
      </c>
      <c r="L283" t="s">
        <v>502</v>
      </c>
      <c r="M283">
        <v>3.1</v>
      </c>
      <c r="N283" t="s">
        <v>3</v>
      </c>
      <c r="O283" t="s">
        <v>24</v>
      </c>
      <c r="P283">
        <f t="shared" si="22"/>
        <v>4.625227387871659</v>
      </c>
      <c r="Q283">
        <f t="shared" si="23"/>
        <v>2.3263185847138037</v>
      </c>
      <c r="R283" s="67" cm="1">
        <f t="array" ref="R283">SUMPRODUCT((J283=$J$7:$J$1000)*(P283&lt;$P$7:$P$1000))+1</f>
        <v>13</v>
      </c>
      <c r="S283" s="72"/>
    </row>
    <row r="284" spans="10:19" x14ac:dyDescent="0.35">
      <c r="J284" s="66">
        <v>10</v>
      </c>
      <c r="K284" t="s">
        <v>24</v>
      </c>
      <c r="L284" t="s">
        <v>411</v>
      </c>
      <c r="M284">
        <v>2.7</v>
      </c>
      <c r="N284" t="s">
        <v>9</v>
      </c>
      <c r="O284" t="s">
        <v>7</v>
      </c>
      <c r="P284">
        <f t="shared" si="22"/>
        <v>2.1618431540471823</v>
      </c>
      <c r="Q284">
        <f t="shared" si="23"/>
        <v>0.28961279084588493</v>
      </c>
      <c r="R284" s="67" cm="1">
        <f t="array" ref="R284">SUMPRODUCT((J284=$J$7:$J$1000)*(P284&lt;$P$7:$P$1000))+1</f>
        <v>27</v>
      </c>
      <c r="S284" s="72"/>
    </row>
    <row r="285" spans="10:19" x14ac:dyDescent="0.35">
      <c r="J285" s="66">
        <v>10</v>
      </c>
      <c r="K285" t="s">
        <v>2</v>
      </c>
      <c r="L285" t="s">
        <v>185</v>
      </c>
      <c r="M285">
        <v>2.6</v>
      </c>
      <c r="N285" t="s">
        <v>9</v>
      </c>
      <c r="O285" t="s">
        <v>17</v>
      </c>
      <c r="P285">
        <f t="shared" si="22"/>
        <v>3.0524193842800367</v>
      </c>
      <c r="Q285">
        <f t="shared" si="23"/>
        <v>0.20468329927232742</v>
      </c>
      <c r="R285" s="67" cm="1">
        <f t="array" ref="R285">SUMPRODUCT((J285=$J$7:$J$1000)*(P285&lt;$P$7:$P$1000))+1</f>
        <v>21</v>
      </c>
      <c r="S285" s="72"/>
    </row>
    <row r="286" spans="10:19" x14ac:dyDescent="0.35">
      <c r="J286" s="66">
        <v>10</v>
      </c>
      <c r="K286" t="s">
        <v>4</v>
      </c>
      <c r="L286" t="s">
        <v>481</v>
      </c>
      <c r="M286">
        <v>2.6</v>
      </c>
      <c r="N286" t="s">
        <v>9</v>
      </c>
      <c r="O286" t="s">
        <v>36</v>
      </c>
      <c r="P286">
        <f t="shared" si="22"/>
        <v>5.138209122069985</v>
      </c>
      <c r="Q286">
        <f t="shared" si="23"/>
        <v>6.4425055473592838</v>
      </c>
      <c r="R286" s="67" cm="1">
        <f t="array" ref="R286">SUMPRODUCT((J286=$J$7:$J$1000)*(P286&lt;$P$7:$P$1000))+1</f>
        <v>9</v>
      </c>
      <c r="S286" s="72"/>
    </row>
    <row r="287" spans="10:19" x14ac:dyDescent="0.35">
      <c r="J287" s="66">
        <v>10</v>
      </c>
      <c r="K287" t="s">
        <v>4</v>
      </c>
      <c r="L287" t="s">
        <v>542</v>
      </c>
      <c r="M287">
        <v>1.9</v>
      </c>
      <c r="N287" t="s">
        <v>9</v>
      </c>
      <c r="O287" t="s">
        <v>36</v>
      </c>
      <c r="P287">
        <f t="shared" si="22"/>
        <v>2.7730606696759748</v>
      </c>
      <c r="Q287">
        <f t="shared" si="23"/>
        <v>0.76223493293506162</v>
      </c>
      <c r="R287" s="67" cm="1">
        <f t="array" ref="R287">SUMPRODUCT((J287=$J$7:$J$1000)*(P287&lt;$P$7:$P$1000))+1</f>
        <v>23</v>
      </c>
      <c r="S287" s="72"/>
    </row>
    <row r="288" spans="10:19" x14ac:dyDescent="0.35">
      <c r="J288" s="66">
        <v>10</v>
      </c>
      <c r="K288" t="s">
        <v>4</v>
      </c>
      <c r="L288" t="s">
        <v>523</v>
      </c>
      <c r="M288">
        <v>1.6</v>
      </c>
      <c r="N288" t="s">
        <v>9</v>
      </c>
      <c r="O288" t="s">
        <v>36</v>
      </c>
      <c r="P288">
        <f t="shared" si="22"/>
        <v>2.2293905217673458</v>
      </c>
      <c r="Q288">
        <f t="shared" si="23"/>
        <v>0.3961324288905716</v>
      </c>
      <c r="R288" s="67" cm="1">
        <f t="array" ref="R288">SUMPRODUCT((J288=$J$7:$J$1000)*(P288&lt;$P$7:$P$1000))+1</f>
        <v>26</v>
      </c>
      <c r="S288" s="72"/>
    </row>
    <row r="289" spans="10:19" x14ac:dyDescent="0.35">
      <c r="J289" s="66">
        <v>10</v>
      </c>
      <c r="K289" t="s">
        <v>13</v>
      </c>
      <c r="L289" t="s">
        <v>467</v>
      </c>
      <c r="M289">
        <v>1.6</v>
      </c>
      <c r="N289" t="s">
        <v>9</v>
      </c>
      <c r="O289" t="s">
        <v>34</v>
      </c>
      <c r="P289">
        <f t="shared" si="22"/>
        <v>4.7657091805682841</v>
      </c>
      <c r="Q289">
        <f t="shared" si="23"/>
        <v>10.021714615934316</v>
      </c>
      <c r="R289" s="67" cm="1">
        <f t="array" ref="R289">SUMPRODUCT((J289=$J$7:$J$1000)*(P289&lt;$P$7:$P$1000))+1</f>
        <v>11</v>
      </c>
      <c r="S289" s="72"/>
    </row>
    <row r="290" spans="10:19" x14ac:dyDescent="0.35">
      <c r="J290" s="66">
        <v>10</v>
      </c>
      <c r="K290" t="s">
        <v>23</v>
      </c>
      <c r="L290" t="s">
        <v>252</v>
      </c>
      <c r="M290">
        <v>1.5</v>
      </c>
      <c r="N290" t="s">
        <v>9</v>
      </c>
      <c r="O290" t="s">
        <v>14</v>
      </c>
      <c r="P290">
        <f t="shared" si="22"/>
        <v>2.4871355170461813</v>
      </c>
      <c r="Q290">
        <f t="shared" si="23"/>
        <v>0.97443652901403166</v>
      </c>
      <c r="R290" s="67" cm="1">
        <f t="array" ref="R290">SUMPRODUCT((J290=$J$7:$J$1000)*(P290&lt;$P$7:$P$1000))+1</f>
        <v>25</v>
      </c>
      <c r="S290" s="72"/>
    </row>
    <row r="291" spans="10:19" x14ac:dyDescent="0.35">
      <c r="J291" s="66">
        <v>10</v>
      </c>
      <c r="K291" t="s">
        <v>2</v>
      </c>
      <c r="L291" t="s">
        <v>159</v>
      </c>
      <c r="M291">
        <v>1.4</v>
      </c>
      <c r="N291" t="s">
        <v>9</v>
      </c>
      <c r="O291" t="s">
        <v>17</v>
      </c>
      <c r="P291">
        <f t="shared" si="22"/>
        <v>1.7647812958434967</v>
      </c>
      <c r="Q291">
        <f t="shared" si="23"/>
        <v>0.13306539379726076</v>
      </c>
      <c r="R291" s="67" cm="1">
        <f t="array" ref="R291">SUMPRODUCT((J291=$J$7:$J$1000)*(P291&lt;$P$7:$P$1000))+1</f>
        <v>28</v>
      </c>
      <c r="S291" s="72"/>
    </row>
    <row r="292" spans="10:19" x14ac:dyDescent="0.35">
      <c r="J292" s="66">
        <v>10</v>
      </c>
      <c r="K292" t="s">
        <v>14</v>
      </c>
      <c r="L292" t="s">
        <v>143</v>
      </c>
      <c r="M292">
        <v>1</v>
      </c>
      <c r="N292" t="s">
        <v>3</v>
      </c>
      <c r="O292" t="s">
        <v>23</v>
      </c>
      <c r="P292">
        <f t="shared" si="22"/>
        <v>3.7507324786009208</v>
      </c>
      <c r="Q292">
        <f t="shared" si="23"/>
        <v>7.5665291688299652</v>
      </c>
      <c r="R292" s="67" cm="1">
        <f t="array" ref="R292">SUMPRODUCT((J292=$J$7:$J$1000)*(P292&lt;$P$7:$P$1000))+1</f>
        <v>17</v>
      </c>
      <c r="S292" s="72"/>
    </row>
    <row r="293" spans="10:19" x14ac:dyDescent="0.35">
      <c r="J293" s="66">
        <v>10</v>
      </c>
      <c r="K293" t="s">
        <v>7</v>
      </c>
      <c r="L293" t="s">
        <v>630</v>
      </c>
      <c r="M293">
        <v>0.4</v>
      </c>
      <c r="N293" t="s">
        <v>3</v>
      </c>
      <c r="O293" t="s">
        <v>24</v>
      </c>
      <c r="P293">
        <f t="shared" si="22"/>
        <v>0.26782018699442095</v>
      </c>
      <c r="Q293">
        <f t="shared" si="23"/>
        <v>1.747150296618985E-2</v>
      </c>
      <c r="R293" s="67" cm="1">
        <f t="array" ref="R293">SUMPRODUCT((J293=$J$7:$J$1000)*(P293&lt;$P$7:$P$1000))+1</f>
        <v>30</v>
      </c>
      <c r="S293" s="72"/>
    </row>
    <row r="294" spans="10:19" x14ac:dyDescent="0.35">
      <c r="J294" s="66">
        <v>10</v>
      </c>
      <c r="K294" t="s">
        <v>24</v>
      </c>
      <c r="L294" t="s">
        <v>640</v>
      </c>
      <c r="M294">
        <v>0.3</v>
      </c>
      <c r="N294" t="s">
        <v>9</v>
      </c>
      <c r="O294" t="s">
        <v>7</v>
      </c>
      <c r="P294">
        <f t="shared" si="22"/>
        <v>0.66020998767008754</v>
      </c>
      <c r="Q294">
        <f t="shared" si="23"/>
        <v>0.12975123521728463</v>
      </c>
      <c r="R294" s="67" cm="1">
        <f t="array" ref="R294">SUMPRODUCT((J294=$J$7:$J$1000)*(P294&lt;$P$7:$P$1000))+1</f>
        <v>29</v>
      </c>
      <c r="S294" s="72"/>
    </row>
    <row r="295" spans="10:19" x14ac:dyDescent="0.35">
      <c r="J295" s="66">
        <v>11</v>
      </c>
      <c r="K295" t="s">
        <v>6</v>
      </c>
      <c r="L295" t="s">
        <v>417</v>
      </c>
      <c r="M295">
        <v>12.3</v>
      </c>
      <c r="N295" t="s">
        <v>3</v>
      </c>
      <c r="O295" t="s">
        <v>34</v>
      </c>
      <c r="P295">
        <f t="shared" si="22"/>
        <v>6.2087577085870107</v>
      </c>
      <c r="Q295">
        <f t="shared" ref="Q295:Q358" si="24">IFERROR(($M295-$P295)^2,"")</f>
        <v>37.103232652698175</v>
      </c>
      <c r="R295" s="67" cm="1">
        <f t="array" ref="R295">SUMPRODUCT((J295=$J$7:$J$1000)*(P295&lt;$P$7:$P$1000))+1</f>
        <v>6</v>
      </c>
      <c r="S295" s="72"/>
    </row>
    <row r="296" spans="10:19" x14ac:dyDescent="0.35">
      <c r="J296" s="66">
        <v>11</v>
      </c>
      <c r="K296" t="s">
        <v>2</v>
      </c>
      <c r="L296" t="s">
        <v>527</v>
      </c>
      <c r="M296">
        <v>8.1</v>
      </c>
      <c r="N296" t="s">
        <v>9</v>
      </c>
      <c r="O296" t="s">
        <v>13</v>
      </c>
      <c r="P296">
        <f t="shared" si="22"/>
        <v>4.5551088601377838</v>
      </c>
      <c r="Q296">
        <f t="shared" si="24"/>
        <v>12.56625319347364</v>
      </c>
      <c r="R296" s="67" cm="1">
        <f t="array" ref="R296">SUMPRODUCT((J296=$J$7:$J$1000)*(P296&lt;$P$7:$P$1000))+1</f>
        <v>18</v>
      </c>
      <c r="S296" s="72"/>
    </row>
    <row r="297" spans="10:19" x14ac:dyDescent="0.35">
      <c r="J297" s="66">
        <v>11</v>
      </c>
      <c r="K297" t="s">
        <v>34</v>
      </c>
      <c r="L297" t="s">
        <v>177</v>
      </c>
      <c r="M297">
        <v>8.1</v>
      </c>
      <c r="N297" t="s">
        <v>9</v>
      </c>
      <c r="O297" t="s">
        <v>6</v>
      </c>
      <c r="P297">
        <f t="shared" si="22"/>
        <v>4.8888603256173955</v>
      </c>
      <c r="Q297">
        <f t="shared" si="24"/>
        <v>10.311418008394018</v>
      </c>
      <c r="R297" s="67" cm="1">
        <f t="array" ref="R297">SUMPRODUCT((J297=$J$7:$J$1000)*(P297&lt;$P$7:$P$1000))+1</f>
        <v>15</v>
      </c>
      <c r="S297" s="72"/>
    </row>
    <row r="298" spans="10:19" x14ac:dyDescent="0.35">
      <c r="J298" s="66">
        <v>11</v>
      </c>
      <c r="K298" t="s">
        <v>14</v>
      </c>
      <c r="L298" t="s">
        <v>413</v>
      </c>
      <c r="M298">
        <v>8</v>
      </c>
      <c r="N298" t="s">
        <v>3</v>
      </c>
      <c r="O298" t="s">
        <v>24</v>
      </c>
      <c r="P298">
        <f t="shared" si="22"/>
        <v>5.651090102885469</v>
      </c>
      <c r="Q298">
        <f t="shared" si="24"/>
        <v>5.5173777047625965</v>
      </c>
      <c r="R298" s="67" cm="1">
        <f t="array" ref="R298">SUMPRODUCT((J298=$J$7:$J$1000)*(P298&lt;$P$7:$P$1000))+1</f>
        <v>8</v>
      </c>
      <c r="S298" s="72"/>
    </row>
    <row r="299" spans="10:19" x14ac:dyDescent="0.35">
      <c r="J299" s="66">
        <v>11</v>
      </c>
      <c r="K299" t="s">
        <v>7</v>
      </c>
      <c r="L299" t="s">
        <v>171</v>
      </c>
      <c r="M299">
        <v>7.8</v>
      </c>
      <c r="N299" t="s">
        <v>9</v>
      </c>
      <c r="O299" t="s">
        <v>36</v>
      </c>
      <c r="P299">
        <f t="shared" si="22"/>
        <v>7.8004996861952192</v>
      </c>
      <c r="Q299">
        <f t="shared" si="24"/>
        <v>2.4968629369278026E-7</v>
      </c>
      <c r="R299" s="67" cm="1">
        <f t="array" ref="R299">SUMPRODUCT((J299=$J$7:$J$1000)*(P299&lt;$P$7:$P$1000))+1</f>
        <v>2</v>
      </c>
      <c r="S299" s="72"/>
    </row>
    <row r="300" spans="10:19" x14ac:dyDescent="0.35">
      <c r="J300" s="66">
        <v>11</v>
      </c>
      <c r="K300" t="s">
        <v>13</v>
      </c>
      <c r="L300" t="s">
        <v>599</v>
      </c>
      <c r="M300">
        <v>7.8</v>
      </c>
      <c r="N300" t="s">
        <v>3</v>
      </c>
      <c r="O300" t="s">
        <v>2</v>
      </c>
      <c r="P300">
        <f t="shared" si="22"/>
        <v>7.7978385295720116</v>
      </c>
      <c r="Q300">
        <f t="shared" si="24"/>
        <v>4.6719544110674884E-6</v>
      </c>
      <c r="R300" s="67" cm="1">
        <f t="array" ref="R300">SUMPRODUCT((J300=$J$7:$J$1000)*(P300&lt;$P$7:$P$1000))+1</f>
        <v>3</v>
      </c>
      <c r="S300" s="72"/>
    </row>
    <row r="301" spans="10:19" x14ac:dyDescent="0.35">
      <c r="J301" s="66">
        <v>11</v>
      </c>
      <c r="K301" t="s">
        <v>6</v>
      </c>
      <c r="L301" t="s">
        <v>417</v>
      </c>
      <c r="M301">
        <v>7.6</v>
      </c>
      <c r="N301" t="s">
        <v>9</v>
      </c>
      <c r="O301" t="s">
        <v>34</v>
      </c>
      <c r="P301">
        <f t="shared" si="22"/>
        <v>6.0559652176633625</v>
      </c>
      <c r="Q301">
        <f t="shared" si="24"/>
        <v>2.3840434090653466</v>
      </c>
      <c r="R301" s="67" cm="1">
        <f t="array" ref="R301">SUMPRODUCT((J301=$J$7:$J$1000)*(P301&lt;$P$7:$P$1000))+1</f>
        <v>7</v>
      </c>
      <c r="S301" s="72"/>
    </row>
    <row r="302" spans="10:19" x14ac:dyDescent="0.35">
      <c r="J302" s="66">
        <v>11</v>
      </c>
      <c r="K302" t="s">
        <v>17</v>
      </c>
      <c r="L302" t="s">
        <v>149</v>
      </c>
      <c r="M302">
        <v>6.8</v>
      </c>
      <c r="N302" t="s">
        <v>9</v>
      </c>
      <c r="O302" t="s">
        <v>4</v>
      </c>
      <c r="P302">
        <f t="shared" si="22"/>
        <v>5.5508659237538298</v>
      </c>
      <c r="Q302">
        <f t="shared" si="24"/>
        <v>1.5603359404393724</v>
      </c>
      <c r="R302" s="67" cm="1">
        <f t="array" ref="R302">SUMPRODUCT((J302=$J$7:$J$1000)*(P302&lt;$P$7:$P$1000))+1</f>
        <v>9</v>
      </c>
      <c r="S302" s="72"/>
    </row>
    <row r="303" spans="10:19" x14ac:dyDescent="0.35">
      <c r="J303" s="66">
        <v>11</v>
      </c>
      <c r="K303" t="s">
        <v>34</v>
      </c>
      <c r="L303" t="s">
        <v>161</v>
      </c>
      <c r="M303">
        <v>6.5</v>
      </c>
      <c r="N303" t="s">
        <v>9</v>
      </c>
      <c r="O303" t="s">
        <v>6</v>
      </c>
      <c r="P303">
        <f t="shared" si="22"/>
        <v>7.6945335922062217</v>
      </c>
      <c r="Q303">
        <f t="shared" si="24"/>
        <v>1.4269105029090998</v>
      </c>
      <c r="R303" s="67" cm="1">
        <f t="array" ref="R303">SUMPRODUCT((J303=$J$7:$J$1000)*(P303&lt;$P$7:$P$1000))+1</f>
        <v>4</v>
      </c>
      <c r="S303" s="72"/>
    </row>
    <row r="304" spans="10:19" x14ac:dyDescent="0.35">
      <c r="J304" s="66">
        <v>11</v>
      </c>
      <c r="K304" t="s">
        <v>6</v>
      </c>
      <c r="L304" t="s">
        <v>503</v>
      </c>
      <c r="M304">
        <v>5.7</v>
      </c>
      <c r="N304" t="s">
        <v>9</v>
      </c>
      <c r="O304" t="s">
        <v>34</v>
      </c>
      <c r="P304">
        <f t="shared" si="22"/>
        <v>3.6210703854608974</v>
      </c>
      <c r="Q304">
        <f t="shared" si="24"/>
        <v>4.3219483422077021</v>
      </c>
      <c r="R304" s="67" cm="1">
        <f t="array" ref="R304">SUMPRODUCT((J304=$J$7:$J$1000)*(P304&lt;$P$7:$P$1000))+1</f>
        <v>24</v>
      </c>
      <c r="S304" s="72"/>
    </row>
    <row r="305" spans="10:19" x14ac:dyDescent="0.35">
      <c r="J305" s="66">
        <v>11</v>
      </c>
      <c r="K305" t="s">
        <v>2</v>
      </c>
      <c r="L305" t="s">
        <v>162</v>
      </c>
      <c r="M305">
        <v>5.2</v>
      </c>
      <c r="N305" t="s">
        <v>9</v>
      </c>
      <c r="O305" t="s">
        <v>13</v>
      </c>
      <c r="P305">
        <f t="shared" si="22"/>
        <v>4.0475667827185564</v>
      </c>
      <c r="Q305">
        <f t="shared" si="24"/>
        <v>1.3281023202936595</v>
      </c>
      <c r="R305" s="67" cm="1">
        <f t="array" ref="R305">SUMPRODUCT((J305=$J$7:$J$1000)*(P305&lt;$P$7:$P$1000))+1</f>
        <v>21</v>
      </c>
      <c r="S305" s="72"/>
    </row>
    <row r="306" spans="10:19" x14ac:dyDescent="0.35">
      <c r="J306" s="66">
        <v>11</v>
      </c>
      <c r="K306" t="s">
        <v>6</v>
      </c>
      <c r="L306" t="s">
        <v>416</v>
      </c>
      <c r="M306">
        <v>5</v>
      </c>
      <c r="N306" t="s">
        <v>9</v>
      </c>
      <c r="O306" t="s">
        <v>34</v>
      </c>
      <c r="P306">
        <f t="shared" si="22"/>
        <v>4.8338580537080533</v>
      </c>
      <c r="Q306">
        <f t="shared" si="24"/>
        <v>2.7603146317676092E-2</v>
      </c>
      <c r="R306" s="67" cm="1">
        <f t="array" ref="R306">SUMPRODUCT((J306=$J$7:$J$1000)*(P306&lt;$P$7:$P$1000))+1</f>
        <v>16</v>
      </c>
      <c r="S306" s="72"/>
    </row>
    <row r="307" spans="10:19" x14ac:dyDescent="0.35">
      <c r="J307" s="66">
        <v>11</v>
      </c>
      <c r="K307" t="s">
        <v>17</v>
      </c>
      <c r="L307" t="s">
        <v>167</v>
      </c>
      <c r="M307">
        <v>4.8</v>
      </c>
      <c r="N307" t="s">
        <v>9</v>
      </c>
      <c r="O307" t="s">
        <v>4</v>
      </c>
      <c r="P307">
        <f t="shared" si="22"/>
        <v>2.9506770798484632</v>
      </c>
      <c r="Q307">
        <f t="shared" si="24"/>
        <v>3.4199952629978068</v>
      </c>
      <c r="R307" s="67" cm="1">
        <f t="array" ref="R307">SUMPRODUCT((J307=$J$7:$J$1000)*(P307&lt;$P$7:$P$1000))+1</f>
        <v>30</v>
      </c>
      <c r="S307" s="72"/>
    </row>
    <row r="308" spans="10:19" x14ac:dyDescent="0.35">
      <c r="J308" s="66">
        <v>11</v>
      </c>
      <c r="K308" t="s">
        <v>6</v>
      </c>
      <c r="L308" t="s">
        <v>416</v>
      </c>
      <c r="M308">
        <v>4.5</v>
      </c>
      <c r="N308" t="s">
        <v>3</v>
      </c>
      <c r="O308" t="s">
        <v>34</v>
      </c>
      <c r="P308">
        <f t="shared" si="22"/>
        <v>4.9866505446317024</v>
      </c>
      <c r="Q308">
        <f t="shared" si="24"/>
        <v>0.23682875259033259</v>
      </c>
      <c r="R308" s="67" cm="1">
        <f t="array" ref="R308">SUMPRODUCT((J308=$J$7:$J$1000)*(P308&lt;$P$7:$P$1000))+1</f>
        <v>13</v>
      </c>
      <c r="S308" s="72"/>
    </row>
    <row r="309" spans="10:19" x14ac:dyDescent="0.35">
      <c r="J309" s="66">
        <v>11</v>
      </c>
      <c r="K309" t="s">
        <v>34</v>
      </c>
      <c r="L309" t="s">
        <v>153</v>
      </c>
      <c r="M309">
        <v>4.2</v>
      </c>
      <c r="N309" t="s">
        <v>9</v>
      </c>
      <c r="O309" t="s">
        <v>6</v>
      </c>
      <c r="P309">
        <f t="shared" si="22"/>
        <v>4.3745530030297743</v>
      </c>
      <c r="Q309">
        <f t="shared" si="24"/>
        <v>3.0468750866712351E-2</v>
      </c>
      <c r="R309" s="67" cm="1">
        <f t="array" ref="R309">SUMPRODUCT((J309=$J$7:$J$1000)*(P309&lt;$P$7:$P$1000))+1</f>
        <v>20</v>
      </c>
      <c r="S309" s="72"/>
    </row>
    <row r="310" spans="10:19" x14ac:dyDescent="0.35">
      <c r="J310" s="66">
        <v>11</v>
      </c>
      <c r="K310" t="s">
        <v>36</v>
      </c>
      <c r="L310" t="s">
        <v>157</v>
      </c>
      <c r="M310">
        <v>4.0999999999999996</v>
      </c>
      <c r="N310" t="s">
        <v>3</v>
      </c>
      <c r="O310" t="s">
        <v>7</v>
      </c>
      <c r="P310">
        <f t="shared" si="22"/>
        <v>3.4763316605210148</v>
      </c>
      <c r="Q310">
        <f t="shared" si="24"/>
        <v>0.38896219766847423</v>
      </c>
      <c r="R310" s="67" cm="1">
        <f t="array" ref="R310">SUMPRODUCT((J310=$J$7:$J$1000)*(P310&lt;$P$7:$P$1000))+1</f>
        <v>26</v>
      </c>
      <c r="S310" s="72"/>
    </row>
    <row r="311" spans="10:19" x14ac:dyDescent="0.35">
      <c r="J311" s="66">
        <v>11</v>
      </c>
      <c r="K311" t="s">
        <v>36</v>
      </c>
      <c r="L311" t="s">
        <v>466</v>
      </c>
      <c r="M311">
        <v>4</v>
      </c>
      <c r="N311" t="s">
        <v>3</v>
      </c>
      <c r="O311" t="s">
        <v>7</v>
      </c>
      <c r="P311">
        <f t="shared" si="22"/>
        <v>8.1822816930642439</v>
      </c>
      <c r="Q311">
        <f t="shared" si="24"/>
        <v>17.49148016014032</v>
      </c>
      <c r="R311" s="67" cm="1">
        <f t="array" ref="R311">SUMPRODUCT((J311=$J$7:$J$1000)*(P311&lt;$P$7:$P$1000))+1</f>
        <v>1</v>
      </c>
      <c r="S311" s="72"/>
    </row>
    <row r="312" spans="10:19" x14ac:dyDescent="0.35">
      <c r="J312" s="66">
        <v>11</v>
      </c>
      <c r="K312" t="s">
        <v>17</v>
      </c>
      <c r="L312" t="s">
        <v>155</v>
      </c>
      <c r="M312">
        <v>3.5</v>
      </c>
      <c r="N312" t="s">
        <v>9</v>
      </c>
      <c r="O312" t="s">
        <v>4</v>
      </c>
      <c r="P312">
        <f t="shared" si="22"/>
        <v>5.2793998227430654</v>
      </c>
      <c r="Q312">
        <f t="shared" si="24"/>
        <v>3.1662637291780524</v>
      </c>
      <c r="R312" s="67" cm="1">
        <f t="array" ref="R312">SUMPRODUCT((J312=$J$7:$J$1000)*(P312&lt;$P$7:$P$1000))+1</f>
        <v>11</v>
      </c>
      <c r="S312" s="72"/>
    </row>
    <row r="313" spans="10:19" x14ac:dyDescent="0.35">
      <c r="J313" s="66">
        <v>11</v>
      </c>
      <c r="K313" t="s">
        <v>14</v>
      </c>
      <c r="L313" t="s">
        <v>248</v>
      </c>
      <c r="M313">
        <v>3.3</v>
      </c>
      <c r="N313" t="s">
        <v>9</v>
      </c>
      <c r="O313" t="s">
        <v>24</v>
      </c>
      <c r="P313">
        <f t="shared" si="22"/>
        <v>5.2418658566480856</v>
      </c>
      <c r="Q313">
        <f t="shared" si="24"/>
        <v>3.7708430052156041</v>
      </c>
      <c r="R313" s="67" cm="1">
        <f t="array" ref="R313">SUMPRODUCT((J313=$J$7:$J$1000)*(P313&lt;$P$7:$P$1000))+1</f>
        <v>12</v>
      </c>
      <c r="S313" s="72"/>
    </row>
    <row r="314" spans="10:19" x14ac:dyDescent="0.35">
      <c r="J314" s="66">
        <v>11</v>
      </c>
      <c r="K314" t="s">
        <v>14</v>
      </c>
      <c r="L314" t="s">
        <v>164</v>
      </c>
      <c r="M314">
        <v>3.1</v>
      </c>
      <c r="N314" t="s">
        <v>9</v>
      </c>
      <c r="O314" t="s">
        <v>24</v>
      </c>
      <c r="P314">
        <f t="shared" si="22"/>
        <v>3.3004979492976929</v>
      </c>
      <c r="Q314">
        <f t="shared" si="24"/>
        <v>4.0199427672580203E-2</v>
      </c>
      <c r="R314" s="67" cm="1">
        <f t="array" ref="R314">SUMPRODUCT((J314=$J$7:$J$1000)*(P314&lt;$P$7:$P$1000))+1</f>
        <v>27</v>
      </c>
      <c r="S314" s="72"/>
    </row>
    <row r="315" spans="10:19" x14ac:dyDescent="0.35">
      <c r="J315" s="66">
        <v>11</v>
      </c>
      <c r="K315" t="s">
        <v>7</v>
      </c>
      <c r="L315" t="s">
        <v>163</v>
      </c>
      <c r="M315">
        <v>3.1</v>
      </c>
      <c r="N315" t="s">
        <v>9</v>
      </c>
      <c r="O315" t="s">
        <v>36</v>
      </c>
      <c r="P315">
        <f t="shared" si="22"/>
        <v>4.902878836559081</v>
      </c>
      <c r="Q315">
        <f t="shared" si="24"/>
        <v>3.2503720993126253</v>
      </c>
      <c r="R315" s="67" cm="1">
        <f t="array" ref="R315">SUMPRODUCT((J315=$J$7:$J$1000)*(P315&lt;$P$7:$P$1000))+1</f>
        <v>14</v>
      </c>
      <c r="S315" s="72"/>
    </row>
    <row r="316" spans="10:19" x14ac:dyDescent="0.35">
      <c r="J316" s="66">
        <v>11</v>
      </c>
      <c r="K316" t="s">
        <v>14</v>
      </c>
      <c r="L316" t="s">
        <v>553</v>
      </c>
      <c r="M316">
        <v>3</v>
      </c>
      <c r="N316" t="s">
        <v>3</v>
      </c>
      <c r="O316" t="s">
        <v>24</v>
      </c>
      <c r="P316">
        <f t="shared" si="22"/>
        <v>1.8109797669550707</v>
      </c>
      <c r="Q316">
        <f t="shared" si="24"/>
        <v>1.413769114590218</v>
      </c>
      <c r="R316" s="67" cm="1">
        <f t="array" ref="R316">SUMPRODUCT((J316=$J$7:$J$1000)*(P316&lt;$P$7:$P$1000))+1</f>
        <v>37</v>
      </c>
      <c r="S316" s="72"/>
    </row>
    <row r="317" spans="10:19" x14ac:dyDescent="0.35">
      <c r="J317" s="66">
        <v>11</v>
      </c>
      <c r="K317" t="s">
        <v>24</v>
      </c>
      <c r="L317" t="s">
        <v>179</v>
      </c>
      <c r="M317">
        <v>2.9</v>
      </c>
      <c r="N317" t="s">
        <v>3</v>
      </c>
      <c r="O317" t="s">
        <v>14</v>
      </c>
      <c r="P317">
        <f t="shared" si="22"/>
        <v>3.9176250404685593</v>
      </c>
      <c r="Q317">
        <f t="shared" si="24"/>
        <v>1.0355607229886372</v>
      </c>
      <c r="R317" s="67" cm="1">
        <f t="array" ref="R317">SUMPRODUCT((J317=$J$7:$J$1000)*(P317&lt;$P$7:$P$1000))+1</f>
        <v>22</v>
      </c>
      <c r="S317" s="72"/>
    </row>
    <row r="318" spans="10:19" x14ac:dyDescent="0.35">
      <c r="J318" s="66">
        <v>11</v>
      </c>
      <c r="K318" t="s">
        <v>13</v>
      </c>
      <c r="L318" t="s">
        <v>524</v>
      </c>
      <c r="M318">
        <v>2.9</v>
      </c>
      <c r="N318" t="s">
        <v>3</v>
      </c>
      <c r="O318" t="s">
        <v>2</v>
      </c>
      <c r="P318">
        <f t="shared" si="22"/>
        <v>3.1888125538389547</v>
      </c>
      <c r="Q318">
        <f t="shared" si="24"/>
        <v>8.3412691254979146E-2</v>
      </c>
      <c r="R318" s="67" cm="1">
        <f t="array" ref="R318">SUMPRODUCT((J318=$J$7:$J$1000)*(P318&lt;$P$7:$P$1000))+1</f>
        <v>28</v>
      </c>
      <c r="S318" s="72"/>
    </row>
    <row r="319" spans="10:19" x14ac:dyDescent="0.35">
      <c r="J319" s="66">
        <v>11</v>
      </c>
      <c r="K319" t="s">
        <v>14</v>
      </c>
      <c r="L319" t="s">
        <v>604</v>
      </c>
      <c r="M319">
        <v>2.8</v>
      </c>
      <c r="N319" t="s">
        <v>3</v>
      </c>
      <c r="O319" t="s">
        <v>24</v>
      </c>
      <c r="P319">
        <f t="shared" si="22"/>
        <v>2.7992521079773982</v>
      </c>
      <c r="Q319">
        <f t="shared" si="24"/>
        <v>5.5934247747113467E-7</v>
      </c>
      <c r="R319" s="67" cm="1">
        <f t="array" ref="R319">SUMPRODUCT((J319=$J$7:$J$1000)*(P319&lt;$P$7:$P$1000))+1</f>
        <v>32</v>
      </c>
      <c r="S319" s="72"/>
    </row>
    <row r="320" spans="10:19" x14ac:dyDescent="0.35">
      <c r="J320" s="66">
        <v>11</v>
      </c>
      <c r="K320" t="s">
        <v>24</v>
      </c>
      <c r="L320" t="s">
        <v>411</v>
      </c>
      <c r="M320">
        <v>2.7</v>
      </c>
      <c r="N320" t="s">
        <v>3</v>
      </c>
      <c r="O320" t="s">
        <v>14</v>
      </c>
      <c r="P320">
        <f t="shared" si="22"/>
        <v>3.523540232404315</v>
      </c>
      <c r="Q320">
        <f t="shared" si="24"/>
        <v>0.67821851438855285</v>
      </c>
      <c r="R320" s="67" cm="1">
        <f t="array" ref="R320">SUMPRODUCT((J320=$J$7:$J$1000)*(P320&lt;$P$7:$P$1000))+1</f>
        <v>25</v>
      </c>
      <c r="S320" s="72"/>
    </row>
    <row r="321" spans="10:19" x14ac:dyDescent="0.35">
      <c r="J321" s="66">
        <v>11</v>
      </c>
      <c r="K321" t="s">
        <v>17</v>
      </c>
      <c r="L321" t="s">
        <v>149</v>
      </c>
      <c r="M321">
        <v>2.7</v>
      </c>
      <c r="N321" t="s">
        <v>9</v>
      </c>
      <c r="O321" t="s">
        <v>4</v>
      </c>
      <c r="P321">
        <f t="shared" si="22"/>
        <v>5.5508659237538298</v>
      </c>
      <c r="Q321">
        <f t="shared" si="24"/>
        <v>8.1274365152207757</v>
      </c>
      <c r="R321" s="67" cm="1">
        <f t="array" ref="R321">SUMPRODUCT((J321=$J$7:$J$1000)*(P321&lt;$P$7:$P$1000))+1</f>
        <v>9</v>
      </c>
      <c r="S321" s="72"/>
    </row>
    <row r="322" spans="10:19" x14ac:dyDescent="0.35">
      <c r="J322" s="66">
        <v>11</v>
      </c>
      <c r="K322" t="s">
        <v>4</v>
      </c>
      <c r="L322" t="s">
        <v>176</v>
      </c>
      <c r="M322">
        <v>2.2999999999999998</v>
      </c>
      <c r="N322" t="s">
        <v>3</v>
      </c>
      <c r="O322" t="s">
        <v>17</v>
      </c>
      <c r="P322">
        <f t="shared" si="22"/>
        <v>2.760835825305743</v>
      </c>
      <c r="Q322">
        <f t="shared" si="24"/>
        <v>0.21236965788522544</v>
      </c>
      <c r="R322" s="67" cm="1">
        <f t="array" ref="R322">SUMPRODUCT((J322=$J$7:$J$1000)*(P322&lt;$P$7:$P$1000))+1</f>
        <v>33</v>
      </c>
      <c r="S322" s="72"/>
    </row>
    <row r="323" spans="10:19" x14ac:dyDescent="0.35">
      <c r="J323" s="66">
        <v>11</v>
      </c>
      <c r="K323" t="s">
        <v>13</v>
      </c>
      <c r="L323" t="s">
        <v>145</v>
      </c>
      <c r="M323">
        <v>2.2000000000000002</v>
      </c>
      <c r="N323" t="s">
        <v>3</v>
      </c>
      <c r="O323" t="s">
        <v>2</v>
      </c>
      <c r="P323">
        <f t="shared" si="22"/>
        <v>2.2154620251833057</v>
      </c>
      <c r="Q323">
        <f t="shared" si="24"/>
        <v>2.3907422276917435E-4</v>
      </c>
      <c r="R323" s="67" cm="1">
        <f t="array" ref="R323">SUMPRODUCT((J323=$J$7:$J$1000)*(P323&lt;$P$7:$P$1000))+1</f>
        <v>34</v>
      </c>
      <c r="S323" s="72"/>
    </row>
    <row r="324" spans="10:19" x14ac:dyDescent="0.35">
      <c r="J324" s="66">
        <v>11</v>
      </c>
      <c r="K324" t="s">
        <v>6</v>
      </c>
      <c r="L324" t="s">
        <v>503</v>
      </c>
      <c r="M324">
        <v>2.1</v>
      </c>
      <c r="N324" t="s">
        <v>3</v>
      </c>
      <c r="O324" t="s">
        <v>34</v>
      </c>
      <c r="P324">
        <f t="shared" si="22"/>
        <v>3.7738628763845465</v>
      </c>
      <c r="Q324">
        <f t="shared" si="24"/>
        <v>2.8018169289383472</v>
      </c>
      <c r="R324" s="67" cm="1">
        <f t="array" ref="R324">SUMPRODUCT((J324=$J$7:$J$1000)*(P324&lt;$P$7:$P$1000))+1</f>
        <v>23</v>
      </c>
      <c r="S324" s="72"/>
    </row>
    <row r="325" spans="10:19" x14ac:dyDescent="0.35">
      <c r="J325" s="66">
        <v>11</v>
      </c>
      <c r="K325" t="s">
        <v>2</v>
      </c>
      <c r="L325" t="s">
        <v>156</v>
      </c>
      <c r="M325">
        <v>2</v>
      </c>
      <c r="N325" t="s">
        <v>9</v>
      </c>
      <c r="O325" t="s">
        <v>13</v>
      </c>
      <c r="P325">
        <f t="shared" si="22"/>
        <v>6.3761448815346382</v>
      </c>
      <c r="Q325">
        <f t="shared" si="24"/>
        <v>19.150644024181812</v>
      </c>
      <c r="R325" s="67" cm="1">
        <f t="array" ref="R325">SUMPRODUCT((J325=$J$7:$J$1000)*(P325&lt;$P$7:$P$1000))+1</f>
        <v>5</v>
      </c>
      <c r="S325" s="72"/>
    </row>
    <row r="326" spans="10:19" x14ac:dyDescent="0.35">
      <c r="J326" s="66">
        <v>11</v>
      </c>
      <c r="K326" t="s">
        <v>17</v>
      </c>
      <c r="L326" t="s">
        <v>480</v>
      </c>
      <c r="M326">
        <v>1.8</v>
      </c>
      <c r="N326" t="s">
        <v>9</v>
      </c>
      <c r="O326" t="s">
        <v>4</v>
      </c>
      <c r="P326">
        <f t="shared" si="22"/>
        <v>4.524112007769034</v>
      </c>
      <c r="Q326">
        <f t="shared" si="24"/>
        <v>7.4207862308714381</v>
      </c>
      <c r="R326" s="67" cm="1">
        <f t="array" ref="R326">SUMPRODUCT((J326=$J$7:$J$1000)*(P326&lt;$P$7:$P$1000))+1</f>
        <v>19</v>
      </c>
      <c r="S326" s="72"/>
    </row>
    <row r="327" spans="10:19" x14ac:dyDescent="0.35">
      <c r="J327" s="66">
        <v>11</v>
      </c>
      <c r="K327" t="s">
        <v>24</v>
      </c>
      <c r="L327" t="s">
        <v>640</v>
      </c>
      <c r="M327">
        <v>1.7</v>
      </c>
      <c r="N327" t="s">
        <v>3</v>
      </c>
      <c r="O327" t="s">
        <v>14</v>
      </c>
      <c r="P327">
        <f t="shared" si="22"/>
        <v>2.0219070660272198</v>
      </c>
      <c r="Q327">
        <f t="shared" si="24"/>
        <v>0.10362415915825289</v>
      </c>
      <c r="R327" s="67" cm="1">
        <f t="array" ref="R327">SUMPRODUCT((J327=$J$7:$J$1000)*(P327&lt;$P$7:$P$1000))+1</f>
        <v>35</v>
      </c>
      <c r="S327" s="72"/>
    </row>
    <row r="328" spans="10:19" x14ac:dyDescent="0.35">
      <c r="J328" s="66">
        <v>11</v>
      </c>
      <c r="K328" t="s">
        <v>14</v>
      </c>
      <c r="L328" t="s">
        <v>143</v>
      </c>
      <c r="M328">
        <v>1.5</v>
      </c>
      <c r="N328" t="s">
        <v>9</v>
      </c>
      <c r="O328" t="s">
        <v>24</v>
      </c>
      <c r="P328">
        <f t="shared" ref="P328:P391" si="25">VLOOKUP($N328,$F$3:$G$4,2,FALSE)+VLOOKUP($L328,$B$20:$C$150,2,FALSE)+VLOOKUP($O328,$A$6:$B$16,2,FALSE)</f>
        <v>3.1070499635671305</v>
      </c>
      <c r="Q328">
        <f t="shared" si="24"/>
        <v>2.5826095854011153</v>
      </c>
      <c r="R328" s="67" cm="1">
        <f t="array" ref="R328">SUMPRODUCT((J328=$J$7:$J$1000)*(P328&lt;$P$7:$P$1000))+1</f>
        <v>29</v>
      </c>
      <c r="S328" s="72"/>
    </row>
    <row r="329" spans="10:19" x14ac:dyDescent="0.35">
      <c r="J329" s="66">
        <v>11</v>
      </c>
      <c r="K329" t="s">
        <v>36</v>
      </c>
      <c r="L329" t="s">
        <v>591</v>
      </c>
      <c r="M329">
        <v>1.5</v>
      </c>
      <c r="N329" t="s">
        <v>3</v>
      </c>
      <c r="O329" t="s">
        <v>7</v>
      </c>
      <c r="P329">
        <f t="shared" si="25"/>
        <v>1.3251210358517085</v>
      </c>
      <c r="Q329">
        <f t="shared" si="24"/>
        <v>3.0582652101579431E-2</v>
      </c>
      <c r="R329" s="67" cm="1">
        <f t="array" ref="R329">SUMPRODUCT((J329=$J$7:$J$1000)*(P329&lt;$P$7:$P$1000))+1</f>
        <v>38</v>
      </c>
      <c r="S329" s="72"/>
    </row>
    <row r="330" spans="10:19" x14ac:dyDescent="0.35">
      <c r="J330" s="66">
        <v>11</v>
      </c>
      <c r="K330" t="s">
        <v>4</v>
      </c>
      <c r="L330" t="s">
        <v>172</v>
      </c>
      <c r="M330">
        <v>1.5</v>
      </c>
      <c r="N330" t="s">
        <v>3</v>
      </c>
      <c r="O330" t="s">
        <v>17</v>
      </c>
      <c r="P330">
        <f t="shared" si="25"/>
        <v>1.9279441635401506</v>
      </c>
      <c r="Q330">
        <f t="shared" si="24"/>
        <v>0.18313620710807918</v>
      </c>
      <c r="R330" s="67" cm="1">
        <f t="array" ref="R330">SUMPRODUCT((J330=$J$7:$J$1000)*(P330&lt;$P$7:$P$1000))+1</f>
        <v>36</v>
      </c>
      <c r="S330" s="72"/>
    </row>
    <row r="331" spans="10:19" x14ac:dyDescent="0.35">
      <c r="J331" s="66">
        <v>11</v>
      </c>
      <c r="K331" t="s">
        <v>17</v>
      </c>
      <c r="L331" t="s">
        <v>167</v>
      </c>
      <c r="M331">
        <v>0.9</v>
      </c>
      <c r="N331" t="s">
        <v>9</v>
      </c>
      <c r="O331" t="s">
        <v>4</v>
      </c>
      <c r="P331">
        <f t="shared" si="25"/>
        <v>2.9506770798484632</v>
      </c>
      <c r="Q331">
        <f t="shared" si="24"/>
        <v>4.2052764858158209</v>
      </c>
      <c r="R331" s="67" cm="1">
        <f t="array" ref="R331">SUMPRODUCT((J331=$J$7:$J$1000)*(P331&lt;$P$7:$P$1000))+1</f>
        <v>30</v>
      </c>
      <c r="S331" s="72"/>
    </row>
    <row r="332" spans="10:19" x14ac:dyDescent="0.35">
      <c r="J332" s="66">
        <v>11</v>
      </c>
      <c r="K332" t="s">
        <v>7</v>
      </c>
      <c r="L332" t="s">
        <v>630</v>
      </c>
      <c r="M332">
        <v>0.7</v>
      </c>
      <c r="N332" t="s">
        <v>9</v>
      </c>
      <c r="O332" t="s">
        <v>36</v>
      </c>
      <c r="P332">
        <f t="shared" si="25"/>
        <v>0.52840096785964874</v>
      </c>
      <c r="Q332">
        <f t="shared" si="24"/>
        <v>2.944622783150529E-2</v>
      </c>
      <c r="R332" s="67" cm="1">
        <f t="array" ref="R332">SUMPRODUCT((J332=$J$7:$J$1000)*(P332&lt;$P$7:$P$1000))+1</f>
        <v>39</v>
      </c>
      <c r="S332" s="72"/>
    </row>
    <row r="333" spans="10:19" x14ac:dyDescent="0.35">
      <c r="J333" s="66">
        <v>11</v>
      </c>
      <c r="K333" t="s">
        <v>4</v>
      </c>
      <c r="L333" t="s">
        <v>481</v>
      </c>
      <c r="M333">
        <v>-0.2</v>
      </c>
      <c r="N333" t="s">
        <v>3</v>
      </c>
      <c r="O333" t="s">
        <v>17</v>
      </c>
      <c r="P333">
        <f t="shared" si="25"/>
        <v>4.6138265618186463</v>
      </c>
      <c r="Q333">
        <f t="shared" si="24"/>
        <v>23.172926167270731</v>
      </c>
      <c r="R333" s="67" cm="1">
        <f t="array" ref="R333">SUMPRODUCT((J333=$J$7:$J$1000)*(P333&lt;$P$7:$P$1000))+1</f>
        <v>17</v>
      </c>
      <c r="S333" s="72"/>
    </row>
    <row r="334" spans="10:19" x14ac:dyDescent="0.35">
      <c r="J334" s="66">
        <v>12</v>
      </c>
      <c r="K334" t="s">
        <v>34</v>
      </c>
      <c r="L334" t="s">
        <v>161</v>
      </c>
      <c r="M334">
        <v>16.100000000000001</v>
      </c>
      <c r="N334" t="s">
        <v>3</v>
      </c>
      <c r="O334" t="s">
        <v>4</v>
      </c>
      <c r="P334">
        <f t="shared" si="25"/>
        <v>7.5559692732038144</v>
      </c>
      <c r="Q334">
        <f t="shared" si="24"/>
        <v>73.000461060437374</v>
      </c>
      <c r="R334" s="67" cm="1">
        <f t="array" ref="R334">SUMPRODUCT((J334=$J$7:$J$1000)*(P334&lt;$P$7:$P$1000))+1</f>
        <v>5</v>
      </c>
      <c r="S334" s="72"/>
    </row>
    <row r="335" spans="10:19" x14ac:dyDescent="0.35">
      <c r="J335" s="66">
        <v>12</v>
      </c>
      <c r="K335" t="s">
        <v>17</v>
      </c>
      <c r="L335" t="s">
        <v>155</v>
      </c>
      <c r="M335">
        <v>11.8</v>
      </c>
      <c r="N335" t="s">
        <v>3</v>
      </c>
      <c r="O335" t="s">
        <v>6</v>
      </c>
      <c r="P335">
        <f t="shared" si="25"/>
        <v>5.7235491235927682</v>
      </c>
      <c r="Q335">
        <f t="shared" si="24"/>
        <v>36.923255253390224</v>
      </c>
      <c r="R335" s="67" cm="1">
        <f t="array" ref="R335">SUMPRODUCT((J335=$J$7:$J$1000)*(P335&lt;$P$7:$P$1000))+1</f>
        <v>8</v>
      </c>
      <c r="S335" s="72"/>
    </row>
    <row r="336" spans="10:19" x14ac:dyDescent="0.35">
      <c r="J336" s="66">
        <v>12</v>
      </c>
      <c r="K336" t="s">
        <v>2</v>
      </c>
      <c r="L336" t="s">
        <v>185</v>
      </c>
      <c r="M336">
        <v>11.5</v>
      </c>
      <c r="N336" t="s">
        <v>3</v>
      </c>
      <c r="O336" t="s">
        <v>24</v>
      </c>
      <c r="P336">
        <f t="shared" si="25"/>
        <v>3.469013654589796</v>
      </c>
      <c r="Q336">
        <f t="shared" si="24"/>
        <v>64.496741680165144</v>
      </c>
      <c r="R336" s="67" cm="1">
        <f t="array" ref="R336">SUMPRODUCT((J336=$J$7:$J$1000)*(P336&lt;$P$7:$P$1000))+1</f>
        <v>21</v>
      </c>
      <c r="S336" s="72"/>
    </row>
    <row r="337" spans="10:19" x14ac:dyDescent="0.35">
      <c r="J337" s="66">
        <v>12</v>
      </c>
      <c r="K337" t="s">
        <v>34</v>
      </c>
      <c r="L337" t="s">
        <v>462</v>
      </c>
      <c r="M337">
        <v>10.9</v>
      </c>
      <c r="N337" t="s">
        <v>9</v>
      </c>
      <c r="O337" t="s">
        <v>4</v>
      </c>
      <c r="P337">
        <f t="shared" si="25"/>
        <v>10.742078232580926</v>
      </c>
      <c r="Q337">
        <f t="shared" si="24"/>
        <v>2.4939284624764115E-2</v>
      </c>
      <c r="R337" s="67" cm="1">
        <f t="array" ref="R337">SUMPRODUCT((J337=$J$7:$J$1000)*(P337&lt;$P$7:$P$1000))+1</f>
        <v>1</v>
      </c>
      <c r="S337" s="72"/>
    </row>
    <row r="338" spans="10:19" x14ac:dyDescent="0.35">
      <c r="J338" s="66">
        <v>12</v>
      </c>
      <c r="K338" t="s">
        <v>2</v>
      </c>
      <c r="L338" t="s">
        <v>156</v>
      </c>
      <c r="M338">
        <v>9.1999999999999993</v>
      </c>
      <c r="N338" t="s">
        <v>3</v>
      </c>
      <c r="O338" t="s">
        <v>24</v>
      </c>
      <c r="P338">
        <f t="shared" si="25"/>
        <v>7.6155577929304812</v>
      </c>
      <c r="Q338">
        <f t="shared" si="24"/>
        <v>2.5104571075433255</v>
      </c>
      <c r="R338" s="67" cm="1">
        <f t="array" ref="R338">SUMPRODUCT((J338=$J$7:$J$1000)*(P338&lt;$P$7:$P$1000))+1</f>
        <v>4</v>
      </c>
      <c r="S338" s="72"/>
    </row>
    <row r="339" spans="10:19" x14ac:dyDescent="0.35">
      <c r="J339" s="66">
        <v>12</v>
      </c>
      <c r="K339" t="s">
        <v>13</v>
      </c>
      <c r="L339" t="s">
        <v>463</v>
      </c>
      <c r="M339">
        <v>8.6</v>
      </c>
      <c r="N339" t="s">
        <v>3</v>
      </c>
      <c r="O339" t="s">
        <v>7</v>
      </c>
      <c r="P339">
        <f t="shared" si="25"/>
        <v>8.6601366135477935</v>
      </c>
      <c r="Q339">
        <f t="shared" si="24"/>
        <v>3.6164122889967053E-3</v>
      </c>
      <c r="R339" s="67" cm="1">
        <f t="array" ref="R339">SUMPRODUCT((J339=$J$7:$J$1000)*(P339&lt;$P$7:$P$1000))+1</f>
        <v>3</v>
      </c>
      <c r="S339" s="72"/>
    </row>
    <row r="340" spans="10:19" x14ac:dyDescent="0.35">
      <c r="J340" s="66">
        <v>12</v>
      </c>
      <c r="K340" t="s">
        <v>24</v>
      </c>
      <c r="L340" t="s">
        <v>168</v>
      </c>
      <c r="M340">
        <v>7.4</v>
      </c>
      <c r="N340" t="s">
        <v>9</v>
      </c>
      <c r="O340" t="s">
        <v>2</v>
      </c>
      <c r="P340">
        <f t="shared" si="25"/>
        <v>5.1302506399291223</v>
      </c>
      <c r="Q340">
        <f t="shared" si="24"/>
        <v>5.1517621575421604</v>
      </c>
      <c r="R340" s="67" cm="1">
        <f t="array" ref="R340">SUMPRODUCT((J340=$J$7:$J$1000)*(P340&lt;$P$7:$P$1000))+1</f>
        <v>11</v>
      </c>
      <c r="S340" s="72"/>
    </row>
    <row r="341" spans="10:19" x14ac:dyDescent="0.35">
      <c r="J341" s="66">
        <v>12</v>
      </c>
      <c r="K341" t="s">
        <v>13</v>
      </c>
      <c r="L341" t="s">
        <v>464</v>
      </c>
      <c r="M341">
        <v>6.8</v>
      </c>
      <c r="N341" t="s">
        <v>3</v>
      </c>
      <c r="O341" t="s">
        <v>7</v>
      </c>
      <c r="P341">
        <f t="shared" si="25"/>
        <v>5.4712625781254403</v>
      </c>
      <c r="Q341">
        <f t="shared" si="24"/>
        <v>1.7655431362898513</v>
      </c>
      <c r="R341" s="67" cm="1">
        <f t="array" ref="R341">SUMPRODUCT((J341=$J$7:$J$1000)*(P341&lt;$P$7:$P$1000))+1</f>
        <v>9</v>
      </c>
      <c r="S341" s="72"/>
    </row>
    <row r="342" spans="10:19" x14ac:dyDescent="0.35">
      <c r="J342" s="66">
        <v>12</v>
      </c>
      <c r="K342" t="s">
        <v>4</v>
      </c>
      <c r="L342" t="s">
        <v>165</v>
      </c>
      <c r="M342">
        <v>5.8</v>
      </c>
      <c r="N342" t="s">
        <v>9</v>
      </c>
      <c r="O342" t="s">
        <v>34</v>
      </c>
      <c r="P342">
        <f t="shared" si="25"/>
        <v>5.0916055519314956</v>
      </c>
      <c r="Q342">
        <f t="shared" si="24"/>
        <v>0.50182269405428082</v>
      </c>
      <c r="R342" s="67" cm="1">
        <f t="array" ref="R342">SUMPRODUCT((J342=$J$7:$J$1000)*(P342&lt;$P$7:$P$1000))+1</f>
        <v>12</v>
      </c>
      <c r="S342" s="72"/>
    </row>
    <row r="343" spans="10:19" x14ac:dyDescent="0.35">
      <c r="J343" s="66">
        <v>12</v>
      </c>
      <c r="K343" t="s">
        <v>17</v>
      </c>
      <c r="L343" t="s">
        <v>149</v>
      </c>
      <c r="M343">
        <v>5.2</v>
      </c>
      <c r="N343" t="s">
        <v>3</v>
      </c>
      <c r="O343" t="s">
        <v>6</v>
      </c>
      <c r="P343">
        <f t="shared" si="25"/>
        <v>5.9950152246035326</v>
      </c>
      <c r="Q343">
        <f t="shared" si="24"/>
        <v>0.63204920735140513</v>
      </c>
      <c r="R343" s="67" cm="1">
        <f t="array" ref="R343">SUMPRODUCT((J343=$J$7:$J$1000)*(P343&lt;$P$7:$P$1000))+1</f>
        <v>7</v>
      </c>
      <c r="S343" s="72"/>
    </row>
    <row r="344" spans="10:19" x14ac:dyDescent="0.35">
      <c r="J344" s="66">
        <v>12</v>
      </c>
      <c r="K344" t="s">
        <v>13</v>
      </c>
      <c r="L344" t="s">
        <v>467</v>
      </c>
      <c r="M344">
        <v>5</v>
      </c>
      <c r="N344" t="s">
        <v>3</v>
      </c>
      <c r="O344" t="s">
        <v>7</v>
      </c>
      <c r="P344">
        <f t="shared" si="25"/>
        <v>2.849079961553902</v>
      </c>
      <c r="Q344">
        <f t="shared" si="24"/>
        <v>4.6264570117889638</v>
      </c>
      <c r="R344" s="67" cm="1">
        <f t="array" ref="R344">SUMPRODUCT((J344=$J$7:$J$1000)*(P344&lt;$P$7:$P$1000))+1</f>
        <v>24</v>
      </c>
      <c r="S344" s="72"/>
    </row>
    <row r="345" spans="10:19" x14ac:dyDescent="0.35">
      <c r="J345" s="66">
        <v>12</v>
      </c>
      <c r="K345" t="s">
        <v>4</v>
      </c>
      <c r="L345" t="s">
        <v>542</v>
      </c>
      <c r="M345">
        <v>4.9000000000000004</v>
      </c>
      <c r="N345" t="s">
        <v>9</v>
      </c>
      <c r="O345" t="s">
        <v>34</v>
      </c>
      <c r="P345">
        <f t="shared" si="25"/>
        <v>4.0536413447954018</v>
      </c>
      <c r="Q345">
        <f t="shared" si="24"/>
        <v>0.71632297323973648</v>
      </c>
      <c r="R345" s="67" cm="1">
        <f t="array" ref="R345">SUMPRODUCT((J345=$J$7:$J$1000)*(P345&lt;$P$7:$P$1000))+1</f>
        <v>19</v>
      </c>
      <c r="S345" s="72"/>
    </row>
    <row r="346" spans="10:19" x14ac:dyDescent="0.35">
      <c r="J346" s="66">
        <v>12</v>
      </c>
      <c r="K346" t="s">
        <v>6</v>
      </c>
      <c r="L346" t="s">
        <v>416</v>
      </c>
      <c r="M346">
        <v>4.5999999999999996</v>
      </c>
      <c r="N346" t="s">
        <v>9</v>
      </c>
      <c r="O346" t="s">
        <v>17</v>
      </c>
      <c r="P346">
        <f t="shared" si="25"/>
        <v>2.8761023274136388</v>
      </c>
      <c r="Q346">
        <f t="shared" si="24"/>
        <v>2.9718231855486716</v>
      </c>
      <c r="R346" s="67" cm="1">
        <f t="array" ref="R346">SUMPRODUCT((J346=$J$7:$J$1000)*(P346&lt;$P$7:$P$1000))+1</f>
        <v>23</v>
      </c>
      <c r="S346" s="72"/>
    </row>
    <row r="347" spans="10:19" x14ac:dyDescent="0.35">
      <c r="J347" s="66">
        <v>12</v>
      </c>
      <c r="K347" t="s">
        <v>34</v>
      </c>
      <c r="L347" t="s">
        <v>177</v>
      </c>
      <c r="M347">
        <v>4.5999999999999996</v>
      </c>
      <c r="N347" t="s">
        <v>3</v>
      </c>
      <c r="O347" t="s">
        <v>4</v>
      </c>
      <c r="P347">
        <f t="shared" si="25"/>
        <v>4.7502960066149891</v>
      </c>
      <c r="Q347">
        <f t="shared" si="24"/>
        <v>2.2588889604412948E-2</v>
      </c>
      <c r="R347" s="67" cm="1">
        <f t="array" ref="R347">SUMPRODUCT((J347=$J$7:$J$1000)*(P347&lt;$P$7:$P$1000))+1</f>
        <v>13</v>
      </c>
      <c r="S347" s="72"/>
    </row>
    <row r="348" spans="10:19" x14ac:dyDescent="0.35">
      <c r="J348" s="66">
        <v>12</v>
      </c>
      <c r="K348" t="s">
        <v>17</v>
      </c>
      <c r="L348" t="s">
        <v>586</v>
      </c>
      <c r="M348">
        <v>4.4000000000000004</v>
      </c>
      <c r="N348" t="s">
        <v>3</v>
      </c>
      <c r="O348" t="s">
        <v>6</v>
      </c>
      <c r="P348">
        <f t="shared" si="25"/>
        <v>5.4455164839575048</v>
      </c>
      <c r="Q348">
        <f t="shared" si="24"/>
        <v>1.0931047182268625</v>
      </c>
      <c r="R348" s="67" cm="1">
        <f t="array" ref="R348">SUMPRODUCT((J348=$J$7:$J$1000)*(P348&lt;$P$7:$P$1000))+1</f>
        <v>10</v>
      </c>
      <c r="S348" s="72"/>
    </row>
    <row r="349" spans="10:19" x14ac:dyDescent="0.35">
      <c r="J349" s="66">
        <v>12</v>
      </c>
      <c r="K349" t="s">
        <v>34</v>
      </c>
      <c r="L349" t="s">
        <v>545</v>
      </c>
      <c r="M349">
        <v>4.3</v>
      </c>
      <c r="N349" t="s">
        <v>9</v>
      </c>
      <c r="O349" t="s">
        <v>4</v>
      </c>
      <c r="P349">
        <f t="shared" si="25"/>
        <v>3.2903456873206989</v>
      </c>
      <c r="Q349">
        <f t="shared" si="24"/>
        <v>1.0194018311119115</v>
      </c>
      <c r="R349" s="67" cm="1">
        <f t="array" ref="R349">SUMPRODUCT((J349=$J$7:$J$1000)*(P349&lt;$P$7:$P$1000))+1</f>
        <v>22</v>
      </c>
      <c r="S349" s="72"/>
    </row>
    <row r="350" spans="10:19" x14ac:dyDescent="0.35">
      <c r="J350" s="66">
        <v>12</v>
      </c>
      <c r="K350" t="s">
        <v>24</v>
      </c>
      <c r="L350" t="s">
        <v>166</v>
      </c>
      <c r="M350">
        <v>4.2</v>
      </c>
      <c r="N350" t="s">
        <v>9</v>
      </c>
      <c r="O350" t="s">
        <v>2</v>
      </c>
      <c r="P350">
        <f t="shared" si="25"/>
        <v>4.1967715347086783</v>
      </c>
      <c r="Q350">
        <f t="shared" si="24"/>
        <v>1.042298813727036E-5</v>
      </c>
      <c r="R350" s="67" cm="1">
        <f t="array" ref="R350">SUMPRODUCT((J350=$J$7:$J$1000)*(P350&lt;$P$7:$P$1000))+1</f>
        <v>15</v>
      </c>
      <c r="S350" s="72"/>
    </row>
    <row r="351" spans="10:19" x14ac:dyDescent="0.35">
      <c r="J351" s="66">
        <v>12</v>
      </c>
      <c r="K351" t="s">
        <v>23</v>
      </c>
      <c r="L351" t="s">
        <v>144</v>
      </c>
      <c r="M351">
        <v>4</v>
      </c>
      <c r="N351" t="s">
        <v>3</v>
      </c>
      <c r="O351" t="s">
        <v>36</v>
      </c>
      <c r="P351">
        <f t="shared" si="25"/>
        <v>6.396531506978369</v>
      </c>
      <c r="Q351">
        <f t="shared" si="24"/>
        <v>5.7433632639400125</v>
      </c>
      <c r="R351" s="67" cm="1">
        <f t="array" ref="R351">SUMPRODUCT((J351=$J$7:$J$1000)*(P351&lt;$P$7:$P$1000))+1</f>
        <v>6</v>
      </c>
      <c r="S351" s="72"/>
    </row>
    <row r="352" spans="10:19" x14ac:dyDescent="0.35">
      <c r="J352" s="66">
        <v>12</v>
      </c>
      <c r="K352" t="s">
        <v>2</v>
      </c>
      <c r="L352" t="s">
        <v>159</v>
      </c>
      <c r="M352">
        <v>3.7</v>
      </c>
      <c r="N352" t="s">
        <v>3</v>
      </c>
      <c r="O352" t="s">
        <v>24</v>
      </c>
      <c r="P352">
        <f t="shared" si="25"/>
        <v>2.1813755661532563</v>
      </c>
      <c r="Q352">
        <f t="shared" si="24"/>
        <v>2.306220171076343</v>
      </c>
      <c r="R352" s="67" cm="1">
        <f t="array" ref="R352">SUMPRODUCT((J352=$J$7:$J$1000)*(P352&lt;$P$7:$P$1000))+1</f>
        <v>29</v>
      </c>
      <c r="S352" s="72"/>
    </row>
    <row r="353" spans="10:19" x14ac:dyDescent="0.35">
      <c r="J353" s="66">
        <v>12</v>
      </c>
      <c r="K353" t="s">
        <v>7</v>
      </c>
      <c r="L353" t="s">
        <v>163</v>
      </c>
      <c r="M353">
        <v>3.6</v>
      </c>
      <c r="N353" t="s">
        <v>3</v>
      </c>
      <c r="O353" t="s">
        <v>13</v>
      </c>
      <c r="P353">
        <f t="shared" si="25"/>
        <v>3.5556776352216577</v>
      </c>
      <c r="Q353">
        <f t="shared" si="24"/>
        <v>1.9644720195444464E-3</v>
      </c>
      <c r="R353" s="67" cm="1">
        <f t="array" ref="R353">SUMPRODUCT((J353=$J$7:$J$1000)*(P353&lt;$P$7:$P$1000))+1</f>
        <v>20</v>
      </c>
      <c r="S353" s="72"/>
    </row>
    <row r="354" spans="10:19" x14ac:dyDescent="0.35">
      <c r="J354" s="66">
        <v>12</v>
      </c>
      <c r="K354" t="s">
        <v>36</v>
      </c>
      <c r="L354" t="s">
        <v>466</v>
      </c>
      <c r="M354">
        <v>3.2</v>
      </c>
      <c r="N354" t="s">
        <v>9</v>
      </c>
      <c r="O354" t="s">
        <v>23</v>
      </c>
      <c r="P354">
        <f t="shared" si="25"/>
        <v>8.8958469892804644</v>
      </c>
      <c r="Q354">
        <f t="shared" si="24"/>
        <v>32.442672925295327</v>
      </c>
      <c r="R354" s="67" cm="1">
        <f t="array" ref="R354">SUMPRODUCT((J354=$J$7:$J$1000)*(P354&lt;$P$7:$P$1000))+1</f>
        <v>2</v>
      </c>
      <c r="S354" s="72"/>
    </row>
    <row r="355" spans="10:19" x14ac:dyDescent="0.35">
      <c r="J355" s="66">
        <v>12</v>
      </c>
      <c r="K355" t="s">
        <v>34</v>
      </c>
      <c r="L355" t="s">
        <v>153</v>
      </c>
      <c r="M355">
        <v>2.8</v>
      </c>
      <c r="N355" t="s">
        <v>3</v>
      </c>
      <c r="O355" t="s">
        <v>4</v>
      </c>
      <c r="P355">
        <f t="shared" si="25"/>
        <v>4.2359886840273679</v>
      </c>
      <c r="Q355">
        <f t="shared" si="24"/>
        <v>2.0620635006546526</v>
      </c>
      <c r="R355" s="67" cm="1">
        <f t="array" ref="R355">SUMPRODUCT((J355=$J$7:$J$1000)*(P355&lt;$P$7:$P$1000))+1</f>
        <v>14</v>
      </c>
      <c r="S355" s="72"/>
    </row>
    <row r="356" spans="10:19" x14ac:dyDescent="0.35">
      <c r="J356" s="66">
        <v>12</v>
      </c>
      <c r="K356" t="s">
        <v>36</v>
      </c>
      <c r="L356" t="s">
        <v>591</v>
      </c>
      <c r="M356">
        <v>2.7</v>
      </c>
      <c r="N356" t="s">
        <v>9</v>
      </c>
      <c r="O356" t="s">
        <v>23</v>
      </c>
      <c r="P356">
        <f t="shared" si="25"/>
        <v>2.0386863320679285</v>
      </c>
      <c r="Q356">
        <f t="shared" si="24"/>
        <v>0.43733576739377039</v>
      </c>
      <c r="R356" s="67" cm="1">
        <f t="array" ref="R356">SUMPRODUCT((J356=$J$7:$J$1000)*(P356&lt;$P$7:$P$1000))+1</f>
        <v>30</v>
      </c>
      <c r="S356" s="72"/>
    </row>
    <row r="357" spans="10:19" x14ac:dyDescent="0.35">
      <c r="J357" s="66">
        <v>12</v>
      </c>
      <c r="K357" t="s">
        <v>13</v>
      </c>
      <c r="L357" t="s">
        <v>557</v>
      </c>
      <c r="M357">
        <v>2.4</v>
      </c>
      <c r="N357" t="s">
        <v>9</v>
      </c>
      <c r="O357" t="s">
        <v>7</v>
      </c>
      <c r="P357">
        <f t="shared" si="25"/>
        <v>2.4023234520029426</v>
      </c>
      <c r="Q357">
        <f t="shared" si="24"/>
        <v>5.398429209978469E-6</v>
      </c>
      <c r="R357" s="67" cm="1">
        <f t="array" ref="R357">SUMPRODUCT((J357=$J$7:$J$1000)*(P357&lt;$P$7:$P$1000))+1</f>
        <v>25</v>
      </c>
      <c r="S357" s="72"/>
    </row>
    <row r="358" spans="10:19" x14ac:dyDescent="0.35">
      <c r="J358" s="66">
        <v>12</v>
      </c>
      <c r="K358" t="s">
        <v>4</v>
      </c>
      <c r="L358" t="s">
        <v>608</v>
      </c>
      <c r="M358">
        <v>2.2000000000000002</v>
      </c>
      <c r="N358" t="s">
        <v>9</v>
      </c>
      <c r="O358" t="s">
        <v>34</v>
      </c>
      <c r="P358">
        <f t="shared" si="25"/>
        <v>2.219516367059617</v>
      </c>
      <c r="Q358">
        <f t="shared" si="24"/>
        <v>3.8088858320569534E-4</v>
      </c>
      <c r="R358" s="67" cm="1">
        <f t="array" ref="R358">SUMPRODUCT((J358=$J$7:$J$1000)*(P358&lt;$P$7:$P$1000))+1</f>
        <v>27</v>
      </c>
      <c r="S358" s="72"/>
    </row>
    <row r="359" spans="10:19" x14ac:dyDescent="0.35">
      <c r="J359" s="66">
        <v>12</v>
      </c>
      <c r="K359" t="s">
        <v>34</v>
      </c>
      <c r="L359" t="s">
        <v>593</v>
      </c>
      <c r="M359">
        <v>2.2000000000000002</v>
      </c>
      <c r="N359" t="s">
        <v>9</v>
      </c>
      <c r="O359" t="s">
        <v>4</v>
      </c>
      <c r="P359">
        <f t="shared" si="25"/>
        <v>2.211250165118638</v>
      </c>
      <c r="Q359">
        <f t="shared" ref="Q359:Q422" si="26">IFERROR(($M359-$P359)^2,"")</f>
        <v>1.2656621519661592E-4</v>
      </c>
      <c r="R359" s="67" cm="1">
        <f t="array" ref="R359">SUMPRODUCT((J359=$J$7:$J$1000)*(P359&lt;$P$7:$P$1000))+1</f>
        <v>28</v>
      </c>
      <c r="S359" s="72"/>
    </row>
    <row r="360" spans="10:19" x14ac:dyDescent="0.35">
      <c r="J360" s="66">
        <v>12</v>
      </c>
      <c r="K360" t="s">
        <v>36</v>
      </c>
      <c r="L360" t="s">
        <v>157</v>
      </c>
      <c r="M360">
        <v>2.1</v>
      </c>
      <c r="N360" t="s">
        <v>9</v>
      </c>
      <c r="O360" t="s">
        <v>23</v>
      </c>
      <c r="P360">
        <f t="shared" si="25"/>
        <v>4.1898969567372353</v>
      </c>
      <c r="Q360">
        <f t="shared" si="26"/>
        <v>4.367669289779557</v>
      </c>
      <c r="R360" s="67" cm="1">
        <f t="array" ref="R360">SUMPRODUCT((J360=$J$7:$J$1000)*(P360&lt;$P$7:$P$1000))+1</f>
        <v>16</v>
      </c>
      <c r="S360" s="72"/>
    </row>
    <row r="361" spans="10:19" x14ac:dyDescent="0.35">
      <c r="J361" s="66">
        <v>12</v>
      </c>
      <c r="K361" t="s">
        <v>13</v>
      </c>
      <c r="L361" t="s">
        <v>528</v>
      </c>
      <c r="M361">
        <v>2.1</v>
      </c>
      <c r="N361" t="s">
        <v>9</v>
      </c>
      <c r="O361" t="s">
        <v>7</v>
      </c>
      <c r="P361">
        <f t="shared" si="25"/>
        <v>-0.38302027476565126</v>
      </c>
      <c r="Q361">
        <f t="shared" si="26"/>
        <v>6.1653896848972911</v>
      </c>
      <c r="R361" s="67" cm="1">
        <f t="array" ref="R361">SUMPRODUCT((J361=$J$7:$J$1000)*(P361&lt;$P$7:$P$1000))+1</f>
        <v>35</v>
      </c>
      <c r="S361" s="72"/>
    </row>
    <row r="362" spans="10:19" x14ac:dyDescent="0.35">
      <c r="J362" s="66">
        <v>12</v>
      </c>
      <c r="K362" t="s">
        <v>6</v>
      </c>
      <c r="L362" t="s">
        <v>160</v>
      </c>
      <c r="M362">
        <v>1.9</v>
      </c>
      <c r="N362" t="s">
        <v>9</v>
      </c>
      <c r="O362" t="s">
        <v>17</v>
      </c>
      <c r="P362">
        <f t="shared" si="25"/>
        <v>1.7895904026871963</v>
      </c>
      <c r="Q362">
        <f t="shared" si="26"/>
        <v>1.2190279178775458E-2</v>
      </c>
      <c r="R362" s="67" cm="1">
        <f t="array" ref="R362">SUMPRODUCT((J362=$J$7:$J$1000)*(P362&lt;$P$7:$P$1000))+1</f>
        <v>31</v>
      </c>
      <c r="S362" s="72"/>
    </row>
    <row r="363" spans="10:19" x14ac:dyDescent="0.35">
      <c r="J363" s="66">
        <v>12</v>
      </c>
      <c r="K363" t="s">
        <v>7</v>
      </c>
      <c r="L363" t="s">
        <v>158</v>
      </c>
      <c r="M363">
        <v>1.2</v>
      </c>
      <c r="N363" t="s">
        <v>3</v>
      </c>
      <c r="O363" t="s">
        <v>13</v>
      </c>
      <c r="P363">
        <f t="shared" si="25"/>
        <v>4.1195163690645078</v>
      </c>
      <c r="Q363">
        <f t="shared" si="26"/>
        <v>8.5235758292356056</v>
      </c>
      <c r="R363" s="67" cm="1">
        <f t="array" ref="R363">SUMPRODUCT((J363=$J$7:$J$1000)*(P363&lt;$P$7:$P$1000))+1</f>
        <v>17</v>
      </c>
      <c r="S363" s="72"/>
    </row>
    <row r="364" spans="10:19" x14ac:dyDescent="0.35">
      <c r="J364" s="66">
        <v>12</v>
      </c>
      <c r="K364" t="s">
        <v>24</v>
      </c>
      <c r="L364" t="s">
        <v>142</v>
      </c>
      <c r="M364">
        <v>1</v>
      </c>
      <c r="N364" t="s">
        <v>9</v>
      </c>
      <c r="O364" t="s">
        <v>2</v>
      </c>
      <c r="P364">
        <f t="shared" si="25"/>
        <v>-0.33663247182896089</v>
      </c>
      <c r="Q364">
        <f t="shared" si="26"/>
        <v>1.7865863647475977</v>
      </c>
      <c r="R364" s="67" cm="1">
        <f t="array" ref="R364">SUMPRODUCT((J364=$J$7:$J$1000)*(P364&lt;$P$7:$P$1000))+1</f>
        <v>34</v>
      </c>
      <c r="S364" s="72"/>
    </row>
    <row r="365" spans="10:19" x14ac:dyDescent="0.35">
      <c r="J365" s="66">
        <v>12</v>
      </c>
      <c r="K365" t="s">
        <v>7</v>
      </c>
      <c r="L365" t="s">
        <v>630</v>
      </c>
      <c r="M365">
        <v>1</v>
      </c>
      <c r="N365" t="s">
        <v>3</v>
      </c>
      <c r="O365" t="s">
        <v>13</v>
      </c>
      <c r="P365">
        <f t="shared" si="25"/>
        <v>-0.81880023347777386</v>
      </c>
      <c r="Q365">
        <f t="shared" si="26"/>
        <v>3.3080342892988051</v>
      </c>
      <c r="R365" s="67" cm="1">
        <f t="array" ref="R365">SUMPRODUCT((J365=$J$7:$J$1000)*(P365&lt;$P$7:$P$1000))+1</f>
        <v>36</v>
      </c>
      <c r="S365" s="72"/>
    </row>
    <row r="366" spans="10:19" x14ac:dyDescent="0.35">
      <c r="J366">
        <v>12</v>
      </c>
      <c r="K366" t="s">
        <v>6</v>
      </c>
      <c r="L366" t="s">
        <v>417</v>
      </c>
      <c r="M366">
        <v>0.8</v>
      </c>
      <c r="N366" t="s">
        <v>9</v>
      </c>
      <c r="O366" t="s">
        <v>17</v>
      </c>
      <c r="P366">
        <f t="shared" si="25"/>
        <v>4.0982094913689489</v>
      </c>
      <c r="Q366">
        <f t="shared" si="26"/>
        <v>10.878185848956221</v>
      </c>
      <c r="R366" s="67" cm="1">
        <f t="array" ref="R366">SUMPRODUCT((J366=$J$7:$J$1000)*(P366&lt;$P$7:$P$1000))+1</f>
        <v>18</v>
      </c>
      <c r="S366" s="72"/>
    </row>
    <row r="367" spans="10:19" x14ac:dyDescent="0.35">
      <c r="J367" s="66">
        <v>12</v>
      </c>
      <c r="K367" t="s">
        <v>23</v>
      </c>
      <c r="L367" t="s">
        <v>505</v>
      </c>
      <c r="M367">
        <v>0.7</v>
      </c>
      <c r="N367" t="s">
        <v>3</v>
      </c>
      <c r="O367" t="s">
        <v>36</v>
      </c>
      <c r="P367">
        <f t="shared" si="25"/>
        <v>0.24822557656728644</v>
      </c>
      <c r="Q367">
        <f t="shared" si="26"/>
        <v>0.20410012966796073</v>
      </c>
      <c r="R367" s="67" cm="1">
        <f t="array" ref="R367">SUMPRODUCT((J367=$J$7:$J$1000)*(P367&lt;$P$7:$P$1000))+1</f>
        <v>33</v>
      </c>
      <c r="S367" s="72"/>
    </row>
    <row r="368" spans="10:19" x14ac:dyDescent="0.35">
      <c r="J368" s="66">
        <v>12</v>
      </c>
      <c r="K368" t="s">
        <v>23</v>
      </c>
      <c r="L368" t="s">
        <v>252</v>
      </c>
      <c r="M368">
        <v>0.4</v>
      </c>
      <c r="N368" t="s">
        <v>3</v>
      </c>
      <c r="O368" t="s">
        <v>36</v>
      </c>
      <c r="P368">
        <f t="shared" si="25"/>
        <v>2.2198644553549514</v>
      </c>
      <c r="Q368">
        <f t="shared" si="26"/>
        <v>3.3119066358643741</v>
      </c>
      <c r="R368" s="67" cm="1">
        <f t="array" ref="R368">SUMPRODUCT((J368=$J$7:$J$1000)*(P368&lt;$P$7:$P$1000))+1</f>
        <v>26</v>
      </c>
      <c r="S368" s="72"/>
    </row>
    <row r="369" spans="10:19" x14ac:dyDescent="0.35">
      <c r="J369" s="66">
        <v>12</v>
      </c>
      <c r="K369" t="s">
        <v>13</v>
      </c>
      <c r="L369" t="s">
        <v>526</v>
      </c>
      <c r="M369">
        <v>-0.2</v>
      </c>
      <c r="N369" t="s">
        <v>9</v>
      </c>
      <c r="O369" t="s">
        <v>7</v>
      </c>
      <c r="P369">
        <f t="shared" si="25"/>
        <v>0.89093631473791168</v>
      </c>
      <c r="Q369">
        <f t="shared" si="26"/>
        <v>1.1901420428139358</v>
      </c>
      <c r="R369" s="67" cm="1">
        <f t="array" ref="R369">SUMPRODUCT((J369=$J$7:$J$1000)*(P369&lt;$P$7:$P$1000))+1</f>
        <v>32</v>
      </c>
      <c r="S369" s="72"/>
    </row>
    <row r="370" spans="10:19" x14ac:dyDescent="0.35">
      <c r="J370" s="66">
        <v>13</v>
      </c>
      <c r="K370" t="s">
        <v>6</v>
      </c>
      <c r="L370" t="s">
        <v>543</v>
      </c>
      <c r="M370">
        <v>11.7</v>
      </c>
      <c r="N370" t="s">
        <v>3</v>
      </c>
      <c r="O370" t="s">
        <v>14</v>
      </c>
      <c r="P370">
        <f t="shared" si="25"/>
        <v>11.698218983683404</v>
      </c>
      <c r="Q370">
        <f t="shared" si="26"/>
        <v>3.1720191199791911E-6</v>
      </c>
      <c r="R370" s="67" cm="1">
        <f t="array" ref="R370">SUMPRODUCT((J370=$J$7:$J$1000)*(P370&lt;$P$7:$P$1000))+1</f>
        <v>1</v>
      </c>
      <c r="S370" s="72"/>
    </row>
    <row r="371" spans="10:19" x14ac:dyDescent="0.35">
      <c r="J371" s="66">
        <v>13</v>
      </c>
      <c r="K371" t="s">
        <v>2</v>
      </c>
      <c r="L371" t="s">
        <v>156</v>
      </c>
      <c r="M371">
        <v>10.8</v>
      </c>
      <c r="N371" t="s">
        <v>9</v>
      </c>
      <c r="O371" t="s">
        <v>23</v>
      </c>
      <c r="P371">
        <f t="shared" si="25"/>
        <v>7.9536553261169747</v>
      </c>
      <c r="Q371">
        <f t="shared" si="26"/>
        <v>8.1016780025422701</v>
      </c>
      <c r="R371" s="67" cm="1">
        <f t="array" ref="R371">SUMPRODUCT((J371=$J$7:$J$1000)*(P371&lt;$P$7:$P$1000))+1</f>
        <v>4</v>
      </c>
      <c r="S371" s="72"/>
    </row>
    <row r="372" spans="10:19" x14ac:dyDescent="0.35">
      <c r="J372" s="66">
        <v>13</v>
      </c>
      <c r="K372" t="s">
        <v>6</v>
      </c>
      <c r="L372" t="s">
        <v>669</v>
      </c>
      <c r="M372">
        <v>8.3000000000000007</v>
      </c>
      <c r="N372" t="s">
        <v>3</v>
      </c>
      <c r="O372" t="s">
        <v>14</v>
      </c>
      <c r="P372">
        <f t="shared" si="25"/>
        <v>8.2993831510240348</v>
      </c>
      <c r="Q372">
        <f t="shared" si="26"/>
        <v>3.8050265915020706E-7</v>
      </c>
      <c r="R372" s="67" cm="1">
        <f t="array" ref="R372">SUMPRODUCT((J372=$J$7:$J$1000)*(P372&lt;$P$7:$P$1000))+1</f>
        <v>3</v>
      </c>
      <c r="S372" s="72"/>
    </row>
    <row r="373" spans="10:19" x14ac:dyDescent="0.35">
      <c r="J373" s="66">
        <v>13</v>
      </c>
      <c r="K373" t="s">
        <v>36</v>
      </c>
      <c r="L373" t="s">
        <v>283</v>
      </c>
      <c r="M373">
        <v>7.8</v>
      </c>
      <c r="N373" t="s">
        <v>9</v>
      </c>
      <c r="O373" t="s">
        <v>34</v>
      </c>
      <c r="P373">
        <f t="shared" si="25"/>
        <v>7.0182750399993186</v>
      </c>
      <c r="Q373">
        <f t="shared" si="26"/>
        <v>0.61109391308806671</v>
      </c>
      <c r="R373" s="67" cm="1">
        <f t="array" ref="R373">SUMPRODUCT((J373=$J$7:$J$1000)*(P373&lt;$P$7:$P$1000))+1</f>
        <v>6</v>
      </c>
      <c r="S373" s="72"/>
    </row>
    <row r="374" spans="10:19" x14ac:dyDescent="0.35">
      <c r="J374" s="66">
        <v>13</v>
      </c>
      <c r="K374" t="s">
        <v>13</v>
      </c>
      <c r="L374" t="s">
        <v>464</v>
      </c>
      <c r="M374">
        <v>6.4</v>
      </c>
      <c r="N374" t="s">
        <v>3</v>
      </c>
      <c r="O374" t="s">
        <v>17</v>
      </c>
      <c r="P374">
        <f t="shared" si="25"/>
        <v>5.5829285617690578</v>
      </c>
      <c r="Q374">
        <f t="shared" si="26"/>
        <v>0.66760573517278088</v>
      </c>
      <c r="R374" s="67" cm="1">
        <f t="array" ref="R374">SUMPRODUCT((J374=$J$7:$J$1000)*(P374&lt;$P$7:$P$1000))+1</f>
        <v>9</v>
      </c>
      <c r="S374" s="72"/>
    </row>
    <row r="375" spans="10:19" x14ac:dyDescent="0.35">
      <c r="J375" s="66">
        <v>13</v>
      </c>
      <c r="K375" t="s">
        <v>34</v>
      </c>
      <c r="L375" t="s">
        <v>161</v>
      </c>
      <c r="M375">
        <v>5.4</v>
      </c>
      <c r="N375" t="s">
        <v>3</v>
      </c>
      <c r="O375" t="s">
        <v>36</v>
      </c>
      <c r="P375">
        <f t="shared" si="25"/>
        <v>7.6349199532799199</v>
      </c>
      <c r="Q375">
        <f t="shared" si="26"/>
        <v>4.994867197568718</v>
      </c>
      <c r="R375" s="67" cm="1">
        <f t="array" ref="R375">SUMPRODUCT((J375=$J$7:$J$1000)*(P375&lt;$P$7:$P$1000))+1</f>
        <v>5</v>
      </c>
      <c r="S375" s="72"/>
    </row>
    <row r="376" spans="10:19" x14ac:dyDescent="0.35">
      <c r="J376" s="66">
        <v>13</v>
      </c>
      <c r="K376" t="s">
        <v>36</v>
      </c>
      <c r="L376" t="s">
        <v>157</v>
      </c>
      <c r="M376">
        <v>5.2</v>
      </c>
      <c r="N376" t="s">
        <v>9</v>
      </c>
      <c r="O376" t="s">
        <v>34</v>
      </c>
      <c r="P376">
        <f t="shared" si="25"/>
        <v>5.3929608795353978</v>
      </c>
      <c r="Q376">
        <f t="shared" si="26"/>
        <v>3.723390103107424E-2</v>
      </c>
      <c r="R376" s="67" cm="1">
        <f t="array" ref="R376">SUMPRODUCT((J376=$J$7:$J$1000)*(P376&lt;$P$7:$P$1000))+1</f>
        <v>10</v>
      </c>
      <c r="S376" s="72"/>
    </row>
    <row r="377" spans="10:19" x14ac:dyDescent="0.35">
      <c r="J377" s="66">
        <v>13</v>
      </c>
      <c r="K377" t="s">
        <v>2</v>
      </c>
      <c r="L377" t="s">
        <v>185</v>
      </c>
      <c r="M377">
        <v>4.5</v>
      </c>
      <c r="N377" t="s">
        <v>9</v>
      </c>
      <c r="O377" t="s">
        <v>23</v>
      </c>
      <c r="P377">
        <f t="shared" si="25"/>
        <v>3.8071111877762882</v>
      </c>
      <c r="Q377">
        <f t="shared" si="26"/>
        <v>0.48009490610478611</v>
      </c>
      <c r="R377" s="67" cm="1">
        <f t="array" ref="R377">SUMPRODUCT((J377=$J$7:$J$1000)*(P377&lt;$P$7:$P$1000))+1</f>
        <v>19</v>
      </c>
      <c r="S377" s="72"/>
    </row>
    <row r="378" spans="10:19" x14ac:dyDescent="0.35">
      <c r="J378" s="66">
        <v>13</v>
      </c>
      <c r="K378" t="s">
        <v>6</v>
      </c>
      <c r="L378" t="s">
        <v>416</v>
      </c>
      <c r="M378">
        <v>4.5</v>
      </c>
      <c r="N378" t="s">
        <v>3</v>
      </c>
      <c r="O378" t="s">
        <v>14</v>
      </c>
      <c r="P378">
        <f t="shared" si="25"/>
        <v>4.1261334221271539</v>
      </c>
      <c r="Q378">
        <f t="shared" si="26"/>
        <v>0.13977621805035287</v>
      </c>
      <c r="R378" s="67" cm="1">
        <f t="array" ref="R378">SUMPRODUCT((J378=$J$7:$J$1000)*(P378&lt;$P$7:$P$1000))+1</f>
        <v>17</v>
      </c>
      <c r="S378" s="72"/>
    </row>
    <row r="379" spans="10:19" x14ac:dyDescent="0.35">
      <c r="J379" s="66">
        <v>13</v>
      </c>
      <c r="K379" t="s">
        <v>36</v>
      </c>
      <c r="L379" t="s">
        <v>415</v>
      </c>
      <c r="M379">
        <v>4.0999999999999996</v>
      </c>
      <c r="N379" t="s">
        <v>9</v>
      </c>
      <c r="O379" t="s">
        <v>34</v>
      </c>
      <c r="P379">
        <f t="shared" si="25"/>
        <v>4.5100457780421994</v>
      </c>
      <c r="Q379">
        <f t="shared" si="26"/>
        <v>0.16813754009023296</v>
      </c>
      <c r="R379" s="67" cm="1">
        <f t="array" ref="R379">SUMPRODUCT((J379=$J$7:$J$1000)*(P379&lt;$P$7:$P$1000))+1</f>
        <v>14</v>
      </c>
      <c r="S379" s="72"/>
    </row>
    <row r="380" spans="10:19" x14ac:dyDescent="0.35">
      <c r="J380" s="66">
        <v>13</v>
      </c>
      <c r="K380" t="s">
        <v>14</v>
      </c>
      <c r="L380" t="s">
        <v>248</v>
      </c>
      <c r="M380">
        <v>3.9</v>
      </c>
      <c r="N380" t="s">
        <v>9</v>
      </c>
      <c r="O380" t="s">
        <v>6</v>
      </c>
      <c r="P380">
        <f t="shared" si="25"/>
        <v>5.8676452582869114</v>
      </c>
      <c r="Q380">
        <f t="shared" si="26"/>
        <v>3.8716278624589666</v>
      </c>
      <c r="R380" s="67" cm="1">
        <f t="array" ref="R380">SUMPRODUCT((J380=$J$7:$J$1000)*(P380&lt;$P$7:$P$1000))+1</f>
        <v>8</v>
      </c>
      <c r="S380" s="72"/>
    </row>
    <row r="381" spans="10:19" x14ac:dyDescent="0.35">
      <c r="J381" s="66">
        <v>13</v>
      </c>
      <c r="K381" t="s">
        <v>23</v>
      </c>
      <c r="L381" t="s">
        <v>144</v>
      </c>
      <c r="M381">
        <v>3.8</v>
      </c>
      <c r="N381" t="s">
        <v>3</v>
      </c>
      <c r="O381" t="s">
        <v>2</v>
      </c>
      <c r="P381">
        <f t="shared" si="25"/>
        <v>6.2184859365931606</v>
      </c>
      <c r="Q381">
        <f t="shared" si="26"/>
        <v>5.8490742254988985</v>
      </c>
      <c r="R381" s="67" cm="1">
        <f t="array" ref="R381">SUMPRODUCT((J381=$J$7:$J$1000)*(P381&lt;$P$7:$P$1000))+1</f>
        <v>7</v>
      </c>
      <c r="S381" s="72"/>
    </row>
    <row r="382" spans="10:19" x14ac:dyDescent="0.35">
      <c r="J382" s="66">
        <v>13</v>
      </c>
      <c r="K382" t="s">
        <v>17</v>
      </c>
      <c r="L382" t="s">
        <v>155</v>
      </c>
      <c r="M382">
        <v>3.7</v>
      </c>
      <c r="N382" t="s">
        <v>9</v>
      </c>
      <c r="O382" t="s">
        <v>13</v>
      </c>
      <c r="P382">
        <f t="shared" si="25"/>
        <v>3.8583568105580994</v>
      </c>
      <c r="Q382">
        <f t="shared" si="26"/>
        <v>2.5076879450133732E-2</v>
      </c>
      <c r="R382" s="67" cm="1">
        <f t="array" ref="R382">SUMPRODUCT((J382=$J$7:$J$1000)*(P382&lt;$P$7:$P$1000))+1</f>
        <v>18</v>
      </c>
      <c r="S382" s="72"/>
    </row>
    <row r="383" spans="10:19" x14ac:dyDescent="0.35">
      <c r="J383" s="66">
        <v>13</v>
      </c>
      <c r="K383" t="s">
        <v>34</v>
      </c>
      <c r="L383" t="s">
        <v>177</v>
      </c>
      <c r="M383">
        <v>3.5</v>
      </c>
      <c r="N383" t="s">
        <v>3</v>
      </c>
      <c r="O383" t="s">
        <v>36</v>
      </c>
      <c r="P383">
        <f t="shared" si="25"/>
        <v>4.8292466866910946</v>
      </c>
      <c r="Q383">
        <f t="shared" si="26"/>
        <v>1.7668967540792531</v>
      </c>
      <c r="R383" s="67" cm="1">
        <f t="array" ref="R383">SUMPRODUCT((J383=$J$7:$J$1000)*(P383&lt;$P$7:$P$1000))+1</f>
        <v>13</v>
      </c>
      <c r="S383" s="72"/>
    </row>
    <row r="384" spans="10:19" x14ac:dyDescent="0.35">
      <c r="J384" s="66">
        <v>13</v>
      </c>
      <c r="K384" t="s">
        <v>34</v>
      </c>
      <c r="L384" t="s">
        <v>153</v>
      </c>
      <c r="M384">
        <v>3.3</v>
      </c>
      <c r="N384" t="s">
        <v>3</v>
      </c>
      <c r="O384" t="s">
        <v>36</v>
      </c>
      <c r="P384">
        <f t="shared" si="25"/>
        <v>4.3149393641034735</v>
      </c>
      <c r="Q384">
        <f t="shared" si="26"/>
        <v>1.0301019128067634</v>
      </c>
      <c r="R384" s="67" cm="1">
        <f t="array" ref="R384">SUMPRODUCT((J384=$J$7:$J$1000)*(P384&lt;$P$7:$P$1000))+1</f>
        <v>15</v>
      </c>
      <c r="S384" s="72"/>
    </row>
    <row r="385" spans="10:19" x14ac:dyDescent="0.35">
      <c r="J385" s="66">
        <v>13</v>
      </c>
      <c r="K385" t="s">
        <v>17</v>
      </c>
      <c r="L385" t="s">
        <v>167</v>
      </c>
      <c r="M385">
        <v>3.1</v>
      </c>
      <c r="N385" t="s">
        <v>9</v>
      </c>
      <c r="O385" t="s">
        <v>13</v>
      </c>
      <c r="P385">
        <f t="shared" si="25"/>
        <v>1.5296340676634967</v>
      </c>
      <c r="Q385">
        <f t="shared" si="26"/>
        <v>2.4660491614430953</v>
      </c>
      <c r="R385" s="67" cm="1">
        <f t="array" ref="R385">SUMPRODUCT((J385=$J$7:$J$1000)*(P385&lt;$P$7:$P$1000))+1</f>
        <v>28</v>
      </c>
      <c r="S385" s="72"/>
    </row>
    <row r="386" spans="10:19" x14ac:dyDescent="0.35">
      <c r="J386" s="66">
        <v>13</v>
      </c>
      <c r="K386" t="s">
        <v>4</v>
      </c>
      <c r="L386" t="s">
        <v>176</v>
      </c>
      <c r="M386">
        <v>3</v>
      </c>
      <c r="N386" t="s">
        <v>3</v>
      </c>
      <c r="O386" t="s">
        <v>24</v>
      </c>
      <c r="P386">
        <f t="shared" si="25"/>
        <v>3.0246376046918533</v>
      </c>
      <c r="Q386">
        <f t="shared" si="26"/>
        <v>6.0701156495203054E-4</v>
      </c>
      <c r="R386" s="67" cm="1">
        <f t="array" ref="R386">SUMPRODUCT((J386=$J$7:$J$1000)*(P386&lt;$P$7:$P$1000))+1</f>
        <v>20</v>
      </c>
      <c r="S386" s="72"/>
    </row>
    <row r="387" spans="10:19" x14ac:dyDescent="0.35">
      <c r="J387" s="66">
        <v>13</v>
      </c>
      <c r="K387" t="s">
        <v>17</v>
      </c>
      <c r="L387" t="s">
        <v>149</v>
      </c>
      <c r="M387">
        <v>3</v>
      </c>
      <c r="N387" t="s">
        <v>9</v>
      </c>
      <c r="O387" t="s">
        <v>13</v>
      </c>
      <c r="P387">
        <f t="shared" si="25"/>
        <v>4.1298229115688638</v>
      </c>
      <c r="Q387">
        <f t="shared" si="26"/>
        <v>1.2764998115059447</v>
      </c>
      <c r="R387" s="67" cm="1">
        <f t="array" ref="R387">SUMPRODUCT((J387=$J$7:$J$1000)*(P387&lt;$P$7:$P$1000))+1</f>
        <v>16</v>
      </c>
      <c r="S387" s="72"/>
    </row>
    <row r="388" spans="10:19" x14ac:dyDescent="0.35">
      <c r="J388" s="66">
        <v>13</v>
      </c>
      <c r="K388" t="s">
        <v>23</v>
      </c>
      <c r="L388" t="s">
        <v>169</v>
      </c>
      <c r="M388">
        <v>2.9</v>
      </c>
      <c r="N388" t="s">
        <v>3</v>
      </c>
      <c r="O388" t="s">
        <v>2</v>
      </c>
      <c r="P388">
        <f t="shared" si="25"/>
        <v>2.8997104387891133</v>
      </c>
      <c r="Q388">
        <f t="shared" si="26"/>
        <v>8.3845694850134435E-8</v>
      </c>
      <c r="R388" s="67" cm="1">
        <f t="array" ref="R388">SUMPRODUCT((J388=$J$7:$J$1000)*(P388&lt;$P$7:$P$1000))+1</f>
        <v>22</v>
      </c>
      <c r="S388" s="72"/>
    </row>
    <row r="389" spans="10:19" x14ac:dyDescent="0.35">
      <c r="J389" s="66">
        <v>13</v>
      </c>
      <c r="K389" t="s">
        <v>13</v>
      </c>
      <c r="L389" t="s">
        <v>463</v>
      </c>
      <c r="M389">
        <v>2.8</v>
      </c>
      <c r="N389" t="s">
        <v>3</v>
      </c>
      <c r="O389" t="s">
        <v>17</v>
      </c>
      <c r="P389">
        <f t="shared" si="25"/>
        <v>8.7718025971914102</v>
      </c>
      <c r="Q389">
        <f t="shared" si="26"/>
        <v>35.662426259822077</v>
      </c>
      <c r="R389" s="67" cm="1">
        <f t="array" ref="R389">SUMPRODUCT((J389=$J$7:$J$1000)*(P389&lt;$P$7:$P$1000))+1</f>
        <v>2</v>
      </c>
      <c r="S389" s="72"/>
    </row>
    <row r="390" spans="10:19" x14ac:dyDescent="0.35">
      <c r="J390" s="66">
        <v>13</v>
      </c>
      <c r="K390" t="s">
        <v>14</v>
      </c>
      <c r="L390" t="s">
        <v>664</v>
      </c>
      <c r="M390">
        <v>2.2000000000000002</v>
      </c>
      <c r="N390" t="s">
        <v>9</v>
      </c>
      <c r="O390" t="s">
        <v>6</v>
      </c>
      <c r="P390">
        <f t="shared" si="25"/>
        <v>2.199913321291338</v>
      </c>
      <c r="Q390">
        <f t="shared" si="26"/>
        <v>7.5131985353450169E-9</v>
      </c>
      <c r="R390" s="67" cm="1">
        <f t="array" ref="R390">SUMPRODUCT((J390=$J$7:$J$1000)*(P390&lt;$P$7:$P$1000))+1</f>
        <v>26</v>
      </c>
      <c r="S390" s="72"/>
    </row>
    <row r="391" spans="10:19" x14ac:dyDescent="0.35">
      <c r="J391" s="66">
        <v>13</v>
      </c>
      <c r="K391" t="s">
        <v>13</v>
      </c>
      <c r="L391" t="s">
        <v>467</v>
      </c>
      <c r="M391">
        <v>2.1</v>
      </c>
      <c r="N391" t="s">
        <v>3</v>
      </c>
      <c r="O391" t="s">
        <v>17</v>
      </c>
      <c r="P391">
        <f t="shared" si="25"/>
        <v>2.9607459451975195</v>
      </c>
      <c r="Q391">
        <f t="shared" si="26"/>
        <v>0.74088358217397121</v>
      </c>
      <c r="R391" s="67" cm="1">
        <f t="array" ref="R391">SUMPRODUCT((J391=$J$7:$J$1000)*(P391&lt;$P$7:$P$1000))+1</f>
        <v>21</v>
      </c>
      <c r="S391" s="72"/>
    </row>
    <row r="392" spans="10:19" x14ac:dyDescent="0.35">
      <c r="J392" s="66">
        <v>13</v>
      </c>
      <c r="K392" t="s">
        <v>2</v>
      </c>
      <c r="L392" t="s">
        <v>159</v>
      </c>
      <c r="M392">
        <v>1.9</v>
      </c>
      <c r="N392" t="s">
        <v>9</v>
      </c>
      <c r="O392" t="s">
        <v>23</v>
      </c>
      <c r="P392">
        <f t="shared" ref="P392:P455" si="27">VLOOKUP($N392,$F$3:$G$4,2,FALSE)+VLOOKUP($L392,$B$20:$C$150,2,FALSE)+VLOOKUP($O392,$A$6:$B$16,2,FALSE)</f>
        <v>2.5194730993397485</v>
      </c>
      <c r="Q392">
        <f t="shared" si="26"/>
        <v>0.38374692080559403</v>
      </c>
      <c r="R392" s="67" cm="1">
        <f t="array" ref="R392">SUMPRODUCT((J392=$J$7:$J$1000)*(P392&lt;$P$7:$P$1000))+1</f>
        <v>24</v>
      </c>
      <c r="S392" s="72"/>
    </row>
    <row r="393" spans="10:19" x14ac:dyDescent="0.35">
      <c r="J393" s="66">
        <v>13</v>
      </c>
      <c r="K393" t="s">
        <v>4</v>
      </c>
      <c r="L393" t="s">
        <v>481</v>
      </c>
      <c r="M393">
        <v>1.9</v>
      </c>
      <c r="N393" t="s">
        <v>3</v>
      </c>
      <c r="O393" t="s">
        <v>24</v>
      </c>
      <c r="P393">
        <f t="shared" si="27"/>
        <v>4.8776283412047565</v>
      </c>
      <c r="Q393">
        <f t="shared" si="26"/>
        <v>8.8662705383457912</v>
      </c>
      <c r="R393" s="67" cm="1">
        <f t="array" ref="R393">SUMPRODUCT((J393=$J$7:$J$1000)*(P393&lt;$P$7:$P$1000))+1</f>
        <v>12</v>
      </c>
      <c r="S393" s="72"/>
    </row>
    <row r="394" spans="10:19" x14ac:dyDescent="0.35">
      <c r="J394" s="66">
        <v>13</v>
      </c>
      <c r="K394" t="s">
        <v>24</v>
      </c>
      <c r="L394" t="s">
        <v>168</v>
      </c>
      <c r="M394">
        <v>1.7</v>
      </c>
      <c r="N394" t="s">
        <v>9</v>
      </c>
      <c r="O394" t="s">
        <v>4</v>
      </c>
      <c r="P394">
        <f t="shared" si="27"/>
        <v>5.2293455302382252</v>
      </c>
      <c r="Q394">
        <f t="shared" si="26"/>
        <v>12.456279871812537</v>
      </c>
      <c r="R394" s="67" cm="1">
        <f t="array" ref="R394">SUMPRODUCT((J394=$J$7:$J$1000)*(P394&lt;$P$7:$P$1000))+1</f>
        <v>11</v>
      </c>
      <c r="S394" s="72"/>
    </row>
    <row r="395" spans="10:19" x14ac:dyDescent="0.35">
      <c r="J395" s="66">
        <v>13</v>
      </c>
      <c r="K395" t="s">
        <v>4</v>
      </c>
      <c r="L395" t="s">
        <v>172</v>
      </c>
      <c r="M395">
        <v>1.5</v>
      </c>
      <c r="N395" t="s">
        <v>3</v>
      </c>
      <c r="O395" t="s">
        <v>24</v>
      </c>
      <c r="P395">
        <f t="shared" si="27"/>
        <v>2.1917459429262611</v>
      </c>
      <c r="Q395">
        <f t="shared" si="26"/>
        <v>0.4785124495549421</v>
      </c>
      <c r="R395" s="67" cm="1">
        <f t="array" ref="R395">SUMPRODUCT((J395=$J$7:$J$1000)*(P395&lt;$P$7:$P$1000))+1</f>
        <v>27</v>
      </c>
      <c r="S395" s="72"/>
    </row>
    <row r="396" spans="10:19" x14ac:dyDescent="0.35">
      <c r="J396" s="66">
        <v>13</v>
      </c>
      <c r="K396" t="s">
        <v>24</v>
      </c>
      <c r="L396" t="s">
        <v>411</v>
      </c>
      <c r="M396">
        <v>1</v>
      </c>
      <c r="N396" t="s">
        <v>9</v>
      </c>
      <c r="O396" t="s">
        <v>4</v>
      </c>
      <c r="P396">
        <f t="shared" si="27"/>
        <v>2.8717335087896818</v>
      </c>
      <c r="Q396">
        <f t="shared" si="26"/>
        <v>3.5033863279261337</v>
      </c>
      <c r="R396" s="67" cm="1">
        <f t="array" ref="R396">SUMPRODUCT((J396=$J$7:$J$1000)*(P396&lt;$P$7:$P$1000))+1</f>
        <v>23</v>
      </c>
      <c r="S396" s="72"/>
    </row>
    <row r="397" spans="10:19" x14ac:dyDescent="0.35">
      <c r="J397" s="66">
        <v>13</v>
      </c>
      <c r="K397" t="s">
        <v>14</v>
      </c>
      <c r="L397" t="s">
        <v>553</v>
      </c>
      <c r="M397">
        <v>0.6</v>
      </c>
      <c r="N397" t="s">
        <v>9</v>
      </c>
      <c r="O397" t="s">
        <v>6</v>
      </c>
      <c r="P397">
        <f t="shared" si="27"/>
        <v>2.2839666776702479</v>
      </c>
      <c r="Q397">
        <f t="shared" si="26"/>
        <v>2.8357437715037723</v>
      </c>
      <c r="R397" s="67" cm="1">
        <f t="array" ref="R397">SUMPRODUCT((J397=$J$7:$J$1000)*(P397&lt;$P$7:$P$1000))+1</f>
        <v>25</v>
      </c>
      <c r="S397" s="72"/>
    </row>
    <row r="398" spans="10:19" x14ac:dyDescent="0.35">
      <c r="J398" s="66">
        <v>13</v>
      </c>
      <c r="K398" t="s">
        <v>24</v>
      </c>
      <c r="L398" t="s">
        <v>142</v>
      </c>
      <c r="M398">
        <v>0.4</v>
      </c>
      <c r="N398" t="s">
        <v>9</v>
      </c>
      <c r="O398" t="s">
        <v>4</v>
      </c>
      <c r="P398">
        <f t="shared" si="27"/>
        <v>-0.23753758151985749</v>
      </c>
      <c r="Q398">
        <f t="shared" si="26"/>
        <v>0.40645416785018895</v>
      </c>
      <c r="R398" s="67" cm="1">
        <f t="array" ref="R398">SUMPRODUCT((J398=$J$7:$J$1000)*(P398&lt;$P$7:$P$1000))+1</f>
        <v>30</v>
      </c>
      <c r="S398" s="72"/>
    </row>
    <row r="399" spans="10:19" x14ac:dyDescent="0.35">
      <c r="J399" s="66">
        <v>13</v>
      </c>
      <c r="K399" t="s">
        <v>23</v>
      </c>
      <c r="L399" t="s">
        <v>505</v>
      </c>
      <c r="M399">
        <v>-5.9</v>
      </c>
      <c r="N399" t="s">
        <v>3</v>
      </c>
      <c r="O399" t="s">
        <v>2</v>
      </c>
      <c r="P399">
        <f t="shared" si="27"/>
        <v>7.0180006182077898E-2</v>
      </c>
      <c r="Q399">
        <f t="shared" si="26"/>
        <v>35.643049306216234</v>
      </c>
      <c r="R399" s="67" cm="1">
        <f t="array" ref="R399">SUMPRODUCT((J399=$J$7:$J$1000)*(P399&lt;$P$7:$P$1000))+1</f>
        <v>29</v>
      </c>
      <c r="S399" s="72"/>
    </row>
    <row r="400" spans="10:19" x14ac:dyDescent="0.35">
      <c r="J400" s="66">
        <v>14</v>
      </c>
      <c r="K400" t="s">
        <v>14</v>
      </c>
      <c r="L400" t="s">
        <v>143</v>
      </c>
      <c r="M400" t="s">
        <v>256</v>
      </c>
      <c r="N400" t="s">
        <v>3</v>
      </c>
      <c r="O400" t="s">
        <v>7</v>
      </c>
      <c r="P400">
        <f t="shared" si="27"/>
        <v>2.8843746914610517</v>
      </c>
      <c r="Q400" t="str">
        <f t="shared" si="26"/>
        <v/>
      </c>
      <c r="R400" s="67" cm="1">
        <f t="array" ref="R400">SUMPRODUCT((J400=$J$7:$J$1000)*(P400&lt;$P$7:$P$1000))+1</f>
        <v>48</v>
      </c>
      <c r="S400" s="72"/>
    </row>
    <row r="401" spans="10:19" x14ac:dyDescent="0.35">
      <c r="J401" s="66">
        <v>14</v>
      </c>
      <c r="K401" t="s">
        <v>14</v>
      </c>
      <c r="L401" t="s">
        <v>664</v>
      </c>
      <c r="M401" t="s">
        <v>256</v>
      </c>
      <c r="N401" t="s">
        <v>3</v>
      </c>
      <c r="O401" t="s">
        <v>7</v>
      </c>
      <c r="P401">
        <f t="shared" si="27"/>
        <v>1.3514586475464327</v>
      </c>
      <c r="Q401" t="str">
        <f t="shared" si="26"/>
        <v/>
      </c>
      <c r="R401" s="67" cm="1">
        <f t="array" ref="R401">SUMPRODUCT((J401=$J$7:$J$1000)*(P401&lt;$P$7:$P$1000))+1</f>
        <v>65</v>
      </c>
      <c r="S401" s="72"/>
    </row>
    <row r="402" spans="10:19" x14ac:dyDescent="0.35">
      <c r="J402" s="66">
        <v>14</v>
      </c>
      <c r="K402" t="s">
        <v>14</v>
      </c>
      <c r="L402" t="s">
        <v>248</v>
      </c>
      <c r="M402" t="s">
        <v>256</v>
      </c>
      <c r="N402" t="s">
        <v>3</v>
      </c>
      <c r="O402" t="s">
        <v>7</v>
      </c>
      <c r="P402">
        <f t="shared" si="27"/>
        <v>5.019190584542006</v>
      </c>
      <c r="Q402" t="str">
        <f t="shared" si="26"/>
        <v/>
      </c>
      <c r="R402" s="67" cm="1">
        <f t="array" ref="R402">SUMPRODUCT((J402=$J$7:$J$1000)*(P402&lt;$P$7:$P$1000))+1</f>
        <v>28</v>
      </c>
      <c r="S402" s="72"/>
    </row>
    <row r="403" spans="10:19" x14ac:dyDescent="0.35">
      <c r="J403" s="66">
        <v>14</v>
      </c>
      <c r="K403" t="s">
        <v>14</v>
      </c>
      <c r="L403" t="s">
        <v>553</v>
      </c>
      <c r="M403" t="s">
        <v>256</v>
      </c>
      <c r="N403" t="s">
        <v>3</v>
      </c>
      <c r="O403" t="s">
        <v>7</v>
      </c>
      <c r="P403">
        <f t="shared" si="27"/>
        <v>1.4355120039253428</v>
      </c>
      <c r="Q403" t="str">
        <f t="shared" si="26"/>
        <v/>
      </c>
      <c r="R403" s="67" cm="1">
        <f t="array" ref="R403">SUMPRODUCT((J403=$J$7:$J$1000)*(P403&lt;$P$7:$P$1000))+1</f>
        <v>64</v>
      </c>
      <c r="S403" s="72"/>
    </row>
    <row r="404" spans="10:19" x14ac:dyDescent="0.35">
      <c r="J404" s="66">
        <v>14</v>
      </c>
      <c r="K404" t="s">
        <v>14</v>
      </c>
      <c r="L404" t="s">
        <v>413</v>
      </c>
      <c r="M404" t="s">
        <v>256</v>
      </c>
      <c r="N404" t="s">
        <v>3</v>
      </c>
      <c r="O404" t="s">
        <v>7</v>
      </c>
      <c r="P404">
        <f t="shared" si="27"/>
        <v>5.2756223398557411</v>
      </c>
      <c r="Q404" t="str">
        <f t="shared" si="26"/>
        <v/>
      </c>
      <c r="R404" s="67" cm="1">
        <f t="array" ref="R404">SUMPRODUCT((J404=$J$7:$J$1000)*(P404&lt;$P$7:$P$1000))+1</f>
        <v>27</v>
      </c>
      <c r="S404" s="72"/>
    </row>
    <row r="405" spans="10:19" x14ac:dyDescent="0.35">
      <c r="J405" s="66">
        <v>14</v>
      </c>
      <c r="K405" t="s">
        <v>14</v>
      </c>
      <c r="L405" t="s">
        <v>164</v>
      </c>
      <c r="M405" t="s">
        <v>256</v>
      </c>
      <c r="N405" t="s">
        <v>3</v>
      </c>
      <c r="O405" t="s">
        <v>7</v>
      </c>
      <c r="P405">
        <f t="shared" si="27"/>
        <v>3.0778226771916142</v>
      </c>
      <c r="Q405" t="str">
        <f t="shared" si="26"/>
        <v/>
      </c>
      <c r="R405" s="67" cm="1">
        <f t="array" ref="R405">SUMPRODUCT((J405=$J$7:$J$1000)*(P405&lt;$P$7:$P$1000))+1</f>
        <v>47</v>
      </c>
      <c r="S405" s="72"/>
    </row>
    <row r="406" spans="10:19" x14ac:dyDescent="0.35">
      <c r="J406" s="66">
        <v>14</v>
      </c>
      <c r="K406" t="s">
        <v>14</v>
      </c>
      <c r="L406" t="s">
        <v>181</v>
      </c>
      <c r="M406" t="s">
        <v>256</v>
      </c>
      <c r="N406" t="s">
        <v>3</v>
      </c>
      <c r="O406" t="s">
        <v>7</v>
      </c>
      <c r="P406">
        <f t="shared" si="27"/>
        <v>4.4938413064003653</v>
      </c>
      <c r="Q406" t="str">
        <f t="shared" si="26"/>
        <v/>
      </c>
      <c r="R406" s="67" cm="1">
        <f t="array" ref="R406">SUMPRODUCT((J406=$J$7:$J$1000)*(P406&lt;$P$7:$P$1000))+1</f>
        <v>33</v>
      </c>
      <c r="S406" s="72"/>
    </row>
    <row r="407" spans="10:19" x14ac:dyDescent="0.35">
      <c r="J407" s="66">
        <v>14</v>
      </c>
      <c r="K407" t="s">
        <v>14</v>
      </c>
      <c r="L407" t="s">
        <v>604</v>
      </c>
      <c r="M407" t="s">
        <v>256</v>
      </c>
      <c r="N407" t="s">
        <v>3</v>
      </c>
      <c r="O407" t="s">
        <v>7</v>
      </c>
      <c r="P407">
        <f t="shared" si="27"/>
        <v>2.4237843449476704</v>
      </c>
      <c r="Q407" t="str">
        <f t="shared" si="26"/>
        <v/>
      </c>
      <c r="R407" s="67" cm="1">
        <f t="array" ref="R407">SUMPRODUCT((J407=$J$7:$J$1000)*(P407&lt;$P$7:$P$1000))+1</f>
        <v>54</v>
      </c>
      <c r="S407" s="72"/>
    </row>
    <row r="408" spans="10:19" x14ac:dyDescent="0.35">
      <c r="J408" s="66">
        <v>14</v>
      </c>
      <c r="K408" t="s">
        <v>2</v>
      </c>
      <c r="L408" t="s">
        <v>185</v>
      </c>
      <c r="M408" t="s">
        <v>256</v>
      </c>
      <c r="N408" t="s">
        <v>3</v>
      </c>
      <c r="O408" t="s">
        <v>6</v>
      </c>
      <c r="P408">
        <f t="shared" si="27"/>
        <v>4.0947930562286228</v>
      </c>
      <c r="Q408" t="str">
        <f t="shared" si="26"/>
        <v/>
      </c>
      <c r="R408" s="67" cm="1">
        <f t="array" ref="R408">SUMPRODUCT((J408=$J$7:$J$1000)*(P408&lt;$P$7:$P$1000))+1</f>
        <v>36</v>
      </c>
      <c r="S408" s="72"/>
    </row>
    <row r="409" spans="10:19" x14ac:dyDescent="0.35">
      <c r="J409" s="66">
        <v>14</v>
      </c>
      <c r="K409" t="s">
        <v>2</v>
      </c>
      <c r="L409" t="s">
        <v>156</v>
      </c>
      <c r="M409" t="s">
        <v>256</v>
      </c>
      <c r="N409" t="s">
        <v>3</v>
      </c>
      <c r="O409" t="s">
        <v>6</v>
      </c>
      <c r="P409">
        <f t="shared" si="27"/>
        <v>8.2413371945693079</v>
      </c>
      <c r="Q409" t="str">
        <f t="shared" si="26"/>
        <v/>
      </c>
      <c r="R409" s="67" cm="1">
        <f t="array" ref="R409">SUMPRODUCT((J409=$J$7:$J$1000)*(P409&lt;$P$7:$P$1000))+1</f>
        <v>4</v>
      </c>
      <c r="S409" s="72"/>
    </row>
    <row r="410" spans="10:19" x14ac:dyDescent="0.35">
      <c r="J410" s="66">
        <v>14</v>
      </c>
      <c r="K410" t="s">
        <v>2</v>
      </c>
      <c r="L410" t="s">
        <v>159</v>
      </c>
      <c r="M410" t="s">
        <v>256</v>
      </c>
      <c r="N410" t="s">
        <v>3</v>
      </c>
      <c r="O410" t="s">
        <v>6</v>
      </c>
      <c r="P410">
        <f t="shared" si="27"/>
        <v>2.8071549677920826</v>
      </c>
      <c r="Q410" t="str">
        <f t="shared" si="26"/>
        <v/>
      </c>
      <c r="R410" s="67" cm="1">
        <f t="array" ref="R410">SUMPRODUCT((J410=$J$7:$J$1000)*(P410&lt;$P$7:$P$1000))+1</f>
        <v>50</v>
      </c>
      <c r="S410" s="72"/>
    </row>
    <row r="411" spans="10:19" x14ac:dyDescent="0.35">
      <c r="J411" s="66">
        <v>14</v>
      </c>
      <c r="K411" t="s">
        <v>2</v>
      </c>
      <c r="L411" t="s">
        <v>162</v>
      </c>
      <c r="M411" t="s">
        <v>256</v>
      </c>
      <c r="N411" t="s">
        <v>3</v>
      </c>
      <c r="O411" t="s">
        <v>6</v>
      </c>
      <c r="P411">
        <f t="shared" si="27"/>
        <v>5.9127590957532252</v>
      </c>
      <c r="Q411" t="str">
        <f t="shared" si="26"/>
        <v/>
      </c>
      <c r="R411" s="67" cm="1">
        <f t="array" ref="R411">SUMPRODUCT((J411=$J$7:$J$1000)*(P411&lt;$P$7:$P$1000))+1</f>
        <v>19</v>
      </c>
      <c r="S411" s="72"/>
    </row>
    <row r="412" spans="10:19" x14ac:dyDescent="0.35">
      <c r="J412" s="66">
        <v>14</v>
      </c>
      <c r="K412" t="s">
        <v>2</v>
      </c>
      <c r="L412" t="s">
        <v>504</v>
      </c>
      <c r="M412" t="s">
        <v>256</v>
      </c>
      <c r="N412" t="s">
        <v>3</v>
      </c>
      <c r="O412" t="s">
        <v>6</v>
      </c>
      <c r="P412">
        <f t="shared" si="27"/>
        <v>4.5467102961113319</v>
      </c>
      <c r="Q412" t="str">
        <f t="shared" si="26"/>
        <v/>
      </c>
      <c r="R412" s="67" cm="1">
        <f t="array" ref="R412">SUMPRODUCT((J412=$J$7:$J$1000)*(P412&lt;$P$7:$P$1000))+1</f>
        <v>32</v>
      </c>
      <c r="S412" s="72"/>
    </row>
    <row r="413" spans="10:19" x14ac:dyDescent="0.35">
      <c r="J413" s="66">
        <v>14</v>
      </c>
      <c r="K413" t="s">
        <v>2</v>
      </c>
      <c r="L413" t="s">
        <v>174</v>
      </c>
      <c r="M413" t="s">
        <v>256</v>
      </c>
      <c r="N413" t="s">
        <v>3</v>
      </c>
      <c r="O413" t="s">
        <v>6</v>
      </c>
      <c r="P413">
        <f t="shared" si="27"/>
        <v>2.863504304132126</v>
      </c>
      <c r="Q413" t="str">
        <f t="shared" si="26"/>
        <v/>
      </c>
      <c r="R413" s="67" cm="1">
        <f t="array" ref="R413">SUMPRODUCT((J413=$J$7:$J$1000)*(P413&lt;$P$7:$P$1000))+1</f>
        <v>49</v>
      </c>
      <c r="S413" s="72"/>
    </row>
    <row r="414" spans="10:19" x14ac:dyDescent="0.35">
      <c r="J414" s="66">
        <v>14</v>
      </c>
      <c r="K414" t="s">
        <v>2</v>
      </c>
      <c r="L414" t="s">
        <v>527</v>
      </c>
      <c r="M414" t="s">
        <v>256</v>
      </c>
      <c r="N414" t="s">
        <v>3</v>
      </c>
      <c r="O414" t="s">
        <v>6</v>
      </c>
      <c r="P414">
        <f t="shared" si="27"/>
        <v>6.4203011731724526</v>
      </c>
      <c r="Q414" t="str">
        <f t="shared" si="26"/>
        <v/>
      </c>
      <c r="R414" s="67" cm="1">
        <f t="array" ref="R414">SUMPRODUCT((J414=$J$7:$J$1000)*(P414&lt;$P$7:$P$1000))+1</f>
        <v>16</v>
      </c>
      <c r="S414" s="72"/>
    </row>
    <row r="415" spans="10:19" x14ac:dyDescent="0.35">
      <c r="J415" s="66">
        <v>14</v>
      </c>
      <c r="K415" t="s">
        <v>36</v>
      </c>
      <c r="L415" t="s">
        <v>157</v>
      </c>
      <c r="M415" t="s">
        <v>256</v>
      </c>
      <c r="N415" t="s">
        <v>3</v>
      </c>
      <c r="O415" t="s">
        <v>13</v>
      </c>
      <c r="P415">
        <f t="shared" si="27"/>
        <v>2.7651790030785479</v>
      </c>
      <c r="Q415" t="str">
        <f t="shared" si="26"/>
        <v/>
      </c>
      <c r="R415" s="67" cm="1">
        <f t="array" ref="R415">SUMPRODUCT((J415=$J$7:$J$1000)*(P415&lt;$P$7:$P$1000))+1</f>
        <v>51</v>
      </c>
      <c r="S415" s="72"/>
    </row>
    <row r="416" spans="10:19" x14ac:dyDescent="0.35">
      <c r="J416" s="66">
        <v>14</v>
      </c>
      <c r="K416" t="s">
        <v>36</v>
      </c>
      <c r="L416" t="s">
        <v>591</v>
      </c>
      <c r="M416" t="s">
        <v>256</v>
      </c>
      <c r="N416" t="s">
        <v>3</v>
      </c>
      <c r="O416" t="s">
        <v>13</v>
      </c>
      <c r="P416">
        <f t="shared" si="27"/>
        <v>0.61396837840924157</v>
      </c>
      <c r="Q416" t="str">
        <f t="shared" si="26"/>
        <v/>
      </c>
      <c r="R416" s="67" cm="1">
        <f t="array" ref="R416">SUMPRODUCT((J416=$J$7:$J$1000)*(P416&lt;$P$7:$P$1000))+1</f>
        <v>70</v>
      </c>
      <c r="S416" s="72"/>
    </row>
    <row r="417" spans="10:19" x14ac:dyDescent="0.35">
      <c r="J417" s="66">
        <v>14</v>
      </c>
      <c r="K417" t="s">
        <v>36</v>
      </c>
      <c r="L417" t="s">
        <v>466</v>
      </c>
      <c r="M417" t="s">
        <v>256</v>
      </c>
      <c r="N417" t="s">
        <v>3</v>
      </c>
      <c r="O417" t="s">
        <v>13</v>
      </c>
      <c r="P417">
        <f t="shared" si="27"/>
        <v>7.471129035621777</v>
      </c>
      <c r="Q417" t="str">
        <f t="shared" si="26"/>
        <v/>
      </c>
      <c r="R417" s="67" cm="1">
        <f t="array" ref="R417">SUMPRODUCT((J417=$J$7:$J$1000)*(P417&lt;$P$7:$P$1000))+1</f>
        <v>8</v>
      </c>
      <c r="S417" s="72"/>
    </row>
    <row r="418" spans="10:19" x14ac:dyDescent="0.35">
      <c r="J418" s="66">
        <v>14</v>
      </c>
      <c r="K418" t="s">
        <v>36</v>
      </c>
      <c r="L418" t="s">
        <v>415</v>
      </c>
      <c r="M418" t="s">
        <v>256</v>
      </c>
      <c r="N418" t="s">
        <v>3</v>
      </c>
      <c r="O418" t="s">
        <v>13</v>
      </c>
      <c r="P418">
        <f t="shared" si="27"/>
        <v>1.8822639015853504</v>
      </c>
      <c r="Q418" t="str">
        <f t="shared" si="26"/>
        <v/>
      </c>
      <c r="R418" s="67" cm="1">
        <f t="array" ref="R418">SUMPRODUCT((J418=$J$7:$J$1000)*(P418&lt;$P$7:$P$1000))+1</f>
        <v>58</v>
      </c>
      <c r="S418" s="72"/>
    </row>
    <row r="419" spans="10:19" x14ac:dyDescent="0.35">
      <c r="J419" s="66">
        <v>14</v>
      </c>
      <c r="K419" t="s">
        <v>36</v>
      </c>
      <c r="L419" t="s">
        <v>283</v>
      </c>
      <c r="M419" t="s">
        <v>256</v>
      </c>
      <c r="N419" t="s">
        <v>3</v>
      </c>
      <c r="O419" t="s">
        <v>13</v>
      </c>
      <c r="P419">
        <f t="shared" si="27"/>
        <v>4.3904931635424687</v>
      </c>
      <c r="Q419" t="str">
        <f t="shared" si="26"/>
        <v/>
      </c>
      <c r="R419" s="67" cm="1">
        <f t="array" ref="R419">SUMPRODUCT((J419=$J$7:$J$1000)*(P419&lt;$P$7:$P$1000))+1</f>
        <v>35</v>
      </c>
      <c r="S419" s="72"/>
    </row>
    <row r="420" spans="10:19" x14ac:dyDescent="0.35">
      <c r="J420" s="66">
        <v>14</v>
      </c>
      <c r="K420" t="s">
        <v>36</v>
      </c>
      <c r="L420" t="s">
        <v>414</v>
      </c>
      <c r="M420" t="s">
        <v>256</v>
      </c>
      <c r="N420" t="s">
        <v>3</v>
      </c>
      <c r="O420" t="s">
        <v>13</v>
      </c>
      <c r="P420">
        <f t="shared" si="27"/>
        <v>0.96163834951546745</v>
      </c>
      <c r="Q420" t="str">
        <f t="shared" si="26"/>
        <v/>
      </c>
      <c r="R420" s="67" cm="1">
        <f t="array" ref="R420">SUMPRODUCT((J420=$J$7:$J$1000)*(P420&lt;$P$7:$P$1000))+1</f>
        <v>67</v>
      </c>
      <c r="S420" s="72"/>
    </row>
    <row r="421" spans="10:19" x14ac:dyDescent="0.35">
      <c r="J421" s="66">
        <v>14</v>
      </c>
      <c r="K421" t="s">
        <v>6</v>
      </c>
      <c r="L421" t="s">
        <v>416</v>
      </c>
      <c r="M421" t="s">
        <v>256</v>
      </c>
      <c r="N421" t="s">
        <v>9</v>
      </c>
      <c r="O421" t="s">
        <v>2</v>
      </c>
      <c r="P421">
        <f t="shared" si="27"/>
        <v>3.3752318082034178</v>
      </c>
      <c r="Q421" t="str">
        <f t="shared" si="26"/>
        <v/>
      </c>
      <c r="R421" s="67" cm="1">
        <f t="array" ref="R421">SUMPRODUCT((J421=$J$7:$J$1000)*(P421&lt;$P$7:$P$1000))+1</f>
        <v>42</v>
      </c>
      <c r="S421" s="72"/>
    </row>
    <row r="422" spans="10:19" x14ac:dyDescent="0.35">
      <c r="J422" s="66">
        <v>14</v>
      </c>
      <c r="K422" t="s">
        <v>6</v>
      </c>
      <c r="L422" t="s">
        <v>543</v>
      </c>
      <c r="M422" t="s">
        <v>256</v>
      </c>
      <c r="N422" t="s">
        <v>9</v>
      </c>
      <c r="O422" t="s">
        <v>2</v>
      </c>
      <c r="P422">
        <f t="shared" si="27"/>
        <v>10.947317369759668</v>
      </c>
      <c r="Q422" t="str">
        <f t="shared" si="26"/>
        <v/>
      </c>
      <c r="R422" s="67" cm="1">
        <f t="array" ref="R422">SUMPRODUCT((J422=$J$7:$J$1000)*(P422&lt;$P$7:$P$1000))+1</f>
        <v>1</v>
      </c>
      <c r="S422" s="72"/>
    </row>
    <row r="423" spans="10:19" x14ac:dyDescent="0.35">
      <c r="J423" s="66">
        <v>14</v>
      </c>
      <c r="K423" t="s">
        <v>6</v>
      </c>
      <c r="L423" t="s">
        <v>417</v>
      </c>
      <c r="M423" t="s">
        <v>256</v>
      </c>
      <c r="N423" t="s">
        <v>9</v>
      </c>
      <c r="O423" t="s">
        <v>2</v>
      </c>
      <c r="P423">
        <f t="shared" si="27"/>
        <v>4.5973389721587274</v>
      </c>
      <c r="Q423" t="str">
        <f t="shared" ref="Q423:Q486" si="28">IFERROR(($M423-$P423)^2,"")</f>
        <v/>
      </c>
      <c r="R423" s="67" cm="1">
        <f t="array" ref="R423">SUMPRODUCT((J423=$J$7:$J$1000)*(P423&lt;$P$7:$P$1000))+1</f>
        <v>31</v>
      </c>
      <c r="S423" s="72"/>
    </row>
    <row r="424" spans="10:19" x14ac:dyDescent="0.35">
      <c r="J424" s="66">
        <v>14</v>
      </c>
      <c r="K424" t="s">
        <v>6</v>
      </c>
      <c r="L424" t="s">
        <v>418</v>
      </c>
      <c r="M424" t="s">
        <v>256</v>
      </c>
      <c r="N424" t="s">
        <v>9</v>
      </c>
      <c r="O424" t="s">
        <v>2</v>
      </c>
      <c r="P424">
        <f t="shared" si="27"/>
        <v>0.2049736930387408</v>
      </c>
      <c r="Q424" t="str">
        <f t="shared" si="28"/>
        <v/>
      </c>
      <c r="R424" s="67" cm="1">
        <f t="array" ref="R424">SUMPRODUCT((J424=$J$7:$J$1000)*(P424&lt;$P$7:$P$1000))+1</f>
        <v>72</v>
      </c>
      <c r="S424" s="72"/>
    </row>
    <row r="425" spans="10:19" x14ac:dyDescent="0.35">
      <c r="J425" s="66">
        <v>14</v>
      </c>
      <c r="K425" t="s">
        <v>6</v>
      </c>
      <c r="L425" t="s">
        <v>152</v>
      </c>
      <c r="M425" t="s">
        <v>256</v>
      </c>
      <c r="N425" t="s">
        <v>9</v>
      </c>
      <c r="O425" t="s">
        <v>2</v>
      </c>
      <c r="P425">
        <f t="shared" si="27"/>
        <v>-1.0583877223580398</v>
      </c>
      <c r="Q425" t="str">
        <f t="shared" si="28"/>
        <v/>
      </c>
      <c r="R425" s="67" cm="1">
        <f t="array" ref="R425">SUMPRODUCT((J425=$J$7:$J$1000)*(P425&lt;$P$7:$P$1000))+1</f>
        <v>75</v>
      </c>
      <c r="S425" s="72"/>
    </row>
    <row r="426" spans="10:19" x14ac:dyDescent="0.35">
      <c r="J426" s="66">
        <v>14</v>
      </c>
      <c r="K426" t="s">
        <v>6</v>
      </c>
      <c r="L426" t="s">
        <v>555</v>
      </c>
      <c r="M426" t="s">
        <v>256</v>
      </c>
      <c r="N426" t="s">
        <v>9</v>
      </c>
      <c r="O426" t="s">
        <v>2</v>
      </c>
      <c r="P426">
        <f t="shared" si="27"/>
        <v>7.0453791660786456</v>
      </c>
      <c r="Q426" t="str">
        <f t="shared" si="28"/>
        <v/>
      </c>
      <c r="R426" s="67" cm="1">
        <f t="array" ref="R426">SUMPRODUCT((J426=$J$7:$J$1000)*(P426&lt;$P$7:$P$1000))+1</f>
        <v>10</v>
      </c>
      <c r="S426" s="72"/>
    </row>
    <row r="427" spans="10:19" x14ac:dyDescent="0.35">
      <c r="J427" s="66">
        <v>14</v>
      </c>
      <c r="K427" t="s">
        <v>6</v>
      </c>
      <c r="L427" t="s">
        <v>160</v>
      </c>
      <c r="M427" t="s">
        <v>256</v>
      </c>
      <c r="N427" t="s">
        <v>9</v>
      </c>
      <c r="O427" t="s">
        <v>2</v>
      </c>
      <c r="P427">
        <f t="shared" si="27"/>
        <v>2.2887198834769751</v>
      </c>
      <c r="Q427" t="str">
        <f t="shared" si="28"/>
        <v/>
      </c>
      <c r="R427" s="67" cm="1">
        <f t="array" ref="R427">SUMPRODUCT((J427=$J$7:$J$1000)*(P427&lt;$P$7:$P$1000))+1</f>
        <v>55</v>
      </c>
      <c r="S427" s="72"/>
    </row>
    <row r="428" spans="10:19" x14ac:dyDescent="0.35">
      <c r="J428" s="66">
        <v>14</v>
      </c>
      <c r="K428" t="s">
        <v>6</v>
      </c>
      <c r="L428" t="s">
        <v>669</v>
      </c>
      <c r="M428" t="s">
        <v>256</v>
      </c>
      <c r="N428" t="s">
        <v>9</v>
      </c>
      <c r="O428" t="s">
        <v>2</v>
      </c>
      <c r="P428">
        <f t="shared" si="27"/>
        <v>7.5484815371002991</v>
      </c>
      <c r="Q428" t="str">
        <f t="shared" si="28"/>
        <v/>
      </c>
      <c r="R428" s="67" cm="1">
        <f t="array" ref="R428">SUMPRODUCT((J428=$J$7:$J$1000)*(P428&lt;$P$7:$P$1000))+1</f>
        <v>7</v>
      </c>
      <c r="S428" s="72"/>
    </row>
    <row r="429" spans="10:19" x14ac:dyDescent="0.35">
      <c r="J429" s="66">
        <v>14</v>
      </c>
      <c r="K429" t="s">
        <v>6</v>
      </c>
      <c r="L429" t="s">
        <v>503</v>
      </c>
      <c r="M429" t="s">
        <v>256</v>
      </c>
      <c r="N429" t="s">
        <v>9</v>
      </c>
      <c r="O429" t="s">
        <v>2</v>
      </c>
      <c r="P429">
        <f t="shared" si="27"/>
        <v>2.1624441399562624</v>
      </c>
      <c r="Q429" t="str">
        <f t="shared" si="28"/>
        <v/>
      </c>
      <c r="R429" s="67" cm="1">
        <f t="array" ref="R429">SUMPRODUCT((J429=$J$7:$J$1000)*(P429&lt;$P$7:$P$1000))+1</f>
        <v>57</v>
      </c>
      <c r="S429" s="72"/>
    </row>
    <row r="430" spans="10:19" x14ac:dyDescent="0.35">
      <c r="J430" s="66">
        <v>14</v>
      </c>
      <c r="K430" t="s">
        <v>6</v>
      </c>
      <c r="L430" t="s">
        <v>501</v>
      </c>
      <c r="M430" t="s">
        <v>256</v>
      </c>
      <c r="N430" t="s">
        <v>9</v>
      </c>
      <c r="O430" t="s">
        <v>2</v>
      </c>
      <c r="P430">
        <f t="shared" si="27"/>
        <v>4.8115672314832052</v>
      </c>
      <c r="Q430" t="str">
        <f t="shared" si="28"/>
        <v/>
      </c>
      <c r="R430" s="67" cm="1">
        <f t="array" ref="R430">SUMPRODUCT((J430=$J$7:$J$1000)*(P430&lt;$P$7:$P$1000))+1</f>
        <v>29</v>
      </c>
      <c r="S430" s="72"/>
    </row>
    <row r="431" spans="10:19" x14ac:dyDescent="0.35">
      <c r="J431" s="66">
        <v>14</v>
      </c>
      <c r="K431" t="s">
        <v>24</v>
      </c>
      <c r="L431" t="s">
        <v>142</v>
      </c>
      <c r="M431" t="s">
        <v>256</v>
      </c>
      <c r="N431" t="s">
        <v>3</v>
      </c>
      <c r="O431" t="s">
        <v>23</v>
      </c>
      <c r="P431">
        <f t="shared" si="27"/>
        <v>7.1722341801161105E-2</v>
      </c>
      <c r="Q431" t="str">
        <f t="shared" si="28"/>
        <v/>
      </c>
      <c r="R431" s="67" cm="1">
        <f t="array" ref="R431">SUMPRODUCT((J431=$J$7:$J$1000)*(P431&lt;$P$7:$P$1000))+1</f>
        <v>73</v>
      </c>
      <c r="S431" s="72"/>
    </row>
    <row r="432" spans="10:19" x14ac:dyDescent="0.35">
      <c r="J432" s="66">
        <v>14</v>
      </c>
      <c r="K432" t="s">
        <v>24</v>
      </c>
      <c r="L432" t="s">
        <v>465</v>
      </c>
      <c r="M432" t="s">
        <v>256</v>
      </c>
      <c r="N432" t="s">
        <v>3</v>
      </c>
      <c r="O432" t="s">
        <v>23</v>
      </c>
      <c r="P432">
        <f t="shared" si="27"/>
        <v>6.9373239228902213</v>
      </c>
      <c r="Q432" t="str">
        <f t="shared" si="28"/>
        <v/>
      </c>
      <c r="R432" s="67" cm="1">
        <f t="array" ref="R432">SUMPRODUCT((J432=$J$7:$J$1000)*(P432&lt;$P$7:$P$1000))+1</f>
        <v>11</v>
      </c>
      <c r="S432" s="72"/>
    </row>
    <row r="433" spans="10:19" x14ac:dyDescent="0.35">
      <c r="J433" s="66">
        <v>14</v>
      </c>
      <c r="K433" t="s">
        <v>24</v>
      </c>
      <c r="L433" t="s">
        <v>166</v>
      </c>
      <c r="M433" t="s">
        <v>256</v>
      </c>
      <c r="N433" t="s">
        <v>3</v>
      </c>
      <c r="O433" t="s">
        <v>23</v>
      </c>
      <c r="P433">
        <f t="shared" si="27"/>
        <v>4.6051263483387999</v>
      </c>
      <c r="Q433" t="str">
        <f t="shared" si="28"/>
        <v/>
      </c>
      <c r="R433" s="67" cm="1">
        <f t="array" ref="R433">SUMPRODUCT((J433=$J$7:$J$1000)*(P433&lt;$P$7:$P$1000))+1</f>
        <v>30</v>
      </c>
      <c r="S433" s="72"/>
    </row>
    <row r="434" spans="10:19" x14ac:dyDescent="0.35">
      <c r="J434" s="66">
        <v>14</v>
      </c>
      <c r="K434" t="s">
        <v>24</v>
      </c>
      <c r="L434" t="s">
        <v>168</v>
      </c>
      <c r="M434" t="s">
        <v>256</v>
      </c>
      <c r="N434" t="s">
        <v>3</v>
      </c>
      <c r="O434" t="s">
        <v>23</v>
      </c>
      <c r="P434">
        <f t="shared" si="27"/>
        <v>5.5386054535592439</v>
      </c>
      <c r="Q434" t="str">
        <f t="shared" si="28"/>
        <v/>
      </c>
      <c r="R434" s="67" cm="1">
        <f t="array" ref="R434">SUMPRODUCT((J434=$J$7:$J$1000)*(P434&lt;$P$7:$P$1000))+1</f>
        <v>22</v>
      </c>
      <c r="S434" s="72"/>
    </row>
    <row r="435" spans="10:19" x14ac:dyDescent="0.35">
      <c r="J435" s="66">
        <v>14</v>
      </c>
      <c r="K435" t="s">
        <v>24</v>
      </c>
      <c r="L435" t="s">
        <v>411</v>
      </c>
      <c r="M435" t="s">
        <v>256</v>
      </c>
      <c r="N435" t="s">
        <v>3</v>
      </c>
      <c r="O435" t="s">
        <v>23</v>
      </c>
      <c r="P435">
        <f t="shared" si="27"/>
        <v>3.1809934321107005</v>
      </c>
      <c r="Q435" t="str">
        <f t="shared" si="28"/>
        <v/>
      </c>
      <c r="R435" s="67" cm="1">
        <f t="array" ref="R435">SUMPRODUCT((J435=$J$7:$J$1000)*(P435&lt;$P$7:$P$1000))+1</f>
        <v>46</v>
      </c>
      <c r="S435" s="72"/>
    </row>
    <row r="436" spans="10:19" x14ac:dyDescent="0.35">
      <c r="J436" s="66">
        <v>14</v>
      </c>
      <c r="K436" t="s">
        <v>24</v>
      </c>
      <c r="L436" t="s">
        <v>640</v>
      </c>
      <c r="M436" t="s">
        <v>256</v>
      </c>
      <c r="N436" t="s">
        <v>3</v>
      </c>
      <c r="O436" t="s">
        <v>23</v>
      </c>
      <c r="P436">
        <f t="shared" si="27"/>
        <v>1.6793602657336058</v>
      </c>
      <c r="Q436" t="str">
        <f t="shared" si="28"/>
        <v/>
      </c>
      <c r="R436" s="67" cm="1">
        <f t="array" ref="R436">SUMPRODUCT((J436=$J$7:$J$1000)*(P436&lt;$P$7:$P$1000))+1</f>
        <v>61</v>
      </c>
      <c r="S436" s="72"/>
    </row>
    <row r="437" spans="10:19" x14ac:dyDescent="0.35">
      <c r="J437" s="66">
        <v>14</v>
      </c>
      <c r="K437" t="s">
        <v>24</v>
      </c>
      <c r="L437" t="s">
        <v>179</v>
      </c>
      <c r="M437" t="s">
        <v>256</v>
      </c>
      <c r="N437" t="s">
        <v>3</v>
      </c>
      <c r="O437" t="s">
        <v>23</v>
      </c>
      <c r="P437">
        <f t="shared" si="27"/>
        <v>3.5750782401749448</v>
      </c>
      <c r="Q437" t="str">
        <f t="shared" si="28"/>
        <v/>
      </c>
      <c r="R437" s="67" cm="1">
        <f t="array" ref="R437">SUMPRODUCT((J437=$J$7:$J$1000)*(P437&lt;$P$7:$P$1000))+1</f>
        <v>39</v>
      </c>
      <c r="S437" s="72"/>
    </row>
    <row r="438" spans="10:19" x14ac:dyDescent="0.35">
      <c r="J438" s="66">
        <v>14</v>
      </c>
      <c r="K438" t="s">
        <v>24</v>
      </c>
      <c r="L438" t="s">
        <v>482</v>
      </c>
      <c r="M438" t="s">
        <v>256</v>
      </c>
      <c r="N438" t="s">
        <v>3</v>
      </c>
      <c r="O438" t="s">
        <v>23</v>
      </c>
      <c r="P438">
        <f t="shared" si="27"/>
        <v>0.95751726027364792</v>
      </c>
      <c r="Q438" t="str">
        <f t="shared" si="28"/>
        <v/>
      </c>
      <c r="R438" s="67" cm="1">
        <f t="array" ref="R438">SUMPRODUCT((J438=$J$7:$J$1000)*(P438&lt;$P$7:$P$1000))+1</f>
        <v>68</v>
      </c>
      <c r="S438" s="72"/>
    </row>
    <row r="439" spans="10:19" x14ac:dyDescent="0.35">
      <c r="J439" s="66">
        <v>14</v>
      </c>
      <c r="K439" t="s">
        <v>23</v>
      </c>
      <c r="L439" t="s">
        <v>144</v>
      </c>
      <c r="M439" t="s">
        <v>256</v>
      </c>
      <c r="N439" t="s">
        <v>9</v>
      </c>
      <c r="O439" t="s">
        <v>24</v>
      </c>
      <c r="P439">
        <f t="shared" si="27"/>
        <v>5.8303657442658441</v>
      </c>
      <c r="Q439" t="str">
        <f t="shared" si="28"/>
        <v/>
      </c>
      <c r="R439" s="67" cm="1">
        <f t="array" ref="R439">SUMPRODUCT((J439=$J$7:$J$1000)*(P439&lt;$P$7:$P$1000))+1</f>
        <v>21</v>
      </c>
      <c r="S439" s="72"/>
    </row>
    <row r="440" spans="10:19" x14ac:dyDescent="0.35">
      <c r="J440" s="66">
        <v>14</v>
      </c>
      <c r="K440" t="s">
        <v>23</v>
      </c>
      <c r="L440" t="s">
        <v>150</v>
      </c>
      <c r="M440" t="s">
        <v>256</v>
      </c>
      <c r="N440" t="s">
        <v>9</v>
      </c>
      <c r="O440" t="s">
        <v>24</v>
      </c>
      <c r="P440">
        <f t="shared" si="27"/>
        <v>1.2413805482953408</v>
      </c>
      <c r="Q440" t="str">
        <f t="shared" si="28"/>
        <v/>
      </c>
      <c r="R440" s="67" cm="1">
        <f t="array" ref="R440">SUMPRODUCT((J440=$J$7:$J$1000)*(P440&lt;$P$7:$P$1000))+1</f>
        <v>66</v>
      </c>
      <c r="S440" s="72"/>
    </row>
    <row r="441" spans="10:19" x14ac:dyDescent="0.35">
      <c r="J441" s="66">
        <v>14</v>
      </c>
      <c r="K441" t="s">
        <v>23</v>
      </c>
      <c r="L441" t="s">
        <v>549</v>
      </c>
      <c r="M441" t="s">
        <v>256</v>
      </c>
      <c r="N441" t="s">
        <v>9</v>
      </c>
      <c r="O441" t="s">
        <v>24</v>
      </c>
      <c r="P441">
        <f t="shared" si="27"/>
        <v>6.7874353985995892</v>
      </c>
      <c r="Q441" t="str">
        <f t="shared" si="28"/>
        <v/>
      </c>
      <c r="R441" s="67" cm="1">
        <f t="array" ref="R441">SUMPRODUCT((J441=$J$7:$J$1000)*(P441&lt;$P$7:$P$1000))+1</f>
        <v>14</v>
      </c>
      <c r="S441" s="72"/>
    </row>
    <row r="442" spans="10:19" x14ac:dyDescent="0.35">
      <c r="J442" s="66">
        <v>14</v>
      </c>
      <c r="K442" t="s">
        <v>23</v>
      </c>
      <c r="L442" t="s">
        <v>505</v>
      </c>
      <c r="M442" t="s">
        <v>256</v>
      </c>
      <c r="N442" t="s">
        <v>9</v>
      </c>
      <c r="O442" t="s">
        <v>24</v>
      </c>
      <c r="P442">
        <f t="shared" si="27"/>
        <v>-0.31794018614523922</v>
      </c>
      <c r="Q442" t="str">
        <f t="shared" si="28"/>
        <v/>
      </c>
      <c r="R442" s="67" cm="1">
        <f t="array" ref="R442">SUMPRODUCT((J442=$J$7:$J$1000)*(P442&lt;$P$7:$P$1000))+1</f>
        <v>74</v>
      </c>
      <c r="S442" s="72"/>
    </row>
    <row r="443" spans="10:19" x14ac:dyDescent="0.35">
      <c r="J443" s="66">
        <v>14</v>
      </c>
      <c r="K443" t="s">
        <v>23</v>
      </c>
      <c r="L443" t="s">
        <v>412</v>
      </c>
      <c r="M443" t="s">
        <v>256</v>
      </c>
      <c r="N443" t="s">
        <v>9</v>
      </c>
      <c r="O443" t="s">
        <v>24</v>
      </c>
      <c r="P443">
        <f t="shared" si="27"/>
        <v>5.3479694771531605</v>
      </c>
      <c r="Q443" t="str">
        <f t="shared" si="28"/>
        <v/>
      </c>
      <c r="R443" s="67" cm="1">
        <f t="array" ref="R443">SUMPRODUCT((J443=$J$7:$J$1000)*(P443&lt;$P$7:$P$1000))+1</f>
        <v>24</v>
      </c>
      <c r="S443" s="72"/>
    </row>
    <row r="444" spans="10:19" x14ac:dyDescent="0.35">
      <c r="J444" s="66">
        <v>14</v>
      </c>
      <c r="K444" t="s">
        <v>23</v>
      </c>
      <c r="L444" t="s">
        <v>169</v>
      </c>
      <c r="M444" t="s">
        <v>256</v>
      </c>
      <c r="N444" t="s">
        <v>9</v>
      </c>
      <c r="O444" t="s">
        <v>24</v>
      </c>
      <c r="P444">
        <f t="shared" si="27"/>
        <v>2.5115902464617959</v>
      </c>
      <c r="Q444" t="str">
        <f t="shared" si="28"/>
        <v/>
      </c>
      <c r="R444" s="67" cm="1">
        <f t="array" ref="R444">SUMPRODUCT((J444=$J$7:$J$1000)*(P444&lt;$P$7:$P$1000))+1</f>
        <v>53</v>
      </c>
      <c r="S444" s="72"/>
    </row>
    <row r="445" spans="10:19" x14ac:dyDescent="0.35">
      <c r="J445" s="66">
        <v>14</v>
      </c>
      <c r="K445" t="s">
        <v>23</v>
      </c>
      <c r="L445" t="s">
        <v>252</v>
      </c>
      <c r="M445" t="s">
        <v>256</v>
      </c>
      <c r="N445" t="s">
        <v>9</v>
      </c>
      <c r="O445" t="s">
        <v>24</v>
      </c>
      <c r="P445">
        <f t="shared" si="27"/>
        <v>1.6536986926424255</v>
      </c>
      <c r="Q445" t="str">
        <f t="shared" si="28"/>
        <v/>
      </c>
      <c r="R445" s="67" cm="1">
        <f t="array" ref="R445">SUMPRODUCT((J445=$J$7:$J$1000)*(P445&lt;$P$7:$P$1000))+1</f>
        <v>62</v>
      </c>
      <c r="S445" s="72"/>
    </row>
    <row r="446" spans="10:19" x14ac:dyDescent="0.35">
      <c r="J446" s="66">
        <v>14</v>
      </c>
      <c r="K446" t="s">
        <v>23</v>
      </c>
      <c r="L446" t="s">
        <v>506</v>
      </c>
      <c r="M446" t="s">
        <v>256</v>
      </c>
      <c r="N446" t="s">
        <v>9</v>
      </c>
      <c r="O446" t="s">
        <v>24</v>
      </c>
      <c r="P446">
        <f t="shared" si="27"/>
        <v>1.7391738539074604</v>
      </c>
      <c r="Q446" t="str">
        <f t="shared" si="28"/>
        <v/>
      </c>
      <c r="R446" s="67" cm="1">
        <f t="array" ref="R446">SUMPRODUCT((J446=$J$7:$J$1000)*(P446&lt;$P$7:$P$1000))+1</f>
        <v>59</v>
      </c>
      <c r="S446" s="72"/>
    </row>
    <row r="447" spans="10:19" x14ac:dyDescent="0.35">
      <c r="J447" s="66">
        <v>14</v>
      </c>
      <c r="K447" t="s">
        <v>7</v>
      </c>
      <c r="L447" t="s">
        <v>148</v>
      </c>
      <c r="M447" t="s">
        <v>256</v>
      </c>
      <c r="N447" t="s">
        <v>9</v>
      </c>
      <c r="O447" t="s">
        <v>14</v>
      </c>
      <c r="P447">
        <f t="shared" si="27"/>
        <v>3.7822495365510784</v>
      </c>
      <c r="Q447" t="str">
        <f t="shared" si="28"/>
        <v/>
      </c>
      <c r="R447" s="67" cm="1">
        <f t="array" ref="R447">SUMPRODUCT((J447=$J$7:$J$1000)*(P447&lt;$P$7:$P$1000))+1</f>
        <v>38</v>
      </c>
      <c r="S447" s="72"/>
    </row>
    <row r="448" spans="10:19" x14ac:dyDescent="0.35">
      <c r="J448" s="66">
        <v>14</v>
      </c>
      <c r="K448" t="s">
        <v>7</v>
      </c>
      <c r="L448" t="s">
        <v>158</v>
      </c>
      <c r="M448" t="s">
        <v>256</v>
      </c>
      <c r="N448" t="s">
        <v>9</v>
      </c>
      <c r="O448" t="s">
        <v>14</v>
      </c>
      <c r="P448">
        <f t="shared" si="27"/>
        <v>5.8867811230168101</v>
      </c>
      <c r="Q448" t="str">
        <f t="shared" si="28"/>
        <v/>
      </c>
      <c r="R448" s="67" cm="1">
        <f t="array" ref="R448">SUMPRODUCT((J448=$J$7:$J$1000)*(P448&lt;$P$7:$P$1000))+1</f>
        <v>20</v>
      </c>
      <c r="S448" s="72"/>
    </row>
    <row r="449" spans="10:19" x14ac:dyDescent="0.35">
      <c r="J449" s="66">
        <v>14</v>
      </c>
      <c r="K449" t="s">
        <v>7</v>
      </c>
      <c r="L449" t="s">
        <v>163</v>
      </c>
      <c r="M449" t="s">
        <v>256</v>
      </c>
      <c r="N449" t="s">
        <v>9</v>
      </c>
      <c r="O449" t="s">
        <v>14</v>
      </c>
      <c r="P449">
        <f t="shared" si="27"/>
        <v>5.32294238917396</v>
      </c>
      <c r="Q449" t="str">
        <f t="shared" si="28"/>
        <v/>
      </c>
      <c r="R449" s="67" cm="1">
        <f t="array" ref="R449">SUMPRODUCT((J449=$J$7:$J$1000)*(P449&lt;$P$7:$P$1000))+1</f>
        <v>25</v>
      </c>
      <c r="S449" s="72"/>
    </row>
    <row r="450" spans="10:19" x14ac:dyDescent="0.35">
      <c r="J450" s="66">
        <v>14</v>
      </c>
      <c r="K450" t="s">
        <v>7</v>
      </c>
      <c r="L450" t="s">
        <v>630</v>
      </c>
      <c r="M450" t="s">
        <v>256</v>
      </c>
      <c r="N450" t="s">
        <v>9</v>
      </c>
      <c r="O450" t="s">
        <v>14</v>
      </c>
      <c r="P450">
        <f t="shared" si="27"/>
        <v>0.94846452047452745</v>
      </c>
      <c r="Q450" t="str">
        <f t="shared" si="28"/>
        <v/>
      </c>
      <c r="R450" s="67" cm="1">
        <f t="array" ref="R450">SUMPRODUCT((J450=$J$7:$J$1000)*(P450&lt;$P$7:$P$1000))+1</f>
        <v>69</v>
      </c>
      <c r="S450" s="72"/>
    </row>
    <row r="451" spans="10:19" x14ac:dyDescent="0.35">
      <c r="J451" s="66">
        <v>14</v>
      </c>
      <c r="K451" t="s">
        <v>7</v>
      </c>
      <c r="L451" t="s">
        <v>507</v>
      </c>
      <c r="M451" t="s">
        <v>256</v>
      </c>
      <c r="N451" t="s">
        <v>9</v>
      </c>
      <c r="O451" t="s">
        <v>14</v>
      </c>
      <c r="P451">
        <f t="shared" si="27"/>
        <v>-2.2384351939133111</v>
      </c>
      <c r="Q451" t="str">
        <f t="shared" si="28"/>
        <v/>
      </c>
      <c r="R451" s="67" cm="1">
        <f t="array" ref="R451">SUMPRODUCT((J451=$J$7:$J$1000)*(P451&lt;$P$7:$P$1000))+1</f>
        <v>76</v>
      </c>
      <c r="S451" s="72"/>
    </row>
    <row r="452" spans="10:19" x14ac:dyDescent="0.35">
      <c r="J452" s="66">
        <v>14</v>
      </c>
      <c r="K452" t="s">
        <v>7</v>
      </c>
      <c r="L452" t="s">
        <v>502</v>
      </c>
      <c r="M452" t="s">
        <v>256</v>
      </c>
      <c r="N452" t="s">
        <v>9</v>
      </c>
      <c r="O452" t="s">
        <v>14</v>
      </c>
      <c r="P452">
        <f t="shared" si="27"/>
        <v>5.3058717213517665</v>
      </c>
      <c r="Q452" t="str">
        <f t="shared" si="28"/>
        <v/>
      </c>
      <c r="R452" s="67" cm="1">
        <f t="array" ref="R452">SUMPRODUCT((J452=$J$7:$J$1000)*(P452&lt;$P$7:$P$1000))+1</f>
        <v>26</v>
      </c>
      <c r="S452" s="72"/>
    </row>
    <row r="453" spans="10:19" x14ac:dyDescent="0.35">
      <c r="J453" s="66">
        <v>14</v>
      </c>
      <c r="K453" t="s">
        <v>7</v>
      </c>
      <c r="L453" t="s">
        <v>171</v>
      </c>
      <c r="M453" t="s">
        <v>256</v>
      </c>
      <c r="N453" t="s">
        <v>9</v>
      </c>
      <c r="O453" t="s">
        <v>14</v>
      </c>
      <c r="P453">
        <f t="shared" si="27"/>
        <v>8.2205632388100973</v>
      </c>
      <c r="Q453" t="str">
        <f t="shared" si="28"/>
        <v/>
      </c>
      <c r="R453" s="67" cm="1">
        <f t="array" ref="R453">SUMPRODUCT((J453=$J$7:$J$1000)*(P453&lt;$P$7:$P$1000))+1</f>
        <v>5</v>
      </c>
      <c r="S453" s="72"/>
    </row>
    <row r="454" spans="10:19" x14ac:dyDescent="0.35">
      <c r="J454" s="66">
        <v>14</v>
      </c>
      <c r="K454" t="s">
        <v>7</v>
      </c>
      <c r="L454" t="s">
        <v>525</v>
      </c>
      <c r="M454" t="s">
        <v>256</v>
      </c>
      <c r="N454" t="s">
        <v>9</v>
      </c>
      <c r="O454" t="s">
        <v>14</v>
      </c>
      <c r="P454">
        <f t="shared" si="27"/>
        <v>3.3040147744278547</v>
      </c>
      <c r="Q454" t="str">
        <f t="shared" si="28"/>
        <v/>
      </c>
      <c r="R454" s="67" cm="1">
        <f t="array" ref="R454">SUMPRODUCT((J454=$J$7:$J$1000)*(P454&lt;$P$7:$P$1000))+1</f>
        <v>43</v>
      </c>
      <c r="S454" s="72"/>
    </row>
    <row r="455" spans="10:19" x14ac:dyDescent="0.35">
      <c r="J455" s="66">
        <v>14</v>
      </c>
      <c r="K455" t="s">
        <v>34</v>
      </c>
      <c r="L455" t="s">
        <v>545</v>
      </c>
      <c r="M455" t="s">
        <v>256</v>
      </c>
      <c r="N455" t="s">
        <v>9</v>
      </c>
      <c r="O455" t="s">
        <v>17</v>
      </c>
      <c r="P455">
        <f t="shared" si="27"/>
        <v>2.6921213162218169</v>
      </c>
      <c r="Q455" t="str">
        <f t="shared" si="28"/>
        <v/>
      </c>
      <c r="R455" s="67" cm="1">
        <f t="array" ref="R455">SUMPRODUCT((J455=$J$7:$J$1000)*(P455&lt;$P$7:$P$1000))+1</f>
        <v>52</v>
      </c>
      <c r="S455" s="72"/>
    </row>
    <row r="456" spans="10:19" x14ac:dyDescent="0.35">
      <c r="J456" s="66">
        <v>14</v>
      </c>
      <c r="K456" t="s">
        <v>34</v>
      </c>
      <c r="L456" t="s">
        <v>153</v>
      </c>
      <c r="M456" t="s">
        <v>256</v>
      </c>
      <c r="N456" t="s">
        <v>9</v>
      </c>
      <c r="O456" t="s">
        <v>17</v>
      </c>
      <c r="P456">
        <f t="shared" ref="P456:P519" si="29">VLOOKUP($N456,$F$3:$G$4,2,FALSE)+VLOOKUP($L456,$B$20:$C$150,2,FALSE)+VLOOKUP($O456,$A$6:$B$16,2,FALSE)</f>
        <v>3.4849718220048382</v>
      </c>
      <c r="Q456" t="str">
        <f t="shared" si="28"/>
        <v/>
      </c>
      <c r="R456" s="67" cm="1">
        <f t="array" ref="R456">SUMPRODUCT((J456=$J$7:$J$1000)*(P456&lt;$P$7:$P$1000))+1</f>
        <v>41</v>
      </c>
      <c r="S456" s="72"/>
    </row>
    <row r="457" spans="10:19" x14ac:dyDescent="0.35">
      <c r="J457" s="66">
        <v>14</v>
      </c>
      <c r="K457" t="s">
        <v>34</v>
      </c>
      <c r="L457" t="s">
        <v>351</v>
      </c>
      <c r="M457" t="s">
        <v>256</v>
      </c>
      <c r="N457" t="s">
        <v>9</v>
      </c>
      <c r="O457" t="s">
        <v>17</v>
      </c>
      <c r="P457">
        <f t="shared" si="29"/>
        <v>5.3960295110168817</v>
      </c>
      <c r="Q457" t="str">
        <f t="shared" si="28"/>
        <v/>
      </c>
      <c r="R457" s="67" cm="1">
        <f t="array" ref="R457">SUMPRODUCT((J457=$J$7:$J$1000)*(P457&lt;$P$7:$P$1000))+1</f>
        <v>23</v>
      </c>
      <c r="S457" s="72"/>
    </row>
    <row r="458" spans="10:19" x14ac:dyDescent="0.35">
      <c r="J458" s="66">
        <v>14</v>
      </c>
      <c r="K458" t="s">
        <v>34</v>
      </c>
      <c r="L458" t="s">
        <v>161</v>
      </c>
      <c r="M458" t="s">
        <v>256</v>
      </c>
      <c r="N458" t="s">
        <v>9</v>
      </c>
      <c r="O458" t="s">
        <v>17</v>
      </c>
      <c r="P458">
        <f t="shared" si="29"/>
        <v>6.8049524111812847</v>
      </c>
      <c r="Q458" t="str">
        <f t="shared" si="28"/>
        <v/>
      </c>
      <c r="R458" s="67" cm="1">
        <f t="array" ref="R458">SUMPRODUCT((J458=$J$7:$J$1000)*(P458&lt;$P$7:$P$1000))+1</f>
        <v>12</v>
      </c>
      <c r="S458" s="72"/>
    </row>
    <row r="459" spans="10:19" x14ac:dyDescent="0.35">
      <c r="J459" s="66">
        <v>14</v>
      </c>
      <c r="K459" t="s">
        <v>34</v>
      </c>
      <c r="L459" t="s">
        <v>593</v>
      </c>
      <c r="M459" t="s">
        <v>256</v>
      </c>
      <c r="N459" t="s">
        <v>9</v>
      </c>
      <c r="O459" t="s">
        <v>17</v>
      </c>
      <c r="P459">
        <f t="shared" si="29"/>
        <v>1.6130257940197559</v>
      </c>
      <c r="Q459" t="str">
        <f t="shared" si="28"/>
        <v/>
      </c>
      <c r="R459" s="67" cm="1">
        <f t="array" ref="R459">SUMPRODUCT((J459=$J$7:$J$1000)*(P459&lt;$P$7:$P$1000))+1</f>
        <v>63</v>
      </c>
      <c r="S459" s="72"/>
    </row>
    <row r="460" spans="10:19" x14ac:dyDescent="0.35">
      <c r="J460" s="66">
        <v>14</v>
      </c>
      <c r="K460" t="s">
        <v>34</v>
      </c>
      <c r="L460" t="s">
        <v>177</v>
      </c>
      <c r="M460" t="s">
        <v>256</v>
      </c>
      <c r="N460" t="s">
        <v>9</v>
      </c>
      <c r="O460" t="s">
        <v>17</v>
      </c>
      <c r="P460">
        <f t="shared" si="29"/>
        <v>3.9992791445924594</v>
      </c>
      <c r="Q460" t="str">
        <f t="shared" si="28"/>
        <v/>
      </c>
      <c r="R460" s="67" cm="1">
        <f t="array" ref="R460">SUMPRODUCT((J460=$J$7:$J$1000)*(P460&lt;$P$7:$P$1000))+1</f>
        <v>37</v>
      </c>
      <c r="S460" s="72"/>
    </row>
    <row r="461" spans="10:19" x14ac:dyDescent="0.35">
      <c r="J461" s="66">
        <v>14</v>
      </c>
      <c r="K461" t="s">
        <v>34</v>
      </c>
      <c r="L461" t="s">
        <v>462</v>
      </c>
      <c r="M461" t="s">
        <v>256</v>
      </c>
      <c r="N461" t="s">
        <v>9</v>
      </c>
      <c r="O461" t="s">
        <v>17</v>
      </c>
      <c r="P461">
        <f t="shared" si="29"/>
        <v>10.143853861482043</v>
      </c>
      <c r="Q461" t="str">
        <f t="shared" si="28"/>
        <v/>
      </c>
      <c r="R461" s="67" cm="1">
        <f t="array" ref="R461">SUMPRODUCT((J461=$J$7:$J$1000)*(P461&lt;$P$7:$P$1000))+1</f>
        <v>2</v>
      </c>
      <c r="S461" s="72"/>
    </row>
    <row r="462" spans="10:19" x14ac:dyDescent="0.35">
      <c r="J462" s="66">
        <v>14</v>
      </c>
      <c r="K462" t="s">
        <v>17</v>
      </c>
      <c r="L462" t="s">
        <v>149</v>
      </c>
      <c r="M462" t="s">
        <v>256</v>
      </c>
      <c r="N462" t="s">
        <v>3</v>
      </c>
      <c r="O462" t="s">
        <v>34</v>
      </c>
      <c r="P462">
        <f t="shared" si="29"/>
        <v>7.0631897698730102</v>
      </c>
      <c r="Q462" t="str">
        <f t="shared" si="28"/>
        <v/>
      </c>
      <c r="R462" s="67" cm="1">
        <f t="array" ref="R462">SUMPRODUCT((J462=$J$7:$J$1000)*(P462&lt;$P$7:$P$1000))+1</f>
        <v>9</v>
      </c>
      <c r="S462" s="72"/>
    </row>
    <row r="463" spans="10:19" x14ac:dyDescent="0.35">
      <c r="J463" s="66">
        <v>14</v>
      </c>
      <c r="K463" t="s">
        <v>17</v>
      </c>
      <c r="L463" t="s">
        <v>155</v>
      </c>
      <c r="M463" t="s">
        <v>256</v>
      </c>
      <c r="N463" t="s">
        <v>3</v>
      </c>
      <c r="O463" t="s">
        <v>34</v>
      </c>
      <c r="P463">
        <f t="shared" si="29"/>
        <v>6.7917236688622458</v>
      </c>
      <c r="Q463" t="str">
        <f t="shared" si="28"/>
        <v/>
      </c>
      <c r="R463" s="67" cm="1">
        <f t="array" ref="R463">SUMPRODUCT((J463=$J$7:$J$1000)*(P463&lt;$P$7:$P$1000))+1</f>
        <v>13</v>
      </c>
      <c r="S463" s="72"/>
    </row>
    <row r="464" spans="10:19" x14ac:dyDescent="0.35">
      <c r="J464" s="66">
        <v>14</v>
      </c>
      <c r="K464" t="s">
        <v>17</v>
      </c>
      <c r="L464" t="s">
        <v>167</v>
      </c>
      <c r="M464" t="s">
        <v>256</v>
      </c>
      <c r="N464" t="s">
        <v>3</v>
      </c>
      <c r="O464" t="s">
        <v>34</v>
      </c>
      <c r="P464">
        <f t="shared" si="29"/>
        <v>4.463000925967644</v>
      </c>
      <c r="Q464" t="str">
        <f t="shared" si="28"/>
        <v/>
      </c>
      <c r="R464" s="67" cm="1">
        <f t="array" ref="R464">SUMPRODUCT((J464=$J$7:$J$1000)*(P464&lt;$P$7:$P$1000))+1</f>
        <v>34</v>
      </c>
      <c r="S464" s="72"/>
    </row>
    <row r="465" spans="10:19" x14ac:dyDescent="0.35">
      <c r="J465">
        <v>14</v>
      </c>
      <c r="K465" t="s">
        <v>17</v>
      </c>
      <c r="L465" t="s">
        <v>480</v>
      </c>
      <c r="M465" t="s">
        <v>256</v>
      </c>
      <c r="N465" t="s">
        <v>3</v>
      </c>
      <c r="O465" t="s">
        <v>34</v>
      </c>
      <c r="P465">
        <f t="shared" si="29"/>
        <v>6.0364358538882144</v>
      </c>
      <c r="Q465" t="str">
        <f t="shared" si="28"/>
        <v/>
      </c>
      <c r="R465" s="67" cm="1">
        <f t="array" ref="R465">SUMPRODUCT((J465=$J$7:$J$1000)*(P465&lt;$P$7:$P$1000))+1</f>
        <v>18</v>
      </c>
      <c r="S465" s="72"/>
    </row>
    <row r="466" spans="10:19" x14ac:dyDescent="0.35">
      <c r="J466">
        <v>14</v>
      </c>
      <c r="K466" t="s">
        <v>17</v>
      </c>
      <c r="L466" t="s">
        <v>586</v>
      </c>
      <c r="M466" t="s">
        <v>256</v>
      </c>
      <c r="N466" t="s">
        <v>3</v>
      </c>
      <c r="O466" t="s">
        <v>34</v>
      </c>
      <c r="P466">
        <f t="shared" si="29"/>
        <v>6.5136910292269814</v>
      </c>
      <c r="Q466" t="str">
        <f t="shared" si="28"/>
        <v/>
      </c>
      <c r="R466" s="67" cm="1">
        <f t="array" ref="R466">SUMPRODUCT((J466=$J$7:$J$1000)*(P466&lt;$P$7:$P$1000))+1</f>
        <v>15</v>
      </c>
      <c r="S466" s="72"/>
    </row>
    <row r="467" spans="10:19" x14ac:dyDescent="0.35">
      <c r="J467" s="66">
        <v>14</v>
      </c>
      <c r="K467" t="s">
        <v>13</v>
      </c>
      <c r="L467" t="s">
        <v>464</v>
      </c>
      <c r="M467" t="s">
        <v>256</v>
      </c>
      <c r="N467" t="s">
        <v>9</v>
      </c>
      <c r="O467" t="s">
        <v>36</v>
      </c>
      <c r="P467">
        <f t="shared" si="29"/>
        <v>6.1073111220203966</v>
      </c>
      <c r="Q467" t="str">
        <f t="shared" si="28"/>
        <v/>
      </c>
      <c r="R467" s="67" cm="1">
        <f t="array" ref="R467">SUMPRODUCT((J467=$J$7:$J$1000)*(P467&lt;$P$7:$P$1000))+1</f>
        <v>17</v>
      </c>
      <c r="S467" s="72"/>
    </row>
    <row r="468" spans="10:19" x14ac:dyDescent="0.35">
      <c r="J468" s="66">
        <v>14</v>
      </c>
      <c r="K468" t="s">
        <v>13</v>
      </c>
      <c r="L468" t="s">
        <v>145</v>
      </c>
      <c r="M468" t="s">
        <v>256</v>
      </c>
      <c r="N468" t="s">
        <v>9</v>
      </c>
      <c r="O468" t="s">
        <v>36</v>
      </c>
      <c r="P468">
        <f t="shared" si="29"/>
        <v>2.240715104644865</v>
      </c>
      <c r="Q468" t="str">
        <f t="shared" si="28"/>
        <v/>
      </c>
      <c r="R468" s="67" cm="1">
        <f t="array" ref="R468">SUMPRODUCT((J468=$J$7:$J$1000)*(P468&lt;$P$7:$P$1000))+1</f>
        <v>56</v>
      </c>
      <c r="S468" s="72"/>
    </row>
    <row r="469" spans="10:19" x14ac:dyDescent="0.35">
      <c r="J469" s="66">
        <v>14</v>
      </c>
      <c r="K469" t="s">
        <v>13</v>
      </c>
      <c r="L469" t="s">
        <v>557</v>
      </c>
      <c r="M469" t="s">
        <v>256</v>
      </c>
      <c r="N469" t="s">
        <v>9</v>
      </c>
      <c r="O469" t="s">
        <v>36</v>
      </c>
      <c r="P469">
        <f t="shared" si="29"/>
        <v>3.1911644868215472</v>
      </c>
      <c r="Q469" t="str">
        <f t="shared" si="28"/>
        <v/>
      </c>
      <c r="R469" s="67" cm="1">
        <f t="array" ref="R469">SUMPRODUCT((J469=$J$7:$J$1000)*(P469&lt;$P$7:$P$1000))+1</f>
        <v>45</v>
      </c>
      <c r="S469" s="72"/>
    </row>
    <row r="470" spans="10:19" x14ac:dyDescent="0.35">
      <c r="J470" s="66">
        <v>14</v>
      </c>
      <c r="K470" t="s">
        <v>13</v>
      </c>
      <c r="L470" t="s">
        <v>524</v>
      </c>
      <c r="M470" t="s">
        <v>256</v>
      </c>
      <c r="N470" t="s">
        <v>9</v>
      </c>
      <c r="O470" t="s">
        <v>36</v>
      </c>
      <c r="P470">
        <f t="shared" si="29"/>
        <v>3.214065633300514</v>
      </c>
      <c r="Q470" t="str">
        <f t="shared" si="28"/>
        <v/>
      </c>
      <c r="R470" s="67" cm="1">
        <f t="array" ref="R470">SUMPRODUCT((J470=$J$7:$J$1000)*(P470&lt;$P$7:$P$1000))+1</f>
        <v>44</v>
      </c>
      <c r="S470" s="72"/>
    </row>
    <row r="471" spans="10:19" x14ac:dyDescent="0.35">
      <c r="J471" s="66">
        <v>14</v>
      </c>
      <c r="K471" t="s">
        <v>13</v>
      </c>
      <c r="L471" t="s">
        <v>463</v>
      </c>
      <c r="M471" t="s">
        <v>256</v>
      </c>
      <c r="N471" t="s">
        <v>9</v>
      </c>
      <c r="O471" t="s">
        <v>36</v>
      </c>
      <c r="P471">
        <f t="shared" si="29"/>
        <v>9.2961851574427499</v>
      </c>
      <c r="Q471" t="str">
        <f t="shared" si="28"/>
        <v/>
      </c>
      <c r="R471" s="67" cm="1">
        <f t="array" ref="R471">SUMPRODUCT((J471=$J$7:$J$1000)*(P471&lt;$P$7:$P$1000))+1</f>
        <v>3</v>
      </c>
      <c r="S471" s="72"/>
    </row>
    <row r="472" spans="10:19" x14ac:dyDescent="0.35">
      <c r="J472">
        <v>14</v>
      </c>
      <c r="K472" t="s">
        <v>13</v>
      </c>
      <c r="L472" t="s">
        <v>599</v>
      </c>
      <c r="M472" t="s">
        <v>256</v>
      </c>
      <c r="N472" t="s">
        <v>9</v>
      </c>
      <c r="O472" t="s">
        <v>36</v>
      </c>
      <c r="P472">
        <f t="shared" si="29"/>
        <v>7.8230916090335718</v>
      </c>
      <c r="Q472" t="str">
        <f t="shared" si="28"/>
        <v/>
      </c>
      <c r="R472" s="67" cm="1">
        <f t="array" ref="R472">SUMPRODUCT((J472=$J$7:$J$1000)*(P472&lt;$P$7:$P$1000))+1</f>
        <v>6</v>
      </c>
      <c r="S472" s="72"/>
    </row>
    <row r="473" spans="10:19" x14ac:dyDescent="0.35">
      <c r="J473" s="66">
        <v>14</v>
      </c>
      <c r="K473" t="s">
        <v>13</v>
      </c>
      <c r="L473" t="s">
        <v>526</v>
      </c>
      <c r="M473" t="s">
        <v>256</v>
      </c>
      <c r="N473" t="s">
        <v>9</v>
      </c>
      <c r="O473" t="s">
        <v>36</v>
      </c>
      <c r="P473">
        <f t="shared" si="29"/>
        <v>1.6797773495565163</v>
      </c>
      <c r="Q473" t="str">
        <f t="shared" si="28"/>
        <v/>
      </c>
      <c r="R473" s="67" cm="1">
        <f t="array" ref="R473">SUMPRODUCT((J473=$J$7:$J$1000)*(P473&lt;$P$7:$P$1000))+1</f>
        <v>60</v>
      </c>
      <c r="S473" s="72"/>
    </row>
    <row r="474" spans="10:19" x14ac:dyDescent="0.35">
      <c r="J474">
        <v>14</v>
      </c>
      <c r="K474" t="s">
        <v>13</v>
      </c>
      <c r="L474" t="s">
        <v>467</v>
      </c>
      <c r="M474" t="s">
        <v>256</v>
      </c>
      <c r="N474" t="s">
        <v>9</v>
      </c>
      <c r="O474" t="s">
        <v>36</v>
      </c>
      <c r="P474">
        <f t="shared" si="29"/>
        <v>3.4851285054488574</v>
      </c>
      <c r="Q474" t="str">
        <f t="shared" si="28"/>
        <v/>
      </c>
      <c r="R474" s="67" cm="1">
        <f t="array" ref="R474">SUMPRODUCT((J474=$J$7:$J$1000)*(P474&lt;$P$7:$P$1000))+1</f>
        <v>40</v>
      </c>
      <c r="S474" s="72"/>
    </row>
    <row r="475" spans="10:19" x14ac:dyDescent="0.35">
      <c r="J475">
        <v>14</v>
      </c>
      <c r="K475" t="s">
        <v>13</v>
      </c>
      <c r="L475" t="s">
        <v>528</v>
      </c>
      <c r="M475" t="s">
        <v>256</v>
      </c>
      <c r="N475" t="s">
        <v>9</v>
      </c>
      <c r="O475" t="s">
        <v>36</v>
      </c>
      <c r="P475">
        <f t="shared" si="29"/>
        <v>0.40582076005295342</v>
      </c>
      <c r="Q475" t="str">
        <f t="shared" si="28"/>
        <v/>
      </c>
      <c r="R475" s="67" cm="1">
        <f t="array" ref="R475">SUMPRODUCT((J475=$J$7:$J$1000)*(P475&lt;$P$7:$P$1000))+1</f>
        <v>71</v>
      </c>
      <c r="S475" s="72"/>
    </row>
    <row r="476" spans="10:19" x14ac:dyDescent="0.35">
      <c r="J476">
        <v>15</v>
      </c>
      <c r="K476" t="s">
        <v>14</v>
      </c>
      <c r="L476" t="s">
        <v>143</v>
      </c>
      <c r="M476" t="s">
        <v>256</v>
      </c>
      <c r="N476" t="s">
        <v>3</v>
      </c>
      <c r="O476" t="s">
        <v>2</v>
      </c>
      <c r="P476">
        <f t="shared" si="29"/>
        <v>3.4951701558944479</v>
      </c>
      <c r="Q476" t="str">
        <f t="shared" si="28"/>
        <v/>
      </c>
      <c r="R476" s="67" cm="1">
        <f t="array" ref="R476">SUMPRODUCT((J476=$J$7:$J$1000)*(P476&lt;$P$7:$P$1000))+1</f>
        <v>37</v>
      </c>
      <c r="S476" s="72"/>
    </row>
    <row r="477" spans="10:19" x14ac:dyDescent="0.35">
      <c r="J477" s="66">
        <v>15</v>
      </c>
      <c r="K477" t="s">
        <v>14</v>
      </c>
      <c r="L477" t="s">
        <v>664</v>
      </c>
      <c r="M477" t="s">
        <v>256</v>
      </c>
      <c r="N477" t="s">
        <v>3</v>
      </c>
      <c r="O477" t="s">
        <v>2</v>
      </c>
      <c r="P477">
        <f t="shared" si="29"/>
        <v>1.9622541119798289</v>
      </c>
      <c r="Q477" t="str">
        <f t="shared" si="28"/>
        <v/>
      </c>
      <c r="R477" s="67" cm="1">
        <f t="array" ref="R477">SUMPRODUCT((J477=$J$7:$J$1000)*(P477&lt;$P$7:$P$1000))+1</f>
        <v>57</v>
      </c>
      <c r="S477" s="72"/>
    </row>
    <row r="478" spans="10:19" x14ac:dyDescent="0.35">
      <c r="J478" s="66">
        <v>15</v>
      </c>
      <c r="K478" t="s">
        <v>14</v>
      </c>
      <c r="L478" t="s">
        <v>248</v>
      </c>
      <c r="M478" t="s">
        <v>256</v>
      </c>
      <c r="N478" t="s">
        <v>3</v>
      </c>
      <c r="O478" t="s">
        <v>2</v>
      </c>
      <c r="P478">
        <f t="shared" si="29"/>
        <v>5.6299860489754021</v>
      </c>
      <c r="Q478" t="str">
        <f t="shared" si="28"/>
        <v/>
      </c>
      <c r="R478" s="67" cm="1">
        <f t="array" ref="R478">SUMPRODUCT((J478=$J$7:$J$1000)*(P478&lt;$P$7:$P$1000))+1</f>
        <v>17</v>
      </c>
      <c r="S478" s="72"/>
    </row>
    <row r="479" spans="10:19" x14ac:dyDescent="0.35">
      <c r="J479" s="66">
        <v>15</v>
      </c>
      <c r="K479" t="s">
        <v>14</v>
      </c>
      <c r="L479" t="s">
        <v>553</v>
      </c>
      <c r="M479" t="s">
        <v>256</v>
      </c>
      <c r="N479" t="s">
        <v>3</v>
      </c>
      <c r="O479" t="s">
        <v>2</v>
      </c>
      <c r="P479">
        <f t="shared" si="29"/>
        <v>2.046307468358739</v>
      </c>
      <c r="Q479" t="str">
        <f t="shared" si="28"/>
        <v/>
      </c>
      <c r="R479" s="67" cm="1">
        <f t="array" ref="R479">SUMPRODUCT((J479=$J$7:$J$1000)*(P479&lt;$P$7:$P$1000))+1</f>
        <v>56</v>
      </c>
      <c r="S479" s="72"/>
    </row>
    <row r="480" spans="10:19" x14ac:dyDescent="0.35">
      <c r="J480">
        <v>15</v>
      </c>
      <c r="K480" t="s">
        <v>14</v>
      </c>
      <c r="L480" t="s">
        <v>413</v>
      </c>
      <c r="M480" t="s">
        <v>256</v>
      </c>
      <c r="N480" t="s">
        <v>3</v>
      </c>
      <c r="O480" t="s">
        <v>2</v>
      </c>
      <c r="P480">
        <f t="shared" si="29"/>
        <v>5.8864178042891373</v>
      </c>
      <c r="Q480" t="str">
        <f t="shared" si="28"/>
        <v/>
      </c>
      <c r="R480" s="67" cm="1">
        <f t="array" ref="R480">SUMPRODUCT((J480=$J$7:$J$1000)*(P480&lt;$P$7:$P$1000))+1</f>
        <v>15</v>
      </c>
      <c r="S480" s="72"/>
    </row>
    <row r="481" spans="10:19" x14ac:dyDescent="0.35">
      <c r="J481" s="66">
        <v>15</v>
      </c>
      <c r="K481" t="s">
        <v>14</v>
      </c>
      <c r="L481" t="s">
        <v>164</v>
      </c>
      <c r="M481" t="s">
        <v>256</v>
      </c>
      <c r="N481" t="s">
        <v>3</v>
      </c>
      <c r="O481" t="s">
        <v>2</v>
      </c>
      <c r="P481">
        <f t="shared" si="29"/>
        <v>3.6886181416250103</v>
      </c>
      <c r="Q481" t="str">
        <f t="shared" si="28"/>
        <v/>
      </c>
      <c r="R481" s="67" cm="1">
        <f t="array" ref="R481">SUMPRODUCT((J481=$J$7:$J$1000)*(P481&lt;$P$7:$P$1000))+1</f>
        <v>35</v>
      </c>
      <c r="S481" s="72"/>
    </row>
    <row r="482" spans="10:19" x14ac:dyDescent="0.35">
      <c r="J482" s="66">
        <v>15</v>
      </c>
      <c r="K482" t="s">
        <v>14</v>
      </c>
      <c r="L482" t="s">
        <v>181</v>
      </c>
      <c r="M482" t="s">
        <v>256</v>
      </c>
      <c r="N482" t="s">
        <v>3</v>
      </c>
      <c r="O482" t="s">
        <v>2</v>
      </c>
      <c r="P482">
        <f t="shared" si="29"/>
        <v>5.1046367708337614</v>
      </c>
      <c r="Q482" t="str">
        <f t="shared" si="28"/>
        <v/>
      </c>
      <c r="R482" s="67" cm="1">
        <f t="array" ref="R482">SUMPRODUCT((J482=$J$7:$J$1000)*(P482&lt;$P$7:$P$1000))+1</f>
        <v>24</v>
      </c>
      <c r="S482" s="72"/>
    </row>
    <row r="483" spans="10:19" x14ac:dyDescent="0.35">
      <c r="J483" s="66">
        <v>15</v>
      </c>
      <c r="K483" t="s">
        <v>14</v>
      </c>
      <c r="L483" t="s">
        <v>604</v>
      </c>
      <c r="M483" t="s">
        <v>256</v>
      </c>
      <c r="N483" t="s">
        <v>3</v>
      </c>
      <c r="O483" t="s">
        <v>2</v>
      </c>
      <c r="P483">
        <f t="shared" si="29"/>
        <v>3.0345798093810665</v>
      </c>
      <c r="Q483" t="str">
        <f t="shared" si="28"/>
        <v/>
      </c>
      <c r="R483" s="67" cm="1">
        <f t="array" ref="R483">SUMPRODUCT((J483=$J$7:$J$1000)*(P483&lt;$P$7:$P$1000))+1</f>
        <v>46</v>
      </c>
      <c r="S483" s="72"/>
    </row>
    <row r="484" spans="10:19" x14ac:dyDescent="0.35">
      <c r="J484" s="66">
        <v>15</v>
      </c>
      <c r="K484" t="s">
        <v>2</v>
      </c>
      <c r="L484" t="s">
        <v>185</v>
      </c>
      <c r="M484" t="s">
        <v>256</v>
      </c>
      <c r="N484" t="s">
        <v>9</v>
      </c>
      <c r="O484" t="s">
        <v>14</v>
      </c>
      <c r="P484">
        <f t="shared" si="29"/>
        <v>4.1496579880699027</v>
      </c>
      <c r="Q484" t="str">
        <f t="shared" si="28"/>
        <v/>
      </c>
      <c r="R484" s="67" cm="1">
        <f t="array" ref="R484">SUMPRODUCT((J484=$J$7:$J$1000)*(P484&lt;$P$7:$P$1000))+1</f>
        <v>33</v>
      </c>
      <c r="S484" s="72"/>
    </row>
    <row r="485" spans="10:19" x14ac:dyDescent="0.35">
      <c r="J485" s="66">
        <v>15</v>
      </c>
      <c r="K485" t="s">
        <v>2</v>
      </c>
      <c r="L485" t="s">
        <v>156</v>
      </c>
      <c r="M485" t="s">
        <v>256</v>
      </c>
      <c r="N485" t="s">
        <v>9</v>
      </c>
      <c r="O485" t="s">
        <v>14</v>
      </c>
      <c r="P485">
        <f t="shared" si="29"/>
        <v>8.2962021264105879</v>
      </c>
      <c r="Q485" t="str">
        <f t="shared" si="28"/>
        <v/>
      </c>
      <c r="R485" s="67" cm="1">
        <f t="array" ref="R485">SUMPRODUCT((J485=$J$7:$J$1000)*(P485&lt;$P$7:$P$1000))+1</f>
        <v>4</v>
      </c>
      <c r="S485" s="72"/>
    </row>
    <row r="486" spans="10:19" x14ac:dyDescent="0.35">
      <c r="J486" s="66">
        <v>15</v>
      </c>
      <c r="K486" t="s">
        <v>2</v>
      </c>
      <c r="L486" t="s">
        <v>159</v>
      </c>
      <c r="M486" t="s">
        <v>256</v>
      </c>
      <c r="N486" t="s">
        <v>9</v>
      </c>
      <c r="O486" t="s">
        <v>14</v>
      </c>
      <c r="P486">
        <f t="shared" si="29"/>
        <v>2.8620198996333626</v>
      </c>
      <c r="Q486" t="str">
        <f t="shared" si="28"/>
        <v/>
      </c>
      <c r="R486" s="67" cm="1">
        <f t="array" ref="R486">SUMPRODUCT((J486=$J$7:$J$1000)*(P486&lt;$P$7:$P$1000))+1</f>
        <v>49</v>
      </c>
      <c r="S486" s="72"/>
    </row>
    <row r="487" spans="10:19" x14ac:dyDescent="0.35">
      <c r="J487" s="66">
        <v>15</v>
      </c>
      <c r="K487" t="s">
        <v>2</v>
      </c>
      <c r="L487" t="s">
        <v>162</v>
      </c>
      <c r="M487" t="s">
        <v>256</v>
      </c>
      <c r="N487" t="s">
        <v>9</v>
      </c>
      <c r="O487" t="s">
        <v>14</v>
      </c>
      <c r="P487">
        <f t="shared" si="29"/>
        <v>5.9676240275945069</v>
      </c>
      <c r="Q487" t="str">
        <f t="shared" ref="Q487:Q550" si="30">IFERROR(($M487-$P487)^2,"")</f>
        <v/>
      </c>
      <c r="R487" s="67" cm="1">
        <f t="array" ref="R487">SUMPRODUCT((J487=$J$7:$J$1000)*(P487&lt;$P$7:$P$1000))+1</f>
        <v>14</v>
      </c>
      <c r="S487" s="72"/>
    </row>
    <row r="488" spans="10:19" x14ac:dyDescent="0.35">
      <c r="J488">
        <v>15</v>
      </c>
      <c r="K488" t="s">
        <v>2</v>
      </c>
      <c r="L488" t="s">
        <v>504</v>
      </c>
      <c r="M488" t="s">
        <v>256</v>
      </c>
      <c r="N488" t="s">
        <v>9</v>
      </c>
      <c r="O488" t="s">
        <v>14</v>
      </c>
      <c r="P488">
        <f t="shared" si="29"/>
        <v>4.6015752279526136</v>
      </c>
      <c r="Q488" t="str">
        <f t="shared" si="30"/>
        <v/>
      </c>
      <c r="R488" s="67" cm="1">
        <f t="array" ref="R488">SUMPRODUCT((J488=$J$7:$J$1000)*(P488&lt;$P$7:$P$1000))+1</f>
        <v>30</v>
      </c>
      <c r="S488" s="72"/>
    </row>
    <row r="489" spans="10:19" x14ac:dyDescent="0.35">
      <c r="J489">
        <v>15</v>
      </c>
      <c r="K489" t="s">
        <v>2</v>
      </c>
      <c r="L489" t="s">
        <v>174</v>
      </c>
      <c r="M489" t="s">
        <v>256</v>
      </c>
      <c r="N489" t="s">
        <v>9</v>
      </c>
      <c r="O489" t="s">
        <v>14</v>
      </c>
      <c r="P489">
        <f t="shared" si="29"/>
        <v>2.9183692359734064</v>
      </c>
      <c r="Q489" t="str">
        <f t="shared" si="30"/>
        <v/>
      </c>
      <c r="R489" s="67" cm="1">
        <f t="array" ref="R489">SUMPRODUCT((J489=$J$7:$J$1000)*(P489&lt;$P$7:$P$1000))+1</f>
        <v>48</v>
      </c>
      <c r="S489" s="72"/>
    </row>
    <row r="490" spans="10:19" x14ac:dyDescent="0.35">
      <c r="J490" s="66">
        <v>15</v>
      </c>
      <c r="K490" t="s">
        <v>2</v>
      </c>
      <c r="L490" t="s">
        <v>527</v>
      </c>
      <c r="M490" t="s">
        <v>256</v>
      </c>
      <c r="N490" t="s">
        <v>9</v>
      </c>
      <c r="O490" t="s">
        <v>14</v>
      </c>
      <c r="P490">
        <f t="shared" si="29"/>
        <v>6.4751661050137344</v>
      </c>
      <c r="Q490" t="str">
        <f t="shared" si="30"/>
        <v/>
      </c>
      <c r="R490" s="67" cm="1">
        <f t="array" ref="R490">SUMPRODUCT((J490=$J$7:$J$1000)*(P490&lt;$P$7:$P$1000))+1</f>
        <v>12</v>
      </c>
      <c r="S490" s="72"/>
    </row>
    <row r="491" spans="10:19" x14ac:dyDescent="0.35">
      <c r="J491" s="66">
        <v>15</v>
      </c>
      <c r="K491" t="s">
        <v>36</v>
      </c>
      <c r="L491" t="s">
        <v>157</v>
      </c>
      <c r="M491" t="s">
        <v>256</v>
      </c>
      <c r="N491" t="s">
        <v>9</v>
      </c>
      <c r="O491" t="s">
        <v>17</v>
      </c>
      <c r="P491">
        <f t="shared" si="29"/>
        <v>3.4352051532409833</v>
      </c>
      <c r="Q491" t="str">
        <f t="shared" si="30"/>
        <v/>
      </c>
      <c r="R491" s="67" cm="1">
        <f t="array" ref="R491">SUMPRODUCT((J491=$J$7:$J$1000)*(P491&lt;$P$7:$P$1000))+1</f>
        <v>39</v>
      </c>
      <c r="S491" s="72"/>
    </row>
    <row r="492" spans="10:19" x14ac:dyDescent="0.35">
      <c r="J492" s="66">
        <v>15</v>
      </c>
      <c r="K492" t="s">
        <v>36</v>
      </c>
      <c r="L492" t="s">
        <v>591</v>
      </c>
      <c r="M492" t="s">
        <v>256</v>
      </c>
      <c r="N492" t="s">
        <v>9</v>
      </c>
      <c r="O492" t="s">
        <v>17</v>
      </c>
      <c r="P492">
        <f t="shared" si="29"/>
        <v>1.2839945285716767</v>
      </c>
      <c r="Q492" t="str">
        <f t="shared" si="30"/>
        <v/>
      </c>
      <c r="R492" s="67" cm="1">
        <f t="array" ref="R492">SUMPRODUCT((J492=$J$7:$J$1000)*(P492&lt;$P$7:$P$1000))+1</f>
        <v>65</v>
      </c>
      <c r="S492" s="72"/>
    </row>
    <row r="493" spans="10:19" x14ac:dyDescent="0.35">
      <c r="J493" s="66">
        <v>15</v>
      </c>
      <c r="K493" t="s">
        <v>36</v>
      </c>
      <c r="L493" t="s">
        <v>466</v>
      </c>
      <c r="M493" t="s">
        <v>256</v>
      </c>
      <c r="N493" t="s">
        <v>9</v>
      </c>
      <c r="O493" t="s">
        <v>17</v>
      </c>
      <c r="P493">
        <f t="shared" si="29"/>
        <v>8.1411551857842124</v>
      </c>
      <c r="Q493" t="str">
        <f t="shared" si="30"/>
        <v/>
      </c>
      <c r="R493" s="67" cm="1">
        <f t="array" ref="R493">SUMPRODUCT((J493=$J$7:$J$1000)*(P493&lt;$P$7:$P$1000))+1</f>
        <v>5</v>
      </c>
      <c r="S493" s="72"/>
    </row>
    <row r="494" spans="10:19" x14ac:dyDescent="0.35">
      <c r="J494" s="66">
        <v>15</v>
      </c>
      <c r="K494" t="s">
        <v>36</v>
      </c>
      <c r="L494" t="s">
        <v>415</v>
      </c>
      <c r="M494" t="s">
        <v>256</v>
      </c>
      <c r="N494" t="s">
        <v>9</v>
      </c>
      <c r="O494" t="s">
        <v>17</v>
      </c>
      <c r="P494">
        <f t="shared" si="29"/>
        <v>2.5522900517477858</v>
      </c>
      <c r="Q494" t="str">
        <f t="shared" si="30"/>
        <v/>
      </c>
      <c r="R494" s="67" cm="1">
        <f t="array" ref="R494">SUMPRODUCT((J494=$J$7:$J$1000)*(P494&lt;$P$7:$P$1000))+1</f>
        <v>50</v>
      </c>
      <c r="S494" s="72"/>
    </row>
    <row r="495" spans="10:19" x14ac:dyDescent="0.35">
      <c r="J495" s="66">
        <v>15</v>
      </c>
      <c r="K495" t="s">
        <v>36</v>
      </c>
      <c r="L495" t="s">
        <v>283</v>
      </c>
      <c r="M495" t="s">
        <v>256</v>
      </c>
      <c r="N495" t="s">
        <v>9</v>
      </c>
      <c r="O495" t="s">
        <v>17</v>
      </c>
      <c r="P495">
        <f t="shared" si="29"/>
        <v>5.0605193137049049</v>
      </c>
      <c r="Q495" t="str">
        <f t="shared" si="30"/>
        <v/>
      </c>
      <c r="R495" s="67" cm="1">
        <f t="array" ref="R495">SUMPRODUCT((J495=$J$7:$J$1000)*(P495&lt;$P$7:$P$1000))+1</f>
        <v>25</v>
      </c>
      <c r="S495" s="72"/>
    </row>
    <row r="496" spans="10:19" x14ac:dyDescent="0.35">
      <c r="J496" s="66">
        <v>15</v>
      </c>
      <c r="K496" t="s">
        <v>36</v>
      </c>
      <c r="L496" t="s">
        <v>414</v>
      </c>
      <c r="M496" t="s">
        <v>256</v>
      </c>
      <c r="N496" t="s">
        <v>9</v>
      </c>
      <c r="O496" t="s">
        <v>17</v>
      </c>
      <c r="P496">
        <f t="shared" si="29"/>
        <v>1.6316644996779026</v>
      </c>
      <c r="Q496" t="str">
        <f t="shared" si="30"/>
        <v/>
      </c>
      <c r="R496" s="67" cm="1">
        <f t="array" ref="R496">SUMPRODUCT((J496=$J$7:$J$1000)*(P496&lt;$P$7:$P$1000))+1</f>
        <v>60</v>
      </c>
      <c r="S496" s="72"/>
    </row>
    <row r="497" spans="10:19" x14ac:dyDescent="0.35">
      <c r="J497" s="66">
        <v>15</v>
      </c>
      <c r="K497" t="s">
        <v>6</v>
      </c>
      <c r="L497" t="s">
        <v>416</v>
      </c>
      <c r="M497" t="s">
        <v>256</v>
      </c>
      <c r="N497" t="s">
        <v>3</v>
      </c>
      <c r="O497" t="s">
        <v>24</v>
      </c>
      <c r="P497">
        <f t="shared" si="29"/>
        <v>3.2926965977233986</v>
      </c>
      <c r="Q497" t="str">
        <f t="shared" si="30"/>
        <v/>
      </c>
      <c r="R497" s="67" cm="1">
        <f t="array" ref="R497">SUMPRODUCT((J497=$J$7:$J$1000)*(P497&lt;$P$7:$P$1000))+1</f>
        <v>41</v>
      </c>
      <c r="S497" s="72"/>
    </row>
    <row r="498" spans="10:19" x14ac:dyDescent="0.35">
      <c r="J498" s="66">
        <v>15</v>
      </c>
      <c r="K498" t="s">
        <v>6</v>
      </c>
      <c r="L498" t="s">
        <v>543</v>
      </c>
      <c r="M498" t="s">
        <v>256</v>
      </c>
      <c r="N498" t="s">
        <v>3</v>
      </c>
      <c r="O498" t="s">
        <v>24</v>
      </c>
      <c r="P498">
        <f t="shared" si="29"/>
        <v>10.864782159279649</v>
      </c>
      <c r="Q498" t="str">
        <f t="shared" si="30"/>
        <v/>
      </c>
      <c r="R498" s="67" cm="1">
        <f t="array" ref="R498">SUMPRODUCT((J498=$J$7:$J$1000)*(P498&lt;$P$7:$P$1000))+1</f>
        <v>1</v>
      </c>
      <c r="S498" s="72"/>
    </row>
    <row r="499" spans="10:19" x14ac:dyDescent="0.35">
      <c r="J499" s="66">
        <v>15</v>
      </c>
      <c r="K499" t="s">
        <v>6</v>
      </c>
      <c r="L499" t="s">
        <v>417</v>
      </c>
      <c r="M499" t="s">
        <v>256</v>
      </c>
      <c r="N499" t="s">
        <v>3</v>
      </c>
      <c r="O499" t="s">
        <v>24</v>
      </c>
      <c r="P499">
        <f t="shared" si="29"/>
        <v>4.5148037616787073</v>
      </c>
      <c r="Q499" t="str">
        <f t="shared" si="30"/>
        <v/>
      </c>
      <c r="R499" s="67" cm="1">
        <f t="array" ref="R499">SUMPRODUCT((J499=$J$7:$J$1000)*(P499&lt;$P$7:$P$1000))+1</f>
        <v>32</v>
      </c>
      <c r="S499" s="72"/>
    </row>
    <row r="500" spans="10:19" x14ac:dyDescent="0.35">
      <c r="J500" s="66">
        <v>15</v>
      </c>
      <c r="K500" t="s">
        <v>6</v>
      </c>
      <c r="L500" t="s">
        <v>418</v>
      </c>
      <c r="M500" t="s">
        <v>256</v>
      </c>
      <c r="N500" t="s">
        <v>3</v>
      </c>
      <c r="O500" t="s">
        <v>24</v>
      </c>
      <c r="P500">
        <f t="shared" si="29"/>
        <v>0.12243848255872147</v>
      </c>
      <c r="Q500" t="str">
        <f t="shared" si="30"/>
        <v/>
      </c>
      <c r="R500" s="67" cm="1">
        <f t="array" ref="R500">SUMPRODUCT((J500=$J$7:$J$1000)*(P500&lt;$P$7:$P$1000))+1</f>
        <v>72</v>
      </c>
      <c r="S500" s="72"/>
    </row>
    <row r="501" spans="10:19" x14ac:dyDescent="0.35">
      <c r="J501" s="66">
        <v>15</v>
      </c>
      <c r="K501" t="s">
        <v>6</v>
      </c>
      <c r="L501" t="s">
        <v>152</v>
      </c>
      <c r="M501" t="s">
        <v>256</v>
      </c>
      <c r="N501" t="s">
        <v>3</v>
      </c>
      <c r="O501" t="s">
        <v>24</v>
      </c>
      <c r="P501">
        <f t="shared" si="29"/>
        <v>-1.1409229328380592</v>
      </c>
      <c r="Q501" t="str">
        <f t="shared" si="30"/>
        <v/>
      </c>
      <c r="R501" s="67" cm="1">
        <f t="array" ref="R501">SUMPRODUCT((J501=$J$7:$J$1000)*(P501&lt;$P$7:$P$1000))+1</f>
        <v>76</v>
      </c>
      <c r="S501" s="72"/>
    </row>
    <row r="502" spans="10:19" x14ac:dyDescent="0.35">
      <c r="J502">
        <v>15</v>
      </c>
      <c r="K502" t="s">
        <v>6</v>
      </c>
      <c r="L502" t="s">
        <v>555</v>
      </c>
      <c r="M502" t="s">
        <v>256</v>
      </c>
      <c r="N502" t="s">
        <v>3</v>
      </c>
      <c r="O502" t="s">
        <v>24</v>
      </c>
      <c r="P502">
        <f t="shared" si="29"/>
        <v>6.9628439555986255</v>
      </c>
      <c r="Q502" t="str">
        <f t="shared" si="30"/>
        <v/>
      </c>
      <c r="R502" s="67" cm="1">
        <f t="array" ref="R502">SUMPRODUCT((J502=$J$7:$J$1000)*(P502&lt;$P$7:$P$1000))+1</f>
        <v>9</v>
      </c>
      <c r="S502" s="72"/>
    </row>
    <row r="503" spans="10:19" x14ac:dyDescent="0.35">
      <c r="J503" s="66">
        <v>15</v>
      </c>
      <c r="K503" t="s">
        <v>6</v>
      </c>
      <c r="L503" t="s">
        <v>160</v>
      </c>
      <c r="M503" t="s">
        <v>256</v>
      </c>
      <c r="N503" t="s">
        <v>3</v>
      </c>
      <c r="O503" t="s">
        <v>24</v>
      </c>
      <c r="P503">
        <f t="shared" si="29"/>
        <v>2.2061846729969559</v>
      </c>
      <c r="Q503" t="str">
        <f t="shared" si="30"/>
        <v/>
      </c>
      <c r="R503" s="67" cm="1">
        <f t="array" ref="R503">SUMPRODUCT((J503=$J$7:$J$1000)*(P503&lt;$P$7:$P$1000))+1</f>
        <v>53</v>
      </c>
      <c r="S503" s="72"/>
    </row>
    <row r="504" spans="10:19" x14ac:dyDescent="0.35">
      <c r="J504" s="66">
        <v>15</v>
      </c>
      <c r="K504" t="s">
        <v>6</v>
      </c>
      <c r="L504" t="s">
        <v>669</v>
      </c>
      <c r="M504" t="s">
        <v>256</v>
      </c>
      <c r="N504" t="s">
        <v>3</v>
      </c>
      <c r="O504" t="s">
        <v>24</v>
      </c>
      <c r="P504">
        <f t="shared" si="29"/>
        <v>7.465946326620279</v>
      </c>
      <c r="Q504" t="str">
        <f t="shared" si="30"/>
        <v/>
      </c>
      <c r="R504" s="67" cm="1">
        <f t="array" ref="R504">SUMPRODUCT((J504=$J$7:$J$1000)*(P504&lt;$P$7:$P$1000))+1</f>
        <v>8</v>
      </c>
      <c r="S504" s="72"/>
    </row>
    <row r="505" spans="10:19" x14ac:dyDescent="0.35">
      <c r="J505" s="66">
        <v>15</v>
      </c>
      <c r="K505" t="s">
        <v>6</v>
      </c>
      <c r="L505" t="s">
        <v>503</v>
      </c>
      <c r="M505" t="s">
        <v>256</v>
      </c>
      <c r="N505" t="s">
        <v>3</v>
      </c>
      <c r="O505" t="s">
        <v>24</v>
      </c>
      <c r="P505">
        <f t="shared" si="29"/>
        <v>2.0799089294762432</v>
      </c>
      <c r="Q505" t="str">
        <f t="shared" si="30"/>
        <v/>
      </c>
      <c r="R505" s="67" cm="1">
        <f t="array" ref="R505">SUMPRODUCT((J505=$J$7:$J$1000)*(P505&lt;$P$7:$P$1000))+1</f>
        <v>55</v>
      </c>
      <c r="S505" s="72"/>
    </row>
    <row r="506" spans="10:19" x14ac:dyDescent="0.35">
      <c r="J506" s="66">
        <v>15</v>
      </c>
      <c r="K506" t="s">
        <v>6</v>
      </c>
      <c r="L506" t="s">
        <v>501</v>
      </c>
      <c r="M506" t="s">
        <v>256</v>
      </c>
      <c r="N506" t="s">
        <v>3</v>
      </c>
      <c r="O506" t="s">
        <v>24</v>
      </c>
      <c r="P506">
        <f t="shared" si="29"/>
        <v>4.7290320210031851</v>
      </c>
      <c r="Q506" t="str">
        <f t="shared" si="30"/>
        <v/>
      </c>
      <c r="R506" s="67" cm="1">
        <f t="array" ref="R506">SUMPRODUCT((J506=$J$7:$J$1000)*(P506&lt;$P$7:$P$1000))+1</f>
        <v>29</v>
      </c>
      <c r="S506" s="72"/>
    </row>
    <row r="507" spans="10:19" x14ac:dyDescent="0.35">
      <c r="J507" s="66">
        <v>15</v>
      </c>
      <c r="K507" t="s">
        <v>24</v>
      </c>
      <c r="L507" t="s">
        <v>142</v>
      </c>
      <c r="M507" t="s">
        <v>256</v>
      </c>
      <c r="N507" t="s">
        <v>9</v>
      </c>
      <c r="O507" t="s">
        <v>6</v>
      </c>
      <c r="P507">
        <f t="shared" si="29"/>
        <v>5.3819228406197128E-2</v>
      </c>
      <c r="Q507" t="str">
        <f t="shared" si="30"/>
        <v/>
      </c>
      <c r="R507" s="67" cm="1">
        <f t="array" ref="R507">SUMPRODUCT((J507=$J$7:$J$1000)*(P507&lt;$P$7:$P$1000))+1</f>
        <v>73</v>
      </c>
      <c r="S507" s="72"/>
    </row>
    <row r="508" spans="10:19" x14ac:dyDescent="0.35">
      <c r="J508" s="66">
        <v>15</v>
      </c>
      <c r="K508" t="s">
        <v>24</v>
      </c>
      <c r="L508" t="s">
        <v>465</v>
      </c>
      <c r="M508" t="s">
        <v>256</v>
      </c>
      <c r="N508" t="s">
        <v>9</v>
      </c>
      <c r="O508" t="s">
        <v>6</v>
      </c>
      <c r="P508">
        <f t="shared" si="29"/>
        <v>6.9194208094952572</v>
      </c>
      <c r="Q508" t="str">
        <f t="shared" si="30"/>
        <v/>
      </c>
      <c r="R508" s="67" cm="1">
        <f t="array" ref="R508">SUMPRODUCT((J508=$J$7:$J$1000)*(P508&lt;$P$7:$P$1000))+1</f>
        <v>10</v>
      </c>
      <c r="S508" s="72"/>
    </row>
    <row r="509" spans="10:19" x14ac:dyDescent="0.35">
      <c r="J509">
        <v>15</v>
      </c>
      <c r="K509" t="s">
        <v>24</v>
      </c>
      <c r="L509" t="s">
        <v>166</v>
      </c>
      <c r="M509" t="s">
        <v>256</v>
      </c>
      <c r="N509" t="s">
        <v>9</v>
      </c>
      <c r="O509" t="s">
        <v>6</v>
      </c>
      <c r="P509">
        <f t="shared" si="29"/>
        <v>4.5872232349438367</v>
      </c>
      <c r="Q509" t="str">
        <f t="shared" si="30"/>
        <v/>
      </c>
      <c r="R509" s="67" cm="1">
        <f t="array" ref="R509">SUMPRODUCT((J509=$J$7:$J$1000)*(P509&lt;$P$7:$P$1000))+1</f>
        <v>31</v>
      </c>
      <c r="S509" s="72"/>
    </row>
    <row r="510" spans="10:19" x14ac:dyDescent="0.35">
      <c r="J510" s="66">
        <v>15</v>
      </c>
      <c r="K510" t="s">
        <v>24</v>
      </c>
      <c r="L510" t="s">
        <v>168</v>
      </c>
      <c r="M510" t="s">
        <v>256</v>
      </c>
      <c r="N510" t="s">
        <v>9</v>
      </c>
      <c r="O510" t="s">
        <v>6</v>
      </c>
      <c r="P510">
        <f t="shared" si="29"/>
        <v>5.5207023401642807</v>
      </c>
      <c r="Q510" t="str">
        <f t="shared" si="30"/>
        <v/>
      </c>
      <c r="R510" s="67" cm="1">
        <f t="array" ref="R510">SUMPRODUCT((J510=$J$7:$J$1000)*(P510&lt;$P$7:$P$1000))+1</f>
        <v>20</v>
      </c>
      <c r="S510" s="72"/>
    </row>
    <row r="511" spans="10:19" x14ac:dyDescent="0.35">
      <c r="J511" s="66">
        <v>15</v>
      </c>
      <c r="K511" t="s">
        <v>24</v>
      </c>
      <c r="L511" t="s">
        <v>411</v>
      </c>
      <c r="M511" t="s">
        <v>256</v>
      </c>
      <c r="N511" t="s">
        <v>9</v>
      </c>
      <c r="O511" t="s">
        <v>6</v>
      </c>
      <c r="P511">
        <f t="shared" si="29"/>
        <v>3.1630903187157364</v>
      </c>
      <c r="Q511" t="str">
        <f t="shared" si="30"/>
        <v/>
      </c>
      <c r="R511" s="67" cm="1">
        <f t="array" ref="R511">SUMPRODUCT((J511=$J$7:$J$1000)*(P511&lt;$P$7:$P$1000))+1</f>
        <v>43</v>
      </c>
      <c r="S511" s="72"/>
    </row>
    <row r="512" spans="10:19" x14ac:dyDescent="0.35">
      <c r="J512" s="66">
        <v>15</v>
      </c>
      <c r="K512" t="s">
        <v>24</v>
      </c>
      <c r="L512" t="s">
        <v>640</v>
      </c>
      <c r="M512" t="s">
        <v>256</v>
      </c>
      <c r="N512" t="s">
        <v>9</v>
      </c>
      <c r="O512" t="s">
        <v>6</v>
      </c>
      <c r="P512">
        <f t="shared" si="29"/>
        <v>1.6614571523386417</v>
      </c>
      <c r="Q512" t="str">
        <f t="shared" si="30"/>
        <v/>
      </c>
      <c r="R512" s="67" cm="1">
        <f t="array" ref="R512">SUMPRODUCT((J512=$J$7:$J$1000)*(P512&lt;$P$7:$P$1000))+1</f>
        <v>59</v>
      </c>
      <c r="S512" s="72"/>
    </row>
    <row r="513" spans="10:19" x14ac:dyDescent="0.35">
      <c r="J513" s="66">
        <v>15</v>
      </c>
      <c r="K513" t="s">
        <v>24</v>
      </c>
      <c r="L513" t="s">
        <v>179</v>
      </c>
      <c r="M513" t="s">
        <v>256</v>
      </c>
      <c r="N513" t="s">
        <v>9</v>
      </c>
      <c r="O513" t="s">
        <v>6</v>
      </c>
      <c r="P513">
        <f t="shared" si="29"/>
        <v>3.5571751267799807</v>
      </c>
      <c r="Q513" t="str">
        <f t="shared" si="30"/>
        <v/>
      </c>
      <c r="R513" s="67" cm="1">
        <f t="array" ref="R513">SUMPRODUCT((J513=$J$7:$J$1000)*(P513&lt;$P$7:$P$1000))+1</f>
        <v>36</v>
      </c>
      <c r="S513" s="72"/>
    </row>
    <row r="514" spans="10:19" x14ac:dyDescent="0.35">
      <c r="J514" s="66">
        <v>15</v>
      </c>
      <c r="K514" t="s">
        <v>24</v>
      </c>
      <c r="L514" t="s">
        <v>482</v>
      </c>
      <c r="M514" t="s">
        <v>256</v>
      </c>
      <c r="N514" t="s">
        <v>9</v>
      </c>
      <c r="O514" t="s">
        <v>6</v>
      </c>
      <c r="P514">
        <f t="shared" si="29"/>
        <v>0.93961414687868394</v>
      </c>
      <c r="Q514" t="str">
        <f t="shared" si="30"/>
        <v/>
      </c>
      <c r="R514" s="67" cm="1">
        <f t="array" ref="R514">SUMPRODUCT((J514=$J$7:$J$1000)*(P514&lt;$P$7:$P$1000))+1</f>
        <v>68</v>
      </c>
      <c r="S514" s="72"/>
    </row>
    <row r="515" spans="10:19" x14ac:dyDescent="0.35">
      <c r="J515">
        <v>15</v>
      </c>
      <c r="K515" t="s">
        <v>23</v>
      </c>
      <c r="L515" t="s">
        <v>144</v>
      </c>
      <c r="M515" t="s">
        <v>256</v>
      </c>
      <c r="N515" t="s">
        <v>3</v>
      </c>
      <c r="O515" t="s">
        <v>7</v>
      </c>
      <c r="P515">
        <f t="shared" si="29"/>
        <v>5.6076904721597645</v>
      </c>
      <c r="Q515" t="str">
        <f t="shared" si="30"/>
        <v/>
      </c>
      <c r="R515" s="67" cm="1">
        <f t="array" ref="R515">SUMPRODUCT((J515=$J$7:$J$1000)*(P515&lt;$P$7:$P$1000))+1</f>
        <v>18</v>
      </c>
      <c r="S515" s="72"/>
    </row>
    <row r="516" spans="10:19" x14ac:dyDescent="0.35">
      <c r="J516" s="66">
        <v>15</v>
      </c>
      <c r="K516" t="s">
        <v>23</v>
      </c>
      <c r="L516" t="s">
        <v>150</v>
      </c>
      <c r="M516" t="s">
        <v>256</v>
      </c>
      <c r="N516" t="s">
        <v>3</v>
      </c>
      <c r="O516" t="s">
        <v>7</v>
      </c>
      <c r="P516">
        <f t="shared" si="29"/>
        <v>1.0187052761892621</v>
      </c>
      <c r="Q516" t="str">
        <f t="shared" si="30"/>
        <v/>
      </c>
      <c r="R516" s="67" cm="1">
        <f t="array" ref="R516">SUMPRODUCT((J516=$J$7:$J$1000)*(P516&lt;$P$7:$P$1000))+1</f>
        <v>67</v>
      </c>
      <c r="S516" s="72"/>
    </row>
    <row r="517" spans="10:19" x14ac:dyDescent="0.35">
      <c r="J517" s="66">
        <v>15</v>
      </c>
      <c r="K517" t="s">
        <v>23</v>
      </c>
      <c r="L517" t="s">
        <v>549</v>
      </c>
      <c r="M517" t="s">
        <v>256</v>
      </c>
      <c r="N517" t="s">
        <v>3</v>
      </c>
      <c r="O517" t="s">
        <v>7</v>
      </c>
      <c r="P517">
        <f t="shared" si="29"/>
        <v>6.5647601264935096</v>
      </c>
      <c r="Q517" t="str">
        <f t="shared" si="30"/>
        <v/>
      </c>
      <c r="R517" s="67" cm="1">
        <f t="array" ref="R517">SUMPRODUCT((J517=$J$7:$J$1000)*(P517&lt;$P$7:$P$1000))+1</f>
        <v>11</v>
      </c>
      <c r="S517" s="72"/>
    </row>
    <row r="518" spans="10:19" x14ac:dyDescent="0.35">
      <c r="J518" s="66">
        <v>15</v>
      </c>
      <c r="K518" t="s">
        <v>23</v>
      </c>
      <c r="L518" t="s">
        <v>505</v>
      </c>
      <c r="M518" t="s">
        <v>256</v>
      </c>
      <c r="N518" t="s">
        <v>3</v>
      </c>
      <c r="O518" t="s">
        <v>7</v>
      </c>
      <c r="P518">
        <f t="shared" si="29"/>
        <v>-0.54061545825131818</v>
      </c>
      <c r="Q518" t="str">
        <f t="shared" si="30"/>
        <v/>
      </c>
      <c r="R518" s="67" cm="1">
        <f t="array" ref="R518">SUMPRODUCT((J518=$J$7:$J$1000)*(P518&lt;$P$7:$P$1000))+1</f>
        <v>75</v>
      </c>
      <c r="S518" s="72"/>
    </row>
    <row r="519" spans="10:19" x14ac:dyDescent="0.35">
      <c r="J519">
        <v>15</v>
      </c>
      <c r="K519" t="s">
        <v>23</v>
      </c>
      <c r="L519" t="s">
        <v>412</v>
      </c>
      <c r="M519" t="s">
        <v>256</v>
      </c>
      <c r="N519" t="s">
        <v>3</v>
      </c>
      <c r="O519" t="s">
        <v>7</v>
      </c>
      <c r="P519">
        <f t="shared" si="29"/>
        <v>5.1252942050470809</v>
      </c>
      <c r="Q519" t="str">
        <f t="shared" si="30"/>
        <v/>
      </c>
      <c r="R519" s="67" cm="1">
        <f t="array" ref="R519">SUMPRODUCT((J519=$J$7:$J$1000)*(P519&lt;$P$7:$P$1000))+1</f>
        <v>23</v>
      </c>
      <c r="S519" s="72"/>
    </row>
    <row r="520" spans="10:19" x14ac:dyDescent="0.35">
      <c r="J520">
        <v>15</v>
      </c>
      <c r="K520" t="s">
        <v>23</v>
      </c>
      <c r="L520" t="s">
        <v>169</v>
      </c>
      <c r="M520" t="s">
        <v>256</v>
      </c>
      <c r="N520" t="s">
        <v>3</v>
      </c>
      <c r="O520" t="s">
        <v>7</v>
      </c>
      <c r="P520">
        <f t="shared" ref="P520:P583" si="31">VLOOKUP($N520,$F$3:$G$4,2,FALSE)+VLOOKUP($L520,$B$20:$C$150,2,FALSE)+VLOOKUP($O520,$A$6:$B$16,2,FALSE)</f>
        <v>2.2889149743557171</v>
      </c>
      <c r="Q520" t="str">
        <f t="shared" si="30"/>
        <v/>
      </c>
      <c r="R520" s="67" cm="1">
        <f t="array" ref="R520">SUMPRODUCT((J520=$J$7:$J$1000)*(P520&lt;$P$7:$P$1000))+1</f>
        <v>52</v>
      </c>
      <c r="S520" s="72"/>
    </row>
    <row r="521" spans="10:19" x14ac:dyDescent="0.35">
      <c r="J521" s="66">
        <v>15</v>
      </c>
      <c r="K521" t="s">
        <v>23</v>
      </c>
      <c r="L521" t="s">
        <v>252</v>
      </c>
      <c r="M521" t="s">
        <v>256</v>
      </c>
      <c r="N521" t="s">
        <v>3</v>
      </c>
      <c r="O521" t="s">
        <v>7</v>
      </c>
      <c r="P521">
        <f t="shared" si="31"/>
        <v>1.4310234205363468</v>
      </c>
      <c r="Q521" t="str">
        <f t="shared" si="30"/>
        <v/>
      </c>
      <c r="R521" s="67" cm="1">
        <f t="array" ref="R521">SUMPRODUCT((J521=$J$7:$J$1000)*(P521&lt;$P$7:$P$1000))+1</f>
        <v>63</v>
      </c>
      <c r="S521" s="72"/>
    </row>
    <row r="522" spans="10:19" x14ac:dyDescent="0.35">
      <c r="J522">
        <v>15</v>
      </c>
      <c r="K522" t="s">
        <v>23</v>
      </c>
      <c r="L522" t="s">
        <v>506</v>
      </c>
      <c r="M522" t="s">
        <v>256</v>
      </c>
      <c r="N522" t="s">
        <v>3</v>
      </c>
      <c r="O522" t="s">
        <v>7</v>
      </c>
      <c r="P522">
        <f t="shared" si="31"/>
        <v>1.5164985818013816</v>
      </c>
      <c r="Q522" t="str">
        <f t="shared" si="30"/>
        <v/>
      </c>
      <c r="R522" s="67" cm="1">
        <f t="array" ref="R522">SUMPRODUCT((J522=$J$7:$J$1000)*(P522&lt;$P$7:$P$1000))+1</f>
        <v>62</v>
      </c>
      <c r="S522" s="72"/>
    </row>
    <row r="523" spans="10:19" x14ac:dyDescent="0.35">
      <c r="J523" s="66">
        <v>15</v>
      </c>
      <c r="K523" t="s">
        <v>4</v>
      </c>
      <c r="L523" t="s">
        <v>481</v>
      </c>
      <c r="M523" t="s">
        <v>256</v>
      </c>
      <c r="N523" t="s">
        <v>3</v>
      </c>
      <c r="O523" t="s">
        <v>13</v>
      </c>
      <c r="P523">
        <f t="shared" si="31"/>
        <v>3.7910079207325618</v>
      </c>
      <c r="Q523" t="str">
        <f t="shared" si="30"/>
        <v/>
      </c>
      <c r="R523" s="67" cm="1">
        <f t="array" ref="R523">SUMPRODUCT((J523=$J$7:$J$1000)*(P523&lt;$P$7:$P$1000))+1</f>
        <v>34</v>
      </c>
      <c r="S523" s="72"/>
    </row>
    <row r="524" spans="10:19" x14ac:dyDescent="0.35">
      <c r="J524" s="66">
        <v>15</v>
      </c>
      <c r="K524" t="s">
        <v>4</v>
      </c>
      <c r="L524" t="s">
        <v>542</v>
      </c>
      <c r="M524" t="s">
        <v>256</v>
      </c>
      <c r="N524" t="s">
        <v>3</v>
      </c>
      <c r="O524" t="s">
        <v>13</v>
      </c>
      <c r="P524">
        <f t="shared" si="31"/>
        <v>1.4258594683385524</v>
      </c>
      <c r="Q524" t="str">
        <f t="shared" si="30"/>
        <v/>
      </c>
      <c r="R524" s="67" cm="1">
        <f t="array" ref="R524">SUMPRODUCT((J524=$J$7:$J$1000)*(P524&lt;$P$7:$P$1000))+1</f>
        <v>64</v>
      </c>
      <c r="S524" s="72"/>
    </row>
    <row r="525" spans="10:19" x14ac:dyDescent="0.35">
      <c r="J525">
        <v>15</v>
      </c>
      <c r="K525" t="s">
        <v>4</v>
      </c>
      <c r="L525" t="s">
        <v>523</v>
      </c>
      <c r="M525" t="s">
        <v>256</v>
      </c>
      <c r="N525" t="s">
        <v>3</v>
      </c>
      <c r="O525" t="s">
        <v>13</v>
      </c>
      <c r="P525">
        <f t="shared" si="31"/>
        <v>0.88218932042992337</v>
      </c>
      <c r="Q525" t="str">
        <f t="shared" si="30"/>
        <v/>
      </c>
      <c r="R525" s="67" cm="1">
        <f t="array" ref="R525">SUMPRODUCT((J525=$J$7:$J$1000)*(P525&lt;$P$7:$P$1000))+1</f>
        <v>69</v>
      </c>
      <c r="S525" s="72"/>
    </row>
    <row r="526" spans="10:19" x14ac:dyDescent="0.35">
      <c r="J526" s="66">
        <v>15</v>
      </c>
      <c r="K526" t="s">
        <v>4</v>
      </c>
      <c r="L526" t="s">
        <v>165</v>
      </c>
      <c r="M526" t="s">
        <v>256</v>
      </c>
      <c r="N526" t="s">
        <v>3</v>
      </c>
      <c r="O526" t="s">
        <v>13</v>
      </c>
      <c r="P526">
        <f t="shared" si="31"/>
        <v>2.4638236754746465</v>
      </c>
      <c r="Q526" t="str">
        <f t="shared" si="30"/>
        <v/>
      </c>
      <c r="R526" s="67" cm="1">
        <f t="array" ref="R526">SUMPRODUCT((J526=$J$7:$J$1000)*(P526&lt;$P$7:$P$1000))+1</f>
        <v>51</v>
      </c>
      <c r="S526" s="72"/>
    </row>
    <row r="527" spans="10:19" x14ac:dyDescent="0.35">
      <c r="J527" s="66">
        <v>15</v>
      </c>
      <c r="K527" t="s">
        <v>4</v>
      </c>
      <c r="L527" t="s">
        <v>172</v>
      </c>
      <c r="M527" t="s">
        <v>256</v>
      </c>
      <c r="N527" t="s">
        <v>3</v>
      </c>
      <c r="O527" t="s">
        <v>13</v>
      </c>
      <c r="P527">
        <f t="shared" si="31"/>
        <v>1.1051255224540664</v>
      </c>
      <c r="Q527" t="str">
        <f t="shared" si="30"/>
        <v/>
      </c>
      <c r="R527" s="67" cm="1">
        <f t="array" ref="R527">SUMPRODUCT((J527=$J$7:$J$1000)*(P527&lt;$P$7:$P$1000))+1</f>
        <v>66</v>
      </c>
      <c r="S527" s="72"/>
    </row>
    <row r="528" spans="10:19" x14ac:dyDescent="0.35">
      <c r="J528" s="66">
        <v>15</v>
      </c>
      <c r="K528" t="s">
        <v>4</v>
      </c>
      <c r="L528" t="s">
        <v>175</v>
      </c>
      <c r="M528" t="s">
        <v>256</v>
      </c>
      <c r="N528" t="s">
        <v>3</v>
      </c>
      <c r="O528" t="s">
        <v>13</v>
      </c>
      <c r="P528">
        <f t="shared" si="31"/>
        <v>9.7730169547693091</v>
      </c>
      <c r="Q528" t="str">
        <f t="shared" si="30"/>
        <v/>
      </c>
      <c r="R528" s="67" cm="1">
        <f t="array" ref="R528">SUMPRODUCT((J528=$J$7:$J$1000)*(P528&lt;$P$7:$P$1000))+1</f>
        <v>2</v>
      </c>
      <c r="S528" s="72"/>
    </row>
    <row r="529" spans="10:19" x14ac:dyDescent="0.35">
      <c r="J529" s="66">
        <v>15</v>
      </c>
      <c r="K529" t="s">
        <v>4</v>
      </c>
      <c r="L529" t="s">
        <v>176</v>
      </c>
      <c r="M529" t="s">
        <v>256</v>
      </c>
      <c r="N529" t="s">
        <v>3</v>
      </c>
      <c r="O529" t="s">
        <v>13</v>
      </c>
      <c r="P529">
        <f t="shared" si="31"/>
        <v>1.9380171842196585</v>
      </c>
      <c r="Q529" t="str">
        <f t="shared" si="30"/>
        <v/>
      </c>
      <c r="R529" s="67" cm="1">
        <f t="array" ref="R529">SUMPRODUCT((J529=$J$7:$J$1000)*(P529&lt;$P$7:$P$1000))+1</f>
        <v>58</v>
      </c>
      <c r="S529" s="72"/>
    </row>
    <row r="530" spans="10:19" x14ac:dyDescent="0.35">
      <c r="J530">
        <v>15</v>
      </c>
      <c r="K530" t="s">
        <v>4</v>
      </c>
      <c r="L530" t="s">
        <v>608</v>
      </c>
      <c r="M530" t="s">
        <v>256</v>
      </c>
      <c r="N530" t="s">
        <v>3</v>
      </c>
      <c r="O530" t="s">
        <v>13</v>
      </c>
      <c r="P530">
        <f t="shared" si="31"/>
        <v>-0.40826550939723261</v>
      </c>
      <c r="Q530" t="str">
        <f t="shared" si="30"/>
        <v/>
      </c>
      <c r="R530" s="67" cm="1">
        <f t="array" ref="R530">SUMPRODUCT((J530=$J$7:$J$1000)*(P530&lt;$P$7:$P$1000))+1</f>
        <v>74</v>
      </c>
      <c r="S530" s="72"/>
    </row>
    <row r="531" spans="10:19" x14ac:dyDescent="0.35">
      <c r="J531" s="66">
        <v>15</v>
      </c>
      <c r="K531" t="s">
        <v>7</v>
      </c>
      <c r="L531" t="s">
        <v>148</v>
      </c>
      <c r="M531" t="s">
        <v>256</v>
      </c>
      <c r="N531" t="s">
        <v>9</v>
      </c>
      <c r="O531" t="s">
        <v>23</v>
      </c>
      <c r="P531">
        <f t="shared" si="31"/>
        <v>3.4397027362574644</v>
      </c>
      <c r="Q531" t="str">
        <f t="shared" si="30"/>
        <v/>
      </c>
      <c r="R531" s="67" cm="1">
        <f t="array" ref="R531">SUMPRODUCT((J531=$J$7:$J$1000)*(P531&lt;$P$7:$P$1000))+1</f>
        <v>38</v>
      </c>
      <c r="S531" s="72"/>
    </row>
    <row r="532" spans="10:19" x14ac:dyDescent="0.35">
      <c r="J532" s="66">
        <v>15</v>
      </c>
      <c r="K532" t="s">
        <v>7</v>
      </c>
      <c r="L532" t="s">
        <v>158</v>
      </c>
      <c r="M532" t="s">
        <v>256</v>
      </c>
      <c r="N532" t="s">
        <v>9</v>
      </c>
      <c r="O532" t="s">
        <v>23</v>
      </c>
      <c r="P532">
        <f t="shared" si="31"/>
        <v>5.5442343227231961</v>
      </c>
      <c r="Q532" t="str">
        <f t="shared" si="30"/>
        <v/>
      </c>
      <c r="R532" s="67" cm="1">
        <f t="array" ref="R532">SUMPRODUCT((J532=$J$7:$J$1000)*(P532&lt;$P$7:$P$1000))+1</f>
        <v>19</v>
      </c>
      <c r="S532" s="72"/>
    </row>
    <row r="533" spans="10:19" x14ac:dyDescent="0.35">
      <c r="J533" s="66">
        <v>15</v>
      </c>
      <c r="K533" t="s">
        <v>7</v>
      </c>
      <c r="L533" t="s">
        <v>163</v>
      </c>
      <c r="M533" t="s">
        <v>256</v>
      </c>
      <c r="N533" t="s">
        <v>9</v>
      </c>
      <c r="O533" t="s">
        <v>23</v>
      </c>
      <c r="P533">
        <f t="shared" si="31"/>
        <v>4.9803955888803459</v>
      </c>
      <c r="Q533" t="str">
        <f t="shared" si="30"/>
        <v/>
      </c>
      <c r="R533" s="67" cm="1">
        <f t="array" ref="R533">SUMPRODUCT((J533=$J$7:$J$1000)*(P533&lt;$P$7:$P$1000))+1</f>
        <v>26</v>
      </c>
      <c r="S533" s="72"/>
    </row>
    <row r="534" spans="10:19" x14ac:dyDescent="0.35">
      <c r="J534" s="66">
        <v>15</v>
      </c>
      <c r="K534" t="s">
        <v>7</v>
      </c>
      <c r="L534" t="s">
        <v>630</v>
      </c>
      <c r="M534" t="s">
        <v>256</v>
      </c>
      <c r="N534" t="s">
        <v>9</v>
      </c>
      <c r="O534" t="s">
        <v>23</v>
      </c>
      <c r="P534">
        <f t="shared" si="31"/>
        <v>0.60591772018091328</v>
      </c>
      <c r="Q534" t="str">
        <f t="shared" si="30"/>
        <v/>
      </c>
      <c r="R534" s="67" cm="1">
        <f t="array" ref="R534">SUMPRODUCT((J534=$J$7:$J$1000)*(P534&lt;$P$7:$P$1000))+1</f>
        <v>70</v>
      </c>
      <c r="S534" s="72"/>
    </row>
    <row r="535" spans="10:19" x14ac:dyDescent="0.35">
      <c r="J535" s="66">
        <v>15</v>
      </c>
      <c r="K535" t="s">
        <v>7</v>
      </c>
      <c r="L535" t="s">
        <v>507</v>
      </c>
      <c r="M535" t="s">
        <v>256</v>
      </c>
      <c r="N535" t="s">
        <v>9</v>
      </c>
      <c r="O535" t="s">
        <v>23</v>
      </c>
      <c r="P535">
        <f t="shared" si="31"/>
        <v>-2.5809819942069252</v>
      </c>
      <c r="Q535" t="str">
        <f t="shared" si="30"/>
        <v/>
      </c>
      <c r="R535" s="67" cm="1">
        <f t="array" ref="R535">SUMPRODUCT((J535=$J$7:$J$1000)*(P535&lt;$P$7:$P$1000))+1</f>
        <v>77</v>
      </c>
      <c r="S535" s="72"/>
    </row>
    <row r="536" spans="10:19" x14ac:dyDescent="0.35">
      <c r="J536">
        <v>15</v>
      </c>
      <c r="K536" t="s">
        <v>7</v>
      </c>
      <c r="L536" t="s">
        <v>502</v>
      </c>
      <c r="M536" t="s">
        <v>256</v>
      </c>
      <c r="N536" t="s">
        <v>9</v>
      </c>
      <c r="O536" t="s">
        <v>23</v>
      </c>
      <c r="P536">
        <f t="shared" si="31"/>
        <v>4.9633249210581525</v>
      </c>
      <c r="Q536" t="str">
        <f t="shared" si="30"/>
        <v/>
      </c>
      <c r="R536" s="67" cm="1">
        <f t="array" ref="R536">SUMPRODUCT((J536=$J$7:$J$1000)*(P536&lt;$P$7:$P$1000))+1</f>
        <v>27</v>
      </c>
      <c r="S536" s="72"/>
    </row>
    <row r="537" spans="10:19" x14ac:dyDescent="0.35">
      <c r="J537">
        <v>15</v>
      </c>
      <c r="K537" t="s">
        <v>7</v>
      </c>
      <c r="L537" t="s">
        <v>171</v>
      </c>
      <c r="M537" t="s">
        <v>256</v>
      </c>
      <c r="N537" t="s">
        <v>9</v>
      </c>
      <c r="O537" t="s">
        <v>23</v>
      </c>
      <c r="P537">
        <f t="shared" si="31"/>
        <v>7.8780164385164841</v>
      </c>
      <c r="Q537" t="str">
        <f t="shared" si="30"/>
        <v/>
      </c>
      <c r="R537" s="67" cm="1">
        <f t="array" ref="R537">SUMPRODUCT((J537=$J$7:$J$1000)*(P537&lt;$P$7:$P$1000))+1</f>
        <v>6</v>
      </c>
      <c r="S537" s="72"/>
    </row>
    <row r="538" spans="10:19" x14ac:dyDescent="0.35">
      <c r="J538" s="66">
        <v>15</v>
      </c>
      <c r="K538" t="s">
        <v>7</v>
      </c>
      <c r="L538" t="s">
        <v>525</v>
      </c>
      <c r="M538" t="s">
        <v>256</v>
      </c>
      <c r="N538" t="s">
        <v>9</v>
      </c>
      <c r="O538" t="s">
        <v>23</v>
      </c>
      <c r="P538">
        <f t="shared" si="31"/>
        <v>2.9614679741342407</v>
      </c>
      <c r="Q538" t="str">
        <f t="shared" si="30"/>
        <v/>
      </c>
      <c r="R538" s="67" cm="1">
        <f t="array" ref="R538">SUMPRODUCT((J538=$J$7:$J$1000)*(P538&lt;$P$7:$P$1000))+1</f>
        <v>47</v>
      </c>
      <c r="S538" s="72"/>
    </row>
    <row r="539" spans="10:19" x14ac:dyDescent="0.35">
      <c r="J539">
        <v>15</v>
      </c>
      <c r="K539" t="s">
        <v>17</v>
      </c>
      <c r="L539" t="s">
        <v>149</v>
      </c>
      <c r="M539" t="s">
        <v>256</v>
      </c>
      <c r="N539" t="s">
        <v>3</v>
      </c>
      <c r="O539" t="s">
        <v>36</v>
      </c>
      <c r="P539">
        <f t="shared" si="31"/>
        <v>5.7826090947535835</v>
      </c>
      <c r="Q539" t="str">
        <f t="shared" si="30"/>
        <v/>
      </c>
      <c r="R539" s="67" cm="1">
        <f t="array" ref="R539">SUMPRODUCT((J539=$J$7:$J$1000)*(P539&lt;$P$7:$P$1000))+1</f>
        <v>16</v>
      </c>
      <c r="S539" s="72"/>
    </row>
    <row r="540" spans="10:19" x14ac:dyDescent="0.35">
      <c r="J540" s="66">
        <v>15</v>
      </c>
      <c r="K540" t="s">
        <v>17</v>
      </c>
      <c r="L540" t="s">
        <v>155</v>
      </c>
      <c r="M540" t="s">
        <v>256</v>
      </c>
      <c r="N540" t="s">
        <v>3</v>
      </c>
      <c r="O540" t="s">
        <v>36</v>
      </c>
      <c r="P540">
        <f t="shared" si="31"/>
        <v>5.5111429937428191</v>
      </c>
      <c r="Q540" t="str">
        <f t="shared" si="30"/>
        <v/>
      </c>
      <c r="R540" s="67" cm="1">
        <f t="array" ref="R540">SUMPRODUCT((J540=$J$7:$J$1000)*(P540&lt;$P$7:$P$1000))+1</f>
        <v>21</v>
      </c>
      <c r="S540" s="72"/>
    </row>
    <row r="541" spans="10:19" x14ac:dyDescent="0.35">
      <c r="J541">
        <v>15</v>
      </c>
      <c r="K541" t="s">
        <v>17</v>
      </c>
      <c r="L541" t="s">
        <v>167</v>
      </c>
      <c r="M541" t="s">
        <v>256</v>
      </c>
      <c r="N541" t="s">
        <v>3</v>
      </c>
      <c r="O541" t="s">
        <v>36</v>
      </c>
      <c r="P541">
        <f t="shared" si="31"/>
        <v>3.1824202508482173</v>
      </c>
      <c r="Q541" t="str">
        <f t="shared" si="30"/>
        <v/>
      </c>
      <c r="R541" s="67" cm="1">
        <f t="array" ref="R541">SUMPRODUCT((J541=$J$7:$J$1000)*(P541&lt;$P$7:$P$1000))+1</f>
        <v>42</v>
      </c>
      <c r="S541" s="72"/>
    </row>
    <row r="542" spans="10:19" x14ac:dyDescent="0.35">
      <c r="J542">
        <v>15</v>
      </c>
      <c r="K542" t="s">
        <v>17</v>
      </c>
      <c r="L542" t="s">
        <v>480</v>
      </c>
      <c r="M542" t="s">
        <v>256</v>
      </c>
      <c r="N542" t="s">
        <v>3</v>
      </c>
      <c r="O542" t="s">
        <v>36</v>
      </c>
      <c r="P542">
        <f t="shared" si="31"/>
        <v>4.7558551787687877</v>
      </c>
      <c r="Q542" t="str">
        <f t="shared" si="30"/>
        <v/>
      </c>
      <c r="R542" s="67" cm="1">
        <f t="array" ref="R542">SUMPRODUCT((J542=$J$7:$J$1000)*(P542&lt;$P$7:$P$1000))+1</f>
        <v>28</v>
      </c>
      <c r="S542" s="72"/>
    </row>
    <row r="543" spans="10:19" x14ac:dyDescent="0.35">
      <c r="J543" s="66">
        <v>15</v>
      </c>
      <c r="K543" t="s">
        <v>17</v>
      </c>
      <c r="L543" t="s">
        <v>586</v>
      </c>
      <c r="M543" t="s">
        <v>256</v>
      </c>
      <c r="N543" t="s">
        <v>3</v>
      </c>
      <c r="O543" t="s">
        <v>36</v>
      </c>
      <c r="P543">
        <f t="shared" si="31"/>
        <v>5.2331103541075548</v>
      </c>
      <c r="Q543" t="str">
        <f t="shared" si="30"/>
        <v/>
      </c>
      <c r="R543" s="67" cm="1">
        <f t="array" ref="R543">SUMPRODUCT((J543=$J$7:$J$1000)*(P543&lt;$P$7:$P$1000))+1</f>
        <v>22</v>
      </c>
      <c r="S543" s="72"/>
    </row>
    <row r="544" spans="10:19" x14ac:dyDescent="0.35">
      <c r="J544" s="66">
        <v>15</v>
      </c>
      <c r="K544" t="s">
        <v>13</v>
      </c>
      <c r="L544" t="s">
        <v>464</v>
      </c>
      <c r="M544" t="s">
        <v>256</v>
      </c>
      <c r="N544" t="s">
        <v>9</v>
      </c>
      <c r="O544" t="s">
        <v>4</v>
      </c>
      <c r="P544">
        <f t="shared" si="31"/>
        <v>6.0283604419442911</v>
      </c>
      <c r="Q544" t="str">
        <f t="shared" si="30"/>
        <v/>
      </c>
      <c r="R544" s="67" cm="1">
        <f t="array" ref="R544">SUMPRODUCT((J544=$J$7:$J$1000)*(P544&lt;$P$7:$P$1000))+1</f>
        <v>13</v>
      </c>
      <c r="S544" s="72"/>
    </row>
    <row r="545" spans="10:19" x14ac:dyDescent="0.35">
      <c r="J545" s="66">
        <v>15</v>
      </c>
      <c r="K545" t="s">
        <v>13</v>
      </c>
      <c r="L545" t="s">
        <v>145</v>
      </c>
      <c r="M545" t="s">
        <v>256</v>
      </c>
      <c r="N545" t="s">
        <v>9</v>
      </c>
      <c r="O545" t="s">
        <v>4</v>
      </c>
      <c r="P545">
        <f t="shared" si="31"/>
        <v>2.1617644245687599</v>
      </c>
      <c r="Q545" t="str">
        <f t="shared" si="30"/>
        <v/>
      </c>
      <c r="R545" s="67" cm="1">
        <f t="array" ref="R545">SUMPRODUCT((J545=$J$7:$J$1000)*(P545&lt;$P$7:$P$1000))+1</f>
        <v>54</v>
      </c>
      <c r="S545" s="72"/>
    </row>
    <row r="546" spans="10:19" x14ac:dyDescent="0.35">
      <c r="J546">
        <v>15</v>
      </c>
      <c r="K546" t="s">
        <v>13</v>
      </c>
      <c r="L546" t="s">
        <v>557</v>
      </c>
      <c r="M546" t="s">
        <v>256</v>
      </c>
      <c r="N546" t="s">
        <v>9</v>
      </c>
      <c r="O546" t="s">
        <v>4</v>
      </c>
      <c r="P546">
        <f t="shared" si="31"/>
        <v>3.1122138067454421</v>
      </c>
      <c r="Q546" t="str">
        <f t="shared" si="30"/>
        <v/>
      </c>
      <c r="R546" s="67" cm="1">
        <f t="array" ref="R546">SUMPRODUCT((J546=$J$7:$J$1000)*(P546&lt;$P$7:$P$1000))+1</f>
        <v>45</v>
      </c>
      <c r="S546" s="72"/>
    </row>
    <row r="547" spans="10:19" x14ac:dyDescent="0.35">
      <c r="J547">
        <v>15</v>
      </c>
      <c r="K547" t="s">
        <v>13</v>
      </c>
      <c r="L547" t="s">
        <v>524</v>
      </c>
      <c r="M547" t="s">
        <v>256</v>
      </c>
      <c r="N547" t="s">
        <v>9</v>
      </c>
      <c r="O547" t="s">
        <v>4</v>
      </c>
      <c r="P547">
        <f t="shared" si="31"/>
        <v>3.1351149532244089</v>
      </c>
      <c r="Q547" t="str">
        <f t="shared" si="30"/>
        <v/>
      </c>
      <c r="R547" s="67" cm="1">
        <f t="array" ref="R547">SUMPRODUCT((J547=$J$7:$J$1000)*(P547&lt;$P$7:$P$1000))+1</f>
        <v>44</v>
      </c>
      <c r="S547" s="72"/>
    </row>
    <row r="548" spans="10:19" x14ac:dyDescent="0.35">
      <c r="J548" s="66">
        <v>15</v>
      </c>
      <c r="K548" t="s">
        <v>13</v>
      </c>
      <c r="L548" t="s">
        <v>463</v>
      </c>
      <c r="M548" t="s">
        <v>256</v>
      </c>
      <c r="N548" t="s">
        <v>9</v>
      </c>
      <c r="O548" t="s">
        <v>4</v>
      </c>
      <c r="P548">
        <f t="shared" si="31"/>
        <v>9.2172344773666453</v>
      </c>
      <c r="Q548" t="str">
        <f t="shared" si="30"/>
        <v/>
      </c>
      <c r="R548" s="67" cm="1">
        <f t="array" ref="R548">SUMPRODUCT((J548=$J$7:$J$1000)*(P548&lt;$P$7:$P$1000))+1</f>
        <v>3</v>
      </c>
      <c r="S548" s="72"/>
    </row>
    <row r="549" spans="10:19" x14ac:dyDescent="0.35">
      <c r="J549" s="66">
        <v>15</v>
      </c>
      <c r="K549" t="s">
        <v>13</v>
      </c>
      <c r="L549" t="s">
        <v>599</v>
      </c>
      <c r="M549" t="s">
        <v>256</v>
      </c>
      <c r="N549" t="s">
        <v>9</v>
      </c>
      <c r="O549" t="s">
        <v>4</v>
      </c>
      <c r="P549">
        <f t="shared" si="31"/>
        <v>7.7441409289574663</v>
      </c>
      <c r="Q549" t="str">
        <f t="shared" si="30"/>
        <v/>
      </c>
      <c r="R549" s="67" cm="1">
        <f t="array" ref="R549">SUMPRODUCT((J549=$J$7:$J$1000)*(P549&lt;$P$7:$P$1000))+1</f>
        <v>7</v>
      </c>
      <c r="S549" s="72"/>
    </row>
    <row r="550" spans="10:19" x14ac:dyDescent="0.35">
      <c r="J550">
        <v>15</v>
      </c>
      <c r="K550" t="s">
        <v>13</v>
      </c>
      <c r="L550" t="s">
        <v>526</v>
      </c>
      <c r="M550" t="s">
        <v>256</v>
      </c>
      <c r="N550" t="s">
        <v>9</v>
      </c>
      <c r="O550" t="s">
        <v>4</v>
      </c>
      <c r="P550">
        <f t="shared" si="31"/>
        <v>1.6008266694804112</v>
      </c>
      <c r="Q550" t="str">
        <f t="shared" si="30"/>
        <v/>
      </c>
      <c r="R550" s="67" cm="1">
        <f t="array" ref="R550">SUMPRODUCT((J550=$J$7:$J$1000)*(P550&lt;$P$7:$P$1000))+1</f>
        <v>61</v>
      </c>
      <c r="S550" s="72"/>
    </row>
    <row r="551" spans="10:19" x14ac:dyDescent="0.35">
      <c r="J551">
        <v>15</v>
      </c>
      <c r="K551" t="s">
        <v>13</v>
      </c>
      <c r="L551" t="s">
        <v>467</v>
      </c>
      <c r="M551" t="s">
        <v>256</v>
      </c>
      <c r="N551" t="s">
        <v>9</v>
      </c>
      <c r="O551" t="s">
        <v>4</v>
      </c>
      <c r="P551">
        <f t="shared" si="31"/>
        <v>3.4061778253727524</v>
      </c>
      <c r="Q551" t="str">
        <f t="shared" ref="Q551:Q614" si="32">IFERROR(($M551-$P551)^2,"")</f>
        <v/>
      </c>
      <c r="R551" s="67" cm="1">
        <f t="array" ref="R551">SUMPRODUCT((J551=$J$7:$J$1000)*(P551&lt;$P$7:$P$1000))+1</f>
        <v>40</v>
      </c>
      <c r="S551" s="72"/>
    </row>
    <row r="552" spans="10:19" x14ac:dyDescent="0.35">
      <c r="J552" s="66">
        <v>15</v>
      </c>
      <c r="K552" t="s">
        <v>13</v>
      </c>
      <c r="L552" t="s">
        <v>528</v>
      </c>
      <c r="M552" t="s">
        <v>256</v>
      </c>
      <c r="N552" t="s">
        <v>9</v>
      </c>
      <c r="O552" t="s">
        <v>4</v>
      </c>
      <c r="P552">
        <f t="shared" si="31"/>
        <v>0.32687007997684825</v>
      </c>
      <c r="Q552" t="str">
        <f t="shared" si="32"/>
        <v/>
      </c>
      <c r="R552" s="67" cm="1">
        <f t="array" ref="R552">SUMPRODUCT((J552=$J$7:$J$1000)*(P552&lt;$P$7:$P$1000))+1</f>
        <v>71</v>
      </c>
      <c r="S552" s="72"/>
    </row>
    <row r="553" spans="10:19" x14ac:dyDescent="0.35">
      <c r="J553" s="66">
        <v>16</v>
      </c>
      <c r="K553" t="s">
        <v>14</v>
      </c>
      <c r="L553" t="s">
        <v>143</v>
      </c>
      <c r="M553" t="s">
        <v>256</v>
      </c>
      <c r="N553" t="s">
        <v>9</v>
      </c>
      <c r="O553" t="s">
        <v>13</v>
      </c>
      <c r="P553">
        <f t="shared" si="31"/>
        <v>2.0204295430949357</v>
      </c>
      <c r="Q553" t="str">
        <f t="shared" si="32"/>
        <v/>
      </c>
      <c r="R553" s="67" cm="1">
        <f t="array" ref="R553">SUMPRODUCT((J553=$J$7:$J$1000)*(P553&lt;$P$7:$P$1000))+1</f>
        <v>61</v>
      </c>
      <c r="S553" s="72"/>
    </row>
    <row r="554" spans="10:19" x14ac:dyDescent="0.35">
      <c r="J554">
        <v>16</v>
      </c>
      <c r="K554" t="s">
        <v>14</v>
      </c>
      <c r="L554" t="s">
        <v>664</v>
      </c>
      <c r="M554" t="s">
        <v>256</v>
      </c>
      <c r="N554" t="s">
        <v>9</v>
      </c>
      <c r="O554" t="s">
        <v>13</v>
      </c>
      <c r="P554">
        <f t="shared" si="31"/>
        <v>0.48751349918031672</v>
      </c>
      <c r="Q554" t="str">
        <f t="shared" si="32"/>
        <v/>
      </c>
      <c r="R554" s="67" cm="1">
        <f t="array" ref="R554">SUMPRODUCT((J554=$J$7:$J$1000)*(P554&lt;$P$7:$P$1000))+1</f>
        <v>74</v>
      </c>
      <c r="S554" s="72"/>
    </row>
    <row r="555" spans="10:19" x14ac:dyDescent="0.35">
      <c r="J555">
        <v>16</v>
      </c>
      <c r="K555" t="s">
        <v>14</v>
      </c>
      <c r="L555" t="s">
        <v>248</v>
      </c>
      <c r="M555" t="s">
        <v>256</v>
      </c>
      <c r="N555" t="s">
        <v>9</v>
      </c>
      <c r="O555" t="s">
        <v>13</v>
      </c>
      <c r="P555">
        <f t="shared" si="31"/>
        <v>4.1552454361758908</v>
      </c>
      <c r="Q555" t="str">
        <f t="shared" si="32"/>
        <v/>
      </c>
      <c r="R555" s="67" cm="1">
        <f t="array" ref="R555">SUMPRODUCT((J555=$J$7:$J$1000)*(P555&lt;$P$7:$P$1000))+1</f>
        <v>35</v>
      </c>
      <c r="S555" s="72"/>
    </row>
    <row r="556" spans="10:19" x14ac:dyDescent="0.35">
      <c r="J556">
        <v>16</v>
      </c>
      <c r="K556" t="s">
        <v>14</v>
      </c>
      <c r="L556" t="s">
        <v>553</v>
      </c>
      <c r="M556" t="s">
        <v>256</v>
      </c>
      <c r="N556" t="s">
        <v>9</v>
      </c>
      <c r="O556" t="s">
        <v>13</v>
      </c>
      <c r="P556">
        <f t="shared" si="31"/>
        <v>0.57156685555922682</v>
      </c>
      <c r="Q556" t="str">
        <f t="shared" si="32"/>
        <v/>
      </c>
      <c r="R556" s="67" cm="1">
        <f t="array" ref="R556">SUMPRODUCT((J556=$J$7:$J$1000)*(P556&lt;$P$7:$P$1000))+1</f>
        <v>73</v>
      </c>
      <c r="S556" s="72"/>
    </row>
    <row r="557" spans="10:19" x14ac:dyDescent="0.35">
      <c r="J557" s="66">
        <v>16</v>
      </c>
      <c r="K557" t="s">
        <v>14</v>
      </c>
      <c r="L557" t="s">
        <v>413</v>
      </c>
      <c r="M557" t="s">
        <v>256</v>
      </c>
      <c r="N557" t="s">
        <v>9</v>
      </c>
      <c r="O557" t="s">
        <v>13</v>
      </c>
      <c r="P557">
        <f t="shared" si="31"/>
        <v>4.411677191489626</v>
      </c>
      <c r="Q557" t="str">
        <f t="shared" si="32"/>
        <v/>
      </c>
      <c r="R557" s="67" cm="1">
        <f t="array" ref="R557">SUMPRODUCT((J557=$J$7:$J$1000)*(P557&lt;$P$7:$P$1000))+1</f>
        <v>30</v>
      </c>
      <c r="S557" s="72"/>
    </row>
    <row r="558" spans="10:19" x14ac:dyDescent="0.35">
      <c r="J558">
        <v>16</v>
      </c>
      <c r="K558" t="s">
        <v>14</v>
      </c>
      <c r="L558" t="s">
        <v>164</v>
      </c>
      <c r="M558" t="s">
        <v>256</v>
      </c>
      <c r="N558" t="s">
        <v>9</v>
      </c>
      <c r="O558" t="s">
        <v>13</v>
      </c>
      <c r="P558">
        <f t="shared" si="31"/>
        <v>2.2138775288254982</v>
      </c>
      <c r="Q558" t="str">
        <f t="shared" si="32"/>
        <v/>
      </c>
      <c r="R558" s="67" cm="1">
        <f t="array" ref="R558">SUMPRODUCT((J558=$J$7:$J$1000)*(P558&lt;$P$7:$P$1000))+1</f>
        <v>58</v>
      </c>
      <c r="S558" s="72"/>
    </row>
    <row r="559" spans="10:19" x14ac:dyDescent="0.35">
      <c r="J559">
        <v>16</v>
      </c>
      <c r="K559" t="s">
        <v>14</v>
      </c>
      <c r="L559" t="s">
        <v>181</v>
      </c>
      <c r="M559" t="s">
        <v>256</v>
      </c>
      <c r="N559" t="s">
        <v>9</v>
      </c>
      <c r="O559" t="s">
        <v>13</v>
      </c>
      <c r="P559">
        <f t="shared" si="31"/>
        <v>3.6298961580342501</v>
      </c>
      <c r="Q559" t="str">
        <f t="shared" si="32"/>
        <v/>
      </c>
      <c r="R559" s="67" cm="1">
        <f t="array" ref="R559">SUMPRODUCT((J559=$J$7:$J$1000)*(P559&lt;$P$7:$P$1000))+1</f>
        <v>44</v>
      </c>
      <c r="S559" s="72"/>
    </row>
    <row r="560" spans="10:19" x14ac:dyDescent="0.35">
      <c r="J560">
        <v>16</v>
      </c>
      <c r="K560" t="s">
        <v>14</v>
      </c>
      <c r="L560" t="s">
        <v>604</v>
      </c>
      <c r="M560" t="s">
        <v>256</v>
      </c>
      <c r="N560" t="s">
        <v>9</v>
      </c>
      <c r="O560" t="s">
        <v>13</v>
      </c>
      <c r="P560">
        <f t="shared" si="31"/>
        <v>1.5598391965815543</v>
      </c>
      <c r="Q560" t="str">
        <f t="shared" si="32"/>
        <v/>
      </c>
      <c r="R560" s="67" cm="1">
        <f t="array" ref="R560">SUMPRODUCT((J560=$J$7:$J$1000)*(P560&lt;$P$7:$P$1000))+1</f>
        <v>65</v>
      </c>
      <c r="S560" s="72"/>
    </row>
    <row r="561" spans="10:19" x14ac:dyDescent="0.35">
      <c r="J561">
        <v>16</v>
      </c>
      <c r="K561" t="s">
        <v>2</v>
      </c>
      <c r="L561" t="s">
        <v>185</v>
      </c>
      <c r="M561" t="s">
        <v>256</v>
      </c>
      <c r="N561" t="s">
        <v>3</v>
      </c>
      <c r="O561" t="s">
        <v>4</v>
      </c>
      <c r="P561">
        <f t="shared" si="31"/>
        <v>3.8034362463025677</v>
      </c>
      <c r="Q561" t="str">
        <f t="shared" si="32"/>
        <v/>
      </c>
      <c r="R561" s="67" cm="1">
        <f t="array" ref="R561">SUMPRODUCT((J561=$J$7:$J$1000)*(P561&lt;$P$7:$P$1000))+1</f>
        <v>38</v>
      </c>
      <c r="S561" s="72"/>
    </row>
    <row r="562" spans="10:19" x14ac:dyDescent="0.35">
      <c r="J562">
        <v>16</v>
      </c>
      <c r="K562" t="s">
        <v>2</v>
      </c>
      <c r="L562" t="s">
        <v>156</v>
      </c>
      <c r="M562" t="s">
        <v>256</v>
      </c>
      <c r="N562" t="s">
        <v>3</v>
      </c>
      <c r="O562" t="s">
        <v>4</v>
      </c>
      <c r="P562">
        <f t="shared" si="31"/>
        <v>7.9499803846432524</v>
      </c>
      <c r="Q562" t="str">
        <f t="shared" si="32"/>
        <v/>
      </c>
      <c r="R562" s="67" cm="1">
        <f t="array" ref="R562">SUMPRODUCT((J562=$J$7:$J$1000)*(P562&lt;$P$7:$P$1000))+1</f>
        <v>8</v>
      </c>
      <c r="S562" s="72"/>
    </row>
    <row r="563" spans="10:19" x14ac:dyDescent="0.35">
      <c r="J563">
        <v>16</v>
      </c>
      <c r="K563" t="s">
        <v>2</v>
      </c>
      <c r="L563" t="s">
        <v>159</v>
      </c>
      <c r="M563" t="s">
        <v>256</v>
      </c>
      <c r="N563" t="s">
        <v>3</v>
      </c>
      <c r="O563" t="s">
        <v>4</v>
      </c>
      <c r="P563">
        <f t="shared" si="31"/>
        <v>2.515798157866028</v>
      </c>
      <c r="Q563" t="str">
        <f t="shared" si="32"/>
        <v/>
      </c>
      <c r="R563" s="67" cm="1">
        <f t="array" ref="R563">SUMPRODUCT((J563=$J$7:$J$1000)*(P563&lt;$P$7:$P$1000))+1</f>
        <v>54</v>
      </c>
      <c r="S563" s="72"/>
    </row>
    <row r="564" spans="10:19" x14ac:dyDescent="0.35">
      <c r="J564">
        <v>16</v>
      </c>
      <c r="K564" t="s">
        <v>2</v>
      </c>
      <c r="L564" t="s">
        <v>162</v>
      </c>
      <c r="M564" t="s">
        <v>256</v>
      </c>
      <c r="N564" t="s">
        <v>3</v>
      </c>
      <c r="O564" t="s">
        <v>4</v>
      </c>
      <c r="P564">
        <f t="shared" si="31"/>
        <v>5.6214022858271706</v>
      </c>
      <c r="Q564" t="str">
        <f t="shared" si="32"/>
        <v/>
      </c>
      <c r="R564" s="67" cm="1">
        <f t="array" ref="R564">SUMPRODUCT((J564=$J$7:$J$1000)*(P564&lt;$P$7:$P$1000))+1</f>
        <v>21</v>
      </c>
      <c r="S564" s="72"/>
    </row>
    <row r="565" spans="10:19" x14ac:dyDescent="0.35">
      <c r="J565" s="66">
        <v>16</v>
      </c>
      <c r="K565" t="s">
        <v>2</v>
      </c>
      <c r="L565" t="s">
        <v>504</v>
      </c>
      <c r="M565" t="s">
        <v>256</v>
      </c>
      <c r="N565" t="s">
        <v>3</v>
      </c>
      <c r="O565" t="s">
        <v>4</v>
      </c>
      <c r="P565">
        <f t="shared" si="31"/>
        <v>4.2553534861852773</v>
      </c>
      <c r="Q565" t="str">
        <f t="shared" si="32"/>
        <v/>
      </c>
      <c r="R565" s="67" cm="1">
        <f t="array" ref="R565">SUMPRODUCT((J565=$J$7:$J$1000)*(P565&lt;$P$7:$P$1000))+1</f>
        <v>33</v>
      </c>
      <c r="S565" s="72"/>
    </row>
    <row r="566" spans="10:19" x14ac:dyDescent="0.35">
      <c r="J566" s="66">
        <v>16</v>
      </c>
      <c r="K566" t="s">
        <v>2</v>
      </c>
      <c r="L566" t="s">
        <v>174</v>
      </c>
      <c r="M566" t="s">
        <v>256</v>
      </c>
      <c r="N566" t="s">
        <v>3</v>
      </c>
      <c r="O566" t="s">
        <v>4</v>
      </c>
      <c r="P566">
        <f t="shared" si="31"/>
        <v>2.5721474942060714</v>
      </c>
      <c r="Q566" t="str">
        <f t="shared" si="32"/>
        <v/>
      </c>
      <c r="R566" s="67" cm="1">
        <f t="array" ref="R566">SUMPRODUCT((J566=$J$7:$J$1000)*(P566&lt;$P$7:$P$1000))+1</f>
        <v>53</v>
      </c>
      <c r="S566" s="72"/>
    </row>
    <row r="567" spans="10:19" x14ac:dyDescent="0.35">
      <c r="J567">
        <v>16</v>
      </c>
      <c r="K567" t="s">
        <v>2</v>
      </c>
      <c r="L567" t="s">
        <v>527</v>
      </c>
      <c r="M567" t="s">
        <v>256</v>
      </c>
      <c r="N567" t="s">
        <v>3</v>
      </c>
      <c r="O567" t="s">
        <v>4</v>
      </c>
      <c r="P567">
        <f t="shared" si="31"/>
        <v>6.128944363246398</v>
      </c>
      <c r="Q567" t="str">
        <f t="shared" si="32"/>
        <v/>
      </c>
      <c r="R567" s="67" cm="1">
        <f t="array" ref="R567">SUMPRODUCT((J567=$J$7:$J$1000)*(P567&lt;$P$7:$P$1000))+1</f>
        <v>15</v>
      </c>
      <c r="S567" s="72"/>
    </row>
    <row r="568" spans="10:19" x14ac:dyDescent="0.35">
      <c r="J568" s="66">
        <v>16</v>
      </c>
      <c r="K568" t="s">
        <v>6</v>
      </c>
      <c r="L568" t="s">
        <v>416</v>
      </c>
      <c r="M568" t="s">
        <v>256</v>
      </c>
      <c r="N568" t="s">
        <v>9</v>
      </c>
      <c r="O568" t="s">
        <v>7</v>
      </c>
      <c r="P568">
        <f t="shared" si="31"/>
        <v>2.7644363437700217</v>
      </c>
      <c r="Q568" t="str">
        <f t="shared" si="32"/>
        <v/>
      </c>
      <c r="R568" s="67" cm="1">
        <f t="array" ref="R568">SUMPRODUCT((J568=$J$7:$J$1000)*(P568&lt;$P$7:$P$1000))+1</f>
        <v>51</v>
      </c>
      <c r="S568" s="72"/>
    </row>
    <row r="569" spans="10:19" x14ac:dyDescent="0.35">
      <c r="J569">
        <v>16</v>
      </c>
      <c r="K569" t="s">
        <v>6</v>
      </c>
      <c r="L569" t="s">
        <v>543</v>
      </c>
      <c r="M569" t="s">
        <v>256</v>
      </c>
      <c r="N569" t="s">
        <v>9</v>
      </c>
      <c r="O569" t="s">
        <v>7</v>
      </c>
      <c r="P569">
        <f t="shared" si="31"/>
        <v>10.336521905326272</v>
      </c>
      <c r="Q569" t="str">
        <f t="shared" si="32"/>
        <v/>
      </c>
      <c r="R569" s="67" cm="1">
        <f t="array" ref="R569">SUMPRODUCT((J569=$J$7:$J$1000)*(P569&lt;$P$7:$P$1000))+1</f>
        <v>3</v>
      </c>
      <c r="S569" s="72"/>
    </row>
    <row r="570" spans="10:19" x14ac:dyDescent="0.35">
      <c r="J570" s="66">
        <v>16</v>
      </c>
      <c r="K570" t="s">
        <v>6</v>
      </c>
      <c r="L570" t="s">
        <v>417</v>
      </c>
      <c r="M570" t="s">
        <v>256</v>
      </c>
      <c r="N570" t="s">
        <v>9</v>
      </c>
      <c r="O570" t="s">
        <v>7</v>
      </c>
      <c r="P570">
        <f t="shared" si="31"/>
        <v>3.9865435077253313</v>
      </c>
      <c r="Q570" t="str">
        <f t="shared" si="32"/>
        <v/>
      </c>
      <c r="R570" s="67" cm="1">
        <f t="array" ref="R570">SUMPRODUCT((J570=$J$7:$J$1000)*(P570&lt;$P$7:$P$1000))+1</f>
        <v>37</v>
      </c>
      <c r="S570" s="72"/>
    </row>
    <row r="571" spans="10:19" x14ac:dyDescent="0.35">
      <c r="J571" s="66">
        <v>16</v>
      </c>
      <c r="K571" t="s">
        <v>6</v>
      </c>
      <c r="L571" t="s">
        <v>418</v>
      </c>
      <c r="M571" t="s">
        <v>256</v>
      </c>
      <c r="N571" t="s">
        <v>9</v>
      </c>
      <c r="O571" t="s">
        <v>7</v>
      </c>
      <c r="P571">
        <f t="shared" si="31"/>
        <v>-0.40582177139465531</v>
      </c>
      <c r="Q571" t="str">
        <f t="shared" si="32"/>
        <v/>
      </c>
      <c r="R571" s="67" cm="1">
        <f t="array" ref="R571">SUMPRODUCT((J571=$J$7:$J$1000)*(P571&lt;$P$7:$P$1000))+1</f>
        <v>75</v>
      </c>
      <c r="S571" s="72"/>
    </row>
    <row r="572" spans="10:19" x14ac:dyDescent="0.35">
      <c r="J572" s="66">
        <v>16</v>
      </c>
      <c r="K572" t="s">
        <v>6</v>
      </c>
      <c r="L572" t="s">
        <v>152</v>
      </c>
      <c r="M572" t="s">
        <v>256</v>
      </c>
      <c r="N572" t="s">
        <v>9</v>
      </c>
      <c r="O572" t="s">
        <v>7</v>
      </c>
      <c r="P572">
        <f t="shared" si="31"/>
        <v>-1.669183186791436</v>
      </c>
      <c r="Q572" t="str">
        <f t="shared" si="32"/>
        <v/>
      </c>
      <c r="R572" s="67" cm="1">
        <f t="array" ref="R572">SUMPRODUCT((J572=$J$7:$J$1000)*(P572&lt;$P$7:$P$1000))+1</f>
        <v>77</v>
      </c>
      <c r="S572" s="72"/>
    </row>
    <row r="573" spans="10:19" x14ac:dyDescent="0.35">
      <c r="J573" s="66">
        <v>16</v>
      </c>
      <c r="K573" t="s">
        <v>6</v>
      </c>
      <c r="L573" t="s">
        <v>555</v>
      </c>
      <c r="M573" t="s">
        <v>256</v>
      </c>
      <c r="N573" t="s">
        <v>9</v>
      </c>
      <c r="O573" t="s">
        <v>7</v>
      </c>
      <c r="P573">
        <f t="shared" si="31"/>
        <v>6.4345837016452494</v>
      </c>
      <c r="Q573" t="str">
        <f t="shared" si="32"/>
        <v/>
      </c>
      <c r="R573" s="67" cm="1">
        <f t="array" ref="R573">SUMPRODUCT((J573=$J$7:$J$1000)*(P573&lt;$P$7:$P$1000))+1</f>
        <v>14</v>
      </c>
      <c r="S573" s="72"/>
    </row>
    <row r="574" spans="10:19" x14ac:dyDescent="0.35">
      <c r="J574">
        <v>16</v>
      </c>
      <c r="K574" t="s">
        <v>6</v>
      </c>
      <c r="L574" t="s">
        <v>160</v>
      </c>
      <c r="M574" t="s">
        <v>256</v>
      </c>
      <c r="N574" t="s">
        <v>9</v>
      </c>
      <c r="O574" t="s">
        <v>7</v>
      </c>
      <c r="P574">
        <f t="shared" si="31"/>
        <v>1.6779244190435789</v>
      </c>
      <c r="Q574" t="str">
        <f t="shared" si="32"/>
        <v/>
      </c>
      <c r="R574" s="67" cm="1">
        <f t="array" ref="R574">SUMPRODUCT((J574=$J$7:$J$1000)*(P574&lt;$P$7:$P$1000))+1</f>
        <v>63</v>
      </c>
      <c r="S574" s="72"/>
    </row>
    <row r="575" spans="10:19" x14ac:dyDescent="0.35">
      <c r="J575">
        <v>16</v>
      </c>
      <c r="K575" t="s">
        <v>6</v>
      </c>
      <c r="L575" t="s">
        <v>669</v>
      </c>
      <c r="M575" t="s">
        <v>256</v>
      </c>
      <c r="N575" t="s">
        <v>9</v>
      </c>
      <c r="O575" t="s">
        <v>7</v>
      </c>
      <c r="P575">
        <f t="shared" si="31"/>
        <v>6.937686072666903</v>
      </c>
      <c r="Q575" t="str">
        <f t="shared" si="32"/>
        <v/>
      </c>
      <c r="R575" s="67" cm="1">
        <f t="array" ref="R575">SUMPRODUCT((J575=$J$7:$J$1000)*(P575&lt;$P$7:$P$1000))+1</f>
        <v>10</v>
      </c>
      <c r="S575" s="72"/>
    </row>
    <row r="576" spans="10:19" x14ac:dyDescent="0.35">
      <c r="J576">
        <v>16</v>
      </c>
      <c r="K576" t="s">
        <v>6</v>
      </c>
      <c r="L576" t="s">
        <v>503</v>
      </c>
      <c r="M576" t="s">
        <v>256</v>
      </c>
      <c r="N576" t="s">
        <v>9</v>
      </c>
      <c r="O576" t="s">
        <v>7</v>
      </c>
      <c r="P576">
        <f t="shared" si="31"/>
        <v>1.5516486755228662</v>
      </c>
      <c r="Q576" t="str">
        <f t="shared" si="32"/>
        <v/>
      </c>
      <c r="R576" s="67" cm="1">
        <f t="array" ref="R576">SUMPRODUCT((J576=$J$7:$J$1000)*(P576&lt;$P$7:$P$1000))+1</f>
        <v>66</v>
      </c>
      <c r="S576" s="72"/>
    </row>
    <row r="577" spans="10:19" x14ac:dyDescent="0.35">
      <c r="J577">
        <v>16</v>
      </c>
      <c r="K577" t="s">
        <v>6</v>
      </c>
      <c r="L577" t="s">
        <v>501</v>
      </c>
      <c r="M577" t="s">
        <v>256</v>
      </c>
      <c r="N577" t="s">
        <v>9</v>
      </c>
      <c r="O577" t="s">
        <v>7</v>
      </c>
      <c r="P577">
        <f t="shared" si="31"/>
        <v>4.200771767049809</v>
      </c>
      <c r="Q577" t="str">
        <f t="shared" si="32"/>
        <v/>
      </c>
      <c r="R577" s="67" cm="1">
        <f t="array" ref="R577">SUMPRODUCT((J577=$J$7:$J$1000)*(P577&lt;$P$7:$P$1000))+1</f>
        <v>34</v>
      </c>
      <c r="S577" s="72"/>
    </row>
    <row r="578" spans="10:19" x14ac:dyDescent="0.35">
      <c r="J578">
        <v>16</v>
      </c>
      <c r="K578" t="s">
        <v>24</v>
      </c>
      <c r="L578" t="s">
        <v>142</v>
      </c>
      <c r="M578" t="s">
        <v>256</v>
      </c>
      <c r="N578" t="s">
        <v>3</v>
      </c>
      <c r="O578" t="s">
        <v>34</v>
      </c>
      <c r="P578">
        <f t="shared" si="31"/>
        <v>1.2747862645993233</v>
      </c>
      <c r="Q578" t="str">
        <f t="shared" si="32"/>
        <v/>
      </c>
      <c r="R578" s="67" cm="1">
        <f t="array" ref="R578">SUMPRODUCT((J578=$J$7:$J$1000)*(P578&lt;$P$7:$P$1000))+1</f>
        <v>68</v>
      </c>
      <c r="S578" s="72"/>
    </row>
    <row r="579" spans="10:19" x14ac:dyDescent="0.35">
      <c r="J579" s="66">
        <v>16</v>
      </c>
      <c r="K579" t="s">
        <v>24</v>
      </c>
      <c r="L579" t="s">
        <v>465</v>
      </c>
      <c r="M579" t="s">
        <v>256</v>
      </c>
      <c r="N579" t="s">
        <v>3</v>
      </c>
      <c r="O579" t="s">
        <v>34</v>
      </c>
      <c r="P579">
        <f t="shared" si="31"/>
        <v>8.1403878456883838</v>
      </c>
      <c r="Q579" t="str">
        <f t="shared" si="32"/>
        <v/>
      </c>
      <c r="R579" s="67" cm="1">
        <f t="array" ref="R579">SUMPRODUCT((J579=$J$7:$J$1000)*(P579&lt;$P$7:$P$1000))+1</f>
        <v>7</v>
      </c>
      <c r="S579" s="72"/>
    </row>
    <row r="580" spans="10:19" x14ac:dyDescent="0.35">
      <c r="J580" s="66">
        <v>16</v>
      </c>
      <c r="K580" t="s">
        <v>24</v>
      </c>
      <c r="L580" t="s">
        <v>166</v>
      </c>
      <c r="M580" t="s">
        <v>256</v>
      </c>
      <c r="N580" t="s">
        <v>3</v>
      </c>
      <c r="O580" t="s">
        <v>34</v>
      </c>
      <c r="P580">
        <f t="shared" si="31"/>
        <v>5.8081902711369615</v>
      </c>
      <c r="Q580" t="str">
        <f t="shared" si="32"/>
        <v/>
      </c>
      <c r="R580" s="67" cm="1">
        <f t="array" ref="R580">SUMPRODUCT((J580=$J$7:$J$1000)*(P580&lt;$P$7:$P$1000))+1</f>
        <v>17</v>
      </c>
      <c r="S580" s="72"/>
    </row>
    <row r="581" spans="10:19" x14ac:dyDescent="0.35">
      <c r="J581">
        <v>16</v>
      </c>
      <c r="K581" t="s">
        <v>24</v>
      </c>
      <c r="L581" t="s">
        <v>168</v>
      </c>
      <c r="M581" t="s">
        <v>256</v>
      </c>
      <c r="N581" t="s">
        <v>3</v>
      </c>
      <c r="O581" t="s">
        <v>34</v>
      </c>
      <c r="P581">
        <f t="shared" si="31"/>
        <v>6.7416693763574056</v>
      </c>
      <c r="Q581" t="str">
        <f t="shared" si="32"/>
        <v/>
      </c>
      <c r="R581" s="67" cm="1">
        <f t="array" ref="R581">SUMPRODUCT((J581=$J$7:$J$1000)*(P581&lt;$P$7:$P$1000))+1</f>
        <v>11</v>
      </c>
      <c r="S581" s="72"/>
    </row>
    <row r="582" spans="10:19" x14ac:dyDescent="0.35">
      <c r="J582">
        <v>16</v>
      </c>
      <c r="K582" t="s">
        <v>24</v>
      </c>
      <c r="L582" t="s">
        <v>411</v>
      </c>
      <c r="M582" t="s">
        <v>256</v>
      </c>
      <c r="N582" t="s">
        <v>3</v>
      </c>
      <c r="O582" t="s">
        <v>34</v>
      </c>
      <c r="P582">
        <f t="shared" si="31"/>
        <v>4.3840573549088626</v>
      </c>
      <c r="Q582" t="str">
        <f t="shared" si="32"/>
        <v/>
      </c>
      <c r="R582" s="67" cm="1">
        <f t="array" ref="R582">SUMPRODUCT((J582=$J$7:$J$1000)*(P582&lt;$P$7:$P$1000))+1</f>
        <v>31</v>
      </c>
      <c r="S582" s="72"/>
    </row>
    <row r="583" spans="10:19" x14ac:dyDescent="0.35">
      <c r="J583" s="66">
        <v>16</v>
      </c>
      <c r="K583" t="s">
        <v>24</v>
      </c>
      <c r="L583" t="s">
        <v>640</v>
      </c>
      <c r="M583" t="s">
        <v>256</v>
      </c>
      <c r="N583" t="s">
        <v>3</v>
      </c>
      <c r="O583" t="s">
        <v>34</v>
      </c>
      <c r="P583">
        <f t="shared" si="31"/>
        <v>2.8824241885317683</v>
      </c>
      <c r="Q583" t="str">
        <f t="shared" si="32"/>
        <v/>
      </c>
      <c r="R583" s="67" cm="1">
        <f t="array" ref="R583">SUMPRODUCT((J583=$J$7:$J$1000)*(P583&lt;$P$7:$P$1000))+1</f>
        <v>49</v>
      </c>
      <c r="S583" s="72"/>
    </row>
    <row r="584" spans="10:19" x14ac:dyDescent="0.35">
      <c r="J584">
        <v>16</v>
      </c>
      <c r="K584" t="s">
        <v>24</v>
      </c>
      <c r="L584" t="s">
        <v>179</v>
      </c>
      <c r="M584" t="s">
        <v>256</v>
      </c>
      <c r="N584" t="s">
        <v>3</v>
      </c>
      <c r="O584" t="s">
        <v>34</v>
      </c>
      <c r="P584">
        <f t="shared" ref="P584:P630" si="33">VLOOKUP($N584,$F$3:$G$4,2,FALSE)+VLOOKUP($L584,$B$20:$C$150,2,FALSE)+VLOOKUP($O584,$A$6:$B$16,2,FALSE)</f>
        <v>4.7781421629731069</v>
      </c>
      <c r="Q584" t="str">
        <f t="shared" si="32"/>
        <v/>
      </c>
      <c r="R584" s="67" cm="1">
        <f t="array" ref="R584">SUMPRODUCT((J584=$J$7:$J$1000)*(P584&lt;$P$7:$P$1000))+1</f>
        <v>28</v>
      </c>
      <c r="S584" s="72"/>
    </row>
    <row r="585" spans="10:19" x14ac:dyDescent="0.35">
      <c r="J585" s="66">
        <v>16</v>
      </c>
      <c r="K585" t="s">
        <v>24</v>
      </c>
      <c r="L585" t="s">
        <v>482</v>
      </c>
      <c r="M585" t="s">
        <v>256</v>
      </c>
      <c r="N585" t="s">
        <v>3</v>
      </c>
      <c r="O585" t="s">
        <v>34</v>
      </c>
      <c r="P585">
        <f t="shared" si="33"/>
        <v>2.1605811830718102</v>
      </c>
      <c r="Q585" t="str">
        <f t="shared" si="32"/>
        <v/>
      </c>
      <c r="R585" s="67" cm="1">
        <f t="array" ref="R585">SUMPRODUCT((J585=$J$7:$J$1000)*(P585&lt;$P$7:$P$1000))+1</f>
        <v>59</v>
      </c>
      <c r="S585" s="72"/>
    </row>
    <row r="586" spans="10:19" x14ac:dyDescent="0.35">
      <c r="J586">
        <v>16</v>
      </c>
      <c r="K586" t="s">
        <v>23</v>
      </c>
      <c r="L586" t="s">
        <v>144</v>
      </c>
      <c r="M586" t="s">
        <v>256</v>
      </c>
      <c r="N586" t="s">
        <v>3</v>
      </c>
      <c r="O586" t="s">
        <v>17</v>
      </c>
      <c r="P586">
        <f t="shared" si="33"/>
        <v>5.719356455803382</v>
      </c>
      <c r="Q586" t="str">
        <f t="shared" si="32"/>
        <v/>
      </c>
      <c r="R586" s="67" cm="1">
        <f t="array" ref="R586">SUMPRODUCT((J586=$J$7:$J$1000)*(P586&lt;$P$7:$P$1000))+1</f>
        <v>18</v>
      </c>
      <c r="S586" s="72"/>
    </row>
    <row r="587" spans="10:19" x14ac:dyDescent="0.35">
      <c r="J587">
        <v>16</v>
      </c>
      <c r="K587" t="s">
        <v>23</v>
      </c>
      <c r="L587" t="s">
        <v>150</v>
      </c>
      <c r="M587" t="s">
        <v>256</v>
      </c>
      <c r="N587" t="s">
        <v>3</v>
      </c>
      <c r="O587" t="s">
        <v>17</v>
      </c>
      <c r="P587">
        <f t="shared" si="33"/>
        <v>1.1303712598328794</v>
      </c>
      <c r="Q587" t="str">
        <f t="shared" si="32"/>
        <v/>
      </c>
      <c r="R587" s="67" cm="1">
        <f t="array" ref="R587">SUMPRODUCT((J587=$J$7:$J$1000)*(P587&lt;$P$7:$P$1000))+1</f>
        <v>69</v>
      </c>
      <c r="S587" s="72"/>
    </row>
    <row r="588" spans="10:19" x14ac:dyDescent="0.35">
      <c r="J588" s="66">
        <v>16</v>
      </c>
      <c r="K588" t="s">
        <v>23</v>
      </c>
      <c r="L588" t="s">
        <v>549</v>
      </c>
      <c r="M588" t="s">
        <v>256</v>
      </c>
      <c r="N588" t="s">
        <v>3</v>
      </c>
      <c r="O588" t="s">
        <v>17</v>
      </c>
      <c r="P588">
        <f t="shared" si="33"/>
        <v>6.6764261101371272</v>
      </c>
      <c r="Q588" t="str">
        <f t="shared" si="32"/>
        <v/>
      </c>
      <c r="R588" s="67" cm="1">
        <f t="array" ref="R588">SUMPRODUCT((J588=$J$7:$J$1000)*(P588&lt;$P$7:$P$1000))+1</f>
        <v>13</v>
      </c>
      <c r="S588" s="72"/>
    </row>
    <row r="589" spans="10:19" x14ac:dyDescent="0.35">
      <c r="J589" s="66">
        <v>16</v>
      </c>
      <c r="K589" t="s">
        <v>23</v>
      </c>
      <c r="L589" t="s">
        <v>505</v>
      </c>
      <c r="M589" t="s">
        <v>256</v>
      </c>
      <c r="N589" t="s">
        <v>3</v>
      </c>
      <c r="O589" t="s">
        <v>17</v>
      </c>
      <c r="P589">
        <f t="shared" si="33"/>
        <v>-0.42894947460770083</v>
      </c>
      <c r="Q589" t="str">
        <f t="shared" si="32"/>
        <v/>
      </c>
      <c r="R589" s="67" cm="1">
        <f t="array" ref="R589">SUMPRODUCT((J589=$J$7:$J$1000)*(P589&lt;$P$7:$P$1000))+1</f>
        <v>76</v>
      </c>
      <c r="S589" s="72"/>
    </row>
    <row r="590" spans="10:19" x14ac:dyDescent="0.35">
      <c r="J590">
        <v>16</v>
      </c>
      <c r="K590" t="s">
        <v>23</v>
      </c>
      <c r="L590" t="s">
        <v>412</v>
      </c>
      <c r="M590" t="s">
        <v>256</v>
      </c>
      <c r="N590" t="s">
        <v>3</v>
      </c>
      <c r="O590" t="s">
        <v>17</v>
      </c>
      <c r="P590">
        <f t="shared" si="33"/>
        <v>5.2369601886906985</v>
      </c>
      <c r="Q590" t="str">
        <f t="shared" si="32"/>
        <v/>
      </c>
      <c r="R590" s="67" cm="1">
        <f t="array" ref="R590">SUMPRODUCT((J590=$J$7:$J$1000)*(P590&lt;$P$7:$P$1000))+1</f>
        <v>25</v>
      </c>
      <c r="S590" s="72"/>
    </row>
    <row r="591" spans="10:19" x14ac:dyDescent="0.35">
      <c r="J591">
        <v>16</v>
      </c>
      <c r="K591" t="s">
        <v>23</v>
      </c>
      <c r="L591" t="s">
        <v>169</v>
      </c>
      <c r="M591" t="s">
        <v>256</v>
      </c>
      <c r="N591" t="s">
        <v>3</v>
      </c>
      <c r="O591" t="s">
        <v>17</v>
      </c>
      <c r="P591">
        <f t="shared" si="33"/>
        <v>2.4005809579993347</v>
      </c>
      <c r="Q591" t="str">
        <f t="shared" si="32"/>
        <v/>
      </c>
      <c r="R591" s="67" cm="1">
        <f t="array" ref="R591">SUMPRODUCT((J591=$J$7:$J$1000)*(P591&lt;$P$7:$P$1000))+1</f>
        <v>55</v>
      </c>
      <c r="S591" s="72"/>
    </row>
    <row r="592" spans="10:19" x14ac:dyDescent="0.35">
      <c r="J592">
        <v>16</v>
      </c>
      <c r="K592" t="s">
        <v>23</v>
      </c>
      <c r="L592" t="s">
        <v>252</v>
      </c>
      <c r="M592" t="s">
        <v>256</v>
      </c>
      <c r="N592" t="s">
        <v>3</v>
      </c>
      <c r="O592" t="s">
        <v>17</v>
      </c>
      <c r="P592">
        <f t="shared" si="33"/>
        <v>1.5426894041799641</v>
      </c>
      <c r="Q592" t="str">
        <f t="shared" si="32"/>
        <v/>
      </c>
      <c r="R592" s="67" cm="1">
        <f t="array" ref="R592">SUMPRODUCT((J592=$J$7:$J$1000)*(P592&lt;$P$7:$P$1000))+1</f>
        <v>67</v>
      </c>
      <c r="S592" s="72"/>
    </row>
    <row r="593" spans="10:19" x14ac:dyDescent="0.35">
      <c r="J593">
        <v>16</v>
      </c>
      <c r="K593" t="s">
        <v>23</v>
      </c>
      <c r="L593" t="s">
        <v>506</v>
      </c>
      <c r="M593" t="s">
        <v>256</v>
      </c>
      <c r="N593" t="s">
        <v>3</v>
      </c>
      <c r="O593" t="s">
        <v>17</v>
      </c>
      <c r="P593">
        <f t="shared" si="33"/>
        <v>1.628164565444999</v>
      </c>
      <c r="Q593" t="str">
        <f t="shared" si="32"/>
        <v/>
      </c>
      <c r="R593" s="67" cm="1">
        <f t="array" ref="R593">SUMPRODUCT((J593=$J$7:$J$1000)*(P593&lt;$P$7:$P$1000))+1</f>
        <v>64</v>
      </c>
      <c r="S593" s="72"/>
    </row>
    <row r="594" spans="10:19" x14ac:dyDescent="0.35">
      <c r="J594">
        <v>16</v>
      </c>
      <c r="K594" t="s">
        <v>4</v>
      </c>
      <c r="L594" t="s">
        <v>481</v>
      </c>
      <c r="M594" t="s">
        <v>256</v>
      </c>
      <c r="N594" t="s">
        <v>9</v>
      </c>
      <c r="O594" t="s">
        <v>2</v>
      </c>
      <c r="P594">
        <f t="shared" si="33"/>
        <v>4.9601635516847766</v>
      </c>
      <c r="Q594" t="str">
        <f t="shared" si="32"/>
        <v/>
      </c>
      <c r="R594" s="67" cm="1">
        <f t="array" ref="R594">SUMPRODUCT((J594=$J$7:$J$1000)*(P594&lt;$P$7:$P$1000))+1</f>
        <v>27</v>
      </c>
      <c r="S594" s="72"/>
    </row>
    <row r="595" spans="10:19" x14ac:dyDescent="0.35">
      <c r="J595" s="66">
        <v>16</v>
      </c>
      <c r="K595" t="s">
        <v>4</v>
      </c>
      <c r="L595" t="s">
        <v>542</v>
      </c>
      <c r="M595" t="s">
        <v>256</v>
      </c>
      <c r="N595" t="s">
        <v>9</v>
      </c>
      <c r="O595" t="s">
        <v>2</v>
      </c>
      <c r="P595">
        <f t="shared" si="33"/>
        <v>2.5950150992907663</v>
      </c>
      <c r="Q595" t="str">
        <f t="shared" si="32"/>
        <v/>
      </c>
      <c r="R595" s="67" cm="1">
        <f t="array" ref="R595">SUMPRODUCT((J595=$J$7:$J$1000)*(P595&lt;$P$7:$P$1000))+1</f>
        <v>52</v>
      </c>
      <c r="S595" s="72"/>
    </row>
    <row r="596" spans="10:19" x14ac:dyDescent="0.35">
      <c r="J596">
        <v>16</v>
      </c>
      <c r="K596" t="s">
        <v>4</v>
      </c>
      <c r="L596" t="s">
        <v>523</v>
      </c>
      <c r="M596" t="s">
        <v>256</v>
      </c>
      <c r="N596" t="s">
        <v>9</v>
      </c>
      <c r="O596" t="s">
        <v>2</v>
      </c>
      <c r="P596">
        <f t="shared" si="33"/>
        <v>2.0513449513821373</v>
      </c>
      <c r="Q596" t="str">
        <f t="shared" si="32"/>
        <v/>
      </c>
      <c r="R596" s="67" cm="1">
        <f t="array" ref="R596">SUMPRODUCT((J596=$J$7:$J$1000)*(P596&lt;$P$7:$P$1000))+1</f>
        <v>60</v>
      </c>
      <c r="S596" s="72"/>
    </row>
    <row r="597" spans="10:19" x14ac:dyDescent="0.35">
      <c r="J597">
        <v>16</v>
      </c>
      <c r="K597" t="s">
        <v>4</v>
      </c>
      <c r="L597" t="s">
        <v>165</v>
      </c>
      <c r="M597" t="s">
        <v>256</v>
      </c>
      <c r="N597" t="s">
        <v>9</v>
      </c>
      <c r="O597" t="s">
        <v>2</v>
      </c>
      <c r="P597">
        <f t="shared" si="33"/>
        <v>3.6329793064268605</v>
      </c>
      <c r="Q597" t="str">
        <f t="shared" si="32"/>
        <v/>
      </c>
      <c r="R597" s="67" cm="1">
        <f t="array" ref="R597">SUMPRODUCT((J597=$J$7:$J$1000)*(P597&lt;$P$7:$P$1000))+1</f>
        <v>43</v>
      </c>
      <c r="S597" s="72"/>
    </row>
    <row r="598" spans="10:19" x14ac:dyDescent="0.35">
      <c r="J598">
        <v>16</v>
      </c>
      <c r="K598" t="s">
        <v>4</v>
      </c>
      <c r="L598" t="s">
        <v>172</v>
      </c>
      <c r="M598" t="s">
        <v>256</v>
      </c>
      <c r="N598" t="s">
        <v>9</v>
      </c>
      <c r="O598" t="s">
        <v>2</v>
      </c>
      <c r="P598">
        <f t="shared" si="33"/>
        <v>2.2742811534062803</v>
      </c>
      <c r="Q598" t="str">
        <f t="shared" si="32"/>
        <v/>
      </c>
      <c r="R598" s="67" cm="1">
        <f t="array" ref="R598">SUMPRODUCT((J598=$J$7:$J$1000)*(P598&lt;$P$7:$P$1000))+1</f>
        <v>56</v>
      </c>
      <c r="S598" s="72"/>
    </row>
    <row r="599" spans="10:19" x14ac:dyDescent="0.35">
      <c r="J599">
        <v>16</v>
      </c>
      <c r="K599" t="s">
        <v>4</v>
      </c>
      <c r="L599" t="s">
        <v>175</v>
      </c>
      <c r="M599" t="s">
        <v>256</v>
      </c>
      <c r="N599" t="s">
        <v>9</v>
      </c>
      <c r="O599" t="s">
        <v>2</v>
      </c>
      <c r="P599">
        <f t="shared" si="33"/>
        <v>10.942172585721524</v>
      </c>
      <c r="Q599" t="str">
        <f t="shared" si="32"/>
        <v/>
      </c>
      <c r="R599" s="67" cm="1">
        <f t="array" ref="R599">SUMPRODUCT((J599=$J$7:$J$1000)*(P599&lt;$P$7:$P$1000))+1</f>
        <v>1</v>
      </c>
      <c r="S599" s="72"/>
    </row>
    <row r="600" spans="10:19" x14ac:dyDescent="0.35">
      <c r="J600">
        <v>16</v>
      </c>
      <c r="K600" t="s">
        <v>4</v>
      </c>
      <c r="L600" t="s">
        <v>176</v>
      </c>
      <c r="M600" t="s">
        <v>256</v>
      </c>
      <c r="N600" t="s">
        <v>9</v>
      </c>
      <c r="O600" t="s">
        <v>2</v>
      </c>
      <c r="P600">
        <f t="shared" si="33"/>
        <v>3.1071728151718725</v>
      </c>
      <c r="Q600" t="str">
        <f t="shared" si="32"/>
        <v/>
      </c>
      <c r="R600" s="67" cm="1">
        <f t="array" ref="R600">SUMPRODUCT((J600=$J$7:$J$1000)*(P600&lt;$P$7:$P$1000))+1</f>
        <v>46</v>
      </c>
      <c r="S600" s="72"/>
    </row>
    <row r="601" spans="10:19" x14ac:dyDescent="0.35">
      <c r="J601">
        <v>16</v>
      </c>
      <c r="K601" t="s">
        <v>4</v>
      </c>
      <c r="L601" t="s">
        <v>608</v>
      </c>
      <c r="M601" t="s">
        <v>256</v>
      </c>
      <c r="N601" t="s">
        <v>9</v>
      </c>
      <c r="O601" t="s">
        <v>2</v>
      </c>
      <c r="P601">
        <f t="shared" si="33"/>
        <v>0.76089012155498159</v>
      </c>
      <c r="Q601" t="str">
        <f t="shared" si="32"/>
        <v/>
      </c>
      <c r="R601" s="67" cm="1">
        <f t="array" ref="R601">SUMPRODUCT((J601=$J$7:$J$1000)*(P601&lt;$P$7:$P$1000))+1</f>
        <v>72</v>
      </c>
    </row>
    <row r="602" spans="10:19" x14ac:dyDescent="0.35">
      <c r="J602">
        <v>16</v>
      </c>
      <c r="K602" t="s">
        <v>7</v>
      </c>
      <c r="L602" t="s">
        <v>148</v>
      </c>
      <c r="M602" t="s">
        <v>256</v>
      </c>
      <c r="N602" t="s">
        <v>3</v>
      </c>
      <c r="O602" t="s">
        <v>6</v>
      </c>
      <c r="P602">
        <f t="shared" si="33"/>
        <v>3.7273846047097985</v>
      </c>
      <c r="Q602" t="str">
        <f t="shared" si="32"/>
        <v/>
      </c>
      <c r="R602" s="67" cm="1">
        <f t="array" ref="R602">SUMPRODUCT((J602=$J$7:$J$1000)*(P602&lt;$P$7:$P$1000))+1</f>
        <v>42</v>
      </c>
    </row>
    <row r="603" spans="10:19" x14ac:dyDescent="0.35">
      <c r="J603">
        <v>16</v>
      </c>
      <c r="K603" t="s">
        <v>7</v>
      </c>
      <c r="L603" t="s">
        <v>158</v>
      </c>
      <c r="M603" t="s">
        <v>256</v>
      </c>
      <c r="N603" t="s">
        <v>3</v>
      </c>
      <c r="O603" t="s">
        <v>6</v>
      </c>
      <c r="P603">
        <f t="shared" si="33"/>
        <v>5.8319161911755284</v>
      </c>
      <c r="Q603" t="str">
        <f t="shared" si="32"/>
        <v/>
      </c>
      <c r="R603" s="67" cm="1">
        <f t="array" ref="R603">SUMPRODUCT((J603=$J$7:$J$1000)*(P603&lt;$P$7:$P$1000))+1</f>
        <v>16</v>
      </c>
    </row>
    <row r="604" spans="10:19" x14ac:dyDescent="0.35">
      <c r="J604">
        <v>16</v>
      </c>
      <c r="K604" t="s">
        <v>7</v>
      </c>
      <c r="L604" t="s">
        <v>163</v>
      </c>
      <c r="M604" t="s">
        <v>256</v>
      </c>
      <c r="N604" t="s">
        <v>3</v>
      </c>
      <c r="O604" t="s">
        <v>6</v>
      </c>
      <c r="P604">
        <f t="shared" si="33"/>
        <v>5.2680774573326783</v>
      </c>
      <c r="Q604" t="str">
        <f t="shared" si="32"/>
        <v/>
      </c>
      <c r="R604" s="67" cm="1">
        <f t="array" ref="R604">SUMPRODUCT((J604=$J$7:$J$1000)*(P604&lt;$P$7:$P$1000))+1</f>
        <v>23</v>
      </c>
    </row>
    <row r="605" spans="10:19" x14ac:dyDescent="0.35">
      <c r="J605">
        <v>16</v>
      </c>
      <c r="K605" t="s">
        <v>7</v>
      </c>
      <c r="L605" t="s">
        <v>630</v>
      </c>
      <c r="M605" t="s">
        <v>256</v>
      </c>
      <c r="N605" t="s">
        <v>3</v>
      </c>
      <c r="O605" t="s">
        <v>6</v>
      </c>
      <c r="P605">
        <f t="shared" si="33"/>
        <v>0.89359958863324718</v>
      </c>
      <c r="Q605" t="str">
        <f t="shared" si="32"/>
        <v/>
      </c>
      <c r="R605" s="67" cm="1">
        <f t="array" ref="R605">SUMPRODUCT((J605=$J$7:$J$1000)*(P605&lt;$P$7:$P$1000))+1</f>
        <v>71</v>
      </c>
    </row>
    <row r="606" spans="10:19" x14ac:dyDescent="0.35">
      <c r="J606" s="66">
        <v>16</v>
      </c>
      <c r="K606" t="s">
        <v>7</v>
      </c>
      <c r="L606" t="s">
        <v>507</v>
      </c>
      <c r="M606" t="s">
        <v>256</v>
      </c>
      <c r="N606" t="s">
        <v>3</v>
      </c>
      <c r="O606" t="s">
        <v>6</v>
      </c>
      <c r="P606">
        <f t="shared" si="33"/>
        <v>-2.2933001257545911</v>
      </c>
      <c r="Q606" t="str">
        <f t="shared" si="32"/>
        <v/>
      </c>
      <c r="R606" s="67" cm="1">
        <f t="array" ref="R606">SUMPRODUCT((J606=$J$7:$J$1000)*(P606&lt;$P$7:$P$1000))+1</f>
        <v>78</v>
      </c>
    </row>
    <row r="607" spans="10:19" x14ac:dyDescent="0.35">
      <c r="J607">
        <v>16</v>
      </c>
      <c r="K607" t="s">
        <v>7</v>
      </c>
      <c r="L607" t="s">
        <v>502</v>
      </c>
      <c r="M607" t="s">
        <v>256</v>
      </c>
      <c r="N607" t="s">
        <v>3</v>
      </c>
      <c r="O607" t="s">
        <v>6</v>
      </c>
      <c r="P607">
        <f t="shared" si="33"/>
        <v>5.2510067895104857</v>
      </c>
      <c r="Q607" t="str">
        <f t="shared" si="32"/>
        <v/>
      </c>
      <c r="R607" s="67" cm="1">
        <f t="array" ref="R607">SUMPRODUCT((J607=$J$7:$J$1000)*(P607&lt;$P$7:$P$1000))+1</f>
        <v>24</v>
      </c>
    </row>
    <row r="608" spans="10:19" x14ac:dyDescent="0.35">
      <c r="J608">
        <v>16</v>
      </c>
      <c r="K608" t="s">
        <v>7</v>
      </c>
      <c r="L608" t="s">
        <v>171</v>
      </c>
      <c r="M608" t="s">
        <v>256</v>
      </c>
      <c r="N608" t="s">
        <v>3</v>
      </c>
      <c r="O608" t="s">
        <v>6</v>
      </c>
      <c r="P608">
        <f t="shared" si="33"/>
        <v>8.1656983069688174</v>
      </c>
      <c r="Q608" t="str">
        <f t="shared" si="32"/>
        <v/>
      </c>
      <c r="R608" s="67" cm="1">
        <f t="array" ref="R608">SUMPRODUCT((J608=$J$7:$J$1000)*(P608&lt;$P$7:$P$1000))+1</f>
        <v>6</v>
      </c>
    </row>
    <row r="609" spans="10:18" x14ac:dyDescent="0.35">
      <c r="J609">
        <v>16</v>
      </c>
      <c r="K609" t="s">
        <v>7</v>
      </c>
      <c r="L609" t="s">
        <v>525</v>
      </c>
      <c r="M609" t="s">
        <v>256</v>
      </c>
      <c r="N609" t="s">
        <v>3</v>
      </c>
      <c r="O609" t="s">
        <v>6</v>
      </c>
      <c r="P609">
        <f t="shared" si="33"/>
        <v>3.2491498425865748</v>
      </c>
      <c r="Q609" t="str">
        <f t="shared" si="32"/>
        <v/>
      </c>
      <c r="R609" s="67" cm="1">
        <f t="array" ref="R609">SUMPRODUCT((J609=$J$7:$J$1000)*(P609&lt;$P$7:$P$1000))+1</f>
        <v>45</v>
      </c>
    </row>
    <row r="610" spans="10:18" x14ac:dyDescent="0.35">
      <c r="J610">
        <v>16</v>
      </c>
      <c r="K610" t="s">
        <v>34</v>
      </c>
      <c r="L610" t="s">
        <v>545</v>
      </c>
      <c r="M610" t="s">
        <v>256</v>
      </c>
      <c r="N610" t="s">
        <v>9</v>
      </c>
      <c r="O610" t="s">
        <v>24</v>
      </c>
      <c r="P610">
        <f t="shared" si="33"/>
        <v>2.9559230956079272</v>
      </c>
      <c r="Q610" t="str">
        <f t="shared" si="32"/>
        <v/>
      </c>
      <c r="R610" s="67" cm="1">
        <f t="array" ref="R610">SUMPRODUCT((J610=$J$7:$J$1000)*(P610&lt;$P$7:$P$1000))+1</f>
        <v>48</v>
      </c>
    </row>
    <row r="611" spans="10:18" x14ac:dyDescent="0.35">
      <c r="J611">
        <v>16</v>
      </c>
      <c r="K611" t="s">
        <v>34</v>
      </c>
      <c r="L611" t="s">
        <v>153</v>
      </c>
      <c r="M611" t="s">
        <v>256</v>
      </c>
      <c r="N611" t="s">
        <v>9</v>
      </c>
      <c r="O611" t="s">
        <v>24</v>
      </c>
      <c r="P611">
        <f t="shared" si="33"/>
        <v>3.7487736013909485</v>
      </c>
      <c r="Q611" t="str">
        <f t="shared" si="32"/>
        <v/>
      </c>
      <c r="R611" s="67" cm="1">
        <f t="array" ref="R611">SUMPRODUCT((J611=$J$7:$J$1000)*(P611&lt;$P$7:$P$1000))+1</f>
        <v>41</v>
      </c>
    </row>
    <row r="612" spans="10:18" x14ac:dyDescent="0.35">
      <c r="J612">
        <v>16</v>
      </c>
      <c r="K612" t="s">
        <v>34</v>
      </c>
      <c r="L612" t="s">
        <v>351</v>
      </c>
      <c r="M612" t="s">
        <v>256</v>
      </c>
      <c r="N612" t="s">
        <v>9</v>
      </c>
      <c r="O612" t="s">
        <v>24</v>
      </c>
      <c r="P612">
        <f t="shared" si="33"/>
        <v>5.6598312904029919</v>
      </c>
      <c r="Q612" t="str">
        <f t="shared" si="32"/>
        <v/>
      </c>
      <c r="R612" s="67" cm="1">
        <f t="array" ref="R612">SUMPRODUCT((J612=$J$7:$J$1000)*(P612&lt;$P$7:$P$1000))+1</f>
        <v>20</v>
      </c>
    </row>
    <row r="613" spans="10:18" x14ac:dyDescent="0.35">
      <c r="J613">
        <v>16</v>
      </c>
      <c r="K613" t="s">
        <v>34</v>
      </c>
      <c r="L613" t="s">
        <v>161</v>
      </c>
      <c r="M613" t="s">
        <v>256</v>
      </c>
      <c r="N613" t="s">
        <v>9</v>
      </c>
      <c r="O613" t="s">
        <v>24</v>
      </c>
      <c r="P613">
        <f t="shared" si="33"/>
        <v>7.068754190567395</v>
      </c>
      <c r="Q613" t="str">
        <f t="shared" si="32"/>
        <v/>
      </c>
      <c r="R613" s="67" cm="1">
        <f t="array" ref="R613">SUMPRODUCT((J613=$J$7:$J$1000)*(P613&lt;$P$7:$P$1000))+1</f>
        <v>9</v>
      </c>
    </row>
    <row r="614" spans="10:18" x14ac:dyDescent="0.35">
      <c r="J614">
        <v>16</v>
      </c>
      <c r="K614" t="s">
        <v>34</v>
      </c>
      <c r="L614" t="s">
        <v>593</v>
      </c>
      <c r="M614" t="s">
        <v>256</v>
      </c>
      <c r="N614" t="s">
        <v>9</v>
      </c>
      <c r="O614" t="s">
        <v>24</v>
      </c>
      <c r="P614">
        <f t="shared" si="33"/>
        <v>1.8768275734058664</v>
      </c>
      <c r="Q614" t="str">
        <f t="shared" si="32"/>
        <v/>
      </c>
      <c r="R614" s="67" cm="1">
        <f t="array" ref="R614">SUMPRODUCT((J614=$J$7:$J$1000)*(P614&lt;$P$7:$P$1000))+1</f>
        <v>62</v>
      </c>
    </row>
    <row r="615" spans="10:18" x14ac:dyDescent="0.35">
      <c r="J615">
        <v>16</v>
      </c>
      <c r="K615" t="s">
        <v>34</v>
      </c>
      <c r="L615" t="s">
        <v>177</v>
      </c>
      <c r="M615" t="s">
        <v>256</v>
      </c>
      <c r="N615" t="s">
        <v>9</v>
      </c>
      <c r="O615" t="s">
        <v>24</v>
      </c>
      <c r="P615">
        <f t="shared" si="33"/>
        <v>4.2630809239785696</v>
      </c>
      <c r="Q615" t="str">
        <f t="shared" ref="Q615:Q630" si="34">IFERROR(($M615-$P615)^2,"")</f>
        <v/>
      </c>
      <c r="R615" s="67" cm="1">
        <f t="array" ref="R615">SUMPRODUCT((J615=$J$7:$J$1000)*(P615&lt;$P$7:$P$1000))+1</f>
        <v>32</v>
      </c>
    </row>
    <row r="616" spans="10:18" x14ac:dyDescent="0.35">
      <c r="J616">
        <v>16</v>
      </c>
      <c r="K616" t="s">
        <v>34</v>
      </c>
      <c r="L616" t="s">
        <v>462</v>
      </c>
      <c r="M616" t="s">
        <v>256</v>
      </c>
      <c r="N616" t="s">
        <v>9</v>
      </c>
      <c r="O616" t="s">
        <v>24</v>
      </c>
      <c r="P616">
        <f t="shared" si="33"/>
        <v>10.407655640868155</v>
      </c>
      <c r="Q616" t="str">
        <f t="shared" si="34"/>
        <v/>
      </c>
      <c r="R616" s="67" cm="1">
        <f t="array" ref="R616">SUMPRODUCT((J616=$J$7:$J$1000)*(P616&lt;$P$7:$P$1000))+1</f>
        <v>2</v>
      </c>
    </row>
    <row r="617" spans="10:18" x14ac:dyDescent="0.35">
      <c r="J617">
        <v>16</v>
      </c>
      <c r="K617" t="s">
        <v>17</v>
      </c>
      <c r="L617" t="s">
        <v>149</v>
      </c>
      <c r="M617" t="s">
        <v>256</v>
      </c>
      <c r="N617" t="s">
        <v>9</v>
      </c>
      <c r="O617" t="s">
        <v>23</v>
      </c>
      <c r="P617">
        <f t="shared" si="33"/>
        <v>5.7073333561512003</v>
      </c>
      <c r="Q617" t="str">
        <f t="shared" si="34"/>
        <v/>
      </c>
      <c r="R617" s="67" cm="1">
        <f t="array" ref="R617">SUMPRODUCT((J617=$J$7:$J$1000)*(P617&lt;$P$7:$P$1000))+1</f>
        <v>19</v>
      </c>
    </row>
    <row r="618" spans="10:18" x14ac:dyDescent="0.35">
      <c r="J618">
        <v>16</v>
      </c>
      <c r="K618" t="s">
        <v>17</v>
      </c>
      <c r="L618" t="s">
        <v>155</v>
      </c>
      <c r="M618" t="s">
        <v>256</v>
      </c>
      <c r="N618" t="s">
        <v>9</v>
      </c>
      <c r="O618" t="s">
        <v>23</v>
      </c>
      <c r="P618">
        <f t="shared" si="33"/>
        <v>5.4358672551404359</v>
      </c>
      <c r="Q618" t="str">
        <f t="shared" si="34"/>
        <v/>
      </c>
      <c r="R618" s="67" cm="1">
        <f t="array" ref="R618">SUMPRODUCT((J618=$J$7:$J$1000)*(P618&lt;$P$7:$P$1000))+1</f>
        <v>22</v>
      </c>
    </row>
    <row r="619" spans="10:18" x14ac:dyDescent="0.35">
      <c r="J619" s="66">
        <v>16</v>
      </c>
      <c r="K619" t="s">
        <v>17</v>
      </c>
      <c r="L619" t="s">
        <v>167</v>
      </c>
      <c r="M619" t="s">
        <v>256</v>
      </c>
      <c r="N619" t="s">
        <v>9</v>
      </c>
      <c r="O619" t="s">
        <v>23</v>
      </c>
      <c r="P619">
        <f t="shared" si="33"/>
        <v>3.1071445122458328</v>
      </c>
      <c r="Q619" t="str">
        <f t="shared" si="34"/>
        <v/>
      </c>
      <c r="R619" s="67" cm="1">
        <f t="array" ref="R619">SUMPRODUCT((J619=$J$7:$J$1000)*(P619&lt;$P$7:$P$1000))+1</f>
        <v>47</v>
      </c>
    </row>
    <row r="620" spans="10:18" x14ac:dyDescent="0.35">
      <c r="J620">
        <v>16</v>
      </c>
      <c r="K620" t="s">
        <v>17</v>
      </c>
      <c r="L620" t="s">
        <v>480</v>
      </c>
      <c r="M620" t="s">
        <v>256</v>
      </c>
      <c r="N620" t="s">
        <v>9</v>
      </c>
      <c r="O620" t="s">
        <v>23</v>
      </c>
      <c r="P620">
        <f t="shared" si="33"/>
        <v>4.6805794401664045</v>
      </c>
      <c r="Q620" t="str">
        <f t="shared" si="34"/>
        <v/>
      </c>
      <c r="R620" s="67" cm="1">
        <f t="array" ref="R620">SUMPRODUCT((J620=$J$7:$J$1000)*(P620&lt;$P$7:$P$1000))+1</f>
        <v>29</v>
      </c>
    </row>
    <row r="621" spans="10:18" x14ac:dyDescent="0.35">
      <c r="J621">
        <v>16</v>
      </c>
      <c r="K621" t="s">
        <v>17</v>
      </c>
      <c r="L621" t="s">
        <v>586</v>
      </c>
      <c r="M621" t="s">
        <v>256</v>
      </c>
      <c r="N621" t="s">
        <v>9</v>
      </c>
      <c r="O621" t="s">
        <v>23</v>
      </c>
      <c r="P621">
        <f t="shared" si="33"/>
        <v>5.1578346155051715</v>
      </c>
      <c r="Q621" t="str">
        <f t="shared" si="34"/>
        <v/>
      </c>
      <c r="R621" s="67" cm="1">
        <f t="array" ref="R621">SUMPRODUCT((J621=$J$7:$J$1000)*(P621&lt;$P$7:$P$1000))+1</f>
        <v>26</v>
      </c>
    </row>
    <row r="622" spans="10:18" x14ac:dyDescent="0.35">
      <c r="J622">
        <v>16</v>
      </c>
      <c r="K622" t="s">
        <v>13</v>
      </c>
      <c r="L622" t="s">
        <v>464</v>
      </c>
      <c r="M622" t="s">
        <v>256</v>
      </c>
      <c r="N622" t="s">
        <v>3</v>
      </c>
      <c r="O622" t="s">
        <v>14</v>
      </c>
      <c r="P622">
        <f t="shared" si="33"/>
        <v>6.6801671655589239</v>
      </c>
      <c r="Q622" t="str">
        <f t="shared" si="34"/>
        <v/>
      </c>
      <c r="R622" s="67" cm="1">
        <f t="array" ref="R622">SUMPRODUCT((J622=$J$7:$J$1000)*(P622&lt;$P$7:$P$1000))+1</f>
        <v>12</v>
      </c>
    </row>
    <row r="623" spans="10:18" x14ac:dyDescent="0.35">
      <c r="J623">
        <v>16</v>
      </c>
      <c r="K623" t="s">
        <v>13</v>
      </c>
      <c r="L623" t="s">
        <v>145</v>
      </c>
      <c r="M623" t="s">
        <v>256</v>
      </c>
      <c r="N623" t="s">
        <v>3</v>
      </c>
      <c r="O623" t="s">
        <v>14</v>
      </c>
      <c r="P623">
        <f t="shared" si="33"/>
        <v>2.8135711481833932</v>
      </c>
      <c r="Q623" t="str">
        <f t="shared" si="34"/>
        <v/>
      </c>
      <c r="R623" s="67" cm="1">
        <f t="array" ref="R623">SUMPRODUCT((J623=$J$7:$J$1000)*(P623&lt;$P$7:$P$1000))+1</f>
        <v>50</v>
      </c>
    </row>
    <row r="624" spans="10:18" x14ac:dyDescent="0.35">
      <c r="J624">
        <v>16</v>
      </c>
      <c r="K624" t="s">
        <v>13</v>
      </c>
      <c r="L624" t="s">
        <v>557</v>
      </c>
      <c r="M624" t="s">
        <v>256</v>
      </c>
      <c r="N624" t="s">
        <v>3</v>
      </c>
      <c r="O624" t="s">
        <v>14</v>
      </c>
      <c r="P624">
        <f t="shared" si="33"/>
        <v>3.7640205303600753</v>
      </c>
      <c r="Q624" t="str">
        <f t="shared" si="34"/>
        <v/>
      </c>
      <c r="R624" s="67" cm="1">
        <f t="array" ref="R624">SUMPRODUCT((J624=$J$7:$J$1000)*(P624&lt;$P$7:$P$1000))+1</f>
        <v>40</v>
      </c>
    </row>
    <row r="625" spans="10:18" x14ac:dyDescent="0.35">
      <c r="J625">
        <v>16</v>
      </c>
      <c r="K625" t="s">
        <v>13</v>
      </c>
      <c r="L625" t="s">
        <v>524</v>
      </c>
      <c r="M625" t="s">
        <v>256</v>
      </c>
      <c r="N625" t="s">
        <v>3</v>
      </c>
      <c r="O625" t="s">
        <v>14</v>
      </c>
      <c r="P625">
        <f t="shared" si="33"/>
        <v>3.7869216768390421</v>
      </c>
      <c r="Q625" t="str">
        <f t="shared" si="34"/>
        <v/>
      </c>
      <c r="R625" s="67" cm="1">
        <f t="array" ref="R625">SUMPRODUCT((J625=$J$7:$J$1000)*(P625&lt;$P$7:$P$1000))+1</f>
        <v>39</v>
      </c>
    </row>
    <row r="626" spans="10:18" x14ac:dyDescent="0.35">
      <c r="J626">
        <v>16</v>
      </c>
      <c r="K626" t="s">
        <v>13</v>
      </c>
      <c r="L626" t="s">
        <v>463</v>
      </c>
      <c r="M626" t="s">
        <v>256</v>
      </c>
      <c r="N626" t="s">
        <v>3</v>
      </c>
      <c r="O626" t="s">
        <v>14</v>
      </c>
      <c r="P626">
        <f t="shared" si="33"/>
        <v>9.8690412009812771</v>
      </c>
      <c r="Q626" t="str">
        <f t="shared" si="34"/>
        <v/>
      </c>
      <c r="R626" s="67" cm="1">
        <f t="array" ref="R626">SUMPRODUCT((J626=$J$7:$J$1000)*(P626&lt;$P$7:$P$1000))+1</f>
        <v>4</v>
      </c>
    </row>
    <row r="627" spans="10:18" x14ac:dyDescent="0.35">
      <c r="J627">
        <v>16</v>
      </c>
      <c r="K627" t="s">
        <v>13</v>
      </c>
      <c r="L627" t="s">
        <v>599</v>
      </c>
      <c r="M627" t="s">
        <v>256</v>
      </c>
      <c r="N627" t="s">
        <v>3</v>
      </c>
      <c r="O627" t="s">
        <v>14</v>
      </c>
      <c r="P627">
        <f t="shared" si="33"/>
        <v>8.3959476525720991</v>
      </c>
      <c r="Q627" t="str">
        <f t="shared" si="34"/>
        <v/>
      </c>
      <c r="R627" s="67" cm="1">
        <f t="array" ref="R627">SUMPRODUCT((J627=$J$7:$J$1000)*(P627&lt;$P$7:$P$1000))+1</f>
        <v>5</v>
      </c>
    </row>
    <row r="628" spans="10:18" x14ac:dyDescent="0.35">
      <c r="J628">
        <v>16</v>
      </c>
      <c r="K628" t="s">
        <v>13</v>
      </c>
      <c r="L628" t="s">
        <v>526</v>
      </c>
      <c r="M628" t="s">
        <v>256</v>
      </c>
      <c r="N628" t="s">
        <v>3</v>
      </c>
      <c r="O628" t="s">
        <v>14</v>
      </c>
      <c r="P628">
        <f t="shared" si="33"/>
        <v>2.252633393095044</v>
      </c>
      <c r="Q628" t="str">
        <f t="shared" si="34"/>
        <v/>
      </c>
      <c r="R628" s="67" cm="1">
        <f t="array" ref="R628">SUMPRODUCT((J628=$J$7:$J$1000)*(P628&lt;$P$7:$P$1000))+1</f>
        <v>57</v>
      </c>
    </row>
    <row r="629" spans="10:18" x14ac:dyDescent="0.35">
      <c r="J629">
        <v>16</v>
      </c>
      <c r="K629" t="s">
        <v>13</v>
      </c>
      <c r="L629" t="s">
        <v>467</v>
      </c>
      <c r="M629" t="s">
        <v>256</v>
      </c>
      <c r="N629" t="s">
        <v>3</v>
      </c>
      <c r="O629" t="s">
        <v>14</v>
      </c>
      <c r="P629">
        <f t="shared" si="33"/>
        <v>4.0579845489873856</v>
      </c>
      <c r="Q629" t="str">
        <f t="shared" si="34"/>
        <v/>
      </c>
      <c r="R629" s="67" cm="1">
        <f t="array" ref="R629">SUMPRODUCT((J629=$J$7:$J$1000)*(P629&lt;$P$7:$P$1000))+1</f>
        <v>36</v>
      </c>
    </row>
    <row r="630" spans="10:18" x14ac:dyDescent="0.35">
      <c r="J630">
        <v>16</v>
      </c>
      <c r="K630" t="s">
        <v>13</v>
      </c>
      <c r="L630" t="s">
        <v>528</v>
      </c>
      <c r="M630" t="s">
        <v>256</v>
      </c>
      <c r="N630" t="s">
        <v>3</v>
      </c>
      <c r="O630" t="s">
        <v>14</v>
      </c>
      <c r="P630">
        <f t="shared" si="33"/>
        <v>0.97867680359148101</v>
      </c>
      <c r="Q630" t="str">
        <f t="shared" si="34"/>
        <v/>
      </c>
      <c r="R630" s="67" cm="1">
        <f t="array" ref="R630">SUMPRODUCT((J630=$J$7:$J$1000)*(P630&lt;$P$7:$P$1000))+1</f>
        <v>70</v>
      </c>
    </row>
    <row r="631" spans="10:18" x14ac:dyDescent="0.35">
      <c r="R631" s="67"/>
    </row>
    <row r="632" spans="10:18" x14ac:dyDescent="0.35">
      <c r="J632" s="66"/>
      <c r="R632" s="67"/>
    </row>
    <row r="633" spans="10:18" x14ac:dyDescent="0.35">
      <c r="R633" s="67"/>
    </row>
    <row r="634" spans="10:18" x14ac:dyDescent="0.35">
      <c r="R634" s="67"/>
    </row>
    <row r="635" spans="10:18" x14ac:dyDescent="0.35">
      <c r="R635" s="67"/>
    </row>
    <row r="636" spans="10:18" x14ac:dyDescent="0.35">
      <c r="R636" s="67"/>
    </row>
    <row r="637" spans="10:18" x14ac:dyDescent="0.35">
      <c r="R637" s="67"/>
    </row>
    <row r="638" spans="10:18" x14ac:dyDescent="0.35">
      <c r="R638" s="67"/>
    </row>
    <row r="639" spans="10:18" x14ac:dyDescent="0.35">
      <c r="R639" s="67"/>
    </row>
    <row r="640" spans="10:18" x14ac:dyDescent="0.35">
      <c r="R640" s="67"/>
    </row>
    <row r="641" spans="10:18" x14ac:dyDescent="0.35">
      <c r="R641" s="67"/>
    </row>
    <row r="642" spans="10:18" x14ac:dyDescent="0.35">
      <c r="R642" s="67"/>
    </row>
    <row r="643" spans="10:18" x14ac:dyDescent="0.35">
      <c r="J643" s="66"/>
      <c r="R643" s="67"/>
    </row>
    <row r="644" spans="10:18" x14ac:dyDescent="0.35">
      <c r="R644" s="67"/>
    </row>
    <row r="645" spans="10:18" x14ac:dyDescent="0.35">
      <c r="R645" s="67"/>
    </row>
    <row r="646" spans="10:18" x14ac:dyDescent="0.35">
      <c r="R646" s="67"/>
    </row>
    <row r="647" spans="10:18" x14ac:dyDescent="0.35">
      <c r="R647" s="67"/>
    </row>
    <row r="648" spans="10:18" x14ac:dyDescent="0.35">
      <c r="R648" s="67"/>
    </row>
    <row r="649" spans="10:18" x14ac:dyDescent="0.35">
      <c r="R649" s="67"/>
    </row>
    <row r="650" spans="10:18" x14ac:dyDescent="0.35">
      <c r="R650" s="67"/>
    </row>
    <row r="651" spans="10:18" x14ac:dyDescent="0.35">
      <c r="R651" s="67"/>
    </row>
    <row r="652" spans="10:18" x14ac:dyDescent="0.35">
      <c r="R652" s="67"/>
    </row>
    <row r="653" spans="10:18" x14ac:dyDescent="0.35">
      <c r="R653" s="67"/>
    </row>
    <row r="654" spans="10:18" x14ac:dyDescent="0.35">
      <c r="R654" s="67"/>
    </row>
    <row r="655" spans="10:18" x14ac:dyDescent="0.35">
      <c r="R655" s="67"/>
    </row>
    <row r="656" spans="10:18" x14ac:dyDescent="0.35">
      <c r="R656" s="67"/>
    </row>
    <row r="657" spans="10:18" x14ac:dyDescent="0.35">
      <c r="R657" s="67"/>
    </row>
    <row r="658" spans="10:18" x14ac:dyDescent="0.35">
      <c r="R658" s="67"/>
    </row>
    <row r="659" spans="10:18" x14ac:dyDescent="0.35">
      <c r="R659" s="67"/>
    </row>
    <row r="660" spans="10:18" x14ac:dyDescent="0.35">
      <c r="R660" s="67"/>
    </row>
    <row r="661" spans="10:18" x14ac:dyDescent="0.35">
      <c r="R661" s="67"/>
    </row>
    <row r="662" spans="10:18" x14ac:dyDescent="0.35">
      <c r="R662" s="67"/>
    </row>
    <row r="663" spans="10:18" x14ac:dyDescent="0.35">
      <c r="R663" s="67"/>
    </row>
    <row r="664" spans="10:18" x14ac:dyDescent="0.35">
      <c r="J664" s="66"/>
      <c r="R664" s="67"/>
    </row>
    <row r="665" spans="10:18" x14ac:dyDescent="0.35">
      <c r="R665" s="67"/>
    </row>
    <row r="666" spans="10:18" x14ac:dyDescent="0.35">
      <c r="R666" s="67"/>
    </row>
    <row r="667" spans="10:18" x14ac:dyDescent="0.35">
      <c r="R667" s="67"/>
    </row>
    <row r="668" spans="10:18" x14ac:dyDescent="0.35">
      <c r="R668" s="67"/>
    </row>
    <row r="669" spans="10:18" x14ac:dyDescent="0.35">
      <c r="R669" s="67"/>
    </row>
    <row r="670" spans="10:18" x14ac:dyDescent="0.35">
      <c r="R670" s="67"/>
    </row>
    <row r="671" spans="10:18" x14ac:dyDescent="0.35">
      <c r="R671" s="67"/>
    </row>
    <row r="672" spans="10:18" x14ac:dyDescent="0.35">
      <c r="R672" s="67"/>
    </row>
    <row r="673" spans="10:18" x14ac:dyDescent="0.35">
      <c r="R673" s="67"/>
    </row>
    <row r="674" spans="10:18" x14ac:dyDescent="0.35">
      <c r="R674" s="67"/>
    </row>
    <row r="675" spans="10:18" x14ac:dyDescent="0.35">
      <c r="R675" s="67"/>
    </row>
    <row r="676" spans="10:18" x14ac:dyDescent="0.35">
      <c r="J676" s="66"/>
      <c r="R676" s="67"/>
    </row>
    <row r="677" spans="10:18" x14ac:dyDescent="0.35">
      <c r="J677" s="66"/>
      <c r="R677" s="67"/>
    </row>
    <row r="678" spans="10:18" x14ac:dyDescent="0.35">
      <c r="R678" s="67"/>
    </row>
    <row r="679" spans="10:18" x14ac:dyDescent="0.35">
      <c r="R679" s="67"/>
    </row>
    <row r="680" spans="10:18" x14ac:dyDescent="0.35">
      <c r="R680" s="67"/>
    </row>
    <row r="681" spans="10:18" x14ac:dyDescent="0.35">
      <c r="R681" s="67"/>
    </row>
    <row r="682" spans="10:18" x14ac:dyDescent="0.35">
      <c r="R682" s="67"/>
    </row>
    <row r="683" spans="10:18" x14ac:dyDescent="0.35">
      <c r="R683" s="67"/>
    </row>
    <row r="684" spans="10:18" x14ac:dyDescent="0.35">
      <c r="R684" s="67"/>
    </row>
    <row r="685" spans="10:18" x14ac:dyDescent="0.35">
      <c r="R685" s="67"/>
    </row>
    <row r="686" spans="10:18" x14ac:dyDescent="0.35">
      <c r="R686" s="67"/>
    </row>
    <row r="687" spans="10:18" x14ac:dyDescent="0.35">
      <c r="R687" s="67"/>
    </row>
    <row r="688" spans="10:18" x14ac:dyDescent="0.35">
      <c r="R688" s="67"/>
    </row>
    <row r="689" spans="18:18" x14ac:dyDescent="0.35">
      <c r="R689" s="67"/>
    </row>
    <row r="690" spans="18:18" x14ac:dyDescent="0.35">
      <c r="R690" s="67"/>
    </row>
    <row r="691" spans="18:18" x14ac:dyDescent="0.35">
      <c r="R691" s="67"/>
    </row>
    <row r="692" spans="18:18" x14ac:dyDescent="0.35">
      <c r="R692" s="67"/>
    </row>
    <row r="693" spans="18:18" x14ac:dyDescent="0.35">
      <c r="R693" s="67"/>
    </row>
    <row r="694" spans="18:18" x14ac:dyDescent="0.35">
      <c r="R694" s="67"/>
    </row>
    <row r="695" spans="18:18" x14ac:dyDescent="0.35">
      <c r="R695" s="67"/>
    </row>
    <row r="696" spans="18:18" x14ac:dyDescent="0.35">
      <c r="R696" s="67"/>
    </row>
    <row r="697" spans="18:18" x14ac:dyDescent="0.35">
      <c r="R697" s="67"/>
    </row>
    <row r="698" spans="18:18" x14ac:dyDescent="0.35">
      <c r="R698" s="67"/>
    </row>
    <row r="699" spans="18:18" x14ac:dyDescent="0.35">
      <c r="R699" s="67"/>
    </row>
    <row r="700" spans="18:18" x14ac:dyDescent="0.35">
      <c r="R700" s="67"/>
    </row>
    <row r="701" spans="18:18" x14ac:dyDescent="0.35">
      <c r="R701" s="67"/>
    </row>
    <row r="702" spans="18:18" x14ac:dyDescent="0.35">
      <c r="R702" s="67"/>
    </row>
    <row r="703" spans="18:18" x14ac:dyDescent="0.35">
      <c r="R703" s="67"/>
    </row>
    <row r="704" spans="18:18" x14ac:dyDescent="0.35">
      <c r="R704" s="67"/>
    </row>
    <row r="705" spans="18:18" x14ac:dyDescent="0.35">
      <c r="R705" s="67"/>
    </row>
    <row r="706" spans="18:18" x14ac:dyDescent="0.35">
      <c r="R706" s="67"/>
    </row>
    <row r="707" spans="18:18" x14ac:dyDescent="0.35">
      <c r="R707" s="67"/>
    </row>
    <row r="708" spans="18:18" x14ac:dyDescent="0.35">
      <c r="R708" s="67"/>
    </row>
    <row r="709" spans="18:18" x14ac:dyDescent="0.35">
      <c r="R709" s="67"/>
    </row>
    <row r="710" spans="18:18" x14ac:dyDescent="0.35">
      <c r="R710" s="67"/>
    </row>
    <row r="711" spans="18:18" x14ac:dyDescent="0.35">
      <c r="R711" s="67"/>
    </row>
    <row r="712" spans="18:18" x14ac:dyDescent="0.35">
      <c r="R712" s="67"/>
    </row>
    <row r="713" spans="18:18" x14ac:dyDescent="0.35">
      <c r="R713" s="67"/>
    </row>
    <row r="714" spans="18:18" x14ac:dyDescent="0.35">
      <c r="R714" s="67"/>
    </row>
    <row r="715" spans="18:18" x14ac:dyDescent="0.35">
      <c r="R715" s="67"/>
    </row>
    <row r="716" spans="18:18" x14ac:dyDescent="0.35">
      <c r="R716" s="67"/>
    </row>
    <row r="717" spans="18:18" x14ac:dyDescent="0.35">
      <c r="R717" s="67"/>
    </row>
    <row r="718" spans="18:18" x14ac:dyDescent="0.35">
      <c r="R718" s="67"/>
    </row>
    <row r="719" spans="18:18" x14ac:dyDescent="0.35">
      <c r="R719" s="67"/>
    </row>
    <row r="720" spans="18:18" x14ac:dyDescent="0.35">
      <c r="R720" s="67"/>
    </row>
    <row r="721" spans="18:18" x14ac:dyDescent="0.35">
      <c r="R721" s="67"/>
    </row>
    <row r="722" spans="18:18" x14ac:dyDescent="0.35">
      <c r="R722" s="67"/>
    </row>
    <row r="723" spans="18:18" x14ac:dyDescent="0.35">
      <c r="R723" s="67"/>
    </row>
    <row r="724" spans="18:18" x14ac:dyDescent="0.35">
      <c r="R724" s="67"/>
    </row>
    <row r="725" spans="18:18" x14ac:dyDescent="0.35">
      <c r="R725" s="67"/>
    </row>
    <row r="726" spans="18:18" x14ac:dyDescent="0.35">
      <c r="R726" s="67"/>
    </row>
    <row r="727" spans="18:18" x14ac:dyDescent="0.35">
      <c r="R727" s="67"/>
    </row>
    <row r="728" spans="18:18" x14ac:dyDescent="0.35">
      <c r="R728" s="67"/>
    </row>
    <row r="729" spans="18:18" x14ac:dyDescent="0.35">
      <c r="R729" s="67"/>
    </row>
    <row r="730" spans="18:18" x14ac:dyDescent="0.35">
      <c r="R730" s="67"/>
    </row>
    <row r="731" spans="18:18" x14ac:dyDescent="0.35">
      <c r="R731" s="67"/>
    </row>
    <row r="732" spans="18:18" x14ac:dyDescent="0.35">
      <c r="R732" s="67"/>
    </row>
    <row r="733" spans="18:18" x14ac:dyDescent="0.35">
      <c r="R733" s="67"/>
    </row>
    <row r="734" spans="18:18" x14ac:dyDescent="0.35">
      <c r="R734" s="67"/>
    </row>
    <row r="735" spans="18:18" x14ac:dyDescent="0.35">
      <c r="R735" s="67"/>
    </row>
    <row r="736" spans="18:18" x14ac:dyDescent="0.35">
      <c r="R736" s="67"/>
    </row>
    <row r="737" spans="18:18" x14ac:dyDescent="0.35">
      <c r="R737" s="67"/>
    </row>
    <row r="738" spans="18:18" x14ac:dyDescent="0.35">
      <c r="R738" s="67"/>
    </row>
    <row r="739" spans="18:18" x14ac:dyDescent="0.35">
      <c r="R739" s="67"/>
    </row>
    <row r="740" spans="18:18" x14ac:dyDescent="0.35">
      <c r="R740" s="67"/>
    </row>
    <row r="741" spans="18:18" x14ac:dyDescent="0.35">
      <c r="R741" s="67"/>
    </row>
    <row r="742" spans="18:18" x14ac:dyDescent="0.35">
      <c r="R742" s="67"/>
    </row>
    <row r="743" spans="18:18" x14ac:dyDescent="0.35">
      <c r="R743" s="67"/>
    </row>
    <row r="744" spans="18:18" x14ac:dyDescent="0.35">
      <c r="R744" s="67"/>
    </row>
    <row r="745" spans="18:18" x14ac:dyDescent="0.35">
      <c r="R745" s="67"/>
    </row>
    <row r="746" spans="18:18" x14ac:dyDescent="0.35">
      <c r="R746" s="67"/>
    </row>
    <row r="747" spans="18:18" x14ac:dyDescent="0.35">
      <c r="R747" s="67"/>
    </row>
    <row r="748" spans="18:18" x14ac:dyDescent="0.35">
      <c r="R748" s="67"/>
    </row>
  </sheetData>
  <sortState xmlns:xlrd2="http://schemas.microsoft.com/office/spreadsheetml/2017/richdata2" ref="A6:C16">
    <sortCondition ref="C6:C16"/>
  </sortState>
  <conditionalFormatting sqref="A139:A146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B16">
    <cfRule type="colorScale" priority="20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0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103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9:C146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D17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103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10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0:F10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10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103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10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F968-596F-404D-92B6-EAB2A154BB7E}">
  <dimension ref="A1:AB689"/>
  <sheetViews>
    <sheetView zoomScaleNormal="100" workbookViewId="0">
      <selection activeCell="F20" sqref="F20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8" x14ac:dyDescent="0.35">
      <c r="A1" s="3" t="s">
        <v>398</v>
      </c>
      <c r="F1" s="3" t="s">
        <v>352</v>
      </c>
      <c r="G1">
        <v>12</v>
      </c>
    </row>
    <row r="2" spans="1:28" x14ac:dyDescent="0.35">
      <c r="B2">
        <v>0</v>
      </c>
    </row>
    <row r="3" spans="1:28" x14ac:dyDescent="0.35">
      <c r="A3" s="3" t="s">
        <v>62</v>
      </c>
      <c r="B3" s="4">
        <f>AVERAGE(B6:B49)</f>
        <v>2.8834743885526717E-8</v>
      </c>
      <c r="F3" s="3" t="s">
        <v>3</v>
      </c>
      <c r="G3" s="4">
        <v>7.2205677686790065E-3</v>
      </c>
    </row>
    <row r="4" spans="1:28" x14ac:dyDescent="0.35">
      <c r="A4" s="3" t="s">
        <v>121</v>
      </c>
      <c r="F4" t="s">
        <v>9</v>
      </c>
      <c r="G4">
        <f>-G3</f>
        <v>-7.2205677686790065E-3</v>
      </c>
    </row>
    <row r="5" spans="1:28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1908.2805992683498</v>
      </c>
    </row>
    <row r="6" spans="1:28" x14ac:dyDescent="0.35">
      <c r="A6" s="1" t="s">
        <v>14</v>
      </c>
      <c r="B6" s="1">
        <v>0.80302206424369804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  <c r="AA6" s="32" t="s">
        <v>357</v>
      </c>
      <c r="AB6" s="32" t="s">
        <v>61</v>
      </c>
    </row>
    <row r="7" spans="1:28" x14ac:dyDescent="0.35">
      <c r="A7" s="1" t="s">
        <v>7</v>
      </c>
      <c r="B7" s="1">
        <v>0.60834287084822658</v>
      </c>
      <c r="C7" s="1">
        <f t="shared" si="0"/>
        <v>2</v>
      </c>
      <c r="J7" s="65">
        <v>1</v>
      </c>
      <c r="K7" t="s">
        <v>24</v>
      </c>
      <c r="L7" t="s">
        <v>419</v>
      </c>
      <c r="M7">
        <v>15.3</v>
      </c>
      <c r="N7" t="s">
        <v>3</v>
      </c>
      <c r="O7" t="s">
        <v>7</v>
      </c>
      <c r="P7">
        <f>VLOOKUP($N7,$F$3:$G$4,2,FALSE)+VLOOKUP($L7,$B$20:$C$150,2,FALSE)+VLOOKUP($O7,$A$6:$B$16,2,FALSE)</f>
        <v>5.7876543989391873</v>
      </c>
      <c r="Q7">
        <f t="shared" ref="Q7:Q70" si="1">IFERROR(($M7-$P7)^2,"")</f>
        <v>90.48471883402101</v>
      </c>
      <c r="R7" s="67" cm="1">
        <f t="array" ref="R7">SUMPRODUCT((J7=$J$7:$J$1000)*(P7&lt;$P$7:$P$1000))+1</f>
        <v>3</v>
      </c>
      <c r="S7" s="72"/>
      <c r="T7" cm="1">
        <f t="array" ref="T7:Z205">_xlfn._xlws.FILTER($J$7:$P$10000,($J$7:$J$10000&gt;$G$1)*($J$7:$J$10000&lt;18))</f>
        <v>13</v>
      </c>
      <c r="U7" t="str">
        <v>ARC</v>
      </c>
      <c r="V7" t="str">
        <v>Alejandro Martinez Tapia</v>
      </c>
      <c r="W7" t="str">
        <v>NULL</v>
      </c>
      <c r="X7" t="str">
        <v>Away</v>
      </c>
      <c r="Y7" t="str">
        <v>LA</v>
      </c>
      <c r="Z7">
        <v>5.7267054833840598</v>
      </c>
      <c r="AA7" s="1" t="str" cm="1">
        <f t="array" ref="AA7:AA61">_xlfn._xlws.SORT(_xlfn.UNIQUE($L$7:$L$10000))</f>
        <v>Alejandro Martinez Tapia</v>
      </c>
      <c r="AB7" s="1" cm="1">
        <f t="array" ref="AB7">COUNT(_xlfn._xlws.FILTER($J$7:$J$10000,($L$7:$L$10000=AA7)*($M$7:$M$10000&lt;&gt;"NULL")*($J$7:$J$10000 &gt;= ($G$1-5))))/5</f>
        <v>0.6</v>
      </c>
    </row>
    <row r="8" spans="1:28" x14ac:dyDescent="0.35">
      <c r="A8" s="1" t="s">
        <v>34</v>
      </c>
      <c r="B8" s="1">
        <v>0.58397849051936068</v>
      </c>
      <c r="C8" s="1">
        <f t="shared" si="0"/>
        <v>3</v>
      </c>
      <c r="J8" s="65">
        <v>1</v>
      </c>
      <c r="K8" t="s">
        <v>34</v>
      </c>
      <c r="L8" t="s">
        <v>420</v>
      </c>
      <c r="M8">
        <v>12.9</v>
      </c>
      <c r="N8" t="s">
        <v>3</v>
      </c>
      <c r="O8" t="s">
        <v>17</v>
      </c>
      <c r="P8">
        <f t="shared" ref="P8:P71" si="2">VLOOKUP($N8,$F$3:$G$4,2,FALSE)+VLOOKUP($L8,$B$20:$C$150,2,FALSE)+VLOOKUP($O8,$A$6:$B$16,2,FALSE)</f>
        <v>8.1535588616857897</v>
      </c>
      <c r="Q8">
        <f t="shared" si="1"/>
        <v>22.5287034794815</v>
      </c>
      <c r="R8" s="67" cm="1">
        <f t="array" ref="R8">SUMPRODUCT((J8=$J$7:$J$1000)*(P8&lt;$P$7:$P$1000))+1</f>
        <v>1</v>
      </c>
      <c r="S8" s="72"/>
      <c r="T8">
        <v>13</v>
      </c>
      <c r="U8" t="str">
        <v>ARC</v>
      </c>
      <c r="V8" t="str">
        <v>Javon Camp Villalovos</v>
      </c>
      <c r="W8" t="str">
        <v>NULL</v>
      </c>
      <c r="X8" t="str">
        <v>Away</v>
      </c>
      <c r="Y8" t="str">
        <v>LA</v>
      </c>
      <c r="Z8">
        <v>2.5835744897792101</v>
      </c>
      <c r="AA8" s="1" t="str">
        <v>Bill Whiteside</v>
      </c>
      <c r="AB8" s="1" cm="1">
        <f t="array" ref="AB8">COUNT(_xlfn._xlws.FILTER($J$7:$J$10000,($L$7:$L$10000=AA8)*($M$7:$M$10000&lt;&gt;"NULL")*($J$7:$J$10000 &gt;= ($G$1-5))))/5</f>
        <v>0.4</v>
      </c>
    </row>
    <row r="9" spans="1:28" x14ac:dyDescent="0.35">
      <c r="A9" s="1" t="s">
        <v>17</v>
      </c>
      <c r="B9" s="1">
        <v>0.18479678724967363</v>
      </c>
      <c r="C9" s="1">
        <f t="shared" si="0"/>
        <v>4</v>
      </c>
      <c r="J9" s="65">
        <v>1</v>
      </c>
      <c r="K9" t="s">
        <v>2</v>
      </c>
      <c r="L9" t="s">
        <v>108</v>
      </c>
      <c r="M9">
        <v>11</v>
      </c>
      <c r="N9" t="s">
        <v>9</v>
      </c>
      <c r="O9" t="s">
        <v>36</v>
      </c>
      <c r="P9">
        <f t="shared" si="2"/>
        <v>5.1375298655065729</v>
      </c>
      <c r="Q9">
        <f t="shared" si="1"/>
        <v>34.368556077827378</v>
      </c>
      <c r="R9" s="67" cm="1">
        <f t="array" ref="R9">SUMPRODUCT((J9=$J$7:$J$1000)*(P9&lt;$P$7:$P$1000))+1</f>
        <v>7</v>
      </c>
      <c r="S9" s="72"/>
      <c r="T9">
        <v>13</v>
      </c>
      <c r="U9" t="str">
        <v>ARC</v>
      </c>
      <c r="V9" t="str">
        <v>Javon Camp Villalovos</v>
      </c>
      <c r="W9" t="str">
        <v>NULL</v>
      </c>
      <c r="X9" t="str">
        <v>Away</v>
      </c>
      <c r="Y9" t="str">
        <v>SDL</v>
      </c>
      <c r="Z9">
        <v>3.1678252505634354</v>
      </c>
      <c r="AA9" s="1" t="str">
        <v>Braemar Murray</v>
      </c>
      <c r="AB9" s="1" cm="1">
        <f t="array" ref="AB9">COUNT(_xlfn._xlws.FILTER($J$7:$J$10000,($L$7:$L$10000=AA9)*($M$7:$M$10000&lt;&gt;"NULL")*($J$7:$J$10000 &gt;= ($G$1-5))))/5</f>
        <v>0.4</v>
      </c>
    </row>
    <row r="10" spans="1:28" x14ac:dyDescent="0.35">
      <c r="A10" s="1" t="s">
        <v>2</v>
      </c>
      <c r="B10" s="1">
        <v>0.12651760176716342</v>
      </c>
      <c r="C10" s="1">
        <f t="shared" si="0"/>
        <v>5</v>
      </c>
      <c r="J10" s="65">
        <v>1</v>
      </c>
      <c r="K10" t="s">
        <v>23</v>
      </c>
      <c r="L10" t="s">
        <v>421</v>
      </c>
      <c r="M10">
        <v>9.3000000000000007</v>
      </c>
      <c r="N10" t="s">
        <v>9</v>
      </c>
      <c r="O10" t="s">
        <v>6</v>
      </c>
      <c r="P10">
        <f t="shared" si="2"/>
        <v>5.0081577777817863</v>
      </c>
      <c r="Q10">
        <f t="shared" si="1"/>
        <v>18.41990966041498</v>
      </c>
      <c r="R10" s="67" cm="1">
        <f t="array" ref="R10">SUMPRODUCT((J10=$J$7:$J$1000)*(P10&lt;$P$7:$P$1000))+1</f>
        <v>8</v>
      </c>
      <c r="S10" s="72"/>
      <c r="T10">
        <v>13</v>
      </c>
      <c r="U10" t="str">
        <v>ARC</v>
      </c>
      <c r="V10" t="str">
        <v>Mikey Grandy</v>
      </c>
      <c r="W10" t="str">
        <v>NULL</v>
      </c>
      <c r="X10" t="str">
        <v>Away</v>
      </c>
      <c r="Y10" t="str">
        <v>LA</v>
      </c>
      <c r="Z10">
        <v>4.5574911760409522</v>
      </c>
      <c r="AA10" s="1" t="str">
        <v>Brandon Harvey</v>
      </c>
      <c r="AB10" s="1" cm="1">
        <f t="array" ref="AB10">COUNT(_xlfn._xlws.FILTER($J$7:$J$10000,($L$7:$L$10000=AA10)*($M$7:$M$10000&lt;&gt;"NULL")*($J$7:$J$10000 &gt;= ($G$1-5))))/5</f>
        <v>0.4</v>
      </c>
    </row>
    <row r="11" spans="1:28" x14ac:dyDescent="0.35">
      <c r="A11" s="1" t="s">
        <v>6</v>
      </c>
      <c r="B11" s="1">
        <v>-2.7227026486460846E-4</v>
      </c>
      <c r="C11" s="1">
        <f t="shared" si="0"/>
        <v>6</v>
      </c>
      <c r="J11" s="65">
        <v>1</v>
      </c>
      <c r="K11" t="s">
        <v>6</v>
      </c>
      <c r="L11" t="s">
        <v>208</v>
      </c>
      <c r="M11">
        <v>8.4</v>
      </c>
      <c r="N11" t="s">
        <v>3</v>
      </c>
      <c r="O11" t="s">
        <v>23</v>
      </c>
      <c r="P11">
        <f t="shared" si="2"/>
        <v>7.4958213451295643</v>
      </c>
      <c r="Q11">
        <f t="shared" si="1"/>
        <v>0.81753903992331112</v>
      </c>
      <c r="R11" s="67" cm="1">
        <f t="array" ref="R11">SUMPRODUCT((J11=$J$7:$J$1000)*(P11&lt;$P$7:$P$1000))+1</f>
        <v>2</v>
      </c>
      <c r="S11" s="72"/>
      <c r="T11">
        <v>13</v>
      </c>
      <c r="U11" t="str">
        <v>ARC</v>
      </c>
      <c r="V11" t="str">
        <v>Sam Golla</v>
      </c>
      <c r="W11" t="str">
        <v>NULL</v>
      </c>
      <c r="X11" t="str">
        <v>Away</v>
      </c>
      <c r="Y11" t="str">
        <v>LA</v>
      </c>
      <c r="Z11">
        <v>6.3414276607100275</v>
      </c>
      <c r="AA11" s="1" t="str">
        <v>Callum Botchar</v>
      </c>
      <c r="AB11" s="1" cm="1">
        <f t="array" ref="AB11">COUNT(_xlfn._xlws.FILTER($J$7:$J$10000,($L$7:$L$10000=AA11)*($M$7:$M$10000&lt;&gt;"NULL")*($J$7:$J$10000 &gt;= ($G$1-5))))/5</f>
        <v>0.2</v>
      </c>
    </row>
    <row r="12" spans="1:28" x14ac:dyDescent="0.35">
      <c r="A12" s="1" t="s">
        <v>36</v>
      </c>
      <c r="B12" s="1">
        <v>-1.7425637964842526E-2</v>
      </c>
      <c r="C12" s="1">
        <f t="shared" si="0"/>
        <v>7</v>
      </c>
      <c r="J12" s="65">
        <v>1</v>
      </c>
      <c r="K12" t="s">
        <v>23</v>
      </c>
      <c r="L12" t="s">
        <v>221</v>
      </c>
      <c r="M12">
        <v>7.2</v>
      </c>
      <c r="N12" t="s">
        <v>9</v>
      </c>
      <c r="O12" t="s">
        <v>6</v>
      </c>
      <c r="P12">
        <f t="shared" si="2"/>
        <v>3.9294630394680556</v>
      </c>
      <c r="Q12">
        <f t="shared" si="1"/>
        <v>10.696412010205529</v>
      </c>
      <c r="R12" s="67" cm="1">
        <f t="array" ref="R12">SUMPRODUCT((J12=$J$7:$J$1000)*(P12&lt;$P$7:$P$1000))+1</f>
        <v>13</v>
      </c>
      <c r="S12" s="72"/>
      <c r="T12">
        <v>13</v>
      </c>
      <c r="U12" t="str">
        <v>ARC</v>
      </c>
      <c r="V12" t="str">
        <v>Shawn Clark</v>
      </c>
      <c r="W12" t="str">
        <v>NULL</v>
      </c>
      <c r="X12" t="str">
        <v>Away</v>
      </c>
      <c r="Y12" t="str">
        <v>LA</v>
      </c>
      <c r="Z12">
        <v>3.1315344213116605</v>
      </c>
      <c r="AA12" s="1" t="str">
        <v>Cam Dolan</v>
      </c>
      <c r="AB12" s="1" cm="1">
        <f t="array" ref="AB12">COUNT(_xlfn._xlws.FILTER($J$7:$J$10000,($L$7:$L$10000=AA12)*($M$7:$M$10000&lt;&gt;"NULL")*($J$7:$J$10000 &gt;= ($G$1-5))))/5</f>
        <v>0.8</v>
      </c>
    </row>
    <row r="13" spans="1:28" x14ac:dyDescent="0.35">
      <c r="A13" s="1" t="s">
        <v>23</v>
      </c>
      <c r="B13" s="1">
        <v>-0.12054481270716254</v>
      </c>
      <c r="C13" s="1">
        <f t="shared" si="0"/>
        <v>8</v>
      </c>
      <c r="J13" s="65">
        <v>1</v>
      </c>
      <c r="K13" t="s">
        <v>17</v>
      </c>
      <c r="L13" t="s">
        <v>105</v>
      </c>
      <c r="M13">
        <v>5.3</v>
      </c>
      <c r="N13" t="s">
        <v>9</v>
      </c>
      <c r="O13" t="s">
        <v>34</v>
      </c>
      <c r="P13">
        <f t="shared" si="2"/>
        <v>4.986133433037069</v>
      </c>
      <c r="Q13">
        <f t="shared" si="1"/>
        <v>9.8512221857095933E-2</v>
      </c>
      <c r="R13" s="67" cm="1">
        <f t="array" ref="R13">SUMPRODUCT((J13=$J$7:$J$1000)*(P13&lt;$P$7:$P$1000))+1</f>
        <v>9</v>
      </c>
      <c r="S13" s="72"/>
      <c r="T13">
        <v>13</v>
      </c>
      <c r="U13" t="str">
        <v>ARC</v>
      </c>
      <c r="V13" t="str">
        <v>Viliami Vuli</v>
      </c>
      <c r="W13" t="str">
        <v>NULL</v>
      </c>
      <c r="X13" t="str">
        <v>Away</v>
      </c>
      <c r="Y13" t="str">
        <v>LA</v>
      </c>
      <c r="Z13">
        <v>4.9462019916235542</v>
      </c>
      <c r="AA13" s="1" t="str">
        <v>Charlie Hewitt</v>
      </c>
      <c r="AB13" s="1" cm="1">
        <f t="array" ref="AB13">COUNT(_xlfn._xlws.FILTER($J$7:$J$10000,($L$7:$L$10000=AA13)*($M$7:$M$10000&lt;&gt;"NULL")*($J$7:$J$10000 &gt;= ($G$1-5))))/5</f>
        <v>0.4</v>
      </c>
    </row>
    <row r="14" spans="1:28" x14ac:dyDescent="0.35">
      <c r="A14" s="1" t="s">
        <v>24</v>
      </c>
      <c r="B14" s="1">
        <v>-0.5956790981534128</v>
      </c>
      <c r="C14" s="1">
        <f t="shared" si="0"/>
        <v>9</v>
      </c>
      <c r="J14" s="65">
        <v>1</v>
      </c>
      <c r="K14" t="s">
        <v>36</v>
      </c>
      <c r="L14" t="s">
        <v>117</v>
      </c>
      <c r="M14">
        <v>4</v>
      </c>
      <c r="N14" t="s">
        <v>3</v>
      </c>
      <c r="O14" t="s">
        <v>2</v>
      </c>
      <c r="P14">
        <f t="shared" si="2"/>
        <v>5.4080250800152925</v>
      </c>
      <c r="Q14">
        <f t="shared" si="1"/>
        <v>1.9825346259520709</v>
      </c>
      <c r="R14" s="67" cm="1">
        <f t="array" ref="R14">SUMPRODUCT((J14=$J$7:$J$1000)*(P14&lt;$P$7:$P$1000))+1</f>
        <v>6</v>
      </c>
      <c r="S14" s="72"/>
      <c r="T14">
        <v>13</v>
      </c>
      <c r="U14" t="str">
        <v>CHI</v>
      </c>
      <c r="V14" t="str">
        <v>Hamish Bain</v>
      </c>
      <c r="W14" t="str">
        <v>NULL</v>
      </c>
      <c r="X14" t="str">
        <v>Away</v>
      </c>
      <c r="Y14" t="str">
        <v>NEFJ</v>
      </c>
      <c r="Z14">
        <v>4.1432377187776632</v>
      </c>
      <c r="AA14" s="1" t="str">
        <v>Chase Jones</v>
      </c>
      <c r="AB14" s="1" cm="1">
        <f t="array" ref="AB14">COUNT(_xlfn._xlws.FILTER($J$7:$J$10000,($L$7:$L$10000=AA14)*($M$7:$M$10000&lt;&gt;"NULL")*($J$7:$J$10000 &gt;= ($G$1-5))))/5</f>
        <v>0.4</v>
      </c>
    </row>
    <row r="15" spans="1:28" x14ac:dyDescent="0.35">
      <c r="A15" s="1" t="s">
        <v>13</v>
      </c>
      <c r="B15" s="1">
        <v>-0.76631347189219579</v>
      </c>
      <c r="C15" s="1">
        <f t="shared" si="0"/>
        <v>10</v>
      </c>
      <c r="J15" s="65">
        <v>1</v>
      </c>
      <c r="K15" t="s">
        <v>24</v>
      </c>
      <c r="L15" t="s">
        <v>422</v>
      </c>
      <c r="M15">
        <v>3.9</v>
      </c>
      <c r="N15" t="s">
        <v>3</v>
      </c>
      <c r="O15" t="s">
        <v>7</v>
      </c>
      <c r="P15">
        <f t="shared" si="2"/>
        <v>3.7582234512526327</v>
      </c>
      <c r="Q15">
        <f t="shared" si="1"/>
        <v>2.0100589774714597E-2</v>
      </c>
      <c r="R15" s="67" cm="1">
        <f t="array" ref="R15">SUMPRODUCT((J15=$J$7:$J$1000)*(P15&lt;$P$7:$P$1000))+1</f>
        <v>14</v>
      </c>
      <c r="S15" s="72"/>
      <c r="T15">
        <v>13</v>
      </c>
      <c r="U15" t="str">
        <v>CHI</v>
      </c>
      <c r="V15" t="str">
        <v>James Scott</v>
      </c>
      <c r="W15" t="str">
        <v>NULL</v>
      </c>
      <c r="X15" t="str">
        <v>Away</v>
      </c>
      <c r="Y15" t="str">
        <v>NEFJ</v>
      </c>
      <c r="Z15">
        <v>5.0344106907642523</v>
      </c>
      <c r="AA15" s="1" t="str">
        <v>Conor Keys</v>
      </c>
      <c r="AB15" s="1" cm="1">
        <f t="array" ref="AB15">COUNT(_xlfn._xlws.FILTER($J$7:$J$10000,($L$7:$L$10000=AA15)*($M$7:$M$10000&lt;&gt;"NULL")*($J$7:$J$10000 &gt;= ($G$1-5))))/5</f>
        <v>0</v>
      </c>
    </row>
    <row r="16" spans="1:28" x14ac:dyDescent="0.35">
      <c r="A16" s="1" t="s">
        <v>4</v>
      </c>
      <c r="B16" s="1">
        <v>-0.80642220646346119</v>
      </c>
      <c r="C16" s="1">
        <f t="shared" si="0"/>
        <v>11</v>
      </c>
      <c r="D16" s="3"/>
      <c r="J16" s="65">
        <v>1</v>
      </c>
      <c r="K16" t="s">
        <v>7</v>
      </c>
      <c r="L16" t="s">
        <v>277</v>
      </c>
      <c r="M16">
        <v>3.3</v>
      </c>
      <c r="N16" t="s">
        <v>9</v>
      </c>
      <c r="O16" t="s">
        <v>24</v>
      </c>
      <c r="P16">
        <f t="shared" si="2"/>
        <v>5.5202493143633991</v>
      </c>
      <c r="Q16">
        <f t="shared" si="1"/>
        <v>4.9295070179311447</v>
      </c>
      <c r="R16" s="67" cm="1">
        <f t="array" ref="R16">SUMPRODUCT((J16=$J$7:$J$1000)*(P16&lt;$P$7:$P$1000))+1</f>
        <v>5</v>
      </c>
      <c r="S16" s="72"/>
      <c r="T16">
        <v>13</v>
      </c>
      <c r="U16" t="str">
        <v>CHI</v>
      </c>
      <c r="V16" t="str">
        <v>Mason Flesch</v>
      </c>
      <c r="W16" t="str">
        <v>NULL</v>
      </c>
      <c r="X16" t="str">
        <v>Away</v>
      </c>
      <c r="Y16" t="str">
        <v>NEFJ</v>
      </c>
      <c r="Z16">
        <v>5.2012500390645098</v>
      </c>
      <c r="AA16" s="1" t="str">
        <v>Federico Gutíerrez</v>
      </c>
      <c r="AB16" s="1" cm="1">
        <f t="array" ref="AB16">COUNT(_xlfn._xlws.FILTER($J$7:$J$10000,($L$7:$L$10000=AA16)*($M$7:$M$10000&lt;&gt;"NULL")*($J$7:$J$10000 &gt;= ($G$1-5))))/5</f>
        <v>0.2</v>
      </c>
    </row>
    <row r="17" spans="1:28" x14ac:dyDescent="0.35">
      <c r="J17" s="65">
        <v>1</v>
      </c>
      <c r="K17" t="s">
        <v>14</v>
      </c>
      <c r="L17" t="s">
        <v>107</v>
      </c>
      <c r="M17">
        <v>2.5</v>
      </c>
      <c r="N17" t="s">
        <v>9</v>
      </c>
      <c r="O17" t="s">
        <v>4</v>
      </c>
      <c r="P17">
        <f t="shared" si="2"/>
        <v>5.5352777245114311</v>
      </c>
      <c r="Q17">
        <f t="shared" si="1"/>
        <v>9.2129108649152904</v>
      </c>
      <c r="R17" s="67" cm="1">
        <f t="array" ref="R17">SUMPRODUCT((J17=$J$7:$J$1000)*(P17&lt;$P$7:$P$1000))+1</f>
        <v>4</v>
      </c>
      <c r="S17" s="72"/>
      <c r="T17">
        <v>13</v>
      </c>
      <c r="U17" t="str">
        <v>HOU</v>
      </c>
      <c r="V17" t="str">
        <v>Johan Momsen</v>
      </c>
      <c r="W17" t="str">
        <v>NULL</v>
      </c>
      <c r="X17" t="str">
        <v>Away</v>
      </c>
      <c r="Y17" t="str">
        <v>SDL</v>
      </c>
      <c r="Z17">
        <v>6.1758771533088606</v>
      </c>
      <c r="AA17" s="1" t="str">
        <v>Frank Lochore</v>
      </c>
      <c r="AB17" s="1" cm="1">
        <f t="array" ref="AB17">COUNT(_xlfn._xlws.FILTER($J$7:$J$10000,($L$7:$L$10000=AA17)*($M$7:$M$10000&lt;&gt;"NULL")*($J$7:$J$10000 &gt;= ($G$1-5))))/5</f>
        <v>0.8</v>
      </c>
    </row>
    <row r="18" spans="1:28" x14ac:dyDescent="0.35">
      <c r="J18" s="65">
        <v>1</v>
      </c>
      <c r="K18" t="s">
        <v>7</v>
      </c>
      <c r="L18" t="s">
        <v>104</v>
      </c>
      <c r="M18">
        <v>2.5</v>
      </c>
      <c r="N18" t="s">
        <v>9</v>
      </c>
      <c r="O18" t="s">
        <v>24</v>
      </c>
      <c r="P18">
        <f t="shared" si="2"/>
        <v>3.6748016817953735</v>
      </c>
      <c r="Q18">
        <f t="shared" si="1"/>
        <v>1.380158991549238</v>
      </c>
      <c r="R18" s="67" cm="1">
        <f t="array" ref="R18">SUMPRODUCT((J18=$J$7:$J$1000)*(P18&lt;$P$7:$P$1000))+1</f>
        <v>15</v>
      </c>
      <c r="S18" s="72"/>
      <c r="T18">
        <v>13</v>
      </c>
      <c r="U18" t="str">
        <v>HOU</v>
      </c>
      <c r="V18" t="str">
        <v>Justin Basson</v>
      </c>
      <c r="W18" t="str">
        <v>NULL</v>
      </c>
      <c r="X18" t="str">
        <v>Away</v>
      </c>
      <c r="Y18" t="str">
        <v>SDL</v>
      </c>
      <c r="Z18">
        <v>3.0066135880124789</v>
      </c>
      <c r="AA18" s="1" t="str">
        <v>Gavin Thornbury</v>
      </c>
      <c r="AB18" s="1" cm="1">
        <f t="array" ref="AB18">COUNT(_xlfn._xlws.FILTER($J$7:$J$10000,($L$7:$L$10000=AA18)*($M$7:$M$10000&lt;&gt;"NULL")*($J$7:$J$10000 &gt;= ($G$1-5))))/5</f>
        <v>0.4</v>
      </c>
    </row>
    <row r="19" spans="1:28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1</v>
      </c>
      <c r="K19" t="s">
        <v>34</v>
      </c>
      <c r="L19" t="s">
        <v>424</v>
      </c>
      <c r="M19">
        <v>2.2000000000000002</v>
      </c>
      <c r="N19" t="s">
        <v>3</v>
      </c>
      <c r="O19" t="s">
        <v>17</v>
      </c>
      <c r="P19">
        <f t="shared" si="2"/>
        <v>2.1920462834640571</v>
      </c>
      <c r="Q19">
        <f t="shared" si="1"/>
        <v>6.3261606734135064E-5</v>
      </c>
      <c r="R19" s="67" cm="1">
        <f t="array" ref="R19">SUMPRODUCT((J19=$J$7:$J$1000)*(P19&lt;$P$7:$P$1000))+1</f>
        <v>19</v>
      </c>
      <c r="S19" s="72"/>
      <c r="T19">
        <v>13</v>
      </c>
      <c r="U19" t="str">
        <v>HOU</v>
      </c>
      <c r="V19" t="str">
        <v>Nathan Den Hoedt</v>
      </c>
      <c r="W19" t="str">
        <v>NULL</v>
      </c>
      <c r="X19" t="str">
        <v>Away</v>
      </c>
      <c r="Y19" t="str">
        <v>SDL</v>
      </c>
      <c r="Z19">
        <v>5.8510448332301301</v>
      </c>
      <c r="AA19" s="1" t="str">
        <v>Hamish Bain</v>
      </c>
      <c r="AB19" s="1" cm="1">
        <f t="array" ref="AB19">COUNT(_xlfn._xlws.FILTER($J$7:$J$10000,($L$7:$L$10000=AA19)*($M$7:$M$10000&lt;&gt;"NULL")*($J$7:$J$10000 &gt;= ($G$1-5))))/5</f>
        <v>1.2</v>
      </c>
    </row>
    <row r="20" spans="1:28" x14ac:dyDescent="0.35">
      <c r="A20">
        <f>VLOOKUP($B20, PlayerIDs!$A$1:$B$516, 2, FALSE)</f>
        <v>841</v>
      </c>
      <c r="B20" t="s">
        <v>430</v>
      </c>
      <c r="C20" s="1">
        <v>14.408778178743898</v>
      </c>
      <c r="D20" s="1">
        <f t="shared" ref="D20:D51" si="3">RANK($C20,$C$20:$C$106)</f>
        <v>1</v>
      </c>
      <c r="E20" s="1" cm="1">
        <f t="array" ref="E20">IFERROR(VLOOKUP($B20,_xlfn._xlws.FILTER($L$7:$P$10000,$J$7:$J$10000=G$1+1),5, FALSE), 0)</f>
        <v>15.219020810756275</v>
      </c>
      <c r="F20" s="1">
        <f>RANK(E20,$E$20:$E$100)</f>
        <v>1</v>
      </c>
      <c r="G20" s="1">
        <f t="shared" ref="G20:G51" ca="1" si="4">SUMIF(V:Z,$B20,Z:Z)</f>
        <v>58.577316153681259</v>
      </c>
      <c r="H20" s="1">
        <f t="shared" ref="H20:H51" ca="1" si="5">RANK($G20,$G$20:$G$106)</f>
        <v>1</v>
      </c>
      <c r="I20" s="1" cm="1">
        <f t="array" ref="I20">COUNT(_xlfn._xlws.FILTER($J$7:$J$10000,($L$7:$L$10000=B20)*($M$7:$M$10000&lt;&gt;"NULL")*($J$7:$J$10000 &gt;= ($G$1-4))))/5</f>
        <v>0.2</v>
      </c>
      <c r="J20" s="65">
        <v>1</v>
      </c>
      <c r="K20" t="s">
        <v>14</v>
      </c>
      <c r="L20" t="s">
        <v>425</v>
      </c>
      <c r="M20">
        <v>1.8</v>
      </c>
      <c r="N20" t="s">
        <v>9</v>
      </c>
      <c r="O20" t="s">
        <v>4</v>
      </c>
      <c r="P20">
        <f t="shared" si="2"/>
        <v>2.3253844851130641</v>
      </c>
      <c r="Q20">
        <f t="shared" si="1"/>
        <v>0.27602885719751941</v>
      </c>
      <c r="R20" s="67" cm="1">
        <f t="array" ref="R20">SUMPRODUCT((J20=$J$7:$J$1000)*(P20&lt;$P$7:$P$1000))+1</f>
        <v>18</v>
      </c>
      <c r="S20" s="72"/>
      <c r="T20">
        <v>13</v>
      </c>
      <c r="U20" t="str">
        <v>LA</v>
      </c>
      <c r="V20" t="str">
        <v>Jason Damm</v>
      </c>
      <c r="W20" t="str">
        <v>NULL</v>
      </c>
      <c r="X20" t="str">
        <v>Home</v>
      </c>
      <c r="Y20" t="str">
        <v>ARC</v>
      </c>
      <c r="Z20">
        <v>8.4193882220804248</v>
      </c>
      <c r="AA20" s="1" t="str">
        <v>Ignacio Dotti</v>
      </c>
      <c r="AB20" s="1" cm="1">
        <f t="array" ref="AB20">COUNT(_xlfn._xlws.FILTER($J$7:$J$10000,($L$7:$L$10000=AA20)*($M$7:$M$10000&lt;&gt;"NULL")*($J$7:$J$10000 &gt;= ($G$1-5))))/5</f>
        <v>0.2</v>
      </c>
    </row>
    <row r="21" spans="1:28" x14ac:dyDescent="0.35">
      <c r="A21">
        <f>VLOOKUP($B21, PlayerIDs!$A$1:$B$516, 2, FALSE)</f>
        <v>730</v>
      </c>
      <c r="B21" t="s">
        <v>420</v>
      </c>
      <c r="C21" s="1">
        <v>7.9615415066674364</v>
      </c>
      <c r="D21" s="1">
        <f t="shared" si="3"/>
        <v>2</v>
      </c>
      <c r="E21" s="1" cm="1">
        <f t="array" ref="E21">IFERROR(VLOOKUP($B21,_xlfn._xlws.FILTER($L$7:$P$10000,$J$7:$J$10000=G$1+1),5, FALSE), 0)</f>
        <v>7.9513364364712737</v>
      </c>
      <c r="F21" s="1">
        <f t="shared" ref="F21:F73" si="6">RANK(E21,$E$20:$E$100)</f>
        <v>3</v>
      </c>
      <c r="G21" s="1">
        <f t="shared" ca="1" si="4"/>
        <v>23.44909600336505</v>
      </c>
      <c r="H21" s="1">
        <f t="shared" ca="1" si="5"/>
        <v>6</v>
      </c>
      <c r="I21" s="1" cm="1">
        <f t="array" ref="I21">COUNT(_xlfn._xlws.FILTER($J$7:$J$10000,($L$7:$L$10000=B21)*($M$7:$M$10000&lt;&gt;"NULL")*($J$7:$J$10000 &gt;= ($G$1-4))))/5</f>
        <v>1</v>
      </c>
      <c r="J21" s="65">
        <v>1</v>
      </c>
      <c r="K21" t="s">
        <v>17</v>
      </c>
      <c r="L21" t="s">
        <v>423</v>
      </c>
      <c r="M21">
        <v>1.7</v>
      </c>
      <c r="N21" t="s">
        <v>9</v>
      </c>
      <c r="O21" t="s">
        <v>34</v>
      </c>
      <c r="P21">
        <f t="shared" si="2"/>
        <v>3.5971670464650591</v>
      </c>
      <c r="Q21">
        <f t="shared" si="1"/>
        <v>3.5992428021929559</v>
      </c>
      <c r="R21" s="67" cm="1">
        <f t="array" ref="R21">SUMPRODUCT((J21=$J$7:$J$1000)*(P21&lt;$P$7:$P$1000))+1</f>
        <v>16</v>
      </c>
      <c r="S21" s="72"/>
      <c r="T21">
        <v>13</v>
      </c>
      <c r="U21" t="str">
        <v>LA</v>
      </c>
      <c r="V21" t="str">
        <v>Jurie van Vuuren</v>
      </c>
      <c r="W21" t="str">
        <v>NULL</v>
      </c>
      <c r="X21" t="str">
        <v>Home</v>
      </c>
      <c r="Y21" t="str">
        <v>ARC</v>
      </c>
      <c r="Z21">
        <v>4.9275483573356533</v>
      </c>
      <c r="AA21" s="1" t="str">
        <v>Isaia Lotawa</v>
      </c>
      <c r="AB21" s="1" cm="1">
        <f t="array" ref="AB21">COUNT(_xlfn._xlws.FILTER($J$7:$J$10000,($L$7:$L$10000=AA21)*($M$7:$M$10000&lt;&gt;"NULL")*($J$7:$J$10000 &gt;= ($G$1-5))))/5</f>
        <v>0.2</v>
      </c>
    </row>
    <row r="22" spans="1:28" x14ac:dyDescent="0.35">
      <c r="A22">
        <f>VLOOKUP($B22, PlayerIDs!$A$1:$B$516, 2, FALSE)</f>
        <v>635</v>
      </c>
      <c r="B22" t="s">
        <v>427</v>
      </c>
      <c r="C22" s="1">
        <v>7.8910084870124813</v>
      </c>
      <c r="D22" s="1">
        <f t="shared" si="3"/>
        <v>3</v>
      </c>
      <c r="E22" s="1" cm="1">
        <f t="array" ref="E22">IFERROR(VLOOKUP($B22,_xlfn._xlws.FILTER($L$7:$P$10000,$J$7:$J$10000=G$1+1),5, FALSE), 0)</f>
        <v>7.1174744473516061</v>
      </c>
      <c r="F22" s="1">
        <f t="shared" si="6"/>
        <v>4</v>
      </c>
      <c r="G22" s="1">
        <f t="shared" ca="1" si="4"/>
        <v>31.243728516005085</v>
      </c>
      <c r="H22" s="1">
        <f t="shared" ca="1" si="5"/>
        <v>3</v>
      </c>
      <c r="I22" s="1" cm="1">
        <f t="array" ref="I22">COUNT(_xlfn._xlws.FILTER($J$7:$J$10000,($L$7:$L$10000=B22)*($M$7:$M$10000&lt;&gt;"NULL")*($J$7:$J$10000 &gt;= ($G$1-4))))/5</f>
        <v>0.6</v>
      </c>
      <c r="J22" s="65">
        <v>1</v>
      </c>
      <c r="K22" t="s">
        <v>4</v>
      </c>
      <c r="L22" t="s">
        <v>118</v>
      </c>
      <c r="M22">
        <v>1.3</v>
      </c>
      <c r="N22" t="s">
        <v>3</v>
      </c>
      <c r="O22" t="s">
        <v>14</v>
      </c>
      <c r="P22">
        <f t="shared" si="2"/>
        <v>4.5693920085138977</v>
      </c>
      <c r="Q22">
        <f t="shared" si="1"/>
        <v>10.688924105334539</v>
      </c>
      <c r="R22" s="67" cm="1">
        <f t="array" ref="R22">SUMPRODUCT((J22=$J$7:$J$1000)*(P22&lt;$P$7:$P$1000))+1</f>
        <v>11</v>
      </c>
      <c r="S22" s="72"/>
      <c r="T22">
        <v>13</v>
      </c>
      <c r="U22" t="str">
        <v>LA</v>
      </c>
      <c r="V22" t="str">
        <v>Lucas Bur</v>
      </c>
      <c r="W22" t="str">
        <v>NULL</v>
      </c>
      <c r="X22" t="str">
        <v>Home</v>
      </c>
      <c r="Y22" t="str">
        <v>ARC</v>
      </c>
      <c r="Z22">
        <v>5.2223053584473744</v>
      </c>
      <c r="AA22" s="1" t="str">
        <v>James Rivers</v>
      </c>
      <c r="AB22" s="1" cm="1">
        <f t="array" ref="AB22">COUNT(_xlfn._xlws.FILTER($J$7:$J$10000,($L$7:$L$10000=AA22)*($M$7:$M$10000&lt;&gt;"NULL")*($J$7:$J$10000 &gt;= ($G$1-5))))/5</f>
        <v>0.2</v>
      </c>
    </row>
    <row r="23" spans="1:28" x14ac:dyDescent="0.35">
      <c r="A23">
        <f>VLOOKUP($B23, PlayerIDs!$A$1:$B$516, 2, FALSE)</f>
        <v>199</v>
      </c>
      <c r="B23" t="s">
        <v>208</v>
      </c>
      <c r="C23" s="1">
        <v>7.6091455900680476</v>
      </c>
      <c r="D23" s="1">
        <f t="shared" si="3"/>
        <v>4</v>
      </c>
      <c r="E23" s="1" cm="1">
        <f t="array" ref="E23">IFERROR(VLOOKUP($B23,_xlfn._xlws.FILTER($L$7:$P$10000,$J$7:$J$10000=G$1+1),5, FALSE), 0)</f>
        <v>8.4193882220804248</v>
      </c>
      <c r="F23" s="1">
        <f t="shared" si="6"/>
        <v>2</v>
      </c>
      <c r="G23" s="1">
        <f t="shared" ca="1" si="4"/>
        <v>31.378785798977866</v>
      </c>
      <c r="H23" s="1">
        <f t="shared" ca="1" si="5"/>
        <v>2</v>
      </c>
      <c r="I23" s="1" cm="1">
        <f t="array" ref="I23">COUNT(_xlfn._xlws.FILTER($J$7:$J$10000,($L$7:$L$10000=B23)*($M$7:$M$10000&lt;&gt;"NULL")*($J$7:$J$10000 &gt;= ($G$1-4))))/5</f>
        <v>0.6</v>
      </c>
      <c r="J23" s="65">
        <v>1</v>
      </c>
      <c r="K23" t="s">
        <v>6</v>
      </c>
      <c r="L23" t="s">
        <v>116</v>
      </c>
      <c r="M23">
        <v>0.8</v>
      </c>
      <c r="N23" t="s">
        <v>3</v>
      </c>
      <c r="O23" t="s">
        <v>23</v>
      </c>
      <c r="P23">
        <f t="shared" si="2"/>
        <v>1.0384794635452466</v>
      </c>
      <c r="Q23">
        <f t="shared" si="1"/>
        <v>5.6872454532828562E-2</v>
      </c>
      <c r="R23" s="67" cm="1">
        <f t="array" ref="R23">SUMPRODUCT((J23=$J$7:$J$1000)*(P23&lt;$P$7:$P$1000))+1</f>
        <v>20</v>
      </c>
      <c r="S23" s="72"/>
      <c r="T23">
        <v>13</v>
      </c>
      <c r="U23" t="str">
        <v>LA</v>
      </c>
      <c r="V23" t="str">
        <v>Reegan O'Gorman</v>
      </c>
      <c r="W23" t="str">
        <v>NULL</v>
      </c>
      <c r="X23" t="str">
        <v>Home</v>
      </c>
      <c r="Y23" t="str">
        <v>ARC</v>
      </c>
      <c r="Z23">
        <v>1.962046340496107</v>
      </c>
      <c r="AA23" s="1" t="str">
        <v>James Scott</v>
      </c>
      <c r="AB23" s="1" cm="1">
        <f t="array" ref="AB23">COUNT(_xlfn._xlws.FILTER($J$7:$J$10000,($L$7:$L$10000=AA23)*($M$7:$M$10000&lt;&gt;"NULL")*($J$7:$J$10000 &gt;= ($G$1-5))))/5</f>
        <v>1</v>
      </c>
    </row>
    <row r="24" spans="1:28" x14ac:dyDescent="0.35">
      <c r="A24">
        <f>VLOOKUP($B24, PlayerIDs!$A$1:$B$516, 2, FALSE)</f>
        <v>382</v>
      </c>
      <c r="B24" t="s">
        <v>107</v>
      </c>
      <c r="C24" s="1">
        <v>6.3489204987435715</v>
      </c>
      <c r="D24" s="1">
        <f t="shared" si="3"/>
        <v>5</v>
      </c>
      <c r="E24" s="1" cm="1">
        <f t="array" ref="E24">IFERROR(VLOOKUP($B24,_xlfn._xlws.FILTER($L$7:$P$10000,$J$7:$J$10000=G$1+1),5, FALSE), 0)</f>
        <v>6.3414276607100275</v>
      </c>
      <c r="F24" s="1">
        <f t="shared" si="6"/>
        <v>6</v>
      </c>
      <c r="G24" s="1">
        <f t="shared" ca="1" si="4"/>
        <v>25.363956725432619</v>
      </c>
      <c r="H24" s="1">
        <f t="shared" ca="1" si="5"/>
        <v>5</v>
      </c>
      <c r="I24" s="1" cm="1">
        <f t="array" ref="I24">COUNT(_xlfn._xlws.FILTER($J$7:$J$10000,($L$7:$L$10000=B24)*($M$7:$M$10000&lt;&gt;"NULL")*($J$7:$J$10000 &gt;= ($G$1-4))))/5</f>
        <v>0.8</v>
      </c>
      <c r="J24" s="65">
        <v>1</v>
      </c>
      <c r="K24" t="s">
        <v>2</v>
      </c>
      <c r="L24" t="s">
        <v>426</v>
      </c>
      <c r="M24">
        <v>-2.2999999999999998</v>
      </c>
      <c r="N24" t="s">
        <v>9</v>
      </c>
      <c r="O24" t="s">
        <v>36</v>
      </c>
      <c r="P24">
        <f t="shared" si="2"/>
        <v>4.2463568935199838</v>
      </c>
      <c r="Q24">
        <f t="shared" si="1"/>
        <v>42.854788577336613</v>
      </c>
      <c r="R24" s="67" cm="1">
        <f t="array" ref="R24">SUMPRODUCT((J24=$J$7:$J$1000)*(P24&lt;$P$7:$P$1000))+1</f>
        <v>12</v>
      </c>
      <c r="S24" s="72"/>
      <c r="T24">
        <v>13</v>
      </c>
      <c r="U24" t="str">
        <v>LA</v>
      </c>
      <c r="V24" t="str">
        <v>Tim Anstee</v>
      </c>
      <c r="W24" t="str">
        <v>NULL</v>
      </c>
      <c r="X24" t="str">
        <v>Home</v>
      </c>
      <c r="Y24" t="str">
        <v>ARC</v>
      </c>
      <c r="Z24">
        <v>15.219020810756275</v>
      </c>
      <c r="AA24" s="1" t="str">
        <v>Jason Damm</v>
      </c>
      <c r="AB24" s="1" cm="1">
        <f t="array" ref="AB24">COUNT(_xlfn._xlws.FILTER($J$7:$J$10000,($L$7:$L$10000=AA24)*($M$7:$M$10000&lt;&gt;"NULL")*($J$7:$J$10000 &gt;= ($G$1-5))))/5</f>
        <v>0.6</v>
      </c>
    </row>
    <row r="25" spans="1:28" x14ac:dyDescent="0.35">
      <c r="A25">
        <f>VLOOKUP($B25, PlayerIDs!$A$1:$B$516, 2, FALSE)</f>
        <v>681</v>
      </c>
      <c r="B25" t="s">
        <v>103</v>
      </c>
      <c r="C25" s="1">
        <v>6.3344373750370968</v>
      </c>
      <c r="D25" s="1">
        <f t="shared" si="3"/>
        <v>6</v>
      </c>
      <c r="E25" s="1" cm="1">
        <f t="array" ref="E25">IFERROR(VLOOKUP($B25,_xlfn._xlws.FILTER($L$7:$P$10000,$J$7:$J$10000=G$1+1),5, FALSE), 0)</f>
        <v>6.5264547300554501</v>
      </c>
      <c r="F25" s="1">
        <f t="shared" si="6"/>
        <v>5</v>
      </c>
      <c r="G25" s="1">
        <f t="shared" ca="1" si="4"/>
        <v>25.501720507213456</v>
      </c>
      <c r="H25" s="1">
        <f t="shared" ca="1" si="5"/>
        <v>4</v>
      </c>
      <c r="I25" s="1" cm="1">
        <f t="array" ref="I25">COUNT(_xlfn._xlws.FILTER($J$7:$J$10000,($L$7:$L$10000=B25)*($M$7:$M$10000&lt;&gt;"NULL")*($J$7:$J$10000 &gt;= ($G$1-4))))/5</f>
        <v>0.8</v>
      </c>
      <c r="J25" s="65">
        <v>1</v>
      </c>
      <c r="K25" t="s">
        <v>4</v>
      </c>
      <c r="L25" t="s">
        <v>335</v>
      </c>
      <c r="M25">
        <v>-3</v>
      </c>
      <c r="N25" t="s">
        <v>3</v>
      </c>
      <c r="O25" t="s">
        <v>14</v>
      </c>
      <c r="P25">
        <f t="shared" si="2"/>
        <v>4.6057972283100606</v>
      </c>
      <c r="Q25">
        <f t="shared" si="1"/>
        <v>57.848151478169001</v>
      </c>
      <c r="R25" s="67" cm="1">
        <f t="array" ref="R25">SUMPRODUCT((J25=$J$7:$J$1000)*(P25&lt;$P$7:$P$1000))+1</f>
        <v>10</v>
      </c>
      <c r="S25" s="72"/>
      <c r="T25">
        <v>13</v>
      </c>
      <c r="U25" t="str">
        <v>MIA</v>
      </c>
      <c r="V25" t="str">
        <v>Braemar Murray</v>
      </c>
      <c r="W25" t="str">
        <v>NULL</v>
      </c>
      <c r="X25" t="str">
        <v>Away</v>
      </c>
      <c r="Y25" t="str">
        <v>NOLA</v>
      </c>
      <c r="Z25">
        <v>2.3311115848735779</v>
      </c>
      <c r="AA25" s="1" t="str">
        <v>Javon Camp Villalovos</v>
      </c>
      <c r="AB25" s="1" cm="1">
        <f t="array" ref="AB25">COUNT(_xlfn._xlws.FILTER($J$7:$J$10000,($L$7:$L$10000=AA25)*($M$7:$M$10000&lt;&gt;"NULL")*($J$7:$J$10000 &gt;= ($G$1-5))))/5</f>
        <v>0.2</v>
      </c>
    </row>
    <row r="26" spans="1:28" x14ac:dyDescent="0.35">
      <c r="A26">
        <f>VLOOKUP($B26, PlayerIDs!$A$1:$B$516, 2, FALSE)</f>
        <v>414</v>
      </c>
      <c r="B26" t="s">
        <v>277</v>
      </c>
      <c r="C26" s="1">
        <v>6.1231489802854915</v>
      </c>
      <c r="D26" s="1">
        <f t="shared" si="3"/>
        <v>7</v>
      </c>
      <c r="E26" s="1" cm="1">
        <f t="array" ref="E26">IFERROR(VLOOKUP($B26,_xlfn._xlws.FILTER($L$7:$P$10000,$J$7:$J$10000=G$1+1),5, FALSE), 0)</f>
        <v>0</v>
      </c>
      <c r="F26" s="1">
        <f t="shared" si="6"/>
        <v>51</v>
      </c>
      <c r="G26" s="1">
        <f t="shared" ca="1" si="4"/>
        <v>19.044431354359467</v>
      </c>
      <c r="H26" s="1">
        <f t="shared" ca="1" si="5"/>
        <v>17</v>
      </c>
      <c r="I26" s="1" cm="1">
        <f t="array" ref="I26">COUNT(_xlfn._xlws.FILTER($J$7:$J$10000,($L$7:$L$10000=B26)*($M$7:$M$10000&lt;&gt;"NULL")*($J$7:$J$10000 &gt;= ($G$1-4))))/5</f>
        <v>0.6</v>
      </c>
      <c r="J26" s="65">
        <v>1</v>
      </c>
      <c r="K26" t="s">
        <v>36</v>
      </c>
      <c r="L26" t="s">
        <v>106</v>
      </c>
      <c r="M26">
        <v>-3.1</v>
      </c>
      <c r="N26" t="s">
        <v>3</v>
      </c>
      <c r="O26" t="s">
        <v>2</v>
      </c>
      <c r="P26">
        <f t="shared" si="2"/>
        <v>2.5635938347976395</v>
      </c>
      <c r="Q26">
        <f t="shared" si="1"/>
        <v>32.076295125557834</v>
      </c>
      <c r="R26" s="67" cm="1">
        <f t="array" ref="R26">SUMPRODUCT((J26=$J$7:$J$1000)*(P26&lt;$P$7:$P$1000))+1</f>
        <v>17</v>
      </c>
      <c r="S26" s="72"/>
      <c r="T26">
        <v>13</v>
      </c>
      <c r="U26" t="str">
        <v>MIA</v>
      </c>
      <c r="V26" t="str">
        <v>Federico Gutíerrez</v>
      </c>
      <c r="W26" t="str">
        <v>NULL</v>
      </c>
      <c r="X26" t="str">
        <v>Away</v>
      </c>
      <c r="Y26" t="str">
        <v>NOLA</v>
      </c>
      <c r="Z26">
        <v>2.329017238403587</v>
      </c>
      <c r="AA26" s="1" t="str">
        <v>Jay Tuivaiti</v>
      </c>
      <c r="AB26" s="1" cm="1">
        <f t="array" ref="AB26">COUNT(_xlfn._xlws.FILTER($J$7:$J$10000,($L$7:$L$10000=AA26)*($M$7:$M$10000&lt;&gt;"NULL")*($J$7:$J$10000 &gt;= ($G$1-5))))/5</f>
        <v>0.4</v>
      </c>
    </row>
    <row r="27" spans="1:28" x14ac:dyDescent="0.35">
      <c r="A27">
        <f>VLOOKUP($B27, PlayerIDs!$A$1:$B$516, 2, FALSE)</f>
        <v>62</v>
      </c>
      <c r="B27" t="s">
        <v>484</v>
      </c>
      <c r="C27" s="1">
        <v>6.1168228849438053</v>
      </c>
      <c r="D27" s="1">
        <f t="shared" si="3"/>
        <v>8</v>
      </c>
      <c r="E27" s="1" cm="1">
        <f t="array" ref="E27">IFERROR(VLOOKUP($B27,_xlfn._xlws.FILTER($L$7:$P$10000,$J$7:$J$10000=G$1+1),5, FALSE), 0)</f>
        <v>5.5283643545590717</v>
      </c>
      <c r="F27" s="1">
        <f t="shared" si="6"/>
        <v>11</v>
      </c>
      <c r="G27" s="1">
        <f t="shared" ca="1" si="4"/>
        <v>17.122214254321651</v>
      </c>
      <c r="H27" s="1">
        <f t="shared" ca="1" si="5"/>
        <v>25</v>
      </c>
      <c r="I27" s="1" cm="1">
        <f t="array" ref="I27">COUNT(_xlfn._xlws.FILTER($J$7:$J$10000,($L$7:$L$10000=B27)*($M$7:$M$10000&lt;&gt;"NULL")*($J$7:$J$10000 &gt;= ($G$1-4))))/5</f>
        <v>0.4</v>
      </c>
      <c r="J27" s="65">
        <v>2</v>
      </c>
      <c r="K27" t="s">
        <v>34</v>
      </c>
      <c r="L27" t="s">
        <v>228</v>
      </c>
      <c r="M27">
        <v>13.5</v>
      </c>
      <c r="N27" t="s">
        <v>9</v>
      </c>
      <c r="O27" t="s">
        <v>14</v>
      </c>
      <c r="P27">
        <f t="shared" si="2"/>
        <v>6.7542381009226649</v>
      </c>
      <c r="Q27">
        <f t="shared" si="1"/>
        <v>45.505303599043458</v>
      </c>
      <c r="R27" s="67" cm="1">
        <f t="array" ref="R27">SUMPRODUCT((J27=$J$7:$J$1000)*(P27&lt;$P$7:$P$1000))+1</f>
        <v>3</v>
      </c>
      <c r="S27" s="72"/>
      <c r="T27">
        <v>13</v>
      </c>
      <c r="U27" t="str">
        <v>MIA</v>
      </c>
      <c r="V27" t="str">
        <v>Mauro Rebussone</v>
      </c>
      <c r="W27" t="str">
        <v>NULL</v>
      </c>
      <c r="X27" t="str">
        <v>Away</v>
      </c>
      <c r="Y27" t="str">
        <v>NOLA</v>
      </c>
      <c r="Z27">
        <v>4.3584481860901407</v>
      </c>
      <c r="AA27" s="1" t="str">
        <v>Jed Holloway</v>
      </c>
      <c r="AB27" s="1" cm="1">
        <f t="array" ref="AB27">COUNT(_xlfn._xlws.FILTER($J$7:$J$10000,($L$7:$L$10000=AA27)*($M$7:$M$10000&lt;&gt;"NULL")*($J$7:$J$10000 &gt;= ($G$1-5))))/5</f>
        <v>1.2</v>
      </c>
    </row>
    <row r="28" spans="1:28" x14ac:dyDescent="0.35">
      <c r="A28">
        <f>VLOOKUP($B28, PlayerIDs!$A$1:$B$516, 2, FALSE)</f>
        <v>442</v>
      </c>
      <c r="B28" t="s">
        <v>228</v>
      </c>
      <c r="C28" s="1">
        <v>5.9584366044476464</v>
      </c>
      <c r="D28" s="1">
        <f t="shared" si="3"/>
        <v>9</v>
      </c>
      <c r="E28" s="1" cm="1">
        <f t="array" ref="E28">IFERROR(VLOOKUP($B28,_xlfn._xlws.FILTER($L$7:$P$10000,$J$7:$J$10000=G$1+1),5, FALSE), 0)</f>
        <v>5.9482315342514838</v>
      </c>
      <c r="F28" s="1">
        <f t="shared" si="6"/>
        <v>8</v>
      </c>
      <c r="G28" s="1">
        <f t="shared" ca="1" si="4"/>
        <v>17.439781296705679</v>
      </c>
      <c r="H28" s="1">
        <f t="shared" ca="1" si="5"/>
        <v>21</v>
      </c>
      <c r="I28" s="1" cm="1">
        <f t="array" ref="I28">COUNT(_xlfn._xlws.FILTER($J$7:$J$10000,($L$7:$L$10000=B28)*($M$7:$M$10000&lt;&gt;"NULL")*($J$7:$J$10000 &gt;= ($G$1-4))))/5</f>
        <v>0.4</v>
      </c>
      <c r="J28" s="65">
        <v>2</v>
      </c>
      <c r="K28" t="s">
        <v>13</v>
      </c>
      <c r="L28" t="s">
        <v>120</v>
      </c>
      <c r="M28">
        <v>7.6</v>
      </c>
      <c r="N28" t="s">
        <v>9</v>
      </c>
      <c r="O28" t="s">
        <v>2</v>
      </c>
      <c r="P28">
        <f t="shared" si="2"/>
        <v>5.0413530056077249</v>
      </c>
      <c r="Q28">
        <f t="shared" si="1"/>
        <v>6.5466744419126215</v>
      </c>
      <c r="R28" s="67" cm="1">
        <f t="array" ref="R28">SUMPRODUCT((J28=$J$7:$J$1000)*(P28&lt;$P$7:$P$1000))+1</f>
        <v>10</v>
      </c>
      <c r="S28" s="72"/>
      <c r="T28">
        <v>13</v>
      </c>
      <c r="U28" t="str">
        <v>MIA</v>
      </c>
      <c r="V28" t="str">
        <v>Rick Rose</v>
      </c>
      <c r="W28" t="str">
        <v>NULL</v>
      </c>
      <c r="X28" t="str">
        <v>Away</v>
      </c>
      <c r="Y28" t="str">
        <v>NOLA</v>
      </c>
      <c r="Z28">
        <v>4.1840284850464569</v>
      </c>
      <c r="AA28" s="1" t="str">
        <v>Jero Gomez Vara</v>
      </c>
      <c r="AB28" s="1" cm="1">
        <f t="array" ref="AB28">COUNT(_xlfn._xlws.FILTER($J$7:$J$10000,($L$7:$L$10000=AA28)*($M$7:$M$10000&lt;&gt;"NULL")*($J$7:$J$10000 &gt;= ($G$1-5))))/5</f>
        <v>0.2</v>
      </c>
    </row>
    <row r="29" spans="1:28" x14ac:dyDescent="0.35">
      <c r="A29">
        <f>VLOOKUP($B29, PlayerIDs!$A$1:$B$516, 2, FALSE)</f>
        <v>452</v>
      </c>
      <c r="B29" t="s">
        <v>114</v>
      </c>
      <c r="C29" s="1">
        <v>5.9071774857946462</v>
      </c>
      <c r="D29" s="1">
        <f t="shared" si="3"/>
        <v>10</v>
      </c>
      <c r="E29" s="1" cm="1">
        <f t="array" ref="E29">IFERROR(VLOOKUP($B29,_xlfn._xlws.FILTER($L$7:$P$10000,$J$7:$J$10000=G$1+1),5, FALSE), 0)</f>
        <v>5.3187189554099126</v>
      </c>
      <c r="F29" s="1">
        <f t="shared" si="6"/>
        <v>13</v>
      </c>
      <c r="G29" s="1">
        <f t="shared" ca="1" si="4"/>
        <v>16.493278056874171</v>
      </c>
      <c r="H29" s="1">
        <f t="shared" ca="1" si="5"/>
        <v>29</v>
      </c>
      <c r="I29" s="1" cm="1">
        <f t="array" ref="I29">COUNT(_xlfn._xlws.FILTER($J$7:$J$10000,($L$7:$L$10000=B29)*($M$7:$M$10000&lt;&gt;"NULL")*($J$7:$J$10000 &gt;= ($G$1-4))))/5</f>
        <v>0.4</v>
      </c>
      <c r="J29" s="65">
        <v>2</v>
      </c>
      <c r="K29" t="s">
        <v>4</v>
      </c>
      <c r="L29" t="s">
        <v>335</v>
      </c>
      <c r="M29">
        <v>6.9</v>
      </c>
      <c r="N29" t="s">
        <v>9</v>
      </c>
      <c r="O29" t="s">
        <v>24</v>
      </c>
      <c r="P29">
        <f t="shared" si="2"/>
        <v>3.1926549303755918</v>
      </c>
      <c r="Q29">
        <f t="shared" si="1"/>
        <v>13.744407465268411</v>
      </c>
      <c r="R29" s="67" cm="1">
        <f t="array" ref="R29">SUMPRODUCT((J29=$J$7:$J$1000)*(P29&lt;$P$7:$P$1000))+1</f>
        <v>14</v>
      </c>
      <c r="S29" s="72"/>
      <c r="T29">
        <v>13</v>
      </c>
      <c r="U29" t="str">
        <v>MIA</v>
      </c>
      <c r="V29" t="str">
        <v>Tomás Casares</v>
      </c>
      <c r="W29" t="str">
        <v>NULL</v>
      </c>
      <c r="X29" t="str">
        <v>Away</v>
      </c>
      <c r="Y29" t="str">
        <v>NOLA</v>
      </c>
      <c r="Z29">
        <v>4.8601813047853355</v>
      </c>
      <c r="AA29" s="1" t="str">
        <v>Johan Momsen</v>
      </c>
      <c r="AB29" s="1" cm="1">
        <f t="array" ref="AB29">COUNT(_xlfn._xlws.FILTER($J$7:$J$10000,($L$7:$L$10000=AA29)*($M$7:$M$10000&lt;&gt;"NULL")*($J$7:$J$10000 &gt;= ($G$1-5))))/5</f>
        <v>0.6</v>
      </c>
    </row>
    <row r="30" spans="1:28" x14ac:dyDescent="0.35">
      <c r="A30">
        <f>VLOOKUP($B30, PlayerIDs!$A$1:$B$516, 2, FALSE)</f>
        <v>279</v>
      </c>
      <c r="B30" t="s">
        <v>109</v>
      </c>
      <c r="C30" s="1">
        <v>5.790137929459231</v>
      </c>
      <c r="D30" s="1">
        <f t="shared" si="3"/>
        <v>11</v>
      </c>
      <c r="E30" s="1" cm="1">
        <f t="array" ref="E30">IFERROR(VLOOKUP($B30,_xlfn._xlws.FILTER($L$7:$P$10000,$J$7:$J$10000=G$1+1),5, FALSE), 0)</f>
        <v>5.2016793990744974</v>
      </c>
      <c r="F30" s="1">
        <f t="shared" si="6"/>
        <v>15</v>
      </c>
      <c r="G30" s="1">
        <f t="shared" ca="1" si="4"/>
        <v>16.142159387867927</v>
      </c>
      <c r="H30" s="1">
        <f t="shared" ca="1" si="5"/>
        <v>30</v>
      </c>
      <c r="I30" s="1" cm="1">
        <f t="array" ref="I30">COUNT(_xlfn._xlws.FILTER($J$7:$J$10000,($L$7:$L$10000=B30)*($M$7:$M$10000&lt;&gt;"NULL")*($J$7:$J$10000 &gt;= ($G$1-4))))/5</f>
        <v>0</v>
      </c>
      <c r="J30" s="65">
        <v>2</v>
      </c>
      <c r="K30" t="s">
        <v>13</v>
      </c>
      <c r="L30" t="s">
        <v>469</v>
      </c>
      <c r="M30">
        <v>5.8</v>
      </c>
      <c r="N30" t="s">
        <v>9</v>
      </c>
      <c r="O30" t="s">
        <v>2</v>
      </c>
      <c r="P30">
        <f t="shared" si="2"/>
        <v>5.3958753408379305</v>
      </c>
      <c r="Q30">
        <f t="shared" si="1"/>
        <v>0.16331674014285869</v>
      </c>
      <c r="R30" s="67" cm="1">
        <f t="array" ref="R30">SUMPRODUCT((J30=$J$7:$J$1000)*(P30&lt;$P$7:$P$1000))+1</f>
        <v>6</v>
      </c>
      <c r="S30" s="72"/>
      <c r="T30">
        <v>13</v>
      </c>
      <c r="U30" t="str">
        <v>NEFJ</v>
      </c>
      <c r="V30" t="str">
        <v>Conor Keys</v>
      </c>
      <c r="W30" t="str">
        <v>NULL</v>
      </c>
      <c r="X30" t="str">
        <v>Home</v>
      </c>
      <c r="Y30" t="str">
        <v>CHI</v>
      </c>
      <c r="Z30">
        <v>2.592259274377176</v>
      </c>
      <c r="AA30" s="1" t="str">
        <v>Jurie van Vuuren</v>
      </c>
      <c r="AB30" s="1" cm="1">
        <f t="array" ref="AB30">COUNT(_xlfn._xlws.FILTER($J$7:$J$10000,($L$7:$L$10000=AA30)*($M$7:$M$10000&lt;&gt;"NULL")*($J$7:$J$10000 &gt;= ($G$1-5))))/5</f>
        <v>1</v>
      </c>
    </row>
    <row r="31" spans="1:28" x14ac:dyDescent="0.35">
      <c r="A31">
        <f>VLOOKUP($B31, PlayerIDs!$A$1:$B$516, 2, FALSE)</f>
        <v>827</v>
      </c>
      <c r="B31" t="s">
        <v>540</v>
      </c>
      <c r="C31" s="1">
        <v>5.7341983214176038</v>
      </c>
      <c r="D31" s="1">
        <f t="shared" si="3"/>
        <v>12</v>
      </c>
      <c r="E31" s="1" cm="1">
        <f t="array" ref="E31">IFERROR(VLOOKUP($B31,_xlfn._xlws.FILTER($L$7:$P$10000,$J$7:$J$10000=G$1+1),5, FALSE), 0)</f>
        <v>5.7267054833840598</v>
      </c>
      <c r="F31" s="1">
        <f t="shared" si="6"/>
        <v>10</v>
      </c>
      <c r="G31" s="1">
        <f t="shared" ca="1" si="4"/>
        <v>22.905068016128745</v>
      </c>
      <c r="H31" s="1">
        <f t="shared" ca="1" si="5"/>
        <v>7</v>
      </c>
      <c r="I31" s="1" cm="1">
        <f t="array" ref="I31">COUNT(_xlfn._xlws.FILTER($J$7:$J$10000,($L$7:$L$10000=B31)*($M$7:$M$10000&lt;&gt;"NULL")*($J$7:$J$10000 &gt;= ($G$1-4))))/5</f>
        <v>0.4</v>
      </c>
      <c r="J31" s="65">
        <v>2</v>
      </c>
      <c r="K31" t="s">
        <v>36</v>
      </c>
      <c r="L31" t="s">
        <v>117</v>
      </c>
      <c r="M31">
        <v>5.5</v>
      </c>
      <c r="N31" t="s">
        <v>9</v>
      </c>
      <c r="O31" t="s">
        <v>6</v>
      </c>
      <c r="P31">
        <f t="shared" si="2"/>
        <v>5.2667940724459053</v>
      </c>
      <c r="Q31">
        <f t="shared" si="1"/>
        <v>5.4385004646365691E-2</v>
      </c>
      <c r="R31" s="67" cm="1">
        <f t="array" ref="R31">SUMPRODUCT((J31=$J$7:$J$1000)*(P31&lt;$P$7:$P$1000))+1</f>
        <v>7</v>
      </c>
      <c r="S31" s="72"/>
      <c r="T31">
        <v>13</v>
      </c>
      <c r="U31" t="str">
        <v>NEFJ</v>
      </c>
      <c r="V31" t="str">
        <v>Jero Gomez Vara</v>
      </c>
      <c r="W31" t="str">
        <v>NULL</v>
      </c>
      <c r="X31" t="str">
        <v>Home</v>
      </c>
      <c r="Y31" t="str">
        <v>CHI</v>
      </c>
      <c r="Z31">
        <v>4.3819071281586197</v>
      </c>
      <c r="AA31" s="1" t="str">
        <v>Justin Basson</v>
      </c>
      <c r="AB31" s="1" cm="1">
        <f t="array" ref="AB31">COUNT(_xlfn._xlws.FILTER($J$7:$J$10000,($L$7:$L$10000=AA31)*($M$7:$M$10000&lt;&gt;"NULL")*($J$7:$J$10000 &gt;= ($G$1-5))))/5</f>
        <v>0.8</v>
      </c>
    </row>
    <row r="32" spans="1:28" x14ac:dyDescent="0.35">
      <c r="A32">
        <f>VLOOKUP($B32, PlayerIDs!$A$1:$B$516, 2, FALSE)</f>
        <v>428</v>
      </c>
      <c r="B32" t="s">
        <v>511</v>
      </c>
      <c r="C32" s="1">
        <v>5.6738240790174759</v>
      </c>
      <c r="D32" s="1">
        <f t="shared" si="3"/>
        <v>13</v>
      </c>
      <c r="E32" s="1" cm="1">
        <f t="array" ref="E32">IFERROR(VLOOKUP($B32,_xlfn._xlws.FILTER($L$7:$P$10000,$J$7:$J$10000=G$1+1),5, FALSE), 0)</f>
        <v>4.8601813047853355</v>
      </c>
      <c r="F32" s="1">
        <f t="shared" si="6"/>
        <v>22</v>
      </c>
      <c r="G32" s="1">
        <f t="shared" ca="1" si="4"/>
        <v>22.352035517153777</v>
      </c>
      <c r="H32" s="1">
        <f t="shared" ca="1" si="5"/>
        <v>8</v>
      </c>
      <c r="I32" s="1" cm="1">
        <f t="array" ref="I32">COUNT(_xlfn._xlws.FILTER($J$7:$J$10000,($L$7:$L$10000=B32)*($M$7:$M$10000&lt;&gt;"NULL")*($J$7:$J$10000 &gt;= ($G$1-4))))/5</f>
        <v>0.8</v>
      </c>
      <c r="J32" s="65">
        <v>2</v>
      </c>
      <c r="K32" t="s">
        <v>24</v>
      </c>
      <c r="L32" t="s">
        <v>422</v>
      </c>
      <c r="M32">
        <v>5.2</v>
      </c>
      <c r="N32" t="s">
        <v>3</v>
      </c>
      <c r="O32" t="s">
        <v>4</v>
      </c>
      <c r="P32">
        <f t="shared" si="2"/>
        <v>2.3434583739409449</v>
      </c>
      <c r="Q32">
        <f t="shared" si="1"/>
        <v>8.1598300614081118</v>
      </c>
      <c r="R32" s="67" cm="1">
        <f t="array" ref="R32">SUMPRODUCT((J32=$J$7:$J$1000)*(P32&lt;$P$7:$P$1000))+1</f>
        <v>15</v>
      </c>
      <c r="S32" s="72"/>
      <c r="T32">
        <v>13</v>
      </c>
      <c r="U32" t="str">
        <v>NEFJ</v>
      </c>
      <c r="V32" t="str">
        <v>Kyle Baillie</v>
      </c>
      <c r="W32" t="str">
        <v>NULL</v>
      </c>
      <c r="X32" t="str">
        <v>Home</v>
      </c>
      <c r="Y32" t="str">
        <v>CHI</v>
      </c>
      <c r="Z32">
        <v>2.1907454981366485</v>
      </c>
      <c r="AA32" s="1" t="str">
        <v>Kaden Duguid</v>
      </c>
      <c r="AB32" s="1" cm="1">
        <f t="array" ref="AB32">COUNT(_xlfn._xlws.FILTER($J$7:$J$10000,($L$7:$L$10000=AA32)*($M$7:$M$10000&lt;&gt;"NULL")*($J$7:$J$10000 &gt;= ($G$1-5))))/5</f>
        <v>0.2</v>
      </c>
    </row>
    <row r="33" spans="1:28" x14ac:dyDescent="0.35">
      <c r="A33">
        <f>VLOOKUP($B33, PlayerIDs!$A$1:$B$516, 2, FALSE)</f>
        <v>214</v>
      </c>
      <c r="B33" t="s">
        <v>112</v>
      </c>
      <c r="C33" s="1">
        <v>5.5991192305581796</v>
      </c>
      <c r="D33" s="1">
        <f t="shared" si="3"/>
        <v>14</v>
      </c>
      <c r="E33" s="1" cm="1">
        <f t="array" ref="E33">IFERROR(VLOOKUP($B33,_xlfn._xlws.FILTER($L$7:$P$10000,$J$7:$J$10000=G$1+1),5, FALSE), 0)</f>
        <v>6.1758771533088606</v>
      </c>
      <c r="F33" s="1">
        <f t="shared" si="6"/>
        <v>7</v>
      </c>
      <c r="G33" s="1">
        <f t="shared" ca="1" si="4"/>
        <v>16.792598929782699</v>
      </c>
      <c r="H33" s="1">
        <f t="shared" ca="1" si="5"/>
        <v>27</v>
      </c>
      <c r="I33" s="1" cm="1">
        <f t="array" ref="I33">COUNT(_xlfn._xlws.FILTER($J$7:$J$10000,($L$7:$L$10000=B33)*($M$7:$M$10000&lt;&gt;"NULL")*($J$7:$J$10000 &gt;= ($G$1-4))))/5</f>
        <v>0.4</v>
      </c>
      <c r="J33" s="65">
        <v>2</v>
      </c>
      <c r="K33" t="s">
        <v>4</v>
      </c>
      <c r="L33" t="s">
        <v>109</v>
      </c>
      <c r="M33">
        <v>5.2</v>
      </c>
      <c r="N33" t="s">
        <v>9</v>
      </c>
      <c r="O33" t="s">
        <v>24</v>
      </c>
      <c r="P33">
        <f t="shared" si="2"/>
        <v>5.1872382635371386</v>
      </c>
      <c r="Q33">
        <f t="shared" si="1"/>
        <v>1.6286191754753145E-4</v>
      </c>
      <c r="R33" s="67" cm="1">
        <f t="array" ref="R33">SUMPRODUCT((J33=$J$7:$J$1000)*(P33&lt;$P$7:$P$1000))+1</f>
        <v>8</v>
      </c>
      <c r="S33" s="72"/>
      <c r="T33">
        <v>13</v>
      </c>
      <c r="U33" t="str">
        <v>NEFJ</v>
      </c>
      <c r="V33" t="str">
        <v>Piers von Dadelszen</v>
      </c>
      <c r="W33" t="str">
        <v>NULL</v>
      </c>
      <c r="X33" t="str">
        <v>Home</v>
      </c>
      <c r="Y33" t="str">
        <v>CHI</v>
      </c>
      <c r="Z33">
        <v>4.070694047037442</v>
      </c>
      <c r="AA33" s="1" t="str">
        <v>Kyle Baillie</v>
      </c>
      <c r="AB33" s="1" cm="1">
        <f t="array" ref="AB33">COUNT(_xlfn._xlws.FILTER($J$7:$J$10000,($L$7:$L$10000=AA33)*($M$7:$M$10000&lt;&gt;"NULL")*($J$7:$J$10000 &gt;= ($G$1-5))))/5</f>
        <v>0.2</v>
      </c>
    </row>
    <row r="34" spans="1:28" x14ac:dyDescent="0.35">
      <c r="A34">
        <f>VLOOKUP($B34, PlayerIDs!$A$1:$B$516, 2, FALSE)</f>
        <v>289</v>
      </c>
      <c r="B34" t="s">
        <v>115</v>
      </c>
      <c r="C34" s="1">
        <v>5.3290154195403519</v>
      </c>
      <c r="D34" s="1">
        <f t="shared" si="3"/>
        <v>15</v>
      </c>
      <c r="E34" s="1" cm="1">
        <f t="array" ref="E34">IFERROR(VLOOKUP($B34,_xlfn._xlws.FILTER($L$7:$P$10000,$J$7:$J$10000=G$1+1),5, FALSE), 0)</f>
        <v>5.2012500390645098</v>
      </c>
      <c r="F34" s="1">
        <f t="shared" si="6"/>
        <v>16</v>
      </c>
      <c r="G34" s="1">
        <f t="shared" ca="1" si="4"/>
        <v>21.191844452969619</v>
      </c>
      <c r="H34" s="1">
        <f t="shared" ca="1" si="5"/>
        <v>10</v>
      </c>
      <c r="I34" s="1" cm="1">
        <f t="array" ref="I34">COUNT(_xlfn._xlws.FILTER($J$7:$J$10000,($L$7:$L$10000=B34)*($M$7:$M$10000&lt;&gt;"NULL")*($J$7:$J$10000 &gt;= ($G$1-4))))/5</f>
        <v>0.2</v>
      </c>
      <c r="J34" s="65">
        <v>2</v>
      </c>
      <c r="K34" t="s">
        <v>14</v>
      </c>
      <c r="L34" t="s">
        <v>470</v>
      </c>
      <c r="M34">
        <v>4.8</v>
      </c>
      <c r="N34" t="s">
        <v>3</v>
      </c>
      <c r="O34" t="s">
        <v>34</v>
      </c>
      <c r="P34">
        <f t="shared" si="2"/>
        <v>5.1561830723625359</v>
      </c>
      <c r="Q34">
        <f t="shared" si="1"/>
        <v>0.12686638103761563</v>
      </c>
      <c r="R34" s="67" cm="1">
        <f t="array" ref="R34">SUMPRODUCT((J34=$J$7:$J$1000)*(P34&lt;$P$7:$P$1000))+1</f>
        <v>9</v>
      </c>
      <c r="S34" s="72"/>
      <c r="T34">
        <v>13</v>
      </c>
      <c r="U34" t="str">
        <v>NEFJ</v>
      </c>
      <c r="V34" t="str">
        <v>Sam Caird</v>
      </c>
      <c r="W34" t="str">
        <v>NULL</v>
      </c>
      <c r="X34" t="str">
        <v>Home</v>
      </c>
      <c r="Y34" t="str">
        <v>CHI</v>
      </c>
      <c r="Z34">
        <v>5.1493887853511726</v>
      </c>
      <c r="AA34" s="1" t="str">
        <v>Lucas Bur</v>
      </c>
      <c r="AB34" s="1" cm="1">
        <f t="array" ref="AB34">COUNT(_xlfn._xlws.FILTER($J$7:$J$10000,($L$7:$L$10000=AA34)*($M$7:$M$10000&lt;&gt;"NULL")*($J$7:$J$10000 &gt;= ($G$1-5))))/5</f>
        <v>0.6</v>
      </c>
    </row>
    <row r="35" spans="1:28" x14ac:dyDescent="0.35">
      <c r="A35">
        <f>VLOOKUP($B35, PlayerIDs!$A$1:$B$516, 2, FALSE)</f>
        <v>856</v>
      </c>
      <c r="B35" t="s">
        <v>469</v>
      </c>
      <c r="C35" s="1">
        <v>5.2765783068394461</v>
      </c>
      <c r="D35" s="1">
        <f t="shared" si="3"/>
        <v>16</v>
      </c>
      <c r="E35" s="1" cm="1">
        <f t="array" ref="E35">IFERROR(VLOOKUP($B35,_xlfn._xlws.FILTER($L$7:$P$10000,$J$7:$J$10000=G$1+1),5, FALSE), 0)</f>
        <v>5.4685956618577993</v>
      </c>
      <c r="F35" s="1">
        <f t="shared" si="6"/>
        <v>12</v>
      </c>
      <c r="G35" s="1">
        <f t="shared" ca="1" si="4"/>
        <v>21.270284234422853</v>
      </c>
      <c r="H35" s="1">
        <f t="shared" ca="1" si="5"/>
        <v>9</v>
      </c>
      <c r="I35" s="1" cm="1">
        <f t="array" ref="I35">COUNT(_xlfn._xlws.FILTER($J$7:$J$10000,($L$7:$L$10000=B35)*($M$7:$M$10000&lt;&gt;"NULL")*($J$7:$J$10000 &gt;= ($G$1-4))))/5</f>
        <v>0.2</v>
      </c>
      <c r="J35" s="65">
        <v>2</v>
      </c>
      <c r="K35" t="s">
        <v>6</v>
      </c>
      <c r="L35" t="s">
        <v>208</v>
      </c>
      <c r="M35">
        <v>4.0999999999999996</v>
      </c>
      <c r="N35" t="s">
        <v>3</v>
      </c>
      <c r="O35" t="s">
        <v>36</v>
      </c>
      <c r="P35">
        <f t="shared" si="2"/>
        <v>7.5989405198718849</v>
      </c>
      <c r="Q35">
        <f t="shared" si="1"/>
        <v>12.242584761601339</v>
      </c>
      <c r="R35" s="67" cm="1">
        <f t="array" ref="R35">SUMPRODUCT((J35=$J$7:$J$1000)*(P35&lt;$P$7:$P$1000))+1</f>
        <v>2</v>
      </c>
      <c r="S35" s="72"/>
      <c r="T35">
        <v>13</v>
      </c>
      <c r="U35" t="str">
        <v>NOLA</v>
      </c>
      <c r="V35" t="str">
        <v>Callum Botchar</v>
      </c>
      <c r="W35" t="str">
        <v>NULL</v>
      </c>
      <c r="X35" t="str">
        <v>Home</v>
      </c>
      <c r="Y35" t="str">
        <v>MIA</v>
      </c>
      <c r="Z35">
        <v>3.1706908461167869</v>
      </c>
      <c r="AA35" s="1" t="str">
        <v>Malcolm May</v>
      </c>
      <c r="AB35" s="1" cm="1">
        <f t="array" ref="AB35">COUNT(_xlfn._xlws.FILTER($J$7:$J$10000,($L$7:$L$10000=AA35)*($M$7:$M$10000&lt;&gt;"NULL")*($J$7:$J$10000 &gt;= ($G$1-5))))/5</f>
        <v>0</v>
      </c>
    </row>
    <row r="36" spans="1:28" x14ac:dyDescent="0.35">
      <c r="A36">
        <f>VLOOKUP($B36, PlayerIDs!$A$1:$B$516, 2, FALSE)</f>
        <v>321</v>
      </c>
      <c r="B36" t="s">
        <v>117</v>
      </c>
      <c r="C36" s="1">
        <v>5.2742869104794492</v>
      </c>
      <c r="D36" s="1">
        <f t="shared" si="3"/>
        <v>17</v>
      </c>
      <c r="E36" s="1" cm="1">
        <f t="array" ref="E36">IFERROR(VLOOKUP($B36,_xlfn._xlws.FILTER($L$7:$P$10000,$J$7:$J$10000=G$1+1),5, FALSE), 0)</f>
        <v>5.8510448332301301</v>
      </c>
      <c r="F36" s="1">
        <f t="shared" si="6"/>
        <v>9</v>
      </c>
      <c r="G36" s="1">
        <f t="shared" ca="1" si="4"/>
        <v>15.818101969546507</v>
      </c>
      <c r="H36" s="1">
        <f t="shared" ca="1" si="5"/>
        <v>32</v>
      </c>
      <c r="I36" s="1" cm="1">
        <f t="array" ref="I36">COUNT(_xlfn._xlws.FILTER($J$7:$J$10000,($L$7:$L$10000=B36)*($M$7:$M$10000&lt;&gt;"NULL")*($J$7:$J$10000 &gt;= ($G$1-4))))/5</f>
        <v>0.8</v>
      </c>
      <c r="J36" s="65">
        <v>2</v>
      </c>
      <c r="K36" t="s">
        <v>14</v>
      </c>
      <c r="L36" t="s">
        <v>471</v>
      </c>
      <c r="M36">
        <v>4</v>
      </c>
      <c r="N36" t="s">
        <v>3</v>
      </c>
      <c r="O36" t="s">
        <v>34</v>
      </c>
      <c r="P36">
        <f t="shared" si="2"/>
        <v>5.5448938879451379</v>
      </c>
      <c r="Q36">
        <f t="shared" si="1"/>
        <v>2.3866971250102442</v>
      </c>
      <c r="R36" s="67" cm="1">
        <f t="array" ref="R36">SUMPRODUCT((J36=$J$7:$J$1000)*(P36&lt;$P$7:$P$1000))+1</f>
        <v>5</v>
      </c>
      <c r="S36" s="72"/>
      <c r="T36">
        <v>13</v>
      </c>
      <c r="U36" t="str">
        <v>NOLA</v>
      </c>
      <c r="V36" t="str">
        <v>Cam Dolan</v>
      </c>
      <c r="W36" t="str">
        <v>NULL</v>
      </c>
      <c r="X36" t="str">
        <v>Home</v>
      </c>
      <c r="Y36" t="str">
        <v>MIA</v>
      </c>
      <c r="Z36">
        <v>3.2070960659129497</v>
      </c>
      <c r="AA36" s="1" t="str">
        <v>Malembe Mpofu</v>
      </c>
      <c r="AB36" s="1" cm="1">
        <f t="array" ref="AB36">COUNT(_xlfn._xlws.FILTER($J$7:$J$10000,($L$7:$L$10000=AA36)*($M$7:$M$10000&lt;&gt;"NULL")*($J$7:$J$10000 &gt;= ($G$1-5))))/5</f>
        <v>0.2</v>
      </c>
    </row>
    <row r="37" spans="1:28" x14ac:dyDescent="0.35">
      <c r="A37">
        <f>VLOOKUP($B37, PlayerIDs!$A$1:$B$516, 2, FALSE)</f>
        <v>777</v>
      </c>
      <c r="B37" t="s">
        <v>419</v>
      </c>
      <c r="C37" s="1">
        <v>5.1720909603222811</v>
      </c>
      <c r="D37" s="1">
        <f t="shared" si="3"/>
        <v>18</v>
      </c>
      <c r="E37" s="1" cm="1">
        <f t="array" ref="E37">IFERROR(VLOOKUP($B37,_xlfn._xlws.FILTER($L$7:$P$10000,$J$7:$J$10000=G$1+1),5, FALSE), 0)</f>
        <v>4.3584481860901407</v>
      </c>
      <c r="F37" s="1">
        <f t="shared" si="6"/>
        <v>25</v>
      </c>
      <c r="G37" s="1">
        <f t="shared" ca="1" si="4"/>
        <v>20.345103042372997</v>
      </c>
      <c r="H37" s="1">
        <f t="shared" ca="1" si="5"/>
        <v>13</v>
      </c>
      <c r="I37" s="1" cm="1">
        <f t="array" ref="I37">COUNT(_xlfn._xlws.FILTER($J$7:$J$10000,($L$7:$L$10000=B37)*($M$7:$M$10000&lt;&gt;"NULL")*($J$7:$J$10000 &gt;= ($G$1-4))))/5</f>
        <v>0.4</v>
      </c>
      <c r="J37" s="65">
        <v>2</v>
      </c>
      <c r="K37" t="s">
        <v>2</v>
      </c>
      <c r="L37" t="s">
        <v>108</v>
      </c>
      <c r="M37">
        <v>3.1</v>
      </c>
      <c r="N37" t="s">
        <v>3</v>
      </c>
      <c r="O37" t="s">
        <v>13</v>
      </c>
      <c r="P37">
        <f t="shared" si="2"/>
        <v>4.403083167116578</v>
      </c>
      <c r="Q37">
        <f t="shared" si="1"/>
        <v>1.6980257404225714</v>
      </c>
      <c r="R37" s="67" cm="1">
        <f t="array" ref="R37">SUMPRODUCT((J37=$J$7:$J$1000)*(P37&lt;$P$7:$P$1000))+1</f>
        <v>11</v>
      </c>
      <c r="S37" s="72"/>
      <c r="T37">
        <v>13</v>
      </c>
      <c r="U37" t="str">
        <v>NOLA</v>
      </c>
      <c r="V37" t="str">
        <v>Chase Jones</v>
      </c>
      <c r="W37" t="str">
        <v>NULL</v>
      </c>
      <c r="X37" t="str">
        <v>Home</v>
      </c>
      <c r="Y37" t="str">
        <v>MIA</v>
      </c>
      <c r="Z37">
        <v>5.5283643545590717</v>
      </c>
      <c r="AA37" s="1" t="str">
        <v>Mason Flesch</v>
      </c>
      <c r="AB37" s="1" cm="1">
        <f t="array" ref="AB37">COUNT(_xlfn._xlws.FILTER($J$7:$J$10000,($L$7:$L$10000=AA37)*($M$7:$M$10000&lt;&gt;"NULL")*($J$7:$J$10000 &gt;= ($G$1-5))))/5</f>
        <v>0.2</v>
      </c>
    </row>
    <row r="38" spans="1:28" x14ac:dyDescent="0.35">
      <c r="A38">
        <f>VLOOKUP($B38, PlayerIDs!$A$1:$B$516, 2, FALSE)</f>
        <v>551</v>
      </c>
      <c r="B38" t="s">
        <v>108</v>
      </c>
      <c r="C38" s="1">
        <v>5.1621760712400944</v>
      </c>
      <c r="D38" s="1">
        <f t="shared" si="3"/>
        <v>19</v>
      </c>
      <c r="E38" s="1" cm="1">
        <f t="array" ref="E38">IFERROR(VLOOKUP($B38,_xlfn._xlws.FILTER($L$7:$P$10000,$J$7:$J$10000=G$1+1),5, FALSE), 0)</f>
        <v>5.0344106907642523</v>
      </c>
      <c r="F38" s="1">
        <f t="shared" si="6"/>
        <v>19</v>
      </c>
      <c r="G38" s="1">
        <f t="shared" ca="1" si="4"/>
        <v>20.524487059768589</v>
      </c>
      <c r="H38" s="1">
        <f t="shared" ca="1" si="5"/>
        <v>11</v>
      </c>
      <c r="I38" s="1" cm="1">
        <f t="array" ref="I38">COUNT(_xlfn._xlws.FILTER($J$7:$J$10000,($L$7:$L$10000=B38)*($M$7:$M$10000&lt;&gt;"NULL")*($J$7:$J$10000 &gt;= ($G$1-4))))/5</f>
        <v>0.8</v>
      </c>
      <c r="J38" s="65">
        <v>2</v>
      </c>
      <c r="K38" t="s">
        <v>34</v>
      </c>
      <c r="L38" t="s">
        <v>420</v>
      </c>
      <c r="M38">
        <v>2.8</v>
      </c>
      <c r="N38" t="s">
        <v>9</v>
      </c>
      <c r="O38" t="s">
        <v>14</v>
      </c>
      <c r="P38">
        <f t="shared" si="2"/>
        <v>8.7573430031424557</v>
      </c>
      <c r="Q38">
        <f t="shared" si="1"/>
        <v>35.489935657090378</v>
      </c>
      <c r="R38" s="67" cm="1">
        <f t="array" ref="R38">SUMPRODUCT((J38=$J$7:$J$1000)*(P38&lt;$P$7:$P$1000))+1</f>
        <v>1</v>
      </c>
      <c r="S38" s="72"/>
      <c r="T38">
        <v>13</v>
      </c>
      <c r="U38" t="str">
        <v>NOLA</v>
      </c>
      <c r="V38" t="str">
        <v>Jay Tuivaiti</v>
      </c>
      <c r="W38" t="str">
        <v>NULL</v>
      </c>
      <c r="X38" t="str">
        <v>Home</v>
      </c>
      <c r="Y38" t="str">
        <v>MIA</v>
      </c>
      <c r="Z38">
        <v>3.282792465839627</v>
      </c>
      <c r="AA38" s="1" t="str">
        <v>Matt Jenson</v>
      </c>
      <c r="AB38" s="1" cm="1">
        <f t="array" ref="AB38">COUNT(_xlfn._xlws.FILTER($J$7:$J$10000,($L$7:$L$10000=AA38)*($M$7:$M$10000&lt;&gt;"NULL")*($J$7:$J$10000 &gt;= ($G$1-5))))/5</f>
        <v>1</v>
      </c>
    </row>
    <row r="39" spans="1:28" x14ac:dyDescent="0.35">
      <c r="A39">
        <f>VLOOKUP($B39, PlayerIDs!$A$1:$B$516, 2, FALSE)</f>
        <v>788</v>
      </c>
      <c r="B39" t="s">
        <v>421</v>
      </c>
      <c r="C39" s="1">
        <v>5.0156506158153302</v>
      </c>
      <c r="D39" s="1">
        <f t="shared" si="3"/>
        <v>20</v>
      </c>
      <c r="E39" s="1" cm="1">
        <f t="array" ref="E39">IFERROR(VLOOKUP($B39,_xlfn._xlws.FILTER($L$7:$P$10000,$J$7:$J$10000=G$1+1),5, FALSE), 0)</f>
        <v>5.1493887853511726</v>
      </c>
      <c r="F39" s="1">
        <f t="shared" si="6"/>
        <v>17</v>
      </c>
      <c r="G39" s="1">
        <f t="shared" ca="1" si="4"/>
        <v>20.401021760510332</v>
      </c>
      <c r="H39" s="1">
        <f t="shared" ca="1" si="5"/>
        <v>12</v>
      </c>
      <c r="I39" s="1" cm="1">
        <f t="array" ref="I39">COUNT(_xlfn._xlws.FILTER($J$7:$J$10000,($L$7:$L$10000=B39)*($M$7:$M$10000&lt;&gt;"NULL")*($J$7:$J$10000 &gt;= ($G$1-4))))/5</f>
        <v>0.6</v>
      </c>
      <c r="J39" s="65">
        <v>2</v>
      </c>
      <c r="K39" t="s">
        <v>2</v>
      </c>
      <c r="L39" t="s">
        <v>426</v>
      </c>
      <c r="M39">
        <v>2.4</v>
      </c>
      <c r="N39" t="s">
        <v>3</v>
      </c>
      <c r="O39" t="s">
        <v>13</v>
      </c>
      <c r="P39">
        <f t="shared" si="2"/>
        <v>3.5119101951299889</v>
      </c>
      <c r="Q39">
        <f t="shared" si="1"/>
        <v>1.2363442820340103</v>
      </c>
      <c r="R39" s="67" cm="1">
        <f t="array" ref="R39">SUMPRODUCT((J39=$J$7:$J$1000)*(P39&lt;$P$7:$P$1000))+1</f>
        <v>13</v>
      </c>
      <c r="S39" s="72"/>
      <c r="T39">
        <v>13</v>
      </c>
      <c r="U39" t="str">
        <v>NOLA</v>
      </c>
      <c r="V39" t="str">
        <v>Kaden Duguid</v>
      </c>
      <c r="W39" t="str">
        <v>NULL</v>
      </c>
      <c r="X39" t="str">
        <v>Home</v>
      </c>
      <c r="Y39" t="str">
        <v>MIA</v>
      </c>
      <c r="Z39">
        <v>0.32057028196292958</v>
      </c>
      <c r="AA39" s="1" t="str">
        <v>Mauro Rebussone</v>
      </c>
      <c r="AB39" s="1" cm="1">
        <f t="array" ref="AB39">COUNT(_xlfn._xlws.FILTER($J$7:$J$10000,($L$7:$L$10000=AA39)*($M$7:$M$10000&lt;&gt;"NULL")*($J$7:$J$10000 &gt;= ($G$1-5))))/5</f>
        <v>0.4</v>
      </c>
    </row>
    <row r="40" spans="1:28" x14ac:dyDescent="0.35">
      <c r="A40">
        <f>VLOOKUP($B40, PlayerIDs!$A$1:$B$516, 2, FALSE)</f>
        <v>607</v>
      </c>
      <c r="B40" t="s">
        <v>652</v>
      </c>
      <c r="C40" s="1">
        <v>4.9976712592785972</v>
      </c>
      <c r="D40" s="1">
        <f t="shared" si="3"/>
        <v>21</v>
      </c>
      <c r="E40" s="1" cm="1">
        <f t="array" ref="E40">IFERROR(VLOOKUP($B40,_xlfn._xlws.FILTER($L$7:$P$10000,$J$7:$J$10000=G$1+1),5, FALSE), 0)</f>
        <v>4.1840284850464569</v>
      </c>
      <c r="F40" s="1">
        <f t="shared" si="6"/>
        <v>26</v>
      </c>
      <c r="G40" s="1">
        <f t="shared" ca="1" si="4"/>
        <v>19.647424238198262</v>
      </c>
      <c r="H40" s="1">
        <f t="shared" ca="1" si="5"/>
        <v>16</v>
      </c>
      <c r="I40" s="1" cm="1">
        <f t="array" ref="I40">COUNT(_xlfn._xlws.FILTER($J$7:$J$10000,($L$7:$L$10000=B40)*($M$7:$M$10000&lt;&gt;"NULL")*($J$7:$J$10000 &gt;= ($G$1-4))))/5</f>
        <v>0.2</v>
      </c>
      <c r="J40" s="65">
        <v>2</v>
      </c>
      <c r="K40" t="s">
        <v>24</v>
      </c>
      <c r="L40" t="s">
        <v>419</v>
      </c>
      <c r="M40">
        <v>2.1</v>
      </c>
      <c r="N40" t="s">
        <v>3</v>
      </c>
      <c r="O40" t="s">
        <v>4</v>
      </c>
      <c r="P40">
        <f t="shared" si="2"/>
        <v>4.3728893216274995</v>
      </c>
      <c r="Q40">
        <f t="shared" si="1"/>
        <v>5.1660258683683145</v>
      </c>
      <c r="R40" s="67" cm="1">
        <f t="array" ref="R40">SUMPRODUCT((J40=$J$7:$J$1000)*(P40&lt;$P$7:$P$1000))+1</f>
        <v>12</v>
      </c>
      <c r="S40" s="72"/>
      <c r="T40">
        <v>13</v>
      </c>
      <c r="U40" t="str">
        <v>NOLA</v>
      </c>
      <c r="V40" t="str">
        <v>Malcolm May</v>
      </c>
      <c r="W40" t="str">
        <v>NULL</v>
      </c>
      <c r="X40" t="str">
        <v>Home</v>
      </c>
      <c r="Y40" t="str">
        <v>MIA</v>
      </c>
      <c r="Z40">
        <v>5.2016793990744974</v>
      </c>
      <c r="AA40" s="1" t="str">
        <v>Mikey Grandy</v>
      </c>
      <c r="AB40" s="1" cm="1">
        <f t="array" ref="AB40">COUNT(_xlfn._xlws.FILTER($J$7:$J$10000,($L$7:$L$10000=AA40)*($M$7:$M$10000&lt;&gt;"NULL")*($J$7:$J$10000 &gt;= ($G$1-5))))/5</f>
        <v>0</v>
      </c>
    </row>
    <row r="41" spans="1:28" x14ac:dyDescent="0.35">
      <c r="A41">
        <f>VLOOKUP($B41, PlayerIDs!$A$1:$B$516, 2, FALSE)</f>
        <v>824</v>
      </c>
      <c r="B41" t="s">
        <v>471</v>
      </c>
      <c r="C41" s="1">
        <v>4.9536948296570982</v>
      </c>
      <c r="D41" s="1">
        <f t="shared" si="3"/>
        <v>22</v>
      </c>
      <c r="E41" s="1" cm="1">
        <f t="array" ref="E41">IFERROR(VLOOKUP($B41,_xlfn._xlws.FILTER($L$7:$P$10000,$J$7:$J$10000=G$1+1),5, FALSE), 0)</f>
        <v>4.9462019916235542</v>
      </c>
      <c r="F41" s="1">
        <f t="shared" si="6"/>
        <v>20</v>
      </c>
      <c r="G41" s="1">
        <f t="shared" ca="1" si="4"/>
        <v>19.783054049086722</v>
      </c>
      <c r="H41" s="1">
        <f t="shared" ca="1" si="5"/>
        <v>15</v>
      </c>
      <c r="I41" s="1" cm="1">
        <f t="array" ref="I41">COUNT(_xlfn._xlws.FILTER($J$7:$J$10000,($L$7:$L$10000=B41)*($M$7:$M$10000&lt;&gt;"NULL")*($J$7:$J$10000 &gt;= ($G$1-4))))/5</f>
        <v>0.4</v>
      </c>
      <c r="J41" s="65">
        <v>2</v>
      </c>
      <c r="K41" t="s">
        <v>6</v>
      </c>
      <c r="L41" t="s">
        <v>116</v>
      </c>
      <c r="M41">
        <v>1.9</v>
      </c>
      <c r="N41" t="s">
        <v>3</v>
      </c>
      <c r="O41" t="s">
        <v>36</v>
      </c>
      <c r="P41">
        <f t="shared" si="2"/>
        <v>1.1415986382875665</v>
      </c>
      <c r="Q41">
        <f t="shared" si="1"/>
        <v>0.57517262544727332</v>
      </c>
      <c r="R41" s="67" cm="1">
        <f t="array" ref="R41">SUMPRODUCT((J41=$J$7:$J$1000)*(P41&lt;$P$7:$P$1000))+1</f>
        <v>16</v>
      </c>
      <c r="S41" s="72"/>
      <c r="T41">
        <v>13</v>
      </c>
      <c r="U41" t="str">
        <v>NOLA</v>
      </c>
      <c r="V41" t="str">
        <v>William Waguespack</v>
      </c>
      <c r="W41" t="str">
        <v>NULL</v>
      </c>
      <c r="X41" t="str">
        <v>Home</v>
      </c>
      <c r="Y41" t="str">
        <v>MIA</v>
      </c>
      <c r="Z41">
        <v>5.3187189554099126</v>
      </c>
      <c r="AA41" s="1" t="str">
        <v>Nathan Den Hoedt</v>
      </c>
      <c r="AB41" s="1" cm="1">
        <f t="array" ref="AB41">COUNT(_xlfn._xlws.FILTER($J$7:$J$10000,($L$7:$L$10000=AA41)*($M$7:$M$10000&lt;&gt;"NULL")*($J$7:$J$10000 &gt;= ($G$1-5))))/5</f>
        <v>1</v>
      </c>
    </row>
    <row r="42" spans="1:28" x14ac:dyDescent="0.35">
      <c r="A42">
        <f>VLOOKUP($B42, PlayerIDs!$A$1:$B$516, 2, FALSE)</f>
        <v>682</v>
      </c>
      <c r="B42" t="s">
        <v>120</v>
      </c>
      <c r="C42" s="1">
        <v>4.9220559716092414</v>
      </c>
      <c r="D42" s="1">
        <f t="shared" si="3"/>
        <v>23</v>
      </c>
      <c r="E42" s="1" cm="1">
        <f t="array" ref="E42">IFERROR(VLOOKUP($B42,_xlfn._xlws.FILTER($L$7:$P$10000,$J$7:$J$10000=G$1+1),5, FALSE), 0)</f>
        <v>5.1140733266275946</v>
      </c>
      <c r="F42" s="1">
        <f t="shared" si="6"/>
        <v>18</v>
      </c>
      <c r="G42" s="1">
        <f t="shared" ca="1" si="4"/>
        <v>19.852194893502034</v>
      </c>
      <c r="H42" s="1">
        <f t="shared" ca="1" si="5"/>
        <v>14</v>
      </c>
      <c r="I42" s="1" cm="1">
        <f t="array" ref="I42">COUNT(_xlfn._xlws.FILTER($J$7:$J$10000,($L$7:$L$10000=B42)*($M$7:$M$10000&lt;&gt;"NULL")*($J$7:$J$10000 &gt;= ($G$1-4))))/5</f>
        <v>0.8</v>
      </c>
      <c r="J42" s="65">
        <v>2</v>
      </c>
      <c r="K42" t="s">
        <v>36</v>
      </c>
      <c r="L42" t="s">
        <v>112</v>
      </c>
      <c r="M42">
        <v>0.3</v>
      </c>
      <c r="N42" t="s">
        <v>9</v>
      </c>
      <c r="O42" t="s">
        <v>6</v>
      </c>
      <c r="P42">
        <f t="shared" si="2"/>
        <v>5.5916263925246357</v>
      </c>
      <c r="Q42">
        <f t="shared" si="1"/>
        <v>28.001309878063292</v>
      </c>
      <c r="R42" s="67" cm="1">
        <f t="array" ref="R42">SUMPRODUCT((J42=$J$7:$J$1000)*(P42&lt;$P$7:$P$1000))+1</f>
        <v>4</v>
      </c>
      <c r="S42" s="72"/>
      <c r="T42">
        <v>13</v>
      </c>
      <c r="U42" t="str">
        <v>SDL</v>
      </c>
      <c r="V42" t="str">
        <v>Brandon Harvey</v>
      </c>
      <c r="W42" t="str">
        <v>NULL</v>
      </c>
      <c r="X42" t="str">
        <v>Home</v>
      </c>
      <c r="Y42" t="str">
        <v>HOU</v>
      </c>
      <c r="Z42">
        <v>1.9898238582495411</v>
      </c>
      <c r="AA42" s="1" t="str">
        <v>OJ Noa</v>
      </c>
      <c r="AB42" s="1" cm="1">
        <f t="array" ref="AB42">COUNT(_xlfn._xlws.FILTER($J$7:$J$10000,($L$7:$L$10000=AA42)*($M$7:$M$10000&lt;&gt;"NULL")*($J$7:$J$10000 &gt;= ($G$1-5))))/5</f>
        <v>0.6</v>
      </c>
    </row>
    <row r="43" spans="1:28" x14ac:dyDescent="0.35">
      <c r="A43">
        <f>VLOOKUP($B43, PlayerIDs!$A$1:$B$516, 2, FALSE)</f>
        <v>822</v>
      </c>
      <c r="B43" t="s">
        <v>470</v>
      </c>
      <c r="C43" s="1">
        <v>4.5649840140744962</v>
      </c>
      <c r="D43" s="1">
        <f t="shared" si="3"/>
        <v>24</v>
      </c>
      <c r="E43" s="1" cm="1">
        <f t="array" ref="E43">IFERROR(VLOOKUP($B43,_xlfn._xlws.FILTER($L$7:$P$10000,$J$7:$J$10000=G$1+1),5, FALSE), 0)</f>
        <v>4.5574911760409522</v>
      </c>
      <c r="F43" s="1">
        <f t="shared" si="6"/>
        <v>23</v>
      </c>
      <c r="G43" s="1">
        <f t="shared" ca="1" si="4"/>
        <v>18.228210786756314</v>
      </c>
      <c r="H43" s="1">
        <f t="shared" ca="1" si="5"/>
        <v>19</v>
      </c>
      <c r="I43" s="1" cm="1">
        <f t="array" ref="I43">COUNT(_xlfn._xlws.FILTER($J$7:$J$10000,($L$7:$L$10000=B43)*($M$7:$M$10000&lt;&gt;"NULL")*($J$7:$J$10000 &gt;= ($G$1-4))))/5</f>
        <v>0</v>
      </c>
      <c r="J43" s="65">
        <v>3</v>
      </c>
      <c r="K43" t="s">
        <v>34</v>
      </c>
      <c r="L43" t="s">
        <v>420</v>
      </c>
      <c r="M43">
        <v>10.1</v>
      </c>
      <c r="N43" t="s">
        <v>9</v>
      </c>
      <c r="O43" t="s">
        <v>7</v>
      </c>
      <c r="P43">
        <f t="shared" si="2"/>
        <v>8.5626638097469829</v>
      </c>
      <c r="Q43">
        <f t="shared" si="1"/>
        <v>2.3634025618616596</v>
      </c>
      <c r="R43" s="67" cm="1">
        <f t="array" ref="R43">SUMPRODUCT((J43=$J$7:$J$1000)*(P43&lt;$P$7:$P$1000))+1</f>
        <v>1</v>
      </c>
      <c r="S43" s="72"/>
      <c r="T43">
        <v>13</v>
      </c>
      <c r="U43" t="str">
        <v>SDL</v>
      </c>
      <c r="V43" t="str">
        <v>Charlie Hewitt</v>
      </c>
      <c r="W43" t="str">
        <v>NULL</v>
      </c>
      <c r="X43" t="str">
        <v>Home</v>
      </c>
      <c r="Y43" t="str">
        <v>HOU</v>
      </c>
      <c r="Z43">
        <v>3.7745223466382694</v>
      </c>
      <c r="AA43" s="1" t="str">
        <v>Piers von Dadelszen</v>
      </c>
      <c r="AB43" s="1" cm="1">
        <f t="array" ref="AB43">COUNT(_xlfn._xlws.FILTER($J$7:$J$10000,($L$7:$L$10000=AA43)*($M$7:$M$10000&lt;&gt;"NULL")*($J$7:$J$10000 &gt;= ($G$1-5))))/5</f>
        <v>1</v>
      </c>
    </row>
    <row r="44" spans="1:28" x14ac:dyDescent="0.35">
      <c r="A44">
        <f>VLOOKUP($B44, PlayerIDs!$A$1:$B$516, 2, FALSE)</f>
        <v>268</v>
      </c>
      <c r="B44" t="s">
        <v>634</v>
      </c>
      <c r="C44" s="1">
        <v>4.4120627264349972</v>
      </c>
      <c r="D44" s="1">
        <f t="shared" si="3"/>
        <v>25</v>
      </c>
      <c r="E44" s="1" cm="1">
        <f t="array" ref="E44">IFERROR(VLOOKUP($B44,_xlfn._xlws.FILTER($L$7:$P$10000,$J$7:$J$10000=G$1+1),5, FALSE), 0)</f>
        <v>5.2223053584473744</v>
      </c>
      <c r="F44" s="1">
        <f t="shared" si="6"/>
        <v>14</v>
      </c>
      <c r="G44" s="1">
        <f t="shared" ca="1" si="4"/>
        <v>18.590454344445664</v>
      </c>
      <c r="H44" s="1">
        <f t="shared" ca="1" si="5"/>
        <v>18</v>
      </c>
      <c r="I44" s="1" cm="1">
        <f t="array" ref="I44">COUNT(_xlfn._xlws.FILTER($J$7:$J$10000,($L$7:$L$10000=B44)*($M$7:$M$10000&lt;&gt;"NULL")*($J$7:$J$10000 &gt;= ($G$1-4))))/5</f>
        <v>0.4</v>
      </c>
      <c r="J44" s="65">
        <v>3</v>
      </c>
      <c r="K44" t="s">
        <v>36</v>
      </c>
      <c r="L44" t="s">
        <v>112</v>
      </c>
      <c r="M44">
        <v>7.9</v>
      </c>
      <c r="N44" t="s">
        <v>3</v>
      </c>
      <c r="O44" t="s">
        <v>17</v>
      </c>
      <c r="P44">
        <f t="shared" si="2"/>
        <v>5.7911365855765329</v>
      </c>
      <c r="Q44">
        <f t="shared" si="1"/>
        <v>4.4473049006938057</v>
      </c>
      <c r="R44" s="67" cm="1">
        <f t="array" ref="R44">SUMPRODUCT((J44=$J$7:$J$1000)*(P44&lt;$P$7:$P$1000))+1</f>
        <v>4</v>
      </c>
      <c r="S44" s="72"/>
      <c r="T44">
        <v>13</v>
      </c>
      <c r="U44" t="str">
        <v>SDL</v>
      </c>
      <c r="V44" t="str">
        <v>James Rivers</v>
      </c>
      <c r="W44" t="str">
        <v>NULL</v>
      </c>
      <c r="X44" t="str">
        <v>Home</v>
      </c>
      <c r="Y44" t="str">
        <v>HOU</v>
      </c>
      <c r="Z44">
        <v>3.6023002100042132</v>
      </c>
      <c r="AA44" s="1" t="str">
        <v>Reegan O'Gorman</v>
      </c>
      <c r="AB44" s="1" cm="1">
        <f t="array" ref="AB44">COUNT(_xlfn._xlws.FILTER($J$7:$J$10000,($L$7:$L$10000=AA44)*($M$7:$M$10000&lt;&gt;"NULL")*($J$7:$J$10000 &gt;= ($G$1-5))))/5</f>
        <v>0</v>
      </c>
    </row>
    <row r="45" spans="1:28" x14ac:dyDescent="0.35">
      <c r="A45">
        <f>VLOOKUP($B45, PlayerIDs!$A$1:$B$516, 2, FALSE)</f>
        <v>363</v>
      </c>
      <c r="B45" t="s">
        <v>105</v>
      </c>
      <c r="C45" s="1">
        <v>4.4093755102863881</v>
      </c>
      <c r="D45" s="1">
        <f t="shared" si="3"/>
        <v>26</v>
      </c>
      <c r="E45" s="1" cm="1">
        <f t="array" ref="E45">IFERROR(VLOOKUP($B45,_xlfn._xlws.FILTER($L$7:$P$10000,$J$7:$J$10000=G$1+1),5, FALSE), 0)</f>
        <v>3.6358414706255129</v>
      </c>
      <c r="F45" s="1">
        <f t="shared" si="6"/>
        <v>30</v>
      </c>
      <c r="G45" s="1">
        <f t="shared" ca="1" si="4"/>
        <v>17.317196609100712</v>
      </c>
      <c r="H45" s="1">
        <f t="shared" ca="1" si="5"/>
        <v>24</v>
      </c>
      <c r="I45" s="1" cm="1">
        <f t="array" ref="I45">COUNT(_xlfn._xlws.FILTER($J$7:$J$10000,($L$7:$L$10000=B45)*($M$7:$M$10000&lt;&gt;"NULL")*($J$7:$J$10000 &gt;= ($G$1-4))))/5</f>
        <v>1</v>
      </c>
      <c r="J45" s="65">
        <v>3</v>
      </c>
      <c r="K45" t="s">
        <v>14</v>
      </c>
      <c r="L45" t="s">
        <v>471</v>
      </c>
      <c r="M45">
        <v>7.4</v>
      </c>
      <c r="N45" t="s">
        <v>3</v>
      </c>
      <c r="O45" t="s">
        <v>24</v>
      </c>
      <c r="P45">
        <f t="shared" si="2"/>
        <v>4.3652362992723646</v>
      </c>
      <c r="Q45">
        <f t="shared" si="1"/>
        <v>9.2097907192540962</v>
      </c>
      <c r="R45" s="67" cm="1">
        <f t="array" ref="R45">SUMPRODUCT((J45=$J$7:$J$1000)*(P45&lt;$P$7:$P$1000))+1</f>
        <v>13</v>
      </c>
      <c r="S45" s="72"/>
      <c r="T45">
        <v>13</v>
      </c>
      <c r="U45" t="str">
        <v>SDL</v>
      </c>
      <c r="V45" t="str">
        <v>Jed Holloway</v>
      </c>
      <c r="W45" t="str">
        <v>NULL</v>
      </c>
      <c r="X45" t="str">
        <v>Home</v>
      </c>
      <c r="Y45" t="str">
        <v>HOU</v>
      </c>
      <c r="Z45">
        <v>7.9513364364712737</v>
      </c>
      <c r="AA45" s="1" t="str">
        <v>Rhyno Herbst</v>
      </c>
      <c r="AB45" s="1" cm="1">
        <f t="array" ref="AB45">COUNT(_xlfn._xlws.FILTER($J$7:$J$10000,($L$7:$L$10000=AA45)*($M$7:$M$10000&lt;&gt;"NULL")*($J$7:$J$10000 &gt;= ($G$1-5))))/5</f>
        <v>1.2</v>
      </c>
    </row>
    <row r="46" spans="1:28" x14ac:dyDescent="0.35">
      <c r="A46">
        <f>VLOOKUP($B46, PlayerIDs!$A$1:$B$516, 2, FALSE)</f>
        <v>645</v>
      </c>
      <c r="B46" t="s">
        <v>104</v>
      </c>
      <c r="C46" s="1">
        <v>4.2777013477174659</v>
      </c>
      <c r="D46" s="1">
        <f t="shared" si="3"/>
        <v>27</v>
      </c>
      <c r="E46" s="1" cm="1">
        <f t="array" ref="E46">IFERROR(VLOOKUP($B46,_xlfn._xlws.FILTER($L$7:$P$10000,$J$7:$J$10000=G$1+1),5, FALSE), 0)</f>
        <v>0</v>
      </c>
      <c r="F46" s="1">
        <f t="shared" si="6"/>
        <v>51</v>
      </c>
      <c r="G46" s="1">
        <f t="shared" ca="1" si="4"/>
        <v>13.508088456655388</v>
      </c>
      <c r="H46" s="1">
        <f t="shared" ca="1" si="5"/>
        <v>33</v>
      </c>
      <c r="I46" s="1" cm="1">
        <f t="array" ref="I46">COUNT(_xlfn._xlws.FILTER($J$7:$J$10000,($L$7:$L$10000=B46)*($M$7:$M$10000&lt;&gt;"NULL")*($J$7:$J$10000 &gt;= ($G$1-4))))/5</f>
        <v>1</v>
      </c>
      <c r="J46" s="65">
        <v>3</v>
      </c>
      <c r="K46" t="s">
        <v>7</v>
      </c>
      <c r="L46" t="s">
        <v>104</v>
      </c>
      <c r="M46">
        <v>6.3</v>
      </c>
      <c r="N46" t="s">
        <v>3</v>
      </c>
      <c r="O46" t="s">
        <v>34</v>
      </c>
      <c r="P46">
        <f t="shared" si="2"/>
        <v>4.8689004060055057</v>
      </c>
      <c r="Q46">
        <f t="shared" si="1"/>
        <v>2.0480460479312059</v>
      </c>
      <c r="R46" s="67" cm="1">
        <f t="array" ref="R46">SUMPRODUCT((J46=$J$7:$J$1000)*(P46&lt;$P$7:$P$1000))+1</f>
        <v>10</v>
      </c>
      <c r="S46" s="72"/>
      <c r="T46">
        <v>13</v>
      </c>
      <c r="U46" t="str">
        <v>SDL</v>
      </c>
      <c r="V46" t="str">
        <v>Vili Helu</v>
      </c>
      <c r="W46" t="str">
        <v>NULL</v>
      </c>
      <c r="X46" t="str">
        <v>Home</v>
      </c>
      <c r="Y46" t="str">
        <v>HOU</v>
      </c>
      <c r="Z46">
        <v>5.9482315342514838</v>
      </c>
      <c r="AA46" s="1" t="str">
        <v>Rick Rose</v>
      </c>
      <c r="AB46" s="1" cm="1">
        <f t="array" ref="AB46">COUNT(_xlfn._xlws.FILTER($J$7:$J$10000,($L$7:$L$10000=AA46)*($M$7:$M$10000&lt;&gt;"NULL")*($J$7:$J$10000 &gt;= ($G$1-5))))/5</f>
        <v>0.2</v>
      </c>
    </row>
    <row r="47" spans="1:28" x14ac:dyDescent="0.35">
      <c r="A47">
        <f>VLOOKUP($B47, PlayerIDs!$A$1:$B$516, 2, FALSE)</f>
        <v>779</v>
      </c>
      <c r="B47" t="s">
        <v>426</v>
      </c>
      <c r="C47" s="1">
        <v>4.2710030992535053</v>
      </c>
      <c r="D47" s="1">
        <f t="shared" si="3"/>
        <v>28</v>
      </c>
      <c r="E47" s="1" cm="1">
        <f t="array" ref="E47">IFERROR(VLOOKUP($B47,_xlfn._xlws.FILTER($L$7:$P$10000,$J$7:$J$10000=G$1+1),5, FALSE), 0)</f>
        <v>4.1432377187776632</v>
      </c>
      <c r="F47" s="1">
        <f t="shared" si="6"/>
        <v>27</v>
      </c>
      <c r="G47" s="1">
        <f t="shared" ca="1" si="4"/>
        <v>16.959795171822229</v>
      </c>
      <c r="H47" s="1">
        <f t="shared" ca="1" si="5"/>
        <v>26</v>
      </c>
      <c r="I47" s="1" cm="1">
        <f t="array" ref="I47">COUNT(_xlfn._xlws.FILTER($J$7:$J$10000,($L$7:$L$10000=B47)*($M$7:$M$10000&lt;&gt;"NULL")*($J$7:$J$10000 &gt;= ($G$1-4))))/5</f>
        <v>1</v>
      </c>
      <c r="J47" s="65">
        <v>3</v>
      </c>
      <c r="K47" t="s">
        <v>7</v>
      </c>
      <c r="L47" t="s">
        <v>277</v>
      </c>
      <c r="M47">
        <v>5.6</v>
      </c>
      <c r="N47" t="s">
        <v>3</v>
      </c>
      <c r="O47" t="s">
        <v>34</v>
      </c>
      <c r="P47">
        <f t="shared" si="2"/>
        <v>6.7143480385735312</v>
      </c>
      <c r="Q47">
        <f t="shared" si="1"/>
        <v>1.241771551072677</v>
      </c>
      <c r="R47" s="67" cm="1">
        <f t="array" ref="R47">SUMPRODUCT((J47=$J$7:$J$1000)*(P47&lt;$P$7:$P$1000))+1</f>
        <v>2</v>
      </c>
      <c r="S47" s="72"/>
      <c r="T47">
        <v>13</v>
      </c>
      <c r="U47" t="str">
        <v>SDL</v>
      </c>
      <c r="V47" t="str">
        <v>Zak Farrance</v>
      </c>
      <c r="W47" t="str">
        <v>NULL</v>
      </c>
      <c r="X47" t="str">
        <v>Home</v>
      </c>
      <c r="Y47" t="str">
        <v>HOU</v>
      </c>
      <c r="Z47">
        <v>0.10647525019585002</v>
      </c>
      <c r="AA47" s="1" t="str">
        <v>Rob Harley</v>
      </c>
      <c r="AB47" s="1" cm="1">
        <f t="array" ref="AB47">COUNT(_xlfn._xlws.FILTER($J$7:$J$10000,($L$7:$L$10000=AA47)*($M$7:$M$10000&lt;&gt;"NULL")*($J$7:$J$10000 &gt;= ($G$1-5))))/5</f>
        <v>1</v>
      </c>
    </row>
    <row r="48" spans="1:28" x14ac:dyDescent="0.35">
      <c r="A48">
        <f>VLOOKUP($B48, PlayerIDs!$A$1:$B$516, 2, FALSE)</f>
        <v>207</v>
      </c>
      <c r="B48" t="s">
        <v>431</v>
      </c>
      <c r="C48" s="1">
        <v>4.2481689586227773</v>
      </c>
      <c r="D48" s="1">
        <f t="shared" si="3"/>
        <v>29</v>
      </c>
      <c r="E48" s="1" cm="1">
        <f t="array" ref="E48">IFERROR(VLOOKUP($B48,_xlfn._xlws.FILTER($L$7:$P$10000,$J$7:$J$10000=G$1+1),5, FALSE), 0)</f>
        <v>4.3819071281586197</v>
      </c>
      <c r="F48" s="1">
        <f t="shared" si="6"/>
        <v>24</v>
      </c>
      <c r="G48" s="1">
        <f t="shared" ca="1" si="4"/>
        <v>17.331095131740121</v>
      </c>
      <c r="H48" s="1">
        <f t="shared" ca="1" si="5"/>
        <v>23</v>
      </c>
      <c r="I48" s="1" cm="1">
        <f t="array" ref="I48">COUNT(_xlfn._xlws.FILTER($J$7:$J$10000,($L$7:$L$10000=B48)*($M$7:$M$10000&lt;&gt;"NULL")*($J$7:$J$10000 &gt;= ($G$1-4))))/5</f>
        <v>0.2</v>
      </c>
      <c r="J48" s="65">
        <v>3</v>
      </c>
      <c r="K48" t="s">
        <v>17</v>
      </c>
      <c r="L48" t="s">
        <v>105</v>
      </c>
      <c r="M48">
        <v>5.5</v>
      </c>
      <c r="N48" t="s">
        <v>9</v>
      </c>
      <c r="O48" t="s">
        <v>36</v>
      </c>
      <c r="P48">
        <f t="shared" si="2"/>
        <v>4.3847293045528666</v>
      </c>
      <c r="Q48">
        <f t="shared" si="1"/>
        <v>1.2438287241231327</v>
      </c>
      <c r="R48" s="67" cm="1">
        <f t="array" ref="R48">SUMPRODUCT((J48=$J$7:$J$1000)*(P48&lt;$P$7:$P$1000))+1</f>
        <v>12</v>
      </c>
      <c r="S48" s="72"/>
      <c r="T48">
        <v>13</v>
      </c>
      <c r="U48" t="str">
        <v>SEA</v>
      </c>
      <c r="V48" t="str">
        <v>Isaia Lotawa</v>
      </c>
      <c r="W48" t="str">
        <v>NULL</v>
      </c>
      <c r="X48" t="str">
        <v>Away</v>
      </c>
      <c r="Y48" t="str">
        <v>UTAH</v>
      </c>
      <c r="Z48">
        <v>0.50729636411445389</v>
      </c>
      <c r="AA48" s="1" t="str">
        <v>Saia 'Uhila</v>
      </c>
      <c r="AB48" s="1" cm="1">
        <f t="array" ref="AB48">COUNT(_xlfn._xlws.FILTER($J$7:$J$10000,($L$7:$L$10000=AA48)*($M$7:$M$10000&lt;&gt;"NULL")*($J$7:$J$10000 &gt;= ($G$1-5))))/5</f>
        <v>0.2</v>
      </c>
    </row>
    <row r="49" spans="1:28" x14ac:dyDescent="0.35">
      <c r="A49">
        <f>VLOOKUP($B49, PlayerIDs!$A$1:$B$516, 2, FALSE)</f>
        <v>401</v>
      </c>
      <c r="B49" t="s">
        <v>483</v>
      </c>
      <c r="C49" s="1">
        <v>4.2242429984832137</v>
      </c>
      <c r="D49" s="1">
        <f t="shared" si="3"/>
        <v>30</v>
      </c>
      <c r="E49" s="1" cm="1">
        <f t="array" ref="E49">IFERROR(VLOOKUP($B49,_xlfn._xlws.FILTER($L$7:$P$10000,$J$7:$J$10000=G$1+1),5, FALSE), 0)</f>
        <v>3.4507089588223385</v>
      </c>
      <c r="F49" s="1">
        <f t="shared" si="6"/>
        <v>32</v>
      </c>
      <c r="G49" s="1">
        <f t="shared" ca="1" si="4"/>
        <v>16.576666561888018</v>
      </c>
      <c r="H49" s="1">
        <f t="shared" ca="1" si="5"/>
        <v>28</v>
      </c>
      <c r="I49" s="1" cm="1">
        <f t="array" ref="I49">COUNT(_xlfn._xlws.FILTER($J$7:$J$10000,($L$7:$L$10000=B49)*($M$7:$M$10000&lt;&gt;"NULL")*($J$7:$J$10000 &gt;= ($G$1-4))))/5</f>
        <v>0</v>
      </c>
      <c r="J49" s="65">
        <v>3</v>
      </c>
      <c r="K49" t="s">
        <v>2</v>
      </c>
      <c r="L49" t="s">
        <v>108</v>
      </c>
      <c r="M49">
        <v>5.4</v>
      </c>
      <c r="N49" t="s">
        <v>3</v>
      </c>
      <c r="O49" t="s">
        <v>23</v>
      </c>
      <c r="P49">
        <f t="shared" si="2"/>
        <v>5.0488518263016111</v>
      </c>
      <c r="Q49">
        <f t="shared" si="1"/>
        <v>0.12330503989171414</v>
      </c>
      <c r="R49" s="67" cm="1">
        <f t="array" ref="R49">SUMPRODUCT((J49=$J$7:$J$1000)*(P49&lt;$P$7:$P$1000))+1</f>
        <v>9</v>
      </c>
      <c r="S49" s="72"/>
      <c r="T49">
        <v>13</v>
      </c>
      <c r="U49" t="str">
        <v>SEA</v>
      </c>
      <c r="V49" t="str">
        <v>Malembe Mpofu</v>
      </c>
      <c r="W49" t="str">
        <v>NULL</v>
      </c>
      <c r="X49" t="str">
        <v>Away</v>
      </c>
      <c r="Y49" t="str">
        <v>UTAH</v>
      </c>
      <c r="Z49">
        <v>2.2468750840535026</v>
      </c>
      <c r="AA49" s="1" t="str">
        <v>Sam Caird</v>
      </c>
      <c r="AB49" s="1" cm="1">
        <f t="array" ref="AB49">COUNT(_xlfn._xlws.FILTER($J$7:$J$10000,($L$7:$L$10000=AA49)*($M$7:$M$10000&lt;&gt;"NULL")*($J$7:$J$10000 &gt;= ($G$1-5))))/5</f>
        <v>0.6</v>
      </c>
    </row>
    <row r="50" spans="1:28" x14ac:dyDescent="0.35">
      <c r="A50">
        <f>VLOOKUP($B50, PlayerIDs!$A$1:$B$516, 2, FALSE)</f>
        <v>235</v>
      </c>
      <c r="B50" t="s">
        <v>529</v>
      </c>
      <c r="C50" s="1">
        <v>4.1173057253232761</v>
      </c>
      <c r="D50" s="1">
        <f t="shared" si="3"/>
        <v>31</v>
      </c>
      <c r="E50" s="1" cm="1">
        <f t="array" ref="E50">IFERROR(VLOOKUP($B50,_xlfn._xlws.FILTER($L$7:$P$10000,$J$7:$J$10000=G$1+1),5, FALSE), 0)</f>
        <v>4.9275483573356533</v>
      </c>
      <c r="F50" s="1">
        <f t="shared" si="6"/>
        <v>21</v>
      </c>
      <c r="G50" s="1">
        <f t="shared" ca="1" si="4"/>
        <v>17.41142633999878</v>
      </c>
      <c r="H50" s="1">
        <f t="shared" ca="1" si="5"/>
        <v>22</v>
      </c>
      <c r="I50" s="1" cm="1">
        <f t="array" ref="I50">COUNT(_xlfn._xlws.FILTER($J$7:$J$10000,($L$7:$L$10000=B50)*($M$7:$M$10000&lt;&gt;"NULL")*($J$7:$J$10000 &gt;= ($G$1-4))))/5</f>
        <v>0.8</v>
      </c>
      <c r="J50" s="65">
        <v>3</v>
      </c>
      <c r="K50" t="s">
        <v>23</v>
      </c>
      <c r="L50" t="s">
        <v>421</v>
      </c>
      <c r="M50">
        <v>5.4</v>
      </c>
      <c r="N50" t="s">
        <v>9</v>
      </c>
      <c r="O50" t="s">
        <v>2</v>
      </c>
      <c r="P50">
        <f t="shared" si="2"/>
        <v>5.1349476498138138</v>
      </c>
      <c r="Q50">
        <f t="shared" si="1"/>
        <v>7.0252748339220863E-2</v>
      </c>
      <c r="R50" s="67" cm="1">
        <f t="array" ref="R50">SUMPRODUCT((J50=$J$7:$J$1000)*(P50&lt;$P$7:$P$1000))+1</f>
        <v>7</v>
      </c>
      <c r="S50" s="72"/>
      <c r="T50">
        <v>13</v>
      </c>
      <c r="U50" t="str">
        <v>SEA</v>
      </c>
      <c r="V50" t="str">
        <v>OJ Noa</v>
      </c>
      <c r="W50" t="str">
        <v>NULL</v>
      </c>
      <c r="X50" t="str">
        <v>Away</v>
      </c>
      <c r="Y50" t="str">
        <v>UTAH</v>
      </c>
      <c r="Z50">
        <v>7.1174744473516061</v>
      </c>
      <c r="AA50" s="1" t="str">
        <v>Sam Golla</v>
      </c>
      <c r="AB50" s="1" cm="1">
        <f t="array" ref="AB50">COUNT(_xlfn._xlws.FILTER($J$7:$J$10000,($L$7:$L$10000=AA50)*($M$7:$M$10000&lt;&gt;"NULL")*($J$7:$J$10000 &gt;= ($G$1-5))))/5</f>
        <v>1</v>
      </c>
    </row>
    <row r="51" spans="1:28" x14ac:dyDescent="0.35">
      <c r="A51">
        <f>VLOOKUP($B51, PlayerIDs!$A$1:$B$516, 2, FALSE)</f>
        <v>627</v>
      </c>
      <c r="B51" t="s">
        <v>221</v>
      </c>
      <c r="C51" s="1">
        <v>3.9369558775015991</v>
      </c>
      <c r="D51" s="1">
        <f t="shared" si="3"/>
        <v>32</v>
      </c>
      <c r="E51" s="1" cm="1">
        <f t="array" ref="E51">IFERROR(VLOOKUP($B51,_xlfn._xlws.FILTER($L$7:$P$10000,$J$7:$J$10000=G$1+1),5, FALSE), 0)</f>
        <v>4.070694047037442</v>
      </c>
      <c r="F51" s="1">
        <f t="shared" si="6"/>
        <v>28</v>
      </c>
      <c r="G51" s="1">
        <f t="shared" ca="1" si="4"/>
        <v>16.086242807255406</v>
      </c>
      <c r="H51" s="1">
        <f t="shared" ca="1" si="5"/>
        <v>31</v>
      </c>
      <c r="I51" s="1" cm="1">
        <f t="array" ref="I51">COUNT(_xlfn._xlws.FILTER($J$7:$J$10000,($L$7:$L$10000=B51)*($M$7:$M$10000&lt;&gt;"NULL")*($J$7:$J$10000 &gt;= ($G$1-4))))/5</f>
        <v>0.8</v>
      </c>
      <c r="J51" s="65">
        <v>3</v>
      </c>
      <c r="K51" t="s">
        <v>23</v>
      </c>
      <c r="L51" t="s">
        <v>221</v>
      </c>
      <c r="M51">
        <v>5.3</v>
      </c>
      <c r="N51" t="s">
        <v>9</v>
      </c>
      <c r="O51" t="s">
        <v>2</v>
      </c>
      <c r="P51">
        <f t="shared" si="2"/>
        <v>4.0562529115000832</v>
      </c>
      <c r="Q51">
        <f t="shared" si="1"/>
        <v>1.5469068201520195</v>
      </c>
      <c r="R51" s="67" cm="1">
        <f t="array" ref="R51">SUMPRODUCT((J51=$J$7:$J$1000)*(P51&lt;$P$7:$P$1000))+1</f>
        <v>17</v>
      </c>
      <c r="S51" s="72"/>
      <c r="T51">
        <v>13</v>
      </c>
      <c r="U51" t="str">
        <v>SEA</v>
      </c>
      <c r="V51" t="str">
        <v>Rhyno Herbst</v>
      </c>
      <c r="W51" t="str">
        <v>NULL</v>
      </c>
      <c r="X51" t="str">
        <v>Away</v>
      </c>
      <c r="Y51" t="str">
        <v>UTAH</v>
      </c>
      <c r="Z51">
        <v>3.6358414706255129</v>
      </c>
      <c r="AA51" s="1" t="str">
        <v>Shawn Clark</v>
      </c>
      <c r="AB51" s="1" cm="1">
        <f t="array" ref="AB51">COUNT(_xlfn._xlws.FILTER($J$7:$J$10000,($L$7:$L$10000=AA51)*($M$7:$M$10000&lt;&gt;"NULL")*($J$7:$J$10000 &gt;= ($G$1-5))))/5</f>
        <v>0.2</v>
      </c>
    </row>
    <row r="52" spans="1:28" x14ac:dyDescent="0.35">
      <c r="A52">
        <f>VLOOKUP($B52, PlayerIDs!$A$1:$B$516, 2, FALSE)</f>
        <v>659</v>
      </c>
      <c r="B52" t="s">
        <v>643</v>
      </c>
      <c r="C52" s="1">
        <v>3.8712509962243611</v>
      </c>
      <c r="D52" s="1">
        <f t="shared" ref="D52:D73" si="7">RANK($C52,$C$20:$C$106)</f>
        <v>33</v>
      </c>
      <c r="E52" s="1" cm="1">
        <f t="array" ref="E52">IFERROR(VLOOKUP($B52,_xlfn._xlws.FILTER($L$7:$P$10000,$J$7:$J$10000=G$1+1),5, FALSE), 0)</f>
        <v>3.282792465839627</v>
      </c>
      <c r="F52" s="1">
        <f t="shared" si="6"/>
        <v>33</v>
      </c>
      <c r="G52" s="1">
        <f t="shared" ref="G52:G73" ca="1" si="8">SUMIF(V:Z,$B52,Z:Z)</f>
        <v>10.385498588163317</v>
      </c>
      <c r="H52" s="1">
        <f t="shared" ref="H52:H73" ca="1" si="9">RANK($G52,$G$20:$G$106)</f>
        <v>41</v>
      </c>
      <c r="I52" s="1" cm="1">
        <f t="array" ref="I52">COUNT(_xlfn._xlws.FILTER($J$7:$J$10000,($L$7:$L$10000=B52)*($M$7:$M$10000&lt;&gt;"NULL")*($J$7:$J$10000 &gt;= ($G$1-4))))/5</f>
        <v>0.4</v>
      </c>
      <c r="J52" s="65">
        <v>3</v>
      </c>
      <c r="K52" t="s">
        <v>2</v>
      </c>
      <c r="L52" t="s">
        <v>426</v>
      </c>
      <c r="M52">
        <v>5.2</v>
      </c>
      <c r="N52" t="s">
        <v>3</v>
      </c>
      <c r="O52" t="s">
        <v>23</v>
      </c>
      <c r="P52">
        <f t="shared" si="2"/>
        <v>4.157678854315022</v>
      </c>
      <c r="Q52">
        <f t="shared" si="1"/>
        <v>1.0864333707420455</v>
      </c>
      <c r="R52" s="67" cm="1">
        <f t="array" ref="R52">SUMPRODUCT((J52=$J$7:$J$1000)*(P52&lt;$P$7:$P$1000))+1</f>
        <v>15</v>
      </c>
      <c r="S52" s="72"/>
      <c r="T52">
        <v>13</v>
      </c>
      <c r="U52" t="str">
        <v>SEA</v>
      </c>
      <c r="V52" t="str">
        <v>Siaosi Mahoni</v>
      </c>
      <c r="W52" t="str">
        <v>NULL</v>
      </c>
      <c r="X52" t="str">
        <v>Away</v>
      </c>
      <c r="Y52" t="str">
        <v>UTAH</v>
      </c>
      <c r="Z52">
        <v>3.4507089588223385</v>
      </c>
      <c r="AA52" s="1" t="str">
        <v>Siaosi Mahoni</v>
      </c>
      <c r="AB52" s="1" cm="1">
        <f t="array" ref="AB52">COUNT(_xlfn._xlws.FILTER($J$7:$J$10000,($L$7:$L$10000=AA52)*($M$7:$M$10000&lt;&gt;"NULL")*($J$7:$J$10000 &gt;= ($G$1-5))))/5</f>
        <v>0</v>
      </c>
    </row>
    <row r="53" spans="1:28" x14ac:dyDescent="0.35">
      <c r="A53">
        <f>VLOOKUP($B53, PlayerIDs!$A$1:$B$516, 2, FALSE)</f>
        <v>52</v>
      </c>
      <c r="B53" t="s">
        <v>335</v>
      </c>
      <c r="C53" s="1">
        <v>3.7955545962976833</v>
      </c>
      <c r="D53" s="1">
        <f t="shared" si="7"/>
        <v>34</v>
      </c>
      <c r="E53" s="1" cm="1">
        <f t="array" ref="E53">IFERROR(VLOOKUP($B53,_xlfn._xlws.FILTER($L$7:$P$10000,$J$7:$J$10000=G$1+1),5, FALSE), 0)</f>
        <v>3.2070960659129497</v>
      </c>
      <c r="F53" s="1">
        <f t="shared" si="6"/>
        <v>34</v>
      </c>
      <c r="G53" s="1">
        <f t="shared" ca="1" si="8"/>
        <v>10.158409388383284</v>
      </c>
      <c r="H53" s="1">
        <f t="shared" ca="1" si="9"/>
        <v>43</v>
      </c>
      <c r="I53" s="1" cm="1">
        <f t="array" ref="I53">COUNT(_xlfn._xlws.FILTER($J$7:$J$10000,($L$7:$L$10000=B53)*($M$7:$M$10000&lt;&gt;"NULL")*($J$7:$J$10000 &gt;= ($G$1-4))))/5</f>
        <v>0.6</v>
      </c>
      <c r="J53" s="65">
        <v>3</v>
      </c>
      <c r="K53" t="s">
        <v>17</v>
      </c>
      <c r="L53" t="s">
        <v>483</v>
      </c>
      <c r="M53">
        <v>4.2</v>
      </c>
      <c r="N53" t="s">
        <v>9</v>
      </c>
      <c r="O53" t="s">
        <v>36</v>
      </c>
      <c r="P53">
        <f t="shared" si="2"/>
        <v>4.1995967927496922</v>
      </c>
      <c r="Q53">
        <f t="shared" si="1"/>
        <v>1.6257608670090394E-7</v>
      </c>
      <c r="R53" s="67" cm="1">
        <f t="array" ref="R53">SUMPRODUCT((J53=$J$7:$J$1000)*(P53&lt;$P$7:$P$1000))+1</f>
        <v>14</v>
      </c>
      <c r="S53" s="72"/>
      <c r="T53">
        <v>13</v>
      </c>
      <c r="U53" t="str">
        <v>SEA</v>
      </c>
      <c r="V53" t="str">
        <v>Taylor Krumrei</v>
      </c>
      <c r="W53" t="str">
        <v>NULL</v>
      </c>
      <c r="X53" t="str">
        <v>Away</v>
      </c>
      <c r="Y53" t="str">
        <v>UTAH</v>
      </c>
      <c r="Z53">
        <v>0.67012937860228727</v>
      </c>
      <c r="AA53" s="1" t="str">
        <v>Taylor Krumrei</v>
      </c>
      <c r="AB53" s="1" cm="1">
        <f t="array" ref="AB53">COUNT(_xlfn._xlws.FILTER($J$7:$J$10000,($L$7:$L$10000=AA53)*($M$7:$M$10000&lt;&gt;"NULL")*($J$7:$J$10000 &gt;= ($G$1-5))))/5</f>
        <v>0.2</v>
      </c>
    </row>
    <row r="54" spans="1:28" x14ac:dyDescent="0.35">
      <c r="A54">
        <f>VLOOKUP($B54, PlayerIDs!$A$1:$B$516, 2, FALSE)</f>
        <v>60</v>
      </c>
      <c r="B54" t="s">
        <v>119</v>
      </c>
      <c r="C54" s="1">
        <v>3.7847274168344329</v>
      </c>
      <c r="D54" s="1">
        <f t="shared" si="7"/>
        <v>35</v>
      </c>
      <c r="E54" s="1" cm="1">
        <f t="array" ref="E54">IFERROR(VLOOKUP($B54,_xlfn._xlws.FILTER($L$7:$P$10000,$J$7:$J$10000=G$1+1),5, FALSE), 0)</f>
        <v>3.7745223466382694</v>
      </c>
      <c r="F54" s="1">
        <f t="shared" si="6"/>
        <v>29</v>
      </c>
      <c r="G54" s="1">
        <f t="shared" ca="1" si="8"/>
        <v>10.918653733866037</v>
      </c>
      <c r="H54" s="1">
        <f t="shared" ca="1" si="9"/>
        <v>39</v>
      </c>
      <c r="I54" s="1" cm="1">
        <f t="array" ref="I54">COUNT(_xlfn._xlws.FILTER($J$7:$J$10000,($L$7:$L$10000=B54)*($M$7:$M$10000&lt;&gt;"NULL")*($J$7:$J$10000 &gt;= ($G$1-4))))/5</f>
        <v>0.4</v>
      </c>
      <c r="J54" s="65">
        <v>3</v>
      </c>
      <c r="K54" t="s">
        <v>24</v>
      </c>
      <c r="L54" t="s">
        <v>419</v>
      </c>
      <c r="M54">
        <v>3.9</v>
      </c>
      <c r="N54" t="s">
        <v>9</v>
      </c>
      <c r="O54" t="s">
        <v>14</v>
      </c>
      <c r="P54">
        <f t="shared" si="2"/>
        <v>5.9678924567972995</v>
      </c>
      <c r="Q54">
        <f t="shared" si="1"/>
        <v>4.276179212879172</v>
      </c>
      <c r="R54" s="67" cm="1">
        <f t="array" ref="R54">SUMPRODUCT((J54=$J$7:$J$1000)*(P54&lt;$P$7:$P$1000))+1</f>
        <v>3</v>
      </c>
      <c r="S54" s="72"/>
      <c r="T54">
        <v>13</v>
      </c>
      <c r="U54" t="str">
        <v>UTAH</v>
      </c>
      <c r="V54" t="str">
        <v>Frank Lochore</v>
      </c>
      <c r="W54" t="str">
        <v>NULL</v>
      </c>
      <c r="X54" t="str">
        <v>Home</v>
      </c>
      <c r="Y54" t="str">
        <v>SEA</v>
      </c>
      <c r="Z54">
        <v>6.5264547300554501</v>
      </c>
      <c r="AA54" s="1" t="str">
        <v>Tevita Naqali</v>
      </c>
      <c r="AB54" s="1" cm="1">
        <f t="array" ref="AB54">COUNT(_xlfn._xlws.FILTER($J$7:$J$10000,($L$7:$L$10000=AA54)*($M$7:$M$10000&lt;&gt;"NULL")*($J$7:$J$10000 &gt;= ($G$1-5))))/5</f>
        <v>0.8</v>
      </c>
    </row>
    <row r="55" spans="1:28" x14ac:dyDescent="0.35">
      <c r="A55">
        <f>VLOOKUP($B55, PlayerIDs!$A$1:$B$516, 2, FALSE)</f>
        <v>634</v>
      </c>
      <c r="B55" t="s">
        <v>118</v>
      </c>
      <c r="C55" s="1">
        <v>3.7591493765015209</v>
      </c>
      <c r="D55" s="1">
        <f t="shared" si="7"/>
        <v>36</v>
      </c>
      <c r="E55" s="1" cm="1">
        <f t="array" ref="E55">IFERROR(VLOOKUP($B55,_xlfn._xlws.FILTER($L$7:$P$10000,$J$7:$J$10000=G$1+1),5, FALSE), 0)</f>
        <v>3.1706908461167869</v>
      </c>
      <c r="F55" s="1">
        <f t="shared" si="6"/>
        <v>35</v>
      </c>
      <c r="G55" s="1">
        <f t="shared" ca="1" si="8"/>
        <v>10.049193728994796</v>
      </c>
      <c r="H55" s="1">
        <f t="shared" ca="1" si="9"/>
        <v>44</v>
      </c>
      <c r="I55" s="1" cm="1">
        <f t="array" ref="I55">COUNT(_xlfn._xlws.FILTER($J$7:$J$10000,($L$7:$L$10000=B55)*($M$7:$M$10000&lt;&gt;"NULL")*($J$7:$J$10000 &gt;= ($G$1-4))))/5</f>
        <v>0.2</v>
      </c>
      <c r="J55" s="65">
        <v>3</v>
      </c>
      <c r="K55" t="s">
        <v>14</v>
      </c>
      <c r="L55" t="s">
        <v>470</v>
      </c>
      <c r="M55">
        <v>3.7</v>
      </c>
      <c r="N55" t="s">
        <v>3</v>
      </c>
      <c r="O55" t="s">
        <v>24</v>
      </c>
      <c r="P55">
        <f t="shared" si="2"/>
        <v>3.9765254836897626</v>
      </c>
      <c r="Q55">
        <f t="shared" si="1"/>
        <v>7.6466343129857034E-2</v>
      </c>
      <c r="R55" s="67" cm="1">
        <f t="array" ref="R55">SUMPRODUCT((J55=$J$7:$J$1000)*(P55&lt;$P$7:$P$1000))+1</f>
        <v>18</v>
      </c>
      <c r="S55" s="72"/>
      <c r="T55">
        <v>13</v>
      </c>
      <c r="U55" t="str">
        <v>UTAH</v>
      </c>
      <c r="V55" t="str">
        <v>Gavin Thornbury</v>
      </c>
      <c r="W55" t="str">
        <v>NULL</v>
      </c>
      <c r="X55" t="str">
        <v>Home</v>
      </c>
      <c r="Y55" t="str">
        <v>SEA</v>
      </c>
      <c r="Z55">
        <v>5.4685956618577993</v>
      </c>
      <c r="AA55" s="1" t="str">
        <v>Tim Anstee</v>
      </c>
      <c r="AB55" s="1" cm="1">
        <f t="array" ref="AB55">COUNT(_xlfn._xlws.FILTER($J$7:$J$10000,($L$7:$L$10000=AA55)*($M$7:$M$10000&lt;&gt;"NULL")*($J$7:$J$10000 &gt;= ($G$1-5))))/5</f>
        <v>0.2</v>
      </c>
    </row>
    <row r="56" spans="1:28" x14ac:dyDescent="0.35">
      <c r="A56">
        <f>VLOOKUP($B56, PlayerIDs!$A$1:$B$516, 2, FALSE)</f>
        <v>453</v>
      </c>
      <c r="B56" t="s">
        <v>512</v>
      </c>
      <c r="C56" s="1">
        <v>3.6370683165248017</v>
      </c>
      <c r="D56" s="1">
        <f t="shared" si="7"/>
        <v>37</v>
      </c>
      <c r="E56" s="1" cm="1">
        <f t="array" ref="E56">IFERROR(VLOOKUP($B56,_xlfn._xlws.FILTER($L$7:$P$10000,$J$7:$J$10000=G$1+1),5, FALSE), 0)</f>
        <v>0</v>
      </c>
      <c r="F56" s="1">
        <f t="shared" si="6"/>
        <v>51</v>
      </c>
      <c r="G56" s="1">
        <f t="shared" ca="1" si="8"/>
        <v>11.586189363077397</v>
      </c>
      <c r="H56" s="1">
        <f t="shared" ca="1" si="9"/>
        <v>38</v>
      </c>
      <c r="I56" s="1" cm="1">
        <f t="array" ref="I56">COUNT(_xlfn._xlws.FILTER($J$7:$J$10000,($L$7:$L$10000=B56)*($M$7:$M$10000&lt;&gt;"NULL")*($J$7:$J$10000 &gt;= ($G$1-4))))/5</f>
        <v>0.4</v>
      </c>
      <c r="J56" s="65">
        <v>3</v>
      </c>
      <c r="K56" t="s">
        <v>4</v>
      </c>
      <c r="L56" t="s">
        <v>114</v>
      </c>
      <c r="M56">
        <v>3.3</v>
      </c>
      <c r="N56" t="s">
        <v>9</v>
      </c>
      <c r="O56" t="s">
        <v>13</v>
      </c>
      <c r="P56">
        <f t="shared" si="2"/>
        <v>5.133643446133771</v>
      </c>
      <c r="Q56">
        <f t="shared" si="1"/>
        <v>3.362248287549332</v>
      </c>
      <c r="R56" s="67" cm="1">
        <f t="array" ref="R56">SUMPRODUCT((J56=$J$7:$J$1000)*(P56&lt;$P$7:$P$1000))+1</f>
        <v>8</v>
      </c>
      <c r="S56" s="72"/>
      <c r="T56">
        <v>13</v>
      </c>
      <c r="U56" t="str">
        <v>UTAH</v>
      </c>
      <c r="V56" t="str">
        <v>Matt Jenson</v>
      </c>
      <c r="W56" t="str">
        <v>NULL</v>
      </c>
      <c r="X56" t="str">
        <v>Home</v>
      </c>
      <c r="Y56" t="str">
        <v>SEA</v>
      </c>
      <c r="Z56">
        <v>5.1140733266275946</v>
      </c>
      <c r="AA56" s="1" t="str">
        <v>Tomás Casares</v>
      </c>
      <c r="AB56" s="1" cm="1">
        <f t="array" ref="AB56">COUNT(_xlfn._xlws.FILTER($J$7:$J$10000,($L$7:$L$10000=AA56)*($M$7:$M$10000&lt;&gt;"NULL")*($J$7:$J$10000 &gt;= ($G$1-5))))/5</f>
        <v>0.8</v>
      </c>
    </row>
    <row r="57" spans="1:28" x14ac:dyDescent="0.35">
      <c r="A57">
        <f>VLOOKUP($B57, PlayerIDs!$A$1:$B$516, 2, FALSE)</f>
        <v>523</v>
      </c>
      <c r="B57" t="s">
        <v>684</v>
      </c>
      <c r="C57" s="1">
        <v>3.6125052802003768</v>
      </c>
      <c r="D57" s="1">
        <f t="shared" si="7"/>
        <v>38</v>
      </c>
      <c r="E57" s="1" cm="1">
        <f t="array" ref="E57">IFERROR(VLOOKUP($B57,_xlfn._xlws.FILTER($L$7:$P$10000,$J$7:$J$10000=G$1+1),5, FALSE), 0)</f>
        <v>3.6023002100042132</v>
      </c>
      <c r="F57" s="1">
        <f t="shared" si="6"/>
        <v>31</v>
      </c>
      <c r="G57" s="1">
        <f t="shared" ca="1" si="8"/>
        <v>10.401987323963869</v>
      </c>
      <c r="H57" s="1">
        <f t="shared" ca="1" si="9"/>
        <v>40</v>
      </c>
      <c r="I57" s="1" cm="1">
        <f t="array" ref="I57">COUNT(_xlfn._xlws.FILTER($J$7:$J$10000,($L$7:$L$10000=B57)*($M$7:$M$10000&lt;&gt;"NULL")*($J$7:$J$10000 &gt;= ($G$1-4))))/5</f>
        <v>0.2</v>
      </c>
      <c r="J57" s="65">
        <v>3</v>
      </c>
      <c r="K57" t="s">
        <v>13</v>
      </c>
      <c r="L57" t="s">
        <v>469</v>
      </c>
      <c r="M57">
        <v>3</v>
      </c>
      <c r="N57" t="s">
        <v>3</v>
      </c>
      <c r="O57" t="s">
        <v>4</v>
      </c>
      <c r="P57">
        <f t="shared" si="2"/>
        <v>4.4773766681446645</v>
      </c>
      <c r="Q57">
        <f t="shared" si="1"/>
        <v>2.18264181957823</v>
      </c>
      <c r="R57" s="67" cm="1">
        <f t="array" ref="R57">SUMPRODUCT((J57=$J$7:$J$1000)*(P57&lt;$P$7:$P$1000))+1</f>
        <v>11</v>
      </c>
      <c r="S57" s="72"/>
      <c r="T57">
        <v>13</v>
      </c>
      <c r="U57" t="str">
        <v>UTAH</v>
      </c>
      <c r="V57" t="str">
        <v>Saia 'Uhila</v>
      </c>
      <c r="W57" t="str">
        <v>NULL</v>
      </c>
      <c r="X57" t="str">
        <v>Home</v>
      </c>
      <c r="Y57" t="str">
        <v>SEA</v>
      </c>
      <c r="Z57">
        <v>2.0988207354071946</v>
      </c>
      <c r="AA57" s="1" t="str">
        <v>Vili Helu</v>
      </c>
      <c r="AB57" s="1" cm="1">
        <f t="array" ref="AB57">COUNT(_xlfn._xlws.FILTER($J$7:$J$10000,($L$7:$L$10000=AA57)*($M$7:$M$10000&lt;&gt;"NULL")*($J$7:$J$10000 &gt;= ($G$1-5))))/5</f>
        <v>0.4</v>
      </c>
    </row>
    <row r="58" spans="1:28" x14ac:dyDescent="0.35">
      <c r="A58">
        <f>VLOOKUP($B58, PlayerIDs!$A$1:$B$516, 2, FALSE)</f>
        <v>534</v>
      </c>
      <c r="B58" t="s">
        <v>648</v>
      </c>
      <c r="C58" s="1">
        <v>3.1447543591057179</v>
      </c>
      <c r="D58" s="1">
        <f t="shared" si="7"/>
        <v>39</v>
      </c>
      <c r="E58" s="1" cm="1">
        <f t="array" ref="E58">IFERROR(VLOOKUP($B58,_xlfn._xlws.FILTER($L$7:$P$10000,$J$7:$J$10000=G$1+1),5, FALSE), 0)</f>
        <v>2.3311115848735779</v>
      </c>
      <c r="F58" s="1">
        <f t="shared" si="6"/>
        <v>40</v>
      </c>
      <c r="G58" s="1">
        <f t="shared" ca="1" si="8"/>
        <v>12.235756637506745</v>
      </c>
      <c r="H58" s="1">
        <f t="shared" ca="1" si="9"/>
        <v>35</v>
      </c>
      <c r="I58" s="1" cm="1">
        <f t="array" ref="I58">COUNT(_xlfn._xlws.FILTER($J$7:$J$10000,($L$7:$L$10000=B58)*($M$7:$M$10000&lt;&gt;"NULL")*($J$7:$J$10000 &gt;= ($G$1-4))))/5</f>
        <v>0.4</v>
      </c>
      <c r="J58" s="65">
        <v>3</v>
      </c>
      <c r="K58" t="s">
        <v>4</v>
      </c>
      <c r="L58" t="s">
        <v>484</v>
      </c>
      <c r="M58">
        <v>2.7</v>
      </c>
      <c r="N58" t="s">
        <v>9</v>
      </c>
      <c r="O58" t="s">
        <v>13</v>
      </c>
      <c r="P58">
        <f t="shared" si="2"/>
        <v>5.3432888452829301</v>
      </c>
      <c r="Q58">
        <f t="shared" si="1"/>
        <v>6.9869759195971648</v>
      </c>
      <c r="R58" s="67" cm="1">
        <f t="array" ref="R58">SUMPRODUCT((J58=$J$7:$J$1000)*(P58&lt;$P$7:$P$1000))+1</f>
        <v>6</v>
      </c>
      <c r="S58" s="72"/>
      <c r="T58">
        <v>14</v>
      </c>
      <c r="U58" t="str">
        <v>ARC</v>
      </c>
      <c r="V58" t="str">
        <v>Alejandro Martinez Tapia</v>
      </c>
      <c r="W58" t="str">
        <v>NULL</v>
      </c>
      <c r="X58" t="str">
        <v>Home</v>
      </c>
      <c r="Y58" t="str">
        <v>OGDC</v>
      </c>
      <c r="Z58">
        <v>6.34976176003451</v>
      </c>
      <c r="AA58" s="1" t="str">
        <v>Viliami Vuli</v>
      </c>
      <c r="AB58" s="1" cm="1">
        <f t="array" ref="AB58">COUNT(_xlfn._xlws.FILTER($J$7:$J$10000,($L$7:$L$10000=AA58)*($M$7:$M$10000&lt;&gt;"NULL")*($J$7:$J$10000 &gt;= ($G$1-5))))/5</f>
        <v>0.4</v>
      </c>
    </row>
    <row r="59" spans="1:28" x14ac:dyDescent="0.35">
      <c r="A59">
        <f>VLOOKUP($B59, PlayerIDs!$A$1:$B$516, 2, FALSE)</f>
        <v>776</v>
      </c>
      <c r="B59" t="s">
        <v>422</v>
      </c>
      <c r="C59" s="1">
        <v>3.1426600126357269</v>
      </c>
      <c r="D59" s="1">
        <f t="shared" si="7"/>
        <v>40</v>
      </c>
      <c r="E59" s="1" cm="1">
        <f t="array" ref="E59">IFERROR(VLOOKUP($B59,_xlfn._xlws.FILTER($L$7:$P$10000,$J$7:$J$10000=G$1+1),5, FALSE), 0)</f>
        <v>2.329017238403587</v>
      </c>
      <c r="F59" s="1">
        <f t="shared" si="6"/>
        <v>41</v>
      </c>
      <c r="G59" s="1">
        <f t="shared" ca="1" si="8"/>
        <v>12.227379251626781</v>
      </c>
      <c r="H59" s="1">
        <f t="shared" ca="1" si="9"/>
        <v>36</v>
      </c>
      <c r="I59" s="1" cm="1">
        <f t="array" ref="I59">COUNT(_xlfn._xlws.FILTER($J$7:$J$10000,($L$7:$L$10000=B59)*($M$7:$M$10000&lt;&gt;"NULL")*($J$7:$J$10000 &gt;= ($G$1-4))))/5</f>
        <v>0.2</v>
      </c>
      <c r="J59" s="65">
        <v>3</v>
      </c>
      <c r="K59" t="s">
        <v>24</v>
      </c>
      <c r="L59" t="s">
        <v>422</v>
      </c>
      <c r="M59">
        <v>2.6</v>
      </c>
      <c r="N59" t="s">
        <v>9</v>
      </c>
      <c r="O59" t="s">
        <v>14</v>
      </c>
      <c r="P59">
        <f t="shared" si="2"/>
        <v>3.9384615091107458</v>
      </c>
      <c r="Q59">
        <f t="shared" si="1"/>
        <v>1.7914792113710147</v>
      </c>
      <c r="R59" s="67" cm="1">
        <f t="array" ref="R59">SUMPRODUCT((J59=$J$7:$J$1000)*(P59&lt;$P$7:$P$1000))+1</f>
        <v>19</v>
      </c>
      <c r="S59" s="72"/>
      <c r="T59">
        <v>14</v>
      </c>
      <c r="U59" t="str">
        <v>ARC</v>
      </c>
      <c r="V59" t="str">
        <v>Javon Camp Villalovos</v>
      </c>
      <c r="W59" t="str">
        <v>NULL</v>
      </c>
      <c r="X59" t="str">
        <v>Home</v>
      </c>
      <c r="Y59" t="str">
        <v>OGDC</v>
      </c>
      <c r="Z59">
        <v>3.2066307664296589</v>
      </c>
      <c r="AA59" s="1" t="str">
        <v>William Waguespack</v>
      </c>
      <c r="AB59" s="1" cm="1">
        <f t="array" ref="AB59">COUNT(_xlfn._xlws.FILTER($J$7:$J$10000,($L$7:$L$10000=AA59)*($M$7:$M$10000&lt;&gt;"NULL")*($J$7:$J$10000 &gt;= ($G$1-5))))/5</f>
        <v>0.4</v>
      </c>
    </row>
    <row r="60" spans="1:28" x14ac:dyDescent="0.35">
      <c r="A60">
        <f>VLOOKUP($B60, PlayerIDs!$A$1:$B$516, 2, FALSE)</f>
        <v>826</v>
      </c>
      <c r="B60" t="s">
        <v>425</v>
      </c>
      <c r="C60" s="1">
        <v>3.139027259345204</v>
      </c>
      <c r="D60" s="1">
        <f t="shared" si="7"/>
        <v>41</v>
      </c>
      <c r="E60" s="1" cm="1">
        <f t="array" ref="E60">IFERROR(VLOOKUP($B60,_xlfn._xlws.FILTER($L$7:$P$10000,$J$7:$J$10000=G$1+1),5, FALSE), 0)</f>
        <v>3.1315344213116605</v>
      </c>
      <c r="F60" s="1">
        <f t="shared" si="6"/>
        <v>36</v>
      </c>
      <c r="G60" s="1">
        <f t="shared" ca="1" si="8"/>
        <v>12.524383767839147</v>
      </c>
      <c r="H60" s="1">
        <f t="shared" ca="1" si="9"/>
        <v>34</v>
      </c>
      <c r="I60" s="1" cm="1">
        <f t="array" ref="I60">COUNT(_xlfn._xlws.FILTER($J$7:$J$10000,($L$7:$L$10000=B60)*($M$7:$M$10000&lt;&gt;"NULL")*($J$7:$J$10000 &gt;= ($G$1-4))))/5</f>
        <v>0.2</v>
      </c>
      <c r="J60" s="65">
        <v>3</v>
      </c>
      <c r="K60" t="s">
        <v>13</v>
      </c>
      <c r="L60" t="s">
        <v>120</v>
      </c>
      <c r="M60">
        <v>2.4</v>
      </c>
      <c r="N60" t="s">
        <v>3</v>
      </c>
      <c r="O60" t="s">
        <v>4</v>
      </c>
      <c r="P60">
        <f t="shared" si="2"/>
        <v>4.1228543329144598</v>
      </c>
      <c r="Q60">
        <f t="shared" si="1"/>
        <v>2.9682270524421286</v>
      </c>
      <c r="R60" s="67" cm="1">
        <f t="array" ref="R60">SUMPRODUCT((J60=$J$7:$J$1000)*(P60&lt;$P$7:$P$1000))+1</f>
        <v>16</v>
      </c>
      <c r="S60" s="72"/>
      <c r="T60">
        <v>14</v>
      </c>
      <c r="U60" t="str">
        <v>ARC</v>
      </c>
      <c r="V60" t="str">
        <v>Javon Camp Villalovos</v>
      </c>
      <c r="W60" t="str">
        <v>NULL</v>
      </c>
      <c r="X60" t="str">
        <v>Home</v>
      </c>
      <c r="Y60" t="str">
        <v>UTAH</v>
      </c>
      <c r="Z60">
        <v>1.8319744236892368</v>
      </c>
      <c r="AA60" s="1" t="str">
        <v>Zak Farrance</v>
      </c>
      <c r="AB60" s="1" cm="1">
        <f t="array" ref="AB60">COUNT(_xlfn._xlws.FILTER($J$7:$J$10000,($L$7:$L$10000=AA60)*($M$7:$M$10000&lt;&gt;"NULL")*($J$7:$J$10000 &gt;= ($G$1-5))))/5</f>
        <v>0.2</v>
      </c>
    </row>
    <row r="61" spans="1:28" x14ac:dyDescent="0.35">
      <c r="A61">
        <f>VLOOKUP($B61, PlayerIDs!$A$1:$B$516, 2, FALSE)</f>
        <v>760</v>
      </c>
      <c r="B61" t="s">
        <v>423</v>
      </c>
      <c r="C61" s="1">
        <v>3.0204091237143773</v>
      </c>
      <c r="D61" s="1">
        <f t="shared" si="7"/>
        <v>42</v>
      </c>
      <c r="E61" s="1" cm="1">
        <f t="array" ref="E61">IFERROR(VLOOKUP($B61,_xlfn._xlws.FILTER($L$7:$P$10000,$J$7:$J$10000=G$1+1),5, FALSE), 0)</f>
        <v>2.2468750840535026</v>
      </c>
      <c r="F61" s="1">
        <f t="shared" si="6"/>
        <v>42</v>
      </c>
      <c r="G61" s="1">
        <f t="shared" ca="1" si="8"/>
        <v>11.761331062812669</v>
      </c>
      <c r="H61" s="1">
        <f t="shared" ca="1" si="9"/>
        <v>37</v>
      </c>
      <c r="I61" s="1" cm="1">
        <f t="array" ref="I61">COUNT(_xlfn._xlws.FILTER($J$7:$J$10000,($L$7:$L$10000=B61)*($M$7:$M$10000&lt;&gt;"NULL")*($J$7:$J$10000 &gt;= ($G$1-4))))/5</f>
        <v>0.2</v>
      </c>
      <c r="J61" s="65">
        <v>3</v>
      </c>
      <c r="K61" t="s">
        <v>36</v>
      </c>
      <c r="L61" t="s">
        <v>117</v>
      </c>
      <c r="M61">
        <v>1.8</v>
      </c>
      <c r="N61" t="s">
        <v>3</v>
      </c>
      <c r="O61" t="s">
        <v>17</v>
      </c>
      <c r="P61">
        <f t="shared" si="2"/>
        <v>5.4663042654978025</v>
      </c>
      <c r="Q61">
        <f t="shared" si="1"/>
        <v>13.441786967207381</v>
      </c>
      <c r="R61" s="67" cm="1">
        <f t="array" ref="R61">SUMPRODUCT((J61=$J$7:$J$1000)*(P61&lt;$P$7:$P$1000))+1</f>
        <v>5</v>
      </c>
      <c r="S61" s="72"/>
      <c r="T61">
        <v>14</v>
      </c>
      <c r="U61" t="str">
        <v>ARC</v>
      </c>
      <c r="V61" t="str">
        <v>Mikey Grandy</v>
      </c>
      <c r="W61" t="str">
        <v>NULL</v>
      </c>
      <c r="X61" t="str">
        <v>Home</v>
      </c>
      <c r="Y61" t="str">
        <v>OGDC</v>
      </c>
      <c r="Z61">
        <v>5.1805474526914024</v>
      </c>
      <c r="AA61" s="1">
        <v>0</v>
      </c>
      <c r="AB61" s="1" cm="1">
        <f t="array" ref="AB61">COUNT(_xlfn._xlws.FILTER($J$7:$J$10000,($L$7:$L$10000=AA61)*($M$7:$M$10000&lt;&gt;"NULL")*($J$7:$J$10000 &gt;= ($G$1-5))))/5</f>
        <v>0</v>
      </c>
    </row>
    <row r="62" spans="1:28" x14ac:dyDescent="0.35">
      <c r="A62">
        <f>VLOOKUP($B62, PlayerIDs!$A$1:$B$516, 2, FALSE)</f>
        <v>747</v>
      </c>
      <c r="B62" t="s">
        <v>610</v>
      </c>
      <c r="C62" s="1">
        <v>2.5910673278127536</v>
      </c>
      <c r="D62" s="1">
        <f t="shared" si="7"/>
        <v>43</v>
      </c>
      <c r="E62" s="1" cm="1">
        <f t="array" ref="E62">IFERROR(VLOOKUP($B62,_xlfn._xlws.FILTER($L$7:$P$10000,$J$7:$J$10000=G$1+1),5, FALSE), 0)</f>
        <v>2.5835744897792101</v>
      </c>
      <c r="F62" s="1">
        <f t="shared" si="6"/>
        <v>39</v>
      </c>
      <c r="G62" s="1">
        <f t="shared" ca="1" si="8"/>
        <v>18.10098726325576</v>
      </c>
      <c r="H62" s="1">
        <f t="shared" ca="1" si="9"/>
        <v>20</v>
      </c>
      <c r="I62" s="1" cm="1">
        <f t="array" ref="I62">COUNT(_xlfn._xlws.FILTER($J$7:$J$10000,($L$7:$L$10000=B62)*($M$7:$M$10000&lt;&gt;"NULL")*($J$7:$J$10000 &gt;= ($G$1-4))))/5</f>
        <v>0.2</v>
      </c>
      <c r="J62" s="65">
        <v>3</v>
      </c>
      <c r="K62" t="s">
        <v>34</v>
      </c>
      <c r="L62" t="s">
        <v>424</v>
      </c>
      <c r="M62">
        <v>0.9</v>
      </c>
      <c r="N62" t="s">
        <v>9</v>
      </c>
      <c r="O62" t="s">
        <v>7</v>
      </c>
      <c r="P62">
        <f t="shared" si="2"/>
        <v>2.6011512315252521</v>
      </c>
      <c r="Q62">
        <f t="shared" si="1"/>
        <v>2.8939155125198819</v>
      </c>
      <c r="R62" s="67" cm="1">
        <f t="array" ref="R62">SUMPRODUCT((J62=$J$7:$J$1000)*(P62&lt;$P$7:$P$1000))+1</f>
        <v>20</v>
      </c>
      <c r="S62" s="72"/>
      <c r="T62">
        <v>14</v>
      </c>
      <c r="U62" t="str">
        <v>ARC</v>
      </c>
      <c r="V62" t="str">
        <v>Sam Golla</v>
      </c>
      <c r="W62" t="str">
        <v>NULL</v>
      </c>
      <c r="X62" t="str">
        <v>Home</v>
      </c>
      <c r="Y62" t="str">
        <v>OGDC</v>
      </c>
      <c r="Z62">
        <v>6.9644839373604777</v>
      </c>
      <c r="AA62" s="1"/>
      <c r="AB62" s="1" cm="1">
        <f t="array" ref="AB62">COUNT(_xlfn._xlws.FILTER($J$7:$J$10000,($L$7:$L$10000=AA62)*($M$7:$M$10000&lt;&gt;"NULL")*($J$7:$J$10000 &gt;= ($G$1-5))))/5</f>
        <v>0</v>
      </c>
    </row>
    <row r="63" spans="1:28" x14ac:dyDescent="0.35">
      <c r="A63">
        <f>VLOOKUP($B63, PlayerIDs!$A$1:$B$516, 2, FALSE)</f>
        <v>85</v>
      </c>
      <c r="B63" t="s">
        <v>111</v>
      </c>
      <c r="C63" s="1">
        <v>2.4585211048413336</v>
      </c>
      <c r="D63" s="1">
        <f t="shared" si="7"/>
        <v>44</v>
      </c>
      <c r="E63" s="1" cm="1">
        <f t="array" ref="E63">IFERROR(VLOOKUP($B63,_xlfn._xlws.FILTER($L$7:$P$10000,$J$7:$J$10000=G$1+1),5, FALSE), 0)</f>
        <v>2.592259274377176</v>
      </c>
      <c r="F63" s="1">
        <f t="shared" si="6"/>
        <v>38</v>
      </c>
      <c r="G63" s="1">
        <f t="shared" ca="1" si="8"/>
        <v>10.172503716614344</v>
      </c>
      <c r="H63" s="1">
        <f t="shared" ca="1" si="9"/>
        <v>42</v>
      </c>
      <c r="I63" s="1" cm="1">
        <f t="array" ref="I63">COUNT(_xlfn._xlws.FILTER($J$7:$J$10000,($L$7:$L$10000=B63)*($M$7:$M$10000&lt;&gt;"NULL")*($J$7:$J$10000 &gt;= ($G$1-4))))/5</f>
        <v>0</v>
      </c>
      <c r="J63" s="65">
        <v>4</v>
      </c>
      <c r="K63" t="s">
        <v>36</v>
      </c>
      <c r="L63" t="s">
        <v>117</v>
      </c>
      <c r="M63">
        <v>9.6</v>
      </c>
      <c r="N63" t="s">
        <v>9</v>
      </c>
      <c r="O63" t="s">
        <v>13</v>
      </c>
      <c r="P63">
        <f t="shared" si="2"/>
        <v>4.500752870818574</v>
      </c>
      <c r="Q63">
        <f t="shared" si="1"/>
        <v>26.002321284465012</v>
      </c>
      <c r="R63" s="67" cm="1">
        <f t="array" ref="R63">SUMPRODUCT((J63=$J$7:$J$1000)*(P63&lt;$P$7:$P$1000))+1</f>
        <v>12</v>
      </c>
      <c r="S63" s="72"/>
      <c r="T63">
        <v>14</v>
      </c>
      <c r="U63" t="str">
        <v>ARC</v>
      </c>
      <c r="V63" t="str">
        <v>Shawn Clark</v>
      </c>
      <c r="W63" t="str">
        <v>NULL</v>
      </c>
      <c r="X63" t="str">
        <v>Home</v>
      </c>
      <c r="Y63" t="str">
        <v>OGDC</v>
      </c>
      <c r="Z63">
        <v>3.7545906979621098</v>
      </c>
      <c r="AA63" s="1"/>
      <c r="AB63" s="1" cm="1">
        <f t="array" ref="AB63">COUNT(_xlfn._xlws.FILTER($J$7:$J$10000,($L$7:$L$10000=AA63)*($M$7:$M$10000&lt;&gt;"NULL")*($J$7:$J$10000 &gt;= ($G$1-5))))/5</f>
        <v>0</v>
      </c>
    </row>
    <row r="64" spans="1:28" x14ac:dyDescent="0.35">
      <c r="A64">
        <f>VLOOKUP($B64, PlayerIDs!$A$1:$B$516, 2, FALSE)</f>
        <v>236</v>
      </c>
      <c r="B64" t="s">
        <v>106</v>
      </c>
      <c r="C64" s="1">
        <v>2.4298556652617971</v>
      </c>
      <c r="D64" s="1">
        <f t="shared" si="7"/>
        <v>45</v>
      </c>
      <c r="E64" s="1" cm="1">
        <f t="array" ref="E64">IFERROR(VLOOKUP($B64,_xlfn._xlws.FILTER($L$7:$P$10000,$J$7:$J$10000=G$1+1),5, FALSE), 0)</f>
        <v>3.0066135880124789</v>
      </c>
      <c r="F64" s="1">
        <f t="shared" si="6"/>
        <v>37</v>
      </c>
      <c r="G64" s="1">
        <f t="shared" ca="1" si="8"/>
        <v>7.2848082338935507</v>
      </c>
      <c r="H64" s="1">
        <f t="shared" ca="1" si="9"/>
        <v>48</v>
      </c>
      <c r="I64" s="1" cm="1">
        <f t="array" ref="I64">COUNT(_xlfn._xlws.FILTER($J$7:$J$10000,($L$7:$L$10000=B64)*($M$7:$M$10000&lt;&gt;"NULL")*($J$7:$J$10000 &gt;= ($G$1-4))))/5</f>
        <v>0.8</v>
      </c>
      <c r="J64" s="65">
        <v>4</v>
      </c>
      <c r="K64" t="s">
        <v>13</v>
      </c>
      <c r="L64" t="s">
        <v>469</v>
      </c>
      <c r="M64">
        <v>8</v>
      </c>
      <c r="N64" t="s">
        <v>3</v>
      </c>
      <c r="O64" t="s">
        <v>36</v>
      </c>
      <c r="P64">
        <f t="shared" si="2"/>
        <v>5.2663732366432834</v>
      </c>
      <c r="Q64">
        <f t="shared" si="1"/>
        <v>7.4727152813401183</v>
      </c>
      <c r="R64" s="67" cm="1">
        <f t="array" ref="R64">SUMPRODUCT((J64=$J$7:$J$1000)*(P64&lt;$P$7:$P$1000))+1</f>
        <v>7</v>
      </c>
      <c r="S64" s="72"/>
      <c r="T64">
        <v>14</v>
      </c>
      <c r="U64" t="str">
        <v>ARC</v>
      </c>
      <c r="V64" t="str">
        <v>Viliami Vuli</v>
      </c>
      <c r="W64" t="str">
        <v>NULL</v>
      </c>
      <c r="X64" t="str">
        <v>Home</v>
      </c>
      <c r="Y64" t="str">
        <v>OGDC</v>
      </c>
      <c r="Z64">
        <v>5.5692582682740044</v>
      </c>
      <c r="AA64" s="1"/>
      <c r="AB64" s="1" cm="1">
        <f t="array" ref="AB64">COUNT(_xlfn._xlws.FILTER($J$7:$J$10000,($L$7:$L$10000=AA64)*($M$7:$M$10000&lt;&gt;"NULL")*($J$7:$J$10000 &gt;= ($G$1-5))))/5</f>
        <v>0</v>
      </c>
    </row>
    <row r="65" spans="1:28" x14ac:dyDescent="0.35">
      <c r="A65">
        <f>VLOOKUP($B65, PlayerIDs!$A$1:$B$516, 2, FALSE)</f>
        <v>644</v>
      </c>
      <c r="B65" t="s">
        <v>110</v>
      </c>
      <c r="C65" s="1">
        <v>2.3871161072322171</v>
      </c>
      <c r="D65" s="1">
        <f t="shared" si="7"/>
        <v>46</v>
      </c>
      <c r="E65" s="1" cm="1">
        <f t="array" ref="E65">IFERROR(VLOOKUP($B65,_xlfn._xlws.FILTER($L$7:$P$10000,$J$7:$J$10000=G$1+1),5, FALSE), 0)</f>
        <v>0</v>
      </c>
      <c r="F65" s="1">
        <f t="shared" si="6"/>
        <v>51</v>
      </c>
      <c r="G65" s="1">
        <f t="shared" ca="1" si="8"/>
        <v>7.836332735199643</v>
      </c>
      <c r="H65" s="1">
        <f t="shared" ca="1" si="9"/>
        <v>46</v>
      </c>
      <c r="I65" s="1" cm="1">
        <f t="array" ref="I65">COUNT(_xlfn._xlws.FILTER($J$7:$J$10000,($L$7:$L$10000=B65)*($M$7:$M$10000&lt;&gt;"NULL")*($J$7:$J$10000 &gt;= ($G$1-4))))/5</f>
        <v>0</v>
      </c>
      <c r="J65" s="65">
        <v>4</v>
      </c>
      <c r="K65" t="s">
        <v>6</v>
      </c>
      <c r="L65" t="s">
        <v>208</v>
      </c>
      <c r="M65">
        <v>7.8</v>
      </c>
      <c r="N65" t="s">
        <v>9</v>
      </c>
      <c r="O65" t="s">
        <v>34</v>
      </c>
      <c r="P65">
        <f t="shared" si="2"/>
        <v>8.1859035128187294</v>
      </c>
      <c r="Q65">
        <f t="shared" si="1"/>
        <v>0.14892152120583541</v>
      </c>
      <c r="R65" s="67" cm="1">
        <f t="array" ref="R65">SUMPRODUCT((J65=$J$7:$J$1000)*(P65&lt;$P$7:$P$1000))+1</f>
        <v>1</v>
      </c>
      <c r="S65" s="72"/>
      <c r="T65">
        <v>14</v>
      </c>
      <c r="U65" t="str">
        <v>CHI</v>
      </c>
      <c r="V65" t="str">
        <v>Hamish Bain</v>
      </c>
      <c r="W65" t="str">
        <v>NULL</v>
      </c>
      <c r="X65" t="str">
        <v>Home</v>
      </c>
      <c r="Y65" t="str">
        <v>LA</v>
      </c>
      <c r="Z65">
        <v>4.2779513967573202</v>
      </c>
      <c r="AA65" s="1"/>
      <c r="AB65" s="1" cm="1">
        <f t="array" ref="AB65">COUNT(_xlfn._xlws.FILTER($J$7:$J$10000,($L$7:$L$10000=AA65)*($M$7:$M$10000&lt;&gt;"NULL")*($J$7:$J$10000 &gt;= ($G$1-5))))/5</f>
        <v>0</v>
      </c>
    </row>
    <row r="66" spans="1:28" x14ac:dyDescent="0.35">
      <c r="A66">
        <f>VLOOKUP($B66, PlayerIDs!$A$1:$B$516, 2, FALSE)</f>
        <v>859</v>
      </c>
      <c r="B66" t="s">
        <v>578</v>
      </c>
      <c r="C66" s="1">
        <v>2.0570073286008062</v>
      </c>
      <c r="D66" s="1">
        <f t="shared" si="7"/>
        <v>47</v>
      </c>
      <c r="E66" s="1" cm="1">
        <f t="array" ref="E66">IFERROR(VLOOKUP($B66,_xlfn._xlws.FILTER($L$7:$P$10000,$J$7:$J$10000=G$1+1),5, FALSE), 0)</f>
        <v>2.1907454981366485</v>
      </c>
      <c r="F66" s="1">
        <f t="shared" si="6"/>
        <v>43</v>
      </c>
      <c r="G66" s="1">
        <f t="shared" ca="1" si="8"/>
        <v>8.566448611652234</v>
      </c>
      <c r="H66" s="1">
        <f t="shared" ca="1" si="9"/>
        <v>45</v>
      </c>
      <c r="I66" s="1" cm="1">
        <f t="array" ref="I66">COUNT(_xlfn._xlws.FILTER($J$7:$J$10000,($L$7:$L$10000=B66)*($M$7:$M$10000&lt;&gt;"NULL")*($J$7:$J$10000 &gt;= ($G$1-4))))/5</f>
        <v>0</v>
      </c>
      <c r="J66" s="65">
        <v>4</v>
      </c>
      <c r="K66" t="s">
        <v>36</v>
      </c>
      <c r="L66" t="s">
        <v>112</v>
      </c>
      <c r="M66">
        <v>7.1</v>
      </c>
      <c r="N66" t="s">
        <v>9</v>
      </c>
      <c r="O66" t="s">
        <v>13</v>
      </c>
      <c r="P66">
        <f t="shared" si="2"/>
        <v>4.8255851908973044</v>
      </c>
      <c r="Q66">
        <f t="shared" si="1"/>
        <v>5.1729627238656493</v>
      </c>
      <c r="R66" s="67" cm="1">
        <f t="array" ref="R66">SUMPRODUCT((J66=$J$7:$J$1000)*(P66&lt;$P$7:$P$1000))+1</f>
        <v>10</v>
      </c>
      <c r="S66" s="72"/>
      <c r="T66">
        <v>14</v>
      </c>
      <c r="U66" t="str">
        <v>CHI</v>
      </c>
      <c r="V66" t="str">
        <v>James Scott</v>
      </c>
      <c r="W66" t="str">
        <v>NULL</v>
      </c>
      <c r="X66" t="str">
        <v>Home</v>
      </c>
      <c r="Y66" t="str">
        <v>LA</v>
      </c>
      <c r="Z66">
        <v>5.1691243687439092</v>
      </c>
      <c r="AA66" s="1"/>
      <c r="AB66" s="1" cm="1">
        <f t="array" ref="AB66">COUNT(_xlfn._xlws.FILTER($J$7:$J$10000,($L$7:$L$10000=AA66)*($M$7:$M$10000&lt;&gt;"NULL")*($J$7:$J$10000 &gt;= ($G$1-5))))/5</f>
        <v>0</v>
      </c>
    </row>
    <row r="67" spans="1:28" x14ac:dyDescent="0.35">
      <c r="A67">
        <f>VLOOKUP($B67, PlayerIDs!$A$1:$B$516, 2, FALSE)</f>
        <v>657</v>
      </c>
      <c r="B67" t="s">
        <v>424</v>
      </c>
      <c r="C67" s="1">
        <v>2.0000289284457047</v>
      </c>
      <c r="D67" s="1">
        <f t="shared" si="7"/>
        <v>48</v>
      </c>
      <c r="E67" s="1" cm="1">
        <f t="array" ref="E67">IFERROR(VLOOKUP($B67,_xlfn._xlws.FILTER($L$7:$P$10000,$J$7:$J$10000=G$1+1),5, FALSE), 0)</f>
        <v>1.9898238582495411</v>
      </c>
      <c r="F67" s="1">
        <f t="shared" si="6"/>
        <v>45</v>
      </c>
      <c r="G67" s="1">
        <f t="shared" ca="1" si="8"/>
        <v>5.5645582686998534</v>
      </c>
      <c r="H67" s="1">
        <f t="shared" ca="1" si="9"/>
        <v>49</v>
      </c>
      <c r="I67" s="1" cm="1">
        <f t="array" ref="I67">COUNT(_xlfn._xlws.FILTER($J$7:$J$10000,($L$7:$L$10000=B67)*($M$7:$M$10000&lt;&gt;"NULL")*($J$7:$J$10000 &gt;= ($G$1-4))))/5</f>
        <v>0.2</v>
      </c>
      <c r="J67" s="65">
        <v>4</v>
      </c>
      <c r="K67" t="s">
        <v>24</v>
      </c>
      <c r="L67" t="s">
        <v>511</v>
      </c>
      <c r="M67">
        <v>7</v>
      </c>
      <c r="N67" t="s">
        <v>3</v>
      </c>
      <c r="O67" t="s">
        <v>2</v>
      </c>
      <c r="P67">
        <f t="shared" si="2"/>
        <v>5.8075622485533192</v>
      </c>
      <c r="Q67">
        <f t="shared" si="1"/>
        <v>1.4219077910752163</v>
      </c>
      <c r="R67" s="67" cm="1">
        <f t="array" ref="R67">SUMPRODUCT((J67=$J$7:$J$1000)*(P67&lt;$P$7:$P$1000))+1</f>
        <v>4</v>
      </c>
      <c r="S67" s="72"/>
      <c r="T67">
        <v>14</v>
      </c>
      <c r="U67" t="str">
        <v>CHI</v>
      </c>
      <c r="V67" t="str">
        <v>Mason Flesch</v>
      </c>
      <c r="W67" t="str">
        <v>NULL</v>
      </c>
      <c r="X67" t="str">
        <v>Home</v>
      </c>
      <c r="Y67" t="str">
        <v>LA</v>
      </c>
      <c r="Z67">
        <v>5.3359637170441667</v>
      </c>
      <c r="AA67" s="1"/>
      <c r="AB67" s="1" cm="1">
        <f t="array" ref="AB67">COUNT(_xlfn._xlws.FILTER($J$7:$J$10000,($L$7:$L$10000=AA67)*($M$7:$M$10000&lt;&gt;"NULL")*($J$7:$J$10000 &gt;= ($G$1-5))))/5</f>
        <v>0</v>
      </c>
    </row>
    <row r="68" spans="1:28" x14ac:dyDescent="0.35">
      <c r="A68">
        <f>VLOOKUP($B68, PlayerIDs!$A$1:$B$516, 2, FALSE)</f>
        <v>378</v>
      </c>
      <c r="B68" t="s">
        <v>636</v>
      </c>
      <c r="C68" s="1">
        <v>1.9068033803888418</v>
      </c>
      <c r="D68" s="1">
        <f t="shared" si="7"/>
        <v>49</v>
      </c>
      <c r="E68" s="1" cm="1">
        <f t="array" ref="E68">IFERROR(VLOOKUP($B68,_xlfn._xlws.FILTER($L$7:$P$10000,$J$7:$J$10000=G$1+1),5, FALSE), 0)</f>
        <v>2.0988207354071946</v>
      </c>
      <c r="F68" s="1">
        <f t="shared" si="6"/>
        <v>44</v>
      </c>
      <c r="G68" s="1">
        <f t="shared" ca="1" si="8"/>
        <v>7.7911845286204349</v>
      </c>
      <c r="H68" s="1">
        <f t="shared" ca="1" si="9"/>
        <v>47</v>
      </c>
      <c r="I68" s="1" cm="1">
        <f t="array" ref="I68">COUNT(_xlfn._xlws.FILTER($J$7:$J$10000,($L$7:$L$10000=B68)*($M$7:$M$10000&lt;&gt;"NULL")*($J$7:$J$10000 &gt;= ($G$1-4))))/5</f>
        <v>0.2</v>
      </c>
      <c r="J68" s="65">
        <v>4</v>
      </c>
      <c r="K68" t="s">
        <v>17</v>
      </c>
      <c r="L68" t="s">
        <v>423</v>
      </c>
      <c r="M68">
        <v>6.7</v>
      </c>
      <c r="N68" t="s">
        <v>3</v>
      </c>
      <c r="O68" t="s">
        <v>23</v>
      </c>
      <c r="P68">
        <f t="shared" si="2"/>
        <v>2.9070848787758936</v>
      </c>
      <c r="Q68">
        <f t="shared" si="1"/>
        <v>14.38620511681048</v>
      </c>
      <c r="R68" s="67" cm="1">
        <f t="array" ref="R68">SUMPRODUCT((J68=$J$7:$J$1000)*(P68&lt;$P$7:$P$1000))+1</f>
        <v>18</v>
      </c>
      <c r="S68" s="72"/>
      <c r="T68">
        <v>14</v>
      </c>
      <c r="U68" t="str">
        <v>HOU</v>
      </c>
      <c r="V68" t="str">
        <v>Johan Momsen</v>
      </c>
      <c r="W68" t="str">
        <v>NULL</v>
      </c>
      <c r="X68" t="str">
        <v>Home</v>
      </c>
      <c r="Y68" t="str">
        <v>UTAH</v>
      </c>
      <c r="Z68">
        <v>4.8400263264346632</v>
      </c>
      <c r="AA68" s="1"/>
      <c r="AB68" s="1" cm="1">
        <f t="array" ref="AB68">COUNT(_xlfn._xlws.FILTER($J$7:$J$10000,($L$7:$L$10000=AA68)*($M$7:$M$10000&lt;&gt;"NULL")*($J$7:$J$10000 &gt;= ($G$1-5))))/5</f>
        <v>0</v>
      </c>
    </row>
    <row r="69" spans="1:28" x14ac:dyDescent="0.35">
      <c r="A69">
        <f>VLOOKUP($B69, PlayerIDs!$A$1:$B$516, 2, FALSE)</f>
        <v>410</v>
      </c>
      <c r="B69" t="s">
        <v>284</v>
      </c>
      <c r="C69" s="1">
        <v>1.443663418263162</v>
      </c>
      <c r="D69" s="1">
        <f t="shared" si="7"/>
        <v>50</v>
      </c>
      <c r="E69" s="1" cm="1">
        <f t="array" ref="E69">IFERROR(VLOOKUP($B69,_xlfn._xlws.FILTER($L$7:$P$10000,$J$7:$J$10000=G$1+1),5, FALSE), 0)</f>
        <v>0.67012937860228727</v>
      </c>
      <c r="F69" s="1">
        <f t="shared" si="6"/>
        <v>47</v>
      </c>
      <c r="G69" s="1">
        <f t="shared" ca="1" si="8"/>
        <v>5.4543482410078079</v>
      </c>
      <c r="H69" s="1">
        <f t="shared" ca="1" si="9"/>
        <v>51</v>
      </c>
      <c r="I69" s="1" cm="1">
        <f t="array" ref="I69">COUNT(_xlfn._xlws.FILTER($J$7:$J$10000,($L$7:$L$10000=B69)*($M$7:$M$10000&lt;&gt;"NULL")*($J$7:$J$10000 &gt;= ($G$1-4))))/5</f>
        <v>0.2</v>
      </c>
      <c r="J69" s="65">
        <v>4</v>
      </c>
      <c r="K69" t="s">
        <v>24</v>
      </c>
      <c r="L69" t="s">
        <v>419</v>
      </c>
      <c r="M69">
        <v>6.5</v>
      </c>
      <c r="N69" t="s">
        <v>3</v>
      </c>
      <c r="O69" t="s">
        <v>2</v>
      </c>
      <c r="P69">
        <f t="shared" si="2"/>
        <v>5.3058291298581235</v>
      </c>
      <c r="Q69">
        <f t="shared" si="1"/>
        <v>1.4260440670954064</v>
      </c>
      <c r="R69" s="67" cm="1">
        <f t="array" ref="R69">SUMPRODUCT((J69=$J$7:$J$1000)*(P69&lt;$P$7:$P$1000))+1</f>
        <v>6</v>
      </c>
      <c r="S69" s="72"/>
      <c r="T69">
        <v>14</v>
      </c>
      <c r="U69" t="str">
        <v>HOU</v>
      </c>
      <c r="V69" t="str">
        <v>Justin Basson</v>
      </c>
      <c r="W69" t="str">
        <v>NULL</v>
      </c>
      <c r="X69" t="str">
        <v>Home</v>
      </c>
      <c r="Y69" t="str">
        <v>UTAH</v>
      </c>
      <c r="Z69">
        <v>1.6707627611382803</v>
      </c>
      <c r="AA69" s="1"/>
      <c r="AB69" s="1" cm="1">
        <f t="array" ref="AB69">COUNT(_xlfn._xlws.FILTER($J$7:$J$10000,($L$7:$L$10000=AA69)*($M$7:$M$10000&lt;&gt;"NULL")*($J$7:$J$10000 &gt;= ($G$1-5))))/5</f>
        <v>0</v>
      </c>
    </row>
    <row r="70" spans="1:28" x14ac:dyDescent="0.35">
      <c r="A70">
        <f>VLOOKUP($B70, PlayerIDs!$A$1:$B$516, 2, FALSE)</f>
        <v>178</v>
      </c>
      <c r="B70" t="s">
        <v>562</v>
      </c>
      <c r="C70" s="1">
        <v>1.2808304037753286</v>
      </c>
      <c r="D70" s="1">
        <f t="shared" si="7"/>
        <v>51</v>
      </c>
      <c r="E70" s="1" cm="1">
        <f t="array" ref="E70">IFERROR(VLOOKUP($B70,_xlfn._xlws.FILTER($L$7:$P$10000,$J$7:$J$10000=G$1+1),5, FALSE), 0)</f>
        <v>0.50729636411445389</v>
      </c>
      <c r="F70" s="1">
        <f t="shared" si="6"/>
        <v>48</v>
      </c>
      <c r="G70" s="1">
        <f t="shared" ca="1" si="8"/>
        <v>4.8030161830564744</v>
      </c>
      <c r="H70" s="1">
        <f t="shared" ca="1" si="9"/>
        <v>52</v>
      </c>
      <c r="I70" s="1" cm="1">
        <f t="array" ref="I70">COUNT(_xlfn._xlws.FILTER($J$7:$J$10000,($L$7:$L$10000=B70)*($M$7:$M$10000&lt;&gt;"NULL")*($J$7:$J$10000 &gt;= ($G$1-4))))/5</f>
        <v>0</v>
      </c>
      <c r="J70" s="65">
        <v>4</v>
      </c>
      <c r="K70" t="s">
        <v>7</v>
      </c>
      <c r="L70" t="s">
        <v>512</v>
      </c>
      <c r="M70">
        <v>6.3</v>
      </c>
      <c r="N70" t="s">
        <v>3</v>
      </c>
      <c r="O70" t="s">
        <v>14</v>
      </c>
      <c r="P70">
        <f t="shared" si="2"/>
        <v>4.4473109485371785</v>
      </c>
      <c r="Q70">
        <f t="shared" si="1"/>
        <v>3.4324567214102086</v>
      </c>
      <c r="R70" s="67" cm="1">
        <f t="array" ref="R70">SUMPRODUCT((J70=$J$7:$J$1000)*(P70&lt;$P$7:$P$1000))+1</f>
        <v>13</v>
      </c>
      <c r="S70" s="72"/>
      <c r="T70">
        <v>14</v>
      </c>
      <c r="U70" t="str">
        <v>HOU</v>
      </c>
      <c r="V70" t="str">
        <v>Nathan Den Hoedt</v>
      </c>
      <c r="W70" t="str">
        <v>NULL</v>
      </c>
      <c r="X70" t="str">
        <v>Home</v>
      </c>
      <c r="Y70" t="str">
        <v>UTAH</v>
      </c>
      <c r="Z70">
        <v>4.5151940063559328</v>
      </c>
      <c r="AA70" s="1"/>
      <c r="AB70" s="1" cm="1">
        <f t="array" ref="AB70">COUNT(_xlfn._xlws.FILTER($J$7:$J$10000,($L$7:$L$10000=AA70)*($M$7:$M$10000&lt;&gt;"NULL")*($J$7:$J$10000 &gt;= ($G$1-5))))/5</f>
        <v>0</v>
      </c>
    </row>
    <row r="71" spans="1:28" x14ac:dyDescent="0.35">
      <c r="A71">
        <f>VLOOKUP($B71, PlayerIDs!$A$1:$B$516, 2, FALSE)</f>
        <v>360</v>
      </c>
      <c r="B71" t="s">
        <v>116</v>
      </c>
      <c r="C71" s="1">
        <v>1.15180370848373</v>
      </c>
      <c r="D71" s="1">
        <f t="shared" si="7"/>
        <v>52</v>
      </c>
      <c r="E71" s="1" cm="1">
        <f t="array" ref="E71">IFERROR(VLOOKUP($B71,_xlfn._xlws.FILTER($L$7:$P$10000,$J$7:$J$10000=G$1+1),5, FALSE), 0)</f>
        <v>1.962046340496107</v>
      </c>
      <c r="F71" s="1">
        <f t="shared" si="6"/>
        <v>46</v>
      </c>
      <c r="G71" s="1">
        <f t="shared" ca="1" si="8"/>
        <v>5.5494182726405956</v>
      </c>
      <c r="H71" s="1">
        <f t="shared" ca="1" si="9"/>
        <v>50</v>
      </c>
      <c r="I71" s="1" cm="1">
        <f t="array" ref="I71">COUNT(_xlfn._xlws.FILTER($J$7:$J$10000,($L$7:$L$10000=B71)*($M$7:$M$10000&lt;&gt;"NULL")*($J$7:$J$10000 &gt;= ($G$1-4))))/5</f>
        <v>0</v>
      </c>
      <c r="J71" s="65">
        <v>4</v>
      </c>
      <c r="K71" t="s">
        <v>14</v>
      </c>
      <c r="L71" t="s">
        <v>470</v>
      </c>
      <c r="M71">
        <v>5.8</v>
      </c>
      <c r="N71" t="s">
        <v>9</v>
      </c>
      <c r="O71" t="s">
        <v>7</v>
      </c>
      <c r="P71">
        <f t="shared" si="2"/>
        <v>5.1661063171540436</v>
      </c>
      <c r="Q71">
        <f t="shared" ref="Q71:Q118" si="10">IFERROR(($M71-$P71)^2,"")</f>
        <v>0.40182120115200981</v>
      </c>
      <c r="R71" s="67" cm="1">
        <f t="array" ref="R71">SUMPRODUCT((J71=$J$7:$J$1000)*(P71&lt;$P$7:$P$1000))+1</f>
        <v>8</v>
      </c>
      <c r="S71" s="72"/>
      <c r="T71">
        <v>14</v>
      </c>
      <c r="U71" t="str">
        <v>LA</v>
      </c>
      <c r="V71" t="str">
        <v>Jason Damm</v>
      </c>
      <c r="W71" t="str">
        <v>NULL</v>
      </c>
      <c r="X71" t="str">
        <v>Away</v>
      </c>
      <c r="Y71" t="str">
        <v>CHI</v>
      </c>
      <c r="Z71">
        <v>7.7284426240665312</v>
      </c>
      <c r="AA71" s="1"/>
      <c r="AB71" s="1" cm="1">
        <f t="array" ref="AB71">COUNT(_xlfn._xlws.FILTER($J$7:$J$10000,($L$7:$L$10000=AA71)*($M$7:$M$10000&lt;&gt;"NULL")*($J$7:$J$10000 &gt;= ($G$1-5))))/5</f>
        <v>0</v>
      </c>
    </row>
    <row r="72" spans="1:28" x14ac:dyDescent="0.35">
      <c r="A72">
        <f>VLOOKUP($B72, PlayerIDs!$A$1:$B$516, 2, FALSE)</f>
        <v>769</v>
      </c>
      <c r="B72" t="s">
        <v>574</v>
      </c>
      <c r="C72" s="1">
        <v>0.90902881234766342</v>
      </c>
      <c r="D72" s="1">
        <f t="shared" si="7"/>
        <v>53</v>
      </c>
      <c r="E72" s="1" cm="1">
        <f t="array" ref="E72">IFERROR(VLOOKUP($B72,_xlfn._xlws.FILTER($L$7:$P$10000,$J$7:$J$10000=G$1+1),5, FALSE), 0)</f>
        <v>0.32057028196292958</v>
      </c>
      <c r="F72" s="1">
        <f t="shared" si="6"/>
        <v>49</v>
      </c>
      <c r="G72" s="1">
        <f t="shared" ca="1" si="8"/>
        <v>1.4988320365332242</v>
      </c>
      <c r="H72" s="1">
        <f t="shared" ca="1" si="9"/>
        <v>53</v>
      </c>
      <c r="I72" s="1" cm="1">
        <f t="array" ref="I72">COUNT(_xlfn._xlws.FILTER($J$7:$J$10000,($L$7:$L$10000=B72)*($M$7:$M$10000&lt;&gt;"NULL")*($J$7:$J$10000 &gt;= ($G$1-4))))/5</f>
        <v>0</v>
      </c>
      <c r="J72" s="65">
        <v>4</v>
      </c>
      <c r="K72" t="s">
        <v>34</v>
      </c>
      <c r="L72" t="s">
        <v>420</v>
      </c>
      <c r="M72">
        <v>5.7</v>
      </c>
      <c r="N72" t="s">
        <v>3</v>
      </c>
      <c r="O72" t="s">
        <v>6</v>
      </c>
      <c r="P72">
        <f t="shared" ref="P72:P135" si="11">VLOOKUP($N72,$F$3:$G$4,2,FALSE)+VLOOKUP($L72,$B$20:$C$150,2,FALSE)+VLOOKUP($O72,$A$6:$B$16,2,FALSE)</f>
        <v>7.9684898041712513</v>
      </c>
      <c r="Q72">
        <f t="shared" si="10"/>
        <v>5.1460459916289212</v>
      </c>
      <c r="R72" s="67" cm="1">
        <f t="array" ref="R72">SUMPRODUCT((J72=$J$7:$J$1000)*(P72&lt;$P$7:$P$1000))+1</f>
        <v>2</v>
      </c>
      <c r="S72" s="72"/>
      <c r="T72">
        <v>14</v>
      </c>
      <c r="U72" t="str">
        <v>LA</v>
      </c>
      <c r="V72" t="str">
        <v>Jurie van Vuuren</v>
      </c>
      <c r="W72" t="str">
        <v>NULL</v>
      </c>
      <c r="X72" t="str">
        <v>Away</v>
      </c>
      <c r="Y72" t="str">
        <v>CHI</v>
      </c>
      <c r="Z72">
        <v>4.2366027593217606</v>
      </c>
      <c r="AA72" s="1"/>
      <c r="AB72" s="1" cm="1">
        <f t="array" ref="AB72">COUNT(_xlfn._xlws.FILTER($J$7:$J$10000,($L$7:$L$10000=AA72)*($M$7:$M$10000&lt;&gt;"NULL")*($J$7:$J$10000 &gt;= ($G$1-5))))/5</f>
        <v>0</v>
      </c>
    </row>
    <row r="73" spans="1:28" x14ac:dyDescent="0.35">
      <c r="A73">
        <f>VLOOKUP($B73, PlayerIDs!$A$1:$B$516, 2, FALSE)</f>
        <v>866</v>
      </c>
      <c r="B73" t="s">
        <v>646</v>
      </c>
      <c r="C73" s="1">
        <v>0.11668032039201355</v>
      </c>
      <c r="D73" s="1">
        <f t="shared" si="7"/>
        <v>54</v>
      </c>
      <c r="E73" s="1" cm="1">
        <f t="array" ref="E73">IFERROR(VLOOKUP($B73,_xlfn._xlws.FILTER($L$7:$P$10000,$J$7:$J$10000=G$1+1),5, FALSE), 0)</f>
        <v>0.10647525019585002</v>
      </c>
      <c r="F73" s="1">
        <f t="shared" si="6"/>
        <v>50</v>
      </c>
      <c r="G73" s="1">
        <f t="shared" ca="1" si="8"/>
        <v>-8.5487555461220111E-2</v>
      </c>
      <c r="H73" s="1">
        <f t="shared" ca="1" si="9"/>
        <v>54</v>
      </c>
      <c r="I73" s="1" cm="1">
        <f t="array" ref="I73">COUNT(_xlfn._xlws.FILTER($J$7:$J$10000,($L$7:$L$10000=B73)*($M$7:$M$10000&lt;&gt;"NULL")*($J$7:$J$10000 &gt;= ($G$1-4))))/5</f>
        <v>0.2</v>
      </c>
      <c r="J73" s="65">
        <v>4</v>
      </c>
      <c r="K73" t="s">
        <v>14</v>
      </c>
      <c r="L73" t="s">
        <v>471</v>
      </c>
      <c r="M73">
        <v>5.6</v>
      </c>
      <c r="N73" t="s">
        <v>9</v>
      </c>
      <c r="O73" t="s">
        <v>7</v>
      </c>
      <c r="P73">
        <f t="shared" si="11"/>
        <v>5.5548171327366456</v>
      </c>
      <c r="Q73">
        <f t="shared" si="10"/>
        <v>2.0414914941378733E-3</v>
      </c>
      <c r="R73" s="67" cm="1">
        <f t="array" ref="R73">SUMPRODUCT((J73=$J$7:$J$1000)*(P73&lt;$P$7:$P$1000))+1</f>
        <v>5</v>
      </c>
      <c r="S73" s="72"/>
      <c r="T73">
        <v>14</v>
      </c>
      <c r="U73" t="str">
        <v>LA</v>
      </c>
      <c r="V73" t="str">
        <v>Lucas Bur</v>
      </c>
      <c r="W73" t="str">
        <v>NULL</v>
      </c>
      <c r="X73" t="str">
        <v>Away</v>
      </c>
      <c r="Y73" t="str">
        <v>CHI</v>
      </c>
      <c r="Z73">
        <v>4.5313597604334817</v>
      </c>
      <c r="AA73" s="1"/>
      <c r="AB73" s="1" cm="1">
        <f t="array" ref="AB73">COUNT(_xlfn._xlws.FILTER($J$7:$J$10000,($L$7:$L$10000=AA73)*($M$7:$M$10000&lt;&gt;"NULL")*($J$7:$J$10000 &gt;= ($G$1-5))))/5</f>
        <v>0</v>
      </c>
    </row>
    <row r="74" spans="1:28" x14ac:dyDescent="0.35">
      <c r="J74" s="65">
        <v>4</v>
      </c>
      <c r="K74" t="s">
        <v>17</v>
      </c>
      <c r="L74" t="s">
        <v>105</v>
      </c>
      <c r="M74">
        <v>4.7</v>
      </c>
      <c r="N74" t="s">
        <v>3</v>
      </c>
      <c r="O74" t="s">
        <v>23</v>
      </c>
      <c r="P74">
        <f t="shared" si="11"/>
        <v>4.2960512653479048</v>
      </c>
      <c r="Q74">
        <f t="shared" si="10"/>
        <v>0.16317458022702894</v>
      </c>
      <c r="R74" s="67" cm="1">
        <f t="array" ref="R74">SUMPRODUCT((J74=$J$7:$J$1000)*(P74&lt;$P$7:$P$1000))+1</f>
        <v>14</v>
      </c>
      <c r="S74" s="72"/>
      <c r="T74">
        <v>14</v>
      </c>
      <c r="U74" t="str">
        <v>LA</v>
      </c>
      <c r="V74" t="str">
        <v>Reegan O'Gorman</v>
      </c>
      <c r="W74" t="str">
        <v>NULL</v>
      </c>
      <c r="X74" t="str">
        <v>Away</v>
      </c>
      <c r="Y74" t="str">
        <v>CHI</v>
      </c>
      <c r="Z74">
        <v>1.2711007424822145</v>
      </c>
      <c r="AA74" s="1"/>
      <c r="AB74" s="1" cm="1">
        <f t="array" ref="AB74">COUNT(_xlfn._xlws.FILTER($J$7:$J$10000,($L$7:$L$10000=AA74)*($M$7:$M$10000&lt;&gt;"NULL")*($J$7:$J$10000 &gt;= ($G$1-5))))/5</f>
        <v>0</v>
      </c>
    </row>
    <row r="75" spans="1:28" x14ac:dyDescent="0.35">
      <c r="J75" s="65">
        <v>4</v>
      </c>
      <c r="K75" t="s">
        <v>23</v>
      </c>
      <c r="L75" t="s">
        <v>111</v>
      </c>
      <c r="M75">
        <v>4.2</v>
      </c>
      <c r="N75" t="s">
        <v>9</v>
      </c>
      <c r="O75" t="s">
        <v>17</v>
      </c>
      <c r="P75">
        <f t="shared" si="11"/>
        <v>2.6360973243223285</v>
      </c>
      <c r="Q75">
        <f t="shared" si="10"/>
        <v>2.445791578991781</v>
      </c>
      <c r="R75" s="67" cm="1">
        <f t="array" ref="R75">SUMPRODUCT((J75=$J$7:$J$1000)*(P75&lt;$P$7:$P$1000))+1</f>
        <v>19</v>
      </c>
      <c r="S75" s="72"/>
      <c r="T75">
        <v>14</v>
      </c>
      <c r="U75" t="str">
        <v>LA</v>
      </c>
      <c r="V75" t="str">
        <v>Tim Anstee</v>
      </c>
      <c r="W75" t="str">
        <v>NULL</v>
      </c>
      <c r="X75" t="str">
        <v>Away</v>
      </c>
      <c r="Y75" t="str">
        <v>CHI</v>
      </c>
      <c r="Z75">
        <v>14.528075212742383</v>
      </c>
      <c r="AA75" s="1"/>
      <c r="AB75" s="1" cm="1">
        <f t="array" ref="AB75">COUNT(_xlfn._xlws.FILTER($J$7:$J$10000,($L$7:$L$10000=AA75)*($M$7:$M$10000&lt;&gt;"NULL")*($J$7:$J$10000 &gt;= ($G$1-5))))/5</f>
        <v>0</v>
      </c>
    </row>
    <row r="76" spans="1:28" x14ac:dyDescent="0.35">
      <c r="J76" s="65">
        <v>4</v>
      </c>
      <c r="K76" t="s">
        <v>2</v>
      </c>
      <c r="L76" t="s">
        <v>108</v>
      </c>
      <c r="M76">
        <v>3.6</v>
      </c>
      <c r="N76" t="s">
        <v>9</v>
      </c>
      <c r="O76" t="s">
        <v>24</v>
      </c>
      <c r="P76">
        <f t="shared" si="11"/>
        <v>4.5592764053180019</v>
      </c>
      <c r="Q76">
        <f t="shared" si="10"/>
        <v>0.92021122179982739</v>
      </c>
      <c r="R76" s="67" cm="1">
        <f t="array" ref="R76">SUMPRODUCT((J76=$J$7:$J$1000)*(P76&lt;$P$7:$P$1000))+1</f>
        <v>11</v>
      </c>
      <c r="S76" s="72"/>
      <c r="T76">
        <v>14</v>
      </c>
      <c r="U76" t="str">
        <v>MIA</v>
      </c>
      <c r="V76" t="str">
        <v>Braemar Murray</v>
      </c>
      <c r="W76" t="str">
        <v>NULL</v>
      </c>
      <c r="X76" t="str">
        <v>Home</v>
      </c>
      <c r="Y76" t="str">
        <v>NEFJ</v>
      </c>
      <c r="Z76">
        <v>3.0314301141672342</v>
      </c>
      <c r="AA76" s="1"/>
      <c r="AB76" s="1" cm="1">
        <f t="array" ref="AB76">COUNT(_xlfn._xlws.FILTER($J$7:$J$10000,($L$7:$L$10000=AA76)*($M$7:$M$10000&lt;&gt;"NULL")*($J$7:$J$10000 &gt;= ($G$1-5))))/5</f>
        <v>0</v>
      </c>
    </row>
    <row r="77" spans="1:28" x14ac:dyDescent="0.35">
      <c r="J77" s="65">
        <v>4</v>
      </c>
      <c r="K77" t="s">
        <v>13</v>
      </c>
      <c r="L77" t="s">
        <v>120</v>
      </c>
      <c r="M77">
        <v>2.8</v>
      </c>
      <c r="N77" t="s">
        <v>3</v>
      </c>
      <c r="O77" t="s">
        <v>36</v>
      </c>
      <c r="P77">
        <f t="shared" si="11"/>
        <v>4.9118509014130787</v>
      </c>
      <c r="Q77">
        <f t="shared" si="10"/>
        <v>4.4599142297992334</v>
      </c>
      <c r="R77" s="67" cm="1">
        <f t="array" ref="R77">SUMPRODUCT((J77=$J$7:$J$1000)*(P77&lt;$P$7:$P$1000))+1</f>
        <v>9</v>
      </c>
      <c r="S77" s="72"/>
      <c r="T77">
        <v>14</v>
      </c>
      <c r="U77" t="str">
        <v>MIA</v>
      </c>
      <c r="V77" t="str">
        <v>Federico Gutíerrez</v>
      </c>
      <c r="W77" t="str">
        <v>NULL</v>
      </c>
      <c r="X77" t="str">
        <v>Home</v>
      </c>
      <c r="Y77" t="str">
        <v>NEFJ</v>
      </c>
      <c r="Z77">
        <v>3.0293357676972432</v>
      </c>
      <c r="AA77" s="1"/>
      <c r="AB77" s="1" cm="1">
        <f t="array" ref="AB77">COUNT(_xlfn._xlws.FILTER($J$7:$J$10000,($L$7:$L$10000=AA77)*($M$7:$M$10000&lt;&gt;"NULL")*($J$7:$J$10000 &gt;= ($G$1-5))))/5</f>
        <v>0</v>
      </c>
    </row>
    <row r="78" spans="1:28" x14ac:dyDescent="0.35">
      <c r="J78" s="65">
        <v>4</v>
      </c>
      <c r="K78" t="s">
        <v>23</v>
      </c>
      <c r="L78" t="s">
        <v>221</v>
      </c>
      <c r="M78">
        <v>2.7</v>
      </c>
      <c r="N78" t="s">
        <v>9</v>
      </c>
      <c r="O78" t="s">
        <v>17</v>
      </c>
      <c r="P78">
        <f t="shared" si="11"/>
        <v>4.114532096982594</v>
      </c>
      <c r="Q78">
        <f t="shared" si="10"/>
        <v>2.0009010533939744</v>
      </c>
      <c r="R78" s="67" cm="1">
        <f t="array" ref="R78">SUMPRODUCT((J78=$J$7:$J$1000)*(P78&lt;$P$7:$P$1000))+1</f>
        <v>15</v>
      </c>
      <c r="S78" s="72"/>
      <c r="T78">
        <v>14</v>
      </c>
      <c r="U78" t="str">
        <v>MIA</v>
      </c>
      <c r="V78" t="str">
        <v>Mauro Rebussone</v>
      </c>
      <c r="W78" t="str">
        <v>NULL</v>
      </c>
      <c r="X78" t="str">
        <v>Home</v>
      </c>
      <c r="Y78" t="str">
        <v>NEFJ</v>
      </c>
      <c r="Z78">
        <v>5.0587667153837979</v>
      </c>
      <c r="AA78" s="1"/>
      <c r="AB78" s="1" cm="1">
        <f t="array" ref="AB78">COUNT(_xlfn._xlws.FILTER($J$7:$J$10000,($L$7:$L$10000=AA78)*($M$7:$M$10000&lt;&gt;"NULL")*($J$7:$J$10000 &gt;= ($G$1-5))))/5</f>
        <v>0</v>
      </c>
    </row>
    <row r="79" spans="1:28" x14ac:dyDescent="0.35">
      <c r="J79" s="65">
        <v>4</v>
      </c>
      <c r="K79" t="s">
        <v>34</v>
      </c>
      <c r="L79" t="s">
        <v>228</v>
      </c>
      <c r="M79">
        <v>2.4</v>
      </c>
      <c r="N79" t="s">
        <v>3</v>
      </c>
      <c r="O79" t="s">
        <v>6</v>
      </c>
      <c r="P79">
        <f t="shared" si="11"/>
        <v>5.9653849019514613</v>
      </c>
      <c r="Q79">
        <f t="shared" si="10"/>
        <v>12.711969499063432</v>
      </c>
      <c r="R79" s="67" cm="1">
        <f t="array" ref="R79">SUMPRODUCT((J79=$J$7:$J$1000)*(P79&lt;$P$7:$P$1000))+1</f>
        <v>3</v>
      </c>
      <c r="S79" s="72"/>
      <c r="T79">
        <v>14</v>
      </c>
      <c r="U79" t="str">
        <v>MIA</v>
      </c>
      <c r="V79" t="str">
        <v>Rick Rose</v>
      </c>
      <c r="W79" t="str">
        <v>NULL</v>
      </c>
      <c r="X79" t="str">
        <v>Home</v>
      </c>
      <c r="Y79" t="str">
        <v>NEFJ</v>
      </c>
      <c r="Z79">
        <v>4.884347014340114</v>
      </c>
      <c r="AA79" s="1"/>
      <c r="AB79" s="1" cm="1">
        <f t="array" ref="AB79">COUNT(_xlfn._xlws.FILTER($J$7:$J$10000,($L$7:$L$10000=AA79)*($M$7:$M$10000&lt;&gt;"NULL")*($J$7:$J$10000 &gt;= ($G$1-5))))/5</f>
        <v>0</v>
      </c>
    </row>
    <row r="80" spans="1:28" x14ac:dyDescent="0.35">
      <c r="J80" s="65">
        <v>4</v>
      </c>
      <c r="K80" t="s">
        <v>7</v>
      </c>
      <c r="L80" t="s">
        <v>110</v>
      </c>
      <c r="M80">
        <v>2.2000000000000002</v>
      </c>
      <c r="N80" t="s">
        <v>3</v>
      </c>
      <c r="O80" t="s">
        <v>14</v>
      </c>
      <c r="P80">
        <f t="shared" si="11"/>
        <v>3.1973587392445939</v>
      </c>
      <c r="Q80">
        <f t="shared" si="10"/>
        <v>0.99472445474756555</v>
      </c>
      <c r="R80" s="67" cm="1">
        <f t="array" ref="R80">SUMPRODUCT((J80=$J$7:$J$1000)*(P80&lt;$P$7:$P$1000))+1</f>
        <v>17</v>
      </c>
      <c r="S80" s="72"/>
      <c r="T80">
        <v>14</v>
      </c>
      <c r="U80" t="str">
        <v>MIA</v>
      </c>
      <c r="V80" t="str">
        <v>Tomás Casares</v>
      </c>
      <c r="W80" t="str">
        <v>NULL</v>
      </c>
      <c r="X80" t="str">
        <v>Home</v>
      </c>
      <c r="Y80" t="str">
        <v>NEFJ</v>
      </c>
      <c r="Z80">
        <v>5.5604998340789926</v>
      </c>
      <c r="AA80" s="1"/>
      <c r="AB80" s="1" cm="1">
        <f t="array" ref="AB80">COUNT(_xlfn._xlws.FILTER($J$7:$J$10000,($L$7:$L$10000=AA80)*($M$7:$M$10000&lt;&gt;"NULL")*($J$7:$J$10000 &gt;= ($G$1-5))))/5</f>
        <v>0</v>
      </c>
    </row>
    <row r="81" spans="10:28" x14ac:dyDescent="0.35">
      <c r="J81" s="65">
        <v>4</v>
      </c>
      <c r="K81" t="s">
        <v>2</v>
      </c>
      <c r="L81" t="s">
        <v>426</v>
      </c>
      <c r="M81">
        <v>1.5</v>
      </c>
      <c r="N81" t="s">
        <v>9</v>
      </c>
      <c r="O81" t="s">
        <v>24</v>
      </c>
      <c r="P81">
        <f t="shared" si="11"/>
        <v>3.6681034333314129</v>
      </c>
      <c r="Q81">
        <f t="shared" si="10"/>
        <v>4.7006724976234606</v>
      </c>
      <c r="R81" s="67" cm="1">
        <f t="array" ref="R81">SUMPRODUCT((J81=$J$7:$J$1000)*(P81&lt;$P$7:$P$1000))+1</f>
        <v>16</v>
      </c>
      <c r="S81" s="72"/>
      <c r="T81">
        <v>14</v>
      </c>
      <c r="U81" t="str">
        <v>NEFJ</v>
      </c>
      <c r="V81" t="str">
        <v>Conor Keys</v>
      </c>
      <c r="W81" t="str">
        <v>NULL</v>
      </c>
      <c r="X81" t="str">
        <v>Away</v>
      </c>
      <c r="Y81" t="str">
        <v>MIA</v>
      </c>
      <c r="Z81">
        <v>1.8556214389192418</v>
      </c>
      <c r="AA81" s="1"/>
      <c r="AB81" s="1" cm="1">
        <f t="array" ref="AB81">COUNT(_xlfn._xlws.FILTER($J$7:$J$10000,($L$7:$L$10000=AA81)*($M$7:$M$10000&lt;&gt;"NULL")*($J$7:$J$10000 &gt;= ($G$1-5))))/5</f>
        <v>0</v>
      </c>
    </row>
    <row r="82" spans="10:28" x14ac:dyDescent="0.35">
      <c r="J82" s="65">
        <v>4</v>
      </c>
      <c r="K82" t="s">
        <v>6</v>
      </c>
      <c r="L82" t="s">
        <v>116</v>
      </c>
      <c r="M82">
        <v>1.2</v>
      </c>
      <c r="N82" t="s">
        <v>9</v>
      </c>
      <c r="O82" t="s">
        <v>34</v>
      </c>
      <c r="P82">
        <f t="shared" si="11"/>
        <v>1.7285616312344119</v>
      </c>
      <c r="Q82">
        <f t="shared" si="10"/>
        <v>0.27937739801318245</v>
      </c>
      <c r="R82" s="67" cm="1">
        <f t="array" ref="R82">SUMPRODUCT((J82=$J$7:$J$1000)*(P82&lt;$P$7:$P$1000))+1</f>
        <v>20</v>
      </c>
      <c r="S82" s="72"/>
      <c r="T82">
        <v>14</v>
      </c>
      <c r="U82" t="str">
        <v>NEFJ</v>
      </c>
      <c r="V82" t="str">
        <v>Jero Gomez Vara</v>
      </c>
      <c r="W82" t="str">
        <v>NULL</v>
      </c>
      <c r="X82" t="str">
        <v>Away</v>
      </c>
      <c r="Y82" t="str">
        <v>MIA</v>
      </c>
      <c r="Z82">
        <v>3.6452692927006849</v>
      </c>
      <c r="AA82" s="1"/>
      <c r="AB82" s="1" cm="1">
        <f t="array" ref="AB82">COUNT(_xlfn._xlws.FILTER($J$7:$J$10000,($L$7:$L$10000=AA82)*($M$7:$M$10000&lt;&gt;"NULL")*($J$7:$J$10000 &gt;= ($G$1-5))))/5</f>
        <v>0</v>
      </c>
    </row>
    <row r="83" spans="10:28" x14ac:dyDescent="0.35">
      <c r="J83" s="65">
        <v>5</v>
      </c>
      <c r="K83" t="s">
        <v>6</v>
      </c>
      <c r="L83" t="s">
        <v>208</v>
      </c>
      <c r="M83">
        <v>12.4</v>
      </c>
      <c r="N83" t="s">
        <v>3</v>
      </c>
      <c r="O83" t="s">
        <v>17</v>
      </c>
      <c r="P83">
        <f t="shared" si="11"/>
        <v>7.8011629450864008</v>
      </c>
      <c r="Q83">
        <f t="shared" si="10"/>
        <v>21.14930225764639</v>
      </c>
      <c r="R83" s="67" cm="1">
        <f t="array" ref="R83">SUMPRODUCT((J83=$J$7:$J$1000)*(P83&lt;$P$7:$P$1000))+1</f>
        <v>1</v>
      </c>
      <c r="S83" s="72"/>
      <c r="T83">
        <v>14</v>
      </c>
      <c r="U83" t="str">
        <v>NEFJ</v>
      </c>
      <c r="V83" t="str">
        <v>Kyle Baillie</v>
      </c>
      <c r="W83" t="str">
        <v>NULL</v>
      </c>
      <c r="X83" t="str">
        <v>Away</v>
      </c>
      <c r="Y83" t="str">
        <v>MIA</v>
      </c>
      <c r="Z83">
        <v>1.4541076626787144</v>
      </c>
      <c r="AA83" s="1"/>
      <c r="AB83" s="1" cm="1">
        <f t="array" ref="AB83">COUNT(_xlfn._xlws.FILTER($J$7:$J$10000,($L$7:$L$10000=AA83)*($M$7:$M$10000&lt;&gt;"NULL")*($J$7:$J$10000 &gt;= ($G$1-5))))/5</f>
        <v>0</v>
      </c>
    </row>
    <row r="84" spans="10:28" x14ac:dyDescent="0.35">
      <c r="J84" s="65">
        <v>5</v>
      </c>
      <c r="K84" t="s">
        <v>4</v>
      </c>
      <c r="L84" t="s">
        <v>484</v>
      </c>
      <c r="M84">
        <v>7.9</v>
      </c>
      <c r="N84" t="s">
        <v>9</v>
      </c>
      <c r="O84" t="s">
        <v>23</v>
      </c>
      <c r="P84">
        <f t="shared" si="11"/>
        <v>5.9890575044679633</v>
      </c>
      <c r="Q84">
        <f t="shared" si="10"/>
        <v>3.6517012212302098</v>
      </c>
      <c r="R84" s="67" cm="1">
        <f t="array" ref="R84">SUMPRODUCT((J84=$J$7:$J$1000)*(P84&lt;$P$7:$P$1000))+1</f>
        <v>3</v>
      </c>
      <c r="S84" s="72"/>
      <c r="T84">
        <v>14</v>
      </c>
      <c r="U84" t="str">
        <v>NEFJ</v>
      </c>
      <c r="V84" t="str">
        <v>Piers von Dadelszen</v>
      </c>
      <c r="W84" t="str">
        <v>NULL</v>
      </c>
      <c r="X84" t="str">
        <v>Away</v>
      </c>
      <c r="Y84" t="str">
        <v>MIA</v>
      </c>
      <c r="Z84">
        <v>3.3340562115795072</v>
      </c>
      <c r="AA84" s="1"/>
      <c r="AB84" s="1" cm="1">
        <f t="array" ref="AB84">COUNT(_xlfn._xlws.FILTER($J$7:$J$10000,($L$7:$L$10000=AA84)*($M$7:$M$10000&lt;&gt;"NULL")*($J$7:$J$10000 &gt;= ($G$1-5))))/5</f>
        <v>0</v>
      </c>
    </row>
    <row r="85" spans="10:28" x14ac:dyDescent="0.35">
      <c r="J85" s="66">
        <v>5</v>
      </c>
      <c r="K85" t="s">
        <v>7</v>
      </c>
      <c r="L85" t="s">
        <v>104</v>
      </c>
      <c r="M85">
        <v>7.1</v>
      </c>
      <c r="N85" t="s">
        <v>9</v>
      </c>
      <c r="O85" t="s">
        <v>2</v>
      </c>
      <c r="P85">
        <f t="shared" si="11"/>
        <v>4.3969983817159495</v>
      </c>
      <c r="Q85">
        <f t="shared" si="10"/>
        <v>7.3062177484461941</v>
      </c>
      <c r="R85" s="67" cm="1">
        <f t="array" ref="R85">SUMPRODUCT((J85=$J$7:$J$1000)*(P85&lt;$P$7:$P$1000))+1</f>
        <v>11</v>
      </c>
      <c r="S85" s="72"/>
      <c r="T85">
        <v>14</v>
      </c>
      <c r="U85" t="str">
        <v>NEFJ</v>
      </c>
      <c r="V85" t="str">
        <v>Sam Caird</v>
      </c>
      <c r="W85" t="str">
        <v>NULL</v>
      </c>
      <c r="X85" t="str">
        <v>Away</v>
      </c>
      <c r="Y85" t="str">
        <v>MIA</v>
      </c>
      <c r="Z85">
        <v>4.4127509498932378</v>
      </c>
      <c r="AA85" s="1"/>
      <c r="AB85" s="1" cm="1">
        <f t="array" ref="AB85">COUNT(_xlfn._xlws.FILTER($J$7:$J$10000,($L$7:$L$10000=AA85)*($M$7:$M$10000&lt;&gt;"NULL")*($J$7:$J$10000 &gt;= ($G$1-5))))/5</f>
        <v>0</v>
      </c>
    </row>
    <row r="86" spans="10:28" x14ac:dyDescent="0.35">
      <c r="J86" s="66">
        <v>5</v>
      </c>
      <c r="K86" t="s">
        <v>23</v>
      </c>
      <c r="L86" t="s">
        <v>431</v>
      </c>
      <c r="M86">
        <v>6.3</v>
      </c>
      <c r="N86" t="s">
        <v>3</v>
      </c>
      <c r="O86" t="s">
        <v>4</v>
      </c>
      <c r="P86">
        <f t="shared" si="11"/>
        <v>3.4489673199279958</v>
      </c>
      <c r="Q86">
        <f t="shared" si="10"/>
        <v>8.128387342838554</v>
      </c>
      <c r="R86" s="67" cm="1">
        <f t="array" ref="R86">SUMPRODUCT((J86=$J$7:$J$1000)*(P86&lt;$P$7:$P$1000))+1</f>
        <v>14</v>
      </c>
      <c r="S86" s="72"/>
      <c r="T86">
        <v>14</v>
      </c>
      <c r="U86" t="str">
        <v>OGDC</v>
      </c>
      <c r="V86" t="str">
        <v>Bill Whiteside</v>
      </c>
      <c r="W86" t="str">
        <v>NULL</v>
      </c>
      <c r="X86" t="str">
        <v>Away</v>
      </c>
      <c r="Y86" t="str">
        <v>ARC</v>
      </c>
      <c r="Z86">
        <v>4.4328698129998205</v>
      </c>
      <c r="AA86" s="1"/>
      <c r="AB86" s="1" cm="1">
        <f t="array" ref="AB86">COUNT(_xlfn._xlws.FILTER($J$7:$J$10000,($L$7:$L$10000=AA86)*($M$7:$M$10000&lt;&gt;"NULL")*($J$7:$J$10000 &gt;= ($G$1-5))))/5</f>
        <v>0</v>
      </c>
    </row>
    <row r="87" spans="10:28" x14ac:dyDescent="0.35">
      <c r="J87" s="65">
        <v>5</v>
      </c>
      <c r="K87" t="s">
        <v>2</v>
      </c>
      <c r="L87" t="s">
        <v>115</v>
      </c>
      <c r="M87">
        <v>5.7</v>
      </c>
      <c r="N87" t="s">
        <v>3</v>
      </c>
      <c r="O87" t="s">
        <v>7</v>
      </c>
      <c r="P87">
        <f t="shared" si="11"/>
        <v>5.9445788581572581</v>
      </c>
      <c r="Q87">
        <f t="shared" si="10"/>
        <v>5.9818817857508068E-2</v>
      </c>
      <c r="R87" s="67" cm="1">
        <f t="array" ref="R87">SUMPRODUCT((J87=$J$7:$J$1000)*(P87&lt;$P$7:$P$1000))+1</f>
        <v>4</v>
      </c>
      <c r="S87" s="72"/>
      <c r="T87">
        <v>14</v>
      </c>
      <c r="U87" t="str">
        <v>OGDC</v>
      </c>
      <c r="V87" t="str">
        <v>Ignacio Dotti</v>
      </c>
      <c r="W87" t="str">
        <v>NULL</v>
      </c>
      <c r="X87" t="str">
        <v>Away</v>
      </c>
      <c r="Y87" t="str">
        <v>ARC</v>
      </c>
      <c r="Z87">
        <v>3.182917603707236</v>
      </c>
      <c r="AA87" s="1"/>
      <c r="AB87" s="1" cm="1">
        <f t="array" ref="AB87">COUNT(_xlfn._xlws.FILTER($J$7:$J$10000,($L$7:$L$10000=AA87)*($M$7:$M$10000&lt;&gt;"NULL")*($J$7:$J$10000 &gt;= ($G$1-5))))/5</f>
        <v>0</v>
      </c>
    </row>
    <row r="88" spans="10:28" x14ac:dyDescent="0.35">
      <c r="J88" s="65">
        <v>5</v>
      </c>
      <c r="K88" t="s">
        <v>17</v>
      </c>
      <c r="L88" t="s">
        <v>105</v>
      </c>
      <c r="M88">
        <v>5.6</v>
      </c>
      <c r="N88" t="s">
        <v>9</v>
      </c>
      <c r="O88" t="s">
        <v>6</v>
      </c>
      <c r="P88">
        <f t="shared" si="11"/>
        <v>4.4018826722528441</v>
      </c>
      <c r="Q88">
        <f t="shared" si="10"/>
        <v>1.4354851310479848</v>
      </c>
      <c r="R88" s="67" cm="1">
        <f t="array" ref="R88">SUMPRODUCT((J88=$J$7:$J$1000)*(P88&lt;$P$7:$P$1000))+1</f>
        <v>10</v>
      </c>
      <c r="S88" s="72"/>
      <c r="T88">
        <v>14</v>
      </c>
      <c r="U88" t="str">
        <v>OGDC</v>
      </c>
      <c r="V88" t="str">
        <v>Rob Harley</v>
      </c>
      <c r="W88" t="str">
        <v>NULL</v>
      </c>
      <c r="X88" t="str">
        <v>Away</v>
      </c>
      <c r="Y88" t="str">
        <v>ARC</v>
      </c>
      <c r="Z88">
        <v>5.0735028441924843</v>
      </c>
      <c r="AA88" s="1"/>
      <c r="AB88" s="1" cm="1">
        <f t="array" ref="AB88">COUNT(_xlfn._xlws.FILTER($J$7:$J$10000,($L$7:$L$10000=AA88)*($M$7:$M$10000&lt;&gt;"NULL")*($J$7:$J$10000 &gt;= ($G$1-5))))/5</f>
        <v>0</v>
      </c>
    </row>
    <row r="89" spans="10:28" x14ac:dyDescent="0.35">
      <c r="J89" s="65">
        <v>5</v>
      </c>
      <c r="K89" t="s">
        <v>13</v>
      </c>
      <c r="L89" t="s">
        <v>469</v>
      </c>
      <c r="M89">
        <v>5.6</v>
      </c>
      <c r="N89" t="s">
        <v>9</v>
      </c>
      <c r="O89" t="s">
        <v>24</v>
      </c>
      <c r="P89">
        <f t="shared" si="11"/>
        <v>4.6736786409173536</v>
      </c>
      <c r="Q89">
        <f t="shared" si="10"/>
        <v>0.85807126029272041</v>
      </c>
      <c r="R89" s="67" cm="1">
        <f t="array" ref="R89">SUMPRODUCT((J89=$J$7:$J$1000)*(P89&lt;$P$7:$P$1000))+1</f>
        <v>9</v>
      </c>
      <c r="S89" s="72"/>
      <c r="T89">
        <v>14</v>
      </c>
      <c r="U89" t="str">
        <v>OGDC</v>
      </c>
      <c r="V89" t="str">
        <v>Tevita Naqali</v>
      </c>
      <c r="W89" t="str">
        <v>NULL</v>
      </c>
      <c r="X89" t="str">
        <v>Away</v>
      </c>
      <c r="Y89" t="str">
        <v>ARC</v>
      </c>
      <c r="Z89">
        <v>6.9189504767605099</v>
      </c>
      <c r="AA89" s="1"/>
      <c r="AB89" s="1" cm="1">
        <f t="array" ref="AB89">COUNT(_xlfn._xlws.FILTER($J$7:$J$10000,($L$7:$L$10000=AA89)*($M$7:$M$10000&lt;&gt;"NULL")*($J$7:$J$10000 &gt;= ($G$1-5))))/5</f>
        <v>0</v>
      </c>
    </row>
    <row r="90" spans="10:28" x14ac:dyDescent="0.35">
      <c r="J90" s="65">
        <v>5</v>
      </c>
      <c r="K90" t="s">
        <v>2</v>
      </c>
      <c r="L90" t="s">
        <v>108</v>
      </c>
      <c r="M90">
        <v>5.4</v>
      </c>
      <c r="N90" t="s">
        <v>3</v>
      </c>
      <c r="O90" t="s">
        <v>7</v>
      </c>
      <c r="P90">
        <f t="shared" si="11"/>
        <v>5.7777395098570006</v>
      </c>
      <c r="Q90">
        <f t="shared" si="10"/>
        <v>0.14268713730700677</v>
      </c>
      <c r="R90" s="67" cm="1">
        <f t="array" ref="R90">SUMPRODUCT((J90=$J$7:$J$1000)*(P90&lt;$P$7:$P$1000))+1</f>
        <v>6</v>
      </c>
      <c r="S90" s="72"/>
      <c r="T90">
        <v>14</v>
      </c>
      <c r="U90" t="str">
        <v>SDL</v>
      </c>
      <c r="V90" t="str">
        <v>Brandon Harvey</v>
      </c>
      <c r="W90" t="str">
        <v>NULL</v>
      </c>
      <c r="X90" t="str">
        <v>Away</v>
      </c>
      <c r="Y90" t="str">
        <v>SEA</v>
      </c>
      <c r="Z90">
        <v>2.1776051479266991</v>
      </c>
      <c r="AA90" s="1"/>
      <c r="AB90" s="1" cm="1">
        <f t="array" ref="AB90">COUNT(_xlfn._xlws.FILTER($J$7:$J$10000,($L$7:$L$10000=AA90)*($M$7:$M$10000&lt;&gt;"NULL")*($J$7:$J$10000 &gt;= ($G$1-5))))/5</f>
        <v>0</v>
      </c>
    </row>
    <row r="91" spans="10:28" x14ac:dyDescent="0.35">
      <c r="J91" s="65">
        <v>5</v>
      </c>
      <c r="K91" t="s">
        <v>17</v>
      </c>
      <c r="L91" t="s">
        <v>423</v>
      </c>
      <c r="M91">
        <v>4.5999999999999996</v>
      </c>
      <c r="N91" t="s">
        <v>9</v>
      </c>
      <c r="O91" t="s">
        <v>6</v>
      </c>
      <c r="P91">
        <f t="shared" si="11"/>
        <v>3.0129162856808338</v>
      </c>
      <c r="Q91">
        <f t="shared" si="10"/>
        <v>2.5188347162571194</v>
      </c>
      <c r="R91" s="67" cm="1">
        <f t="array" ref="R91">SUMPRODUCT((J91=$J$7:$J$1000)*(P91&lt;$P$7:$P$1000))+1</f>
        <v>15</v>
      </c>
      <c r="S91" s="72"/>
      <c r="T91">
        <v>14</v>
      </c>
      <c r="U91" t="str">
        <v>SDL</v>
      </c>
      <c r="V91" t="str">
        <v>Charlie Hewitt</v>
      </c>
      <c r="W91" t="str">
        <v>NULL</v>
      </c>
      <c r="X91" t="str">
        <v>Away</v>
      </c>
      <c r="Y91" t="str">
        <v>SEA</v>
      </c>
      <c r="Z91">
        <v>3.9623036363154274</v>
      </c>
      <c r="AA91" s="1"/>
      <c r="AB91" s="1" cm="1">
        <f t="array" ref="AB91">COUNT(_xlfn._xlws.FILTER($J$7:$J$10000,($L$7:$L$10000=AA91)*($M$7:$M$10000&lt;&gt;"NULL")*($J$7:$J$10000 &gt;= ($G$1-5))))/5</f>
        <v>0</v>
      </c>
    </row>
    <row r="92" spans="10:28" x14ac:dyDescent="0.35">
      <c r="J92" s="65">
        <v>5</v>
      </c>
      <c r="K92" t="s">
        <v>7</v>
      </c>
      <c r="L92" t="s">
        <v>277</v>
      </c>
      <c r="M92">
        <v>4.0999999999999996</v>
      </c>
      <c r="N92" t="s">
        <v>9</v>
      </c>
      <c r="O92" t="s">
        <v>2</v>
      </c>
      <c r="P92">
        <f t="shared" si="11"/>
        <v>6.2424460142839759</v>
      </c>
      <c r="Q92">
        <f t="shared" si="10"/>
        <v>4.5900749241212964</v>
      </c>
      <c r="R92" s="67" cm="1">
        <f t="array" ref="R92">SUMPRODUCT((J92=$J$7:$J$1000)*(P92&lt;$P$7:$P$1000))+1</f>
        <v>2</v>
      </c>
      <c r="S92" s="72"/>
      <c r="T92">
        <v>14</v>
      </c>
      <c r="U92" t="str">
        <v>SDL</v>
      </c>
      <c r="V92" t="str">
        <v>James Rivers</v>
      </c>
      <c r="W92" t="str">
        <v>NULL</v>
      </c>
      <c r="X92" t="str">
        <v>Away</v>
      </c>
      <c r="Y92" t="str">
        <v>SEA</v>
      </c>
      <c r="Z92">
        <v>3.7900814996813716</v>
      </c>
      <c r="AA92" s="1"/>
      <c r="AB92" s="1"/>
    </row>
    <row r="93" spans="10:28" x14ac:dyDescent="0.35">
      <c r="J93" s="65">
        <v>5</v>
      </c>
      <c r="K93" t="s">
        <v>24</v>
      </c>
      <c r="L93" t="s">
        <v>511</v>
      </c>
      <c r="M93">
        <v>3.9</v>
      </c>
      <c r="N93" t="s">
        <v>3</v>
      </c>
      <c r="O93" t="s">
        <v>13</v>
      </c>
      <c r="P93">
        <f t="shared" si="11"/>
        <v>4.9147311748939595</v>
      </c>
      <c r="Q93">
        <f t="shared" si="10"/>
        <v>1.0296793573016756</v>
      </c>
      <c r="R93" s="67" cm="1">
        <f t="array" ref="R93">SUMPRODUCT((J93=$J$7:$J$1000)*(P93&lt;$P$7:$P$1000))+1</f>
        <v>8</v>
      </c>
      <c r="S93" s="72"/>
      <c r="T93">
        <v>14</v>
      </c>
      <c r="U93" t="str">
        <v>SDL</v>
      </c>
      <c r="V93" t="str">
        <v>Jed Holloway</v>
      </c>
      <c r="W93" t="str">
        <v>NULL</v>
      </c>
      <c r="X93" t="str">
        <v>Away</v>
      </c>
      <c r="Y93" t="str">
        <v>SEA</v>
      </c>
      <c r="Z93">
        <v>8.1391177261484309</v>
      </c>
    </row>
    <row r="94" spans="10:28" x14ac:dyDescent="0.35">
      <c r="J94" s="65">
        <v>5</v>
      </c>
      <c r="K94" t="s">
        <v>6</v>
      </c>
      <c r="L94" t="s">
        <v>529</v>
      </c>
      <c r="M94">
        <v>2.6</v>
      </c>
      <c r="N94" t="s">
        <v>3</v>
      </c>
      <c r="O94" t="s">
        <v>17</v>
      </c>
      <c r="P94">
        <f t="shared" si="11"/>
        <v>4.3093230803416294</v>
      </c>
      <c r="Q94">
        <f t="shared" si="10"/>
        <v>2.9217853929885962</v>
      </c>
      <c r="R94" s="67" cm="1">
        <f t="array" ref="R94">SUMPRODUCT((J94=$J$7:$J$1000)*(P94&lt;$P$7:$P$1000))+1</f>
        <v>12</v>
      </c>
      <c r="S94" s="72"/>
      <c r="T94">
        <v>14</v>
      </c>
      <c r="U94" t="str">
        <v>SDL</v>
      </c>
      <c r="V94" t="str">
        <v>Vili Helu</v>
      </c>
      <c r="W94" t="str">
        <v>NULL</v>
      </c>
      <c r="X94" t="str">
        <v>Away</v>
      </c>
      <c r="Y94" t="str">
        <v>SEA</v>
      </c>
      <c r="Z94">
        <v>6.1360128239286409</v>
      </c>
    </row>
    <row r="95" spans="10:28" x14ac:dyDescent="0.35">
      <c r="J95" s="65">
        <v>5</v>
      </c>
      <c r="K95" t="s">
        <v>24</v>
      </c>
      <c r="L95" t="s">
        <v>422</v>
      </c>
      <c r="M95">
        <v>2.2000000000000002</v>
      </c>
      <c r="N95" t="s">
        <v>3</v>
      </c>
      <c r="O95" t="s">
        <v>13</v>
      </c>
      <c r="P95">
        <f t="shared" si="11"/>
        <v>2.3835671085122101</v>
      </c>
      <c r="Q95">
        <f t="shared" si="10"/>
        <v>3.3696883327533449E-2</v>
      </c>
      <c r="R95" s="67" cm="1">
        <f t="array" ref="R95">SUMPRODUCT((J95=$J$7:$J$1000)*(P95&lt;$P$7:$P$1000))+1</f>
        <v>16</v>
      </c>
      <c r="S95" s="72"/>
      <c r="T95">
        <v>14</v>
      </c>
      <c r="U95" t="str">
        <v>SDL</v>
      </c>
      <c r="V95" t="str">
        <v>Zak Farrance</v>
      </c>
      <c r="W95" t="str">
        <v>NULL</v>
      </c>
      <c r="X95" t="str">
        <v>Away</v>
      </c>
      <c r="Y95" t="str">
        <v>SEA</v>
      </c>
      <c r="Z95">
        <v>0.29425653987300815</v>
      </c>
    </row>
    <row r="96" spans="10:28" x14ac:dyDescent="0.35">
      <c r="J96" s="65">
        <v>5</v>
      </c>
      <c r="K96" t="s">
        <v>23</v>
      </c>
      <c r="L96" t="s">
        <v>421</v>
      </c>
      <c r="M96">
        <v>2.1</v>
      </c>
      <c r="N96" t="s">
        <v>3</v>
      </c>
      <c r="O96" t="s">
        <v>4</v>
      </c>
      <c r="P96">
        <f t="shared" si="11"/>
        <v>4.2164489771205487</v>
      </c>
      <c r="Q96">
        <f t="shared" si="10"/>
        <v>4.4793562727546163</v>
      </c>
      <c r="R96" s="67" cm="1">
        <f t="array" ref="R96">SUMPRODUCT((J96=$J$7:$J$1000)*(P96&lt;$P$7:$P$1000))+1</f>
        <v>13</v>
      </c>
      <c r="S96" s="72"/>
      <c r="T96">
        <v>14</v>
      </c>
      <c r="U96" t="str">
        <v>SEA</v>
      </c>
      <c r="V96" t="str">
        <v>Isaia Lotawa</v>
      </c>
      <c r="W96" t="str">
        <v>NULL</v>
      </c>
      <c r="X96" t="str">
        <v>Home</v>
      </c>
      <c r="Y96" t="str">
        <v>SDL</v>
      </c>
      <c r="Z96">
        <v>1.8720294620633684</v>
      </c>
    </row>
    <row r="97" spans="10:26" x14ac:dyDescent="0.35">
      <c r="J97" s="65">
        <v>5</v>
      </c>
      <c r="K97" t="s">
        <v>4</v>
      </c>
      <c r="L97" t="s">
        <v>114</v>
      </c>
      <c r="M97">
        <v>2.1</v>
      </c>
      <c r="N97" t="s">
        <v>9</v>
      </c>
      <c r="O97" t="s">
        <v>23</v>
      </c>
      <c r="P97">
        <f t="shared" si="11"/>
        <v>5.7794121053188041</v>
      </c>
      <c r="Q97">
        <f t="shared" si="10"/>
        <v>13.538073440766555</v>
      </c>
      <c r="R97" s="67" cm="1">
        <f t="array" ref="R97">SUMPRODUCT((J97=$J$7:$J$1000)*(P97&lt;$P$7:$P$1000))+1</f>
        <v>5</v>
      </c>
      <c r="S97" s="72"/>
      <c r="T97">
        <v>14</v>
      </c>
      <c r="U97" t="str">
        <v>SEA</v>
      </c>
      <c r="V97" t="str">
        <v>Malembe Mpofu</v>
      </c>
      <c r="W97" t="str">
        <v>NULL</v>
      </c>
      <c r="X97" t="str">
        <v>Home</v>
      </c>
      <c r="Y97" t="str">
        <v>SDL</v>
      </c>
      <c r="Z97">
        <v>3.6116081820024171</v>
      </c>
    </row>
    <row r="98" spans="10:26" x14ac:dyDescent="0.35">
      <c r="J98" s="65">
        <v>5</v>
      </c>
      <c r="K98" t="s">
        <v>13</v>
      </c>
      <c r="L98" t="s">
        <v>103</v>
      </c>
      <c r="M98">
        <v>-0.9</v>
      </c>
      <c r="N98" t="s">
        <v>9</v>
      </c>
      <c r="O98" t="s">
        <v>24</v>
      </c>
      <c r="P98">
        <f t="shared" si="11"/>
        <v>5.7315377091150044</v>
      </c>
      <c r="Q98">
        <f t="shared" si="10"/>
        <v>43.977292387414288</v>
      </c>
      <c r="R98" s="67" cm="1">
        <f t="array" ref="R98">SUMPRODUCT((J98=$J$7:$J$1000)*(P98&lt;$P$7:$P$1000))+1</f>
        <v>7</v>
      </c>
      <c r="S98" s="72"/>
      <c r="T98">
        <v>14</v>
      </c>
      <c r="U98" t="str">
        <v>SEA</v>
      </c>
      <c r="V98" t="str">
        <v>OJ Noa</v>
      </c>
      <c r="W98" t="str">
        <v>NULL</v>
      </c>
      <c r="X98" t="str">
        <v>Home</v>
      </c>
      <c r="Y98" t="str">
        <v>SDL</v>
      </c>
      <c r="Z98">
        <v>8.4822075453005219</v>
      </c>
    </row>
    <row r="99" spans="10:26" x14ac:dyDescent="0.35">
      <c r="J99" s="66">
        <v>6</v>
      </c>
      <c r="K99" t="s">
        <v>34</v>
      </c>
      <c r="L99" t="s">
        <v>420</v>
      </c>
      <c r="M99">
        <v>14.2</v>
      </c>
      <c r="N99" t="s">
        <v>3</v>
      </c>
      <c r="O99" t="s">
        <v>24</v>
      </c>
      <c r="P99">
        <f t="shared" si="11"/>
        <v>7.3730829762827028</v>
      </c>
      <c r="Q99">
        <f t="shared" si="10"/>
        <v>46.60679604872103</v>
      </c>
      <c r="R99" s="67" cm="1">
        <f t="array" ref="R99">SUMPRODUCT((J99=$J$7:$J$1000)*(P99&lt;$P$7:$P$1000))+1</f>
        <v>1</v>
      </c>
      <c r="S99" s="72"/>
      <c r="T99">
        <v>14</v>
      </c>
      <c r="U99" t="str">
        <v>SEA</v>
      </c>
      <c r="V99" t="str">
        <v>Rhyno Herbst</v>
      </c>
      <c r="W99" t="str">
        <v>NULL</v>
      </c>
      <c r="X99" t="str">
        <v>Home</v>
      </c>
      <c r="Y99" t="str">
        <v>SDL</v>
      </c>
      <c r="Z99">
        <v>5.0005745685744278</v>
      </c>
    </row>
    <row r="100" spans="10:26" x14ac:dyDescent="0.35">
      <c r="J100" s="66">
        <v>6</v>
      </c>
      <c r="K100" t="s">
        <v>14</v>
      </c>
      <c r="L100" t="s">
        <v>107</v>
      </c>
      <c r="M100">
        <v>12.4</v>
      </c>
      <c r="N100" t="s">
        <v>3</v>
      </c>
      <c r="O100" t="s">
        <v>36</v>
      </c>
      <c r="P100">
        <f t="shared" si="11"/>
        <v>6.3387154285474088</v>
      </c>
      <c r="Q100">
        <f t="shared" si="10"/>
        <v>36.739170656129225</v>
      </c>
      <c r="R100" s="67" cm="1">
        <f t="array" ref="R100">SUMPRODUCT((J100=$J$7:$J$1000)*(P100&lt;$P$7:$P$1000))+1</f>
        <v>4</v>
      </c>
      <c r="S100" s="72"/>
      <c r="T100">
        <v>14</v>
      </c>
      <c r="U100" t="str">
        <v>SEA</v>
      </c>
      <c r="V100" t="str">
        <v>Siaosi Mahoni</v>
      </c>
      <c r="W100" t="str">
        <v>NULL</v>
      </c>
      <c r="X100" t="str">
        <v>Home</v>
      </c>
      <c r="Y100" t="str">
        <v>SDL</v>
      </c>
      <c r="Z100">
        <v>4.8154420567712535</v>
      </c>
    </row>
    <row r="101" spans="10:26" x14ac:dyDescent="0.35">
      <c r="J101" s="66">
        <v>6</v>
      </c>
      <c r="K101" t="s">
        <v>6</v>
      </c>
      <c r="L101" t="s">
        <v>529</v>
      </c>
      <c r="M101">
        <v>10.3</v>
      </c>
      <c r="N101" t="s">
        <v>9</v>
      </c>
      <c r="O101" t="s">
        <v>4</v>
      </c>
      <c r="P101">
        <f t="shared" si="11"/>
        <v>3.3036629510911357</v>
      </c>
      <c r="Q101">
        <f t="shared" si="10"/>
        <v>48.948732101934809</v>
      </c>
      <c r="R101" s="67" cm="1">
        <f t="array" ref="R101">SUMPRODUCT((J101=$J$7:$J$1000)*(P101&lt;$P$7:$P$1000))+1</f>
        <v>17</v>
      </c>
      <c r="S101" s="72"/>
      <c r="T101">
        <v>14</v>
      </c>
      <c r="U101" t="str">
        <v>SEA</v>
      </c>
      <c r="V101" t="str">
        <v>Taylor Krumrei</v>
      </c>
      <c r="W101" t="str">
        <v>NULL</v>
      </c>
      <c r="X101" t="str">
        <v>Home</v>
      </c>
      <c r="Y101" t="str">
        <v>SDL</v>
      </c>
      <c r="Z101">
        <v>2.0348624765512016</v>
      </c>
    </row>
    <row r="102" spans="10:26" x14ac:dyDescent="0.35">
      <c r="J102" s="66">
        <v>6</v>
      </c>
      <c r="K102" t="s">
        <v>13</v>
      </c>
      <c r="L102" t="s">
        <v>103</v>
      </c>
      <c r="M102">
        <v>8.6999999999999993</v>
      </c>
      <c r="N102" t="s">
        <v>9</v>
      </c>
      <c r="O102" t="s">
        <v>17</v>
      </c>
      <c r="P102">
        <f t="shared" si="11"/>
        <v>6.5120135945180913</v>
      </c>
      <c r="Q102">
        <f t="shared" si="10"/>
        <v>4.7872845105736408</v>
      </c>
      <c r="R102" s="67" cm="1">
        <f t="array" ref="R102">SUMPRODUCT((J102=$J$7:$J$1000)*(P102&lt;$P$7:$P$1000))+1</f>
        <v>3</v>
      </c>
      <c r="S102" s="72"/>
      <c r="T102">
        <v>14</v>
      </c>
      <c r="U102" t="str">
        <v>UTAH</v>
      </c>
      <c r="V102" t="str">
        <v>Frank Lochore</v>
      </c>
      <c r="W102" t="str">
        <v>NULL</v>
      </c>
      <c r="X102" t="str">
        <v>Away</v>
      </c>
      <c r="Y102" t="str">
        <v>HOU</v>
      </c>
      <c r="Z102">
        <v>6.3097911693035753</v>
      </c>
    </row>
    <row r="103" spans="10:26" x14ac:dyDescent="0.35">
      <c r="J103" s="66">
        <v>6</v>
      </c>
      <c r="K103" t="s">
        <v>13</v>
      </c>
      <c r="L103" t="s">
        <v>469</v>
      </c>
      <c r="M103">
        <v>7.4</v>
      </c>
      <c r="N103" t="s">
        <v>9</v>
      </c>
      <c r="O103" t="s">
        <v>17</v>
      </c>
      <c r="P103">
        <f t="shared" si="11"/>
        <v>5.4541545263204405</v>
      </c>
      <c r="Q103">
        <f t="shared" si="10"/>
        <v>3.7863146074392304</v>
      </c>
      <c r="R103" s="67" cm="1">
        <f t="array" ref="R103">SUMPRODUCT((J103=$J$7:$J$1000)*(P103&lt;$P$7:$P$1000))+1</f>
        <v>9</v>
      </c>
      <c r="S103" s="72"/>
      <c r="T103">
        <v>14</v>
      </c>
      <c r="U103" t="str">
        <v>UTAH</v>
      </c>
      <c r="V103" t="str">
        <v>Gavin Thornbury</v>
      </c>
      <c r="W103" t="str">
        <v>NULL</v>
      </c>
      <c r="X103" t="str">
        <v>Away</v>
      </c>
      <c r="Y103" t="str">
        <v>HOU</v>
      </c>
      <c r="Z103">
        <v>5.2519321011059246</v>
      </c>
    </row>
    <row r="104" spans="10:26" x14ac:dyDescent="0.35">
      <c r="J104" s="66">
        <v>6</v>
      </c>
      <c r="K104" t="s">
        <v>6</v>
      </c>
      <c r="L104" t="s">
        <v>208</v>
      </c>
      <c r="M104">
        <v>6.2</v>
      </c>
      <c r="N104" t="s">
        <v>9</v>
      </c>
      <c r="O104" t="s">
        <v>4</v>
      </c>
      <c r="P104">
        <f t="shared" si="11"/>
        <v>6.7955028158359072</v>
      </c>
      <c r="Q104">
        <f t="shared" si="10"/>
        <v>0.35462360366849421</v>
      </c>
      <c r="R104" s="67" cm="1">
        <f t="array" ref="R104">SUMPRODUCT((J104=$J$7:$J$1000)*(P104&lt;$P$7:$P$1000))+1</f>
        <v>2</v>
      </c>
      <c r="S104" s="72"/>
      <c r="T104">
        <v>14</v>
      </c>
      <c r="U104" t="str">
        <v>UTAH</v>
      </c>
      <c r="V104" t="str">
        <v>Matt Jenson</v>
      </c>
      <c r="W104" t="str">
        <v>NULL</v>
      </c>
      <c r="X104" t="str">
        <v>Away</v>
      </c>
      <c r="Y104" t="str">
        <v>HOU</v>
      </c>
      <c r="Z104">
        <v>4.8974097658757199</v>
      </c>
    </row>
    <row r="105" spans="10:26" x14ac:dyDescent="0.35">
      <c r="J105" s="66">
        <v>6</v>
      </c>
      <c r="K105" t="s">
        <v>17</v>
      </c>
      <c r="L105" t="s">
        <v>105</v>
      </c>
      <c r="M105">
        <v>6.1</v>
      </c>
      <c r="N105" t="s">
        <v>3</v>
      </c>
      <c r="O105" t="s">
        <v>13</v>
      </c>
      <c r="P105">
        <f t="shared" si="11"/>
        <v>3.6502826061628717</v>
      </c>
      <c r="Q105">
        <f t="shared" si="10"/>
        <v>6.0011153096681706</v>
      </c>
      <c r="R105" s="67" cm="1">
        <f t="array" ref="R105">SUMPRODUCT((J105=$J$7:$J$1000)*(P105&lt;$P$7:$P$1000))+1</f>
        <v>15</v>
      </c>
      <c r="S105" s="72"/>
      <c r="T105">
        <v>14</v>
      </c>
      <c r="U105" t="str">
        <v>UTAH</v>
      </c>
      <c r="V105" t="str">
        <v>Saia 'Uhila</v>
      </c>
      <c r="W105" t="str">
        <v>NULL</v>
      </c>
      <c r="X105" t="str">
        <v>Away</v>
      </c>
      <c r="Y105" t="str">
        <v>HOU</v>
      </c>
      <c r="Z105">
        <v>1.8821571746553203</v>
      </c>
    </row>
    <row r="106" spans="10:26" x14ac:dyDescent="0.35">
      <c r="J106" s="66">
        <v>6</v>
      </c>
      <c r="K106" t="s">
        <v>7</v>
      </c>
      <c r="L106" t="s">
        <v>277</v>
      </c>
      <c r="M106">
        <v>6</v>
      </c>
      <c r="N106" t="s">
        <v>3</v>
      </c>
      <c r="O106" t="s">
        <v>23</v>
      </c>
      <c r="P106">
        <f t="shared" si="11"/>
        <v>6.0098247353470082</v>
      </c>
      <c r="Q106">
        <f t="shared" si="10"/>
        <v>9.65254246387529E-5</v>
      </c>
      <c r="R106" s="67" cm="1">
        <f t="array" ref="R106">SUMPRODUCT((J106=$J$7:$J$1000)*(P106&lt;$P$7:$P$1000))+1</f>
        <v>6</v>
      </c>
      <c r="S106" s="72"/>
      <c r="T106">
        <v>15</v>
      </c>
      <c r="U106" t="str">
        <v>ARC</v>
      </c>
      <c r="V106" t="str">
        <v>Alejandro Martinez Tapia</v>
      </c>
      <c r="W106" t="str">
        <v>NULL</v>
      </c>
      <c r="X106" t="str">
        <v>Home</v>
      </c>
      <c r="Y106" t="str">
        <v>CHI</v>
      </c>
      <c r="Z106">
        <v>5.867936490953447</v>
      </c>
    </row>
    <row r="107" spans="10:26" x14ac:dyDescent="0.35">
      <c r="J107" s="66">
        <v>6</v>
      </c>
      <c r="K107" t="s">
        <v>14</v>
      </c>
      <c r="L107" t="s">
        <v>471</v>
      </c>
      <c r="M107">
        <v>5.9</v>
      </c>
      <c r="N107" t="s">
        <v>3</v>
      </c>
      <c r="O107" t="s">
        <v>36</v>
      </c>
      <c r="P107">
        <f t="shared" si="11"/>
        <v>4.9434897594609355</v>
      </c>
      <c r="Q107">
        <f t="shared" si="10"/>
        <v>0.91491184025609973</v>
      </c>
      <c r="R107" s="67" cm="1">
        <f t="array" ref="R107">SUMPRODUCT((J107=$J$7:$J$1000)*(P107&lt;$P$7:$P$1000))+1</f>
        <v>11</v>
      </c>
      <c r="S107" s="72"/>
      <c r="T107">
        <v>15</v>
      </c>
      <c r="U107" t="str">
        <v>ARC</v>
      </c>
      <c r="V107" t="str">
        <v>Javon Camp Villalovos</v>
      </c>
      <c r="W107" t="str">
        <v>NULL</v>
      </c>
      <c r="X107" t="str">
        <v>Away</v>
      </c>
      <c r="Y107" t="str">
        <v>SEA</v>
      </c>
      <c r="Z107">
        <v>2.7686435472937481</v>
      </c>
    </row>
    <row r="108" spans="10:26" x14ac:dyDescent="0.35">
      <c r="J108" s="66">
        <v>6</v>
      </c>
      <c r="K108" t="s">
        <v>4</v>
      </c>
      <c r="L108" t="s">
        <v>335</v>
      </c>
      <c r="M108">
        <v>5.0999999999999996</v>
      </c>
      <c r="N108" t="s">
        <v>3</v>
      </c>
      <c r="O108" t="s">
        <v>6</v>
      </c>
      <c r="P108">
        <f t="shared" si="11"/>
        <v>3.8025028938014978</v>
      </c>
      <c r="Q108">
        <f t="shared" si="10"/>
        <v>1.6834987405934865</v>
      </c>
      <c r="R108" s="67" cm="1">
        <f t="array" ref="R108">SUMPRODUCT((J108=$J$7:$J$1000)*(P108&lt;$P$7:$P$1000))+1</f>
        <v>13</v>
      </c>
      <c r="S108" s="72"/>
      <c r="T108">
        <v>15</v>
      </c>
      <c r="U108" t="str">
        <v>ARC</v>
      </c>
      <c r="V108" t="str">
        <v>Javon Camp Villalovos</v>
      </c>
      <c r="W108" t="str">
        <v>NULL</v>
      </c>
      <c r="X108" t="str">
        <v>Home</v>
      </c>
      <c r="Y108" t="str">
        <v>CHI</v>
      </c>
      <c r="Z108">
        <v>2.724805497348596</v>
      </c>
    </row>
    <row r="109" spans="10:26" x14ac:dyDescent="0.35">
      <c r="J109" s="65">
        <v>6</v>
      </c>
      <c r="K109" t="s">
        <v>7</v>
      </c>
      <c r="L109" t="s">
        <v>104</v>
      </c>
      <c r="M109">
        <v>5.0999999999999996</v>
      </c>
      <c r="N109" t="s">
        <v>3</v>
      </c>
      <c r="O109" t="s">
        <v>23</v>
      </c>
      <c r="P109">
        <f t="shared" si="11"/>
        <v>4.1643771027789827</v>
      </c>
      <c r="Q109">
        <f t="shared" si="10"/>
        <v>0.87539020580424975</v>
      </c>
      <c r="R109" s="67" cm="1">
        <f t="array" ref="R109">SUMPRODUCT((J109=$J$7:$J$1000)*(P109&lt;$P$7:$P$1000))+1</f>
        <v>12</v>
      </c>
      <c r="S109" s="72"/>
      <c r="T109">
        <v>15</v>
      </c>
      <c r="U109" t="str">
        <v>ARC</v>
      </c>
      <c r="V109" t="str">
        <v>Mikey Grandy</v>
      </c>
      <c r="W109" t="str">
        <v>NULL</v>
      </c>
      <c r="X109" t="str">
        <v>Home</v>
      </c>
      <c r="Y109" t="str">
        <v>CHI</v>
      </c>
      <c r="Z109">
        <v>4.6987221836103394</v>
      </c>
    </row>
    <row r="110" spans="10:26" x14ac:dyDescent="0.35">
      <c r="J110" s="66">
        <v>6</v>
      </c>
      <c r="K110" t="s">
        <v>24</v>
      </c>
      <c r="L110" t="s">
        <v>419</v>
      </c>
      <c r="M110">
        <v>4.9000000000000004</v>
      </c>
      <c r="N110" t="s">
        <v>9</v>
      </c>
      <c r="O110" t="s">
        <v>34</v>
      </c>
      <c r="P110">
        <f t="shared" si="11"/>
        <v>5.748848883072962</v>
      </c>
      <c r="Q110">
        <f t="shared" si="10"/>
        <v>0.72054442629421456</v>
      </c>
      <c r="R110" s="67" cm="1">
        <f t="array" ref="R110">SUMPRODUCT((J110=$J$7:$J$1000)*(P110&lt;$P$7:$P$1000))+1</f>
        <v>7</v>
      </c>
      <c r="S110" s="72"/>
      <c r="T110">
        <v>15</v>
      </c>
      <c r="U110" t="str">
        <v>ARC</v>
      </c>
      <c r="V110" t="str">
        <v>Sam Golla</v>
      </c>
      <c r="W110" t="str">
        <v>NULL</v>
      </c>
      <c r="X110" t="str">
        <v>Home</v>
      </c>
      <c r="Y110" t="str">
        <v>CHI</v>
      </c>
      <c r="Z110">
        <v>6.4826586682794147</v>
      </c>
    </row>
    <row r="111" spans="10:26" x14ac:dyDescent="0.35">
      <c r="J111" s="66">
        <v>6</v>
      </c>
      <c r="K111" t="s">
        <v>4</v>
      </c>
      <c r="L111" t="s">
        <v>484</v>
      </c>
      <c r="M111">
        <v>3.9</v>
      </c>
      <c r="N111" t="s">
        <v>3</v>
      </c>
      <c r="O111" t="s">
        <v>6</v>
      </c>
      <c r="P111">
        <f t="shared" si="11"/>
        <v>6.1237711824476202</v>
      </c>
      <c r="Q111">
        <f t="shared" si="10"/>
        <v>4.9451582718844875</v>
      </c>
      <c r="R111" s="67" cm="1">
        <f t="array" ref="R111">SUMPRODUCT((J111=$J$7:$J$1000)*(P111&lt;$P$7:$P$1000))+1</f>
        <v>5</v>
      </c>
      <c r="S111" s="72"/>
      <c r="T111">
        <v>15</v>
      </c>
      <c r="U111" t="str">
        <v>ARC</v>
      </c>
      <c r="V111" t="str">
        <v>Shawn Clark</v>
      </c>
      <c r="W111" t="str">
        <v>NULL</v>
      </c>
      <c r="X111" t="str">
        <v>Home</v>
      </c>
      <c r="Y111" t="str">
        <v>CHI</v>
      </c>
      <c r="Z111">
        <v>3.2727654288810464</v>
      </c>
    </row>
    <row r="112" spans="10:26" x14ac:dyDescent="0.35">
      <c r="J112" s="66">
        <v>6</v>
      </c>
      <c r="K112" t="s">
        <v>36</v>
      </c>
      <c r="L112" t="s">
        <v>610</v>
      </c>
      <c r="M112">
        <v>3.1</v>
      </c>
      <c r="N112" t="s">
        <v>9</v>
      </c>
      <c r="O112" t="s">
        <v>14</v>
      </c>
      <c r="P112">
        <f t="shared" si="11"/>
        <v>3.3868688242877729</v>
      </c>
      <c r="Q112">
        <f t="shared" si="10"/>
        <v>8.2293722348249082E-2</v>
      </c>
      <c r="R112" s="67" cm="1">
        <f t="array" ref="R112">SUMPRODUCT((J112=$J$7:$J$1000)*(P112&lt;$P$7:$P$1000))+1</f>
        <v>16</v>
      </c>
      <c r="S112" s="72"/>
      <c r="T112">
        <v>15</v>
      </c>
      <c r="U112" t="str">
        <v>ARC</v>
      </c>
      <c r="V112" t="str">
        <v>Viliami Vuli</v>
      </c>
      <c r="W112" t="str">
        <v>NULL</v>
      </c>
      <c r="X112" t="str">
        <v>Home</v>
      </c>
      <c r="Y112" t="str">
        <v>CHI</v>
      </c>
      <c r="Z112">
        <v>5.0874329991929415</v>
      </c>
    </row>
    <row r="113" spans="10:26" x14ac:dyDescent="0.35">
      <c r="J113" s="66">
        <v>6</v>
      </c>
      <c r="K113" t="s">
        <v>34</v>
      </c>
      <c r="L113" t="s">
        <v>228</v>
      </c>
      <c r="M113">
        <v>2.9</v>
      </c>
      <c r="N113" t="s">
        <v>3</v>
      </c>
      <c r="O113" t="s">
        <v>24</v>
      </c>
      <c r="P113">
        <f t="shared" si="11"/>
        <v>5.3699780740629128</v>
      </c>
      <c r="Q113">
        <f t="shared" si="10"/>
        <v>6.1007916863515366</v>
      </c>
      <c r="R113" s="67" cm="1">
        <f t="array" ref="R113">SUMPRODUCT((J113=$J$7:$J$1000)*(P113&lt;$P$7:$P$1000))+1</f>
        <v>10</v>
      </c>
      <c r="S113" s="72"/>
      <c r="T113">
        <v>15</v>
      </c>
      <c r="U113" t="str">
        <v>CHI</v>
      </c>
      <c r="V113" t="str">
        <v>Hamish Bain</v>
      </c>
      <c r="W113" t="str">
        <v>NULL</v>
      </c>
      <c r="X113" t="str">
        <v>Away</v>
      </c>
      <c r="Y113" t="str">
        <v>ARC</v>
      </c>
      <c r="Z113">
        <v>5.0668045957285237</v>
      </c>
    </row>
    <row r="114" spans="10:26" x14ac:dyDescent="0.35">
      <c r="J114" s="65">
        <v>6</v>
      </c>
      <c r="K114" t="s">
        <v>24</v>
      </c>
      <c r="L114" t="s">
        <v>422</v>
      </c>
      <c r="M114">
        <v>2.6</v>
      </c>
      <c r="N114" t="s">
        <v>9</v>
      </c>
      <c r="O114" t="s">
        <v>34</v>
      </c>
      <c r="P114">
        <f t="shared" si="11"/>
        <v>3.7194179353864087</v>
      </c>
      <c r="Q114">
        <f t="shared" si="10"/>
        <v>1.2530965140647699</v>
      </c>
      <c r="R114" s="67" cm="1">
        <f t="array" ref="R114">SUMPRODUCT((J114=$J$7:$J$1000)*(P114&lt;$P$7:$P$1000))+1</f>
        <v>14</v>
      </c>
      <c r="S114" s="72"/>
      <c r="T114">
        <v>15</v>
      </c>
      <c r="U114" t="str">
        <v>CHI</v>
      </c>
      <c r="V114" t="str">
        <v>James Scott</v>
      </c>
      <c r="W114" t="str">
        <v>NULL</v>
      </c>
      <c r="X114" t="str">
        <v>Away</v>
      </c>
      <c r="Y114" t="str">
        <v>ARC</v>
      </c>
      <c r="Z114">
        <v>5.9579775677151128</v>
      </c>
    </row>
    <row r="115" spans="10:26" x14ac:dyDescent="0.35">
      <c r="J115" s="66">
        <v>6</v>
      </c>
      <c r="K115" t="s">
        <v>23</v>
      </c>
      <c r="L115" t="s">
        <v>421</v>
      </c>
      <c r="M115">
        <v>2.2999999999999998</v>
      </c>
      <c r="N115" t="s">
        <v>9</v>
      </c>
      <c r="O115" t="s">
        <v>7</v>
      </c>
      <c r="P115">
        <f t="shared" si="11"/>
        <v>5.6167729188948776</v>
      </c>
      <c r="Q115">
        <f t="shared" si="10"/>
        <v>11.000982595514447</v>
      </c>
      <c r="R115" s="67" cm="1">
        <f t="array" ref="R115">SUMPRODUCT((J115=$J$7:$J$1000)*(P115&lt;$P$7:$P$1000))+1</f>
        <v>8</v>
      </c>
      <c r="S115" s="72"/>
      <c r="T115">
        <v>15</v>
      </c>
      <c r="U115" t="str">
        <v>CHI</v>
      </c>
      <c r="V115" t="str">
        <v>Mason Flesch</v>
      </c>
      <c r="W115" t="str">
        <v>NULL</v>
      </c>
      <c r="X115" t="str">
        <v>Away</v>
      </c>
      <c r="Y115" t="str">
        <v>ARC</v>
      </c>
      <c r="Z115">
        <v>6.1248169160153703</v>
      </c>
    </row>
    <row r="116" spans="10:26" x14ac:dyDescent="0.35">
      <c r="J116" s="66">
        <v>6</v>
      </c>
      <c r="K116" t="s">
        <v>17</v>
      </c>
      <c r="L116" t="s">
        <v>423</v>
      </c>
      <c r="M116">
        <v>1.9</v>
      </c>
      <c r="N116" t="s">
        <v>3</v>
      </c>
      <c r="O116" t="s">
        <v>13</v>
      </c>
      <c r="P116">
        <f t="shared" si="11"/>
        <v>2.2613162195908605</v>
      </c>
      <c r="Q116">
        <f t="shared" si="10"/>
        <v>0.13054941053943098</v>
      </c>
      <c r="R116" s="67" cm="1">
        <f t="array" ref="R116">SUMPRODUCT((J116=$J$7:$J$1000)*(P116&lt;$P$7:$P$1000))+1</f>
        <v>20</v>
      </c>
      <c r="S116" s="72"/>
      <c r="T116">
        <v>15</v>
      </c>
      <c r="U116" t="str">
        <v>HOU</v>
      </c>
      <c r="V116" t="str">
        <v>Johan Momsen</v>
      </c>
      <c r="W116" t="str">
        <v>NULL</v>
      </c>
      <c r="X116" t="str">
        <v>Away</v>
      </c>
      <c r="Y116" t="str">
        <v>SEA</v>
      </c>
      <c r="Z116">
        <v>5.7766954500391741</v>
      </c>
    </row>
    <row r="117" spans="10:26" x14ac:dyDescent="0.35">
      <c r="J117" s="66">
        <v>6</v>
      </c>
      <c r="K117" t="s">
        <v>23</v>
      </c>
      <c r="L117" t="s">
        <v>111</v>
      </c>
      <c r="M117">
        <v>1.5</v>
      </c>
      <c r="N117" t="s">
        <v>9</v>
      </c>
      <c r="O117" t="s">
        <v>7</v>
      </c>
      <c r="P117">
        <f t="shared" si="11"/>
        <v>3.0596434079208814</v>
      </c>
      <c r="Q117">
        <f t="shared" si="10"/>
        <v>2.4324875598710607</v>
      </c>
      <c r="R117" s="67" cm="1">
        <f t="array" ref="R117">SUMPRODUCT((J117=$J$7:$J$1000)*(P117&lt;$P$7:$P$1000))+1</f>
        <v>19</v>
      </c>
      <c r="S117" s="72"/>
      <c r="T117">
        <v>15</v>
      </c>
      <c r="U117" t="str">
        <v>HOU</v>
      </c>
      <c r="V117" t="str">
        <v>Justin Basson</v>
      </c>
      <c r="W117" t="str">
        <v>NULL</v>
      </c>
      <c r="X117" t="str">
        <v>Away</v>
      </c>
      <c r="Y117" t="str">
        <v>SEA</v>
      </c>
      <c r="Z117">
        <v>2.607431884742792</v>
      </c>
    </row>
    <row r="118" spans="10:26" x14ac:dyDescent="0.35">
      <c r="J118" s="66">
        <v>6</v>
      </c>
      <c r="K118" t="s">
        <v>36</v>
      </c>
      <c r="L118" t="s">
        <v>106</v>
      </c>
      <c r="M118">
        <v>0.3</v>
      </c>
      <c r="N118" t="s">
        <v>9</v>
      </c>
      <c r="O118" t="s">
        <v>14</v>
      </c>
      <c r="P118">
        <f t="shared" si="11"/>
        <v>3.2256571617368159</v>
      </c>
      <c r="Q118">
        <f t="shared" si="10"/>
        <v>8.559469828021923</v>
      </c>
      <c r="R118" s="67" cm="1">
        <f t="array" ref="R118">SUMPRODUCT((J118=$J$7:$J$1000)*(P118&lt;$P$7:$P$1000))+1</f>
        <v>18</v>
      </c>
      <c r="S118" s="72"/>
      <c r="T118">
        <v>15</v>
      </c>
      <c r="U118" t="str">
        <v>HOU</v>
      </c>
      <c r="V118" t="str">
        <v>Nathan Den Hoedt</v>
      </c>
      <c r="W118" t="str">
        <v>NULL</v>
      </c>
      <c r="X118" t="str">
        <v>Away</v>
      </c>
      <c r="Y118" t="str">
        <v>SEA</v>
      </c>
      <c r="Z118">
        <v>5.4518631299604436</v>
      </c>
    </row>
    <row r="119" spans="10:26" x14ac:dyDescent="0.35">
      <c r="J119" s="66">
        <v>7</v>
      </c>
      <c r="K119" t="s">
        <v>17</v>
      </c>
      <c r="L119" t="s">
        <v>105</v>
      </c>
      <c r="M119">
        <v>7.8</v>
      </c>
      <c r="N119" t="s">
        <v>3</v>
      </c>
      <c r="O119" t="s">
        <v>14</v>
      </c>
      <c r="P119">
        <f t="shared" si="11"/>
        <v>5.2196181422987653</v>
      </c>
      <c r="Q119">
        <f t="shared" ref="Q119:Q178" si="12">IFERROR(($M119-$P119)^2,"")</f>
        <v>6.6583705315536745</v>
      </c>
      <c r="R119" s="67" cm="1">
        <f t="array" ref="R119">SUMPRODUCT((J119=$J$7:$J$1000)*(P119&lt;$P$7:$P$1000))+1</f>
        <v>7</v>
      </c>
      <c r="S119" s="72"/>
      <c r="T119">
        <v>15</v>
      </c>
      <c r="U119" t="str">
        <v>LA</v>
      </c>
      <c r="V119" t="str">
        <v>Jason Damm</v>
      </c>
      <c r="W119" t="str">
        <v>NULL</v>
      </c>
      <c r="X119" t="str">
        <v>Home</v>
      </c>
      <c r="Y119" t="str">
        <v>MIA</v>
      </c>
      <c r="Z119">
        <v>7.020687059683314</v>
      </c>
    </row>
    <row r="120" spans="10:26" x14ac:dyDescent="0.35">
      <c r="J120" s="66">
        <v>7</v>
      </c>
      <c r="K120" t="s">
        <v>13</v>
      </c>
      <c r="L120" t="s">
        <v>120</v>
      </c>
      <c r="M120">
        <v>6.4</v>
      </c>
      <c r="N120" t="s">
        <v>3</v>
      </c>
      <c r="O120" t="s">
        <v>23</v>
      </c>
      <c r="P120">
        <f t="shared" si="11"/>
        <v>4.8087317266707581</v>
      </c>
      <c r="Q120">
        <f t="shared" si="12"/>
        <v>2.5321347177042282</v>
      </c>
      <c r="R120" s="67" cm="1">
        <f t="array" ref="R120">SUMPRODUCT((J120=$J$7:$J$1000)*(P120&lt;$P$7:$P$1000))+1</f>
        <v>10</v>
      </c>
      <c r="S120" s="72"/>
      <c r="T120">
        <v>15</v>
      </c>
      <c r="U120" t="str">
        <v>LA</v>
      </c>
      <c r="V120" t="str">
        <v>Jurie van Vuuren</v>
      </c>
      <c r="W120" t="str">
        <v>NULL</v>
      </c>
      <c r="X120" t="str">
        <v>Home</v>
      </c>
      <c r="Y120" t="str">
        <v>MIA</v>
      </c>
      <c r="Z120">
        <v>3.5288471949385425</v>
      </c>
    </row>
    <row r="121" spans="10:26" x14ac:dyDescent="0.35">
      <c r="J121" s="66">
        <v>7</v>
      </c>
      <c r="K121" t="s">
        <v>14</v>
      </c>
      <c r="L121" t="s">
        <v>540</v>
      </c>
      <c r="M121">
        <v>5.9</v>
      </c>
      <c r="N121" t="s">
        <v>9</v>
      </c>
      <c r="O121" t="s">
        <v>17</v>
      </c>
      <c r="P121">
        <f t="shared" si="11"/>
        <v>5.9117745408985982</v>
      </c>
      <c r="Q121">
        <f t="shared" si="12"/>
        <v>1.3863981337275378E-4</v>
      </c>
      <c r="R121" s="67" cm="1">
        <f t="array" ref="R121">SUMPRODUCT((J121=$J$7:$J$1000)*(P121&lt;$P$7:$P$1000))+1</f>
        <v>5</v>
      </c>
      <c r="S121" s="72"/>
      <c r="T121">
        <v>15</v>
      </c>
      <c r="U121" t="str">
        <v>LA</v>
      </c>
      <c r="V121" t="str">
        <v>Lucas Bur</v>
      </c>
      <c r="W121" t="str">
        <v>NULL</v>
      </c>
      <c r="X121" t="str">
        <v>Home</v>
      </c>
      <c r="Y121" t="str">
        <v>MIA</v>
      </c>
      <c r="Z121">
        <v>3.8236041960502636</v>
      </c>
    </row>
    <row r="122" spans="10:26" x14ac:dyDescent="0.35">
      <c r="J122" s="66">
        <v>7</v>
      </c>
      <c r="K122" t="s">
        <v>2</v>
      </c>
      <c r="L122" t="s">
        <v>108</v>
      </c>
      <c r="M122">
        <v>5.9</v>
      </c>
      <c r="N122" t="s">
        <v>9</v>
      </c>
      <c r="O122" t="s">
        <v>4</v>
      </c>
      <c r="P122">
        <f t="shared" si="11"/>
        <v>4.348533297007954</v>
      </c>
      <c r="Q122">
        <f t="shared" si="12"/>
        <v>2.4070489304930107</v>
      </c>
      <c r="R122" s="67" cm="1">
        <f t="array" ref="R122">SUMPRODUCT((J122=$J$7:$J$1000)*(P122&lt;$P$7:$P$1000))+1</f>
        <v>12</v>
      </c>
      <c r="S122" s="72"/>
      <c r="T122">
        <v>15</v>
      </c>
      <c r="U122" t="str">
        <v>LA</v>
      </c>
      <c r="V122" t="str">
        <v>Reegan O'Gorman</v>
      </c>
      <c r="W122" t="str">
        <v>NULL</v>
      </c>
      <c r="X122" t="str">
        <v>Home</v>
      </c>
      <c r="Y122" t="str">
        <v>MIA</v>
      </c>
      <c r="Z122">
        <v>0.5633451780989962</v>
      </c>
    </row>
    <row r="123" spans="10:26" x14ac:dyDescent="0.35">
      <c r="J123" s="66">
        <v>7</v>
      </c>
      <c r="K123" t="s">
        <v>4</v>
      </c>
      <c r="L123" t="s">
        <v>335</v>
      </c>
      <c r="M123">
        <v>5.8</v>
      </c>
      <c r="N123" t="s">
        <v>3</v>
      </c>
      <c r="O123" t="s">
        <v>2</v>
      </c>
      <c r="P123">
        <f t="shared" si="11"/>
        <v>3.9292927658335257</v>
      </c>
      <c r="Q123">
        <f t="shared" si="12"/>
        <v>3.4995455559627793</v>
      </c>
      <c r="R123" s="67" cm="1">
        <f t="array" ref="R123">SUMPRODUCT((J123=$J$7:$J$1000)*(P123&lt;$P$7:$P$1000))+1</f>
        <v>13</v>
      </c>
      <c r="S123" s="72"/>
      <c r="T123">
        <v>15</v>
      </c>
      <c r="U123" t="str">
        <v>LA</v>
      </c>
      <c r="V123" t="str">
        <v>Tim Anstee</v>
      </c>
      <c r="W123" t="str">
        <v>NULL</v>
      </c>
      <c r="X123" t="str">
        <v>Home</v>
      </c>
      <c r="Y123" t="str">
        <v>MIA</v>
      </c>
      <c r="Z123">
        <v>13.820319648359163</v>
      </c>
    </row>
    <row r="124" spans="10:26" x14ac:dyDescent="0.35">
      <c r="J124" s="65">
        <v>7</v>
      </c>
      <c r="K124" t="s">
        <v>14</v>
      </c>
      <c r="L124" t="s">
        <v>107</v>
      </c>
      <c r="M124">
        <v>5.7</v>
      </c>
      <c r="N124" t="s">
        <v>9</v>
      </c>
      <c r="O124" t="s">
        <v>17</v>
      </c>
      <c r="P124">
        <f t="shared" si="11"/>
        <v>6.5264967182245659</v>
      </c>
      <c r="Q124">
        <f t="shared" si="12"/>
        <v>0.68309682523597715</v>
      </c>
      <c r="R124" s="67" cm="1">
        <f t="array" ref="R124">SUMPRODUCT((J124=$J$7:$J$1000)*(P124&lt;$P$7:$P$1000))+1</f>
        <v>2</v>
      </c>
      <c r="S124" s="72"/>
      <c r="T124">
        <v>15</v>
      </c>
      <c r="U124" t="str">
        <v>MIA</v>
      </c>
      <c r="V124" t="str">
        <v>Braemar Murray</v>
      </c>
      <c r="W124" t="str">
        <v>NULL</v>
      </c>
      <c r="X124" t="str">
        <v>Away</v>
      </c>
      <c r="Y124" t="str">
        <v>LA</v>
      </c>
      <c r="Z124">
        <v>3.1372615210721744</v>
      </c>
    </row>
    <row r="125" spans="10:26" x14ac:dyDescent="0.35">
      <c r="J125" s="66">
        <v>7</v>
      </c>
      <c r="K125" t="s">
        <v>23</v>
      </c>
      <c r="L125" t="s">
        <v>221</v>
      </c>
      <c r="M125">
        <v>4.8</v>
      </c>
      <c r="N125" t="s">
        <v>9</v>
      </c>
      <c r="O125" t="s">
        <v>13</v>
      </c>
      <c r="P125">
        <f t="shared" si="11"/>
        <v>3.1634218378407244</v>
      </c>
      <c r="Q125">
        <f t="shared" si="12"/>
        <v>2.6783880808566316</v>
      </c>
      <c r="R125" s="67" cm="1">
        <f t="array" ref="R125">SUMPRODUCT((J125=$J$7:$J$1000)*(P125&lt;$P$7:$P$1000))+1</f>
        <v>15</v>
      </c>
      <c r="S125" s="72"/>
      <c r="T125">
        <v>15</v>
      </c>
      <c r="U125" t="str">
        <v>MIA</v>
      </c>
      <c r="V125" t="str">
        <v>Federico Gutíerrez</v>
      </c>
      <c r="W125" t="str">
        <v>NULL</v>
      </c>
      <c r="X125" t="str">
        <v>Away</v>
      </c>
      <c r="Y125" t="str">
        <v>LA</v>
      </c>
      <c r="Z125">
        <v>3.1351671746021834</v>
      </c>
    </row>
    <row r="126" spans="10:26" x14ac:dyDescent="0.35">
      <c r="J126" s="66">
        <v>7</v>
      </c>
      <c r="K126" t="s">
        <v>7</v>
      </c>
      <c r="L126" t="s">
        <v>277</v>
      </c>
      <c r="M126">
        <v>4.5999999999999996</v>
      </c>
      <c r="N126" t="s">
        <v>9</v>
      </c>
      <c r="O126" t="s">
        <v>6</v>
      </c>
      <c r="P126">
        <f t="shared" si="11"/>
        <v>6.1156561422519475</v>
      </c>
      <c r="Q126">
        <f t="shared" si="12"/>
        <v>2.2972135415460571</v>
      </c>
      <c r="R126" s="67" cm="1">
        <f t="array" ref="R126">SUMPRODUCT((J126=$J$7:$J$1000)*(P126&lt;$P$7:$P$1000))+1</f>
        <v>4</v>
      </c>
      <c r="S126" s="72"/>
      <c r="T126">
        <v>15</v>
      </c>
      <c r="U126" t="str">
        <v>MIA</v>
      </c>
      <c r="V126" t="str">
        <v>Mauro Rebussone</v>
      </c>
      <c r="W126" t="str">
        <v>NULL</v>
      </c>
      <c r="X126" t="str">
        <v>Away</v>
      </c>
      <c r="Y126" t="str">
        <v>LA</v>
      </c>
      <c r="Z126">
        <v>5.1645981222887372</v>
      </c>
    </row>
    <row r="127" spans="10:26" x14ac:dyDescent="0.35">
      <c r="J127" s="66">
        <v>7</v>
      </c>
      <c r="K127" t="s">
        <v>13</v>
      </c>
      <c r="L127" t="s">
        <v>469</v>
      </c>
      <c r="M127">
        <v>4.5</v>
      </c>
      <c r="N127" t="s">
        <v>3</v>
      </c>
      <c r="O127" t="s">
        <v>23</v>
      </c>
      <c r="P127">
        <f t="shared" si="11"/>
        <v>5.1632540619009628</v>
      </c>
      <c r="Q127">
        <f t="shared" si="12"/>
        <v>0.43990595062812621</v>
      </c>
      <c r="R127" s="67" cm="1">
        <f t="array" ref="R127">SUMPRODUCT((J127=$J$7:$J$1000)*(P127&lt;$P$7:$P$1000))+1</f>
        <v>8</v>
      </c>
      <c r="S127" s="72"/>
      <c r="T127">
        <v>15</v>
      </c>
      <c r="U127" t="str">
        <v>MIA</v>
      </c>
      <c r="V127" t="str">
        <v>Rick Rose</v>
      </c>
      <c r="W127" t="str">
        <v>NULL</v>
      </c>
      <c r="X127" t="str">
        <v>Away</v>
      </c>
      <c r="Y127" t="str">
        <v>LA</v>
      </c>
      <c r="Z127">
        <v>4.9901784212450533</v>
      </c>
    </row>
    <row r="128" spans="10:26" x14ac:dyDescent="0.35">
      <c r="J128" s="66">
        <v>7</v>
      </c>
      <c r="K128" t="s">
        <v>2</v>
      </c>
      <c r="L128" t="s">
        <v>426</v>
      </c>
      <c r="M128">
        <v>4.4000000000000004</v>
      </c>
      <c r="N128" t="s">
        <v>9</v>
      </c>
      <c r="O128" t="s">
        <v>4</v>
      </c>
      <c r="P128">
        <f t="shared" si="11"/>
        <v>3.4573603250213649</v>
      </c>
      <c r="Q128">
        <f t="shared" si="12"/>
        <v>0.88856955684382743</v>
      </c>
      <c r="R128" s="67" cm="1">
        <f t="array" ref="R128">SUMPRODUCT((J128=$J$7:$J$1000)*(P128&lt;$P$7:$P$1000))+1</f>
        <v>14</v>
      </c>
      <c r="S128" s="72"/>
      <c r="T128">
        <v>15</v>
      </c>
      <c r="U128" t="str">
        <v>MIA</v>
      </c>
      <c r="V128" t="str">
        <v>Tomás Casares</v>
      </c>
      <c r="W128" t="str">
        <v>NULL</v>
      </c>
      <c r="X128" t="str">
        <v>Away</v>
      </c>
      <c r="Y128" t="str">
        <v>LA</v>
      </c>
      <c r="Z128">
        <v>5.6663312409839319</v>
      </c>
    </row>
    <row r="129" spans="10:26" x14ac:dyDescent="0.35">
      <c r="J129" s="66">
        <v>7</v>
      </c>
      <c r="K129" t="s">
        <v>36</v>
      </c>
      <c r="L129" t="s">
        <v>117</v>
      </c>
      <c r="M129">
        <v>3.6</v>
      </c>
      <c r="N129" t="s">
        <v>3</v>
      </c>
      <c r="O129" t="s">
        <v>34</v>
      </c>
      <c r="P129">
        <f t="shared" si="11"/>
        <v>5.865485968767489</v>
      </c>
      <c r="Q129">
        <f t="shared" si="12"/>
        <v>5.1324266746823675</v>
      </c>
      <c r="R129" s="67" cm="1">
        <f t="array" ref="R129">SUMPRODUCT((J129=$J$7:$J$1000)*(P129&lt;$P$7:$P$1000))+1</f>
        <v>6</v>
      </c>
      <c r="S129" s="72"/>
      <c r="T129">
        <v>15</v>
      </c>
      <c r="U129" t="str">
        <v>NEFJ</v>
      </c>
      <c r="V129" t="str">
        <v>Conor Keys</v>
      </c>
      <c r="W129" t="str">
        <v>NULL</v>
      </c>
      <c r="X129" t="str">
        <v>Home</v>
      </c>
      <c r="Y129" t="str">
        <v>OGDC</v>
      </c>
      <c r="Z129">
        <v>3.0740845434582393</v>
      </c>
    </row>
    <row r="130" spans="10:26" x14ac:dyDescent="0.35">
      <c r="J130" s="66">
        <v>7</v>
      </c>
      <c r="K130" t="s">
        <v>7</v>
      </c>
      <c r="L130" t="s">
        <v>110</v>
      </c>
      <c r="M130">
        <v>3.4</v>
      </c>
      <c r="N130" t="s">
        <v>9</v>
      </c>
      <c r="O130" t="s">
        <v>6</v>
      </c>
      <c r="P130">
        <f t="shared" si="11"/>
        <v>2.3796232691986736</v>
      </c>
      <c r="Q130">
        <f t="shared" si="12"/>
        <v>1.0411686727608023</v>
      </c>
      <c r="R130" s="67" cm="1">
        <f t="array" ref="R130">SUMPRODUCT((J130=$J$7:$J$1000)*(P130&lt;$P$7:$P$1000))+1</f>
        <v>16</v>
      </c>
      <c r="S130" s="72"/>
      <c r="T130">
        <v>15</v>
      </c>
      <c r="U130" t="str">
        <v>NEFJ</v>
      </c>
      <c r="V130" t="str">
        <v>Jero Gomez Vara</v>
      </c>
      <c r="W130" t="str">
        <v>NULL</v>
      </c>
      <c r="X130" t="str">
        <v>Home</v>
      </c>
      <c r="Y130" t="str">
        <v>OGDC</v>
      </c>
      <c r="Z130">
        <v>4.8637323972396835</v>
      </c>
    </row>
    <row r="131" spans="10:26" x14ac:dyDescent="0.35">
      <c r="J131" s="66">
        <v>7</v>
      </c>
      <c r="K131" t="s">
        <v>36</v>
      </c>
      <c r="L131" t="s">
        <v>112</v>
      </c>
      <c r="M131">
        <v>3.3</v>
      </c>
      <c r="N131" t="s">
        <v>3</v>
      </c>
      <c r="O131" t="s">
        <v>34</v>
      </c>
      <c r="P131">
        <f t="shared" si="11"/>
        <v>6.1903182888462194</v>
      </c>
      <c r="Q131">
        <f t="shared" si="12"/>
        <v>8.3539398108389378</v>
      </c>
      <c r="R131" s="67" cm="1">
        <f t="array" ref="R131">SUMPRODUCT((J131=$J$7:$J$1000)*(P131&lt;$P$7:$P$1000))+1</f>
        <v>3</v>
      </c>
      <c r="S131" s="72"/>
      <c r="T131">
        <v>15</v>
      </c>
      <c r="U131" t="str">
        <v>NEFJ</v>
      </c>
      <c r="V131" t="str">
        <v>Kyle Baillie</v>
      </c>
      <c r="W131" t="str">
        <v>NULL</v>
      </c>
      <c r="X131" t="str">
        <v>Home</v>
      </c>
      <c r="Y131" t="str">
        <v>OGDC</v>
      </c>
      <c r="Z131">
        <v>2.6725707672177119</v>
      </c>
    </row>
    <row r="132" spans="10:26" x14ac:dyDescent="0.35">
      <c r="J132" s="66">
        <v>7</v>
      </c>
      <c r="K132" t="s">
        <v>6</v>
      </c>
      <c r="L132" t="s">
        <v>634</v>
      </c>
      <c r="M132">
        <v>2.9</v>
      </c>
      <c r="N132" t="s">
        <v>3</v>
      </c>
      <c r="O132" t="s">
        <v>7</v>
      </c>
      <c r="P132">
        <f t="shared" si="11"/>
        <v>5.0276261650519034</v>
      </c>
      <c r="Q132">
        <f t="shared" si="12"/>
        <v>4.5267930982134699</v>
      </c>
      <c r="R132" s="67" cm="1">
        <f t="array" ref="R132">SUMPRODUCT((J132=$J$7:$J$1000)*(P132&lt;$P$7:$P$1000))+1</f>
        <v>9</v>
      </c>
      <c r="S132" s="72"/>
      <c r="T132">
        <v>15</v>
      </c>
      <c r="U132" t="str">
        <v>NEFJ</v>
      </c>
      <c r="V132" t="str">
        <v>Piers von Dadelszen</v>
      </c>
      <c r="W132" t="str">
        <v>NULL</v>
      </c>
      <c r="X132" t="str">
        <v>Home</v>
      </c>
      <c r="Y132" t="str">
        <v>OGDC</v>
      </c>
      <c r="Z132">
        <v>4.5525193161185049</v>
      </c>
    </row>
    <row r="133" spans="10:26" x14ac:dyDescent="0.35">
      <c r="J133" s="66">
        <v>7</v>
      </c>
      <c r="K133" t="s">
        <v>34</v>
      </c>
      <c r="L133" t="s">
        <v>420</v>
      </c>
      <c r="M133">
        <v>2.2999999999999998</v>
      </c>
      <c r="N133" t="s">
        <v>9</v>
      </c>
      <c r="O133" t="s">
        <v>36</v>
      </c>
      <c r="P133">
        <f t="shared" si="11"/>
        <v>7.9368953009339149</v>
      </c>
      <c r="Q133">
        <f t="shared" si="12"/>
        <v>31.774588633690854</v>
      </c>
      <c r="R133" s="67" cm="1">
        <f t="array" ref="R133">SUMPRODUCT((J133=$J$7:$J$1000)*(P133&lt;$P$7:$P$1000))+1</f>
        <v>1</v>
      </c>
      <c r="S133" s="72"/>
      <c r="T133">
        <v>15</v>
      </c>
      <c r="U133" t="str">
        <v>NEFJ</v>
      </c>
      <c r="V133" t="str">
        <v>Sam Caird</v>
      </c>
      <c r="W133" t="str">
        <v>NULL</v>
      </c>
      <c r="X133" t="str">
        <v>Home</v>
      </c>
      <c r="Y133" t="str">
        <v>OGDC</v>
      </c>
      <c r="Z133">
        <v>5.6312140544322364</v>
      </c>
    </row>
    <row r="134" spans="10:26" x14ac:dyDescent="0.35">
      <c r="J134" s="66">
        <v>7</v>
      </c>
      <c r="K134" t="s">
        <v>34</v>
      </c>
      <c r="L134" t="s">
        <v>424</v>
      </c>
      <c r="M134">
        <v>2.1</v>
      </c>
      <c r="N134" t="s">
        <v>9</v>
      </c>
      <c r="O134" t="s">
        <v>36</v>
      </c>
      <c r="P134">
        <f t="shared" si="11"/>
        <v>1.9753827227121832</v>
      </c>
      <c r="Q134">
        <f t="shared" si="12"/>
        <v>1.5529465798628649E-2</v>
      </c>
      <c r="R134" s="67" cm="1">
        <f t="array" ref="R134">SUMPRODUCT((J134=$J$7:$J$1000)*(P134&lt;$P$7:$P$1000))+1</f>
        <v>18</v>
      </c>
      <c r="S134" s="72"/>
      <c r="T134">
        <v>15</v>
      </c>
      <c r="U134" t="str">
        <v>NOLA</v>
      </c>
      <c r="V134" t="str">
        <v>Callum Botchar</v>
      </c>
      <c r="W134" t="str">
        <v>NULL</v>
      </c>
      <c r="X134" t="str">
        <v>Home</v>
      </c>
      <c r="Y134" t="str">
        <v>UTAH</v>
      </c>
      <c r="Z134">
        <v>3.0000564723780041</v>
      </c>
    </row>
    <row r="135" spans="10:26" x14ac:dyDescent="0.35">
      <c r="J135" s="66">
        <v>7</v>
      </c>
      <c r="K135" t="s">
        <v>17</v>
      </c>
      <c r="L135" t="s">
        <v>562</v>
      </c>
      <c r="M135">
        <v>2.1</v>
      </c>
      <c r="N135" t="s">
        <v>3</v>
      </c>
      <c r="O135" t="s">
        <v>14</v>
      </c>
      <c r="P135">
        <f t="shared" si="11"/>
        <v>2.0910730357877059</v>
      </c>
      <c r="Q135">
        <f t="shared" si="12"/>
        <v>7.9690690047581756E-5</v>
      </c>
      <c r="R135" s="67" cm="1">
        <f t="array" ref="R135">SUMPRODUCT((J135=$J$7:$J$1000)*(P135&lt;$P$7:$P$1000))+1</f>
        <v>17</v>
      </c>
      <c r="S135" s="72"/>
      <c r="T135">
        <v>15</v>
      </c>
      <c r="U135" t="str">
        <v>NOLA</v>
      </c>
      <c r="V135" t="str">
        <v>Cam Dolan</v>
      </c>
      <c r="W135" t="str">
        <v>NULL</v>
      </c>
      <c r="X135" t="str">
        <v>Home</v>
      </c>
      <c r="Y135" t="str">
        <v>UTAH</v>
      </c>
      <c r="Z135">
        <v>3.0364616921741665</v>
      </c>
    </row>
    <row r="136" spans="10:26" x14ac:dyDescent="0.35">
      <c r="J136" s="66">
        <v>7</v>
      </c>
      <c r="K136" t="s">
        <v>23</v>
      </c>
      <c r="L136" t="s">
        <v>578</v>
      </c>
      <c r="M136">
        <v>1.3</v>
      </c>
      <c r="N136" t="s">
        <v>9</v>
      </c>
      <c r="O136" t="s">
        <v>13</v>
      </c>
      <c r="P136">
        <f t="shared" ref="P136:P199" si="13">VLOOKUP($N136,$F$3:$G$4,2,FALSE)+VLOOKUP($L136,$B$20:$C$150,2,FALSE)+VLOOKUP($O136,$A$6:$B$16,2,FALSE)</f>
        <v>1.2834732889399314</v>
      </c>
      <c r="Q136">
        <f t="shared" si="12"/>
        <v>2.7313217846299524E-4</v>
      </c>
      <c r="R136" s="67" cm="1">
        <f t="array" ref="R136">SUMPRODUCT((J136=$J$7:$J$1000)*(P136&lt;$P$7:$P$1000))+1</f>
        <v>19</v>
      </c>
      <c r="S136" s="72"/>
      <c r="T136">
        <v>15</v>
      </c>
      <c r="U136" t="str">
        <v>NOLA</v>
      </c>
      <c r="V136" t="str">
        <v>Chase Jones</v>
      </c>
      <c r="W136" t="str">
        <v>NULL</v>
      </c>
      <c r="X136" t="str">
        <v>Home</v>
      </c>
      <c r="Y136" t="str">
        <v>UTAH</v>
      </c>
      <c r="Z136">
        <v>5.357729980820289</v>
      </c>
    </row>
    <row r="137" spans="10:26" x14ac:dyDescent="0.35">
      <c r="J137" s="66">
        <v>7</v>
      </c>
      <c r="K137" t="s">
        <v>4</v>
      </c>
      <c r="L137" t="s">
        <v>574</v>
      </c>
      <c r="M137">
        <v>1</v>
      </c>
      <c r="N137" t="s">
        <v>3</v>
      </c>
      <c r="O137" t="s">
        <v>2</v>
      </c>
      <c r="P137">
        <f t="shared" si="13"/>
        <v>1.0427669818835059</v>
      </c>
      <c r="Q137">
        <f t="shared" si="12"/>
        <v>1.8290147394241234E-3</v>
      </c>
      <c r="R137" s="67" cm="1">
        <f t="array" ref="R137">SUMPRODUCT((J137=$J$7:$J$1000)*(P137&lt;$P$7:$P$1000))+1</f>
        <v>20</v>
      </c>
      <c r="S137" s="72"/>
      <c r="T137">
        <v>15</v>
      </c>
      <c r="U137" t="str">
        <v>NOLA</v>
      </c>
      <c r="V137" t="str">
        <v>Jay Tuivaiti</v>
      </c>
      <c r="W137" t="str">
        <v>NULL</v>
      </c>
      <c r="X137" t="str">
        <v>Home</v>
      </c>
      <c r="Y137" t="str">
        <v>UTAH</v>
      </c>
      <c r="Z137">
        <v>3.1121580921008443</v>
      </c>
    </row>
    <row r="138" spans="10:26" x14ac:dyDescent="0.35">
      <c r="J138" s="66">
        <v>7</v>
      </c>
      <c r="K138" t="s">
        <v>6</v>
      </c>
      <c r="L138" t="s">
        <v>529</v>
      </c>
      <c r="M138">
        <v>0.8</v>
      </c>
      <c r="N138" t="s">
        <v>3</v>
      </c>
      <c r="O138" t="s">
        <v>7</v>
      </c>
      <c r="P138">
        <f t="shared" si="13"/>
        <v>4.7328691639401823</v>
      </c>
      <c r="Q138">
        <f t="shared" si="12"/>
        <v>15.46745986067155</v>
      </c>
      <c r="R138" s="67" cm="1">
        <f t="array" ref="R138">SUMPRODUCT((J138=$J$7:$J$1000)*(P138&lt;$P$7:$P$1000))+1</f>
        <v>11</v>
      </c>
      <c r="S138" s="72"/>
      <c r="T138">
        <v>15</v>
      </c>
      <c r="U138" t="str">
        <v>NOLA</v>
      </c>
      <c r="V138" t="str">
        <v>Kaden Duguid</v>
      </c>
      <c r="W138" t="str">
        <v>NULL</v>
      </c>
      <c r="X138" t="str">
        <v>Home</v>
      </c>
      <c r="Y138" t="str">
        <v>UTAH</v>
      </c>
      <c r="Z138">
        <v>0.1499359082241466</v>
      </c>
    </row>
    <row r="139" spans="10:26" x14ac:dyDescent="0.35">
      <c r="J139" s="66">
        <v>8</v>
      </c>
      <c r="K139" t="s">
        <v>4</v>
      </c>
      <c r="L139" t="s">
        <v>114</v>
      </c>
      <c r="M139">
        <v>14.3</v>
      </c>
      <c r="N139" t="s">
        <v>9</v>
      </c>
      <c r="O139" t="s">
        <v>14</v>
      </c>
      <c r="P139">
        <f t="shared" si="13"/>
        <v>6.7029789822696646</v>
      </c>
      <c r="Q139">
        <f t="shared" si="12"/>
        <v>57.71472834383647</v>
      </c>
      <c r="R139" s="67" cm="1">
        <f t="array" ref="R139">SUMPRODUCT((J139=$J$7:$J$1000)*(P139&lt;$P$7:$P$1000))+1</f>
        <v>3</v>
      </c>
      <c r="S139" s="72"/>
      <c r="T139">
        <v>15</v>
      </c>
      <c r="U139" t="str">
        <v>NOLA</v>
      </c>
      <c r="V139" t="str">
        <v>Malcolm May</v>
      </c>
      <c r="W139" t="str">
        <v>NULL</v>
      </c>
      <c r="X139" t="str">
        <v>Home</v>
      </c>
      <c r="Y139" t="str">
        <v>UTAH</v>
      </c>
      <c r="Z139">
        <v>5.0310450253357146</v>
      </c>
    </row>
    <row r="140" spans="10:26" x14ac:dyDescent="0.35">
      <c r="J140" s="66">
        <v>8</v>
      </c>
      <c r="K140" t="s">
        <v>4</v>
      </c>
      <c r="L140" t="s">
        <v>484</v>
      </c>
      <c r="M140">
        <v>11.6</v>
      </c>
      <c r="N140" t="s">
        <v>9</v>
      </c>
      <c r="O140" t="s">
        <v>14</v>
      </c>
      <c r="P140">
        <f t="shared" si="13"/>
        <v>6.9126243814188237</v>
      </c>
      <c r="Q140">
        <f t="shared" si="12"/>
        <v>21.971490189669261</v>
      </c>
      <c r="R140" s="67" cm="1">
        <f t="array" ref="R140">SUMPRODUCT((J140=$J$7:$J$1000)*(P140&lt;$P$7:$P$1000))+1</f>
        <v>2</v>
      </c>
      <c r="S140" s="72"/>
      <c r="T140">
        <v>15</v>
      </c>
      <c r="U140" t="str">
        <v>NOLA</v>
      </c>
      <c r="V140" t="str">
        <v>William Waguespack</v>
      </c>
      <c r="W140" t="str">
        <v>NULL</v>
      </c>
      <c r="X140" t="str">
        <v>Home</v>
      </c>
      <c r="Y140" t="str">
        <v>UTAH</v>
      </c>
      <c r="Z140">
        <v>5.1480845816711298</v>
      </c>
    </row>
    <row r="141" spans="10:26" x14ac:dyDescent="0.35">
      <c r="J141" s="66">
        <v>8</v>
      </c>
      <c r="K141" t="s">
        <v>36</v>
      </c>
      <c r="L141" t="s">
        <v>112</v>
      </c>
      <c r="M141">
        <v>8.5</v>
      </c>
      <c r="N141" t="s">
        <v>3</v>
      </c>
      <c r="O141" t="s">
        <v>6</v>
      </c>
      <c r="P141">
        <f t="shared" si="13"/>
        <v>5.6060675280619945</v>
      </c>
      <c r="Q141">
        <f t="shared" si="12"/>
        <v>8.3748451521372154</v>
      </c>
      <c r="R141" s="67" cm="1">
        <f t="array" ref="R141">SUMPRODUCT((J141=$J$7:$J$1000)*(P141&lt;$P$7:$P$1000))+1</f>
        <v>5</v>
      </c>
      <c r="S141" s="72"/>
      <c r="T141">
        <v>15</v>
      </c>
      <c r="U141" t="str">
        <v>OGDC</v>
      </c>
      <c r="V141" t="str">
        <v>Bill Whiteside</v>
      </c>
      <c r="W141" t="str">
        <v>NULL</v>
      </c>
      <c r="X141" t="str">
        <v>Away</v>
      </c>
      <c r="Y141" t="str">
        <v>NEFJ</v>
      </c>
      <c r="Z141">
        <v>3.50930293604896</v>
      </c>
    </row>
    <row r="142" spans="10:26" x14ac:dyDescent="0.35">
      <c r="J142" s="66">
        <v>8</v>
      </c>
      <c r="K142" t="s">
        <v>2</v>
      </c>
      <c r="L142" t="s">
        <v>426</v>
      </c>
      <c r="M142">
        <v>7.8</v>
      </c>
      <c r="N142" t="s">
        <v>9</v>
      </c>
      <c r="O142" t="s">
        <v>34</v>
      </c>
      <c r="P142">
        <f t="shared" si="13"/>
        <v>4.8477610220041862</v>
      </c>
      <c r="Q142">
        <f t="shared" si="12"/>
        <v>8.7157149831977652</v>
      </c>
      <c r="R142" s="67" cm="1">
        <f t="array" ref="R142">SUMPRODUCT((J142=$J$7:$J$1000)*(P142&lt;$P$7:$P$1000))+1</f>
        <v>12</v>
      </c>
      <c r="S142" s="72"/>
      <c r="T142">
        <v>15</v>
      </c>
      <c r="U142" t="str">
        <v>OGDC</v>
      </c>
      <c r="V142" t="str">
        <v>Ignacio Dotti</v>
      </c>
      <c r="W142" t="str">
        <v>NULL</v>
      </c>
      <c r="X142" t="str">
        <v>Away</v>
      </c>
      <c r="Y142" t="str">
        <v>NEFJ</v>
      </c>
      <c r="Z142">
        <v>2.2593507267563755</v>
      </c>
    </row>
    <row r="143" spans="10:26" x14ac:dyDescent="0.35">
      <c r="J143" s="66">
        <v>8</v>
      </c>
      <c r="K143" t="s">
        <v>24</v>
      </c>
      <c r="L143" t="s">
        <v>511</v>
      </c>
      <c r="M143">
        <v>7.1</v>
      </c>
      <c r="N143" t="s">
        <v>9</v>
      </c>
      <c r="O143" t="s">
        <v>23</v>
      </c>
      <c r="P143">
        <f t="shared" si="13"/>
        <v>5.5460586985416338</v>
      </c>
      <c r="Q143">
        <f t="shared" si="12"/>
        <v>2.4147335683781197</v>
      </c>
      <c r="R143" s="67" cm="1">
        <f t="array" ref="R143">SUMPRODUCT((J143=$J$7:$J$1000)*(P143&lt;$P$7:$P$1000))+1</f>
        <v>7</v>
      </c>
      <c r="S143" s="72"/>
      <c r="T143">
        <v>15</v>
      </c>
      <c r="U143" t="str">
        <v>OGDC</v>
      </c>
      <c r="V143" t="str">
        <v>Rob Harley</v>
      </c>
      <c r="W143" t="str">
        <v>NULL</v>
      </c>
      <c r="X143" t="str">
        <v>Away</v>
      </c>
      <c r="Y143" t="str">
        <v>NEFJ</v>
      </c>
      <c r="Z143">
        <v>4.1499359672416238</v>
      </c>
    </row>
    <row r="144" spans="10:26" x14ac:dyDescent="0.35">
      <c r="J144" s="66">
        <v>8</v>
      </c>
      <c r="K144" t="s">
        <v>2</v>
      </c>
      <c r="L144" t="s">
        <v>108</v>
      </c>
      <c r="M144">
        <v>6.8</v>
      </c>
      <c r="N144" t="s">
        <v>9</v>
      </c>
      <c r="O144" t="s">
        <v>34</v>
      </c>
      <c r="P144">
        <f t="shared" si="13"/>
        <v>5.7389339939907753</v>
      </c>
      <c r="Q144">
        <f t="shared" si="12"/>
        <v>1.1258610691083677</v>
      </c>
      <c r="R144" s="67" cm="1">
        <f t="array" ref="R144">SUMPRODUCT((J144=$J$7:$J$1000)*(P144&lt;$P$7:$P$1000))+1</f>
        <v>4</v>
      </c>
      <c r="S144" s="72"/>
      <c r="T144">
        <v>15</v>
      </c>
      <c r="U144" t="str">
        <v>OGDC</v>
      </c>
      <c r="V144" t="str">
        <v>Tevita Naqali</v>
      </c>
      <c r="W144" t="str">
        <v>NULL</v>
      </c>
      <c r="X144" t="str">
        <v>Away</v>
      </c>
      <c r="Y144" t="str">
        <v>NEFJ</v>
      </c>
      <c r="Z144">
        <v>5.9953835998096494</v>
      </c>
    </row>
    <row r="145" spans="10:26" x14ac:dyDescent="0.35">
      <c r="J145" s="66">
        <v>8</v>
      </c>
      <c r="K145" t="s">
        <v>14</v>
      </c>
      <c r="L145" t="s">
        <v>540</v>
      </c>
      <c r="M145">
        <v>6.4</v>
      </c>
      <c r="N145" t="s">
        <v>3</v>
      </c>
      <c r="O145" t="s">
        <v>4</v>
      </c>
      <c r="P145">
        <f t="shared" si="13"/>
        <v>4.9349966827228222</v>
      </c>
      <c r="Q145">
        <f t="shared" si="12"/>
        <v>2.1462347196331364</v>
      </c>
      <c r="R145" s="67" cm="1">
        <f t="array" ref="R145">SUMPRODUCT((J145=$J$7:$J$1000)*(P145&lt;$P$7:$P$1000))+1</f>
        <v>11</v>
      </c>
      <c r="S145" s="72"/>
      <c r="T145">
        <v>15</v>
      </c>
      <c r="U145" t="str">
        <v>SEA</v>
      </c>
      <c r="V145" t="str">
        <v>Isaia Lotawa</v>
      </c>
      <c r="W145" t="str">
        <v>NULL</v>
      </c>
      <c r="X145" t="str">
        <v>Home</v>
      </c>
      <c r="Y145" t="str">
        <v>HOU</v>
      </c>
      <c r="Z145">
        <v>1.2706253335791651</v>
      </c>
    </row>
    <row r="146" spans="10:26" x14ac:dyDescent="0.35">
      <c r="J146" s="66">
        <v>8</v>
      </c>
      <c r="K146" t="s">
        <v>34</v>
      </c>
      <c r="L146" t="s">
        <v>420</v>
      </c>
      <c r="M146">
        <v>6.2</v>
      </c>
      <c r="N146" t="s">
        <v>3</v>
      </c>
      <c r="O146" t="s">
        <v>2</v>
      </c>
      <c r="P146">
        <f t="shared" si="13"/>
        <v>8.0952796762032797</v>
      </c>
      <c r="Q146">
        <f t="shared" si="12"/>
        <v>3.5920850510292079</v>
      </c>
      <c r="R146" s="67" cm="1">
        <f t="array" ref="R146">SUMPRODUCT((J146=$J$7:$J$1000)*(P146&lt;$P$7:$P$1000))+1</f>
        <v>1</v>
      </c>
      <c r="S146" s="72"/>
      <c r="T146">
        <v>15</v>
      </c>
      <c r="U146" t="str">
        <v>SEA</v>
      </c>
      <c r="V146" t="str">
        <v>Malembe Mpofu</v>
      </c>
      <c r="W146" t="str">
        <v>NULL</v>
      </c>
      <c r="X146" t="str">
        <v>Home</v>
      </c>
      <c r="Y146" t="str">
        <v>HOU</v>
      </c>
      <c r="Z146">
        <v>3.0102040535182137</v>
      </c>
    </row>
    <row r="147" spans="10:26" x14ac:dyDescent="0.35">
      <c r="J147" s="66">
        <v>8</v>
      </c>
      <c r="K147" t="s">
        <v>14</v>
      </c>
      <c r="L147" t="s">
        <v>107</v>
      </c>
      <c r="M147">
        <v>5.7</v>
      </c>
      <c r="N147" t="s">
        <v>3</v>
      </c>
      <c r="O147" t="s">
        <v>4</v>
      </c>
      <c r="P147">
        <f t="shared" si="13"/>
        <v>5.5497188600487899</v>
      </c>
      <c r="Q147">
        <f t="shared" si="12"/>
        <v>2.2584421025035252E-2</v>
      </c>
      <c r="R147" s="67" cm="1">
        <f t="array" ref="R147">SUMPRODUCT((J147=$J$7:$J$1000)*(P147&lt;$P$7:$P$1000))+1</f>
        <v>6</v>
      </c>
      <c r="S147" s="72"/>
      <c r="T147">
        <v>15</v>
      </c>
      <c r="U147" t="str">
        <v>SEA</v>
      </c>
      <c r="V147" t="str">
        <v>OJ Noa</v>
      </c>
      <c r="W147" t="str">
        <v>NULL</v>
      </c>
      <c r="X147" t="str">
        <v>Home</v>
      </c>
      <c r="Y147" t="str">
        <v>HOU</v>
      </c>
      <c r="Z147">
        <v>7.8808034168163186</v>
      </c>
    </row>
    <row r="148" spans="10:26" x14ac:dyDescent="0.35">
      <c r="J148" s="66">
        <v>8</v>
      </c>
      <c r="K148" t="s">
        <v>6</v>
      </c>
      <c r="L148" t="s">
        <v>634</v>
      </c>
      <c r="M148">
        <v>5.2</v>
      </c>
      <c r="N148" t="s">
        <v>9</v>
      </c>
      <c r="O148" t="s">
        <v>36</v>
      </c>
      <c r="P148">
        <f t="shared" si="13"/>
        <v>4.3874165207014757</v>
      </c>
      <c r="Q148">
        <f t="shared" si="12"/>
        <v>0.6602919108288956</v>
      </c>
      <c r="R148" s="67" cm="1">
        <f t="array" ref="R148">SUMPRODUCT((J148=$J$7:$J$1000)*(P148&lt;$P$7:$P$1000))+1</f>
        <v>14</v>
      </c>
      <c r="S148" s="72"/>
      <c r="T148">
        <v>15</v>
      </c>
      <c r="U148" t="str">
        <v>SEA</v>
      </c>
      <c r="V148" t="str">
        <v>Rhyno Herbst</v>
      </c>
      <c r="W148" t="str">
        <v>NULL</v>
      </c>
      <c r="X148" t="str">
        <v>Home</v>
      </c>
      <c r="Y148" t="str">
        <v>HOU</v>
      </c>
      <c r="Z148">
        <v>4.3991704400902254</v>
      </c>
    </row>
    <row r="149" spans="10:26" x14ac:dyDescent="0.35">
      <c r="J149" s="65">
        <v>8</v>
      </c>
      <c r="K149" t="s">
        <v>34</v>
      </c>
      <c r="L149" t="s">
        <v>424</v>
      </c>
      <c r="M149">
        <v>3.7</v>
      </c>
      <c r="N149" t="s">
        <v>3</v>
      </c>
      <c r="O149" t="s">
        <v>2</v>
      </c>
      <c r="P149">
        <f t="shared" si="13"/>
        <v>2.1337670979815471</v>
      </c>
      <c r="Q149">
        <f t="shared" si="12"/>
        <v>2.4530855033651453</v>
      </c>
      <c r="R149" s="67" cm="1">
        <f t="array" ref="R149">SUMPRODUCT((J149=$J$7:$J$1000)*(P149&lt;$P$7:$P$1000))+1</f>
        <v>20</v>
      </c>
      <c r="S149" s="72"/>
      <c r="T149">
        <v>15</v>
      </c>
      <c r="U149" t="str">
        <v>SEA</v>
      </c>
      <c r="V149" t="str">
        <v>Siaosi Mahoni</v>
      </c>
      <c r="W149" t="str">
        <v>NULL</v>
      </c>
      <c r="X149" t="str">
        <v>Home</v>
      </c>
      <c r="Y149" t="str">
        <v>HOU</v>
      </c>
      <c r="Z149">
        <v>4.214037928287051</v>
      </c>
    </row>
    <row r="150" spans="10:26" x14ac:dyDescent="0.35">
      <c r="J150" s="65">
        <v>8</v>
      </c>
      <c r="K150" t="s">
        <v>17</v>
      </c>
      <c r="L150" t="s">
        <v>105</v>
      </c>
      <c r="M150">
        <v>3.6</v>
      </c>
      <c r="N150" t="s">
        <v>9</v>
      </c>
      <c r="O150" t="s">
        <v>7</v>
      </c>
      <c r="P150">
        <f t="shared" si="13"/>
        <v>5.0104978133659355</v>
      </c>
      <c r="Q150">
        <f t="shared" si="12"/>
        <v>1.9895040815100851</v>
      </c>
      <c r="R150" s="67" cm="1">
        <f t="array" ref="R150">SUMPRODUCT((J150=$J$7:$J$1000)*(P150&lt;$P$7:$P$1000))+1</f>
        <v>10</v>
      </c>
      <c r="S150" s="72"/>
      <c r="T150">
        <v>15</v>
      </c>
      <c r="U150" t="str">
        <v>SEA</v>
      </c>
      <c r="V150" t="str">
        <v>Taylor Krumrei</v>
      </c>
      <c r="W150" t="str">
        <v>NULL</v>
      </c>
      <c r="X150" t="str">
        <v>Home</v>
      </c>
      <c r="Y150" t="str">
        <v>HOU</v>
      </c>
      <c r="Z150">
        <v>1.4334583480669985</v>
      </c>
    </row>
    <row r="151" spans="10:26" x14ac:dyDescent="0.35">
      <c r="J151" s="66">
        <v>8</v>
      </c>
      <c r="K151" t="s">
        <v>6</v>
      </c>
      <c r="L151" t="s">
        <v>529</v>
      </c>
      <c r="M151">
        <v>2.7</v>
      </c>
      <c r="N151" t="s">
        <v>9</v>
      </c>
      <c r="O151" t="s">
        <v>36</v>
      </c>
      <c r="P151">
        <f t="shared" si="13"/>
        <v>4.0926595195897546</v>
      </c>
      <c r="Q151">
        <f t="shared" si="12"/>
        <v>1.9395005375039656</v>
      </c>
      <c r="R151" s="67" cm="1">
        <f t="array" ref="R151">SUMPRODUCT((J151=$J$7:$J$1000)*(P151&lt;$P$7:$P$1000))+1</f>
        <v>15</v>
      </c>
      <c r="S151" s="72"/>
      <c r="T151">
        <v>15</v>
      </c>
      <c r="U151" t="str">
        <v>UTAH</v>
      </c>
      <c r="V151" t="str">
        <v>Frank Lochore</v>
      </c>
      <c r="W151" t="str">
        <v>NULL</v>
      </c>
      <c r="X151" t="str">
        <v>Away</v>
      </c>
      <c r="Y151" t="str">
        <v>NOLA</v>
      </c>
      <c r="Z151">
        <v>5.5207946008049564</v>
      </c>
    </row>
    <row r="152" spans="10:26" x14ac:dyDescent="0.35">
      <c r="J152" s="66">
        <v>8</v>
      </c>
      <c r="K152" t="s">
        <v>7</v>
      </c>
      <c r="L152" t="s">
        <v>512</v>
      </c>
      <c r="M152">
        <v>2.4</v>
      </c>
      <c r="N152" t="s">
        <v>3</v>
      </c>
      <c r="O152" t="s">
        <v>17</v>
      </c>
      <c r="P152">
        <f t="shared" si="13"/>
        <v>3.8290856715431545</v>
      </c>
      <c r="Q152">
        <f t="shared" si="12"/>
        <v>2.0422858566099489</v>
      </c>
      <c r="R152" s="67" cm="1">
        <f t="array" ref="R152">SUMPRODUCT((J152=$J$7:$J$1000)*(P152&lt;$P$7:$P$1000))+1</f>
        <v>16</v>
      </c>
      <c r="S152" s="72"/>
      <c r="T152">
        <v>15</v>
      </c>
      <c r="U152" t="str">
        <v>UTAH</v>
      </c>
      <c r="V152" t="str">
        <v>Gavin Thornbury</v>
      </c>
      <c r="W152" t="str">
        <v>NULL</v>
      </c>
      <c r="X152" t="str">
        <v>Away</v>
      </c>
      <c r="Y152" t="str">
        <v>NOLA</v>
      </c>
      <c r="Z152">
        <v>4.4629355326073057</v>
      </c>
    </row>
    <row r="153" spans="10:26" x14ac:dyDescent="0.35">
      <c r="J153" s="66">
        <v>8</v>
      </c>
      <c r="K153" t="s">
        <v>24</v>
      </c>
      <c r="L153" t="s">
        <v>419</v>
      </c>
      <c r="M153">
        <v>2.2999999999999998</v>
      </c>
      <c r="N153" t="s">
        <v>9</v>
      </c>
      <c r="O153" t="s">
        <v>23</v>
      </c>
      <c r="P153">
        <f t="shared" si="13"/>
        <v>5.044325579846439</v>
      </c>
      <c r="Q153">
        <f t="shared" si="12"/>
        <v>7.5313228881994947</v>
      </c>
      <c r="R153" s="67" cm="1">
        <f t="array" ref="R153">SUMPRODUCT((J153=$J$7:$J$1000)*(P153&lt;$P$7:$P$1000))+1</f>
        <v>9</v>
      </c>
      <c r="S153" s="72"/>
      <c r="T153">
        <v>15</v>
      </c>
      <c r="U153" t="str">
        <v>UTAH</v>
      </c>
      <c r="V153" t="str">
        <v>Matt Jenson</v>
      </c>
      <c r="W153" t="str">
        <v>NULL</v>
      </c>
      <c r="X153" t="str">
        <v>Away</v>
      </c>
      <c r="Y153" t="str">
        <v>NOLA</v>
      </c>
      <c r="Z153">
        <v>4.108413197377101</v>
      </c>
    </row>
    <row r="154" spans="10:26" x14ac:dyDescent="0.35">
      <c r="J154" s="66">
        <v>8</v>
      </c>
      <c r="K154" t="s">
        <v>36</v>
      </c>
      <c r="L154" t="s">
        <v>117</v>
      </c>
      <c r="M154">
        <v>1.7</v>
      </c>
      <c r="N154" t="s">
        <v>3</v>
      </c>
      <c r="O154" t="s">
        <v>6</v>
      </c>
      <c r="P154">
        <f t="shared" si="13"/>
        <v>5.2812352079832641</v>
      </c>
      <c r="Q154">
        <f t="shared" si="12"/>
        <v>12.825245614898931</v>
      </c>
      <c r="R154" s="67" cm="1">
        <f t="array" ref="R154">SUMPRODUCT((J154=$J$7:$J$1000)*(P154&lt;$P$7:$P$1000))+1</f>
        <v>8</v>
      </c>
      <c r="S154" s="72"/>
      <c r="T154">
        <v>15</v>
      </c>
      <c r="U154" t="str">
        <v>UTAH</v>
      </c>
      <c r="V154" t="str">
        <v>Saia 'Uhila</v>
      </c>
      <c r="W154" t="str">
        <v>NULL</v>
      </c>
      <c r="X154" t="str">
        <v>Away</v>
      </c>
      <c r="Y154" t="str">
        <v>NOLA</v>
      </c>
      <c r="Z154">
        <v>1.0931606061567016</v>
      </c>
    </row>
    <row r="155" spans="10:26" x14ac:dyDescent="0.35">
      <c r="J155" s="66">
        <v>8</v>
      </c>
      <c r="K155" t="s">
        <v>7</v>
      </c>
      <c r="L155" t="s">
        <v>104</v>
      </c>
      <c r="M155">
        <v>1.4</v>
      </c>
      <c r="N155" t="s">
        <v>3</v>
      </c>
      <c r="O155" t="s">
        <v>17</v>
      </c>
      <c r="P155">
        <f t="shared" si="13"/>
        <v>4.4697187027358192</v>
      </c>
      <c r="Q155">
        <f t="shared" si="12"/>
        <v>9.4231729139260807</v>
      </c>
      <c r="R155" s="67" cm="1">
        <f t="array" ref="R155">SUMPRODUCT((J155=$J$7:$J$1000)*(P155&lt;$P$7:$P$1000))+1</f>
        <v>13</v>
      </c>
      <c r="S155" s="72"/>
      <c r="T155">
        <v>16</v>
      </c>
      <c r="U155" t="str">
        <v>ARC</v>
      </c>
      <c r="V155" t="str">
        <v>Alejandro Martinez Tapia</v>
      </c>
      <c r="W155" t="str">
        <v>NULL</v>
      </c>
      <c r="X155" t="str">
        <v>Away</v>
      </c>
      <c r="Y155" t="str">
        <v>UTAH</v>
      </c>
      <c r="Z155">
        <v>4.9606642817567286</v>
      </c>
    </row>
    <row r="156" spans="10:26" x14ac:dyDescent="0.35">
      <c r="J156" s="66">
        <v>8</v>
      </c>
      <c r="K156" t="s">
        <v>23</v>
      </c>
      <c r="L156" t="s">
        <v>221</v>
      </c>
      <c r="M156">
        <v>1.3</v>
      </c>
      <c r="N156" t="s">
        <v>3</v>
      </c>
      <c r="O156" t="s">
        <v>24</v>
      </c>
      <c r="P156">
        <f t="shared" si="13"/>
        <v>3.3484973471168651</v>
      </c>
      <c r="Q156">
        <f t="shared" si="12"/>
        <v>4.1963413811448351</v>
      </c>
      <c r="R156" s="67" cm="1">
        <f t="array" ref="R156">SUMPRODUCT((J156=$J$7:$J$1000)*(P156&lt;$P$7:$P$1000))+1</f>
        <v>19</v>
      </c>
      <c r="S156" s="72"/>
      <c r="T156">
        <v>16</v>
      </c>
      <c r="U156" t="str">
        <v>ARC</v>
      </c>
      <c r="V156" t="str">
        <v>Javon Camp Villalovos</v>
      </c>
      <c r="W156" t="str">
        <v>NULL</v>
      </c>
      <c r="X156" t="str">
        <v>Away</v>
      </c>
      <c r="Y156" t="str">
        <v>UTAH</v>
      </c>
      <c r="Z156">
        <v>1.8175332881518789</v>
      </c>
    </row>
    <row r="157" spans="10:26" x14ac:dyDescent="0.35">
      <c r="J157" s="66">
        <v>8</v>
      </c>
      <c r="K157" t="s">
        <v>23</v>
      </c>
      <c r="L157" t="s">
        <v>431</v>
      </c>
      <c r="M157">
        <v>0.8</v>
      </c>
      <c r="N157" t="s">
        <v>3</v>
      </c>
      <c r="O157" t="s">
        <v>24</v>
      </c>
      <c r="P157">
        <f t="shared" si="13"/>
        <v>3.6597104282380437</v>
      </c>
      <c r="Q157">
        <f t="shared" si="12"/>
        <v>8.1779437333734162</v>
      </c>
      <c r="R157" s="67" cm="1">
        <f t="array" ref="R157">SUMPRODUCT((J157=$J$7:$J$1000)*(P157&lt;$P$7:$P$1000))+1</f>
        <v>17</v>
      </c>
      <c r="S157" s="72"/>
      <c r="T157">
        <v>16</v>
      </c>
      <c r="U157" t="str">
        <v>ARC</v>
      </c>
      <c r="V157" t="str">
        <v>Mikey Grandy</v>
      </c>
      <c r="W157" t="str">
        <v>NULL</v>
      </c>
      <c r="X157" t="str">
        <v>Away</v>
      </c>
      <c r="Y157" t="str">
        <v>UTAH</v>
      </c>
      <c r="Z157">
        <v>3.791449974413621</v>
      </c>
    </row>
    <row r="158" spans="10:26" x14ac:dyDescent="0.35">
      <c r="J158" s="66">
        <v>8</v>
      </c>
      <c r="K158" t="s">
        <v>17</v>
      </c>
      <c r="L158" t="s">
        <v>423</v>
      </c>
      <c r="M158">
        <v>0.5</v>
      </c>
      <c r="N158" t="s">
        <v>9</v>
      </c>
      <c r="O158" t="s">
        <v>7</v>
      </c>
      <c r="P158">
        <f t="shared" si="13"/>
        <v>3.6215314267939247</v>
      </c>
      <c r="Q158">
        <f t="shared" si="12"/>
        <v>9.7439584484621147</v>
      </c>
      <c r="R158" s="67" cm="1">
        <f t="array" ref="R158">SUMPRODUCT((J158=$J$7:$J$1000)*(P158&lt;$P$7:$P$1000))+1</f>
        <v>18</v>
      </c>
      <c r="S158" s="72"/>
      <c r="T158">
        <v>16</v>
      </c>
      <c r="U158" t="str">
        <v>ARC</v>
      </c>
      <c r="V158" t="str">
        <v>Sam Golla</v>
      </c>
      <c r="W158" t="str">
        <v>NULL</v>
      </c>
      <c r="X158" t="str">
        <v>Away</v>
      </c>
      <c r="Y158" t="str">
        <v>UTAH</v>
      </c>
      <c r="Z158">
        <v>5.5753864590826963</v>
      </c>
    </row>
    <row r="159" spans="10:26" x14ac:dyDescent="0.35">
      <c r="J159" s="66">
        <v>9</v>
      </c>
      <c r="K159" t="s">
        <v>13</v>
      </c>
      <c r="L159" t="s">
        <v>103</v>
      </c>
      <c r="M159">
        <v>12.6</v>
      </c>
      <c r="N159" t="s">
        <v>9</v>
      </c>
      <c r="O159" t="s">
        <v>6</v>
      </c>
      <c r="P159">
        <f t="shared" si="13"/>
        <v>6.3269445370035529</v>
      </c>
      <c r="Q159">
        <f t="shared" si="12"/>
        <v>39.351224841829563</v>
      </c>
      <c r="R159" s="67" cm="1">
        <f t="array" ref="R159">SUMPRODUCT((J159=$J$7:$J$1000)*(P159&lt;$P$7:$P$1000))+1</f>
        <v>5</v>
      </c>
      <c r="S159" s="72"/>
      <c r="T159">
        <v>16</v>
      </c>
      <c r="U159" t="str">
        <v>ARC</v>
      </c>
      <c r="V159" t="str">
        <v>Shawn Clark</v>
      </c>
      <c r="W159" t="str">
        <v>NULL</v>
      </c>
      <c r="X159" t="str">
        <v>Away</v>
      </c>
      <c r="Y159" t="str">
        <v>UTAH</v>
      </c>
      <c r="Z159">
        <v>2.3654932196843292</v>
      </c>
    </row>
    <row r="160" spans="10:26" x14ac:dyDescent="0.35">
      <c r="J160" s="66">
        <v>9</v>
      </c>
      <c r="K160" t="s">
        <v>2</v>
      </c>
      <c r="L160" t="s">
        <v>426</v>
      </c>
      <c r="M160">
        <v>9.1</v>
      </c>
      <c r="N160" t="s">
        <v>3</v>
      </c>
      <c r="O160" t="s">
        <v>14</v>
      </c>
      <c r="P160">
        <f t="shared" si="13"/>
        <v>5.0812457312658825</v>
      </c>
      <c r="Q160">
        <f t="shared" si="12"/>
        <v>16.150385872468689</v>
      </c>
      <c r="R160" s="67" cm="1">
        <f t="array" ref="R160">SUMPRODUCT((J160=$J$7:$J$1000)*(P160&lt;$P$7:$P$1000))+1</f>
        <v>11</v>
      </c>
      <c r="S160" s="72"/>
      <c r="T160">
        <v>16</v>
      </c>
      <c r="U160" t="str">
        <v>ARC</v>
      </c>
      <c r="V160" t="str">
        <v>Viliami Vuli</v>
      </c>
      <c r="W160" t="str">
        <v>NULL</v>
      </c>
      <c r="X160" t="str">
        <v>Away</v>
      </c>
      <c r="Y160" t="str">
        <v>UTAH</v>
      </c>
      <c r="Z160">
        <v>4.180160789996223</v>
      </c>
    </row>
    <row r="161" spans="10:26" x14ac:dyDescent="0.35">
      <c r="J161" s="66">
        <v>9</v>
      </c>
      <c r="K161" t="s">
        <v>14</v>
      </c>
      <c r="L161" t="s">
        <v>107</v>
      </c>
      <c r="M161">
        <v>8.1999999999999993</v>
      </c>
      <c r="N161" t="s">
        <v>9</v>
      </c>
      <c r="O161" t="s">
        <v>2</v>
      </c>
      <c r="P161">
        <f t="shared" si="13"/>
        <v>6.4682175327420559</v>
      </c>
      <c r="Q161">
        <f t="shared" si="12"/>
        <v>2.9990705139020095</v>
      </c>
      <c r="R161" s="67" cm="1">
        <f t="array" ref="R161">SUMPRODUCT((J161=$J$7:$J$1000)*(P161&lt;$P$7:$P$1000))+1</f>
        <v>4</v>
      </c>
      <c r="S161" s="72"/>
      <c r="T161">
        <v>16</v>
      </c>
      <c r="U161" t="str">
        <v>CHI</v>
      </c>
      <c r="V161" t="str">
        <v>Hamish Bain</v>
      </c>
      <c r="W161" t="str">
        <v>NULL</v>
      </c>
      <c r="X161" t="str">
        <v>Home</v>
      </c>
      <c r="Y161" t="str">
        <v>NOLA</v>
      </c>
      <c r="Z161">
        <v>3.4718014605587237</v>
      </c>
    </row>
    <row r="162" spans="10:26" x14ac:dyDescent="0.35">
      <c r="J162" s="66">
        <v>9</v>
      </c>
      <c r="K162" t="s">
        <v>6</v>
      </c>
      <c r="L162" t="s">
        <v>208</v>
      </c>
      <c r="M162">
        <v>6.1</v>
      </c>
      <c r="N162" t="s">
        <v>3</v>
      </c>
      <c r="O162" t="s">
        <v>13</v>
      </c>
      <c r="P162">
        <f t="shared" si="13"/>
        <v>6.8500526859445312</v>
      </c>
      <c r="Q162">
        <f t="shared" si="12"/>
        <v>0.56257903169260615</v>
      </c>
      <c r="R162" s="67" cm="1">
        <f t="array" ref="R162">SUMPRODUCT((J162=$J$7:$J$1000)*(P162&lt;$P$7:$P$1000))+1</f>
        <v>2</v>
      </c>
      <c r="S162" s="72"/>
      <c r="T162">
        <v>16</v>
      </c>
      <c r="U162" t="str">
        <v>CHI</v>
      </c>
      <c r="V162" t="str">
        <v>James Scott</v>
      </c>
      <c r="W162" t="str">
        <v>NULL</v>
      </c>
      <c r="X162" t="str">
        <v>Home</v>
      </c>
      <c r="Y162" t="str">
        <v>NOLA</v>
      </c>
      <c r="Z162">
        <v>4.3629744325453128</v>
      </c>
    </row>
    <row r="163" spans="10:26" x14ac:dyDescent="0.35">
      <c r="J163" s="66">
        <v>9</v>
      </c>
      <c r="K163" t="s">
        <v>23</v>
      </c>
      <c r="L163" t="s">
        <v>421</v>
      </c>
      <c r="M163">
        <v>6.1</v>
      </c>
      <c r="N163" t="s">
        <v>3</v>
      </c>
      <c r="O163" t="s">
        <v>34</v>
      </c>
      <c r="P163">
        <f t="shared" si="13"/>
        <v>5.60684967410337</v>
      </c>
      <c r="Q163">
        <f t="shared" si="12"/>
        <v>0.24319724393195205</v>
      </c>
      <c r="R163" s="67" cm="1">
        <f t="array" ref="R163">SUMPRODUCT((J163=$J$7:$J$1000)*(P163&lt;$P$7:$P$1000))+1</f>
        <v>9</v>
      </c>
      <c r="S163" s="72"/>
      <c r="T163">
        <v>16</v>
      </c>
      <c r="U163" t="str">
        <v>CHI</v>
      </c>
      <c r="V163" t="str">
        <v>Mason Flesch</v>
      </c>
      <c r="W163" t="str">
        <v>NULL</v>
      </c>
      <c r="X163" t="str">
        <v>Home</v>
      </c>
      <c r="Y163" t="str">
        <v>NOLA</v>
      </c>
      <c r="Z163">
        <v>4.5298137808455703</v>
      </c>
    </row>
    <row r="164" spans="10:26" x14ac:dyDescent="0.35">
      <c r="J164" s="66">
        <v>9</v>
      </c>
      <c r="K164" t="s">
        <v>36</v>
      </c>
      <c r="L164" t="s">
        <v>112</v>
      </c>
      <c r="M164">
        <v>5.9</v>
      </c>
      <c r="N164" t="s">
        <v>9</v>
      </c>
      <c r="O164" t="s">
        <v>24</v>
      </c>
      <c r="P164">
        <f t="shared" si="13"/>
        <v>4.9962195646360872</v>
      </c>
      <c r="Q164">
        <f t="shared" si="12"/>
        <v>0.81681907534658438</v>
      </c>
      <c r="R164" s="67" cm="1">
        <f t="array" ref="R164">SUMPRODUCT((J164=$J$7:$J$1000)*(P164&lt;$P$7:$P$1000))+1</f>
        <v>12</v>
      </c>
      <c r="S164" s="72"/>
      <c r="T164">
        <v>16</v>
      </c>
      <c r="U164" t="str">
        <v>LA</v>
      </c>
      <c r="V164" t="str">
        <v>Jason Damm</v>
      </c>
      <c r="W164" t="str">
        <v>NULL</v>
      </c>
      <c r="X164" t="str">
        <v>Away</v>
      </c>
      <c r="Y164" t="str">
        <v>OGDC</v>
      </c>
      <c r="Z164">
        <v>8.210267893147595</v>
      </c>
    </row>
    <row r="165" spans="10:26" x14ac:dyDescent="0.35">
      <c r="J165" s="66">
        <v>9</v>
      </c>
      <c r="K165" t="s">
        <v>4</v>
      </c>
      <c r="L165" t="s">
        <v>484</v>
      </c>
      <c r="M165">
        <v>5</v>
      </c>
      <c r="N165" t="s">
        <v>3</v>
      </c>
      <c r="O165" t="s">
        <v>7</v>
      </c>
      <c r="P165">
        <f t="shared" si="13"/>
        <v>6.7323863235607115</v>
      </c>
      <c r="Q165">
        <f t="shared" si="12"/>
        <v>3.0011623740601983</v>
      </c>
      <c r="R165" s="67" cm="1">
        <f t="array" ref="R165">SUMPRODUCT((J165=$J$7:$J$1000)*(P165&lt;$P$7:$P$1000))+1</f>
        <v>3</v>
      </c>
      <c r="S165" s="72"/>
      <c r="T165">
        <v>16</v>
      </c>
      <c r="U165" t="str">
        <v>LA</v>
      </c>
      <c r="V165" t="str">
        <v>Jurie van Vuuren</v>
      </c>
      <c r="W165" t="str">
        <v>NULL</v>
      </c>
      <c r="X165" t="str">
        <v>Away</v>
      </c>
      <c r="Y165" t="str">
        <v>OGDC</v>
      </c>
      <c r="Z165">
        <v>4.7184280284028235</v>
      </c>
    </row>
    <row r="166" spans="10:26" x14ac:dyDescent="0.35">
      <c r="J166" s="66">
        <v>9</v>
      </c>
      <c r="K166" t="s">
        <v>4</v>
      </c>
      <c r="L166" t="s">
        <v>335</v>
      </c>
      <c r="M166">
        <v>4.7</v>
      </c>
      <c r="N166" t="s">
        <v>3</v>
      </c>
      <c r="O166" t="s">
        <v>7</v>
      </c>
      <c r="P166">
        <f t="shared" si="13"/>
        <v>4.4111180349145886</v>
      </c>
      <c r="Q166">
        <f t="shared" si="12"/>
        <v>8.3452789751608927E-2</v>
      </c>
      <c r="R166" s="67" cm="1">
        <f t="array" ref="R166">SUMPRODUCT((J166=$J$7:$J$1000)*(P166&lt;$P$7:$P$1000))+1</f>
        <v>14</v>
      </c>
      <c r="S166" s="72"/>
      <c r="T166">
        <v>16</v>
      </c>
      <c r="U166" t="str">
        <v>LA</v>
      </c>
      <c r="V166" t="str">
        <v>Lucas Bur</v>
      </c>
      <c r="W166" t="str">
        <v>NULL</v>
      </c>
      <c r="X166" t="str">
        <v>Away</v>
      </c>
      <c r="Y166" t="str">
        <v>OGDC</v>
      </c>
      <c r="Z166">
        <v>5.0131850295145446</v>
      </c>
    </row>
    <row r="167" spans="10:26" x14ac:dyDescent="0.35">
      <c r="J167" s="66">
        <v>9</v>
      </c>
      <c r="K167" t="s">
        <v>14</v>
      </c>
      <c r="L167" t="s">
        <v>540</v>
      </c>
      <c r="M167">
        <v>4.4000000000000004</v>
      </c>
      <c r="N167" t="s">
        <v>9</v>
      </c>
      <c r="O167" t="s">
        <v>2</v>
      </c>
      <c r="P167">
        <f t="shared" si="13"/>
        <v>5.8534953554160882</v>
      </c>
      <c r="Q167">
        <f t="shared" si="12"/>
        <v>2.1126487482161398</v>
      </c>
      <c r="R167" s="67" cm="1">
        <f t="array" ref="R167">SUMPRODUCT((J167=$J$7:$J$1000)*(P167&lt;$P$7:$P$1000))+1</f>
        <v>7</v>
      </c>
      <c r="S167" s="72"/>
      <c r="T167">
        <v>16</v>
      </c>
      <c r="U167" t="str">
        <v>LA</v>
      </c>
      <c r="V167" t="str">
        <v>Reegan O'Gorman</v>
      </c>
      <c r="W167" t="str">
        <v>NULL</v>
      </c>
      <c r="X167" t="str">
        <v>Away</v>
      </c>
      <c r="Y167" t="str">
        <v>OGDC</v>
      </c>
      <c r="Z167">
        <v>1.7529260115632777</v>
      </c>
    </row>
    <row r="168" spans="10:26" x14ac:dyDescent="0.35">
      <c r="J168" s="66">
        <v>9</v>
      </c>
      <c r="K168" t="s">
        <v>24</v>
      </c>
      <c r="L168" t="s">
        <v>511</v>
      </c>
      <c r="M168">
        <v>4.4000000000000004</v>
      </c>
      <c r="N168" t="s">
        <v>3</v>
      </c>
      <c r="O168" t="s">
        <v>36</v>
      </c>
      <c r="P168">
        <f t="shared" si="13"/>
        <v>5.6636190088213132</v>
      </c>
      <c r="Q168">
        <f t="shared" si="12"/>
        <v>1.5967329994545572</v>
      </c>
      <c r="R168" s="67" cm="1">
        <f t="array" ref="R168">SUMPRODUCT((J168=$J$7:$J$1000)*(P168&lt;$P$7:$P$1000))+1</f>
        <v>8</v>
      </c>
      <c r="S168" s="72"/>
      <c r="T168">
        <v>16</v>
      </c>
      <c r="U168" t="str">
        <v>LA</v>
      </c>
      <c r="V168" t="str">
        <v>Tim Anstee</v>
      </c>
      <c r="W168" t="str">
        <v>NULL</v>
      </c>
      <c r="X168" t="str">
        <v>Away</v>
      </c>
      <c r="Y168" t="str">
        <v>OGDC</v>
      </c>
      <c r="Z168">
        <v>15.009900481823445</v>
      </c>
    </row>
    <row r="169" spans="10:26" x14ac:dyDescent="0.35">
      <c r="J169" s="66">
        <v>9</v>
      </c>
      <c r="K169" t="s">
        <v>2</v>
      </c>
      <c r="L169" t="s">
        <v>108</v>
      </c>
      <c r="M169">
        <v>4.2</v>
      </c>
      <c r="N169" t="s">
        <v>3</v>
      </c>
      <c r="O169" t="s">
        <v>14</v>
      </c>
      <c r="P169">
        <f t="shared" si="13"/>
        <v>5.9724187032524716</v>
      </c>
      <c r="Q169">
        <f t="shared" si="12"/>
        <v>3.1414680596391724</v>
      </c>
      <c r="R169" s="67" cm="1">
        <f t="array" ref="R169">SUMPRODUCT((J169=$J$7:$J$1000)*(P169&lt;$P$7:$P$1000))+1</f>
        <v>6</v>
      </c>
      <c r="S169" s="72"/>
      <c r="T169">
        <v>16</v>
      </c>
      <c r="U169" t="str">
        <v>MIA</v>
      </c>
      <c r="V169" t="str">
        <v>Braemar Murray</v>
      </c>
      <c r="W169" t="str">
        <v>NULL</v>
      </c>
      <c r="X169" t="str">
        <v>Home</v>
      </c>
      <c r="Y169" t="str">
        <v>SDL</v>
      </c>
      <c r="Z169">
        <v>3.7359534173937576</v>
      </c>
    </row>
    <row r="170" spans="10:26" x14ac:dyDescent="0.35">
      <c r="J170" s="66">
        <v>9</v>
      </c>
      <c r="K170" t="s">
        <v>34</v>
      </c>
      <c r="L170" t="s">
        <v>420</v>
      </c>
      <c r="M170">
        <v>4.2</v>
      </c>
      <c r="N170" t="s">
        <v>9</v>
      </c>
      <c r="O170" t="s">
        <v>23</v>
      </c>
      <c r="P170">
        <f t="shared" si="13"/>
        <v>7.8337761261915944</v>
      </c>
      <c r="Q170">
        <f t="shared" si="12"/>
        <v>13.204328935279989</v>
      </c>
      <c r="R170" s="67" cm="1">
        <f t="array" ref="R170">SUMPRODUCT((J170=$J$7:$J$1000)*(P170&lt;$P$7:$P$1000))+1</f>
        <v>1</v>
      </c>
      <c r="S170" s="72"/>
      <c r="T170">
        <v>16</v>
      </c>
      <c r="U170" t="str">
        <v>MIA</v>
      </c>
      <c r="V170" t="str">
        <v>Federico Gutíerrez</v>
      </c>
      <c r="W170" t="str">
        <v>NULL</v>
      </c>
      <c r="X170" t="str">
        <v>Home</v>
      </c>
      <c r="Y170" t="str">
        <v>SDL</v>
      </c>
      <c r="Z170">
        <v>3.7338590709237667</v>
      </c>
    </row>
    <row r="171" spans="10:26" x14ac:dyDescent="0.35">
      <c r="J171" s="66">
        <v>9</v>
      </c>
      <c r="K171" t="s">
        <v>23</v>
      </c>
      <c r="L171" t="s">
        <v>221</v>
      </c>
      <c r="M171">
        <v>3.6</v>
      </c>
      <c r="N171" t="s">
        <v>3</v>
      </c>
      <c r="O171" t="s">
        <v>34</v>
      </c>
      <c r="P171">
        <f t="shared" si="13"/>
        <v>4.5281549357896385</v>
      </c>
      <c r="Q171">
        <f t="shared" si="12"/>
        <v>0.86147158483066777</v>
      </c>
      <c r="R171" s="67" cm="1">
        <f t="array" ref="R171">SUMPRODUCT((J171=$J$7:$J$1000)*(P171&lt;$P$7:$P$1000))+1</f>
        <v>13</v>
      </c>
      <c r="S171" s="72"/>
      <c r="T171">
        <v>16</v>
      </c>
      <c r="U171" t="str">
        <v>MIA</v>
      </c>
      <c r="V171" t="str">
        <v>Mauro Rebussone</v>
      </c>
      <c r="W171" t="str">
        <v>NULL</v>
      </c>
      <c r="X171" t="str">
        <v>Home</v>
      </c>
      <c r="Y171" t="str">
        <v>SDL</v>
      </c>
      <c r="Z171">
        <v>5.7632900186103209</v>
      </c>
    </row>
    <row r="172" spans="10:26" x14ac:dyDescent="0.35">
      <c r="J172" s="66">
        <v>9</v>
      </c>
      <c r="K172" t="s">
        <v>24</v>
      </c>
      <c r="L172" t="s">
        <v>648</v>
      </c>
      <c r="M172">
        <v>3</v>
      </c>
      <c r="N172" t="s">
        <v>3</v>
      </c>
      <c r="O172" t="s">
        <v>36</v>
      </c>
      <c r="P172">
        <f t="shared" si="13"/>
        <v>3.1345492889095543</v>
      </c>
      <c r="Q172">
        <f t="shared" si="12"/>
        <v>1.8103511146066713E-2</v>
      </c>
      <c r="R172" s="67" cm="1">
        <f t="array" ref="R172">SUMPRODUCT((J172=$J$7:$J$1000)*(P172&lt;$P$7:$P$1000))+1</f>
        <v>17</v>
      </c>
      <c r="S172" s="72"/>
      <c r="T172">
        <v>16</v>
      </c>
      <c r="U172" t="str">
        <v>MIA</v>
      </c>
      <c r="V172" t="str">
        <v>Rick Rose</v>
      </c>
      <c r="W172" t="str">
        <v>NULL</v>
      </c>
      <c r="X172" t="str">
        <v>Home</v>
      </c>
      <c r="Y172" t="str">
        <v>SDL</v>
      </c>
      <c r="Z172">
        <v>5.588870317566637</v>
      </c>
    </row>
    <row r="173" spans="10:26" x14ac:dyDescent="0.35">
      <c r="J173" s="66">
        <v>9</v>
      </c>
      <c r="K173" t="s">
        <v>36</v>
      </c>
      <c r="L173" t="s">
        <v>106</v>
      </c>
      <c r="M173">
        <v>2.6</v>
      </c>
      <c r="N173" t="s">
        <v>9</v>
      </c>
      <c r="O173" t="s">
        <v>24</v>
      </c>
      <c r="P173">
        <f t="shared" si="13"/>
        <v>1.8269559993397053</v>
      </c>
      <c r="Q173">
        <f t="shared" si="12"/>
        <v>0.59759702695687378</v>
      </c>
      <c r="R173" s="67" cm="1">
        <f t="array" ref="R173">SUMPRODUCT((J173=$J$7:$J$1000)*(P173&lt;$P$7:$P$1000))+1</f>
        <v>19</v>
      </c>
      <c r="S173" s="72"/>
      <c r="T173">
        <v>16</v>
      </c>
      <c r="U173" t="str">
        <v>MIA</v>
      </c>
      <c r="V173" t="str">
        <v>Tomás Casares</v>
      </c>
      <c r="W173" t="str">
        <v>NULL</v>
      </c>
      <c r="X173" t="str">
        <v>Home</v>
      </c>
      <c r="Y173" t="str">
        <v>SDL</v>
      </c>
      <c r="Z173">
        <v>6.2650231373055156</v>
      </c>
    </row>
    <row r="174" spans="10:26" x14ac:dyDescent="0.35">
      <c r="J174" s="66">
        <v>9</v>
      </c>
      <c r="K174" t="s">
        <v>7</v>
      </c>
      <c r="L174" t="s">
        <v>104</v>
      </c>
      <c r="M174">
        <v>2.6</v>
      </c>
      <c r="N174" t="s">
        <v>9</v>
      </c>
      <c r="O174" t="s">
        <v>4</v>
      </c>
      <c r="P174">
        <f t="shared" si="13"/>
        <v>3.4640585734853255</v>
      </c>
      <c r="Q174">
        <f t="shared" si="12"/>
        <v>0.74659721841349558</v>
      </c>
      <c r="R174" s="67" cm="1">
        <f t="array" ref="R174">SUMPRODUCT((J174=$J$7:$J$1000)*(P174&lt;$P$7:$P$1000))+1</f>
        <v>15</v>
      </c>
      <c r="S174" s="72"/>
      <c r="T174">
        <v>16</v>
      </c>
      <c r="U174" t="str">
        <v>NEFJ</v>
      </c>
      <c r="V174" t="str">
        <v>Conor Keys</v>
      </c>
      <c r="W174" t="str">
        <v>NULL</v>
      </c>
      <c r="X174" t="str">
        <v>Home</v>
      </c>
      <c r="Y174" t="str">
        <v>SEA</v>
      </c>
      <c r="Z174">
        <v>2.6505384598596864</v>
      </c>
    </row>
    <row r="175" spans="10:26" x14ac:dyDescent="0.35">
      <c r="J175" s="66">
        <v>9</v>
      </c>
      <c r="K175" t="s">
        <v>7</v>
      </c>
      <c r="L175" t="s">
        <v>512</v>
      </c>
      <c r="M175">
        <v>2.4</v>
      </c>
      <c r="N175" t="s">
        <v>9</v>
      </c>
      <c r="O175" t="s">
        <v>4</v>
      </c>
      <c r="P175">
        <f t="shared" si="13"/>
        <v>2.8234255422926617</v>
      </c>
      <c r="Q175">
        <f t="shared" si="12"/>
        <v>0.17928918986583475</v>
      </c>
      <c r="R175" s="67" cm="1">
        <f t="array" ref="R175">SUMPRODUCT((J175=$J$7:$J$1000)*(P175&lt;$P$7:$P$1000))+1</f>
        <v>18</v>
      </c>
      <c r="S175" s="72"/>
      <c r="T175">
        <v>16</v>
      </c>
      <c r="U175" t="str">
        <v>NEFJ</v>
      </c>
      <c r="V175" t="str">
        <v>Jero Gomez Vara</v>
      </c>
      <c r="W175" t="str">
        <v>NULL</v>
      </c>
      <c r="X175" t="str">
        <v>Home</v>
      </c>
      <c r="Y175" t="str">
        <v>SEA</v>
      </c>
      <c r="Z175">
        <v>4.4401863136411306</v>
      </c>
    </row>
    <row r="176" spans="10:26" x14ac:dyDescent="0.35">
      <c r="J176" s="66">
        <v>9</v>
      </c>
      <c r="K176" t="s">
        <v>6</v>
      </c>
      <c r="L176" t="s">
        <v>529</v>
      </c>
      <c r="M176">
        <v>2</v>
      </c>
      <c r="N176" t="s">
        <v>3</v>
      </c>
      <c r="O176" t="s">
        <v>13</v>
      </c>
      <c r="P176">
        <f t="shared" si="13"/>
        <v>3.3582128211997597</v>
      </c>
      <c r="Q176">
        <f t="shared" si="12"/>
        <v>1.8447420676714106</v>
      </c>
      <c r="R176" s="67" cm="1">
        <f t="array" ref="R176">SUMPRODUCT((J176=$J$7:$J$1000)*(P176&lt;$P$7:$P$1000))+1</f>
        <v>16</v>
      </c>
      <c r="S176" s="72"/>
      <c r="T176">
        <v>16</v>
      </c>
      <c r="U176" t="str">
        <v>NEFJ</v>
      </c>
      <c r="V176" t="str">
        <v>Kyle Baillie</v>
      </c>
      <c r="W176" t="str">
        <v>NULL</v>
      </c>
      <c r="X176" t="str">
        <v>Home</v>
      </c>
      <c r="Y176" t="str">
        <v>SEA</v>
      </c>
      <c r="Z176">
        <v>2.249024683619159</v>
      </c>
    </row>
    <row r="177" spans="10:26" x14ac:dyDescent="0.35">
      <c r="J177" s="66">
        <v>9</v>
      </c>
      <c r="K177" t="s">
        <v>13</v>
      </c>
      <c r="L177" t="s">
        <v>469</v>
      </c>
      <c r="M177">
        <v>1.4</v>
      </c>
      <c r="N177" t="s">
        <v>9</v>
      </c>
      <c r="O177" t="s">
        <v>6</v>
      </c>
      <c r="P177">
        <f t="shared" si="13"/>
        <v>5.2690854688059021</v>
      </c>
      <c r="Q177">
        <f t="shared" si="12"/>
        <v>14.969822364924989</v>
      </c>
      <c r="R177" s="67" cm="1">
        <f t="array" ref="R177">SUMPRODUCT((J177=$J$7:$J$1000)*(P177&lt;$P$7:$P$1000))+1</f>
        <v>10</v>
      </c>
      <c r="S177" s="72"/>
      <c r="T177">
        <v>16</v>
      </c>
      <c r="U177" t="str">
        <v>NEFJ</v>
      </c>
      <c r="V177" t="str">
        <v>Piers von Dadelszen</v>
      </c>
      <c r="W177" t="str">
        <v>NULL</v>
      </c>
      <c r="X177" t="str">
        <v>Home</v>
      </c>
      <c r="Y177" t="str">
        <v>SEA</v>
      </c>
      <c r="Z177">
        <v>4.128973232519952</v>
      </c>
    </row>
    <row r="178" spans="10:26" x14ac:dyDescent="0.35">
      <c r="J178" s="66">
        <v>9</v>
      </c>
      <c r="K178" t="s">
        <v>34</v>
      </c>
      <c r="L178" t="s">
        <v>646</v>
      </c>
      <c r="M178">
        <v>0</v>
      </c>
      <c r="N178" t="s">
        <v>9</v>
      </c>
      <c r="O178" t="s">
        <v>23</v>
      </c>
      <c r="P178">
        <f t="shared" si="13"/>
        <v>-1.1085060083827994E-2</v>
      </c>
      <c r="Q178">
        <f t="shared" si="12"/>
        <v>1.2287855706207668E-4</v>
      </c>
      <c r="R178" s="67" cm="1">
        <f t="array" ref="R178">SUMPRODUCT((J178=$J$7:$J$1000)*(P178&lt;$P$7:$P$1000))+1</f>
        <v>20</v>
      </c>
      <c r="S178" s="72"/>
      <c r="T178">
        <v>16</v>
      </c>
      <c r="U178" t="str">
        <v>NEFJ</v>
      </c>
      <c r="V178" t="str">
        <v>Sam Caird</v>
      </c>
      <c r="W178" t="str">
        <v>NULL</v>
      </c>
      <c r="X178" t="str">
        <v>Home</v>
      </c>
      <c r="Y178" t="str">
        <v>SEA</v>
      </c>
      <c r="Z178">
        <v>5.2076679708336835</v>
      </c>
    </row>
    <row r="179" spans="10:26" x14ac:dyDescent="0.35">
      <c r="J179" s="66">
        <v>10</v>
      </c>
      <c r="K179" t="s">
        <v>7</v>
      </c>
      <c r="L179" t="s">
        <v>277</v>
      </c>
      <c r="M179">
        <v>12</v>
      </c>
      <c r="N179" t="s">
        <v>3</v>
      </c>
      <c r="O179" t="s">
        <v>24</v>
      </c>
      <c r="P179">
        <f t="shared" si="13"/>
        <v>5.5346904499007579</v>
      </c>
      <c r="Q179">
        <f t="shared" ref="Q179:Q224" si="14">IFERROR(($M179-$P179)^2,"")</f>
        <v>41.800227578604463</v>
      </c>
      <c r="R179" s="67" cm="1">
        <f t="array" ref="R179">SUMPRODUCT((J179=$J$7:$J$1000)*(P179&lt;$P$7:$P$1000))+1</f>
        <v>8</v>
      </c>
      <c r="S179" s="72"/>
      <c r="T179">
        <v>16</v>
      </c>
      <c r="U179" t="str">
        <v>NOLA</v>
      </c>
      <c r="V179" t="str">
        <v>Callum Botchar</v>
      </c>
      <c r="W179" t="str">
        <v>NULL</v>
      </c>
      <c r="X179" t="str">
        <v>Away</v>
      </c>
      <c r="Y179" t="str">
        <v>CHI</v>
      </c>
      <c r="Z179">
        <v>3.8784464105000054</v>
      </c>
    </row>
    <row r="180" spans="10:26" x14ac:dyDescent="0.35">
      <c r="J180" s="66">
        <v>10</v>
      </c>
      <c r="K180" t="s">
        <v>17</v>
      </c>
      <c r="L180" t="s">
        <v>427</v>
      </c>
      <c r="M180">
        <v>11.2</v>
      </c>
      <c r="N180" t="s">
        <v>3</v>
      </c>
      <c r="O180" t="s">
        <v>2</v>
      </c>
      <c r="P180">
        <f t="shared" si="13"/>
        <v>8.0247466565483236</v>
      </c>
      <c r="Q180">
        <f t="shared" si="14"/>
        <v>10.082233795101045</v>
      </c>
      <c r="R180" s="67" cm="1">
        <f t="array" ref="R180">SUMPRODUCT((J180=$J$7:$J$1000)*(P180&lt;$P$7:$P$1000))+1</f>
        <v>1</v>
      </c>
      <c r="S180" s="72"/>
      <c r="T180">
        <v>16</v>
      </c>
      <c r="U180" t="str">
        <v>NOLA</v>
      </c>
      <c r="V180" t="str">
        <v>Cam Dolan</v>
      </c>
      <c r="W180" t="str">
        <v>NULL</v>
      </c>
      <c r="X180" t="str">
        <v>Away</v>
      </c>
      <c r="Y180" t="str">
        <v>CHI</v>
      </c>
      <c r="Z180">
        <v>3.9148516302961678</v>
      </c>
    </row>
    <row r="181" spans="10:26" x14ac:dyDescent="0.35">
      <c r="J181" s="66">
        <v>10</v>
      </c>
      <c r="K181" t="s">
        <v>13</v>
      </c>
      <c r="L181" t="s">
        <v>103</v>
      </c>
      <c r="M181">
        <v>8.4</v>
      </c>
      <c r="N181" t="s">
        <v>9</v>
      </c>
      <c r="O181" t="s">
        <v>34</v>
      </c>
      <c r="P181">
        <f t="shared" si="13"/>
        <v>6.9111952977877777</v>
      </c>
      <c r="Q181">
        <f t="shared" si="14"/>
        <v>2.2165394413292248</v>
      </c>
      <c r="R181" s="67" cm="1">
        <f t="array" ref="R181">SUMPRODUCT((J181=$J$7:$J$1000)*(P181&lt;$P$7:$P$1000))+1</f>
        <v>3</v>
      </c>
      <c r="S181" s="72"/>
      <c r="T181">
        <v>16</v>
      </c>
      <c r="U181" t="str">
        <v>NOLA</v>
      </c>
      <c r="V181" t="str">
        <v>Chase Jones</v>
      </c>
      <c r="W181" t="str">
        <v>NULL</v>
      </c>
      <c r="X181" t="str">
        <v>Away</v>
      </c>
      <c r="Y181" t="str">
        <v>CHI</v>
      </c>
      <c r="Z181">
        <v>6.2361199189422898</v>
      </c>
    </row>
    <row r="182" spans="10:26" x14ac:dyDescent="0.35">
      <c r="J182" s="66">
        <v>10</v>
      </c>
      <c r="K182" t="s">
        <v>34</v>
      </c>
      <c r="L182" t="s">
        <v>420</v>
      </c>
      <c r="M182">
        <v>7.9</v>
      </c>
      <c r="N182" t="s">
        <v>3</v>
      </c>
      <c r="O182" t="s">
        <v>13</v>
      </c>
      <c r="P182">
        <f t="shared" si="13"/>
        <v>7.2024486025439201</v>
      </c>
      <c r="Q182">
        <f t="shared" si="14"/>
        <v>0.48657795209293053</v>
      </c>
      <c r="R182" s="67" cm="1">
        <f t="array" ref="R182">SUMPRODUCT((J182=$J$7:$J$1000)*(P182&lt;$P$7:$P$1000))+1</f>
        <v>2</v>
      </c>
      <c r="S182" s="72"/>
      <c r="T182">
        <v>16</v>
      </c>
      <c r="U182" t="str">
        <v>NOLA</v>
      </c>
      <c r="V182" t="str">
        <v>Jay Tuivaiti</v>
      </c>
      <c r="W182" t="str">
        <v>NULL</v>
      </c>
      <c r="X182" t="str">
        <v>Away</v>
      </c>
      <c r="Y182" t="str">
        <v>CHI</v>
      </c>
      <c r="Z182">
        <v>3.9905480302228455</v>
      </c>
    </row>
    <row r="183" spans="10:26" x14ac:dyDescent="0.35">
      <c r="J183" s="66">
        <v>10</v>
      </c>
      <c r="K183" t="s">
        <v>4</v>
      </c>
      <c r="L183" t="s">
        <v>643</v>
      </c>
      <c r="M183">
        <v>7.5</v>
      </c>
      <c r="N183" t="s">
        <v>9</v>
      </c>
      <c r="O183" t="s">
        <v>36</v>
      </c>
      <c r="P183">
        <f t="shared" si="13"/>
        <v>3.8466047904908396</v>
      </c>
      <c r="Q183">
        <f t="shared" si="14"/>
        <v>13.347296556864482</v>
      </c>
      <c r="R183" s="67" cm="1">
        <f t="array" ref="R183">SUMPRODUCT((J183=$J$7:$J$1000)*(P183&lt;$P$7:$P$1000))+1</f>
        <v>16</v>
      </c>
      <c r="S183" s="72"/>
      <c r="T183">
        <v>16</v>
      </c>
      <c r="U183" t="str">
        <v>NOLA</v>
      </c>
      <c r="V183" t="str">
        <v>Kaden Duguid</v>
      </c>
      <c r="W183" t="str">
        <v>NULL</v>
      </c>
      <c r="X183" t="str">
        <v>Away</v>
      </c>
      <c r="Y183" t="str">
        <v>CHI</v>
      </c>
      <c r="Z183">
        <v>1.028325846346148</v>
      </c>
    </row>
    <row r="184" spans="10:26" x14ac:dyDescent="0.35">
      <c r="J184" s="66">
        <v>10</v>
      </c>
      <c r="K184" t="s">
        <v>36</v>
      </c>
      <c r="L184" t="s">
        <v>106</v>
      </c>
      <c r="M184">
        <v>6.5</v>
      </c>
      <c r="N184" t="s">
        <v>3</v>
      </c>
      <c r="O184" t="s">
        <v>4</v>
      </c>
      <c r="P184">
        <f t="shared" si="13"/>
        <v>1.6306540265670149</v>
      </c>
      <c r="Q184">
        <f t="shared" si="14"/>
        <v>23.710530208988022</v>
      </c>
      <c r="R184" s="67" cm="1">
        <f t="array" ref="R184">SUMPRODUCT((J184=$J$7:$J$1000)*(P184&lt;$P$7:$P$1000))+1</f>
        <v>20</v>
      </c>
      <c r="S184" s="72"/>
      <c r="T184">
        <v>16</v>
      </c>
      <c r="U184" t="str">
        <v>NOLA</v>
      </c>
      <c r="V184" t="str">
        <v>Malcolm May</v>
      </c>
      <c r="W184" t="str">
        <v>NULL</v>
      </c>
      <c r="X184" t="str">
        <v>Away</v>
      </c>
      <c r="Y184" t="str">
        <v>CHI</v>
      </c>
      <c r="Z184">
        <v>5.9094349634577146</v>
      </c>
    </row>
    <row r="185" spans="10:26" x14ac:dyDescent="0.35">
      <c r="J185" s="66">
        <v>10</v>
      </c>
      <c r="K185" t="s">
        <v>13</v>
      </c>
      <c r="L185" t="s">
        <v>120</v>
      </c>
      <c r="M185">
        <v>6.4</v>
      </c>
      <c r="N185" t="s">
        <v>9</v>
      </c>
      <c r="O185" t="s">
        <v>34</v>
      </c>
      <c r="P185">
        <f t="shared" si="13"/>
        <v>5.4988138943599223</v>
      </c>
      <c r="Q185">
        <f t="shared" si="14"/>
        <v>0.81213639699872997</v>
      </c>
      <c r="R185" s="67" cm="1">
        <f t="array" ref="R185">SUMPRODUCT((J185=$J$7:$J$1000)*(P185&lt;$P$7:$P$1000))+1</f>
        <v>9</v>
      </c>
      <c r="S185" s="72"/>
      <c r="T185">
        <v>16</v>
      </c>
      <c r="U185" t="str">
        <v>NOLA</v>
      </c>
      <c r="V185" t="str">
        <v>William Waguespack</v>
      </c>
      <c r="W185" t="str">
        <v>NULL</v>
      </c>
      <c r="X185" t="str">
        <v>Away</v>
      </c>
      <c r="Y185" t="str">
        <v>CHI</v>
      </c>
      <c r="Z185">
        <v>6.0264745197931298</v>
      </c>
    </row>
    <row r="186" spans="10:26" x14ac:dyDescent="0.35">
      <c r="J186" s="66">
        <v>10</v>
      </c>
      <c r="K186" t="s">
        <v>2</v>
      </c>
      <c r="L186" t="s">
        <v>426</v>
      </c>
      <c r="M186">
        <v>5.4</v>
      </c>
      <c r="N186" t="s">
        <v>9</v>
      </c>
      <c r="O186" t="s">
        <v>17</v>
      </c>
      <c r="P186">
        <f t="shared" si="13"/>
        <v>4.4485793187344997</v>
      </c>
      <c r="Q186">
        <f t="shared" si="14"/>
        <v>0.90520131273970927</v>
      </c>
      <c r="R186" s="67" cm="1">
        <f t="array" ref="R186">SUMPRODUCT((J186=$J$7:$J$1000)*(P186&lt;$P$7:$P$1000))+1</f>
        <v>15</v>
      </c>
      <c r="S186" s="72"/>
      <c r="T186">
        <v>16</v>
      </c>
      <c r="U186" t="str">
        <v>OGDC</v>
      </c>
      <c r="V186" t="str">
        <v>Bill Whiteside</v>
      </c>
      <c r="W186" t="str">
        <v>NULL</v>
      </c>
      <c r="X186" t="str">
        <v>Home</v>
      </c>
      <c r="Y186" t="str">
        <v>LA</v>
      </c>
      <c r="Z186">
        <v>3.6440166140286161</v>
      </c>
    </row>
    <row r="187" spans="10:26" x14ac:dyDescent="0.35">
      <c r="J187" s="65">
        <v>10</v>
      </c>
      <c r="K187" t="s">
        <v>23</v>
      </c>
      <c r="L187" t="s">
        <v>421</v>
      </c>
      <c r="M187">
        <v>4.7</v>
      </c>
      <c r="N187" t="s">
        <v>9</v>
      </c>
      <c r="O187" t="s">
        <v>14</v>
      </c>
      <c r="P187">
        <f t="shared" si="13"/>
        <v>5.8114521122903486</v>
      </c>
      <c r="Q187">
        <f t="shared" si="14"/>
        <v>1.2353257979146774</v>
      </c>
      <c r="R187" s="67" cm="1">
        <f t="array" ref="R187">SUMPRODUCT((J187=$J$7:$J$1000)*(P187&lt;$P$7:$P$1000))+1</f>
        <v>6</v>
      </c>
      <c r="S187" s="72"/>
      <c r="T187">
        <v>16</v>
      </c>
      <c r="U187" t="str">
        <v>OGDC</v>
      </c>
      <c r="V187" t="str">
        <v>Ignacio Dotti</v>
      </c>
      <c r="W187" t="str">
        <v>NULL</v>
      </c>
      <c r="X187" t="str">
        <v>Home</v>
      </c>
      <c r="Y187" t="str">
        <v>LA</v>
      </c>
      <c r="Z187">
        <v>2.3940644047360315</v>
      </c>
    </row>
    <row r="188" spans="10:26" x14ac:dyDescent="0.35">
      <c r="J188" s="66">
        <v>10</v>
      </c>
      <c r="K188" t="s">
        <v>14</v>
      </c>
      <c r="L188" t="s">
        <v>107</v>
      </c>
      <c r="M188">
        <v>4.5</v>
      </c>
      <c r="N188" t="s">
        <v>3</v>
      </c>
      <c r="O188" t="s">
        <v>23</v>
      </c>
      <c r="P188">
        <f t="shared" si="13"/>
        <v>6.2355962538050882</v>
      </c>
      <c r="Q188">
        <f t="shared" si="14"/>
        <v>3.0122943562222559</v>
      </c>
      <c r="R188" s="67" cm="1">
        <f t="array" ref="R188">SUMPRODUCT((J188=$J$7:$J$1000)*(P188&lt;$P$7:$P$1000))+1</f>
        <v>5</v>
      </c>
      <c r="S188" s="72"/>
      <c r="T188">
        <v>16</v>
      </c>
      <c r="U188" t="str">
        <v>OGDC</v>
      </c>
      <c r="V188" t="str">
        <v>Rob Harley</v>
      </c>
      <c r="W188" t="str">
        <v>NULL</v>
      </c>
      <c r="X188" t="str">
        <v>Home</v>
      </c>
      <c r="Y188" t="str">
        <v>LA</v>
      </c>
      <c r="Z188">
        <v>4.2846496452212808</v>
      </c>
    </row>
    <row r="189" spans="10:26" x14ac:dyDescent="0.35">
      <c r="J189" s="66">
        <v>10</v>
      </c>
      <c r="K189" t="s">
        <v>17</v>
      </c>
      <c r="L189" t="s">
        <v>105</v>
      </c>
      <c r="M189">
        <v>4.4000000000000004</v>
      </c>
      <c r="N189" t="s">
        <v>3</v>
      </c>
      <c r="O189" t="s">
        <v>2</v>
      </c>
      <c r="P189">
        <f t="shared" si="13"/>
        <v>4.5431136798222305</v>
      </c>
      <c r="Q189">
        <f t="shared" si="14"/>
        <v>2.0481525352259795E-2</v>
      </c>
      <c r="R189" s="67" cm="1">
        <f t="array" ref="R189">SUMPRODUCT((J189=$J$7:$J$1000)*(P189&lt;$P$7:$P$1000))+1</f>
        <v>13</v>
      </c>
      <c r="S189" s="72"/>
      <c r="T189">
        <v>16</v>
      </c>
      <c r="U189" t="str">
        <v>OGDC</v>
      </c>
      <c r="V189" t="str">
        <v>Tevita Naqali</v>
      </c>
      <c r="W189" t="str">
        <v>NULL</v>
      </c>
      <c r="X189" t="str">
        <v>Home</v>
      </c>
      <c r="Y189" t="str">
        <v>LA</v>
      </c>
      <c r="Z189">
        <v>6.1300972777893064</v>
      </c>
    </row>
    <row r="190" spans="10:26" x14ac:dyDescent="0.35">
      <c r="J190" s="66">
        <v>10</v>
      </c>
      <c r="K190" t="s">
        <v>36</v>
      </c>
      <c r="L190" t="s">
        <v>117</v>
      </c>
      <c r="M190">
        <v>3.7</v>
      </c>
      <c r="N190" t="s">
        <v>3</v>
      </c>
      <c r="O190" t="s">
        <v>4</v>
      </c>
      <c r="P190">
        <f t="shared" si="13"/>
        <v>4.4750852717846676</v>
      </c>
      <c r="Q190">
        <f t="shared" si="14"/>
        <v>0.60075717853751187</v>
      </c>
      <c r="R190" s="67" cm="1">
        <f t="array" ref="R190">SUMPRODUCT((J190=$J$7:$J$1000)*(P190&lt;$P$7:$P$1000))+1</f>
        <v>14</v>
      </c>
      <c r="S190" s="72"/>
      <c r="T190">
        <v>16</v>
      </c>
      <c r="U190" t="str">
        <v>SDL</v>
      </c>
      <c r="V190" t="str">
        <v>Brandon Harvey</v>
      </c>
      <c r="W190" t="str">
        <v>NULL</v>
      </c>
      <c r="X190" t="str">
        <v>Away</v>
      </c>
      <c r="Y190" t="str">
        <v>MIA</v>
      </c>
      <c r="Z190">
        <v>1.3971292625236129</v>
      </c>
    </row>
    <row r="191" spans="10:26" x14ac:dyDescent="0.35">
      <c r="J191" s="66">
        <v>10</v>
      </c>
      <c r="K191" t="s">
        <v>24</v>
      </c>
      <c r="L191" t="s">
        <v>511</v>
      </c>
      <c r="M191">
        <v>3.5</v>
      </c>
      <c r="N191" t="s">
        <v>9</v>
      </c>
      <c r="O191" t="s">
        <v>7</v>
      </c>
      <c r="P191">
        <f t="shared" si="13"/>
        <v>6.2749463820970233</v>
      </c>
      <c r="Q191">
        <f t="shared" si="14"/>
        <v>7.7003274235133583</v>
      </c>
      <c r="R191" s="67" cm="1">
        <f t="array" ref="R191">SUMPRODUCT((J191=$J$7:$J$1000)*(P191&lt;$P$7:$P$1000))+1</f>
        <v>4</v>
      </c>
      <c r="S191" s="72"/>
      <c r="T191">
        <v>16</v>
      </c>
      <c r="U191" t="str">
        <v>SDL</v>
      </c>
      <c r="V191" t="str">
        <v>Charlie Hewitt</v>
      </c>
      <c r="W191" t="str">
        <v>NULL</v>
      </c>
      <c r="X191" t="str">
        <v>Away</v>
      </c>
      <c r="Y191" t="str">
        <v>MIA</v>
      </c>
      <c r="Z191">
        <v>3.1818277509123414</v>
      </c>
    </row>
    <row r="192" spans="10:26" x14ac:dyDescent="0.35">
      <c r="J192" s="66">
        <v>10</v>
      </c>
      <c r="K192" t="s">
        <v>4</v>
      </c>
      <c r="L192" t="s">
        <v>335</v>
      </c>
      <c r="M192">
        <v>3.5</v>
      </c>
      <c r="N192" t="s">
        <v>9</v>
      </c>
      <c r="O192" t="s">
        <v>36</v>
      </c>
      <c r="P192">
        <f t="shared" si="13"/>
        <v>3.7709083905641618</v>
      </c>
      <c r="Q192">
        <f t="shared" si="14"/>
        <v>7.3391356078064449E-2</v>
      </c>
      <c r="R192" s="67" cm="1">
        <f t="array" ref="R192">SUMPRODUCT((J192=$J$7:$J$1000)*(P192&lt;$P$7:$P$1000))+1</f>
        <v>17</v>
      </c>
      <c r="S192" s="72"/>
      <c r="T192">
        <v>16</v>
      </c>
      <c r="U192" t="str">
        <v>SDL</v>
      </c>
      <c r="V192" t="str">
        <v>James Rivers</v>
      </c>
      <c r="W192" t="str">
        <v>NULL</v>
      </c>
      <c r="X192" t="str">
        <v>Away</v>
      </c>
      <c r="Y192" t="str">
        <v>MIA</v>
      </c>
      <c r="Z192">
        <v>3.0096056142782848</v>
      </c>
    </row>
    <row r="193" spans="10:26" x14ac:dyDescent="0.35">
      <c r="J193" s="66">
        <v>10</v>
      </c>
      <c r="K193" t="s">
        <v>7</v>
      </c>
      <c r="L193" t="s">
        <v>104</v>
      </c>
      <c r="M193">
        <v>3.4</v>
      </c>
      <c r="N193" t="s">
        <v>3</v>
      </c>
      <c r="O193" t="s">
        <v>24</v>
      </c>
      <c r="P193">
        <f t="shared" si="13"/>
        <v>3.6892428173327323</v>
      </c>
      <c r="Q193">
        <f t="shared" si="14"/>
        <v>8.3661407378576386E-2</v>
      </c>
      <c r="R193" s="67" cm="1">
        <f t="array" ref="R193">SUMPRODUCT((J193=$J$7:$J$1000)*(P193&lt;$P$7:$P$1000))+1</f>
        <v>18</v>
      </c>
      <c r="S193" s="72"/>
      <c r="T193">
        <v>16</v>
      </c>
      <c r="U193" t="str">
        <v>SDL</v>
      </c>
      <c r="V193" t="str">
        <v>Jed Holloway</v>
      </c>
      <c r="W193" t="str">
        <v>NULL</v>
      </c>
      <c r="X193" t="str">
        <v>Away</v>
      </c>
      <c r="Y193" t="str">
        <v>MIA</v>
      </c>
      <c r="Z193">
        <v>7.358641840745344</v>
      </c>
    </row>
    <row r="194" spans="10:26" x14ac:dyDescent="0.35">
      <c r="J194" s="66">
        <v>10</v>
      </c>
      <c r="K194" t="s">
        <v>23</v>
      </c>
      <c r="L194" t="s">
        <v>221</v>
      </c>
      <c r="M194">
        <v>3.3</v>
      </c>
      <c r="N194" t="s">
        <v>9</v>
      </c>
      <c r="O194" t="s">
        <v>14</v>
      </c>
      <c r="P194">
        <f t="shared" si="13"/>
        <v>4.732757373976618</v>
      </c>
      <c r="Q194">
        <f t="shared" si="14"/>
        <v>2.0527936926843751</v>
      </c>
      <c r="R194" s="67" cm="1">
        <f t="array" ref="R194">SUMPRODUCT((J194=$J$7:$J$1000)*(P194&lt;$P$7:$P$1000))+1</f>
        <v>12</v>
      </c>
      <c r="S194" s="72"/>
      <c r="T194">
        <v>16</v>
      </c>
      <c r="U194" t="str">
        <v>SDL</v>
      </c>
      <c r="V194" t="str">
        <v>Vili Helu</v>
      </c>
      <c r="W194" t="str">
        <v>NULL</v>
      </c>
      <c r="X194" t="str">
        <v>Away</v>
      </c>
      <c r="Y194" t="str">
        <v>MIA</v>
      </c>
      <c r="Z194">
        <v>5.355536938525554</v>
      </c>
    </row>
    <row r="195" spans="10:26" x14ac:dyDescent="0.35">
      <c r="J195" s="66">
        <v>10</v>
      </c>
      <c r="K195" t="s">
        <v>14</v>
      </c>
      <c r="L195" t="s">
        <v>471</v>
      </c>
      <c r="M195">
        <v>3.2</v>
      </c>
      <c r="N195" t="s">
        <v>3</v>
      </c>
      <c r="O195" t="s">
        <v>23</v>
      </c>
      <c r="P195">
        <f t="shared" si="13"/>
        <v>4.8403705847186149</v>
      </c>
      <c r="Q195">
        <f t="shared" si="14"/>
        <v>2.6908156552100899</v>
      </c>
      <c r="R195" s="67" cm="1">
        <f t="array" ref="R195">SUMPRODUCT((J195=$J$7:$J$1000)*(P195&lt;$P$7:$P$1000))+1</f>
        <v>11</v>
      </c>
      <c r="S195" s="72"/>
      <c r="T195">
        <v>16</v>
      </c>
      <c r="U195" t="str">
        <v>SDL</v>
      </c>
      <c r="V195" t="str">
        <v>Zak Farrance</v>
      </c>
      <c r="W195" t="str">
        <v>NULL</v>
      </c>
      <c r="X195" t="str">
        <v>Away</v>
      </c>
      <c r="Y195" t="str">
        <v>MIA</v>
      </c>
      <c r="Z195">
        <v>-0.48621934553007828</v>
      </c>
    </row>
    <row r="196" spans="10:26" x14ac:dyDescent="0.35">
      <c r="J196" s="66">
        <v>10</v>
      </c>
      <c r="K196" t="s">
        <v>24</v>
      </c>
      <c r="L196" t="s">
        <v>419</v>
      </c>
      <c r="M196">
        <v>3</v>
      </c>
      <c r="N196" t="s">
        <v>9</v>
      </c>
      <c r="O196" t="s">
        <v>7</v>
      </c>
      <c r="P196">
        <f t="shared" si="13"/>
        <v>5.7732132634018285</v>
      </c>
      <c r="Q196">
        <f t="shared" si="14"/>
        <v>7.6907118043078198</v>
      </c>
      <c r="R196" s="67" cm="1">
        <f t="array" ref="R196">SUMPRODUCT((J196=$J$7:$J$1000)*(P196&lt;$P$7:$P$1000))+1</f>
        <v>7</v>
      </c>
      <c r="S196" s="72"/>
      <c r="T196">
        <v>16</v>
      </c>
      <c r="U196" t="str">
        <v>SEA</v>
      </c>
      <c r="V196" t="str">
        <v>Isaia Lotawa</v>
      </c>
      <c r="W196" t="str">
        <v>NULL</v>
      </c>
      <c r="X196" t="str">
        <v>Away</v>
      </c>
      <c r="Y196" t="str">
        <v>NEFJ</v>
      </c>
      <c r="Z196">
        <v>1.1530650232994872</v>
      </c>
    </row>
    <row r="197" spans="10:26" x14ac:dyDescent="0.35">
      <c r="J197" s="66">
        <v>10</v>
      </c>
      <c r="K197" t="s">
        <v>2</v>
      </c>
      <c r="L197" t="s">
        <v>108</v>
      </c>
      <c r="M197">
        <v>1.9</v>
      </c>
      <c r="N197" t="s">
        <v>9</v>
      </c>
      <c r="O197" t="s">
        <v>17</v>
      </c>
      <c r="P197">
        <f t="shared" si="13"/>
        <v>5.3397522907210888</v>
      </c>
      <c r="Q197">
        <f t="shared" si="14"/>
        <v>11.831895821520979</v>
      </c>
      <c r="R197" s="67" cm="1">
        <f t="array" ref="R197">SUMPRODUCT((J197=$J$7:$J$1000)*(P197&lt;$P$7:$P$1000))+1</f>
        <v>10</v>
      </c>
      <c r="S197" s="72"/>
      <c r="T197">
        <v>16</v>
      </c>
      <c r="U197" t="str">
        <v>SEA</v>
      </c>
      <c r="V197" t="str">
        <v>Malembe Mpofu</v>
      </c>
      <c r="W197" t="str">
        <v>NULL</v>
      </c>
      <c r="X197" t="str">
        <v>Away</v>
      </c>
      <c r="Y197" t="str">
        <v>NEFJ</v>
      </c>
      <c r="Z197">
        <v>2.8926437432385357</v>
      </c>
    </row>
    <row r="198" spans="10:26" x14ac:dyDescent="0.35">
      <c r="J198" s="66">
        <v>10</v>
      </c>
      <c r="K198" t="s">
        <v>34</v>
      </c>
      <c r="L198" t="s">
        <v>119</v>
      </c>
      <c r="M198">
        <v>-2.8</v>
      </c>
      <c r="N198" t="s">
        <v>3</v>
      </c>
      <c r="O198" t="s">
        <v>13</v>
      </c>
      <c r="P198">
        <f t="shared" si="13"/>
        <v>3.0256345127109161</v>
      </c>
      <c r="Q198">
        <f t="shared" si="14"/>
        <v>33.938017475688554</v>
      </c>
      <c r="R198" s="67" cm="1">
        <f t="array" ref="R198">SUMPRODUCT((J198=$J$7:$J$1000)*(P198&lt;$P$7:$P$1000))+1</f>
        <v>19</v>
      </c>
      <c r="S198" s="72"/>
      <c r="T198">
        <v>16</v>
      </c>
      <c r="U198" t="str">
        <v>SEA</v>
      </c>
      <c r="V198" t="str">
        <v>OJ Noa</v>
      </c>
      <c r="W198" t="str">
        <v>NULL</v>
      </c>
      <c r="X198" t="str">
        <v>Away</v>
      </c>
      <c r="Y198" t="str">
        <v>NEFJ</v>
      </c>
      <c r="Z198">
        <v>7.7632431065366392</v>
      </c>
    </row>
    <row r="199" spans="10:26" x14ac:dyDescent="0.35">
      <c r="J199" s="66">
        <v>11</v>
      </c>
      <c r="K199" t="s">
        <v>34</v>
      </c>
      <c r="L199" t="s">
        <v>420</v>
      </c>
      <c r="M199">
        <v>18.600000000000001</v>
      </c>
      <c r="N199" t="s">
        <v>9</v>
      </c>
      <c r="O199" t="s">
        <v>6</v>
      </c>
      <c r="P199">
        <f t="shared" si="13"/>
        <v>7.9540486686338925</v>
      </c>
      <c r="Q199">
        <f t="shared" si="14"/>
        <v>113.33627974981584</v>
      </c>
      <c r="R199" s="67" cm="1">
        <f t="array" ref="R199">SUMPRODUCT((J199=$J$7:$J$1000)*(P199&lt;$P$7:$P$1000))+1</f>
        <v>3</v>
      </c>
      <c r="S199" s="72"/>
      <c r="T199">
        <v>16</v>
      </c>
      <c r="U199" t="str">
        <v>SEA</v>
      </c>
      <c r="V199" t="str">
        <v>Rhyno Herbst</v>
      </c>
      <c r="W199" t="str">
        <v>NULL</v>
      </c>
      <c r="X199" t="str">
        <v>Away</v>
      </c>
      <c r="Y199" t="str">
        <v>NEFJ</v>
      </c>
      <c r="Z199">
        <v>4.281610129810546</v>
      </c>
    </row>
    <row r="200" spans="10:26" x14ac:dyDescent="0.35">
      <c r="J200" s="66">
        <v>11</v>
      </c>
      <c r="K200" t="s">
        <v>6</v>
      </c>
      <c r="L200" t="s">
        <v>430</v>
      </c>
      <c r="M200">
        <v>15</v>
      </c>
      <c r="N200" t="s">
        <v>3</v>
      </c>
      <c r="O200" t="s">
        <v>34</v>
      </c>
      <c r="P200">
        <f t="shared" ref="P200:P263" si="15">VLOOKUP($N200,$F$3:$G$4,2,FALSE)+VLOOKUP($L200,$B$20:$C$150,2,FALSE)+VLOOKUP($O200,$A$6:$B$16,2,FALSE)</f>
        <v>14.999977237031937</v>
      </c>
      <c r="Q200">
        <f t="shared" si="14"/>
        <v>5.1815271505360194E-10</v>
      </c>
      <c r="R200" s="67" cm="1">
        <f t="array" ref="R200">SUMPRODUCT((J200=$J$7:$J$1000)*(P200&lt;$P$7:$P$1000))+1</f>
        <v>1</v>
      </c>
      <c r="S200" s="72"/>
      <c r="T200">
        <v>16</v>
      </c>
      <c r="U200" t="str">
        <v>SEA</v>
      </c>
      <c r="V200" t="str">
        <v>Siaosi Mahoni</v>
      </c>
      <c r="W200" t="str">
        <v>NULL</v>
      </c>
      <c r="X200" t="str">
        <v>Away</v>
      </c>
      <c r="Y200" t="str">
        <v>NEFJ</v>
      </c>
      <c r="Z200">
        <v>4.0964776180073716</v>
      </c>
    </row>
    <row r="201" spans="10:26" x14ac:dyDescent="0.35">
      <c r="J201" s="66">
        <v>11</v>
      </c>
      <c r="K201" t="s">
        <v>36</v>
      </c>
      <c r="L201" t="s">
        <v>117</v>
      </c>
      <c r="M201">
        <v>14.6</v>
      </c>
      <c r="N201" t="s">
        <v>3</v>
      </c>
      <c r="O201" t="s">
        <v>7</v>
      </c>
      <c r="P201">
        <f t="shared" si="15"/>
        <v>5.8898503490963554</v>
      </c>
      <c r="Q201">
        <f t="shared" si="14"/>
        <v>75.866706941136897</v>
      </c>
      <c r="R201" s="67" cm="1">
        <f t="array" ref="R201">SUMPRODUCT((J201=$J$7:$J$1000)*(P201&lt;$P$7:$P$1000))+1</f>
        <v>8</v>
      </c>
      <c r="S201" s="72"/>
      <c r="T201">
        <v>16</v>
      </c>
      <c r="U201" t="str">
        <v>SEA</v>
      </c>
      <c r="V201" t="str">
        <v>Taylor Krumrei</v>
      </c>
      <c r="W201" t="str">
        <v>NULL</v>
      </c>
      <c r="X201" t="str">
        <v>Away</v>
      </c>
      <c r="Y201" t="str">
        <v>NEFJ</v>
      </c>
      <c r="Z201">
        <v>1.3158980377873206</v>
      </c>
    </row>
    <row r="202" spans="10:26" x14ac:dyDescent="0.35">
      <c r="J202" s="66">
        <v>11</v>
      </c>
      <c r="K202" t="s">
        <v>6</v>
      </c>
      <c r="L202" t="s">
        <v>529</v>
      </c>
      <c r="M202">
        <v>7.7</v>
      </c>
      <c r="N202" t="s">
        <v>3</v>
      </c>
      <c r="O202" t="s">
        <v>34</v>
      </c>
      <c r="P202">
        <f t="shared" si="15"/>
        <v>4.7085047836113159</v>
      </c>
      <c r="Q202">
        <f t="shared" si="14"/>
        <v>8.9490436296763818</v>
      </c>
      <c r="R202" s="67" cm="1">
        <f t="array" ref="R202">SUMPRODUCT((J202=$J$7:$J$1000)*(P202&lt;$P$7:$P$1000))+1</f>
        <v>13</v>
      </c>
      <c r="S202" s="72"/>
      <c r="T202">
        <v>16</v>
      </c>
      <c r="U202" t="str">
        <v>UTAH</v>
      </c>
      <c r="V202" t="str">
        <v>Frank Lochore</v>
      </c>
      <c r="W202" t="str">
        <v>NULL</v>
      </c>
      <c r="X202" t="str">
        <v>Home</v>
      </c>
      <c r="Y202" t="str">
        <v>ARC</v>
      </c>
      <c r="Z202">
        <v>7.144680007049474</v>
      </c>
    </row>
    <row r="203" spans="10:26" x14ac:dyDescent="0.35">
      <c r="J203" s="66">
        <v>11</v>
      </c>
      <c r="K203" t="s">
        <v>6</v>
      </c>
      <c r="L203" t="s">
        <v>208</v>
      </c>
      <c r="M203">
        <v>6.8</v>
      </c>
      <c r="N203" t="s">
        <v>9</v>
      </c>
      <c r="O203" t="s">
        <v>34</v>
      </c>
      <c r="P203">
        <f t="shared" si="15"/>
        <v>8.1859035128187294</v>
      </c>
      <c r="Q203">
        <f t="shared" si="14"/>
        <v>1.9207285468432946</v>
      </c>
      <c r="R203" s="67" cm="1">
        <f t="array" ref="R203">SUMPRODUCT((J203=$J$7:$J$1000)*(P203&lt;$P$7:$P$1000))+1</f>
        <v>2</v>
      </c>
      <c r="S203" s="72"/>
      <c r="T203">
        <v>16</v>
      </c>
      <c r="U203" t="str">
        <v>UTAH</v>
      </c>
      <c r="V203" t="str">
        <v>Gavin Thornbury</v>
      </c>
      <c r="W203" t="str">
        <v>NULL</v>
      </c>
      <c r="X203" t="str">
        <v>Home</v>
      </c>
      <c r="Y203" t="str">
        <v>ARC</v>
      </c>
      <c r="Z203">
        <v>6.0868209388518233</v>
      </c>
    </row>
    <row r="204" spans="10:26" x14ac:dyDescent="0.35">
      <c r="J204" s="66">
        <v>11</v>
      </c>
      <c r="K204" t="s">
        <v>6</v>
      </c>
      <c r="L204" t="s">
        <v>634</v>
      </c>
      <c r="M204">
        <v>6.3</v>
      </c>
      <c r="N204" t="s">
        <v>9</v>
      </c>
      <c r="O204" t="s">
        <v>34</v>
      </c>
      <c r="P204">
        <f t="shared" si="15"/>
        <v>4.9888206491856781</v>
      </c>
      <c r="Q204">
        <f t="shared" si="14"/>
        <v>1.719191290001866</v>
      </c>
      <c r="R204" s="67" cm="1">
        <f t="array" ref="R204">SUMPRODUCT((J204=$J$7:$J$1000)*(P204&lt;$P$7:$P$1000))+1</f>
        <v>12</v>
      </c>
      <c r="S204" s="72"/>
      <c r="T204">
        <v>16</v>
      </c>
      <c r="U204" t="str">
        <v>UTAH</v>
      </c>
      <c r="V204" t="str">
        <v>Matt Jenson</v>
      </c>
      <c r="W204" t="str">
        <v>NULL</v>
      </c>
      <c r="X204" t="str">
        <v>Home</v>
      </c>
      <c r="Y204" t="str">
        <v>ARC</v>
      </c>
      <c r="Z204">
        <v>5.7322986036216186</v>
      </c>
    </row>
    <row r="205" spans="10:26" x14ac:dyDescent="0.35">
      <c r="J205" s="66">
        <v>11</v>
      </c>
      <c r="K205" t="s">
        <v>24</v>
      </c>
      <c r="L205" t="s">
        <v>652</v>
      </c>
      <c r="M205">
        <v>5.8</v>
      </c>
      <c r="N205" t="s">
        <v>3</v>
      </c>
      <c r="O205" t="s">
        <v>14</v>
      </c>
      <c r="P205">
        <f t="shared" si="15"/>
        <v>5.8079138912909745</v>
      </c>
      <c r="Q205">
        <f t="shared" si="14"/>
        <v>6.2629675365364246E-5</v>
      </c>
      <c r="R205" s="67" cm="1">
        <f t="array" ref="R205">SUMPRODUCT((J205=$J$7:$J$1000)*(P205&lt;$P$7:$P$1000))+1</f>
        <v>9</v>
      </c>
      <c r="S205" s="72"/>
      <c r="T205">
        <v>16</v>
      </c>
      <c r="U205" t="str">
        <v>UTAH</v>
      </c>
      <c r="V205" t="str">
        <v>Saia 'Uhila</v>
      </c>
      <c r="W205" t="str">
        <v>NULL</v>
      </c>
      <c r="X205" t="str">
        <v>Home</v>
      </c>
      <c r="Y205" t="str">
        <v>ARC</v>
      </c>
      <c r="Z205">
        <v>2.7170460124012186</v>
      </c>
    </row>
    <row r="206" spans="10:26" x14ac:dyDescent="0.35">
      <c r="J206" s="66">
        <v>11</v>
      </c>
      <c r="K206" t="s">
        <v>34</v>
      </c>
      <c r="L206" t="s">
        <v>228</v>
      </c>
      <c r="M206">
        <v>5</v>
      </c>
      <c r="N206" t="s">
        <v>9</v>
      </c>
      <c r="O206" t="s">
        <v>6</v>
      </c>
      <c r="P206">
        <f t="shared" si="15"/>
        <v>5.9509437664141025</v>
      </c>
      <c r="Q206">
        <f t="shared" si="14"/>
        <v>0.90429404688183912</v>
      </c>
      <c r="R206" s="67" cm="1">
        <f t="array" ref="R206">SUMPRODUCT((J206=$J$7:$J$1000)*(P206&lt;$P$7:$P$1000))+1</f>
        <v>7</v>
      </c>
      <c r="S206" s="72"/>
    </row>
    <row r="207" spans="10:26" x14ac:dyDescent="0.35">
      <c r="J207" s="66">
        <v>11</v>
      </c>
      <c r="K207" t="s">
        <v>2</v>
      </c>
      <c r="L207" t="s">
        <v>115</v>
      </c>
      <c r="M207">
        <v>4.8</v>
      </c>
      <c r="N207" t="s">
        <v>9</v>
      </c>
      <c r="O207" t="s">
        <v>13</v>
      </c>
      <c r="P207">
        <f t="shared" si="15"/>
        <v>4.5554813798794767</v>
      </c>
      <c r="Q207">
        <f t="shared" si="14"/>
        <v>5.9789355585644716E-2</v>
      </c>
      <c r="R207" s="67" cm="1">
        <f t="array" ref="R207">SUMPRODUCT((J207=$J$7:$J$1000)*(P207&lt;$P$7:$P$1000))+1</f>
        <v>14</v>
      </c>
      <c r="S207" s="72"/>
    </row>
    <row r="208" spans="10:26" x14ac:dyDescent="0.35">
      <c r="J208" s="66">
        <v>11</v>
      </c>
      <c r="K208" t="s">
        <v>4</v>
      </c>
      <c r="L208" t="s">
        <v>335</v>
      </c>
      <c r="M208">
        <v>4.7</v>
      </c>
      <c r="N208" t="s">
        <v>3</v>
      </c>
      <c r="O208" t="s">
        <v>17</v>
      </c>
      <c r="P208">
        <f t="shared" si="15"/>
        <v>3.9875719513160357</v>
      </c>
      <c r="Q208">
        <f t="shared" si="14"/>
        <v>0.50755372455164127</v>
      </c>
      <c r="R208" s="67" cm="1">
        <f t="array" ref="R208">SUMPRODUCT((J208=$J$7:$J$1000)*(P208&lt;$P$7:$P$1000))+1</f>
        <v>18</v>
      </c>
      <c r="S208" s="72"/>
    </row>
    <row r="209" spans="10:19" x14ac:dyDescent="0.35">
      <c r="J209" s="66">
        <v>11</v>
      </c>
      <c r="K209" t="s">
        <v>7</v>
      </c>
      <c r="L209" t="s">
        <v>277</v>
      </c>
      <c r="M209">
        <v>4.5</v>
      </c>
      <c r="N209" t="s">
        <v>9</v>
      </c>
      <c r="O209" t="s">
        <v>36</v>
      </c>
      <c r="P209">
        <f t="shared" si="15"/>
        <v>6.09850277455197</v>
      </c>
      <c r="Q209">
        <f t="shared" si="14"/>
        <v>2.555211120250346</v>
      </c>
      <c r="R209" s="67" cm="1">
        <f t="array" ref="R209">SUMPRODUCT((J209=$J$7:$J$1000)*(P209&lt;$P$7:$P$1000))+1</f>
        <v>6</v>
      </c>
      <c r="S209" s="72"/>
    </row>
    <row r="210" spans="10:19" x14ac:dyDescent="0.35">
      <c r="J210" s="66">
        <v>11</v>
      </c>
      <c r="K210" t="s">
        <v>24</v>
      </c>
      <c r="L210" t="s">
        <v>648</v>
      </c>
      <c r="M210">
        <v>4.0999999999999996</v>
      </c>
      <c r="N210" t="s">
        <v>3</v>
      </c>
      <c r="O210" t="s">
        <v>14</v>
      </c>
      <c r="P210">
        <f t="shared" si="15"/>
        <v>3.9549969911180947</v>
      </c>
      <c r="Q210">
        <f t="shared" si="14"/>
        <v>2.1025872584805816E-2</v>
      </c>
      <c r="R210" s="67" cm="1">
        <f t="array" ref="R210">SUMPRODUCT((J210=$J$7:$J$1000)*(P210&lt;$P$7:$P$1000))+1</f>
        <v>19</v>
      </c>
      <c r="S210" s="72"/>
    </row>
    <row r="211" spans="10:19" x14ac:dyDescent="0.35">
      <c r="J211" s="66">
        <v>11</v>
      </c>
      <c r="K211" t="s">
        <v>17</v>
      </c>
      <c r="L211" t="s">
        <v>427</v>
      </c>
      <c r="M211">
        <v>4.0999999999999996</v>
      </c>
      <c r="N211" t="s">
        <v>9</v>
      </c>
      <c r="O211" t="s">
        <v>4</v>
      </c>
      <c r="P211">
        <f t="shared" si="15"/>
        <v>7.0773657127803409</v>
      </c>
      <c r="Q211">
        <f t="shared" si="14"/>
        <v>8.86470658763999</v>
      </c>
      <c r="R211" s="67" cm="1">
        <f t="array" ref="R211">SUMPRODUCT((J211=$J$7:$J$1000)*(P211&lt;$P$7:$P$1000))+1</f>
        <v>4</v>
      </c>
      <c r="S211" s="72"/>
    </row>
    <row r="212" spans="10:19" x14ac:dyDescent="0.35">
      <c r="J212" s="66">
        <v>11</v>
      </c>
      <c r="K212" t="s">
        <v>14</v>
      </c>
      <c r="L212" t="s">
        <v>471</v>
      </c>
      <c r="M212">
        <v>3.5</v>
      </c>
      <c r="N212" t="s">
        <v>9</v>
      </c>
      <c r="O212" t="s">
        <v>24</v>
      </c>
      <c r="P212">
        <f t="shared" si="15"/>
        <v>4.3507951637350057</v>
      </c>
      <c r="Q212">
        <f t="shared" si="14"/>
        <v>0.72385241063487527</v>
      </c>
      <c r="R212" s="67" cm="1">
        <f t="array" ref="R212">SUMPRODUCT((J212=$J$7:$J$1000)*(P212&lt;$P$7:$P$1000))+1</f>
        <v>15</v>
      </c>
      <c r="S212" s="72"/>
    </row>
    <row r="213" spans="10:19" x14ac:dyDescent="0.35">
      <c r="J213" s="66">
        <v>11</v>
      </c>
      <c r="K213" t="s">
        <v>13</v>
      </c>
      <c r="L213" t="s">
        <v>120</v>
      </c>
      <c r="M213">
        <v>3.5</v>
      </c>
      <c r="N213" t="s">
        <v>3</v>
      </c>
      <c r="O213" t="s">
        <v>2</v>
      </c>
      <c r="P213">
        <f t="shared" si="15"/>
        <v>5.0557941411450837</v>
      </c>
      <c r="Q213">
        <f t="shared" si="14"/>
        <v>2.4204954096213687</v>
      </c>
      <c r="R213" s="67" cm="1">
        <f t="array" ref="R213">SUMPRODUCT((J213=$J$7:$J$1000)*(P213&lt;$P$7:$P$1000))+1</f>
        <v>11</v>
      </c>
      <c r="S213" s="72"/>
    </row>
    <row r="214" spans="10:19" x14ac:dyDescent="0.35">
      <c r="J214" s="66">
        <v>11</v>
      </c>
      <c r="K214" t="s">
        <v>14</v>
      </c>
      <c r="L214" t="s">
        <v>107</v>
      </c>
      <c r="M214">
        <v>3.4</v>
      </c>
      <c r="N214" t="s">
        <v>9</v>
      </c>
      <c r="O214" t="s">
        <v>24</v>
      </c>
      <c r="P214">
        <f t="shared" si="15"/>
        <v>5.746020832821479</v>
      </c>
      <c r="Q214">
        <f t="shared" si="14"/>
        <v>5.5038137480323863</v>
      </c>
      <c r="R214" s="67" cm="1">
        <f t="array" ref="R214">SUMPRODUCT((J214=$J$7:$J$1000)*(P214&lt;$P$7:$P$1000))+1</f>
        <v>10</v>
      </c>
      <c r="S214" s="72"/>
    </row>
    <row r="215" spans="10:19" x14ac:dyDescent="0.35">
      <c r="J215" s="66">
        <v>11</v>
      </c>
      <c r="K215" t="s">
        <v>7</v>
      </c>
      <c r="L215" t="s">
        <v>104</v>
      </c>
      <c r="M215">
        <v>3.3</v>
      </c>
      <c r="N215" t="s">
        <v>9</v>
      </c>
      <c r="O215" t="s">
        <v>36</v>
      </c>
      <c r="P215">
        <f t="shared" si="15"/>
        <v>4.2530551419839444</v>
      </c>
      <c r="Q215">
        <f t="shared" si="14"/>
        <v>0.9083141036620368</v>
      </c>
      <c r="R215" s="67" cm="1">
        <f t="array" ref="R215">SUMPRODUCT((J215=$J$7:$J$1000)*(P215&lt;$P$7:$P$1000))+1</f>
        <v>16</v>
      </c>
      <c r="S215" s="72"/>
    </row>
    <row r="216" spans="10:19" x14ac:dyDescent="0.35">
      <c r="J216" s="66">
        <v>11</v>
      </c>
      <c r="K216" t="s">
        <v>14</v>
      </c>
      <c r="L216" t="s">
        <v>425</v>
      </c>
      <c r="M216">
        <v>3.1</v>
      </c>
      <c r="N216" t="s">
        <v>3</v>
      </c>
      <c r="O216" t="s">
        <v>24</v>
      </c>
      <c r="P216">
        <f t="shared" si="15"/>
        <v>2.5505687289604699</v>
      </c>
      <c r="Q216">
        <f t="shared" si="14"/>
        <v>0.30187472159611367</v>
      </c>
      <c r="R216" s="67" cm="1">
        <f t="array" ref="R216">SUMPRODUCT((J216=$J$7:$J$1000)*(P216&lt;$P$7:$P$1000))+1</f>
        <v>24</v>
      </c>
      <c r="S216" s="72"/>
    </row>
    <row r="217" spans="10:19" x14ac:dyDescent="0.35">
      <c r="J217" s="66">
        <v>11</v>
      </c>
      <c r="K217" t="s">
        <v>2</v>
      </c>
      <c r="L217" t="s">
        <v>426</v>
      </c>
      <c r="M217">
        <v>2.9</v>
      </c>
      <c r="N217" t="s">
        <v>9</v>
      </c>
      <c r="O217" t="s">
        <v>13</v>
      </c>
      <c r="P217">
        <f t="shared" si="15"/>
        <v>3.4974690595926301</v>
      </c>
      <c r="Q217">
        <f t="shared" si="14"/>
        <v>0.35696927717050186</v>
      </c>
      <c r="R217" s="67" cm="1">
        <f t="array" ref="R217">SUMPRODUCT((J217=$J$7:$J$1000)*(P217&lt;$P$7:$P$1000))+1</f>
        <v>22</v>
      </c>
      <c r="S217" s="72"/>
    </row>
    <row r="218" spans="10:19" x14ac:dyDescent="0.35">
      <c r="J218" s="66">
        <v>11</v>
      </c>
      <c r="K218" t="s">
        <v>36</v>
      </c>
      <c r="L218" t="s">
        <v>106</v>
      </c>
      <c r="M218">
        <v>2.8</v>
      </c>
      <c r="N218" t="s">
        <v>3</v>
      </c>
      <c r="O218" t="s">
        <v>7</v>
      </c>
      <c r="P218">
        <f t="shared" si="15"/>
        <v>3.0454191038787028</v>
      </c>
      <c r="Q218">
        <f t="shared" si="14"/>
        <v>6.0230536548625625E-2</v>
      </c>
      <c r="R218" s="67" cm="1">
        <f t="array" ref="R218">SUMPRODUCT((J218=$J$7:$J$1000)*(P218&lt;$P$7:$P$1000))+1</f>
        <v>23</v>
      </c>
      <c r="S218" s="72"/>
    </row>
    <row r="219" spans="10:19" x14ac:dyDescent="0.35">
      <c r="J219" s="66">
        <v>11</v>
      </c>
      <c r="K219" t="s">
        <v>14</v>
      </c>
      <c r="L219" t="s">
        <v>610</v>
      </c>
      <c r="M219">
        <v>2.2999999999999998</v>
      </c>
      <c r="N219" t="s">
        <v>3</v>
      </c>
      <c r="O219" t="s">
        <v>24</v>
      </c>
      <c r="P219">
        <f t="shared" si="15"/>
        <v>2.00260879742802</v>
      </c>
      <c r="Q219">
        <f t="shared" si="14"/>
        <v>8.8441527367208339E-2</v>
      </c>
      <c r="R219" s="67" cm="1">
        <f t="array" ref="R219">SUMPRODUCT((J219=$J$7:$J$1000)*(P219&lt;$P$7:$P$1000))+1</f>
        <v>25</v>
      </c>
      <c r="S219" s="72"/>
    </row>
    <row r="220" spans="10:19" x14ac:dyDescent="0.35">
      <c r="J220" s="66">
        <v>11</v>
      </c>
      <c r="K220" t="s">
        <v>17</v>
      </c>
      <c r="L220" t="s">
        <v>105</v>
      </c>
      <c r="M220">
        <v>1.5</v>
      </c>
      <c r="N220" t="s">
        <v>9</v>
      </c>
      <c r="O220" t="s">
        <v>4</v>
      </c>
      <c r="P220">
        <f t="shared" si="15"/>
        <v>3.5957327360542477</v>
      </c>
      <c r="Q220">
        <f t="shared" si="14"/>
        <v>4.3920957009694233</v>
      </c>
      <c r="R220" s="67" cm="1">
        <f t="array" ref="R220">SUMPRODUCT((J220=$J$7:$J$1000)*(P220&lt;$P$7:$P$1000))+1</f>
        <v>20</v>
      </c>
      <c r="S220" s="72"/>
    </row>
    <row r="221" spans="10:19" x14ac:dyDescent="0.35">
      <c r="J221" s="66">
        <v>11</v>
      </c>
      <c r="K221" t="s">
        <v>17</v>
      </c>
      <c r="L221" t="s">
        <v>284</v>
      </c>
      <c r="M221">
        <v>0.6</v>
      </c>
      <c r="N221" t="s">
        <v>9</v>
      </c>
      <c r="O221" t="s">
        <v>4</v>
      </c>
      <c r="P221">
        <f t="shared" si="15"/>
        <v>0.63002064403102187</v>
      </c>
      <c r="Q221">
        <f t="shared" si="14"/>
        <v>9.012390680373304E-4</v>
      </c>
      <c r="R221" s="67" cm="1">
        <f t="array" ref="R221">SUMPRODUCT((J221=$J$7:$J$1000)*(P221&lt;$P$7:$P$1000))+1</f>
        <v>26</v>
      </c>
      <c r="S221" s="72"/>
    </row>
    <row r="222" spans="10:19" x14ac:dyDescent="0.35">
      <c r="J222" s="66">
        <v>11</v>
      </c>
      <c r="K222" t="s">
        <v>4</v>
      </c>
      <c r="L222" t="s">
        <v>643</v>
      </c>
      <c r="M222">
        <v>0.4</v>
      </c>
      <c r="N222" t="s">
        <v>3</v>
      </c>
      <c r="O222" t="s">
        <v>17</v>
      </c>
      <c r="P222">
        <f t="shared" si="15"/>
        <v>4.0632683512427139</v>
      </c>
      <c r="Q222">
        <f t="shared" si="14"/>
        <v>13.419535013216512</v>
      </c>
      <c r="R222" s="67" cm="1">
        <f t="array" ref="R222">SUMPRODUCT((J222=$J$7:$J$1000)*(P222&lt;$P$7:$P$1000))+1</f>
        <v>17</v>
      </c>
      <c r="S222" s="72"/>
    </row>
    <row r="223" spans="10:19" x14ac:dyDescent="0.35">
      <c r="J223" s="66">
        <v>11</v>
      </c>
      <c r="K223" t="s">
        <v>13</v>
      </c>
      <c r="L223" t="s">
        <v>103</v>
      </c>
      <c r="M223">
        <v>0.2</v>
      </c>
      <c r="N223" t="s">
        <v>3</v>
      </c>
      <c r="O223" t="s">
        <v>2</v>
      </c>
      <c r="P223">
        <f t="shared" si="15"/>
        <v>6.4681755445729401</v>
      </c>
      <c r="Q223">
        <f t="shared" si="14"/>
        <v>39.290024657582272</v>
      </c>
      <c r="R223" s="67" cm="1">
        <f t="array" ref="R223">SUMPRODUCT((J223=$J$7:$J$1000)*(P223&lt;$P$7:$P$1000))+1</f>
        <v>5</v>
      </c>
      <c r="S223" s="72"/>
    </row>
    <row r="224" spans="10:19" x14ac:dyDescent="0.35">
      <c r="J224" s="66">
        <v>11</v>
      </c>
      <c r="K224" t="s">
        <v>17</v>
      </c>
      <c r="L224" t="s">
        <v>105</v>
      </c>
      <c r="M224">
        <v>-1.3</v>
      </c>
      <c r="N224" t="s">
        <v>9</v>
      </c>
      <c r="O224" t="s">
        <v>4</v>
      </c>
      <c r="P224">
        <f t="shared" si="15"/>
        <v>3.5957327360542477</v>
      </c>
      <c r="Q224">
        <f t="shared" si="14"/>
        <v>23.968199022873208</v>
      </c>
      <c r="R224" s="67" cm="1">
        <f t="array" ref="R224">SUMPRODUCT((J224=$J$7:$J$1000)*(P224&lt;$P$7:$P$1000))+1</f>
        <v>20</v>
      </c>
      <c r="S224" s="72"/>
    </row>
    <row r="225" spans="10:19" x14ac:dyDescent="0.35">
      <c r="J225" s="66">
        <v>12</v>
      </c>
      <c r="K225" t="s">
        <v>13</v>
      </c>
      <c r="L225" t="s">
        <v>103</v>
      </c>
      <c r="M225">
        <v>9.9</v>
      </c>
      <c r="N225" t="s">
        <v>3</v>
      </c>
      <c r="O225" t="s">
        <v>7</v>
      </c>
      <c r="P225">
        <f t="shared" si="15"/>
        <v>6.950000813654003</v>
      </c>
      <c r="Q225">
        <f t="shared" ref="Q225:Q288" si="16">IFERROR(($M225-$P225)^2,"")</f>
        <v>8.7024951994420459</v>
      </c>
      <c r="R225" s="67" cm="1">
        <f t="array" ref="R225">SUMPRODUCT((J225=$J$7:$J$1000)*(P225&lt;$P$7:$P$1000))+1</f>
        <v>4</v>
      </c>
      <c r="S225" s="72"/>
    </row>
    <row r="226" spans="10:19" x14ac:dyDescent="0.35">
      <c r="J226" s="66">
        <v>12</v>
      </c>
      <c r="K226" t="s">
        <v>6</v>
      </c>
      <c r="L226" t="s">
        <v>208</v>
      </c>
      <c r="M226">
        <v>8.9</v>
      </c>
      <c r="N226" t="s">
        <v>9</v>
      </c>
      <c r="O226" t="s">
        <v>17</v>
      </c>
      <c r="P226">
        <f t="shared" si="15"/>
        <v>7.786721809549042</v>
      </c>
      <c r="Q226">
        <f t="shared" si="16"/>
        <v>1.2393883293337602</v>
      </c>
      <c r="R226" s="67" cm="1">
        <f t="array" ref="R226">SUMPRODUCT((J226=$J$7:$J$1000)*(P226&lt;$P$7:$P$1000))+1</f>
        <v>2</v>
      </c>
      <c r="S226" s="72"/>
    </row>
    <row r="227" spans="10:19" x14ac:dyDescent="0.35">
      <c r="J227" s="66">
        <v>12</v>
      </c>
      <c r="K227" t="s">
        <v>34</v>
      </c>
      <c r="L227" t="s">
        <v>119</v>
      </c>
      <c r="M227">
        <v>8.8000000000000007</v>
      </c>
      <c r="N227" t="s">
        <v>9</v>
      </c>
      <c r="O227" t="s">
        <v>4</v>
      </c>
      <c r="P227">
        <f t="shared" si="15"/>
        <v>2.9710846426022925</v>
      </c>
      <c r="Q227">
        <f t="shared" si="16"/>
        <v>33.976254243706855</v>
      </c>
      <c r="R227" s="67" cm="1">
        <f t="array" ref="R227">SUMPRODUCT((J227=$J$7:$J$1000)*(P227&lt;$P$7:$P$1000))+1</f>
        <v>21</v>
      </c>
      <c r="S227" s="72"/>
    </row>
    <row r="228" spans="10:19" x14ac:dyDescent="0.35">
      <c r="J228" s="66">
        <v>12</v>
      </c>
      <c r="K228" t="s">
        <v>24</v>
      </c>
      <c r="L228" t="s">
        <v>511</v>
      </c>
      <c r="M228">
        <v>8.1</v>
      </c>
      <c r="N228" t="s">
        <v>9</v>
      </c>
      <c r="O228" t="s">
        <v>2</v>
      </c>
      <c r="P228">
        <f t="shared" si="15"/>
        <v>5.7931211130159603</v>
      </c>
      <c r="Q228">
        <f t="shared" si="16"/>
        <v>5.3216901992127204</v>
      </c>
      <c r="R228" s="67" cm="1">
        <f t="array" ref="R228">SUMPRODUCT((J228=$J$7:$J$1000)*(P228&lt;$P$7:$P$1000))+1</f>
        <v>6</v>
      </c>
      <c r="S228" s="72"/>
    </row>
    <row r="229" spans="10:19" x14ac:dyDescent="0.35">
      <c r="J229" s="66">
        <v>12</v>
      </c>
      <c r="K229" t="s">
        <v>17</v>
      </c>
      <c r="L229" t="s">
        <v>427</v>
      </c>
      <c r="M229">
        <v>7.7</v>
      </c>
      <c r="N229" t="s">
        <v>3</v>
      </c>
      <c r="O229" t="s">
        <v>6</v>
      </c>
      <c r="P229">
        <f t="shared" si="15"/>
        <v>7.8979567845162961</v>
      </c>
      <c r="Q229">
        <f t="shared" si="16"/>
        <v>3.9186888536031229E-2</v>
      </c>
      <c r="R229" s="67" cm="1">
        <f t="array" ref="R229">SUMPRODUCT((J229=$J$7:$J$1000)*(P229&lt;$P$7:$P$1000))+1</f>
        <v>1</v>
      </c>
      <c r="S229" s="72"/>
    </row>
    <row r="230" spans="10:19" x14ac:dyDescent="0.35">
      <c r="J230" s="66">
        <v>12</v>
      </c>
      <c r="K230" t="s">
        <v>4</v>
      </c>
      <c r="L230" t="s">
        <v>118</v>
      </c>
      <c r="M230">
        <v>7.6</v>
      </c>
      <c r="N230" t="s">
        <v>9</v>
      </c>
      <c r="O230" t="s">
        <v>34</v>
      </c>
      <c r="P230">
        <f t="shared" si="15"/>
        <v>4.3359072992522023</v>
      </c>
      <c r="Q230">
        <f t="shared" si="16"/>
        <v>10.65430115907505</v>
      </c>
      <c r="R230" s="67" cm="1">
        <f t="array" ref="R230">SUMPRODUCT((J230=$J$7:$J$1000)*(P230&lt;$P$7:$P$1000))+1</f>
        <v>15</v>
      </c>
      <c r="S230" s="72"/>
    </row>
    <row r="231" spans="10:19" x14ac:dyDescent="0.35">
      <c r="J231">
        <v>12</v>
      </c>
      <c r="K231" t="s">
        <v>7</v>
      </c>
      <c r="L231" t="s">
        <v>277</v>
      </c>
      <c r="M231">
        <v>7.5</v>
      </c>
      <c r="N231" t="s">
        <v>3</v>
      </c>
      <c r="O231" t="s">
        <v>13</v>
      </c>
      <c r="P231">
        <f t="shared" si="15"/>
        <v>5.3640560761619751</v>
      </c>
      <c r="Q231">
        <f t="shared" si="16"/>
        <v>4.5622564457805783</v>
      </c>
      <c r="R231" s="67" cm="1">
        <f t="array" ref="R231">SUMPRODUCT((J231=$J$7:$J$1000)*(P231&lt;$P$7:$P$1000))+1</f>
        <v>9</v>
      </c>
      <c r="S231" s="72"/>
    </row>
    <row r="232" spans="10:19" x14ac:dyDescent="0.35">
      <c r="J232">
        <v>12</v>
      </c>
      <c r="K232" t="s">
        <v>23</v>
      </c>
      <c r="L232" t="s">
        <v>421</v>
      </c>
      <c r="M232">
        <v>6.5</v>
      </c>
      <c r="N232" t="s">
        <v>3</v>
      </c>
      <c r="O232" t="s">
        <v>36</v>
      </c>
      <c r="P232">
        <f t="shared" si="15"/>
        <v>5.0054455456191675</v>
      </c>
      <c r="Q232">
        <f t="shared" si="16"/>
        <v>2.2336930171095877</v>
      </c>
      <c r="R232" s="67" cm="1">
        <f t="array" ref="R232">SUMPRODUCT((J232=$J$7:$J$1000)*(P232&lt;$P$7:$P$1000))+1</f>
        <v>12</v>
      </c>
      <c r="S232" s="72"/>
    </row>
    <row r="233" spans="10:19" x14ac:dyDescent="0.35">
      <c r="J233" s="66">
        <v>12</v>
      </c>
      <c r="K233" t="s">
        <v>13</v>
      </c>
      <c r="L233" t="s">
        <v>120</v>
      </c>
      <c r="M233">
        <v>6.5</v>
      </c>
      <c r="N233" t="s">
        <v>3</v>
      </c>
      <c r="O233" t="s">
        <v>7</v>
      </c>
      <c r="P233">
        <f t="shared" si="15"/>
        <v>5.5376194102261476</v>
      </c>
      <c r="Q233">
        <f t="shared" si="16"/>
        <v>0.92617639957346809</v>
      </c>
      <c r="R233" s="67" cm="1">
        <f t="array" ref="R233">SUMPRODUCT((J233=$J$7:$J$1000)*(P233&lt;$P$7:$P$1000))+1</f>
        <v>7</v>
      </c>
      <c r="S233" s="72"/>
    </row>
    <row r="234" spans="10:19" x14ac:dyDescent="0.35">
      <c r="J234" s="66">
        <v>12</v>
      </c>
      <c r="K234" t="s">
        <v>36</v>
      </c>
      <c r="L234" t="s">
        <v>106</v>
      </c>
      <c r="M234">
        <v>5.5</v>
      </c>
      <c r="N234" t="s">
        <v>9</v>
      </c>
      <c r="O234" t="s">
        <v>23</v>
      </c>
      <c r="P234">
        <f t="shared" si="15"/>
        <v>2.3020902847859555</v>
      </c>
      <c r="Q234">
        <f t="shared" si="16"/>
        <v>10.226626546660372</v>
      </c>
      <c r="R234" s="67" cm="1">
        <f t="array" ref="R234">SUMPRODUCT((J234=$J$7:$J$1000)*(P234&lt;$P$7:$P$1000))+1</f>
        <v>24</v>
      </c>
      <c r="S234" s="72"/>
    </row>
    <row r="235" spans="10:19" x14ac:dyDescent="0.35">
      <c r="J235" s="66">
        <v>12</v>
      </c>
      <c r="K235" t="s">
        <v>34</v>
      </c>
      <c r="L235" t="s">
        <v>228</v>
      </c>
      <c r="M235">
        <v>5.4</v>
      </c>
      <c r="N235" t="s">
        <v>3</v>
      </c>
      <c r="O235" t="s">
        <v>4</v>
      </c>
      <c r="P235">
        <f t="shared" si="15"/>
        <v>5.1592349657528649</v>
      </c>
      <c r="Q235">
        <f t="shared" si="16"/>
        <v>5.7967801716024316E-2</v>
      </c>
      <c r="R235" s="67" cm="1">
        <f t="array" ref="R235">SUMPRODUCT((J235=$J$7:$J$1000)*(P235&lt;$P$7:$P$1000))+1</f>
        <v>10</v>
      </c>
      <c r="S235" s="72"/>
    </row>
    <row r="236" spans="10:19" x14ac:dyDescent="0.35">
      <c r="J236" s="66">
        <v>12</v>
      </c>
      <c r="K236" t="s">
        <v>17</v>
      </c>
      <c r="L236" t="s">
        <v>105</v>
      </c>
      <c r="M236">
        <v>4.9000000000000004</v>
      </c>
      <c r="N236" t="s">
        <v>3</v>
      </c>
      <c r="O236" t="s">
        <v>6</v>
      </c>
      <c r="P236">
        <f t="shared" si="15"/>
        <v>4.4163238077902029</v>
      </c>
      <c r="Q236">
        <f t="shared" si="16"/>
        <v>0.2339426589105689</v>
      </c>
      <c r="R236" s="67" cm="1">
        <f t="array" ref="R236">SUMPRODUCT((J236=$J$7:$J$1000)*(P236&lt;$P$7:$P$1000))+1</f>
        <v>14</v>
      </c>
      <c r="S236" s="72"/>
    </row>
    <row r="237" spans="10:19" x14ac:dyDescent="0.35">
      <c r="J237">
        <v>12</v>
      </c>
      <c r="K237" t="s">
        <v>13</v>
      </c>
      <c r="L237" t="s">
        <v>120</v>
      </c>
      <c r="M237">
        <v>4.9000000000000004</v>
      </c>
      <c r="N237" t="s">
        <v>9</v>
      </c>
      <c r="O237" t="s">
        <v>7</v>
      </c>
      <c r="P237">
        <f t="shared" si="15"/>
        <v>5.5231782746887887</v>
      </c>
      <c r="Q237">
        <f t="shared" si="16"/>
        <v>0.38835116204409498</v>
      </c>
      <c r="R237" s="67" cm="1">
        <f t="array" ref="R237">SUMPRODUCT((J237=$J$7:$J$1000)*(P237&lt;$P$7:$P$1000))+1</f>
        <v>8</v>
      </c>
      <c r="S237" s="72"/>
    </row>
    <row r="238" spans="10:19" x14ac:dyDescent="0.35">
      <c r="J238" s="66">
        <v>12</v>
      </c>
      <c r="K238" t="s">
        <v>7</v>
      </c>
      <c r="L238" t="s">
        <v>104</v>
      </c>
      <c r="M238">
        <v>4.8</v>
      </c>
      <c r="N238" t="s">
        <v>3</v>
      </c>
      <c r="O238" t="s">
        <v>13</v>
      </c>
      <c r="P238">
        <f t="shared" si="15"/>
        <v>3.5186084435939495</v>
      </c>
      <c r="Q238">
        <f t="shared" si="16"/>
        <v>1.64196432082872</v>
      </c>
      <c r="R238" s="67" cm="1">
        <f t="array" ref="R238">SUMPRODUCT((J238=$J$7:$J$1000)*(P238&lt;$P$7:$P$1000))+1</f>
        <v>19</v>
      </c>
      <c r="S238" s="72"/>
    </row>
    <row r="239" spans="10:19" x14ac:dyDescent="0.35">
      <c r="J239" s="66">
        <v>12</v>
      </c>
      <c r="K239" t="s">
        <v>4</v>
      </c>
      <c r="L239" t="s">
        <v>114</v>
      </c>
      <c r="M239">
        <v>4.4000000000000004</v>
      </c>
      <c r="N239" t="s">
        <v>9</v>
      </c>
      <c r="O239" t="s">
        <v>34</v>
      </c>
      <c r="P239">
        <f t="shared" si="15"/>
        <v>6.4839354085453271</v>
      </c>
      <c r="Q239">
        <f t="shared" si="16"/>
        <v>4.3427867869889782</v>
      </c>
      <c r="R239" s="67" cm="1">
        <f t="array" ref="R239">SUMPRODUCT((J239=$J$7:$J$1000)*(P239&lt;$P$7:$P$1000))+1</f>
        <v>5</v>
      </c>
      <c r="S239" s="72"/>
    </row>
    <row r="240" spans="10:19" x14ac:dyDescent="0.35">
      <c r="J240" s="66">
        <v>12</v>
      </c>
      <c r="K240" t="s">
        <v>2</v>
      </c>
      <c r="L240" t="s">
        <v>426</v>
      </c>
      <c r="M240">
        <v>4.2</v>
      </c>
      <c r="N240" t="s">
        <v>3</v>
      </c>
      <c r="O240" t="s">
        <v>24</v>
      </c>
      <c r="P240">
        <f t="shared" si="15"/>
        <v>3.6825445688687717</v>
      </c>
      <c r="Q240">
        <f t="shared" si="16"/>
        <v>0.26776012320720555</v>
      </c>
      <c r="R240" s="67" cm="1">
        <f t="array" ref="R240">SUMPRODUCT((J240=$J$7:$J$1000)*(P240&lt;$P$7:$P$1000))+1</f>
        <v>18</v>
      </c>
      <c r="S240" s="72"/>
    </row>
    <row r="241" spans="10:19" x14ac:dyDescent="0.35">
      <c r="J241">
        <v>12</v>
      </c>
      <c r="K241" t="s">
        <v>2</v>
      </c>
      <c r="L241" t="s">
        <v>108</v>
      </c>
      <c r="M241">
        <v>3.6</v>
      </c>
      <c r="N241" t="s">
        <v>3</v>
      </c>
      <c r="O241" t="s">
        <v>24</v>
      </c>
      <c r="P241">
        <f t="shared" si="15"/>
        <v>4.5737175408553608</v>
      </c>
      <c r="Q241">
        <f t="shared" si="16"/>
        <v>0.94812584936941091</v>
      </c>
      <c r="R241" s="67" cm="1">
        <f t="array" ref="R241">SUMPRODUCT((J241=$J$7:$J$1000)*(P241&lt;$P$7:$P$1000))+1</f>
        <v>13</v>
      </c>
      <c r="S241" s="72"/>
    </row>
    <row r="242" spans="10:19" x14ac:dyDescent="0.35">
      <c r="J242" s="66">
        <v>12</v>
      </c>
      <c r="K242" t="s">
        <v>23</v>
      </c>
      <c r="L242" t="s">
        <v>221</v>
      </c>
      <c r="M242">
        <v>3.6</v>
      </c>
      <c r="N242" t="s">
        <v>3</v>
      </c>
      <c r="O242" t="s">
        <v>36</v>
      </c>
      <c r="P242">
        <f t="shared" si="15"/>
        <v>3.9267508073054356</v>
      </c>
      <c r="Q242">
        <f t="shared" si="16"/>
        <v>0.10676609007475384</v>
      </c>
      <c r="R242" s="67" cm="1">
        <f t="array" ref="R242">SUMPRODUCT((J242=$J$7:$J$1000)*(P242&lt;$P$7:$P$1000))+1</f>
        <v>17</v>
      </c>
      <c r="S242" s="72"/>
    </row>
    <row r="243" spans="10:19" x14ac:dyDescent="0.35">
      <c r="J243" s="66">
        <v>12</v>
      </c>
      <c r="K243" t="s">
        <v>24</v>
      </c>
      <c r="L243" t="s">
        <v>422</v>
      </c>
      <c r="M243">
        <v>2.9</v>
      </c>
      <c r="N243" t="s">
        <v>9</v>
      </c>
      <c r="O243" t="s">
        <v>2</v>
      </c>
      <c r="P243">
        <f t="shared" si="15"/>
        <v>3.2619570466342114</v>
      </c>
      <c r="Q243">
        <f t="shared" si="16"/>
        <v>0.13101290360816073</v>
      </c>
      <c r="R243" s="67" cm="1">
        <f t="array" ref="R243">SUMPRODUCT((J243=$J$7:$J$1000)*(P243&lt;$P$7:$P$1000))+1</f>
        <v>20</v>
      </c>
      <c r="S243" s="72"/>
    </row>
    <row r="244" spans="10:19" x14ac:dyDescent="0.35">
      <c r="J244" s="66">
        <v>12</v>
      </c>
      <c r="K244" t="s">
        <v>36</v>
      </c>
      <c r="L244" t="s">
        <v>117</v>
      </c>
      <c r="M244">
        <v>2.8</v>
      </c>
      <c r="N244" t="s">
        <v>9</v>
      </c>
      <c r="O244" t="s">
        <v>23</v>
      </c>
      <c r="P244">
        <f t="shared" si="15"/>
        <v>5.1465215300036071</v>
      </c>
      <c r="Q244">
        <f t="shared" si="16"/>
        <v>5.5061632907704698</v>
      </c>
      <c r="R244" s="67" cm="1">
        <f t="array" ref="R244">SUMPRODUCT((J244=$J$7:$J$1000)*(P244&lt;$P$7:$P$1000))+1</f>
        <v>11</v>
      </c>
      <c r="S244" s="72"/>
    </row>
    <row r="245" spans="10:19" x14ac:dyDescent="0.35">
      <c r="J245" s="66">
        <v>12</v>
      </c>
      <c r="K245" t="s">
        <v>34</v>
      </c>
      <c r="L245" t="s">
        <v>684</v>
      </c>
      <c r="M245">
        <v>2.8</v>
      </c>
      <c r="N245" t="s">
        <v>9</v>
      </c>
      <c r="O245" t="s">
        <v>4</v>
      </c>
      <c r="P245">
        <f t="shared" si="15"/>
        <v>2.7988625059682368</v>
      </c>
      <c r="Q245">
        <f t="shared" si="16"/>
        <v>1.2938926722964398E-6</v>
      </c>
      <c r="R245" s="67" cm="1">
        <f t="array" ref="R245">SUMPRODUCT((J245=$J$7:$J$1000)*(P245&lt;$P$7:$P$1000))+1</f>
        <v>22</v>
      </c>
      <c r="S245" s="72"/>
    </row>
    <row r="246" spans="10:19" x14ac:dyDescent="0.35">
      <c r="J246" s="66">
        <v>12</v>
      </c>
      <c r="K246" t="s">
        <v>6</v>
      </c>
      <c r="L246" t="s">
        <v>529</v>
      </c>
      <c r="M246">
        <v>2.7</v>
      </c>
      <c r="N246" t="s">
        <v>9</v>
      </c>
      <c r="O246" t="s">
        <v>17</v>
      </c>
      <c r="P246">
        <f t="shared" si="15"/>
        <v>4.2948819448042705</v>
      </c>
      <c r="Q246">
        <f t="shared" si="16"/>
        <v>2.5436484178626517</v>
      </c>
      <c r="R246" s="67" cm="1">
        <f t="array" ref="R246">SUMPRODUCT((J246=$J$7:$J$1000)*(P246&lt;$P$7:$P$1000))+1</f>
        <v>16</v>
      </c>
      <c r="S246" s="72"/>
    </row>
    <row r="247" spans="10:19" x14ac:dyDescent="0.35">
      <c r="J247" s="66">
        <v>12</v>
      </c>
      <c r="K247" t="s">
        <v>13</v>
      </c>
      <c r="L247" t="s">
        <v>636</v>
      </c>
      <c r="M247">
        <v>2.5</v>
      </c>
      <c r="N247" t="s">
        <v>9</v>
      </c>
      <c r="O247" t="s">
        <v>7</v>
      </c>
      <c r="P247">
        <f t="shared" si="15"/>
        <v>2.5079256834683896</v>
      </c>
      <c r="Q247">
        <f t="shared" si="16"/>
        <v>6.2816458441104539E-5</v>
      </c>
      <c r="R247" s="67" cm="1">
        <f t="array" ref="R247">SUMPRODUCT((J247=$J$7:$J$1000)*(P247&lt;$P$7:$P$1000))+1</f>
        <v>23</v>
      </c>
      <c r="S247" s="72"/>
    </row>
    <row r="248" spans="10:19" x14ac:dyDescent="0.35">
      <c r="J248" s="66">
        <v>12</v>
      </c>
      <c r="K248" t="s">
        <v>34</v>
      </c>
      <c r="L248" t="s">
        <v>420</v>
      </c>
      <c r="M248">
        <v>2.1</v>
      </c>
      <c r="N248" t="s">
        <v>3</v>
      </c>
      <c r="O248" t="s">
        <v>4</v>
      </c>
      <c r="P248">
        <f t="shared" si="15"/>
        <v>7.1623398679726549</v>
      </c>
      <c r="Q248">
        <f t="shared" si="16"/>
        <v>25.627284938865401</v>
      </c>
      <c r="R248" s="67" cm="1">
        <f t="array" ref="R248">SUMPRODUCT((J248=$J$7:$J$1000)*(P248&lt;$P$7:$P$1000))+1</f>
        <v>3</v>
      </c>
      <c r="S248" s="72"/>
    </row>
    <row r="249" spans="10:19" x14ac:dyDescent="0.35">
      <c r="J249">
        <v>13</v>
      </c>
      <c r="K249" t="s">
        <v>14</v>
      </c>
      <c r="L249" t="s">
        <v>540</v>
      </c>
      <c r="M249" t="s">
        <v>256</v>
      </c>
      <c r="N249" t="s">
        <v>9</v>
      </c>
      <c r="O249" t="s">
        <v>6</v>
      </c>
      <c r="P249">
        <f t="shared" si="15"/>
        <v>5.7267054833840598</v>
      </c>
      <c r="Q249" t="str">
        <f t="shared" si="16"/>
        <v/>
      </c>
      <c r="R249" s="67" cm="1">
        <f t="array" ref="R249">SUMPRODUCT((J249=$J$7:$J$1000)*(P249&lt;$P$7:$P$1000))+1</f>
        <v>10</v>
      </c>
      <c r="S249" s="72"/>
    </row>
    <row r="250" spans="10:19" x14ac:dyDescent="0.35">
      <c r="J250" s="66">
        <v>13</v>
      </c>
      <c r="K250" t="s">
        <v>14</v>
      </c>
      <c r="L250" t="s">
        <v>610</v>
      </c>
      <c r="M250" t="s">
        <v>256</v>
      </c>
      <c r="N250" t="s">
        <v>9</v>
      </c>
      <c r="O250" t="s">
        <v>6</v>
      </c>
      <c r="P250">
        <f t="shared" si="15"/>
        <v>2.5835744897792101</v>
      </c>
      <c r="Q250" t="str">
        <f t="shared" si="16"/>
        <v/>
      </c>
      <c r="R250" s="67" cm="1">
        <f t="array" ref="R250">SUMPRODUCT((J250=$J$7:$J$1000)*(P250&lt;$P$7:$P$1000))+1</f>
        <v>40</v>
      </c>
      <c r="S250" s="72"/>
    </row>
    <row r="251" spans="10:19" x14ac:dyDescent="0.35">
      <c r="J251" s="66">
        <v>13</v>
      </c>
      <c r="K251" t="s">
        <v>14</v>
      </c>
      <c r="L251" t="s">
        <v>610</v>
      </c>
      <c r="M251" t="s">
        <v>256</v>
      </c>
      <c r="N251" t="s">
        <v>9</v>
      </c>
      <c r="O251" t="s">
        <v>34</v>
      </c>
      <c r="P251">
        <f t="shared" si="15"/>
        <v>3.1678252505634354</v>
      </c>
      <c r="Q251" t="str">
        <f t="shared" si="16"/>
        <v/>
      </c>
      <c r="R251" s="67" cm="1">
        <f t="array" ref="R251">SUMPRODUCT((J251=$J$7:$J$1000)*(P251&lt;$P$7:$P$1000))+1</f>
        <v>36</v>
      </c>
      <c r="S251" s="72"/>
    </row>
    <row r="252" spans="10:19" x14ac:dyDescent="0.35">
      <c r="J252" s="66">
        <v>13</v>
      </c>
      <c r="K252" t="s">
        <v>14</v>
      </c>
      <c r="L252" t="s">
        <v>470</v>
      </c>
      <c r="M252" t="s">
        <v>256</v>
      </c>
      <c r="N252" t="s">
        <v>9</v>
      </c>
      <c r="O252" t="s">
        <v>6</v>
      </c>
      <c r="P252">
        <f t="shared" si="15"/>
        <v>4.5574911760409522</v>
      </c>
      <c r="Q252" t="str">
        <f t="shared" si="16"/>
        <v/>
      </c>
      <c r="R252" s="67" cm="1">
        <f t="array" ref="R252">SUMPRODUCT((J252=$J$7:$J$1000)*(P252&lt;$P$7:$P$1000))+1</f>
        <v>23</v>
      </c>
      <c r="S252" s="72"/>
    </row>
    <row r="253" spans="10:19" x14ac:dyDescent="0.35">
      <c r="J253" s="66">
        <v>13</v>
      </c>
      <c r="K253" t="s">
        <v>14</v>
      </c>
      <c r="L253" t="s">
        <v>107</v>
      </c>
      <c r="M253" t="s">
        <v>256</v>
      </c>
      <c r="N253" t="s">
        <v>9</v>
      </c>
      <c r="O253" t="s">
        <v>6</v>
      </c>
      <c r="P253">
        <f t="shared" si="15"/>
        <v>6.3414276607100275</v>
      </c>
      <c r="Q253" t="str">
        <f t="shared" si="16"/>
        <v/>
      </c>
      <c r="R253" s="67" cm="1">
        <f t="array" ref="R253">SUMPRODUCT((J253=$J$7:$J$1000)*(P253&lt;$P$7:$P$1000))+1</f>
        <v>6</v>
      </c>
      <c r="S253" s="72"/>
    </row>
    <row r="254" spans="10:19" x14ac:dyDescent="0.35">
      <c r="J254" s="66">
        <v>13</v>
      </c>
      <c r="K254" t="s">
        <v>14</v>
      </c>
      <c r="L254" t="s">
        <v>425</v>
      </c>
      <c r="M254" t="s">
        <v>256</v>
      </c>
      <c r="N254" t="s">
        <v>9</v>
      </c>
      <c r="O254" t="s">
        <v>6</v>
      </c>
      <c r="P254">
        <f t="shared" si="15"/>
        <v>3.1315344213116605</v>
      </c>
      <c r="Q254" t="str">
        <f t="shared" si="16"/>
        <v/>
      </c>
      <c r="R254" s="67" cm="1">
        <f t="array" ref="R254">SUMPRODUCT((J254=$J$7:$J$1000)*(P254&lt;$P$7:$P$1000))+1</f>
        <v>37</v>
      </c>
      <c r="S254" s="72"/>
    </row>
    <row r="255" spans="10:19" x14ac:dyDescent="0.35">
      <c r="J255">
        <v>13</v>
      </c>
      <c r="K255" t="s">
        <v>14</v>
      </c>
      <c r="L255" t="s">
        <v>471</v>
      </c>
      <c r="M255" t="s">
        <v>256</v>
      </c>
      <c r="N255" t="s">
        <v>9</v>
      </c>
      <c r="O255" t="s">
        <v>6</v>
      </c>
      <c r="P255">
        <f t="shared" si="15"/>
        <v>4.9462019916235542</v>
      </c>
      <c r="Q255" t="str">
        <f t="shared" si="16"/>
        <v/>
      </c>
      <c r="R255" s="67" cm="1">
        <f t="array" ref="R255">SUMPRODUCT((J255=$J$7:$J$1000)*(P255&lt;$P$7:$P$1000))+1</f>
        <v>20</v>
      </c>
      <c r="S255" s="72"/>
    </row>
    <row r="256" spans="10:19" x14ac:dyDescent="0.35">
      <c r="J256">
        <v>13</v>
      </c>
      <c r="K256" t="s">
        <v>2</v>
      </c>
      <c r="L256" t="s">
        <v>426</v>
      </c>
      <c r="M256" t="s">
        <v>256</v>
      </c>
      <c r="N256" t="s">
        <v>9</v>
      </c>
      <c r="O256" t="s">
        <v>23</v>
      </c>
      <c r="P256">
        <f t="shared" si="15"/>
        <v>4.1432377187776632</v>
      </c>
      <c r="Q256" t="str">
        <f t="shared" si="16"/>
        <v/>
      </c>
      <c r="R256" s="67" cm="1">
        <f t="array" ref="R256">SUMPRODUCT((J256=$J$7:$J$1000)*(P256&lt;$P$7:$P$1000))+1</f>
        <v>27</v>
      </c>
      <c r="S256" s="72"/>
    </row>
    <row r="257" spans="10:19" x14ac:dyDescent="0.35">
      <c r="J257" s="66">
        <v>13</v>
      </c>
      <c r="K257" t="s">
        <v>2</v>
      </c>
      <c r="L257" t="s">
        <v>108</v>
      </c>
      <c r="M257" t="s">
        <v>256</v>
      </c>
      <c r="N257" t="s">
        <v>9</v>
      </c>
      <c r="O257" t="s">
        <v>23</v>
      </c>
      <c r="P257">
        <f t="shared" si="15"/>
        <v>5.0344106907642523</v>
      </c>
      <c r="Q257" t="str">
        <f t="shared" si="16"/>
        <v/>
      </c>
      <c r="R257" s="67" cm="1">
        <f t="array" ref="R257">SUMPRODUCT((J257=$J$7:$J$1000)*(P257&lt;$P$7:$P$1000))+1</f>
        <v>19</v>
      </c>
      <c r="S257" s="72"/>
    </row>
    <row r="258" spans="10:19" x14ac:dyDescent="0.35">
      <c r="J258" s="66">
        <v>13</v>
      </c>
      <c r="K258" t="s">
        <v>2</v>
      </c>
      <c r="L258" t="s">
        <v>115</v>
      </c>
      <c r="M258" t="s">
        <v>256</v>
      </c>
      <c r="N258" t="s">
        <v>9</v>
      </c>
      <c r="O258" t="s">
        <v>23</v>
      </c>
      <c r="P258">
        <f t="shared" si="15"/>
        <v>5.2012500390645098</v>
      </c>
      <c r="Q258" t="str">
        <f t="shared" si="16"/>
        <v/>
      </c>
      <c r="R258" s="67" cm="1">
        <f t="array" ref="R258">SUMPRODUCT((J258=$J$7:$J$1000)*(P258&lt;$P$7:$P$1000))+1</f>
        <v>16</v>
      </c>
      <c r="S258" s="72"/>
    </row>
    <row r="259" spans="10:19" x14ac:dyDescent="0.35">
      <c r="J259">
        <v>13</v>
      </c>
      <c r="K259" t="s">
        <v>36</v>
      </c>
      <c r="L259" t="s">
        <v>112</v>
      </c>
      <c r="M259" t="s">
        <v>256</v>
      </c>
      <c r="N259" t="s">
        <v>9</v>
      </c>
      <c r="O259" t="s">
        <v>34</v>
      </c>
      <c r="P259">
        <f t="shared" si="15"/>
        <v>6.1758771533088606</v>
      </c>
      <c r="Q259" t="str">
        <f t="shared" si="16"/>
        <v/>
      </c>
      <c r="R259" s="67" cm="1">
        <f t="array" ref="R259">SUMPRODUCT((J259=$J$7:$J$1000)*(P259&lt;$P$7:$P$1000))+1</f>
        <v>7</v>
      </c>
      <c r="S259" s="72"/>
    </row>
    <row r="260" spans="10:19" x14ac:dyDescent="0.35">
      <c r="J260">
        <v>13</v>
      </c>
      <c r="K260" t="s">
        <v>36</v>
      </c>
      <c r="L260" t="s">
        <v>106</v>
      </c>
      <c r="M260" t="s">
        <v>256</v>
      </c>
      <c r="N260" t="s">
        <v>9</v>
      </c>
      <c r="O260" t="s">
        <v>34</v>
      </c>
      <c r="P260">
        <f t="shared" si="15"/>
        <v>3.0066135880124789</v>
      </c>
      <c r="Q260" t="str">
        <f t="shared" si="16"/>
        <v/>
      </c>
      <c r="R260" s="67" cm="1">
        <f t="array" ref="R260">SUMPRODUCT((J260=$J$7:$J$1000)*(P260&lt;$P$7:$P$1000))+1</f>
        <v>38</v>
      </c>
      <c r="S260" s="72"/>
    </row>
    <row r="261" spans="10:19" x14ac:dyDescent="0.35">
      <c r="J261" s="66">
        <v>13</v>
      </c>
      <c r="K261" t="s">
        <v>36</v>
      </c>
      <c r="L261" t="s">
        <v>117</v>
      </c>
      <c r="M261" t="s">
        <v>256</v>
      </c>
      <c r="N261" t="s">
        <v>9</v>
      </c>
      <c r="O261" t="s">
        <v>34</v>
      </c>
      <c r="P261">
        <f t="shared" si="15"/>
        <v>5.8510448332301301</v>
      </c>
      <c r="Q261" t="str">
        <f t="shared" si="16"/>
        <v/>
      </c>
      <c r="R261" s="67" cm="1">
        <f t="array" ref="R261">SUMPRODUCT((J261=$J$7:$J$1000)*(P261&lt;$P$7:$P$1000))+1</f>
        <v>9</v>
      </c>
      <c r="S261" s="72"/>
    </row>
    <row r="262" spans="10:19" x14ac:dyDescent="0.35">
      <c r="J262" s="66">
        <v>13</v>
      </c>
      <c r="K262" t="s">
        <v>6</v>
      </c>
      <c r="L262" t="s">
        <v>208</v>
      </c>
      <c r="M262" t="s">
        <v>256</v>
      </c>
      <c r="N262" t="s">
        <v>3</v>
      </c>
      <c r="O262" t="s">
        <v>14</v>
      </c>
      <c r="P262">
        <f t="shared" si="15"/>
        <v>8.4193882220804248</v>
      </c>
      <c r="Q262" t="str">
        <f t="shared" si="16"/>
        <v/>
      </c>
      <c r="R262" s="67" cm="1">
        <f t="array" ref="R262">SUMPRODUCT((J262=$J$7:$J$1000)*(P262&lt;$P$7:$P$1000))+1</f>
        <v>2</v>
      </c>
      <c r="S262" s="72"/>
    </row>
    <row r="263" spans="10:19" x14ac:dyDescent="0.35">
      <c r="J263" s="66">
        <v>13</v>
      </c>
      <c r="K263" t="s">
        <v>6</v>
      </c>
      <c r="L263" t="s">
        <v>529</v>
      </c>
      <c r="M263" t="s">
        <v>256</v>
      </c>
      <c r="N263" t="s">
        <v>3</v>
      </c>
      <c r="O263" t="s">
        <v>14</v>
      </c>
      <c r="P263">
        <f t="shared" si="15"/>
        <v>4.9275483573356533</v>
      </c>
      <c r="Q263" t="str">
        <f t="shared" si="16"/>
        <v/>
      </c>
      <c r="R263" s="67" cm="1">
        <f t="array" ref="R263">SUMPRODUCT((J263=$J$7:$J$1000)*(P263&lt;$P$7:$P$1000))+1</f>
        <v>21</v>
      </c>
      <c r="S263" s="72"/>
    </row>
    <row r="264" spans="10:19" x14ac:dyDescent="0.35">
      <c r="J264" s="66">
        <v>13</v>
      </c>
      <c r="K264" t="s">
        <v>6</v>
      </c>
      <c r="L264" t="s">
        <v>634</v>
      </c>
      <c r="M264" t="s">
        <v>256</v>
      </c>
      <c r="N264" t="s">
        <v>3</v>
      </c>
      <c r="O264" t="s">
        <v>14</v>
      </c>
      <c r="P264">
        <f t="shared" ref="P264:P327" si="17">VLOOKUP($N264,$F$3:$G$4,2,FALSE)+VLOOKUP($L264,$B$20:$C$150,2,FALSE)+VLOOKUP($O264,$A$6:$B$16,2,FALSE)</f>
        <v>5.2223053584473744</v>
      </c>
      <c r="Q264" t="str">
        <f t="shared" si="16"/>
        <v/>
      </c>
      <c r="R264" s="67" cm="1">
        <f t="array" ref="R264">SUMPRODUCT((J264=$J$7:$J$1000)*(P264&lt;$P$7:$P$1000))+1</f>
        <v>14</v>
      </c>
      <c r="S264" s="72"/>
    </row>
    <row r="265" spans="10:19" x14ac:dyDescent="0.35">
      <c r="J265" s="66">
        <v>13</v>
      </c>
      <c r="K265" t="s">
        <v>6</v>
      </c>
      <c r="L265" t="s">
        <v>116</v>
      </c>
      <c r="M265" t="s">
        <v>256</v>
      </c>
      <c r="N265" t="s">
        <v>3</v>
      </c>
      <c r="O265" t="s">
        <v>14</v>
      </c>
      <c r="P265">
        <f t="shared" si="17"/>
        <v>1.962046340496107</v>
      </c>
      <c r="Q265" t="str">
        <f t="shared" si="16"/>
        <v/>
      </c>
      <c r="R265" s="67" cm="1">
        <f t="array" ref="R265">SUMPRODUCT((J265=$J$7:$J$1000)*(P265&lt;$P$7:$P$1000))+1</f>
        <v>47</v>
      </c>
      <c r="S265" s="72"/>
    </row>
    <row r="266" spans="10:19" x14ac:dyDescent="0.35">
      <c r="J266">
        <v>13</v>
      </c>
      <c r="K266" t="s">
        <v>6</v>
      </c>
      <c r="L266" t="s">
        <v>430</v>
      </c>
      <c r="M266" t="s">
        <v>256</v>
      </c>
      <c r="N266" t="s">
        <v>3</v>
      </c>
      <c r="O266" t="s">
        <v>14</v>
      </c>
      <c r="P266">
        <f t="shared" si="17"/>
        <v>15.219020810756275</v>
      </c>
      <c r="Q266" t="str">
        <f t="shared" si="16"/>
        <v/>
      </c>
      <c r="R266" s="67" cm="1">
        <f t="array" ref="R266">SUMPRODUCT((J266=$J$7:$J$1000)*(P266&lt;$P$7:$P$1000))+1</f>
        <v>1</v>
      </c>
      <c r="S266" s="72"/>
    </row>
    <row r="267" spans="10:19" x14ac:dyDescent="0.35">
      <c r="J267" s="66">
        <v>13</v>
      </c>
      <c r="K267" t="s">
        <v>24</v>
      </c>
      <c r="L267" t="s">
        <v>648</v>
      </c>
      <c r="M267" t="s">
        <v>256</v>
      </c>
      <c r="N267" t="s">
        <v>9</v>
      </c>
      <c r="O267" t="s">
        <v>4</v>
      </c>
      <c r="P267">
        <f t="shared" si="17"/>
        <v>2.3311115848735779</v>
      </c>
      <c r="Q267" t="str">
        <f t="shared" si="16"/>
        <v/>
      </c>
      <c r="R267" s="67" cm="1">
        <f t="array" ref="R267">SUMPRODUCT((J267=$J$7:$J$1000)*(P267&lt;$P$7:$P$1000))+1</f>
        <v>41</v>
      </c>
      <c r="S267" s="72"/>
    </row>
    <row r="268" spans="10:19" x14ac:dyDescent="0.35">
      <c r="J268" s="66">
        <v>13</v>
      </c>
      <c r="K268" t="s">
        <v>24</v>
      </c>
      <c r="L268" t="s">
        <v>422</v>
      </c>
      <c r="M268" t="s">
        <v>256</v>
      </c>
      <c r="N268" t="s">
        <v>9</v>
      </c>
      <c r="O268" t="s">
        <v>4</v>
      </c>
      <c r="P268">
        <f t="shared" si="17"/>
        <v>2.329017238403587</v>
      </c>
      <c r="Q268" t="str">
        <f t="shared" si="16"/>
        <v/>
      </c>
      <c r="R268" s="67" cm="1">
        <f t="array" ref="R268">SUMPRODUCT((J268=$J$7:$J$1000)*(P268&lt;$P$7:$P$1000))+1</f>
        <v>42</v>
      </c>
      <c r="S268" s="72"/>
    </row>
    <row r="269" spans="10:19" x14ac:dyDescent="0.35">
      <c r="J269">
        <v>13</v>
      </c>
      <c r="K269" t="s">
        <v>24</v>
      </c>
      <c r="L269" t="s">
        <v>419</v>
      </c>
      <c r="M269" t="s">
        <v>256</v>
      </c>
      <c r="N269" t="s">
        <v>9</v>
      </c>
      <c r="O269" t="s">
        <v>4</v>
      </c>
      <c r="P269">
        <f t="shared" si="17"/>
        <v>4.3584481860901407</v>
      </c>
      <c r="Q269" t="str">
        <f t="shared" si="16"/>
        <v/>
      </c>
      <c r="R269" s="67" cm="1">
        <f t="array" ref="R269">SUMPRODUCT((J269=$J$7:$J$1000)*(P269&lt;$P$7:$P$1000))+1</f>
        <v>25</v>
      </c>
      <c r="S269" s="72"/>
    </row>
    <row r="270" spans="10:19" x14ac:dyDescent="0.35">
      <c r="J270" s="66">
        <v>13</v>
      </c>
      <c r="K270" t="s">
        <v>24</v>
      </c>
      <c r="L270" t="s">
        <v>652</v>
      </c>
      <c r="M270" t="s">
        <v>256</v>
      </c>
      <c r="N270" t="s">
        <v>9</v>
      </c>
      <c r="O270" t="s">
        <v>4</v>
      </c>
      <c r="P270">
        <f t="shared" si="17"/>
        <v>4.1840284850464569</v>
      </c>
      <c r="Q270" t="str">
        <f t="shared" si="16"/>
        <v/>
      </c>
      <c r="R270" s="67" cm="1">
        <f t="array" ref="R270">SUMPRODUCT((J270=$J$7:$J$1000)*(P270&lt;$P$7:$P$1000))+1</f>
        <v>26</v>
      </c>
      <c r="S270" s="72"/>
    </row>
    <row r="271" spans="10:19" x14ac:dyDescent="0.35">
      <c r="J271" s="66">
        <v>13</v>
      </c>
      <c r="K271" t="s">
        <v>24</v>
      </c>
      <c r="L271" t="s">
        <v>511</v>
      </c>
      <c r="M271" t="s">
        <v>256</v>
      </c>
      <c r="N271" t="s">
        <v>9</v>
      </c>
      <c r="O271" t="s">
        <v>4</v>
      </c>
      <c r="P271">
        <f t="shared" si="17"/>
        <v>4.8601813047853355</v>
      </c>
      <c r="Q271" t="str">
        <f t="shared" si="16"/>
        <v/>
      </c>
      <c r="R271" s="67" cm="1">
        <f t="array" ref="R271">SUMPRODUCT((J271=$J$7:$J$1000)*(P271&lt;$P$7:$P$1000))+1</f>
        <v>22</v>
      </c>
      <c r="S271" s="72"/>
    </row>
    <row r="272" spans="10:19" x14ac:dyDescent="0.35">
      <c r="J272">
        <v>13</v>
      </c>
      <c r="K272" t="s">
        <v>23</v>
      </c>
      <c r="L272" t="s">
        <v>111</v>
      </c>
      <c r="M272" t="s">
        <v>256</v>
      </c>
      <c r="N272" t="s">
        <v>3</v>
      </c>
      <c r="O272" t="s">
        <v>2</v>
      </c>
      <c r="P272">
        <f t="shared" si="17"/>
        <v>2.592259274377176</v>
      </c>
      <c r="Q272" t="str">
        <f t="shared" si="16"/>
        <v/>
      </c>
      <c r="R272" s="67" cm="1">
        <f t="array" ref="R272">SUMPRODUCT((J272=$J$7:$J$1000)*(P272&lt;$P$7:$P$1000))+1</f>
        <v>39</v>
      </c>
      <c r="S272" s="72"/>
    </row>
    <row r="273" spans="10:19" x14ac:dyDescent="0.35">
      <c r="J273">
        <v>13</v>
      </c>
      <c r="K273" t="s">
        <v>23</v>
      </c>
      <c r="L273" t="s">
        <v>431</v>
      </c>
      <c r="M273" t="s">
        <v>256</v>
      </c>
      <c r="N273" t="s">
        <v>3</v>
      </c>
      <c r="O273" t="s">
        <v>2</v>
      </c>
      <c r="P273">
        <f t="shared" si="17"/>
        <v>4.3819071281586197</v>
      </c>
      <c r="Q273" t="str">
        <f t="shared" si="16"/>
        <v/>
      </c>
      <c r="R273" s="67" cm="1">
        <f t="array" ref="R273">SUMPRODUCT((J273=$J$7:$J$1000)*(P273&lt;$P$7:$P$1000))+1</f>
        <v>24</v>
      </c>
      <c r="S273" s="72"/>
    </row>
    <row r="274" spans="10:19" x14ac:dyDescent="0.35">
      <c r="J274" s="66">
        <v>13</v>
      </c>
      <c r="K274" t="s">
        <v>23</v>
      </c>
      <c r="L274" t="s">
        <v>578</v>
      </c>
      <c r="M274" t="s">
        <v>256</v>
      </c>
      <c r="N274" t="s">
        <v>3</v>
      </c>
      <c r="O274" t="s">
        <v>2</v>
      </c>
      <c r="P274">
        <f t="shared" si="17"/>
        <v>2.1907454981366485</v>
      </c>
      <c r="Q274" t="str">
        <f t="shared" si="16"/>
        <v/>
      </c>
      <c r="R274" s="67" cm="1">
        <f t="array" ref="R274">SUMPRODUCT((J274=$J$7:$J$1000)*(P274&lt;$P$7:$P$1000))+1</f>
        <v>44</v>
      </c>
      <c r="S274" s="72"/>
    </row>
    <row r="275" spans="10:19" x14ac:dyDescent="0.35">
      <c r="J275" s="66">
        <v>13</v>
      </c>
      <c r="K275" t="s">
        <v>23</v>
      </c>
      <c r="L275" t="s">
        <v>221</v>
      </c>
      <c r="M275" t="s">
        <v>256</v>
      </c>
      <c r="N275" t="s">
        <v>3</v>
      </c>
      <c r="O275" t="s">
        <v>2</v>
      </c>
      <c r="P275">
        <f t="shared" si="17"/>
        <v>4.070694047037442</v>
      </c>
      <c r="Q275" t="str">
        <f t="shared" si="16"/>
        <v/>
      </c>
      <c r="R275" s="67" cm="1">
        <f t="array" ref="R275">SUMPRODUCT((J275=$J$7:$J$1000)*(P275&lt;$P$7:$P$1000))+1</f>
        <v>28</v>
      </c>
      <c r="S275" s="72"/>
    </row>
    <row r="276" spans="10:19" x14ac:dyDescent="0.35">
      <c r="J276" s="66">
        <v>13</v>
      </c>
      <c r="K276" t="s">
        <v>23</v>
      </c>
      <c r="L276" t="s">
        <v>421</v>
      </c>
      <c r="M276" t="s">
        <v>256</v>
      </c>
      <c r="N276" t="s">
        <v>3</v>
      </c>
      <c r="O276" t="s">
        <v>2</v>
      </c>
      <c r="P276">
        <f t="shared" si="17"/>
        <v>5.1493887853511726</v>
      </c>
      <c r="Q276" t="str">
        <f t="shared" si="16"/>
        <v/>
      </c>
      <c r="R276" s="67" cm="1">
        <f t="array" ref="R276">SUMPRODUCT((J276=$J$7:$J$1000)*(P276&lt;$P$7:$P$1000))+1</f>
        <v>17</v>
      </c>
      <c r="S276" s="72"/>
    </row>
    <row r="277" spans="10:19" x14ac:dyDescent="0.35">
      <c r="J277" s="66">
        <v>13</v>
      </c>
      <c r="K277" t="s">
        <v>4</v>
      </c>
      <c r="L277" t="s">
        <v>118</v>
      </c>
      <c r="M277" t="s">
        <v>256</v>
      </c>
      <c r="N277" t="s">
        <v>3</v>
      </c>
      <c r="O277" t="s">
        <v>24</v>
      </c>
      <c r="P277">
        <f t="shared" si="17"/>
        <v>3.1706908461167869</v>
      </c>
      <c r="Q277" t="str">
        <f t="shared" si="16"/>
        <v/>
      </c>
      <c r="R277" s="67" cm="1">
        <f t="array" ref="R277">SUMPRODUCT((J277=$J$7:$J$1000)*(P277&lt;$P$7:$P$1000))+1</f>
        <v>35</v>
      </c>
      <c r="S277" s="72"/>
    </row>
    <row r="278" spans="10:19" x14ac:dyDescent="0.35">
      <c r="J278">
        <v>13</v>
      </c>
      <c r="K278" t="s">
        <v>4</v>
      </c>
      <c r="L278" t="s">
        <v>335</v>
      </c>
      <c r="M278" t="s">
        <v>256</v>
      </c>
      <c r="N278" t="s">
        <v>3</v>
      </c>
      <c r="O278" t="s">
        <v>24</v>
      </c>
      <c r="P278">
        <f t="shared" si="17"/>
        <v>3.2070960659129497</v>
      </c>
      <c r="Q278" t="str">
        <f t="shared" si="16"/>
        <v/>
      </c>
      <c r="R278" s="67" cm="1">
        <f t="array" ref="R278">SUMPRODUCT((J278=$J$7:$J$1000)*(P278&lt;$P$7:$P$1000))+1</f>
        <v>34</v>
      </c>
      <c r="S278" s="72"/>
    </row>
    <row r="279" spans="10:19" x14ac:dyDescent="0.35">
      <c r="J279">
        <v>13</v>
      </c>
      <c r="K279" t="s">
        <v>4</v>
      </c>
      <c r="L279" t="s">
        <v>484</v>
      </c>
      <c r="M279" t="s">
        <v>256</v>
      </c>
      <c r="N279" t="s">
        <v>3</v>
      </c>
      <c r="O279" t="s">
        <v>24</v>
      </c>
      <c r="P279">
        <f t="shared" si="17"/>
        <v>5.5283643545590717</v>
      </c>
      <c r="Q279" t="str">
        <f t="shared" si="16"/>
        <v/>
      </c>
      <c r="R279" s="67" cm="1">
        <f t="array" ref="R279">SUMPRODUCT((J279=$J$7:$J$1000)*(P279&lt;$P$7:$P$1000))+1</f>
        <v>11</v>
      </c>
      <c r="S279" s="72"/>
    </row>
    <row r="280" spans="10:19" x14ac:dyDescent="0.35">
      <c r="J280" s="66">
        <v>13</v>
      </c>
      <c r="K280" t="s">
        <v>4</v>
      </c>
      <c r="L280" t="s">
        <v>643</v>
      </c>
      <c r="M280" t="s">
        <v>256</v>
      </c>
      <c r="N280" t="s">
        <v>3</v>
      </c>
      <c r="O280" t="s">
        <v>24</v>
      </c>
      <c r="P280">
        <f t="shared" si="17"/>
        <v>3.282792465839627</v>
      </c>
      <c r="Q280" t="str">
        <f t="shared" si="16"/>
        <v/>
      </c>
      <c r="R280" s="67" cm="1">
        <f t="array" ref="R280">SUMPRODUCT((J280=$J$7:$J$1000)*(P280&lt;$P$7:$P$1000))+1</f>
        <v>33</v>
      </c>
      <c r="S280" s="72"/>
    </row>
    <row r="281" spans="10:19" x14ac:dyDescent="0.35">
      <c r="J281">
        <v>13</v>
      </c>
      <c r="K281" t="s">
        <v>4</v>
      </c>
      <c r="L281" t="s">
        <v>574</v>
      </c>
      <c r="M281" t="s">
        <v>256</v>
      </c>
      <c r="N281" t="s">
        <v>3</v>
      </c>
      <c r="O281" t="s">
        <v>24</v>
      </c>
      <c r="P281">
        <f t="shared" si="17"/>
        <v>0.32057028196292958</v>
      </c>
      <c r="Q281" t="str">
        <f t="shared" si="16"/>
        <v/>
      </c>
      <c r="R281" s="67" cm="1">
        <f t="array" ref="R281">SUMPRODUCT((J281=$J$7:$J$1000)*(P281&lt;$P$7:$P$1000))+1</f>
        <v>50</v>
      </c>
      <c r="S281" s="72"/>
    </row>
    <row r="282" spans="10:19" x14ac:dyDescent="0.35">
      <c r="J282">
        <v>13</v>
      </c>
      <c r="K282" t="s">
        <v>4</v>
      </c>
      <c r="L282" t="s">
        <v>109</v>
      </c>
      <c r="M282" t="s">
        <v>256</v>
      </c>
      <c r="N282" t="s">
        <v>3</v>
      </c>
      <c r="O282" t="s">
        <v>24</v>
      </c>
      <c r="P282">
        <f t="shared" si="17"/>
        <v>5.2016793990744974</v>
      </c>
      <c r="Q282" t="str">
        <f t="shared" si="16"/>
        <v/>
      </c>
      <c r="R282" s="67" cm="1">
        <f t="array" ref="R282">SUMPRODUCT((J282=$J$7:$J$1000)*(P282&lt;$P$7:$P$1000))+1</f>
        <v>15</v>
      </c>
      <c r="S282" s="72"/>
    </row>
    <row r="283" spans="10:19" x14ac:dyDescent="0.35">
      <c r="J283" s="66">
        <v>13</v>
      </c>
      <c r="K283" t="s">
        <v>4</v>
      </c>
      <c r="L283" t="s">
        <v>114</v>
      </c>
      <c r="M283" t="s">
        <v>256</v>
      </c>
      <c r="N283" t="s">
        <v>3</v>
      </c>
      <c r="O283" t="s">
        <v>24</v>
      </c>
      <c r="P283">
        <f t="shared" si="17"/>
        <v>5.3187189554099126</v>
      </c>
      <c r="Q283" t="str">
        <f t="shared" si="16"/>
        <v/>
      </c>
      <c r="R283" s="67" cm="1">
        <f t="array" ref="R283">SUMPRODUCT((J283=$J$7:$J$1000)*(P283&lt;$P$7:$P$1000))+1</f>
        <v>13</v>
      </c>
      <c r="S283" s="72"/>
    </row>
    <row r="284" spans="10:19" x14ac:dyDescent="0.35">
      <c r="J284">
        <v>13</v>
      </c>
      <c r="K284" t="s">
        <v>34</v>
      </c>
      <c r="L284" t="s">
        <v>424</v>
      </c>
      <c r="M284" t="s">
        <v>256</v>
      </c>
      <c r="N284" t="s">
        <v>3</v>
      </c>
      <c r="O284" t="s">
        <v>36</v>
      </c>
      <c r="P284">
        <f t="shared" si="17"/>
        <v>1.9898238582495411</v>
      </c>
      <c r="Q284" t="str">
        <f t="shared" si="16"/>
        <v/>
      </c>
      <c r="R284" s="67" cm="1">
        <f t="array" ref="R284">SUMPRODUCT((J284=$J$7:$J$1000)*(P284&lt;$P$7:$P$1000))+1</f>
        <v>46</v>
      </c>
      <c r="S284" s="72"/>
    </row>
    <row r="285" spans="10:19" x14ac:dyDescent="0.35">
      <c r="J285">
        <v>13</v>
      </c>
      <c r="K285" t="s">
        <v>34</v>
      </c>
      <c r="L285" t="s">
        <v>119</v>
      </c>
      <c r="M285" t="s">
        <v>256</v>
      </c>
      <c r="N285" t="s">
        <v>3</v>
      </c>
      <c r="O285" t="s">
        <v>36</v>
      </c>
      <c r="P285">
        <f t="shared" si="17"/>
        <v>3.7745223466382694</v>
      </c>
      <c r="Q285" t="str">
        <f t="shared" si="16"/>
        <v/>
      </c>
      <c r="R285" s="67" cm="1">
        <f t="array" ref="R285">SUMPRODUCT((J285=$J$7:$J$1000)*(P285&lt;$P$7:$P$1000))+1</f>
        <v>29</v>
      </c>
      <c r="S285" s="72"/>
    </row>
    <row r="286" spans="10:19" x14ac:dyDescent="0.35">
      <c r="J286" s="66">
        <v>13</v>
      </c>
      <c r="K286" t="s">
        <v>34</v>
      </c>
      <c r="L286" t="s">
        <v>684</v>
      </c>
      <c r="M286" t="s">
        <v>256</v>
      </c>
      <c r="N286" t="s">
        <v>3</v>
      </c>
      <c r="O286" t="s">
        <v>36</v>
      </c>
      <c r="P286">
        <f t="shared" si="17"/>
        <v>3.6023002100042132</v>
      </c>
      <c r="Q286" t="str">
        <f t="shared" si="16"/>
        <v/>
      </c>
      <c r="R286" s="67" cm="1">
        <f t="array" ref="R286">SUMPRODUCT((J286=$J$7:$J$1000)*(P286&lt;$P$7:$P$1000))+1</f>
        <v>31</v>
      </c>
      <c r="S286" s="72"/>
    </row>
    <row r="287" spans="10:19" x14ac:dyDescent="0.35">
      <c r="J287">
        <v>13</v>
      </c>
      <c r="K287" t="s">
        <v>34</v>
      </c>
      <c r="L287" t="s">
        <v>420</v>
      </c>
      <c r="M287" t="s">
        <v>256</v>
      </c>
      <c r="N287" t="s">
        <v>3</v>
      </c>
      <c r="O287" t="s">
        <v>36</v>
      </c>
      <c r="P287">
        <f t="shared" si="17"/>
        <v>7.9513364364712737</v>
      </c>
      <c r="Q287" t="str">
        <f t="shared" si="16"/>
        <v/>
      </c>
      <c r="R287" s="67" cm="1">
        <f t="array" ref="R287">SUMPRODUCT((J287=$J$7:$J$1000)*(P287&lt;$P$7:$P$1000))+1</f>
        <v>3</v>
      </c>
      <c r="S287" s="72"/>
    </row>
    <row r="288" spans="10:19" x14ac:dyDescent="0.35">
      <c r="J288">
        <v>13</v>
      </c>
      <c r="K288" t="s">
        <v>34</v>
      </c>
      <c r="L288" t="s">
        <v>228</v>
      </c>
      <c r="M288" t="s">
        <v>256</v>
      </c>
      <c r="N288" t="s">
        <v>3</v>
      </c>
      <c r="O288" t="s">
        <v>36</v>
      </c>
      <c r="P288">
        <f t="shared" si="17"/>
        <v>5.9482315342514838</v>
      </c>
      <c r="Q288" t="str">
        <f t="shared" si="16"/>
        <v/>
      </c>
      <c r="R288" s="67" cm="1">
        <f t="array" ref="R288">SUMPRODUCT((J288=$J$7:$J$1000)*(P288&lt;$P$7:$P$1000))+1</f>
        <v>8</v>
      </c>
      <c r="S288" s="72"/>
    </row>
    <row r="289" spans="10:19" x14ac:dyDescent="0.35">
      <c r="J289" s="66">
        <v>13</v>
      </c>
      <c r="K289" t="s">
        <v>34</v>
      </c>
      <c r="L289" t="s">
        <v>646</v>
      </c>
      <c r="M289" t="s">
        <v>256</v>
      </c>
      <c r="N289" t="s">
        <v>3</v>
      </c>
      <c r="O289" t="s">
        <v>36</v>
      </c>
      <c r="P289">
        <f t="shared" si="17"/>
        <v>0.10647525019585002</v>
      </c>
      <c r="Q289" t="str">
        <f t="shared" ref="Q289:Q352" si="18">IFERROR(($M289-$P289)^2,"")</f>
        <v/>
      </c>
      <c r="R289" s="67" cm="1">
        <f t="array" ref="R289">SUMPRODUCT((J289=$J$7:$J$1000)*(P289&lt;$P$7:$P$1000))+1</f>
        <v>51</v>
      </c>
      <c r="S289" s="72"/>
    </row>
    <row r="290" spans="10:19" x14ac:dyDescent="0.35">
      <c r="J290">
        <v>13</v>
      </c>
      <c r="K290" t="s">
        <v>17</v>
      </c>
      <c r="L290" t="s">
        <v>562</v>
      </c>
      <c r="M290" t="s">
        <v>256</v>
      </c>
      <c r="N290" t="s">
        <v>9</v>
      </c>
      <c r="O290" t="s">
        <v>13</v>
      </c>
      <c r="P290">
        <f t="shared" si="17"/>
        <v>0.50729636411445389</v>
      </c>
      <c r="Q290" t="str">
        <f t="shared" si="18"/>
        <v/>
      </c>
      <c r="R290" s="67" cm="1">
        <f t="array" ref="R290">SUMPRODUCT((J290=$J$7:$J$1000)*(P290&lt;$P$7:$P$1000))+1</f>
        <v>49</v>
      </c>
      <c r="S290" s="72"/>
    </row>
    <row r="291" spans="10:19" x14ac:dyDescent="0.35">
      <c r="J291" s="66">
        <v>13</v>
      </c>
      <c r="K291" t="s">
        <v>17</v>
      </c>
      <c r="L291" t="s">
        <v>423</v>
      </c>
      <c r="M291" t="s">
        <v>256</v>
      </c>
      <c r="N291" t="s">
        <v>9</v>
      </c>
      <c r="O291" t="s">
        <v>13</v>
      </c>
      <c r="P291">
        <f t="shared" si="17"/>
        <v>2.2468750840535026</v>
      </c>
      <c r="Q291" t="str">
        <f t="shared" si="18"/>
        <v/>
      </c>
      <c r="R291" s="67" cm="1">
        <f t="array" ref="R291">SUMPRODUCT((J291=$J$7:$J$1000)*(P291&lt;$P$7:$P$1000))+1</f>
        <v>43</v>
      </c>
      <c r="S291" s="72"/>
    </row>
    <row r="292" spans="10:19" x14ac:dyDescent="0.35">
      <c r="J292" s="66">
        <v>13</v>
      </c>
      <c r="K292" t="s">
        <v>17</v>
      </c>
      <c r="L292" t="s">
        <v>427</v>
      </c>
      <c r="M292" t="s">
        <v>256</v>
      </c>
      <c r="N292" t="s">
        <v>9</v>
      </c>
      <c r="O292" t="s">
        <v>13</v>
      </c>
      <c r="P292">
        <f t="shared" si="17"/>
        <v>7.1174744473516061</v>
      </c>
      <c r="Q292" t="str">
        <f t="shared" si="18"/>
        <v/>
      </c>
      <c r="R292" s="67" cm="1">
        <f t="array" ref="R292">SUMPRODUCT((J292=$J$7:$J$1000)*(P292&lt;$P$7:$P$1000))+1</f>
        <v>4</v>
      </c>
      <c r="S292" s="72"/>
    </row>
    <row r="293" spans="10:19" x14ac:dyDescent="0.35">
      <c r="J293" s="66">
        <v>13</v>
      </c>
      <c r="K293" t="s">
        <v>17</v>
      </c>
      <c r="L293" t="s">
        <v>105</v>
      </c>
      <c r="M293" t="s">
        <v>256</v>
      </c>
      <c r="N293" t="s">
        <v>9</v>
      </c>
      <c r="O293" t="s">
        <v>13</v>
      </c>
      <c r="P293">
        <f t="shared" si="17"/>
        <v>3.6358414706255129</v>
      </c>
      <c r="Q293" t="str">
        <f t="shared" si="18"/>
        <v/>
      </c>
      <c r="R293" s="67" cm="1">
        <f t="array" ref="R293">SUMPRODUCT((J293=$J$7:$J$1000)*(P293&lt;$P$7:$P$1000))+1</f>
        <v>30</v>
      </c>
      <c r="S293" s="72"/>
    </row>
    <row r="294" spans="10:19" x14ac:dyDescent="0.35">
      <c r="J294">
        <v>13</v>
      </c>
      <c r="K294" t="s">
        <v>17</v>
      </c>
      <c r="L294" t="s">
        <v>483</v>
      </c>
      <c r="M294" t="s">
        <v>256</v>
      </c>
      <c r="N294" t="s">
        <v>9</v>
      </c>
      <c r="O294" t="s">
        <v>13</v>
      </c>
      <c r="P294">
        <f t="shared" si="17"/>
        <v>3.4507089588223385</v>
      </c>
      <c r="Q294" t="str">
        <f t="shared" si="18"/>
        <v/>
      </c>
      <c r="R294" s="67" cm="1">
        <f t="array" ref="R294">SUMPRODUCT((J294=$J$7:$J$1000)*(P294&lt;$P$7:$P$1000))+1</f>
        <v>32</v>
      </c>
      <c r="S294" s="72"/>
    </row>
    <row r="295" spans="10:19" x14ac:dyDescent="0.35">
      <c r="J295" s="66">
        <v>13</v>
      </c>
      <c r="K295" t="s">
        <v>17</v>
      </c>
      <c r="L295" t="s">
        <v>284</v>
      </c>
      <c r="M295" t="s">
        <v>256</v>
      </c>
      <c r="N295" t="s">
        <v>9</v>
      </c>
      <c r="O295" t="s">
        <v>13</v>
      </c>
      <c r="P295">
        <f t="shared" si="17"/>
        <v>0.67012937860228727</v>
      </c>
      <c r="Q295" t="str">
        <f t="shared" si="18"/>
        <v/>
      </c>
      <c r="R295" s="67" cm="1">
        <f t="array" ref="R295">SUMPRODUCT((J295=$J$7:$J$1000)*(P295&lt;$P$7:$P$1000))+1</f>
        <v>48</v>
      </c>
      <c r="S295" s="72"/>
    </row>
    <row r="296" spans="10:19" x14ac:dyDescent="0.35">
      <c r="J296">
        <v>13</v>
      </c>
      <c r="K296" t="s">
        <v>13</v>
      </c>
      <c r="L296" t="s">
        <v>103</v>
      </c>
      <c r="M296" t="s">
        <v>256</v>
      </c>
      <c r="N296" t="s">
        <v>3</v>
      </c>
      <c r="O296" t="s">
        <v>17</v>
      </c>
      <c r="P296">
        <f t="shared" si="17"/>
        <v>6.5264547300554501</v>
      </c>
      <c r="Q296" t="str">
        <f t="shared" si="18"/>
        <v/>
      </c>
      <c r="R296" s="67" cm="1">
        <f t="array" ref="R296">SUMPRODUCT((J296=$J$7:$J$1000)*(P296&lt;$P$7:$P$1000))+1</f>
        <v>5</v>
      </c>
      <c r="S296" s="72"/>
    </row>
    <row r="297" spans="10:19" x14ac:dyDescent="0.35">
      <c r="J297">
        <v>13</v>
      </c>
      <c r="K297" t="s">
        <v>13</v>
      </c>
      <c r="L297" t="s">
        <v>469</v>
      </c>
      <c r="M297" t="s">
        <v>256</v>
      </c>
      <c r="N297" t="s">
        <v>3</v>
      </c>
      <c r="O297" t="s">
        <v>17</v>
      </c>
      <c r="P297">
        <f t="shared" si="17"/>
        <v>5.4685956618577993</v>
      </c>
      <c r="Q297" t="str">
        <f t="shared" si="18"/>
        <v/>
      </c>
      <c r="R297" s="67" cm="1">
        <f t="array" ref="R297">SUMPRODUCT((J297=$J$7:$J$1000)*(P297&lt;$P$7:$P$1000))+1</f>
        <v>12</v>
      </c>
      <c r="S297" s="72"/>
    </row>
    <row r="298" spans="10:19" x14ac:dyDescent="0.35">
      <c r="J298" s="66">
        <v>13</v>
      </c>
      <c r="K298" t="s">
        <v>13</v>
      </c>
      <c r="L298" t="s">
        <v>120</v>
      </c>
      <c r="M298" t="s">
        <v>256</v>
      </c>
      <c r="N298" t="s">
        <v>3</v>
      </c>
      <c r="O298" t="s">
        <v>17</v>
      </c>
      <c r="P298">
        <f t="shared" si="17"/>
        <v>5.1140733266275946</v>
      </c>
      <c r="Q298" t="str">
        <f t="shared" si="18"/>
        <v/>
      </c>
      <c r="R298" s="67" cm="1">
        <f t="array" ref="R298">SUMPRODUCT((J298=$J$7:$J$1000)*(P298&lt;$P$7:$P$1000))+1</f>
        <v>18</v>
      </c>
      <c r="S298" s="72"/>
    </row>
    <row r="299" spans="10:19" x14ac:dyDescent="0.35">
      <c r="J299">
        <v>13</v>
      </c>
      <c r="K299" t="s">
        <v>13</v>
      </c>
      <c r="L299" t="s">
        <v>636</v>
      </c>
      <c r="M299" t="s">
        <v>256</v>
      </c>
      <c r="N299" t="s">
        <v>3</v>
      </c>
      <c r="O299" t="s">
        <v>17</v>
      </c>
      <c r="P299">
        <f t="shared" si="17"/>
        <v>2.0988207354071946</v>
      </c>
      <c r="Q299" t="str">
        <f t="shared" si="18"/>
        <v/>
      </c>
      <c r="R299" s="67" cm="1">
        <f t="array" ref="R299">SUMPRODUCT((J299=$J$7:$J$1000)*(P299&lt;$P$7:$P$1000))+1</f>
        <v>45</v>
      </c>
      <c r="S299" s="72"/>
    </row>
    <row r="300" spans="10:19" x14ac:dyDescent="0.35">
      <c r="J300" s="66">
        <v>14</v>
      </c>
      <c r="K300" t="s">
        <v>14</v>
      </c>
      <c r="L300" t="s">
        <v>540</v>
      </c>
      <c r="M300" t="s">
        <v>256</v>
      </c>
      <c r="N300" t="s">
        <v>3</v>
      </c>
      <c r="O300" t="s">
        <v>7</v>
      </c>
      <c r="P300">
        <f t="shared" si="17"/>
        <v>6.34976176003451</v>
      </c>
      <c r="Q300" t="str">
        <f t="shared" si="18"/>
        <v/>
      </c>
      <c r="R300" s="67" cm="1">
        <f t="array" ref="R300">SUMPRODUCT((J300=$J$7:$J$1000)*(P300&lt;$P$7:$P$1000))+1</f>
        <v>7</v>
      </c>
      <c r="S300" s="72"/>
    </row>
    <row r="301" spans="10:19" x14ac:dyDescent="0.35">
      <c r="J301">
        <v>14</v>
      </c>
      <c r="K301" t="s">
        <v>14</v>
      </c>
      <c r="L301" t="s">
        <v>610</v>
      </c>
      <c r="M301" t="s">
        <v>256</v>
      </c>
      <c r="N301" t="s">
        <v>3</v>
      </c>
      <c r="O301" t="s">
        <v>7</v>
      </c>
      <c r="P301">
        <f t="shared" si="17"/>
        <v>3.2066307664296589</v>
      </c>
      <c r="Q301" t="str">
        <f t="shared" si="18"/>
        <v/>
      </c>
      <c r="R301" s="67" cm="1">
        <f t="array" ref="R301">SUMPRODUCT((J301=$J$7:$J$1000)*(P301&lt;$P$7:$P$1000))+1</f>
        <v>35</v>
      </c>
      <c r="S301" s="72"/>
    </row>
    <row r="302" spans="10:19" x14ac:dyDescent="0.35">
      <c r="J302" s="66">
        <v>14</v>
      </c>
      <c r="K302" t="s">
        <v>14</v>
      </c>
      <c r="L302" t="s">
        <v>610</v>
      </c>
      <c r="M302" t="s">
        <v>256</v>
      </c>
      <c r="N302" t="s">
        <v>3</v>
      </c>
      <c r="O302" t="s">
        <v>13</v>
      </c>
      <c r="P302">
        <f t="shared" si="17"/>
        <v>1.8319744236892368</v>
      </c>
      <c r="Q302" t="str">
        <f t="shared" si="18"/>
        <v/>
      </c>
      <c r="R302" s="67" cm="1">
        <f t="array" ref="R302">SUMPRODUCT((J302=$J$7:$J$1000)*(P302&lt;$P$7:$P$1000))+1</f>
        <v>44</v>
      </c>
      <c r="S302" s="72"/>
    </row>
    <row r="303" spans="10:19" x14ac:dyDescent="0.35">
      <c r="J303" s="66">
        <v>14</v>
      </c>
      <c r="K303" t="s">
        <v>14</v>
      </c>
      <c r="L303" t="s">
        <v>470</v>
      </c>
      <c r="M303" t="s">
        <v>256</v>
      </c>
      <c r="N303" t="s">
        <v>3</v>
      </c>
      <c r="O303" t="s">
        <v>7</v>
      </c>
      <c r="P303">
        <f t="shared" si="17"/>
        <v>5.1805474526914024</v>
      </c>
      <c r="Q303" t="str">
        <f t="shared" si="18"/>
        <v/>
      </c>
      <c r="R303" s="67" cm="1">
        <f t="array" ref="R303">SUMPRODUCT((J303=$J$7:$J$1000)*(P303&lt;$P$7:$P$1000))+1</f>
        <v>14</v>
      </c>
      <c r="S303" s="72"/>
    </row>
    <row r="304" spans="10:19" x14ac:dyDescent="0.35">
      <c r="J304">
        <v>14</v>
      </c>
      <c r="K304" t="s">
        <v>14</v>
      </c>
      <c r="L304" t="s">
        <v>107</v>
      </c>
      <c r="M304" t="s">
        <v>256</v>
      </c>
      <c r="N304" t="s">
        <v>3</v>
      </c>
      <c r="O304" t="s">
        <v>7</v>
      </c>
      <c r="P304">
        <f t="shared" si="17"/>
        <v>6.9644839373604777</v>
      </c>
      <c r="Q304" t="str">
        <f t="shared" si="18"/>
        <v/>
      </c>
      <c r="R304" s="67" cm="1">
        <f t="array" ref="R304">SUMPRODUCT((J304=$J$7:$J$1000)*(P304&lt;$P$7:$P$1000))+1</f>
        <v>5</v>
      </c>
      <c r="S304" s="72"/>
    </row>
    <row r="305" spans="10:19" x14ac:dyDescent="0.35">
      <c r="J305" s="66">
        <v>14</v>
      </c>
      <c r="K305" t="s">
        <v>14</v>
      </c>
      <c r="L305" t="s">
        <v>425</v>
      </c>
      <c r="M305" t="s">
        <v>256</v>
      </c>
      <c r="N305" t="s">
        <v>3</v>
      </c>
      <c r="O305" t="s">
        <v>7</v>
      </c>
      <c r="P305">
        <f t="shared" si="17"/>
        <v>3.7545906979621098</v>
      </c>
      <c r="Q305" t="str">
        <f t="shared" si="18"/>
        <v/>
      </c>
      <c r="R305" s="67" cm="1">
        <f t="array" ref="R305">SUMPRODUCT((J305=$J$7:$J$1000)*(P305&lt;$P$7:$P$1000))+1</f>
        <v>31</v>
      </c>
      <c r="S305" s="72"/>
    </row>
    <row r="306" spans="10:19" x14ac:dyDescent="0.35">
      <c r="J306">
        <v>14</v>
      </c>
      <c r="K306" t="s">
        <v>14</v>
      </c>
      <c r="L306" t="s">
        <v>471</v>
      </c>
      <c r="M306" t="s">
        <v>256</v>
      </c>
      <c r="N306" t="s">
        <v>3</v>
      </c>
      <c r="O306" t="s">
        <v>7</v>
      </c>
      <c r="P306">
        <f t="shared" si="17"/>
        <v>5.5692582682740044</v>
      </c>
      <c r="Q306" t="str">
        <f t="shared" si="18"/>
        <v/>
      </c>
      <c r="R306" s="67" cm="1">
        <f t="array" ref="R306">SUMPRODUCT((J306=$J$7:$J$1000)*(P306&lt;$P$7:$P$1000))+1</f>
        <v>10</v>
      </c>
      <c r="S306" s="72"/>
    </row>
    <row r="307" spans="10:19" x14ac:dyDescent="0.35">
      <c r="J307">
        <v>14</v>
      </c>
      <c r="K307" t="s">
        <v>2</v>
      </c>
      <c r="L307" t="s">
        <v>426</v>
      </c>
      <c r="M307" t="s">
        <v>256</v>
      </c>
      <c r="N307" t="s">
        <v>3</v>
      </c>
      <c r="O307" t="s">
        <v>6</v>
      </c>
      <c r="P307">
        <f t="shared" si="17"/>
        <v>4.2779513967573202</v>
      </c>
      <c r="Q307" t="str">
        <f t="shared" si="18"/>
        <v/>
      </c>
      <c r="R307" s="67" cm="1">
        <f t="array" ref="R307">SUMPRODUCT((J307=$J$7:$J$1000)*(P307&lt;$P$7:$P$1000))+1</f>
        <v>27</v>
      </c>
      <c r="S307" s="72"/>
    </row>
    <row r="308" spans="10:19" x14ac:dyDescent="0.35">
      <c r="J308">
        <v>14</v>
      </c>
      <c r="K308" t="s">
        <v>2</v>
      </c>
      <c r="L308" t="s">
        <v>108</v>
      </c>
      <c r="M308" t="s">
        <v>256</v>
      </c>
      <c r="N308" t="s">
        <v>3</v>
      </c>
      <c r="O308" t="s">
        <v>6</v>
      </c>
      <c r="P308">
        <f t="shared" si="17"/>
        <v>5.1691243687439092</v>
      </c>
      <c r="Q308" t="str">
        <f t="shared" si="18"/>
        <v/>
      </c>
      <c r="R308" s="67" cm="1">
        <f t="array" ref="R308">SUMPRODUCT((J308=$J$7:$J$1000)*(P308&lt;$P$7:$P$1000))+1</f>
        <v>15</v>
      </c>
      <c r="S308" s="72"/>
    </row>
    <row r="309" spans="10:19" x14ac:dyDescent="0.35">
      <c r="J309" s="66">
        <v>14</v>
      </c>
      <c r="K309" t="s">
        <v>2</v>
      </c>
      <c r="L309" t="s">
        <v>115</v>
      </c>
      <c r="M309" t="s">
        <v>256</v>
      </c>
      <c r="N309" t="s">
        <v>3</v>
      </c>
      <c r="O309" t="s">
        <v>6</v>
      </c>
      <c r="P309">
        <f t="shared" si="17"/>
        <v>5.3359637170441667</v>
      </c>
      <c r="Q309" t="str">
        <f t="shared" si="18"/>
        <v/>
      </c>
      <c r="R309" s="67" cm="1">
        <f t="array" ref="R309">SUMPRODUCT((J309=$J$7:$J$1000)*(P309&lt;$P$7:$P$1000))+1</f>
        <v>12</v>
      </c>
      <c r="S309" s="72"/>
    </row>
    <row r="310" spans="10:19" x14ac:dyDescent="0.35">
      <c r="J310" s="66">
        <v>14</v>
      </c>
      <c r="K310" t="s">
        <v>36</v>
      </c>
      <c r="L310" t="s">
        <v>112</v>
      </c>
      <c r="M310" t="s">
        <v>256</v>
      </c>
      <c r="N310" t="s">
        <v>3</v>
      </c>
      <c r="O310" t="s">
        <v>13</v>
      </c>
      <c r="P310">
        <f t="shared" si="17"/>
        <v>4.8400263264346632</v>
      </c>
      <c r="Q310" t="str">
        <f t="shared" si="18"/>
        <v/>
      </c>
      <c r="R310" s="67" cm="1">
        <f t="array" ref="R310">SUMPRODUCT((J310=$J$7:$J$1000)*(P310&lt;$P$7:$P$1000))+1</f>
        <v>21</v>
      </c>
      <c r="S310" s="72"/>
    </row>
    <row r="311" spans="10:19" x14ac:dyDescent="0.35">
      <c r="J311">
        <v>14</v>
      </c>
      <c r="K311" t="s">
        <v>36</v>
      </c>
      <c r="L311" t="s">
        <v>106</v>
      </c>
      <c r="M311" t="s">
        <v>256</v>
      </c>
      <c r="N311" t="s">
        <v>3</v>
      </c>
      <c r="O311" t="s">
        <v>13</v>
      </c>
      <c r="P311">
        <f t="shared" si="17"/>
        <v>1.6707627611382803</v>
      </c>
      <c r="Q311" t="str">
        <f t="shared" si="18"/>
        <v/>
      </c>
      <c r="R311" s="67" cm="1">
        <f t="array" ref="R311">SUMPRODUCT((J311=$J$7:$J$1000)*(P311&lt;$P$7:$P$1000))+1</f>
        <v>45</v>
      </c>
      <c r="S311" s="72"/>
    </row>
    <row r="312" spans="10:19" x14ac:dyDescent="0.35">
      <c r="J312" s="66">
        <v>14</v>
      </c>
      <c r="K312" t="s">
        <v>36</v>
      </c>
      <c r="L312" t="s">
        <v>117</v>
      </c>
      <c r="M312" t="s">
        <v>256</v>
      </c>
      <c r="N312" t="s">
        <v>3</v>
      </c>
      <c r="O312" t="s">
        <v>13</v>
      </c>
      <c r="P312">
        <f t="shared" si="17"/>
        <v>4.5151940063559328</v>
      </c>
      <c r="Q312" t="str">
        <f t="shared" si="18"/>
        <v/>
      </c>
      <c r="R312" s="67" cm="1">
        <f t="array" ref="R312">SUMPRODUCT((J312=$J$7:$J$1000)*(P312&lt;$P$7:$P$1000))+1</f>
        <v>24</v>
      </c>
      <c r="S312" s="72"/>
    </row>
    <row r="313" spans="10:19" x14ac:dyDescent="0.35">
      <c r="J313">
        <v>14</v>
      </c>
      <c r="K313" t="s">
        <v>6</v>
      </c>
      <c r="L313" t="s">
        <v>208</v>
      </c>
      <c r="M313" t="s">
        <v>256</v>
      </c>
      <c r="N313" t="s">
        <v>9</v>
      </c>
      <c r="O313" t="s">
        <v>2</v>
      </c>
      <c r="P313">
        <f t="shared" si="17"/>
        <v>7.7284426240665312</v>
      </c>
      <c r="Q313" t="str">
        <f t="shared" si="18"/>
        <v/>
      </c>
      <c r="R313" s="67" cm="1">
        <f t="array" ref="R313">SUMPRODUCT((J313=$J$7:$J$1000)*(P313&lt;$P$7:$P$1000))+1</f>
        <v>4</v>
      </c>
      <c r="S313" s="72"/>
    </row>
    <row r="314" spans="10:19" x14ac:dyDescent="0.35">
      <c r="J314">
        <v>14</v>
      </c>
      <c r="K314" t="s">
        <v>6</v>
      </c>
      <c r="L314" t="s">
        <v>529</v>
      </c>
      <c r="M314" t="s">
        <v>256</v>
      </c>
      <c r="N314" t="s">
        <v>9</v>
      </c>
      <c r="O314" t="s">
        <v>2</v>
      </c>
      <c r="P314">
        <f t="shared" si="17"/>
        <v>4.2366027593217606</v>
      </c>
      <c r="Q314" t="str">
        <f t="shared" si="18"/>
        <v/>
      </c>
      <c r="R314" s="67" cm="1">
        <f t="array" ref="R314">SUMPRODUCT((J314=$J$7:$J$1000)*(P314&lt;$P$7:$P$1000))+1</f>
        <v>28</v>
      </c>
      <c r="S314" s="72"/>
    </row>
    <row r="315" spans="10:19" x14ac:dyDescent="0.35">
      <c r="J315" s="66">
        <v>14</v>
      </c>
      <c r="K315" t="s">
        <v>6</v>
      </c>
      <c r="L315" t="s">
        <v>634</v>
      </c>
      <c r="M315" t="s">
        <v>256</v>
      </c>
      <c r="N315" t="s">
        <v>9</v>
      </c>
      <c r="O315" t="s">
        <v>2</v>
      </c>
      <c r="P315">
        <f t="shared" si="17"/>
        <v>4.5313597604334817</v>
      </c>
      <c r="Q315" t="str">
        <f t="shared" si="18"/>
        <v/>
      </c>
      <c r="R315" s="67" cm="1">
        <f t="array" ref="R315">SUMPRODUCT((J315=$J$7:$J$1000)*(P315&lt;$P$7:$P$1000))+1</f>
        <v>23</v>
      </c>
      <c r="S315" s="72"/>
    </row>
    <row r="316" spans="10:19" x14ac:dyDescent="0.35">
      <c r="J316">
        <v>14</v>
      </c>
      <c r="K316" t="s">
        <v>6</v>
      </c>
      <c r="L316" t="s">
        <v>116</v>
      </c>
      <c r="M316" t="s">
        <v>256</v>
      </c>
      <c r="N316" t="s">
        <v>9</v>
      </c>
      <c r="O316" t="s">
        <v>2</v>
      </c>
      <c r="P316">
        <f t="shared" si="17"/>
        <v>1.2711007424822145</v>
      </c>
      <c r="Q316" t="str">
        <f t="shared" si="18"/>
        <v/>
      </c>
      <c r="R316" s="67" cm="1">
        <f t="array" ref="R316">SUMPRODUCT((J316=$J$7:$J$1000)*(P316&lt;$P$7:$P$1000))+1</f>
        <v>47</v>
      </c>
      <c r="S316" s="72"/>
    </row>
    <row r="317" spans="10:19" x14ac:dyDescent="0.35">
      <c r="J317">
        <v>14</v>
      </c>
      <c r="K317" t="s">
        <v>6</v>
      </c>
      <c r="L317" t="s">
        <v>430</v>
      </c>
      <c r="M317" t="s">
        <v>256</v>
      </c>
      <c r="N317" t="s">
        <v>9</v>
      </c>
      <c r="O317" t="s">
        <v>2</v>
      </c>
      <c r="P317">
        <f t="shared" si="17"/>
        <v>14.528075212742383</v>
      </c>
      <c r="Q317" t="str">
        <f t="shared" si="18"/>
        <v/>
      </c>
      <c r="R317" s="67" cm="1">
        <f t="array" ref="R317">SUMPRODUCT((J317=$J$7:$J$1000)*(P317&lt;$P$7:$P$1000))+1</f>
        <v>1</v>
      </c>
      <c r="S317" s="72"/>
    </row>
    <row r="318" spans="10:19" x14ac:dyDescent="0.35">
      <c r="J318">
        <v>14</v>
      </c>
      <c r="K318" t="s">
        <v>24</v>
      </c>
      <c r="L318" t="s">
        <v>648</v>
      </c>
      <c r="M318" t="s">
        <v>256</v>
      </c>
      <c r="N318" t="s">
        <v>3</v>
      </c>
      <c r="O318" t="s">
        <v>23</v>
      </c>
      <c r="P318">
        <f t="shared" si="17"/>
        <v>3.0314301141672342</v>
      </c>
      <c r="Q318" t="str">
        <f t="shared" si="18"/>
        <v/>
      </c>
      <c r="R318" s="67" cm="1">
        <f t="array" ref="R318">SUMPRODUCT((J318=$J$7:$J$1000)*(P318&lt;$P$7:$P$1000))+1</f>
        <v>37</v>
      </c>
      <c r="S318" s="72"/>
    </row>
    <row r="319" spans="10:19" x14ac:dyDescent="0.35">
      <c r="J319" s="66">
        <v>14</v>
      </c>
      <c r="K319" t="s">
        <v>24</v>
      </c>
      <c r="L319" t="s">
        <v>422</v>
      </c>
      <c r="M319" t="s">
        <v>256</v>
      </c>
      <c r="N319" t="s">
        <v>3</v>
      </c>
      <c r="O319" t="s">
        <v>23</v>
      </c>
      <c r="P319">
        <f t="shared" si="17"/>
        <v>3.0293357676972432</v>
      </c>
      <c r="Q319" t="str">
        <f t="shared" si="18"/>
        <v/>
      </c>
      <c r="R319" s="67" cm="1">
        <f t="array" ref="R319">SUMPRODUCT((J319=$J$7:$J$1000)*(P319&lt;$P$7:$P$1000))+1</f>
        <v>38</v>
      </c>
      <c r="S319" s="72"/>
    </row>
    <row r="320" spans="10:19" x14ac:dyDescent="0.35">
      <c r="J320" s="66">
        <v>14</v>
      </c>
      <c r="K320" t="s">
        <v>24</v>
      </c>
      <c r="L320" t="s">
        <v>419</v>
      </c>
      <c r="M320" t="s">
        <v>256</v>
      </c>
      <c r="N320" t="s">
        <v>3</v>
      </c>
      <c r="O320" t="s">
        <v>23</v>
      </c>
      <c r="P320">
        <f t="shared" si="17"/>
        <v>5.0587667153837979</v>
      </c>
      <c r="Q320" t="str">
        <f t="shared" si="18"/>
        <v/>
      </c>
      <c r="R320" s="67" cm="1">
        <f t="array" ref="R320">SUMPRODUCT((J320=$J$7:$J$1000)*(P320&lt;$P$7:$P$1000))+1</f>
        <v>17</v>
      </c>
      <c r="S320" s="72"/>
    </row>
    <row r="321" spans="10:19" x14ac:dyDescent="0.35">
      <c r="J321">
        <v>14</v>
      </c>
      <c r="K321" t="s">
        <v>24</v>
      </c>
      <c r="L321" t="s">
        <v>652</v>
      </c>
      <c r="M321" t="s">
        <v>256</v>
      </c>
      <c r="N321" t="s">
        <v>3</v>
      </c>
      <c r="O321" t="s">
        <v>23</v>
      </c>
      <c r="P321">
        <f t="shared" si="17"/>
        <v>4.884347014340114</v>
      </c>
      <c r="Q321" t="str">
        <f t="shared" si="18"/>
        <v/>
      </c>
      <c r="R321" s="67" cm="1">
        <f t="array" ref="R321">SUMPRODUCT((J321=$J$7:$J$1000)*(P321&lt;$P$7:$P$1000))+1</f>
        <v>20</v>
      </c>
      <c r="S321" s="72"/>
    </row>
    <row r="322" spans="10:19" x14ac:dyDescent="0.35">
      <c r="J322">
        <v>14</v>
      </c>
      <c r="K322" t="s">
        <v>24</v>
      </c>
      <c r="L322" t="s">
        <v>511</v>
      </c>
      <c r="M322" t="s">
        <v>256</v>
      </c>
      <c r="N322" t="s">
        <v>3</v>
      </c>
      <c r="O322" t="s">
        <v>23</v>
      </c>
      <c r="P322">
        <f t="shared" si="17"/>
        <v>5.5604998340789926</v>
      </c>
      <c r="Q322" t="str">
        <f t="shared" si="18"/>
        <v/>
      </c>
      <c r="R322" s="67" cm="1">
        <f t="array" ref="R322">SUMPRODUCT((J322=$J$7:$J$1000)*(P322&lt;$P$7:$P$1000))+1</f>
        <v>11</v>
      </c>
      <c r="S322" s="72"/>
    </row>
    <row r="323" spans="10:19" x14ac:dyDescent="0.35">
      <c r="J323">
        <v>14</v>
      </c>
      <c r="K323" t="s">
        <v>23</v>
      </c>
      <c r="L323" t="s">
        <v>111</v>
      </c>
      <c r="M323" t="s">
        <v>256</v>
      </c>
      <c r="N323" t="s">
        <v>9</v>
      </c>
      <c r="O323" t="s">
        <v>24</v>
      </c>
      <c r="P323">
        <f t="shared" si="17"/>
        <v>1.8556214389192418</v>
      </c>
      <c r="Q323" t="str">
        <f t="shared" si="18"/>
        <v/>
      </c>
      <c r="R323" s="67" cm="1">
        <f t="array" ref="R323">SUMPRODUCT((J323=$J$7:$J$1000)*(P323&lt;$P$7:$P$1000))+1</f>
        <v>43</v>
      </c>
      <c r="S323" s="72"/>
    </row>
    <row r="324" spans="10:19" x14ac:dyDescent="0.35">
      <c r="J324">
        <v>14</v>
      </c>
      <c r="K324" t="s">
        <v>23</v>
      </c>
      <c r="L324" t="s">
        <v>431</v>
      </c>
      <c r="M324" t="s">
        <v>256</v>
      </c>
      <c r="N324" t="s">
        <v>9</v>
      </c>
      <c r="O324" t="s">
        <v>24</v>
      </c>
      <c r="P324">
        <f t="shared" si="17"/>
        <v>3.6452692927006849</v>
      </c>
      <c r="Q324" t="str">
        <f t="shared" si="18"/>
        <v/>
      </c>
      <c r="R324" s="67" cm="1">
        <f t="array" ref="R324">SUMPRODUCT((J324=$J$7:$J$1000)*(P324&lt;$P$7:$P$1000))+1</f>
        <v>32</v>
      </c>
      <c r="S324" s="72"/>
    </row>
    <row r="325" spans="10:19" x14ac:dyDescent="0.35">
      <c r="J325">
        <v>14</v>
      </c>
      <c r="K325" t="s">
        <v>23</v>
      </c>
      <c r="L325" t="s">
        <v>578</v>
      </c>
      <c r="M325" t="s">
        <v>256</v>
      </c>
      <c r="N325" t="s">
        <v>9</v>
      </c>
      <c r="O325" t="s">
        <v>24</v>
      </c>
      <c r="P325">
        <f t="shared" si="17"/>
        <v>1.4541076626787144</v>
      </c>
      <c r="Q325" t="str">
        <f t="shared" si="18"/>
        <v/>
      </c>
      <c r="R325" s="67" cm="1">
        <f t="array" ref="R325">SUMPRODUCT((J325=$J$7:$J$1000)*(P325&lt;$P$7:$P$1000))+1</f>
        <v>46</v>
      </c>
      <c r="S325" s="72"/>
    </row>
    <row r="326" spans="10:19" x14ac:dyDescent="0.35">
      <c r="J326">
        <v>14</v>
      </c>
      <c r="K326" t="s">
        <v>23</v>
      </c>
      <c r="L326" t="s">
        <v>221</v>
      </c>
      <c r="M326" t="s">
        <v>256</v>
      </c>
      <c r="N326" t="s">
        <v>9</v>
      </c>
      <c r="O326" t="s">
        <v>24</v>
      </c>
      <c r="P326">
        <f t="shared" si="17"/>
        <v>3.3340562115795072</v>
      </c>
      <c r="Q326" t="str">
        <f t="shared" si="18"/>
        <v/>
      </c>
      <c r="R326" s="67" cm="1">
        <f t="array" ref="R326">SUMPRODUCT((J326=$J$7:$J$1000)*(P326&lt;$P$7:$P$1000))+1</f>
        <v>34</v>
      </c>
      <c r="S326" s="72"/>
    </row>
    <row r="327" spans="10:19" x14ac:dyDescent="0.35">
      <c r="J327" s="66">
        <v>14</v>
      </c>
      <c r="K327" t="s">
        <v>23</v>
      </c>
      <c r="L327" t="s">
        <v>421</v>
      </c>
      <c r="M327" t="s">
        <v>256</v>
      </c>
      <c r="N327" t="s">
        <v>9</v>
      </c>
      <c r="O327" t="s">
        <v>24</v>
      </c>
      <c r="P327">
        <f t="shared" si="17"/>
        <v>4.4127509498932378</v>
      </c>
      <c r="Q327" t="str">
        <f t="shared" si="18"/>
        <v/>
      </c>
      <c r="R327" s="67" cm="1">
        <f t="array" ref="R327">SUMPRODUCT((J327=$J$7:$J$1000)*(P327&lt;$P$7:$P$1000))+1</f>
        <v>26</v>
      </c>
      <c r="S327" s="72"/>
    </row>
    <row r="328" spans="10:19" x14ac:dyDescent="0.35">
      <c r="J328">
        <v>14</v>
      </c>
      <c r="K328" t="s">
        <v>7</v>
      </c>
      <c r="L328" t="s">
        <v>512</v>
      </c>
      <c r="M328" t="s">
        <v>256</v>
      </c>
      <c r="N328" t="s">
        <v>9</v>
      </c>
      <c r="O328" t="s">
        <v>14</v>
      </c>
      <c r="P328">
        <f t="shared" ref="P328:P391" si="19">VLOOKUP($N328,$F$3:$G$4,2,FALSE)+VLOOKUP($L328,$B$20:$C$150,2,FALSE)+VLOOKUP($O328,$A$6:$B$16,2,FALSE)</f>
        <v>4.4328698129998205</v>
      </c>
      <c r="Q328" t="str">
        <f t="shared" si="18"/>
        <v/>
      </c>
      <c r="R328" s="67" cm="1">
        <f t="array" ref="R328">SUMPRODUCT((J328=$J$7:$J$1000)*(P328&lt;$P$7:$P$1000))+1</f>
        <v>25</v>
      </c>
      <c r="S328" s="72"/>
    </row>
    <row r="329" spans="10:19" x14ac:dyDescent="0.35">
      <c r="J329">
        <v>14</v>
      </c>
      <c r="K329" t="s">
        <v>7</v>
      </c>
      <c r="L329" t="s">
        <v>110</v>
      </c>
      <c r="M329" t="s">
        <v>256</v>
      </c>
      <c r="N329" t="s">
        <v>9</v>
      </c>
      <c r="O329" t="s">
        <v>14</v>
      </c>
      <c r="P329">
        <f t="shared" si="19"/>
        <v>3.182917603707236</v>
      </c>
      <c r="Q329" t="str">
        <f t="shared" si="18"/>
        <v/>
      </c>
      <c r="R329" s="67" cm="1">
        <f t="array" ref="R329">SUMPRODUCT((J329=$J$7:$J$1000)*(P329&lt;$P$7:$P$1000))+1</f>
        <v>36</v>
      </c>
      <c r="S329" s="72"/>
    </row>
    <row r="330" spans="10:19" x14ac:dyDescent="0.35">
      <c r="J330" s="66">
        <v>14</v>
      </c>
      <c r="K330" t="s">
        <v>7</v>
      </c>
      <c r="L330" t="s">
        <v>104</v>
      </c>
      <c r="M330" t="s">
        <v>256</v>
      </c>
      <c r="N330" t="s">
        <v>9</v>
      </c>
      <c r="O330" t="s">
        <v>14</v>
      </c>
      <c r="P330">
        <f t="shared" si="19"/>
        <v>5.0735028441924843</v>
      </c>
      <c r="Q330" t="str">
        <f t="shared" si="18"/>
        <v/>
      </c>
      <c r="R330" s="67" cm="1">
        <f t="array" ref="R330">SUMPRODUCT((J330=$J$7:$J$1000)*(P330&lt;$P$7:$P$1000))+1</f>
        <v>16</v>
      </c>
      <c r="S330" s="72"/>
    </row>
    <row r="331" spans="10:19" x14ac:dyDescent="0.35">
      <c r="J331">
        <v>14</v>
      </c>
      <c r="K331" t="s">
        <v>7</v>
      </c>
      <c r="L331" t="s">
        <v>277</v>
      </c>
      <c r="M331" t="s">
        <v>256</v>
      </c>
      <c r="N331" t="s">
        <v>9</v>
      </c>
      <c r="O331" t="s">
        <v>14</v>
      </c>
      <c r="P331">
        <f t="shared" si="19"/>
        <v>6.9189504767605099</v>
      </c>
      <c r="Q331" t="str">
        <f t="shared" si="18"/>
        <v/>
      </c>
      <c r="R331" s="67" cm="1">
        <f t="array" ref="R331">SUMPRODUCT((J331=$J$7:$J$1000)*(P331&lt;$P$7:$P$1000))+1</f>
        <v>6</v>
      </c>
      <c r="S331" s="72"/>
    </row>
    <row r="332" spans="10:19" x14ac:dyDescent="0.35">
      <c r="J332">
        <v>14</v>
      </c>
      <c r="K332" t="s">
        <v>34</v>
      </c>
      <c r="L332" t="s">
        <v>424</v>
      </c>
      <c r="M332" t="s">
        <v>256</v>
      </c>
      <c r="N332" t="s">
        <v>9</v>
      </c>
      <c r="O332" t="s">
        <v>17</v>
      </c>
      <c r="P332">
        <f t="shared" si="19"/>
        <v>2.1776051479266991</v>
      </c>
      <c r="Q332" t="str">
        <f t="shared" si="18"/>
        <v/>
      </c>
      <c r="R332" s="67" cm="1">
        <f t="array" ref="R332">SUMPRODUCT((J332=$J$7:$J$1000)*(P332&lt;$P$7:$P$1000))+1</f>
        <v>39</v>
      </c>
      <c r="S332" s="72"/>
    </row>
    <row r="333" spans="10:19" x14ac:dyDescent="0.35">
      <c r="J333">
        <v>14</v>
      </c>
      <c r="K333" t="s">
        <v>34</v>
      </c>
      <c r="L333" t="s">
        <v>119</v>
      </c>
      <c r="M333" t="s">
        <v>256</v>
      </c>
      <c r="N333" t="s">
        <v>9</v>
      </c>
      <c r="O333" t="s">
        <v>17</v>
      </c>
      <c r="P333">
        <f t="shared" si="19"/>
        <v>3.9623036363154274</v>
      </c>
      <c r="Q333" t="str">
        <f t="shared" si="18"/>
        <v/>
      </c>
      <c r="R333" s="67" cm="1">
        <f t="array" ref="R333">SUMPRODUCT((J333=$J$7:$J$1000)*(P333&lt;$P$7:$P$1000))+1</f>
        <v>29</v>
      </c>
      <c r="S333" s="72"/>
    </row>
    <row r="334" spans="10:19" x14ac:dyDescent="0.35">
      <c r="J334">
        <v>14</v>
      </c>
      <c r="K334" t="s">
        <v>34</v>
      </c>
      <c r="L334" t="s">
        <v>684</v>
      </c>
      <c r="M334" t="s">
        <v>256</v>
      </c>
      <c r="N334" t="s">
        <v>9</v>
      </c>
      <c r="O334" t="s">
        <v>17</v>
      </c>
      <c r="P334">
        <f t="shared" si="19"/>
        <v>3.7900814996813716</v>
      </c>
      <c r="Q334" t="str">
        <f t="shared" si="18"/>
        <v/>
      </c>
      <c r="R334" s="67" cm="1">
        <f t="array" ref="R334">SUMPRODUCT((J334=$J$7:$J$1000)*(P334&lt;$P$7:$P$1000))+1</f>
        <v>30</v>
      </c>
      <c r="S334" s="72"/>
    </row>
    <row r="335" spans="10:19" x14ac:dyDescent="0.35">
      <c r="J335" s="66">
        <v>14</v>
      </c>
      <c r="K335" t="s">
        <v>34</v>
      </c>
      <c r="L335" t="s">
        <v>420</v>
      </c>
      <c r="M335" t="s">
        <v>256</v>
      </c>
      <c r="N335" t="s">
        <v>9</v>
      </c>
      <c r="O335" t="s">
        <v>17</v>
      </c>
      <c r="P335">
        <f t="shared" si="19"/>
        <v>8.1391177261484309</v>
      </c>
      <c r="Q335" t="str">
        <f t="shared" si="18"/>
        <v/>
      </c>
      <c r="R335" s="67" cm="1">
        <f t="array" ref="R335">SUMPRODUCT((J335=$J$7:$J$1000)*(P335&lt;$P$7:$P$1000))+1</f>
        <v>3</v>
      </c>
      <c r="S335" s="72"/>
    </row>
    <row r="336" spans="10:19" x14ac:dyDescent="0.35">
      <c r="J336">
        <v>14</v>
      </c>
      <c r="K336" t="s">
        <v>34</v>
      </c>
      <c r="L336" t="s">
        <v>228</v>
      </c>
      <c r="M336" t="s">
        <v>256</v>
      </c>
      <c r="N336" t="s">
        <v>9</v>
      </c>
      <c r="O336" t="s">
        <v>17</v>
      </c>
      <c r="P336">
        <f t="shared" si="19"/>
        <v>6.1360128239286409</v>
      </c>
      <c r="Q336" t="str">
        <f t="shared" si="18"/>
        <v/>
      </c>
      <c r="R336" s="67" cm="1">
        <f t="array" ref="R336">SUMPRODUCT((J336=$J$7:$J$1000)*(P336&lt;$P$7:$P$1000))+1</f>
        <v>9</v>
      </c>
      <c r="S336" s="72"/>
    </row>
    <row r="337" spans="10:19" x14ac:dyDescent="0.35">
      <c r="J337">
        <v>14</v>
      </c>
      <c r="K337" t="s">
        <v>34</v>
      </c>
      <c r="L337" t="s">
        <v>646</v>
      </c>
      <c r="M337" t="s">
        <v>256</v>
      </c>
      <c r="N337" t="s">
        <v>9</v>
      </c>
      <c r="O337" t="s">
        <v>17</v>
      </c>
      <c r="P337">
        <f t="shared" si="19"/>
        <v>0.29425653987300815</v>
      </c>
      <c r="Q337" t="str">
        <f t="shared" si="18"/>
        <v/>
      </c>
      <c r="R337" s="67" cm="1">
        <f t="array" ref="R337">SUMPRODUCT((J337=$J$7:$J$1000)*(P337&lt;$P$7:$P$1000))+1</f>
        <v>48</v>
      </c>
      <c r="S337" s="72"/>
    </row>
    <row r="338" spans="10:19" x14ac:dyDescent="0.35">
      <c r="J338">
        <v>14</v>
      </c>
      <c r="K338" t="s">
        <v>17</v>
      </c>
      <c r="L338" t="s">
        <v>562</v>
      </c>
      <c r="M338" t="s">
        <v>256</v>
      </c>
      <c r="N338" t="s">
        <v>3</v>
      </c>
      <c r="O338" t="s">
        <v>34</v>
      </c>
      <c r="P338">
        <f t="shared" si="19"/>
        <v>1.8720294620633684</v>
      </c>
      <c r="Q338" t="str">
        <f t="shared" si="18"/>
        <v/>
      </c>
      <c r="R338" s="67" cm="1">
        <f t="array" ref="R338">SUMPRODUCT((J338=$J$7:$J$1000)*(P338&lt;$P$7:$P$1000))+1</f>
        <v>42</v>
      </c>
      <c r="S338" s="72"/>
    </row>
    <row r="339" spans="10:19" x14ac:dyDescent="0.35">
      <c r="J339">
        <v>14</v>
      </c>
      <c r="K339" t="s">
        <v>17</v>
      </c>
      <c r="L339" t="s">
        <v>423</v>
      </c>
      <c r="M339" t="s">
        <v>256</v>
      </c>
      <c r="N339" t="s">
        <v>3</v>
      </c>
      <c r="O339" t="s">
        <v>34</v>
      </c>
      <c r="P339">
        <f t="shared" si="19"/>
        <v>3.6116081820024171</v>
      </c>
      <c r="Q339" t="str">
        <f t="shared" si="18"/>
        <v/>
      </c>
      <c r="R339" s="67" cm="1">
        <f t="array" ref="R339">SUMPRODUCT((J339=$J$7:$J$1000)*(P339&lt;$P$7:$P$1000))+1</f>
        <v>33</v>
      </c>
      <c r="S339" s="72"/>
    </row>
    <row r="340" spans="10:19" x14ac:dyDescent="0.35">
      <c r="J340">
        <v>14</v>
      </c>
      <c r="K340" t="s">
        <v>17</v>
      </c>
      <c r="L340" t="s">
        <v>427</v>
      </c>
      <c r="M340" t="s">
        <v>256</v>
      </c>
      <c r="N340" t="s">
        <v>3</v>
      </c>
      <c r="O340" t="s">
        <v>34</v>
      </c>
      <c r="P340">
        <f t="shared" si="19"/>
        <v>8.4822075453005219</v>
      </c>
      <c r="Q340" t="str">
        <f t="shared" si="18"/>
        <v/>
      </c>
      <c r="R340" s="67" cm="1">
        <f t="array" ref="R340">SUMPRODUCT((J340=$J$7:$J$1000)*(P340&lt;$P$7:$P$1000))+1</f>
        <v>2</v>
      </c>
      <c r="S340" s="72"/>
    </row>
    <row r="341" spans="10:19" x14ac:dyDescent="0.35">
      <c r="J341" s="66">
        <v>14</v>
      </c>
      <c r="K341" t="s">
        <v>17</v>
      </c>
      <c r="L341" t="s">
        <v>105</v>
      </c>
      <c r="M341" t="s">
        <v>256</v>
      </c>
      <c r="N341" t="s">
        <v>3</v>
      </c>
      <c r="O341" t="s">
        <v>34</v>
      </c>
      <c r="P341">
        <f t="shared" si="19"/>
        <v>5.0005745685744278</v>
      </c>
      <c r="Q341" t="str">
        <f t="shared" si="18"/>
        <v/>
      </c>
      <c r="R341" s="67" cm="1">
        <f t="array" ref="R341">SUMPRODUCT((J341=$J$7:$J$1000)*(P341&lt;$P$7:$P$1000))+1</f>
        <v>18</v>
      </c>
      <c r="S341" s="72"/>
    </row>
    <row r="342" spans="10:19" x14ac:dyDescent="0.35">
      <c r="J342">
        <v>14</v>
      </c>
      <c r="K342" t="s">
        <v>17</v>
      </c>
      <c r="L342" t="s">
        <v>483</v>
      </c>
      <c r="M342" t="s">
        <v>256</v>
      </c>
      <c r="N342" t="s">
        <v>3</v>
      </c>
      <c r="O342" t="s">
        <v>34</v>
      </c>
      <c r="P342">
        <f t="shared" si="19"/>
        <v>4.8154420567712535</v>
      </c>
      <c r="Q342" t="str">
        <f t="shared" si="18"/>
        <v/>
      </c>
      <c r="R342" s="67" cm="1">
        <f t="array" ref="R342">SUMPRODUCT((J342=$J$7:$J$1000)*(P342&lt;$P$7:$P$1000))+1</f>
        <v>22</v>
      </c>
      <c r="S342" s="72"/>
    </row>
    <row r="343" spans="10:19" x14ac:dyDescent="0.35">
      <c r="J343" s="66">
        <v>14</v>
      </c>
      <c r="K343" t="s">
        <v>17</v>
      </c>
      <c r="L343" t="s">
        <v>284</v>
      </c>
      <c r="M343" t="s">
        <v>256</v>
      </c>
      <c r="N343" t="s">
        <v>3</v>
      </c>
      <c r="O343" t="s">
        <v>34</v>
      </c>
      <c r="P343">
        <f t="shared" si="19"/>
        <v>2.0348624765512016</v>
      </c>
      <c r="Q343" t="str">
        <f t="shared" si="18"/>
        <v/>
      </c>
      <c r="R343" s="67" cm="1">
        <f t="array" ref="R343">SUMPRODUCT((J343=$J$7:$J$1000)*(P343&lt;$P$7:$P$1000))+1</f>
        <v>40</v>
      </c>
      <c r="S343" s="72"/>
    </row>
    <row r="344" spans="10:19" x14ac:dyDescent="0.35">
      <c r="J344">
        <v>14</v>
      </c>
      <c r="K344" t="s">
        <v>13</v>
      </c>
      <c r="L344" t="s">
        <v>103</v>
      </c>
      <c r="M344" t="s">
        <v>256</v>
      </c>
      <c r="N344" t="s">
        <v>9</v>
      </c>
      <c r="O344" t="s">
        <v>36</v>
      </c>
      <c r="P344">
        <f t="shared" si="19"/>
        <v>6.3097911693035753</v>
      </c>
      <c r="Q344" t="str">
        <f t="shared" si="18"/>
        <v/>
      </c>
      <c r="R344" s="67" cm="1">
        <f t="array" ref="R344">SUMPRODUCT((J344=$J$7:$J$1000)*(P344&lt;$P$7:$P$1000))+1</f>
        <v>8</v>
      </c>
      <c r="S344" s="72"/>
    </row>
    <row r="345" spans="10:19" x14ac:dyDescent="0.35">
      <c r="J345">
        <v>14</v>
      </c>
      <c r="K345" t="s">
        <v>13</v>
      </c>
      <c r="L345" t="s">
        <v>469</v>
      </c>
      <c r="M345" t="s">
        <v>256</v>
      </c>
      <c r="N345" t="s">
        <v>9</v>
      </c>
      <c r="O345" t="s">
        <v>36</v>
      </c>
      <c r="P345">
        <f t="shared" si="19"/>
        <v>5.2519321011059246</v>
      </c>
      <c r="Q345" t="str">
        <f t="shared" si="18"/>
        <v/>
      </c>
      <c r="R345" s="67" cm="1">
        <f t="array" ref="R345">SUMPRODUCT((J345=$J$7:$J$1000)*(P345&lt;$P$7:$P$1000))+1</f>
        <v>13</v>
      </c>
      <c r="S345" s="72"/>
    </row>
    <row r="346" spans="10:19" x14ac:dyDescent="0.35">
      <c r="J346">
        <v>14</v>
      </c>
      <c r="K346" t="s">
        <v>13</v>
      </c>
      <c r="L346" t="s">
        <v>120</v>
      </c>
      <c r="M346" t="s">
        <v>256</v>
      </c>
      <c r="N346" t="s">
        <v>9</v>
      </c>
      <c r="O346" t="s">
        <v>36</v>
      </c>
      <c r="P346">
        <f t="shared" si="19"/>
        <v>4.8974097658757199</v>
      </c>
      <c r="Q346" t="str">
        <f t="shared" si="18"/>
        <v/>
      </c>
      <c r="R346" s="67" cm="1">
        <f t="array" ref="R346">SUMPRODUCT((J346=$J$7:$J$1000)*(P346&lt;$P$7:$P$1000))+1</f>
        <v>19</v>
      </c>
      <c r="S346" s="72"/>
    </row>
    <row r="347" spans="10:19" x14ac:dyDescent="0.35">
      <c r="J347">
        <v>14</v>
      </c>
      <c r="K347" t="s">
        <v>13</v>
      </c>
      <c r="L347" t="s">
        <v>636</v>
      </c>
      <c r="M347" t="s">
        <v>256</v>
      </c>
      <c r="N347" t="s">
        <v>9</v>
      </c>
      <c r="O347" t="s">
        <v>36</v>
      </c>
      <c r="P347">
        <f t="shared" si="19"/>
        <v>1.8821571746553203</v>
      </c>
      <c r="Q347" t="str">
        <f t="shared" si="18"/>
        <v/>
      </c>
      <c r="R347" s="67" cm="1">
        <f t="array" ref="R347">SUMPRODUCT((J347=$J$7:$J$1000)*(P347&lt;$P$7:$P$1000))+1</f>
        <v>41</v>
      </c>
      <c r="S347" s="72"/>
    </row>
    <row r="348" spans="10:19" x14ac:dyDescent="0.35">
      <c r="J348">
        <v>15</v>
      </c>
      <c r="K348" t="s">
        <v>14</v>
      </c>
      <c r="L348" t="s">
        <v>540</v>
      </c>
      <c r="M348" t="s">
        <v>256</v>
      </c>
      <c r="N348" t="s">
        <v>3</v>
      </c>
      <c r="O348" t="s">
        <v>2</v>
      </c>
      <c r="P348">
        <f t="shared" si="19"/>
        <v>5.867936490953447</v>
      </c>
      <c r="Q348" t="str">
        <f t="shared" si="18"/>
        <v/>
      </c>
      <c r="R348" s="67" cm="1">
        <f t="array" ref="R348">SUMPRODUCT((J348=$J$7:$J$1000)*(P348&lt;$P$7:$P$1000))+1</f>
        <v>8</v>
      </c>
      <c r="S348" s="72"/>
    </row>
    <row r="349" spans="10:19" x14ac:dyDescent="0.35">
      <c r="J349">
        <v>15</v>
      </c>
      <c r="K349" t="s">
        <v>14</v>
      </c>
      <c r="L349" t="s">
        <v>610</v>
      </c>
      <c r="M349" t="s">
        <v>256</v>
      </c>
      <c r="N349" t="s">
        <v>9</v>
      </c>
      <c r="O349" t="s">
        <v>17</v>
      </c>
      <c r="P349">
        <f t="shared" si="19"/>
        <v>2.7686435472937481</v>
      </c>
      <c r="Q349" t="str">
        <f t="shared" si="18"/>
        <v/>
      </c>
      <c r="R349" s="67" cm="1">
        <f t="array" ref="R349">SUMPRODUCT((J349=$J$7:$J$1000)*(P349&lt;$P$7:$P$1000))+1</f>
        <v>40</v>
      </c>
      <c r="S349" s="72"/>
    </row>
    <row r="350" spans="10:19" x14ac:dyDescent="0.35">
      <c r="J350" s="66">
        <v>15</v>
      </c>
      <c r="K350" t="s">
        <v>14</v>
      </c>
      <c r="L350" t="s">
        <v>610</v>
      </c>
      <c r="M350" t="s">
        <v>256</v>
      </c>
      <c r="N350" t="s">
        <v>3</v>
      </c>
      <c r="O350" t="s">
        <v>2</v>
      </c>
      <c r="P350">
        <f t="shared" si="19"/>
        <v>2.724805497348596</v>
      </c>
      <c r="Q350" t="str">
        <f t="shared" si="18"/>
        <v/>
      </c>
      <c r="R350" s="67" cm="1">
        <f t="array" ref="R350">SUMPRODUCT((J350=$J$7:$J$1000)*(P350&lt;$P$7:$P$1000))+1</f>
        <v>41</v>
      </c>
      <c r="S350" s="72"/>
    </row>
    <row r="351" spans="10:19" x14ac:dyDescent="0.35">
      <c r="J351">
        <v>15</v>
      </c>
      <c r="K351" t="s">
        <v>14</v>
      </c>
      <c r="L351" t="s">
        <v>470</v>
      </c>
      <c r="M351" t="s">
        <v>256</v>
      </c>
      <c r="N351" t="s">
        <v>3</v>
      </c>
      <c r="O351" t="s">
        <v>2</v>
      </c>
      <c r="P351">
        <f t="shared" si="19"/>
        <v>4.6987221836103394</v>
      </c>
      <c r="Q351" t="str">
        <f t="shared" si="18"/>
        <v/>
      </c>
      <c r="R351" s="67" cm="1">
        <f t="array" ref="R351">SUMPRODUCT((J351=$J$7:$J$1000)*(P351&lt;$P$7:$P$1000))+1</f>
        <v>22</v>
      </c>
      <c r="S351" s="72"/>
    </row>
    <row r="352" spans="10:19" x14ac:dyDescent="0.35">
      <c r="J352">
        <v>15</v>
      </c>
      <c r="K352" t="s">
        <v>14</v>
      </c>
      <c r="L352" t="s">
        <v>107</v>
      </c>
      <c r="M352" t="s">
        <v>256</v>
      </c>
      <c r="N352" t="s">
        <v>3</v>
      </c>
      <c r="O352" t="s">
        <v>2</v>
      </c>
      <c r="P352">
        <f t="shared" si="19"/>
        <v>6.4826586682794147</v>
      </c>
      <c r="Q352" t="str">
        <f t="shared" si="18"/>
        <v/>
      </c>
      <c r="R352" s="67" cm="1">
        <f t="array" ref="R352">SUMPRODUCT((J352=$J$7:$J$1000)*(P352&lt;$P$7:$P$1000))+1</f>
        <v>4</v>
      </c>
      <c r="S352" s="72"/>
    </row>
    <row r="353" spans="10:19" x14ac:dyDescent="0.35">
      <c r="J353">
        <v>15</v>
      </c>
      <c r="K353" t="s">
        <v>14</v>
      </c>
      <c r="L353" t="s">
        <v>425</v>
      </c>
      <c r="M353" t="s">
        <v>256</v>
      </c>
      <c r="N353" t="s">
        <v>3</v>
      </c>
      <c r="O353" t="s">
        <v>2</v>
      </c>
      <c r="P353">
        <f t="shared" si="19"/>
        <v>3.2727654288810464</v>
      </c>
      <c r="Q353" t="str">
        <f t="shared" ref="Q353:Q416" si="20">IFERROR(($M353-$P353)^2,"")</f>
        <v/>
      </c>
      <c r="R353" s="67" cm="1">
        <f t="array" ref="R353">SUMPRODUCT((J353=$J$7:$J$1000)*(P353&lt;$P$7:$P$1000))+1</f>
        <v>32</v>
      </c>
      <c r="S353" s="72"/>
    </row>
    <row r="354" spans="10:19" x14ac:dyDescent="0.35">
      <c r="J354">
        <v>15</v>
      </c>
      <c r="K354" t="s">
        <v>14</v>
      </c>
      <c r="L354" t="s">
        <v>471</v>
      </c>
      <c r="M354" t="s">
        <v>256</v>
      </c>
      <c r="N354" t="s">
        <v>3</v>
      </c>
      <c r="O354" t="s">
        <v>2</v>
      </c>
      <c r="P354">
        <f t="shared" si="19"/>
        <v>5.0874329991929415</v>
      </c>
      <c r="Q354" t="str">
        <f t="shared" si="20"/>
        <v/>
      </c>
      <c r="R354" s="67" cm="1">
        <f t="array" ref="R354">SUMPRODUCT((J354=$J$7:$J$1000)*(P354&lt;$P$7:$P$1000))+1</f>
        <v>17</v>
      </c>
      <c r="S354" s="72"/>
    </row>
    <row r="355" spans="10:19" x14ac:dyDescent="0.35">
      <c r="J355">
        <v>15</v>
      </c>
      <c r="K355" t="s">
        <v>2</v>
      </c>
      <c r="L355" t="s">
        <v>426</v>
      </c>
      <c r="M355" t="s">
        <v>256</v>
      </c>
      <c r="N355" t="s">
        <v>9</v>
      </c>
      <c r="O355" t="s">
        <v>14</v>
      </c>
      <c r="P355">
        <f t="shared" si="19"/>
        <v>5.0668045957285237</v>
      </c>
      <c r="Q355" t="str">
        <f t="shared" si="20"/>
        <v/>
      </c>
      <c r="R355" s="67" cm="1">
        <f t="array" ref="R355">SUMPRODUCT((J355=$J$7:$J$1000)*(P355&lt;$P$7:$P$1000))+1</f>
        <v>18</v>
      </c>
      <c r="S355" s="72"/>
    </row>
    <row r="356" spans="10:19" x14ac:dyDescent="0.35">
      <c r="J356">
        <v>15</v>
      </c>
      <c r="K356" t="s">
        <v>2</v>
      </c>
      <c r="L356" t="s">
        <v>108</v>
      </c>
      <c r="M356" t="s">
        <v>256</v>
      </c>
      <c r="N356" t="s">
        <v>9</v>
      </c>
      <c r="O356" t="s">
        <v>14</v>
      </c>
      <c r="P356">
        <f t="shared" si="19"/>
        <v>5.9579775677151128</v>
      </c>
      <c r="Q356" t="str">
        <f t="shared" si="20"/>
        <v/>
      </c>
      <c r="R356" s="67" cm="1">
        <f t="array" ref="R356">SUMPRODUCT((J356=$J$7:$J$1000)*(P356&lt;$P$7:$P$1000))+1</f>
        <v>7</v>
      </c>
      <c r="S356" s="72"/>
    </row>
    <row r="357" spans="10:19" x14ac:dyDescent="0.35">
      <c r="J357">
        <v>15</v>
      </c>
      <c r="K357" t="s">
        <v>2</v>
      </c>
      <c r="L357" t="s">
        <v>115</v>
      </c>
      <c r="M357" t="s">
        <v>256</v>
      </c>
      <c r="N357" t="s">
        <v>9</v>
      </c>
      <c r="O357" t="s">
        <v>14</v>
      </c>
      <c r="P357">
        <f t="shared" si="19"/>
        <v>6.1248169160153703</v>
      </c>
      <c r="Q357" t="str">
        <f t="shared" si="20"/>
        <v/>
      </c>
      <c r="R357" s="67" cm="1">
        <f t="array" ref="R357">SUMPRODUCT((J357=$J$7:$J$1000)*(P357&lt;$P$7:$P$1000))+1</f>
        <v>5</v>
      </c>
      <c r="S357" s="72"/>
    </row>
    <row r="358" spans="10:19" x14ac:dyDescent="0.35">
      <c r="J358">
        <v>15</v>
      </c>
      <c r="K358" t="s">
        <v>36</v>
      </c>
      <c r="L358" t="s">
        <v>112</v>
      </c>
      <c r="M358" t="s">
        <v>256</v>
      </c>
      <c r="N358" t="s">
        <v>9</v>
      </c>
      <c r="O358" t="s">
        <v>17</v>
      </c>
      <c r="P358">
        <f t="shared" si="19"/>
        <v>5.7766954500391741</v>
      </c>
      <c r="Q358" t="str">
        <f t="shared" si="20"/>
        <v/>
      </c>
      <c r="R358" s="67" cm="1">
        <f t="array" ref="R358">SUMPRODUCT((J358=$J$7:$J$1000)*(P358&lt;$P$7:$P$1000))+1</f>
        <v>9</v>
      </c>
      <c r="S358" s="72"/>
    </row>
    <row r="359" spans="10:19" x14ac:dyDescent="0.35">
      <c r="J359">
        <v>15</v>
      </c>
      <c r="K359" t="s">
        <v>36</v>
      </c>
      <c r="L359" t="s">
        <v>106</v>
      </c>
      <c r="M359" t="s">
        <v>256</v>
      </c>
      <c r="N359" t="s">
        <v>9</v>
      </c>
      <c r="O359" t="s">
        <v>17</v>
      </c>
      <c r="P359">
        <f t="shared" si="19"/>
        <v>2.607431884742792</v>
      </c>
      <c r="Q359" t="str">
        <f t="shared" si="20"/>
        <v/>
      </c>
      <c r="R359" s="67" cm="1">
        <f t="array" ref="R359">SUMPRODUCT((J359=$J$7:$J$1000)*(P359&lt;$P$7:$P$1000))+1</f>
        <v>43</v>
      </c>
      <c r="S359" s="72"/>
    </row>
    <row r="360" spans="10:19" x14ac:dyDescent="0.35">
      <c r="J360" s="66">
        <v>15</v>
      </c>
      <c r="K360" t="s">
        <v>36</v>
      </c>
      <c r="L360" t="s">
        <v>117</v>
      </c>
      <c r="M360" t="s">
        <v>256</v>
      </c>
      <c r="N360" t="s">
        <v>9</v>
      </c>
      <c r="O360" t="s">
        <v>17</v>
      </c>
      <c r="P360">
        <f t="shared" si="19"/>
        <v>5.4518631299604436</v>
      </c>
      <c r="Q360" t="str">
        <f t="shared" si="20"/>
        <v/>
      </c>
      <c r="R360" s="67" cm="1">
        <f t="array" ref="R360">SUMPRODUCT((J360=$J$7:$J$1000)*(P360&lt;$P$7:$P$1000))+1</f>
        <v>13</v>
      </c>
      <c r="S360" s="72"/>
    </row>
    <row r="361" spans="10:19" x14ac:dyDescent="0.35">
      <c r="J361">
        <v>15</v>
      </c>
      <c r="K361" t="s">
        <v>6</v>
      </c>
      <c r="L361" t="s">
        <v>208</v>
      </c>
      <c r="M361" t="s">
        <v>256</v>
      </c>
      <c r="N361" t="s">
        <v>3</v>
      </c>
      <c r="O361" t="s">
        <v>24</v>
      </c>
      <c r="P361">
        <f t="shared" si="19"/>
        <v>7.020687059683314</v>
      </c>
      <c r="Q361" t="str">
        <f t="shared" si="20"/>
        <v/>
      </c>
      <c r="R361" s="67" cm="1">
        <f t="array" ref="R361">SUMPRODUCT((J361=$J$7:$J$1000)*(P361&lt;$P$7:$P$1000))+1</f>
        <v>3</v>
      </c>
      <c r="S361" s="72"/>
    </row>
    <row r="362" spans="10:19" x14ac:dyDescent="0.35">
      <c r="J362">
        <v>15</v>
      </c>
      <c r="K362" t="s">
        <v>6</v>
      </c>
      <c r="L362" t="s">
        <v>529</v>
      </c>
      <c r="M362" t="s">
        <v>256</v>
      </c>
      <c r="N362" t="s">
        <v>3</v>
      </c>
      <c r="O362" t="s">
        <v>24</v>
      </c>
      <c r="P362">
        <f t="shared" si="19"/>
        <v>3.5288471949385425</v>
      </c>
      <c r="Q362" t="str">
        <f t="shared" si="20"/>
        <v/>
      </c>
      <c r="R362" s="67" cm="1">
        <f t="array" ref="R362">SUMPRODUCT((J362=$J$7:$J$1000)*(P362&lt;$P$7:$P$1000))+1</f>
        <v>30</v>
      </c>
      <c r="S362" s="72"/>
    </row>
    <row r="363" spans="10:19" x14ac:dyDescent="0.35">
      <c r="J363">
        <v>15</v>
      </c>
      <c r="K363" t="s">
        <v>6</v>
      </c>
      <c r="L363" t="s">
        <v>634</v>
      </c>
      <c r="M363" t="s">
        <v>256</v>
      </c>
      <c r="N363" t="s">
        <v>3</v>
      </c>
      <c r="O363" t="s">
        <v>24</v>
      </c>
      <c r="P363">
        <f t="shared" si="19"/>
        <v>3.8236041960502636</v>
      </c>
      <c r="Q363" t="str">
        <f t="shared" si="20"/>
        <v/>
      </c>
      <c r="R363" s="67" cm="1">
        <f t="array" ref="R363">SUMPRODUCT((J363=$J$7:$J$1000)*(P363&lt;$P$7:$P$1000))+1</f>
        <v>29</v>
      </c>
      <c r="S363" s="72"/>
    </row>
    <row r="364" spans="10:19" x14ac:dyDescent="0.35">
      <c r="J364">
        <v>15</v>
      </c>
      <c r="K364" t="s">
        <v>6</v>
      </c>
      <c r="L364" t="s">
        <v>116</v>
      </c>
      <c r="M364" t="s">
        <v>256</v>
      </c>
      <c r="N364" t="s">
        <v>3</v>
      </c>
      <c r="O364" t="s">
        <v>24</v>
      </c>
      <c r="P364">
        <f t="shared" si="19"/>
        <v>0.5633451780989962</v>
      </c>
      <c r="Q364" t="str">
        <f t="shared" si="20"/>
        <v/>
      </c>
      <c r="R364" s="67" cm="1">
        <f t="array" ref="R364">SUMPRODUCT((J364=$J$7:$J$1000)*(P364&lt;$P$7:$P$1000))+1</f>
        <v>48</v>
      </c>
      <c r="S364" s="72"/>
    </row>
    <row r="365" spans="10:19" x14ac:dyDescent="0.35">
      <c r="J365">
        <v>15</v>
      </c>
      <c r="K365" t="s">
        <v>6</v>
      </c>
      <c r="L365" t="s">
        <v>430</v>
      </c>
      <c r="M365" t="s">
        <v>256</v>
      </c>
      <c r="N365" t="s">
        <v>3</v>
      </c>
      <c r="O365" t="s">
        <v>24</v>
      </c>
      <c r="P365">
        <f t="shared" si="19"/>
        <v>13.820319648359163</v>
      </c>
      <c r="Q365" t="str">
        <f t="shared" si="20"/>
        <v/>
      </c>
      <c r="R365" s="67" cm="1">
        <f t="array" ref="R365">SUMPRODUCT((J365=$J$7:$J$1000)*(P365&lt;$P$7:$P$1000))+1</f>
        <v>1</v>
      </c>
      <c r="S365" s="72"/>
    </row>
    <row r="366" spans="10:19" x14ac:dyDescent="0.35">
      <c r="J366">
        <v>15</v>
      </c>
      <c r="K366" t="s">
        <v>24</v>
      </c>
      <c r="L366" t="s">
        <v>648</v>
      </c>
      <c r="M366" t="s">
        <v>256</v>
      </c>
      <c r="N366" t="s">
        <v>9</v>
      </c>
      <c r="O366" t="s">
        <v>6</v>
      </c>
      <c r="P366">
        <f t="shared" si="19"/>
        <v>3.1372615210721744</v>
      </c>
      <c r="Q366" t="str">
        <f t="shared" si="20"/>
        <v/>
      </c>
      <c r="R366" s="67" cm="1">
        <f t="array" ref="R366">SUMPRODUCT((J366=$J$7:$J$1000)*(P366&lt;$P$7:$P$1000))+1</f>
        <v>33</v>
      </c>
      <c r="S366" s="72"/>
    </row>
    <row r="367" spans="10:19" x14ac:dyDescent="0.35">
      <c r="J367">
        <v>15</v>
      </c>
      <c r="K367" t="s">
        <v>24</v>
      </c>
      <c r="L367" t="s">
        <v>422</v>
      </c>
      <c r="M367" t="s">
        <v>256</v>
      </c>
      <c r="N367" t="s">
        <v>9</v>
      </c>
      <c r="O367" t="s">
        <v>6</v>
      </c>
      <c r="P367">
        <f t="shared" si="19"/>
        <v>3.1351671746021834</v>
      </c>
      <c r="Q367" t="str">
        <f t="shared" si="20"/>
        <v/>
      </c>
      <c r="R367" s="67" cm="1">
        <f t="array" ref="R367">SUMPRODUCT((J367=$J$7:$J$1000)*(P367&lt;$P$7:$P$1000))+1</f>
        <v>34</v>
      </c>
      <c r="S367" s="72"/>
    </row>
    <row r="368" spans="10:19" x14ac:dyDescent="0.35">
      <c r="J368">
        <v>15</v>
      </c>
      <c r="K368" t="s">
        <v>24</v>
      </c>
      <c r="L368" t="s">
        <v>419</v>
      </c>
      <c r="M368" t="s">
        <v>256</v>
      </c>
      <c r="N368" t="s">
        <v>9</v>
      </c>
      <c r="O368" t="s">
        <v>6</v>
      </c>
      <c r="P368">
        <f t="shared" si="19"/>
        <v>5.1645981222887372</v>
      </c>
      <c r="Q368" t="str">
        <f t="shared" si="20"/>
        <v/>
      </c>
      <c r="R368" s="67" cm="1">
        <f t="array" ref="R368">SUMPRODUCT((J368=$J$7:$J$1000)*(P368&lt;$P$7:$P$1000))+1</f>
        <v>15</v>
      </c>
      <c r="S368" s="72"/>
    </row>
    <row r="369" spans="10:19" x14ac:dyDescent="0.35">
      <c r="J369">
        <v>15</v>
      </c>
      <c r="K369" t="s">
        <v>24</v>
      </c>
      <c r="L369" t="s">
        <v>652</v>
      </c>
      <c r="M369" t="s">
        <v>256</v>
      </c>
      <c r="N369" t="s">
        <v>9</v>
      </c>
      <c r="O369" t="s">
        <v>6</v>
      </c>
      <c r="P369">
        <f t="shared" si="19"/>
        <v>4.9901784212450533</v>
      </c>
      <c r="Q369" t="str">
        <f t="shared" si="20"/>
        <v/>
      </c>
      <c r="R369" s="67" cm="1">
        <f t="array" ref="R369">SUMPRODUCT((J369=$J$7:$J$1000)*(P369&lt;$P$7:$P$1000))+1</f>
        <v>20</v>
      </c>
      <c r="S369" s="72"/>
    </row>
    <row r="370" spans="10:19" x14ac:dyDescent="0.35">
      <c r="J370">
        <v>15</v>
      </c>
      <c r="K370" t="s">
        <v>24</v>
      </c>
      <c r="L370" t="s">
        <v>511</v>
      </c>
      <c r="M370" t="s">
        <v>256</v>
      </c>
      <c r="N370" t="s">
        <v>9</v>
      </c>
      <c r="O370" t="s">
        <v>6</v>
      </c>
      <c r="P370">
        <f t="shared" si="19"/>
        <v>5.6663312409839319</v>
      </c>
      <c r="Q370" t="str">
        <f t="shared" si="20"/>
        <v/>
      </c>
      <c r="R370" s="67" cm="1">
        <f t="array" ref="R370">SUMPRODUCT((J370=$J$7:$J$1000)*(P370&lt;$P$7:$P$1000))+1</f>
        <v>10</v>
      </c>
      <c r="S370" s="72"/>
    </row>
    <row r="371" spans="10:19" x14ac:dyDescent="0.35">
      <c r="J371">
        <v>15</v>
      </c>
      <c r="K371" t="s">
        <v>23</v>
      </c>
      <c r="L371" t="s">
        <v>111</v>
      </c>
      <c r="M371" t="s">
        <v>256</v>
      </c>
      <c r="N371" t="s">
        <v>3</v>
      </c>
      <c r="O371" t="s">
        <v>7</v>
      </c>
      <c r="P371">
        <f t="shared" si="19"/>
        <v>3.0740845434582393</v>
      </c>
      <c r="Q371" t="str">
        <f t="shared" si="20"/>
        <v/>
      </c>
      <c r="R371" s="67" cm="1">
        <f t="array" ref="R371">SUMPRODUCT((J371=$J$7:$J$1000)*(P371&lt;$P$7:$P$1000))+1</f>
        <v>36</v>
      </c>
      <c r="S371" s="72"/>
    </row>
    <row r="372" spans="10:19" x14ac:dyDescent="0.35">
      <c r="J372">
        <v>15</v>
      </c>
      <c r="K372" t="s">
        <v>23</v>
      </c>
      <c r="L372" t="s">
        <v>431</v>
      </c>
      <c r="M372" t="s">
        <v>256</v>
      </c>
      <c r="N372" t="s">
        <v>3</v>
      </c>
      <c r="O372" t="s">
        <v>7</v>
      </c>
      <c r="P372">
        <f t="shared" si="19"/>
        <v>4.8637323972396835</v>
      </c>
      <c r="Q372" t="str">
        <f t="shared" si="20"/>
        <v/>
      </c>
      <c r="R372" s="67" cm="1">
        <f t="array" ref="R372">SUMPRODUCT((J372=$J$7:$J$1000)*(P372&lt;$P$7:$P$1000))+1</f>
        <v>21</v>
      </c>
      <c r="S372" s="72"/>
    </row>
    <row r="373" spans="10:19" x14ac:dyDescent="0.35">
      <c r="J373">
        <v>15</v>
      </c>
      <c r="K373" t="s">
        <v>23</v>
      </c>
      <c r="L373" t="s">
        <v>578</v>
      </c>
      <c r="M373" t="s">
        <v>256</v>
      </c>
      <c r="N373" t="s">
        <v>3</v>
      </c>
      <c r="O373" t="s">
        <v>7</v>
      </c>
      <c r="P373">
        <f t="shared" si="19"/>
        <v>2.6725707672177119</v>
      </c>
      <c r="Q373" t="str">
        <f t="shared" si="20"/>
        <v/>
      </c>
      <c r="R373" s="67" cm="1">
        <f t="array" ref="R373">SUMPRODUCT((J373=$J$7:$J$1000)*(P373&lt;$P$7:$P$1000))+1</f>
        <v>42</v>
      </c>
      <c r="S373" s="72"/>
    </row>
    <row r="374" spans="10:19" x14ac:dyDescent="0.35">
      <c r="J374">
        <v>15</v>
      </c>
      <c r="K374" t="s">
        <v>23</v>
      </c>
      <c r="L374" t="s">
        <v>221</v>
      </c>
      <c r="M374" t="s">
        <v>256</v>
      </c>
      <c r="N374" t="s">
        <v>3</v>
      </c>
      <c r="O374" t="s">
        <v>7</v>
      </c>
      <c r="P374">
        <f t="shared" si="19"/>
        <v>4.5525193161185049</v>
      </c>
      <c r="Q374" t="str">
        <f t="shared" si="20"/>
        <v/>
      </c>
      <c r="R374" s="67" cm="1">
        <f t="array" ref="R374">SUMPRODUCT((J374=$J$7:$J$1000)*(P374&lt;$P$7:$P$1000))+1</f>
        <v>23</v>
      </c>
      <c r="S374" s="72"/>
    </row>
    <row r="375" spans="10:19" x14ac:dyDescent="0.35">
      <c r="J375">
        <v>15</v>
      </c>
      <c r="K375" t="s">
        <v>23</v>
      </c>
      <c r="L375" t="s">
        <v>421</v>
      </c>
      <c r="M375" t="s">
        <v>256</v>
      </c>
      <c r="N375" t="s">
        <v>3</v>
      </c>
      <c r="O375" t="s">
        <v>7</v>
      </c>
      <c r="P375">
        <f t="shared" si="19"/>
        <v>5.6312140544322364</v>
      </c>
      <c r="Q375" t="str">
        <f t="shared" si="20"/>
        <v/>
      </c>
      <c r="R375" s="67" cm="1">
        <f t="array" ref="R375">SUMPRODUCT((J375=$J$7:$J$1000)*(P375&lt;$P$7:$P$1000))+1</f>
        <v>11</v>
      </c>
      <c r="S375" s="72"/>
    </row>
    <row r="376" spans="10:19" x14ac:dyDescent="0.35">
      <c r="J376">
        <v>15</v>
      </c>
      <c r="K376" t="s">
        <v>4</v>
      </c>
      <c r="L376" t="s">
        <v>118</v>
      </c>
      <c r="M376" t="s">
        <v>256</v>
      </c>
      <c r="N376" t="s">
        <v>3</v>
      </c>
      <c r="O376" t="s">
        <v>13</v>
      </c>
      <c r="P376">
        <f t="shared" si="19"/>
        <v>3.0000564723780041</v>
      </c>
      <c r="Q376" t="str">
        <f t="shared" si="20"/>
        <v/>
      </c>
      <c r="R376" s="67" cm="1">
        <f t="array" ref="R376">SUMPRODUCT((J376=$J$7:$J$1000)*(P376&lt;$P$7:$P$1000))+1</f>
        <v>39</v>
      </c>
      <c r="S376" s="72"/>
    </row>
    <row r="377" spans="10:19" x14ac:dyDescent="0.35">
      <c r="J377">
        <v>15</v>
      </c>
      <c r="K377" t="s">
        <v>4</v>
      </c>
      <c r="L377" t="s">
        <v>335</v>
      </c>
      <c r="M377" t="s">
        <v>256</v>
      </c>
      <c r="N377" t="s">
        <v>3</v>
      </c>
      <c r="O377" t="s">
        <v>13</v>
      </c>
      <c r="P377">
        <f t="shared" si="19"/>
        <v>3.0364616921741665</v>
      </c>
      <c r="Q377" t="str">
        <f t="shared" si="20"/>
        <v/>
      </c>
      <c r="R377" s="67" cm="1">
        <f t="array" ref="R377">SUMPRODUCT((J377=$J$7:$J$1000)*(P377&lt;$P$7:$P$1000))+1</f>
        <v>37</v>
      </c>
      <c r="S377" s="72"/>
    </row>
    <row r="378" spans="10:19" x14ac:dyDescent="0.35">
      <c r="J378">
        <v>15</v>
      </c>
      <c r="K378" t="s">
        <v>4</v>
      </c>
      <c r="L378" t="s">
        <v>484</v>
      </c>
      <c r="M378" t="s">
        <v>256</v>
      </c>
      <c r="N378" t="s">
        <v>3</v>
      </c>
      <c r="O378" t="s">
        <v>13</v>
      </c>
      <c r="P378">
        <f t="shared" si="19"/>
        <v>5.357729980820289</v>
      </c>
      <c r="Q378" t="str">
        <f t="shared" si="20"/>
        <v/>
      </c>
      <c r="R378" s="67" cm="1">
        <f t="array" ref="R378">SUMPRODUCT((J378=$J$7:$J$1000)*(P378&lt;$P$7:$P$1000))+1</f>
        <v>14</v>
      </c>
      <c r="S378" s="72"/>
    </row>
    <row r="379" spans="10:19" x14ac:dyDescent="0.35">
      <c r="J379" s="66">
        <v>15</v>
      </c>
      <c r="K379" t="s">
        <v>4</v>
      </c>
      <c r="L379" t="s">
        <v>643</v>
      </c>
      <c r="M379" t="s">
        <v>256</v>
      </c>
      <c r="N379" t="s">
        <v>3</v>
      </c>
      <c r="O379" t="s">
        <v>13</v>
      </c>
      <c r="P379">
        <f t="shared" si="19"/>
        <v>3.1121580921008443</v>
      </c>
      <c r="Q379" t="str">
        <f t="shared" si="20"/>
        <v/>
      </c>
      <c r="R379" s="67" cm="1">
        <f t="array" ref="R379">SUMPRODUCT((J379=$J$7:$J$1000)*(P379&lt;$P$7:$P$1000))+1</f>
        <v>35</v>
      </c>
      <c r="S379" s="72"/>
    </row>
    <row r="380" spans="10:19" x14ac:dyDescent="0.35">
      <c r="J380">
        <v>15</v>
      </c>
      <c r="K380" t="s">
        <v>4</v>
      </c>
      <c r="L380" t="s">
        <v>574</v>
      </c>
      <c r="M380" t="s">
        <v>256</v>
      </c>
      <c r="N380" t="s">
        <v>3</v>
      </c>
      <c r="O380" t="s">
        <v>13</v>
      </c>
      <c r="P380">
        <f t="shared" si="19"/>
        <v>0.1499359082241466</v>
      </c>
      <c r="Q380" t="str">
        <f t="shared" si="20"/>
        <v/>
      </c>
      <c r="R380" s="67" cm="1">
        <f t="array" ref="R380">SUMPRODUCT((J380=$J$7:$J$1000)*(P380&lt;$P$7:$P$1000))+1</f>
        <v>49</v>
      </c>
      <c r="S380" s="72"/>
    </row>
    <row r="381" spans="10:19" x14ac:dyDescent="0.35">
      <c r="J381">
        <v>15</v>
      </c>
      <c r="K381" t="s">
        <v>4</v>
      </c>
      <c r="L381" t="s">
        <v>109</v>
      </c>
      <c r="M381" t="s">
        <v>256</v>
      </c>
      <c r="N381" t="s">
        <v>3</v>
      </c>
      <c r="O381" t="s">
        <v>13</v>
      </c>
      <c r="P381">
        <f t="shared" si="19"/>
        <v>5.0310450253357146</v>
      </c>
      <c r="Q381" t="str">
        <f t="shared" si="20"/>
        <v/>
      </c>
      <c r="R381" s="67" cm="1">
        <f t="array" ref="R381">SUMPRODUCT((J381=$J$7:$J$1000)*(P381&lt;$P$7:$P$1000))+1</f>
        <v>19</v>
      </c>
      <c r="S381" s="72"/>
    </row>
    <row r="382" spans="10:19" x14ac:dyDescent="0.35">
      <c r="J382">
        <v>15</v>
      </c>
      <c r="K382" t="s">
        <v>4</v>
      </c>
      <c r="L382" t="s">
        <v>114</v>
      </c>
      <c r="M382" t="s">
        <v>256</v>
      </c>
      <c r="N382" t="s">
        <v>3</v>
      </c>
      <c r="O382" t="s">
        <v>13</v>
      </c>
      <c r="P382">
        <f t="shared" si="19"/>
        <v>5.1480845816711298</v>
      </c>
      <c r="Q382" t="str">
        <f t="shared" si="20"/>
        <v/>
      </c>
      <c r="R382" s="67" cm="1">
        <f t="array" ref="R382">SUMPRODUCT((J382=$J$7:$J$1000)*(P382&lt;$P$7:$P$1000))+1</f>
        <v>16</v>
      </c>
      <c r="S382" s="72"/>
    </row>
    <row r="383" spans="10:19" x14ac:dyDescent="0.35">
      <c r="J383">
        <v>15</v>
      </c>
      <c r="K383" t="s">
        <v>7</v>
      </c>
      <c r="L383" t="s">
        <v>512</v>
      </c>
      <c r="M383" t="s">
        <v>256</v>
      </c>
      <c r="N383" t="s">
        <v>9</v>
      </c>
      <c r="O383" t="s">
        <v>23</v>
      </c>
      <c r="P383">
        <f t="shared" si="19"/>
        <v>3.50930293604896</v>
      </c>
      <c r="Q383" t="str">
        <f t="shared" si="20"/>
        <v/>
      </c>
      <c r="R383" s="67" cm="1">
        <f t="array" ref="R383">SUMPRODUCT((J383=$J$7:$J$1000)*(P383&lt;$P$7:$P$1000))+1</f>
        <v>31</v>
      </c>
      <c r="S383" s="72"/>
    </row>
    <row r="384" spans="10:19" x14ac:dyDescent="0.35">
      <c r="J384">
        <v>15</v>
      </c>
      <c r="K384" t="s">
        <v>7</v>
      </c>
      <c r="L384" t="s">
        <v>110</v>
      </c>
      <c r="M384" t="s">
        <v>256</v>
      </c>
      <c r="N384" t="s">
        <v>9</v>
      </c>
      <c r="O384" t="s">
        <v>23</v>
      </c>
      <c r="P384">
        <f t="shared" si="19"/>
        <v>2.2593507267563755</v>
      </c>
      <c r="Q384" t="str">
        <f t="shared" si="20"/>
        <v/>
      </c>
      <c r="R384" s="67" cm="1">
        <f t="array" ref="R384">SUMPRODUCT((J384=$J$7:$J$1000)*(P384&lt;$P$7:$P$1000))+1</f>
        <v>44</v>
      </c>
      <c r="S384" s="72"/>
    </row>
    <row r="385" spans="10:19" x14ac:dyDescent="0.35">
      <c r="J385">
        <v>15</v>
      </c>
      <c r="K385" t="s">
        <v>7</v>
      </c>
      <c r="L385" t="s">
        <v>104</v>
      </c>
      <c r="M385" t="s">
        <v>256</v>
      </c>
      <c r="N385" t="s">
        <v>9</v>
      </c>
      <c r="O385" t="s">
        <v>23</v>
      </c>
      <c r="P385">
        <f t="shared" si="19"/>
        <v>4.1499359672416238</v>
      </c>
      <c r="Q385" t="str">
        <f t="shared" si="20"/>
        <v/>
      </c>
      <c r="R385" s="67" cm="1">
        <f t="array" ref="R385">SUMPRODUCT((J385=$J$7:$J$1000)*(P385&lt;$P$7:$P$1000))+1</f>
        <v>27</v>
      </c>
      <c r="S385" s="72"/>
    </row>
    <row r="386" spans="10:19" x14ac:dyDescent="0.35">
      <c r="J386">
        <v>15</v>
      </c>
      <c r="K386" t="s">
        <v>7</v>
      </c>
      <c r="L386" t="s">
        <v>277</v>
      </c>
      <c r="M386" t="s">
        <v>256</v>
      </c>
      <c r="N386" t="s">
        <v>9</v>
      </c>
      <c r="O386" t="s">
        <v>23</v>
      </c>
      <c r="P386">
        <f t="shared" si="19"/>
        <v>5.9953835998096494</v>
      </c>
      <c r="Q386" t="str">
        <f t="shared" si="20"/>
        <v/>
      </c>
      <c r="R386" s="67" cm="1">
        <f t="array" ref="R386">SUMPRODUCT((J386=$J$7:$J$1000)*(P386&lt;$P$7:$P$1000))+1</f>
        <v>6</v>
      </c>
      <c r="S386" s="72"/>
    </row>
    <row r="387" spans="10:19" x14ac:dyDescent="0.35">
      <c r="J387">
        <v>15</v>
      </c>
      <c r="K387" t="s">
        <v>17</v>
      </c>
      <c r="L387" t="s">
        <v>562</v>
      </c>
      <c r="M387" t="s">
        <v>256</v>
      </c>
      <c r="N387" t="s">
        <v>3</v>
      </c>
      <c r="O387" t="s">
        <v>36</v>
      </c>
      <c r="P387">
        <f t="shared" si="19"/>
        <v>1.2706253335791651</v>
      </c>
      <c r="Q387" t="str">
        <f t="shared" si="20"/>
        <v/>
      </c>
      <c r="R387" s="67" cm="1">
        <f t="array" ref="R387">SUMPRODUCT((J387=$J$7:$J$1000)*(P387&lt;$P$7:$P$1000))+1</f>
        <v>46</v>
      </c>
      <c r="S387" s="72"/>
    </row>
    <row r="388" spans="10:19" x14ac:dyDescent="0.35">
      <c r="J388">
        <v>15</v>
      </c>
      <c r="K388" t="s">
        <v>17</v>
      </c>
      <c r="L388" t="s">
        <v>423</v>
      </c>
      <c r="M388" t="s">
        <v>256</v>
      </c>
      <c r="N388" t="s">
        <v>3</v>
      </c>
      <c r="O388" t="s">
        <v>36</v>
      </c>
      <c r="P388">
        <f t="shared" si="19"/>
        <v>3.0102040535182137</v>
      </c>
      <c r="Q388" t="str">
        <f t="shared" si="20"/>
        <v/>
      </c>
      <c r="R388" s="67" cm="1">
        <f t="array" ref="R388">SUMPRODUCT((J388=$J$7:$J$1000)*(P388&lt;$P$7:$P$1000))+1</f>
        <v>38</v>
      </c>
      <c r="S388" s="72"/>
    </row>
    <row r="389" spans="10:19" x14ac:dyDescent="0.35">
      <c r="J389">
        <v>15</v>
      </c>
      <c r="K389" t="s">
        <v>17</v>
      </c>
      <c r="L389" t="s">
        <v>427</v>
      </c>
      <c r="M389" t="s">
        <v>256</v>
      </c>
      <c r="N389" t="s">
        <v>3</v>
      </c>
      <c r="O389" t="s">
        <v>36</v>
      </c>
      <c r="P389">
        <f t="shared" si="19"/>
        <v>7.8808034168163186</v>
      </c>
      <c r="Q389" t="str">
        <f t="shared" si="20"/>
        <v/>
      </c>
      <c r="R389" s="67" cm="1">
        <f t="array" ref="R389">SUMPRODUCT((J389=$J$7:$J$1000)*(P389&lt;$P$7:$P$1000))+1</f>
        <v>2</v>
      </c>
      <c r="S389" s="72"/>
    </row>
    <row r="390" spans="10:19" x14ac:dyDescent="0.35">
      <c r="J390">
        <v>15</v>
      </c>
      <c r="K390" t="s">
        <v>17</v>
      </c>
      <c r="L390" t="s">
        <v>105</v>
      </c>
      <c r="M390" t="s">
        <v>256</v>
      </c>
      <c r="N390" t="s">
        <v>3</v>
      </c>
      <c r="O390" t="s">
        <v>36</v>
      </c>
      <c r="P390">
        <f t="shared" si="19"/>
        <v>4.3991704400902254</v>
      </c>
      <c r="Q390" t="str">
        <f t="shared" si="20"/>
        <v/>
      </c>
      <c r="R390" s="67" cm="1">
        <f t="array" ref="R390">SUMPRODUCT((J390=$J$7:$J$1000)*(P390&lt;$P$7:$P$1000))+1</f>
        <v>25</v>
      </c>
      <c r="S390" s="72"/>
    </row>
    <row r="391" spans="10:19" x14ac:dyDescent="0.35">
      <c r="J391">
        <v>15</v>
      </c>
      <c r="K391" t="s">
        <v>17</v>
      </c>
      <c r="L391" t="s">
        <v>483</v>
      </c>
      <c r="M391" t="s">
        <v>256</v>
      </c>
      <c r="N391" t="s">
        <v>3</v>
      </c>
      <c r="O391" t="s">
        <v>36</v>
      </c>
      <c r="P391">
        <f t="shared" si="19"/>
        <v>4.214037928287051</v>
      </c>
      <c r="Q391" t="str">
        <f t="shared" si="20"/>
        <v/>
      </c>
      <c r="R391" s="67" cm="1">
        <f t="array" ref="R391">SUMPRODUCT((J391=$J$7:$J$1000)*(P391&lt;$P$7:$P$1000))+1</f>
        <v>26</v>
      </c>
      <c r="S391" s="72"/>
    </row>
    <row r="392" spans="10:19" x14ac:dyDescent="0.35">
      <c r="J392">
        <v>15</v>
      </c>
      <c r="K392" t="s">
        <v>17</v>
      </c>
      <c r="L392" t="s">
        <v>284</v>
      </c>
      <c r="M392" t="s">
        <v>256</v>
      </c>
      <c r="N392" t="s">
        <v>3</v>
      </c>
      <c r="O392" t="s">
        <v>36</v>
      </c>
      <c r="P392">
        <f t="shared" ref="P392:P447" si="21">VLOOKUP($N392,$F$3:$G$4,2,FALSE)+VLOOKUP($L392,$B$20:$C$150,2,FALSE)+VLOOKUP($O392,$A$6:$B$16,2,FALSE)</f>
        <v>1.4334583480669985</v>
      </c>
      <c r="Q392" t="str">
        <f t="shared" si="20"/>
        <v/>
      </c>
      <c r="R392" s="67" cm="1">
        <f t="array" ref="R392">SUMPRODUCT((J392=$J$7:$J$1000)*(P392&lt;$P$7:$P$1000))+1</f>
        <v>45</v>
      </c>
      <c r="S392" s="72"/>
    </row>
    <row r="393" spans="10:19" x14ac:dyDescent="0.35">
      <c r="J393">
        <v>15</v>
      </c>
      <c r="K393" t="s">
        <v>13</v>
      </c>
      <c r="L393" t="s">
        <v>103</v>
      </c>
      <c r="M393" t="s">
        <v>256</v>
      </c>
      <c r="N393" t="s">
        <v>9</v>
      </c>
      <c r="O393" t="s">
        <v>4</v>
      </c>
      <c r="P393">
        <f t="shared" si="21"/>
        <v>5.5207946008049564</v>
      </c>
      <c r="Q393" t="str">
        <f t="shared" si="20"/>
        <v/>
      </c>
      <c r="R393" s="67" cm="1">
        <f t="array" ref="R393">SUMPRODUCT((J393=$J$7:$J$1000)*(P393&lt;$P$7:$P$1000))+1</f>
        <v>12</v>
      </c>
      <c r="S393" s="72"/>
    </row>
    <row r="394" spans="10:19" x14ac:dyDescent="0.35">
      <c r="J394" s="66">
        <v>15</v>
      </c>
      <c r="K394" t="s">
        <v>13</v>
      </c>
      <c r="L394" t="s">
        <v>469</v>
      </c>
      <c r="M394" t="s">
        <v>256</v>
      </c>
      <c r="N394" t="s">
        <v>9</v>
      </c>
      <c r="O394" t="s">
        <v>4</v>
      </c>
      <c r="P394">
        <f t="shared" si="21"/>
        <v>4.4629355326073057</v>
      </c>
      <c r="Q394" t="str">
        <f t="shared" si="20"/>
        <v/>
      </c>
      <c r="R394" s="67" cm="1">
        <f t="array" ref="R394">SUMPRODUCT((J394=$J$7:$J$1000)*(P394&lt;$P$7:$P$1000))+1</f>
        <v>24</v>
      </c>
      <c r="S394" s="72"/>
    </row>
    <row r="395" spans="10:19" x14ac:dyDescent="0.35">
      <c r="J395">
        <v>15</v>
      </c>
      <c r="K395" t="s">
        <v>13</v>
      </c>
      <c r="L395" t="s">
        <v>120</v>
      </c>
      <c r="M395" t="s">
        <v>256</v>
      </c>
      <c r="N395" t="s">
        <v>9</v>
      </c>
      <c r="O395" t="s">
        <v>4</v>
      </c>
      <c r="P395">
        <f t="shared" si="21"/>
        <v>4.108413197377101</v>
      </c>
      <c r="Q395" t="str">
        <f t="shared" si="20"/>
        <v/>
      </c>
      <c r="R395" s="67" cm="1">
        <f t="array" ref="R395">SUMPRODUCT((J395=$J$7:$J$1000)*(P395&lt;$P$7:$P$1000))+1</f>
        <v>28</v>
      </c>
      <c r="S395" s="72"/>
    </row>
    <row r="396" spans="10:19" x14ac:dyDescent="0.35">
      <c r="J396">
        <v>15</v>
      </c>
      <c r="K396" t="s">
        <v>13</v>
      </c>
      <c r="L396" t="s">
        <v>636</v>
      </c>
      <c r="M396" t="s">
        <v>256</v>
      </c>
      <c r="N396" t="s">
        <v>9</v>
      </c>
      <c r="O396" t="s">
        <v>4</v>
      </c>
      <c r="P396">
        <f t="shared" si="21"/>
        <v>1.0931606061567016</v>
      </c>
      <c r="Q396" t="str">
        <f t="shared" si="20"/>
        <v/>
      </c>
      <c r="R396" s="67" cm="1">
        <f t="array" ref="R396">SUMPRODUCT((J396=$J$7:$J$1000)*(P396&lt;$P$7:$P$1000))+1</f>
        <v>47</v>
      </c>
      <c r="S396" s="72"/>
    </row>
    <row r="397" spans="10:19" x14ac:dyDescent="0.35">
      <c r="J397">
        <v>16</v>
      </c>
      <c r="K397" t="s">
        <v>14</v>
      </c>
      <c r="L397" t="s">
        <v>540</v>
      </c>
      <c r="M397" t="s">
        <v>256</v>
      </c>
      <c r="N397" t="s">
        <v>9</v>
      </c>
      <c r="O397" t="s">
        <v>13</v>
      </c>
      <c r="P397">
        <f t="shared" si="21"/>
        <v>4.9606642817567286</v>
      </c>
      <c r="Q397" t="str">
        <f t="shared" si="20"/>
        <v/>
      </c>
      <c r="R397" s="67" cm="1">
        <f t="array" ref="R397">SUMPRODUCT((J397=$J$7:$J$1000)*(P397&lt;$P$7:$P$1000))+1</f>
        <v>19</v>
      </c>
      <c r="S397" s="72"/>
    </row>
    <row r="398" spans="10:19" x14ac:dyDescent="0.35">
      <c r="J398">
        <v>16</v>
      </c>
      <c r="K398" t="s">
        <v>14</v>
      </c>
      <c r="L398" t="s">
        <v>610</v>
      </c>
      <c r="M398" t="s">
        <v>256</v>
      </c>
      <c r="N398" t="s">
        <v>9</v>
      </c>
      <c r="O398" t="s">
        <v>13</v>
      </c>
      <c r="P398">
        <f t="shared" si="21"/>
        <v>1.8175332881518789</v>
      </c>
      <c r="Q398" t="str">
        <f t="shared" si="20"/>
        <v/>
      </c>
      <c r="R398" s="67" cm="1">
        <f t="array" ref="R398">SUMPRODUCT((J398=$J$7:$J$1000)*(P398&lt;$P$7:$P$1000))+1</f>
        <v>45</v>
      </c>
      <c r="S398" s="72"/>
    </row>
    <row r="399" spans="10:19" x14ac:dyDescent="0.35">
      <c r="J399">
        <v>16</v>
      </c>
      <c r="K399" t="s">
        <v>14</v>
      </c>
      <c r="L399" t="s">
        <v>470</v>
      </c>
      <c r="M399" t="s">
        <v>256</v>
      </c>
      <c r="N399" t="s">
        <v>9</v>
      </c>
      <c r="O399" t="s">
        <v>13</v>
      </c>
      <c r="P399">
        <f t="shared" si="21"/>
        <v>3.791449974413621</v>
      </c>
      <c r="Q399" t="str">
        <f t="shared" si="20"/>
        <v/>
      </c>
      <c r="R399" s="67" cm="1">
        <f t="array" ref="R399">SUMPRODUCT((J399=$J$7:$J$1000)*(P399&lt;$P$7:$P$1000))+1</f>
        <v>32</v>
      </c>
      <c r="S399" s="72"/>
    </row>
    <row r="400" spans="10:19" x14ac:dyDescent="0.35">
      <c r="J400">
        <v>16</v>
      </c>
      <c r="K400" t="s">
        <v>14</v>
      </c>
      <c r="L400" t="s">
        <v>107</v>
      </c>
      <c r="M400" t="s">
        <v>256</v>
      </c>
      <c r="N400" t="s">
        <v>9</v>
      </c>
      <c r="O400" t="s">
        <v>13</v>
      </c>
      <c r="P400">
        <f t="shared" si="21"/>
        <v>5.5753864590826963</v>
      </c>
      <c r="Q400" t="str">
        <f t="shared" si="20"/>
        <v/>
      </c>
      <c r="R400" s="67" cm="1">
        <f t="array" ref="R400">SUMPRODUCT((J400=$J$7:$J$1000)*(P400&lt;$P$7:$P$1000))+1</f>
        <v>15</v>
      </c>
      <c r="S400" s="72"/>
    </row>
    <row r="401" spans="10:19" x14ac:dyDescent="0.35">
      <c r="J401">
        <v>16</v>
      </c>
      <c r="K401" t="s">
        <v>14</v>
      </c>
      <c r="L401" t="s">
        <v>425</v>
      </c>
      <c r="M401" t="s">
        <v>256</v>
      </c>
      <c r="N401" t="s">
        <v>9</v>
      </c>
      <c r="O401" t="s">
        <v>13</v>
      </c>
      <c r="P401">
        <f t="shared" si="21"/>
        <v>2.3654932196843292</v>
      </c>
      <c r="Q401" t="str">
        <f t="shared" si="20"/>
        <v/>
      </c>
      <c r="R401" s="67" cm="1">
        <f t="array" ref="R401">SUMPRODUCT((J401=$J$7:$J$1000)*(P401&lt;$P$7:$P$1000))+1</f>
        <v>43</v>
      </c>
      <c r="S401" s="72"/>
    </row>
    <row r="402" spans="10:19" x14ac:dyDescent="0.35">
      <c r="J402">
        <v>16</v>
      </c>
      <c r="K402" t="s">
        <v>14</v>
      </c>
      <c r="L402" t="s">
        <v>471</v>
      </c>
      <c r="M402" t="s">
        <v>256</v>
      </c>
      <c r="N402" t="s">
        <v>9</v>
      </c>
      <c r="O402" t="s">
        <v>13</v>
      </c>
      <c r="P402">
        <f t="shared" si="21"/>
        <v>4.180160789996223</v>
      </c>
      <c r="Q402" t="str">
        <f t="shared" si="20"/>
        <v/>
      </c>
      <c r="R402" s="67" cm="1">
        <f t="array" ref="R402">SUMPRODUCT((J402=$J$7:$J$1000)*(P402&lt;$P$7:$P$1000))+1</f>
        <v>26</v>
      </c>
      <c r="S402" s="72"/>
    </row>
    <row r="403" spans="10:19" x14ac:dyDescent="0.35">
      <c r="J403">
        <v>16</v>
      </c>
      <c r="K403" t="s">
        <v>2</v>
      </c>
      <c r="L403" t="s">
        <v>426</v>
      </c>
      <c r="M403" t="s">
        <v>256</v>
      </c>
      <c r="N403" t="s">
        <v>3</v>
      </c>
      <c r="O403" t="s">
        <v>4</v>
      </c>
      <c r="P403">
        <f t="shared" si="21"/>
        <v>3.4718014605587237</v>
      </c>
      <c r="Q403" t="str">
        <f t="shared" si="20"/>
        <v/>
      </c>
      <c r="R403" s="67" cm="1">
        <f t="array" ref="R403">SUMPRODUCT((J403=$J$7:$J$1000)*(P403&lt;$P$7:$P$1000))+1</f>
        <v>36</v>
      </c>
      <c r="S403" s="72"/>
    </row>
    <row r="404" spans="10:19" x14ac:dyDescent="0.35">
      <c r="J404" s="66">
        <v>16</v>
      </c>
      <c r="K404" t="s">
        <v>2</v>
      </c>
      <c r="L404" t="s">
        <v>108</v>
      </c>
      <c r="M404" t="s">
        <v>256</v>
      </c>
      <c r="N404" t="s">
        <v>3</v>
      </c>
      <c r="O404" t="s">
        <v>4</v>
      </c>
      <c r="P404">
        <f t="shared" si="21"/>
        <v>4.3629744325453128</v>
      </c>
      <c r="Q404" t="str">
        <f t="shared" si="20"/>
        <v/>
      </c>
      <c r="R404" s="67" cm="1">
        <f t="array" ref="R404">SUMPRODUCT((J404=$J$7:$J$1000)*(P404&lt;$P$7:$P$1000))+1</f>
        <v>23</v>
      </c>
      <c r="S404" s="72"/>
    </row>
    <row r="405" spans="10:19" x14ac:dyDescent="0.35">
      <c r="J405">
        <v>16</v>
      </c>
      <c r="K405" t="s">
        <v>2</v>
      </c>
      <c r="L405" t="s">
        <v>115</v>
      </c>
      <c r="M405" t="s">
        <v>256</v>
      </c>
      <c r="N405" t="s">
        <v>3</v>
      </c>
      <c r="O405" t="s">
        <v>4</v>
      </c>
      <c r="P405">
        <f t="shared" si="21"/>
        <v>4.5298137808455703</v>
      </c>
      <c r="Q405" t="str">
        <f t="shared" si="20"/>
        <v/>
      </c>
      <c r="R405" s="67" cm="1">
        <f t="array" ref="R405">SUMPRODUCT((J405=$J$7:$J$1000)*(P405&lt;$P$7:$P$1000))+1</f>
        <v>21</v>
      </c>
      <c r="S405" s="72"/>
    </row>
    <row r="406" spans="10:19" x14ac:dyDescent="0.35">
      <c r="J406">
        <v>16</v>
      </c>
      <c r="K406" t="s">
        <v>6</v>
      </c>
      <c r="L406" t="s">
        <v>208</v>
      </c>
      <c r="M406" t="s">
        <v>256</v>
      </c>
      <c r="N406" t="s">
        <v>9</v>
      </c>
      <c r="O406" t="s">
        <v>7</v>
      </c>
      <c r="P406">
        <f t="shared" si="21"/>
        <v>8.210267893147595</v>
      </c>
      <c r="Q406" t="str">
        <f t="shared" si="20"/>
        <v/>
      </c>
      <c r="R406" s="67" cm="1">
        <f t="array" ref="R406">SUMPRODUCT((J406=$J$7:$J$1000)*(P406&lt;$P$7:$P$1000))+1</f>
        <v>2</v>
      </c>
      <c r="S406" s="72"/>
    </row>
    <row r="407" spans="10:19" x14ac:dyDescent="0.35">
      <c r="J407">
        <v>16</v>
      </c>
      <c r="K407" t="s">
        <v>6</v>
      </c>
      <c r="L407" t="s">
        <v>529</v>
      </c>
      <c r="M407" t="s">
        <v>256</v>
      </c>
      <c r="N407" t="s">
        <v>9</v>
      </c>
      <c r="O407" t="s">
        <v>7</v>
      </c>
      <c r="P407">
        <f t="shared" si="21"/>
        <v>4.7184280284028235</v>
      </c>
      <c r="Q407" t="str">
        <f t="shared" si="20"/>
        <v/>
      </c>
      <c r="R407" s="67" cm="1">
        <f t="array" ref="R407">SUMPRODUCT((J407=$J$7:$J$1000)*(P407&lt;$P$7:$P$1000))+1</f>
        <v>20</v>
      </c>
      <c r="S407" s="72"/>
    </row>
    <row r="408" spans="10:19" x14ac:dyDescent="0.35">
      <c r="J408">
        <v>16</v>
      </c>
      <c r="K408" t="s">
        <v>6</v>
      </c>
      <c r="L408" t="s">
        <v>634</v>
      </c>
      <c r="M408" t="s">
        <v>256</v>
      </c>
      <c r="N408" t="s">
        <v>9</v>
      </c>
      <c r="O408" t="s">
        <v>7</v>
      </c>
      <c r="P408">
        <f t="shared" si="21"/>
        <v>5.0131850295145446</v>
      </c>
      <c r="Q408" t="str">
        <f t="shared" si="20"/>
        <v/>
      </c>
      <c r="R408" s="67" cm="1">
        <f t="array" ref="R408">SUMPRODUCT((J408=$J$7:$J$1000)*(P408&lt;$P$7:$P$1000))+1</f>
        <v>18</v>
      </c>
      <c r="S408" s="72"/>
    </row>
    <row r="409" spans="10:19" x14ac:dyDescent="0.35">
      <c r="J409">
        <v>16</v>
      </c>
      <c r="K409" t="s">
        <v>6</v>
      </c>
      <c r="L409" t="s">
        <v>116</v>
      </c>
      <c r="M409" t="s">
        <v>256</v>
      </c>
      <c r="N409" t="s">
        <v>9</v>
      </c>
      <c r="O409" t="s">
        <v>7</v>
      </c>
      <c r="P409">
        <f t="shared" si="21"/>
        <v>1.7529260115632777</v>
      </c>
      <c r="Q409" t="str">
        <f t="shared" si="20"/>
        <v/>
      </c>
      <c r="R409" s="67" cm="1">
        <f t="array" ref="R409">SUMPRODUCT((J409=$J$7:$J$1000)*(P409&lt;$P$7:$P$1000))+1</f>
        <v>46</v>
      </c>
      <c r="S409" s="72"/>
    </row>
    <row r="410" spans="10:19" x14ac:dyDescent="0.35">
      <c r="J410">
        <v>16</v>
      </c>
      <c r="K410" t="s">
        <v>6</v>
      </c>
      <c r="L410" t="s">
        <v>430</v>
      </c>
      <c r="M410" t="s">
        <v>256</v>
      </c>
      <c r="N410" t="s">
        <v>9</v>
      </c>
      <c r="O410" t="s">
        <v>7</v>
      </c>
      <c r="P410">
        <f t="shared" si="21"/>
        <v>15.009900481823445</v>
      </c>
      <c r="Q410" t="str">
        <f t="shared" si="20"/>
        <v/>
      </c>
      <c r="R410" s="67" cm="1">
        <f t="array" ref="R410">SUMPRODUCT((J410=$J$7:$J$1000)*(P410&lt;$P$7:$P$1000))+1</f>
        <v>1</v>
      </c>
      <c r="S410" s="72"/>
    </row>
    <row r="411" spans="10:19" x14ac:dyDescent="0.35">
      <c r="J411">
        <v>16</v>
      </c>
      <c r="K411" t="s">
        <v>24</v>
      </c>
      <c r="L411" t="s">
        <v>648</v>
      </c>
      <c r="M411" t="s">
        <v>256</v>
      </c>
      <c r="N411" t="s">
        <v>3</v>
      </c>
      <c r="O411" t="s">
        <v>34</v>
      </c>
      <c r="P411">
        <f t="shared" si="21"/>
        <v>3.7359534173937576</v>
      </c>
      <c r="Q411" t="str">
        <f t="shared" si="20"/>
        <v/>
      </c>
      <c r="R411" s="67" cm="1">
        <f t="array" ref="R411">SUMPRODUCT((J411=$J$7:$J$1000)*(P411&lt;$P$7:$P$1000))+1</f>
        <v>33</v>
      </c>
      <c r="S411" s="72"/>
    </row>
    <row r="412" spans="10:19" x14ac:dyDescent="0.35">
      <c r="J412">
        <v>16</v>
      </c>
      <c r="K412" t="s">
        <v>24</v>
      </c>
      <c r="L412" t="s">
        <v>422</v>
      </c>
      <c r="M412" t="s">
        <v>256</v>
      </c>
      <c r="N412" t="s">
        <v>3</v>
      </c>
      <c r="O412" t="s">
        <v>34</v>
      </c>
      <c r="P412">
        <f t="shared" si="21"/>
        <v>3.7338590709237667</v>
      </c>
      <c r="Q412" t="str">
        <f t="shared" si="20"/>
        <v/>
      </c>
      <c r="R412" s="67" cm="1">
        <f t="array" ref="R412">SUMPRODUCT((J412=$J$7:$J$1000)*(P412&lt;$P$7:$P$1000))+1</f>
        <v>34</v>
      </c>
      <c r="S412" s="72"/>
    </row>
    <row r="413" spans="10:19" x14ac:dyDescent="0.35">
      <c r="J413">
        <v>16</v>
      </c>
      <c r="K413" t="s">
        <v>24</v>
      </c>
      <c r="L413" t="s">
        <v>419</v>
      </c>
      <c r="M413" t="s">
        <v>256</v>
      </c>
      <c r="N413" t="s">
        <v>3</v>
      </c>
      <c r="O413" t="s">
        <v>34</v>
      </c>
      <c r="P413">
        <f t="shared" si="21"/>
        <v>5.7632900186103209</v>
      </c>
      <c r="Q413" t="str">
        <f t="shared" si="20"/>
        <v/>
      </c>
      <c r="R413" s="67" cm="1">
        <f t="array" ref="R413">SUMPRODUCT((J413=$J$7:$J$1000)*(P413&lt;$P$7:$P$1000))+1</f>
        <v>12</v>
      </c>
      <c r="S413" s="72"/>
    </row>
    <row r="414" spans="10:19" x14ac:dyDescent="0.35">
      <c r="J414" s="66">
        <v>16</v>
      </c>
      <c r="K414" t="s">
        <v>24</v>
      </c>
      <c r="L414" t="s">
        <v>652</v>
      </c>
      <c r="M414" t="s">
        <v>256</v>
      </c>
      <c r="N414" t="s">
        <v>3</v>
      </c>
      <c r="O414" t="s">
        <v>34</v>
      </c>
      <c r="P414">
        <f t="shared" si="21"/>
        <v>5.588870317566637</v>
      </c>
      <c r="Q414" t="str">
        <f t="shared" si="20"/>
        <v/>
      </c>
      <c r="R414" s="67" cm="1">
        <f t="array" ref="R414">SUMPRODUCT((J414=$J$7:$J$1000)*(P414&lt;$P$7:$P$1000))+1</f>
        <v>14</v>
      </c>
      <c r="S414" s="72"/>
    </row>
    <row r="415" spans="10:19" x14ac:dyDescent="0.35">
      <c r="J415" s="66">
        <v>16</v>
      </c>
      <c r="K415" t="s">
        <v>24</v>
      </c>
      <c r="L415" t="s">
        <v>511</v>
      </c>
      <c r="M415" t="s">
        <v>256</v>
      </c>
      <c r="N415" t="s">
        <v>3</v>
      </c>
      <c r="O415" t="s">
        <v>34</v>
      </c>
      <c r="P415">
        <f t="shared" si="21"/>
        <v>6.2650231373055156</v>
      </c>
      <c r="Q415" t="str">
        <f t="shared" si="20"/>
        <v/>
      </c>
      <c r="R415" s="67" cm="1">
        <f t="array" ref="R415">SUMPRODUCT((J415=$J$7:$J$1000)*(P415&lt;$P$7:$P$1000))+1</f>
        <v>6</v>
      </c>
      <c r="S415" s="72"/>
    </row>
    <row r="416" spans="10:19" x14ac:dyDescent="0.35">
      <c r="J416" s="66">
        <v>16</v>
      </c>
      <c r="K416" t="s">
        <v>23</v>
      </c>
      <c r="L416" t="s">
        <v>111</v>
      </c>
      <c r="M416" t="s">
        <v>256</v>
      </c>
      <c r="N416" t="s">
        <v>3</v>
      </c>
      <c r="O416" t="s">
        <v>17</v>
      </c>
      <c r="P416">
        <f t="shared" si="21"/>
        <v>2.6505384598596864</v>
      </c>
      <c r="Q416" t="str">
        <f t="shared" si="20"/>
        <v/>
      </c>
      <c r="R416" s="67" cm="1">
        <f t="array" ref="R416">SUMPRODUCT((J416=$J$7:$J$1000)*(P416&lt;$P$7:$P$1000))+1</f>
        <v>41</v>
      </c>
      <c r="S416" s="72"/>
    </row>
    <row r="417" spans="10:19" x14ac:dyDescent="0.35">
      <c r="J417">
        <v>16</v>
      </c>
      <c r="K417" t="s">
        <v>23</v>
      </c>
      <c r="L417" t="s">
        <v>431</v>
      </c>
      <c r="M417" t="s">
        <v>256</v>
      </c>
      <c r="N417" t="s">
        <v>3</v>
      </c>
      <c r="O417" t="s">
        <v>17</v>
      </c>
      <c r="P417">
        <f t="shared" si="21"/>
        <v>4.4401863136411306</v>
      </c>
      <c r="Q417" t="str">
        <f t="shared" ref="Q417:Q447" si="22">IFERROR(($M417-$P417)^2,"")</f>
        <v/>
      </c>
      <c r="R417" s="67" cm="1">
        <f t="array" ref="R417">SUMPRODUCT((J417=$J$7:$J$1000)*(P417&lt;$P$7:$P$1000))+1</f>
        <v>22</v>
      </c>
      <c r="S417" s="72"/>
    </row>
    <row r="418" spans="10:19" x14ac:dyDescent="0.35">
      <c r="J418" s="66">
        <v>16</v>
      </c>
      <c r="K418" t="s">
        <v>23</v>
      </c>
      <c r="L418" t="s">
        <v>578</v>
      </c>
      <c r="M418" t="s">
        <v>256</v>
      </c>
      <c r="N418" t="s">
        <v>3</v>
      </c>
      <c r="O418" t="s">
        <v>17</v>
      </c>
      <c r="P418">
        <f t="shared" si="21"/>
        <v>2.249024683619159</v>
      </c>
      <c r="Q418" t="str">
        <f t="shared" si="22"/>
        <v/>
      </c>
      <c r="R418" s="67" cm="1">
        <f t="array" ref="R418">SUMPRODUCT((J418=$J$7:$J$1000)*(P418&lt;$P$7:$P$1000))+1</f>
        <v>44</v>
      </c>
      <c r="S418" s="72"/>
    </row>
    <row r="419" spans="10:19" x14ac:dyDescent="0.35">
      <c r="J419">
        <v>16</v>
      </c>
      <c r="K419" t="s">
        <v>23</v>
      </c>
      <c r="L419" t="s">
        <v>221</v>
      </c>
      <c r="M419" t="s">
        <v>256</v>
      </c>
      <c r="N419" t="s">
        <v>3</v>
      </c>
      <c r="O419" t="s">
        <v>17</v>
      </c>
      <c r="P419">
        <f t="shared" si="21"/>
        <v>4.128973232519952</v>
      </c>
      <c r="Q419" t="str">
        <f t="shared" si="22"/>
        <v/>
      </c>
      <c r="R419" s="67" cm="1">
        <f t="array" ref="R419">SUMPRODUCT((J419=$J$7:$J$1000)*(P419&lt;$P$7:$P$1000))+1</f>
        <v>27</v>
      </c>
      <c r="S419" s="72"/>
    </row>
    <row r="420" spans="10:19" x14ac:dyDescent="0.35">
      <c r="J420" s="66">
        <v>16</v>
      </c>
      <c r="K420" t="s">
        <v>23</v>
      </c>
      <c r="L420" t="s">
        <v>421</v>
      </c>
      <c r="M420" t="s">
        <v>256</v>
      </c>
      <c r="N420" t="s">
        <v>3</v>
      </c>
      <c r="O420" t="s">
        <v>17</v>
      </c>
      <c r="P420">
        <f t="shared" si="21"/>
        <v>5.2076679708336835</v>
      </c>
      <c r="Q420" t="str">
        <f t="shared" si="22"/>
        <v/>
      </c>
      <c r="R420" s="67" cm="1">
        <f t="array" ref="R420">SUMPRODUCT((J420=$J$7:$J$1000)*(P420&lt;$P$7:$P$1000))+1</f>
        <v>17</v>
      </c>
      <c r="S420" s="72"/>
    </row>
    <row r="421" spans="10:19" x14ac:dyDescent="0.35">
      <c r="J421">
        <v>16</v>
      </c>
      <c r="K421" t="s">
        <v>4</v>
      </c>
      <c r="L421" t="s">
        <v>118</v>
      </c>
      <c r="M421" t="s">
        <v>256</v>
      </c>
      <c r="N421" t="s">
        <v>9</v>
      </c>
      <c r="O421" t="s">
        <v>2</v>
      </c>
      <c r="P421">
        <f t="shared" si="21"/>
        <v>3.8784464105000054</v>
      </c>
      <c r="Q421" t="str">
        <f t="shared" si="22"/>
        <v/>
      </c>
      <c r="R421" s="67" cm="1">
        <f t="array" ref="R421">SUMPRODUCT((J421=$J$7:$J$1000)*(P421&lt;$P$7:$P$1000))+1</f>
        <v>31</v>
      </c>
      <c r="S421" s="72"/>
    </row>
    <row r="422" spans="10:19" x14ac:dyDescent="0.35">
      <c r="J422">
        <v>16</v>
      </c>
      <c r="K422" t="s">
        <v>4</v>
      </c>
      <c r="L422" t="s">
        <v>335</v>
      </c>
      <c r="M422" t="s">
        <v>256</v>
      </c>
      <c r="N422" t="s">
        <v>9</v>
      </c>
      <c r="O422" t="s">
        <v>2</v>
      </c>
      <c r="P422">
        <f t="shared" si="21"/>
        <v>3.9148516302961678</v>
      </c>
      <c r="Q422" t="str">
        <f t="shared" si="22"/>
        <v/>
      </c>
      <c r="R422" s="67" cm="1">
        <f t="array" ref="R422">SUMPRODUCT((J422=$J$7:$J$1000)*(P422&lt;$P$7:$P$1000))+1</f>
        <v>30</v>
      </c>
      <c r="S422" s="72"/>
    </row>
    <row r="423" spans="10:19" x14ac:dyDescent="0.35">
      <c r="J423" s="66">
        <v>16</v>
      </c>
      <c r="K423" t="s">
        <v>4</v>
      </c>
      <c r="L423" t="s">
        <v>484</v>
      </c>
      <c r="M423" t="s">
        <v>256</v>
      </c>
      <c r="N423" t="s">
        <v>9</v>
      </c>
      <c r="O423" t="s">
        <v>2</v>
      </c>
      <c r="P423">
        <f t="shared" si="21"/>
        <v>6.2361199189422898</v>
      </c>
      <c r="Q423" t="str">
        <f t="shared" si="22"/>
        <v/>
      </c>
      <c r="R423" s="67" cm="1">
        <f t="array" ref="R423">SUMPRODUCT((J423=$J$7:$J$1000)*(P423&lt;$P$7:$P$1000))+1</f>
        <v>7</v>
      </c>
      <c r="S423" s="72"/>
    </row>
    <row r="424" spans="10:19" x14ac:dyDescent="0.35">
      <c r="J424">
        <v>16</v>
      </c>
      <c r="K424" t="s">
        <v>4</v>
      </c>
      <c r="L424" t="s">
        <v>643</v>
      </c>
      <c r="M424" t="s">
        <v>256</v>
      </c>
      <c r="N424" t="s">
        <v>9</v>
      </c>
      <c r="O424" t="s">
        <v>2</v>
      </c>
      <c r="P424">
        <f t="shared" si="21"/>
        <v>3.9905480302228455</v>
      </c>
      <c r="Q424" t="str">
        <f t="shared" si="22"/>
        <v/>
      </c>
      <c r="R424" s="67" cm="1">
        <f t="array" ref="R424">SUMPRODUCT((J424=$J$7:$J$1000)*(P424&lt;$P$7:$P$1000))+1</f>
        <v>29</v>
      </c>
      <c r="S424" s="72"/>
    </row>
    <row r="425" spans="10:19" x14ac:dyDescent="0.35">
      <c r="J425" s="66">
        <v>16</v>
      </c>
      <c r="K425" t="s">
        <v>4</v>
      </c>
      <c r="L425" t="s">
        <v>574</v>
      </c>
      <c r="M425" t="s">
        <v>256</v>
      </c>
      <c r="N425" t="s">
        <v>9</v>
      </c>
      <c r="O425" t="s">
        <v>2</v>
      </c>
      <c r="P425">
        <f t="shared" si="21"/>
        <v>1.028325846346148</v>
      </c>
      <c r="Q425" t="str">
        <f t="shared" si="22"/>
        <v/>
      </c>
      <c r="R425" s="67" cm="1">
        <f t="array" ref="R425">SUMPRODUCT((J425=$J$7:$J$1000)*(P425&lt;$P$7:$P$1000))+1</f>
        <v>50</v>
      </c>
      <c r="S425" s="72"/>
    </row>
    <row r="426" spans="10:19" x14ac:dyDescent="0.35">
      <c r="J426">
        <v>16</v>
      </c>
      <c r="K426" t="s">
        <v>4</v>
      </c>
      <c r="L426" t="s">
        <v>109</v>
      </c>
      <c r="M426" t="s">
        <v>256</v>
      </c>
      <c r="N426" t="s">
        <v>9</v>
      </c>
      <c r="O426" t="s">
        <v>2</v>
      </c>
      <c r="P426">
        <f t="shared" si="21"/>
        <v>5.9094349634577146</v>
      </c>
      <c r="Q426" t="str">
        <f t="shared" si="22"/>
        <v/>
      </c>
      <c r="R426" s="67" cm="1">
        <f t="array" ref="R426">SUMPRODUCT((J426=$J$7:$J$1000)*(P426&lt;$P$7:$P$1000))+1</f>
        <v>11</v>
      </c>
      <c r="S426" s="72"/>
    </row>
    <row r="427" spans="10:19" x14ac:dyDescent="0.35">
      <c r="J427" s="66">
        <v>16</v>
      </c>
      <c r="K427" t="s">
        <v>4</v>
      </c>
      <c r="L427" t="s">
        <v>114</v>
      </c>
      <c r="M427" t="s">
        <v>256</v>
      </c>
      <c r="N427" t="s">
        <v>9</v>
      </c>
      <c r="O427" t="s">
        <v>2</v>
      </c>
      <c r="P427">
        <f t="shared" si="21"/>
        <v>6.0264745197931298</v>
      </c>
      <c r="Q427" t="str">
        <f t="shared" si="22"/>
        <v/>
      </c>
      <c r="R427" s="67" cm="1">
        <f t="array" ref="R427">SUMPRODUCT((J427=$J$7:$J$1000)*(P427&lt;$P$7:$P$1000))+1</f>
        <v>10</v>
      </c>
      <c r="S427" s="72"/>
    </row>
    <row r="428" spans="10:19" x14ac:dyDescent="0.35">
      <c r="J428" s="66">
        <v>16</v>
      </c>
      <c r="K428" t="s">
        <v>7</v>
      </c>
      <c r="L428" t="s">
        <v>512</v>
      </c>
      <c r="M428" t="s">
        <v>256</v>
      </c>
      <c r="N428" t="s">
        <v>3</v>
      </c>
      <c r="O428" t="s">
        <v>6</v>
      </c>
      <c r="P428">
        <f t="shared" si="21"/>
        <v>3.6440166140286161</v>
      </c>
      <c r="Q428" t="str">
        <f t="shared" si="22"/>
        <v/>
      </c>
      <c r="R428" s="67" cm="1">
        <f t="array" ref="R428">SUMPRODUCT((J428=$J$7:$J$1000)*(P428&lt;$P$7:$P$1000))+1</f>
        <v>35</v>
      </c>
      <c r="S428" s="72"/>
    </row>
    <row r="429" spans="10:19" x14ac:dyDescent="0.35">
      <c r="J429" s="66">
        <v>16</v>
      </c>
      <c r="K429" t="s">
        <v>7</v>
      </c>
      <c r="L429" t="s">
        <v>110</v>
      </c>
      <c r="M429" t="s">
        <v>256</v>
      </c>
      <c r="N429" t="s">
        <v>3</v>
      </c>
      <c r="O429" t="s">
        <v>6</v>
      </c>
      <c r="P429">
        <f t="shared" si="21"/>
        <v>2.3940644047360315</v>
      </c>
      <c r="Q429" t="str">
        <f t="shared" si="22"/>
        <v/>
      </c>
      <c r="R429" s="67" cm="1">
        <f t="array" ref="R429">SUMPRODUCT((J429=$J$7:$J$1000)*(P429&lt;$P$7:$P$1000))+1</f>
        <v>42</v>
      </c>
      <c r="S429" s="72"/>
    </row>
    <row r="430" spans="10:19" x14ac:dyDescent="0.35">
      <c r="J430">
        <v>16</v>
      </c>
      <c r="K430" t="s">
        <v>7</v>
      </c>
      <c r="L430" t="s">
        <v>104</v>
      </c>
      <c r="M430" t="s">
        <v>256</v>
      </c>
      <c r="N430" t="s">
        <v>3</v>
      </c>
      <c r="O430" t="s">
        <v>6</v>
      </c>
      <c r="P430">
        <f t="shared" si="21"/>
        <v>4.2846496452212808</v>
      </c>
      <c r="Q430" t="str">
        <f t="shared" si="22"/>
        <v/>
      </c>
      <c r="R430" s="67" cm="1">
        <f t="array" ref="R430">SUMPRODUCT((J430=$J$7:$J$1000)*(P430&lt;$P$7:$P$1000))+1</f>
        <v>24</v>
      </c>
      <c r="S430" s="72"/>
    </row>
    <row r="431" spans="10:19" x14ac:dyDescent="0.35">
      <c r="J431">
        <v>16</v>
      </c>
      <c r="K431" t="s">
        <v>7</v>
      </c>
      <c r="L431" t="s">
        <v>277</v>
      </c>
      <c r="M431" t="s">
        <v>256</v>
      </c>
      <c r="N431" t="s">
        <v>3</v>
      </c>
      <c r="O431" t="s">
        <v>6</v>
      </c>
      <c r="P431">
        <f t="shared" si="21"/>
        <v>6.1300972777893064</v>
      </c>
      <c r="Q431" t="str">
        <f t="shared" si="22"/>
        <v/>
      </c>
      <c r="R431" s="67" cm="1">
        <f t="array" ref="R431">SUMPRODUCT((J431=$J$7:$J$1000)*(P431&lt;$P$7:$P$1000))+1</f>
        <v>8</v>
      </c>
      <c r="S431" s="72"/>
    </row>
    <row r="432" spans="10:19" x14ac:dyDescent="0.35">
      <c r="J432">
        <v>16</v>
      </c>
      <c r="K432" t="s">
        <v>34</v>
      </c>
      <c r="L432" t="s">
        <v>424</v>
      </c>
      <c r="M432" t="s">
        <v>256</v>
      </c>
      <c r="N432" t="s">
        <v>9</v>
      </c>
      <c r="O432" t="s">
        <v>24</v>
      </c>
      <c r="P432">
        <f t="shared" si="21"/>
        <v>1.3971292625236129</v>
      </c>
      <c r="Q432" t="str">
        <f t="shared" si="22"/>
        <v/>
      </c>
      <c r="R432" s="67" cm="1">
        <f t="array" ref="R432">SUMPRODUCT((J432=$J$7:$J$1000)*(P432&lt;$P$7:$P$1000))+1</f>
        <v>47</v>
      </c>
      <c r="S432" s="72"/>
    </row>
    <row r="433" spans="10:19" x14ac:dyDescent="0.35">
      <c r="J433">
        <v>16</v>
      </c>
      <c r="K433" t="s">
        <v>34</v>
      </c>
      <c r="L433" t="s">
        <v>119</v>
      </c>
      <c r="M433" t="s">
        <v>256</v>
      </c>
      <c r="N433" t="s">
        <v>9</v>
      </c>
      <c r="O433" t="s">
        <v>24</v>
      </c>
      <c r="P433">
        <f t="shared" si="21"/>
        <v>3.1818277509123414</v>
      </c>
      <c r="Q433" t="str">
        <f t="shared" si="22"/>
        <v/>
      </c>
      <c r="R433" s="67" cm="1">
        <f t="array" ref="R433">SUMPRODUCT((J433=$J$7:$J$1000)*(P433&lt;$P$7:$P$1000))+1</f>
        <v>37</v>
      </c>
      <c r="S433" s="72"/>
    </row>
    <row r="434" spans="10:19" x14ac:dyDescent="0.35">
      <c r="J434">
        <v>16</v>
      </c>
      <c r="K434" t="s">
        <v>34</v>
      </c>
      <c r="L434" t="s">
        <v>684</v>
      </c>
      <c r="M434" t="s">
        <v>256</v>
      </c>
      <c r="N434" t="s">
        <v>9</v>
      </c>
      <c r="O434" t="s">
        <v>24</v>
      </c>
      <c r="P434">
        <f t="shared" si="21"/>
        <v>3.0096056142782848</v>
      </c>
      <c r="Q434" t="str">
        <f t="shared" si="22"/>
        <v/>
      </c>
      <c r="R434" s="67" cm="1">
        <f t="array" ref="R434">SUMPRODUCT((J434=$J$7:$J$1000)*(P434&lt;$P$7:$P$1000))+1</f>
        <v>38</v>
      </c>
      <c r="S434" s="72"/>
    </row>
    <row r="435" spans="10:19" x14ac:dyDescent="0.35">
      <c r="J435" s="66">
        <v>16</v>
      </c>
      <c r="K435" t="s">
        <v>34</v>
      </c>
      <c r="L435" t="s">
        <v>420</v>
      </c>
      <c r="M435" t="s">
        <v>256</v>
      </c>
      <c r="N435" t="s">
        <v>9</v>
      </c>
      <c r="O435" t="s">
        <v>24</v>
      </c>
      <c r="P435">
        <f t="shared" si="21"/>
        <v>7.358641840745344</v>
      </c>
      <c r="Q435" t="str">
        <f t="shared" si="22"/>
        <v/>
      </c>
      <c r="R435" s="67" cm="1">
        <f t="array" ref="R435">SUMPRODUCT((J435=$J$7:$J$1000)*(P435&lt;$P$7:$P$1000))+1</f>
        <v>4</v>
      </c>
      <c r="S435" s="72"/>
    </row>
    <row r="436" spans="10:19" x14ac:dyDescent="0.35">
      <c r="J436">
        <v>16</v>
      </c>
      <c r="K436" t="s">
        <v>34</v>
      </c>
      <c r="L436" t="s">
        <v>228</v>
      </c>
      <c r="M436" t="s">
        <v>256</v>
      </c>
      <c r="N436" t="s">
        <v>9</v>
      </c>
      <c r="O436" t="s">
        <v>24</v>
      </c>
      <c r="P436">
        <f t="shared" si="21"/>
        <v>5.355536938525554</v>
      </c>
      <c r="Q436" t="str">
        <f t="shared" si="22"/>
        <v/>
      </c>
      <c r="R436" s="67" cm="1">
        <f t="array" ref="R436">SUMPRODUCT((J436=$J$7:$J$1000)*(P436&lt;$P$7:$P$1000))+1</f>
        <v>16</v>
      </c>
      <c r="S436" s="72"/>
    </row>
    <row r="437" spans="10:19" x14ac:dyDescent="0.35">
      <c r="J437">
        <v>16</v>
      </c>
      <c r="K437" t="s">
        <v>34</v>
      </c>
      <c r="L437" t="s">
        <v>646</v>
      </c>
      <c r="M437" t="s">
        <v>256</v>
      </c>
      <c r="N437" t="s">
        <v>9</v>
      </c>
      <c r="O437" t="s">
        <v>24</v>
      </c>
      <c r="P437">
        <f t="shared" si="21"/>
        <v>-0.48621934553007828</v>
      </c>
      <c r="Q437" t="str">
        <f t="shared" si="22"/>
        <v/>
      </c>
      <c r="R437" s="67" cm="1">
        <f t="array" ref="R437">SUMPRODUCT((J437=$J$7:$J$1000)*(P437&lt;$P$7:$P$1000))+1</f>
        <v>51</v>
      </c>
      <c r="S437" s="72"/>
    </row>
    <row r="438" spans="10:19" x14ac:dyDescent="0.35">
      <c r="J438">
        <v>16</v>
      </c>
      <c r="K438" t="s">
        <v>17</v>
      </c>
      <c r="L438" t="s">
        <v>562</v>
      </c>
      <c r="M438" t="s">
        <v>256</v>
      </c>
      <c r="N438" t="s">
        <v>9</v>
      </c>
      <c r="O438" t="s">
        <v>23</v>
      </c>
      <c r="P438">
        <f t="shared" si="21"/>
        <v>1.1530650232994872</v>
      </c>
      <c r="Q438" t="str">
        <f t="shared" si="22"/>
        <v/>
      </c>
      <c r="R438" s="67" cm="1">
        <f t="array" ref="R438">SUMPRODUCT((J438=$J$7:$J$1000)*(P438&lt;$P$7:$P$1000))+1</f>
        <v>49</v>
      </c>
      <c r="S438" s="72"/>
    </row>
    <row r="439" spans="10:19" x14ac:dyDescent="0.35">
      <c r="J439" s="66">
        <v>16</v>
      </c>
      <c r="K439" t="s">
        <v>17</v>
      </c>
      <c r="L439" t="s">
        <v>423</v>
      </c>
      <c r="M439" t="s">
        <v>256</v>
      </c>
      <c r="N439" t="s">
        <v>9</v>
      </c>
      <c r="O439" t="s">
        <v>23</v>
      </c>
      <c r="P439">
        <f t="shared" si="21"/>
        <v>2.8926437432385357</v>
      </c>
      <c r="Q439" t="str">
        <f t="shared" si="22"/>
        <v/>
      </c>
      <c r="R439" s="67" cm="1">
        <f t="array" ref="R439">SUMPRODUCT((J439=$J$7:$J$1000)*(P439&lt;$P$7:$P$1000))+1</f>
        <v>39</v>
      </c>
      <c r="S439" s="72"/>
    </row>
    <row r="440" spans="10:19" x14ac:dyDescent="0.35">
      <c r="J440">
        <v>16</v>
      </c>
      <c r="K440" t="s">
        <v>17</v>
      </c>
      <c r="L440" t="s">
        <v>427</v>
      </c>
      <c r="M440" t="s">
        <v>256</v>
      </c>
      <c r="N440" t="s">
        <v>9</v>
      </c>
      <c r="O440" t="s">
        <v>23</v>
      </c>
      <c r="P440">
        <f t="shared" si="21"/>
        <v>7.7632431065366392</v>
      </c>
      <c r="Q440" t="str">
        <f t="shared" si="22"/>
        <v/>
      </c>
      <c r="R440" s="67" cm="1">
        <f t="array" ref="R440">SUMPRODUCT((J440=$J$7:$J$1000)*(P440&lt;$P$7:$P$1000))+1</f>
        <v>3</v>
      </c>
      <c r="S440" s="72"/>
    </row>
    <row r="441" spans="10:19" x14ac:dyDescent="0.35">
      <c r="J441">
        <v>16</v>
      </c>
      <c r="K441" t="s">
        <v>17</v>
      </c>
      <c r="L441" t="s">
        <v>105</v>
      </c>
      <c r="M441" t="s">
        <v>256</v>
      </c>
      <c r="N441" t="s">
        <v>9</v>
      </c>
      <c r="O441" t="s">
        <v>23</v>
      </c>
      <c r="P441">
        <f t="shared" si="21"/>
        <v>4.281610129810546</v>
      </c>
      <c r="Q441" t="str">
        <f t="shared" si="22"/>
        <v/>
      </c>
      <c r="R441" s="67" cm="1">
        <f t="array" ref="R441">SUMPRODUCT((J441=$J$7:$J$1000)*(P441&lt;$P$7:$P$1000))+1</f>
        <v>25</v>
      </c>
      <c r="S441" s="72"/>
    </row>
    <row r="442" spans="10:19" x14ac:dyDescent="0.35">
      <c r="J442" s="66">
        <v>16</v>
      </c>
      <c r="K442" t="s">
        <v>17</v>
      </c>
      <c r="L442" t="s">
        <v>483</v>
      </c>
      <c r="M442" t="s">
        <v>256</v>
      </c>
      <c r="N442" t="s">
        <v>9</v>
      </c>
      <c r="O442" t="s">
        <v>23</v>
      </c>
      <c r="P442">
        <f t="shared" si="21"/>
        <v>4.0964776180073716</v>
      </c>
      <c r="Q442" t="str">
        <f t="shared" si="22"/>
        <v/>
      </c>
      <c r="R442" s="67" cm="1">
        <f t="array" ref="R442">SUMPRODUCT((J442=$J$7:$J$1000)*(P442&lt;$P$7:$P$1000))+1</f>
        <v>28</v>
      </c>
      <c r="S442" s="72"/>
    </row>
    <row r="443" spans="10:19" x14ac:dyDescent="0.35">
      <c r="J443">
        <v>16</v>
      </c>
      <c r="K443" t="s">
        <v>17</v>
      </c>
      <c r="L443" t="s">
        <v>284</v>
      </c>
      <c r="M443" t="s">
        <v>256</v>
      </c>
      <c r="N443" t="s">
        <v>9</v>
      </c>
      <c r="O443" t="s">
        <v>23</v>
      </c>
      <c r="P443">
        <f t="shared" si="21"/>
        <v>1.3158980377873206</v>
      </c>
      <c r="Q443" t="str">
        <f t="shared" si="22"/>
        <v/>
      </c>
      <c r="R443" s="67" cm="1">
        <f t="array" ref="R443">SUMPRODUCT((J443=$J$7:$J$1000)*(P443&lt;$P$7:$P$1000))+1</f>
        <v>48</v>
      </c>
      <c r="S443" s="72"/>
    </row>
    <row r="444" spans="10:19" x14ac:dyDescent="0.35">
      <c r="J444">
        <v>16</v>
      </c>
      <c r="K444" t="s">
        <v>13</v>
      </c>
      <c r="L444" t="s">
        <v>103</v>
      </c>
      <c r="M444" t="s">
        <v>256</v>
      </c>
      <c r="N444" t="s">
        <v>3</v>
      </c>
      <c r="O444" t="s">
        <v>14</v>
      </c>
      <c r="P444">
        <f t="shared" si="21"/>
        <v>7.144680007049474</v>
      </c>
      <c r="Q444" t="str">
        <f t="shared" si="22"/>
        <v/>
      </c>
      <c r="R444" s="67" cm="1">
        <f t="array" ref="R444">SUMPRODUCT((J444=$J$7:$J$1000)*(P444&lt;$P$7:$P$1000))+1</f>
        <v>5</v>
      </c>
      <c r="S444" s="72"/>
    </row>
    <row r="445" spans="10:19" x14ac:dyDescent="0.35">
      <c r="J445">
        <v>16</v>
      </c>
      <c r="K445" t="s">
        <v>13</v>
      </c>
      <c r="L445" t="s">
        <v>469</v>
      </c>
      <c r="M445" t="s">
        <v>256</v>
      </c>
      <c r="N445" t="s">
        <v>3</v>
      </c>
      <c r="O445" t="s">
        <v>14</v>
      </c>
      <c r="P445">
        <f t="shared" si="21"/>
        <v>6.0868209388518233</v>
      </c>
      <c r="Q445" t="str">
        <f t="shared" si="22"/>
        <v/>
      </c>
      <c r="R445" s="67" cm="1">
        <f t="array" ref="R445">SUMPRODUCT((J445=$J$7:$J$1000)*(P445&lt;$P$7:$P$1000))+1</f>
        <v>9</v>
      </c>
      <c r="S445" s="72"/>
    </row>
    <row r="446" spans="10:19" x14ac:dyDescent="0.35">
      <c r="J446">
        <v>16</v>
      </c>
      <c r="K446" t="s">
        <v>13</v>
      </c>
      <c r="L446" t="s">
        <v>120</v>
      </c>
      <c r="M446" t="s">
        <v>256</v>
      </c>
      <c r="N446" t="s">
        <v>3</v>
      </c>
      <c r="O446" t="s">
        <v>14</v>
      </c>
      <c r="P446">
        <f t="shared" si="21"/>
        <v>5.7322986036216186</v>
      </c>
      <c r="Q446" t="str">
        <f t="shared" si="22"/>
        <v/>
      </c>
      <c r="R446" s="67" cm="1">
        <f t="array" ref="R446">SUMPRODUCT((J446=$J$7:$J$1000)*(P446&lt;$P$7:$P$1000))+1</f>
        <v>13</v>
      </c>
      <c r="S446" s="72"/>
    </row>
    <row r="447" spans="10:19" x14ac:dyDescent="0.35">
      <c r="J447">
        <v>16</v>
      </c>
      <c r="K447" t="s">
        <v>13</v>
      </c>
      <c r="L447" t="s">
        <v>636</v>
      </c>
      <c r="M447" t="s">
        <v>256</v>
      </c>
      <c r="N447" t="s">
        <v>3</v>
      </c>
      <c r="O447" t="s">
        <v>14</v>
      </c>
      <c r="P447">
        <f t="shared" si="21"/>
        <v>2.7170460124012186</v>
      </c>
      <c r="Q447" t="str">
        <f t="shared" si="22"/>
        <v/>
      </c>
      <c r="R447" s="67" cm="1">
        <f t="array" ref="R447">SUMPRODUCT((J447=$J$7:$J$1000)*(P447&lt;$P$7:$P$1000))+1</f>
        <v>40</v>
      </c>
      <c r="S447" s="72"/>
    </row>
    <row r="448" spans="10:19" x14ac:dyDescent="0.35">
      <c r="J448" s="66"/>
      <c r="R448" s="67"/>
      <c r="S448" s="72"/>
    </row>
    <row r="449" spans="10:19" x14ac:dyDescent="0.35">
      <c r="R449" s="67"/>
      <c r="S449" s="72"/>
    </row>
    <row r="450" spans="10:19" x14ac:dyDescent="0.35">
      <c r="R450" s="67"/>
      <c r="S450" s="72"/>
    </row>
    <row r="451" spans="10:19" x14ac:dyDescent="0.35">
      <c r="R451" s="67"/>
      <c r="S451" s="72"/>
    </row>
    <row r="452" spans="10:19" x14ac:dyDescent="0.35">
      <c r="J452" s="66"/>
      <c r="R452" s="67"/>
      <c r="S452" s="72"/>
    </row>
    <row r="453" spans="10:19" x14ac:dyDescent="0.35">
      <c r="R453" s="67"/>
      <c r="S453" s="72"/>
    </row>
    <row r="454" spans="10:19" x14ac:dyDescent="0.35">
      <c r="J454" s="66"/>
      <c r="R454" s="67"/>
      <c r="S454" s="72"/>
    </row>
    <row r="455" spans="10:19" x14ac:dyDescent="0.35">
      <c r="R455" s="67"/>
      <c r="S455" s="72"/>
    </row>
    <row r="456" spans="10:19" x14ac:dyDescent="0.35">
      <c r="R456" s="67"/>
      <c r="S456" s="72"/>
    </row>
    <row r="457" spans="10:19" x14ac:dyDescent="0.35">
      <c r="R457" s="67"/>
      <c r="S457" s="72"/>
    </row>
    <row r="458" spans="10:19" x14ac:dyDescent="0.35">
      <c r="J458" s="66"/>
      <c r="R458" s="67"/>
      <c r="S458" s="72"/>
    </row>
    <row r="459" spans="10:19" x14ac:dyDescent="0.35">
      <c r="R459" s="67"/>
      <c r="S459" s="72"/>
    </row>
    <row r="460" spans="10:19" x14ac:dyDescent="0.35">
      <c r="R460" s="67"/>
      <c r="S460" s="72"/>
    </row>
    <row r="461" spans="10:19" x14ac:dyDescent="0.35">
      <c r="J461" s="66"/>
      <c r="R461" s="67"/>
      <c r="S461" s="72"/>
    </row>
    <row r="462" spans="10:19" x14ac:dyDescent="0.35">
      <c r="R462" s="67"/>
      <c r="S462" s="72"/>
    </row>
    <row r="463" spans="10:19" x14ac:dyDescent="0.35">
      <c r="J463" s="66"/>
      <c r="R463" s="67"/>
      <c r="S463" s="72"/>
    </row>
    <row r="464" spans="10:19" x14ac:dyDescent="0.35">
      <c r="J464" s="66"/>
      <c r="R464" s="67"/>
      <c r="S464" s="72"/>
    </row>
    <row r="465" spans="10:19" x14ac:dyDescent="0.35">
      <c r="J465" s="66"/>
      <c r="R465" s="67"/>
      <c r="S465" s="72"/>
    </row>
    <row r="466" spans="10:19" x14ac:dyDescent="0.35">
      <c r="J466" s="66"/>
      <c r="R466" s="67"/>
      <c r="S466" s="72"/>
    </row>
    <row r="467" spans="10:19" x14ac:dyDescent="0.35">
      <c r="J467" s="66"/>
      <c r="R467" s="67"/>
      <c r="S467" s="72"/>
    </row>
    <row r="468" spans="10:19" x14ac:dyDescent="0.35">
      <c r="J468" s="66"/>
      <c r="R468" s="67"/>
      <c r="S468" s="72"/>
    </row>
    <row r="469" spans="10:19" x14ac:dyDescent="0.35">
      <c r="J469" s="66"/>
      <c r="R469" s="67"/>
      <c r="S469" s="72"/>
    </row>
    <row r="470" spans="10:19" x14ac:dyDescent="0.35">
      <c r="J470" s="66"/>
      <c r="R470" s="67"/>
      <c r="S470" s="72"/>
    </row>
    <row r="471" spans="10:19" x14ac:dyDescent="0.35">
      <c r="R471" s="67"/>
      <c r="S471" s="72"/>
    </row>
    <row r="472" spans="10:19" x14ac:dyDescent="0.35">
      <c r="J472" s="66"/>
      <c r="R472" s="67"/>
      <c r="S472" s="72"/>
    </row>
    <row r="473" spans="10:19" x14ac:dyDescent="0.35">
      <c r="J473" s="66"/>
      <c r="R473" s="67"/>
      <c r="S473" s="72"/>
    </row>
    <row r="474" spans="10:19" x14ac:dyDescent="0.35">
      <c r="J474" s="66"/>
      <c r="R474" s="67"/>
      <c r="S474" s="72"/>
    </row>
    <row r="475" spans="10:19" x14ac:dyDescent="0.35">
      <c r="R475" s="67"/>
      <c r="S475" s="72"/>
    </row>
    <row r="476" spans="10:19" x14ac:dyDescent="0.35">
      <c r="J476" s="66"/>
      <c r="R476" s="67"/>
      <c r="S476" s="72"/>
    </row>
    <row r="477" spans="10:19" x14ac:dyDescent="0.35">
      <c r="J477" s="66"/>
      <c r="R477" s="67"/>
      <c r="S477" s="72"/>
    </row>
    <row r="478" spans="10:19" x14ac:dyDescent="0.35">
      <c r="J478" s="66"/>
      <c r="R478" s="67"/>
      <c r="S478" s="72"/>
    </row>
    <row r="479" spans="10:19" x14ac:dyDescent="0.35">
      <c r="J479" s="66"/>
      <c r="R479" s="67"/>
      <c r="S479" s="72"/>
    </row>
    <row r="480" spans="10:19" x14ac:dyDescent="0.35">
      <c r="J480" s="66"/>
      <c r="R480" s="67"/>
      <c r="S480" s="72"/>
    </row>
    <row r="481" spans="10:19" x14ac:dyDescent="0.35">
      <c r="J481" s="66"/>
      <c r="R481" s="67"/>
      <c r="S481" s="72"/>
    </row>
    <row r="482" spans="10:19" x14ac:dyDescent="0.35">
      <c r="J482" s="66"/>
      <c r="R482" s="67"/>
      <c r="S482" s="72"/>
    </row>
    <row r="483" spans="10:19" x14ac:dyDescent="0.35">
      <c r="R483" s="67"/>
      <c r="S483" s="72"/>
    </row>
    <row r="484" spans="10:19" x14ac:dyDescent="0.35">
      <c r="R484" s="67"/>
      <c r="S484" s="72"/>
    </row>
    <row r="485" spans="10:19" x14ac:dyDescent="0.35">
      <c r="J485" s="66"/>
      <c r="R485" s="67"/>
      <c r="S485" s="72"/>
    </row>
    <row r="486" spans="10:19" x14ac:dyDescent="0.35">
      <c r="J486" s="66"/>
      <c r="R486" s="67"/>
      <c r="S486" s="72"/>
    </row>
    <row r="487" spans="10:19" x14ac:dyDescent="0.35">
      <c r="J487" s="66"/>
      <c r="R487" s="67"/>
      <c r="S487" s="72"/>
    </row>
    <row r="488" spans="10:19" x14ac:dyDescent="0.35">
      <c r="J488" s="66"/>
      <c r="R488" s="67"/>
      <c r="S488" s="72"/>
    </row>
    <row r="489" spans="10:19" x14ac:dyDescent="0.35">
      <c r="J489" s="66"/>
      <c r="R489" s="67"/>
      <c r="S489" s="72"/>
    </row>
    <row r="490" spans="10:19" x14ac:dyDescent="0.35">
      <c r="R490" s="67"/>
      <c r="S490" s="72"/>
    </row>
    <row r="491" spans="10:19" x14ac:dyDescent="0.35">
      <c r="J491" s="66"/>
      <c r="R491" s="67"/>
      <c r="S491" s="72"/>
    </row>
    <row r="492" spans="10:19" x14ac:dyDescent="0.35">
      <c r="J492" s="66"/>
      <c r="R492" s="67"/>
      <c r="S492" s="72"/>
    </row>
    <row r="493" spans="10:19" x14ac:dyDescent="0.35">
      <c r="J493" s="66"/>
      <c r="R493" s="67"/>
      <c r="S493" s="72"/>
    </row>
    <row r="494" spans="10:19" x14ac:dyDescent="0.35">
      <c r="J494" s="66"/>
      <c r="R494" s="67"/>
      <c r="S494" s="72"/>
    </row>
    <row r="495" spans="10:19" x14ac:dyDescent="0.35">
      <c r="J495" s="66"/>
      <c r="R495" s="67"/>
      <c r="S495" s="72"/>
    </row>
    <row r="496" spans="10:19" x14ac:dyDescent="0.35">
      <c r="J496" s="66"/>
      <c r="R496" s="67"/>
      <c r="S496" s="72"/>
    </row>
    <row r="497" spans="10:19" x14ac:dyDescent="0.35">
      <c r="R497" s="67"/>
      <c r="S497" s="72"/>
    </row>
    <row r="498" spans="10:19" x14ac:dyDescent="0.35">
      <c r="J498" s="66"/>
      <c r="R498" s="67"/>
      <c r="S498" s="72"/>
    </row>
    <row r="499" spans="10:19" x14ac:dyDescent="0.35">
      <c r="J499" s="66"/>
      <c r="R499" s="67"/>
      <c r="S499" s="72"/>
    </row>
    <row r="500" spans="10:19" x14ac:dyDescent="0.35">
      <c r="J500" s="66"/>
      <c r="R500" s="67"/>
      <c r="S500" s="72"/>
    </row>
    <row r="501" spans="10:19" x14ac:dyDescent="0.35">
      <c r="J501" s="66"/>
      <c r="R501" s="67"/>
      <c r="S501" s="72"/>
    </row>
    <row r="502" spans="10:19" x14ac:dyDescent="0.35">
      <c r="J502" s="66"/>
      <c r="R502" s="67"/>
      <c r="S502" s="72"/>
    </row>
    <row r="503" spans="10:19" x14ac:dyDescent="0.35">
      <c r="R503" s="67"/>
      <c r="S503" s="72"/>
    </row>
    <row r="504" spans="10:19" x14ac:dyDescent="0.35">
      <c r="J504" s="66"/>
      <c r="R504" s="67"/>
      <c r="S504" s="72"/>
    </row>
    <row r="505" spans="10:19" x14ac:dyDescent="0.35">
      <c r="J505" s="66"/>
      <c r="R505" s="67"/>
      <c r="S505" s="72"/>
    </row>
    <row r="506" spans="10:19" x14ac:dyDescent="0.35">
      <c r="J506" s="66"/>
      <c r="R506" s="67"/>
      <c r="S506" s="72"/>
    </row>
    <row r="507" spans="10:19" x14ac:dyDescent="0.35">
      <c r="J507" s="66"/>
      <c r="R507" s="67"/>
      <c r="S507" s="72"/>
    </row>
    <row r="508" spans="10:19" x14ac:dyDescent="0.35">
      <c r="J508" s="66"/>
      <c r="R508" s="67"/>
      <c r="S508" s="72"/>
    </row>
    <row r="509" spans="10:19" x14ac:dyDescent="0.35">
      <c r="J509" s="66"/>
      <c r="R509" s="67"/>
      <c r="S509" s="72"/>
    </row>
    <row r="510" spans="10:19" x14ac:dyDescent="0.35">
      <c r="J510" s="66"/>
      <c r="R510" s="67"/>
      <c r="S510" s="72"/>
    </row>
    <row r="511" spans="10:19" x14ac:dyDescent="0.35">
      <c r="J511" s="66"/>
      <c r="R511" s="67"/>
      <c r="S511" s="72"/>
    </row>
    <row r="512" spans="10:19" x14ac:dyDescent="0.35">
      <c r="J512" s="66"/>
      <c r="R512" s="67"/>
      <c r="S512" s="72"/>
    </row>
    <row r="513" spans="10:19" x14ac:dyDescent="0.35">
      <c r="R513" s="67"/>
      <c r="S513" s="72"/>
    </row>
    <row r="514" spans="10:19" x14ac:dyDescent="0.35">
      <c r="J514" s="66"/>
      <c r="R514" s="67"/>
      <c r="S514" s="72"/>
    </row>
    <row r="515" spans="10:19" x14ac:dyDescent="0.35">
      <c r="R515" s="67"/>
      <c r="S515" s="72"/>
    </row>
    <row r="516" spans="10:19" x14ac:dyDescent="0.35">
      <c r="J516" s="66"/>
      <c r="R516" s="67"/>
      <c r="S516" s="72"/>
    </row>
    <row r="517" spans="10:19" x14ac:dyDescent="0.35">
      <c r="J517" s="66"/>
      <c r="R517" s="67"/>
      <c r="S517" s="72"/>
    </row>
    <row r="518" spans="10:19" x14ac:dyDescent="0.35">
      <c r="J518" s="66"/>
      <c r="R518" s="67"/>
      <c r="S518" s="72"/>
    </row>
    <row r="519" spans="10:19" x14ac:dyDescent="0.35">
      <c r="J519" s="66"/>
      <c r="R519" s="67"/>
      <c r="S519" s="72"/>
    </row>
    <row r="520" spans="10:19" x14ac:dyDescent="0.35">
      <c r="J520" s="66"/>
      <c r="R520" s="67"/>
      <c r="S520" s="72"/>
    </row>
    <row r="521" spans="10:19" x14ac:dyDescent="0.35">
      <c r="J521" s="66"/>
      <c r="R521" s="67"/>
      <c r="S521" s="72"/>
    </row>
    <row r="522" spans="10:19" x14ac:dyDescent="0.35">
      <c r="J522" s="66"/>
      <c r="R522" s="67"/>
      <c r="S522" s="72"/>
    </row>
    <row r="523" spans="10:19" x14ac:dyDescent="0.35">
      <c r="J523" s="66"/>
      <c r="R523" s="67"/>
      <c r="S523" s="72"/>
    </row>
    <row r="524" spans="10:19" x14ac:dyDescent="0.35">
      <c r="J524" s="66"/>
      <c r="R524" s="67"/>
      <c r="S524" s="72"/>
    </row>
    <row r="525" spans="10:19" x14ac:dyDescent="0.35">
      <c r="J525" s="66"/>
      <c r="R525" s="67"/>
      <c r="S525" s="72"/>
    </row>
    <row r="526" spans="10:19" x14ac:dyDescent="0.35">
      <c r="J526" s="66"/>
      <c r="R526" s="67"/>
      <c r="S526" s="72"/>
    </row>
    <row r="527" spans="10:19" x14ac:dyDescent="0.35">
      <c r="J527" s="66"/>
      <c r="R527" s="67"/>
      <c r="S527" s="72"/>
    </row>
    <row r="528" spans="10:19" x14ac:dyDescent="0.35">
      <c r="R528" s="67"/>
      <c r="S528" s="72"/>
    </row>
    <row r="529" spans="10:19" x14ac:dyDescent="0.35">
      <c r="J529" s="66"/>
      <c r="R529" s="67"/>
      <c r="S529" s="72"/>
    </row>
    <row r="530" spans="10:19" x14ac:dyDescent="0.35">
      <c r="J530" s="66"/>
      <c r="R530" s="67"/>
      <c r="S530" s="72"/>
    </row>
    <row r="531" spans="10:19" x14ac:dyDescent="0.35">
      <c r="J531" s="66"/>
      <c r="R531" s="67"/>
      <c r="S531" s="72"/>
    </row>
    <row r="532" spans="10:19" x14ac:dyDescent="0.35">
      <c r="J532" s="66"/>
      <c r="R532" s="67"/>
      <c r="S532" s="72"/>
    </row>
    <row r="533" spans="10:19" x14ac:dyDescent="0.35">
      <c r="J533" s="66"/>
      <c r="R533" s="67"/>
      <c r="S533" s="72"/>
    </row>
    <row r="534" spans="10:19" x14ac:dyDescent="0.35">
      <c r="R534" s="67"/>
      <c r="S534" s="72"/>
    </row>
    <row r="535" spans="10:19" x14ac:dyDescent="0.35">
      <c r="J535" s="66"/>
      <c r="R535" s="67"/>
      <c r="S535" s="72"/>
    </row>
    <row r="536" spans="10:19" x14ac:dyDescent="0.35">
      <c r="J536" s="66"/>
      <c r="R536" s="67"/>
      <c r="S536" s="72"/>
    </row>
    <row r="537" spans="10:19" x14ac:dyDescent="0.35">
      <c r="J537" s="66"/>
      <c r="R537" s="67"/>
      <c r="S537" s="72"/>
    </row>
    <row r="538" spans="10:19" x14ac:dyDescent="0.35">
      <c r="J538" s="66"/>
      <c r="R538" s="67"/>
      <c r="S538" s="72"/>
    </row>
    <row r="539" spans="10:19" x14ac:dyDescent="0.35">
      <c r="J539" s="66"/>
      <c r="R539" s="67"/>
      <c r="S539" s="72"/>
    </row>
    <row r="540" spans="10:19" x14ac:dyDescent="0.35">
      <c r="R540" s="67"/>
      <c r="S540" s="72"/>
    </row>
    <row r="541" spans="10:19" x14ac:dyDescent="0.35">
      <c r="J541" s="66"/>
      <c r="R541" s="67"/>
      <c r="S541" s="72"/>
    </row>
    <row r="542" spans="10:19" x14ac:dyDescent="0.35">
      <c r="J542" s="66"/>
      <c r="R542" s="67"/>
      <c r="S542" s="72"/>
    </row>
    <row r="543" spans="10:19" x14ac:dyDescent="0.35">
      <c r="J543" s="66"/>
      <c r="R543" s="67"/>
      <c r="S543" s="72"/>
    </row>
    <row r="544" spans="10:19" x14ac:dyDescent="0.35">
      <c r="R544" s="67"/>
      <c r="S544" s="72"/>
    </row>
    <row r="545" spans="10:19" x14ac:dyDescent="0.35">
      <c r="R545" s="67"/>
      <c r="S545" s="72"/>
    </row>
    <row r="546" spans="10:19" x14ac:dyDescent="0.35">
      <c r="R546" s="67"/>
      <c r="S546" s="72"/>
    </row>
    <row r="547" spans="10:19" x14ac:dyDescent="0.35">
      <c r="R547" s="67"/>
      <c r="S547" s="72"/>
    </row>
    <row r="548" spans="10:19" x14ac:dyDescent="0.35">
      <c r="R548" s="67"/>
      <c r="S548" s="72"/>
    </row>
    <row r="549" spans="10:19" x14ac:dyDescent="0.35">
      <c r="R549" s="67"/>
      <c r="S549" s="72"/>
    </row>
    <row r="550" spans="10:19" x14ac:dyDescent="0.35">
      <c r="J550" s="66"/>
      <c r="R550" s="67"/>
      <c r="S550" s="72"/>
    </row>
    <row r="551" spans="10:19" x14ac:dyDescent="0.35">
      <c r="J551" s="66"/>
      <c r="R551" s="67"/>
      <c r="S551" s="72"/>
    </row>
    <row r="552" spans="10:19" x14ac:dyDescent="0.35">
      <c r="R552" s="67"/>
      <c r="S552" s="72"/>
    </row>
    <row r="553" spans="10:19" x14ac:dyDescent="0.35">
      <c r="R553" s="67"/>
      <c r="S553" s="72"/>
    </row>
    <row r="554" spans="10:19" x14ac:dyDescent="0.35">
      <c r="J554" s="66"/>
      <c r="R554" s="67"/>
      <c r="S554" s="72"/>
    </row>
    <row r="555" spans="10:19" x14ac:dyDescent="0.35">
      <c r="R555" s="67"/>
      <c r="S555" s="72"/>
    </row>
    <row r="556" spans="10:19" x14ac:dyDescent="0.35">
      <c r="R556" s="67"/>
      <c r="S556" s="72"/>
    </row>
    <row r="557" spans="10:19" x14ac:dyDescent="0.35">
      <c r="R557" s="67"/>
      <c r="S557" s="72"/>
    </row>
    <row r="558" spans="10:19" x14ac:dyDescent="0.35">
      <c r="R558" s="67"/>
      <c r="S558" s="72"/>
    </row>
    <row r="559" spans="10:19" x14ac:dyDescent="0.35">
      <c r="R559" s="67"/>
      <c r="S559" s="72"/>
    </row>
    <row r="560" spans="10:19" x14ac:dyDescent="0.35">
      <c r="J560" s="66"/>
      <c r="R560" s="67"/>
      <c r="S560" s="72"/>
    </row>
    <row r="561" spans="10:19" x14ac:dyDescent="0.35">
      <c r="J561" s="66"/>
      <c r="R561" s="67"/>
      <c r="S561" s="72"/>
    </row>
    <row r="562" spans="10:19" x14ac:dyDescent="0.35">
      <c r="J562" s="66"/>
      <c r="R562" s="67"/>
      <c r="S562" s="72"/>
    </row>
    <row r="563" spans="10:19" x14ac:dyDescent="0.35">
      <c r="R563" s="67"/>
      <c r="S563" s="72"/>
    </row>
    <row r="564" spans="10:19" x14ac:dyDescent="0.35">
      <c r="R564" s="67"/>
      <c r="S564" s="72"/>
    </row>
    <row r="565" spans="10:19" x14ac:dyDescent="0.35">
      <c r="J565" s="66"/>
      <c r="R565" s="67"/>
      <c r="S565" s="72"/>
    </row>
    <row r="566" spans="10:19" x14ac:dyDescent="0.35">
      <c r="R566" s="67"/>
      <c r="S566" s="72"/>
    </row>
    <row r="567" spans="10:19" x14ac:dyDescent="0.35">
      <c r="R567" s="67"/>
      <c r="S567" s="72"/>
    </row>
    <row r="568" spans="10:19" x14ac:dyDescent="0.35">
      <c r="R568" s="67"/>
      <c r="S568" s="72"/>
    </row>
    <row r="569" spans="10:19" x14ac:dyDescent="0.35">
      <c r="R569" s="67"/>
      <c r="S569" s="72"/>
    </row>
    <row r="570" spans="10:19" x14ac:dyDescent="0.35">
      <c r="R570" s="67"/>
      <c r="S570" s="72"/>
    </row>
    <row r="571" spans="10:19" x14ac:dyDescent="0.35">
      <c r="R571" s="67"/>
      <c r="S571" s="72"/>
    </row>
    <row r="572" spans="10:19" x14ac:dyDescent="0.35">
      <c r="R572" s="67"/>
      <c r="S572" s="72"/>
    </row>
    <row r="573" spans="10:19" x14ac:dyDescent="0.35">
      <c r="R573" s="67"/>
      <c r="S573" s="72"/>
    </row>
    <row r="574" spans="10:19" x14ac:dyDescent="0.35">
      <c r="R574" s="67"/>
      <c r="S574" s="72"/>
    </row>
    <row r="575" spans="10:19" x14ac:dyDescent="0.35">
      <c r="J575" s="66"/>
      <c r="R575" s="67"/>
      <c r="S575" s="72"/>
    </row>
    <row r="576" spans="10:19" x14ac:dyDescent="0.35">
      <c r="J576" s="66"/>
      <c r="R576" s="67"/>
      <c r="S576" s="72"/>
    </row>
    <row r="577" spans="10:19" x14ac:dyDescent="0.35">
      <c r="R577" s="67"/>
      <c r="S577" s="72"/>
    </row>
    <row r="578" spans="10:19" x14ac:dyDescent="0.35">
      <c r="R578" s="67"/>
      <c r="S578" s="72"/>
    </row>
    <row r="579" spans="10:19" x14ac:dyDescent="0.35">
      <c r="R579" s="67"/>
      <c r="S579" s="72"/>
    </row>
    <row r="580" spans="10:19" x14ac:dyDescent="0.35">
      <c r="J580" s="66"/>
      <c r="R580" s="67"/>
      <c r="S580" s="72"/>
    </row>
    <row r="581" spans="10:19" x14ac:dyDescent="0.35">
      <c r="R581" s="67"/>
      <c r="S581" s="72"/>
    </row>
    <row r="582" spans="10:19" x14ac:dyDescent="0.35">
      <c r="R582" s="67"/>
      <c r="S582" s="72"/>
    </row>
    <row r="583" spans="10:19" x14ac:dyDescent="0.35">
      <c r="R583" s="67"/>
      <c r="S583" s="72"/>
    </row>
    <row r="584" spans="10:19" x14ac:dyDescent="0.35">
      <c r="J584" s="66"/>
      <c r="R584" s="67"/>
      <c r="S584" s="72"/>
    </row>
    <row r="585" spans="10:19" x14ac:dyDescent="0.35">
      <c r="R585" s="67"/>
      <c r="S585" s="72"/>
    </row>
    <row r="586" spans="10:19" x14ac:dyDescent="0.35">
      <c r="R586" s="67"/>
      <c r="S586" s="72"/>
    </row>
    <row r="587" spans="10:19" x14ac:dyDescent="0.35">
      <c r="R587" s="67"/>
      <c r="S587" s="72"/>
    </row>
    <row r="588" spans="10:19" x14ac:dyDescent="0.35">
      <c r="J588" s="66"/>
      <c r="R588" s="67"/>
      <c r="S588" s="72"/>
    </row>
    <row r="589" spans="10:19" x14ac:dyDescent="0.35">
      <c r="R589" s="67"/>
      <c r="S589" s="72"/>
    </row>
    <row r="590" spans="10:19" x14ac:dyDescent="0.35">
      <c r="R590" s="67"/>
      <c r="S590" s="72"/>
    </row>
    <row r="591" spans="10:19" x14ac:dyDescent="0.35">
      <c r="R591" s="67"/>
      <c r="S591" s="72"/>
    </row>
    <row r="592" spans="10:19" x14ac:dyDescent="0.35">
      <c r="R592" s="67"/>
      <c r="S592" s="72"/>
    </row>
    <row r="593" spans="18:19" x14ac:dyDescent="0.35">
      <c r="R593" s="67"/>
      <c r="S593" s="72"/>
    </row>
    <row r="594" spans="18:19" x14ac:dyDescent="0.35">
      <c r="R594" s="67"/>
      <c r="S594" s="72"/>
    </row>
    <row r="595" spans="18:19" x14ac:dyDescent="0.35">
      <c r="R595" s="67"/>
      <c r="S595" s="72"/>
    </row>
    <row r="596" spans="18:19" x14ac:dyDescent="0.35">
      <c r="R596" s="67"/>
      <c r="S596" s="72"/>
    </row>
    <row r="597" spans="18:19" x14ac:dyDescent="0.35">
      <c r="R597" s="67"/>
      <c r="S597" s="72"/>
    </row>
    <row r="598" spans="18:19" x14ac:dyDescent="0.35">
      <c r="R598" s="67"/>
      <c r="S598" s="72"/>
    </row>
    <row r="599" spans="18:19" x14ac:dyDescent="0.35">
      <c r="R599" s="67"/>
      <c r="S599" s="72"/>
    </row>
    <row r="600" spans="18:19" x14ac:dyDescent="0.35">
      <c r="R600" s="67"/>
      <c r="S600" s="72"/>
    </row>
    <row r="601" spans="18:19" x14ac:dyDescent="0.35">
      <c r="R601" s="67"/>
    </row>
    <row r="602" spans="18:19" x14ac:dyDescent="0.35">
      <c r="R602" s="67"/>
    </row>
    <row r="603" spans="18:19" x14ac:dyDescent="0.35">
      <c r="R603" s="67"/>
    </row>
    <row r="604" spans="18:19" x14ac:dyDescent="0.35">
      <c r="R604" s="67"/>
    </row>
    <row r="605" spans="18:19" x14ac:dyDescent="0.35">
      <c r="R605" s="67"/>
    </row>
    <row r="606" spans="18:19" x14ac:dyDescent="0.35">
      <c r="R606" s="67"/>
    </row>
    <row r="607" spans="18:19" x14ac:dyDescent="0.35">
      <c r="R607" s="67"/>
    </row>
    <row r="608" spans="18:19" x14ac:dyDescent="0.35">
      <c r="R608" s="67"/>
    </row>
    <row r="609" spans="18:18" x14ac:dyDescent="0.35">
      <c r="R609" s="67"/>
    </row>
    <row r="610" spans="18:18" x14ac:dyDescent="0.35">
      <c r="R610" s="67"/>
    </row>
    <row r="611" spans="18:18" x14ac:dyDescent="0.35">
      <c r="R611" s="67"/>
    </row>
    <row r="612" spans="18:18" x14ac:dyDescent="0.35">
      <c r="R612" s="67"/>
    </row>
    <row r="613" spans="18:18" x14ac:dyDescent="0.35">
      <c r="R613" s="67"/>
    </row>
    <row r="614" spans="18:18" x14ac:dyDescent="0.35">
      <c r="R614" s="67"/>
    </row>
    <row r="615" spans="18:18" x14ac:dyDescent="0.35">
      <c r="R615" s="67"/>
    </row>
    <row r="616" spans="18:18" x14ac:dyDescent="0.35">
      <c r="R616" s="67"/>
    </row>
    <row r="617" spans="18:18" x14ac:dyDescent="0.35">
      <c r="R617" s="67"/>
    </row>
    <row r="618" spans="18:18" x14ac:dyDescent="0.35">
      <c r="R618" s="67"/>
    </row>
    <row r="619" spans="18:18" x14ac:dyDescent="0.35">
      <c r="R619" s="67"/>
    </row>
    <row r="620" spans="18:18" x14ac:dyDescent="0.35">
      <c r="R620" s="67"/>
    </row>
    <row r="621" spans="18:18" x14ac:dyDescent="0.35">
      <c r="R621" s="67"/>
    </row>
    <row r="622" spans="18:18" x14ac:dyDescent="0.35">
      <c r="R622" s="67"/>
    </row>
    <row r="623" spans="18:18" x14ac:dyDescent="0.35">
      <c r="R623" s="67"/>
    </row>
    <row r="624" spans="18:18" x14ac:dyDescent="0.35">
      <c r="R624" s="67"/>
    </row>
    <row r="625" spans="18:18" x14ac:dyDescent="0.35">
      <c r="R625" s="67"/>
    </row>
    <row r="626" spans="18:18" x14ac:dyDescent="0.35">
      <c r="R626" s="67"/>
    </row>
    <row r="627" spans="18:18" x14ac:dyDescent="0.35">
      <c r="R627" s="67"/>
    </row>
    <row r="628" spans="18:18" x14ac:dyDescent="0.35">
      <c r="R628" s="67"/>
    </row>
    <row r="629" spans="18:18" x14ac:dyDescent="0.35">
      <c r="R629" s="67"/>
    </row>
    <row r="630" spans="18:18" x14ac:dyDescent="0.35">
      <c r="R630" s="67"/>
    </row>
    <row r="631" spans="18:18" x14ac:dyDescent="0.35">
      <c r="R631" s="67"/>
    </row>
    <row r="632" spans="18:18" x14ac:dyDescent="0.35">
      <c r="R632" s="67"/>
    </row>
    <row r="633" spans="18:18" x14ac:dyDescent="0.35">
      <c r="R633" s="67"/>
    </row>
    <row r="634" spans="18:18" x14ac:dyDescent="0.35">
      <c r="R634" s="67"/>
    </row>
    <row r="635" spans="18:18" x14ac:dyDescent="0.35">
      <c r="R635" s="67"/>
    </row>
    <row r="636" spans="18:18" x14ac:dyDescent="0.35">
      <c r="R636" s="67"/>
    </row>
    <row r="637" spans="18:18" x14ac:dyDescent="0.35">
      <c r="R637" s="67"/>
    </row>
    <row r="638" spans="18:18" x14ac:dyDescent="0.35">
      <c r="R638" s="67"/>
    </row>
    <row r="639" spans="18:18" x14ac:dyDescent="0.35">
      <c r="R639" s="67"/>
    </row>
    <row r="640" spans="18:18" x14ac:dyDescent="0.35">
      <c r="R640" s="67"/>
    </row>
    <row r="641" spans="18:18" x14ac:dyDescent="0.35">
      <c r="R641" s="67"/>
    </row>
    <row r="642" spans="18:18" x14ac:dyDescent="0.35">
      <c r="R642" s="67"/>
    </row>
    <row r="643" spans="18:18" x14ac:dyDescent="0.35">
      <c r="R643" s="67"/>
    </row>
    <row r="644" spans="18:18" x14ac:dyDescent="0.35">
      <c r="R644" s="67"/>
    </row>
    <row r="645" spans="18:18" x14ac:dyDescent="0.35">
      <c r="R645" s="67"/>
    </row>
    <row r="646" spans="18:18" x14ac:dyDescent="0.35">
      <c r="R646" s="67"/>
    </row>
    <row r="647" spans="18:18" x14ac:dyDescent="0.35">
      <c r="R647" s="67"/>
    </row>
    <row r="648" spans="18:18" x14ac:dyDescent="0.35">
      <c r="R648" s="67"/>
    </row>
    <row r="649" spans="18:18" x14ac:dyDescent="0.35">
      <c r="R649" s="67"/>
    </row>
    <row r="650" spans="18:18" x14ac:dyDescent="0.35">
      <c r="R650" s="67"/>
    </row>
    <row r="651" spans="18:18" x14ac:dyDescent="0.35">
      <c r="R651" s="67"/>
    </row>
    <row r="652" spans="18:18" x14ac:dyDescent="0.35">
      <c r="R652" s="67"/>
    </row>
    <row r="653" spans="18:18" x14ac:dyDescent="0.35">
      <c r="R653" s="67"/>
    </row>
    <row r="654" spans="18:18" x14ac:dyDescent="0.35">
      <c r="R654" s="67"/>
    </row>
    <row r="655" spans="18:18" x14ac:dyDescent="0.35">
      <c r="R655" s="67"/>
    </row>
    <row r="656" spans="18:18" x14ac:dyDescent="0.35">
      <c r="R656" s="67"/>
    </row>
    <row r="657" spans="18:18" x14ac:dyDescent="0.35">
      <c r="R657" s="67"/>
    </row>
    <row r="658" spans="18:18" x14ac:dyDescent="0.35">
      <c r="R658" s="67"/>
    </row>
    <row r="659" spans="18:18" x14ac:dyDescent="0.35">
      <c r="R659" s="67"/>
    </row>
    <row r="660" spans="18:18" x14ac:dyDescent="0.35">
      <c r="R660" s="67"/>
    </row>
    <row r="661" spans="18:18" x14ac:dyDescent="0.35">
      <c r="R661" s="67"/>
    </row>
    <row r="662" spans="18:18" x14ac:dyDescent="0.35">
      <c r="R662" s="67"/>
    </row>
    <row r="663" spans="18:18" x14ac:dyDescent="0.35">
      <c r="R663" s="67"/>
    </row>
    <row r="664" spans="18:18" x14ac:dyDescent="0.35">
      <c r="R664" s="67"/>
    </row>
    <row r="665" spans="18:18" x14ac:dyDescent="0.35">
      <c r="R665" s="67"/>
    </row>
    <row r="666" spans="18:18" x14ac:dyDescent="0.35">
      <c r="R666" s="67"/>
    </row>
    <row r="667" spans="18:18" x14ac:dyDescent="0.35">
      <c r="R667" s="67"/>
    </row>
    <row r="668" spans="18:18" x14ac:dyDescent="0.35">
      <c r="R668" s="67"/>
    </row>
    <row r="669" spans="18:18" x14ac:dyDescent="0.35">
      <c r="R669" s="67"/>
    </row>
    <row r="670" spans="18:18" x14ac:dyDescent="0.35">
      <c r="R670" s="67"/>
    </row>
    <row r="671" spans="18:18" x14ac:dyDescent="0.35">
      <c r="R671" s="67"/>
    </row>
    <row r="672" spans="18:18" x14ac:dyDescent="0.35">
      <c r="R672" s="67"/>
    </row>
    <row r="673" spans="18:18" x14ac:dyDescent="0.35">
      <c r="R673" s="67"/>
    </row>
    <row r="674" spans="18:18" x14ac:dyDescent="0.35">
      <c r="R674" s="67"/>
    </row>
    <row r="675" spans="18:18" x14ac:dyDescent="0.35">
      <c r="R675" s="67"/>
    </row>
    <row r="676" spans="18:18" x14ac:dyDescent="0.35">
      <c r="R676" s="67"/>
    </row>
    <row r="677" spans="18:18" x14ac:dyDescent="0.35">
      <c r="R677" s="67"/>
    </row>
    <row r="678" spans="18:18" x14ac:dyDescent="0.35">
      <c r="R678" s="67"/>
    </row>
    <row r="679" spans="18:18" x14ac:dyDescent="0.35">
      <c r="R679" s="67"/>
    </row>
    <row r="680" spans="18:18" x14ac:dyDescent="0.35">
      <c r="R680" s="67"/>
    </row>
    <row r="681" spans="18:18" x14ac:dyDescent="0.35">
      <c r="R681" s="67"/>
    </row>
    <row r="682" spans="18:18" x14ac:dyDescent="0.35">
      <c r="R682" s="67"/>
    </row>
    <row r="683" spans="18:18" x14ac:dyDescent="0.35">
      <c r="R683" s="67"/>
    </row>
    <row r="684" spans="18:18" x14ac:dyDescent="0.35">
      <c r="R684" s="67"/>
    </row>
    <row r="685" spans="18:18" x14ac:dyDescent="0.35">
      <c r="R685" s="67"/>
    </row>
    <row r="686" spans="18:18" x14ac:dyDescent="0.35">
      <c r="R686" s="67"/>
    </row>
    <row r="687" spans="18:18" x14ac:dyDescent="0.35">
      <c r="R687" s="67"/>
    </row>
    <row r="688" spans="18:18" x14ac:dyDescent="0.35">
      <c r="R688" s="67"/>
    </row>
    <row r="689" spans="18:18" x14ac:dyDescent="0.35">
      <c r="R689" s="67"/>
    </row>
  </sheetData>
  <sortState xmlns:xlrd2="http://schemas.microsoft.com/office/spreadsheetml/2017/richdata2" ref="A6:C16">
    <sortCondition ref="C6:C16"/>
  </sortState>
  <conditionalFormatting sqref="B6:B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73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D1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73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7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0:F10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7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73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7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7:AB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ACEC-1FF1-4425-9AA4-4D2B713E60A9}">
  <dimension ref="A1:AB689"/>
  <sheetViews>
    <sheetView topLeftCell="A18" zoomScaleNormal="100" workbookViewId="0">
      <selection activeCell="B29" sqref="B29:I29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8" x14ac:dyDescent="0.35">
      <c r="A1" s="3" t="s">
        <v>399</v>
      </c>
      <c r="F1" s="3" t="s">
        <v>352</v>
      </c>
      <c r="G1">
        <v>12</v>
      </c>
    </row>
    <row r="2" spans="1:28" x14ac:dyDescent="0.35">
      <c r="B2">
        <v>0</v>
      </c>
    </row>
    <row r="3" spans="1:28" x14ac:dyDescent="0.35">
      <c r="A3" s="3" t="s">
        <v>62</v>
      </c>
      <c r="B3" s="4">
        <f>AVERAGE(B6:B48)</f>
        <v>-7.7267131077201675E-9</v>
      </c>
      <c r="F3" s="3" t="s">
        <v>3</v>
      </c>
      <c r="G3" s="4">
        <v>-0.30000506286856132</v>
      </c>
    </row>
    <row r="4" spans="1:28" x14ac:dyDescent="0.35">
      <c r="A4" s="3" t="s">
        <v>121</v>
      </c>
      <c r="F4" t="s">
        <v>9</v>
      </c>
      <c r="G4">
        <f>-G3</f>
        <v>0.30000506286856132</v>
      </c>
    </row>
    <row r="5" spans="1:28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5951.0339043170743</v>
      </c>
    </row>
    <row r="6" spans="1:28" x14ac:dyDescent="0.35">
      <c r="A6" s="1" t="s">
        <v>14</v>
      </c>
      <c r="B6" s="1">
        <v>0.9701330314673664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  <c r="AA6" s="32" t="s">
        <v>357</v>
      </c>
      <c r="AB6" s="32" t="s">
        <v>61</v>
      </c>
    </row>
    <row r="7" spans="1:28" x14ac:dyDescent="0.35">
      <c r="A7" s="1" t="s">
        <v>4</v>
      </c>
      <c r="B7" s="1">
        <v>0.865792350427668</v>
      </c>
      <c r="C7" s="1">
        <f t="shared" si="0"/>
        <v>2</v>
      </c>
      <c r="J7" s="65">
        <v>1</v>
      </c>
      <c r="K7" t="s">
        <v>14</v>
      </c>
      <c r="L7" t="s">
        <v>396</v>
      </c>
      <c r="M7">
        <v>16.2</v>
      </c>
      <c r="N7" t="s">
        <v>9</v>
      </c>
      <c r="O7" t="s">
        <v>4</v>
      </c>
      <c r="P7">
        <f>VLOOKUP($N7,$F$3:$G$4,2,FALSE)+VLOOKUP($L7,$B$20:$C$150,2,FALSE)+VLOOKUP($O7,$A$6:$B$16,2,FALSE)</f>
        <v>9.4159483178175645</v>
      </c>
      <c r="Q7">
        <f>IFERROR(($M7-$P7)^2,"")</f>
        <v>46.023357226522322</v>
      </c>
      <c r="R7" s="67" cm="1">
        <f t="array" ref="R7">SUMPRODUCT((J7=$J$7:$J$1000)*(P7&lt;$P$7:$P$1000))+1</f>
        <v>9</v>
      </c>
      <c r="S7" s="72"/>
      <c r="T7" cm="1">
        <f t="array" ref="T7:Z260">_xlfn._xlws.FILTER($J$7:$P$10000,($J$7:$J$10000&gt;$G$1)*($J$7:$J$10000&lt;18))</f>
        <v>13</v>
      </c>
      <c r="U7" t="str">
        <v>ARC</v>
      </c>
      <c r="V7" t="str">
        <v>Albert O'Shannessey</v>
      </c>
      <c r="W7" t="str">
        <v>NULL</v>
      </c>
      <c r="X7" t="str">
        <v>Away</v>
      </c>
      <c r="Y7" t="str">
        <v>LA</v>
      </c>
      <c r="Z7">
        <v>4.2397848294343374</v>
      </c>
      <c r="AA7" s="1" t="str" cm="1">
        <f t="array" ref="AA7:AA77">_xlfn._xlws.SORT(_xlfn.UNIQUE($L$7:$L$10000))</f>
        <v>Aidan King</v>
      </c>
      <c r="AB7" s="1" cm="1">
        <f t="array" ref="AB7">COUNT(_xlfn._xlws.FILTER($J$7:$J$10000,($L$7:$L$10000=AA7)*($M$7:$M$10000&lt;&gt;"NULL")*($J$7:$J$10000 &gt;= ($G$1-5))))/5</f>
        <v>1</v>
      </c>
    </row>
    <row r="8" spans="1:28" x14ac:dyDescent="0.35">
      <c r="A8" s="1" t="s">
        <v>34</v>
      </c>
      <c r="B8" s="1">
        <v>0.85900410778002689</v>
      </c>
      <c r="C8" s="1">
        <f t="shared" si="0"/>
        <v>3</v>
      </c>
      <c r="J8" s="65">
        <v>1</v>
      </c>
      <c r="K8" t="s">
        <v>23</v>
      </c>
      <c r="L8" t="s">
        <v>389</v>
      </c>
      <c r="M8">
        <v>15.5</v>
      </c>
      <c r="N8" t="s">
        <v>9</v>
      </c>
      <c r="O8" t="s">
        <v>6</v>
      </c>
      <c r="P8">
        <f t="shared" ref="P8:P71" si="1">VLOOKUP($N8,$F$3:$G$4,2,FALSE)+VLOOKUP($L8,$B$20:$C$150,2,FALSE)+VLOOKUP($O8,$A$6:$B$16,2,FALSE)</f>
        <v>12.183721173888278</v>
      </c>
      <c r="Q8">
        <f t="shared" ref="Q8:Q71" si="2">IFERROR(($M8-$P8)^2,"")</f>
        <v>10.997705252516939</v>
      </c>
      <c r="R8" s="67" cm="1">
        <f t="array" ref="R8">SUMPRODUCT((J8=$J$7:$J$1000)*(P8&lt;$P$7:$P$1000))+1</f>
        <v>2</v>
      </c>
      <c r="S8" s="72"/>
      <c r="T8">
        <v>13</v>
      </c>
      <c r="U8" t="str">
        <v>ARC</v>
      </c>
      <c r="V8" t="str">
        <v>Alejandro Martinez Tapia</v>
      </c>
      <c r="W8" t="str">
        <v>NULL</v>
      </c>
      <c r="X8" t="str">
        <v>Away</v>
      </c>
      <c r="Y8" t="str">
        <v>LA</v>
      </c>
      <c r="Z8">
        <v>6.7814522949758373</v>
      </c>
      <c r="AA8" s="1" t="str">
        <v>Albert O'Shannessey</v>
      </c>
      <c r="AB8" s="1" cm="1">
        <f t="array" ref="AB8">COUNT(_xlfn._xlws.FILTER($J$7:$J$10000,($L$7:$L$10000=AA8)*($M$7:$M$10000&lt;&gt;"NULL")*($J$7:$J$10000 &gt;= ($G$1-5))))/5</f>
        <v>0.6</v>
      </c>
    </row>
    <row r="9" spans="1:28" x14ac:dyDescent="0.35">
      <c r="A9" s="1" t="s">
        <v>2</v>
      </c>
      <c r="B9" s="1">
        <v>0.72014556265057661</v>
      </c>
      <c r="C9" s="1">
        <f t="shared" si="0"/>
        <v>4</v>
      </c>
      <c r="J9" s="65">
        <v>1</v>
      </c>
      <c r="K9" t="s">
        <v>34</v>
      </c>
      <c r="L9" t="s">
        <v>200</v>
      </c>
      <c r="M9">
        <v>12.7</v>
      </c>
      <c r="N9" t="s">
        <v>3</v>
      </c>
      <c r="O9" t="s">
        <v>17</v>
      </c>
      <c r="P9">
        <f t="shared" si="1"/>
        <v>11.410432616428986</v>
      </c>
      <c r="Q9">
        <f t="shared" si="2"/>
        <v>1.6629840367701885</v>
      </c>
      <c r="R9" s="67" cm="1">
        <f t="array" ref="R9">SUMPRODUCT((J9=$J$7:$J$1000)*(P9&lt;$P$7:$P$1000))+1</f>
        <v>3</v>
      </c>
      <c r="S9" s="72"/>
      <c r="T9">
        <v>13</v>
      </c>
      <c r="U9" t="str">
        <v>ARC</v>
      </c>
      <c r="V9" t="str">
        <v>Colin Turner</v>
      </c>
      <c r="W9" t="str">
        <v>NULL</v>
      </c>
      <c r="X9" t="str">
        <v>Away</v>
      </c>
      <c r="Y9" t="str">
        <v>LA</v>
      </c>
      <c r="Z9">
        <v>5.23782882693407</v>
      </c>
      <c r="AA9" s="1" t="str">
        <v>Alejandro Martinez Tapia</v>
      </c>
      <c r="AB9" s="1" cm="1">
        <f t="array" ref="AB9">COUNT(_xlfn._xlws.FILTER($J$7:$J$10000,($L$7:$L$10000=AA9)*($M$7:$M$10000&lt;&gt;"NULL")*($J$7:$J$10000 &gt;= ($G$1-5))))/5</f>
        <v>0.4</v>
      </c>
    </row>
    <row r="10" spans="1:28" x14ac:dyDescent="0.35">
      <c r="A10" s="1" t="s">
        <v>17</v>
      </c>
      <c r="B10" s="1">
        <v>0.33956017858991988</v>
      </c>
      <c r="C10" s="1">
        <f t="shared" si="0"/>
        <v>5</v>
      </c>
      <c r="J10" s="65">
        <v>1</v>
      </c>
      <c r="K10" t="s">
        <v>2</v>
      </c>
      <c r="L10" t="s">
        <v>213</v>
      </c>
      <c r="M10">
        <v>11.2</v>
      </c>
      <c r="N10" t="s">
        <v>9</v>
      </c>
      <c r="O10" t="s">
        <v>36</v>
      </c>
      <c r="P10">
        <f t="shared" si="1"/>
        <v>9.9740522877208448</v>
      </c>
      <c r="Q10">
        <f t="shared" si="2"/>
        <v>1.5029477932424924</v>
      </c>
      <c r="R10" s="67" cm="1">
        <f t="array" ref="R10">SUMPRODUCT((J10=$J$7:$J$1000)*(P10&lt;$P$7:$P$1000))+1</f>
        <v>5</v>
      </c>
      <c r="S10" s="72"/>
      <c r="T10">
        <v>13</v>
      </c>
      <c r="U10" t="str">
        <v>ARC</v>
      </c>
      <c r="V10" t="str">
        <v>Dylan Fortune</v>
      </c>
      <c r="W10" t="str">
        <v>NULL</v>
      </c>
      <c r="X10" t="str">
        <v>Away</v>
      </c>
      <c r="Y10" t="str">
        <v>LA</v>
      </c>
      <c r="Z10">
        <v>4.0489855864536528</v>
      </c>
      <c r="AA10" s="1" t="str">
        <v>Aminae Amiatu-Tanoi</v>
      </c>
      <c r="AB10" s="1" cm="1">
        <f t="array" ref="AB10">COUNT(_xlfn._xlws.FILTER($J$7:$J$10000,($L$7:$L$10000=AA10)*($M$7:$M$10000&lt;&gt;"NULL")*($J$7:$J$10000 &gt;= ($G$1-5))))/5</f>
        <v>0.2</v>
      </c>
    </row>
    <row r="11" spans="1:28" x14ac:dyDescent="0.35">
      <c r="A11" s="1" t="s">
        <v>6</v>
      </c>
      <c r="B11" s="1">
        <v>-5.342480192002759E-2</v>
      </c>
      <c r="C11" s="1">
        <f t="shared" si="0"/>
        <v>6</v>
      </c>
      <c r="J11" s="65">
        <v>1</v>
      </c>
      <c r="K11" t="s">
        <v>23</v>
      </c>
      <c r="L11" t="s">
        <v>428</v>
      </c>
      <c r="M11">
        <v>10.8</v>
      </c>
      <c r="N11" t="s">
        <v>9</v>
      </c>
      <c r="O11" t="s">
        <v>6</v>
      </c>
      <c r="P11">
        <f t="shared" si="1"/>
        <v>9.7333188799910157</v>
      </c>
      <c r="Q11">
        <f t="shared" si="2"/>
        <v>1.1378086117836226</v>
      </c>
      <c r="R11" s="67" cm="1">
        <f t="array" ref="R11">SUMPRODUCT((J11=$J$7:$J$1000)*(P11&lt;$P$7:$P$1000))+1</f>
        <v>7</v>
      </c>
      <c r="S11" s="72"/>
      <c r="T11">
        <v>13</v>
      </c>
      <c r="U11" t="str">
        <v>ARC</v>
      </c>
      <c r="V11" t="str">
        <v>Graeme Pedegana</v>
      </c>
      <c r="W11" t="str">
        <v>NULL</v>
      </c>
      <c r="X11" t="str">
        <v>Away</v>
      </c>
      <c r="Y11" t="str">
        <v>LA</v>
      </c>
      <c r="Z11">
        <v>6.3538156829622343</v>
      </c>
      <c r="AA11" s="1" t="str">
        <v>Bailey Wilson</v>
      </c>
      <c r="AB11" s="1" cm="1">
        <f t="array" ref="AB11">COUNT(_xlfn._xlws.FILTER($J$7:$J$10000,($L$7:$L$10000=AA11)*($M$7:$M$10000&lt;&gt;"NULL")*($J$7:$J$10000 &gt;= ($G$1-5))))/5</f>
        <v>0.4</v>
      </c>
    </row>
    <row r="12" spans="1:28" x14ac:dyDescent="0.35">
      <c r="A12" s="1" t="s">
        <v>36</v>
      </c>
      <c r="B12" s="1">
        <v>-0.10298823531615614</v>
      </c>
      <c r="C12" s="1">
        <f t="shared" si="0"/>
        <v>7</v>
      </c>
      <c r="J12" s="65">
        <v>1</v>
      </c>
      <c r="K12" t="s">
        <v>34</v>
      </c>
      <c r="L12" t="s">
        <v>429</v>
      </c>
      <c r="M12">
        <v>9.9</v>
      </c>
      <c r="N12" t="s">
        <v>3</v>
      </c>
      <c r="O12" t="s">
        <v>17</v>
      </c>
      <c r="P12">
        <f t="shared" si="1"/>
        <v>9.8868535177237025</v>
      </c>
      <c r="Q12">
        <f t="shared" si="2"/>
        <v>1.7282999624101451E-4</v>
      </c>
      <c r="R12" s="67" cm="1">
        <f t="array" ref="R12">SUMPRODUCT((J12=$J$7:$J$1000)*(P12&lt;$P$7:$P$1000))+1</f>
        <v>6</v>
      </c>
      <c r="S12" s="72"/>
      <c r="T12">
        <v>13</v>
      </c>
      <c r="U12" t="str">
        <v>ARC</v>
      </c>
      <c r="V12" t="str">
        <v>Makeen Alikhan</v>
      </c>
      <c r="W12" t="str">
        <v>NULL</v>
      </c>
      <c r="X12" t="str">
        <v>Away</v>
      </c>
      <c r="Y12" t="str">
        <v>LA</v>
      </c>
      <c r="Z12">
        <v>8.4967311654698694</v>
      </c>
      <c r="AA12" s="1" t="str">
        <v>Ben Houston</v>
      </c>
      <c r="AB12" s="1" cm="1">
        <f t="array" ref="AB12">COUNT(_xlfn._xlws.FILTER($J$7:$J$10000,($L$7:$L$10000=AA12)*($M$7:$M$10000&lt;&gt;"NULL")*($J$7:$J$10000 &gt;= ($G$1-5))))/5</f>
        <v>1</v>
      </c>
    </row>
    <row r="13" spans="1:28" x14ac:dyDescent="0.35">
      <c r="A13" s="1" t="s">
        <v>24</v>
      </c>
      <c r="B13" s="1">
        <v>-0.4073734804400157</v>
      </c>
      <c r="C13" s="1">
        <f t="shared" si="0"/>
        <v>8</v>
      </c>
      <c r="J13" s="65">
        <v>1</v>
      </c>
      <c r="K13" t="s">
        <v>6</v>
      </c>
      <c r="L13" t="s">
        <v>433</v>
      </c>
      <c r="M13">
        <v>9</v>
      </c>
      <c r="N13" t="s">
        <v>3</v>
      </c>
      <c r="O13" t="s">
        <v>23</v>
      </c>
      <c r="P13">
        <f t="shared" si="1"/>
        <v>8.874171509799444</v>
      </c>
      <c r="Q13">
        <f t="shared" si="2"/>
        <v>1.5832808946151411E-2</v>
      </c>
      <c r="R13" s="67" cm="1">
        <f t="array" ref="R13">SUMPRODUCT((J13=$J$7:$J$1000)*(P13&lt;$P$7:$P$1000))+1</f>
        <v>11</v>
      </c>
      <c r="S13" s="72"/>
      <c r="T13">
        <v>13</v>
      </c>
      <c r="U13" t="str">
        <v>ARC</v>
      </c>
      <c r="V13" t="str">
        <v>Sam Golla</v>
      </c>
      <c r="W13" t="str">
        <v>NULL</v>
      </c>
      <c r="X13" t="str">
        <v>Away</v>
      </c>
      <c r="Y13" t="str">
        <v>LA</v>
      </c>
      <c r="Z13">
        <v>5.8808243371832027</v>
      </c>
      <c r="AA13" s="1" t="str">
        <v>Benjamin Bonasso</v>
      </c>
      <c r="AB13" s="1" cm="1">
        <f t="array" ref="AB13">COUNT(_xlfn._xlws.FILTER($J$7:$J$10000,($L$7:$L$10000=AA13)*($M$7:$M$10000&lt;&gt;"NULL")*($J$7:$J$10000 &gt;= ($G$1-5))))/5</f>
        <v>1</v>
      </c>
    </row>
    <row r="14" spans="1:28" x14ac:dyDescent="0.35">
      <c r="A14" s="1" t="s">
        <v>7</v>
      </c>
      <c r="B14" s="1">
        <v>-0.4714825365043972</v>
      </c>
      <c r="C14" s="1">
        <f t="shared" si="0"/>
        <v>9</v>
      </c>
      <c r="J14" s="65">
        <v>1</v>
      </c>
      <c r="K14" t="s">
        <v>17</v>
      </c>
      <c r="L14" t="s">
        <v>427</v>
      </c>
      <c r="M14">
        <v>8.9</v>
      </c>
      <c r="N14" t="s">
        <v>9</v>
      </c>
      <c r="O14" t="s">
        <v>34</v>
      </c>
      <c r="P14">
        <f t="shared" si="1"/>
        <v>7.0753366708980776</v>
      </c>
      <c r="Q14">
        <f t="shared" si="2"/>
        <v>3.3293962645693118</v>
      </c>
      <c r="R14" s="67" cm="1">
        <f t="array" ref="R14">SUMPRODUCT((J14=$J$7:$J$1000)*(P14&lt;$P$7:$P$1000))+1</f>
        <v>20</v>
      </c>
      <c r="S14" s="72"/>
      <c r="T14">
        <v>13</v>
      </c>
      <c r="U14" t="str">
        <v>ARC</v>
      </c>
      <c r="V14" t="str">
        <v>Tomalati Ma'afu</v>
      </c>
      <c r="W14" t="str">
        <v>NULL</v>
      </c>
      <c r="X14" t="str">
        <v>Away</v>
      </c>
      <c r="Y14" t="str">
        <v>LA</v>
      </c>
      <c r="Z14">
        <v>5.3221918336204244</v>
      </c>
      <c r="AA14" s="1" t="str">
        <v>Brad Tucker</v>
      </c>
      <c r="AB14" s="1" cm="1">
        <f t="array" ref="AB14">COUNT(_xlfn._xlws.FILTER($J$7:$J$10000,($L$7:$L$10000=AA14)*($M$7:$M$10000&lt;&gt;"NULL")*($J$7:$J$10000 &gt;= ($G$1-5))))/5</f>
        <v>0.2</v>
      </c>
    </row>
    <row r="15" spans="1:28" x14ac:dyDescent="0.35">
      <c r="A15" s="1" t="s">
        <v>13</v>
      </c>
      <c r="B15" s="1">
        <v>-1.0567834844012052</v>
      </c>
      <c r="C15" s="1">
        <f t="shared" si="0"/>
        <v>10</v>
      </c>
      <c r="J15" s="65">
        <v>1</v>
      </c>
      <c r="K15" t="s">
        <v>2</v>
      </c>
      <c r="L15" t="s">
        <v>115</v>
      </c>
      <c r="M15">
        <v>8.1999999999999993</v>
      </c>
      <c r="N15" t="s">
        <v>9</v>
      </c>
      <c r="O15" t="s">
        <v>36</v>
      </c>
      <c r="P15">
        <f t="shared" si="1"/>
        <v>9.6162546895149852</v>
      </c>
      <c r="Q15">
        <f t="shared" si="2"/>
        <v>2.0057773455731893</v>
      </c>
      <c r="R15" s="67" cm="1">
        <f t="array" ref="R15">SUMPRODUCT((J15=$J$7:$J$1000)*(P15&lt;$P$7:$P$1000))+1</f>
        <v>8</v>
      </c>
      <c r="S15" s="72"/>
      <c r="T15">
        <v>13</v>
      </c>
      <c r="U15" t="str">
        <v>CHI</v>
      </c>
      <c r="V15" t="str">
        <v>Brad Tucker</v>
      </c>
      <c r="W15" t="str">
        <v>NULL</v>
      </c>
      <c r="X15" t="str">
        <v>Away</v>
      </c>
      <c r="Y15" t="str">
        <v>NEFJ</v>
      </c>
      <c r="Z15">
        <v>2.3887152893381645</v>
      </c>
      <c r="AA15" s="1" t="str">
        <v>Brad Wilkin</v>
      </c>
      <c r="AB15" s="1" cm="1">
        <f t="array" ref="AB15">COUNT(_xlfn._xlws.FILTER($J$7:$J$10000,($L$7:$L$10000=AA15)*($M$7:$M$10000&lt;&gt;"NULL")*($J$7:$J$10000 &gt;= ($G$1-5))))/5</f>
        <v>1</v>
      </c>
    </row>
    <row r="16" spans="1:28" x14ac:dyDescent="0.35">
      <c r="A16" s="1" t="s">
        <v>23</v>
      </c>
      <c r="B16" s="1">
        <v>-1.6625827773276003</v>
      </c>
      <c r="C16" s="1">
        <f t="shared" si="0"/>
        <v>11</v>
      </c>
      <c r="D16" s="3"/>
      <c r="J16" s="65">
        <v>1</v>
      </c>
      <c r="K16" t="s">
        <v>4</v>
      </c>
      <c r="L16" t="s">
        <v>209</v>
      </c>
      <c r="M16">
        <v>8</v>
      </c>
      <c r="N16" t="s">
        <v>3</v>
      </c>
      <c r="O16" t="s">
        <v>14</v>
      </c>
      <c r="P16">
        <f t="shared" si="1"/>
        <v>13.931409561597208</v>
      </c>
      <c r="Q16">
        <f t="shared" si="2"/>
        <v>35.181619387406784</v>
      </c>
      <c r="R16" s="67" cm="1">
        <f t="array" ref="R16">SUMPRODUCT((J16=$J$7:$J$1000)*(P16&lt;$P$7:$P$1000))+1</f>
        <v>1</v>
      </c>
      <c r="S16" s="72"/>
      <c r="T16">
        <v>13</v>
      </c>
      <c r="U16" t="str">
        <v>CHI</v>
      </c>
      <c r="V16" t="str">
        <v>Conall Boomer</v>
      </c>
      <c r="W16" t="str">
        <v>NULL</v>
      </c>
      <c r="X16" t="str">
        <v>Away</v>
      </c>
      <c r="Y16" t="str">
        <v>NEFJ</v>
      </c>
      <c r="Z16">
        <v>5.1784373819299647</v>
      </c>
      <c r="AA16" s="1" t="str">
        <v>Charles Elton</v>
      </c>
      <c r="AB16" s="1" cm="1">
        <f t="array" ref="AB16">COUNT(_xlfn._xlws.FILTER($J$7:$J$10000,($L$7:$L$10000=AA16)*($M$7:$M$10000&lt;&gt;"NULL")*($J$7:$J$10000 &gt;= ($G$1-5))))/5</f>
        <v>1.2</v>
      </c>
    </row>
    <row r="17" spans="1:28" x14ac:dyDescent="0.35">
      <c r="J17" s="65">
        <v>1</v>
      </c>
      <c r="K17" t="s">
        <v>24</v>
      </c>
      <c r="L17" t="s">
        <v>199</v>
      </c>
      <c r="M17">
        <v>7.7</v>
      </c>
      <c r="N17" t="s">
        <v>3</v>
      </c>
      <c r="O17" t="s">
        <v>7</v>
      </c>
      <c r="P17">
        <f t="shared" si="1"/>
        <v>8.0020760137179341</v>
      </c>
      <c r="Q17">
        <f t="shared" si="2"/>
        <v>9.1249918063717392E-2</v>
      </c>
      <c r="R17" s="67" cm="1">
        <f t="array" ref="R17">SUMPRODUCT((J17=$J$7:$J$1000)*(P17&lt;$P$7:$P$1000))+1</f>
        <v>14</v>
      </c>
      <c r="S17" s="72"/>
      <c r="T17">
        <v>13</v>
      </c>
      <c r="U17" t="str">
        <v>CHI</v>
      </c>
      <c r="V17" t="str">
        <v>Lucas Rumball</v>
      </c>
      <c r="W17" t="str">
        <v>NULL</v>
      </c>
      <c r="X17" t="str">
        <v>Away</v>
      </c>
      <c r="Y17" t="str">
        <v>NEFJ</v>
      </c>
      <c r="Z17">
        <v>7.0948290734571327</v>
      </c>
      <c r="AA17" s="1" t="str">
        <v>Christian Poidevin</v>
      </c>
      <c r="AB17" s="1" cm="1">
        <f t="array" ref="AB17">COUNT(_xlfn._xlws.FILTER($J$7:$J$10000,($L$7:$L$10000=AA17)*($M$7:$M$10000&lt;&gt;"NULL")*($J$7:$J$10000 &gt;= ($G$1-5))))/5</f>
        <v>1</v>
      </c>
    </row>
    <row r="18" spans="1:28" x14ac:dyDescent="0.35">
      <c r="J18" s="65">
        <v>1</v>
      </c>
      <c r="K18" t="s">
        <v>4</v>
      </c>
      <c r="L18" t="s">
        <v>434</v>
      </c>
      <c r="M18">
        <v>7</v>
      </c>
      <c r="N18" t="s">
        <v>3</v>
      </c>
      <c r="O18" t="s">
        <v>14</v>
      </c>
      <c r="P18">
        <f t="shared" si="1"/>
        <v>6.84810855537705</v>
      </c>
      <c r="Q18">
        <f t="shared" si="2"/>
        <v>2.3071010949646691E-2</v>
      </c>
      <c r="R18" s="67" cm="1">
        <f t="array" ref="R18">SUMPRODUCT((J18=$J$7:$J$1000)*(P18&lt;$P$7:$P$1000))+1</f>
        <v>22</v>
      </c>
      <c r="S18" s="72"/>
      <c r="T18">
        <v>13</v>
      </c>
      <c r="U18" t="str">
        <v>CHI</v>
      </c>
      <c r="V18" t="str">
        <v>Luke White</v>
      </c>
      <c r="W18" t="str">
        <v>NULL</v>
      </c>
      <c r="X18" t="str">
        <v>Away</v>
      </c>
      <c r="Y18" t="str">
        <v>NEFJ</v>
      </c>
      <c r="Z18">
        <v>2.9133326308665692</v>
      </c>
      <c r="AA18" s="1" t="str">
        <v>Cian Darling</v>
      </c>
      <c r="AB18" s="1" cm="1">
        <f t="array" ref="AB18">COUNT(_xlfn._xlws.FILTER($J$7:$J$10000,($L$7:$L$10000=AA18)*($M$7:$M$10000&lt;&gt;"NULL")*($J$7:$J$10000 &gt;= ($G$1-5))))/5</f>
        <v>0.2</v>
      </c>
    </row>
    <row r="19" spans="1:28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1</v>
      </c>
      <c r="K19" t="s">
        <v>6</v>
      </c>
      <c r="L19" t="s">
        <v>430</v>
      </c>
      <c r="M19">
        <v>6.8</v>
      </c>
      <c r="N19" t="s">
        <v>3</v>
      </c>
      <c r="O19" t="s">
        <v>23</v>
      </c>
      <c r="P19">
        <f t="shared" si="1"/>
        <v>2.2080016763536001</v>
      </c>
      <c r="Q19">
        <f t="shared" si="2"/>
        <v>21.086448604371345</v>
      </c>
      <c r="R19" s="67" cm="1">
        <f t="array" ref="R19">SUMPRODUCT((J19=$J$7:$J$1000)*(P19&lt;$P$7:$P$1000))+1</f>
        <v>30</v>
      </c>
      <c r="S19" s="72"/>
      <c r="T19">
        <v>13</v>
      </c>
      <c r="U19" t="str">
        <v>CHI</v>
      </c>
      <c r="V19" t="str">
        <v>Maclean Jones</v>
      </c>
      <c r="W19" t="str">
        <v>NULL</v>
      </c>
      <c r="X19" t="str">
        <v>Away</v>
      </c>
      <c r="Y19" t="str">
        <v>NEFJ</v>
      </c>
      <c r="Z19">
        <v>8.4144577457094005</v>
      </c>
      <c r="AA19" s="1" t="str">
        <v>Colin Turner</v>
      </c>
      <c r="AB19" s="1" cm="1">
        <f t="array" ref="AB19">COUNT(_xlfn._xlws.FILTER($J$7:$J$10000,($L$7:$L$10000=AA19)*($M$7:$M$10000&lt;&gt;"NULL")*($J$7:$J$10000 &gt;= ($G$1-5))))/5</f>
        <v>0.8</v>
      </c>
    </row>
    <row r="20" spans="1:28" x14ac:dyDescent="0.35">
      <c r="A20">
        <f>VLOOKUP($B20, PlayerIDs!$A$1:$B$516, 2, FALSE)</f>
        <v>637</v>
      </c>
      <c r="B20" t="s">
        <v>209</v>
      </c>
      <c r="C20" s="1">
        <v>13.261281592998403</v>
      </c>
      <c r="D20" s="1">
        <f t="shared" ref="D20:D51" si="3">RANK($C20,$C$20:$C$106)</f>
        <v>1</v>
      </c>
      <c r="E20" s="1" cm="1">
        <f t="array" ref="E20">IFERROR(VLOOKUP($B20,_xlfn._xlws.FILTER($L$7:$P$10000,$J$7:$J$10000=G$1+1),5, FALSE), 0)</f>
        <v>12.553903049689826</v>
      </c>
      <c r="F20" s="1">
        <f t="shared" ref="F20:F51" si="4">RANK(E20,$E$20:$E$100)</f>
        <v>3</v>
      </c>
      <c r="G20" s="1">
        <f t="shared" ref="G20:G51" ca="1" si="5">SUMIF(V:Z,$B20,Z:Z)</f>
        <v>38.739828313936002</v>
      </c>
      <c r="H20" s="1">
        <f t="shared" ref="H20:H51" ca="1" si="6">RANK($G20,$G$20:$G$106)</f>
        <v>7</v>
      </c>
      <c r="I20" s="1" cm="1">
        <f t="array" ref="I20">COUNT(_xlfn._xlws.FILTER($J$7:$J$10000,($L$7:$L$10000=B20)*($M$7:$M$10000&lt;&gt;"NULL")*($J$7:$J$10000 &gt;= ($G$1-4))))/5</f>
        <v>0.6</v>
      </c>
      <c r="J20" s="65">
        <v>1</v>
      </c>
      <c r="K20" t="s">
        <v>23</v>
      </c>
      <c r="L20" t="s">
        <v>431</v>
      </c>
      <c r="M20">
        <v>6.6</v>
      </c>
      <c r="N20" t="s">
        <v>9</v>
      </c>
      <c r="O20" t="s">
        <v>6</v>
      </c>
      <c r="P20">
        <f t="shared" si="1"/>
        <v>7.5226543403880859</v>
      </c>
      <c r="Q20">
        <f t="shared" si="2"/>
        <v>0.85129103183697452</v>
      </c>
      <c r="R20" s="67" cm="1">
        <f t="array" ref="R20">SUMPRODUCT((J20=$J$7:$J$1000)*(P20&lt;$P$7:$P$1000))+1</f>
        <v>17</v>
      </c>
      <c r="S20" s="72"/>
      <c r="T20">
        <v>13</v>
      </c>
      <c r="U20" t="str">
        <v>CHI</v>
      </c>
      <c r="V20" t="str">
        <v>Mason Flesch</v>
      </c>
      <c r="W20" t="str">
        <v>NULL</v>
      </c>
      <c r="X20" t="str">
        <v>Away</v>
      </c>
      <c r="Y20" t="str">
        <v>NEFJ</v>
      </c>
      <c r="Z20">
        <v>8.0566601475035409</v>
      </c>
      <c r="AA20" s="1" t="str">
        <v>Collin Grosse</v>
      </c>
      <c r="AB20" s="1" cm="1">
        <f t="array" ref="AB20">COUNT(_xlfn._xlws.FILTER($J$7:$J$10000,($L$7:$L$10000=AA20)*($M$7:$M$10000&lt;&gt;"NULL")*($J$7:$J$10000 &gt;= ($G$1-5))))/5</f>
        <v>0.8</v>
      </c>
    </row>
    <row r="21" spans="1:28" x14ac:dyDescent="0.35">
      <c r="A21">
        <f>VLOOKUP($B21, PlayerIDs!$A$1:$B$516, 2, FALSE)</f>
        <v>609</v>
      </c>
      <c r="B21" t="s">
        <v>215</v>
      </c>
      <c r="C21" s="1">
        <v>12.108549895364868</v>
      </c>
      <c r="D21" s="1">
        <f t="shared" si="3"/>
        <v>2</v>
      </c>
      <c r="E21" s="1" cm="1">
        <f t="array" ref="E21">IFERROR(VLOOKUP($B21,_xlfn._xlws.FILTER($L$7:$P$10000,$J$7:$J$10000=G$1+1),5, FALSE), 0)</f>
        <v>13.274347308661097</v>
      </c>
      <c r="F21" s="1">
        <f t="shared" si="4"/>
        <v>1</v>
      </c>
      <c r="G21" s="1">
        <f t="shared" ca="1" si="5"/>
        <v>48.442988460419542</v>
      </c>
      <c r="H21" s="1">
        <f t="shared" ca="1" si="6"/>
        <v>1</v>
      </c>
      <c r="I21" s="1" cm="1">
        <f t="array" ref="I21">COUNT(_xlfn._xlws.FILTER($J$7:$J$10000,($L$7:$L$10000=B21)*($M$7:$M$10000&lt;&gt;"NULL")*($J$7:$J$10000 &gt;= ($G$1-4))))/5</f>
        <v>0.6</v>
      </c>
      <c r="J21" s="65">
        <v>1</v>
      </c>
      <c r="K21" t="s">
        <v>36</v>
      </c>
      <c r="L21" t="s">
        <v>216</v>
      </c>
      <c r="M21">
        <v>6.3</v>
      </c>
      <c r="N21" t="s">
        <v>3</v>
      </c>
      <c r="O21" t="s">
        <v>2</v>
      </c>
      <c r="P21">
        <f t="shared" si="1"/>
        <v>5.2342100650564563</v>
      </c>
      <c r="Q21">
        <f t="shared" si="2"/>
        <v>1.1359081854269628</v>
      </c>
      <c r="R21" s="67" cm="1">
        <f t="array" ref="R21">SUMPRODUCT((J21=$J$7:$J$1000)*(P21&lt;$P$7:$P$1000))+1</f>
        <v>24</v>
      </c>
      <c r="S21" s="72"/>
      <c r="T21">
        <v>13</v>
      </c>
      <c r="U21" t="str">
        <v>CHI</v>
      </c>
      <c r="V21" t="str">
        <v>Matt Oworu</v>
      </c>
      <c r="W21" t="str">
        <v>NULL</v>
      </c>
      <c r="X21" t="str">
        <v>Away</v>
      </c>
      <c r="Y21" t="str">
        <v>NEFJ</v>
      </c>
      <c r="Z21">
        <v>5.488553539944923</v>
      </c>
      <c r="AA21" s="1" t="str">
        <v>Conall Boomer</v>
      </c>
      <c r="AB21" s="1" cm="1">
        <f t="array" ref="AB21">COUNT(_xlfn._xlws.FILTER($J$7:$J$10000,($L$7:$L$10000=AA21)*($M$7:$M$10000&lt;&gt;"NULL")*($J$7:$J$10000 &gt;= ($G$1-5))))/5</f>
        <v>0.2</v>
      </c>
    </row>
    <row r="22" spans="1:28" x14ac:dyDescent="0.35">
      <c r="A22">
        <f>VLOOKUP($B22, PlayerIDs!$A$1:$B$516, 2, FALSE)</f>
        <v>736</v>
      </c>
      <c r="B22" t="s">
        <v>389</v>
      </c>
      <c r="C22" s="1">
        <v>11.937140912939745</v>
      </c>
      <c r="D22" s="1">
        <f t="shared" si="3"/>
        <v>3</v>
      </c>
      <c r="E22" s="1" cm="1">
        <f t="array" ref="E22">IFERROR(VLOOKUP($B22,_xlfn._xlws.FILTER($L$7:$P$10000,$J$7:$J$10000=G$1+1),5, FALSE), 0)</f>
        <v>12.357281412721761</v>
      </c>
      <c r="F22" s="1">
        <f t="shared" si="4"/>
        <v>4</v>
      </c>
      <c r="G22" s="1">
        <f t="shared" ca="1" si="5"/>
        <v>47.329403250317938</v>
      </c>
      <c r="H22" s="1">
        <f t="shared" ca="1" si="6"/>
        <v>2</v>
      </c>
      <c r="I22" s="1" cm="1">
        <f t="array" ref="I22">COUNT(_xlfn._xlws.FILTER($J$7:$J$10000,($L$7:$L$10000=B22)*($M$7:$M$10000&lt;&gt;"NULL")*($J$7:$J$10000 &gt;= ($G$1-4))))/5</f>
        <v>0.8</v>
      </c>
      <c r="J22" s="65">
        <v>1</v>
      </c>
      <c r="K22" t="s">
        <v>6</v>
      </c>
      <c r="L22" t="s">
        <v>432</v>
      </c>
      <c r="M22">
        <v>5.3</v>
      </c>
      <c r="N22" t="s">
        <v>3</v>
      </c>
      <c r="O22" t="s">
        <v>23</v>
      </c>
      <c r="P22">
        <f t="shared" si="1"/>
        <v>8.870794081365446</v>
      </c>
      <c r="Q22">
        <f t="shared" si="2"/>
        <v>12.750570371514501</v>
      </c>
      <c r="R22" s="67" cm="1">
        <f t="array" ref="R22">SUMPRODUCT((J22=$J$7:$J$1000)*(P22&lt;$P$7:$P$1000))+1</f>
        <v>12</v>
      </c>
      <c r="S22" s="72"/>
      <c r="T22">
        <v>13</v>
      </c>
      <c r="U22" t="str">
        <v>HOU</v>
      </c>
      <c r="V22" t="str">
        <v>Emmanuel Albert</v>
      </c>
      <c r="W22" t="str">
        <v>NULL</v>
      </c>
      <c r="X22" t="str">
        <v>Away</v>
      </c>
      <c r="Y22" t="str">
        <v>SDL</v>
      </c>
      <c r="Z22">
        <v>8.2478045776754207</v>
      </c>
      <c r="AA22" s="1" t="str">
        <v>Cory Daniel</v>
      </c>
      <c r="AB22" s="1" cm="1">
        <f t="array" ref="AB22">COUNT(_xlfn._xlws.FILTER($J$7:$J$10000,($L$7:$L$10000=AA22)*($M$7:$M$10000&lt;&gt;"NULL")*($J$7:$J$10000 &gt;= ($G$1-5))))/5</f>
        <v>1</v>
      </c>
    </row>
    <row r="23" spans="1:28" x14ac:dyDescent="0.35">
      <c r="A23">
        <f>VLOOKUP($B23, PlayerIDs!$A$1:$B$516, 2, FALSE)</f>
        <v>566</v>
      </c>
      <c r="B23" t="s">
        <v>225</v>
      </c>
      <c r="C23" s="1">
        <v>11.771179606270513</v>
      </c>
      <c r="D23" s="1">
        <f t="shared" si="3"/>
        <v>4</v>
      </c>
      <c r="E23" s="1" cm="1">
        <f t="array" ref="E23">IFERROR(VLOOKUP($B23,_xlfn._xlws.FILTER($L$7:$P$10000,$J$7:$J$10000=G$1+1),5, FALSE), 0)</f>
        <v>12.930188776919101</v>
      </c>
      <c r="F23" s="1">
        <f t="shared" si="4"/>
        <v>2</v>
      </c>
      <c r="G23" s="1">
        <f t="shared" ca="1" si="5"/>
        <v>35.755324683648844</v>
      </c>
      <c r="H23" s="1">
        <f t="shared" ca="1" si="6"/>
        <v>11</v>
      </c>
      <c r="I23" s="1" cm="1">
        <f t="array" ref="I23">COUNT(_xlfn._xlws.FILTER($J$7:$J$10000,($L$7:$L$10000=B23)*($M$7:$M$10000&lt;&gt;"NULL")*($J$7:$J$10000 &gt;= ($G$1-4))))/5</f>
        <v>1</v>
      </c>
      <c r="J23" s="65">
        <v>1</v>
      </c>
      <c r="K23" t="s">
        <v>4</v>
      </c>
      <c r="L23" t="s">
        <v>435</v>
      </c>
      <c r="M23">
        <v>5.0999999999999996</v>
      </c>
      <c r="N23" t="s">
        <v>3</v>
      </c>
      <c r="O23" t="s">
        <v>14</v>
      </c>
      <c r="P23">
        <f t="shared" si="1"/>
        <v>5.109629736082236</v>
      </c>
      <c r="Q23">
        <f t="shared" si="2"/>
        <v>9.2731817013525346E-5</v>
      </c>
      <c r="R23" s="67" cm="1">
        <f t="array" ref="R23">SUMPRODUCT((J23=$J$7:$J$1000)*(P23&lt;$P$7:$P$1000))+1</f>
        <v>26</v>
      </c>
      <c r="S23" s="72"/>
      <c r="T23">
        <v>13</v>
      </c>
      <c r="U23" t="str">
        <v>HOU</v>
      </c>
      <c r="V23" t="str">
        <v>Johan Momsen</v>
      </c>
      <c r="W23" t="str">
        <v>NULL</v>
      </c>
      <c r="X23" t="str">
        <v>Away</v>
      </c>
      <c r="Y23" t="str">
        <v>SDL</v>
      </c>
      <c r="Z23">
        <v>7.2145174034184496</v>
      </c>
      <c r="AA23" s="1" t="str">
        <v>Devin Short</v>
      </c>
      <c r="AB23" s="1" cm="1">
        <f t="array" ref="AB23">COUNT(_xlfn._xlws.FILTER($J$7:$J$10000,($L$7:$L$10000=AA23)*($M$7:$M$10000&lt;&gt;"NULL")*($J$7:$J$10000 &gt;= ($G$1-5))))/5</f>
        <v>0.2</v>
      </c>
    </row>
    <row r="24" spans="1:28" x14ac:dyDescent="0.35">
      <c r="A24">
        <f>VLOOKUP($B24, PlayerIDs!$A$1:$B$516, 2, FALSE)</f>
        <v>68</v>
      </c>
      <c r="B24" t="s">
        <v>200</v>
      </c>
      <c r="C24" s="1">
        <v>11.370877500707627</v>
      </c>
      <c r="D24" s="1">
        <f t="shared" si="3"/>
        <v>5</v>
      </c>
      <c r="E24" s="1" cm="1">
        <f t="array" ref="E24">IFERROR(VLOOKUP($B24,_xlfn._xlws.FILTER($L$7:$P$10000,$J$7:$J$10000=G$1+1),5, FALSE), 0)</f>
        <v>10.96788420252291</v>
      </c>
      <c r="F24" s="1">
        <f t="shared" si="4"/>
        <v>8</v>
      </c>
      <c r="G24" s="1">
        <f t="shared" ca="1" si="5"/>
        <v>34.241836027825187</v>
      </c>
      <c r="H24" s="1">
        <f t="shared" ca="1" si="6"/>
        <v>15</v>
      </c>
      <c r="I24" s="1" cm="1">
        <f t="array" ref="I24">COUNT(_xlfn._xlws.FILTER($J$7:$J$10000,($L$7:$L$10000=B24)*($M$7:$M$10000&lt;&gt;"NULL")*($J$7:$J$10000 &gt;= ($G$1-4))))/5</f>
        <v>1</v>
      </c>
      <c r="J24" s="65">
        <v>1</v>
      </c>
      <c r="K24" t="s">
        <v>17</v>
      </c>
      <c r="L24" t="s">
        <v>485</v>
      </c>
      <c r="M24">
        <v>4.9000000000000004</v>
      </c>
      <c r="N24" t="s">
        <v>9</v>
      </c>
      <c r="O24" t="s">
        <v>34</v>
      </c>
      <c r="P24">
        <f t="shared" si="1"/>
        <v>8.9174346476123034</v>
      </c>
      <c r="Q24">
        <f t="shared" si="2"/>
        <v>16.139781147835791</v>
      </c>
      <c r="R24" s="67" cm="1">
        <f t="array" ref="R24">SUMPRODUCT((J24=$J$7:$J$1000)*(P24&lt;$P$7:$P$1000))+1</f>
        <v>10</v>
      </c>
      <c r="S24" s="72"/>
      <c r="T24">
        <v>13</v>
      </c>
      <c r="U24" t="str">
        <v>HOU</v>
      </c>
      <c r="V24" t="str">
        <v>Keni Nasoqeqe</v>
      </c>
      <c r="W24" t="str">
        <v>NULL</v>
      </c>
      <c r="X24" t="str">
        <v>Away</v>
      </c>
      <c r="Y24" t="str">
        <v>SDL</v>
      </c>
      <c r="Z24">
        <v>3.5932114109409254</v>
      </c>
      <c r="AA24" s="1" t="str">
        <v>Dylan Fortune</v>
      </c>
      <c r="AB24" s="1" cm="1">
        <f t="array" ref="AB24">COUNT(_xlfn._xlws.FILTER($J$7:$J$10000,($L$7:$L$10000=AA24)*($M$7:$M$10000&lt;&gt;"NULL")*($J$7:$J$10000 &gt;= ($G$1-5))))/5</f>
        <v>0.2</v>
      </c>
    </row>
    <row r="25" spans="1:28" x14ac:dyDescent="0.35">
      <c r="A25">
        <f>VLOOKUP($B25, PlayerIDs!$A$1:$B$516, 2, FALSE)</f>
        <v>752</v>
      </c>
      <c r="B25" t="s">
        <v>433</v>
      </c>
      <c r="C25" s="1">
        <v>10.836759349995605</v>
      </c>
      <c r="D25" s="1">
        <f t="shared" si="3"/>
        <v>6</v>
      </c>
      <c r="E25" s="1" cm="1">
        <f t="array" ref="E25">IFERROR(VLOOKUP($B25,_xlfn._xlws.FILTER($L$7:$P$10000,$J$7:$J$10000=G$1+1),5, FALSE), 0)</f>
        <v>11.50688731859441</v>
      </c>
      <c r="F25" s="1">
        <f t="shared" si="4"/>
        <v>5</v>
      </c>
      <c r="G25" s="1">
        <f t="shared" ca="1" si="5"/>
        <v>44.158459977155957</v>
      </c>
      <c r="H25" s="1">
        <f t="shared" ca="1" si="6"/>
        <v>3</v>
      </c>
      <c r="I25" s="1" cm="1">
        <f t="array" ref="I25">COUNT(_xlfn._xlws.FILTER($J$7:$J$10000,($L$7:$L$10000=B25)*($M$7:$M$10000&lt;&gt;"NULL")*($J$7:$J$10000 &gt;= ($G$1-4))))/5</f>
        <v>0.8</v>
      </c>
      <c r="J25" s="65">
        <v>1</v>
      </c>
      <c r="K25" t="s">
        <v>24</v>
      </c>
      <c r="L25" t="s">
        <v>217</v>
      </c>
      <c r="M25">
        <v>4.7</v>
      </c>
      <c r="N25" t="s">
        <v>3</v>
      </c>
      <c r="O25" t="s">
        <v>7</v>
      </c>
      <c r="P25">
        <f t="shared" si="1"/>
        <v>3.0636468339787868</v>
      </c>
      <c r="Q25">
        <f t="shared" si="2"/>
        <v>2.6776516839476487</v>
      </c>
      <c r="R25" s="67" cm="1">
        <f t="array" ref="R25">SUMPRODUCT((J25=$J$7:$J$1000)*(P25&lt;$P$7:$P$1000))+1</f>
        <v>29</v>
      </c>
      <c r="S25" s="72"/>
      <c r="T25">
        <v>13</v>
      </c>
      <c r="U25" t="str">
        <v>HOU</v>
      </c>
      <c r="V25" t="str">
        <v>Marno Redelinghuys</v>
      </c>
      <c r="W25" t="str">
        <v>NULL</v>
      </c>
      <c r="X25" t="str">
        <v>Away</v>
      </c>
      <c r="Y25" t="str">
        <v>SDL</v>
      </c>
      <c r="Z25">
        <v>5.9730787359230302</v>
      </c>
      <c r="AA25" s="1" t="str">
        <v>Dylan Nel</v>
      </c>
      <c r="AB25" s="1" cm="1">
        <f t="array" ref="AB25">COUNT(_xlfn._xlws.FILTER($J$7:$J$10000,($L$7:$L$10000=AA25)*($M$7:$M$10000&lt;&gt;"NULL")*($J$7:$J$10000 &gt;= ($G$1-5))))/5</f>
        <v>0.8</v>
      </c>
    </row>
    <row r="26" spans="1:28" x14ac:dyDescent="0.35">
      <c r="A26">
        <f>VLOOKUP($B26, PlayerIDs!$A$1:$B$516, 2, FALSE)</f>
        <v>751</v>
      </c>
      <c r="B26" t="s">
        <v>432</v>
      </c>
      <c r="C26" s="1">
        <v>10.833381921561607</v>
      </c>
      <c r="D26" s="1">
        <f t="shared" si="3"/>
        <v>7</v>
      </c>
      <c r="E26" s="1" cm="1">
        <f t="array" ref="E26">IFERROR(VLOOKUP($B26,_xlfn._xlws.FILTER($L$7:$P$10000,$J$7:$J$10000=G$1+1),5, FALSE), 0)</f>
        <v>11.503509890160412</v>
      </c>
      <c r="F26" s="1">
        <f t="shared" si="4"/>
        <v>6</v>
      </c>
      <c r="G26" s="1">
        <f t="shared" ca="1" si="5"/>
        <v>44.144950263419958</v>
      </c>
      <c r="H26" s="1">
        <f t="shared" ca="1" si="6"/>
        <v>4</v>
      </c>
      <c r="I26" s="1" cm="1">
        <f t="array" ref="I26">COUNT(_xlfn._xlws.FILTER($J$7:$J$10000,($L$7:$L$10000=B26)*($M$7:$M$10000&lt;&gt;"NULL")*($J$7:$J$10000 &gt;= ($G$1-4))))/5</f>
        <v>0.8</v>
      </c>
      <c r="J26" s="65">
        <v>1</v>
      </c>
      <c r="K26" t="s">
        <v>7</v>
      </c>
      <c r="L26" t="s">
        <v>211</v>
      </c>
      <c r="M26">
        <v>4.5</v>
      </c>
      <c r="N26" t="s">
        <v>9</v>
      </c>
      <c r="O26" t="s">
        <v>24</v>
      </c>
      <c r="P26">
        <f t="shared" si="1"/>
        <v>5.8532115899368442</v>
      </c>
      <c r="Q26">
        <f t="shared" si="2"/>
        <v>1.8311816071394018</v>
      </c>
      <c r="R26" s="67" cm="1">
        <f t="array" ref="R26">SUMPRODUCT((J26=$J$7:$J$1000)*(P26&lt;$P$7:$P$1000))+1</f>
        <v>23</v>
      </c>
      <c r="S26" s="72"/>
      <c r="T26">
        <v>13</v>
      </c>
      <c r="U26" t="str">
        <v>HOU</v>
      </c>
      <c r="V26" t="str">
        <v>Ronan Murphy</v>
      </c>
      <c r="W26" t="str">
        <v>NULL</v>
      </c>
      <c r="X26" t="str">
        <v>Away</v>
      </c>
      <c r="Y26" t="str">
        <v>SDL</v>
      </c>
      <c r="Z26">
        <v>4.5147437073927517</v>
      </c>
      <c r="AA26" s="1" t="str">
        <v>Ed Timpson</v>
      </c>
      <c r="AB26" s="1" cm="1">
        <f t="array" ref="AB26">COUNT(_xlfn._xlws.FILTER($J$7:$J$10000,($L$7:$L$10000=AA26)*($M$7:$M$10000&lt;&gt;"NULL")*($J$7:$J$10000 &gt;= ($G$1-5))))/5</f>
        <v>1</v>
      </c>
    </row>
    <row r="27" spans="1:28" x14ac:dyDescent="0.35">
      <c r="A27">
        <f>VLOOKUP($B27, PlayerIDs!$A$1:$B$516, 2, FALSE)</f>
        <v>595</v>
      </c>
      <c r="B27" t="s">
        <v>603</v>
      </c>
      <c r="C27" s="1">
        <v>10.617795967909407</v>
      </c>
      <c r="D27" s="1">
        <f t="shared" si="3"/>
        <v>8</v>
      </c>
      <c r="E27" s="1" cm="1">
        <f t="array" ref="E27">IFERROR(VLOOKUP($B27,_xlfn._xlws.FILTER($L$7:$P$10000,$J$7:$J$10000=G$1+1),5, FALSE), 0)</f>
        <v>11.287923936508212</v>
      </c>
      <c r="F27" s="1">
        <f t="shared" si="4"/>
        <v>7</v>
      </c>
      <c r="G27" s="1">
        <f t="shared" ca="1" si="5"/>
        <v>43.282606448811158</v>
      </c>
      <c r="H27" s="1">
        <f t="shared" ca="1" si="6"/>
        <v>5</v>
      </c>
      <c r="I27" s="1" cm="1">
        <f t="array" ref="I27">COUNT(_xlfn._xlws.FILTER($J$7:$J$10000,($L$7:$L$10000=B27)*($M$7:$M$10000&lt;&gt;"NULL")*($J$7:$J$10000 &gt;= ($G$1-4))))/5</f>
        <v>0.4</v>
      </c>
      <c r="J27" s="65">
        <v>1</v>
      </c>
      <c r="K27" t="s">
        <v>14</v>
      </c>
      <c r="L27" t="s">
        <v>203</v>
      </c>
      <c r="M27">
        <v>4.0999999999999996</v>
      </c>
      <c r="N27" t="s">
        <v>9</v>
      </c>
      <c r="O27" t="s">
        <v>4</v>
      </c>
      <c r="P27">
        <f t="shared" si="1"/>
        <v>4.9682027388013488</v>
      </c>
      <c r="Q27">
        <f t="shared" si="2"/>
        <v>0.75377599566216369</v>
      </c>
      <c r="R27" s="67" cm="1">
        <f t="array" ref="R27">SUMPRODUCT((J27=$J$7:$J$1000)*(P27&lt;$P$7:$P$1000))+1</f>
        <v>27</v>
      </c>
      <c r="S27" s="72"/>
      <c r="T27">
        <v>13</v>
      </c>
      <c r="U27" t="str">
        <v>HOU</v>
      </c>
      <c r="V27" t="str">
        <v>Sam Tuifua</v>
      </c>
      <c r="W27" t="str">
        <v>NULL</v>
      </c>
      <c r="X27" t="str">
        <v>Away</v>
      </c>
      <c r="Y27" t="str">
        <v>SDL</v>
      </c>
      <c r="Z27">
        <v>12.930188776919101</v>
      </c>
      <c r="AA27" s="1" t="str">
        <v>Emmanuel Albert</v>
      </c>
      <c r="AB27" s="1" cm="1">
        <f t="array" ref="AB27">COUNT(_xlfn._xlws.FILTER($J$7:$J$10000,($L$7:$L$10000=AA27)*($M$7:$M$10000&lt;&gt;"NULL")*($J$7:$J$10000 &gt;= ($G$1-5))))/5</f>
        <v>1</v>
      </c>
    </row>
    <row r="28" spans="1:28" x14ac:dyDescent="0.35">
      <c r="A28">
        <f>VLOOKUP($B28, PlayerIDs!$A$1:$B$516, 2, FALSE)</f>
        <v>729</v>
      </c>
      <c r="B28" t="s">
        <v>429</v>
      </c>
      <c r="C28" s="1">
        <v>9.8472984020023429</v>
      </c>
      <c r="D28" s="1">
        <f t="shared" si="3"/>
        <v>9</v>
      </c>
      <c r="E28" s="1" cm="1">
        <f t="array" ref="E28">IFERROR(VLOOKUP($B28,_xlfn._xlws.FILTER($L$7:$P$10000,$J$7:$J$10000=G$1+1),5, FALSE), 0)</f>
        <v>9.4443051038176264</v>
      </c>
      <c r="F28" s="1">
        <f t="shared" si="4"/>
        <v>11</v>
      </c>
      <c r="G28" s="1">
        <f t="shared" ca="1" si="5"/>
        <v>29.671098731709336</v>
      </c>
      <c r="H28" s="1">
        <f t="shared" ca="1" si="6"/>
        <v>19</v>
      </c>
      <c r="I28" s="1" cm="1">
        <f t="array" ref="I28">COUNT(_xlfn._xlws.FILTER($J$7:$J$10000,($L$7:$L$10000=B28)*($M$7:$M$10000&lt;&gt;"NULL")*($J$7:$J$10000 &gt;= ($G$1-4))))/5</f>
        <v>0.8</v>
      </c>
      <c r="J28" s="65">
        <v>1</v>
      </c>
      <c r="K28" t="s">
        <v>7</v>
      </c>
      <c r="L28" t="s">
        <v>207</v>
      </c>
      <c r="M28">
        <v>4.0999999999999996</v>
      </c>
      <c r="N28" t="s">
        <v>9</v>
      </c>
      <c r="O28" t="s">
        <v>24</v>
      </c>
      <c r="P28">
        <f t="shared" si="1"/>
        <v>7.4469573226449954</v>
      </c>
      <c r="Q28">
        <f t="shared" si="2"/>
        <v>11.202123319606958</v>
      </c>
      <c r="R28" s="67" cm="1">
        <f t="array" ref="R28">SUMPRODUCT((J28=$J$7:$J$1000)*(P28&lt;$P$7:$P$1000))+1</f>
        <v>19</v>
      </c>
      <c r="S28" s="72"/>
      <c r="T28">
        <v>13</v>
      </c>
      <c r="U28" t="str">
        <v>LA</v>
      </c>
      <c r="V28" t="str">
        <v>Ben Houston</v>
      </c>
      <c r="W28" t="str">
        <v>NULL</v>
      </c>
      <c r="X28" t="str">
        <v>Home</v>
      </c>
      <c r="Y28" t="str">
        <v>ARC</v>
      </c>
      <c r="Z28">
        <v>11.503509890160412</v>
      </c>
      <c r="AA28" s="1" t="str">
        <v>Frank Lochore</v>
      </c>
      <c r="AB28" s="1" cm="1">
        <f t="array" ref="AB28">COUNT(_xlfn._xlws.FILTER($J$7:$J$10000,($L$7:$L$10000=AA28)*($M$7:$M$10000&lt;&gt;"NULL")*($J$7:$J$10000 &gt;= ($G$1-5))))/5</f>
        <v>0.2</v>
      </c>
    </row>
    <row r="29" spans="1:28" x14ac:dyDescent="0.35">
      <c r="A29">
        <f>VLOOKUP($B29, PlayerIDs!$A$1:$B$516, 2, FALSE)</f>
        <v>77</v>
      </c>
      <c r="B29" t="s">
        <v>201</v>
      </c>
      <c r="C29" s="1">
        <v>9.7771044607899995</v>
      </c>
      <c r="D29" s="1">
        <f t="shared" si="3"/>
        <v>10</v>
      </c>
      <c r="E29" s="1" cm="1">
        <f t="array" ref="E29">IFERROR(VLOOKUP($B29,_xlfn._xlws.FILTER($L$7:$P$10000,$J$7:$J$10000=G$1+1),5, FALSE), 0)</f>
        <v>0</v>
      </c>
      <c r="F29" s="1">
        <f t="shared" si="4"/>
        <v>66</v>
      </c>
      <c r="G29" s="1">
        <f t="shared" ca="1" si="5"/>
        <v>28.885443897458298</v>
      </c>
      <c r="H29" s="1">
        <f t="shared" ca="1" si="6"/>
        <v>22</v>
      </c>
      <c r="I29" s="1" cm="1">
        <f t="array" ref="I29">COUNT(_xlfn._xlws.FILTER($J$7:$J$10000,($L$7:$L$10000=B29)*($M$7:$M$10000&lt;&gt;"NULL")*($J$7:$J$10000 &gt;= ($G$1-4))))/5</f>
        <v>0.6</v>
      </c>
      <c r="J29" s="65">
        <v>1</v>
      </c>
      <c r="K29" t="s">
        <v>7</v>
      </c>
      <c r="L29" t="s">
        <v>202</v>
      </c>
      <c r="M29">
        <v>3.9</v>
      </c>
      <c r="N29" t="s">
        <v>9</v>
      </c>
      <c r="O29" t="s">
        <v>24</v>
      </c>
      <c r="P29">
        <f t="shared" si="1"/>
        <v>7.8554747737826291</v>
      </c>
      <c r="Q29">
        <f t="shared" si="2"/>
        <v>15.645780686030742</v>
      </c>
      <c r="R29" s="67" cm="1">
        <f t="array" ref="R29">SUMPRODUCT((J29=$J$7:$J$1000)*(P29&lt;$P$7:$P$1000))+1</f>
        <v>15</v>
      </c>
      <c r="S29" s="72"/>
      <c r="T29">
        <v>13</v>
      </c>
      <c r="U29" t="str">
        <v>LA</v>
      </c>
      <c r="V29" t="str">
        <v>Ed Timpson</v>
      </c>
      <c r="W29" t="str">
        <v>NULL</v>
      </c>
      <c r="X29" t="str">
        <v>Home</v>
      </c>
      <c r="Y29" t="str">
        <v>ARC</v>
      </c>
      <c r="Z29">
        <v>11.50688731859441</v>
      </c>
      <c r="AA29" s="1" t="str">
        <v>Graeme Pedegana</v>
      </c>
      <c r="AB29" s="1" cm="1">
        <f t="array" ref="AB29">COUNT(_xlfn._xlws.FILTER($J$7:$J$10000,($L$7:$L$10000=AA29)*($M$7:$M$10000&lt;&gt;"NULL")*($J$7:$J$10000 &gt;= ($G$1-5))))/5</f>
        <v>0.2</v>
      </c>
    </row>
    <row r="30" spans="1:28" x14ac:dyDescent="0.35">
      <c r="A30">
        <f>VLOOKUP($B30, PlayerIDs!$A$1:$B$516, 2, FALSE)</f>
        <v>277</v>
      </c>
      <c r="B30" t="s">
        <v>213</v>
      </c>
      <c r="C30" s="1">
        <v>9.7770354601684399</v>
      </c>
      <c r="D30" s="1">
        <f t="shared" si="3"/>
        <v>11</v>
      </c>
      <c r="E30" s="1" cm="1">
        <f t="array" ref="E30">IFERROR(VLOOKUP($B30,_xlfn._xlws.FILTER($L$7:$P$10000,$J$7:$J$10000=G$1+1),5, FALSE), 0)</f>
        <v>8.4144577457094005</v>
      </c>
      <c r="F30" s="1">
        <f t="shared" si="4"/>
        <v>17</v>
      </c>
      <c r="G30" s="1">
        <f t="shared" ca="1" si="5"/>
        <v>39.228059643321167</v>
      </c>
      <c r="H30" s="1">
        <f t="shared" ca="1" si="6"/>
        <v>6</v>
      </c>
      <c r="I30" s="1" cm="1">
        <f t="array" ref="I30">COUNT(_xlfn._xlws.FILTER($J$7:$J$10000,($L$7:$L$10000=B30)*($M$7:$M$10000&lt;&gt;"NULL")*($J$7:$J$10000 &gt;= ($G$1-4))))/5</f>
        <v>0.8</v>
      </c>
      <c r="J30" s="65">
        <v>1</v>
      </c>
      <c r="K30" t="s">
        <v>2</v>
      </c>
      <c r="L30" t="s">
        <v>212</v>
      </c>
      <c r="M30">
        <v>3.4</v>
      </c>
      <c r="N30" t="s">
        <v>9</v>
      </c>
      <c r="O30" t="s">
        <v>36</v>
      </c>
      <c r="P30">
        <f t="shared" si="1"/>
        <v>8.654423615468577</v>
      </c>
      <c r="Q30">
        <f t="shared" si="2"/>
        <v>27.608967530793869</v>
      </c>
      <c r="R30" s="67" cm="1">
        <f t="array" ref="R30">SUMPRODUCT((J30=$J$7:$J$1000)*(P30&lt;$P$7:$P$1000))+1</f>
        <v>13</v>
      </c>
      <c r="S30" s="72"/>
      <c r="T30">
        <v>13</v>
      </c>
      <c r="U30" t="str">
        <v>LA</v>
      </c>
      <c r="V30" t="str">
        <v>Jason Damm</v>
      </c>
      <c r="W30" t="str">
        <v>NULL</v>
      </c>
      <c r="X30" t="str">
        <v>Home</v>
      </c>
      <c r="Y30" t="str">
        <v>ARC</v>
      </c>
      <c r="Z30">
        <v>6.670250963719222</v>
      </c>
      <c r="AA30" s="1" t="str">
        <v>Huw Taylor</v>
      </c>
      <c r="AB30" s="1" cm="1">
        <f t="array" ref="AB30">COUNT(_xlfn._xlws.FILTER($J$7:$J$10000,($L$7:$L$10000=AA30)*($M$7:$M$10000&lt;&gt;"NULL")*($J$7:$J$10000 &gt;= ($G$1-5))))/5</f>
        <v>0.4</v>
      </c>
    </row>
    <row r="31" spans="1:28" x14ac:dyDescent="0.35">
      <c r="A31">
        <f>VLOOKUP($B31, PlayerIDs!$A$1:$B$516, 2, FALSE)</f>
        <v>789</v>
      </c>
      <c r="B31" t="s">
        <v>428</v>
      </c>
      <c r="C31" s="1">
        <v>9.4867386190424821</v>
      </c>
      <c r="D31" s="1">
        <f t="shared" si="3"/>
        <v>12</v>
      </c>
      <c r="E31" s="1" cm="1">
        <f t="array" ref="E31">IFERROR(VLOOKUP($B31,_xlfn._xlws.FILTER($L$7:$P$10000,$J$7:$J$10000=G$1+1),5, FALSE), 0)</f>
        <v>9.9068791188244987</v>
      </c>
      <c r="F31" s="1">
        <f t="shared" si="4"/>
        <v>10</v>
      </c>
      <c r="G31" s="1">
        <f t="shared" ca="1" si="5"/>
        <v>37.527794074728888</v>
      </c>
      <c r="H31" s="1">
        <f t="shared" ca="1" si="6"/>
        <v>10</v>
      </c>
      <c r="I31" s="1" cm="1">
        <f t="array" ref="I31">COUNT(_xlfn._xlws.FILTER($J$7:$J$10000,($L$7:$L$10000=B31)*($M$7:$M$10000&lt;&gt;"NULL")*($J$7:$J$10000 &gt;= ($G$1-4))))/5</f>
        <v>0.8</v>
      </c>
      <c r="J31" s="65">
        <v>1</v>
      </c>
      <c r="K31" t="s">
        <v>17</v>
      </c>
      <c r="L31" t="s">
        <v>206</v>
      </c>
      <c r="M31">
        <v>3.4</v>
      </c>
      <c r="N31" t="s">
        <v>9</v>
      </c>
      <c r="O31" t="s">
        <v>34</v>
      </c>
      <c r="P31">
        <f t="shared" si="1"/>
        <v>7.5660736826985051</v>
      </c>
      <c r="Q31">
        <f t="shared" si="2"/>
        <v>17.356169929673083</v>
      </c>
      <c r="R31" s="67" cm="1">
        <f t="array" ref="R31">SUMPRODUCT((J31=$J$7:$J$1000)*(P31&lt;$P$7:$P$1000))+1</f>
        <v>16</v>
      </c>
      <c r="S31" s="72"/>
      <c r="T31">
        <v>13</v>
      </c>
      <c r="U31" t="str">
        <v>LA</v>
      </c>
      <c r="V31" t="str">
        <v>Matt Heaton</v>
      </c>
      <c r="W31" t="str">
        <v>NULL</v>
      </c>
      <c r="X31" t="str">
        <v>Home</v>
      </c>
      <c r="Y31" t="str">
        <v>ARC</v>
      </c>
      <c r="Z31">
        <v>6.5045530058504397</v>
      </c>
      <c r="AA31" s="1" t="str">
        <v>Jamason Fa'anana-Schultz</v>
      </c>
      <c r="AB31" s="1" cm="1">
        <f t="array" ref="AB31">COUNT(_xlfn._xlws.FILTER($J$7:$J$10000,($L$7:$L$10000=AA31)*($M$7:$M$10000&lt;&gt;"NULL")*($J$7:$J$10000 &gt;= ($G$1-5))))/5</f>
        <v>0.4</v>
      </c>
    </row>
    <row r="32" spans="1:28" x14ac:dyDescent="0.35">
      <c r="A32">
        <f>VLOOKUP($B32, PlayerIDs!$A$1:$B$516, 2, FALSE)</f>
        <v>289</v>
      </c>
      <c r="B32" t="s">
        <v>115</v>
      </c>
      <c r="C32" s="1">
        <v>9.4192378619625803</v>
      </c>
      <c r="D32" s="1">
        <f t="shared" si="3"/>
        <v>13</v>
      </c>
      <c r="E32" s="1" cm="1">
        <f t="array" ref="E32">IFERROR(VLOOKUP($B32,_xlfn._xlws.FILTER($L$7:$P$10000,$J$7:$J$10000=G$1+1),5, FALSE), 0)</f>
        <v>8.0566601475035409</v>
      </c>
      <c r="F32" s="1">
        <f t="shared" si="4"/>
        <v>20</v>
      </c>
      <c r="G32" s="1">
        <f t="shared" ca="1" si="5"/>
        <v>37.796869250497728</v>
      </c>
      <c r="H32" s="1">
        <f t="shared" ca="1" si="6"/>
        <v>9</v>
      </c>
      <c r="I32" s="1" cm="1">
        <f t="array" ref="I32">COUNT(_xlfn._xlws.FILTER($J$7:$J$10000,($L$7:$L$10000=B32)*($M$7:$M$10000&lt;&gt;"NULL")*($J$7:$J$10000 &gt;= ($G$1-4))))/5</f>
        <v>0.4</v>
      </c>
      <c r="J32" s="65">
        <v>1</v>
      </c>
      <c r="K32" t="s">
        <v>36</v>
      </c>
      <c r="L32" t="s">
        <v>205</v>
      </c>
      <c r="M32">
        <v>3.3</v>
      </c>
      <c r="N32" t="s">
        <v>3</v>
      </c>
      <c r="O32" t="s">
        <v>2</v>
      </c>
      <c r="P32">
        <f t="shared" si="1"/>
        <v>7.5089359068088468</v>
      </c>
      <c r="Q32">
        <f t="shared" si="2"/>
        <v>17.715141467624811</v>
      </c>
      <c r="R32" s="67" cm="1">
        <f t="array" ref="R32">SUMPRODUCT((J32=$J$7:$J$1000)*(P32&lt;$P$7:$P$1000))+1</f>
        <v>18</v>
      </c>
      <c r="S32" s="72"/>
      <c r="T32">
        <v>13</v>
      </c>
      <c r="U32" t="str">
        <v>LA</v>
      </c>
      <c r="V32" t="str">
        <v>Semi Kunitani</v>
      </c>
      <c r="W32" t="str">
        <v>NULL</v>
      </c>
      <c r="X32" t="str">
        <v>Home</v>
      </c>
      <c r="Y32" t="str">
        <v>ARC</v>
      </c>
      <c r="Z32">
        <v>11.287923936508212</v>
      </c>
      <c r="AA32" s="1" t="str">
        <v>Jason Damm</v>
      </c>
      <c r="AB32" s="1" cm="1">
        <f t="array" ref="AB32">COUNT(_xlfn._xlws.FILTER($J$7:$J$10000,($L$7:$L$10000=AA32)*($M$7:$M$10000&lt;&gt;"NULL")*($J$7:$J$10000 &gt;= ($G$1-5))))/5</f>
        <v>0.2</v>
      </c>
    </row>
    <row r="33" spans="1:28" x14ac:dyDescent="0.35">
      <c r="A33">
        <f>VLOOKUP($B33, PlayerIDs!$A$1:$B$516, 2, FALSE)</f>
        <v>341</v>
      </c>
      <c r="B33" t="s">
        <v>174</v>
      </c>
      <c r="C33" s="1">
        <v>9.3652849777445279</v>
      </c>
      <c r="D33" s="1">
        <f t="shared" si="3"/>
        <v>14</v>
      </c>
      <c r="E33" s="1" cm="1">
        <f t="array" ref="E33">IFERROR(VLOOKUP($B33,_xlfn._xlws.FILTER($L$7:$P$10000,$J$7:$J$10000=G$1+1),5, FALSE), 0)</f>
        <v>8.9622916795598115</v>
      </c>
      <c r="F33" s="1">
        <f t="shared" si="4"/>
        <v>14</v>
      </c>
      <c r="G33" s="1">
        <f t="shared" ca="1" si="5"/>
        <v>28.225058458935891</v>
      </c>
      <c r="H33" s="1">
        <f t="shared" ca="1" si="6"/>
        <v>24</v>
      </c>
      <c r="I33" s="1" cm="1">
        <f t="array" ref="I33">COUNT(_xlfn._xlws.FILTER($J$7:$J$10000,($L$7:$L$10000=B33)*($M$7:$M$10000&lt;&gt;"NULL")*($J$7:$J$10000 &gt;= ($G$1-4))))/5</f>
        <v>0.2</v>
      </c>
      <c r="J33" s="65">
        <v>1</v>
      </c>
      <c r="K33" t="s">
        <v>34</v>
      </c>
      <c r="L33" t="s">
        <v>436</v>
      </c>
      <c r="M33">
        <v>2.9</v>
      </c>
      <c r="N33" t="s">
        <v>3</v>
      </c>
      <c r="O33" t="s">
        <v>17</v>
      </c>
      <c r="P33">
        <f t="shared" si="1"/>
        <v>6.9862211129237419</v>
      </c>
      <c r="Q33">
        <f t="shared" si="2"/>
        <v>16.69720298370374</v>
      </c>
      <c r="R33" s="67" cm="1">
        <f t="array" ref="R33">SUMPRODUCT((J33=$J$7:$J$1000)*(P33&lt;$P$7:$P$1000))+1</f>
        <v>21</v>
      </c>
      <c r="S33" s="72"/>
      <c r="T33">
        <v>13</v>
      </c>
      <c r="U33" t="str">
        <v>LA</v>
      </c>
      <c r="V33" t="str">
        <v>Tim Anstee</v>
      </c>
      <c r="W33" t="str">
        <v>NULL</v>
      </c>
      <c r="X33" t="str">
        <v>Home</v>
      </c>
      <c r="Y33" t="str">
        <v>ARC</v>
      </c>
      <c r="Z33">
        <v>4.8407174851485664</v>
      </c>
      <c r="AA33" s="1" t="str">
        <v>Jed Melvin</v>
      </c>
      <c r="AB33" s="1" cm="1">
        <f t="array" ref="AB33">COUNT(_xlfn._xlws.FILTER($J$7:$J$10000,($L$7:$L$10000=AA33)*($M$7:$M$10000&lt;&gt;"NULL")*($J$7:$J$10000 &gt;= ($G$1-5))))/5</f>
        <v>1</v>
      </c>
    </row>
    <row r="34" spans="1:28" x14ac:dyDescent="0.35">
      <c r="A34">
        <f>VLOOKUP($B34, PlayerIDs!$A$1:$B$516, 2, FALSE)</f>
        <v>684</v>
      </c>
      <c r="B34" t="s">
        <v>204</v>
      </c>
      <c r="C34" s="1">
        <v>9.1236906625951057</v>
      </c>
      <c r="D34" s="1">
        <f t="shared" si="3"/>
        <v>15</v>
      </c>
      <c r="E34" s="1" cm="1">
        <f t="array" ref="E34">IFERROR(VLOOKUP($B34,_xlfn._xlws.FILTER($L$7:$P$10000,$J$7:$J$10000=G$1+1),5, FALSE), 0)</f>
        <v>9.1632457783164654</v>
      </c>
      <c r="F34" s="1">
        <f t="shared" si="4"/>
        <v>13</v>
      </c>
      <c r="G34" s="1">
        <f t="shared" ca="1" si="5"/>
        <v>38.56725997554922</v>
      </c>
      <c r="H34" s="1">
        <f t="shared" ca="1" si="6"/>
        <v>8</v>
      </c>
      <c r="I34" s="1" cm="1">
        <f t="array" ref="I34">COUNT(_xlfn._xlws.FILTER($J$7:$J$10000,($L$7:$L$10000=B34)*($M$7:$M$10000&lt;&gt;"NULL")*($J$7:$J$10000 &gt;= ($G$1-4))))/5</f>
        <v>0.6</v>
      </c>
      <c r="J34" s="65">
        <v>1</v>
      </c>
      <c r="K34" t="s">
        <v>14</v>
      </c>
      <c r="L34" t="s">
        <v>197</v>
      </c>
      <c r="M34">
        <v>2.1</v>
      </c>
      <c r="N34" t="s">
        <v>9</v>
      </c>
      <c r="O34" t="s">
        <v>4</v>
      </c>
      <c r="P34">
        <f t="shared" si="1"/>
        <v>5.1590019817820334</v>
      </c>
      <c r="Q34">
        <f t="shared" si="2"/>
        <v>9.3574931245464068</v>
      </c>
      <c r="R34" s="67" cm="1">
        <f t="array" ref="R34">SUMPRODUCT((J34=$J$7:$J$1000)*(P34&lt;$P$7:$P$1000))+1</f>
        <v>25</v>
      </c>
      <c r="S34" s="72"/>
      <c r="T34">
        <v>13</v>
      </c>
      <c r="U34" t="str">
        <v>MIA</v>
      </c>
      <c r="V34" t="str">
        <v>Benjamin Bonasso</v>
      </c>
      <c r="W34" t="str">
        <v>NULL</v>
      </c>
      <c r="X34" t="str">
        <v>Away</v>
      </c>
      <c r="Y34" t="str">
        <v>NOLA</v>
      </c>
      <c r="Z34">
        <v>9.9393610263871199</v>
      </c>
      <c r="AA34" s="1" t="str">
        <v>Jero Gomez Vara</v>
      </c>
      <c r="AB34" s="1" cm="1">
        <f t="array" ref="AB34">COUNT(_xlfn._xlws.FILTER($J$7:$J$10000,($L$7:$L$10000=AA34)*($M$7:$M$10000&lt;&gt;"NULL")*($J$7:$J$10000 &gt;= ($G$1-5))))/5</f>
        <v>0.4</v>
      </c>
    </row>
    <row r="35" spans="1:28" x14ac:dyDescent="0.35">
      <c r="A35">
        <f>VLOOKUP($B35, PlayerIDs!$A$1:$B$516, 2, FALSE)</f>
        <v>365</v>
      </c>
      <c r="B35" t="s">
        <v>222</v>
      </c>
      <c r="C35" s="1">
        <v>8.8861975947424519</v>
      </c>
      <c r="D35" s="1">
        <f t="shared" si="3"/>
        <v>16</v>
      </c>
      <c r="E35" s="1" cm="1">
        <f t="array" ref="E35">IFERROR(VLOOKUP($B35,_xlfn._xlws.FILTER($L$7:$P$10000,$J$7:$J$10000=G$1+1),5, FALSE), 0)</f>
        <v>8.1294191732098078</v>
      </c>
      <c r="F35" s="1">
        <f t="shared" si="4"/>
        <v>19</v>
      </c>
      <c r="G35" s="1">
        <f t="shared" ca="1" si="5"/>
        <v>33.581439989704876</v>
      </c>
      <c r="H35" s="1">
        <f t="shared" ca="1" si="6"/>
        <v>17</v>
      </c>
      <c r="I35" s="1" cm="1">
        <f t="array" ref="I35">COUNT(_xlfn._xlws.FILTER($J$7:$J$10000,($L$7:$L$10000=B35)*($M$7:$M$10000&lt;&gt;"NULL")*($J$7:$J$10000 &gt;= ($G$1-4))))/5</f>
        <v>1</v>
      </c>
      <c r="J35" s="65">
        <v>1</v>
      </c>
      <c r="K35" t="s">
        <v>36</v>
      </c>
      <c r="L35" t="s">
        <v>224</v>
      </c>
      <c r="M35">
        <v>0.3</v>
      </c>
      <c r="N35" t="s">
        <v>3</v>
      </c>
      <c r="O35" t="s">
        <v>2</v>
      </c>
      <c r="P35">
        <f t="shared" si="1"/>
        <v>3.7758750365261777</v>
      </c>
      <c r="Q35">
        <f t="shared" si="2"/>
        <v>12.081707269545859</v>
      </c>
      <c r="R35" s="67" cm="1">
        <f t="array" ref="R35">SUMPRODUCT((J35=$J$7:$J$1000)*(P35&lt;$P$7:$P$1000))+1</f>
        <v>28</v>
      </c>
      <c r="S35" s="72"/>
      <c r="T35">
        <v>13</v>
      </c>
      <c r="U35" t="str">
        <v>MIA</v>
      </c>
      <c r="V35" t="str">
        <v>Manuel Ardao</v>
      </c>
      <c r="W35" t="str">
        <v>NULL</v>
      </c>
      <c r="X35" t="str">
        <v>Away</v>
      </c>
      <c r="Y35" t="str">
        <v>NOLA</v>
      </c>
      <c r="Z35">
        <v>13.274347308661097</v>
      </c>
      <c r="AA35" s="1" t="str">
        <v>Jimmy Hokafonu</v>
      </c>
      <c r="AB35" s="1" cm="1">
        <f t="array" ref="AB35">COUNT(_xlfn._xlws.FILTER($J$7:$J$10000,($L$7:$L$10000=AA35)*($M$7:$M$10000&lt;&gt;"NULL")*($J$7:$J$10000 &gt;= ($G$1-5))))/5</f>
        <v>1</v>
      </c>
    </row>
    <row r="36" spans="1:28" x14ac:dyDescent="0.35">
      <c r="A36">
        <f>VLOOKUP($B36, PlayerIDs!$A$1:$B$516, 2, FALSE)</f>
        <v>444</v>
      </c>
      <c r="B36" t="s">
        <v>229</v>
      </c>
      <c r="C36" s="1">
        <v>8.8317669786206725</v>
      </c>
      <c r="D36" s="1">
        <f t="shared" si="3"/>
        <v>17</v>
      </c>
      <c r="E36" s="1" cm="1">
        <f t="array" ref="E36">IFERROR(VLOOKUP($B36,_xlfn._xlws.FILTER($L$7:$P$10000,$J$7:$J$10000=G$1+1),5, FALSE), 0)</f>
        <v>9.2519074784026891</v>
      </c>
      <c r="F36" s="1">
        <f t="shared" si="4"/>
        <v>12</v>
      </c>
      <c r="G36" s="1">
        <f t="shared" ca="1" si="5"/>
        <v>34.907907513041657</v>
      </c>
      <c r="H36" s="1">
        <f t="shared" ca="1" si="6"/>
        <v>14</v>
      </c>
      <c r="I36" s="1" cm="1">
        <f t="array" ref="I36">COUNT(_xlfn._xlws.FILTER($J$7:$J$10000,($L$7:$L$10000=B36)*($M$7:$M$10000&lt;&gt;"NULL")*($J$7:$J$10000 &gt;= ($G$1-4))))/5</f>
        <v>0.6</v>
      </c>
      <c r="J36" s="65">
        <v>1</v>
      </c>
      <c r="K36" t="s">
        <v>24</v>
      </c>
      <c r="L36" t="s">
        <v>215</v>
      </c>
      <c r="M36">
        <v>-0.3</v>
      </c>
      <c r="N36" t="s">
        <v>3</v>
      </c>
      <c r="O36" t="s">
        <v>7</v>
      </c>
      <c r="P36">
        <f t="shared" si="1"/>
        <v>11.337062295991911</v>
      </c>
      <c r="Q36">
        <f t="shared" si="2"/>
        <v>135.42121888079654</v>
      </c>
      <c r="R36" s="67" cm="1">
        <f t="array" ref="R36">SUMPRODUCT((J36=$J$7:$J$1000)*(P36&lt;$P$7:$P$1000))+1</f>
        <v>4</v>
      </c>
      <c r="S36" s="72"/>
      <c r="T36">
        <v>13</v>
      </c>
      <c r="U36" t="str">
        <v>MIA</v>
      </c>
      <c r="V36" t="str">
        <v>Marques Fuala'au</v>
      </c>
      <c r="W36" t="str">
        <v>NULL</v>
      </c>
      <c r="X36" t="str">
        <v>Away</v>
      </c>
      <c r="Y36" t="str">
        <v>NOLA</v>
      </c>
      <c r="Z36">
        <v>5.0009318466479753</v>
      </c>
      <c r="AA36" s="1" t="str">
        <v>Joe Johnston</v>
      </c>
      <c r="AB36" s="1" cm="1">
        <f t="array" ref="AB36">COUNT(_xlfn._xlws.FILTER($J$7:$J$10000,($L$7:$L$10000=AA36)*($M$7:$M$10000&lt;&gt;"NULL")*($J$7:$J$10000 &gt;= ($G$1-5))))/5</f>
        <v>0.8</v>
      </c>
    </row>
    <row r="37" spans="1:28" x14ac:dyDescent="0.35">
      <c r="A37">
        <f>VLOOKUP($B37, PlayerIDs!$A$1:$B$516, 2, FALSE)</f>
        <v>33</v>
      </c>
      <c r="B37" t="s">
        <v>199</v>
      </c>
      <c r="C37" s="1">
        <v>8.7735636130908912</v>
      </c>
      <c r="D37" s="1">
        <f t="shared" si="3"/>
        <v>18</v>
      </c>
      <c r="E37" s="1" cm="1">
        <f t="array" ref="E37">IFERROR(VLOOKUP($B37,_xlfn._xlws.FILTER($L$7:$P$10000,$J$7:$J$10000=G$1+1),5, FALSE), 0)</f>
        <v>9.9393610263871199</v>
      </c>
      <c r="F37" s="1">
        <f t="shared" si="4"/>
        <v>9</v>
      </c>
      <c r="G37" s="1">
        <f t="shared" ca="1" si="5"/>
        <v>35.103043331323633</v>
      </c>
      <c r="H37" s="1">
        <f t="shared" ca="1" si="6"/>
        <v>13</v>
      </c>
      <c r="I37" s="1" cm="1">
        <f t="array" ref="I37">COUNT(_xlfn._xlws.FILTER($J$7:$J$10000,($L$7:$L$10000=B37)*($M$7:$M$10000&lt;&gt;"NULL")*($J$7:$J$10000 &gt;= ($G$1-4))))/5</f>
        <v>1</v>
      </c>
      <c r="J37" s="65">
        <v>2</v>
      </c>
      <c r="K37" t="s">
        <v>24</v>
      </c>
      <c r="L37" t="s">
        <v>215</v>
      </c>
      <c r="M37">
        <v>18.2</v>
      </c>
      <c r="N37" t="s">
        <v>3</v>
      </c>
      <c r="O37" t="s">
        <v>4</v>
      </c>
      <c r="P37">
        <f t="shared" si="1"/>
        <v>12.674337182923976</v>
      </c>
      <c r="Q37">
        <f t="shared" si="2"/>
        <v>30.532949568016534</v>
      </c>
      <c r="R37" s="67" cm="1">
        <f t="array" ref="R37">SUMPRODUCT((J37=$J$7:$J$1000)*(P37&lt;$P$7:$P$1000))+1</f>
        <v>2</v>
      </c>
      <c r="S37" s="72"/>
      <c r="T37">
        <v>13</v>
      </c>
      <c r="U37" t="str">
        <v>MIA</v>
      </c>
      <c r="V37" t="str">
        <v>Ronan Foley</v>
      </c>
      <c r="W37" t="str">
        <v>NULL</v>
      </c>
      <c r="X37" t="str">
        <v>Away</v>
      </c>
      <c r="Y37" t="str">
        <v>NOLA</v>
      </c>
      <c r="Z37">
        <v>6.6732386566498958</v>
      </c>
      <c r="AA37" s="1" t="str">
        <v>Johan Momsen</v>
      </c>
      <c r="AB37" s="1" cm="1">
        <f t="array" ref="AB37">COUNT(_xlfn._xlws.FILTER($J$7:$J$10000,($L$7:$L$10000=AA37)*($M$7:$M$10000&lt;&gt;"NULL")*($J$7:$J$10000 &gt;= ($G$1-5))))/5</f>
        <v>0.6</v>
      </c>
    </row>
    <row r="38" spans="1:28" x14ac:dyDescent="0.35">
      <c r="A38">
        <f>VLOOKUP($B38, PlayerIDs!$A$1:$B$516, 2, FALSE)</f>
        <v>812</v>
      </c>
      <c r="B38" t="s">
        <v>539</v>
      </c>
      <c r="C38" s="1">
        <v>8.6663418076197161</v>
      </c>
      <c r="D38" s="1">
        <f t="shared" si="3"/>
        <v>19</v>
      </c>
      <c r="E38" s="1" cm="1">
        <f t="array" ref="E38">IFERROR(VLOOKUP($B38,_xlfn._xlws.FILTER($L$7:$P$10000,$J$7:$J$10000=G$1+1),5, FALSE), 0)</f>
        <v>7.9589632643111399</v>
      </c>
      <c r="F38" s="1">
        <f t="shared" si="4"/>
        <v>21</v>
      </c>
      <c r="G38" s="1">
        <f t="shared" ca="1" si="5"/>
        <v>24.955008957799947</v>
      </c>
      <c r="H38" s="1">
        <f t="shared" ca="1" si="6"/>
        <v>29</v>
      </c>
      <c r="I38" s="1" cm="1">
        <f t="array" ref="I38">COUNT(_xlfn._xlws.FILTER($J$7:$J$10000,($L$7:$L$10000=B38)*($M$7:$M$10000&lt;&gt;"NULL")*($J$7:$J$10000 &gt;= ($G$1-4))))/5</f>
        <v>0.8</v>
      </c>
      <c r="J38" s="65">
        <v>2</v>
      </c>
      <c r="K38" t="s">
        <v>4</v>
      </c>
      <c r="L38" t="s">
        <v>209</v>
      </c>
      <c r="M38">
        <v>18.100000000000001</v>
      </c>
      <c r="N38" t="s">
        <v>9</v>
      </c>
      <c r="O38" t="s">
        <v>24</v>
      </c>
      <c r="P38">
        <f t="shared" si="1"/>
        <v>13.153913175426947</v>
      </c>
      <c r="Q38">
        <f t="shared" si="2"/>
        <v>24.463774876215162</v>
      </c>
      <c r="R38" s="67" cm="1">
        <f t="array" ref="R38">SUMPRODUCT((J38=$J$7:$J$1000)*(P38&lt;$P$7:$P$1000))+1</f>
        <v>1</v>
      </c>
      <c r="S38" s="72"/>
      <c r="T38">
        <v>13</v>
      </c>
      <c r="U38" t="str">
        <v>MIA</v>
      </c>
      <c r="V38" t="str">
        <v>Tomas Bekerman</v>
      </c>
      <c r="W38" t="str">
        <v>NULL</v>
      </c>
      <c r="X38" t="str">
        <v>Away</v>
      </c>
      <c r="Y38" t="str">
        <v>NOLA</v>
      </c>
      <c r="Z38">
        <v>3.1998461343114322</v>
      </c>
      <c r="AA38" s="1" t="str">
        <v>Jonah Mau'u</v>
      </c>
      <c r="AB38" s="1" cm="1">
        <f t="array" ref="AB38">COUNT(_xlfn._xlws.FILTER($J$7:$J$10000,($L$7:$L$10000=AA38)*($M$7:$M$10000&lt;&gt;"NULL")*($J$7:$J$10000 &gt;= ($G$1-5))))/5</f>
        <v>0.8</v>
      </c>
    </row>
    <row r="39" spans="1:28" x14ac:dyDescent="0.35">
      <c r="A39">
        <f>VLOOKUP($B39, PlayerIDs!$A$1:$B$516, 2, FALSE)</f>
        <v>269</v>
      </c>
      <c r="B39" t="s">
        <v>212</v>
      </c>
      <c r="C39" s="1">
        <v>8.4574067879161721</v>
      </c>
      <c r="D39" s="1">
        <f t="shared" si="3"/>
        <v>20</v>
      </c>
      <c r="E39" s="1" cm="1">
        <f t="array" ref="E39">IFERROR(VLOOKUP($B39,_xlfn._xlws.FILTER($L$7:$P$10000,$J$7:$J$10000=G$1+1),5, FALSE), 0)</f>
        <v>7.0948290734571327</v>
      </c>
      <c r="F39" s="1">
        <f t="shared" si="4"/>
        <v>24</v>
      </c>
      <c r="G39" s="1">
        <f t="shared" ca="1" si="5"/>
        <v>33.949544954312096</v>
      </c>
      <c r="H39" s="1">
        <f t="shared" ca="1" si="6"/>
        <v>16</v>
      </c>
      <c r="I39" s="1" cm="1">
        <f t="array" ref="I39">COUNT(_xlfn._xlws.FILTER($J$7:$J$10000,($L$7:$L$10000=B39)*($M$7:$M$10000&lt;&gt;"NULL")*($J$7:$J$10000 &gt;= ($G$1-4))))/5</f>
        <v>0.8</v>
      </c>
      <c r="J39" s="65">
        <v>2</v>
      </c>
      <c r="K39" t="s">
        <v>36</v>
      </c>
      <c r="L39" t="s">
        <v>225</v>
      </c>
      <c r="M39">
        <v>17.2</v>
      </c>
      <c r="N39" t="s">
        <v>9</v>
      </c>
      <c r="O39" t="s">
        <v>6</v>
      </c>
      <c r="P39">
        <f t="shared" si="1"/>
        <v>12.017759867219047</v>
      </c>
      <c r="Q39">
        <f t="shared" si="2"/>
        <v>26.855612793805545</v>
      </c>
      <c r="R39" s="67" cm="1">
        <f t="array" ref="R39">SUMPRODUCT((J39=$J$7:$J$1000)*(P39&lt;$P$7:$P$1000))+1</f>
        <v>4</v>
      </c>
      <c r="S39" s="72"/>
      <c r="T39">
        <v>13</v>
      </c>
      <c r="U39" t="str">
        <v>MIA</v>
      </c>
      <c r="V39" t="str">
        <v>Tomás Casares</v>
      </c>
      <c r="W39" t="str">
        <v>NULL</v>
      </c>
      <c r="X39" t="str">
        <v>Away</v>
      </c>
      <c r="Y39" t="str">
        <v>NOLA</v>
      </c>
      <c r="Z39">
        <v>5.0996587710658625</v>
      </c>
      <c r="AA39" s="1" t="str">
        <v>Kalisi Moli</v>
      </c>
      <c r="AB39" s="1" cm="1">
        <f t="array" ref="AB39">COUNT(_xlfn._xlws.FILTER($J$7:$J$10000,($L$7:$L$10000=AA39)*($M$7:$M$10000&lt;&gt;"NULL")*($J$7:$J$10000 &gt;= ($G$1-5))))/5</f>
        <v>0.8</v>
      </c>
    </row>
    <row r="40" spans="1:28" x14ac:dyDescent="0.35">
      <c r="A40">
        <f>VLOOKUP($B40, PlayerIDs!$A$1:$B$516, 2, FALSE)</f>
        <v>681</v>
      </c>
      <c r="B40" t="s">
        <v>103</v>
      </c>
      <c r="C40" s="1">
        <v>8.419847095481698</v>
      </c>
      <c r="D40" s="1">
        <f t="shared" si="3"/>
        <v>21</v>
      </c>
      <c r="E40" s="1" cm="1">
        <f t="array" ref="E40">IFERROR(VLOOKUP($B40,_xlfn._xlws.FILTER($L$7:$P$10000,$J$7:$J$10000=G$1+1),5, FALSE), 0)</f>
        <v>8.4594022112030576</v>
      </c>
      <c r="F40" s="1">
        <f t="shared" si="4"/>
        <v>16</v>
      </c>
      <c r="G40" s="1">
        <f t="shared" ca="1" si="5"/>
        <v>35.751885707095589</v>
      </c>
      <c r="H40" s="1">
        <f t="shared" ca="1" si="6"/>
        <v>12</v>
      </c>
      <c r="I40" s="1" cm="1">
        <f t="array" ref="I40">COUNT(_xlfn._xlws.FILTER($J$7:$J$10000,($L$7:$L$10000=B40)*($M$7:$M$10000&lt;&gt;"NULL")*($J$7:$J$10000 &gt;= ($G$1-4))))/5</f>
        <v>0</v>
      </c>
      <c r="J40" s="65">
        <v>2</v>
      </c>
      <c r="K40" t="s">
        <v>2</v>
      </c>
      <c r="L40" t="s">
        <v>212</v>
      </c>
      <c r="M40">
        <v>12.7</v>
      </c>
      <c r="N40" t="s">
        <v>3</v>
      </c>
      <c r="O40" t="s">
        <v>13</v>
      </c>
      <c r="P40">
        <f t="shared" si="1"/>
        <v>7.1006182406464067</v>
      </c>
      <c r="Q40">
        <f t="shared" si="2"/>
        <v>31.353076086981734</v>
      </c>
      <c r="R40" s="67" cm="1">
        <f t="array" ref="R40">SUMPRODUCT((J40=$J$7:$J$1000)*(P40&lt;$P$7:$P$1000))+1</f>
        <v>15</v>
      </c>
      <c r="S40" s="72"/>
      <c r="T40">
        <v>13</v>
      </c>
      <c r="U40" t="str">
        <v>NEFJ</v>
      </c>
      <c r="V40" t="str">
        <v>Jed Melvin</v>
      </c>
      <c r="W40" t="str">
        <v>NULL</v>
      </c>
      <c r="X40" t="str">
        <v>Home</v>
      </c>
      <c r="Y40" t="str">
        <v>CHI</v>
      </c>
      <c r="Z40">
        <v>12.357281412721761</v>
      </c>
      <c r="AA40" s="1" t="str">
        <v>Kellen Galletier</v>
      </c>
      <c r="AB40" s="1" cm="1">
        <f t="array" ref="AB40">COUNT(_xlfn._xlws.FILTER($J$7:$J$10000,($L$7:$L$10000=AA40)*($M$7:$M$10000&lt;&gt;"NULL")*($J$7:$J$10000 &gt;= ($G$1-5))))/5</f>
        <v>0</v>
      </c>
    </row>
    <row r="41" spans="1:28" x14ac:dyDescent="0.35">
      <c r="A41">
        <f>VLOOKUP($B41, PlayerIDs!$A$1:$B$516, 2, FALSE)</f>
        <v>703</v>
      </c>
      <c r="B41" t="s">
        <v>396</v>
      </c>
      <c r="C41" s="1">
        <v>8.2501509045213357</v>
      </c>
      <c r="D41" s="1">
        <f t="shared" si="3"/>
        <v>22</v>
      </c>
      <c r="E41" s="1" cm="1">
        <f t="array" ref="E41">IFERROR(VLOOKUP($B41,_xlfn._xlws.FILTER($L$7:$P$10000,$J$7:$J$10000=G$1+1),5, FALSE), 0)</f>
        <v>8.4967311654698694</v>
      </c>
      <c r="F41" s="1">
        <f t="shared" si="4"/>
        <v>15</v>
      </c>
      <c r="G41" s="1">
        <f t="shared" ca="1" si="5"/>
        <v>32.139058357910287</v>
      </c>
      <c r="H41" s="1">
        <f t="shared" ca="1" si="6"/>
        <v>18</v>
      </c>
      <c r="I41" s="1" cm="1">
        <f t="array" ref="I41">COUNT(_xlfn._xlws.FILTER($J$7:$J$10000,($L$7:$L$10000=B41)*($M$7:$M$10000&lt;&gt;"NULL")*($J$7:$J$10000 &gt;= ($G$1-4))))/5</f>
        <v>0.8</v>
      </c>
      <c r="J41" s="65">
        <v>2</v>
      </c>
      <c r="K41" t="s">
        <v>34</v>
      </c>
      <c r="L41" t="s">
        <v>200</v>
      </c>
      <c r="M41">
        <v>11.7</v>
      </c>
      <c r="N41" t="s">
        <v>9</v>
      </c>
      <c r="O41" t="s">
        <v>14</v>
      </c>
      <c r="P41">
        <f t="shared" si="1"/>
        <v>12.641015595043553</v>
      </c>
      <c r="Q41">
        <f t="shared" si="2"/>
        <v>0.88551035011517432</v>
      </c>
      <c r="R41" s="67" cm="1">
        <f t="array" ref="R41">SUMPRODUCT((J41=$J$7:$J$1000)*(P41&lt;$P$7:$P$1000))+1</f>
        <v>3</v>
      </c>
      <c r="S41" s="72"/>
      <c r="T41">
        <v>13</v>
      </c>
      <c r="U41" t="str">
        <v>NEFJ</v>
      </c>
      <c r="V41" t="str">
        <v>Jero Gomez Vara</v>
      </c>
      <c r="W41" t="str">
        <v>NULL</v>
      </c>
      <c r="X41" t="str">
        <v>Home</v>
      </c>
      <c r="Y41" t="str">
        <v>CHI</v>
      </c>
      <c r="Z41">
        <v>7.696214579221567</v>
      </c>
      <c r="AA41" s="1" t="str">
        <v>Keni Nasoqeqe</v>
      </c>
      <c r="AB41" s="1" cm="1">
        <f t="array" ref="AB41">COUNT(_xlfn._xlws.FILTER($J$7:$J$10000,($L$7:$L$10000=AA41)*($M$7:$M$10000&lt;&gt;"NULL")*($J$7:$J$10000 &gt;= ($G$1-5))))/5</f>
        <v>0</v>
      </c>
    </row>
    <row r="42" spans="1:28" x14ac:dyDescent="0.35">
      <c r="A42">
        <f>VLOOKUP($B42, PlayerIDs!$A$1:$B$516, 2, FALSE)</f>
        <v>90</v>
      </c>
      <c r="B42" t="s">
        <v>202</v>
      </c>
      <c r="C42" s="1">
        <v>7.9628431913540831</v>
      </c>
      <c r="D42" s="1">
        <f t="shared" si="3"/>
        <v>23</v>
      </c>
      <c r="E42" s="1" cm="1">
        <f t="array" ref="E42">IFERROR(VLOOKUP($B42,_xlfn._xlws.FILTER($L$7:$P$10000,$J$7:$J$10000=G$1+1),5, FALSE), 0)</f>
        <v>0</v>
      </c>
      <c r="F42" s="1">
        <f t="shared" si="4"/>
        <v>66</v>
      </c>
      <c r="G42" s="1">
        <f t="shared" ca="1" si="5"/>
        <v>23.44266008915055</v>
      </c>
      <c r="H42" s="1">
        <f t="shared" ca="1" si="6"/>
        <v>34</v>
      </c>
      <c r="I42" s="1" cm="1">
        <f t="array" ref="I42">COUNT(_xlfn._xlws.FILTER($J$7:$J$10000,($L$7:$L$10000=B42)*($M$7:$M$10000&lt;&gt;"NULL")*($J$7:$J$10000 &gt;= ($G$1-4))))/5</f>
        <v>0.8</v>
      </c>
      <c r="J42" s="65">
        <v>2</v>
      </c>
      <c r="K42" t="s">
        <v>6</v>
      </c>
      <c r="L42" t="s">
        <v>433</v>
      </c>
      <c r="M42">
        <v>10.4</v>
      </c>
      <c r="N42" t="s">
        <v>3</v>
      </c>
      <c r="O42" t="s">
        <v>36</v>
      </c>
      <c r="P42">
        <f t="shared" si="1"/>
        <v>10.433766051810888</v>
      </c>
      <c r="Q42">
        <f t="shared" si="2"/>
        <v>1.140146254895572E-3</v>
      </c>
      <c r="R42" s="67" cm="1">
        <f t="array" ref="R42">SUMPRODUCT((J42=$J$7:$J$1000)*(P42&lt;$P$7:$P$1000))+1</f>
        <v>6</v>
      </c>
      <c r="S42" s="72"/>
      <c r="T42">
        <v>13</v>
      </c>
      <c r="U42" t="str">
        <v>NEFJ</v>
      </c>
      <c r="V42" t="str">
        <v>Joe Johnston</v>
      </c>
      <c r="W42" t="str">
        <v>NULL</v>
      </c>
      <c r="X42" t="str">
        <v>Home</v>
      </c>
      <c r="Y42" t="str">
        <v>CHI</v>
      </c>
      <c r="Z42">
        <v>9.9068791188244987</v>
      </c>
      <c r="AA42" s="1" t="str">
        <v>Lance Williams</v>
      </c>
      <c r="AB42" s="1" cm="1">
        <f t="array" ref="AB42">COUNT(_xlfn._xlws.FILTER($J$7:$J$10000,($L$7:$L$10000=AA42)*($M$7:$M$10000&lt;&gt;"NULL")*($J$7:$J$10000 &gt;= ($G$1-5))))/5</f>
        <v>0.4</v>
      </c>
    </row>
    <row r="43" spans="1:28" x14ac:dyDescent="0.35">
      <c r="A43">
        <f>VLOOKUP($B43, PlayerIDs!$A$1:$B$516, 2, FALSE)</f>
        <v>110</v>
      </c>
      <c r="B43" t="s">
        <v>485</v>
      </c>
      <c r="C43" s="1">
        <v>7.7584254769637155</v>
      </c>
      <c r="D43" s="1">
        <f t="shared" si="3"/>
        <v>24</v>
      </c>
      <c r="E43" s="1" cm="1">
        <f t="array" ref="E43">IFERROR(VLOOKUP($B43,_xlfn._xlws.FILTER($L$7:$P$10000,$J$7:$J$10000=G$1+1),5, FALSE), 0)</f>
        <v>7.0016470554310715</v>
      </c>
      <c r="F43" s="1">
        <f t="shared" si="4"/>
        <v>25</v>
      </c>
      <c r="G43" s="1">
        <f t="shared" ca="1" si="5"/>
        <v>29.070351518589927</v>
      </c>
      <c r="H43" s="1">
        <f t="shared" ca="1" si="6"/>
        <v>21</v>
      </c>
      <c r="I43" s="1" cm="1">
        <f t="array" ref="I43">COUNT(_xlfn._xlws.FILTER($J$7:$J$10000,($L$7:$L$10000=B43)*($M$7:$M$10000&lt;&gt;"NULL")*($J$7:$J$10000 &gt;= ($G$1-4))))/5</f>
        <v>0.2</v>
      </c>
      <c r="J43" s="65">
        <v>2</v>
      </c>
      <c r="K43" t="s">
        <v>24</v>
      </c>
      <c r="L43" t="s">
        <v>199</v>
      </c>
      <c r="M43">
        <v>10.1</v>
      </c>
      <c r="N43" t="s">
        <v>3</v>
      </c>
      <c r="O43" t="s">
        <v>4</v>
      </c>
      <c r="P43">
        <f t="shared" si="1"/>
        <v>9.3393509006499986</v>
      </c>
      <c r="Q43">
        <f t="shared" si="2"/>
        <v>0.57858705234196772</v>
      </c>
      <c r="R43" s="67" cm="1">
        <f t="array" ref="R43">SUMPRODUCT((J43=$J$7:$J$1000)*(P43&lt;$P$7:$P$1000))+1</f>
        <v>10</v>
      </c>
      <c r="S43" s="72"/>
      <c r="T43">
        <v>13</v>
      </c>
      <c r="U43" t="str">
        <v>NEFJ</v>
      </c>
      <c r="V43" t="str">
        <v>Wian Conradie</v>
      </c>
      <c r="W43" t="str">
        <v>NULL</v>
      </c>
      <c r="X43" t="str">
        <v>Home</v>
      </c>
      <c r="Y43" t="str">
        <v>CHI</v>
      </c>
      <c r="Z43">
        <v>9.2519074784026891</v>
      </c>
      <c r="AA43" s="1" t="str">
        <v>Lautaro Bavaro</v>
      </c>
      <c r="AB43" s="1" cm="1">
        <f t="array" ref="AB43">COUNT(_xlfn._xlws.FILTER($J$7:$J$10000,($L$7:$L$10000=AA43)*($M$7:$M$10000&lt;&gt;"NULL")*($J$7:$J$10000 &gt;= ($G$1-5))))/5</f>
        <v>1.2</v>
      </c>
    </row>
    <row r="44" spans="1:28" x14ac:dyDescent="0.35">
      <c r="A44">
        <f>VLOOKUP($B44, PlayerIDs!$A$1:$B$516, 2, FALSE)</f>
        <v>190</v>
      </c>
      <c r="B44" t="s">
        <v>207</v>
      </c>
      <c r="C44" s="1">
        <v>7.5543257402164494</v>
      </c>
      <c r="D44" s="1">
        <f t="shared" si="3"/>
        <v>25</v>
      </c>
      <c r="E44" s="1" cm="1">
        <f t="array" ref="E44">IFERROR(VLOOKUP($B44,_xlfn._xlws.FILTER($L$7:$P$10000,$J$7:$J$10000=G$1+1),5, FALSE), 0)</f>
        <v>0</v>
      </c>
      <c r="F44" s="1">
        <f t="shared" si="4"/>
        <v>66</v>
      </c>
      <c r="G44" s="1">
        <f t="shared" ca="1" si="5"/>
        <v>22.217107735737649</v>
      </c>
      <c r="H44" s="1">
        <f t="shared" ca="1" si="6"/>
        <v>37</v>
      </c>
      <c r="I44" s="1" cm="1">
        <f t="array" ref="I44">COUNT(_xlfn._xlws.FILTER($J$7:$J$10000,($L$7:$L$10000=B44)*($M$7:$M$10000&lt;&gt;"NULL")*($J$7:$J$10000 &gt;= ($G$1-4))))/5</f>
        <v>0.4</v>
      </c>
      <c r="J44" s="65">
        <v>2</v>
      </c>
      <c r="K44" t="s">
        <v>14</v>
      </c>
      <c r="L44" t="s">
        <v>203</v>
      </c>
      <c r="M44">
        <v>10</v>
      </c>
      <c r="N44" t="s">
        <v>3</v>
      </c>
      <c r="O44" t="s">
        <v>34</v>
      </c>
      <c r="P44">
        <f t="shared" si="1"/>
        <v>4.3614043704165848</v>
      </c>
      <c r="Q44">
        <f t="shared" si="2"/>
        <v>31.793760673957191</v>
      </c>
      <c r="R44" s="67" cm="1">
        <f t="array" ref="R44">SUMPRODUCT((J44=$J$7:$J$1000)*(P44&lt;$P$7:$P$1000))+1</f>
        <v>21</v>
      </c>
      <c r="S44" s="72"/>
      <c r="T44">
        <v>13</v>
      </c>
      <c r="U44" t="str">
        <v>NOLA</v>
      </c>
      <c r="V44" t="str">
        <v>Aidan King</v>
      </c>
      <c r="W44" t="str">
        <v>NULL</v>
      </c>
      <c r="X44" t="str">
        <v>Home</v>
      </c>
      <c r="Y44" t="str">
        <v>MIA</v>
      </c>
      <c r="Z44">
        <v>7.9589632643111399</v>
      </c>
      <c r="AA44" s="1" t="str">
        <v>Logan Weidner</v>
      </c>
      <c r="AB44" s="1" cm="1">
        <f t="array" ref="AB44">COUNT(_xlfn._xlws.FILTER($J$7:$J$10000,($L$7:$L$10000=AA44)*($M$7:$M$10000&lt;&gt;"NULL")*($J$7:$J$10000 &gt;= ($G$1-5))))/5</f>
        <v>0.2</v>
      </c>
    </row>
    <row r="45" spans="1:28" x14ac:dyDescent="0.35">
      <c r="A45">
        <f>VLOOKUP($B45, PlayerIDs!$A$1:$B$516, 2, FALSE)</f>
        <v>207</v>
      </c>
      <c r="B45" t="s">
        <v>431</v>
      </c>
      <c r="C45" s="1">
        <v>7.2760740794395522</v>
      </c>
      <c r="D45" s="1">
        <f t="shared" si="3"/>
        <v>26</v>
      </c>
      <c r="E45" s="1" cm="1">
        <f t="array" ref="E45">IFERROR(VLOOKUP($B45,_xlfn._xlws.FILTER($L$7:$P$10000,$J$7:$J$10000=G$1+1),5, FALSE), 0)</f>
        <v>7.696214579221567</v>
      </c>
      <c r="F45" s="1">
        <f t="shared" si="4"/>
        <v>22</v>
      </c>
      <c r="G45" s="1">
        <f t="shared" ca="1" si="5"/>
        <v>28.685135916317172</v>
      </c>
      <c r="H45" s="1">
        <f t="shared" ca="1" si="6"/>
        <v>23</v>
      </c>
      <c r="I45" s="1" cm="1">
        <f t="array" ref="I45">COUNT(_xlfn._xlws.FILTER($J$7:$J$10000,($L$7:$L$10000=B45)*($M$7:$M$10000&lt;&gt;"NULL")*($J$7:$J$10000 &gt;= ($G$1-4))))/5</f>
        <v>0.2</v>
      </c>
      <c r="J45" s="65">
        <v>2</v>
      </c>
      <c r="K45" t="s">
        <v>6</v>
      </c>
      <c r="L45" t="s">
        <v>430</v>
      </c>
      <c r="M45">
        <v>9.4</v>
      </c>
      <c r="N45" t="s">
        <v>3</v>
      </c>
      <c r="O45" t="s">
        <v>36</v>
      </c>
      <c r="P45">
        <f t="shared" si="1"/>
        <v>3.767596218365044</v>
      </c>
      <c r="Q45">
        <f t="shared" si="2"/>
        <v>31.723972359375754</v>
      </c>
      <c r="R45" s="67" cm="1">
        <f t="array" ref="R45">SUMPRODUCT((J45=$J$7:$J$1000)*(P45&lt;$P$7:$P$1000))+1</f>
        <v>24</v>
      </c>
      <c r="S45" s="72"/>
      <c r="T45">
        <v>13</v>
      </c>
      <c r="U45" t="str">
        <v>NOLA</v>
      </c>
      <c r="V45" t="str">
        <v>Cian Darling</v>
      </c>
      <c r="W45" t="str">
        <v>NULL</v>
      </c>
      <c r="X45" t="str">
        <v>Home</v>
      </c>
      <c r="Y45" t="str">
        <v>MIA</v>
      </c>
      <c r="Z45">
        <v>5.5394033439035377</v>
      </c>
      <c r="AA45" s="1" t="str">
        <v>Lucas Rumball</v>
      </c>
      <c r="AB45" s="1" cm="1">
        <f t="array" ref="AB45">COUNT(_xlfn._xlws.FILTER($J$7:$J$10000,($L$7:$L$10000=AA45)*($M$7:$M$10000&lt;&gt;"NULL")*($J$7:$J$10000 &gt;= ($G$1-5))))/5</f>
        <v>1</v>
      </c>
    </row>
    <row r="46" spans="1:28" x14ac:dyDescent="0.35">
      <c r="A46">
        <f>VLOOKUP($B46, PlayerIDs!$A$1:$B$516, 2, FALSE)</f>
        <v>58</v>
      </c>
      <c r="B46" t="s">
        <v>631</v>
      </c>
      <c r="C46" s="1">
        <v>7.2172480241773762</v>
      </c>
      <c r="D46" s="1">
        <f t="shared" si="3"/>
        <v>27</v>
      </c>
      <c r="E46" s="1" cm="1">
        <f t="array" ref="E46">IFERROR(VLOOKUP($B46,_xlfn._xlws.FILTER($L$7:$P$10000,$J$7:$J$10000=G$1+1),5, FALSE), 0)</f>
        <v>6.4604696026447321</v>
      </c>
      <c r="F46" s="1">
        <f t="shared" si="4"/>
        <v>32</v>
      </c>
      <c r="G46" s="1">
        <f t="shared" ca="1" si="5"/>
        <v>26.90564170744457</v>
      </c>
      <c r="H46" s="1">
        <f t="shared" ca="1" si="6"/>
        <v>26</v>
      </c>
      <c r="I46" s="1" cm="1">
        <f t="array" ref="I46">COUNT(_xlfn._xlws.FILTER($J$7:$J$10000,($L$7:$L$10000=B46)*($M$7:$M$10000&lt;&gt;"NULL")*($J$7:$J$10000 &gt;= ($G$1-4))))/5</f>
        <v>1</v>
      </c>
      <c r="J46" s="65">
        <v>2</v>
      </c>
      <c r="K46" t="s">
        <v>13</v>
      </c>
      <c r="L46" t="s">
        <v>204</v>
      </c>
      <c r="M46">
        <v>9.3000000000000007</v>
      </c>
      <c r="N46" t="s">
        <v>9</v>
      </c>
      <c r="O46" t="s">
        <v>2</v>
      </c>
      <c r="P46">
        <f t="shared" si="1"/>
        <v>10.143841288114244</v>
      </c>
      <c r="Q46">
        <f t="shared" si="2"/>
        <v>0.71206811952630478</v>
      </c>
      <c r="R46" s="67" cm="1">
        <f t="array" ref="R46">SUMPRODUCT((J46=$J$7:$J$1000)*(P46&lt;$P$7:$P$1000))+1</f>
        <v>8</v>
      </c>
      <c r="S46" s="72"/>
      <c r="T46">
        <v>13</v>
      </c>
      <c r="U46" t="str">
        <v>NOLA</v>
      </c>
      <c r="V46" t="str">
        <v>Jonah Mau'u</v>
      </c>
      <c r="W46" t="str">
        <v>NULL</v>
      </c>
      <c r="X46" t="str">
        <v>Home</v>
      </c>
      <c r="Y46" t="str">
        <v>MIA</v>
      </c>
      <c r="Z46">
        <v>12.553903049689826</v>
      </c>
      <c r="AA46" s="1" t="str">
        <v>Luke White</v>
      </c>
      <c r="AB46" s="1" cm="1">
        <f t="array" ref="AB46">COUNT(_xlfn._xlws.FILTER($J$7:$J$10000,($L$7:$L$10000=AA46)*($M$7:$M$10000&lt;&gt;"NULL")*($J$7:$J$10000 &gt;= ($G$1-5))))/5</f>
        <v>0.2</v>
      </c>
    </row>
    <row r="47" spans="1:28" x14ac:dyDescent="0.35">
      <c r="A47">
        <f>VLOOKUP($B47, PlayerIDs!$A$1:$B$516, 2, FALSE)</f>
        <v>129</v>
      </c>
      <c r="B47" t="s">
        <v>205</v>
      </c>
      <c r="C47" s="1">
        <v>7.088795407026832</v>
      </c>
      <c r="D47" s="1">
        <f t="shared" si="3"/>
        <v>28</v>
      </c>
      <c r="E47" s="1" cm="1">
        <f t="array" ref="E47">IFERROR(VLOOKUP($B47,_xlfn._xlws.FILTER($L$7:$P$10000,$J$7:$J$10000=G$1+1),5, FALSE), 0)</f>
        <v>8.2478045776754207</v>
      </c>
      <c r="F47" s="1">
        <f t="shared" si="4"/>
        <v>18</v>
      </c>
      <c r="G47" s="1">
        <f t="shared" ca="1" si="5"/>
        <v>21.708172085917802</v>
      </c>
      <c r="H47" s="1">
        <f t="shared" ca="1" si="6"/>
        <v>39</v>
      </c>
      <c r="I47" s="1" cm="1">
        <f t="array" ref="I47">COUNT(_xlfn._xlws.FILTER($J$7:$J$10000,($L$7:$L$10000=B47)*($M$7:$M$10000&lt;&gt;"NULL")*($J$7:$J$10000 &gt;= ($G$1-4))))/5</f>
        <v>0.8</v>
      </c>
      <c r="J47" s="65">
        <v>2</v>
      </c>
      <c r="K47" t="s">
        <v>34</v>
      </c>
      <c r="L47" t="s">
        <v>174</v>
      </c>
      <c r="M47">
        <v>8.9</v>
      </c>
      <c r="N47" t="s">
        <v>9</v>
      </c>
      <c r="O47" t="s">
        <v>14</v>
      </c>
      <c r="P47">
        <f t="shared" si="1"/>
        <v>10.635423072080455</v>
      </c>
      <c r="Q47">
        <f t="shared" si="2"/>
        <v>3.011693239109162</v>
      </c>
      <c r="R47" s="67" cm="1">
        <f t="array" ref="R47">SUMPRODUCT((J47=$J$7:$J$1000)*(P47&lt;$P$7:$P$1000))+1</f>
        <v>5</v>
      </c>
      <c r="S47" s="72"/>
      <c r="T47">
        <v>13</v>
      </c>
      <c r="U47" t="str">
        <v>NOLA</v>
      </c>
      <c r="V47" t="str">
        <v>Kellen Galletier</v>
      </c>
      <c r="W47" t="str">
        <v>NULL</v>
      </c>
      <c r="X47" t="str">
        <v>Home</v>
      </c>
      <c r="Y47" t="str">
        <v>MIA</v>
      </c>
      <c r="Z47">
        <v>3.7321232241748543</v>
      </c>
      <c r="AA47" s="1" t="str">
        <v>Maclean Jones</v>
      </c>
      <c r="AB47" s="1" cm="1">
        <f t="array" ref="AB47">COUNT(_xlfn._xlws.FILTER($J$7:$J$10000,($L$7:$L$10000=AA47)*($M$7:$M$10000&lt;&gt;"NULL")*($J$7:$J$10000 &gt;= ($G$1-5))))/5</f>
        <v>1</v>
      </c>
    </row>
    <row r="48" spans="1:28" x14ac:dyDescent="0.35">
      <c r="A48">
        <f>VLOOKUP($B48, PlayerIDs!$A$1:$B$516, 2, FALSE)</f>
        <v>731</v>
      </c>
      <c r="B48" t="s">
        <v>436</v>
      </c>
      <c r="C48" s="1">
        <v>6.9466659972023832</v>
      </c>
      <c r="D48" s="1">
        <f t="shared" si="3"/>
        <v>29</v>
      </c>
      <c r="E48" s="1" cm="1">
        <f t="array" ref="E48">IFERROR(VLOOKUP($B48,_xlfn._xlws.FILTER($L$7:$P$10000,$J$7:$J$10000=G$1+1),5, FALSE), 0)</f>
        <v>6.5436726990176659</v>
      </c>
      <c r="F48" s="1">
        <f t="shared" si="4"/>
        <v>30</v>
      </c>
      <c r="G48" s="1">
        <f t="shared" ca="1" si="5"/>
        <v>20.969201517309461</v>
      </c>
      <c r="H48" s="1">
        <f t="shared" ca="1" si="6"/>
        <v>42</v>
      </c>
      <c r="I48" s="1" cm="1">
        <f t="array" ref="I48">COUNT(_xlfn._xlws.FILTER($J$7:$J$10000,($L$7:$L$10000=B48)*($M$7:$M$10000&lt;&gt;"NULL")*($J$7:$J$10000 &gt;= ($G$1-4))))/5</f>
        <v>0.8</v>
      </c>
      <c r="J48" s="65">
        <v>2</v>
      </c>
      <c r="K48" t="s">
        <v>6</v>
      </c>
      <c r="L48" t="s">
        <v>432</v>
      </c>
      <c r="M48">
        <v>7.2</v>
      </c>
      <c r="N48" t="s">
        <v>3</v>
      </c>
      <c r="O48" t="s">
        <v>36</v>
      </c>
      <c r="P48">
        <f t="shared" si="1"/>
        <v>10.43038862337689</v>
      </c>
      <c r="Q48">
        <f t="shared" si="2"/>
        <v>10.435410658042839</v>
      </c>
      <c r="R48" s="67" cm="1">
        <f t="array" ref="R48">SUMPRODUCT((J48=$J$7:$J$1000)*(P48&lt;$P$7:$P$1000))+1</f>
        <v>7</v>
      </c>
      <c r="S48" s="72"/>
      <c r="T48">
        <v>13</v>
      </c>
      <c r="U48" t="str">
        <v>NOLA</v>
      </c>
      <c r="V48" t="str">
        <v>Malcolm May</v>
      </c>
      <c r="W48" t="str">
        <v>NULL</v>
      </c>
      <c r="X48" t="str">
        <v>Home</v>
      </c>
      <c r="Y48" t="str">
        <v>MIA</v>
      </c>
      <c r="Z48">
        <v>4.2446722257183733</v>
      </c>
      <c r="AA48" s="1" t="str">
        <v>Makeen Alikhan</v>
      </c>
      <c r="AB48" s="1" cm="1">
        <f t="array" ref="AB48">COUNT(_xlfn._xlws.FILTER($J$7:$J$10000,($L$7:$L$10000=AA48)*($M$7:$M$10000&lt;&gt;"NULL")*($J$7:$J$10000 &gt;= ($G$1-5))))/5</f>
        <v>1</v>
      </c>
    </row>
    <row r="49" spans="1:28" x14ac:dyDescent="0.35">
      <c r="A49">
        <f>VLOOKUP($B49, PlayerIDs!$A$1:$B$516, 2, FALSE)</f>
        <v>524</v>
      </c>
      <c r="B49" t="s">
        <v>584</v>
      </c>
      <c r="C49" s="1">
        <v>6.9048574116968888</v>
      </c>
      <c r="D49" s="1">
        <f t="shared" si="3"/>
        <v>30</v>
      </c>
      <c r="E49" s="1" cm="1">
        <f t="array" ref="E49">IFERROR(VLOOKUP($B49,_xlfn._xlws.FILTER($L$7:$P$10000,$J$7:$J$10000=G$1+1),5, FALSE), 0)</f>
        <v>0</v>
      </c>
      <c r="F49" s="1">
        <f t="shared" si="4"/>
        <v>66</v>
      </c>
      <c r="G49" s="1">
        <f t="shared" ca="1" si="5"/>
        <v>20.268702750178967</v>
      </c>
      <c r="H49" s="1">
        <f t="shared" ca="1" si="6"/>
        <v>43</v>
      </c>
      <c r="I49" s="1" cm="1">
        <f t="array" ref="I49">COUNT(_xlfn._xlws.FILTER($J$7:$J$10000,($L$7:$L$10000=B49)*($M$7:$M$10000&lt;&gt;"NULL")*($J$7:$J$10000 &gt;= ($G$1-4))))/5</f>
        <v>0.2</v>
      </c>
      <c r="J49" s="65">
        <v>2</v>
      </c>
      <c r="K49" t="s">
        <v>14</v>
      </c>
      <c r="L49" t="s">
        <v>107</v>
      </c>
      <c r="M49">
        <v>7.1</v>
      </c>
      <c r="N49" t="s">
        <v>3</v>
      </c>
      <c r="O49" t="s">
        <v>34</v>
      </c>
      <c r="P49">
        <f t="shared" si="1"/>
        <v>6.1932431211461347</v>
      </c>
      <c r="Q49">
        <f t="shared" si="2"/>
        <v>0.82220803734880266</v>
      </c>
      <c r="R49" s="67" cm="1">
        <f t="array" ref="R49">SUMPRODUCT((J49=$J$7:$J$1000)*(P49&lt;$P$7:$P$1000))+1</f>
        <v>17</v>
      </c>
      <c r="S49" s="72"/>
      <c r="T49">
        <v>13</v>
      </c>
      <c r="U49" t="str">
        <v>NOLA</v>
      </c>
      <c r="V49" t="str">
        <v>Osaiasi Tonga'uiha</v>
      </c>
      <c r="W49" t="str">
        <v>NULL</v>
      </c>
      <c r="X49" t="str">
        <v>Home</v>
      </c>
      <c r="Y49" t="str">
        <v>MIA</v>
      </c>
      <c r="Z49">
        <v>4.1333947685647656</v>
      </c>
      <c r="AA49" s="1" t="str">
        <v>Malcolm May</v>
      </c>
      <c r="AB49" s="1" cm="1">
        <f t="array" ref="AB49">COUNT(_xlfn._xlws.FILTER($J$7:$J$10000,($L$7:$L$10000=AA49)*($M$7:$M$10000&lt;&gt;"NULL")*($J$7:$J$10000 &gt;= ($G$1-5))))/5</f>
        <v>0</v>
      </c>
    </row>
    <row r="50" spans="1:28" x14ac:dyDescent="0.35">
      <c r="A50">
        <f>VLOOKUP($B50, PlayerIDs!$A$1:$B$516, 2, FALSE)</f>
        <v>27</v>
      </c>
      <c r="B50" t="s">
        <v>198</v>
      </c>
      <c r="C50" s="1">
        <v>6.8718239553943583</v>
      </c>
      <c r="D50" s="1">
        <f t="shared" si="3"/>
        <v>31</v>
      </c>
      <c r="E50" s="1" cm="1">
        <f t="array" ref="E50">IFERROR(VLOOKUP($B50,_xlfn._xlws.FILTER($L$7:$P$10000,$J$7:$J$10000=G$1+1),5, FALSE), 0)</f>
        <v>6.911379071115717</v>
      </c>
      <c r="F50" s="1">
        <f t="shared" si="4"/>
        <v>26</v>
      </c>
      <c r="G50" s="1">
        <f t="shared" ca="1" si="5"/>
        <v>29.559793146746234</v>
      </c>
      <c r="H50" s="1">
        <f t="shared" ca="1" si="6"/>
        <v>20</v>
      </c>
      <c r="I50" s="1" cm="1">
        <f t="array" ref="I50">COUNT(_xlfn._xlws.FILTER($J$7:$J$10000,($L$7:$L$10000=B50)*($M$7:$M$10000&lt;&gt;"NULL")*($J$7:$J$10000 &gt;= ($G$1-4))))/5</f>
        <v>0.4</v>
      </c>
      <c r="J50" s="65">
        <v>2</v>
      </c>
      <c r="K50" t="s">
        <v>4</v>
      </c>
      <c r="L50" t="s">
        <v>435</v>
      </c>
      <c r="M50">
        <v>6.9</v>
      </c>
      <c r="N50" t="s">
        <v>9</v>
      </c>
      <c r="O50" t="s">
        <v>24</v>
      </c>
      <c r="P50">
        <f t="shared" si="1"/>
        <v>4.3321333499119774</v>
      </c>
      <c r="Q50">
        <f t="shared" si="2"/>
        <v>6.5939391326342847</v>
      </c>
      <c r="R50" s="67" cm="1">
        <f t="array" ref="R50">SUMPRODUCT((J50=$J$7:$J$1000)*(P50&lt;$P$7:$P$1000))+1</f>
        <v>22</v>
      </c>
      <c r="S50" s="72"/>
      <c r="T50">
        <v>13</v>
      </c>
      <c r="U50" t="str">
        <v>NOLA</v>
      </c>
      <c r="V50" t="str">
        <v>Tesimoni Tonga'uiha</v>
      </c>
      <c r="W50" t="str">
        <v>NULL</v>
      </c>
      <c r="X50" t="str">
        <v>Home</v>
      </c>
      <c r="Y50" t="str">
        <v>MIA</v>
      </c>
      <c r="Z50">
        <v>5.4706020434696683</v>
      </c>
      <c r="AA50" s="1" t="str">
        <v>Manuel Ardao</v>
      </c>
      <c r="AB50" s="1" cm="1">
        <f t="array" ref="AB50">COUNT(_xlfn._xlws.FILTER($J$7:$J$10000,($L$7:$L$10000=AA50)*($M$7:$M$10000&lt;&gt;"NULL")*($J$7:$J$10000 &gt;= ($G$1-5))))/5</f>
        <v>0.6</v>
      </c>
    </row>
    <row r="51" spans="1:28" x14ac:dyDescent="0.35">
      <c r="A51">
        <f>VLOOKUP($B51, PlayerIDs!$A$1:$B$516, 2, FALSE)</f>
        <v>780</v>
      </c>
      <c r="B51" t="s">
        <v>589</v>
      </c>
      <c r="C51" s="1">
        <v>6.8511312544039615</v>
      </c>
      <c r="D51" s="1">
        <f t="shared" si="3"/>
        <v>32</v>
      </c>
      <c r="E51" s="1" cm="1">
        <f t="array" ref="E51">IFERROR(VLOOKUP($B51,_xlfn._xlws.FILTER($L$7:$P$10000,$J$7:$J$10000=G$1+1),5, FALSE), 0)</f>
        <v>5.488553539944923</v>
      </c>
      <c r="F51" s="1">
        <f t="shared" si="4"/>
        <v>38</v>
      </c>
      <c r="G51" s="1">
        <f t="shared" ca="1" si="5"/>
        <v>27.524442820263253</v>
      </c>
      <c r="H51" s="1">
        <f t="shared" ca="1" si="6"/>
        <v>25</v>
      </c>
      <c r="I51" s="1" cm="1">
        <f t="array" ref="I51">COUNT(_xlfn._xlws.FILTER($J$7:$J$10000,($L$7:$L$10000=B51)*($M$7:$M$10000&lt;&gt;"NULL")*($J$7:$J$10000 &gt;= ($G$1-4))))/5</f>
        <v>0.4</v>
      </c>
      <c r="J51" s="65">
        <v>2</v>
      </c>
      <c r="K51" t="s">
        <v>36</v>
      </c>
      <c r="L51" t="s">
        <v>205</v>
      </c>
      <c r="M51">
        <v>6.8</v>
      </c>
      <c r="N51" t="s">
        <v>9</v>
      </c>
      <c r="O51" t="s">
        <v>6</v>
      </c>
      <c r="P51">
        <f t="shared" si="1"/>
        <v>7.3353756679753657</v>
      </c>
      <c r="Q51">
        <f t="shared" si="2"/>
        <v>0.28662710586006918</v>
      </c>
      <c r="R51" s="67" cm="1">
        <f t="array" ref="R51">SUMPRODUCT((J51=$J$7:$J$1000)*(P51&lt;$P$7:$P$1000))+1</f>
        <v>14</v>
      </c>
      <c r="S51" s="72"/>
      <c r="T51">
        <v>13</v>
      </c>
      <c r="U51" t="str">
        <v>NOLA</v>
      </c>
      <c r="V51" t="str">
        <v>Tupou Ma'afu Afungia</v>
      </c>
      <c r="W51" t="str">
        <v>NULL</v>
      </c>
      <c r="X51" t="str">
        <v>Home</v>
      </c>
      <c r="Y51" t="str">
        <v>MIA</v>
      </c>
      <c r="Z51">
        <v>1.8543084260326983</v>
      </c>
      <c r="AA51" s="1" t="str">
        <v>Marno Redelinghuys</v>
      </c>
      <c r="AB51" s="1" cm="1">
        <f t="array" ref="AB51">COUNT(_xlfn._xlws.FILTER($J$7:$J$10000,($L$7:$L$10000=AA51)*($M$7:$M$10000&lt;&gt;"NULL")*($J$7:$J$10000 &gt;= ($G$1-5))))/5</f>
        <v>0.8</v>
      </c>
    </row>
    <row r="52" spans="1:28" x14ac:dyDescent="0.35">
      <c r="A52">
        <f>VLOOKUP($B52, PlayerIDs!$A$1:$B$516, 2, FALSE)</f>
        <v>552</v>
      </c>
      <c r="B52" t="s">
        <v>530</v>
      </c>
      <c r="C52" s="1">
        <v>6.5410150963890032</v>
      </c>
      <c r="D52" s="1">
        <f t="shared" ref="D52:D83" si="7">RANK($C52,$C$20:$C$106)</f>
        <v>33</v>
      </c>
      <c r="E52" s="1" cm="1">
        <f t="array" ref="E52">IFERROR(VLOOKUP($B52,_xlfn._xlws.FILTER($L$7:$P$10000,$J$7:$J$10000=G$1+1),5, FALSE), 0)</f>
        <v>5.1784373819299647</v>
      </c>
      <c r="F52" s="1">
        <f t="shared" ref="F52:F83" si="8">RANK(E52,$E$20:$E$100)</f>
        <v>44</v>
      </c>
      <c r="G52" s="1">
        <f t="shared" ref="G52:G83" ca="1" si="9">SUMIF(V:Z,$B52,Z:Z)</f>
        <v>26.28397818820342</v>
      </c>
      <c r="H52" s="1">
        <f t="shared" ref="H52:H83" ca="1" si="10">RANK($G52,$G$20:$G$106)</f>
        <v>27</v>
      </c>
      <c r="I52" s="1" cm="1">
        <f t="array" ref="I52">COUNT(_xlfn._xlws.FILTER($J$7:$J$10000,($L$7:$L$10000=B52)*($M$7:$M$10000&lt;&gt;"NULL")*($J$7:$J$10000 &gt;= ($G$1-4))))/5</f>
        <v>0.2</v>
      </c>
      <c r="J52" s="65">
        <v>2</v>
      </c>
      <c r="K52" t="s">
        <v>13</v>
      </c>
      <c r="L52" t="s">
        <v>103</v>
      </c>
      <c r="M52">
        <v>6.6</v>
      </c>
      <c r="N52" t="s">
        <v>9</v>
      </c>
      <c r="O52" t="s">
        <v>2</v>
      </c>
      <c r="P52">
        <f t="shared" si="1"/>
        <v>9.4399977210008359</v>
      </c>
      <c r="Q52">
        <f t="shared" si="2"/>
        <v>8.065587055289944</v>
      </c>
      <c r="R52" s="67" cm="1">
        <f t="array" ref="R52">SUMPRODUCT((J52=$J$7:$J$1000)*(P52&lt;$P$7:$P$1000))+1</f>
        <v>9</v>
      </c>
      <c r="S52" s="72"/>
      <c r="T52">
        <v>13</v>
      </c>
      <c r="U52" t="str">
        <v>SDL</v>
      </c>
      <c r="V52" t="str">
        <v>Aminae Amiatu-Tanoi</v>
      </c>
      <c r="W52" t="str">
        <v>NULL</v>
      </c>
      <c r="X52" t="str">
        <v>Home</v>
      </c>
      <c r="Y52" t="str">
        <v>HOU</v>
      </c>
      <c r="Z52">
        <v>0.23372907583778041</v>
      </c>
      <c r="AA52" s="1" t="str">
        <v>Marques Fuala'au</v>
      </c>
      <c r="AB52" s="1" cm="1">
        <f t="array" ref="AB52">COUNT(_xlfn._xlws.FILTER($J$7:$J$10000,($L$7:$L$10000=AA52)*($M$7:$M$10000&lt;&gt;"NULL")*($J$7:$J$10000 &gt;= ($G$1-5))))/5</f>
        <v>0.2</v>
      </c>
    </row>
    <row r="53" spans="1:28" x14ac:dyDescent="0.35">
      <c r="A53">
        <f>VLOOKUP($B53, PlayerIDs!$A$1:$B$516, 2, FALSE)</f>
        <v>827</v>
      </c>
      <c r="B53" t="s">
        <v>540</v>
      </c>
      <c r="C53" s="1">
        <v>6.5348720340273037</v>
      </c>
      <c r="D53" s="1">
        <f t="shared" si="7"/>
        <v>34</v>
      </c>
      <c r="E53" s="1" cm="1">
        <f t="array" ref="E53">IFERROR(VLOOKUP($B53,_xlfn._xlws.FILTER($L$7:$P$10000,$J$7:$J$10000=G$1+1),5, FALSE), 0)</f>
        <v>6.7814522949758373</v>
      </c>
      <c r="F53" s="1">
        <f t="shared" si="8"/>
        <v>27</v>
      </c>
      <c r="G53" s="1">
        <f t="shared" ca="1" si="9"/>
        <v>25.277942875934158</v>
      </c>
      <c r="H53" s="1">
        <f t="shared" ca="1" si="10"/>
        <v>28</v>
      </c>
      <c r="I53" s="1" cm="1">
        <f t="array" ref="I53">COUNT(_xlfn._xlws.FILTER($J$7:$J$10000,($L$7:$L$10000=B53)*($M$7:$M$10000&lt;&gt;"NULL")*($J$7:$J$10000 &gt;= ($G$1-4))))/5</f>
        <v>0.4</v>
      </c>
      <c r="J53" s="65">
        <v>2</v>
      </c>
      <c r="K53" t="s">
        <v>2</v>
      </c>
      <c r="L53" t="s">
        <v>115</v>
      </c>
      <c r="M53">
        <v>6.1</v>
      </c>
      <c r="N53" t="s">
        <v>3</v>
      </c>
      <c r="O53" t="s">
        <v>13</v>
      </c>
      <c r="P53">
        <f t="shared" si="1"/>
        <v>8.0624493146928149</v>
      </c>
      <c r="Q53">
        <f t="shared" si="2"/>
        <v>3.8512073127383002</v>
      </c>
      <c r="R53" s="67" cm="1">
        <f t="array" ref="R53">SUMPRODUCT((J53=$J$7:$J$1000)*(P53&lt;$P$7:$P$1000))+1</f>
        <v>13</v>
      </c>
      <c r="S53" s="72"/>
      <c r="T53">
        <v>13</v>
      </c>
      <c r="U53" t="str">
        <v>SDL</v>
      </c>
      <c r="V53" t="str">
        <v>Brad Wilkin</v>
      </c>
      <c r="W53" t="str">
        <v>NULL</v>
      </c>
      <c r="X53" t="str">
        <v>Home</v>
      </c>
      <c r="Y53" t="str">
        <v>HOU</v>
      </c>
      <c r="Z53">
        <v>9.4443051038176264</v>
      </c>
      <c r="AA53" s="1" t="str">
        <v>Mason Flesch</v>
      </c>
      <c r="AB53" s="1" cm="1">
        <f t="array" ref="AB53">COUNT(_xlfn._xlws.FILTER($J$7:$J$10000,($L$7:$L$10000=AA53)*($M$7:$M$10000&lt;&gt;"NULL")*($J$7:$J$10000 &gt;= ($G$1-5))))/5</f>
        <v>0.6</v>
      </c>
    </row>
    <row r="54" spans="1:28" x14ac:dyDescent="0.35">
      <c r="A54">
        <f>VLOOKUP($B54, PlayerIDs!$A$1:$B$516, 2, FALSE)</f>
        <v>671</v>
      </c>
      <c r="B54" t="s">
        <v>206</v>
      </c>
      <c r="C54" s="1">
        <v>6.4070645120499163</v>
      </c>
      <c r="D54" s="1">
        <f t="shared" si="7"/>
        <v>35</v>
      </c>
      <c r="E54" s="1" cm="1">
        <f t="array" ref="E54">IFERROR(VLOOKUP($B54,_xlfn._xlws.FILTER($L$7:$P$10000,$J$7:$J$10000=G$1+1),5, FALSE), 0)</f>
        <v>5.6502860905172732</v>
      </c>
      <c r="F54" s="1">
        <f t="shared" si="8"/>
        <v>36</v>
      </c>
      <c r="G54" s="1">
        <f t="shared" ca="1" si="9"/>
        <v>23.66490765893473</v>
      </c>
      <c r="H54" s="1">
        <f t="shared" ca="1" si="10"/>
        <v>32</v>
      </c>
      <c r="I54" s="1" cm="1">
        <f t="array" ref="I54">COUNT(_xlfn._xlws.FILTER($J$7:$J$10000,($L$7:$L$10000=B54)*($M$7:$M$10000&lt;&gt;"NULL")*($J$7:$J$10000 &gt;= ($G$1-4))))/5</f>
        <v>0.4</v>
      </c>
      <c r="J54" s="65">
        <v>2</v>
      </c>
      <c r="K54" t="s">
        <v>14</v>
      </c>
      <c r="L54" t="s">
        <v>396</v>
      </c>
      <c r="M54">
        <v>5.7</v>
      </c>
      <c r="N54" t="s">
        <v>3</v>
      </c>
      <c r="O54" t="s">
        <v>34</v>
      </c>
      <c r="P54">
        <f t="shared" si="1"/>
        <v>8.8091499494328005</v>
      </c>
      <c r="Q54">
        <f t="shared" si="2"/>
        <v>9.6668134080579851</v>
      </c>
      <c r="R54" s="67" cm="1">
        <f t="array" ref="R54">SUMPRODUCT((J54=$J$7:$J$1000)*(P54&lt;$P$7:$P$1000))+1</f>
        <v>11</v>
      </c>
      <c r="S54" s="72"/>
      <c r="T54">
        <v>13</v>
      </c>
      <c r="U54" t="str">
        <v>SDL</v>
      </c>
      <c r="V54" t="str">
        <v>Christian Poidevin</v>
      </c>
      <c r="W54" t="str">
        <v>NULL</v>
      </c>
      <c r="X54" t="str">
        <v>Home</v>
      </c>
      <c r="Y54" t="str">
        <v>HOU</v>
      </c>
      <c r="Z54">
        <v>10.96788420252291</v>
      </c>
      <c r="AA54" s="1" t="str">
        <v>Matt Heaton</v>
      </c>
      <c r="AB54" s="1" cm="1">
        <f t="array" ref="AB54">COUNT(_xlfn._xlws.FILTER($J$7:$J$10000,($L$7:$L$10000=AA54)*($M$7:$M$10000&lt;&gt;"NULL")*($J$7:$J$10000 &gt;= ($G$1-5))))/5</f>
        <v>0.2</v>
      </c>
    </row>
    <row r="55" spans="1:28" x14ac:dyDescent="0.35">
      <c r="A55">
        <f>VLOOKUP($B55, PlayerIDs!$A$1:$B$516, 2, FALSE)</f>
        <v>636</v>
      </c>
      <c r="B55" t="s">
        <v>632</v>
      </c>
      <c r="C55" s="1">
        <v>6.2467818872121148</v>
      </c>
      <c r="D55" s="1">
        <f t="shared" si="7"/>
        <v>36</v>
      </c>
      <c r="E55" s="1" cm="1">
        <f t="array" ref="E55">IFERROR(VLOOKUP($B55,_xlfn._xlws.FILTER($L$7:$P$10000,$J$7:$J$10000=G$1+1),5, FALSE), 0)</f>
        <v>5.5394033439035377</v>
      </c>
      <c r="F55" s="1">
        <f t="shared" si="8"/>
        <v>37</v>
      </c>
      <c r="G55" s="1">
        <f t="shared" ca="1" si="9"/>
        <v>17.696329196577139</v>
      </c>
      <c r="H55" s="1">
        <f t="shared" ca="1" si="10"/>
        <v>47</v>
      </c>
      <c r="I55" s="1" cm="1">
        <f t="array" ref="I55">COUNT(_xlfn._xlws.FILTER($J$7:$J$10000,($L$7:$L$10000=B55)*($M$7:$M$10000&lt;&gt;"NULL")*($J$7:$J$10000 &gt;= ($G$1-4))))/5</f>
        <v>0.2</v>
      </c>
      <c r="J55" s="65">
        <v>2</v>
      </c>
      <c r="K55" t="s">
        <v>24</v>
      </c>
      <c r="L55" t="s">
        <v>217</v>
      </c>
      <c r="M55">
        <v>5</v>
      </c>
      <c r="N55" t="s">
        <v>3</v>
      </c>
      <c r="O55" t="s">
        <v>4</v>
      </c>
      <c r="P55">
        <f t="shared" si="1"/>
        <v>4.4009217209108522</v>
      </c>
      <c r="Q55">
        <f t="shared" si="2"/>
        <v>0.35889478447641487</v>
      </c>
      <c r="R55" s="67" cm="1">
        <f t="array" ref="R55">SUMPRODUCT((J55=$J$7:$J$1000)*(P55&lt;$P$7:$P$1000))+1</f>
        <v>20</v>
      </c>
      <c r="S55" s="72"/>
      <c r="T55">
        <v>13</v>
      </c>
      <c r="U55" t="str">
        <v>SDL</v>
      </c>
      <c r="V55" t="str">
        <v>Jimmy Hokafonu</v>
      </c>
      <c r="W55" t="str">
        <v>NULL</v>
      </c>
      <c r="X55" t="str">
        <v>Home</v>
      </c>
      <c r="Y55" t="str">
        <v>HOU</v>
      </c>
      <c r="Z55">
        <v>6.5436726990176659</v>
      </c>
      <c r="AA55" s="1" t="str">
        <v>Matt Oworu</v>
      </c>
      <c r="AB55" s="1" cm="1">
        <f t="array" ref="AB55">COUNT(_xlfn._xlws.FILTER($J$7:$J$10000,($L$7:$L$10000=AA55)*($M$7:$M$10000&lt;&gt;"NULL")*($J$7:$J$10000 &gt;= ($G$1-5))))/5</f>
        <v>0.4</v>
      </c>
    </row>
    <row r="56" spans="1:28" x14ac:dyDescent="0.35">
      <c r="A56">
        <f>VLOOKUP($B56, PlayerIDs!$A$1:$B$516, 2, FALSE)</f>
        <v>314</v>
      </c>
      <c r="B56" t="s">
        <v>434</v>
      </c>
      <c r="C56" s="1">
        <v>6.1779805867782454</v>
      </c>
      <c r="D56" s="1">
        <f t="shared" si="7"/>
        <v>37</v>
      </c>
      <c r="E56" s="1" cm="1">
        <f t="array" ref="E56">IFERROR(VLOOKUP($B56,_xlfn._xlws.FILTER($L$7:$P$10000,$J$7:$J$10000=G$1+1),5, FALSE), 0)</f>
        <v>5.4706020434696683</v>
      </c>
      <c r="F56" s="1">
        <f t="shared" si="8"/>
        <v>39</v>
      </c>
      <c r="G56" s="1">
        <f t="shared" ca="1" si="9"/>
        <v>17.48992529527553</v>
      </c>
      <c r="H56" s="1">
        <f t="shared" ca="1" si="10"/>
        <v>49</v>
      </c>
      <c r="I56" s="1" cm="1">
        <f t="array" ref="I56">COUNT(_xlfn._xlws.FILTER($J$7:$J$10000,($L$7:$L$10000=B56)*($M$7:$M$10000&lt;&gt;"NULL")*($J$7:$J$10000 &gt;= ($G$1-4))))/5</f>
        <v>1</v>
      </c>
      <c r="J56" s="65">
        <v>2</v>
      </c>
      <c r="K56" t="s">
        <v>34</v>
      </c>
      <c r="L56" t="s">
        <v>227</v>
      </c>
      <c r="M56">
        <v>4.9000000000000004</v>
      </c>
      <c r="N56" t="s">
        <v>9</v>
      </c>
      <c r="O56" t="s">
        <v>14</v>
      </c>
      <c r="P56">
        <f t="shared" si="1"/>
        <v>4.0435123210406294</v>
      </c>
      <c r="Q56">
        <f t="shared" si="2"/>
        <v>0.73357114420921044</v>
      </c>
      <c r="R56" s="67" cm="1">
        <f t="array" ref="R56">SUMPRODUCT((J56=$J$7:$J$1000)*(P56&lt;$P$7:$P$1000))+1</f>
        <v>23</v>
      </c>
      <c r="S56" s="72"/>
      <c r="T56">
        <v>13</v>
      </c>
      <c r="U56" t="str">
        <v>SDL</v>
      </c>
      <c r="V56" t="str">
        <v>Paddy Ryan</v>
      </c>
      <c r="W56" t="str">
        <v>NULL</v>
      </c>
      <c r="X56" t="str">
        <v>Home</v>
      </c>
      <c r="Y56" t="str">
        <v>HOU</v>
      </c>
      <c r="Z56">
        <v>8.9622916795598115</v>
      </c>
      <c r="AA56" s="1" t="str">
        <v>OJ Noa</v>
      </c>
      <c r="AB56" s="1" cm="1">
        <f t="array" ref="AB56">COUNT(_xlfn._xlws.FILTER($J$7:$J$10000,($L$7:$L$10000=AA56)*($M$7:$M$10000&lt;&gt;"NULL")*($J$7:$J$10000 &gt;= ($G$1-5))))/5</f>
        <v>0.6</v>
      </c>
    </row>
    <row r="57" spans="1:28" x14ac:dyDescent="0.35">
      <c r="A57">
        <f>VLOOKUP($B57, PlayerIDs!$A$1:$B$516, 2, FALSE)</f>
        <v>723</v>
      </c>
      <c r="B57" t="s">
        <v>642</v>
      </c>
      <c r="C57" s="1">
        <v>6.1072354220137006</v>
      </c>
      <c r="D57" s="1">
        <f t="shared" si="7"/>
        <v>38</v>
      </c>
      <c r="E57" s="1" cm="1">
        <f t="array" ref="E57">IFERROR(VLOOKUP($B57,_xlfn._xlws.FILTER($L$7:$P$10000,$J$7:$J$10000=G$1+1),5, FALSE), 0)</f>
        <v>6.3538156829622343</v>
      </c>
      <c r="F57" s="1">
        <f t="shared" si="8"/>
        <v>33</v>
      </c>
      <c r="G57" s="1">
        <f t="shared" ca="1" si="9"/>
        <v>23.56739642787975</v>
      </c>
      <c r="H57" s="1">
        <f t="shared" ca="1" si="10"/>
        <v>33</v>
      </c>
      <c r="I57" s="1" cm="1">
        <f t="array" ref="I57">COUNT(_xlfn._xlws.FILTER($J$7:$J$10000,($L$7:$L$10000=B57)*($M$7:$M$10000&lt;&gt;"NULL")*($J$7:$J$10000 &gt;= ($G$1-4))))/5</f>
        <v>0.2</v>
      </c>
      <c r="J57" s="65">
        <v>2</v>
      </c>
      <c r="K57" t="s">
        <v>13</v>
      </c>
      <c r="L57" t="s">
        <v>210</v>
      </c>
      <c r="M57">
        <v>3.8</v>
      </c>
      <c r="N57" t="s">
        <v>9</v>
      </c>
      <c r="O57" t="s">
        <v>2</v>
      </c>
      <c r="P57">
        <f t="shared" si="1"/>
        <v>6.2893206625571159</v>
      </c>
      <c r="Q57">
        <f t="shared" si="2"/>
        <v>6.1967173610337989</v>
      </c>
      <c r="R57" s="67" cm="1">
        <f t="array" ref="R57">SUMPRODUCT((J57=$J$7:$J$1000)*(P57&lt;$P$7:$P$1000))+1</f>
        <v>16</v>
      </c>
      <c r="S57" s="72"/>
      <c r="T57">
        <v>13</v>
      </c>
      <c r="U57" t="str">
        <v>SDL</v>
      </c>
      <c r="V57" t="str">
        <v>Tevita Tameilau</v>
      </c>
      <c r="W57" t="str">
        <v>NULL</v>
      </c>
      <c r="X57" t="str">
        <v>Home</v>
      </c>
      <c r="Y57" t="str">
        <v>HOU</v>
      </c>
      <c r="Z57">
        <v>2.3703809285199848</v>
      </c>
      <c r="AA57" s="1" t="str">
        <v>Osaiasi Tonga'uiha</v>
      </c>
      <c r="AB57" s="1" cm="1">
        <f t="array" ref="AB57">COUNT(_xlfn._xlws.FILTER($J$7:$J$10000,($L$7:$L$10000=AA57)*($M$7:$M$10000&lt;&gt;"NULL")*($J$7:$J$10000 &gt;= ($G$1-5))))/5</f>
        <v>0.2</v>
      </c>
    </row>
    <row r="58" spans="1:28" x14ac:dyDescent="0.35">
      <c r="A58">
        <f>VLOOKUP($B58, PlayerIDs!$A$1:$B$516, 2, FALSE)</f>
        <v>214</v>
      </c>
      <c r="B58" t="s">
        <v>112</v>
      </c>
      <c r="C58" s="1">
        <v>6.0555082327698608</v>
      </c>
      <c r="D58" s="1">
        <f t="shared" si="7"/>
        <v>39</v>
      </c>
      <c r="E58" s="1" cm="1">
        <f t="array" ref="E58">IFERROR(VLOOKUP($B58,_xlfn._xlws.FILTER($L$7:$P$10000,$J$7:$J$10000=G$1+1),5, FALSE), 0)</f>
        <v>7.2145174034184496</v>
      </c>
      <c r="F58" s="1">
        <f t="shared" si="8"/>
        <v>23</v>
      </c>
      <c r="G58" s="1">
        <f t="shared" ca="1" si="9"/>
        <v>18.608310563146887</v>
      </c>
      <c r="H58" s="1">
        <f t="shared" ca="1" si="10"/>
        <v>46</v>
      </c>
      <c r="I58" s="1" cm="1">
        <f t="array" ref="I58">COUNT(_xlfn._xlws.FILTER($J$7:$J$10000,($L$7:$L$10000=B58)*($M$7:$M$10000&lt;&gt;"NULL")*($J$7:$J$10000 &gt;= ($G$1-4))))/5</f>
        <v>0.6</v>
      </c>
      <c r="J58" s="65">
        <v>2</v>
      </c>
      <c r="K58" t="s">
        <v>2</v>
      </c>
      <c r="L58" t="s">
        <v>213</v>
      </c>
      <c r="M58">
        <v>2.6</v>
      </c>
      <c r="N58" t="s">
        <v>3</v>
      </c>
      <c r="O58" t="s">
        <v>13</v>
      </c>
      <c r="P58">
        <f t="shared" si="1"/>
        <v>8.4202469128986746</v>
      </c>
      <c r="Q58">
        <f t="shared" si="2"/>
        <v>33.875274127106557</v>
      </c>
      <c r="R58" s="67" cm="1">
        <f t="array" ref="R58">SUMPRODUCT((J58=$J$7:$J$1000)*(P58&lt;$P$7:$P$1000))+1</f>
        <v>12</v>
      </c>
      <c r="S58" s="72"/>
      <c r="T58">
        <v>13</v>
      </c>
      <c r="U58" t="str">
        <v>SDL</v>
      </c>
      <c r="V58" t="str">
        <v>Vili Helu</v>
      </c>
      <c r="W58" t="str">
        <v>NULL</v>
      </c>
      <c r="X58" t="str">
        <v>Home</v>
      </c>
      <c r="Y58" t="str">
        <v>HOU</v>
      </c>
      <c r="Z58">
        <v>4.1489595853930821</v>
      </c>
      <c r="AA58" s="1" t="str">
        <v>Paddy Ryan</v>
      </c>
      <c r="AB58" s="1" cm="1">
        <f t="array" ref="AB58">COUNT(_xlfn._xlws.FILTER($J$7:$J$10000,($L$7:$L$10000=AA58)*($M$7:$M$10000&lt;&gt;"NULL")*($J$7:$J$10000 &gt;= ($G$1-5))))/5</f>
        <v>0.4</v>
      </c>
    </row>
    <row r="59" spans="1:28" x14ac:dyDescent="0.35">
      <c r="A59">
        <f>VLOOKUP($B59, PlayerIDs!$A$1:$B$516, 2, FALSE)</f>
        <v>199</v>
      </c>
      <c r="B59" t="s">
        <v>208</v>
      </c>
      <c r="C59" s="1">
        <v>6.0001229951204174</v>
      </c>
      <c r="D59" s="1">
        <f t="shared" si="7"/>
        <v>40</v>
      </c>
      <c r="E59" s="1" cm="1">
        <f t="array" ref="E59">IFERROR(VLOOKUP($B59,_xlfn._xlws.FILTER($L$7:$P$10000,$J$7:$J$10000=G$1+1),5, FALSE), 0)</f>
        <v>6.670250963719222</v>
      </c>
      <c r="F59" s="1">
        <f t="shared" si="8"/>
        <v>29</v>
      </c>
      <c r="G59" s="1">
        <f t="shared" ca="1" si="9"/>
        <v>24.8119145576552</v>
      </c>
      <c r="H59" s="1">
        <f t="shared" ca="1" si="10"/>
        <v>30</v>
      </c>
      <c r="I59" s="1" cm="1">
        <f t="array" ref="I59">COUNT(_xlfn._xlws.FILTER($J$7:$J$10000,($L$7:$L$10000=B59)*($M$7:$M$10000&lt;&gt;"NULL")*($J$7:$J$10000 &gt;= ($G$1-4))))/5</f>
        <v>0.2</v>
      </c>
      <c r="J59" s="65">
        <v>2</v>
      </c>
      <c r="K59" t="s">
        <v>4</v>
      </c>
      <c r="L59" t="s">
        <v>434</v>
      </c>
      <c r="M59">
        <v>2.2999999999999998</v>
      </c>
      <c r="N59" t="s">
        <v>9</v>
      </c>
      <c r="O59" t="s">
        <v>24</v>
      </c>
      <c r="P59">
        <f t="shared" si="1"/>
        <v>6.0706121692067914</v>
      </c>
      <c r="Q59">
        <f t="shared" si="2"/>
        <v>14.217516130570345</v>
      </c>
      <c r="R59" s="67" cm="1">
        <f t="array" ref="R59">SUMPRODUCT((J59=$J$7:$J$1000)*(P59&lt;$P$7:$P$1000))+1</f>
        <v>18</v>
      </c>
      <c r="S59" s="72"/>
      <c r="T59">
        <v>13</v>
      </c>
      <c r="U59" t="str">
        <v>SEA</v>
      </c>
      <c r="V59" t="str">
        <v>Charles Elton</v>
      </c>
      <c r="W59" t="str">
        <v>NULL</v>
      </c>
      <c r="X59" t="str">
        <v>Away</v>
      </c>
      <c r="Y59" t="str">
        <v>UTAH</v>
      </c>
      <c r="Z59">
        <v>6.4604696026447321</v>
      </c>
      <c r="AA59" s="1" t="str">
        <v>Reid Davis</v>
      </c>
      <c r="AB59" s="1" cm="1">
        <f t="array" ref="AB59">COUNT(_xlfn._xlws.FILTER($J$7:$J$10000,($L$7:$L$10000=AA59)*($M$7:$M$10000&lt;&gt;"NULL")*($J$7:$J$10000 &gt;= ($G$1-5))))/5</f>
        <v>0.2</v>
      </c>
    </row>
    <row r="60" spans="1:28" x14ac:dyDescent="0.35">
      <c r="A60">
        <f>VLOOKUP($B60, PlayerIDs!$A$1:$B$516, 2, FALSE)</f>
        <v>258</v>
      </c>
      <c r="B60" t="s">
        <v>211</v>
      </c>
      <c r="C60" s="1">
        <v>5.9605800075082982</v>
      </c>
      <c r="D60" s="1">
        <f t="shared" si="7"/>
        <v>41</v>
      </c>
      <c r="E60" s="1" cm="1">
        <f t="array" ref="E60">IFERROR(VLOOKUP($B60,_xlfn._xlws.FILTER($L$7:$P$10000,$J$7:$J$10000=G$1+1),5, FALSE), 0)</f>
        <v>0</v>
      </c>
      <c r="F60" s="1">
        <f t="shared" si="8"/>
        <v>66</v>
      </c>
      <c r="G60" s="1">
        <f t="shared" ca="1" si="9"/>
        <v>17.435870537613194</v>
      </c>
      <c r="H60" s="1">
        <f t="shared" ca="1" si="10"/>
        <v>50</v>
      </c>
      <c r="I60" s="1" cm="1">
        <f t="array" ref="I60">COUNT(_xlfn._xlws.FILTER($J$7:$J$10000,($L$7:$L$10000=B60)*($M$7:$M$10000&lt;&gt;"NULL")*($J$7:$J$10000 &gt;= ($G$1-4))))/5</f>
        <v>1</v>
      </c>
      <c r="J60" s="65">
        <v>2</v>
      </c>
      <c r="K60" t="s">
        <v>36</v>
      </c>
      <c r="L60" t="s">
        <v>216</v>
      </c>
      <c r="M60">
        <v>1.9</v>
      </c>
      <c r="N60" t="s">
        <v>9</v>
      </c>
      <c r="O60" t="s">
        <v>6</v>
      </c>
      <c r="P60">
        <f t="shared" si="1"/>
        <v>5.0606498262229751</v>
      </c>
      <c r="Q60">
        <f t="shared" si="2"/>
        <v>9.989707324003323</v>
      </c>
      <c r="R60" s="67" cm="1">
        <f t="array" ref="R60">SUMPRODUCT((J60=$J$7:$J$1000)*(P60&lt;$P$7:$P$1000))+1</f>
        <v>19</v>
      </c>
      <c r="S60" s="72"/>
      <c r="T60">
        <v>13</v>
      </c>
      <c r="U60" t="str">
        <v>SEA</v>
      </c>
      <c r="V60" t="str">
        <v>Devin Short</v>
      </c>
      <c r="W60" t="str">
        <v>NULL</v>
      </c>
      <c r="X60" t="str">
        <v>Away</v>
      </c>
      <c r="Y60" t="str">
        <v>UTAH</v>
      </c>
      <c r="Z60">
        <v>7.0016470554310715</v>
      </c>
      <c r="AA60" s="1" t="str">
        <v>Riekert Hattingh</v>
      </c>
      <c r="AB60" s="1" cm="1">
        <f t="array" ref="AB60">COUNT(_xlfn._xlws.FILTER($J$7:$J$10000,($L$7:$L$10000=AA60)*($M$7:$M$10000&lt;&gt;"NULL")*($J$7:$J$10000 &gt;= ($G$1-5))))/5</f>
        <v>1.2</v>
      </c>
    </row>
    <row r="61" spans="1:28" x14ac:dyDescent="0.35">
      <c r="A61">
        <f>VLOOKUP($B61, PlayerIDs!$A$1:$B$516, 2, FALSE)</f>
        <v>635</v>
      </c>
      <c r="B61" t="s">
        <v>427</v>
      </c>
      <c r="C61" s="1">
        <v>5.9163275002494888</v>
      </c>
      <c r="D61" s="1">
        <f t="shared" si="7"/>
        <v>42</v>
      </c>
      <c r="E61" s="1" cm="1">
        <f t="array" ref="E61">IFERROR(VLOOKUP($B61,_xlfn._xlws.FILTER($L$7:$P$10000,$J$7:$J$10000=G$1+1),5, FALSE), 0)</f>
        <v>5.1595490787168448</v>
      </c>
      <c r="F61" s="1">
        <f t="shared" si="8"/>
        <v>45</v>
      </c>
      <c r="G61" s="1">
        <f t="shared" ca="1" si="9"/>
        <v>21.701959611733024</v>
      </c>
      <c r="H61" s="1">
        <f t="shared" ca="1" si="10"/>
        <v>40</v>
      </c>
      <c r="I61" s="1" cm="1">
        <f t="array" ref="I61">COUNT(_xlfn._xlws.FILTER($J$7:$J$10000,($L$7:$L$10000=B61)*($M$7:$M$10000&lt;&gt;"NULL")*($J$7:$J$10000 &gt;= ($G$1-4))))/5</f>
        <v>0.4</v>
      </c>
      <c r="J61" s="65">
        <v>3</v>
      </c>
      <c r="K61" t="s">
        <v>17</v>
      </c>
      <c r="L61" t="s">
        <v>485</v>
      </c>
      <c r="M61">
        <v>18.899999999999999</v>
      </c>
      <c r="N61" t="s">
        <v>9</v>
      </c>
      <c r="O61" t="s">
        <v>36</v>
      </c>
      <c r="P61">
        <f t="shared" si="1"/>
        <v>7.9554423045161204</v>
      </c>
      <c r="Q61">
        <f t="shared" si="2"/>
        <v>119.78334314977538</v>
      </c>
      <c r="R61" s="67" cm="1">
        <f t="array" ref="R61">SUMPRODUCT((J61=$J$7:$J$1000)*(P61&lt;$P$7:$P$1000))+1</f>
        <v>14</v>
      </c>
      <c r="S61" s="72"/>
      <c r="T61">
        <v>13</v>
      </c>
      <c r="U61" t="str">
        <v>SEA</v>
      </c>
      <c r="V61" t="str">
        <v>Huw Taylor</v>
      </c>
      <c r="W61" t="str">
        <v>NULL</v>
      </c>
      <c r="X61" t="str">
        <v>Away</v>
      </c>
      <c r="Y61" t="str">
        <v>UTAH</v>
      </c>
      <c r="Z61">
        <v>5.6502860905172732</v>
      </c>
      <c r="AA61" s="1" t="str">
        <v>Ronan Foley</v>
      </c>
      <c r="AB61" s="1" cm="1">
        <f t="array" ref="AB61">COUNT(_xlfn._xlws.FILTER($J$7:$J$10000,($L$7:$L$10000=AA61)*($M$7:$M$10000&lt;&gt;"NULL")*($J$7:$J$10000 &gt;= ($G$1-5))))/5</f>
        <v>0.8</v>
      </c>
    </row>
    <row r="62" spans="1:28" x14ac:dyDescent="0.35">
      <c r="A62">
        <f>VLOOKUP($B62, PlayerIDs!$A$1:$B$516, 2, FALSE)</f>
        <v>296</v>
      </c>
      <c r="B62" t="s">
        <v>219</v>
      </c>
      <c r="C62" s="1">
        <v>5.8344250372516351</v>
      </c>
      <c r="D62" s="1">
        <f t="shared" si="7"/>
        <v>43</v>
      </c>
      <c r="E62" s="1" cm="1">
        <f t="array" ref="E62">IFERROR(VLOOKUP($B62,_xlfn._xlws.FILTER($L$7:$P$10000,$J$7:$J$10000=G$1+1),5, FALSE), 0)</f>
        <v>6.5045530058504397</v>
      </c>
      <c r="F62" s="1">
        <f t="shared" si="8"/>
        <v>31</v>
      </c>
      <c r="G62" s="1">
        <f t="shared" ca="1" si="9"/>
        <v>24.149122726180071</v>
      </c>
      <c r="H62" s="1">
        <f t="shared" ca="1" si="10"/>
        <v>31</v>
      </c>
      <c r="I62" s="1" cm="1">
        <f t="array" ref="I62">COUNT(_xlfn._xlws.FILTER($J$7:$J$10000,($L$7:$L$10000=B62)*($M$7:$M$10000&lt;&gt;"NULL")*($J$7:$J$10000 &gt;= ($G$1-4))))/5</f>
        <v>0.2</v>
      </c>
      <c r="J62" s="65">
        <v>3</v>
      </c>
      <c r="K62" t="s">
        <v>34</v>
      </c>
      <c r="L62" t="s">
        <v>429</v>
      </c>
      <c r="M62">
        <v>17.3</v>
      </c>
      <c r="N62" t="s">
        <v>9</v>
      </c>
      <c r="O62" t="s">
        <v>7</v>
      </c>
      <c r="P62">
        <f t="shared" si="1"/>
        <v>9.6758209283665071</v>
      </c>
      <c r="Q62">
        <f t="shared" si="2"/>
        <v>58.128106516334164</v>
      </c>
      <c r="R62" s="67" cm="1">
        <f t="array" ref="R62">SUMPRODUCT((J62=$J$7:$J$1000)*(P62&lt;$P$7:$P$1000))+1</f>
        <v>8</v>
      </c>
      <c r="S62" s="72"/>
      <c r="T62">
        <v>13</v>
      </c>
      <c r="U62" t="str">
        <v>SEA</v>
      </c>
      <c r="V62" t="str">
        <v>OJ Noa</v>
      </c>
      <c r="W62" t="str">
        <v>NULL</v>
      </c>
      <c r="X62" t="str">
        <v>Away</v>
      </c>
      <c r="Y62" t="str">
        <v>UTAH</v>
      </c>
      <c r="Z62">
        <v>5.1595490787168448</v>
      </c>
      <c r="AA62" s="1" t="str">
        <v>Ronan Murphy</v>
      </c>
      <c r="AB62" s="1" cm="1">
        <f t="array" ref="AB62">COUNT(_xlfn._xlws.FILTER($J$7:$J$10000,($L$7:$L$10000=AA62)*($M$7:$M$10000&lt;&gt;"NULL")*($J$7:$J$10000 &gt;= ($G$1-5))))/5</f>
        <v>0</v>
      </c>
    </row>
    <row r="63" spans="1:28" x14ac:dyDescent="0.35">
      <c r="A63">
        <f>VLOOKUP($B63, PlayerIDs!$A$1:$B$516, 2, FALSE)</f>
        <v>382</v>
      </c>
      <c r="B63" t="s">
        <v>107</v>
      </c>
      <c r="C63" s="1">
        <v>5.6342440762346691</v>
      </c>
      <c r="D63" s="1">
        <f t="shared" si="7"/>
        <v>44</v>
      </c>
      <c r="E63" s="1" cm="1">
        <f t="array" ref="E63">IFERROR(VLOOKUP($B63,_xlfn._xlws.FILTER($L$7:$P$10000,$J$7:$J$10000=G$1+1),5, FALSE), 0)</f>
        <v>5.8808243371832027</v>
      </c>
      <c r="F63" s="1">
        <f t="shared" si="8"/>
        <v>35</v>
      </c>
      <c r="G63" s="1">
        <f t="shared" ca="1" si="9"/>
        <v>21.675431044763624</v>
      </c>
      <c r="H63" s="1">
        <f t="shared" ca="1" si="10"/>
        <v>41</v>
      </c>
      <c r="I63" s="1" cm="1">
        <f t="array" ref="I63">COUNT(_xlfn._xlws.FILTER($J$7:$J$10000,($L$7:$L$10000=B63)*($M$7:$M$10000&lt;&gt;"NULL")*($J$7:$J$10000 &gt;= ($G$1-4))))/5</f>
        <v>0</v>
      </c>
      <c r="J63" s="65">
        <v>3</v>
      </c>
      <c r="K63" t="s">
        <v>23</v>
      </c>
      <c r="L63" t="s">
        <v>428</v>
      </c>
      <c r="M63">
        <v>13.5</v>
      </c>
      <c r="N63" t="s">
        <v>9</v>
      </c>
      <c r="O63" t="s">
        <v>2</v>
      </c>
      <c r="P63">
        <f t="shared" si="1"/>
        <v>10.50688924456162</v>
      </c>
      <c r="Q63">
        <f t="shared" si="2"/>
        <v>8.9587119943209093</v>
      </c>
      <c r="R63" s="67" cm="1">
        <f t="array" ref="R63">SUMPRODUCT((J63=$J$7:$J$1000)*(P63&lt;$P$7:$P$1000))+1</f>
        <v>4</v>
      </c>
      <c r="S63" s="72"/>
      <c r="T63">
        <v>13</v>
      </c>
      <c r="U63" t="str">
        <v>SEA</v>
      </c>
      <c r="V63" t="str">
        <v>Riekert Hattingh</v>
      </c>
      <c r="W63" t="str">
        <v>NULL</v>
      </c>
      <c r="X63" t="str">
        <v>Away</v>
      </c>
      <c r="Y63" t="str">
        <v>UTAH</v>
      </c>
      <c r="Z63">
        <v>8.1294191732098078</v>
      </c>
      <c r="AA63" s="1" t="str">
        <v>Ronnie McElligott</v>
      </c>
      <c r="AB63" s="1" cm="1">
        <f t="array" ref="AB63">COUNT(_xlfn._xlws.FILTER($J$7:$J$10000,($L$7:$L$10000=AA63)*($M$7:$M$10000&lt;&gt;"NULL")*($J$7:$J$10000 &gt;= ($G$1-5))))/5</f>
        <v>0.2</v>
      </c>
    </row>
    <row r="64" spans="1:28" x14ac:dyDescent="0.35">
      <c r="A64">
        <f>VLOOKUP($B64, PlayerIDs!$A$1:$B$516, 2, FALSE)</f>
        <v>370</v>
      </c>
      <c r="B64" t="s">
        <v>223</v>
      </c>
      <c r="C64" s="1">
        <v>5.5074412433536661</v>
      </c>
      <c r="D64" s="1">
        <f t="shared" si="7"/>
        <v>45</v>
      </c>
      <c r="E64" s="1" cm="1">
        <f t="array" ref="E64">IFERROR(VLOOKUP($B64,_xlfn._xlws.FILTER($L$7:$P$10000,$J$7:$J$10000=G$1+1),5, FALSE), 0)</f>
        <v>6.6732386566498958</v>
      </c>
      <c r="F64" s="1">
        <f t="shared" si="8"/>
        <v>28</v>
      </c>
      <c r="G64" s="1">
        <f t="shared" ca="1" si="9"/>
        <v>22.038553852374733</v>
      </c>
      <c r="H64" s="1">
        <f t="shared" ca="1" si="10"/>
        <v>38</v>
      </c>
      <c r="I64" s="1" cm="1">
        <f t="array" ref="I64">COUNT(_xlfn._xlws.FILTER($J$7:$J$10000,($L$7:$L$10000=B64)*($M$7:$M$10000&lt;&gt;"NULL")*($J$7:$J$10000 &gt;= ($G$1-4))))/5</f>
        <v>0.8</v>
      </c>
      <c r="J64" s="65">
        <v>3</v>
      </c>
      <c r="K64" t="s">
        <v>24</v>
      </c>
      <c r="L64" t="s">
        <v>199</v>
      </c>
      <c r="M64">
        <v>12.8</v>
      </c>
      <c r="N64" t="s">
        <v>9</v>
      </c>
      <c r="O64" t="s">
        <v>14</v>
      </c>
      <c r="P64">
        <f t="shared" si="1"/>
        <v>10.043701707426818</v>
      </c>
      <c r="Q64">
        <f t="shared" si="2"/>
        <v>7.5971802776418427</v>
      </c>
      <c r="R64" s="67" cm="1">
        <f t="array" ref="R64">SUMPRODUCT((J64=$J$7:$J$1000)*(P64&lt;$P$7:$P$1000))+1</f>
        <v>5</v>
      </c>
      <c r="S64" s="72"/>
      <c r="T64">
        <v>13</v>
      </c>
      <c r="U64" t="str">
        <v>UTAH</v>
      </c>
      <c r="V64" t="str">
        <v>Bailey Wilson</v>
      </c>
      <c r="W64" t="str">
        <v>NULL</v>
      </c>
      <c r="X64" t="str">
        <v>Home</v>
      </c>
      <c r="Y64" t="str">
        <v>SEA</v>
      </c>
      <c r="Z64">
        <v>6.911379071115717</v>
      </c>
      <c r="AA64" s="1" t="str">
        <v>Sam Golla</v>
      </c>
      <c r="AB64" s="1" cm="1">
        <f t="array" ref="AB64">COUNT(_xlfn._xlws.FILTER($J$7:$J$10000,($L$7:$L$10000=AA64)*($M$7:$M$10000&lt;&gt;"NULL")*($J$7:$J$10000 &gt;= ($G$1-5))))/5</f>
        <v>0</v>
      </c>
    </row>
    <row r="65" spans="1:28" x14ac:dyDescent="0.35">
      <c r="A65">
        <f>VLOOKUP($B65, PlayerIDs!$A$1:$B$516, 2, FALSE)</f>
        <v>683</v>
      </c>
      <c r="B65" t="s">
        <v>210</v>
      </c>
      <c r="C65" s="1">
        <v>5.2691700370379779</v>
      </c>
      <c r="D65" s="1">
        <f t="shared" si="7"/>
        <v>46</v>
      </c>
      <c r="E65" s="1" cm="1">
        <f t="array" ref="E65">IFERROR(VLOOKUP($B65,_xlfn._xlws.FILTER($L$7:$P$10000,$J$7:$J$10000=G$1+1),5, FALSE), 0)</f>
        <v>5.3087251527593367</v>
      </c>
      <c r="F65" s="1">
        <f t="shared" si="8"/>
        <v>41</v>
      </c>
      <c r="G65" s="1">
        <f t="shared" ca="1" si="9"/>
        <v>23.149177473320709</v>
      </c>
      <c r="H65" s="1">
        <f t="shared" ca="1" si="10"/>
        <v>35</v>
      </c>
      <c r="I65" s="1" cm="1">
        <f t="array" ref="I65">COUNT(_xlfn._xlws.FILTER($J$7:$J$10000,($L$7:$L$10000=B65)*($M$7:$M$10000&lt;&gt;"NULL")*($J$7:$J$10000 &gt;= ($G$1-4))))/5</f>
        <v>0.8</v>
      </c>
      <c r="J65" s="65">
        <v>3</v>
      </c>
      <c r="K65" t="s">
        <v>7</v>
      </c>
      <c r="L65" t="s">
        <v>207</v>
      </c>
      <c r="M65">
        <v>10.8</v>
      </c>
      <c r="N65" t="s">
        <v>3</v>
      </c>
      <c r="O65" t="s">
        <v>34</v>
      </c>
      <c r="P65">
        <f t="shared" si="1"/>
        <v>8.1133247851279151</v>
      </c>
      <c r="Q65">
        <f t="shared" si="2"/>
        <v>7.2182237102079672</v>
      </c>
      <c r="R65" s="67" cm="1">
        <f t="array" ref="R65">SUMPRODUCT((J65=$J$7:$J$1000)*(P65&lt;$P$7:$P$1000))+1</f>
        <v>13</v>
      </c>
      <c r="S65" s="72"/>
      <c r="T65">
        <v>13</v>
      </c>
      <c r="U65" t="str">
        <v>UTAH</v>
      </c>
      <c r="V65" t="str">
        <v>Dylan Nel</v>
      </c>
      <c r="W65" t="str">
        <v>NULL</v>
      </c>
      <c r="X65" t="str">
        <v>Home</v>
      </c>
      <c r="Y65" t="str">
        <v>SEA</v>
      </c>
      <c r="Z65">
        <v>9.1632457783164654</v>
      </c>
      <c r="AA65" s="1" t="str">
        <v>Sam Tuifua</v>
      </c>
      <c r="AB65" s="1" cm="1">
        <f t="array" ref="AB65">COUNT(_xlfn._xlws.FILTER($J$7:$J$10000,($L$7:$L$10000=AA65)*($M$7:$M$10000&lt;&gt;"NULL")*($J$7:$J$10000 &gt;= ($G$1-5))))/5</f>
        <v>1.2</v>
      </c>
    </row>
    <row r="66" spans="1:28" x14ac:dyDescent="0.35">
      <c r="A66">
        <f>VLOOKUP($B66, PlayerIDs!$A$1:$B$516, 2, FALSE)</f>
        <v>740</v>
      </c>
      <c r="B66" t="s">
        <v>638</v>
      </c>
      <c r="C66" s="1">
        <v>5.260269508856692</v>
      </c>
      <c r="D66" s="1">
        <f t="shared" si="7"/>
        <v>47</v>
      </c>
      <c r="E66" s="1" cm="1">
        <f t="array" ref="E66">IFERROR(VLOOKUP($B66,_xlfn._xlws.FILTER($L$7:$P$10000,$J$7:$J$10000=G$1+1),5, FALSE), 0)</f>
        <v>5.2998246245780507</v>
      </c>
      <c r="F66" s="1">
        <f t="shared" si="8"/>
        <v>42</v>
      </c>
      <c r="G66" s="1">
        <f t="shared" ca="1" si="9"/>
        <v>23.113575360595565</v>
      </c>
      <c r="H66" s="1">
        <f t="shared" ca="1" si="10"/>
        <v>36</v>
      </c>
      <c r="I66" s="1" cm="1">
        <f t="array" ref="I66">COUNT(_xlfn._xlws.FILTER($J$7:$J$10000,($L$7:$L$10000=B66)*($M$7:$M$10000&lt;&gt;"NULL")*($J$7:$J$10000 &gt;= ($G$1-4))))/5</f>
        <v>0.4</v>
      </c>
      <c r="J66" s="65">
        <v>3</v>
      </c>
      <c r="K66" t="s">
        <v>17</v>
      </c>
      <c r="L66" t="s">
        <v>206</v>
      </c>
      <c r="M66">
        <v>10</v>
      </c>
      <c r="N66" t="s">
        <v>9</v>
      </c>
      <c r="O66" t="s">
        <v>36</v>
      </c>
      <c r="P66">
        <f t="shared" si="1"/>
        <v>6.6040813396023221</v>
      </c>
      <c r="Q66">
        <f t="shared" si="2"/>
        <v>11.532263548037159</v>
      </c>
      <c r="R66" s="67" cm="1">
        <f t="array" ref="R66">SUMPRODUCT((J66=$J$7:$J$1000)*(P66&lt;$P$7:$P$1000))+1</f>
        <v>20</v>
      </c>
      <c r="S66" s="72"/>
      <c r="T66">
        <v>13</v>
      </c>
      <c r="U66" t="str">
        <v>UTAH</v>
      </c>
      <c r="V66" t="str">
        <v>Frank Lochore</v>
      </c>
      <c r="W66" t="str">
        <v>NULL</v>
      </c>
      <c r="X66" t="str">
        <v>Home</v>
      </c>
      <c r="Y66" t="str">
        <v>SEA</v>
      </c>
      <c r="Z66">
        <v>8.4594022112030576</v>
      </c>
      <c r="AA66" s="1" t="str">
        <v>Semi Kunitani</v>
      </c>
      <c r="AB66" s="1" cm="1">
        <f t="array" ref="AB66">COUNT(_xlfn._xlws.FILTER($J$7:$J$10000,($L$7:$L$10000=AA66)*($M$7:$M$10000&lt;&gt;"NULL")*($J$7:$J$10000 &gt;= ($G$1-5))))/5</f>
        <v>0.6</v>
      </c>
    </row>
    <row r="67" spans="1:28" x14ac:dyDescent="0.35">
      <c r="A67">
        <f>VLOOKUP($B67, PlayerIDs!$A$1:$B$516, 2, FALSE)</f>
        <v>829</v>
      </c>
      <c r="B67" t="s">
        <v>514</v>
      </c>
      <c r="C67" s="1">
        <v>5.0756115726718907</v>
      </c>
      <c r="D67" s="1">
        <f t="shared" si="7"/>
        <v>48</v>
      </c>
      <c r="E67" s="1" cm="1">
        <f t="array" ref="E67">IFERROR(VLOOKUP($B67,_xlfn._xlws.FILTER($L$7:$P$10000,$J$7:$J$10000=G$1+1),5, FALSE), 0)</f>
        <v>5.3221918336204244</v>
      </c>
      <c r="F67" s="1">
        <f t="shared" si="8"/>
        <v>40</v>
      </c>
      <c r="G67" s="1">
        <f t="shared" ca="1" si="9"/>
        <v>19.440901030512507</v>
      </c>
      <c r="H67" s="1">
        <f t="shared" ca="1" si="10"/>
        <v>44</v>
      </c>
      <c r="I67" s="1" cm="1">
        <f t="array" ref="I67">COUNT(_xlfn._xlws.FILTER($J$7:$J$10000,($L$7:$L$10000=B67)*($M$7:$M$10000&lt;&gt;"NULL")*($J$7:$J$10000 &gt;= ($G$1-4))))/5</f>
        <v>0.2</v>
      </c>
      <c r="J67" s="65">
        <v>3</v>
      </c>
      <c r="K67" t="s">
        <v>2</v>
      </c>
      <c r="L67" t="s">
        <v>212</v>
      </c>
      <c r="M67">
        <v>8.8000000000000007</v>
      </c>
      <c r="N67" t="s">
        <v>3</v>
      </c>
      <c r="O67" t="s">
        <v>23</v>
      </c>
      <c r="P67">
        <f t="shared" si="1"/>
        <v>6.4948189477200113</v>
      </c>
      <c r="Q67">
        <f t="shared" si="2"/>
        <v>5.3138596837906791</v>
      </c>
      <c r="R67" s="67" cm="1">
        <f t="array" ref="R67">SUMPRODUCT((J67=$J$7:$J$1000)*(P67&lt;$P$7:$P$1000))+1</f>
        <v>22</v>
      </c>
      <c r="S67" s="72"/>
      <c r="T67">
        <v>13</v>
      </c>
      <c r="U67" t="str">
        <v>UTAH</v>
      </c>
      <c r="V67" t="str">
        <v>Kalisi Moli</v>
      </c>
      <c r="W67" t="str">
        <v>NULL</v>
      </c>
      <c r="X67" t="str">
        <v>Home</v>
      </c>
      <c r="Y67" t="str">
        <v>SEA</v>
      </c>
      <c r="Z67">
        <v>5.3087251527593367</v>
      </c>
      <c r="AA67" s="1" t="str">
        <v>Tamarau McGahan</v>
      </c>
      <c r="AB67" s="1" cm="1">
        <f t="array" ref="AB67">COUNT(_xlfn._xlws.FILTER($J$7:$J$10000,($L$7:$L$10000=AA67)*($M$7:$M$10000&lt;&gt;"NULL")*($J$7:$J$10000 &gt;= ($G$1-5))))/5</f>
        <v>0.6</v>
      </c>
    </row>
    <row r="68" spans="1:28" x14ac:dyDescent="0.35">
      <c r="A68">
        <f>VLOOKUP($B68, PlayerIDs!$A$1:$B$516, 2, FALSE)</f>
        <v>828</v>
      </c>
      <c r="B68" t="s">
        <v>548</v>
      </c>
      <c r="C68" s="1">
        <v>4.9912485659855363</v>
      </c>
      <c r="D68" s="1">
        <f t="shared" si="7"/>
        <v>49</v>
      </c>
      <c r="E68" s="1" cm="1">
        <f t="array" ref="E68">IFERROR(VLOOKUP($B68,_xlfn._xlws.FILTER($L$7:$P$10000,$J$7:$J$10000=G$1+1),5, FALSE), 0)</f>
        <v>5.23782882693407</v>
      </c>
      <c r="F68" s="1">
        <f t="shared" si="8"/>
        <v>43</v>
      </c>
      <c r="G68" s="1">
        <f t="shared" ca="1" si="9"/>
        <v>19.103449003767089</v>
      </c>
      <c r="H68" s="1">
        <f t="shared" ca="1" si="10"/>
        <v>45</v>
      </c>
      <c r="I68" s="1" cm="1">
        <f t="array" ref="I68">COUNT(_xlfn._xlws.FILTER($J$7:$J$10000,($L$7:$L$10000=B68)*($M$7:$M$10000&lt;&gt;"NULL")*($J$7:$J$10000 &gt;= ($G$1-4))))/5</f>
        <v>0.8</v>
      </c>
      <c r="J68" s="65">
        <v>3</v>
      </c>
      <c r="K68" t="s">
        <v>24</v>
      </c>
      <c r="L68" t="s">
        <v>215</v>
      </c>
      <c r="M68">
        <v>8.6</v>
      </c>
      <c r="N68" t="s">
        <v>9</v>
      </c>
      <c r="O68" t="s">
        <v>14</v>
      </c>
      <c r="P68">
        <f t="shared" si="1"/>
        <v>13.378687989700795</v>
      </c>
      <c r="Q68">
        <f t="shared" si="2"/>
        <v>22.835858902910633</v>
      </c>
      <c r="R68" s="67" cm="1">
        <f t="array" ref="R68">SUMPRODUCT((J68=$J$7:$J$1000)*(P68&lt;$P$7:$P$1000))+1</f>
        <v>1</v>
      </c>
      <c r="S68" s="72"/>
      <c r="T68">
        <v>13</v>
      </c>
      <c r="U68" t="str">
        <v>UTAH</v>
      </c>
      <c r="V68" t="str">
        <v>Lance Williams</v>
      </c>
      <c r="W68" t="str">
        <v>NULL</v>
      </c>
      <c r="X68" t="str">
        <v>Home</v>
      </c>
      <c r="Y68" t="str">
        <v>SEA</v>
      </c>
      <c r="Z68">
        <v>0.41716355964123908</v>
      </c>
      <c r="AA68" s="1" t="str">
        <v>Tesimoni Tonga'uiha</v>
      </c>
      <c r="AB68" s="1" cm="1">
        <f t="array" ref="AB68">COUNT(_xlfn._xlws.FILTER($J$7:$J$10000,($L$7:$L$10000=AA68)*($M$7:$M$10000&lt;&gt;"NULL")*($J$7:$J$10000 &gt;= ($G$1-5))))/5</f>
        <v>1.2</v>
      </c>
    </row>
    <row r="69" spans="1:28" x14ac:dyDescent="0.35">
      <c r="A69">
        <f>VLOOKUP($B69, PlayerIDs!$A$1:$B$516, 2, FALSE)</f>
        <v>279</v>
      </c>
      <c r="B69" t="s">
        <v>109</v>
      </c>
      <c r="C69" s="1">
        <v>4.9520507690269504</v>
      </c>
      <c r="D69" s="1">
        <f t="shared" si="7"/>
        <v>50</v>
      </c>
      <c r="E69" s="1" cm="1">
        <f t="array" ref="E69">IFERROR(VLOOKUP($B69,_xlfn._xlws.FILTER($L$7:$P$10000,$J$7:$J$10000=G$1+1),5, FALSE), 0)</f>
        <v>4.2446722257183733</v>
      </c>
      <c r="F69" s="1">
        <f t="shared" si="8"/>
        <v>50</v>
      </c>
      <c r="G69" s="1">
        <f t="shared" ca="1" si="9"/>
        <v>13.812135842021645</v>
      </c>
      <c r="H69" s="1">
        <f t="shared" ca="1" si="10"/>
        <v>58</v>
      </c>
      <c r="I69" s="1" cm="1">
        <f t="array" ref="I69">COUNT(_xlfn._xlws.FILTER($J$7:$J$10000,($L$7:$L$10000=B69)*($M$7:$M$10000&lt;&gt;"NULL")*($J$7:$J$10000 &gt;= ($G$1-4))))/5</f>
        <v>0</v>
      </c>
      <c r="J69" s="65">
        <v>3</v>
      </c>
      <c r="K69" t="s">
        <v>17</v>
      </c>
      <c r="L69" t="s">
        <v>427</v>
      </c>
      <c r="M69">
        <v>8.1</v>
      </c>
      <c r="N69" t="s">
        <v>9</v>
      </c>
      <c r="O69" t="s">
        <v>36</v>
      </c>
      <c r="P69">
        <f t="shared" si="1"/>
        <v>6.1133443278018946</v>
      </c>
      <c r="Q69">
        <f t="shared" si="2"/>
        <v>3.9468007598769046</v>
      </c>
      <c r="R69" s="67" cm="1">
        <f t="array" ref="R69">SUMPRODUCT((J69=$J$7:$J$1000)*(P69&lt;$P$7:$P$1000))+1</f>
        <v>23</v>
      </c>
      <c r="S69" s="72"/>
      <c r="T69">
        <v>13</v>
      </c>
      <c r="U69" t="str">
        <v>UTAH</v>
      </c>
      <c r="V69" t="str">
        <v>Reid Davis</v>
      </c>
      <c r="W69" t="str">
        <v>NULL</v>
      </c>
      <c r="X69" t="str">
        <v>Home</v>
      </c>
      <c r="Y69" t="str">
        <v>SEA</v>
      </c>
      <c r="Z69">
        <v>2.0592478491395831</v>
      </c>
      <c r="AA69" s="1" t="str">
        <v>Tevita Tameilau</v>
      </c>
      <c r="AB69" s="1" cm="1">
        <f t="array" ref="AB69">COUNT(_xlfn._xlws.FILTER($J$7:$J$10000,($L$7:$L$10000=AA69)*($M$7:$M$10000&lt;&gt;"NULL")*($J$7:$J$10000 &gt;= ($G$1-5))))/5</f>
        <v>0.2</v>
      </c>
    </row>
    <row r="70" spans="1:28" x14ac:dyDescent="0.35">
      <c r="A70">
        <f>VLOOKUP($B70, PlayerIDs!$A$1:$B$516, 2, FALSE)</f>
        <v>338</v>
      </c>
      <c r="B70" t="s">
        <v>598</v>
      </c>
      <c r="C70" s="1">
        <v>4.8407733118733427</v>
      </c>
      <c r="D70" s="1">
        <f t="shared" si="7"/>
        <v>51</v>
      </c>
      <c r="E70" s="1" cm="1">
        <f t="array" ref="E70">IFERROR(VLOOKUP($B70,_xlfn._xlws.FILTER($L$7:$P$10000,$J$7:$J$10000=G$1+1),5, FALSE), 0)</f>
        <v>4.1333947685647656</v>
      </c>
      <c r="F70" s="1">
        <f t="shared" si="8"/>
        <v>53</v>
      </c>
      <c r="G70" s="1">
        <f t="shared" ca="1" si="9"/>
        <v>13.478303470560821</v>
      </c>
      <c r="H70" s="1">
        <f t="shared" ca="1" si="10"/>
        <v>61</v>
      </c>
      <c r="I70" s="1" cm="1">
        <f t="array" ref="I70">COUNT(_xlfn._xlws.FILTER($J$7:$J$10000,($L$7:$L$10000=B70)*($M$7:$M$10000&lt;&gt;"NULL")*($J$7:$J$10000 &gt;= ($G$1-4))))/5</f>
        <v>0.2</v>
      </c>
      <c r="J70" s="65">
        <v>3</v>
      </c>
      <c r="K70" t="s">
        <v>7</v>
      </c>
      <c r="L70" t="s">
        <v>202</v>
      </c>
      <c r="M70">
        <v>7.6</v>
      </c>
      <c r="N70" t="s">
        <v>3</v>
      </c>
      <c r="O70" t="s">
        <v>34</v>
      </c>
      <c r="P70">
        <f t="shared" si="1"/>
        <v>8.5218422362655488</v>
      </c>
      <c r="Q70">
        <f t="shared" si="2"/>
        <v>0.84979310856306856</v>
      </c>
      <c r="R70" s="67" cm="1">
        <f t="array" ref="R70">SUMPRODUCT((J70=$J$7:$J$1000)*(P70&lt;$P$7:$P$1000))+1</f>
        <v>11</v>
      </c>
      <c r="S70" s="72"/>
      <c r="T70">
        <v>13</v>
      </c>
      <c r="U70" t="str">
        <v>UTAH</v>
      </c>
      <c r="V70" t="str">
        <v>Ronnie McElligott</v>
      </c>
      <c r="W70" t="str">
        <v>NULL</v>
      </c>
      <c r="X70" t="str">
        <v>Home</v>
      </c>
      <c r="Y70" t="str">
        <v>SEA</v>
      </c>
      <c r="Z70">
        <v>2.9063398517236538</v>
      </c>
      <c r="AA70" s="1" t="str">
        <v>Tim Anstee</v>
      </c>
      <c r="AB70" s="1" cm="1">
        <f t="array" ref="AB70">COUNT(_xlfn._xlws.FILTER($J$7:$J$10000,($L$7:$L$10000=AA70)*($M$7:$M$10000&lt;&gt;"NULL")*($J$7:$J$10000 &gt;= ($G$1-5))))/5</f>
        <v>0.6</v>
      </c>
    </row>
    <row r="71" spans="1:28" x14ac:dyDescent="0.35">
      <c r="A71">
        <f>VLOOKUP($B71, PlayerIDs!$A$1:$B$516, 2, FALSE)</f>
        <v>285</v>
      </c>
      <c r="B71" t="s">
        <v>216</v>
      </c>
      <c r="C71" s="1">
        <v>4.8140695652744414</v>
      </c>
      <c r="D71" s="1">
        <f t="shared" si="7"/>
        <v>52</v>
      </c>
      <c r="E71" s="1" cm="1">
        <f t="array" ref="E71">IFERROR(VLOOKUP($B71,_xlfn._xlws.FILTER($L$7:$P$10000,$J$7:$J$10000=G$1+1),5, FALSE), 0)</f>
        <v>5.9730787359230302</v>
      </c>
      <c r="F71" s="1">
        <f t="shared" si="8"/>
        <v>34</v>
      </c>
      <c r="G71" s="1">
        <f t="shared" ca="1" si="9"/>
        <v>14.883994560660629</v>
      </c>
      <c r="H71" s="1">
        <f t="shared" ca="1" si="10"/>
        <v>56</v>
      </c>
      <c r="I71" s="1" cm="1">
        <f t="array" ref="I71">COUNT(_xlfn._xlws.FILTER($J$7:$J$10000,($L$7:$L$10000=B71)*($M$7:$M$10000&lt;&gt;"NULL")*($J$7:$J$10000 &gt;= ($G$1-4))))/5</f>
        <v>0.6</v>
      </c>
      <c r="J71" s="65">
        <v>3</v>
      </c>
      <c r="K71" t="s">
        <v>34</v>
      </c>
      <c r="L71" t="s">
        <v>174</v>
      </c>
      <c r="M71">
        <v>7.4</v>
      </c>
      <c r="N71" t="s">
        <v>9</v>
      </c>
      <c r="O71" t="s">
        <v>7</v>
      </c>
      <c r="P71">
        <f t="shared" si="1"/>
        <v>9.1938075041086922</v>
      </c>
      <c r="Q71">
        <f t="shared" si="2"/>
        <v>3.2177453617966543</v>
      </c>
      <c r="R71" s="67" cm="1">
        <f t="array" ref="R71">SUMPRODUCT((J71=$J$7:$J$1000)*(P71&lt;$P$7:$P$1000))+1</f>
        <v>9</v>
      </c>
      <c r="S71" s="72"/>
      <c r="T71">
        <v>13</v>
      </c>
      <c r="U71" t="str">
        <v>UTAH</v>
      </c>
      <c r="V71" t="str">
        <v>Tamarau McGahan</v>
      </c>
      <c r="W71" t="str">
        <v>NULL</v>
      </c>
      <c r="X71" t="str">
        <v>Home</v>
      </c>
      <c r="Y71" t="str">
        <v>SEA</v>
      </c>
      <c r="Z71">
        <v>5.2998246245780507</v>
      </c>
      <c r="AA71" s="1" t="str">
        <v>Tomalati Ma'afu</v>
      </c>
      <c r="AB71" s="1" cm="1">
        <f t="array" ref="AB71">COUNT(_xlfn._xlws.FILTER($J$7:$J$10000,($L$7:$L$10000=AA71)*($M$7:$M$10000&lt;&gt;"NULL")*($J$7:$J$10000 &gt;= ($G$1-5))))/5</f>
        <v>0.4</v>
      </c>
    </row>
    <row r="72" spans="1:28" x14ac:dyDescent="0.35">
      <c r="A72">
        <f>VLOOKUP($B72, PlayerIDs!$A$1:$B$516, 2, FALSE)</f>
        <v>442</v>
      </c>
      <c r="B72" t="s">
        <v>228</v>
      </c>
      <c r="C72" s="1">
        <v>4.5519528835777994</v>
      </c>
      <c r="D72" s="1">
        <f t="shared" si="7"/>
        <v>53</v>
      </c>
      <c r="E72" s="1" cm="1">
        <f t="array" ref="E72">IFERROR(VLOOKUP($B72,_xlfn._xlws.FILTER($L$7:$P$10000,$J$7:$J$10000=G$1+1),5, FALSE), 0)</f>
        <v>4.1489595853930821</v>
      </c>
      <c r="F72" s="1">
        <f t="shared" si="8"/>
        <v>52</v>
      </c>
      <c r="G72" s="1">
        <f t="shared" ca="1" si="9"/>
        <v>13.785062176435709</v>
      </c>
      <c r="H72" s="1">
        <f t="shared" ca="1" si="10"/>
        <v>59</v>
      </c>
      <c r="I72" s="1" cm="1">
        <f t="array" ref="I72">COUNT(_xlfn._xlws.FILTER($J$7:$J$10000,($L$7:$L$10000=B72)*($M$7:$M$10000&lt;&gt;"NULL")*($J$7:$J$10000 &gt;= ($G$1-4))))/5</f>
        <v>0.4</v>
      </c>
      <c r="J72" s="65">
        <v>3</v>
      </c>
      <c r="K72" t="s">
        <v>13</v>
      </c>
      <c r="L72" t="s">
        <v>204</v>
      </c>
      <c r="M72">
        <v>7</v>
      </c>
      <c r="N72" t="s">
        <v>3</v>
      </c>
      <c r="O72" t="s">
        <v>4</v>
      </c>
      <c r="P72">
        <f t="shared" ref="P72:P135" si="11">VLOOKUP($N72,$F$3:$G$4,2,FALSE)+VLOOKUP($L72,$B$20:$C$150,2,FALSE)+VLOOKUP($O72,$A$6:$B$16,2,FALSE)</f>
        <v>9.6894779501542132</v>
      </c>
      <c r="Q72">
        <f t="shared" ref="Q72:Q135" si="12">IFERROR(($M72-$P72)^2,"")</f>
        <v>7.2332916443657087</v>
      </c>
      <c r="R72" s="67" cm="1">
        <f t="array" ref="R72">SUMPRODUCT((J72=$J$7:$J$1000)*(P72&lt;$P$7:$P$1000))+1</f>
        <v>7</v>
      </c>
      <c r="S72" s="72"/>
      <c r="T72">
        <v>14</v>
      </c>
      <c r="U72" t="str">
        <v>ARC</v>
      </c>
      <c r="V72" t="str">
        <v>Albert O'Shannessey</v>
      </c>
      <c r="W72" t="str">
        <v>NULL</v>
      </c>
      <c r="X72" t="str">
        <v>Home</v>
      </c>
      <c r="Y72" t="str">
        <v>OGDC</v>
      </c>
      <c r="Z72">
        <v>3.2217169691128449</v>
      </c>
      <c r="AA72" s="1" t="str">
        <v>Tomas Bekerman</v>
      </c>
      <c r="AB72" s="1" cm="1">
        <f t="array" ref="AB72">COUNT(_xlfn._xlws.FILTER($J$7:$J$10000,($L$7:$L$10000=AA72)*($M$7:$M$10000&lt;&gt;"NULL")*($J$7:$J$10000 &gt;= ($G$1-5))))/5</f>
        <v>0.4</v>
      </c>
    </row>
    <row r="73" spans="1:28" x14ac:dyDescent="0.35">
      <c r="A73">
        <f>VLOOKUP($B73, PlayerIDs!$A$1:$B$516, 2, FALSE)</f>
        <v>813</v>
      </c>
      <c r="B73" t="s">
        <v>435</v>
      </c>
      <c r="C73" s="1">
        <v>4.4395017674834314</v>
      </c>
      <c r="D73" s="1">
        <f t="shared" si="7"/>
        <v>54</v>
      </c>
      <c r="E73" s="1" cm="1">
        <f t="array" ref="E73">IFERROR(VLOOKUP($B73,_xlfn._xlws.FILTER($L$7:$P$10000,$J$7:$J$10000=G$1+1),5, FALSE), 0)</f>
        <v>3.7321232241748543</v>
      </c>
      <c r="F73" s="1">
        <f t="shared" si="8"/>
        <v>55</v>
      </c>
      <c r="G73" s="1">
        <f t="shared" ca="1" si="9"/>
        <v>12.274488837391088</v>
      </c>
      <c r="H73" s="1">
        <f t="shared" ca="1" si="10"/>
        <v>62</v>
      </c>
      <c r="I73" s="1" cm="1">
        <f t="array" ref="I73">COUNT(_xlfn._xlws.FILTER($J$7:$J$10000,($L$7:$L$10000=B73)*($M$7:$M$10000&lt;&gt;"NULL")*($J$7:$J$10000 &gt;= ($G$1-4))))/5</f>
        <v>0</v>
      </c>
      <c r="J73" s="65">
        <v>3</v>
      </c>
      <c r="K73" t="s">
        <v>2</v>
      </c>
      <c r="L73" t="s">
        <v>213</v>
      </c>
      <c r="M73">
        <v>6.8</v>
      </c>
      <c r="N73" t="s">
        <v>3</v>
      </c>
      <c r="O73" t="s">
        <v>23</v>
      </c>
      <c r="P73">
        <f t="shared" si="11"/>
        <v>7.8144476199722792</v>
      </c>
      <c r="Q73">
        <f t="shared" si="12"/>
        <v>1.0291039736674221</v>
      </c>
      <c r="R73" s="67" cm="1">
        <f t="array" ref="R73">SUMPRODUCT((J73=$J$7:$J$1000)*(P73&lt;$P$7:$P$1000))+1</f>
        <v>15</v>
      </c>
      <c r="S73" s="72"/>
      <c r="T73">
        <v>14</v>
      </c>
      <c r="U73" t="str">
        <v>ARC</v>
      </c>
      <c r="V73" t="str">
        <v>Alejandro Martinez Tapia</v>
      </c>
      <c r="W73" t="str">
        <v>NULL</v>
      </c>
      <c r="X73" t="str">
        <v>Home</v>
      </c>
      <c r="Y73" t="str">
        <v>OGDC</v>
      </c>
      <c r="Z73">
        <v>5.7633844346543448</v>
      </c>
      <c r="AA73" s="1" t="str">
        <v>Tomás Casares</v>
      </c>
      <c r="AB73" s="1" cm="1">
        <f t="array" ref="AB73">COUNT(_xlfn._xlws.FILTER($J$7:$J$10000,($L$7:$L$10000=AA73)*($M$7:$M$10000&lt;&gt;"NULL")*($J$7:$J$10000 &gt;= ($G$1-5))))/5</f>
        <v>0</v>
      </c>
    </row>
    <row r="74" spans="1:28" x14ac:dyDescent="0.35">
      <c r="A74">
        <f>VLOOKUP($B74, PlayerIDs!$A$1:$B$516, 2, FALSE)</f>
        <v>274</v>
      </c>
      <c r="B74" t="s">
        <v>585</v>
      </c>
      <c r="C74" s="1">
        <v>4.2759103453256078</v>
      </c>
      <c r="D74" s="1">
        <f t="shared" si="7"/>
        <v>55</v>
      </c>
      <c r="E74" s="1" cm="1">
        <f t="array" ref="E74">IFERROR(VLOOKUP($B74,_xlfn._xlws.FILTER($L$7:$P$10000,$J$7:$J$10000=G$1+1),5, FALSE), 0)</f>
        <v>2.9133326308665692</v>
      </c>
      <c r="F74" s="1">
        <f t="shared" si="8"/>
        <v>58</v>
      </c>
      <c r="G74" s="1">
        <f t="shared" ca="1" si="9"/>
        <v>17.223559183949838</v>
      </c>
      <c r="H74" s="1">
        <f t="shared" ca="1" si="10"/>
        <v>51</v>
      </c>
      <c r="I74" s="1" cm="1">
        <f t="array" ref="I74">COUNT(_xlfn._xlws.FILTER($J$7:$J$10000,($L$7:$L$10000=B74)*($M$7:$M$10000&lt;&gt;"NULL")*($J$7:$J$10000 &gt;= ($G$1-4))))/5</f>
        <v>0.2</v>
      </c>
      <c r="J74" s="65">
        <v>3</v>
      </c>
      <c r="K74" t="s">
        <v>13</v>
      </c>
      <c r="L74" t="s">
        <v>103</v>
      </c>
      <c r="M74">
        <v>6.4</v>
      </c>
      <c r="N74" t="s">
        <v>3</v>
      </c>
      <c r="O74" t="s">
        <v>4</v>
      </c>
      <c r="P74">
        <f t="shared" si="11"/>
        <v>8.9856343830408054</v>
      </c>
      <c r="Q74">
        <f t="shared" si="12"/>
        <v>6.685505162762805</v>
      </c>
      <c r="R74" s="67" cm="1">
        <f t="array" ref="R74">SUMPRODUCT((J74=$J$7:$J$1000)*(P74&lt;$P$7:$P$1000))+1</f>
        <v>10</v>
      </c>
      <c r="S74" s="72"/>
      <c r="T74">
        <v>14</v>
      </c>
      <c r="U74" t="str">
        <v>ARC</v>
      </c>
      <c r="V74" t="str">
        <v>Colin Turner</v>
      </c>
      <c r="W74" t="str">
        <v>NULL</v>
      </c>
      <c r="X74" t="str">
        <v>Home</v>
      </c>
      <c r="Y74" t="str">
        <v>OGDC</v>
      </c>
      <c r="Z74">
        <v>4.2197609666125775</v>
      </c>
      <c r="AA74" s="1" t="str">
        <v>Tupou Ma'afu Afungia</v>
      </c>
      <c r="AB74" s="1" cm="1">
        <f t="array" ref="AB74">COUNT(_xlfn._xlws.FILTER($J$7:$J$10000,($L$7:$L$10000=AA74)*($M$7:$M$10000&lt;&gt;"NULL")*($J$7:$J$10000 &gt;= ($G$1-5))))/5</f>
        <v>0.2</v>
      </c>
    </row>
    <row r="75" spans="1:28" x14ac:dyDescent="0.35">
      <c r="A75">
        <f>VLOOKUP($B75, PlayerIDs!$A$1:$B$516, 2, FALSE)</f>
        <v>841</v>
      </c>
      <c r="B75" t="s">
        <v>430</v>
      </c>
      <c r="C75" s="1">
        <v>4.1705895165497617</v>
      </c>
      <c r="D75" s="1">
        <f t="shared" si="7"/>
        <v>56</v>
      </c>
      <c r="E75" s="1" cm="1">
        <f t="array" ref="E75">IFERROR(VLOOKUP($B75,_xlfn._xlws.FILTER($L$7:$P$10000,$J$7:$J$10000=G$1+1),5, FALSE), 0)</f>
        <v>4.8407174851485664</v>
      </c>
      <c r="F75" s="1">
        <f t="shared" si="8"/>
        <v>48</v>
      </c>
      <c r="G75" s="1">
        <f t="shared" ca="1" si="9"/>
        <v>17.493780643372578</v>
      </c>
      <c r="H75" s="1">
        <f t="shared" ca="1" si="10"/>
        <v>48</v>
      </c>
      <c r="I75" s="1" cm="1">
        <f t="array" ref="I75">COUNT(_xlfn._xlws.FILTER($J$7:$J$10000,($L$7:$L$10000=B75)*($M$7:$M$10000&lt;&gt;"NULL")*($J$7:$J$10000 &gt;= ($G$1-4))))/5</f>
        <v>0.6</v>
      </c>
      <c r="J75" s="65">
        <v>3</v>
      </c>
      <c r="K75" t="s">
        <v>34</v>
      </c>
      <c r="L75" t="s">
        <v>436</v>
      </c>
      <c r="M75">
        <v>6.1</v>
      </c>
      <c r="N75" t="s">
        <v>9</v>
      </c>
      <c r="O75" t="s">
        <v>7</v>
      </c>
      <c r="P75">
        <f t="shared" si="11"/>
        <v>6.7751885235665474</v>
      </c>
      <c r="Q75">
        <f t="shared" si="12"/>
        <v>0.45587954235597467</v>
      </c>
      <c r="R75" s="67" cm="1">
        <f t="array" ref="R75">SUMPRODUCT((J75=$J$7:$J$1000)*(P75&lt;$P$7:$P$1000))+1</f>
        <v>19</v>
      </c>
      <c r="S75" s="72"/>
      <c r="T75">
        <v>14</v>
      </c>
      <c r="U75" t="str">
        <v>ARC</v>
      </c>
      <c r="V75" t="str">
        <v>Dylan Fortune</v>
      </c>
      <c r="W75" t="str">
        <v>NULL</v>
      </c>
      <c r="X75" t="str">
        <v>Home</v>
      </c>
      <c r="Y75" t="str">
        <v>OGDC</v>
      </c>
      <c r="Z75">
        <v>3.0309177261321603</v>
      </c>
      <c r="AA75" s="1" t="str">
        <v>Vili Helu</v>
      </c>
      <c r="AB75" s="1" cm="1">
        <f t="array" ref="AB75">COUNT(_xlfn._xlws.FILTER($J$7:$J$10000,($L$7:$L$10000=AA75)*($M$7:$M$10000&lt;&gt;"NULL")*($J$7:$J$10000 &gt;= ($G$1-5))))/5</f>
        <v>0.4</v>
      </c>
    </row>
    <row r="76" spans="1:28" x14ac:dyDescent="0.35">
      <c r="A76">
        <f>VLOOKUP($B76, PlayerIDs!$A$1:$B$516, 2, FALSE)</f>
        <v>527</v>
      </c>
      <c r="B76" t="s">
        <v>197</v>
      </c>
      <c r="C76" s="1">
        <v>3.9932045684858037</v>
      </c>
      <c r="D76" s="1">
        <f t="shared" si="7"/>
        <v>57</v>
      </c>
      <c r="E76" s="1" cm="1">
        <f t="array" ref="E76">IFERROR(VLOOKUP($B76,_xlfn._xlws.FILTER($L$7:$P$10000,$J$7:$J$10000=G$1+1),5, FALSE), 0)</f>
        <v>4.2397848294343374</v>
      </c>
      <c r="F76" s="1">
        <f t="shared" si="8"/>
        <v>51</v>
      </c>
      <c r="G76" s="1">
        <f t="shared" ca="1" si="9"/>
        <v>15.111273013768162</v>
      </c>
      <c r="H76" s="1">
        <f t="shared" ca="1" si="10"/>
        <v>55</v>
      </c>
      <c r="I76" s="1" cm="1">
        <f t="array" ref="I76">COUNT(_xlfn._xlws.FILTER($J$7:$J$10000,($L$7:$L$10000=B76)*($M$7:$M$10000&lt;&gt;"NULL")*($J$7:$J$10000 &gt;= ($G$1-4))))/5</f>
        <v>0.4</v>
      </c>
      <c r="J76" s="65">
        <v>3</v>
      </c>
      <c r="K76" t="s">
        <v>36</v>
      </c>
      <c r="L76" t="s">
        <v>225</v>
      </c>
      <c r="M76">
        <v>5.8</v>
      </c>
      <c r="N76" t="s">
        <v>3</v>
      </c>
      <c r="O76" t="s">
        <v>17</v>
      </c>
      <c r="P76">
        <f t="shared" si="11"/>
        <v>11.810734721991873</v>
      </c>
      <c r="Q76">
        <f t="shared" si="12"/>
        <v>36.128931898158719</v>
      </c>
      <c r="R76" s="67" cm="1">
        <f t="array" ref="R76">SUMPRODUCT((J76=$J$7:$J$1000)*(P76&lt;$P$7:$P$1000))+1</f>
        <v>3</v>
      </c>
      <c r="S76" s="72"/>
      <c r="T76">
        <v>14</v>
      </c>
      <c r="U76" t="str">
        <v>ARC</v>
      </c>
      <c r="V76" t="str">
        <v>Graeme Pedegana</v>
      </c>
      <c r="W76" t="str">
        <v>NULL</v>
      </c>
      <c r="X76" t="str">
        <v>Home</v>
      </c>
      <c r="Y76" t="str">
        <v>OGDC</v>
      </c>
      <c r="Z76">
        <v>5.3357478226407418</v>
      </c>
      <c r="AA76" s="1" t="str">
        <v>Wian Conradie</v>
      </c>
      <c r="AB76" s="1" cm="1">
        <f t="array" ref="AB76">COUNT(_xlfn._xlws.FILTER($J$7:$J$10000,($L$7:$L$10000=AA76)*($M$7:$M$10000&lt;&gt;"NULL")*($J$7:$J$10000 &gt;= ($G$1-5))))/5</f>
        <v>0.8</v>
      </c>
    </row>
    <row r="77" spans="1:28" x14ac:dyDescent="0.35">
      <c r="A77">
        <f>VLOOKUP($B77, PlayerIDs!$A$1:$B$516, 2, FALSE)</f>
        <v>428</v>
      </c>
      <c r="B77" t="s">
        <v>511</v>
      </c>
      <c r="C77" s="1">
        <v>3.9338613577696329</v>
      </c>
      <c r="D77" s="1">
        <f t="shared" si="7"/>
        <v>58</v>
      </c>
      <c r="E77" s="1" cm="1">
        <f t="array" ref="E77">IFERROR(VLOOKUP($B77,_xlfn._xlws.FILTER($L$7:$P$10000,$J$7:$J$10000=G$1+1),5, FALSE), 0)</f>
        <v>5.0996587710658625</v>
      </c>
      <c r="F77" s="1">
        <f t="shared" si="8"/>
        <v>46</v>
      </c>
      <c r="G77" s="1">
        <f t="shared" ca="1" si="9"/>
        <v>15.7442343100386</v>
      </c>
      <c r="H77" s="1">
        <f t="shared" ca="1" si="10"/>
        <v>52</v>
      </c>
      <c r="I77" s="1" cm="1">
        <f t="array" ref="I77">COUNT(_xlfn._xlws.FILTER($J$7:$J$10000,($L$7:$L$10000=B77)*($M$7:$M$10000&lt;&gt;"NULL")*($J$7:$J$10000 &gt;= ($G$1-4))))/5</f>
        <v>0</v>
      </c>
      <c r="J77" s="65">
        <v>3</v>
      </c>
      <c r="K77" t="s">
        <v>36</v>
      </c>
      <c r="L77" t="s">
        <v>216</v>
      </c>
      <c r="M77">
        <v>4.5</v>
      </c>
      <c r="N77" t="s">
        <v>3</v>
      </c>
      <c r="O77" t="s">
        <v>17</v>
      </c>
      <c r="P77">
        <f t="shared" si="11"/>
        <v>4.8536246809958001</v>
      </c>
      <c r="Q77">
        <f t="shared" si="12"/>
        <v>0.12505041500938141</v>
      </c>
      <c r="R77" s="67" cm="1">
        <f t="array" ref="R77">SUMPRODUCT((J77=$J$7:$J$1000)*(P77&lt;$P$7:$P$1000))+1</f>
        <v>27</v>
      </c>
      <c r="S77" s="72"/>
      <c r="T77">
        <v>14</v>
      </c>
      <c r="U77" t="str">
        <v>ARC</v>
      </c>
      <c r="V77" t="str">
        <v>Makeen Alikhan</v>
      </c>
      <c r="W77" t="str">
        <v>NULL</v>
      </c>
      <c r="X77" t="str">
        <v>Home</v>
      </c>
      <c r="Y77" t="str">
        <v>OGDC</v>
      </c>
      <c r="Z77">
        <v>7.4786633051483768</v>
      </c>
      <c r="AA77" s="1">
        <v>0</v>
      </c>
      <c r="AB77" s="1" cm="1">
        <f t="array" ref="AB77">COUNT(_xlfn._xlws.FILTER($J$7:$J$10000,($L$7:$L$10000=AA77)*($M$7:$M$10000&lt;&gt;"NULL")*($J$7:$J$10000 &gt;= ($G$1-5))))/5</f>
        <v>0</v>
      </c>
    </row>
    <row r="78" spans="1:28" x14ac:dyDescent="0.35">
      <c r="A78">
        <f>VLOOKUP($B78, PlayerIDs!$A$1:$B$516, 2, FALSE)</f>
        <v>564</v>
      </c>
      <c r="B78" t="s">
        <v>217</v>
      </c>
      <c r="C78" s="1">
        <v>3.8351344333517456</v>
      </c>
      <c r="D78" s="1">
        <f t="shared" si="7"/>
        <v>59</v>
      </c>
      <c r="E78" s="1" cm="1">
        <f t="array" ref="E78">IFERROR(VLOOKUP($B78,_xlfn._xlws.FILTER($L$7:$P$10000,$J$7:$J$10000=G$1+1),5, FALSE), 0)</f>
        <v>5.0009318466479753</v>
      </c>
      <c r="F78" s="1">
        <f t="shared" si="8"/>
        <v>47</v>
      </c>
      <c r="G78" s="1">
        <f t="shared" ca="1" si="9"/>
        <v>15.349326612367051</v>
      </c>
      <c r="H78" s="1">
        <f t="shared" ca="1" si="10"/>
        <v>53</v>
      </c>
      <c r="I78" s="1" cm="1">
        <f t="array" ref="I78">COUNT(_xlfn._xlws.FILTER($J$7:$J$10000,($L$7:$L$10000=B78)*($M$7:$M$10000&lt;&gt;"NULL")*($J$7:$J$10000 &gt;= ($G$1-4))))/5</f>
        <v>0.2</v>
      </c>
      <c r="J78" s="65">
        <v>3</v>
      </c>
      <c r="K78" t="s">
        <v>23</v>
      </c>
      <c r="L78" t="s">
        <v>431</v>
      </c>
      <c r="M78">
        <v>4.5</v>
      </c>
      <c r="N78" t="s">
        <v>9</v>
      </c>
      <c r="O78" t="s">
        <v>2</v>
      </c>
      <c r="P78">
        <f t="shared" si="11"/>
        <v>8.296224704958691</v>
      </c>
      <c r="Q78">
        <f t="shared" si="12"/>
        <v>14.411322010538701</v>
      </c>
      <c r="R78" s="67" cm="1">
        <f t="array" ref="R78">SUMPRODUCT((J78=$J$7:$J$1000)*(P78&lt;$P$7:$P$1000))+1</f>
        <v>12</v>
      </c>
      <c r="S78" s="72"/>
      <c r="T78">
        <v>14</v>
      </c>
      <c r="U78" t="str">
        <v>ARC</v>
      </c>
      <c r="V78" t="str">
        <v>Sam Golla</v>
      </c>
      <c r="W78" t="str">
        <v>NULL</v>
      </c>
      <c r="X78" t="str">
        <v>Home</v>
      </c>
      <c r="Y78" t="str">
        <v>OGDC</v>
      </c>
      <c r="Z78">
        <v>4.8627564768617102</v>
      </c>
      <c r="AA78" s="1"/>
      <c r="AB78" s="1" cm="1">
        <f t="array" ref="AB78">COUNT(_xlfn._xlws.FILTER($J$7:$J$10000,($L$7:$L$10000=AA78)*($M$7:$M$10000&lt;&gt;"NULL")*($J$7:$J$10000 &gt;= ($G$1-5))))/5</f>
        <v>0</v>
      </c>
    </row>
    <row r="79" spans="1:28" x14ac:dyDescent="0.35">
      <c r="A79">
        <f>VLOOKUP($B79, PlayerIDs!$A$1:$B$516, 2, FALSE)</f>
        <v>528</v>
      </c>
      <c r="B79" t="s">
        <v>203</v>
      </c>
      <c r="C79" s="1">
        <v>3.8024053255051191</v>
      </c>
      <c r="D79" s="1">
        <f t="shared" si="7"/>
        <v>60</v>
      </c>
      <c r="E79" s="1" cm="1">
        <f t="array" ref="E79">IFERROR(VLOOKUP($B79,_xlfn._xlws.FILTER($L$7:$P$10000,$J$7:$J$10000=G$1+1),5, FALSE), 0)</f>
        <v>4.0489855864536528</v>
      </c>
      <c r="F79" s="1">
        <f t="shared" si="8"/>
        <v>54</v>
      </c>
      <c r="G79" s="1">
        <f t="shared" ca="1" si="9"/>
        <v>14.348076041845424</v>
      </c>
      <c r="H79" s="1">
        <f t="shared" ca="1" si="10"/>
        <v>57</v>
      </c>
      <c r="I79" s="1" cm="1">
        <f t="array" ref="I79">COUNT(_xlfn._xlws.FILTER($J$7:$J$10000,($L$7:$L$10000=B79)*($M$7:$M$10000&lt;&gt;"NULL")*($J$7:$J$10000 &gt;= ($G$1-4))))/5</f>
        <v>0.2</v>
      </c>
      <c r="J79" s="65">
        <v>3</v>
      </c>
      <c r="K79" t="s">
        <v>14</v>
      </c>
      <c r="L79" t="s">
        <v>396</v>
      </c>
      <c r="M79">
        <v>4.4000000000000004</v>
      </c>
      <c r="N79" t="s">
        <v>3</v>
      </c>
      <c r="O79" t="s">
        <v>24</v>
      </c>
      <c r="P79">
        <f t="shared" si="11"/>
        <v>7.5427723612127586</v>
      </c>
      <c r="Q79">
        <f t="shared" si="12"/>
        <v>9.8770181144028157</v>
      </c>
      <c r="R79" s="67" cm="1">
        <f t="array" ref="R79">SUMPRODUCT((J79=$J$7:$J$1000)*(P79&lt;$P$7:$P$1000))+1</f>
        <v>16</v>
      </c>
      <c r="S79" s="72"/>
      <c r="T79">
        <v>14</v>
      </c>
      <c r="U79" t="str">
        <v>ARC</v>
      </c>
      <c r="V79" t="str">
        <v>Tomalati Ma'afu</v>
      </c>
      <c r="W79" t="str">
        <v>NULL</v>
      </c>
      <c r="X79" t="str">
        <v>Home</v>
      </c>
      <c r="Y79" t="str">
        <v>OGDC</v>
      </c>
      <c r="Z79">
        <v>4.3041239732989318</v>
      </c>
      <c r="AA79" s="1"/>
      <c r="AB79" s="1" cm="1">
        <f t="array" ref="AB79">COUNT(_xlfn._xlws.FILTER($J$7:$J$10000,($L$7:$L$10000=AA79)*($M$7:$M$10000&lt;&gt;"NULL")*($J$7:$J$10000 &gt;= ($G$1-5))))/5</f>
        <v>0</v>
      </c>
    </row>
    <row r="80" spans="1:28" x14ac:dyDescent="0.35">
      <c r="A80">
        <f>VLOOKUP($B80, PlayerIDs!$A$1:$B$516, 2, FALSE)</f>
        <v>37</v>
      </c>
      <c r="B80" t="s">
        <v>665</v>
      </c>
      <c r="C80" s="1">
        <v>3.751293003797203</v>
      </c>
      <c r="D80" s="1">
        <f t="shared" si="7"/>
        <v>61</v>
      </c>
      <c r="E80" s="1" cm="1">
        <f t="array" ref="E80">IFERROR(VLOOKUP($B80,_xlfn._xlws.FILTER($L$7:$P$10000,$J$7:$J$10000=G$1+1),5, FALSE), 0)</f>
        <v>2.3887152893381645</v>
      </c>
      <c r="F80" s="1">
        <f t="shared" si="8"/>
        <v>60</v>
      </c>
      <c r="G80" s="1">
        <f t="shared" ca="1" si="9"/>
        <v>15.125089817836219</v>
      </c>
      <c r="H80" s="1">
        <f t="shared" ca="1" si="10"/>
        <v>54</v>
      </c>
      <c r="I80" s="1" cm="1">
        <f t="array" ref="I80">COUNT(_xlfn._xlws.FILTER($J$7:$J$10000,($L$7:$L$10000=B80)*($M$7:$M$10000&lt;&gt;"NULL")*($J$7:$J$10000 &gt;= ($G$1-4))))/5</f>
        <v>0.2</v>
      </c>
      <c r="J80" s="65">
        <v>3</v>
      </c>
      <c r="K80" t="s">
        <v>2</v>
      </c>
      <c r="L80" t="s">
        <v>115</v>
      </c>
      <c r="M80">
        <v>4.3</v>
      </c>
      <c r="N80" t="s">
        <v>3</v>
      </c>
      <c r="O80" t="s">
        <v>23</v>
      </c>
      <c r="P80">
        <f t="shared" si="11"/>
        <v>7.4566500217664196</v>
      </c>
      <c r="Q80">
        <f t="shared" si="12"/>
        <v>9.9644393599179377</v>
      </c>
      <c r="R80" s="67" cm="1">
        <f t="array" ref="R80">SUMPRODUCT((J80=$J$7:$J$1000)*(P80&lt;$P$7:$P$1000))+1</f>
        <v>17</v>
      </c>
      <c r="S80" s="72"/>
      <c r="T80">
        <v>14</v>
      </c>
      <c r="U80" t="str">
        <v>CHI</v>
      </c>
      <c r="V80" t="str">
        <v>Brad Tucker</v>
      </c>
      <c r="W80" t="str">
        <v>NULL</v>
      </c>
      <c r="X80" t="str">
        <v>Home</v>
      </c>
      <c r="Y80" t="str">
        <v>LA</v>
      </c>
      <c r="Z80">
        <v>3.397863139008614</v>
      </c>
      <c r="AA80" s="1"/>
      <c r="AB80" s="1" cm="1">
        <f t="array" ref="AB80">COUNT(_xlfn._xlws.FILTER($J$7:$J$10000,($L$7:$L$10000=AA80)*($M$7:$M$10000&lt;&gt;"NULL")*($J$7:$J$10000 &gt;= ($G$1-5))))/5</f>
        <v>0</v>
      </c>
    </row>
    <row r="81" spans="1:28" x14ac:dyDescent="0.35">
      <c r="A81">
        <f>VLOOKUP($B81, PlayerIDs!$A$1:$B$516, 2, FALSE)</f>
        <v>580</v>
      </c>
      <c r="B81" t="s">
        <v>224</v>
      </c>
      <c r="C81" s="1">
        <v>3.3557345367441629</v>
      </c>
      <c r="D81" s="1">
        <f t="shared" si="7"/>
        <v>62</v>
      </c>
      <c r="E81" s="1" cm="1">
        <f t="array" ref="E81">IFERROR(VLOOKUP($B81,_xlfn._xlws.FILTER($L$7:$P$10000,$J$7:$J$10000=G$1+1),5, FALSE), 0)</f>
        <v>4.5147437073927517</v>
      </c>
      <c r="F81" s="1">
        <f t="shared" si="8"/>
        <v>49</v>
      </c>
      <c r="G81" s="1">
        <f t="shared" ca="1" si="9"/>
        <v>10.508989475069793</v>
      </c>
      <c r="H81" s="1">
        <f t="shared" ca="1" si="10"/>
        <v>63</v>
      </c>
      <c r="I81" s="1" cm="1">
        <f t="array" ref="I81">COUNT(_xlfn._xlws.FILTER($J$7:$J$10000,($L$7:$L$10000=B81)*($M$7:$M$10000&lt;&gt;"NULL")*($J$7:$J$10000 &gt;= ($G$1-4))))/5</f>
        <v>0</v>
      </c>
      <c r="J81" s="65">
        <v>3</v>
      </c>
      <c r="K81" t="s">
        <v>4</v>
      </c>
      <c r="L81" t="s">
        <v>209</v>
      </c>
      <c r="M81">
        <v>4.2</v>
      </c>
      <c r="N81" t="s">
        <v>9</v>
      </c>
      <c r="O81" t="s">
        <v>13</v>
      </c>
      <c r="P81">
        <f t="shared" si="11"/>
        <v>12.504503171465759</v>
      </c>
      <c r="Q81">
        <f t="shared" si="12"/>
        <v>68.964772924884826</v>
      </c>
      <c r="R81" s="67" cm="1">
        <f t="array" ref="R81">SUMPRODUCT((J81=$J$7:$J$1000)*(P81&lt;$P$7:$P$1000))+1</f>
        <v>2</v>
      </c>
      <c r="S81" s="72"/>
      <c r="T81">
        <v>14</v>
      </c>
      <c r="U81" t="str">
        <v>CHI</v>
      </c>
      <c r="V81" t="str">
        <v>Conall Boomer</v>
      </c>
      <c r="W81" t="str">
        <v>NULL</v>
      </c>
      <c r="X81" t="str">
        <v>Home</v>
      </c>
      <c r="Y81" t="str">
        <v>LA</v>
      </c>
      <c r="Z81">
        <v>6.1875852316004138</v>
      </c>
      <c r="AA81" s="1"/>
      <c r="AB81" s="1" cm="1">
        <f t="array" ref="AB81">COUNT(_xlfn._xlws.FILTER($J$7:$J$10000,($L$7:$L$10000=AA81)*($M$7:$M$10000&lt;&gt;"NULL")*($J$7:$J$10000 &gt;= ($G$1-5))))/5</f>
        <v>0</v>
      </c>
    </row>
    <row r="82" spans="1:28" x14ac:dyDescent="0.35">
      <c r="A82">
        <f>VLOOKUP($B82, PlayerIDs!$A$1:$B$516, 2, FALSE)</f>
        <v>565</v>
      </c>
      <c r="B82" t="s">
        <v>689</v>
      </c>
      <c r="C82" s="1">
        <v>2.8667847360022951</v>
      </c>
      <c r="D82" s="1">
        <f t="shared" si="7"/>
        <v>63</v>
      </c>
      <c r="E82" s="1" cm="1">
        <f t="array" ref="E82">IFERROR(VLOOKUP($B82,_xlfn._xlws.FILTER($L$7:$P$10000,$J$7:$J$10000=G$1+1),5, FALSE), 0)</f>
        <v>2.9063398517236538</v>
      </c>
      <c r="F82" s="1">
        <f t="shared" si="8"/>
        <v>59</v>
      </c>
      <c r="G82" s="1">
        <f t="shared" ca="1" si="9"/>
        <v>13.539636269177979</v>
      </c>
      <c r="H82" s="1">
        <f t="shared" ca="1" si="10"/>
        <v>60</v>
      </c>
      <c r="I82" s="1" cm="1">
        <f t="array" ref="I82">COUNT(_xlfn._xlws.FILTER($J$7:$J$10000,($L$7:$L$10000=B82)*($M$7:$M$10000&lt;&gt;"NULL")*($J$7:$J$10000 &gt;= ($G$1-4))))/5</f>
        <v>0.2</v>
      </c>
      <c r="J82" s="65">
        <v>3</v>
      </c>
      <c r="K82" t="s">
        <v>14</v>
      </c>
      <c r="L82" t="s">
        <v>107</v>
      </c>
      <c r="M82">
        <v>4.0999999999999996</v>
      </c>
      <c r="N82" t="s">
        <v>3</v>
      </c>
      <c r="O82" t="s">
        <v>24</v>
      </c>
      <c r="P82">
        <f t="shared" si="11"/>
        <v>4.926865532926092</v>
      </c>
      <c r="Q82">
        <f t="shared" si="12"/>
        <v>0.6837066095411507</v>
      </c>
      <c r="R82" s="67" cm="1">
        <f t="array" ref="R82">SUMPRODUCT((J82=$J$7:$J$1000)*(P82&lt;$P$7:$P$1000))+1</f>
        <v>26</v>
      </c>
      <c r="S82" s="72"/>
      <c r="T82">
        <v>14</v>
      </c>
      <c r="U82" t="str">
        <v>CHI</v>
      </c>
      <c r="V82" t="str">
        <v>Lucas Rumball</v>
      </c>
      <c r="W82" t="str">
        <v>NULL</v>
      </c>
      <c r="X82" t="str">
        <v>Home</v>
      </c>
      <c r="Y82" t="str">
        <v>LA</v>
      </c>
      <c r="Z82">
        <v>8.1039769231275844</v>
      </c>
      <c r="AA82" s="1"/>
      <c r="AB82" s="1" cm="1">
        <f t="array" ref="AB82">COUNT(_xlfn._xlws.FILTER($J$7:$J$10000,($L$7:$L$10000=AA82)*($M$7:$M$10000&lt;&gt;"NULL")*($J$7:$J$10000 &gt;= ($G$1-5))))/5</f>
        <v>0</v>
      </c>
    </row>
    <row r="83" spans="1:28" x14ac:dyDescent="0.35">
      <c r="A83">
        <f>VLOOKUP($B83, PlayerIDs!$A$1:$B$516, 2, FALSE)</f>
        <v>416</v>
      </c>
      <c r="B83" t="s">
        <v>227</v>
      </c>
      <c r="C83" s="1">
        <v>2.7733742267047021</v>
      </c>
      <c r="D83" s="1">
        <f t="shared" si="7"/>
        <v>64</v>
      </c>
      <c r="E83" s="1" cm="1">
        <f t="array" ref="E83">IFERROR(VLOOKUP($B83,_xlfn._xlws.FILTER($L$7:$P$10000,$J$7:$J$10000=G$1+1),5, FALSE), 0)</f>
        <v>2.3703809285199848</v>
      </c>
      <c r="F83" s="1">
        <f t="shared" si="8"/>
        <v>61</v>
      </c>
      <c r="G83" s="1">
        <f t="shared" ca="1" si="9"/>
        <v>8.4493262058164156</v>
      </c>
      <c r="H83" s="1">
        <f t="shared" ca="1" si="10"/>
        <v>65</v>
      </c>
      <c r="I83" s="1" cm="1">
        <f t="array" ref="I83">COUNT(_xlfn._xlws.FILTER($J$7:$J$10000,($L$7:$L$10000=B83)*($M$7:$M$10000&lt;&gt;"NULL")*($J$7:$J$10000 &gt;= ($G$1-4))))/5</f>
        <v>0.2</v>
      </c>
      <c r="J83" s="65">
        <v>3</v>
      </c>
      <c r="K83" t="s">
        <v>36</v>
      </c>
      <c r="L83" t="s">
        <v>205</v>
      </c>
      <c r="M83">
        <v>4</v>
      </c>
      <c r="N83" t="s">
        <v>3</v>
      </c>
      <c r="O83" t="s">
        <v>17</v>
      </c>
      <c r="P83">
        <f t="shared" si="11"/>
        <v>7.1283505227481907</v>
      </c>
      <c r="Q83">
        <f t="shared" si="12"/>
        <v>9.786576993178878</v>
      </c>
      <c r="R83" s="67" cm="1">
        <f t="array" ref="R83">SUMPRODUCT((J83=$J$7:$J$1000)*(P83&lt;$P$7:$P$1000))+1</f>
        <v>18</v>
      </c>
      <c r="S83" s="72"/>
      <c r="T83">
        <v>14</v>
      </c>
      <c r="U83" t="str">
        <v>CHI</v>
      </c>
      <c r="V83" t="str">
        <v>Luke White</v>
      </c>
      <c r="W83" t="str">
        <v>NULL</v>
      </c>
      <c r="X83" t="str">
        <v>Home</v>
      </c>
      <c r="Y83" t="str">
        <v>LA</v>
      </c>
      <c r="Z83">
        <v>3.9224804805370188</v>
      </c>
      <c r="AA83" s="1"/>
      <c r="AB83" s="1" cm="1">
        <f t="array" ref="AB83">COUNT(_xlfn._xlws.FILTER($J$7:$J$10000,($L$7:$L$10000=AA83)*($M$7:$M$10000&lt;&gt;"NULL")*($J$7:$J$10000 &gt;= ($G$1-5))))/5</f>
        <v>0</v>
      </c>
    </row>
    <row r="84" spans="1:28" x14ac:dyDescent="0.35">
      <c r="A84">
        <f>VLOOKUP($B84, PlayerIDs!$A$1:$B$516, 2, FALSE)</f>
        <v>436</v>
      </c>
      <c r="B84" t="s">
        <v>486</v>
      </c>
      <c r="C84" s="1">
        <v>2.5616869693412752</v>
      </c>
      <c r="D84" s="1">
        <f t="shared" ref="D84:D89" si="13">RANK($C84,$C$20:$C$106)</f>
        <v>65</v>
      </c>
      <c r="E84" s="1" cm="1">
        <f t="array" ref="E84">IFERROR(VLOOKUP($B84,_xlfn._xlws.FILTER($L$7:$P$10000,$J$7:$J$10000=G$1+1),5, FALSE), 0)</f>
        <v>1.8543084260326983</v>
      </c>
      <c r="F84" s="1">
        <f t="shared" ref="F84:F89" si="14">RANK(E84,$E$20:$E$100)</f>
        <v>63</v>
      </c>
      <c r="G84" s="1">
        <f t="shared" ref="G84:G89" ca="1" si="15">SUMIF(V:Z,$B84,Z:Z)</f>
        <v>6.6410444429646196</v>
      </c>
      <c r="H84" s="1">
        <f t="shared" ref="H84:H89" ca="1" si="16">RANK($G84,$G$20:$G$106)</f>
        <v>68</v>
      </c>
      <c r="I84" s="1" cm="1">
        <f t="array" ref="I84">COUNT(_xlfn._xlws.FILTER($J$7:$J$10000,($L$7:$L$10000=B84)*($M$7:$M$10000&lt;&gt;"NULL")*($J$7:$J$10000 &gt;= ($G$1-4))))/5</f>
        <v>0.2</v>
      </c>
      <c r="J84" s="65">
        <v>3</v>
      </c>
      <c r="K84" t="s">
        <v>7</v>
      </c>
      <c r="L84" t="s">
        <v>211</v>
      </c>
      <c r="M84">
        <v>4</v>
      </c>
      <c r="N84" t="s">
        <v>3</v>
      </c>
      <c r="O84" t="s">
        <v>34</v>
      </c>
      <c r="P84">
        <f t="shared" si="11"/>
        <v>6.5195790524197639</v>
      </c>
      <c r="Q84">
        <f t="shared" si="12"/>
        <v>6.348278601392475</v>
      </c>
      <c r="R84" s="67" cm="1">
        <f t="array" ref="R84">SUMPRODUCT((J84=$J$7:$J$1000)*(P84&lt;$P$7:$P$1000))+1</f>
        <v>21</v>
      </c>
      <c r="S84" s="72"/>
      <c r="T84">
        <v>14</v>
      </c>
      <c r="U84" t="str">
        <v>CHI</v>
      </c>
      <c r="V84" t="str">
        <v>Maclean Jones</v>
      </c>
      <c r="W84" t="str">
        <v>NULL</v>
      </c>
      <c r="X84" t="str">
        <v>Home</v>
      </c>
      <c r="Y84" t="str">
        <v>LA</v>
      </c>
      <c r="Z84">
        <v>9.4236055953798523</v>
      </c>
      <c r="AA84" s="1"/>
      <c r="AB84" s="1" cm="1">
        <f t="array" ref="AB84">COUNT(_xlfn._xlws.FILTER($J$7:$J$10000,($L$7:$L$10000=AA84)*($M$7:$M$10000&lt;&gt;"NULL")*($J$7:$J$10000 &gt;= ($G$1-5))))/5</f>
        <v>0</v>
      </c>
    </row>
    <row r="85" spans="1:28" x14ac:dyDescent="0.35">
      <c r="A85">
        <f>VLOOKUP($B85, PlayerIDs!$A$1:$B$516, 2, FALSE)</f>
        <v>241</v>
      </c>
      <c r="B85" t="s">
        <v>576</v>
      </c>
      <c r="C85" s="1">
        <v>2.4342022402923371</v>
      </c>
      <c r="D85" s="1">
        <f t="shared" si="13"/>
        <v>66</v>
      </c>
      <c r="E85" s="1" cm="1">
        <f t="array" ref="E85">IFERROR(VLOOKUP($B85,_xlfn._xlws.FILTER($L$7:$P$10000,$J$7:$J$10000=G$1+1),5, FALSE), 0)</f>
        <v>3.5932114109409254</v>
      </c>
      <c r="F85" s="1">
        <f t="shared" si="14"/>
        <v>56</v>
      </c>
      <c r="G85" s="1">
        <f t="shared" ca="1" si="15"/>
        <v>7.7443925857143139</v>
      </c>
      <c r="H85" s="1">
        <f t="shared" ca="1" si="16"/>
        <v>67</v>
      </c>
      <c r="I85" s="1" cm="1">
        <f t="array" ref="I85">COUNT(_xlfn._xlws.FILTER($J$7:$J$10000,($L$7:$L$10000=B85)*($M$7:$M$10000&lt;&gt;"NULL")*($J$7:$J$10000 &gt;= ($G$1-4))))/5</f>
        <v>0</v>
      </c>
      <c r="J85" s="65">
        <v>3</v>
      </c>
      <c r="K85" t="s">
        <v>13</v>
      </c>
      <c r="L85" t="s">
        <v>210</v>
      </c>
      <c r="M85">
        <v>3.8</v>
      </c>
      <c r="N85" t="s">
        <v>3</v>
      </c>
      <c r="O85" t="s">
        <v>4</v>
      </c>
      <c r="P85">
        <f t="shared" si="11"/>
        <v>5.8349573245970845</v>
      </c>
      <c r="Q85">
        <f t="shared" si="12"/>
        <v>4.1410513129313244</v>
      </c>
      <c r="R85" s="67" cm="1">
        <f t="array" ref="R85">SUMPRODUCT((J85=$J$7:$J$1000)*(P85&lt;$P$7:$P$1000))+1</f>
        <v>24</v>
      </c>
      <c r="S85" s="72"/>
      <c r="T85">
        <v>14</v>
      </c>
      <c r="U85" t="str">
        <v>CHI</v>
      </c>
      <c r="V85" t="str">
        <v>Mason Flesch</v>
      </c>
      <c r="W85" t="str">
        <v>NULL</v>
      </c>
      <c r="X85" t="str">
        <v>Home</v>
      </c>
      <c r="Y85" t="str">
        <v>LA</v>
      </c>
      <c r="Z85">
        <v>9.0658079971739927</v>
      </c>
      <c r="AA85" s="1"/>
      <c r="AB85" s="1" cm="1">
        <f t="array" ref="AB85">COUNT(_xlfn._xlws.FILTER($J$7:$J$10000,($L$7:$L$10000=AA85)*($M$7:$M$10000&lt;&gt;"NULL")*($J$7:$J$10000 &gt;= ($G$1-5))))/5</f>
        <v>0</v>
      </c>
    </row>
    <row r="86" spans="1:28" x14ac:dyDescent="0.35">
      <c r="A86">
        <f>VLOOKUP($B86, PlayerIDs!$A$1:$B$516, 2, FALSE)</f>
        <v>560</v>
      </c>
      <c r="B86" t="s">
        <v>607</v>
      </c>
      <c r="C86" s="1">
        <v>2.034048721015203</v>
      </c>
      <c r="D86" s="1">
        <f t="shared" si="13"/>
        <v>67</v>
      </c>
      <c r="E86" s="1" cm="1">
        <f t="array" ref="E86">IFERROR(VLOOKUP($B86,_xlfn._xlws.FILTER($L$7:$P$10000,$J$7:$J$10000=G$1+1),5, FALSE), 0)</f>
        <v>3.1998461343114322</v>
      </c>
      <c r="F86" s="1">
        <f t="shared" si="14"/>
        <v>57</v>
      </c>
      <c r="G86" s="1">
        <f t="shared" ca="1" si="15"/>
        <v>8.1449837630208783</v>
      </c>
      <c r="H86" s="1">
        <f t="shared" ca="1" si="16"/>
        <v>66</v>
      </c>
      <c r="I86" s="1" cm="1">
        <f t="array" ref="I86">COUNT(_xlfn._xlws.FILTER($J$7:$J$10000,($L$7:$L$10000=B86)*($M$7:$M$10000&lt;&gt;"NULL")*($J$7:$J$10000 &gt;= ($G$1-4))))/5</f>
        <v>0.4</v>
      </c>
      <c r="J86" s="65">
        <v>3</v>
      </c>
      <c r="K86" t="s">
        <v>4</v>
      </c>
      <c r="L86" t="s">
        <v>486</v>
      </c>
      <c r="M86">
        <v>3.7</v>
      </c>
      <c r="N86" t="s">
        <v>9</v>
      </c>
      <c r="O86" t="s">
        <v>13</v>
      </c>
      <c r="P86">
        <f t="shared" si="11"/>
        <v>1.8049085478086311</v>
      </c>
      <c r="Q86">
        <f t="shared" si="12"/>
        <v>3.5913716121687922</v>
      </c>
      <c r="R86" s="67" cm="1">
        <f t="array" ref="R86">SUMPRODUCT((J86=$J$7:$J$1000)*(P86&lt;$P$7:$P$1000))+1</f>
        <v>30</v>
      </c>
      <c r="S86" s="72"/>
      <c r="T86">
        <v>14</v>
      </c>
      <c r="U86" t="str">
        <v>CHI</v>
      </c>
      <c r="V86" t="str">
        <v>Matt Oworu</v>
      </c>
      <c r="W86" t="str">
        <v>NULL</v>
      </c>
      <c r="X86" t="str">
        <v>Home</v>
      </c>
      <c r="Y86" t="str">
        <v>LA</v>
      </c>
      <c r="Z86">
        <v>6.4977013896153721</v>
      </c>
      <c r="AA86" s="1"/>
      <c r="AB86" s="1" cm="1">
        <f t="array" ref="AB86">COUNT(_xlfn._xlws.FILTER($J$7:$J$10000,($L$7:$L$10000=AA86)*($M$7:$M$10000&lt;&gt;"NULL")*($J$7:$J$10000 &gt;= ($G$1-5))))/5</f>
        <v>0</v>
      </c>
    </row>
    <row r="87" spans="1:28" x14ac:dyDescent="0.35">
      <c r="A87">
        <f>VLOOKUP($B87, PlayerIDs!$A$1:$B$516, 2, FALSE)</f>
        <v>672</v>
      </c>
      <c r="B87" t="s">
        <v>600</v>
      </c>
      <c r="C87" s="1">
        <v>2.0196927334182244</v>
      </c>
      <c r="D87" s="1">
        <f t="shared" si="13"/>
        <v>68</v>
      </c>
      <c r="E87" s="1" cm="1">
        <f t="array" ref="E87">IFERROR(VLOOKUP($B87,_xlfn._xlws.FILTER($L$7:$P$10000,$J$7:$J$10000=G$1+1),5, FALSE), 0)</f>
        <v>2.0592478491395831</v>
      </c>
      <c r="F87" s="1">
        <f t="shared" si="14"/>
        <v>62</v>
      </c>
      <c r="G87" s="1">
        <f t="shared" ca="1" si="15"/>
        <v>10.151268258841696</v>
      </c>
      <c r="H87" s="1">
        <f t="shared" ca="1" si="16"/>
        <v>64</v>
      </c>
      <c r="I87" s="1" cm="1">
        <f t="array" ref="I87">COUNT(_xlfn._xlws.FILTER($J$7:$J$10000,($L$7:$L$10000=B87)*($M$7:$M$10000&lt;&gt;"NULL")*($J$7:$J$10000 &gt;= ($G$1-4))))/5</f>
        <v>0.2</v>
      </c>
      <c r="J87" s="65">
        <v>3</v>
      </c>
      <c r="K87" t="s">
        <v>24</v>
      </c>
      <c r="L87" t="s">
        <v>217</v>
      </c>
      <c r="M87">
        <v>3.3</v>
      </c>
      <c r="N87" t="s">
        <v>9</v>
      </c>
      <c r="O87" t="s">
        <v>14</v>
      </c>
      <c r="P87">
        <f t="shared" si="11"/>
        <v>5.1052725276876734</v>
      </c>
      <c r="Q87">
        <f t="shared" si="12"/>
        <v>3.2590088992238422</v>
      </c>
      <c r="R87" s="67" cm="1">
        <f t="array" ref="R87">SUMPRODUCT((J87=$J$7:$J$1000)*(P87&lt;$P$7:$P$1000))+1</f>
        <v>25</v>
      </c>
      <c r="S87" s="72"/>
      <c r="T87">
        <v>14</v>
      </c>
      <c r="U87" t="str">
        <v>HOU</v>
      </c>
      <c r="V87" t="str">
        <v>Emmanuel Albert</v>
      </c>
      <c r="W87" t="str">
        <v>NULL</v>
      </c>
      <c r="X87" t="str">
        <v>Home</v>
      </c>
      <c r="Y87" t="str">
        <v>UTAH</v>
      </c>
      <c r="Z87">
        <v>5.7320068597570657</v>
      </c>
      <c r="AA87" s="1"/>
      <c r="AB87" s="1" cm="1">
        <f t="array" ref="AB87">COUNT(_xlfn._xlws.FILTER($J$7:$J$10000,($L$7:$L$10000=AA87)*($M$7:$M$10000&lt;&gt;"NULL")*($J$7:$J$10000 &gt;= ($G$1-5))))/5</f>
        <v>0</v>
      </c>
    </row>
    <row r="88" spans="1:28" x14ac:dyDescent="0.35">
      <c r="A88">
        <f>VLOOKUP($B88, PlayerIDs!$A$1:$B$516, 2, FALSE)</f>
        <v>698</v>
      </c>
      <c r="B88" t="s">
        <v>678</v>
      </c>
      <c r="C88" s="1">
        <v>0.63672237402249787</v>
      </c>
      <c r="D88" s="1">
        <f t="shared" si="13"/>
        <v>69</v>
      </c>
      <c r="E88" s="1" cm="1">
        <f t="array" ref="E88">IFERROR(VLOOKUP($B88,_xlfn._xlws.FILTER($L$7:$P$10000,$J$7:$J$10000=G$1+1),5, FALSE), 0)</f>
        <v>0.23372907583778041</v>
      </c>
      <c r="F88" s="1">
        <f t="shared" si="14"/>
        <v>65</v>
      </c>
      <c r="G88" s="1">
        <f t="shared" ca="1" si="15"/>
        <v>2.039370647769803</v>
      </c>
      <c r="H88" s="1">
        <f t="shared" ca="1" si="16"/>
        <v>70</v>
      </c>
      <c r="I88" s="1" cm="1">
        <f t="array" ref="I88">COUNT(_xlfn._xlws.FILTER($J$7:$J$10000,($L$7:$L$10000=B88)*($M$7:$M$10000&lt;&gt;"NULL")*($J$7:$J$10000 &gt;= ($G$1-4))))/5</f>
        <v>0.2</v>
      </c>
      <c r="J88" s="65">
        <v>3</v>
      </c>
      <c r="K88" t="s">
        <v>23</v>
      </c>
      <c r="L88" t="s">
        <v>229</v>
      </c>
      <c r="M88">
        <v>2.9</v>
      </c>
      <c r="N88" t="s">
        <v>9</v>
      </c>
      <c r="O88" t="s">
        <v>2</v>
      </c>
      <c r="P88">
        <f t="shared" si="11"/>
        <v>9.8519176041398104</v>
      </c>
      <c r="Q88">
        <f t="shared" si="12"/>
        <v>48.329158374748999</v>
      </c>
      <c r="R88" s="67" cm="1">
        <f t="array" ref="R88">SUMPRODUCT((J88=$J$7:$J$1000)*(P88&lt;$P$7:$P$1000))+1</f>
        <v>6</v>
      </c>
      <c r="S88" s="72"/>
      <c r="T88">
        <v>14</v>
      </c>
      <c r="U88" t="str">
        <v>HOU</v>
      </c>
      <c r="V88" t="str">
        <v>Johan Momsen</v>
      </c>
      <c r="W88" t="str">
        <v>NULL</v>
      </c>
      <c r="X88" t="str">
        <v>Home</v>
      </c>
      <c r="Y88" t="str">
        <v>UTAH</v>
      </c>
      <c r="Z88">
        <v>4.6987196855000946</v>
      </c>
      <c r="AA88" s="1"/>
      <c r="AB88" s="1" cm="1">
        <f t="array" ref="AB88">COUNT(_xlfn._xlws.FILTER($J$7:$J$10000,($L$7:$L$10000=AA88)*($M$7:$M$10000&lt;&gt;"NULL")*($J$7:$J$10000 &gt;= ($G$1-5))))/5</f>
        <v>0</v>
      </c>
    </row>
    <row r="89" spans="1:28" x14ac:dyDescent="0.35">
      <c r="A89">
        <f>VLOOKUP($B89, PlayerIDs!$A$1:$B$516, 2, FALSE)</f>
        <v>255</v>
      </c>
      <c r="B89" t="s">
        <v>670</v>
      </c>
      <c r="C89" s="1">
        <v>0.37760844391988052</v>
      </c>
      <c r="D89" s="1">
        <f t="shared" si="13"/>
        <v>70</v>
      </c>
      <c r="E89" s="1" cm="1">
        <f t="array" ref="E89">IFERROR(VLOOKUP($B89,_xlfn._xlws.FILTER($L$7:$P$10000,$J$7:$J$10000=G$1+1),5, FALSE), 0)</f>
        <v>0.41716355964123908</v>
      </c>
      <c r="F89" s="1">
        <f t="shared" si="14"/>
        <v>64</v>
      </c>
      <c r="G89" s="1">
        <f t="shared" ca="1" si="15"/>
        <v>3.5829311008483202</v>
      </c>
      <c r="H89" s="1">
        <f t="shared" ca="1" si="16"/>
        <v>69</v>
      </c>
      <c r="I89" s="1" cm="1">
        <f t="array" ref="I89">COUNT(_xlfn._xlws.FILTER($J$7:$J$10000,($L$7:$L$10000=B89)*($M$7:$M$10000&lt;&gt;"NULL")*($J$7:$J$10000 &gt;= ($G$1-4))))/5</f>
        <v>0.4</v>
      </c>
      <c r="J89" s="65">
        <v>3</v>
      </c>
      <c r="K89" t="s">
        <v>14</v>
      </c>
      <c r="L89" t="s">
        <v>203</v>
      </c>
      <c r="M89">
        <v>2.2000000000000002</v>
      </c>
      <c r="N89" t="s">
        <v>3</v>
      </c>
      <c r="O89" t="s">
        <v>24</v>
      </c>
      <c r="P89">
        <f t="shared" si="11"/>
        <v>3.095026782196542</v>
      </c>
      <c r="Q89">
        <f t="shared" si="12"/>
        <v>0.80107294084909597</v>
      </c>
      <c r="R89" s="67" cm="1">
        <f t="array" ref="R89">SUMPRODUCT((J89=$J$7:$J$1000)*(P89&lt;$P$7:$P$1000))+1</f>
        <v>29</v>
      </c>
      <c r="S89" s="72"/>
      <c r="T89">
        <v>14</v>
      </c>
      <c r="U89" t="str">
        <v>HOU</v>
      </c>
      <c r="V89" t="str">
        <v>Keni Nasoqeqe</v>
      </c>
      <c r="W89" t="str">
        <v>NULL</v>
      </c>
      <c r="X89" t="str">
        <v>Home</v>
      </c>
      <c r="Y89" t="str">
        <v>UTAH</v>
      </c>
      <c r="Z89">
        <v>1.0774136930225704</v>
      </c>
      <c r="AA89" s="1"/>
      <c r="AB89" s="1" cm="1">
        <f t="array" ref="AB89">COUNT(_xlfn._xlws.FILTER($J$7:$J$10000,($L$7:$L$10000=AA89)*($M$7:$M$10000&lt;&gt;"NULL")*($J$7:$J$10000 &gt;= ($G$1-5))))/5</f>
        <v>0</v>
      </c>
    </row>
    <row r="90" spans="1:28" x14ac:dyDescent="0.35">
      <c r="J90" s="65">
        <v>3</v>
      </c>
      <c r="K90" t="s">
        <v>4</v>
      </c>
      <c r="L90" t="s">
        <v>435</v>
      </c>
      <c r="M90">
        <v>1.1000000000000001</v>
      </c>
      <c r="N90" t="s">
        <v>9</v>
      </c>
      <c r="O90" t="s">
        <v>13</v>
      </c>
      <c r="P90">
        <f t="shared" si="11"/>
        <v>3.6827233459507878</v>
      </c>
      <c r="Q90">
        <f t="shared" si="12"/>
        <v>6.670459881719232</v>
      </c>
      <c r="R90" s="67" cm="1">
        <f t="array" ref="R90">SUMPRODUCT((J90=$J$7:$J$1000)*(P90&lt;$P$7:$P$1000))+1</f>
        <v>28</v>
      </c>
      <c r="S90" s="72"/>
      <c r="T90">
        <v>14</v>
      </c>
      <c r="U90" t="str">
        <v>HOU</v>
      </c>
      <c r="V90" t="str">
        <v>Marno Redelinghuys</v>
      </c>
      <c r="W90" t="str">
        <v>NULL</v>
      </c>
      <c r="X90" t="str">
        <v>Home</v>
      </c>
      <c r="Y90" t="str">
        <v>UTAH</v>
      </c>
      <c r="Z90">
        <v>3.4572810180046747</v>
      </c>
      <c r="AA90" s="1"/>
      <c r="AB90" s="1" cm="1">
        <f t="array" ref="AB90">COUNT(_xlfn._xlws.FILTER($J$7:$J$10000,($L$7:$L$10000=AA90)*($M$7:$M$10000&lt;&gt;"NULL")*($J$7:$J$10000 &gt;= ($G$1-5))))/5</f>
        <v>0</v>
      </c>
    </row>
    <row r="91" spans="1:28" x14ac:dyDescent="0.35">
      <c r="J91" s="66">
        <v>4</v>
      </c>
      <c r="K91" t="s">
        <v>24</v>
      </c>
      <c r="L91" t="s">
        <v>215</v>
      </c>
      <c r="M91">
        <v>19.600000000000001</v>
      </c>
      <c r="N91" t="s">
        <v>3</v>
      </c>
      <c r="O91" t="s">
        <v>2</v>
      </c>
      <c r="P91">
        <f t="shared" si="11"/>
        <v>12.528690395146885</v>
      </c>
      <c r="Q91">
        <f t="shared" si="12"/>
        <v>50.003419527687939</v>
      </c>
      <c r="R91" s="67" cm="1">
        <f t="array" ref="R91">SUMPRODUCT((J91=$J$7:$J$1000)*(P91&lt;$P$7:$P$1000))+1</f>
        <v>1</v>
      </c>
      <c r="S91" s="72"/>
      <c r="T91">
        <v>14</v>
      </c>
      <c r="U91" t="str">
        <v>HOU</v>
      </c>
      <c r="V91" t="str">
        <v>Ronan Murphy</v>
      </c>
      <c r="W91" t="str">
        <v>NULL</v>
      </c>
      <c r="X91" t="str">
        <v>Home</v>
      </c>
      <c r="Y91" t="str">
        <v>UTAH</v>
      </c>
      <c r="Z91">
        <v>1.9989459894743962</v>
      </c>
      <c r="AA91" s="1"/>
      <c r="AB91" s="1" cm="1">
        <f t="array" ref="AB91">COUNT(_xlfn._xlws.FILTER($J$7:$J$10000,($L$7:$L$10000=AA91)*($M$7:$M$10000&lt;&gt;"NULL")*($J$7:$J$10000 &gt;= ($G$1-5))))/5</f>
        <v>0</v>
      </c>
    </row>
    <row r="92" spans="1:28" x14ac:dyDescent="0.35">
      <c r="J92" s="65">
        <v>4</v>
      </c>
      <c r="K92" t="s">
        <v>36</v>
      </c>
      <c r="L92" t="s">
        <v>205</v>
      </c>
      <c r="M92">
        <v>16.5</v>
      </c>
      <c r="N92" t="s">
        <v>9</v>
      </c>
      <c r="O92" t="s">
        <v>13</v>
      </c>
      <c r="P92">
        <f t="shared" si="11"/>
        <v>6.3320169854941888</v>
      </c>
      <c r="Q92">
        <f t="shared" si="12"/>
        <v>103.38787858327868</v>
      </c>
      <c r="R92" s="67" cm="1">
        <f t="array" ref="R92">SUMPRODUCT((J92=$J$7:$J$1000)*(P92&lt;$P$7:$P$1000))+1</f>
        <v>22</v>
      </c>
      <c r="S92" s="72"/>
      <c r="T92">
        <v>14</v>
      </c>
      <c r="U92" t="str">
        <v>HOU</v>
      </c>
      <c r="V92" t="str">
        <v>Sam Tuifua</v>
      </c>
      <c r="W92" t="str">
        <v>NULL</v>
      </c>
      <c r="X92" t="str">
        <v>Home</v>
      </c>
      <c r="Y92" t="str">
        <v>UTAH</v>
      </c>
      <c r="Z92">
        <v>10.414391059000748</v>
      </c>
      <c r="AA92" s="1"/>
      <c r="AB92" s="1"/>
    </row>
    <row r="93" spans="1:28" x14ac:dyDescent="0.35">
      <c r="J93" s="66">
        <v>4</v>
      </c>
      <c r="K93" t="s">
        <v>6</v>
      </c>
      <c r="L93" t="s">
        <v>432</v>
      </c>
      <c r="M93">
        <v>14.5</v>
      </c>
      <c r="N93" t="s">
        <v>9</v>
      </c>
      <c r="O93" t="s">
        <v>34</v>
      </c>
      <c r="P93">
        <f t="shared" si="11"/>
        <v>11.992391092210195</v>
      </c>
      <c r="Q93">
        <f t="shared" si="12"/>
        <v>6.2881024344267811</v>
      </c>
      <c r="R93" s="67" cm="1">
        <f t="array" ref="R93">SUMPRODUCT((J93=$J$7:$J$1000)*(P93&lt;$P$7:$P$1000))+1</f>
        <v>2</v>
      </c>
      <c r="S93" s="72"/>
      <c r="T93">
        <v>14</v>
      </c>
      <c r="U93" t="str">
        <v>LA</v>
      </c>
      <c r="V93" t="str">
        <v>Ben Houston</v>
      </c>
      <c r="W93" t="str">
        <v>NULL</v>
      </c>
      <c r="X93" t="str">
        <v>Away</v>
      </c>
      <c r="Y93" t="str">
        <v>CHI</v>
      </c>
      <c r="Z93">
        <v>11.853532547080745</v>
      </c>
    </row>
    <row r="94" spans="1:28" x14ac:dyDescent="0.35">
      <c r="J94" s="66">
        <v>4</v>
      </c>
      <c r="K94" t="s">
        <v>2</v>
      </c>
      <c r="L94" t="s">
        <v>115</v>
      </c>
      <c r="M94">
        <v>13.1</v>
      </c>
      <c r="N94" t="s">
        <v>9</v>
      </c>
      <c r="O94" t="s">
        <v>24</v>
      </c>
      <c r="P94">
        <f t="shared" si="11"/>
        <v>9.3118694443911245</v>
      </c>
      <c r="Q94">
        <f t="shared" si="12"/>
        <v>14.349933106337605</v>
      </c>
      <c r="R94" s="67" cm="1">
        <f t="array" ref="R94">SUMPRODUCT((J94=$J$7:$J$1000)*(P94&lt;$P$7:$P$1000))+1</f>
        <v>10</v>
      </c>
      <c r="S94" s="72"/>
      <c r="T94">
        <v>14</v>
      </c>
      <c r="U94" t="str">
        <v>LA</v>
      </c>
      <c r="V94" t="str">
        <v>Ed Timpson</v>
      </c>
      <c r="W94" t="str">
        <v>NULL</v>
      </c>
      <c r="X94" t="str">
        <v>Away</v>
      </c>
      <c r="Y94" t="str">
        <v>CHI</v>
      </c>
      <c r="Z94">
        <v>11.856909975514743</v>
      </c>
    </row>
    <row r="95" spans="1:28" x14ac:dyDescent="0.35">
      <c r="J95" s="66">
        <v>4</v>
      </c>
      <c r="K95" t="s">
        <v>2</v>
      </c>
      <c r="L95" t="s">
        <v>213</v>
      </c>
      <c r="M95">
        <v>12.9</v>
      </c>
      <c r="N95" t="s">
        <v>9</v>
      </c>
      <c r="O95" t="s">
        <v>24</v>
      </c>
      <c r="P95">
        <f t="shared" si="11"/>
        <v>9.6696670425969842</v>
      </c>
      <c r="Q95">
        <f t="shared" si="12"/>
        <v>10.435051015684117</v>
      </c>
      <c r="R95" s="67" cm="1">
        <f t="array" ref="R95">SUMPRODUCT((J95=$J$7:$J$1000)*(P95&lt;$P$7:$P$1000))+1</f>
        <v>7</v>
      </c>
      <c r="S95" s="72"/>
      <c r="T95">
        <v>14</v>
      </c>
      <c r="U95" t="str">
        <v>LA</v>
      </c>
      <c r="V95" t="str">
        <v>Jason Damm</v>
      </c>
      <c r="W95" t="str">
        <v>NULL</v>
      </c>
      <c r="X95" t="str">
        <v>Away</v>
      </c>
      <c r="Y95" t="str">
        <v>CHI</v>
      </c>
      <c r="Z95">
        <v>7.0202736206395553</v>
      </c>
    </row>
    <row r="96" spans="1:28" x14ac:dyDescent="0.35">
      <c r="J96" s="66">
        <v>4</v>
      </c>
      <c r="K96" t="s">
        <v>34</v>
      </c>
      <c r="L96" t="s">
        <v>429</v>
      </c>
      <c r="M96">
        <v>11.8</v>
      </c>
      <c r="N96" t="s">
        <v>3</v>
      </c>
      <c r="O96" t="s">
        <v>6</v>
      </c>
      <c r="P96">
        <f t="shared" si="11"/>
        <v>9.4938685372137552</v>
      </c>
      <c r="Q96">
        <f t="shared" si="12"/>
        <v>5.3182423236526279</v>
      </c>
      <c r="R96" s="67" cm="1">
        <f t="array" ref="R96">SUMPRODUCT((J96=$J$7:$J$1000)*(P96&lt;$P$7:$P$1000))+1</f>
        <v>8</v>
      </c>
      <c r="S96" s="72"/>
      <c r="T96">
        <v>14</v>
      </c>
      <c r="U96" t="str">
        <v>LA</v>
      </c>
      <c r="V96" t="str">
        <v>Matt Heaton</v>
      </c>
      <c r="W96" t="str">
        <v>NULL</v>
      </c>
      <c r="X96" t="str">
        <v>Away</v>
      </c>
      <c r="Y96" t="str">
        <v>CHI</v>
      </c>
      <c r="Z96">
        <v>6.854575662770773</v>
      </c>
    </row>
    <row r="97" spans="10:26" x14ac:dyDescent="0.35">
      <c r="J97" s="66">
        <v>4</v>
      </c>
      <c r="K97" t="s">
        <v>34</v>
      </c>
      <c r="L97" t="s">
        <v>200</v>
      </c>
      <c r="M97">
        <v>11.8</v>
      </c>
      <c r="N97" t="s">
        <v>3</v>
      </c>
      <c r="O97" t="s">
        <v>6</v>
      </c>
      <c r="P97">
        <f t="shared" si="11"/>
        <v>11.017447635919039</v>
      </c>
      <c r="Q97">
        <f t="shared" si="12"/>
        <v>0.61238820252870207</v>
      </c>
      <c r="R97" s="67" cm="1">
        <f t="array" ref="R97">SUMPRODUCT((J97=$J$7:$J$1000)*(P97&lt;$P$7:$P$1000))+1</f>
        <v>3</v>
      </c>
      <c r="S97" s="72"/>
      <c r="T97">
        <v>14</v>
      </c>
      <c r="U97" t="str">
        <v>LA</v>
      </c>
      <c r="V97" t="str">
        <v>Semi Kunitani</v>
      </c>
      <c r="W97" t="str">
        <v>NULL</v>
      </c>
      <c r="X97" t="str">
        <v>Away</v>
      </c>
      <c r="Y97" t="str">
        <v>CHI</v>
      </c>
      <c r="Z97">
        <v>11.637946593428545</v>
      </c>
    </row>
    <row r="98" spans="10:26" x14ac:dyDescent="0.35">
      <c r="J98" s="66">
        <v>4</v>
      </c>
      <c r="K98" t="s">
        <v>23</v>
      </c>
      <c r="L98" t="s">
        <v>428</v>
      </c>
      <c r="M98">
        <v>10.9</v>
      </c>
      <c r="N98" t="s">
        <v>9</v>
      </c>
      <c r="O98" t="s">
        <v>17</v>
      </c>
      <c r="P98">
        <f t="shared" si="11"/>
        <v>10.126303860500963</v>
      </c>
      <c r="Q98">
        <f t="shared" si="12"/>
        <v>0.59860571627571391</v>
      </c>
      <c r="R98" s="67" cm="1">
        <f t="array" ref="R98">SUMPRODUCT((J98=$J$7:$J$1000)*(P98&lt;$P$7:$P$1000))+1</f>
        <v>6</v>
      </c>
      <c r="S98" s="72"/>
      <c r="T98">
        <v>14</v>
      </c>
      <c r="U98" t="str">
        <v>LA</v>
      </c>
      <c r="V98" t="str">
        <v>Tim Anstee</v>
      </c>
      <c r="W98" t="str">
        <v>NULL</v>
      </c>
      <c r="X98" t="str">
        <v>Away</v>
      </c>
      <c r="Y98" t="str">
        <v>CHI</v>
      </c>
      <c r="Z98">
        <v>5.1907401420688997</v>
      </c>
    </row>
    <row r="99" spans="10:26" x14ac:dyDescent="0.35">
      <c r="J99" s="66">
        <v>4</v>
      </c>
      <c r="K99" t="s">
        <v>23</v>
      </c>
      <c r="L99" t="s">
        <v>431</v>
      </c>
      <c r="M99">
        <v>10.8</v>
      </c>
      <c r="N99" t="s">
        <v>9</v>
      </c>
      <c r="O99" t="s">
        <v>17</v>
      </c>
      <c r="P99">
        <f t="shared" si="11"/>
        <v>7.915639320898034</v>
      </c>
      <c r="Q99">
        <f t="shared" si="12"/>
        <v>8.3195365271495589</v>
      </c>
      <c r="R99" s="67" cm="1">
        <f t="array" ref="R99">SUMPRODUCT((J99=$J$7:$J$1000)*(P99&lt;$P$7:$P$1000))+1</f>
        <v>18</v>
      </c>
      <c r="S99" s="72"/>
      <c r="T99">
        <v>14</v>
      </c>
      <c r="U99" t="str">
        <v>MIA</v>
      </c>
      <c r="V99" t="str">
        <v>Benjamin Bonasso</v>
      </c>
      <c r="W99" t="str">
        <v>NULL</v>
      </c>
      <c r="X99" t="str">
        <v>Home</v>
      </c>
      <c r="Y99" t="str">
        <v>NEFJ</v>
      </c>
      <c r="Z99">
        <v>6.8109757728947304</v>
      </c>
    </row>
    <row r="100" spans="10:26" x14ac:dyDescent="0.35">
      <c r="J100" s="65">
        <v>4</v>
      </c>
      <c r="K100" t="s">
        <v>13</v>
      </c>
      <c r="L100" t="s">
        <v>103</v>
      </c>
      <c r="M100">
        <v>10.5</v>
      </c>
      <c r="N100" t="s">
        <v>3</v>
      </c>
      <c r="O100" t="s">
        <v>36</v>
      </c>
      <c r="P100">
        <f t="shared" si="11"/>
        <v>8.0168537972969816</v>
      </c>
      <c r="Q100">
        <f t="shared" si="12"/>
        <v>6.1660150639984197</v>
      </c>
      <c r="R100" s="67" cm="1">
        <f t="array" ref="R100">SUMPRODUCT((J100=$J$7:$J$1000)*(P100&lt;$P$7:$P$1000))+1</f>
        <v>17</v>
      </c>
      <c r="S100" s="72"/>
      <c r="T100">
        <v>14</v>
      </c>
      <c r="U100" t="str">
        <v>MIA</v>
      </c>
      <c r="V100" t="str">
        <v>Manuel Ardao</v>
      </c>
      <c r="W100" t="str">
        <v>NULL</v>
      </c>
      <c r="X100" t="str">
        <v>Home</v>
      </c>
      <c r="Y100" t="str">
        <v>NEFJ</v>
      </c>
      <c r="Z100">
        <v>10.145962055168708</v>
      </c>
    </row>
    <row r="101" spans="10:26" x14ac:dyDescent="0.35">
      <c r="J101" s="66">
        <v>4</v>
      </c>
      <c r="K101" t="s">
        <v>7</v>
      </c>
      <c r="L101" t="s">
        <v>207</v>
      </c>
      <c r="M101">
        <v>10.1</v>
      </c>
      <c r="N101" t="s">
        <v>3</v>
      </c>
      <c r="O101" t="s">
        <v>14</v>
      </c>
      <c r="P101">
        <f t="shared" si="11"/>
        <v>8.2244537088152541</v>
      </c>
      <c r="Q101">
        <f t="shared" si="12"/>
        <v>3.5176738903768543</v>
      </c>
      <c r="R101" s="67" cm="1">
        <f t="array" ref="R101">SUMPRODUCT((J101=$J$7:$J$1000)*(P101&lt;$P$7:$P$1000))+1</f>
        <v>15</v>
      </c>
      <c r="S101" s="72"/>
      <c r="T101">
        <v>14</v>
      </c>
      <c r="U101" t="str">
        <v>MIA</v>
      </c>
      <c r="V101" t="str">
        <v>Marques Fuala'au</v>
      </c>
      <c r="W101" t="str">
        <v>NULL</v>
      </c>
      <c r="X101" t="str">
        <v>Home</v>
      </c>
      <c r="Y101" t="str">
        <v>NEFJ</v>
      </c>
      <c r="Z101">
        <v>1.8725465931555838</v>
      </c>
    </row>
    <row r="102" spans="10:26" x14ac:dyDescent="0.35">
      <c r="J102" s="66">
        <v>4</v>
      </c>
      <c r="K102" t="s">
        <v>7</v>
      </c>
      <c r="L102" t="s">
        <v>202</v>
      </c>
      <c r="M102">
        <v>9.8000000000000007</v>
      </c>
      <c r="N102" t="s">
        <v>3</v>
      </c>
      <c r="O102" t="s">
        <v>14</v>
      </c>
      <c r="P102">
        <f t="shared" si="11"/>
        <v>8.6329711599528878</v>
      </c>
      <c r="Q102">
        <f t="shared" si="12"/>
        <v>1.3619563135017099</v>
      </c>
      <c r="R102" s="67" cm="1">
        <f t="array" ref="R102">SUMPRODUCT((J102=$J$7:$J$1000)*(P102&lt;$P$7:$P$1000))+1</f>
        <v>13</v>
      </c>
      <c r="S102" s="72"/>
      <c r="T102">
        <v>14</v>
      </c>
      <c r="U102" t="str">
        <v>MIA</v>
      </c>
      <c r="V102" t="str">
        <v>Ronan Foley</v>
      </c>
      <c r="W102" t="str">
        <v>NULL</v>
      </c>
      <c r="X102" t="str">
        <v>Home</v>
      </c>
      <c r="Y102" t="str">
        <v>NEFJ</v>
      </c>
      <c r="Z102">
        <v>3.5448534031575045</v>
      </c>
    </row>
    <row r="103" spans="10:26" x14ac:dyDescent="0.35">
      <c r="J103" s="66">
        <v>4</v>
      </c>
      <c r="K103" t="s">
        <v>13</v>
      </c>
      <c r="L103" t="s">
        <v>204</v>
      </c>
      <c r="M103">
        <v>9.3000000000000007</v>
      </c>
      <c r="N103" t="s">
        <v>3</v>
      </c>
      <c r="O103" t="s">
        <v>36</v>
      </c>
      <c r="P103">
        <f t="shared" si="11"/>
        <v>8.7206973644103893</v>
      </c>
      <c r="Q103">
        <f t="shared" si="12"/>
        <v>0.33559154360107007</v>
      </c>
      <c r="R103" s="67" cm="1">
        <f t="array" ref="R103">SUMPRODUCT((J103=$J$7:$J$1000)*(P103&lt;$P$7:$P$1000))+1</f>
        <v>12</v>
      </c>
      <c r="S103" s="72"/>
      <c r="T103">
        <v>14</v>
      </c>
      <c r="U103" t="str">
        <v>MIA</v>
      </c>
      <c r="V103" t="str">
        <v>Tomas Bekerman</v>
      </c>
      <c r="W103" t="str">
        <v>NULL</v>
      </c>
      <c r="X103" t="str">
        <v>Home</v>
      </c>
      <c r="Y103" t="str">
        <v>NEFJ</v>
      </c>
      <c r="Z103">
        <v>7.1460880819041339E-2</v>
      </c>
    </row>
    <row r="104" spans="10:26" x14ac:dyDescent="0.35">
      <c r="J104" s="66">
        <v>4</v>
      </c>
      <c r="K104" t="s">
        <v>23</v>
      </c>
      <c r="L104" t="s">
        <v>229</v>
      </c>
      <c r="M104">
        <v>8.8000000000000007</v>
      </c>
      <c r="N104" t="s">
        <v>9</v>
      </c>
      <c r="O104" t="s">
        <v>17</v>
      </c>
      <c r="P104">
        <f t="shared" si="11"/>
        <v>9.4713322200791534</v>
      </c>
      <c r="Q104">
        <f t="shared" si="12"/>
        <v>0.45068694971640394</v>
      </c>
      <c r="R104" s="67" cm="1">
        <f t="array" ref="R104">SUMPRODUCT((J104=$J$7:$J$1000)*(P104&lt;$P$7:$P$1000))+1</f>
        <v>9</v>
      </c>
      <c r="S104" s="72"/>
      <c r="T104">
        <v>14</v>
      </c>
      <c r="U104" t="str">
        <v>MIA</v>
      </c>
      <c r="V104" t="str">
        <v>Tomás Casares</v>
      </c>
      <c r="W104" t="str">
        <v>NULL</v>
      </c>
      <c r="X104" t="str">
        <v>Home</v>
      </c>
      <c r="Y104" t="str">
        <v>NEFJ</v>
      </c>
      <c r="Z104">
        <v>1.971273517573471</v>
      </c>
    </row>
    <row r="105" spans="10:26" x14ac:dyDescent="0.35">
      <c r="J105" s="66">
        <v>4</v>
      </c>
      <c r="K105" t="s">
        <v>2</v>
      </c>
      <c r="L105" t="s">
        <v>212</v>
      </c>
      <c r="M105">
        <v>8.3000000000000007</v>
      </c>
      <c r="N105" t="s">
        <v>9</v>
      </c>
      <c r="O105" t="s">
        <v>24</v>
      </c>
      <c r="P105">
        <f t="shared" si="11"/>
        <v>8.3500383703447163</v>
      </c>
      <c r="Q105">
        <f t="shared" si="12"/>
        <v>2.5038385067549123E-3</v>
      </c>
      <c r="R105" s="67" cm="1">
        <f t="array" ref="R105">SUMPRODUCT((J105=$J$7:$J$1000)*(P105&lt;$P$7:$P$1000))+1</f>
        <v>14</v>
      </c>
      <c r="S105" s="72"/>
      <c r="T105">
        <v>14</v>
      </c>
      <c r="U105" t="str">
        <v>NEFJ</v>
      </c>
      <c r="V105" t="str">
        <v>Jed Melvin</v>
      </c>
      <c r="W105" t="str">
        <v>NULL</v>
      </c>
      <c r="X105" t="str">
        <v>Away</v>
      </c>
      <c r="Y105" t="str">
        <v>MIA</v>
      </c>
      <c r="Z105">
        <v>11.829772495368289</v>
      </c>
    </row>
    <row r="106" spans="10:26" x14ac:dyDescent="0.35">
      <c r="J106" s="65">
        <v>4</v>
      </c>
      <c r="K106" t="s">
        <v>14</v>
      </c>
      <c r="L106" t="s">
        <v>396</v>
      </c>
      <c r="M106">
        <v>7.8</v>
      </c>
      <c r="N106" t="s">
        <v>9</v>
      </c>
      <c r="O106" t="s">
        <v>7</v>
      </c>
      <c r="P106">
        <f t="shared" si="11"/>
        <v>8.0786734308854999</v>
      </c>
      <c r="Q106">
        <f t="shared" si="12"/>
        <v>7.7658881081495615E-2</v>
      </c>
      <c r="R106" s="67" cm="1">
        <f t="array" ref="R106">SUMPRODUCT((J106=$J$7:$J$1000)*(P106&lt;$P$7:$P$1000))+1</f>
        <v>16</v>
      </c>
      <c r="S106" s="72"/>
      <c r="T106">
        <v>14</v>
      </c>
      <c r="U106" t="str">
        <v>NEFJ</v>
      </c>
      <c r="V106" t="str">
        <v>Jero Gomez Vara</v>
      </c>
      <c r="W106" t="str">
        <v>NULL</v>
      </c>
      <c r="X106" t="str">
        <v>Away</v>
      </c>
      <c r="Y106" t="str">
        <v>MIA</v>
      </c>
      <c r="Z106">
        <v>7.1687056618680982</v>
      </c>
    </row>
    <row r="107" spans="10:26" x14ac:dyDescent="0.35">
      <c r="J107" s="65">
        <v>4</v>
      </c>
      <c r="K107" t="s">
        <v>36</v>
      </c>
      <c r="L107" t="s">
        <v>225</v>
      </c>
      <c r="M107">
        <v>7.6</v>
      </c>
      <c r="N107" t="s">
        <v>9</v>
      </c>
      <c r="O107" t="s">
        <v>13</v>
      </c>
      <c r="P107">
        <f t="shared" si="11"/>
        <v>11.014401184737869</v>
      </c>
      <c r="Q107">
        <f t="shared" si="12"/>
        <v>11.658135450339365</v>
      </c>
      <c r="R107" s="67" cm="1">
        <f t="array" ref="R107">SUMPRODUCT((J107=$J$7:$J$1000)*(P107&lt;$P$7:$P$1000))+1</f>
        <v>4</v>
      </c>
      <c r="S107" s="72"/>
      <c r="T107">
        <v>14</v>
      </c>
      <c r="U107" t="str">
        <v>NEFJ</v>
      </c>
      <c r="V107" t="str">
        <v>Joe Johnston</v>
      </c>
      <c r="W107" t="str">
        <v>NULL</v>
      </c>
      <c r="X107" t="str">
        <v>Away</v>
      </c>
      <c r="Y107" t="str">
        <v>MIA</v>
      </c>
      <c r="Z107">
        <v>9.3793702014710263</v>
      </c>
    </row>
    <row r="108" spans="10:26" x14ac:dyDescent="0.35">
      <c r="J108" s="66">
        <v>4</v>
      </c>
      <c r="K108" t="s">
        <v>24</v>
      </c>
      <c r="L108" t="s">
        <v>199</v>
      </c>
      <c r="M108">
        <v>7.6</v>
      </c>
      <c r="N108" t="s">
        <v>3</v>
      </c>
      <c r="O108" t="s">
        <v>2</v>
      </c>
      <c r="P108">
        <f t="shared" si="11"/>
        <v>9.1937041128729078</v>
      </c>
      <c r="Q108">
        <f t="shared" si="12"/>
        <v>2.5398927993880229</v>
      </c>
      <c r="R108" s="67" cm="1">
        <f t="array" ref="R108">SUMPRODUCT((J108=$J$7:$J$1000)*(P108&lt;$P$7:$P$1000))+1</f>
        <v>11</v>
      </c>
      <c r="S108" s="72"/>
      <c r="T108">
        <v>14</v>
      </c>
      <c r="U108" t="str">
        <v>NEFJ</v>
      </c>
      <c r="V108" t="str">
        <v>Wian Conradie</v>
      </c>
      <c r="W108" t="str">
        <v>NULL</v>
      </c>
      <c r="X108" t="str">
        <v>Away</v>
      </c>
      <c r="Y108" t="str">
        <v>MIA</v>
      </c>
      <c r="Z108">
        <v>8.7243985610492167</v>
      </c>
    </row>
    <row r="109" spans="10:26" x14ac:dyDescent="0.35">
      <c r="J109" s="66">
        <v>4</v>
      </c>
      <c r="K109" t="s">
        <v>34</v>
      </c>
      <c r="L109" t="s">
        <v>436</v>
      </c>
      <c r="M109">
        <v>6.5</v>
      </c>
      <c r="N109" t="s">
        <v>3</v>
      </c>
      <c r="O109" t="s">
        <v>6</v>
      </c>
      <c r="P109">
        <f t="shared" si="11"/>
        <v>6.5932361324137938</v>
      </c>
      <c r="Q109">
        <f t="shared" si="12"/>
        <v>8.6929763874824921E-3</v>
      </c>
      <c r="R109" s="67" cm="1">
        <f t="array" ref="R109">SUMPRODUCT((J109=$J$7:$J$1000)*(P109&lt;$P$7:$P$1000))+1</f>
        <v>21</v>
      </c>
      <c r="S109" s="72"/>
      <c r="T109">
        <v>14</v>
      </c>
      <c r="U109" t="str">
        <v>OGDC</v>
      </c>
      <c r="V109" t="str">
        <v>Collin Grosse</v>
      </c>
      <c r="W109" t="str">
        <v>NULL</v>
      </c>
      <c r="X109" t="str">
        <v>Away</v>
      </c>
      <c r="Y109" t="str">
        <v>ARC</v>
      </c>
      <c r="Z109">
        <v>11.047242555125926</v>
      </c>
    </row>
    <row r="110" spans="10:26" x14ac:dyDescent="0.35">
      <c r="J110" s="66">
        <v>4</v>
      </c>
      <c r="K110" t="s">
        <v>14</v>
      </c>
      <c r="L110" t="s">
        <v>107</v>
      </c>
      <c r="M110">
        <v>5.4</v>
      </c>
      <c r="N110" t="s">
        <v>9</v>
      </c>
      <c r="O110" t="s">
        <v>7</v>
      </c>
      <c r="P110">
        <f t="shared" si="11"/>
        <v>5.4627666025988333</v>
      </c>
      <c r="Q110">
        <f t="shared" si="12"/>
        <v>3.9396464017998206E-3</v>
      </c>
      <c r="R110" s="67" cm="1">
        <f t="array" ref="R110">SUMPRODUCT((J110=$J$7:$J$1000)*(P110&lt;$P$7:$P$1000))+1</f>
        <v>25</v>
      </c>
      <c r="S110" s="72"/>
      <c r="T110">
        <v>14</v>
      </c>
      <c r="U110" t="str">
        <v>OGDC</v>
      </c>
      <c r="V110" t="str">
        <v>Cory Daniel</v>
      </c>
      <c r="W110" t="str">
        <v>NULL</v>
      </c>
      <c r="X110" t="str">
        <v>Away</v>
      </c>
      <c r="Y110" t="str">
        <v>ARC</v>
      </c>
      <c r="Z110">
        <v>9.2329812856900109</v>
      </c>
    </row>
    <row r="111" spans="10:26" x14ac:dyDescent="0.35">
      <c r="J111" s="66">
        <v>4</v>
      </c>
      <c r="K111" t="s">
        <v>17</v>
      </c>
      <c r="L111" t="s">
        <v>206</v>
      </c>
      <c r="M111">
        <v>4.8</v>
      </c>
      <c r="N111" t="s">
        <v>3</v>
      </c>
      <c r="O111" t="s">
        <v>23</v>
      </c>
      <c r="P111">
        <f t="shared" si="11"/>
        <v>4.4444766718537547</v>
      </c>
      <c r="Q111">
        <f t="shared" si="12"/>
        <v>0.12639683685618266</v>
      </c>
      <c r="R111" s="67" cm="1">
        <f t="array" ref="R111">SUMPRODUCT((J111=$J$7:$J$1000)*(P111&lt;$P$7:$P$1000))+1</f>
        <v>29</v>
      </c>
      <c r="S111" s="72"/>
      <c r="T111">
        <v>14</v>
      </c>
      <c r="U111" t="str">
        <v>OGDC</v>
      </c>
      <c r="V111" t="str">
        <v>Jamason Fa'anana-Schultz</v>
      </c>
      <c r="W111" t="str">
        <v>NULL</v>
      </c>
      <c r="X111" t="str">
        <v>Away</v>
      </c>
      <c r="Y111" t="str">
        <v>ARC</v>
      </c>
      <c r="Z111">
        <v>8.8244638345523772</v>
      </c>
    </row>
    <row r="112" spans="10:26" x14ac:dyDescent="0.35">
      <c r="J112" s="66">
        <v>4</v>
      </c>
      <c r="K112" t="s">
        <v>6</v>
      </c>
      <c r="L112" t="s">
        <v>219</v>
      </c>
      <c r="M112">
        <v>4.7</v>
      </c>
      <c r="N112" t="s">
        <v>9</v>
      </c>
      <c r="O112" t="s">
        <v>34</v>
      </c>
      <c r="P112">
        <f t="shared" si="11"/>
        <v>6.9934342079002239</v>
      </c>
      <c r="Q112">
        <f t="shared" si="12"/>
        <v>5.259840465966926</v>
      </c>
      <c r="R112" s="67" cm="1">
        <f t="array" ref="R112">SUMPRODUCT((J112=$J$7:$J$1000)*(P112&lt;$P$7:$P$1000))+1</f>
        <v>19</v>
      </c>
      <c r="S112" s="72"/>
      <c r="T112">
        <v>14</v>
      </c>
      <c r="U112" t="str">
        <v>OGDC</v>
      </c>
      <c r="V112" t="str">
        <v>Lautaro Bavaro</v>
      </c>
      <c r="W112" t="str">
        <v>NULL</v>
      </c>
      <c r="X112" t="str">
        <v>Away</v>
      </c>
      <c r="Y112" t="str">
        <v>ARC</v>
      </c>
      <c r="Z112">
        <v>7.2307181018442259</v>
      </c>
    </row>
    <row r="113" spans="10:26" x14ac:dyDescent="0.35">
      <c r="J113" s="65">
        <v>4</v>
      </c>
      <c r="K113" t="s">
        <v>17</v>
      </c>
      <c r="L113" t="s">
        <v>485</v>
      </c>
      <c r="M113">
        <v>4.5999999999999996</v>
      </c>
      <c r="N113" t="s">
        <v>3</v>
      </c>
      <c r="O113" t="s">
        <v>23</v>
      </c>
      <c r="P113">
        <f t="shared" si="11"/>
        <v>5.7958376367675539</v>
      </c>
      <c r="Q113">
        <f t="shared" si="12"/>
        <v>1.4300276535098091</v>
      </c>
      <c r="R113" s="67" cm="1">
        <f t="array" ref="R113">SUMPRODUCT((J113=$J$7:$J$1000)*(P113&lt;$P$7:$P$1000))+1</f>
        <v>24</v>
      </c>
      <c r="S113" s="72"/>
      <c r="T113">
        <v>14</v>
      </c>
      <c r="U113" t="str">
        <v>OGDC</v>
      </c>
      <c r="V113" t="str">
        <v>Logan Weidner</v>
      </c>
      <c r="W113" t="str">
        <v>NULL</v>
      </c>
      <c r="X113" t="str">
        <v>Away</v>
      </c>
      <c r="Y113" t="str">
        <v>ARC</v>
      </c>
      <c r="Z113">
        <v>8.1749955060328166</v>
      </c>
    </row>
    <row r="114" spans="10:26" x14ac:dyDescent="0.35">
      <c r="J114" s="66">
        <v>4</v>
      </c>
      <c r="K114" t="s">
        <v>14</v>
      </c>
      <c r="L114" t="s">
        <v>514</v>
      </c>
      <c r="M114">
        <v>4.4000000000000004</v>
      </c>
      <c r="N114" t="s">
        <v>9</v>
      </c>
      <c r="O114" t="s">
        <v>7</v>
      </c>
      <c r="P114">
        <f t="shared" si="11"/>
        <v>4.9041340990360549</v>
      </c>
      <c r="Q114">
        <f t="shared" si="12"/>
        <v>0.25415118981089446</v>
      </c>
      <c r="R114" s="67" cm="1">
        <f t="array" ref="R114">SUMPRODUCT((J114=$J$7:$J$1000)*(P114&lt;$P$7:$P$1000))+1</f>
        <v>27</v>
      </c>
      <c r="S114" s="72"/>
      <c r="T114">
        <v>14</v>
      </c>
      <c r="U114" t="str">
        <v>SDL</v>
      </c>
      <c r="V114" t="str">
        <v>Aminae Amiatu-Tanoi</v>
      </c>
      <c r="W114" t="str">
        <v>NULL</v>
      </c>
      <c r="X114" t="str">
        <v>Away</v>
      </c>
      <c r="Y114" t="str">
        <v>SEA</v>
      </c>
      <c r="Z114">
        <v>1.276287615480979</v>
      </c>
    </row>
    <row r="115" spans="10:26" x14ac:dyDescent="0.35">
      <c r="J115" s="65">
        <v>4</v>
      </c>
      <c r="K115" t="s">
        <v>13</v>
      </c>
      <c r="L115" t="s">
        <v>210</v>
      </c>
      <c r="M115">
        <v>3.6</v>
      </c>
      <c r="N115" t="s">
        <v>3</v>
      </c>
      <c r="O115" t="s">
        <v>36</v>
      </c>
      <c r="P115">
        <f t="shared" si="11"/>
        <v>4.8661767388532606</v>
      </c>
      <c r="Q115">
        <f t="shared" si="12"/>
        <v>1.6032035340130779</v>
      </c>
      <c r="R115" s="67" cm="1">
        <f t="array" ref="R115">SUMPRODUCT((J115=$J$7:$J$1000)*(P115&lt;$P$7:$P$1000))+1</f>
        <v>28</v>
      </c>
      <c r="S115" s="72"/>
      <c r="T115">
        <v>14</v>
      </c>
      <c r="U115" t="str">
        <v>SDL</v>
      </c>
      <c r="V115" t="str">
        <v>Brad Wilkin</v>
      </c>
      <c r="W115" t="str">
        <v>NULL</v>
      </c>
      <c r="X115" t="str">
        <v>Away</v>
      </c>
      <c r="Y115" t="str">
        <v>SEA</v>
      </c>
      <c r="Z115">
        <v>10.486863643460824</v>
      </c>
    </row>
    <row r="116" spans="10:26" x14ac:dyDescent="0.35">
      <c r="J116" s="65">
        <v>4</v>
      </c>
      <c r="K116" t="s">
        <v>24</v>
      </c>
      <c r="L116" t="s">
        <v>223</v>
      </c>
      <c r="M116">
        <v>3.5</v>
      </c>
      <c r="N116" t="s">
        <v>3</v>
      </c>
      <c r="O116" t="s">
        <v>2</v>
      </c>
      <c r="P116">
        <f t="shared" si="11"/>
        <v>5.927581743135681</v>
      </c>
      <c r="Q116">
        <f t="shared" si="12"/>
        <v>5.893153119605671</v>
      </c>
      <c r="R116" s="67" cm="1">
        <f t="array" ref="R116">SUMPRODUCT((J116=$J$7:$J$1000)*(P116&lt;$P$7:$P$1000))+1</f>
        <v>23</v>
      </c>
      <c r="S116" s="72"/>
      <c r="T116">
        <v>14</v>
      </c>
      <c r="U116" t="str">
        <v>SDL</v>
      </c>
      <c r="V116" t="str">
        <v>Christian Poidevin</v>
      </c>
      <c r="W116" t="str">
        <v>NULL</v>
      </c>
      <c r="X116" t="str">
        <v>Away</v>
      </c>
      <c r="Y116" t="str">
        <v>SEA</v>
      </c>
      <c r="Z116">
        <v>12.010442742166108</v>
      </c>
    </row>
    <row r="117" spans="10:26" x14ac:dyDescent="0.35">
      <c r="J117" s="65">
        <v>4</v>
      </c>
      <c r="K117" t="s">
        <v>36</v>
      </c>
      <c r="L117" t="s">
        <v>216</v>
      </c>
      <c r="M117">
        <v>2.9</v>
      </c>
      <c r="N117" t="s">
        <v>9</v>
      </c>
      <c r="O117" t="s">
        <v>13</v>
      </c>
      <c r="P117">
        <f t="shared" si="11"/>
        <v>4.0572911437417982</v>
      </c>
      <c r="Q117">
        <f t="shared" si="12"/>
        <v>1.3393227913831998</v>
      </c>
      <c r="R117" s="67" cm="1">
        <f t="array" ref="R117">SUMPRODUCT((J117=$J$7:$J$1000)*(P117&lt;$P$7:$P$1000))+1</f>
        <v>30</v>
      </c>
      <c r="S117" s="72"/>
      <c r="T117">
        <v>14</v>
      </c>
      <c r="U117" t="str">
        <v>SDL</v>
      </c>
      <c r="V117" t="str">
        <v>Jimmy Hokafonu</v>
      </c>
      <c r="W117" t="str">
        <v>NULL</v>
      </c>
      <c r="X117" t="str">
        <v>Away</v>
      </c>
      <c r="Y117" t="str">
        <v>SEA</v>
      </c>
      <c r="Z117">
        <v>7.586231238660865</v>
      </c>
    </row>
    <row r="118" spans="10:26" x14ac:dyDescent="0.35">
      <c r="J118" s="66">
        <v>4</v>
      </c>
      <c r="K118" t="s">
        <v>7</v>
      </c>
      <c r="L118" t="s">
        <v>201</v>
      </c>
      <c r="M118">
        <v>2.2000000000000002</v>
      </c>
      <c r="N118" t="s">
        <v>3</v>
      </c>
      <c r="O118" t="s">
        <v>14</v>
      </c>
      <c r="P118">
        <f t="shared" si="11"/>
        <v>10.447232429388805</v>
      </c>
      <c r="Q118">
        <f t="shared" si="12"/>
        <v>68.016842744362378</v>
      </c>
      <c r="R118" s="67" cm="1">
        <f t="array" ref="R118">SUMPRODUCT((J118=$J$7:$J$1000)*(P118&lt;$P$7:$P$1000))+1</f>
        <v>5</v>
      </c>
      <c r="S118" s="72"/>
      <c r="T118">
        <v>14</v>
      </c>
      <c r="U118" t="str">
        <v>SDL</v>
      </c>
      <c r="V118" t="str">
        <v>Paddy Ryan</v>
      </c>
      <c r="W118" t="str">
        <v>NULL</v>
      </c>
      <c r="X118" t="str">
        <v>Away</v>
      </c>
      <c r="Y118" t="str">
        <v>SEA</v>
      </c>
      <c r="Z118">
        <v>10.004850219203009</v>
      </c>
    </row>
    <row r="119" spans="10:26" x14ac:dyDescent="0.35">
      <c r="J119" s="66">
        <v>4</v>
      </c>
      <c r="K119" t="s">
        <v>17</v>
      </c>
      <c r="L119" t="s">
        <v>222</v>
      </c>
      <c r="M119">
        <v>1.8</v>
      </c>
      <c r="N119" t="s">
        <v>3</v>
      </c>
      <c r="O119" t="s">
        <v>23</v>
      </c>
      <c r="P119">
        <f t="shared" si="11"/>
        <v>6.9236097545462911</v>
      </c>
      <c r="Q119">
        <f t="shared" si="12"/>
        <v>26.251376916881906</v>
      </c>
      <c r="R119" s="67" cm="1">
        <f t="array" ref="R119">SUMPRODUCT((J119=$J$7:$J$1000)*(P119&lt;$P$7:$P$1000))+1</f>
        <v>20</v>
      </c>
      <c r="S119" s="72"/>
      <c r="T119">
        <v>14</v>
      </c>
      <c r="U119" t="str">
        <v>SDL</v>
      </c>
      <c r="V119" t="str">
        <v>Tevita Tameilau</v>
      </c>
      <c r="W119" t="str">
        <v>NULL</v>
      </c>
      <c r="X119" t="str">
        <v>Away</v>
      </c>
      <c r="Y119" t="str">
        <v>SEA</v>
      </c>
      <c r="Z119">
        <v>3.4129394681631831</v>
      </c>
    </row>
    <row r="120" spans="10:26" x14ac:dyDescent="0.35">
      <c r="J120" s="66">
        <v>4</v>
      </c>
      <c r="K120" t="s">
        <v>6</v>
      </c>
      <c r="L120" t="s">
        <v>430</v>
      </c>
      <c r="M120">
        <v>-9.4</v>
      </c>
      <c r="N120" t="s">
        <v>9</v>
      </c>
      <c r="O120" t="s">
        <v>34</v>
      </c>
      <c r="P120">
        <f t="shared" si="11"/>
        <v>5.3295986871983505</v>
      </c>
      <c r="Q120">
        <f t="shared" si="12"/>
        <v>216.96107748591538</v>
      </c>
      <c r="R120" s="67" cm="1">
        <f t="array" ref="R120">SUMPRODUCT((J120=$J$7:$J$1000)*(P120&lt;$P$7:$P$1000))+1</f>
        <v>26</v>
      </c>
      <c r="S120" s="72"/>
      <c r="T120">
        <v>14</v>
      </c>
      <c r="U120" t="str">
        <v>SDL</v>
      </c>
      <c r="V120" t="str">
        <v>Vili Helu</v>
      </c>
      <c r="W120" t="str">
        <v>NULL</v>
      </c>
      <c r="X120" t="str">
        <v>Away</v>
      </c>
      <c r="Y120" t="str">
        <v>SEA</v>
      </c>
      <c r="Z120">
        <v>5.1915181250362812</v>
      </c>
    </row>
    <row r="121" spans="10:26" x14ac:dyDescent="0.35">
      <c r="J121" s="65">
        <v>5</v>
      </c>
      <c r="K121" t="s">
        <v>7</v>
      </c>
      <c r="L121" t="s">
        <v>202</v>
      </c>
      <c r="M121">
        <v>20.9</v>
      </c>
      <c r="N121" t="s">
        <v>9</v>
      </c>
      <c r="O121" t="s">
        <v>2</v>
      </c>
      <c r="P121">
        <f t="shared" si="11"/>
        <v>8.982993816873222</v>
      </c>
      <c r="Q121">
        <f t="shared" si="12"/>
        <v>142.01503636868182</v>
      </c>
      <c r="R121" s="67" cm="1">
        <f t="array" ref="R121">SUMPRODUCT((J121=$J$7:$J$1000)*(P121&lt;$P$7:$P$1000))+1</f>
        <v>11</v>
      </c>
      <c r="S121" s="72"/>
      <c r="T121">
        <v>14</v>
      </c>
      <c r="U121" t="str">
        <v>SEA</v>
      </c>
      <c r="V121" t="str">
        <v>Charles Elton</v>
      </c>
      <c r="W121" t="str">
        <v>NULL</v>
      </c>
      <c r="X121" t="str">
        <v>Home</v>
      </c>
      <c r="Y121" t="str">
        <v>SDL</v>
      </c>
      <c r="Z121">
        <v>7.7762470690888419</v>
      </c>
    </row>
    <row r="122" spans="10:26" x14ac:dyDescent="0.35">
      <c r="J122" s="66">
        <v>5</v>
      </c>
      <c r="K122" t="s">
        <v>4</v>
      </c>
      <c r="L122" t="s">
        <v>209</v>
      </c>
      <c r="M122">
        <v>18.399999999999999</v>
      </c>
      <c r="N122" t="s">
        <v>9</v>
      </c>
      <c r="O122" t="s">
        <v>23</v>
      </c>
      <c r="P122">
        <f t="shared" si="11"/>
        <v>11.898703878539363</v>
      </c>
      <c r="Q122">
        <f t="shared" si="12"/>
        <v>42.266851258919097</v>
      </c>
      <c r="R122" s="67" cm="1">
        <f t="array" ref="R122">SUMPRODUCT((J122=$J$7:$J$1000)*(P122&lt;$P$7:$P$1000))+1</f>
        <v>2</v>
      </c>
      <c r="S122" s="72"/>
      <c r="T122">
        <v>14</v>
      </c>
      <c r="U122" t="str">
        <v>SEA</v>
      </c>
      <c r="V122" t="str">
        <v>Devin Short</v>
      </c>
      <c r="W122" t="str">
        <v>NULL</v>
      </c>
      <c r="X122" t="str">
        <v>Home</v>
      </c>
      <c r="Y122" t="str">
        <v>SDL</v>
      </c>
      <c r="Z122">
        <v>8.3174245218751803</v>
      </c>
    </row>
    <row r="123" spans="10:26" x14ac:dyDescent="0.35">
      <c r="J123" s="65">
        <v>5</v>
      </c>
      <c r="K123" t="s">
        <v>6</v>
      </c>
      <c r="L123" t="s">
        <v>432</v>
      </c>
      <c r="M123">
        <v>17.399999999999999</v>
      </c>
      <c r="N123" t="s">
        <v>3</v>
      </c>
      <c r="O123" t="s">
        <v>17</v>
      </c>
      <c r="P123">
        <f t="shared" si="11"/>
        <v>10.872937037282966</v>
      </c>
      <c r="Q123">
        <f t="shared" si="12"/>
        <v>42.602550919272446</v>
      </c>
      <c r="R123" s="67" cm="1">
        <f t="array" ref="R123">SUMPRODUCT((J123=$J$7:$J$1000)*(P123&lt;$P$7:$P$1000))+1</f>
        <v>4</v>
      </c>
      <c r="S123" s="72"/>
      <c r="T123">
        <v>14</v>
      </c>
      <c r="U123" t="str">
        <v>SEA</v>
      </c>
      <c r="V123" t="str">
        <v>Huw Taylor</v>
      </c>
      <c r="W123" t="str">
        <v>NULL</v>
      </c>
      <c r="X123" t="str">
        <v>Home</v>
      </c>
      <c r="Y123" t="str">
        <v>SDL</v>
      </c>
      <c r="Z123">
        <v>6.966063556961382</v>
      </c>
    </row>
    <row r="124" spans="10:26" x14ac:dyDescent="0.35">
      <c r="J124" s="66">
        <v>5</v>
      </c>
      <c r="K124" t="s">
        <v>23</v>
      </c>
      <c r="L124" t="s">
        <v>389</v>
      </c>
      <c r="M124">
        <v>16.3</v>
      </c>
      <c r="N124" t="s">
        <v>3</v>
      </c>
      <c r="O124" t="s">
        <v>4</v>
      </c>
      <c r="P124">
        <f t="shared" si="11"/>
        <v>12.502928200498852</v>
      </c>
      <c r="Q124">
        <f t="shared" si="12"/>
        <v>14.417754250566892</v>
      </c>
      <c r="R124" s="67" cm="1">
        <f t="array" ref="R124">SUMPRODUCT((J124=$J$7:$J$1000)*(P124&lt;$P$7:$P$1000))+1</f>
        <v>1</v>
      </c>
      <c r="S124" s="72"/>
      <c r="T124">
        <v>14</v>
      </c>
      <c r="U124" t="str">
        <v>SEA</v>
      </c>
      <c r="V124" t="str">
        <v>OJ Noa</v>
      </c>
      <c r="W124" t="str">
        <v>NULL</v>
      </c>
      <c r="X124" t="str">
        <v>Home</v>
      </c>
      <c r="Y124" t="str">
        <v>SDL</v>
      </c>
      <c r="Z124">
        <v>6.4753265451609545</v>
      </c>
    </row>
    <row r="125" spans="10:26" x14ac:dyDescent="0.35">
      <c r="J125" s="65">
        <v>5</v>
      </c>
      <c r="K125" t="s">
        <v>2</v>
      </c>
      <c r="L125" t="s">
        <v>213</v>
      </c>
      <c r="M125">
        <v>14.5</v>
      </c>
      <c r="N125" t="s">
        <v>3</v>
      </c>
      <c r="O125" t="s">
        <v>7</v>
      </c>
      <c r="P125">
        <f t="shared" si="11"/>
        <v>9.0055478607954829</v>
      </c>
      <c r="Q125">
        <f t="shared" si="12"/>
        <v>30.189004310009096</v>
      </c>
      <c r="R125" s="67" cm="1">
        <f t="array" ref="R125">SUMPRODUCT((J125=$J$7:$J$1000)*(P125&lt;$P$7:$P$1000))+1</f>
        <v>10</v>
      </c>
      <c r="S125" s="72"/>
      <c r="T125">
        <v>14</v>
      </c>
      <c r="U125" t="str">
        <v>SEA</v>
      </c>
      <c r="V125" t="str">
        <v>Riekert Hattingh</v>
      </c>
      <c r="W125" t="str">
        <v>NULL</v>
      </c>
      <c r="X125" t="str">
        <v>Home</v>
      </c>
      <c r="Y125" t="str">
        <v>SDL</v>
      </c>
      <c r="Z125">
        <v>9.4451966396539184</v>
      </c>
    </row>
    <row r="126" spans="10:26" x14ac:dyDescent="0.35">
      <c r="J126" s="65">
        <v>5</v>
      </c>
      <c r="K126" t="s">
        <v>23</v>
      </c>
      <c r="L126" t="s">
        <v>229</v>
      </c>
      <c r="M126">
        <v>14.5</v>
      </c>
      <c r="N126" t="s">
        <v>3</v>
      </c>
      <c r="O126" t="s">
        <v>4</v>
      </c>
      <c r="P126">
        <f t="shared" si="11"/>
        <v>9.39755426617978</v>
      </c>
      <c r="Q126">
        <f t="shared" si="12"/>
        <v>26.034952466580165</v>
      </c>
      <c r="R126" s="67" cm="1">
        <f t="array" ref="R126">SUMPRODUCT((J126=$J$7:$J$1000)*(P126&lt;$P$7:$P$1000))+1</f>
        <v>7</v>
      </c>
      <c r="S126" s="72"/>
      <c r="T126">
        <v>14</v>
      </c>
      <c r="U126" t="str">
        <v>UTAH</v>
      </c>
      <c r="V126" t="str">
        <v>Bailey Wilson</v>
      </c>
      <c r="W126" t="str">
        <v>NULL</v>
      </c>
      <c r="X126" t="str">
        <v>Away</v>
      </c>
      <c r="Y126" t="str">
        <v>HOU</v>
      </c>
      <c r="Z126">
        <v>7.0688407829467641</v>
      </c>
    </row>
    <row r="127" spans="10:26" x14ac:dyDescent="0.35">
      <c r="J127" s="66">
        <v>5</v>
      </c>
      <c r="K127" t="s">
        <v>2</v>
      </c>
      <c r="L127" t="s">
        <v>212</v>
      </c>
      <c r="M127">
        <v>9.4</v>
      </c>
      <c r="N127" t="s">
        <v>3</v>
      </c>
      <c r="O127" t="s">
        <v>7</v>
      </c>
      <c r="P127">
        <f t="shared" si="11"/>
        <v>7.6859191885432141</v>
      </c>
      <c r="Q127">
        <f t="shared" si="12"/>
        <v>2.938073028204355</v>
      </c>
      <c r="R127" s="67" cm="1">
        <f t="array" ref="R127">SUMPRODUCT((J127=$J$7:$J$1000)*(P127&lt;$P$7:$P$1000))+1</f>
        <v>14</v>
      </c>
      <c r="S127" s="72"/>
      <c r="T127">
        <v>14</v>
      </c>
      <c r="U127" t="str">
        <v>UTAH</v>
      </c>
      <c r="V127" t="str">
        <v>Dylan Nel</v>
      </c>
      <c r="W127" t="str">
        <v>NULL</v>
      </c>
      <c r="X127" t="str">
        <v>Away</v>
      </c>
      <c r="Y127" t="str">
        <v>HOU</v>
      </c>
      <c r="Z127">
        <v>9.3207074901475107</v>
      </c>
    </row>
    <row r="128" spans="10:26" x14ac:dyDescent="0.35">
      <c r="J128" s="66">
        <v>5</v>
      </c>
      <c r="K128" t="s">
        <v>13</v>
      </c>
      <c r="L128" t="s">
        <v>198</v>
      </c>
      <c r="M128">
        <v>9.3000000000000007</v>
      </c>
      <c r="N128" t="s">
        <v>9</v>
      </c>
      <c r="O128" t="s">
        <v>24</v>
      </c>
      <c r="P128">
        <f t="shared" si="11"/>
        <v>6.7644555378229043</v>
      </c>
      <c r="Q128">
        <f t="shared" si="12"/>
        <v>6.4289857196769411</v>
      </c>
      <c r="R128" s="67" cm="1">
        <f t="array" ref="R128">SUMPRODUCT((J128=$J$7:$J$1000)*(P128&lt;$P$7:$P$1000))+1</f>
        <v>16</v>
      </c>
      <c r="S128" s="72"/>
      <c r="T128">
        <v>14</v>
      </c>
      <c r="U128" t="str">
        <v>UTAH</v>
      </c>
      <c r="V128" t="str">
        <v>Frank Lochore</v>
      </c>
      <c r="W128" t="str">
        <v>NULL</v>
      </c>
      <c r="X128" t="str">
        <v>Away</v>
      </c>
      <c r="Y128" t="str">
        <v>HOU</v>
      </c>
      <c r="Z128">
        <v>8.6168639230341029</v>
      </c>
    </row>
    <row r="129" spans="10:26" x14ac:dyDescent="0.35">
      <c r="J129" s="66">
        <v>5</v>
      </c>
      <c r="K129" t="s">
        <v>7</v>
      </c>
      <c r="L129" t="s">
        <v>207</v>
      </c>
      <c r="M129">
        <v>8.5</v>
      </c>
      <c r="N129" t="s">
        <v>9</v>
      </c>
      <c r="O129" t="s">
        <v>2</v>
      </c>
      <c r="P129">
        <f t="shared" si="11"/>
        <v>8.5744763657355882</v>
      </c>
      <c r="Q129">
        <f t="shared" si="12"/>
        <v>5.546729053181103E-3</v>
      </c>
      <c r="R129" s="67" cm="1">
        <f t="array" ref="R129">SUMPRODUCT((J129=$J$7:$J$1000)*(P129&lt;$P$7:$P$1000))+1</f>
        <v>12</v>
      </c>
      <c r="S129" s="72"/>
      <c r="T129">
        <v>14</v>
      </c>
      <c r="U129" t="str">
        <v>UTAH</v>
      </c>
      <c r="V129" t="str">
        <v>Kalisi Moli</v>
      </c>
      <c r="W129" t="str">
        <v>NULL</v>
      </c>
      <c r="X129" t="str">
        <v>Away</v>
      </c>
      <c r="Y129" t="str">
        <v>HOU</v>
      </c>
      <c r="Z129">
        <v>5.4661868645903837</v>
      </c>
    </row>
    <row r="130" spans="10:26" x14ac:dyDescent="0.35">
      <c r="J130" s="66">
        <v>5</v>
      </c>
      <c r="K130" t="s">
        <v>6</v>
      </c>
      <c r="L130" t="s">
        <v>433</v>
      </c>
      <c r="M130">
        <v>7.2</v>
      </c>
      <c r="N130" t="s">
        <v>3</v>
      </c>
      <c r="O130" t="s">
        <v>17</v>
      </c>
      <c r="P130">
        <f t="shared" si="11"/>
        <v>10.876314465716964</v>
      </c>
      <c r="Q130">
        <f t="shared" si="12"/>
        <v>13.515288050839807</v>
      </c>
      <c r="R130" s="67" cm="1">
        <f t="array" ref="R130">SUMPRODUCT((J130=$J$7:$J$1000)*(P130&lt;$P$7:$P$1000))+1</f>
        <v>3</v>
      </c>
      <c r="S130" s="72"/>
      <c r="T130">
        <v>14</v>
      </c>
      <c r="U130" t="str">
        <v>UTAH</v>
      </c>
      <c r="V130" t="str">
        <v>Lance Williams</v>
      </c>
      <c r="W130" t="str">
        <v>NULL</v>
      </c>
      <c r="X130" t="str">
        <v>Away</v>
      </c>
      <c r="Y130" t="str">
        <v>HOU</v>
      </c>
      <c r="Z130">
        <v>0.5746252714722857</v>
      </c>
    </row>
    <row r="131" spans="10:26" x14ac:dyDescent="0.35">
      <c r="J131" s="66">
        <v>5</v>
      </c>
      <c r="K131" t="s">
        <v>17</v>
      </c>
      <c r="L131" t="s">
        <v>206</v>
      </c>
      <c r="M131">
        <v>7.1</v>
      </c>
      <c r="N131" t="s">
        <v>9</v>
      </c>
      <c r="O131" t="s">
        <v>6</v>
      </c>
      <c r="P131">
        <f t="shared" si="11"/>
        <v>6.65364477299845</v>
      </c>
      <c r="Q131">
        <f t="shared" si="12"/>
        <v>0.19923298867160488</v>
      </c>
      <c r="R131" s="67" cm="1">
        <f t="array" ref="R131">SUMPRODUCT((J131=$J$7:$J$1000)*(P131&lt;$P$7:$P$1000))+1</f>
        <v>17</v>
      </c>
      <c r="S131" s="72"/>
      <c r="T131">
        <v>14</v>
      </c>
      <c r="U131" t="str">
        <v>UTAH</v>
      </c>
      <c r="V131" t="str">
        <v>Reid Davis</v>
      </c>
      <c r="W131" t="str">
        <v>NULL</v>
      </c>
      <c r="X131" t="str">
        <v>Away</v>
      </c>
      <c r="Y131" t="str">
        <v>HOU</v>
      </c>
      <c r="Z131">
        <v>2.2167095609706293</v>
      </c>
    </row>
    <row r="132" spans="10:26" x14ac:dyDescent="0.35">
      <c r="J132" s="66">
        <v>5</v>
      </c>
      <c r="K132" t="s">
        <v>13</v>
      </c>
      <c r="L132" t="s">
        <v>204</v>
      </c>
      <c r="M132">
        <v>6.9</v>
      </c>
      <c r="N132" t="s">
        <v>9</v>
      </c>
      <c r="O132" t="s">
        <v>24</v>
      </c>
      <c r="P132">
        <f t="shared" si="11"/>
        <v>9.01632224502365</v>
      </c>
      <c r="Q132">
        <f t="shared" si="12"/>
        <v>4.4788198447819401</v>
      </c>
      <c r="R132" s="67" cm="1">
        <f t="array" ref="R132">SUMPRODUCT((J132=$J$7:$J$1000)*(P132&lt;$P$7:$P$1000))+1</f>
        <v>9</v>
      </c>
      <c r="S132" s="72"/>
      <c r="T132">
        <v>14</v>
      </c>
      <c r="U132" t="str">
        <v>UTAH</v>
      </c>
      <c r="V132" t="str">
        <v>Ronnie McElligott</v>
      </c>
      <c r="W132" t="str">
        <v>NULL</v>
      </c>
      <c r="X132" t="str">
        <v>Away</v>
      </c>
      <c r="Y132" t="str">
        <v>HOU</v>
      </c>
      <c r="Z132">
        <v>3.0638015635547</v>
      </c>
    </row>
    <row r="133" spans="10:26" x14ac:dyDescent="0.35">
      <c r="J133" s="66">
        <v>5</v>
      </c>
      <c r="K133" t="s">
        <v>24</v>
      </c>
      <c r="L133" t="s">
        <v>215</v>
      </c>
      <c r="M133">
        <v>6.5</v>
      </c>
      <c r="N133" t="s">
        <v>3</v>
      </c>
      <c r="O133" t="s">
        <v>13</v>
      </c>
      <c r="P133">
        <f t="shared" si="11"/>
        <v>10.751761348095103</v>
      </c>
      <c r="Q133">
        <f t="shared" si="12"/>
        <v>18.077474561155487</v>
      </c>
      <c r="R133" s="67" cm="1">
        <f t="array" ref="R133">SUMPRODUCT((J133=$J$7:$J$1000)*(P133&lt;$P$7:$P$1000))+1</f>
        <v>5</v>
      </c>
      <c r="S133" s="72"/>
      <c r="T133">
        <v>14</v>
      </c>
      <c r="U133" t="str">
        <v>UTAH</v>
      </c>
      <c r="V133" t="str">
        <v>Tamarau McGahan</v>
      </c>
      <c r="W133" t="str">
        <v>NULL</v>
      </c>
      <c r="X133" t="str">
        <v>Away</v>
      </c>
      <c r="Y133" t="str">
        <v>HOU</v>
      </c>
      <c r="Z133">
        <v>5.4572863364090978</v>
      </c>
    </row>
    <row r="134" spans="10:26" x14ac:dyDescent="0.35">
      <c r="J134" s="66">
        <v>5</v>
      </c>
      <c r="K134" t="s">
        <v>6</v>
      </c>
      <c r="L134" t="s">
        <v>430</v>
      </c>
      <c r="M134">
        <v>5.7</v>
      </c>
      <c r="N134" t="s">
        <v>3</v>
      </c>
      <c r="O134" t="s">
        <v>17</v>
      </c>
      <c r="P134">
        <f t="shared" si="11"/>
        <v>4.2101446322711205</v>
      </c>
      <c r="Q134">
        <f t="shared" si="12"/>
        <v>2.2196690167505553</v>
      </c>
      <c r="R134" s="67" cm="1">
        <f t="array" ref="R134">SUMPRODUCT((J134=$J$7:$J$1000)*(P134&lt;$P$7:$P$1000))+1</f>
        <v>20</v>
      </c>
      <c r="S134" s="72"/>
      <c r="T134">
        <v>15</v>
      </c>
      <c r="U134" t="str">
        <v>ARC</v>
      </c>
      <c r="V134" t="str">
        <v>Albert O'Shannessey</v>
      </c>
      <c r="W134" t="str">
        <v>NULL</v>
      </c>
      <c r="X134" t="str">
        <v>Home</v>
      </c>
      <c r="Y134" t="str">
        <v>CHI</v>
      </c>
      <c r="Z134">
        <v>4.4133450682678186</v>
      </c>
    </row>
    <row r="135" spans="10:26" x14ac:dyDescent="0.35">
      <c r="J135" s="66">
        <v>5</v>
      </c>
      <c r="K135" t="s">
        <v>17</v>
      </c>
      <c r="L135" t="s">
        <v>222</v>
      </c>
      <c r="M135">
        <v>5.0999999999999996</v>
      </c>
      <c r="N135" t="s">
        <v>9</v>
      </c>
      <c r="O135" t="s">
        <v>6</v>
      </c>
      <c r="P135">
        <f t="shared" si="11"/>
        <v>9.1327778556909855</v>
      </c>
      <c r="Q135">
        <f t="shared" si="12"/>
        <v>16.263297233351587</v>
      </c>
      <c r="R135" s="67" cm="1">
        <f t="array" ref="R135">SUMPRODUCT((J135=$J$7:$J$1000)*(P135&lt;$P$7:$P$1000))+1</f>
        <v>8</v>
      </c>
      <c r="S135" s="72"/>
      <c r="T135">
        <v>15</v>
      </c>
      <c r="U135" t="str">
        <v>ARC</v>
      </c>
      <c r="V135" t="str">
        <v>Alejandro Martinez Tapia</v>
      </c>
      <c r="W135" t="str">
        <v>NULL</v>
      </c>
      <c r="X135" t="str">
        <v>Home</v>
      </c>
      <c r="Y135" t="str">
        <v>CHI</v>
      </c>
      <c r="Z135">
        <v>6.9550125338093185</v>
      </c>
    </row>
    <row r="136" spans="10:26" x14ac:dyDescent="0.35">
      <c r="J136" s="66">
        <v>5</v>
      </c>
      <c r="K136" t="s">
        <v>17</v>
      </c>
      <c r="L136" t="s">
        <v>485</v>
      </c>
      <c r="M136">
        <v>4.7</v>
      </c>
      <c r="N136" t="s">
        <v>9</v>
      </c>
      <c r="O136" t="s">
        <v>6</v>
      </c>
      <c r="P136">
        <f t="shared" ref="P136:P199" si="17">VLOOKUP($N136,$F$3:$G$4,2,FALSE)+VLOOKUP($L136,$B$20:$C$150,2,FALSE)+VLOOKUP($O136,$A$6:$B$16,2,FALSE)</f>
        <v>8.0050057379122492</v>
      </c>
      <c r="Q136">
        <f t="shared" ref="Q136:Q199" si="18">IFERROR(($M136-$P136)^2,"")</f>
        <v>10.923062927632889</v>
      </c>
      <c r="R136" s="67" cm="1">
        <f t="array" ref="R136">SUMPRODUCT((J136=$J$7:$J$1000)*(P136&lt;$P$7:$P$1000))+1</f>
        <v>13</v>
      </c>
      <c r="S136" s="72"/>
      <c r="T136">
        <v>15</v>
      </c>
      <c r="U136" t="str">
        <v>ARC</v>
      </c>
      <c r="V136" t="str">
        <v>Colin Turner</v>
      </c>
      <c r="W136" t="str">
        <v>NULL</v>
      </c>
      <c r="X136" t="str">
        <v>Home</v>
      </c>
      <c r="Y136" t="str">
        <v>CHI</v>
      </c>
      <c r="Z136">
        <v>5.4113890657675512</v>
      </c>
    </row>
    <row r="137" spans="10:26" x14ac:dyDescent="0.35">
      <c r="J137" s="66">
        <v>5</v>
      </c>
      <c r="K137" t="s">
        <v>23</v>
      </c>
      <c r="L137" t="s">
        <v>428</v>
      </c>
      <c r="M137">
        <v>3.6</v>
      </c>
      <c r="N137" t="s">
        <v>3</v>
      </c>
      <c r="O137" t="s">
        <v>4</v>
      </c>
      <c r="P137">
        <f t="shared" si="17"/>
        <v>10.05252590660159</v>
      </c>
      <c r="Q137">
        <f t="shared" si="18"/>
        <v>41.635090575364671</v>
      </c>
      <c r="R137" s="67" cm="1">
        <f t="array" ref="R137">SUMPRODUCT((J137=$J$7:$J$1000)*(P137&lt;$P$7:$P$1000))+1</f>
        <v>6</v>
      </c>
      <c r="S137" s="72"/>
      <c r="T137">
        <v>15</v>
      </c>
      <c r="U137" t="str">
        <v>ARC</v>
      </c>
      <c r="V137" t="str">
        <v>Dylan Fortune</v>
      </c>
      <c r="W137" t="str">
        <v>NULL</v>
      </c>
      <c r="X137" t="str">
        <v>Home</v>
      </c>
      <c r="Y137" t="str">
        <v>CHI</v>
      </c>
      <c r="Z137">
        <v>4.222545825287134</v>
      </c>
    </row>
    <row r="138" spans="10:26" x14ac:dyDescent="0.35">
      <c r="J138" s="66">
        <v>5</v>
      </c>
      <c r="K138" t="s">
        <v>4</v>
      </c>
      <c r="L138" t="s">
        <v>109</v>
      </c>
      <c r="M138">
        <v>3.6</v>
      </c>
      <c r="N138" t="s">
        <v>9</v>
      </c>
      <c r="O138" t="s">
        <v>23</v>
      </c>
      <c r="P138">
        <f t="shared" si="17"/>
        <v>3.5894730545679119</v>
      </c>
      <c r="Q138">
        <f t="shared" si="18"/>
        <v>1.108165801301628E-4</v>
      </c>
      <c r="R138" s="67" cm="1">
        <f t="array" ref="R138">SUMPRODUCT((J138=$J$7:$J$1000)*(P138&lt;$P$7:$P$1000))+1</f>
        <v>22</v>
      </c>
      <c r="S138" s="72"/>
      <c r="T138">
        <v>15</v>
      </c>
      <c r="U138" t="str">
        <v>ARC</v>
      </c>
      <c r="V138" t="str">
        <v>Graeme Pedegana</v>
      </c>
      <c r="W138" t="str">
        <v>NULL</v>
      </c>
      <c r="X138" t="str">
        <v>Home</v>
      </c>
      <c r="Y138" t="str">
        <v>CHI</v>
      </c>
      <c r="Z138">
        <v>6.5273759217957155</v>
      </c>
    </row>
    <row r="139" spans="10:26" x14ac:dyDescent="0.35">
      <c r="J139" s="66">
        <v>5</v>
      </c>
      <c r="K139" t="s">
        <v>24</v>
      </c>
      <c r="L139" t="s">
        <v>223</v>
      </c>
      <c r="M139">
        <v>2.6</v>
      </c>
      <c r="N139" t="s">
        <v>3</v>
      </c>
      <c r="O139" t="s">
        <v>13</v>
      </c>
      <c r="P139">
        <f t="shared" si="17"/>
        <v>4.150652696083899</v>
      </c>
      <c r="Q139">
        <f t="shared" si="18"/>
        <v>2.4045237838722646</v>
      </c>
      <c r="R139" s="67" cm="1">
        <f t="array" ref="R139">SUMPRODUCT((J139=$J$7:$J$1000)*(P139&lt;$P$7:$P$1000))+1</f>
        <v>21</v>
      </c>
      <c r="S139" s="72"/>
      <c r="T139">
        <v>15</v>
      </c>
      <c r="U139" t="str">
        <v>ARC</v>
      </c>
      <c r="V139" t="str">
        <v>Makeen Alikhan</v>
      </c>
      <c r="W139" t="str">
        <v>NULL</v>
      </c>
      <c r="X139" t="str">
        <v>Home</v>
      </c>
      <c r="Y139" t="str">
        <v>CHI</v>
      </c>
      <c r="Z139">
        <v>8.6702914043033505</v>
      </c>
    </row>
    <row r="140" spans="10:26" x14ac:dyDescent="0.35">
      <c r="J140" s="66">
        <v>5</v>
      </c>
      <c r="K140" t="s">
        <v>7</v>
      </c>
      <c r="L140" t="s">
        <v>211</v>
      </c>
      <c r="M140">
        <v>2.1</v>
      </c>
      <c r="N140" t="s">
        <v>9</v>
      </c>
      <c r="O140" t="s">
        <v>2</v>
      </c>
      <c r="P140">
        <f t="shared" si="17"/>
        <v>6.9807306330274361</v>
      </c>
      <c r="Q140">
        <f t="shared" si="18"/>
        <v>23.821531512172403</v>
      </c>
      <c r="R140" s="67" cm="1">
        <f t="array" ref="R140">SUMPRODUCT((J140=$J$7:$J$1000)*(P140&lt;$P$7:$P$1000))+1</f>
        <v>15</v>
      </c>
      <c r="S140" s="72"/>
      <c r="T140">
        <v>15</v>
      </c>
      <c r="U140" t="str">
        <v>ARC</v>
      </c>
      <c r="V140" t="str">
        <v>Sam Golla</v>
      </c>
      <c r="W140" t="str">
        <v>NULL</v>
      </c>
      <c r="X140" t="str">
        <v>Home</v>
      </c>
      <c r="Y140" t="str">
        <v>CHI</v>
      </c>
      <c r="Z140">
        <v>6.0543845760166839</v>
      </c>
    </row>
    <row r="141" spans="10:26" x14ac:dyDescent="0.35">
      <c r="J141" s="66">
        <v>5</v>
      </c>
      <c r="K141" t="s">
        <v>24</v>
      </c>
      <c r="L141" t="s">
        <v>217</v>
      </c>
      <c r="M141">
        <v>1.9</v>
      </c>
      <c r="N141" t="s">
        <v>3</v>
      </c>
      <c r="O141" t="s">
        <v>13</v>
      </c>
      <c r="P141">
        <f t="shared" si="17"/>
        <v>2.4783458860819789</v>
      </c>
      <c r="Q141">
        <f t="shared" si="18"/>
        <v>0.33448396394794944</v>
      </c>
      <c r="R141" s="67" cm="1">
        <f t="array" ref="R141">SUMPRODUCT((J141=$J$7:$J$1000)*(P141&lt;$P$7:$P$1000))+1</f>
        <v>23</v>
      </c>
      <c r="S141" s="72"/>
      <c r="T141">
        <v>15</v>
      </c>
      <c r="U141" t="str">
        <v>ARC</v>
      </c>
      <c r="V141" t="str">
        <v>Tomalati Ma'afu</v>
      </c>
      <c r="W141" t="str">
        <v>NULL</v>
      </c>
      <c r="X141" t="str">
        <v>Home</v>
      </c>
      <c r="Y141" t="str">
        <v>CHI</v>
      </c>
      <c r="Z141">
        <v>5.4957520724539055</v>
      </c>
    </row>
    <row r="142" spans="10:26" x14ac:dyDescent="0.35">
      <c r="J142" s="66">
        <v>5</v>
      </c>
      <c r="K142" t="s">
        <v>13</v>
      </c>
      <c r="L142" t="s">
        <v>210</v>
      </c>
      <c r="M142">
        <v>1.8</v>
      </c>
      <c r="N142" t="s">
        <v>9</v>
      </c>
      <c r="O142" t="s">
        <v>24</v>
      </c>
      <c r="P142">
        <f t="shared" si="17"/>
        <v>5.1618016194665239</v>
      </c>
      <c r="Q142">
        <f t="shared" si="18"/>
        <v>11.301710128647745</v>
      </c>
      <c r="R142" s="67" cm="1">
        <f t="array" ref="R142">SUMPRODUCT((J142=$J$7:$J$1000)*(P142&lt;$P$7:$P$1000))+1</f>
        <v>19</v>
      </c>
      <c r="S142" s="72"/>
      <c r="T142">
        <v>15</v>
      </c>
      <c r="U142" t="str">
        <v>CHI</v>
      </c>
      <c r="V142" t="str">
        <v>Brad Tucker</v>
      </c>
      <c r="W142" t="str">
        <v>NULL</v>
      </c>
      <c r="X142" t="str">
        <v>Away</v>
      </c>
      <c r="Y142" t="str">
        <v>ARC</v>
      </c>
      <c r="Z142">
        <v>5.0214310981331307</v>
      </c>
    </row>
    <row r="143" spans="10:26" x14ac:dyDescent="0.35">
      <c r="J143" s="66">
        <v>5</v>
      </c>
      <c r="K143" t="s">
        <v>2</v>
      </c>
      <c r="L143" t="s">
        <v>530</v>
      </c>
      <c r="M143">
        <v>1.6</v>
      </c>
      <c r="N143" t="s">
        <v>3</v>
      </c>
      <c r="O143" t="s">
        <v>7</v>
      </c>
      <c r="P143">
        <f t="shared" si="17"/>
        <v>5.7695274970160444</v>
      </c>
      <c r="Q143">
        <f t="shared" si="18"/>
        <v>17.384959548372883</v>
      </c>
      <c r="R143" s="67" cm="1">
        <f t="array" ref="R143">SUMPRODUCT((J143=$J$7:$J$1000)*(P143&lt;$P$7:$P$1000))+1</f>
        <v>18</v>
      </c>
      <c r="S143" s="72"/>
      <c r="T143">
        <v>15</v>
      </c>
      <c r="U143" t="str">
        <v>CHI</v>
      </c>
      <c r="V143" t="str">
        <v>Conall Boomer</v>
      </c>
      <c r="W143" t="str">
        <v>NULL</v>
      </c>
      <c r="X143" t="str">
        <v>Away</v>
      </c>
      <c r="Y143" t="str">
        <v>ARC</v>
      </c>
      <c r="Z143">
        <v>7.811153190724931</v>
      </c>
    </row>
    <row r="144" spans="10:26" x14ac:dyDescent="0.35">
      <c r="J144" s="66">
        <v>5</v>
      </c>
      <c r="K144" t="s">
        <v>4</v>
      </c>
      <c r="L144" t="s">
        <v>486</v>
      </c>
      <c r="M144">
        <v>0.5</v>
      </c>
      <c r="N144" t="s">
        <v>9</v>
      </c>
      <c r="O144" t="s">
        <v>23</v>
      </c>
      <c r="P144">
        <f t="shared" si="17"/>
        <v>1.199109254882236</v>
      </c>
      <c r="Q144">
        <f t="shared" si="18"/>
        <v>0.48875375026199519</v>
      </c>
      <c r="R144" s="67" cm="1">
        <f t="array" ref="R144">SUMPRODUCT((J144=$J$7:$J$1000)*(P144&lt;$P$7:$P$1000))+1</f>
        <v>24</v>
      </c>
      <c r="S144" s="72"/>
      <c r="T144">
        <v>15</v>
      </c>
      <c r="U144" t="str">
        <v>CHI</v>
      </c>
      <c r="V144" t="str">
        <v>Lucas Rumball</v>
      </c>
      <c r="W144" t="str">
        <v>NULL</v>
      </c>
      <c r="X144" t="str">
        <v>Away</v>
      </c>
      <c r="Y144" t="str">
        <v>ARC</v>
      </c>
      <c r="Z144">
        <v>9.7275448822520989</v>
      </c>
    </row>
    <row r="145" spans="10:26" x14ac:dyDescent="0.35">
      <c r="J145" s="66">
        <v>6</v>
      </c>
      <c r="K145" t="s">
        <v>34</v>
      </c>
      <c r="L145" t="s">
        <v>200</v>
      </c>
      <c r="M145">
        <v>14.7</v>
      </c>
      <c r="N145" t="s">
        <v>3</v>
      </c>
      <c r="O145" t="s">
        <v>24</v>
      </c>
      <c r="P145">
        <f t="shared" si="17"/>
        <v>10.66349895739905</v>
      </c>
      <c r="Q145">
        <f t="shared" si="18"/>
        <v>16.293340666918553</v>
      </c>
      <c r="R145" s="67" cm="1">
        <f t="array" ref="R145">SUMPRODUCT((J145=$J$7:$J$1000)*(P145&lt;$P$7:$P$1000))+1</f>
        <v>6</v>
      </c>
      <c r="S145" s="72"/>
      <c r="T145">
        <v>15</v>
      </c>
      <c r="U145" t="str">
        <v>CHI</v>
      </c>
      <c r="V145" t="str">
        <v>Luke White</v>
      </c>
      <c r="W145" t="str">
        <v>NULL</v>
      </c>
      <c r="X145" t="str">
        <v>Away</v>
      </c>
      <c r="Y145" t="str">
        <v>ARC</v>
      </c>
      <c r="Z145">
        <v>5.5460484396615355</v>
      </c>
    </row>
    <row r="146" spans="10:26" x14ac:dyDescent="0.35">
      <c r="J146" s="66">
        <v>6</v>
      </c>
      <c r="K146" t="s">
        <v>17</v>
      </c>
      <c r="L146" t="s">
        <v>222</v>
      </c>
      <c r="M146">
        <v>13</v>
      </c>
      <c r="N146" t="s">
        <v>3</v>
      </c>
      <c r="O146" t="s">
        <v>13</v>
      </c>
      <c r="P146">
        <f t="shared" si="17"/>
        <v>7.5294090474726865</v>
      </c>
      <c r="Q146">
        <f t="shared" si="18"/>
        <v>29.927365369873698</v>
      </c>
      <c r="R146" s="67" cm="1">
        <f t="array" ref="R146">SUMPRODUCT((J146=$J$7:$J$1000)*(P146&lt;$P$7:$P$1000))+1</f>
        <v>14</v>
      </c>
      <c r="S146" s="72"/>
      <c r="T146">
        <v>15</v>
      </c>
      <c r="U146" t="str">
        <v>CHI</v>
      </c>
      <c r="V146" t="str">
        <v>Maclean Jones</v>
      </c>
      <c r="W146" t="str">
        <v>NULL</v>
      </c>
      <c r="X146" t="str">
        <v>Away</v>
      </c>
      <c r="Y146" t="str">
        <v>ARC</v>
      </c>
      <c r="Z146">
        <v>11.047173554504367</v>
      </c>
    </row>
    <row r="147" spans="10:26" x14ac:dyDescent="0.35">
      <c r="J147" s="66">
        <v>6</v>
      </c>
      <c r="K147" t="s">
        <v>36</v>
      </c>
      <c r="L147" t="s">
        <v>205</v>
      </c>
      <c r="M147">
        <v>12.1</v>
      </c>
      <c r="N147" t="s">
        <v>9</v>
      </c>
      <c r="O147" t="s">
        <v>14</v>
      </c>
      <c r="P147">
        <f t="shared" si="17"/>
        <v>8.3589335013627597</v>
      </c>
      <c r="Q147">
        <f t="shared" si="18"/>
        <v>13.995578547225898</v>
      </c>
      <c r="R147" s="67" cm="1">
        <f t="array" ref="R147">SUMPRODUCT((J147=$J$7:$J$1000)*(P147&lt;$P$7:$P$1000))+1</f>
        <v>11</v>
      </c>
      <c r="S147" s="72"/>
      <c r="T147">
        <v>15</v>
      </c>
      <c r="U147" t="str">
        <v>CHI</v>
      </c>
      <c r="V147" t="str">
        <v>Mason Flesch</v>
      </c>
      <c r="W147" t="str">
        <v>NULL</v>
      </c>
      <c r="X147" t="str">
        <v>Away</v>
      </c>
      <c r="Y147" t="str">
        <v>ARC</v>
      </c>
      <c r="Z147">
        <v>10.689375956298507</v>
      </c>
    </row>
    <row r="148" spans="10:26" x14ac:dyDescent="0.35">
      <c r="J148" s="66">
        <v>6</v>
      </c>
      <c r="K148" t="s">
        <v>24</v>
      </c>
      <c r="L148" t="s">
        <v>215</v>
      </c>
      <c r="M148">
        <v>12.1</v>
      </c>
      <c r="N148" t="s">
        <v>9</v>
      </c>
      <c r="O148" t="s">
        <v>34</v>
      </c>
      <c r="P148">
        <f t="shared" si="17"/>
        <v>13.267559066013456</v>
      </c>
      <c r="Q148">
        <f t="shared" si="18"/>
        <v>1.3631941726302155</v>
      </c>
      <c r="R148" s="67" cm="1">
        <f t="array" ref="R148">SUMPRODUCT((J148=$J$7:$J$1000)*(P148&lt;$P$7:$P$1000))+1</f>
        <v>1</v>
      </c>
      <c r="S148" s="72"/>
      <c r="T148">
        <v>15</v>
      </c>
      <c r="U148" t="str">
        <v>CHI</v>
      </c>
      <c r="V148" t="str">
        <v>Matt Oworu</v>
      </c>
      <c r="W148" t="str">
        <v>NULL</v>
      </c>
      <c r="X148" t="str">
        <v>Away</v>
      </c>
      <c r="Y148" t="str">
        <v>ARC</v>
      </c>
      <c r="Z148">
        <v>8.1212693487398901</v>
      </c>
    </row>
    <row r="149" spans="10:26" x14ac:dyDescent="0.35">
      <c r="J149" s="66">
        <v>6</v>
      </c>
      <c r="K149" t="s">
        <v>4</v>
      </c>
      <c r="L149" t="s">
        <v>209</v>
      </c>
      <c r="M149">
        <v>11.7</v>
      </c>
      <c r="N149" t="s">
        <v>3</v>
      </c>
      <c r="O149" t="s">
        <v>6</v>
      </c>
      <c r="P149">
        <f t="shared" si="17"/>
        <v>12.907851728209815</v>
      </c>
      <c r="Q149">
        <f t="shared" si="18"/>
        <v>1.4589057973394388</v>
      </c>
      <c r="R149" s="67" cm="1">
        <f t="array" ref="R149">SUMPRODUCT((J149=$J$7:$J$1000)*(P149&lt;$P$7:$P$1000))+1</f>
        <v>2</v>
      </c>
      <c r="S149" s="72"/>
      <c r="T149">
        <v>15</v>
      </c>
      <c r="U149" t="str">
        <v>HOU</v>
      </c>
      <c r="V149" t="str">
        <v>Emmanuel Albert</v>
      </c>
      <c r="W149" t="str">
        <v>NULL</v>
      </c>
      <c r="X149" t="str">
        <v>Away</v>
      </c>
      <c r="Y149" t="str">
        <v>SEA</v>
      </c>
      <c r="Z149">
        <v>7.7283606484853138</v>
      </c>
    </row>
    <row r="150" spans="10:26" x14ac:dyDescent="0.35">
      <c r="J150" s="66">
        <v>6</v>
      </c>
      <c r="K150" t="s">
        <v>23</v>
      </c>
      <c r="L150" t="s">
        <v>229</v>
      </c>
      <c r="M150">
        <v>10.8</v>
      </c>
      <c r="N150" t="s">
        <v>9</v>
      </c>
      <c r="O150" t="s">
        <v>7</v>
      </c>
      <c r="P150">
        <f t="shared" si="17"/>
        <v>8.6602895049848367</v>
      </c>
      <c r="Q150">
        <f t="shared" si="18"/>
        <v>4.5783610024780383</v>
      </c>
      <c r="R150" s="67" cm="1">
        <f t="array" ref="R150">SUMPRODUCT((J150=$J$7:$J$1000)*(P150&lt;$P$7:$P$1000))+1</f>
        <v>10</v>
      </c>
      <c r="S150" s="72"/>
      <c r="T150">
        <v>15</v>
      </c>
      <c r="U150" t="str">
        <v>HOU</v>
      </c>
      <c r="V150" t="str">
        <v>Johan Momsen</v>
      </c>
      <c r="W150" t="str">
        <v>NULL</v>
      </c>
      <c r="X150" t="str">
        <v>Away</v>
      </c>
      <c r="Y150" t="str">
        <v>SEA</v>
      </c>
      <c r="Z150">
        <v>6.6950734742283426</v>
      </c>
    </row>
    <row r="151" spans="10:26" x14ac:dyDescent="0.35">
      <c r="J151" s="66">
        <v>6</v>
      </c>
      <c r="K151" t="s">
        <v>7</v>
      </c>
      <c r="L151" t="s">
        <v>202</v>
      </c>
      <c r="M151">
        <v>10.8</v>
      </c>
      <c r="N151" t="s">
        <v>3</v>
      </c>
      <c r="O151" t="s">
        <v>23</v>
      </c>
      <c r="P151">
        <f t="shared" si="17"/>
        <v>6.0002553511579215</v>
      </c>
      <c r="Q151">
        <f t="shared" si="18"/>
        <v>23.037548694088173</v>
      </c>
      <c r="R151" s="67" cm="1">
        <f t="array" ref="R151">SUMPRODUCT((J151=$J$7:$J$1000)*(P151&lt;$P$7:$P$1000))+1</f>
        <v>19</v>
      </c>
      <c r="S151" s="72"/>
      <c r="T151">
        <v>15</v>
      </c>
      <c r="U151" t="str">
        <v>HOU</v>
      </c>
      <c r="V151" t="str">
        <v>Keni Nasoqeqe</v>
      </c>
      <c r="W151" t="str">
        <v>NULL</v>
      </c>
      <c r="X151" t="str">
        <v>Away</v>
      </c>
      <c r="Y151" t="str">
        <v>SEA</v>
      </c>
      <c r="Z151">
        <v>3.0737674817508185</v>
      </c>
    </row>
    <row r="152" spans="10:26" x14ac:dyDescent="0.35">
      <c r="J152" s="66">
        <v>6</v>
      </c>
      <c r="K152" t="s">
        <v>13</v>
      </c>
      <c r="L152" t="s">
        <v>204</v>
      </c>
      <c r="M152">
        <v>10.3</v>
      </c>
      <c r="N152" t="s">
        <v>9</v>
      </c>
      <c r="O152" t="s">
        <v>17</v>
      </c>
      <c r="P152">
        <f t="shared" si="17"/>
        <v>9.7632559040535867</v>
      </c>
      <c r="Q152">
        <f t="shared" si="18"/>
        <v>0.28809422453333333</v>
      </c>
      <c r="R152" s="67" cm="1">
        <f t="array" ref="R152">SUMPRODUCT((J152=$J$7:$J$1000)*(P152&lt;$P$7:$P$1000))+1</f>
        <v>7</v>
      </c>
      <c r="S152" s="72"/>
      <c r="T152">
        <v>15</v>
      </c>
      <c r="U152" t="str">
        <v>HOU</v>
      </c>
      <c r="V152" t="str">
        <v>Marno Redelinghuys</v>
      </c>
      <c r="W152" t="str">
        <v>NULL</v>
      </c>
      <c r="X152" t="str">
        <v>Away</v>
      </c>
      <c r="Y152" t="str">
        <v>SEA</v>
      </c>
      <c r="Z152">
        <v>5.4536348067329232</v>
      </c>
    </row>
    <row r="153" spans="10:26" x14ac:dyDescent="0.35">
      <c r="J153" s="66">
        <v>6</v>
      </c>
      <c r="K153" t="s">
        <v>6</v>
      </c>
      <c r="L153" t="s">
        <v>432</v>
      </c>
      <c r="M153">
        <v>10.199999999999999</v>
      </c>
      <c r="N153" t="s">
        <v>9</v>
      </c>
      <c r="O153" t="s">
        <v>4</v>
      </c>
      <c r="P153">
        <f t="shared" si="17"/>
        <v>11.999179334857835</v>
      </c>
      <c r="Q153">
        <f t="shared" si="18"/>
        <v>3.237046278979486</v>
      </c>
      <c r="R153" s="67" cm="1">
        <f t="array" ref="R153">SUMPRODUCT((J153=$J$7:$J$1000)*(P153&lt;$P$7:$P$1000))+1</f>
        <v>4</v>
      </c>
      <c r="S153" s="72"/>
      <c r="T153">
        <v>15</v>
      </c>
      <c r="U153" t="str">
        <v>HOU</v>
      </c>
      <c r="V153" t="str">
        <v>Ronan Murphy</v>
      </c>
      <c r="W153" t="str">
        <v>NULL</v>
      </c>
      <c r="X153" t="str">
        <v>Away</v>
      </c>
      <c r="Y153" t="str">
        <v>SEA</v>
      </c>
      <c r="Z153">
        <v>3.9952997782026443</v>
      </c>
    </row>
    <row r="154" spans="10:26" x14ac:dyDescent="0.35">
      <c r="J154" s="66">
        <v>6</v>
      </c>
      <c r="K154" t="s">
        <v>14</v>
      </c>
      <c r="L154" t="s">
        <v>396</v>
      </c>
      <c r="M154">
        <v>10</v>
      </c>
      <c r="N154" t="s">
        <v>3</v>
      </c>
      <c r="O154" t="s">
        <v>36</v>
      </c>
      <c r="P154">
        <f t="shared" si="17"/>
        <v>7.8471576063366184</v>
      </c>
      <c r="Q154">
        <f t="shared" si="18"/>
        <v>4.6347303719542783</v>
      </c>
      <c r="R154" s="67" cm="1">
        <f t="array" ref="R154">SUMPRODUCT((J154=$J$7:$J$1000)*(P154&lt;$P$7:$P$1000))+1</f>
        <v>13</v>
      </c>
      <c r="S154" s="72"/>
      <c r="T154">
        <v>15</v>
      </c>
      <c r="U154" t="str">
        <v>HOU</v>
      </c>
      <c r="V154" t="str">
        <v>Sam Tuifua</v>
      </c>
      <c r="W154" t="str">
        <v>NULL</v>
      </c>
      <c r="X154" t="str">
        <v>Away</v>
      </c>
      <c r="Y154" t="str">
        <v>SEA</v>
      </c>
      <c r="Z154">
        <v>12.410744847728994</v>
      </c>
    </row>
    <row r="155" spans="10:26" x14ac:dyDescent="0.35">
      <c r="J155" s="66">
        <v>6</v>
      </c>
      <c r="K155" t="s">
        <v>7</v>
      </c>
      <c r="L155" t="s">
        <v>211</v>
      </c>
      <c r="M155">
        <v>9.8000000000000007</v>
      </c>
      <c r="N155" t="s">
        <v>3</v>
      </c>
      <c r="O155" t="s">
        <v>23</v>
      </c>
      <c r="P155">
        <f t="shared" si="17"/>
        <v>3.9979921673121366</v>
      </c>
      <c r="Q155">
        <f t="shared" si="18"/>
        <v>33.663294890571329</v>
      </c>
      <c r="R155" s="67" cm="1">
        <f t="array" ref="R155">SUMPRODUCT((J155=$J$7:$J$1000)*(P155&lt;$P$7:$P$1000))+1</f>
        <v>26</v>
      </c>
      <c r="S155" s="72"/>
      <c r="T155">
        <v>15</v>
      </c>
      <c r="U155" t="str">
        <v>LA</v>
      </c>
      <c r="V155" t="str">
        <v>Ben Houston</v>
      </c>
      <c r="W155" t="str">
        <v>NULL</v>
      </c>
      <c r="X155" t="str">
        <v>Home</v>
      </c>
      <c r="Y155" t="str">
        <v>MIA</v>
      </c>
      <c r="Z155">
        <v>10.12600337825303</v>
      </c>
    </row>
    <row r="156" spans="10:26" x14ac:dyDescent="0.35">
      <c r="J156" s="66">
        <v>6</v>
      </c>
      <c r="K156" t="s">
        <v>6</v>
      </c>
      <c r="L156" t="s">
        <v>433</v>
      </c>
      <c r="M156">
        <v>9.1999999999999993</v>
      </c>
      <c r="N156" t="s">
        <v>9</v>
      </c>
      <c r="O156" t="s">
        <v>4</v>
      </c>
      <c r="P156">
        <f t="shared" si="17"/>
        <v>12.002556763291834</v>
      </c>
      <c r="Q156">
        <f t="shared" si="18"/>
        <v>7.8543244114728026</v>
      </c>
      <c r="R156" s="67" cm="1">
        <f t="array" ref="R156">SUMPRODUCT((J156=$J$7:$J$1000)*(P156&lt;$P$7:$P$1000))+1</f>
        <v>3</v>
      </c>
      <c r="S156" s="72"/>
      <c r="T156">
        <v>15</v>
      </c>
      <c r="U156" t="str">
        <v>LA</v>
      </c>
      <c r="V156" t="str">
        <v>Ed Timpson</v>
      </c>
      <c r="W156" t="str">
        <v>NULL</v>
      </c>
      <c r="X156" t="str">
        <v>Home</v>
      </c>
      <c r="Y156" t="str">
        <v>MIA</v>
      </c>
      <c r="Z156">
        <v>10.129380806687028</v>
      </c>
    </row>
    <row r="157" spans="10:26" x14ac:dyDescent="0.35">
      <c r="J157" s="66">
        <v>6</v>
      </c>
      <c r="K157" t="s">
        <v>4</v>
      </c>
      <c r="L157" t="s">
        <v>539</v>
      </c>
      <c r="M157">
        <v>8.4</v>
      </c>
      <c r="N157" t="s">
        <v>3</v>
      </c>
      <c r="O157" t="s">
        <v>6</v>
      </c>
      <c r="P157">
        <f t="shared" si="17"/>
        <v>8.3129119428311284</v>
      </c>
      <c r="Q157">
        <f t="shared" si="18"/>
        <v>7.5843297014487028E-3</v>
      </c>
      <c r="R157" s="67" cm="1">
        <f t="array" ref="R157">SUMPRODUCT((J157=$J$7:$J$1000)*(P157&lt;$P$7:$P$1000))+1</f>
        <v>12</v>
      </c>
      <c r="S157" s="72"/>
      <c r="T157">
        <v>15</v>
      </c>
      <c r="U157" t="str">
        <v>LA</v>
      </c>
      <c r="V157" t="str">
        <v>Jason Damm</v>
      </c>
      <c r="W157" t="str">
        <v>NULL</v>
      </c>
      <c r="X157" t="str">
        <v>Home</v>
      </c>
      <c r="Y157" t="str">
        <v>MIA</v>
      </c>
      <c r="Z157">
        <v>5.2927444518118403</v>
      </c>
    </row>
    <row r="158" spans="10:26" x14ac:dyDescent="0.35">
      <c r="J158" s="66">
        <v>6</v>
      </c>
      <c r="K158" t="s">
        <v>36</v>
      </c>
      <c r="L158" t="s">
        <v>224</v>
      </c>
      <c r="M158">
        <v>8.1</v>
      </c>
      <c r="N158" t="s">
        <v>9</v>
      </c>
      <c r="O158" t="s">
        <v>14</v>
      </c>
      <c r="P158">
        <f t="shared" si="17"/>
        <v>4.6258726310800906</v>
      </c>
      <c r="Q158">
        <f t="shared" si="18"/>
        <v>12.069560975478369</v>
      </c>
      <c r="R158" s="67" cm="1">
        <f t="array" ref="R158">SUMPRODUCT((J158=$J$7:$J$1000)*(P158&lt;$P$7:$P$1000))+1</f>
        <v>25</v>
      </c>
      <c r="S158" s="72"/>
      <c r="T158">
        <v>15</v>
      </c>
      <c r="U158" t="str">
        <v>LA</v>
      </c>
      <c r="V158" t="str">
        <v>Matt Heaton</v>
      </c>
      <c r="W158" t="str">
        <v>NULL</v>
      </c>
      <c r="X158" t="str">
        <v>Home</v>
      </c>
      <c r="Y158" t="str">
        <v>MIA</v>
      </c>
      <c r="Z158">
        <v>5.127046493943058</v>
      </c>
    </row>
    <row r="159" spans="10:26" x14ac:dyDescent="0.35">
      <c r="J159" s="66">
        <v>6</v>
      </c>
      <c r="K159" t="s">
        <v>23</v>
      </c>
      <c r="L159" t="s">
        <v>428</v>
      </c>
      <c r="M159">
        <v>7.1</v>
      </c>
      <c r="N159" t="s">
        <v>9</v>
      </c>
      <c r="O159" t="s">
        <v>7</v>
      </c>
      <c r="P159">
        <f t="shared" si="17"/>
        <v>9.3152611454066463</v>
      </c>
      <c r="Q159">
        <f t="shared" si="18"/>
        <v>4.9073819423483682</v>
      </c>
      <c r="R159" s="67" cm="1">
        <f t="array" ref="R159">SUMPRODUCT((J159=$J$7:$J$1000)*(P159&lt;$P$7:$P$1000))+1</f>
        <v>8</v>
      </c>
      <c r="S159" s="72"/>
      <c r="T159">
        <v>15</v>
      </c>
      <c r="U159" t="str">
        <v>LA</v>
      </c>
      <c r="V159" t="str">
        <v>Semi Kunitani</v>
      </c>
      <c r="W159" t="str">
        <v>NULL</v>
      </c>
      <c r="X159" t="str">
        <v>Home</v>
      </c>
      <c r="Y159" t="str">
        <v>MIA</v>
      </c>
      <c r="Z159">
        <v>9.9104174246008299</v>
      </c>
    </row>
    <row r="160" spans="10:26" x14ac:dyDescent="0.35">
      <c r="J160" s="66">
        <v>6</v>
      </c>
      <c r="K160" t="s">
        <v>34</v>
      </c>
      <c r="L160" t="s">
        <v>429</v>
      </c>
      <c r="M160">
        <v>6.6</v>
      </c>
      <c r="N160" t="s">
        <v>3</v>
      </c>
      <c r="O160" t="s">
        <v>24</v>
      </c>
      <c r="P160">
        <f t="shared" si="17"/>
        <v>9.1399198586937658</v>
      </c>
      <c r="Q160">
        <f t="shared" si="18"/>
        <v>6.4511928885869612</v>
      </c>
      <c r="R160" s="67" cm="1">
        <f t="array" ref="R160">SUMPRODUCT((J160=$J$7:$J$1000)*(P160&lt;$P$7:$P$1000))+1</f>
        <v>9</v>
      </c>
      <c r="S160" s="72"/>
      <c r="T160">
        <v>15</v>
      </c>
      <c r="U160" t="str">
        <v>LA</v>
      </c>
      <c r="V160" t="str">
        <v>Tim Anstee</v>
      </c>
      <c r="W160" t="str">
        <v>NULL</v>
      </c>
      <c r="X160" t="str">
        <v>Home</v>
      </c>
      <c r="Y160" t="str">
        <v>MIA</v>
      </c>
      <c r="Z160">
        <v>3.4632109732411847</v>
      </c>
    </row>
    <row r="161" spans="10:26" x14ac:dyDescent="0.35">
      <c r="J161" s="66">
        <v>6</v>
      </c>
      <c r="K161" t="s">
        <v>23</v>
      </c>
      <c r="L161" t="s">
        <v>389</v>
      </c>
      <c r="M161">
        <v>5.8</v>
      </c>
      <c r="N161" t="s">
        <v>9</v>
      </c>
      <c r="O161" t="s">
        <v>7</v>
      </c>
      <c r="P161">
        <f t="shared" si="17"/>
        <v>11.765663439303909</v>
      </c>
      <c r="Q161">
        <f t="shared" si="18"/>
        <v>35.589140271047341</v>
      </c>
      <c r="R161" s="67" cm="1">
        <f t="array" ref="R161">SUMPRODUCT((J161=$J$7:$J$1000)*(P161&lt;$P$7:$P$1000))+1</f>
        <v>5</v>
      </c>
      <c r="S161" s="72"/>
      <c r="T161">
        <v>15</v>
      </c>
      <c r="U161" t="str">
        <v>MIA</v>
      </c>
      <c r="V161" t="str">
        <v>Benjamin Bonasso</v>
      </c>
      <c r="W161" t="str">
        <v>NULL</v>
      </c>
      <c r="X161" t="str">
        <v>Away</v>
      </c>
      <c r="Y161" t="str">
        <v>LA</v>
      </c>
      <c r="Z161">
        <v>9.0201438740394249</v>
      </c>
    </row>
    <row r="162" spans="10:26" x14ac:dyDescent="0.35">
      <c r="J162" s="66">
        <v>6</v>
      </c>
      <c r="K162" t="s">
        <v>13</v>
      </c>
      <c r="L162" t="s">
        <v>198</v>
      </c>
      <c r="M162">
        <v>5.4</v>
      </c>
      <c r="N162" t="s">
        <v>9</v>
      </c>
      <c r="O162" t="s">
        <v>17</v>
      </c>
      <c r="P162">
        <f t="shared" si="17"/>
        <v>7.5113891968528401</v>
      </c>
      <c r="Q162">
        <f t="shared" si="18"/>
        <v>4.4579643405868801</v>
      </c>
      <c r="R162" s="67" cm="1">
        <f t="array" ref="R162">SUMPRODUCT((J162=$J$7:$J$1000)*(P162&lt;$P$7:$P$1000))+1</f>
        <v>15</v>
      </c>
      <c r="S162" s="72"/>
      <c r="T162">
        <v>15</v>
      </c>
      <c r="U162" t="str">
        <v>MIA</v>
      </c>
      <c r="V162" t="str">
        <v>Manuel Ardao</v>
      </c>
      <c r="W162" t="str">
        <v>NULL</v>
      </c>
      <c r="X162" t="str">
        <v>Away</v>
      </c>
      <c r="Y162" t="str">
        <v>LA</v>
      </c>
      <c r="Z162">
        <v>12.355130156313402</v>
      </c>
    </row>
    <row r="163" spans="10:26" x14ac:dyDescent="0.35">
      <c r="J163" s="66">
        <v>6</v>
      </c>
      <c r="K163" t="s">
        <v>17</v>
      </c>
      <c r="L163" t="s">
        <v>206</v>
      </c>
      <c r="M163">
        <v>5.2</v>
      </c>
      <c r="N163" t="s">
        <v>3</v>
      </c>
      <c r="O163" t="s">
        <v>13</v>
      </c>
      <c r="P163">
        <f t="shared" si="17"/>
        <v>5.0502759647801501</v>
      </c>
      <c r="Q163">
        <f t="shared" si="18"/>
        <v>2.2417286722514917E-2</v>
      </c>
      <c r="R163" s="67" cm="1">
        <f t="array" ref="R163">SUMPRODUCT((J163=$J$7:$J$1000)*(P163&lt;$P$7:$P$1000))+1</f>
        <v>24</v>
      </c>
      <c r="S163" s="72"/>
      <c r="T163">
        <v>15</v>
      </c>
      <c r="U163" t="str">
        <v>MIA</v>
      </c>
      <c r="V163" t="str">
        <v>Marques Fuala'au</v>
      </c>
      <c r="W163" t="str">
        <v>NULL</v>
      </c>
      <c r="X163" t="str">
        <v>Away</v>
      </c>
      <c r="Y163" t="str">
        <v>LA</v>
      </c>
      <c r="Z163">
        <v>4.0817146943002793</v>
      </c>
    </row>
    <row r="164" spans="10:26" x14ac:dyDescent="0.35">
      <c r="J164" s="66">
        <v>6</v>
      </c>
      <c r="K164" t="s">
        <v>24</v>
      </c>
      <c r="L164" t="s">
        <v>511</v>
      </c>
      <c r="M164">
        <v>5.0999999999999996</v>
      </c>
      <c r="N164" t="s">
        <v>9</v>
      </c>
      <c r="O164" t="s">
        <v>34</v>
      </c>
      <c r="P164">
        <f t="shared" si="17"/>
        <v>5.0928705284182216</v>
      </c>
      <c r="Q164">
        <f t="shared" si="18"/>
        <v>5.0829365035380284E-5</v>
      </c>
      <c r="R164" s="67" cm="1">
        <f t="array" ref="R164">SUMPRODUCT((J164=$J$7:$J$1000)*(P164&lt;$P$7:$P$1000))+1</f>
        <v>23</v>
      </c>
      <c r="S164" s="72"/>
      <c r="T164">
        <v>15</v>
      </c>
      <c r="U164" t="str">
        <v>MIA</v>
      </c>
      <c r="V164" t="str">
        <v>Ronan Foley</v>
      </c>
      <c r="W164" t="str">
        <v>NULL</v>
      </c>
      <c r="X164" t="str">
        <v>Away</v>
      </c>
      <c r="Y164" t="str">
        <v>LA</v>
      </c>
      <c r="Z164">
        <v>5.7540215043021998</v>
      </c>
    </row>
    <row r="165" spans="10:26" x14ac:dyDescent="0.35">
      <c r="J165" s="66">
        <v>6</v>
      </c>
      <c r="K165" t="s">
        <v>6</v>
      </c>
      <c r="L165" t="s">
        <v>430</v>
      </c>
      <c r="M165">
        <v>4.7</v>
      </c>
      <c r="N165" t="s">
        <v>9</v>
      </c>
      <c r="O165" t="s">
        <v>4</v>
      </c>
      <c r="P165">
        <f t="shared" si="17"/>
        <v>5.3363869298459914</v>
      </c>
      <c r="Q165">
        <f t="shared" si="18"/>
        <v>0.40498832447880656</v>
      </c>
      <c r="R165" s="67" cm="1">
        <f t="array" ref="R165">SUMPRODUCT((J165=$J$7:$J$1000)*(P165&lt;$P$7:$P$1000))+1</f>
        <v>22</v>
      </c>
      <c r="S165" s="72"/>
      <c r="T165">
        <v>15</v>
      </c>
      <c r="U165" t="str">
        <v>MIA</v>
      </c>
      <c r="V165" t="str">
        <v>Tomas Bekerman</v>
      </c>
      <c r="W165" t="str">
        <v>NULL</v>
      </c>
      <c r="X165" t="str">
        <v>Away</v>
      </c>
      <c r="Y165" t="str">
        <v>LA</v>
      </c>
      <c r="Z165">
        <v>2.2806289819637366</v>
      </c>
    </row>
    <row r="166" spans="10:26" x14ac:dyDescent="0.35">
      <c r="J166" s="66">
        <v>6</v>
      </c>
      <c r="K166" t="s">
        <v>14</v>
      </c>
      <c r="L166" t="s">
        <v>197</v>
      </c>
      <c r="M166">
        <v>4.3</v>
      </c>
      <c r="N166" t="s">
        <v>3</v>
      </c>
      <c r="O166" t="s">
        <v>36</v>
      </c>
      <c r="P166">
        <f t="shared" si="17"/>
        <v>3.590211270301086</v>
      </c>
      <c r="Q166">
        <f t="shared" si="18"/>
        <v>0.50380004080759777</v>
      </c>
      <c r="R166" s="67" cm="1">
        <f t="array" ref="R166">SUMPRODUCT((J166=$J$7:$J$1000)*(P166&lt;$P$7:$P$1000))+1</f>
        <v>28</v>
      </c>
      <c r="S166" s="72"/>
      <c r="T166">
        <v>15</v>
      </c>
      <c r="U166" t="str">
        <v>MIA</v>
      </c>
      <c r="V166" t="str">
        <v>Tomás Casares</v>
      </c>
      <c r="W166" t="str">
        <v>NULL</v>
      </c>
      <c r="X166" t="str">
        <v>Away</v>
      </c>
      <c r="Y166" t="str">
        <v>LA</v>
      </c>
      <c r="Z166">
        <v>4.1804416187181666</v>
      </c>
    </row>
    <row r="167" spans="10:26" x14ac:dyDescent="0.35">
      <c r="J167" s="66">
        <v>6</v>
      </c>
      <c r="K167" t="s">
        <v>36</v>
      </c>
      <c r="L167" t="s">
        <v>576</v>
      </c>
      <c r="M167">
        <v>3.7</v>
      </c>
      <c r="N167" t="s">
        <v>9</v>
      </c>
      <c r="O167" t="s">
        <v>14</v>
      </c>
      <c r="P167">
        <f t="shared" si="17"/>
        <v>3.7043403346282648</v>
      </c>
      <c r="Q167">
        <f t="shared" si="18"/>
        <v>1.8838504685313358E-5</v>
      </c>
      <c r="R167" s="67" cm="1">
        <f t="array" ref="R167">SUMPRODUCT((J167=$J$7:$J$1000)*(P167&lt;$P$7:$P$1000))+1</f>
        <v>27</v>
      </c>
      <c r="S167" s="72"/>
      <c r="T167">
        <v>15</v>
      </c>
      <c r="U167" t="str">
        <v>NEFJ</v>
      </c>
      <c r="V167" t="str">
        <v>Jed Melvin</v>
      </c>
      <c r="W167" t="str">
        <v>NULL</v>
      </c>
      <c r="X167" t="str">
        <v>Home</v>
      </c>
      <c r="Y167" t="str">
        <v>OGDC</v>
      </c>
      <c r="Z167">
        <v>11.165653313566787</v>
      </c>
    </row>
    <row r="168" spans="10:26" x14ac:dyDescent="0.35">
      <c r="J168" s="66">
        <v>6</v>
      </c>
      <c r="K168" t="s">
        <v>13</v>
      </c>
      <c r="L168" t="s">
        <v>210</v>
      </c>
      <c r="M168">
        <v>3.7</v>
      </c>
      <c r="N168" t="s">
        <v>9</v>
      </c>
      <c r="O168" t="s">
        <v>17</v>
      </c>
      <c r="P168">
        <f t="shared" si="17"/>
        <v>5.9087352784964597</v>
      </c>
      <c r="Q168">
        <f t="shared" si="18"/>
        <v>4.8785115304748325</v>
      </c>
      <c r="R168" s="67" cm="1">
        <f t="array" ref="R168">SUMPRODUCT((J168=$J$7:$J$1000)*(P168&lt;$P$7:$P$1000))+1</f>
        <v>20</v>
      </c>
      <c r="S168" s="72"/>
      <c r="T168">
        <v>15</v>
      </c>
      <c r="U168" t="str">
        <v>NEFJ</v>
      </c>
      <c r="V168" t="str">
        <v>Jero Gomez Vara</v>
      </c>
      <c r="W168" t="str">
        <v>NULL</v>
      </c>
      <c r="X168" t="str">
        <v>Home</v>
      </c>
      <c r="Y168" t="str">
        <v>OGDC</v>
      </c>
      <c r="Z168">
        <v>6.5045864800665933</v>
      </c>
    </row>
    <row r="169" spans="10:26" x14ac:dyDescent="0.35">
      <c r="J169" s="66">
        <v>6</v>
      </c>
      <c r="K169" t="s">
        <v>17</v>
      </c>
      <c r="L169" t="s">
        <v>485</v>
      </c>
      <c r="M169">
        <v>3.1</v>
      </c>
      <c r="N169" t="s">
        <v>3</v>
      </c>
      <c r="O169" t="s">
        <v>13</v>
      </c>
      <c r="P169">
        <f t="shared" si="17"/>
        <v>6.4016369296939484</v>
      </c>
      <c r="Q169">
        <f t="shared" si="18"/>
        <v>10.900806415518881</v>
      </c>
      <c r="R169" s="67" cm="1">
        <f t="array" ref="R169">SUMPRODUCT((J169=$J$7:$J$1000)*(P169&lt;$P$7:$P$1000))+1</f>
        <v>17</v>
      </c>
      <c r="S169" s="72"/>
      <c r="T169">
        <v>15</v>
      </c>
      <c r="U169" t="str">
        <v>NEFJ</v>
      </c>
      <c r="V169" t="str">
        <v>Joe Johnston</v>
      </c>
      <c r="W169" t="str">
        <v>NULL</v>
      </c>
      <c r="X169" t="str">
        <v>Home</v>
      </c>
      <c r="Y169" t="str">
        <v>OGDC</v>
      </c>
      <c r="Z169">
        <v>8.715251019669525</v>
      </c>
    </row>
    <row r="170" spans="10:26" x14ac:dyDescent="0.35">
      <c r="J170" s="66">
        <v>6</v>
      </c>
      <c r="K170" t="s">
        <v>14</v>
      </c>
      <c r="L170" t="s">
        <v>203</v>
      </c>
      <c r="M170">
        <v>2.7</v>
      </c>
      <c r="N170" t="s">
        <v>3</v>
      </c>
      <c r="O170" t="s">
        <v>36</v>
      </c>
      <c r="P170">
        <f t="shared" si="17"/>
        <v>3.3994120273204014</v>
      </c>
      <c r="Q170">
        <f t="shared" si="18"/>
        <v>0.48917718396043364</v>
      </c>
      <c r="R170" s="67" cm="1">
        <f t="array" ref="R170">SUMPRODUCT((J170=$J$7:$J$1000)*(P170&lt;$P$7:$P$1000))+1</f>
        <v>29</v>
      </c>
      <c r="S170" s="72"/>
      <c r="T170">
        <v>15</v>
      </c>
      <c r="U170" t="str">
        <v>NEFJ</v>
      </c>
      <c r="V170" t="str">
        <v>Wian Conradie</v>
      </c>
      <c r="W170" t="str">
        <v>NULL</v>
      </c>
      <c r="X170" t="str">
        <v>Home</v>
      </c>
      <c r="Y170" t="str">
        <v>OGDC</v>
      </c>
      <c r="Z170">
        <v>8.0602793792477154</v>
      </c>
    </row>
    <row r="171" spans="10:26" x14ac:dyDescent="0.35">
      <c r="J171" s="66">
        <v>6</v>
      </c>
      <c r="K171" t="s">
        <v>4</v>
      </c>
      <c r="L171" t="s">
        <v>486</v>
      </c>
      <c r="M171">
        <v>2.5</v>
      </c>
      <c r="N171" t="s">
        <v>3</v>
      </c>
      <c r="O171" t="s">
        <v>6</v>
      </c>
      <c r="P171">
        <f t="shared" si="17"/>
        <v>2.2082571045526866</v>
      </c>
      <c r="Q171">
        <f t="shared" si="18"/>
        <v>8.511391704398201E-2</v>
      </c>
      <c r="R171" s="67" cm="1">
        <f t="array" ref="R171">SUMPRODUCT((J171=$J$7:$J$1000)*(P171&lt;$P$7:$P$1000))+1</f>
        <v>30</v>
      </c>
      <c r="S171" s="72"/>
      <c r="T171">
        <v>15</v>
      </c>
      <c r="U171" t="str">
        <v>NOLA</v>
      </c>
      <c r="V171" t="str">
        <v>Aidan King</v>
      </c>
      <c r="W171" t="str">
        <v>NULL</v>
      </c>
      <c r="X171" t="str">
        <v>Home</v>
      </c>
      <c r="Y171" t="str">
        <v>UTAH</v>
      </c>
      <c r="Z171">
        <v>7.3095532603499507</v>
      </c>
    </row>
    <row r="172" spans="10:26" x14ac:dyDescent="0.35">
      <c r="J172" s="66">
        <v>6</v>
      </c>
      <c r="K172" t="s">
        <v>24</v>
      </c>
      <c r="L172" t="s">
        <v>223</v>
      </c>
      <c r="M172">
        <v>1.9</v>
      </c>
      <c r="N172" t="s">
        <v>9</v>
      </c>
      <c r="O172" t="s">
        <v>34</v>
      </c>
      <c r="P172">
        <f t="shared" si="17"/>
        <v>6.6664504140022549</v>
      </c>
      <c r="Q172">
        <f t="shared" si="18"/>
        <v>22.719049549142273</v>
      </c>
      <c r="R172" s="67" cm="1">
        <f t="array" ref="R172">SUMPRODUCT((J172=$J$7:$J$1000)*(P172&lt;$P$7:$P$1000))+1</f>
        <v>16</v>
      </c>
      <c r="S172" s="72"/>
      <c r="T172">
        <v>15</v>
      </c>
      <c r="U172" t="str">
        <v>NOLA</v>
      </c>
      <c r="V172" t="str">
        <v>Cian Darling</v>
      </c>
      <c r="W172" t="str">
        <v>NULL</v>
      </c>
      <c r="X172" t="str">
        <v>Home</v>
      </c>
      <c r="Y172" t="str">
        <v>UTAH</v>
      </c>
      <c r="Z172">
        <v>4.8899933399423485</v>
      </c>
    </row>
    <row r="173" spans="10:26" x14ac:dyDescent="0.35">
      <c r="J173" s="66">
        <v>6</v>
      </c>
      <c r="K173" t="s">
        <v>34</v>
      </c>
      <c r="L173" t="s">
        <v>436</v>
      </c>
      <c r="M173">
        <v>1.5</v>
      </c>
      <c r="N173" t="s">
        <v>3</v>
      </c>
      <c r="O173" t="s">
        <v>24</v>
      </c>
      <c r="P173">
        <f t="shared" si="17"/>
        <v>6.2392874538938061</v>
      </c>
      <c r="Q173">
        <f t="shared" si="18"/>
        <v>22.460845570635236</v>
      </c>
      <c r="R173" s="67" cm="1">
        <f t="array" ref="R173">SUMPRODUCT((J173=$J$7:$J$1000)*(P173&lt;$P$7:$P$1000))+1</f>
        <v>18</v>
      </c>
      <c r="S173" s="72"/>
      <c r="T173">
        <v>15</v>
      </c>
      <c r="U173" t="str">
        <v>NOLA</v>
      </c>
      <c r="V173" t="str">
        <v>Jonah Mau'u</v>
      </c>
      <c r="W173" t="str">
        <v>NULL</v>
      </c>
      <c r="X173" t="str">
        <v>Home</v>
      </c>
      <c r="Y173" t="str">
        <v>UTAH</v>
      </c>
      <c r="Z173">
        <v>11.904493045728637</v>
      </c>
    </row>
    <row r="174" spans="10:26" x14ac:dyDescent="0.35">
      <c r="J174" s="66">
        <v>6</v>
      </c>
      <c r="K174" t="s">
        <v>7</v>
      </c>
      <c r="L174" t="s">
        <v>207</v>
      </c>
      <c r="M174">
        <v>1</v>
      </c>
      <c r="N174" t="s">
        <v>3</v>
      </c>
      <c r="O174" t="s">
        <v>23</v>
      </c>
      <c r="P174">
        <f t="shared" si="17"/>
        <v>5.5917379000202878</v>
      </c>
      <c r="Q174">
        <f t="shared" si="18"/>
        <v>21.084056942482722</v>
      </c>
      <c r="R174" s="67" cm="1">
        <f t="array" ref="R174">SUMPRODUCT((J174=$J$7:$J$1000)*(P174&lt;$P$7:$P$1000))+1</f>
        <v>21</v>
      </c>
      <c r="S174" s="72"/>
      <c r="T174">
        <v>15</v>
      </c>
      <c r="U174" t="str">
        <v>NOLA</v>
      </c>
      <c r="V174" t="str">
        <v>Kellen Galletier</v>
      </c>
      <c r="W174" t="str">
        <v>NULL</v>
      </c>
      <c r="X174" t="str">
        <v>Home</v>
      </c>
      <c r="Y174" t="str">
        <v>UTAH</v>
      </c>
      <c r="Z174">
        <v>3.0827132202136647</v>
      </c>
    </row>
    <row r="175" spans="10:26" x14ac:dyDescent="0.35">
      <c r="J175" s="66">
        <v>7</v>
      </c>
      <c r="K175" t="s">
        <v>6</v>
      </c>
      <c r="L175" t="s">
        <v>433</v>
      </c>
      <c r="M175">
        <v>19.100000000000001</v>
      </c>
      <c r="N175" t="s">
        <v>3</v>
      </c>
      <c r="O175" t="s">
        <v>7</v>
      </c>
      <c r="P175">
        <f t="shared" si="17"/>
        <v>10.065271750622648</v>
      </c>
      <c r="Q175">
        <f t="shared" si="18"/>
        <v>81.626314540097184</v>
      </c>
      <c r="R175" s="67" cm="1">
        <f t="array" ref="R175">SUMPRODUCT((J175=$J$7:$J$1000)*(P175&lt;$P$7:$P$1000))+1</f>
        <v>6</v>
      </c>
      <c r="S175" s="72"/>
      <c r="T175">
        <v>15</v>
      </c>
      <c r="U175" t="str">
        <v>NOLA</v>
      </c>
      <c r="V175" t="str">
        <v>Malcolm May</v>
      </c>
      <c r="W175" t="str">
        <v>NULL</v>
      </c>
      <c r="X175" t="str">
        <v>Home</v>
      </c>
      <c r="Y175" t="str">
        <v>UTAH</v>
      </c>
      <c r="Z175">
        <v>3.5952622217571837</v>
      </c>
    </row>
    <row r="176" spans="10:26" x14ac:dyDescent="0.35">
      <c r="J176" s="66">
        <v>7</v>
      </c>
      <c r="K176" t="s">
        <v>36</v>
      </c>
      <c r="L176" t="s">
        <v>225</v>
      </c>
      <c r="M176">
        <v>15.6</v>
      </c>
      <c r="N176" t="s">
        <v>3</v>
      </c>
      <c r="O176" t="s">
        <v>34</v>
      </c>
      <c r="P176">
        <f t="shared" si="17"/>
        <v>12.33017865118198</v>
      </c>
      <c r="Q176">
        <f t="shared" si="18"/>
        <v>10.691731653186096</v>
      </c>
      <c r="R176" s="67" cm="1">
        <f t="array" ref="R176">SUMPRODUCT((J176=$J$7:$J$1000)*(P176&lt;$P$7:$P$1000))+1</f>
        <v>2</v>
      </c>
      <c r="S176" s="72"/>
      <c r="T176">
        <v>15</v>
      </c>
      <c r="U176" t="str">
        <v>NOLA</v>
      </c>
      <c r="V176" t="str">
        <v>Osaiasi Tonga'uiha</v>
      </c>
      <c r="W176" t="str">
        <v>NULL</v>
      </c>
      <c r="X176" t="str">
        <v>Home</v>
      </c>
      <c r="Y176" t="str">
        <v>UTAH</v>
      </c>
      <c r="Z176">
        <v>3.483984764603576</v>
      </c>
    </row>
    <row r="177" spans="10:26" x14ac:dyDescent="0.35">
      <c r="J177" s="66">
        <v>7</v>
      </c>
      <c r="K177" t="s">
        <v>6</v>
      </c>
      <c r="L177" t="s">
        <v>432</v>
      </c>
      <c r="M177">
        <v>14.4</v>
      </c>
      <c r="N177" t="s">
        <v>3</v>
      </c>
      <c r="O177" t="s">
        <v>7</v>
      </c>
      <c r="P177">
        <f t="shared" si="17"/>
        <v>10.06189432218865</v>
      </c>
      <c r="Q177">
        <f t="shared" si="18"/>
        <v>18.819160871859079</v>
      </c>
      <c r="R177" s="67" cm="1">
        <f t="array" ref="R177">SUMPRODUCT((J177=$J$7:$J$1000)*(P177&lt;$P$7:$P$1000))+1</f>
        <v>7</v>
      </c>
      <c r="S177" s="72"/>
      <c r="T177">
        <v>15</v>
      </c>
      <c r="U177" t="str">
        <v>NOLA</v>
      </c>
      <c r="V177" t="str">
        <v>Tesimoni Tonga'uiha</v>
      </c>
      <c r="W177" t="str">
        <v>NULL</v>
      </c>
      <c r="X177" t="str">
        <v>Home</v>
      </c>
      <c r="Y177" t="str">
        <v>UTAH</v>
      </c>
      <c r="Z177">
        <v>4.8211920395084782</v>
      </c>
    </row>
    <row r="178" spans="10:26" x14ac:dyDescent="0.35">
      <c r="J178" s="66">
        <v>7</v>
      </c>
      <c r="K178" t="s">
        <v>14</v>
      </c>
      <c r="L178" t="s">
        <v>396</v>
      </c>
      <c r="M178">
        <v>14.3</v>
      </c>
      <c r="N178" t="s">
        <v>9</v>
      </c>
      <c r="O178" t="s">
        <v>17</v>
      </c>
      <c r="P178">
        <f t="shared" si="17"/>
        <v>8.8897161459798166</v>
      </c>
      <c r="Q178">
        <f t="shared" si="18"/>
        <v>29.271171381071497</v>
      </c>
      <c r="R178" s="67" cm="1">
        <f t="array" ref="R178">SUMPRODUCT((J178=$J$7:$J$1000)*(P178&lt;$P$7:$P$1000))+1</f>
        <v>15</v>
      </c>
      <c r="S178" s="72"/>
      <c r="T178">
        <v>15</v>
      </c>
      <c r="U178" t="str">
        <v>NOLA</v>
      </c>
      <c r="V178" t="str">
        <v>Tupou Ma'afu Afungia</v>
      </c>
      <c r="W178" t="str">
        <v>NULL</v>
      </c>
      <c r="X178" t="str">
        <v>Home</v>
      </c>
      <c r="Y178" t="str">
        <v>UTAH</v>
      </c>
      <c r="Z178">
        <v>1.2048984220715089</v>
      </c>
    </row>
    <row r="179" spans="10:26" x14ac:dyDescent="0.35">
      <c r="J179" s="66">
        <v>7</v>
      </c>
      <c r="K179" t="s">
        <v>34</v>
      </c>
      <c r="L179" t="s">
        <v>174</v>
      </c>
      <c r="M179">
        <v>13.2</v>
      </c>
      <c r="N179" t="s">
        <v>9</v>
      </c>
      <c r="O179" t="s">
        <v>36</v>
      </c>
      <c r="P179">
        <f t="shared" si="17"/>
        <v>9.5623018052969329</v>
      </c>
      <c r="Q179">
        <f t="shared" si="18"/>
        <v>13.232848155745948</v>
      </c>
      <c r="R179" s="67" cm="1">
        <f t="array" ref="R179">SUMPRODUCT((J179=$J$7:$J$1000)*(P179&lt;$P$7:$P$1000))+1</f>
        <v>12</v>
      </c>
      <c r="S179" s="72"/>
      <c r="T179">
        <v>15</v>
      </c>
      <c r="U179" t="str">
        <v>OGDC</v>
      </c>
      <c r="V179" t="str">
        <v>Collin Grosse</v>
      </c>
      <c r="W179" t="str">
        <v>NULL</v>
      </c>
      <c r="X179" t="str">
        <v>Away</v>
      </c>
      <c r="Y179" t="str">
        <v>NEFJ</v>
      </c>
      <c r="Z179">
        <v>8.4145267463309601</v>
      </c>
    </row>
    <row r="180" spans="10:26" x14ac:dyDescent="0.35">
      <c r="J180" s="66">
        <v>7</v>
      </c>
      <c r="K180" t="s">
        <v>2</v>
      </c>
      <c r="L180" t="s">
        <v>213</v>
      </c>
      <c r="M180">
        <v>12.4</v>
      </c>
      <c r="N180" t="s">
        <v>9</v>
      </c>
      <c r="O180" t="s">
        <v>4</v>
      </c>
      <c r="P180">
        <f t="shared" si="17"/>
        <v>10.942832873464669</v>
      </c>
      <c r="Q180">
        <f t="shared" si="18"/>
        <v>2.1233360346552352</v>
      </c>
      <c r="R180" s="67" cm="1">
        <f t="array" ref="R180">SUMPRODUCT((J180=$J$7:$J$1000)*(P180&lt;$P$7:$P$1000))+1</f>
        <v>4</v>
      </c>
      <c r="S180" s="72"/>
      <c r="T180">
        <v>15</v>
      </c>
      <c r="U180" t="str">
        <v>OGDC</v>
      </c>
      <c r="V180" t="str">
        <v>Cory Daniel</v>
      </c>
      <c r="W180" t="str">
        <v>NULL</v>
      </c>
      <c r="X180" t="str">
        <v>Away</v>
      </c>
      <c r="Y180" t="str">
        <v>NEFJ</v>
      </c>
      <c r="Z180">
        <v>6.6002654768950446</v>
      </c>
    </row>
    <row r="181" spans="10:26" x14ac:dyDescent="0.35">
      <c r="J181" s="66">
        <v>7</v>
      </c>
      <c r="K181" t="s">
        <v>4</v>
      </c>
      <c r="L181" t="s">
        <v>209</v>
      </c>
      <c r="M181">
        <v>12.1</v>
      </c>
      <c r="N181" t="s">
        <v>3</v>
      </c>
      <c r="O181" t="s">
        <v>2</v>
      </c>
      <c r="P181">
        <f t="shared" si="17"/>
        <v>13.681422092780419</v>
      </c>
      <c r="Q181">
        <f t="shared" si="18"/>
        <v>2.5008958355340023</v>
      </c>
      <c r="R181" s="67" cm="1">
        <f t="array" ref="R181">SUMPRODUCT((J181=$J$7:$J$1000)*(P181&lt;$P$7:$P$1000))+1</f>
        <v>1</v>
      </c>
      <c r="S181" s="72"/>
      <c r="T181">
        <v>15</v>
      </c>
      <c r="U181" t="str">
        <v>OGDC</v>
      </c>
      <c r="V181" t="str">
        <v>Jamason Fa'anana-Schultz</v>
      </c>
      <c r="W181" t="str">
        <v>NULL</v>
      </c>
      <c r="X181" t="str">
        <v>Away</v>
      </c>
      <c r="Y181" t="str">
        <v>NEFJ</v>
      </c>
      <c r="Z181">
        <v>6.1917480257574109</v>
      </c>
    </row>
    <row r="182" spans="10:26" x14ac:dyDescent="0.35">
      <c r="J182" s="66">
        <v>7</v>
      </c>
      <c r="K182" t="s">
        <v>23</v>
      </c>
      <c r="L182" t="s">
        <v>431</v>
      </c>
      <c r="M182">
        <v>11.2</v>
      </c>
      <c r="N182" t="s">
        <v>9</v>
      </c>
      <c r="O182" t="s">
        <v>13</v>
      </c>
      <c r="P182">
        <f t="shared" si="17"/>
        <v>6.519295657906909</v>
      </c>
      <c r="Q182">
        <f t="shared" si="18"/>
        <v>21.908993138089109</v>
      </c>
      <c r="R182" s="67" cm="1">
        <f t="array" ref="R182">SUMPRODUCT((J182=$J$7:$J$1000)*(P182&lt;$P$7:$P$1000))+1</f>
        <v>24</v>
      </c>
      <c r="S182" s="72"/>
      <c r="T182">
        <v>15</v>
      </c>
      <c r="U182" t="str">
        <v>OGDC</v>
      </c>
      <c r="V182" t="str">
        <v>Lautaro Bavaro</v>
      </c>
      <c r="W182" t="str">
        <v>NULL</v>
      </c>
      <c r="X182" t="str">
        <v>Away</v>
      </c>
      <c r="Y182" t="str">
        <v>NEFJ</v>
      </c>
      <c r="Z182">
        <v>4.5980022930492597</v>
      </c>
    </row>
    <row r="183" spans="10:26" x14ac:dyDescent="0.35">
      <c r="J183" s="66">
        <v>7</v>
      </c>
      <c r="K183" t="s">
        <v>4</v>
      </c>
      <c r="L183" t="s">
        <v>539</v>
      </c>
      <c r="M183">
        <v>11.2</v>
      </c>
      <c r="N183" t="s">
        <v>3</v>
      </c>
      <c r="O183" t="s">
        <v>2</v>
      </c>
      <c r="P183">
        <f t="shared" si="17"/>
        <v>9.0864823074017327</v>
      </c>
      <c r="Q183">
        <f t="shared" si="18"/>
        <v>4.4669570369259013</v>
      </c>
      <c r="R183" s="67" cm="1">
        <f t="array" ref="R183">SUMPRODUCT((J183=$J$7:$J$1000)*(P183&lt;$P$7:$P$1000))+1</f>
        <v>14</v>
      </c>
      <c r="S183" s="72"/>
      <c r="T183">
        <v>15</v>
      </c>
      <c r="U183" t="str">
        <v>OGDC</v>
      </c>
      <c r="V183" t="str">
        <v>Logan Weidner</v>
      </c>
      <c r="W183" t="str">
        <v>NULL</v>
      </c>
      <c r="X183" t="str">
        <v>Away</v>
      </c>
      <c r="Y183" t="str">
        <v>NEFJ</v>
      </c>
      <c r="Z183">
        <v>5.5422796972378503</v>
      </c>
    </row>
    <row r="184" spans="10:26" x14ac:dyDescent="0.35">
      <c r="J184" s="66">
        <v>7</v>
      </c>
      <c r="K184" t="s">
        <v>7</v>
      </c>
      <c r="L184" t="s">
        <v>201</v>
      </c>
      <c r="M184">
        <v>10.8</v>
      </c>
      <c r="N184" t="s">
        <v>9</v>
      </c>
      <c r="O184" t="s">
        <v>6</v>
      </c>
      <c r="P184">
        <f t="shared" si="17"/>
        <v>10.023684721738533</v>
      </c>
      <c r="Q184">
        <f t="shared" si="18"/>
        <v>0.60266541126217976</v>
      </c>
      <c r="R184" s="67" cm="1">
        <f t="array" ref="R184">SUMPRODUCT((J184=$J$7:$J$1000)*(P184&lt;$P$7:$P$1000))+1</f>
        <v>9</v>
      </c>
      <c r="S184" s="72"/>
      <c r="T184">
        <v>15</v>
      </c>
      <c r="U184" t="str">
        <v>SEA</v>
      </c>
      <c r="V184" t="str">
        <v>Charles Elton</v>
      </c>
      <c r="W184" t="str">
        <v>NULL</v>
      </c>
      <c r="X184" t="str">
        <v>Home</v>
      </c>
      <c r="Y184" t="str">
        <v>HOU</v>
      </c>
      <c r="Z184">
        <v>6.8142547259926589</v>
      </c>
    </row>
    <row r="185" spans="10:26" x14ac:dyDescent="0.35">
      <c r="J185" s="66">
        <v>7</v>
      </c>
      <c r="K185" t="s">
        <v>23</v>
      </c>
      <c r="L185" t="s">
        <v>229</v>
      </c>
      <c r="M185">
        <v>10.199999999999999</v>
      </c>
      <c r="N185" t="s">
        <v>9</v>
      </c>
      <c r="O185" t="s">
        <v>13</v>
      </c>
      <c r="P185">
        <f t="shared" si="17"/>
        <v>8.0749885570880284</v>
      </c>
      <c r="Q185">
        <f t="shared" si="18"/>
        <v>4.5156736325068163</v>
      </c>
      <c r="R185" s="67" cm="1">
        <f t="array" ref="R185">SUMPRODUCT((J185=$J$7:$J$1000)*(P185&lt;$P$7:$P$1000))+1</f>
        <v>17</v>
      </c>
      <c r="S185" s="72"/>
      <c r="T185">
        <v>15</v>
      </c>
      <c r="U185" t="str">
        <v>SEA</v>
      </c>
      <c r="V185" t="str">
        <v>Devin Short</v>
      </c>
      <c r="W185" t="str">
        <v>NULL</v>
      </c>
      <c r="X185" t="str">
        <v>Home</v>
      </c>
      <c r="Y185" t="str">
        <v>HOU</v>
      </c>
      <c r="Z185">
        <v>7.3554321787789982</v>
      </c>
    </row>
    <row r="186" spans="10:26" x14ac:dyDescent="0.35">
      <c r="J186" s="66">
        <v>7</v>
      </c>
      <c r="K186" t="s">
        <v>13</v>
      </c>
      <c r="L186" t="s">
        <v>103</v>
      </c>
      <c r="M186">
        <v>9.4</v>
      </c>
      <c r="N186" t="s">
        <v>3</v>
      </c>
      <c r="O186" t="s">
        <v>23</v>
      </c>
      <c r="P186">
        <f t="shared" si="17"/>
        <v>6.4572592552855372</v>
      </c>
      <c r="Q186">
        <f t="shared" si="18"/>
        <v>8.6597230906026326</v>
      </c>
      <c r="R186" s="67" cm="1">
        <f t="array" ref="R186">SUMPRODUCT((J186=$J$7:$J$1000)*(P186&lt;$P$7:$P$1000))+1</f>
        <v>25</v>
      </c>
      <c r="S186" s="72"/>
      <c r="T186">
        <v>15</v>
      </c>
      <c r="U186" t="str">
        <v>SEA</v>
      </c>
      <c r="V186" t="str">
        <v>Huw Taylor</v>
      </c>
      <c r="W186" t="str">
        <v>NULL</v>
      </c>
      <c r="X186" t="str">
        <v>Home</v>
      </c>
      <c r="Y186" t="str">
        <v>HOU</v>
      </c>
      <c r="Z186">
        <v>6.004071213865199</v>
      </c>
    </row>
    <row r="187" spans="10:26" x14ac:dyDescent="0.35">
      <c r="J187" s="66">
        <v>7</v>
      </c>
      <c r="K187" t="s">
        <v>17</v>
      </c>
      <c r="L187" t="s">
        <v>631</v>
      </c>
      <c r="M187">
        <v>9.3000000000000007</v>
      </c>
      <c r="N187" t="s">
        <v>3</v>
      </c>
      <c r="O187" t="s">
        <v>14</v>
      </c>
      <c r="P187">
        <f t="shared" si="17"/>
        <v>7.8873759927761808</v>
      </c>
      <c r="Q187">
        <f t="shared" si="18"/>
        <v>1.9955065857850827</v>
      </c>
      <c r="R187" s="67" cm="1">
        <f t="array" ref="R187">SUMPRODUCT((J187=$J$7:$J$1000)*(P187&lt;$P$7:$P$1000))+1</f>
        <v>18</v>
      </c>
      <c r="S187" s="72"/>
      <c r="T187">
        <v>15</v>
      </c>
      <c r="U187" t="str">
        <v>SEA</v>
      </c>
      <c r="V187" t="str">
        <v>OJ Noa</v>
      </c>
      <c r="W187" t="str">
        <v>NULL</v>
      </c>
      <c r="X187" t="str">
        <v>Home</v>
      </c>
      <c r="Y187" t="str">
        <v>HOU</v>
      </c>
      <c r="Z187">
        <v>5.5133342020647715</v>
      </c>
    </row>
    <row r="188" spans="10:26" x14ac:dyDescent="0.35">
      <c r="J188" s="66">
        <v>7</v>
      </c>
      <c r="K188" t="s">
        <v>7</v>
      </c>
      <c r="L188" t="s">
        <v>211</v>
      </c>
      <c r="M188">
        <v>9.1999999999999993</v>
      </c>
      <c r="N188" t="s">
        <v>9</v>
      </c>
      <c r="O188" t="s">
        <v>6</v>
      </c>
      <c r="P188">
        <f t="shared" si="17"/>
        <v>6.2071602684568319</v>
      </c>
      <c r="Q188">
        <f t="shared" si="18"/>
        <v>8.9570896587033779</v>
      </c>
      <c r="R188" s="67" cm="1">
        <f t="array" ref="R188">SUMPRODUCT((J188=$J$7:$J$1000)*(P188&lt;$P$7:$P$1000))+1</f>
        <v>26</v>
      </c>
      <c r="S188" s="72"/>
      <c r="T188">
        <v>15</v>
      </c>
      <c r="U188" t="str">
        <v>SEA</v>
      </c>
      <c r="V188" t="str">
        <v>Riekert Hattingh</v>
      </c>
      <c r="W188" t="str">
        <v>NULL</v>
      </c>
      <c r="X188" t="str">
        <v>Home</v>
      </c>
      <c r="Y188" t="str">
        <v>HOU</v>
      </c>
      <c r="Z188">
        <v>8.4832042965577354</v>
      </c>
    </row>
    <row r="189" spans="10:26" x14ac:dyDescent="0.35">
      <c r="J189" s="66">
        <v>7</v>
      </c>
      <c r="K189" t="s">
        <v>17</v>
      </c>
      <c r="L189" t="s">
        <v>222</v>
      </c>
      <c r="M189">
        <v>7.8</v>
      </c>
      <c r="N189" t="s">
        <v>3</v>
      </c>
      <c r="O189" t="s">
        <v>14</v>
      </c>
      <c r="P189">
        <f t="shared" si="17"/>
        <v>9.5563255633412574</v>
      </c>
      <c r="Q189">
        <f t="shared" si="18"/>
        <v>3.0846794844459855</v>
      </c>
      <c r="R189" s="67" cm="1">
        <f t="array" ref="R189">SUMPRODUCT((J189=$J$7:$J$1000)*(P189&lt;$P$7:$P$1000))+1</f>
        <v>13</v>
      </c>
      <c r="S189" s="72"/>
      <c r="T189">
        <v>15</v>
      </c>
      <c r="U189" t="str">
        <v>UTAH</v>
      </c>
      <c r="V189" t="str">
        <v>Bailey Wilson</v>
      </c>
      <c r="W189" t="str">
        <v>NULL</v>
      </c>
      <c r="X189" t="str">
        <v>Away</v>
      </c>
      <c r="Y189" t="str">
        <v>NOLA</v>
      </c>
      <c r="Z189">
        <v>8.0376213686905871</v>
      </c>
    </row>
    <row r="190" spans="10:26" x14ac:dyDescent="0.35">
      <c r="J190" s="66">
        <v>7</v>
      </c>
      <c r="K190" t="s">
        <v>7</v>
      </c>
      <c r="L190" t="s">
        <v>202</v>
      </c>
      <c r="M190">
        <v>7.7</v>
      </c>
      <c r="N190" t="s">
        <v>9</v>
      </c>
      <c r="O190" t="s">
        <v>6</v>
      </c>
      <c r="P190">
        <f t="shared" si="17"/>
        <v>8.2094234523026177</v>
      </c>
      <c r="Q190">
        <f t="shared" si="18"/>
        <v>0.25951225375591724</v>
      </c>
      <c r="R190" s="67" cm="1">
        <f t="array" ref="R190">SUMPRODUCT((J190=$J$7:$J$1000)*(P190&lt;$P$7:$P$1000))+1</f>
        <v>16</v>
      </c>
      <c r="S190" s="72"/>
      <c r="T190">
        <v>15</v>
      </c>
      <c r="U190" t="str">
        <v>UTAH</v>
      </c>
      <c r="V190" t="str">
        <v>Dylan Nel</v>
      </c>
      <c r="W190" t="str">
        <v>NULL</v>
      </c>
      <c r="X190" t="str">
        <v>Away</v>
      </c>
      <c r="Y190" t="str">
        <v>NOLA</v>
      </c>
      <c r="Z190">
        <v>10.289488075891335</v>
      </c>
    </row>
    <row r="191" spans="10:26" x14ac:dyDescent="0.35">
      <c r="J191" s="66">
        <v>7</v>
      </c>
      <c r="K191" t="s">
        <v>14</v>
      </c>
      <c r="L191" t="s">
        <v>514</v>
      </c>
      <c r="M191">
        <v>7.4</v>
      </c>
      <c r="N191" t="s">
        <v>9</v>
      </c>
      <c r="O191" t="s">
        <v>17</v>
      </c>
      <c r="P191">
        <f t="shared" si="17"/>
        <v>5.7151768141303725</v>
      </c>
      <c r="Q191">
        <f t="shared" si="18"/>
        <v>2.8386291676438828</v>
      </c>
      <c r="R191" s="67" cm="1">
        <f t="array" ref="R191">SUMPRODUCT((J191=$J$7:$J$1000)*(P191&lt;$P$7:$P$1000))+1</f>
        <v>27</v>
      </c>
      <c r="S191" s="72"/>
      <c r="T191">
        <v>15</v>
      </c>
      <c r="U191" t="str">
        <v>UTAH</v>
      </c>
      <c r="V191" t="str">
        <v>Frank Lochore</v>
      </c>
      <c r="W191" t="str">
        <v>NULL</v>
      </c>
      <c r="X191" t="str">
        <v>Away</v>
      </c>
      <c r="Y191" t="str">
        <v>NOLA</v>
      </c>
      <c r="Z191">
        <v>9.5856445087779267</v>
      </c>
    </row>
    <row r="192" spans="10:26" x14ac:dyDescent="0.35">
      <c r="J192" s="66">
        <v>7</v>
      </c>
      <c r="K192" t="s">
        <v>36</v>
      </c>
      <c r="L192" t="s">
        <v>216</v>
      </c>
      <c r="M192">
        <v>6.6</v>
      </c>
      <c r="N192" t="s">
        <v>3</v>
      </c>
      <c r="O192" t="s">
        <v>34</v>
      </c>
      <c r="P192">
        <f t="shared" si="17"/>
        <v>5.3730686101859071</v>
      </c>
      <c r="Q192">
        <f t="shared" si="18"/>
        <v>1.5053606353111408</v>
      </c>
      <c r="R192" s="67" cm="1">
        <f t="array" ref="R192">SUMPRODUCT((J192=$J$7:$J$1000)*(P192&lt;$P$7:$P$1000))+1</f>
        <v>28</v>
      </c>
      <c r="S192" s="72"/>
      <c r="T192">
        <v>15</v>
      </c>
      <c r="U192" t="str">
        <v>UTAH</v>
      </c>
      <c r="V192" t="str">
        <v>Kalisi Moli</v>
      </c>
      <c r="W192" t="str">
        <v>NULL</v>
      </c>
      <c r="X192" t="str">
        <v>Away</v>
      </c>
      <c r="Y192" t="str">
        <v>NOLA</v>
      </c>
      <c r="Z192">
        <v>6.4349674503342076</v>
      </c>
    </row>
    <row r="193" spans="10:26" x14ac:dyDescent="0.35">
      <c r="J193" s="66">
        <v>7</v>
      </c>
      <c r="K193" t="s">
        <v>14</v>
      </c>
      <c r="L193" t="s">
        <v>197</v>
      </c>
      <c r="M193">
        <v>6.1</v>
      </c>
      <c r="N193" t="s">
        <v>9</v>
      </c>
      <c r="O193" t="s">
        <v>17</v>
      </c>
      <c r="P193">
        <f t="shared" si="17"/>
        <v>4.6327698099442856</v>
      </c>
      <c r="Q193">
        <f t="shared" si="18"/>
        <v>2.1527644306109268</v>
      </c>
      <c r="R193" s="67" cm="1">
        <f t="array" ref="R193">SUMPRODUCT((J193=$J$7:$J$1000)*(P193&lt;$P$7:$P$1000))+1</f>
        <v>29</v>
      </c>
      <c r="S193" s="72"/>
      <c r="T193">
        <v>15</v>
      </c>
      <c r="U193" t="str">
        <v>UTAH</v>
      </c>
      <c r="V193" t="str">
        <v>Lance Williams</v>
      </c>
      <c r="W193" t="str">
        <v>NULL</v>
      </c>
      <c r="X193" t="str">
        <v>Away</v>
      </c>
      <c r="Y193" t="str">
        <v>NOLA</v>
      </c>
      <c r="Z193">
        <v>1.54340585721611</v>
      </c>
    </row>
    <row r="194" spans="10:26" x14ac:dyDescent="0.35">
      <c r="J194" s="66">
        <v>7</v>
      </c>
      <c r="K194" t="s">
        <v>4</v>
      </c>
      <c r="L194" t="s">
        <v>434</v>
      </c>
      <c r="M194">
        <v>5.9</v>
      </c>
      <c r="N194" t="s">
        <v>3</v>
      </c>
      <c r="O194" t="s">
        <v>2</v>
      </c>
      <c r="P194">
        <f t="shared" si="17"/>
        <v>6.5981210865602602</v>
      </c>
      <c r="Q194">
        <f t="shared" si="18"/>
        <v>0.48737305150007781</v>
      </c>
      <c r="R194" s="67" cm="1">
        <f t="array" ref="R194">SUMPRODUCT((J194=$J$7:$J$1000)*(P194&lt;$P$7:$P$1000))+1</f>
        <v>22</v>
      </c>
      <c r="S194" s="72"/>
      <c r="T194">
        <v>15</v>
      </c>
      <c r="U194" t="str">
        <v>UTAH</v>
      </c>
      <c r="V194" t="str">
        <v>Reid Davis</v>
      </c>
      <c r="W194" t="str">
        <v>NULL</v>
      </c>
      <c r="X194" t="str">
        <v>Away</v>
      </c>
      <c r="Y194" t="str">
        <v>NOLA</v>
      </c>
      <c r="Z194">
        <v>3.1854901467144536</v>
      </c>
    </row>
    <row r="195" spans="10:26" x14ac:dyDescent="0.35">
      <c r="J195" s="66">
        <v>7</v>
      </c>
      <c r="K195" t="s">
        <v>13</v>
      </c>
      <c r="L195" t="s">
        <v>204</v>
      </c>
      <c r="M195">
        <v>5.8</v>
      </c>
      <c r="N195" t="s">
        <v>3</v>
      </c>
      <c r="O195" t="s">
        <v>23</v>
      </c>
      <c r="P195">
        <f t="shared" si="17"/>
        <v>7.161102822398945</v>
      </c>
      <c r="Q195">
        <f t="shared" si="18"/>
        <v>1.8526008931423745</v>
      </c>
      <c r="R195" s="67" cm="1">
        <f t="array" ref="R195">SUMPRODUCT((J195=$J$7:$J$1000)*(P195&lt;$P$7:$P$1000))+1</f>
        <v>20</v>
      </c>
      <c r="S195" s="72"/>
      <c r="T195">
        <v>15</v>
      </c>
      <c r="U195" t="str">
        <v>UTAH</v>
      </c>
      <c r="V195" t="str">
        <v>Ronnie McElligott</v>
      </c>
      <c r="W195" t="str">
        <v>NULL</v>
      </c>
      <c r="X195" t="str">
        <v>Away</v>
      </c>
      <c r="Y195" t="str">
        <v>NOLA</v>
      </c>
      <c r="Z195">
        <v>4.0325821492985243</v>
      </c>
    </row>
    <row r="196" spans="10:26" x14ac:dyDescent="0.35">
      <c r="J196" s="66">
        <v>7</v>
      </c>
      <c r="K196" t="s">
        <v>36</v>
      </c>
      <c r="L196" t="s">
        <v>205</v>
      </c>
      <c r="M196">
        <v>5.7</v>
      </c>
      <c r="N196" t="s">
        <v>3</v>
      </c>
      <c r="O196" t="s">
        <v>34</v>
      </c>
      <c r="P196">
        <f t="shared" si="17"/>
        <v>7.6477944519382977</v>
      </c>
      <c r="Q196">
        <f t="shared" si="18"/>
        <v>3.7939032270016124</v>
      </c>
      <c r="R196" s="67" cm="1">
        <f t="array" ref="R196">SUMPRODUCT((J196=$J$7:$J$1000)*(P196&lt;$P$7:$P$1000))+1</f>
        <v>19</v>
      </c>
      <c r="S196" s="72"/>
      <c r="T196">
        <v>15</v>
      </c>
      <c r="U196" t="str">
        <v>UTAH</v>
      </c>
      <c r="V196" t="str">
        <v>Tamarau McGahan</v>
      </c>
      <c r="W196" t="str">
        <v>NULL</v>
      </c>
      <c r="X196" t="str">
        <v>Away</v>
      </c>
      <c r="Y196" t="str">
        <v>NOLA</v>
      </c>
      <c r="Z196">
        <v>6.4260669221529216</v>
      </c>
    </row>
    <row r="197" spans="10:26" x14ac:dyDescent="0.35">
      <c r="J197" s="66">
        <v>7</v>
      </c>
      <c r="K197" t="s">
        <v>23</v>
      </c>
      <c r="L197" t="s">
        <v>389</v>
      </c>
      <c r="M197">
        <v>4.7</v>
      </c>
      <c r="N197" t="s">
        <v>9</v>
      </c>
      <c r="O197" t="s">
        <v>13</v>
      </c>
      <c r="P197">
        <f t="shared" si="17"/>
        <v>11.1803624914071</v>
      </c>
      <c r="Q197">
        <f t="shared" si="18"/>
        <v>41.995098020036039</v>
      </c>
      <c r="R197" s="67" cm="1">
        <f t="array" ref="R197">SUMPRODUCT((J197=$J$7:$J$1000)*(P197&lt;$P$7:$P$1000))+1</f>
        <v>3</v>
      </c>
      <c r="S197" s="72"/>
      <c r="T197">
        <v>16</v>
      </c>
      <c r="U197" t="str">
        <v>ARC</v>
      </c>
      <c r="V197" t="str">
        <v>Albert O'Shannessey</v>
      </c>
      <c r="W197" t="str">
        <v>NULL</v>
      </c>
      <c r="X197" t="str">
        <v>Away</v>
      </c>
      <c r="Y197" t="str">
        <v>UTAH</v>
      </c>
      <c r="Z197">
        <v>3.2364261469531601</v>
      </c>
    </row>
    <row r="198" spans="10:26" x14ac:dyDescent="0.35">
      <c r="J198" s="66">
        <v>7</v>
      </c>
      <c r="K198" t="s">
        <v>34</v>
      </c>
      <c r="L198" t="s">
        <v>436</v>
      </c>
      <c r="M198">
        <v>4.5</v>
      </c>
      <c r="N198" t="s">
        <v>9</v>
      </c>
      <c r="O198" t="s">
        <v>36</v>
      </c>
      <c r="P198">
        <f t="shared" si="17"/>
        <v>7.143682824754789</v>
      </c>
      <c r="Q198">
        <f t="shared" si="18"/>
        <v>6.9890588779034601</v>
      </c>
      <c r="R198" s="67" cm="1">
        <f t="array" ref="R198">SUMPRODUCT((J198=$J$7:$J$1000)*(P198&lt;$P$7:$P$1000))+1</f>
        <v>21</v>
      </c>
      <c r="S198" s="72"/>
      <c r="T198">
        <v>16</v>
      </c>
      <c r="U198" t="str">
        <v>ARC</v>
      </c>
      <c r="V198" t="str">
        <v>Alejandro Martinez Tapia</v>
      </c>
      <c r="W198" t="str">
        <v>NULL</v>
      </c>
      <c r="X198" t="str">
        <v>Away</v>
      </c>
      <c r="Y198" t="str">
        <v>UTAH</v>
      </c>
      <c r="Z198">
        <v>5.7780936124946596</v>
      </c>
    </row>
    <row r="199" spans="10:26" x14ac:dyDescent="0.35">
      <c r="J199" s="66">
        <v>7</v>
      </c>
      <c r="K199" t="s">
        <v>13</v>
      </c>
      <c r="L199" t="s">
        <v>638</v>
      </c>
      <c r="M199">
        <v>4.5</v>
      </c>
      <c r="N199" t="s">
        <v>3</v>
      </c>
      <c r="O199" t="s">
        <v>23</v>
      </c>
      <c r="P199">
        <f t="shared" si="17"/>
        <v>3.2976816686605304</v>
      </c>
      <c r="Q199">
        <f t="shared" si="18"/>
        <v>1.4455693698749268</v>
      </c>
      <c r="R199" s="67" cm="1">
        <f t="array" ref="R199">SUMPRODUCT((J199=$J$7:$J$1000)*(P199&lt;$P$7:$P$1000))+1</f>
        <v>30</v>
      </c>
      <c r="S199" s="72"/>
      <c r="T199">
        <v>16</v>
      </c>
      <c r="U199" t="str">
        <v>ARC</v>
      </c>
      <c r="V199" t="str">
        <v>Colin Turner</v>
      </c>
      <c r="W199" t="str">
        <v>NULL</v>
      </c>
      <c r="X199" t="str">
        <v>Away</v>
      </c>
      <c r="Y199" t="str">
        <v>UTAH</v>
      </c>
      <c r="Z199">
        <v>4.2344701444528923</v>
      </c>
    </row>
    <row r="200" spans="10:26" x14ac:dyDescent="0.35">
      <c r="J200" s="66">
        <v>7</v>
      </c>
      <c r="K200" t="s">
        <v>34</v>
      </c>
      <c r="L200" t="s">
        <v>429</v>
      </c>
      <c r="M200">
        <v>3.9</v>
      </c>
      <c r="N200" t="s">
        <v>9</v>
      </c>
      <c r="O200" t="s">
        <v>36</v>
      </c>
      <c r="P200">
        <f t="shared" ref="P200:P263" si="19">VLOOKUP($N200,$F$3:$G$4,2,FALSE)+VLOOKUP($L200,$B$20:$C$150,2,FALSE)+VLOOKUP($O200,$A$6:$B$16,2,FALSE)</f>
        <v>10.044315229554748</v>
      </c>
      <c r="Q200">
        <f t="shared" ref="Q200:Q234" si="20">IFERROR(($M200-$P200)^2,"")</f>
        <v>37.752609640138409</v>
      </c>
      <c r="R200" s="67" cm="1">
        <f t="array" ref="R200">SUMPRODUCT((J200=$J$7:$J$1000)*(P200&lt;$P$7:$P$1000))+1</f>
        <v>8</v>
      </c>
      <c r="S200" s="72"/>
      <c r="T200">
        <v>16</v>
      </c>
      <c r="U200" t="str">
        <v>ARC</v>
      </c>
      <c r="V200" t="str">
        <v>Dylan Fortune</v>
      </c>
      <c r="W200" t="str">
        <v>NULL</v>
      </c>
      <c r="X200" t="str">
        <v>Away</v>
      </c>
      <c r="Y200" t="str">
        <v>UTAH</v>
      </c>
      <c r="Z200">
        <v>3.0456269039724755</v>
      </c>
    </row>
    <row r="201" spans="10:26" x14ac:dyDescent="0.35">
      <c r="J201" s="66">
        <v>7</v>
      </c>
      <c r="K201" t="s">
        <v>2</v>
      </c>
      <c r="L201" t="s">
        <v>115</v>
      </c>
      <c r="M201">
        <v>3.6</v>
      </c>
      <c r="N201" t="s">
        <v>9</v>
      </c>
      <c r="O201" t="s">
        <v>4</v>
      </c>
      <c r="P201">
        <f t="shared" si="19"/>
        <v>10.585035275258809</v>
      </c>
      <c r="Q201">
        <f t="shared" si="20"/>
        <v>48.790717796609911</v>
      </c>
      <c r="R201" s="67" cm="1">
        <f t="array" ref="R201">SUMPRODUCT((J201=$J$7:$J$1000)*(P201&lt;$P$7:$P$1000))+1</f>
        <v>5</v>
      </c>
      <c r="S201" s="72"/>
      <c r="T201">
        <v>16</v>
      </c>
      <c r="U201" t="str">
        <v>ARC</v>
      </c>
      <c r="V201" t="str">
        <v>Graeme Pedegana</v>
      </c>
      <c r="W201" t="str">
        <v>NULL</v>
      </c>
      <c r="X201" t="str">
        <v>Away</v>
      </c>
      <c r="Y201" t="str">
        <v>UTAH</v>
      </c>
      <c r="Z201">
        <v>5.3504570004810574</v>
      </c>
    </row>
    <row r="202" spans="10:26" x14ac:dyDescent="0.35">
      <c r="J202" s="66">
        <v>7</v>
      </c>
      <c r="K202" t="s">
        <v>2</v>
      </c>
      <c r="L202" t="s">
        <v>212</v>
      </c>
      <c r="M202">
        <v>1.6</v>
      </c>
      <c r="N202" t="s">
        <v>9</v>
      </c>
      <c r="O202" t="s">
        <v>4</v>
      </c>
      <c r="P202">
        <f t="shared" si="19"/>
        <v>9.6232042012124008</v>
      </c>
      <c r="Q202">
        <f t="shared" si="20"/>
        <v>64.371805654352329</v>
      </c>
      <c r="R202" s="67" cm="1">
        <f t="array" ref="R202">SUMPRODUCT((J202=$J$7:$J$1000)*(P202&lt;$P$7:$P$1000))+1</f>
        <v>11</v>
      </c>
      <c r="S202" s="72"/>
      <c r="T202">
        <v>16</v>
      </c>
      <c r="U202" t="str">
        <v>ARC</v>
      </c>
      <c r="V202" t="str">
        <v>Makeen Alikhan</v>
      </c>
      <c r="W202" t="str">
        <v>NULL</v>
      </c>
      <c r="X202" t="str">
        <v>Away</v>
      </c>
      <c r="Y202" t="str">
        <v>UTAH</v>
      </c>
      <c r="Z202">
        <v>7.4933724829886916</v>
      </c>
    </row>
    <row r="203" spans="10:26" x14ac:dyDescent="0.35">
      <c r="J203" s="66">
        <v>7</v>
      </c>
      <c r="K203" t="s">
        <v>6</v>
      </c>
      <c r="L203" t="s">
        <v>603</v>
      </c>
      <c r="M203">
        <v>1.4</v>
      </c>
      <c r="N203" t="s">
        <v>3</v>
      </c>
      <c r="O203" t="s">
        <v>7</v>
      </c>
      <c r="P203">
        <f t="shared" si="19"/>
        <v>9.8463083685364499</v>
      </c>
      <c r="Q203">
        <f t="shared" si="20"/>
        <v>71.340125056408866</v>
      </c>
      <c r="R203" s="67" cm="1">
        <f t="array" ref="R203">SUMPRODUCT((J203=$J$7:$J$1000)*(P203&lt;$P$7:$P$1000))+1</f>
        <v>10</v>
      </c>
      <c r="S203" s="72"/>
      <c r="T203">
        <v>16</v>
      </c>
      <c r="U203" t="str">
        <v>ARC</v>
      </c>
      <c r="V203" t="str">
        <v>Sam Golla</v>
      </c>
      <c r="W203" t="str">
        <v>NULL</v>
      </c>
      <c r="X203" t="str">
        <v>Away</v>
      </c>
      <c r="Y203" t="str">
        <v>UTAH</v>
      </c>
      <c r="Z203">
        <v>4.877465654702025</v>
      </c>
    </row>
    <row r="204" spans="10:26" x14ac:dyDescent="0.35">
      <c r="J204" s="66">
        <v>7</v>
      </c>
      <c r="K204" t="s">
        <v>17</v>
      </c>
      <c r="L204" t="s">
        <v>427</v>
      </c>
      <c r="M204">
        <v>-0.2</v>
      </c>
      <c r="N204" t="s">
        <v>3</v>
      </c>
      <c r="O204" t="s">
        <v>14</v>
      </c>
      <c r="P204">
        <f t="shared" si="19"/>
        <v>6.5864554688482935</v>
      </c>
      <c r="Q204">
        <f t="shared" si="20"/>
        <v>46.055977830660915</v>
      </c>
      <c r="R204" s="67" cm="1">
        <f t="array" ref="R204">SUMPRODUCT((J204=$J$7:$J$1000)*(P204&lt;$P$7:$P$1000))+1</f>
        <v>23</v>
      </c>
      <c r="S204" s="72"/>
      <c r="T204">
        <v>16</v>
      </c>
      <c r="U204" t="str">
        <v>ARC</v>
      </c>
      <c r="V204" t="str">
        <v>Tomalati Ma'afu</v>
      </c>
      <c r="W204" t="str">
        <v>NULL</v>
      </c>
      <c r="X204" t="str">
        <v>Away</v>
      </c>
      <c r="Y204" t="str">
        <v>UTAH</v>
      </c>
      <c r="Z204">
        <v>4.3188331511392466</v>
      </c>
    </row>
    <row r="205" spans="10:26" x14ac:dyDescent="0.35">
      <c r="J205" s="66">
        <v>8</v>
      </c>
      <c r="K205" t="s">
        <v>23</v>
      </c>
      <c r="L205" t="s">
        <v>389</v>
      </c>
      <c r="M205">
        <v>17.8</v>
      </c>
      <c r="N205" t="s">
        <v>3</v>
      </c>
      <c r="O205" t="s">
        <v>24</v>
      </c>
      <c r="P205">
        <f t="shared" si="19"/>
        <v>11.229762369631167</v>
      </c>
      <c r="Q205">
        <f t="shared" si="20"/>
        <v>43.168022519514658</v>
      </c>
      <c r="R205" s="67" cm="1">
        <f t="array" ref="R205">SUMPRODUCT((J205=$J$7:$J$1000)*(P205&lt;$P$7:$P$1000))+1</f>
        <v>4</v>
      </c>
      <c r="S205" s="72"/>
      <c r="T205">
        <v>16</v>
      </c>
      <c r="U205" t="str">
        <v>CHI</v>
      </c>
      <c r="V205" t="str">
        <v>Brad Tucker</v>
      </c>
      <c r="W205" t="str">
        <v>NULL</v>
      </c>
      <c r="X205" t="str">
        <v>Home</v>
      </c>
      <c r="Y205" t="str">
        <v>NOLA</v>
      </c>
      <c r="Z205">
        <v>4.3170802913563096</v>
      </c>
    </row>
    <row r="206" spans="10:26" x14ac:dyDescent="0.35">
      <c r="J206" s="66">
        <v>8</v>
      </c>
      <c r="K206" t="s">
        <v>2</v>
      </c>
      <c r="L206" t="s">
        <v>212</v>
      </c>
      <c r="M206">
        <v>17.7</v>
      </c>
      <c r="N206" t="s">
        <v>9</v>
      </c>
      <c r="O206" t="s">
        <v>34</v>
      </c>
      <c r="P206">
        <f t="shared" si="19"/>
        <v>9.6164159585647599</v>
      </c>
      <c r="Q206">
        <f t="shared" si="20"/>
        <v>65.344330954946471</v>
      </c>
      <c r="R206" s="67" cm="1">
        <f t="array" ref="R206">SUMPRODUCT((J206=$J$7:$J$1000)*(P206&lt;$P$7:$P$1000))+1</f>
        <v>12</v>
      </c>
      <c r="S206" s="72"/>
      <c r="T206">
        <v>16</v>
      </c>
      <c r="U206" t="str">
        <v>CHI</v>
      </c>
      <c r="V206" t="str">
        <v>Conall Boomer</v>
      </c>
      <c r="W206" t="str">
        <v>NULL</v>
      </c>
      <c r="X206" t="str">
        <v>Home</v>
      </c>
      <c r="Y206" t="str">
        <v>NOLA</v>
      </c>
      <c r="Z206">
        <v>7.1068023839481098</v>
      </c>
    </row>
    <row r="207" spans="10:26" x14ac:dyDescent="0.35">
      <c r="J207" s="66">
        <v>8</v>
      </c>
      <c r="K207" t="s">
        <v>34</v>
      </c>
      <c r="L207" t="s">
        <v>200</v>
      </c>
      <c r="M207">
        <v>17.5</v>
      </c>
      <c r="N207" t="s">
        <v>3</v>
      </c>
      <c r="O207" t="s">
        <v>2</v>
      </c>
      <c r="P207">
        <f t="shared" si="19"/>
        <v>11.791018000489643</v>
      </c>
      <c r="Q207">
        <f t="shared" si="20"/>
        <v>32.59247547073327</v>
      </c>
      <c r="R207" s="67" cm="1">
        <f t="array" ref="R207">SUMPRODUCT((J207=$J$7:$J$1000)*(P207&lt;$P$7:$P$1000))+1</f>
        <v>2</v>
      </c>
      <c r="S207" s="72"/>
      <c r="T207">
        <v>16</v>
      </c>
      <c r="U207" t="str">
        <v>CHI</v>
      </c>
      <c r="V207" t="str">
        <v>Lucas Rumball</v>
      </c>
      <c r="W207" t="str">
        <v>NULL</v>
      </c>
      <c r="X207" t="str">
        <v>Home</v>
      </c>
      <c r="Y207" t="str">
        <v>NOLA</v>
      </c>
      <c r="Z207">
        <v>9.0231940754752795</v>
      </c>
    </row>
    <row r="208" spans="10:26" x14ac:dyDescent="0.35">
      <c r="J208" s="66">
        <v>8</v>
      </c>
      <c r="K208" t="s">
        <v>23</v>
      </c>
      <c r="L208" t="s">
        <v>229</v>
      </c>
      <c r="M208">
        <v>16.8</v>
      </c>
      <c r="N208" t="s">
        <v>3</v>
      </c>
      <c r="O208" t="s">
        <v>24</v>
      </c>
      <c r="P208">
        <f t="shared" si="19"/>
        <v>8.1243884353120954</v>
      </c>
      <c r="Q208">
        <f t="shared" si="20"/>
        <v>75.266236021346529</v>
      </c>
      <c r="R208" s="67" cm="1">
        <f t="array" ref="R208">SUMPRODUCT((J208=$J$7:$J$1000)*(P208&lt;$P$7:$P$1000))+1</f>
        <v>16</v>
      </c>
      <c r="S208" s="72"/>
      <c r="T208">
        <v>16</v>
      </c>
      <c r="U208" t="str">
        <v>CHI</v>
      </c>
      <c r="V208" t="str">
        <v>Luke White</v>
      </c>
      <c r="W208" t="str">
        <v>NULL</v>
      </c>
      <c r="X208" t="str">
        <v>Home</v>
      </c>
      <c r="Y208" t="str">
        <v>NOLA</v>
      </c>
      <c r="Z208">
        <v>4.8416976328847143</v>
      </c>
    </row>
    <row r="209" spans="10:26" x14ac:dyDescent="0.35">
      <c r="J209" s="66">
        <v>8</v>
      </c>
      <c r="K209" t="s">
        <v>24</v>
      </c>
      <c r="L209" t="s">
        <v>215</v>
      </c>
      <c r="M209">
        <v>14.5</v>
      </c>
      <c r="N209" t="s">
        <v>9</v>
      </c>
      <c r="O209" t="s">
        <v>23</v>
      </c>
      <c r="P209">
        <f t="shared" si="19"/>
        <v>10.745972180905829</v>
      </c>
      <c r="Q209">
        <f t="shared" si="20"/>
        <v>14.092724866532937</v>
      </c>
      <c r="R209" s="67" cm="1">
        <f t="array" ref="R209">SUMPRODUCT((J209=$J$7:$J$1000)*(P209&lt;$P$7:$P$1000))+1</f>
        <v>7</v>
      </c>
      <c r="S209" s="72"/>
      <c r="T209">
        <v>16</v>
      </c>
      <c r="U209" t="str">
        <v>CHI</v>
      </c>
      <c r="V209" t="str">
        <v>Maclean Jones</v>
      </c>
      <c r="W209" t="str">
        <v>NULL</v>
      </c>
      <c r="X209" t="str">
        <v>Home</v>
      </c>
      <c r="Y209" t="str">
        <v>NOLA</v>
      </c>
      <c r="Z209">
        <v>10.342822747727547</v>
      </c>
    </row>
    <row r="210" spans="10:26" x14ac:dyDescent="0.35">
      <c r="J210" s="66">
        <v>8</v>
      </c>
      <c r="K210" t="s">
        <v>7</v>
      </c>
      <c r="L210" t="s">
        <v>201</v>
      </c>
      <c r="M210">
        <v>14.1</v>
      </c>
      <c r="N210" t="s">
        <v>3</v>
      </c>
      <c r="O210" t="s">
        <v>17</v>
      </c>
      <c r="P210">
        <f t="shared" si="19"/>
        <v>9.8166595765113591</v>
      </c>
      <c r="Q210">
        <f t="shared" si="20"/>
        <v>18.347005183491845</v>
      </c>
      <c r="R210" s="67" cm="1">
        <f t="array" ref="R210">SUMPRODUCT((J210=$J$7:$J$1000)*(P210&lt;$P$7:$P$1000))+1</f>
        <v>11</v>
      </c>
      <c r="S210" s="72"/>
      <c r="T210">
        <v>16</v>
      </c>
      <c r="U210" t="str">
        <v>CHI</v>
      </c>
      <c r="V210" t="str">
        <v>Mason Flesch</v>
      </c>
      <c r="W210" t="str">
        <v>NULL</v>
      </c>
      <c r="X210" t="str">
        <v>Home</v>
      </c>
      <c r="Y210" t="str">
        <v>NOLA</v>
      </c>
      <c r="Z210">
        <v>9.9850251495216877</v>
      </c>
    </row>
    <row r="211" spans="10:26" x14ac:dyDescent="0.35">
      <c r="J211" s="66">
        <v>8</v>
      </c>
      <c r="K211" t="s">
        <v>24</v>
      </c>
      <c r="L211" t="s">
        <v>199</v>
      </c>
      <c r="M211">
        <v>13.7</v>
      </c>
      <c r="N211" t="s">
        <v>9</v>
      </c>
      <c r="O211" t="s">
        <v>23</v>
      </c>
      <c r="P211">
        <f t="shared" si="19"/>
        <v>7.4109858986318518</v>
      </c>
      <c r="Q211">
        <f t="shared" si="20"/>
        <v>39.551698367207408</v>
      </c>
      <c r="R211" s="67" cm="1">
        <f t="array" ref="R211">SUMPRODUCT((J211=$J$7:$J$1000)*(P211&lt;$P$7:$P$1000))+1</f>
        <v>19</v>
      </c>
      <c r="S211" s="72"/>
      <c r="T211">
        <v>16</v>
      </c>
      <c r="U211" t="str">
        <v>CHI</v>
      </c>
      <c r="V211" t="str">
        <v>Matt Oworu</v>
      </c>
      <c r="W211" t="str">
        <v>NULL</v>
      </c>
      <c r="X211" t="str">
        <v>Home</v>
      </c>
      <c r="Y211" t="str">
        <v>NOLA</v>
      </c>
      <c r="Z211">
        <v>7.4169185419630681</v>
      </c>
    </row>
    <row r="212" spans="10:26" x14ac:dyDescent="0.35">
      <c r="J212" s="66">
        <v>8</v>
      </c>
      <c r="K212" t="s">
        <v>6</v>
      </c>
      <c r="L212" t="s">
        <v>432</v>
      </c>
      <c r="M212">
        <v>11.9</v>
      </c>
      <c r="N212" t="s">
        <v>9</v>
      </c>
      <c r="O212" t="s">
        <v>36</v>
      </c>
      <c r="P212">
        <f t="shared" si="19"/>
        <v>11.030398749114012</v>
      </c>
      <c r="Q212">
        <f t="shared" si="20"/>
        <v>0.75620633554247629</v>
      </c>
      <c r="R212" s="67" cm="1">
        <f t="array" ref="R212">SUMPRODUCT((J212=$J$7:$J$1000)*(P212&lt;$P$7:$P$1000))+1</f>
        <v>5</v>
      </c>
      <c r="S212" s="72"/>
      <c r="T212">
        <v>16</v>
      </c>
      <c r="U212" t="str">
        <v>LA</v>
      </c>
      <c r="V212" t="str">
        <v>Ben Houston</v>
      </c>
      <c r="W212" t="str">
        <v>NULL</v>
      </c>
      <c r="X212" t="str">
        <v>Away</v>
      </c>
      <c r="Y212" t="str">
        <v>OGDC</v>
      </c>
      <c r="Z212">
        <v>10.661904447925771</v>
      </c>
    </row>
    <row r="213" spans="10:26" x14ac:dyDescent="0.35">
      <c r="J213" s="66">
        <v>8</v>
      </c>
      <c r="K213" t="s">
        <v>17</v>
      </c>
      <c r="L213" t="s">
        <v>222</v>
      </c>
      <c r="M213">
        <v>10.199999999999999</v>
      </c>
      <c r="N213" t="s">
        <v>9</v>
      </c>
      <c r="O213" t="s">
        <v>7</v>
      </c>
      <c r="P213">
        <f t="shared" si="19"/>
        <v>8.7147201211066161</v>
      </c>
      <c r="Q213">
        <f t="shared" si="20"/>
        <v>2.2060563186455431</v>
      </c>
      <c r="R213" s="67" cm="1">
        <f t="array" ref="R213">SUMPRODUCT((J213=$J$7:$J$1000)*(P213&lt;$P$7:$P$1000))+1</f>
        <v>15</v>
      </c>
      <c r="S213" s="72"/>
      <c r="T213">
        <v>16</v>
      </c>
      <c r="U213" t="str">
        <v>LA</v>
      </c>
      <c r="V213" t="str">
        <v>Ed Timpson</v>
      </c>
      <c r="W213" t="str">
        <v>NULL</v>
      </c>
      <c r="X213" t="str">
        <v>Away</v>
      </c>
      <c r="Y213" t="str">
        <v>OGDC</v>
      </c>
      <c r="Z213">
        <v>10.665281876359769</v>
      </c>
    </row>
    <row r="214" spans="10:26" x14ac:dyDescent="0.35">
      <c r="J214" s="66">
        <v>8</v>
      </c>
      <c r="K214" t="s">
        <v>2</v>
      </c>
      <c r="L214" t="s">
        <v>115</v>
      </c>
      <c r="M214">
        <v>10</v>
      </c>
      <c r="N214" t="s">
        <v>9</v>
      </c>
      <c r="O214" t="s">
        <v>34</v>
      </c>
      <c r="P214">
        <f t="shared" si="19"/>
        <v>10.578247032611168</v>
      </c>
      <c r="Q214">
        <f t="shared" si="20"/>
        <v>0.33436963072362136</v>
      </c>
      <c r="R214" s="67" cm="1">
        <f t="array" ref="R214">SUMPRODUCT((J214=$J$7:$J$1000)*(P214&lt;$P$7:$P$1000))+1</f>
        <v>8</v>
      </c>
      <c r="S214" s="72"/>
      <c r="T214">
        <v>16</v>
      </c>
      <c r="U214" t="str">
        <v>LA</v>
      </c>
      <c r="V214" t="str">
        <v>Jason Damm</v>
      </c>
      <c r="W214" t="str">
        <v>NULL</v>
      </c>
      <c r="X214" t="str">
        <v>Away</v>
      </c>
      <c r="Y214" t="str">
        <v>OGDC</v>
      </c>
      <c r="Z214">
        <v>5.8286455214845816</v>
      </c>
    </row>
    <row r="215" spans="10:26" x14ac:dyDescent="0.35">
      <c r="J215" s="66">
        <v>8</v>
      </c>
      <c r="K215" t="s">
        <v>14</v>
      </c>
      <c r="L215" t="s">
        <v>548</v>
      </c>
      <c r="M215">
        <v>9.6999999999999993</v>
      </c>
      <c r="N215" t="s">
        <v>3</v>
      </c>
      <c r="O215" t="s">
        <v>4</v>
      </c>
      <c r="P215">
        <f t="shared" si="19"/>
        <v>5.5570358535446429</v>
      </c>
      <c r="Q215">
        <f t="shared" si="20"/>
        <v>17.164151918814561</v>
      </c>
      <c r="R215" s="67" cm="1">
        <f t="array" ref="R215">SUMPRODUCT((J215=$J$7:$J$1000)*(P215&lt;$P$7:$P$1000))+1</f>
        <v>27</v>
      </c>
      <c r="S215" s="72"/>
      <c r="T215">
        <v>16</v>
      </c>
      <c r="U215" t="str">
        <v>LA</v>
      </c>
      <c r="V215" t="str">
        <v>Matt Heaton</v>
      </c>
      <c r="W215" t="str">
        <v>NULL</v>
      </c>
      <c r="X215" t="str">
        <v>Away</v>
      </c>
      <c r="Y215" t="str">
        <v>OGDC</v>
      </c>
      <c r="Z215">
        <v>5.6629475636157993</v>
      </c>
    </row>
    <row r="216" spans="10:26" x14ac:dyDescent="0.35">
      <c r="J216" s="66">
        <v>8</v>
      </c>
      <c r="K216" t="s">
        <v>23</v>
      </c>
      <c r="L216" t="s">
        <v>428</v>
      </c>
      <c r="M216">
        <v>9.5</v>
      </c>
      <c r="N216" t="s">
        <v>3</v>
      </c>
      <c r="O216" t="s">
        <v>24</v>
      </c>
      <c r="P216">
        <f t="shared" si="19"/>
        <v>8.779360075733905</v>
      </c>
      <c r="Q216">
        <f t="shared" si="20"/>
        <v>0.51932190044624316</v>
      </c>
      <c r="R216" s="67" cm="1">
        <f t="array" ref="R216">SUMPRODUCT((J216=$J$7:$J$1000)*(P216&lt;$P$7:$P$1000))+1</f>
        <v>14</v>
      </c>
      <c r="S216" s="72"/>
      <c r="T216">
        <v>16</v>
      </c>
      <c r="U216" t="str">
        <v>LA</v>
      </c>
      <c r="V216" t="str">
        <v>Semi Kunitani</v>
      </c>
      <c r="W216" t="str">
        <v>NULL</v>
      </c>
      <c r="X216" t="str">
        <v>Away</v>
      </c>
      <c r="Y216" t="str">
        <v>OGDC</v>
      </c>
      <c r="Z216">
        <v>10.446318494273571</v>
      </c>
    </row>
    <row r="217" spans="10:26" x14ac:dyDescent="0.35">
      <c r="J217" s="66">
        <v>8</v>
      </c>
      <c r="K217" t="s">
        <v>4</v>
      </c>
      <c r="L217" t="s">
        <v>434</v>
      </c>
      <c r="M217">
        <v>9.5</v>
      </c>
      <c r="N217" t="s">
        <v>9</v>
      </c>
      <c r="O217" t="s">
        <v>14</v>
      </c>
      <c r="P217">
        <f t="shared" si="19"/>
        <v>7.4481186811141731</v>
      </c>
      <c r="Q217">
        <f t="shared" si="20"/>
        <v>4.2102169467926407</v>
      </c>
      <c r="R217" s="67" cm="1">
        <f t="array" ref="R217">SUMPRODUCT((J217=$J$7:$J$1000)*(P217&lt;$P$7:$P$1000))+1</f>
        <v>18</v>
      </c>
      <c r="S217" s="72"/>
      <c r="T217">
        <v>16</v>
      </c>
      <c r="U217" t="str">
        <v>LA</v>
      </c>
      <c r="V217" t="str">
        <v>Tim Anstee</v>
      </c>
      <c r="W217" t="str">
        <v>NULL</v>
      </c>
      <c r="X217" t="str">
        <v>Away</v>
      </c>
      <c r="Y217" t="str">
        <v>OGDC</v>
      </c>
      <c r="Z217">
        <v>3.999112042913926</v>
      </c>
    </row>
    <row r="218" spans="10:26" x14ac:dyDescent="0.35">
      <c r="J218" s="66">
        <v>8</v>
      </c>
      <c r="K218" t="s">
        <v>4</v>
      </c>
      <c r="L218" t="s">
        <v>209</v>
      </c>
      <c r="M218">
        <v>9.3000000000000007</v>
      </c>
      <c r="N218" t="s">
        <v>9</v>
      </c>
      <c r="O218" t="s">
        <v>14</v>
      </c>
      <c r="P218">
        <f t="shared" si="19"/>
        <v>14.53141968733433</v>
      </c>
      <c r="Q218">
        <f t="shared" si="20"/>
        <v>27.367751945029205</v>
      </c>
      <c r="R218" s="67" cm="1">
        <f t="array" ref="R218">SUMPRODUCT((J218=$J$7:$J$1000)*(P218&lt;$P$7:$P$1000))+1</f>
        <v>1</v>
      </c>
      <c r="S218" s="72"/>
      <c r="T218">
        <v>16</v>
      </c>
      <c r="U218" t="str">
        <v>MIA</v>
      </c>
      <c r="V218" t="str">
        <v>Benjamin Bonasso</v>
      </c>
      <c r="W218" t="str">
        <v>NULL</v>
      </c>
      <c r="X218" t="str">
        <v>Home</v>
      </c>
      <c r="Y218" t="str">
        <v>SDL</v>
      </c>
      <c r="Z218">
        <v>9.3325626580023577</v>
      </c>
    </row>
    <row r="219" spans="10:26" x14ac:dyDescent="0.35">
      <c r="J219" s="66">
        <v>8</v>
      </c>
      <c r="K219" t="s">
        <v>2</v>
      </c>
      <c r="L219" t="s">
        <v>213</v>
      </c>
      <c r="M219">
        <v>9</v>
      </c>
      <c r="N219" t="s">
        <v>9</v>
      </c>
      <c r="O219" t="s">
        <v>34</v>
      </c>
      <c r="P219">
        <f t="shared" si="19"/>
        <v>10.936044630817028</v>
      </c>
      <c r="Q219">
        <f t="shared" si="20"/>
        <v>3.7482688125154415</v>
      </c>
      <c r="R219" s="67" cm="1">
        <f t="array" ref="R219">SUMPRODUCT((J219=$J$7:$J$1000)*(P219&lt;$P$7:$P$1000))+1</f>
        <v>6</v>
      </c>
      <c r="S219" s="72"/>
      <c r="T219">
        <v>16</v>
      </c>
      <c r="U219" t="str">
        <v>MIA</v>
      </c>
      <c r="V219" t="str">
        <v>Manuel Ardao</v>
      </c>
      <c r="W219" t="str">
        <v>NULL</v>
      </c>
      <c r="X219" t="str">
        <v>Home</v>
      </c>
      <c r="Y219" t="str">
        <v>SDL</v>
      </c>
      <c r="Z219">
        <v>12.667548940276335</v>
      </c>
    </row>
    <row r="220" spans="10:26" x14ac:dyDescent="0.35">
      <c r="J220" s="66">
        <v>8</v>
      </c>
      <c r="K220" t="s">
        <v>34</v>
      </c>
      <c r="L220" t="s">
        <v>429</v>
      </c>
      <c r="M220">
        <v>9</v>
      </c>
      <c r="N220" t="s">
        <v>3</v>
      </c>
      <c r="O220" t="s">
        <v>2</v>
      </c>
      <c r="P220">
        <f t="shared" si="19"/>
        <v>10.267438901784359</v>
      </c>
      <c r="Q220">
        <f t="shared" si="20"/>
        <v>1.6064013697563433</v>
      </c>
      <c r="R220" s="67" cm="1">
        <f t="array" ref="R220">SUMPRODUCT((J220=$J$7:$J$1000)*(P220&lt;$P$7:$P$1000))+1</f>
        <v>9</v>
      </c>
      <c r="S220" s="72"/>
      <c r="T220">
        <v>16</v>
      </c>
      <c r="U220" t="str">
        <v>MIA</v>
      </c>
      <c r="V220" t="str">
        <v>Marques Fuala'au</v>
      </c>
      <c r="W220" t="str">
        <v>NULL</v>
      </c>
      <c r="X220" t="str">
        <v>Home</v>
      </c>
      <c r="Y220" t="str">
        <v>SDL</v>
      </c>
      <c r="Z220">
        <v>4.3941334782632113</v>
      </c>
    </row>
    <row r="221" spans="10:26" x14ac:dyDescent="0.35">
      <c r="J221" s="66">
        <v>8</v>
      </c>
      <c r="K221" t="s">
        <v>4</v>
      </c>
      <c r="L221" t="s">
        <v>539</v>
      </c>
      <c r="M221">
        <v>8.6</v>
      </c>
      <c r="N221" t="s">
        <v>9</v>
      </c>
      <c r="O221" t="s">
        <v>14</v>
      </c>
      <c r="P221">
        <f t="shared" si="19"/>
        <v>9.9364799019556429</v>
      </c>
      <c r="Q221">
        <f t="shared" si="20"/>
        <v>1.7861785283313658</v>
      </c>
      <c r="R221" s="67" cm="1">
        <f t="array" ref="R221">SUMPRODUCT((J221=$J$7:$J$1000)*(P221&lt;$P$7:$P$1000))+1</f>
        <v>10</v>
      </c>
      <c r="S221" s="72"/>
      <c r="T221">
        <v>16</v>
      </c>
      <c r="U221" t="str">
        <v>MIA</v>
      </c>
      <c r="V221" t="str">
        <v>Ronan Foley</v>
      </c>
      <c r="W221" t="str">
        <v>NULL</v>
      </c>
      <c r="X221" t="str">
        <v>Home</v>
      </c>
      <c r="Y221" t="str">
        <v>SDL</v>
      </c>
      <c r="Z221">
        <v>6.0664402882651318</v>
      </c>
    </row>
    <row r="222" spans="10:26" x14ac:dyDescent="0.35">
      <c r="J222" s="66">
        <v>8</v>
      </c>
      <c r="K222" t="s">
        <v>6</v>
      </c>
      <c r="L222" t="s">
        <v>219</v>
      </c>
      <c r="M222">
        <v>8.3000000000000007</v>
      </c>
      <c r="N222" t="s">
        <v>9</v>
      </c>
      <c r="O222" t="s">
        <v>36</v>
      </c>
      <c r="P222">
        <f t="shared" si="19"/>
        <v>6.0314418648040409</v>
      </c>
      <c r="Q222">
        <f t="shared" si="20"/>
        <v>5.1463560127637704</v>
      </c>
      <c r="R222" s="67" cm="1">
        <f t="array" ref="R222">SUMPRODUCT((J222=$J$7:$J$1000)*(P222&lt;$P$7:$P$1000))+1</f>
        <v>24</v>
      </c>
      <c r="S222" s="72"/>
      <c r="T222">
        <v>16</v>
      </c>
      <c r="U222" t="str">
        <v>MIA</v>
      </c>
      <c r="V222" t="str">
        <v>Tomas Bekerman</v>
      </c>
      <c r="W222" t="str">
        <v>NULL</v>
      </c>
      <c r="X222" t="str">
        <v>Home</v>
      </c>
      <c r="Y222" t="str">
        <v>SDL</v>
      </c>
      <c r="Z222">
        <v>2.5930477659266686</v>
      </c>
    </row>
    <row r="223" spans="10:26" x14ac:dyDescent="0.35">
      <c r="J223" s="66">
        <v>8</v>
      </c>
      <c r="K223" t="s">
        <v>36</v>
      </c>
      <c r="L223" t="s">
        <v>225</v>
      </c>
      <c r="M223">
        <v>7.5</v>
      </c>
      <c r="N223" t="s">
        <v>3</v>
      </c>
      <c r="O223" t="s">
        <v>6</v>
      </c>
      <c r="P223">
        <f t="shared" si="19"/>
        <v>11.417749741481925</v>
      </c>
      <c r="Q223">
        <f t="shared" si="20"/>
        <v>15.348763036881692</v>
      </c>
      <c r="R223" s="67" cm="1">
        <f t="array" ref="R223">SUMPRODUCT((J223=$J$7:$J$1000)*(P223&lt;$P$7:$P$1000))+1</f>
        <v>3</v>
      </c>
      <c r="S223" s="72"/>
      <c r="T223">
        <v>16</v>
      </c>
      <c r="U223" t="str">
        <v>MIA</v>
      </c>
      <c r="V223" t="str">
        <v>Tomás Casares</v>
      </c>
      <c r="W223" t="str">
        <v>NULL</v>
      </c>
      <c r="X223" t="str">
        <v>Home</v>
      </c>
      <c r="Y223" t="str">
        <v>SDL</v>
      </c>
      <c r="Z223">
        <v>4.4928604026810985</v>
      </c>
    </row>
    <row r="224" spans="10:26" x14ac:dyDescent="0.35">
      <c r="J224" s="66">
        <v>8</v>
      </c>
      <c r="K224" t="s">
        <v>17</v>
      </c>
      <c r="L224" t="s">
        <v>631</v>
      </c>
      <c r="M224">
        <v>7</v>
      </c>
      <c r="N224" t="s">
        <v>9</v>
      </c>
      <c r="O224" t="s">
        <v>7</v>
      </c>
      <c r="P224">
        <f t="shared" si="19"/>
        <v>7.0457705505415404</v>
      </c>
      <c r="Q224">
        <f t="shared" si="20"/>
        <v>2.0949432968757082E-3</v>
      </c>
      <c r="R224" s="67" cm="1">
        <f t="array" ref="R224">SUMPRODUCT((J224=$J$7:$J$1000)*(P224&lt;$P$7:$P$1000))+1</f>
        <v>21</v>
      </c>
      <c r="S224" s="72"/>
      <c r="T224">
        <v>16</v>
      </c>
      <c r="U224" t="str">
        <v>NEFJ</v>
      </c>
      <c r="V224" t="str">
        <v>Jed Melvin</v>
      </c>
      <c r="W224" t="str">
        <v>NULL</v>
      </c>
      <c r="X224" t="str">
        <v>Home</v>
      </c>
      <c r="Y224" t="str">
        <v>SEA</v>
      </c>
      <c r="Z224">
        <v>11.976696028661104</v>
      </c>
    </row>
    <row r="225" spans="10:26" x14ac:dyDescent="0.35">
      <c r="J225" s="66">
        <v>8</v>
      </c>
      <c r="K225" t="s">
        <v>34</v>
      </c>
      <c r="L225" t="s">
        <v>436</v>
      </c>
      <c r="M225">
        <v>6.8</v>
      </c>
      <c r="N225" t="s">
        <v>3</v>
      </c>
      <c r="O225" t="s">
        <v>2</v>
      </c>
      <c r="P225">
        <f t="shared" si="19"/>
        <v>7.366806496984398</v>
      </c>
      <c r="Q225">
        <f t="shared" si="20"/>
        <v>0.32126960502372465</v>
      </c>
      <c r="R225" s="67" cm="1">
        <f t="array" ref="R225">SUMPRODUCT((J225=$J$7:$J$1000)*(P225&lt;$P$7:$P$1000))+1</f>
        <v>20</v>
      </c>
      <c r="S225" s="72"/>
      <c r="T225">
        <v>16</v>
      </c>
      <c r="U225" t="str">
        <v>NEFJ</v>
      </c>
      <c r="V225" t="str">
        <v>Jero Gomez Vara</v>
      </c>
      <c r="W225" t="str">
        <v>NULL</v>
      </c>
      <c r="X225" t="str">
        <v>Home</v>
      </c>
      <c r="Y225" t="str">
        <v>SEA</v>
      </c>
      <c r="Z225">
        <v>7.3156291951609109</v>
      </c>
    </row>
    <row r="226" spans="10:26" x14ac:dyDescent="0.35">
      <c r="J226" s="66">
        <v>8</v>
      </c>
      <c r="K226" t="s">
        <v>7</v>
      </c>
      <c r="L226" t="s">
        <v>211</v>
      </c>
      <c r="M226">
        <v>6.7</v>
      </c>
      <c r="N226" t="s">
        <v>3</v>
      </c>
      <c r="O226" t="s">
        <v>17</v>
      </c>
      <c r="P226">
        <f t="shared" si="19"/>
        <v>6.0001351232296569</v>
      </c>
      <c r="Q226">
        <f t="shared" si="20"/>
        <v>0.48981084573676775</v>
      </c>
      <c r="R226" s="67" cm="1">
        <f t="array" ref="R226">SUMPRODUCT((J226=$J$7:$J$1000)*(P226&lt;$P$7:$P$1000))+1</f>
        <v>25</v>
      </c>
      <c r="S226" s="72"/>
      <c r="T226">
        <v>16</v>
      </c>
      <c r="U226" t="str">
        <v>NEFJ</v>
      </c>
      <c r="V226" t="str">
        <v>Joe Johnston</v>
      </c>
      <c r="W226" t="str">
        <v>NULL</v>
      </c>
      <c r="X226" t="str">
        <v>Home</v>
      </c>
      <c r="Y226" t="str">
        <v>SEA</v>
      </c>
      <c r="Z226">
        <v>9.5262937347638417</v>
      </c>
    </row>
    <row r="227" spans="10:26" x14ac:dyDescent="0.35">
      <c r="J227" s="66">
        <v>8</v>
      </c>
      <c r="K227" t="s">
        <v>6</v>
      </c>
      <c r="L227" t="s">
        <v>208</v>
      </c>
      <c r="M227">
        <v>6.2</v>
      </c>
      <c r="N227" t="s">
        <v>9</v>
      </c>
      <c r="O227" t="s">
        <v>36</v>
      </c>
      <c r="P227">
        <f t="shared" si="19"/>
        <v>6.1971398226728232</v>
      </c>
      <c r="Q227">
        <f t="shared" si="20"/>
        <v>8.1806143428975218E-6</v>
      </c>
      <c r="R227" s="67" cm="1">
        <f t="array" ref="R227">SUMPRODUCT((J227=$J$7:$J$1000)*(P227&lt;$P$7:$P$1000))+1</f>
        <v>23</v>
      </c>
      <c r="S227" s="72"/>
      <c r="T227">
        <v>16</v>
      </c>
      <c r="U227" t="str">
        <v>NEFJ</v>
      </c>
      <c r="V227" t="str">
        <v>Wian Conradie</v>
      </c>
      <c r="W227" t="str">
        <v>NULL</v>
      </c>
      <c r="X227" t="str">
        <v>Home</v>
      </c>
      <c r="Y227" t="str">
        <v>SEA</v>
      </c>
      <c r="Z227">
        <v>8.8713220943420321</v>
      </c>
    </row>
    <row r="228" spans="10:26" x14ac:dyDescent="0.35">
      <c r="J228" s="66">
        <v>8</v>
      </c>
      <c r="K228" t="s">
        <v>36</v>
      </c>
      <c r="L228" t="s">
        <v>216</v>
      </c>
      <c r="M228">
        <v>5.9</v>
      </c>
      <c r="N228" t="s">
        <v>3</v>
      </c>
      <c r="O228" t="s">
        <v>6</v>
      </c>
      <c r="P228">
        <f t="shared" si="19"/>
        <v>4.460639700485852</v>
      </c>
      <c r="Q228">
        <f t="shared" si="20"/>
        <v>2.0717580718174586</v>
      </c>
      <c r="R228" s="67" cm="1">
        <f t="array" ref="R228">SUMPRODUCT((J228=$J$7:$J$1000)*(P228&lt;$P$7:$P$1000))+1</f>
        <v>28</v>
      </c>
      <c r="S228" s="72"/>
      <c r="T228">
        <v>16</v>
      </c>
      <c r="U228" t="str">
        <v>NOLA</v>
      </c>
      <c r="V228" t="str">
        <v>Aidan King</v>
      </c>
      <c r="W228" t="str">
        <v>NULL</v>
      </c>
      <c r="X228" t="str">
        <v>Away</v>
      </c>
      <c r="Y228" t="str">
        <v>CHI</v>
      </c>
      <c r="Z228">
        <v>9.686492433138854</v>
      </c>
    </row>
    <row r="229" spans="10:26" x14ac:dyDescent="0.35">
      <c r="J229" s="66">
        <v>8</v>
      </c>
      <c r="K229" t="s">
        <v>14</v>
      </c>
      <c r="L229" t="s">
        <v>396</v>
      </c>
      <c r="M229">
        <v>5.4</v>
      </c>
      <c r="N229" t="s">
        <v>3</v>
      </c>
      <c r="O229" t="s">
        <v>4</v>
      </c>
      <c r="P229">
        <f t="shared" si="19"/>
        <v>8.8159381920804414</v>
      </c>
      <c r="Q229">
        <f t="shared" si="20"/>
        <v>11.668633732113792</v>
      </c>
      <c r="R229" s="67" cm="1">
        <f t="array" ref="R229">SUMPRODUCT((J229=$J$7:$J$1000)*(P229&lt;$P$7:$P$1000))+1</f>
        <v>13</v>
      </c>
      <c r="S229" s="72"/>
      <c r="T229">
        <v>16</v>
      </c>
      <c r="U229" t="str">
        <v>NOLA</v>
      </c>
      <c r="V229" t="str">
        <v>Cian Darling</v>
      </c>
      <c r="W229" t="str">
        <v>NULL</v>
      </c>
      <c r="X229" t="str">
        <v>Away</v>
      </c>
      <c r="Y229" t="str">
        <v>CHI</v>
      </c>
      <c r="Z229">
        <v>7.2669325127312527</v>
      </c>
    </row>
    <row r="230" spans="10:26" x14ac:dyDescent="0.35">
      <c r="J230" s="66">
        <v>8</v>
      </c>
      <c r="K230" t="s">
        <v>17</v>
      </c>
      <c r="L230" t="s">
        <v>427</v>
      </c>
      <c r="M230">
        <v>5.4</v>
      </c>
      <c r="N230" t="s">
        <v>9</v>
      </c>
      <c r="O230" t="s">
        <v>7</v>
      </c>
      <c r="P230">
        <f t="shared" si="19"/>
        <v>5.7448500266136531</v>
      </c>
      <c r="Q230">
        <f t="shared" si="20"/>
        <v>0.11892154085543699</v>
      </c>
      <c r="R230" s="67" cm="1">
        <f t="array" ref="R230">SUMPRODUCT((J230=$J$7:$J$1000)*(P230&lt;$P$7:$P$1000))+1</f>
        <v>26</v>
      </c>
      <c r="S230" s="72"/>
      <c r="T230">
        <v>16</v>
      </c>
      <c r="U230" t="str">
        <v>NOLA</v>
      </c>
      <c r="V230" t="str">
        <v>Jonah Mau'u</v>
      </c>
      <c r="W230" t="str">
        <v>NULL</v>
      </c>
      <c r="X230" t="str">
        <v>Away</v>
      </c>
      <c r="Y230" t="str">
        <v>CHI</v>
      </c>
      <c r="Z230">
        <v>14.281432218517541</v>
      </c>
    </row>
    <row r="231" spans="10:26" x14ac:dyDescent="0.35">
      <c r="J231" s="66">
        <v>8</v>
      </c>
      <c r="K231" t="s">
        <v>7</v>
      </c>
      <c r="L231" t="s">
        <v>202</v>
      </c>
      <c r="M231">
        <v>5.2</v>
      </c>
      <c r="N231" t="s">
        <v>3</v>
      </c>
      <c r="O231" t="s">
        <v>17</v>
      </c>
      <c r="P231">
        <f t="shared" si="19"/>
        <v>8.0023983070754419</v>
      </c>
      <c r="Q231">
        <f t="shared" si="20"/>
        <v>7.8534362714993016</v>
      </c>
      <c r="R231" s="67" cm="1">
        <f t="array" ref="R231">SUMPRODUCT((J231=$J$7:$J$1000)*(P231&lt;$P$7:$P$1000))+1</f>
        <v>17</v>
      </c>
      <c r="S231" s="72"/>
      <c r="T231">
        <v>16</v>
      </c>
      <c r="U231" t="str">
        <v>NOLA</v>
      </c>
      <c r="V231" t="str">
        <v>Kellen Galletier</v>
      </c>
      <c r="W231" t="str">
        <v>NULL</v>
      </c>
      <c r="X231" t="str">
        <v>Away</v>
      </c>
      <c r="Y231" t="str">
        <v>CHI</v>
      </c>
      <c r="Z231">
        <v>5.4596523930025693</v>
      </c>
    </row>
    <row r="232" spans="10:26" x14ac:dyDescent="0.35">
      <c r="J232" s="66">
        <v>8</v>
      </c>
      <c r="K232" t="s">
        <v>24</v>
      </c>
      <c r="L232" t="s">
        <v>223</v>
      </c>
      <c r="M232">
        <v>2.2999999999999998</v>
      </c>
      <c r="N232" t="s">
        <v>9</v>
      </c>
      <c r="O232" t="s">
        <v>23</v>
      </c>
      <c r="P232">
        <f t="shared" si="19"/>
        <v>4.1448635288946276</v>
      </c>
      <c r="Q232">
        <f t="shared" si="20"/>
        <v>3.4035214402455392</v>
      </c>
      <c r="R232" s="67" cm="1">
        <f t="array" ref="R232">SUMPRODUCT((J232=$J$7:$J$1000)*(P232&lt;$P$7:$P$1000))+1</f>
        <v>30</v>
      </c>
      <c r="S232" s="72"/>
      <c r="T232">
        <v>16</v>
      </c>
      <c r="U232" t="str">
        <v>NOLA</v>
      </c>
      <c r="V232" t="str">
        <v>Malcolm May</v>
      </c>
      <c r="W232" t="str">
        <v>NULL</v>
      </c>
      <c r="X232" t="str">
        <v>Away</v>
      </c>
      <c r="Y232" t="str">
        <v>CHI</v>
      </c>
      <c r="Z232">
        <v>5.9722013945460883</v>
      </c>
    </row>
    <row r="233" spans="10:26" x14ac:dyDescent="0.35">
      <c r="J233" s="66">
        <v>8</v>
      </c>
      <c r="K233" t="s">
        <v>14</v>
      </c>
      <c r="L233" t="s">
        <v>203</v>
      </c>
      <c r="M233">
        <v>1.2</v>
      </c>
      <c r="N233" t="s">
        <v>3</v>
      </c>
      <c r="O233" t="s">
        <v>4</v>
      </c>
      <c r="P233">
        <f t="shared" si="19"/>
        <v>4.3681926130642257</v>
      </c>
      <c r="Q233">
        <f t="shared" si="20"/>
        <v>10.037444433474725</v>
      </c>
      <c r="R233" s="67" cm="1">
        <f t="array" ref="R233">SUMPRODUCT((J233=$J$7:$J$1000)*(P233&lt;$P$7:$P$1000))+1</f>
        <v>29</v>
      </c>
      <c r="S233" s="72"/>
      <c r="T233">
        <v>16</v>
      </c>
      <c r="U233" t="str">
        <v>NOLA</v>
      </c>
      <c r="V233" t="str">
        <v>Osaiasi Tonga'uiha</v>
      </c>
      <c r="W233" t="str">
        <v>NULL</v>
      </c>
      <c r="X233" t="str">
        <v>Away</v>
      </c>
      <c r="Y233" t="str">
        <v>CHI</v>
      </c>
      <c r="Z233">
        <v>5.8609239373924806</v>
      </c>
    </row>
    <row r="234" spans="10:26" x14ac:dyDescent="0.35">
      <c r="J234" s="66">
        <v>8</v>
      </c>
      <c r="K234" t="s">
        <v>36</v>
      </c>
      <c r="L234" t="s">
        <v>205</v>
      </c>
      <c r="M234">
        <v>-1.6</v>
      </c>
      <c r="N234" t="s">
        <v>3</v>
      </c>
      <c r="O234" t="s">
        <v>6</v>
      </c>
      <c r="P234">
        <f t="shared" si="19"/>
        <v>6.7353655422382426</v>
      </c>
      <c r="Q234">
        <f t="shared" si="20"/>
        <v>69.478318722732638</v>
      </c>
      <c r="R234" s="67" cm="1">
        <f t="array" ref="R234">SUMPRODUCT((J234=$J$7:$J$1000)*(P234&lt;$P$7:$P$1000))+1</f>
        <v>22</v>
      </c>
      <c r="S234" s="72"/>
      <c r="T234">
        <v>16</v>
      </c>
      <c r="U234" t="str">
        <v>NOLA</v>
      </c>
      <c r="V234" t="str">
        <v>Tesimoni Tonga'uiha</v>
      </c>
      <c r="W234" t="str">
        <v>NULL</v>
      </c>
      <c r="X234" t="str">
        <v>Away</v>
      </c>
      <c r="Y234" t="str">
        <v>CHI</v>
      </c>
      <c r="Z234">
        <v>7.1981312122973833</v>
      </c>
    </row>
    <row r="235" spans="10:26" x14ac:dyDescent="0.35">
      <c r="J235" s="66">
        <v>9</v>
      </c>
      <c r="K235" t="s">
        <v>2</v>
      </c>
      <c r="L235" t="s">
        <v>115</v>
      </c>
      <c r="M235">
        <v>20.399999999999999</v>
      </c>
      <c r="N235" t="s">
        <v>3</v>
      </c>
      <c r="O235" t="s">
        <v>14</v>
      </c>
      <c r="P235">
        <f t="shared" si="19"/>
        <v>10.089365830561386</v>
      </c>
      <c r="Q235">
        <f t="shared" ref="Q235:Q298" si="21">IFERROR(($M235-$P235)^2,"")</f>
        <v>106.30917697599507</v>
      </c>
      <c r="R235" s="67" cm="1">
        <f t="array" ref="R235">SUMPRODUCT((J235=$J$7:$J$1000)*(P235&lt;$P$7:$P$1000))+1</f>
        <v>6</v>
      </c>
      <c r="S235" s="72"/>
      <c r="T235">
        <v>16</v>
      </c>
      <c r="U235" t="str">
        <v>NOLA</v>
      </c>
      <c r="V235" t="str">
        <v>Tupou Ma'afu Afungia</v>
      </c>
      <c r="W235" t="str">
        <v>NULL</v>
      </c>
      <c r="X235" t="str">
        <v>Away</v>
      </c>
      <c r="Y235" t="str">
        <v>CHI</v>
      </c>
      <c r="Z235">
        <v>3.5818375948604126</v>
      </c>
    </row>
    <row r="236" spans="10:26" x14ac:dyDescent="0.35">
      <c r="J236" s="66">
        <v>9</v>
      </c>
      <c r="K236" t="s">
        <v>7</v>
      </c>
      <c r="L236" t="s">
        <v>201</v>
      </c>
      <c r="M236">
        <v>15.5</v>
      </c>
      <c r="N236" t="s">
        <v>9</v>
      </c>
      <c r="O236" t="s">
        <v>4</v>
      </c>
      <c r="P236">
        <f t="shared" si="19"/>
        <v>10.942901874086228</v>
      </c>
      <c r="Q236">
        <f t="shared" si="21"/>
        <v>20.76714332920681</v>
      </c>
      <c r="R236" s="67" cm="1">
        <f t="array" ref="R236">SUMPRODUCT((J236=$J$7:$J$1000)*(P236&lt;$P$7:$P$1000))+1</f>
        <v>4</v>
      </c>
      <c r="S236" s="72"/>
      <c r="T236">
        <v>16</v>
      </c>
      <c r="U236" t="str">
        <v>OGDC</v>
      </c>
      <c r="V236" t="str">
        <v>Collin Grosse</v>
      </c>
      <c r="W236" t="str">
        <v>NULL</v>
      </c>
      <c r="X236" t="str">
        <v>Home</v>
      </c>
      <c r="Y236" t="str">
        <v>LA</v>
      </c>
      <c r="Z236">
        <v>9.4236745960014119</v>
      </c>
    </row>
    <row r="237" spans="10:26" x14ac:dyDescent="0.35">
      <c r="J237" s="66">
        <v>9</v>
      </c>
      <c r="K237" t="s">
        <v>4</v>
      </c>
      <c r="L237" t="s">
        <v>209</v>
      </c>
      <c r="M237">
        <v>14.9</v>
      </c>
      <c r="N237" t="s">
        <v>3</v>
      </c>
      <c r="O237" t="s">
        <v>7</v>
      </c>
      <c r="P237">
        <f t="shared" si="19"/>
        <v>12.489793993625446</v>
      </c>
      <c r="Q237">
        <f t="shared" si="21"/>
        <v>5.8090929931639801</v>
      </c>
      <c r="R237" s="67" cm="1">
        <f t="array" ref="R237">SUMPRODUCT((J237=$J$7:$J$1000)*(P237&lt;$P$7:$P$1000))+1</f>
        <v>2</v>
      </c>
      <c r="S237" s="72"/>
      <c r="T237">
        <v>16</v>
      </c>
      <c r="U237" t="str">
        <v>OGDC</v>
      </c>
      <c r="V237" t="str">
        <v>Cory Daniel</v>
      </c>
      <c r="W237" t="str">
        <v>NULL</v>
      </c>
      <c r="X237" t="str">
        <v>Home</v>
      </c>
      <c r="Y237" t="str">
        <v>LA</v>
      </c>
      <c r="Z237">
        <v>7.6094133265654937</v>
      </c>
    </row>
    <row r="238" spans="10:26" x14ac:dyDescent="0.35">
      <c r="J238" s="66">
        <v>9</v>
      </c>
      <c r="K238" t="s">
        <v>36</v>
      </c>
      <c r="L238" t="s">
        <v>225</v>
      </c>
      <c r="M238">
        <v>14.3</v>
      </c>
      <c r="N238" t="s">
        <v>9</v>
      </c>
      <c r="O238" t="s">
        <v>24</v>
      </c>
      <c r="P238">
        <f t="shared" si="19"/>
        <v>11.663811188699057</v>
      </c>
      <c r="Q238">
        <f t="shared" si="21"/>
        <v>6.9494914488282813</v>
      </c>
      <c r="R238" s="67" cm="1">
        <f t="array" ref="R238">SUMPRODUCT((J238=$J$7:$J$1000)*(P238&lt;$P$7:$P$1000))+1</f>
        <v>3</v>
      </c>
      <c r="S238" s="72"/>
      <c r="T238">
        <v>16</v>
      </c>
      <c r="U238" t="str">
        <v>OGDC</v>
      </c>
      <c r="V238" t="str">
        <v>Jamason Fa'anana-Schultz</v>
      </c>
      <c r="W238" t="str">
        <v>NULL</v>
      </c>
      <c r="X238" t="str">
        <v>Home</v>
      </c>
      <c r="Y238" t="str">
        <v>LA</v>
      </c>
      <c r="Z238">
        <v>7.20089587542786</v>
      </c>
    </row>
    <row r="239" spans="10:26" x14ac:dyDescent="0.35">
      <c r="J239" s="66">
        <v>9</v>
      </c>
      <c r="K239" t="s">
        <v>6</v>
      </c>
      <c r="L239" t="s">
        <v>433</v>
      </c>
      <c r="M239">
        <v>13.1</v>
      </c>
      <c r="N239" t="s">
        <v>3</v>
      </c>
      <c r="O239" t="s">
        <v>13</v>
      </c>
      <c r="P239">
        <f t="shared" si="19"/>
        <v>9.4799708027258394</v>
      </c>
      <c r="Q239">
        <f t="shared" si="21"/>
        <v>13.104611389117402</v>
      </c>
      <c r="R239" s="67" cm="1">
        <f t="array" ref="R239">SUMPRODUCT((J239=$J$7:$J$1000)*(P239&lt;$P$7:$P$1000))+1</f>
        <v>9</v>
      </c>
      <c r="S239" s="72"/>
      <c r="T239">
        <v>16</v>
      </c>
      <c r="U239" t="str">
        <v>OGDC</v>
      </c>
      <c r="V239" t="str">
        <v>Lautaro Bavaro</v>
      </c>
      <c r="W239" t="str">
        <v>NULL</v>
      </c>
      <c r="X239" t="str">
        <v>Home</v>
      </c>
      <c r="Y239" t="str">
        <v>LA</v>
      </c>
      <c r="Z239">
        <v>5.6071501427197088</v>
      </c>
    </row>
    <row r="240" spans="10:26" x14ac:dyDescent="0.35">
      <c r="J240" s="66">
        <v>9</v>
      </c>
      <c r="K240" t="s">
        <v>36</v>
      </c>
      <c r="L240" t="s">
        <v>205</v>
      </c>
      <c r="M240">
        <v>10.3</v>
      </c>
      <c r="N240" t="s">
        <v>9</v>
      </c>
      <c r="O240" t="s">
        <v>24</v>
      </c>
      <c r="P240">
        <f t="shared" si="19"/>
        <v>6.981426989455378</v>
      </c>
      <c r="Q240">
        <f t="shared" si="21"/>
        <v>11.012926826315201</v>
      </c>
      <c r="R240" s="67" cm="1">
        <f t="array" ref="R240">SUMPRODUCT((J240=$J$7:$J$1000)*(P240&lt;$P$7:$P$1000))+1</f>
        <v>20</v>
      </c>
      <c r="S240" s="72"/>
      <c r="T240">
        <v>16</v>
      </c>
      <c r="U240" t="str">
        <v>OGDC</v>
      </c>
      <c r="V240" t="str">
        <v>Logan Weidner</v>
      </c>
      <c r="W240" t="str">
        <v>NULL</v>
      </c>
      <c r="X240" t="str">
        <v>Home</v>
      </c>
      <c r="Y240" t="str">
        <v>LA</v>
      </c>
      <c r="Z240">
        <v>6.5514275469082994</v>
      </c>
    </row>
    <row r="241" spans="10:26" x14ac:dyDescent="0.35">
      <c r="J241" s="66">
        <v>9</v>
      </c>
      <c r="K241" t="s">
        <v>24</v>
      </c>
      <c r="L241" t="s">
        <v>223</v>
      </c>
      <c r="M241">
        <v>10.1</v>
      </c>
      <c r="N241" t="s">
        <v>3</v>
      </c>
      <c r="O241" t="s">
        <v>36</v>
      </c>
      <c r="P241">
        <f t="shared" si="19"/>
        <v>5.1044479451689488</v>
      </c>
      <c r="Q241">
        <f t="shared" si="21"/>
        <v>24.955540332526734</v>
      </c>
      <c r="R241" s="67" cm="1">
        <f t="array" ref="R241">SUMPRODUCT((J241=$J$7:$J$1000)*(P241&lt;$P$7:$P$1000))+1</f>
        <v>25</v>
      </c>
      <c r="S241" s="72"/>
      <c r="T241">
        <v>16</v>
      </c>
      <c r="U241" t="str">
        <v>SDL</v>
      </c>
      <c r="V241" t="str">
        <v>Aminae Amiatu-Tanoi</v>
      </c>
      <c r="W241" t="str">
        <v>NULL</v>
      </c>
      <c r="X241" t="str">
        <v>Away</v>
      </c>
      <c r="Y241" t="str">
        <v>MIA</v>
      </c>
      <c r="Z241">
        <v>0.52935395645104344</v>
      </c>
    </row>
    <row r="242" spans="10:26" x14ac:dyDescent="0.35">
      <c r="J242" s="66">
        <v>9</v>
      </c>
      <c r="K242" t="s">
        <v>2</v>
      </c>
      <c r="L242" t="s">
        <v>212</v>
      </c>
      <c r="M242">
        <v>9.6</v>
      </c>
      <c r="N242" t="s">
        <v>3</v>
      </c>
      <c r="O242" t="s">
        <v>14</v>
      </c>
      <c r="P242">
        <f t="shared" si="19"/>
        <v>9.1275347565149776</v>
      </c>
      <c r="Q242">
        <f t="shared" si="21"/>
        <v>0.22322340630136117</v>
      </c>
      <c r="R242" s="67" cm="1">
        <f t="array" ref="R242">SUMPRODUCT((J242=$J$7:$J$1000)*(P242&lt;$P$7:$P$1000))+1</f>
        <v>15</v>
      </c>
      <c r="S242" s="72"/>
      <c r="T242">
        <v>16</v>
      </c>
      <c r="U242" t="str">
        <v>SDL</v>
      </c>
      <c r="V242" t="str">
        <v>Brad Wilkin</v>
      </c>
      <c r="W242" t="str">
        <v>NULL</v>
      </c>
      <c r="X242" t="str">
        <v>Away</v>
      </c>
      <c r="Y242" t="str">
        <v>MIA</v>
      </c>
      <c r="Z242">
        <v>9.7399299844308871</v>
      </c>
    </row>
    <row r="243" spans="10:26" x14ac:dyDescent="0.35">
      <c r="J243" s="66">
        <v>9</v>
      </c>
      <c r="K243" t="s">
        <v>13</v>
      </c>
      <c r="L243" t="s">
        <v>204</v>
      </c>
      <c r="M243">
        <v>9.5</v>
      </c>
      <c r="N243" t="s">
        <v>9</v>
      </c>
      <c r="O243" t="s">
        <v>6</v>
      </c>
      <c r="P243">
        <f t="shared" si="19"/>
        <v>9.3702709235436394</v>
      </c>
      <c r="Q243">
        <f t="shared" si="21"/>
        <v>1.6829633278220242E-2</v>
      </c>
      <c r="R243" s="67" cm="1">
        <f t="array" ref="R243">SUMPRODUCT((J243=$J$7:$J$1000)*(P243&lt;$P$7:$P$1000))+1</f>
        <v>12</v>
      </c>
      <c r="S243" s="72"/>
      <c r="T243">
        <v>16</v>
      </c>
      <c r="U243" t="str">
        <v>SDL</v>
      </c>
      <c r="V243" t="str">
        <v>Christian Poidevin</v>
      </c>
      <c r="W243" t="str">
        <v>NULL</v>
      </c>
      <c r="X243" t="str">
        <v>Away</v>
      </c>
      <c r="Y243" t="str">
        <v>MIA</v>
      </c>
      <c r="Z243">
        <v>11.263509083136171</v>
      </c>
    </row>
    <row r="244" spans="10:26" x14ac:dyDescent="0.35">
      <c r="J244" s="66">
        <v>9</v>
      </c>
      <c r="K244" t="s">
        <v>6</v>
      </c>
      <c r="L244" t="s">
        <v>432</v>
      </c>
      <c r="M244">
        <v>7.9</v>
      </c>
      <c r="N244" t="s">
        <v>3</v>
      </c>
      <c r="O244" t="s">
        <v>13</v>
      </c>
      <c r="P244">
        <f t="shared" si="19"/>
        <v>9.4765933742918413</v>
      </c>
      <c r="Q244">
        <f t="shared" si="21"/>
        <v>2.4856466678609328</v>
      </c>
      <c r="R244" s="67" cm="1">
        <f t="array" ref="R244">SUMPRODUCT((J244=$J$7:$J$1000)*(P244&lt;$P$7:$P$1000))+1</f>
        <v>10</v>
      </c>
      <c r="S244" s="72"/>
      <c r="T244">
        <v>16</v>
      </c>
      <c r="U244" t="str">
        <v>SDL</v>
      </c>
      <c r="V244" t="str">
        <v>Jimmy Hokafonu</v>
      </c>
      <c r="W244" t="str">
        <v>NULL</v>
      </c>
      <c r="X244" t="str">
        <v>Away</v>
      </c>
      <c r="Y244" t="str">
        <v>MIA</v>
      </c>
      <c r="Z244">
        <v>6.8392975796309292</v>
      </c>
    </row>
    <row r="245" spans="10:26" x14ac:dyDescent="0.35">
      <c r="J245" s="66">
        <v>9</v>
      </c>
      <c r="K245" t="s">
        <v>23</v>
      </c>
      <c r="L245" t="s">
        <v>389</v>
      </c>
      <c r="M245">
        <v>7.9</v>
      </c>
      <c r="N245" t="s">
        <v>3</v>
      </c>
      <c r="O245" t="s">
        <v>34</v>
      </c>
      <c r="P245">
        <f t="shared" si="19"/>
        <v>12.496139957851211</v>
      </c>
      <c r="Q245">
        <f t="shared" si="21"/>
        <v>21.124502512156528</v>
      </c>
      <c r="R245" s="67" cm="1">
        <f t="array" ref="R245">SUMPRODUCT((J245=$J$7:$J$1000)*(P245&lt;$P$7:$P$1000))+1</f>
        <v>1</v>
      </c>
      <c r="S245" s="72"/>
      <c r="T245">
        <v>16</v>
      </c>
      <c r="U245" t="str">
        <v>SDL</v>
      </c>
      <c r="V245" t="str">
        <v>Paddy Ryan</v>
      </c>
      <c r="W245" t="str">
        <v>NULL</v>
      </c>
      <c r="X245" t="str">
        <v>Away</v>
      </c>
      <c r="Y245" t="str">
        <v>MIA</v>
      </c>
      <c r="Z245">
        <v>9.2579165601730722</v>
      </c>
    </row>
    <row r="246" spans="10:26" x14ac:dyDescent="0.35">
      <c r="J246" s="66">
        <v>9</v>
      </c>
      <c r="K246" t="s">
        <v>23</v>
      </c>
      <c r="L246" t="s">
        <v>428</v>
      </c>
      <c r="M246">
        <v>7.5</v>
      </c>
      <c r="N246" t="s">
        <v>3</v>
      </c>
      <c r="O246" t="s">
        <v>34</v>
      </c>
      <c r="P246">
        <f t="shared" si="19"/>
        <v>10.045737663953949</v>
      </c>
      <c r="Q246">
        <f t="shared" si="21"/>
        <v>6.4807802536737071</v>
      </c>
      <c r="R246" s="67" cm="1">
        <f t="array" ref="R246">SUMPRODUCT((J246=$J$7:$J$1000)*(P246&lt;$P$7:$P$1000))+1</f>
        <v>7</v>
      </c>
      <c r="S246" s="72"/>
      <c r="T246">
        <v>16</v>
      </c>
      <c r="U246" t="str">
        <v>SDL</v>
      </c>
      <c r="V246" t="str">
        <v>Tevita Tameilau</v>
      </c>
      <c r="W246" t="str">
        <v>NULL</v>
      </c>
      <c r="X246" t="str">
        <v>Away</v>
      </c>
      <c r="Y246" t="str">
        <v>MIA</v>
      </c>
      <c r="Z246">
        <v>2.6660058091332477</v>
      </c>
    </row>
    <row r="247" spans="10:26" x14ac:dyDescent="0.35">
      <c r="J247" s="66">
        <v>9</v>
      </c>
      <c r="K247" t="s">
        <v>34</v>
      </c>
      <c r="L247" t="s">
        <v>200</v>
      </c>
      <c r="M247">
        <v>6.9</v>
      </c>
      <c r="N247" t="s">
        <v>9</v>
      </c>
      <c r="O247" t="s">
        <v>23</v>
      </c>
      <c r="P247">
        <f t="shared" si="19"/>
        <v>10.008299786248587</v>
      </c>
      <c r="Q247">
        <f t="shared" si="21"/>
        <v>9.6615275611930098</v>
      </c>
      <c r="R247" s="67" cm="1">
        <f t="array" ref="R247">SUMPRODUCT((J247=$J$7:$J$1000)*(P247&lt;$P$7:$P$1000))+1</f>
        <v>8</v>
      </c>
      <c r="S247" s="72"/>
      <c r="T247">
        <v>16</v>
      </c>
      <c r="U247" t="str">
        <v>SDL</v>
      </c>
      <c r="V247" t="str">
        <v>Vili Helu</v>
      </c>
      <c r="W247" t="str">
        <v>NULL</v>
      </c>
      <c r="X247" t="str">
        <v>Away</v>
      </c>
      <c r="Y247" t="str">
        <v>MIA</v>
      </c>
      <c r="Z247">
        <v>4.4445844660063454</v>
      </c>
    </row>
    <row r="248" spans="10:26" x14ac:dyDescent="0.35">
      <c r="J248" s="66">
        <v>9</v>
      </c>
      <c r="K248" t="s">
        <v>14</v>
      </c>
      <c r="L248" t="s">
        <v>548</v>
      </c>
      <c r="M248">
        <v>6.3</v>
      </c>
      <c r="N248" t="s">
        <v>9</v>
      </c>
      <c r="O248" t="s">
        <v>2</v>
      </c>
      <c r="P248">
        <f t="shared" si="19"/>
        <v>6.0113991915046743</v>
      </c>
      <c r="Q248">
        <f t="shared" si="21"/>
        <v>8.3290426664155565E-2</v>
      </c>
      <c r="R248" s="67" cm="1">
        <f t="array" ref="R248">SUMPRODUCT((J248=$J$7:$J$1000)*(P248&lt;$P$7:$P$1000))+1</f>
        <v>21</v>
      </c>
      <c r="S248" s="72"/>
      <c r="T248">
        <v>16</v>
      </c>
      <c r="U248" t="str">
        <v>SEA</v>
      </c>
      <c r="V248" t="str">
        <v>Charles Elton</v>
      </c>
      <c r="W248" t="str">
        <v>NULL</v>
      </c>
      <c r="X248" t="str">
        <v>Away</v>
      </c>
      <c r="Y248" t="str">
        <v>NEFJ</v>
      </c>
      <c r="Z248">
        <v>5.8546703097183377</v>
      </c>
    </row>
    <row r="249" spans="10:26" x14ac:dyDescent="0.35">
      <c r="J249" s="66">
        <v>9</v>
      </c>
      <c r="K249" t="s">
        <v>7</v>
      </c>
      <c r="L249" t="s">
        <v>211</v>
      </c>
      <c r="M249">
        <v>6.3</v>
      </c>
      <c r="N249" t="s">
        <v>9</v>
      </c>
      <c r="O249" t="s">
        <v>4</v>
      </c>
      <c r="P249">
        <f t="shared" si="19"/>
        <v>7.1263774208045279</v>
      </c>
      <c r="Q249">
        <f t="shared" si="21"/>
        <v>0.68289964161554395</v>
      </c>
      <c r="R249" s="67" cm="1">
        <f t="array" ref="R249">SUMPRODUCT((J249=$J$7:$J$1000)*(P249&lt;$P$7:$P$1000))+1</f>
        <v>19</v>
      </c>
      <c r="S249" s="72"/>
      <c r="T249">
        <v>16</v>
      </c>
      <c r="U249" t="str">
        <v>SEA</v>
      </c>
      <c r="V249" t="str">
        <v>Devin Short</v>
      </c>
      <c r="W249" t="str">
        <v>NULL</v>
      </c>
      <c r="X249" t="str">
        <v>Away</v>
      </c>
      <c r="Y249" t="str">
        <v>NEFJ</v>
      </c>
      <c r="Z249">
        <v>6.3958477625046761</v>
      </c>
    </row>
    <row r="250" spans="10:26" x14ac:dyDescent="0.35">
      <c r="J250" s="66">
        <v>9</v>
      </c>
      <c r="K250" t="s">
        <v>13</v>
      </c>
      <c r="L250" t="s">
        <v>210</v>
      </c>
      <c r="M250">
        <v>6.3</v>
      </c>
      <c r="N250" t="s">
        <v>9</v>
      </c>
      <c r="O250" t="s">
        <v>6</v>
      </c>
      <c r="P250">
        <f t="shared" si="19"/>
        <v>5.5157502979865116</v>
      </c>
      <c r="Q250">
        <f t="shared" si="21"/>
        <v>0.61504759510824503</v>
      </c>
      <c r="R250" s="67" cm="1">
        <f t="array" ref="R250">SUMPRODUCT((J250=$J$7:$J$1000)*(P250&lt;$P$7:$P$1000))+1</f>
        <v>22</v>
      </c>
      <c r="S250" s="72"/>
      <c r="T250">
        <v>16</v>
      </c>
      <c r="U250" t="str">
        <v>SEA</v>
      </c>
      <c r="V250" t="str">
        <v>Huw Taylor</v>
      </c>
      <c r="W250" t="str">
        <v>NULL</v>
      </c>
      <c r="X250" t="str">
        <v>Away</v>
      </c>
      <c r="Y250" t="str">
        <v>NEFJ</v>
      </c>
      <c r="Z250">
        <v>5.0444867975908778</v>
      </c>
    </row>
    <row r="251" spans="10:26" x14ac:dyDescent="0.35">
      <c r="J251" s="66">
        <v>9</v>
      </c>
      <c r="K251" t="s">
        <v>2</v>
      </c>
      <c r="L251" t="s">
        <v>213</v>
      </c>
      <c r="M251">
        <v>5.8</v>
      </c>
      <c r="N251" t="s">
        <v>3</v>
      </c>
      <c r="O251" t="s">
        <v>14</v>
      </c>
      <c r="P251">
        <f t="shared" si="19"/>
        <v>10.447163428767245</v>
      </c>
      <c r="Q251">
        <f t="shared" si="21"/>
        <v>21.596127933671742</v>
      </c>
      <c r="R251" s="67" cm="1">
        <f t="array" ref="R251">SUMPRODUCT((J251=$J$7:$J$1000)*(P251&lt;$P$7:$P$1000))+1</f>
        <v>5</v>
      </c>
      <c r="S251" s="72"/>
      <c r="T251">
        <v>16</v>
      </c>
      <c r="U251" t="str">
        <v>SEA</v>
      </c>
      <c r="V251" t="str">
        <v>OJ Noa</v>
      </c>
      <c r="W251" t="str">
        <v>NULL</v>
      </c>
      <c r="X251" t="str">
        <v>Away</v>
      </c>
      <c r="Y251" t="str">
        <v>NEFJ</v>
      </c>
      <c r="Z251">
        <v>4.5537497857904503</v>
      </c>
    </row>
    <row r="252" spans="10:26" x14ac:dyDescent="0.35">
      <c r="J252" s="66">
        <v>9</v>
      </c>
      <c r="K252" t="s">
        <v>4</v>
      </c>
      <c r="L252" t="s">
        <v>539</v>
      </c>
      <c r="M252">
        <v>5</v>
      </c>
      <c r="N252" t="s">
        <v>3</v>
      </c>
      <c r="O252" t="s">
        <v>7</v>
      </c>
      <c r="P252">
        <f t="shared" si="19"/>
        <v>7.8948542082467581</v>
      </c>
      <c r="Q252">
        <f t="shared" si="21"/>
        <v>8.3801808870039647</v>
      </c>
      <c r="R252" s="67" cm="1">
        <f t="array" ref="R252">SUMPRODUCT((J252=$J$7:$J$1000)*(P252&lt;$P$7:$P$1000))+1</f>
        <v>18</v>
      </c>
      <c r="S252" s="72"/>
      <c r="T252">
        <v>16</v>
      </c>
      <c r="U252" t="str">
        <v>SEA</v>
      </c>
      <c r="V252" t="str">
        <v>Riekert Hattingh</v>
      </c>
      <c r="W252" t="str">
        <v>NULL</v>
      </c>
      <c r="X252" t="str">
        <v>Away</v>
      </c>
      <c r="Y252" t="str">
        <v>NEFJ</v>
      </c>
      <c r="Z252">
        <v>7.5236198802834124</v>
      </c>
    </row>
    <row r="253" spans="10:26" x14ac:dyDescent="0.35">
      <c r="J253" s="66">
        <v>9</v>
      </c>
      <c r="K253" t="s">
        <v>14</v>
      </c>
      <c r="L253" t="s">
        <v>396</v>
      </c>
      <c r="M253">
        <v>4.9000000000000004</v>
      </c>
      <c r="N253" t="s">
        <v>9</v>
      </c>
      <c r="O253" t="s">
        <v>2</v>
      </c>
      <c r="P253">
        <f t="shared" si="19"/>
        <v>9.2703015300404736</v>
      </c>
      <c r="Q253">
        <f t="shared" si="21"/>
        <v>19.099535463474101</v>
      </c>
      <c r="R253" s="67" cm="1">
        <f t="array" ref="R253">SUMPRODUCT((J253=$J$7:$J$1000)*(P253&lt;$P$7:$P$1000))+1</f>
        <v>13</v>
      </c>
      <c r="S253" s="72"/>
      <c r="T253">
        <v>16</v>
      </c>
      <c r="U253" t="str">
        <v>UTAH</v>
      </c>
      <c r="V253" t="str">
        <v>Bailey Wilson</v>
      </c>
      <c r="W253" t="str">
        <v>NULL</v>
      </c>
      <c r="X253" t="str">
        <v>Home</v>
      </c>
      <c r="Y253" t="str">
        <v>ARC</v>
      </c>
      <c r="Z253">
        <v>7.5419519239931629</v>
      </c>
    </row>
    <row r="254" spans="10:26" x14ac:dyDescent="0.35">
      <c r="J254" s="66">
        <v>9</v>
      </c>
      <c r="K254" t="s">
        <v>24</v>
      </c>
      <c r="L254" t="s">
        <v>199</v>
      </c>
      <c r="M254">
        <v>4.9000000000000004</v>
      </c>
      <c r="N254" t="s">
        <v>3</v>
      </c>
      <c r="O254" t="s">
        <v>36</v>
      </c>
      <c r="P254">
        <f t="shared" si="19"/>
        <v>8.3705703149061748</v>
      </c>
      <c r="Q254">
        <f t="shared" si="21"/>
        <v>12.044858310707943</v>
      </c>
      <c r="R254" s="67" cm="1">
        <f t="array" ref="R254">SUMPRODUCT((J254=$J$7:$J$1000)*(P254&lt;$P$7:$P$1000))+1</f>
        <v>17</v>
      </c>
      <c r="S254" s="72"/>
      <c r="T254">
        <v>16</v>
      </c>
      <c r="U254" t="str">
        <v>UTAH</v>
      </c>
      <c r="V254" t="str">
        <v>Dylan Nel</v>
      </c>
      <c r="W254" t="str">
        <v>NULL</v>
      </c>
      <c r="X254" t="str">
        <v>Home</v>
      </c>
      <c r="Y254" t="str">
        <v>ARC</v>
      </c>
      <c r="Z254">
        <v>9.7938186311939113</v>
      </c>
    </row>
    <row r="255" spans="10:26" x14ac:dyDescent="0.35">
      <c r="J255" s="66">
        <v>9</v>
      </c>
      <c r="K255" t="s">
        <v>13</v>
      </c>
      <c r="L255" t="s">
        <v>638</v>
      </c>
      <c r="M255">
        <v>4.9000000000000004</v>
      </c>
      <c r="N255" t="s">
        <v>9</v>
      </c>
      <c r="O255" t="s">
        <v>6</v>
      </c>
      <c r="P255">
        <f t="shared" si="19"/>
        <v>5.5068497698052257</v>
      </c>
      <c r="Q255">
        <f t="shared" si="21"/>
        <v>0.36826664311265495</v>
      </c>
      <c r="R255" s="67" cm="1">
        <f t="array" ref="R255">SUMPRODUCT((J255=$J$7:$J$1000)*(P255&lt;$P$7:$P$1000))+1</f>
        <v>23</v>
      </c>
      <c r="S255" s="72"/>
      <c r="T255">
        <v>16</v>
      </c>
      <c r="U255" t="str">
        <v>UTAH</v>
      </c>
      <c r="V255" t="str">
        <v>Frank Lochore</v>
      </c>
      <c r="W255" t="str">
        <v>NULL</v>
      </c>
      <c r="X255" t="str">
        <v>Home</v>
      </c>
      <c r="Y255" t="str">
        <v>ARC</v>
      </c>
      <c r="Z255">
        <v>9.0899750640805035</v>
      </c>
    </row>
    <row r="256" spans="10:26" x14ac:dyDescent="0.35">
      <c r="J256" s="66">
        <v>9</v>
      </c>
      <c r="K256" t="s">
        <v>23</v>
      </c>
      <c r="L256" t="s">
        <v>229</v>
      </c>
      <c r="M256">
        <v>3.8</v>
      </c>
      <c r="N256" t="s">
        <v>3</v>
      </c>
      <c r="O256" t="s">
        <v>34</v>
      </c>
      <c r="P256">
        <f t="shared" si="19"/>
        <v>9.3907660235321391</v>
      </c>
      <c r="Q256">
        <f t="shared" si="21"/>
        <v>31.256664729881368</v>
      </c>
      <c r="R256" s="67" cm="1">
        <f t="array" ref="R256">SUMPRODUCT((J256=$J$7:$J$1000)*(P256&lt;$P$7:$P$1000))+1</f>
        <v>11</v>
      </c>
      <c r="S256" s="72"/>
      <c r="T256">
        <v>16</v>
      </c>
      <c r="U256" t="str">
        <v>UTAH</v>
      </c>
      <c r="V256" t="str">
        <v>Kalisi Moli</v>
      </c>
      <c r="W256" t="str">
        <v>NULL</v>
      </c>
      <c r="X256" t="str">
        <v>Home</v>
      </c>
      <c r="Y256" t="str">
        <v>ARC</v>
      </c>
      <c r="Z256">
        <v>5.9392980056367826</v>
      </c>
    </row>
    <row r="257" spans="10:26" x14ac:dyDescent="0.35">
      <c r="J257" s="66">
        <v>9</v>
      </c>
      <c r="K257" t="s">
        <v>4</v>
      </c>
      <c r="L257" t="s">
        <v>434</v>
      </c>
      <c r="M257">
        <v>3.4</v>
      </c>
      <c r="N257" t="s">
        <v>3</v>
      </c>
      <c r="O257" t="s">
        <v>7</v>
      </c>
      <c r="P257">
        <f t="shared" si="19"/>
        <v>5.4064929874052865</v>
      </c>
      <c r="Q257">
        <f t="shared" si="21"/>
        <v>4.0260141085065912</v>
      </c>
      <c r="R257" s="67" cm="1">
        <f t="array" ref="R257">SUMPRODUCT((J257=$J$7:$J$1000)*(P257&lt;$P$7:$P$1000))+1</f>
        <v>24</v>
      </c>
      <c r="S257" s="72"/>
      <c r="T257">
        <v>16</v>
      </c>
      <c r="U257" t="str">
        <v>UTAH</v>
      </c>
      <c r="V257" t="str">
        <v>Lance Williams</v>
      </c>
      <c r="W257" t="str">
        <v>NULL</v>
      </c>
      <c r="X257" t="str">
        <v>Home</v>
      </c>
      <c r="Y257" t="str">
        <v>ARC</v>
      </c>
      <c r="Z257">
        <v>1.0477364125186857</v>
      </c>
    </row>
    <row r="258" spans="10:26" x14ac:dyDescent="0.35">
      <c r="J258" s="66">
        <v>9</v>
      </c>
      <c r="K258" t="s">
        <v>14</v>
      </c>
      <c r="L258" t="s">
        <v>197</v>
      </c>
      <c r="M258">
        <v>3.1</v>
      </c>
      <c r="N258" t="s">
        <v>9</v>
      </c>
      <c r="O258" t="s">
        <v>2</v>
      </c>
      <c r="P258">
        <f t="shared" si="19"/>
        <v>5.0133551940049417</v>
      </c>
      <c r="Q258">
        <f t="shared" si="21"/>
        <v>3.6609280984256878</v>
      </c>
      <c r="R258" s="67" cm="1">
        <f t="array" ref="R258">SUMPRODUCT((J258=$J$7:$J$1000)*(P258&lt;$P$7:$P$1000))+1</f>
        <v>26</v>
      </c>
      <c r="S258" s="72"/>
      <c r="T258">
        <v>16</v>
      </c>
      <c r="U258" t="str">
        <v>UTAH</v>
      </c>
      <c r="V258" t="str">
        <v>Reid Davis</v>
      </c>
      <c r="W258" t="str">
        <v>NULL</v>
      </c>
      <c r="X258" t="str">
        <v>Home</v>
      </c>
      <c r="Y258" t="str">
        <v>ARC</v>
      </c>
      <c r="Z258">
        <v>2.6898207020170295</v>
      </c>
    </row>
    <row r="259" spans="10:26" x14ac:dyDescent="0.35">
      <c r="J259" s="66">
        <v>9</v>
      </c>
      <c r="K259" t="s">
        <v>7</v>
      </c>
      <c r="L259" t="s">
        <v>202</v>
      </c>
      <c r="M259">
        <v>2.5</v>
      </c>
      <c r="N259" t="s">
        <v>9</v>
      </c>
      <c r="O259" t="s">
        <v>4</v>
      </c>
      <c r="P259">
        <f t="shared" si="19"/>
        <v>9.1286406046503128</v>
      </c>
      <c r="Q259">
        <f t="shared" si="21"/>
        <v>43.938876265618866</v>
      </c>
      <c r="R259" s="67" cm="1">
        <f t="array" ref="R259">SUMPRODUCT((J259=$J$7:$J$1000)*(P259&lt;$P$7:$P$1000))+1</f>
        <v>14</v>
      </c>
      <c r="S259" s="72"/>
      <c r="T259">
        <v>16</v>
      </c>
      <c r="U259" t="str">
        <v>UTAH</v>
      </c>
      <c r="V259" t="str">
        <v>Ronnie McElligott</v>
      </c>
      <c r="W259" t="str">
        <v>NULL</v>
      </c>
      <c r="X259" t="str">
        <v>Home</v>
      </c>
      <c r="Y259" t="str">
        <v>ARC</v>
      </c>
      <c r="Z259">
        <v>3.5369127046011002</v>
      </c>
    </row>
    <row r="260" spans="10:26" x14ac:dyDescent="0.35">
      <c r="J260" s="66">
        <v>9</v>
      </c>
      <c r="K260" t="s">
        <v>36</v>
      </c>
      <c r="L260" t="s">
        <v>216</v>
      </c>
      <c r="M260">
        <v>2.1</v>
      </c>
      <c r="N260" t="s">
        <v>9</v>
      </c>
      <c r="O260" t="s">
        <v>24</v>
      </c>
      <c r="P260">
        <f t="shared" si="19"/>
        <v>4.7067011477029874</v>
      </c>
      <c r="Q260">
        <f t="shared" si="21"/>
        <v>6.7948908734360716</v>
      </c>
      <c r="R260" s="67" cm="1">
        <f t="array" ref="R260">SUMPRODUCT((J260=$J$7:$J$1000)*(P260&lt;$P$7:$P$1000))+1</f>
        <v>27</v>
      </c>
      <c r="S260" s="72"/>
      <c r="T260">
        <v>16</v>
      </c>
      <c r="U260" t="str">
        <v>UTAH</v>
      </c>
      <c r="V260" t="str">
        <v>Tamarau McGahan</v>
      </c>
      <c r="W260" t="str">
        <v>NULL</v>
      </c>
      <c r="X260" t="str">
        <v>Home</v>
      </c>
      <c r="Y260" t="str">
        <v>ARC</v>
      </c>
      <c r="Z260">
        <v>5.9303974774554966</v>
      </c>
    </row>
    <row r="261" spans="10:26" x14ac:dyDescent="0.35">
      <c r="J261" s="66">
        <v>9</v>
      </c>
      <c r="K261" t="s">
        <v>34</v>
      </c>
      <c r="L261" t="s">
        <v>429</v>
      </c>
      <c r="M261">
        <v>2.1</v>
      </c>
      <c r="N261" t="s">
        <v>9</v>
      </c>
      <c r="O261" t="s">
        <v>23</v>
      </c>
      <c r="P261">
        <f t="shared" si="19"/>
        <v>8.4847206875433034</v>
      </c>
      <c r="Q261">
        <f t="shared" si="21"/>
        <v>40.764658257943438</v>
      </c>
      <c r="R261" s="67" cm="1">
        <f t="array" ref="R261">SUMPRODUCT((J261=$J$7:$J$1000)*(P261&lt;$P$7:$P$1000))+1</f>
        <v>16</v>
      </c>
      <c r="S261" s="72"/>
    </row>
    <row r="262" spans="10:26" x14ac:dyDescent="0.35">
      <c r="J262" s="66">
        <v>9</v>
      </c>
      <c r="K262" t="s">
        <v>34</v>
      </c>
      <c r="L262" t="s">
        <v>228</v>
      </c>
      <c r="M262">
        <v>0.6</v>
      </c>
      <c r="N262" t="s">
        <v>9</v>
      </c>
      <c r="O262" t="s">
        <v>23</v>
      </c>
      <c r="P262">
        <f t="shared" si="19"/>
        <v>3.1893751691187608</v>
      </c>
      <c r="Q262">
        <f t="shared" si="21"/>
        <v>6.7048637664488107</v>
      </c>
      <c r="R262" s="67" cm="1">
        <f t="array" ref="R262">SUMPRODUCT((J262=$J$7:$J$1000)*(P262&lt;$P$7:$P$1000))+1</f>
        <v>28</v>
      </c>
      <c r="S262" s="72"/>
    </row>
    <row r="263" spans="10:26" x14ac:dyDescent="0.35">
      <c r="J263" s="66">
        <v>9</v>
      </c>
      <c r="K263" t="s">
        <v>6</v>
      </c>
      <c r="L263" t="s">
        <v>430</v>
      </c>
      <c r="M263">
        <v>-1</v>
      </c>
      <c r="N263" t="s">
        <v>3</v>
      </c>
      <c r="O263" t="s">
        <v>13</v>
      </c>
      <c r="P263">
        <f t="shared" si="19"/>
        <v>2.813800969279995</v>
      </c>
      <c r="Q263">
        <f t="shared" si="21"/>
        <v>14.545077833281029</v>
      </c>
      <c r="R263" s="67" cm="1">
        <f t="array" ref="R263">SUMPRODUCT((J263=$J$7:$J$1000)*(P263&lt;$P$7:$P$1000))+1</f>
        <v>29</v>
      </c>
      <c r="S263" s="72"/>
    </row>
    <row r="264" spans="10:26" x14ac:dyDescent="0.35">
      <c r="J264" s="66">
        <v>9</v>
      </c>
      <c r="K264" t="s">
        <v>24</v>
      </c>
      <c r="L264" t="s">
        <v>607</v>
      </c>
      <c r="M264">
        <v>-2.5</v>
      </c>
      <c r="N264" t="s">
        <v>3</v>
      </c>
      <c r="O264" t="s">
        <v>36</v>
      </c>
      <c r="P264">
        <f t="shared" ref="P264:P327" si="22">VLOOKUP($N264,$F$3:$G$4,2,FALSE)+VLOOKUP($L264,$B$20:$C$150,2,FALSE)+VLOOKUP($O264,$A$6:$B$16,2,FALSE)</f>
        <v>1.6310554228304854</v>
      </c>
      <c r="Q264">
        <f t="shared" si="21"/>
        <v>17.065618906497161</v>
      </c>
      <c r="R264" s="67" cm="1">
        <f t="array" ref="R264">SUMPRODUCT((J264=$J$7:$J$1000)*(P264&lt;$P$7:$P$1000))+1</f>
        <v>30</v>
      </c>
      <c r="S264" s="72"/>
    </row>
    <row r="265" spans="10:26" x14ac:dyDescent="0.35">
      <c r="J265" s="66">
        <v>10</v>
      </c>
      <c r="K265" t="s">
        <v>36</v>
      </c>
      <c r="L265" t="s">
        <v>225</v>
      </c>
      <c r="M265">
        <v>22.2</v>
      </c>
      <c r="N265" t="s">
        <v>3</v>
      </c>
      <c r="O265" t="s">
        <v>4</v>
      </c>
      <c r="P265">
        <f t="shared" si="22"/>
        <v>12.33696689382962</v>
      </c>
      <c r="Q265">
        <f t="shared" si="21"/>
        <v>97.279422053412915</v>
      </c>
      <c r="R265" s="67" cm="1">
        <f t="array" ref="R265">SUMPRODUCT((J265=$J$7:$J$1000)*(P265&lt;$P$7:$P$1000))+1</f>
        <v>2</v>
      </c>
      <c r="S265" s="72"/>
    </row>
    <row r="266" spans="10:26" x14ac:dyDescent="0.35">
      <c r="J266" s="66">
        <v>10</v>
      </c>
      <c r="K266" t="s">
        <v>23</v>
      </c>
      <c r="L266" t="s">
        <v>389</v>
      </c>
      <c r="M266">
        <v>21.3</v>
      </c>
      <c r="N266" t="s">
        <v>9</v>
      </c>
      <c r="O266" t="s">
        <v>14</v>
      </c>
      <c r="P266">
        <f t="shared" si="22"/>
        <v>13.207279007275671</v>
      </c>
      <c r="Q266">
        <f t="shared" si="21"/>
        <v>65.492133066081053</v>
      </c>
      <c r="R266" s="67" cm="1">
        <f t="array" ref="R266">SUMPRODUCT((J266=$J$7:$J$1000)*(P266&lt;$P$7:$P$1000))+1</f>
        <v>1</v>
      </c>
      <c r="S266" s="72"/>
    </row>
    <row r="267" spans="10:26" x14ac:dyDescent="0.35">
      <c r="J267" s="66">
        <v>10</v>
      </c>
      <c r="K267" t="s">
        <v>23</v>
      </c>
      <c r="L267" t="s">
        <v>428</v>
      </c>
      <c r="M267">
        <v>16.899999999999999</v>
      </c>
      <c r="N267" t="s">
        <v>9</v>
      </c>
      <c r="O267" t="s">
        <v>14</v>
      </c>
      <c r="P267">
        <f t="shared" si="22"/>
        <v>10.756876713378409</v>
      </c>
      <c r="Q267">
        <f t="shared" si="21"/>
        <v>37.737963714632443</v>
      </c>
      <c r="R267" s="67" cm="1">
        <f t="array" ref="R267">SUMPRODUCT((J267=$J$7:$J$1000)*(P267&lt;$P$7:$P$1000))+1</f>
        <v>4</v>
      </c>
      <c r="S267" s="72"/>
    </row>
    <row r="268" spans="10:26" x14ac:dyDescent="0.35">
      <c r="J268" s="66">
        <v>10</v>
      </c>
      <c r="K268" t="s">
        <v>13</v>
      </c>
      <c r="L268" t="s">
        <v>210</v>
      </c>
      <c r="M268">
        <v>14.6</v>
      </c>
      <c r="N268" t="s">
        <v>9</v>
      </c>
      <c r="O268" t="s">
        <v>34</v>
      </c>
      <c r="P268">
        <f t="shared" si="22"/>
        <v>6.4281792076865667</v>
      </c>
      <c r="Q268">
        <f t="shared" si="21"/>
        <v>66.778655061686138</v>
      </c>
      <c r="R268" s="67" cm="1">
        <f t="array" ref="R268">SUMPRODUCT((J268=$J$7:$J$1000)*(P268&lt;$P$7:$P$1000))+1</f>
        <v>20</v>
      </c>
      <c r="S268" s="72"/>
    </row>
    <row r="269" spans="10:26" x14ac:dyDescent="0.35">
      <c r="J269" s="66">
        <v>10</v>
      </c>
      <c r="K269" t="s">
        <v>17</v>
      </c>
      <c r="L269" t="s">
        <v>222</v>
      </c>
      <c r="M269">
        <v>13.3</v>
      </c>
      <c r="N269" t="s">
        <v>3</v>
      </c>
      <c r="O269" t="s">
        <v>2</v>
      </c>
      <c r="P269">
        <f t="shared" si="22"/>
        <v>9.3063380945244685</v>
      </c>
      <c r="Q269">
        <f t="shared" si="21"/>
        <v>15.949335415246459</v>
      </c>
      <c r="R269" s="67" cm="1">
        <f t="array" ref="R269">SUMPRODUCT((J269=$J$7:$J$1000)*(P269&lt;$P$7:$P$1000))+1</f>
        <v>7</v>
      </c>
      <c r="S269" s="72"/>
    </row>
    <row r="270" spans="10:26" x14ac:dyDescent="0.35">
      <c r="J270" s="66">
        <v>10</v>
      </c>
      <c r="K270" t="s">
        <v>34</v>
      </c>
      <c r="L270" t="s">
        <v>436</v>
      </c>
      <c r="M270">
        <v>12.7</v>
      </c>
      <c r="N270" t="s">
        <v>3</v>
      </c>
      <c r="O270" t="s">
        <v>13</v>
      </c>
      <c r="P270">
        <f t="shared" si="22"/>
        <v>5.5898774499326169</v>
      </c>
      <c r="Q270">
        <f t="shared" si="21"/>
        <v>50.553842676976693</v>
      </c>
      <c r="R270" s="67" cm="1">
        <f t="array" ref="R270">SUMPRODUCT((J270=$J$7:$J$1000)*(P270&lt;$P$7:$P$1000))+1</f>
        <v>24</v>
      </c>
      <c r="S270" s="72"/>
    </row>
    <row r="271" spans="10:26" x14ac:dyDescent="0.35">
      <c r="J271" s="66">
        <v>10</v>
      </c>
      <c r="K271" t="s">
        <v>24</v>
      </c>
      <c r="L271" t="s">
        <v>215</v>
      </c>
      <c r="M271">
        <v>12.6</v>
      </c>
      <c r="N271" t="s">
        <v>9</v>
      </c>
      <c r="O271" t="s">
        <v>7</v>
      </c>
      <c r="P271">
        <f t="shared" si="22"/>
        <v>11.937072421729033</v>
      </c>
      <c r="Q271">
        <f t="shared" si="21"/>
        <v>0.43947297403220897</v>
      </c>
      <c r="R271" s="67" cm="1">
        <f t="array" ref="R271">SUMPRODUCT((J271=$J$7:$J$1000)*(P271&lt;$P$7:$P$1000))+1</f>
        <v>3</v>
      </c>
      <c r="S271" s="72"/>
    </row>
    <row r="272" spans="10:26" x14ac:dyDescent="0.35">
      <c r="J272" s="66">
        <v>10</v>
      </c>
      <c r="K272" t="s">
        <v>2</v>
      </c>
      <c r="L272" t="s">
        <v>212</v>
      </c>
      <c r="M272">
        <v>11.9</v>
      </c>
      <c r="N272" t="s">
        <v>9</v>
      </c>
      <c r="O272" t="s">
        <v>17</v>
      </c>
      <c r="P272">
        <f t="shared" si="22"/>
        <v>9.096972029374653</v>
      </c>
      <c r="Q272">
        <f t="shared" si="21"/>
        <v>7.8569658041080528</v>
      </c>
      <c r="R272" s="67" cm="1">
        <f t="array" ref="R272">SUMPRODUCT((J272=$J$7:$J$1000)*(P272&lt;$P$7:$P$1000))+1</f>
        <v>8</v>
      </c>
      <c r="S272" s="72"/>
    </row>
    <row r="273" spans="10:19" x14ac:dyDescent="0.35">
      <c r="J273" s="66">
        <v>10</v>
      </c>
      <c r="K273" t="s">
        <v>36</v>
      </c>
      <c r="L273" t="s">
        <v>112</v>
      </c>
      <c r="M273">
        <v>11.2</v>
      </c>
      <c r="N273" t="s">
        <v>3</v>
      </c>
      <c r="O273" t="s">
        <v>4</v>
      </c>
      <c r="P273">
        <f t="shared" si="22"/>
        <v>6.6212955203289674</v>
      </c>
      <c r="Q273">
        <f t="shared" si="21"/>
        <v>20.964534712159576</v>
      </c>
      <c r="R273" s="67" cm="1">
        <f t="array" ref="R273">SUMPRODUCT((J273=$J$7:$J$1000)*(P273&lt;$P$7:$P$1000))+1</f>
        <v>19</v>
      </c>
      <c r="S273" s="72"/>
    </row>
    <row r="274" spans="10:19" x14ac:dyDescent="0.35">
      <c r="J274" s="66">
        <v>10</v>
      </c>
      <c r="K274" t="s">
        <v>17</v>
      </c>
      <c r="L274" t="s">
        <v>631</v>
      </c>
      <c r="M274">
        <v>9.1</v>
      </c>
      <c r="N274" t="s">
        <v>3</v>
      </c>
      <c r="O274" t="s">
        <v>2</v>
      </c>
      <c r="P274">
        <f t="shared" si="22"/>
        <v>7.6373885239593911</v>
      </c>
      <c r="Q274">
        <f t="shared" si="21"/>
        <v>2.1392323298456879</v>
      </c>
      <c r="R274" s="67" cm="1">
        <f t="array" ref="R274">SUMPRODUCT((J274=$J$7:$J$1000)*(P274&lt;$P$7:$P$1000))+1</f>
        <v>16</v>
      </c>
      <c r="S274" s="72"/>
    </row>
    <row r="275" spans="10:19" x14ac:dyDescent="0.35">
      <c r="J275" s="66">
        <v>10</v>
      </c>
      <c r="K275" t="s">
        <v>34</v>
      </c>
      <c r="L275" t="s">
        <v>200</v>
      </c>
      <c r="M275">
        <v>8.9</v>
      </c>
      <c r="N275" t="s">
        <v>3</v>
      </c>
      <c r="O275" t="s">
        <v>13</v>
      </c>
      <c r="P275">
        <f t="shared" si="22"/>
        <v>10.014088953437861</v>
      </c>
      <c r="Q275">
        <f t="shared" si="21"/>
        <v>1.2411941961722681</v>
      </c>
      <c r="R275" s="67" cm="1">
        <f t="array" ref="R275">SUMPRODUCT((J275=$J$7:$J$1000)*(P275&lt;$P$7:$P$1000))+1</f>
        <v>6</v>
      </c>
      <c r="S275" s="72"/>
    </row>
    <row r="276" spans="10:19" x14ac:dyDescent="0.35">
      <c r="J276" s="66">
        <v>10</v>
      </c>
      <c r="K276" t="s">
        <v>36</v>
      </c>
      <c r="L276" t="s">
        <v>205</v>
      </c>
      <c r="M276">
        <v>8.5</v>
      </c>
      <c r="N276" t="s">
        <v>3</v>
      </c>
      <c r="O276" t="s">
        <v>4</v>
      </c>
      <c r="P276">
        <f t="shared" si="22"/>
        <v>7.6545826945859385</v>
      </c>
      <c r="Q276">
        <f t="shared" si="21"/>
        <v>0.71473042029357248</v>
      </c>
      <c r="R276" s="67" cm="1">
        <f t="array" ref="R276">SUMPRODUCT((J276=$J$7:$J$1000)*(P276&lt;$P$7:$P$1000))+1</f>
        <v>15</v>
      </c>
      <c r="S276" s="72"/>
    </row>
    <row r="277" spans="10:19" x14ac:dyDescent="0.35">
      <c r="J277" s="66">
        <v>10</v>
      </c>
      <c r="K277" t="s">
        <v>13</v>
      </c>
      <c r="L277" t="s">
        <v>204</v>
      </c>
      <c r="M277">
        <v>8.1</v>
      </c>
      <c r="N277" t="s">
        <v>9</v>
      </c>
      <c r="O277" t="s">
        <v>34</v>
      </c>
      <c r="P277">
        <f t="shared" si="22"/>
        <v>10.282699833243694</v>
      </c>
      <c r="Q277">
        <f t="shared" si="21"/>
        <v>4.7641785620420496</v>
      </c>
      <c r="R277" s="67" cm="1">
        <f t="array" ref="R277">SUMPRODUCT((J277=$J$7:$J$1000)*(P277&lt;$P$7:$P$1000))+1</f>
        <v>5</v>
      </c>
      <c r="S277" s="72"/>
    </row>
    <row r="278" spans="10:19" x14ac:dyDescent="0.35">
      <c r="J278" s="66">
        <v>10</v>
      </c>
      <c r="K278" t="s">
        <v>34</v>
      </c>
      <c r="L278" t="s">
        <v>174</v>
      </c>
      <c r="M278">
        <v>7.9</v>
      </c>
      <c r="N278" t="s">
        <v>3</v>
      </c>
      <c r="O278" t="s">
        <v>13</v>
      </c>
      <c r="P278">
        <f t="shared" si="22"/>
        <v>8.0084964304747626</v>
      </c>
      <c r="Q278">
        <f t="shared" si="21"/>
        <v>1.1771475425764909E-2</v>
      </c>
      <c r="R278" s="67" cm="1">
        <f t="array" ref="R278">SUMPRODUCT((J278=$J$7:$J$1000)*(P278&lt;$P$7:$P$1000))+1</f>
        <v>14</v>
      </c>
      <c r="S278" s="72"/>
    </row>
    <row r="279" spans="10:19" x14ac:dyDescent="0.35">
      <c r="J279" s="66">
        <v>10</v>
      </c>
      <c r="K279" t="s">
        <v>7</v>
      </c>
      <c r="L279" t="s">
        <v>201</v>
      </c>
      <c r="M279">
        <v>7.7</v>
      </c>
      <c r="N279" t="s">
        <v>3</v>
      </c>
      <c r="O279" t="s">
        <v>24</v>
      </c>
      <c r="P279">
        <f t="shared" si="22"/>
        <v>9.0697259174814224</v>
      </c>
      <c r="Q279">
        <f t="shared" si="21"/>
        <v>1.8761490890203238</v>
      </c>
      <c r="R279" s="67" cm="1">
        <f t="array" ref="R279">SUMPRODUCT((J279=$J$7:$J$1000)*(P279&lt;$P$7:$P$1000))+1</f>
        <v>9</v>
      </c>
      <c r="S279" s="72"/>
    </row>
    <row r="280" spans="10:19" x14ac:dyDescent="0.35">
      <c r="J280" s="66">
        <v>10</v>
      </c>
      <c r="K280" t="s">
        <v>14</v>
      </c>
      <c r="L280" t="s">
        <v>396</v>
      </c>
      <c r="M280">
        <v>7.5</v>
      </c>
      <c r="N280" t="s">
        <v>3</v>
      </c>
      <c r="O280" t="s">
        <v>23</v>
      </c>
      <c r="P280">
        <f t="shared" si="22"/>
        <v>6.2875630643251741</v>
      </c>
      <c r="Q280">
        <f t="shared" si="21"/>
        <v>1.4700033229885618</v>
      </c>
      <c r="R280" s="67" cm="1">
        <f t="array" ref="R280">SUMPRODUCT((J280=$J$7:$J$1000)*(P280&lt;$P$7:$P$1000))+1</f>
        <v>22</v>
      </c>
      <c r="S280" s="72"/>
    </row>
    <row r="281" spans="10:19" x14ac:dyDescent="0.35">
      <c r="J281" s="66">
        <v>10</v>
      </c>
      <c r="K281" t="s">
        <v>4</v>
      </c>
      <c r="L281" t="s">
        <v>539</v>
      </c>
      <c r="M281">
        <v>7.4</v>
      </c>
      <c r="N281" t="s">
        <v>9</v>
      </c>
      <c r="O281" t="s">
        <v>36</v>
      </c>
      <c r="P281">
        <f t="shared" si="22"/>
        <v>8.863358635172121</v>
      </c>
      <c r="Q281">
        <f t="shared" si="21"/>
        <v>2.1414184951328115</v>
      </c>
      <c r="R281" s="67" cm="1">
        <f t="array" ref="R281">SUMPRODUCT((J281=$J$7:$J$1000)*(P281&lt;$P$7:$P$1000))+1</f>
        <v>10</v>
      </c>
      <c r="S281" s="72"/>
    </row>
    <row r="282" spans="10:19" x14ac:dyDescent="0.35">
      <c r="J282" s="66">
        <v>10</v>
      </c>
      <c r="K282" t="s">
        <v>24</v>
      </c>
      <c r="L282" t="s">
        <v>199</v>
      </c>
      <c r="M282">
        <v>7</v>
      </c>
      <c r="N282" t="s">
        <v>9</v>
      </c>
      <c r="O282" t="s">
        <v>7</v>
      </c>
      <c r="P282">
        <f t="shared" si="22"/>
        <v>8.6020861394550554</v>
      </c>
      <c r="Q282">
        <f t="shared" si="21"/>
        <v>2.5666799982340032</v>
      </c>
      <c r="R282" s="67" cm="1">
        <f t="array" ref="R282">SUMPRODUCT((J282=$J$7:$J$1000)*(P282&lt;$P$7:$P$1000))+1</f>
        <v>11</v>
      </c>
      <c r="S282" s="72"/>
    </row>
    <row r="283" spans="10:19" x14ac:dyDescent="0.35">
      <c r="J283" s="66">
        <v>10</v>
      </c>
      <c r="K283" t="s">
        <v>2</v>
      </c>
      <c r="L283" t="s">
        <v>589</v>
      </c>
      <c r="M283">
        <v>6.9</v>
      </c>
      <c r="N283" t="s">
        <v>9</v>
      </c>
      <c r="O283" t="s">
        <v>17</v>
      </c>
      <c r="P283">
        <f t="shared" si="22"/>
        <v>7.4906964958624433</v>
      </c>
      <c r="Q283">
        <f t="shared" si="21"/>
        <v>0.34892235022416912</v>
      </c>
      <c r="R283" s="67" cm="1">
        <f t="array" ref="R283">SUMPRODUCT((J283=$J$7:$J$1000)*(P283&lt;$P$7:$P$1000))+1</f>
        <v>17</v>
      </c>
      <c r="S283" s="72"/>
    </row>
    <row r="284" spans="10:19" x14ac:dyDescent="0.35">
      <c r="J284" s="66">
        <v>10</v>
      </c>
      <c r="K284" t="s">
        <v>4</v>
      </c>
      <c r="L284" t="s">
        <v>434</v>
      </c>
      <c r="M284">
        <v>6.9</v>
      </c>
      <c r="N284" t="s">
        <v>9</v>
      </c>
      <c r="O284" t="s">
        <v>36</v>
      </c>
      <c r="P284">
        <f t="shared" si="22"/>
        <v>6.3749974143306511</v>
      </c>
      <c r="Q284">
        <f t="shared" si="21"/>
        <v>0.27562771495950233</v>
      </c>
      <c r="R284" s="67" cm="1">
        <f t="array" ref="R284">SUMPRODUCT((J284=$J$7:$J$1000)*(P284&lt;$P$7:$P$1000))+1</f>
        <v>21</v>
      </c>
      <c r="S284" s="72"/>
    </row>
    <row r="285" spans="10:19" x14ac:dyDescent="0.35">
      <c r="J285" s="66">
        <v>10</v>
      </c>
      <c r="K285" t="s">
        <v>7</v>
      </c>
      <c r="L285" t="s">
        <v>584</v>
      </c>
      <c r="M285">
        <v>6.2</v>
      </c>
      <c r="N285" t="s">
        <v>3</v>
      </c>
      <c r="O285" t="s">
        <v>24</v>
      </c>
      <c r="P285">
        <f t="shared" si="22"/>
        <v>6.1974788683883117</v>
      </c>
      <c r="Q285">
        <f t="shared" si="21"/>
        <v>6.35610460345471E-6</v>
      </c>
      <c r="R285" s="67" cm="1">
        <f t="array" ref="R285">SUMPRODUCT((J285=$J$7:$J$1000)*(P285&lt;$P$7:$P$1000))+1</f>
        <v>23</v>
      </c>
      <c r="S285" s="72"/>
    </row>
    <row r="286" spans="10:19" x14ac:dyDescent="0.35">
      <c r="J286" s="66">
        <v>10</v>
      </c>
      <c r="K286" t="s">
        <v>17</v>
      </c>
      <c r="L286" t="s">
        <v>206</v>
      </c>
      <c r="M286">
        <v>6</v>
      </c>
      <c r="N286" t="s">
        <v>3</v>
      </c>
      <c r="O286" t="s">
        <v>2</v>
      </c>
      <c r="P286">
        <f t="shared" si="22"/>
        <v>6.8272050118319312</v>
      </c>
      <c r="Q286">
        <f t="shared" si="21"/>
        <v>0.68426813159986544</v>
      </c>
      <c r="R286" s="67" cm="1">
        <f t="array" ref="R286">SUMPRODUCT((J286=$J$7:$J$1000)*(P286&lt;$P$7:$P$1000))+1</f>
        <v>18</v>
      </c>
      <c r="S286" s="72"/>
    </row>
    <row r="287" spans="10:19" x14ac:dyDescent="0.35">
      <c r="J287" s="66">
        <v>10</v>
      </c>
      <c r="K287" t="s">
        <v>13</v>
      </c>
      <c r="L287" t="s">
        <v>198</v>
      </c>
      <c r="M287">
        <v>5.8</v>
      </c>
      <c r="N287" t="s">
        <v>9</v>
      </c>
      <c r="O287" t="s">
        <v>34</v>
      </c>
      <c r="P287">
        <f t="shared" si="22"/>
        <v>8.0308331260429462</v>
      </c>
      <c r="Q287">
        <f t="shared" si="21"/>
        <v>4.9766164362505441</v>
      </c>
      <c r="R287" s="67" cm="1">
        <f t="array" ref="R287">SUMPRODUCT((J287=$J$7:$J$1000)*(P287&lt;$P$7:$P$1000))+1</f>
        <v>13</v>
      </c>
      <c r="S287" s="72"/>
    </row>
    <row r="288" spans="10:19" x14ac:dyDescent="0.35">
      <c r="J288" s="66">
        <v>10</v>
      </c>
      <c r="K288" t="s">
        <v>23</v>
      </c>
      <c r="L288" t="s">
        <v>431</v>
      </c>
      <c r="M288">
        <v>5.7</v>
      </c>
      <c r="N288" t="s">
        <v>9</v>
      </c>
      <c r="O288" t="s">
        <v>14</v>
      </c>
      <c r="P288">
        <f t="shared" si="22"/>
        <v>8.5462121737754799</v>
      </c>
      <c r="Q288">
        <f t="shared" si="21"/>
        <v>8.1009237381477419</v>
      </c>
      <c r="R288" s="67" cm="1">
        <f t="array" ref="R288">SUMPRODUCT((J288=$J$7:$J$1000)*(P288&lt;$P$7:$P$1000))+1</f>
        <v>12</v>
      </c>
      <c r="S288" s="72"/>
    </row>
    <row r="289" spans="10:19" x14ac:dyDescent="0.35">
      <c r="J289" s="66">
        <v>10</v>
      </c>
      <c r="K289" t="s">
        <v>2</v>
      </c>
      <c r="L289" t="s">
        <v>585</v>
      </c>
      <c r="M289">
        <v>4.9000000000000004</v>
      </c>
      <c r="N289" t="s">
        <v>9</v>
      </c>
      <c r="O289" t="s">
        <v>17</v>
      </c>
      <c r="P289">
        <f t="shared" si="22"/>
        <v>4.9154755867840896</v>
      </c>
      <c r="Q289">
        <f t="shared" si="21"/>
        <v>2.3949378631187704E-4</v>
      </c>
      <c r="R289" s="67" cm="1">
        <f t="array" ref="R289">SUMPRODUCT((J289=$J$7:$J$1000)*(P289&lt;$P$7:$P$1000))+1</f>
        <v>26</v>
      </c>
      <c r="S289" s="72"/>
    </row>
    <row r="290" spans="10:19" x14ac:dyDescent="0.35">
      <c r="J290" s="66">
        <v>10</v>
      </c>
      <c r="K290" t="s">
        <v>7</v>
      </c>
      <c r="L290" t="s">
        <v>211</v>
      </c>
      <c r="M290">
        <v>4.5999999999999996</v>
      </c>
      <c r="N290" t="s">
        <v>3</v>
      </c>
      <c r="O290" t="s">
        <v>24</v>
      </c>
      <c r="P290">
        <f t="shared" si="22"/>
        <v>5.2532014641997211</v>
      </c>
      <c r="Q290">
        <f t="shared" si="21"/>
        <v>0.42667215283266002</v>
      </c>
      <c r="R290" s="67" cm="1">
        <f t="array" ref="R290">SUMPRODUCT((J290=$J$7:$J$1000)*(P290&lt;$P$7:$P$1000))+1</f>
        <v>25</v>
      </c>
      <c r="S290" s="72"/>
    </row>
    <row r="291" spans="10:19" x14ac:dyDescent="0.35">
      <c r="J291" s="66">
        <v>10</v>
      </c>
      <c r="K291" t="s">
        <v>14</v>
      </c>
      <c r="L291" t="s">
        <v>540</v>
      </c>
      <c r="M291">
        <v>4.3</v>
      </c>
      <c r="N291" t="s">
        <v>3</v>
      </c>
      <c r="O291" t="s">
        <v>23</v>
      </c>
      <c r="P291">
        <f t="shared" si="22"/>
        <v>4.572284193831142</v>
      </c>
      <c r="Q291">
        <f t="shared" si="21"/>
        <v>7.4138682210275031E-2</v>
      </c>
      <c r="R291" s="67" cm="1">
        <f t="array" ref="R291">SUMPRODUCT((J291=$J$7:$J$1000)*(P291&lt;$P$7:$P$1000))+1</f>
        <v>27</v>
      </c>
      <c r="S291" s="72"/>
    </row>
    <row r="292" spans="10:19" x14ac:dyDescent="0.35">
      <c r="J292" s="66">
        <v>10</v>
      </c>
      <c r="K292" t="s">
        <v>24</v>
      </c>
      <c r="L292" t="s">
        <v>217</v>
      </c>
      <c r="M292">
        <v>3.8</v>
      </c>
      <c r="N292" t="s">
        <v>9</v>
      </c>
      <c r="O292" t="s">
        <v>7</v>
      </c>
      <c r="P292">
        <f t="shared" si="22"/>
        <v>3.6636569597159099</v>
      </c>
      <c r="Q292">
        <f t="shared" si="21"/>
        <v>1.8589424633908974E-2</v>
      </c>
      <c r="R292" s="67" cm="1">
        <f t="array" ref="R292">SUMPRODUCT((J292=$J$7:$J$1000)*(P292&lt;$P$7:$P$1000))+1</f>
        <v>28</v>
      </c>
      <c r="S292" s="72"/>
    </row>
    <row r="293" spans="10:19" x14ac:dyDescent="0.35">
      <c r="J293" s="66">
        <v>10</v>
      </c>
      <c r="K293" t="s">
        <v>14</v>
      </c>
      <c r="L293" t="s">
        <v>548</v>
      </c>
      <c r="M293">
        <v>2.1</v>
      </c>
      <c r="N293" t="s">
        <v>3</v>
      </c>
      <c r="O293" t="s">
        <v>23</v>
      </c>
      <c r="P293">
        <f t="shared" si="22"/>
        <v>3.0286607257893747</v>
      </c>
      <c r="Q293">
        <f t="shared" si="21"/>
        <v>0.86241074362364811</v>
      </c>
      <c r="R293" s="67" cm="1">
        <f t="array" ref="R293">SUMPRODUCT((J293=$J$7:$J$1000)*(P293&lt;$P$7:$P$1000))+1</f>
        <v>29</v>
      </c>
      <c r="S293" s="72"/>
    </row>
    <row r="294" spans="10:19" x14ac:dyDescent="0.35">
      <c r="J294" s="66">
        <v>10</v>
      </c>
      <c r="K294" t="s">
        <v>4</v>
      </c>
      <c r="L294" t="s">
        <v>486</v>
      </c>
      <c r="M294">
        <v>1.3</v>
      </c>
      <c r="N294" t="s">
        <v>9</v>
      </c>
      <c r="O294" t="s">
        <v>36</v>
      </c>
      <c r="P294">
        <f t="shared" si="22"/>
        <v>2.7587037968936801</v>
      </c>
      <c r="Q294">
        <f t="shared" si="21"/>
        <v>2.1278167670720385</v>
      </c>
      <c r="R294" s="67" cm="1">
        <f t="array" ref="R294">SUMPRODUCT((J294=$J$7:$J$1000)*(P294&lt;$P$7:$P$1000))+1</f>
        <v>30</v>
      </c>
      <c r="S294" s="72"/>
    </row>
    <row r="295" spans="10:19" x14ac:dyDescent="0.35">
      <c r="J295" s="66">
        <v>11</v>
      </c>
      <c r="K295" t="s">
        <v>34</v>
      </c>
      <c r="L295" t="s">
        <v>429</v>
      </c>
      <c r="M295">
        <v>23.5</v>
      </c>
      <c r="N295" t="s">
        <v>9</v>
      </c>
      <c r="O295" t="s">
        <v>6</v>
      </c>
      <c r="P295">
        <f t="shared" si="22"/>
        <v>10.093878662950877</v>
      </c>
      <c r="Q295">
        <f t="shared" si="21"/>
        <v>179.72408930368377</v>
      </c>
      <c r="R295" s="67" cm="1">
        <f t="array" ref="R295">SUMPRODUCT((J295=$J$7:$J$1000)*(P295&lt;$P$7:$P$1000))+1</f>
        <v>10</v>
      </c>
      <c r="S295" s="72"/>
    </row>
    <row r="296" spans="10:19" x14ac:dyDescent="0.35">
      <c r="J296" s="66">
        <v>11</v>
      </c>
      <c r="K296" t="s">
        <v>6</v>
      </c>
      <c r="L296" t="s">
        <v>603</v>
      </c>
      <c r="M296">
        <v>22.6</v>
      </c>
      <c r="N296" t="s">
        <v>9</v>
      </c>
      <c r="O296" t="s">
        <v>34</v>
      </c>
      <c r="P296">
        <f t="shared" si="22"/>
        <v>11.776805138557995</v>
      </c>
      <c r="Q296">
        <f t="shared" si="21"/>
        <v>117.14154700874465</v>
      </c>
      <c r="R296" s="67" cm="1">
        <f t="array" ref="R296">SUMPRODUCT((J296=$J$7:$J$1000)*(P296&lt;$P$7:$P$1000))+1</f>
        <v>4</v>
      </c>
      <c r="S296" s="72"/>
    </row>
    <row r="297" spans="10:19" x14ac:dyDescent="0.35">
      <c r="J297" s="66">
        <v>11</v>
      </c>
      <c r="K297" t="s">
        <v>4</v>
      </c>
      <c r="L297" t="s">
        <v>209</v>
      </c>
      <c r="M297">
        <v>21.7</v>
      </c>
      <c r="N297" t="s">
        <v>3</v>
      </c>
      <c r="O297" t="s">
        <v>17</v>
      </c>
      <c r="P297">
        <f t="shared" si="22"/>
        <v>13.300836708719762</v>
      </c>
      <c r="Q297">
        <f t="shared" si="21"/>
        <v>70.545943993589461</v>
      </c>
      <c r="R297" s="67" cm="1">
        <f t="array" ref="R297">SUMPRODUCT((J297=$J$7:$J$1000)*(P297&lt;$P$7:$P$1000))+1</f>
        <v>1</v>
      </c>
      <c r="S297" s="72"/>
    </row>
    <row r="298" spans="10:19" x14ac:dyDescent="0.35">
      <c r="J298" s="66">
        <v>11</v>
      </c>
      <c r="K298" t="s">
        <v>17</v>
      </c>
      <c r="L298" t="s">
        <v>222</v>
      </c>
      <c r="M298">
        <v>21.6</v>
      </c>
      <c r="N298" t="s">
        <v>9</v>
      </c>
      <c r="O298" t="s">
        <v>4</v>
      </c>
      <c r="P298">
        <f t="shared" si="22"/>
        <v>10.051995008038681</v>
      </c>
      <c r="Q298">
        <f t="shared" si="21"/>
        <v>133.35641929436358</v>
      </c>
      <c r="R298" s="67" cm="1">
        <f t="array" ref="R298">SUMPRODUCT((J298=$J$7:$J$1000)*(P298&lt;$P$7:$P$1000))+1</f>
        <v>11</v>
      </c>
      <c r="S298" s="72"/>
    </row>
    <row r="299" spans="10:19" x14ac:dyDescent="0.35">
      <c r="J299" s="66">
        <v>11</v>
      </c>
      <c r="K299" t="s">
        <v>24</v>
      </c>
      <c r="L299" t="s">
        <v>215</v>
      </c>
      <c r="M299">
        <v>17.600000000000001</v>
      </c>
      <c r="N299" t="s">
        <v>3</v>
      </c>
      <c r="O299" t="s">
        <v>14</v>
      </c>
      <c r="P299">
        <f t="shared" si="22"/>
        <v>12.778677863963674</v>
      </c>
      <c r="Q299">
        <f t="shared" ref="Q299:Q362" si="23">IFERROR(($M299-$P299)^2,"")</f>
        <v>23.245147139433897</v>
      </c>
      <c r="R299" s="67" cm="1">
        <f t="array" ref="R299">SUMPRODUCT((J299=$J$7:$J$1000)*(P299&lt;$P$7:$P$1000))+1</f>
        <v>2</v>
      </c>
      <c r="S299" s="72"/>
    </row>
    <row r="300" spans="10:19" x14ac:dyDescent="0.35">
      <c r="J300" s="66">
        <v>11</v>
      </c>
      <c r="K300" t="s">
        <v>6</v>
      </c>
      <c r="L300" t="s">
        <v>433</v>
      </c>
      <c r="M300">
        <v>16.7</v>
      </c>
      <c r="N300" t="s">
        <v>3</v>
      </c>
      <c r="O300" t="s">
        <v>34</v>
      </c>
      <c r="P300">
        <f t="shared" si="22"/>
        <v>11.395758394907071</v>
      </c>
      <c r="Q300">
        <f t="shared" si="23"/>
        <v>28.134979005198801</v>
      </c>
      <c r="R300" s="67" cm="1">
        <f t="array" ref="R300">SUMPRODUCT((J300=$J$7:$J$1000)*(P300&lt;$P$7:$P$1000))+1</f>
        <v>6</v>
      </c>
      <c r="S300" s="72"/>
    </row>
    <row r="301" spans="10:19" x14ac:dyDescent="0.35">
      <c r="J301" s="66">
        <v>11</v>
      </c>
      <c r="K301" t="s">
        <v>6</v>
      </c>
      <c r="L301" t="s">
        <v>432</v>
      </c>
      <c r="M301">
        <v>14.4</v>
      </c>
      <c r="N301" t="s">
        <v>3</v>
      </c>
      <c r="O301" t="s">
        <v>34</v>
      </c>
      <c r="P301">
        <f t="shared" si="22"/>
        <v>11.392380966473073</v>
      </c>
      <c r="Q301">
        <f t="shared" si="23"/>
        <v>9.0457722508334459</v>
      </c>
      <c r="R301" s="67" cm="1">
        <f t="array" ref="R301">SUMPRODUCT((J301=$J$7:$J$1000)*(P301&lt;$P$7:$P$1000))+1</f>
        <v>7</v>
      </c>
      <c r="S301" s="72"/>
    </row>
    <row r="302" spans="10:19" x14ac:dyDescent="0.35">
      <c r="J302" s="66">
        <v>11</v>
      </c>
      <c r="K302" t="s">
        <v>2</v>
      </c>
      <c r="L302" t="s">
        <v>213</v>
      </c>
      <c r="M302">
        <v>12.7</v>
      </c>
      <c r="N302" t="s">
        <v>9</v>
      </c>
      <c r="O302" t="s">
        <v>13</v>
      </c>
      <c r="P302">
        <f t="shared" si="22"/>
        <v>9.0202570386357959</v>
      </c>
      <c r="Q302">
        <f t="shared" si="23"/>
        <v>13.540508261709398</v>
      </c>
      <c r="R302" s="67" cm="1">
        <f t="array" ref="R302">SUMPRODUCT((J302=$J$7:$J$1000)*(P302&lt;$P$7:$P$1000))+1</f>
        <v>14</v>
      </c>
      <c r="S302" s="72"/>
    </row>
    <row r="303" spans="10:19" x14ac:dyDescent="0.35">
      <c r="J303" s="66">
        <v>11</v>
      </c>
      <c r="K303" t="s">
        <v>4</v>
      </c>
      <c r="L303" t="s">
        <v>539</v>
      </c>
      <c r="M303">
        <v>12.2</v>
      </c>
      <c r="N303" t="s">
        <v>3</v>
      </c>
      <c r="O303" t="s">
        <v>17</v>
      </c>
      <c r="P303">
        <f t="shared" si="22"/>
        <v>8.7058969233410757</v>
      </c>
      <c r="Q303">
        <f t="shared" si="23"/>
        <v>12.208756310317355</v>
      </c>
      <c r="R303" s="67" cm="1">
        <f t="array" ref="R303">SUMPRODUCT((J303=$J$7:$J$1000)*(P303&lt;$P$7:$P$1000))+1</f>
        <v>16</v>
      </c>
      <c r="S303" s="72"/>
    </row>
    <row r="304" spans="10:19" x14ac:dyDescent="0.35">
      <c r="J304" s="66">
        <v>11</v>
      </c>
      <c r="K304" t="s">
        <v>7</v>
      </c>
      <c r="L304" t="s">
        <v>207</v>
      </c>
      <c r="M304">
        <v>10.6</v>
      </c>
      <c r="N304" t="s">
        <v>9</v>
      </c>
      <c r="O304" t="s">
        <v>36</v>
      </c>
      <c r="P304">
        <f t="shared" si="22"/>
        <v>7.7513425677688552</v>
      </c>
      <c r="Q304">
        <f t="shared" si="23"/>
        <v>8.1148491662057367</v>
      </c>
      <c r="R304" s="67" cm="1">
        <f t="array" ref="R304">SUMPRODUCT((J304=$J$7:$J$1000)*(P304&lt;$P$7:$P$1000))+1</f>
        <v>21</v>
      </c>
      <c r="S304" s="72"/>
    </row>
    <row r="305" spans="10:19" x14ac:dyDescent="0.35">
      <c r="J305" s="66">
        <v>11</v>
      </c>
      <c r="K305" t="s">
        <v>17</v>
      </c>
      <c r="L305" t="s">
        <v>427</v>
      </c>
      <c r="M305">
        <v>10.4</v>
      </c>
      <c r="N305" t="s">
        <v>9</v>
      </c>
      <c r="O305" t="s">
        <v>4</v>
      </c>
      <c r="P305">
        <f t="shared" si="22"/>
        <v>7.0821249135457185</v>
      </c>
      <c r="Q305">
        <f t="shared" si="23"/>
        <v>11.008295089314009</v>
      </c>
      <c r="R305" s="67" cm="1">
        <f t="array" ref="R305">SUMPRODUCT((J305=$J$7:$J$1000)*(P305&lt;$P$7:$P$1000))+1</f>
        <v>24</v>
      </c>
      <c r="S305" s="72"/>
    </row>
    <row r="306" spans="10:19" x14ac:dyDescent="0.35">
      <c r="J306" s="66">
        <v>11</v>
      </c>
      <c r="K306" t="s">
        <v>34</v>
      </c>
      <c r="L306" t="s">
        <v>436</v>
      </c>
      <c r="M306">
        <v>10</v>
      </c>
      <c r="N306" t="s">
        <v>9</v>
      </c>
      <c r="O306" t="s">
        <v>6</v>
      </c>
      <c r="P306">
        <f t="shared" si="22"/>
        <v>7.1932462581509169</v>
      </c>
      <c r="Q306">
        <f t="shared" si="23"/>
        <v>7.8778665673838297</v>
      </c>
      <c r="R306" s="67" cm="1">
        <f t="array" ref="R306">SUMPRODUCT((J306=$J$7:$J$1000)*(P306&lt;$P$7:$P$1000))+1</f>
        <v>23</v>
      </c>
      <c r="S306" s="72"/>
    </row>
    <row r="307" spans="10:19" x14ac:dyDescent="0.35">
      <c r="J307" s="66">
        <v>11</v>
      </c>
      <c r="K307" t="s">
        <v>17</v>
      </c>
      <c r="L307" t="s">
        <v>485</v>
      </c>
      <c r="M307">
        <v>9.8000000000000007</v>
      </c>
      <c r="N307" t="s">
        <v>9</v>
      </c>
      <c r="O307" t="s">
        <v>4</v>
      </c>
      <c r="P307">
        <f t="shared" si="22"/>
        <v>8.9242228902599443</v>
      </c>
      <c r="Q307">
        <f t="shared" si="23"/>
        <v>0.76698554594464674</v>
      </c>
      <c r="R307" s="67" cm="1">
        <f t="array" ref="R307">SUMPRODUCT((J307=$J$7:$J$1000)*(P307&lt;$P$7:$P$1000))+1</f>
        <v>15</v>
      </c>
      <c r="S307" s="72"/>
    </row>
    <row r="308" spans="10:19" x14ac:dyDescent="0.35">
      <c r="J308" s="66">
        <v>11</v>
      </c>
      <c r="K308" t="s">
        <v>36</v>
      </c>
      <c r="L308" t="s">
        <v>225</v>
      </c>
      <c r="M308">
        <v>9.6999999999999993</v>
      </c>
      <c r="N308" t="s">
        <v>3</v>
      </c>
      <c r="O308" t="s">
        <v>7</v>
      </c>
      <c r="P308">
        <f t="shared" si="22"/>
        <v>10.999692006897556</v>
      </c>
      <c r="Q308">
        <f t="shared" si="23"/>
        <v>1.6891993127933984</v>
      </c>
      <c r="R308" s="67" cm="1">
        <f t="array" ref="R308">SUMPRODUCT((J308=$J$7:$J$1000)*(P308&lt;$P$7:$P$1000))+1</f>
        <v>9</v>
      </c>
      <c r="S308" s="72"/>
    </row>
    <row r="309" spans="10:19" x14ac:dyDescent="0.35">
      <c r="J309" s="66">
        <v>11</v>
      </c>
      <c r="K309" t="s">
        <v>24</v>
      </c>
      <c r="L309" t="s">
        <v>199</v>
      </c>
      <c r="M309">
        <v>9.1</v>
      </c>
      <c r="N309" t="s">
        <v>3</v>
      </c>
      <c r="O309" t="s">
        <v>14</v>
      </c>
      <c r="P309">
        <f t="shared" si="22"/>
        <v>9.4436915816896967</v>
      </c>
      <c r="Q309">
        <f t="shared" si="23"/>
        <v>0.1181239033243657</v>
      </c>
      <c r="R309" s="67" cm="1">
        <f t="array" ref="R309">SUMPRODUCT((J309=$J$7:$J$1000)*(P309&lt;$P$7:$P$1000))+1</f>
        <v>13</v>
      </c>
      <c r="S309" s="72"/>
    </row>
    <row r="310" spans="10:19" x14ac:dyDescent="0.35">
      <c r="J310" s="66">
        <v>11</v>
      </c>
      <c r="K310" t="s">
        <v>13</v>
      </c>
      <c r="L310" t="s">
        <v>198</v>
      </c>
      <c r="M310">
        <v>9.1</v>
      </c>
      <c r="N310" t="s">
        <v>3</v>
      </c>
      <c r="O310" t="s">
        <v>2</v>
      </c>
      <c r="P310">
        <f t="shared" si="22"/>
        <v>7.2919644551763731</v>
      </c>
      <c r="Q310">
        <f t="shared" si="23"/>
        <v>3.2689925313456678</v>
      </c>
      <c r="R310" s="67" cm="1">
        <f t="array" ref="R310">SUMPRODUCT((J310=$J$7:$J$1000)*(P310&lt;$P$7:$P$1000))+1</f>
        <v>22</v>
      </c>
      <c r="S310" s="72"/>
    </row>
    <row r="311" spans="10:19" x14ac:dyDescent="0.35">
      <c r="J311" s="66">
        <v>11</v>
      </c>
      <c r="K311" t="s">
        <v>6</v>
      </c>
      <c r="L311" t="s">
        <v>603</v>
      </c>
      <c r="M311">
        <v>8.8000000000000007</v>
      </c>
      <c r="N311" t="s">
        <v>3</v>
      </c>
      <c r="O311" t="s">
        <v>34</v>
      </c>
      <c r="P311">
        <f t="shared" si="22"/>
        <v>11.176795012820874</v>
      </c>
      <c r="Q311">
        <f t="shared" si="23"/>
        <v>5.6491545329701731</v>
      </c>
      <c r="R311" s="67" cm="1">
        <f t="array" ref="R311">SUMPRODUCT((J311=$J$7:$J$1000)*(P311&lt;$P$7:$P$1000))+1</f>
        <v>8</v>
      </c>
      <c r="S311" s="72"/>
    </row>
    <row r="312" spans="10:19" x14ac:dyDescent="0.35">
      <c r="J312" s="66">
        <v>11</v>
      </c>
      <c r="K312" t="s">
        <v>6</v>
      </c>
      <c r="L312" t="s">
        <v>430</v>
      </c>
      <c r="M312">
        <v>8.8000000000000007</v>
      </c>
      <c r="N312" t="s">
        <v>9</v>
      </c>
      <c r="O312" t="s">
        <v>34</v>
      </c>
      <c r="P312">
        <f t="shared" si="22"/>
        <v>5.3295986871983505</v>
      </c>
      <c r="Q312">
        <f t="shared" si="23"/>
        <v>12.043685271895416</v>
      </c>
      <c r="R312" s="67" cm="1">
        <f t="array" ref="R312">SUMPRODUCT((J312=$J$7:$J$1000)*(P312&lt;$P$7:$P$1000))+1</f>
        <v>32</v>
      </c>
      <c r="S312" s="72"/>
    </row>
    <row r="313" spans="10:19" x14ac:dyDescent="0.35">
      <c r="J313" s="66">
        <v>11</v>
      </c>
      <c r="K313" t="s">
        <v>6</v>
      </c>
      <c r="L313" t="s">
        <v>433</v>
      </c>
      <c r="M313">
        <v>8.1999999999999993</v>
      </c>
      <c r="N313" t="s">
        <v>9</v>
      </c>
      <c r="O313" t="s">
        <v>34</v>
      </c>
      <c r="P313">
        <f t="shared" si="22"/>
        <v>11.995768520644193</v>
      </c>
      <c r="Q313">
        <f t="shared" si="23"/>
        <v>14.407858662313409</v>
      </c>
      <c r="R313" s="67" cm="1">
        <f t="array" ref="R313">SUMPRODUCT((J313=$J$7:$J$1000)*(P313&lt;$P$7:$P$1000))+1</f>
        <v>3</v>
      </c>
      <c r="S313" s="72"/>
    </row>
    <row r="314" spans="10:19" x14ac:dyDescent="0.35">
      <c r="J314" s="66">
        <v>11</v>
      </c>
      <c r="K314" t="s">
        <v>14</v>
      </c>
      <c r="L314" t="s">
        <v>396</v>
      </c>
      <c r="M314">
        <v>6.9</v>
      </c>
      <c r="N314" t="s">
        <v>9</v>
      </c>
      <c r="O314" t="s">
        <v>24</v>
      </c>
      <c r="P314">
        <f t="shared" si="22"/>
        <v>8.1427824869498799</v>
      </c>
      <c r="Q314">
        <f t="shared" si="23"/>
        <v>1.5445083098693275</v>
      </c>
      <c r="R314" s="67" cm="1">
        <f t="array" ref="R314">SUMPRODUCT((J314=$J$7:$J$1000)*(P314&lt;$P$7:$P$1000))+1</f>
        <v>20</v>
      </c>
      <c r="S314" s="72"/>
    </row>
    <row r="315" spans="10:19" x14ac:dyDescent="0.35">
      <c r="J315" s="66">
        <v>11</v>
      </c>
      <c r="K315" t="s">
        <v>14</v>
      </c>
      <c r="L315" t="s">
        <v>540</v>
      </c>
      <c r="M315">
        <v>6.7</v>
      </c>
      <c r="N315" t="s">
        <v>9</v>
      </c>
      <c r="O315" t="s">
        <v>24</v>
      </c>
      <c r="P315">
        <f t="shared" si="22"/>
        <v>6.4275036164558497</v>
      </c>
      <c r="Q315">
        <f t="shared" si="23"/>
        <v>7.4254279044640784E-2</v>
      </c>
      <c r="R315" s="67" cm="1">
        <f t="array" ref="R315">SUMPRODUCT((J315=$J$7:$J$1000)*(P315&lt;$P$7:$P$1000))+1</f>
        <v>25</v>
      </c>
      <c r="S315" s="72"/>
    </row>
    <row r="316" spans="10:19" x14ac:dyDescent="0.35">
      <c r="J316" s="66">
        <v>11</v>
      </c>
      <c r="K316" t="s">
        <v>2</v>
      </c>
      <c r="L316" t="s">
        <v>589</v>
      </c>
      <c r="M316">
        <v>6.7</v>
      </c>
      <c r="N316" t="s">
        <v>9</v>
      </c>
      <c r="O316" t="s">
        <v>13</v>
      </c>
      <c r="P316">
        <f t="shared" si="22"/>
        <v>6.0943528328713175</v>
      </c>
      <c r="Q316">
        <f t="shared" si="23"/>
        <v>0.36680849105099855</v>
      </c>
      <c r="R316" s="67" cm="1">
        <f t="array" ref="R316">SUMPRODUCT((J316=$J$7:$J$1000)*(P316&lt;$P$7:$P$1000))+1</f>
        <v>30</v>
      </c>
      <c r="S316" s="72"/>
    </row>
    <row r="317" spans="10:19" x14ac:dyDescent="0.35">
      <c r="J317" s="66">
        <v>11</v>
      </c>
      <c r="K317" t="s">
        <v>36</v>
      </c>
      <c r="L317" t="s">
        <v>205</v>
      </c>
      <c r="M317">
        <v>6.4</v>
      </c>
      <c r="N317" t="s">
        <v>3</v>
      </c>
      <c r="O317" t="s">
        <v>7</v>
      </c>
      <c r="P317">
        <f t="shared" si="22"/>
        <v>6.3173078076538731</v>
      </c>
      <c r="Q317">
        <f t="shared" si="23"/>
        <v>6.8379986750089035E-3</v>
      </c>
      <c r="R317" s="67" cm="1">
        <f t="array" ref="R317">SUMPRODUCT((J317=$J$7:$J$1000)*(P317&lt;$P$7:$P$1000))+1</f>
        <v>26</v>
      </c>
      <c r="S317" s="72"/>
    </row>
    <row r="318" spans="10:19" x14ac:dyDescent="0.35">
      <c r="J318" s="66">
        <v>11</v>
      </c>
      <c r="K318" t="s">
        <v>17</v>
      </c>
      <c r="L318" t="s">
        <v>631</v>
      </c>
      <c r="M318">
        <v>6.4</v>
      </c>
      <c r="N318" t="s">
        <v>9</v>
      </c>
      <c r="O318" t="s">
        <v>4</v>
      </c>
      <c r="P318">
        <f t="shared" si="22"/>
        <v>8.383045437473605</v>
      </c>
      <c r="Q318">
        <f t="shared" si="23"/>
        <v>3.9324692070848801</v>
      </c>
      <c r="R318" s="67" cm="1">
        <f t="array" ref="R318">SUMPRODUCT((J318=$J$7:$J$1000)*(P318&lt;$P$7:$P$1000))+1</f>
        <v>17</v>
      </c>
      <c r="S318" s="72"/>
    </row>
    <row r="319" spans="10:19" x14ac:dyDescent="0.35">
      <c r="J319" s="66">
        <v>11</v>
      </c>
      <c r="K319" t="s">
        <v>7</v>
      </c>
      <c r="L319" t="s">
        <v>211</v>
      </c>
      <c r="M319">
        <v>6.3</v>
      </c>
      <c r="N319" t="s">
        <v>9</v>
      </c>
      <c r="O319" t="s">
        <v>36</v>
      </c>
      <c r="P319">
        <f t="shared" si="22"/>
        <v>6.157596835060704</v>
      </c>
      <c r="Q319">
        <f t="shared" si="23"/>
        <v>2.0278661384728294E-2</v>
      </c>
      <c r="R319" s="67" cm="1">
        <f t="array" ref="R319">SUMPRODUCT((J319=$J$7:$J$1000)*(P319&lt;$P$7:$P$1000))+1</f>
        <v>29</v>
      </c>
      <c r="S319" s="72"/>
    </row>
    <row r="320" spans="10:19" x14ac:dyDescent="0.35">
      <c r="J320" s="66">
        <v>11</v>
      </c>
      <c r="K320" t="s">
        <v>14</v>
      </c>
      <c r="L320" t="s">
        <v>197</v>
      </c>
      <c r="M320">
        <v>6.1</v>
      </c>
      <c r="N320" t="s">
        <v>3</v>
      </c>
      <c r="O320" t="s">
        <v>24</v>
      </c>
      <c r="P320">
        <f t="shared" si="22"/>
        <v>3.2858260251772267</v>
      </c>
      <c r="Q320">
        <f t="shared" si="23"/>
        <v>7.9195751605698055</v>
      </c>
      <c r="R320" s="67" cm="1">
        <f t="array" ref="R320">SUMPRODUCT((J320=$J$7:$J$1000)*(P320&lt;$P$7:$P$1000))+1</f>
        <v>36</v>
      </c>
      <c r="S320" s="72"/>
    </row>
    <row r="321" spans="10:19" x14ac:dyDescent="0.35">
      <c r="J321" s="66">
        <v>11</v>
      </c>
      <c r="K321" t="s">
        <v>24</v>
      </c>
      <c r="L321" t="s">
        <v>223</v>
      </c>
      <c r="M321">
        <v>5.5</v>
      </c>
      <c r="N321" t="s">
        <v>3</v>
      </c>
      <c r="O321" t="s">
        <v>14</v>
      </c>
      <c r="P321">
        <f t="shared" si="22"/>
        <v>6.1775692119524708</v>
      </c>
      <c r="Q321">
        <f t="shared" si="23"/>
        <v>0.45910003698589225</v>
      </c>
      <c r="R321" s="67" cm="1">
        <f t="array" ref="R321">SUMPRODUCT((J321=$J$7:$J$1000)*(P321&lt;$P$7:$P$1000))+1</f>
        <v>28</v>
      </c>
      <c r="S321" s="72"/>
    </row>
    <row r="322" spans="10:19" x14ac:dyDescent="0.35">
      <c r="J322" s="66">
        <v>11</v>
      </c>
      <c r="K322" t="s">
        <v>14</v>
      </c>
      <c r="L322" t="s">
        <v>642</v>
      </c>
      <c r="M322">
        <v>5.4</v>
      </c>
      <c r="N322" t="s">
        <v>3</v>
      </c>
      <c r="O322" t="s">
        <v>24</v>
      </c>
      <c r="P322">
        <f t="shared" si="22"/>
        <v>5.3998568787051235</v>
      </c>
      <c r="Q322">
        <f t="shared" si="23"/>
        <v>2.0483705047215792E-8</v>
      </c>
      <c r="R322" s="67" cm="1">
        <f t="array" ref="R322">SUMPRODUCT((J322=$J$7:$J$1000)*(P322&lt;$P$7:$P$1000))+1</f>
        <v>31</v>
      </c>
      <c r="S322" s="72"/>
    </row>
    <row r="323" spans="10:19" x14ac:dyDescent="0.35">
      <c r="J323" s="66">
        <v>11</v>
      </c>
      <c r="K323" t="s">
        <v>17</v>
      </c>
      <c r="L323" t="s">
        <v>631</v>
      </c>
      <c r="M323">
        <v>5.3</v>
      </c>
      <c r="N323" t="s">
        <v>9</v>
      </c>
      <c r="O323" t="s">
        <v>4</v>
      </c>
      <c r="P323">
        <f t="shared" si="22"/>
        <v>8.383045437473605</v>
      </c>
      <c r="Q323">
        <f t="shared" si="23"/>
        <v>9.5051691695268126</v>
      </c>
      <c r="R323" s="67" cm="1">
        <f t="array" ref="R323">SUMPRODUCT((J323=$J$7:$J$1000)*(P323&lt;$P$7:$P$1000))+1</f>
        <v>17</v>
      </c>
      <c r="S323" s="72"/>
    </row>
    <row r="324" spans="10:19" x14ac:dyDescent="0.35">
      <c r="J324" s="66">
        <v>11</v>
      </c>
      <c r="K324" t="s">
        <v>7</v>
      </c>
      <c r="L324" t="s">
        <v>202</v>
      </c>
      <c r="M324">
        <v>5.2</v>
      </c>
      <c r="N324" t="s">
        <v>9</v>
      </c>
      <c r="O324" t="s">
        <v>36</v>
      </c>
      <c r="P324">
        <f t="shared" si="22"/>
        <v>8.1598600189064889</v>
      </c>
      <c r="Q324">
        <f t="shared" si="23"/>
        <v>8.76077133152112</v>
      </c>
      <c r="R324" s="67" cm="1">
        <f t="array" ref="R324">SUMPRODUCT((J324=$J$7:$J$1000)*(P324&lt;$P$7:$P$1000))+1</f>
        <v>19</v>
      </c>
      <c r="S324" s="72"/>
    </row>
    <row r="325" spans="10:19" x14ac:dyDescent="0.35">
      <c r="J325" s="66">
        <v>11</v>
      </c>
      <c r="K325" t="s">
        <v>14</v>
      </c>
      <c r="L325" t="s">
        <v>514</v>
      </c>
      <c r="M325">
        <v>3.2</v>
      </c>
      <c r="N325" t="s">
        <v>3</v>
      </c>
      <c r="O325" t="s">
        <v>24</v>
      </c>
      <c r="P325">
        <f t="shared" si="22"/>
        <v>4.3682330293633136</v>
      </c>
      <c r="Q325">
        <f t="shared" si="23"/>
        <v>1.3647684108953844</v>
      </c>
      <c r="R325" s="67" cm="1">
        <f t="array" ref="R325">SUMPRODUCT((J325=$J$7:$J$1000)*(P325&lt;$P$7:$P$1000))+1</f>
        <v>35</v>
      </c>
      <c r="S325" s="72"/>
    </row>
    <row r="326" spans="10:19" x14ac:dyDescent="0.35">
      <c r="J326" s="66">
        <v>11</v>
      </c>
      <c r="K326" t="s">
        <v>2</v>
      </c>
      <c r="L326" t="s">
        <v>665</v>
      </c>
      <c r="M326">
        <v>3</v>
      </c>
      <c r="N326" t="s">
        <v>9</v>
      </c>
      <c r="O326" t="s">
        <v>13</v>
      </c>
      <c r="P326">
        <f t="shared" si="22"/>
        <v>2.9945145822645594</v>
      </c>
      <c r="Q326">
        <f t="shared" si="23"/>
        <v>3.0089807732286777E-5</v>
      </c>
      <c r="R326" s="67" cm="1">
        <f t="array" ref="R326">SUMPRODUCT((J326=$J$7:$J$1000)*(P326&lt;$P$7:$P$1000))+1</f>
        <v>37</v>
      </c>
      <c r="S326" s="72"/>
    </row>
    <row r="327" spans="10:19" x14ac:dyDescent="0.35">
      <c r="J327" s="66">
        <v>11</v>
      </c>
      <c r="K327" t="s">
        <v>13</v>
      </c>
      <c r="L327" t="s">
        <v>600</v>
      </c>
      <c r="M327">
        <v>2.4</v>
      </c>
      <c r="N327" t="s">
        <v>3</v>
      </c>
      <c r="O327" t="s">
        <v>2</v>
      </c>
      <c r="P327">
        <f t="shared" si="22"/>
        <v>2.4398332332002397</v>
      </c>
      <c r="Q327">
        <f t="shared" si="23"/>
        <v>1.5866864671846856E-3</v>
      </c>
      <c r="R327" s="67" cm="1">
        <f t="array" ref="R327">SUMPRODUCT((J327=$J$7:$J$1000)*(P327&lt;$P$7:$P$1000))+1</f>
        <v>38</v>
      </c>
      <c r="S327" s="72"/>
    </row>
    <row r="328" spans="10:19" x14ac:dyDescent="0.35">
      <c r="J328" s="66">
        <v>11</v>
      </c>
      <c r="K328" t="s">
        <v>36</v>
      </c>
      <c r="L328" t="s">
        <v>112</v>
      </c>
      <c r="M328">
        <v>1.8</v>
      </c>
      <c r="N328" t="s">
        <v>3</v>
      </c>
      <c r="O328" t="s">
        <v>7</v>
      </c>
      <c r="P328">
        <f t="shared" ref="P328:P391" si="24">VLOOKUP($N328,$F$3:$G$4,2,FALSE)+VLOOKUP($L328,$B$20:$C$150,2,FALSE)+VLOOKUP($O328,$A$6:$B$16,2,FALSE)</f>
        <v>5.284020633396902</v>
      </c>
      <c r="Q328">
        <f t="shared" si="23"/>
        <v>12.138399773935351</v>
      </c>
      <c r="R328" s="67" cm="1">
        <f t="array" ref="R328">SUMPRODUCT((J328=$J$7:$J$1000)*(P328&lt;$P$7:$P$1000))+1</f>
        <v>33</v>
      </c>
      <c r="S328" s="72"/>
    </row>
    <row r="329" spans="10:19" x14ac:dyDescent="0.35">
      <c r="J329" s="66">
        <v>11</v>
      </c>
      <c r="K329" t="s">
        <v>14</v>
      </c>
      <c r="L329" t="s">
        <v>548</v>
      </c>
      <c r="M329">
        <v>1.4</v>
      </c>
      <c r="N329" t="s">
        <v>9</v>
      </c>
      <c r="O329" t="s">
        <v>24</v>
      </c>
      <c r="P329">
        <f t="shared" si="24"/>
        <v>4.8838801484140824</v>
      </c>
      <c r="Q329">
        <f t="shared" si="23"/>
        <v>12.137420888513729</v>
      </c>
      <c r="R329" s="67" cm="1">
        <f t="array" ref="R329">SUMPRODUCT((J329=$J$7:$J$1000)*(P329&lt;$P$7:$P$1000))+1</f>
        <v>34</v>
      </c>
      <c r="S329" s="72"/>
    </row>
    <row r="330" spans="10:19" x14ac:dyDescent="0.35">
      <c r="J330" s="66">
        <v>11</v>
      </c>
      <c r="K330" t="s">
        <v>4</v>
      </c>
      <c r="L330" t="s">
        <v>434</v>
      </c>
      <c r="M330">
        <v>1.2</v>
      </c>
      <c r="N330" t="s">
        <v>3</v>
      </c>
      <c r="O330" t="s">
        <v>17</v>
      </c>
      <c r="P330">
        <f t="shared" si="24"/>
        <v>6.2175357024996041</v>
      </c>
      <c r="Q330">
        <f t="shared" si="23"/>
        <v>25.175664525858192</v>
      </c>
      <c r="R330" s="67" cm="1">
        <f t="array" ref="R330">SUMPRODUCT((J330=$J$7:$J$1000)*(P330&lt;$P$7:$P$1000))+1</f>
        <v>27</v>
      </c>
      <c r="S330" s="72"/>
    </row>
    <row r="331" spans="10:19" x14ac:dyDescent="0.35">
      <c r="J331" s="66">
        <v>11</v>
      </c>
      <c r="K331" t="s">
        <v>17</v>
      </c>
      <c r="L331" t="s">
        <v>222</v>
      </c>
      <c r="M331">
        <v>1.1000000000000001</v>
      </c>
      <c r="N331" t="s">
        <v>9</v>
      </c>
      <c r="O331" t="s">
        <v>4</v>
      </c>
      <c r="P331">
        <f t="shared" si="24"/>
        <v>10.051995008038681</v>
      </c>
      <c r="Q331">
        <f t="shared" si="23"/>
        <v>80.138214623949466</v>
      </c>
      <c r="R331" s="67" cm="1">
        <f t="array" ref="R331">SUMPRODUCT((J331=$J$7:$J$1000)*(P331&lt;$P$7:$P$1000))+1</f>
        <v>11</v>
      </c>
      <c r="S331" s="72"/>
    </row>
    <row r="332" spans="10:19" x14ac:dyDescent="0.35">
      <c r="J332" s="66">
        <v>11</v>
      </c>
      <c r="K332" t="s">
        <v>34</v>
      </c>
      <c r="L332" t="s">
        <v>200</v>
      </c>
      <c r="M332">
        <v>0</v>
      </c>
      <c r="N332" t="s">
        <v>9</v>
      </c>
      <c r="O332" t="s">
        <v>6</v>
      </c>
      <c r="P332">
        <f t="shared" si="24"/>
        <v>11.61745776165616</v>
      </c>
      <c r="Q332">
        <f t="shared" si="23"/>
        <v>134.96532484386495</v>
      </c>
      <c r="R332" s="67" cm="1">
        <f t="array" ref="R332">SUMPRODUCT((J332=$J$7:$J$1000)*(P332&lt;$P$7:$P$1000))+1</f>
        <v>5</v>
      </c>
      <c r="S332" s="72"/>
    </row>
    <row r="333" spans="10:19" x14ac:dyDescent="0.35">
      <c r="J333" s="66">
        <v>11</v>
      </c>
      <c r="K333" t="s">
        <v>13</v>
      </c>
      <c r="L333" t="s">
        <v>670</v>
      </c>
      <c r="M333">
        <v>-0.6</v>
      </c>
      <c r="N333" t="s">
        <v>3</v>
      </c>
      <c r="O333" t="s">
        <v>2</v>
      </c>
      <c r="P333">
        <f t="shared" si="24"/>
        <v>0.79774894370189586</v>
      </c>
      <c r="Q333">
        <f t="shared" si="23"/>
        <v>1.9537021096197653</v>
      </c>
      <c r="R333" s="67" cm="1">
        <f t="array" ref="R333">SUMPRODUCT((J333=$J$7:$J$1000)*(P333&lt;$P$7:$P$1000))+1</f>
        <v>39</v>
      </c>
      <c r="S333" s="72"/>
    </row>
    <row r="334" spans="10:19" x14ac:dyDescent="0.35">
      <c r="J334" s="66">
        <v>12</v>
      </c>
      <c r="K334" t="s">
        <v>34</v>
      </c>
      <c r="L334" t="s">
        <v>200</v>
      </c>
      <c r="M334">
        <v>16.899999999999999</v>
      </c>
      <c r="N334" t="s">
        <v>3</v>
      </c>
      <c r="O334" t="s">
        <v>4</v>
      </c>
      <c r="P334">
        <f t="shared" si="24"/>
        <v>11.936664788266734</v>
      </c>
      <c r="Q334">
        <f t="shared" si="23"/>
        <v>24.63469642403129</v>
      </c>
      <c r="R334" s="67" cm="1">
        <f t="array" ref="R334">SUMPRODUCT((J334=$J$7:$J$1000)*(P334&lt;$P$7:$P$1000))+1</f>
        <v>1</v>
      </c>
      <c r="S334" s="72"/>
    </row>
    <row r="335" spans="10:19" x14ac:dyDescent="0.35">
      <c r="J335" s="66">
        <v>12</v>
      </c>
      <c r="K335" t="s">
        <v>13</v>
      </c>
      <c r="L335" t="s">
        <v>204</v>
      </c>
      <c r="M335">
        <v>16.3</v>
      </c>
      <c r="N335" t="s">
        <v>3</v>
      </c>
      <c r="O335" t="s">
        <v>7</v>
      </c>
      <c r="P335">
        <f t="shared" si="24"/>
        <v>8.3522030632221487</v>
      </c>
      <c r="Q335">
        <f t="shared" si="23"/>
        <v>63.16747614825541</v>
      </c>
      <c r="R335" s="67" cm="1">
        <f t="array" ref="R335">SUMPRODUCT((J335=$J$7:$J$1000)*(P335&lt;$P$7:$P$1000))+1</f>
        <v>12</v>
      </c>
      <c r="S335" s="72"/>
    </row>
    <row r="336" spans="10:19" x14ac:dyDescent="0.35">
      <c r="J336" s="66">
        <v>12</v>
      </c>
      <c r="K336" t="s">
        <v>4</v>
      </c>
      <c r="L336" t="s">
        <v>434</v>
      </c>
      <c r="M336">
        <v>16.100000000000001</v>
      </c>
      <c r="N336" t="s">
        <v>9</v>
      </c>
      <c r="O336" t="s">
        <v>34</v>
      </c>
      <c r="P336">
        <f t="shared" si="24"/>
        <v>7.3369897574268341</v>
      </c>
      <c r="Q336">
        <f t="shared" si="23"/>
        <v>76.790348511442218</v>
      </c>
      <c r="R336" s="67" cm="1">
        <f t="array" ref="R336">SUMPRODUCT((J336=$J$7:$J$1000)*(P336&lt;$P$7:$P$1000))+1</f>
        <v>16</v>
      </c>
      <c r="S336" s="72"/>
    </row>
    <row r="337" spans="10:19" x14ac:dyDescent="0.35">
      <c r="J337" s="66">
        <v>12</v>
      </c>
      <c r="K337" t="s">
        <v>24</v>
      </c>
      <c r="L337" t="s">
        <v>223</v>
      </c>
      <c r="M337">
        <v>12.8</v>
      </c>
      <c r="N337" t="s">
        <v>9</v>
      </c>
      <c r="O337" t="s">
        <v>2</v>
      </c>
      <c r="P337">
        <f t="shared" si="24"/>
        <v>6.5275918688728041</v>
      </c>
      <c r="Q337">
        <f t="shared" si="23"/>
        <v>39.34310376343057</v>
      </c>
      <c r="R337" s="67" cm="1">
        <f t="array" ref="R337">SUMPRODUCT((J337=$J$7:$J$1000)*(P337&lt;$P$7:$P$1000))+1</f>
        <v>19</v>
      </c>
      <c r="S337" s="72"/>
    </row>
    <row r="338" spans="10:19" x14ac:dyDescent="0.35">
      <c r="J338" s="66">
        <v>12</v>
      </c>
      <c r="K338" t="s">
        <v>34</v>
      </c>
      <c r="L338" t="s">
        <v>436</v>
      </c>
      <c r="M338">
        <v>10.4</v>
      </c>
      <c r="N338" t="s">
        <v>3</v>
      </c>
      <c r="O338" t="s">
        <v>4</v>
      </c>
      <c r="P338">
        <f t="shared" si="24"/>
        <v>7.5124532847614898</v>
      </c>
      <c r="Q338">
        <f t="shared" si="23"/>
        <v>8.3379260326847113</v>
      </c>
      <c r="R338" s="67" cm="1">
        <f t="array" ref="R338">SUMPRODUCT((J338=$J$7:$J$1000)*(P338&lt;$P$7:$P$1000))+1</f>
        <v>14</v>
      </c>
      <c r="S338" s="72"/>
    </row>
    <row r="339" spans="10:19" x14ac:dyDescent="0.35">
      <c r="J339" s="66">
        <v>12</v>
      </c>
      <c r="K339" t="s">
        <v>2</v>
      </c>
      <c r="L339" t="s">
        <v>530</v>
      </c>
      <c r="M339">
        <v>10</v>
      </c>
      <c r="N339" t="s">
        <v>3</v>
      </c>
      <c r="O339" t="s">
        <v>24</v>
      </c>
      <c r="P339">
        <f t="shared" si="24"/>
        <v>5.8336365530804262</v>
      </c>
      <c r="Q339">
        <f t="shared" si="23"/>
        <v>17.358584371827554</v>
      </c>
      <c r="R339" s="67" cm="1">
        <f t="array" ref="R339">SUMPRODUCT((J339=$J$7:$J$1000)*(P339&lt;$P$7:$P$1000))+1</f>
        <v>23</v>
      </c>
      <c r="S339" s="72"/>
    </row>
    <row r="340" spans="10:19" x14ac:dyDescent="0.35">
      <c r="J340" s="66">
        <v>12</v>
      </c>
      <c r="K340" t="s">
        <v>17</v>
      </c>
      <c r="L340" t="s">
        <v>631</v>
      </c>
      <c r="M340">
        <v>9.1</v>
      </c>
      <c r="N340" t="s">
        <v>3</v>
      </c>
      <c r="O340" t="s">
        <v>6</v>
      </c>
      <c r="P340">
        <f t="shared" si="24"/>
        <v>6.8638181593887868</v>
      </c>
      <c r="Q340">
        <f t="shared" si="23"/>
        <v>5.0005092242793516</v>
      </c>
      <c r="R340" s="67" cm="1">
        <f t="array" ref="R340">SUMPRODUCT((J340=$J$7:$J$1000)*(P340&lt;$P$7:$P$1000))+1</f>
        <v>17</v>
      </c>
      <c r="S340" s="72"/>
    </row>
    <row r="341" spans="10:19" x14ac:dyDescent="0.35">
      <c r="J341" s="66">
        <v>12</v>
      </c>
      <c r="K341" t="s">
        <v>6</v>
      </c>
      <c r="L341" t="s">
        <v>430</v>
      </c>
      <c r="M341">
        <v>8.8000000000000007</v>
      </c>
      <c r="N341" t="s">
        <v>9</v>
      </c>
      <c r="O341" t="s">
        <v>17</v>
      </c>
      <c r="P341">
        <f t="shared" si="24"/>
        <v>4.8101547580082435</v>
      </c>
      <c r="Q341">
        <f t="shared" si="23"/>
        <v>15.918865055044263</v>
      </c>
      <c r="R341" s="67" cm="1">
        <f t="array" ref="R341">SUMPRODUCT((J341=$J$7:$J$1000)*(P341&lt;$P$7:$P$1000))+1</f>
        <v>26</v>
      </c>
      <c r="S341" s="72"/>
    </row>
    <row r="342" spans="10:19" x14ac:dyDescent="0.35">
      <c r="J342" s="66">
        <v>12</v>
      </c>
      <c r="K342" t="s">
        <v>23</v>
      </c>
      <c r="L342" t="s">
        <v>428</v>
      </c>
      <c r="M342">
        <v>8.6</v>
      </c>
      <c r="N342" t="s">
        <v>3</v>
      </c>
      <c r="O342" t="s">
        <v>36</v>
      </c>
      <c r="P342">
        <f t="shared" si="24"/>
        <v>9.0837453208577656</v>
      </c>
      <c r="Q342">
        <f t="shared" si="23"/>
        <v>0.23400953545178299</v>
      </c>
      <c r="R342" s="67" cm="1">
        <f t="array" ref="R342">SUMPRODUCT((J342=$J$7:$J$1000)*(P342&lt;$P$7:$P$1000))+1</f>
        <v>8</v>
      </c>
      <c r="S342" s="72"/>
    </row>
    <row r="343" spans="10:19" x14ac:dyDescent="0.35">
      <c r="J343" s="66">
        <v>12</v>
      </c>
      <c r="K343" t="s">
        <v>34</v>
      </c>
      <c r="L343" t="s">
        <v>228</v>
      </c>
      <c r="M343">
        <v>8.3000000000000007</v>
      </c>
      <c r="N343" t="s">
        <v>9</v>
      </c>
      <c r="O343" t="s">
        <v>4</v>
      </c>
      <c r="P343">
        <f t="shared" si="24"/>
        <v>5.717750296874029</v>
      </c>
      <c r="Q343">
        <f t="shared" si="23"/>
        <v>6.6680135292941687</v>
      </c>
      <c r="R343" s="67" cm="1">
        <f t="array" ref="R343">SUMPRODUCT((J343=$J$7:$J$1000)*(P343&lt;$P$7:$P$1000))+1</f>
        <v>24</v>
      </c>
      <c r="S343" s="72"/>
    </row>
    <row r="344" spans="10:19" x14ac:dyDescent="0.35">
      <c r="J344" s="66">
        <v>12</v>
      </c>
      <c r="K344" t="s">
        <v>2</v>
      </c>
      <c r="L344" t="s">
        <v>213</v>
      </c>
      <c r="M344">
        <v>7.4</v>
      </c>
      <c r="N344" t="s">
        <v>3</v>
      </c>
      <c r="O344" t="s">
        <v>24</v>
      </c>
      <c r="P344">
        <f t="shared" si="24"/>
        <v>9.0696569168598629</v>
      </c>
      <c r="Q344">
        <f t="shared" si="23"/>
        <v>2.7877542200179817</v>
      </c>
      <c r="R344" s="67" cm="1">
        <f t="array" ref="R344">SUMPRODUCT((J344=$J$7:$J$1000)*(P344&lt;$P$7:$P$1000))+1</f>
        <v>9</v>
      </c>
      <c r="S344" s="72"/>
    </row>
    <row r="345" spans="10:19" x14ac:dyDescent="0.35">
      <c r="J345" s="66">
        <v>12</v>
      </c>
      <c r="K345" t="s">
        <v>4</v>
      </c>
      <c r="L345" t="s">
        <v>632</v>
      </c>
      <c r="M345">
        <v>7.4</v>
      </c>
      <c r="N345" t="s">
        <v>9</v>
      </c>
      <c r="O345" t="s">
        <v>34</v>
      </c>
      <c r="P345">
        <f t="shared" si="24"/>
        <v>7.4057910578607036</v>
      </c>
      <c r="Q345">
        <f t="shared" si="23"/>
        <v>3.3536351146012548E-5</v>
      </c>
      <c r="R345" s="67" cm="1">
        <f t="array" ref="R345">SUMPRODUCT((J345=$J$7:$J$1000)*(P345&lt;$P$7:$P$1000))+1</f>
        <v>15</v>
      </c>
      <c r="S345" s="72"/>
    </row>
    <row r="346" spans="10:19" x14ac:dyDescent="0.35">
      <c r="J346" s="66">
        <v>12</v>
      </c>
      <c r="K346" t="s">
        <v>24</v>
      </c>
      <c r="L346" t="s">
        <v>199</v>
      </c>
      <c r="M346">
        <v>7.3</v>
      </c>
      <c r="N346" t="s">
        <v>9</v>
      </c>
      <c r="O346" t="s">
        <v>2</v>
      </c>
      <c r="P346">
        <f t="shared" si="24"/>
        <v>9.7937142386100291</v>
      </c>
      <c r="Q346">
        <f t="shared" si="23"/>
        <v>6.218610703846398</v>
      </c>
      <c r="R346" s="67" cm="1">
        <f t="array" ref="R346">SUMPRODUCT((J346=$J$7:$J$1000)*(P346&lt;$P$7:$P$1000))+1</f>
        <v>7</v>
      </c>
      <c r="S346" s="72"/>
    </row>
    <row r="347" spans="10:19" x14ac:dyDescent="0.35">
      <c r="J347" s="66">
        <v>12</v>
      </c>
      <c r="K347" t="s">
        <v>24</v>
      </c>
      <c r="L347" t="s">
        <v>607</v>
      </c>
      <c r="M347">
        <v>7.2</v>
      </c>
      <c r="N347" t="s">
        <v>9</v>
      </c>
      <c r="O347" t="s">
        <v>2</v>
      </c>
      <c r="P347">
        <f t="shared" si="24"/>
        <v>3.0541993465343404</v>
      </c>
      <c r="Q347">
        <f t="shared" si="23"/>
        <v>17.187663058276293</v>
      </c>
      <c r="R347" s="67" cm="1">
        <f t="array" ref="R347">SUMPRODUCT((J347=$J$7:$J$1000)*(P347&lt;$P$7:$P$1000))+1</f>
        <v>33</v>
      </c>
      <c r="S347" s="72"/>
    </row>
    <row r="348" spans="10:19" x14ac:dyDescent="0.35">
      <c r="J348" s="66">
        <v>12</v>
      </c>
      <c r="K348" t="s">
        <v>36</v>
      </c>
      <c r="L348" t="s">
        <v>216</v>
      </c>
      <c r="M348">
        <v>7</v>
      </c>
      <c r="N348" t="s">
        <v>9</v>
      </c>
      <c r="O348" t="s">
        <v>23</v>
      </c>
      <c r="P348">
        <f t="shared" si="24"/>
        <v>3.4514918508154029</v>
      </c>
      <c r="Q348">
        <f t="shared" si="23"/>
        <v>12.591910084829495</v>
      </c>
      <c r="R348" s="67" cm="1">
        <f t="array" ref="R348">SUMPRODUCT((J348=$J$7:$J$1000)*(P348&lt;$P$7:$P$1000))+1</f>
        <v>32</v>
      </c>
      <c r="S348" s="72"/>
    </row>
    <row r="349" spans="10:19" x14ac:dyDescent="0.35">
      <c r="J349" s="66">
        <v>12</v>
      </c>
      <c r="K349" t="s">
        <v>23</v>
      </c>
      <c r="L349" t="s">
        <v>389</v>
      </c>
      <c r="M349">
        <v>6.8</v>
      </c>
      <c r="N349" t="s">
        <v>3</v>
      </c>
      <c r="O349" t="s">
        <v>36</v>
      </c>
      <c r="P349">
        <f t="shared" si="24"/>
        <v>11.534147614755028</v>
      </c>
      <c r="Q349">
        <f t="shared" si="23"/>
        <v>22.412153638290725</v>
      </c>
      <c r="R349" s="67" cm="1">
        <f t="array" ref="R349">SUMPRODUCT((J349=$J$7:$J$1000)*(P349&lt;$P$7:$P$1000))+1</f>
        <v>2</v>
      </c>
      <c r="S349" s="72"/>
    </row>
    <row r="350" spans="10:19" x14ac:dyDescent="0.35">
      <c r="J350" s="66">
        <v>12</v>
      </c>
      <c r="K350" t="s">
        <v>7</v>
      </c>
      <c r="L350" t="s">
        <v>207</v>
      </c>
      <c r="M350">
        <v>6.8</v>
      </c>
      <c r="N350" t="s">
        <v>3</v>
      </c>
      <c r="O350" t="s">
        <v>13</v>
      </c>
      <c r="P350">
        <f t="shared" si="24"/>
        <v>6.1975371929466831</v>
      </c>
      <c r="Q350">
        <f t="shared" si="23"/>
        <v>0.36296143388256186</v>
      </c>
      <c r="R350" s="67" cm="1">
        <f t="array" ref="R350">SUMPRODUCT((J350=$J$7:$J$1000)*(P350&lt;$P$7:$P$1000))+1</f>
        <v>20</v>
      </c>
      <c r="S350" s="72"/>
    </row>
    <row r="351" spans="10:19" x14ac:dyDescent="0.35">
      <c r="J351" s="66">
        <v>12</v>
      </c>
      <c r="K351" t="s">
        <v>17</v>
      </c>
      <c r="L351" t="s">
        <v>206</v>
      </c>
      <c r="M351">
        <v>6.7</v>
      </c>
      <c r="N351" t="s">
        <v>3</v>
      </c>
      <c r="O351" t="s">
        <v>6</v>
      </c>
      <c r="P351">
        <f t="shared" si="24"/>
        <v>6.0536346472613269</v>
      </c>
      <c r="Q351">
        <f t="shared" si="23"/>
        <v>0.41778816922098949</v>
      </c>
      <c r="R351" s="67" cm="1">
        <f t="array" ref="R351">SUMPRODUCT((J351=$J$7:$J$1000)*(P351&lt;$P$7:$P$1000))+1</f>
        <v>21</v>
      </c>
      <c r="S351" s="72"/>
    </row>
    <row r="352" spans="10:19" x14ac:dyDescent="0.35">
      <c r="J352" s="66">
        <v>12</v>
      </c>
      <c r="K352" t="s">
        <v>7</v>
      </c>
      <c r="L352" t="s">
        <v>202</v>
      </c>
      <c r="M352">
        <v>6.5</v>
      </c>
      <c r="N352" t="s">
        <v>3</v>
      </c>
      <c r="O352" t="s">
        <v>13</v>
      </c>
      <c r="P352">
        <f t="shared" si="24"/>
        <v>6.6060546440843169</v>
      </c>
      <c r="Q352">
        <f t="shared" si="23"/>
        <v>1.1247587531851126E-2</v>
      </c>
      <c r="R352" s="67" cm="1">
        <f t="array" ref="R352">SUMPRODUCT((J352=$J$7:$J$1000)*(P352&lt;$P$7:$P$1000))+1</f>
        <v>18</v>
      </c>
      <c r="S352" s="72"/>
    </row>
    <row r="353" spans="10:19" x14ac:dyDescent="0.35">
      <c r="J353" s="66">
        <v>12</v>
      </c>
      <c r="K353" t="s">
        <v>13</v>
      </c>
      <c r="L353" t="s">
        <v>210</v>
      </c>
      <c r="M353">
        <v>6.2</v>
      </c>
      <c r="N353" t="s">
        <v>9</v>
      </c>
      <c r="O353" t="s">
        <v>7</v>
      </c>
      <c r="P353">
        <f t="shared" si="24"/>
        <v>5.0976925634021422</v>
      </c>
      <c r="Q353">
        <f t="shared" si="23"/>
        <v>1.2150816847789407</v>
      </c>
      <c r="R353" s="67" cm="1">
        <f t="array" ref="R353">SUMPRODUCT((J353=$J$7:$J$1000)*(P353&lt;$P$7:$P$1000))+1</f>
        <v>25</v>
      </c>
      <c r="S353" s="72"/>
    </row>
    <row r="354" spans="10:19" x14ac:dyDescent="0.35">
      <c r="J354" s="66">
        <v>12</v>
      </c>
      <c r="K354" t="s">
        <v>4</v>
      </c>
      <c r="L354" t="s">
        <v>598</v>
      </c>
      <c r="M354">
        <v>6</v>
      </c>
      <c r="N354" t="s">
        <v>9</v>
      </c>
      <c r="O354" t="s">
        <v>34</v>
      </c>
      <c r="P354">
        <f t="shared" si="24"/>
        <v>5.9997824825219315</v>
      </c>
      <c r="Q354">
        <f t="shared" si="23"/>
        <v>4.7313853265293259E-8</v>
      </c>
      <c r="R354" s="67" cm="1">
        <f t="array" ref="R354">SUMPRODUCT((J354=$J$7:$J$1000)*(P354&lt;$P$7:$P$1000))+1</f>
        <v>22</v>
      </c>
      <c r="S354" s="72"/>
    </row>
    <row r="355" spans="10:19" x14ac:dyDescent="0.35">
      <c r="J355" s="66">
        <v>12</v>
      </c>
      <c r="K355" t="s">
        <v>17</v>
      </c>
      <c r="L355" t="s">
        <v>222</v>
      </c>
      <c r="M355">
        <v>5.9</v>
      </c>
      <c r="N355" t="s">
        <v>3</v>
      </c>
      <c r="O355" t="s">
        <v>6</v>
      </c>
      <c r="P355">
        <f t="shared" si="24"/>
        <v>8.5327677299538642</v>
      </c>
      <c r="Q355">
        <f t="shared" si="23"/>
        <v>6.9314659198864215</v>
      </c>
      <c r="R355" s="67" cm="1">
        <f t="array" ref="R355">SUMPRODUCT((J355=$J$7:$J$1000)*(P355&lt;$P$7:$P$1000))+1</f>
        <v>10</v>
      </c>
      <c r="S355" s="72"/>
    </row>
    <row r="356" spans="10:19" x14ac:dyDescent="0.35">
      <c r="J356" s="66">
        <v>12</v>
      </c>
      <c r="K356" t="s">
        <v>13</v>
      </c>
      <c r="L356" t="s">
        <v>210</v>
      </c>
      <c r="M356">
        <v>5.8</v>
      </c>
      <c r="N356" t="s">
        <v>3</v>
      </c>
      <c r="O356" t="s">
        <v>7</v>
      </c>
      <c r="P356">
        <f t="shared" si="24"/>
        <v>4.4976824376650191</v>
      </c>
      <c r="Q356">
        <f t="shared" si="23"/>
        <v>1.6960310331661266</v>
      </c>
      <c r="R356" s="67" cm="1">
        <f t="array" ref="R356">SUMPRODUCT((J356=$J$7:$J$1000)*(P356&lt;$P$7:$P$1000))+1</f>
        <v>29</v>
      </c>
      <c r="S356" s="72"/>
    </row>
    <row r="357" spans="10:19" x14ac:dyDescent="0.35">
      <c r="J357" s="66">
        <v>12</v>
      </c>
      <c r="K357" t="s">
        <v>7</v>
      </c>
      <c r="L357" t="s">
        <v>211</v>
      </c>
      <c r="M357">
        <v>5.2</v>
      </c>
      <c r="N357" t="s">
        <v>3</v>
      </c>
      <c r="O357" t="s">
        <v>13</v>
      </c>
      <c r="P357">
        <f t="shared" si="24"/>
        <v>4.603791460238531</v>
      </c>
      <c r="Q357">
        <f t="shared" si="23"/>
        <v>0.35546462288450331</v>
      </c>
      <c r="R357" s="67" cm="1">
        <f t="array" ref="R357">SUMPRODUCT((J357=$J$7:$J$1000)*(P357&lt;$P$7:$P$1000))+1</f>
        <v>28</v>
      </c>
      <c r="S357" s="72"/>
    </row>
    <row r="358" spans="10:19" x14ac:dyDescent="0.35">
      <c r="J358" s="66">
        <v>12</v>
      </c>
      <c r="K358" t="s">
        <v>6</v>
      </c>
      <c r="L358" t="s">
        <v>432</v>
      </c>
      <c r="M358">
        <v>4.4000000000000004</v>
      </c>
      <c r="N358" t="s">
        <v>9</v>
      </c>
      <c r="O358" t="s">
        <v>17</v>
      </c>
      <c r="P358">
        <f t="shared" si="24"/>
        <v>11.472947163020088</v>
      </c>
      <c r="Q358">
        <f t="shared" si="23"/>
        <v>50.026581570873901</v>
      </c>
      <c r="R358" s="67" cm="1">
        <f t="array" ref="R358">SUMPRODUCT((J358=$J$7:$J$1000)*(P358&lt;$P$7:$P$1000))+1</f>
        <v>4</v>
      </c>
      <c r="S358" s="72"/>
    </row>
    <row r="359" spans="10:19" x14ac:dyDescent="0.35">
      <c r="J359" s="66">
        <v>12</v>
      </c>
      <c r="K359" t="s">
        <v>36</v>
      </c>
      <c r="L359" t="s">
        <v>225</v>
      </c>
      <c r="M359">
        <v>4.0999999999999996</v>
      </c>
      <c r="N359" t="s">
        <v>9</v>
      </c>
      <c r="O359" t="s">
        <v>23</v>
      </c>
      <c r="P359">
        <f t="shared" si="24"/>
        <v>10.408601891811474</v>
      </c>
      <c r="Q359">
        <f t="shared" si="23"/>
        <v>39.798457829367308</v>
      </c>
      <c r="R359" s="67" cm="1">
        <f t="array" ref="R359">SUMPRODUCT((J359=$J$7:$J$1000)*(P359&lt;$P$7:$P$1000))+1</f>
        <v>6</v>
      </c>
      <c r="S359" s="72"/>
    </row>
    <row r="360" spans="10:19" x14ac:dyDescent="0.35">
      <c r="J360" s="66">
        <v>12</v>
      </c>
      <c r="K360" t="s">
        <v>13</v>
      </c>
      <c r="L360" t="s">
        <v>638</v>
      </c>
      <c r="M360">
        <v>3.9</v>
      </c>
      <c r="N360" t="s">
        <v>3</v>
      </c>
      <c r="O360" t="s">
        <v>7</v>
      </c>
      <c r="P360">
        <f t="shared" si="24"/>
        <v>4.4887819094837331</v>
      </c>
      <c r="Q360">
        <f t="shared" si="23"/>
        <v>0.34666413693531101</v>
      </c>
      <c r="R360" s="67" cm="1">
        <f t="array" ref="R360">SUMPRODUCT((J360=$J$7:$J$1000)*(P360&lt;$P$7:$P$1000))+1</f>
        <v>30</v>
      </c>
      <c r="S360" s="72"/>
    </row>
    <row r="361" spans="10:19" x14ac:dyDescent="0.35">
      <c r="J361" s="66">
        <v>12</v>
      </c>
      <c r="K361" t="s">
        <v>6</v>
      </c>
      <c r="L361" t="s">
        <v>433</v>
      </c>
      <c r="M361">
        <v>3.7</v>
      </c>
      <c r="N361" t="s">
        <v>9</v>
      </c>
      <c r="O361" t="s">
        <v>17</v>
      </c>
      <c r="P361">
        <f t="shared" si="24"/>
        <v>11.476324591454086</v>
      </c>
      <c r="Q361">
        <f t="shared" si="23"/>
        <v>60.471224151653551</v>
      </c>
      <c r="R361" s="67" cm="1">
        <f t="array" ref="R361">SUMPRODUCT((J361=$J$7:$J$1000)*(P361&lt;$P$7:$P$1000))+1</f>
        <v>3</v>
      </c>
      <c r="S361" s="72"/>
    </row>
    <row r="362" spans="10:19" x14ac:dyDescent="0.35">
      <c r="J362" s="66">
        <v>12</v>
      </c>
      <c r="K362" t="s">
        <v>36</v>
      </c>
      <c r="L362" t="s">
        <v>112</v>
      </c>
      <c r="M362">
        <v>3.6</v>
      </c>
      <c r="N362" t="s">
        <v>9</v>
      </c>
      <c r="O362" t="s">
        <v>23</v>
      </c>
      <c r="P362">
        <f t="shared" si="24"/>
        <v>4.6929305183108223</v>
      </c>
      <c r="Q362">
        <f t="shared" si="23"/>
        <v>1.1944971178551624</v>
      </c>
      <c r="R362" s="67" cm="1">
        <f t="array" ref="R362">SUMPRODUCT((J362=$J$7:$J$1000)*(P362&lt;$P$7:$P$1000))+1</f>
        <v>27</v>
      </c>
      <c r="S362" s="72"/>
    </row>
    <row r="363" spans="10:19" x14ac:dyDescent="0.35">
      <c r="J363" s="66">
        <v>12</v>
      </c>
      <c r="K363" t="s">
        <v>23</v>
      </c>
      <c r="L363" t="s">
        <v>229</v>
      </c>
      <c r="M363">
        <v>3.6</v>
      </c>
      <c r="N363" t="s">
        <v>3</v>
      </c>
      <c r="O363" t="s">
        <v>36</v>
      </c>
      <c r="P363">
        <f t="shared" si="24"/>
        <v>8.4287736804359561</v>
      </c>
      <c r="Q363">
        <f t="shared" ref="Q363:Q426" si="25">IFERROR(($M363-$P363)^2,"")</f>
        <v>23.317055256871011</v>
      </c>
      <c r="R363" s="67" cm="1">
        <f t="array" ref="R363">SUMPRODUCT((J363=$J$7:$J$1000)*(P363&lt;$P$7:$P$1000))+1</f>
        <v>11</v>
      </c>
      <c r="S363" s="72"/>
    </row>
    <row r="364" spans="10:19" x14ac:dyDescent="0.35">
      <c r="J364" s="66">
        <v>12</v>
      </c>
      <c r="K364" t="s">
        <v>34</v>
      </c>
      <c r="L364" t="s">
        <v>429</v>
      </c>
      <c r="M364">
        <v>3.4</v>
      </c>
      <c r="N364" t="s">
        <v>3</v>
      </c>
      <c r="O364" t="s">
        <v>4</v>
      </c>
      <c r="P364">
        <f t="shared" si="24"/>
        <v>10.41308568956145</v>
      </c>
      <c r="Q364">
        <f t="shared" si="25"/>
        <v>49.183370889131595</v>
      </c>
      <c r="R364" s="67" cm="1">
        <f t="array" ref="R364">SUMPRODUCT((J364=$J$7:$J$1000)*(P364&lt;$P$7:$P$1000))+1</f>
        <v>5</v>
      </c>
      <c r="S364" s="72"/>
    </row>
    <row r="365" spans="10:19" x14ac:dyDescent="0.35">
      <c r="J365" s="66">
        <v>12</v>
      </c>
      <c r="K365" t="s">
        <v>34</v>
      </c>
      <c r="L365" t="s">
        <v>227</v>
      </c>
      <c r="M365">
        <v>3.1</v>
      </c>
      <c r="N365" t="s">
        <v>9</v>
      </c>
      <c r="O365" t="s">
        <v>4</v>
      </c>
      <c r="P365">
        <f t="shared" si="24"/>
        <v>3.9391716400009313</v>
      </c>
      <c r="Q365">
        <f t="shared" si="25"/>
        <v>0.70420904138185259</v>
      </c>
      <c r="R365" s="67" cm="1">
        <f t="array" ref="R365">SUMPRODUCT((J365=$J$7:$J$1000)*(P365&lt;$P$7:$P$1000))+1</f>
        <v>31</v>
      </c>
      <c r="S365" s="72"/>
    </row>
    <row r="366" spans="10:19" x14ac:dyDescent="0.35">
      <c r="J366" s="66">
        <v>12</v>
      </c>
      <c r="K366" t="s">
        <v>13</v>
      </c>
      <c r="L366" t="s">
        <v>689</v>
      </c>
      <c r="M366">
        <v>2.7</v>
      </c>
      <c r="N366" t="s">
        <v>9</v>
      </c>
      <c r="O366" t="s">
        <v>7</v>
      </c>
      <c r="P366">
        <f t="shared" si="24"/>
        <v>2.6953072623664589</v>
      </c>
      <c r="Q366">
        <f t="shared" si="25"/>
        <v>2.202178649725459E-5</v>
      </c>
      <c r="R366" s="67" cm="1">
        <f t="array" ref="R366">SUMPRODUCT((J366=$J$7:$J$1000)*(P366&lt;$P$7:$P$1000))+1</f>
        <v>34</v>
      </c>
      <c r="S366" s="72"/>
    </row>
    <row r="367" spans="10:19" x14ac:dyDescent="0.35">
      <c r="J367" s="66">
        <v>12</v>
      </c>
      <c r="K367" t="s">
        <v>34</v>
      </c>
      <c r="L367" t="s">
        <v>678</v>
      </c>
      <c r="M367">
        <v>1.8</v>
      </c>
      <c r="N367" t="s">
        <v>9</v>
      </c>
      <c r="O367" t="s">
        <v>4</v>
      </c>
      <c r="P367">
        <f t="shared" si="24"/>
        <v>1.8025197873187273</v>
      </c>
      <c r="Q367">
        <f t="shared" si="25"/>
        <v>6.3493281316187262E-6</v>
      </c>
      <c r="R367" s="67" cm="1">
        <f t="array" ref="R367">SUMPRODUCT((J367=$J$7:$J$1000)*(P367&lt;$P$7:$P$1000))+1</f>
        <v>35</v>
      </c>
      <c r="S367" s="72"/>
    </row>
    <row r="368" spans="10:19" x14ac:dyDescent="0.35">
      <c r="J368" s="66">
        <v>12</v>
      </c>
      <c r="K368" t="s">
        <v>13</v>
      </c>
      <c r="L368" t="s">
        <v>670</v>
      </c>
      <c r="M368">
        <v>1.6</v>
      </c>
      <c r="N368" t="s">
        <v>9</v>
      </c>
      <c r="O368" t="s">
        <v>7</v>
      </c>
      <c r="P368">
        <f t="shared" si="24"/>
        <v>0.2061309702840447</v>
      </c>
      <c r="Q368">
        <f t="shared" si="25"/>
        <v>1.9428708720012993</v>
      </c>
      <c r="R368" s="67" cm="1">
        <f t="array" ref="R368">SUMPRODUCT((J368=$J$7:$J$1000)*(P368&lt;$P$7:$P$1000))+1</f>
        <v>36</v>
      </c>
      <c r="S368" s="72"/>
    </row>
    <row r="369" spans="10:19" x14ac:dyDescent="0.35">
      <c r="J369" s="66">
        <v>12</v>
      </c>
      <c r="K369" t="s">
        <v>2</v>
      </c>
      <c r="L369" t="s">
        <v>212</v>
      </c>
      <c r="M369">
        <v>0.1</v>
      </c>
      <c r="N369" t="s">
        <v>3</v>
      </c>
      <c r="O369" t="s">
        <v>24</v>
      </c>
      <c r="P369">
        <f t="shared" si="24"/>
        <v>7.7500282446075959</v>
      </c>
      <c r="Q369">
        <f t="shared" si="25"/>
        <v>58.522932143293978</v>
      </c>
      <c r="R369" s="67" cm="1">
        <f t="array" ref="R369">SUMPRODUCT((J369=$J$7:$J$1000)*(P369&lt;$P$7:$P$1000))+1</f>
        <v>13</v>
      </c>
      <c r="S369" s="72"/>
    </row>
    <row r="370" spans="10:19" x14ac:dyDescent="0.35">
      <c r="J370" s="66">
        <v>13</v>
      </c>
      <c r="K370" t="s">
        <v>14</v>
      </c>
      <c r="L370" t="s">
        <v>197</v>
      </c>
      <c r="M370" t="s">
        <v>256</v>
      </c>
      <c r="N370" t="s">
        <v>9</v>
      </c>
      <c r="O370" t="s">
        <v>6</v>
      </c>
      <c r="P370">
        <f t="shared" si="24"/>
        <v>4.2397848294343374</v>
      </c>
      <c r="Q370" t="str">
        <f t="shared" si="25"/>
        <v/>
      </c>
      <c r="R370" s="67" cm="1">
        <f t="array" ref="R370">SUMPRODUCT((J370=$J$7:$J$1000)*(P370&lt;$P$7:$P$1000))+1</f>
        <v>51</v>
      </c>
      <c r="S370" s="72"/>
    </row>
    <row r="371" spans="10:19" x14ac:dyDescent="0.35">
      <c r="J371">
        <v>13</v>
      </c>
      <c r="K371" t="s">
        <v>14</v>
      </c>
      <c r="L371" t="s">
        <v>540</v>
      </c>
      <c r="M371" t="s">
        <v>256</v>
      </c>
      <c r="N371" t="s">
        <v>9</v>
      </c>
      <c r="O371" t="s">
        <v>6</v>
      </c>
      <c r="P371">
        <f t="shared" si="24"/>
        <v>6.7814522949758373</v>
      </c>
      <c r="Q371" t="str">
        <f t="shared" si="25"/>
        <v/>
      </c>
      <c r="R371" s="67" cm="1">
        <f t="array" ref="R371">SUMPRODUCT((J371=$J$7:$J$1000)*(P371&lt;$P$7:$P$1000))+1</f>
        <v>27</v>
      </c>
      <c r="S371" s="72"/>
    </row>
    <row r="372" spans="10:19" x14ac:dyDescent="0.35">
      <c r="J372">
        <v>13</v>
      </c>
      <c r="K372" t="s">
        <v>14</v>
      </c>
      <c r="L372" t="s">
        <v>548</v>
      </c>
      <c r="M372" t="s">
        <v>256</v>
      </c>
      <c r="N372" t="s">
        <v>9</v>
      </c>
      <c r="O372" t="s">
        <v>6</v>
      </c>
      <c r="P372">
        <f t="shared" si="24"/>
        <v>5.23782882693407</v>
      </c>
      <c r="Q372" t="str">
        <f t="shared" si="25"/>
        <v/>
      </c>
      <c r="R372" s="67" cm="1">
        <f t="array" ref="R372">SUMPRODUCT((J372=$J$7:$J$1000)*(P372&lt;$P$7:$P$1000))+1</f>
        <v>43</v>
      </c>
      <c r="S372" s="72"/>
    </row>
    <row r="373" spans="10:19" x14ac:dyDescent="0.35">
      <c r="J373" s="66">
        <v>13</v>
      </c>
      <c r="K373" t="s">
        <v>14</v>
      </c>
      <c r="L373" t="s">
        <v>203</v>
      </c>
      <c r="M373" t="s">
        <v>256</v>
      </c>
      <c r="N373" t="s">
        <v>9</v>
      </c>
      <c r="O373" t="s">
        <v>6</v>
      </c>
      <c r="P373">
        <f t="shared" si="24"/>
        <v>4.0489855864536528</v>
      </c>
      <c r="Q373" t="str">
        <f t="shared" si="25"/>
        <v/>
      </c>
      <c r="R373" s="67" cm="1">
        <f t="array" ref="R373">SUMPRODUCT((J373=$J$7:$J$1000)*(P373&lt;$P$7:$P$1000))+1</f>
        <v>54</v>
      </c>
      <c r="S373" s="72"/>
    </row>
    <row r="374" spans="10:19" x14ac:dyDescent="0.35">
      <c r="J374" s="66">
        <v>13</v>
      </c>
      <c r="K374" t="s">
        <v>14</v>
      </c>
      <c r="L374" t="s">
        <v>642</v>
      </c>
      <c r="M374" t="s">
        <v>256</v>
      </c>
      <c r="N374" t="s">
        <v>9</v>
      </c>
      <c r="O374" t="s">
        <v>6</v>
      </c>
      <c r="P374">
        <f t="shared" si="24"/>
        <v>6.3538156829622343</v>
      </c>
      <c r="Q374" t="str">
        <f t="shared" si="25"/>
        <v/>
      </c>
      <c r="R374" s="67" cm="1">
        <f t="array" ref="R374">SUMPRODUCT((J374=$J$7:$J$1000)*(P374&lt;$P$7:$P$1000))+1</f>
        <v>33</v>
      </c>
      <c r="S374" s="72"/>
    </row>
    <row r="375" spans="10:19" x14ac:dyDescent="0.35">
      <c r="J375" s="66">
        <v>13</v>
      </c>
      <c r="K375" t="s">
        <v>14</v>
      </c>
      <c r="L375" t="s">
        <v>396</v>
      </c>
      <c r="M375" t="s">
        <v>256</v>
      </c>
      <c r="N375" t="s">
        <v>9</v>
      </c>
      <c r="O375" t="s">
        <v>6</v>
      </c>
      <c r="P375">
        <f t="shared" si="24"/>
        <v>8.4967311654698694</v>
      </c>
      <c r="Q375" t="str">
        <f t="shared" si="25"/>
        <v/>
      </c>
      <c r="R375" s="67" cm="1">
        <f t="array" ref="R375">SUMPRODUCT((J375=$J$7:$J$1000)*(P375&lt;$P$7:$P$1000))+1</f>
        <v>15</v>
      </c>
      <c r="S375" s="72"/>
    </row>
    <row r="376" spans="10:19" x14ac:dyDescent="0.35">
      <c r="J376">
        <v>13</v>
      </c>
      <c r="K376" t="s">
        <v>14</v>
      </c>
      <c r="L376" t="s">
        <v>107</v>
      </c>
      <c r="M376" t="s">
        <v>256</v>
      </c>
      <c r="N376" t="s">
        <v>9</v>
      </c>
      <c r="O376" t="s">
        <v>6</v>
      </c>
      <c r="P376">
        <f t="shared" si="24"/>
        <v>5.8808243371832027</v>
      </c>
      <c r="Q376" t="str">
        <f t="shared" si="25"/>
        <v/>
      </c>
      <c r="R376" s="67" cm="1">
        <f t="array" ref="R376">SUMPRODUCT((J376=$J$7:$J$1000)*(P376&lt;$P$7:$P$1000))+1</f>
        <v>35</v>
      </c>
      <c r="S376" s="72"/>
    </row>
    <row r="377" spans="10:19" x14ac:dyDescent="0.35">
      <c r="J377" s="66">
        <v>13</v>
      </c>
      <c r="K377" t="s">
        <v>14</v>
      </c>
      <c r="L377" t="s">
        <v>514</v>
      </c>
      <c r="M377" t="s">
        <v>256</v>
      </c>
      <c r="N377" t="s">
        <v>9</v>
      </c>
      <c r="O377" t="s">
        <v>6</v>
      </c>
      <c r="P377">
        <f t="shared" si="24"/>
        <v>5.3221918336204244</v>
      </c>
      <c r="Q377" t="str">
        <f t="shared" si="25"/>
        <v/>
      </c>
      <c r="R377" s="67" cm="1">
        <f t="array" ref="R377">SUMPRODUCT((J377=$J$7:$J$1000)*(P377&lt;$P$7:$P$1000))+1</f>
        <v>40</v>
      </c>
      <c r="S377" s="72"/>
    </row>
    <row r="378" spans="10:19" x14ac:dyDescent="0.35">
      <c r="J378" s="66">
        <v>13</v>
      </c>
      <c r="K378" t="s">
        <v>2</v>
      </c>
      <c r="L378" t="s">
        <v>665</v>
      </c>
      <c r="M378" t="s">
        <v>256</v>
      </c>
      <c r="N378" t="s">
        <v>9</v>
      </c>
      <c r="O378" t="s">
        <v>23</v>
      </c>
      <c r="P378">
        <f t="shared" si="24"/>
        <v>2.3887152893381645</v>
      </c>
      <c r="Q378" t="str">
        <f t="shared" si="25"/>
        <v/>
      </c>
      <c r="R378" s="67" cm="1">
        <f t="array" ref="R378">SUMPRODUCT((J378=$J$7:$J$1000)*(P378&lt;$P$7:$P$1000))+1</f>
        <v>60</v>
      </c>
      <c r="S378" s="72"/>
    </row>
    <row r="379" spans="10:19" x14ac:dyDescent="0.35">
      <c r="J379" s="66">
        <v>13</v>
      </c>
      <c r="K379" t="s">
        <v>2</v>
      </c>
      <c r="L379" t="s">
        <v>530</v>
      </c>
      <c r="M379" t="s">
        <v>256</v>
      </c>
      <c r="N379" t="s">
        <v>9</v>
      </c>
      <c r="O379" t="s">
        <v>23</v>
      </c>
      <c r="P379">
        <f t="shared" si="24"/>
        <v>5.1784373819299647</v>
      </c>
      <c r="Q379" t="str">
        <f t="shared" si="25"/>
        <v/>
      </c>
      <c r="R379" s="67" cm="1">
        <f t="array" ref="R379">SUMPRODUCT((J379=$J$7:$J$1000)*(P379&lt;$P$7:$P$1000))+1</f>
        <v>44</v>
      </c>
      <c r="S379" s="72"/>
    </row>
    <row r="380" spans="10:19" x14ac:dyDescent="0.35">
      <c r="J380">
        <v>13</v>
      </c>
      <c r="K380" t="s">
        <v>2</v>
      </c>
      <c r="L380" t="s">
        <v>212</v>
      </c>
      <c r="M380" t="s">
        <v>256</v>
      </c>
      <c r="N380" t="s">
        <v>9</v>
      </c>
      <c r="O380" t="s">
        <v>23</v>
      </c>
      <c r="P380">
        <f t="shared" si="24"/>
        <v>7.0948290734571327</v>
      </c>
      <c r="Q380" t="str">
        <f t="shared" si="25"/>
        <v/>
      </c>
      <c r="R380" s="67" cm="1">
        <f t="array" ref="R380">SUMPRODUCT((J380=$J$7:$J$1000)*(P380&lt;$P$7:$P$1000))+1</f>
        <v>24</v>
      </c>
      <c r="S380" s="72"/>
    </row>
    <row r="381" spans="10:19" x14ac:dyDescent="0.35">
      <c r="J381" s="66">
        <v>13</v>
      </c>
      <c r="K381" t="s">
        <v>2</v>
      </c>
      <c r="L381" t="s">
        <v>585</v>
      </c>
      <c r="M381" t="s">
        <v>256</v>
      </c>
      <c r="N381" t="s">
        <v>9</v>
      </c>
      <c r="O381" t="s">
        <v>23</v>
      </c>
      <c r="P381">
        <f t="shared" si="24"/>
        <v>2.9133326308665692</v>
      </c>
      <c r="Q381" t="str">
        <f t="shared" si="25"/>
        <v/>
      </c>
      <c r="R381" s="67" cm="1">
        <f t="array" ref="R381">SUMPRODUCT((J381=$J$7:$J$1000)*(P381&lt;$P$7:$P$1000))+1</f>
        <v>58</v>
      </c>
      <c r="S381" s="72"/>
    </row>
    <row r="382" spans="10:19" x14ac:dyDescent="0.35">
      <c r="J382" s="66">
        <v>13</v>
      </c>
      <c r="K382" t="s">
        <v>2</v>
      </c>
      <c r="L382" t="s">
        <v>213</v>
      </c>
      <c r="M382" t="s">
        <v>256</v>
      </c>
      <c r="N382" t="s">
        <v>9</v>
      </c>
      <c r="O382" t="s">
        <v>23</v>
      </c>
      <c r="P382">
        <f t="shared" si="24"/>
        <v>8.4144577457094005</v>
      </c>
      <c r="Q382" t="str">
        <f t="shared" si="25"/>
        <v/>
      </c>
      <c r="R382" s="67" cm="1">
        <f t="array" ref="R382">SUMPRODUCT((J382=$J$7:$J$1000)*(P382&lt;$P$7:$P$1000))+1</f>
        <v>17</v>
      </c>
      <c r="S382" s="72"/>
    </row>
    <row r="383" spans="10:19" x14ac:dyDescent="0.35">
      <c r="J383" s="66">
        <v>13</v>
      </c>
      <c r="K383" t="s">
        <v>2</v>
      </c>
      <c r="L383" t="s">
        <v>115</v>
      </c>
      <c r="M383" t="s">
        <v>256</v>
      </c>
      <c r="N383" t="s">
        <v>9</v>
      </c>
      <c r="O383" t="s">
        <v>23</v>
      </c>
      <c r="P383">
        <f t="shared" si="24"/>
        <v>8.0566601475035409</v>
      </c>
      <c r="Q383" t="str">
        <f t="shared" si="25"/>
        <v/>
      </c>
      <c r="R383" s="67" cm="1">
        <f t="array" ref="R383">SUMPRODUCT((J383=$J$7:$J$1000)*(P383&lt;$P$7:$P$1000))+1</f>
        <v>20</v>
      </c>
      <c r="S383" s="72"/>
    </row>
    <row r="384" spans="10:19" x14ac:dyDescent="0.35">
      <c r="J384" s="66">
        <v>13</v>
      </c>
      <c r="K384" t="s">
        <v>2</v>
      </c>
      <c r="L384" t="s">
        <v>589</v>
      </c>
      <c r="M384" t="s">
        <v>256</v>
      </c>
      <c r="N384" t="s">
        <v>9</v>
      </c>
      <c r="O384" t="s">
        <v>23</v>
      </c>
      <c r="P384">
        <f t="shared" si="24"/>
        <v>5.488553539944923</v>
      </c>
      <c r="Q384" t="str">
        <f t="shared" si="25"/>
        <v/>
      </c>
      <c r="R384" s="67" cm="1">
        <f t="array" ref="R384">SUMPRODUCT((J384=$J$7:$J$1000)*(P384&lt;$P$7:$P$1000))+1</f>
        <v>38</v>
      </c>
      <c r="S384" s="72"/>
    </row>
    <row r="385" spans="10:19" x14ac:dyDescent="0.35">
      <c r="J385" s="66">
        <v>13</v>
      </c>
      <c r="K385" t="s">
        <v>36</v>
      </c>
      <c r="L385" t="s">
        <v>205</v>
      </c>
      <c r="M385" t="s">
        <v>256</v>
      </c>
      <c r="N385" t="s">
        <v>9</v>
      </c>
      <c r="O385" t="s">
        <v>34</v>
      </c>
      <c r="P385">
        <f t="shared" si="24"/>
        <v>8.2478045776754207</v>
      </c>
      <c r="Q385" t="str">
        <f t="shared" si="25"/>
        <v/>
      </c>
      <c r="R385" s="67" cm="1">
        <f t="array" ref="R385">SUMPRODUCT((J385=$J$7:$J$1000)*(P385&lt;$P$7:$P$1000))+1</f>
        <v>18</v>
      </c>
      <c r="S385" s="72"/>
    </row>
    <row r="386" spans="10:19" x14ac:dyDescent="0.35">
      <c r="J386" s="66">
        <v>13</v>
      </c>
      <c r="K386" t="s">
        <v>36</v>
      </c>
      <c r="L386" t="s">
        <v>112</v>
      </c>
      <c r="M386" t="s">
        <v>256</v>
      </c>
      <c r="N386" t="s">
        <v>9</v>
      </c>
      <c r="O386" t="s">
        <v>34</v>
      </c>
      <c r="P386">
        <f t="shared" si="24"/>
        <v>7.2145174034184496</v>
      </c>
      <c r="Q386" t="str">
        <f t="shared" si="25"/>
        <v/>
      </c>
      <c r="R386" s="67" cm="1">
        <f t="array" ref="R386">SUMPRODUCT((J386=$J$7:$J$1000)*(P386&lt;$P$7:$P$1000))+1</f>
        <v>23</v>
      </c>
      <c r="S386" s="72"/>
    </row>
    <row r="387" spans="10:19" x14ac:dyDescent="0.35">
      <c r="J387" s="66">
        <v>13</v>
      </c>
      <c r="K387" t="s">
        <v>36</v>
      </c>
      <c r="L387" t="s">
        <v>576</v>
      </c>
      <c r="M387" t="s">
        <v>256</v>
      </c>
      <c r="N387" t="s">
        <v>9</v>
      </c>
      <c r="O387" t="s">
        <v>34</v>
      </c>
      <c r="P387">
        <f t="shared" si="24"/>
        <v>3.5932114109409254</v>
      </c>
      <c r="Q387" t="str">
        <f t="shared" si="25"/>
        <v/>
      </c>
      <c r="R387" s="67" cm="1">
        <f t="array" ref="R387">SUMPRODUCT((J387=$J$7:$J$1000)*(P387&lt;$P$7:$P$1000))+1</f>
        <v>56</v>
      </c>
      <c r="S387" s="72"/>
    </row>
    <row r="388" spans="10:19" x14ac:dyDescent="0.35">
      <c r="J388" s="66">
        <v>13</v>
      </c>
      <c r="K388" t="s">
        <v>36</v>
      </c>
      <c r="L388" t="s">
        <v>216</v>
      </c>
      <c r="M388" t="s">
        <v>256</v>
      </c>
      <c r="N388" t="s">
        <v>9</v>
      </c>
      <c r="O388" t="s">
        <v>34</v>
      </c>
      <c r="P388">
        <f t="shared" si="24"/>
        <v>5.9730787359230302</v>
      </c>
      <c r="Q388" t="str">
        <f t="shared" si="25"/>
        <v/>
      </c>
      <c r="R388" s="67" cm="1">
        <f t="array" ref="R388">SUMPRODUCT((J388=$J$7:$J$1000)*(P388&lt;$P$7:$P$1000))+1</f>
        <v>34</v>
      </c>
      <c r="S388" s="72"/>
    </row>
    <row r="389" spans="10:19" x14ac:dyDescent="0.35">
      <c r="J389" s="66">
        <v>13</v>
      </c>
      <c r="K389" t="s">
        <v>36</v>
      </c>
      <c r="L389" t="s">
        <v>224</v>
      </c>
      <c r="M389" t="s">
        <v>256</v>
      </c>
      <c r="N389" t="s">
        <v>9</v>
      </c>
      <c r="O389" t="s">
        <v>34</v>
      </c>
      <c r="P389">
        <f t="shared" si="24"/>
        <v>4.5147437073927517</v>
      </c>
      <c r="Q389" t="str">
        <f t="shared" si="25"/>
        <v/>
      </c>
      <c r="R389" s="67" cm="1">
        <f t="array" ref="R389">SUMPRODUCT((J389=$J$7:$J$1000)*(P389&lt;$P$7:$P$1000))+1</f>
        <v>49</v>
      </c>
      <c r="S389" s="72"/>
    </row>
    <row r="390" spans="10:19" x14ac:dyDescent="0.35">
      <c r="J390">
        <v>13</v>
      </c>
      <c r="K390" t="s">
        <v>36</v>
      </c>
      <c r="L390" t="s">
        <v>225</v>
      </c>
      <c r="M390" t="s">
        <v>256</v>
      </c>
      <c r="N390" t="s">
        <v>9</v>
      </c>
      <c r="O390" t="s">
        <v>34</v>
      </c>
      <c r="P390">
        <f t="shared" si="24"/>
        <v>12.930188776919101</v>
      </c>
      <c r="Q390" t="str">
        <f t="shared" si="25"/>
        <v/>
      </c>
      <c r="R390" s="67" cm="1">
        <f t="array" ref="R390">SUMPRODUCT((J390=$J$7:$J$1000)*(P390&lt;$P$7:$P$1000))+1</f>
        <v>2</v>
      </c>
      <c r="S390" s="72"/>
    </row>
    <row r="391" spans="10:19" x14ac:dyDescent="0.35">
      <c r="J391" s="66">
        <v>13</v>
      </c>
      <c r="K391" t="s">
        <v>6</v>
      </c>
      <c r="L391" t="s">
        <v>432</v>
      </c>
      <c r="M391" t="s">
        <v>256</v>
      </c>
      <c r="N391" t="s">
        <v>3</v>
      </c>
      <c r="O391" t="s">
        <v>14</v>
      </c>
      <c r="P391">
        <f t="shared" si="24"/>
        <v>11.503509890160412</v>
      </c>
      <c r="Q391" t="str">
        <f t="shared" si="25"/>
        <v/>
      </c>
      <c r="R391" s="67" cm="1">
        <f t="array" ref="R391">SUMPRODUCT((J391=$J$7:$J$1000)*(P391&lt;$P$7:$P$1000))+1</f>
        <v>6</v>
      </c>
      <c r="S391" s="72"/>
    </row>
    <row r="392" spans="10:19" x14ac:dyDescent="0.35">
      <c r="J392" s="66">
        <v>13</v>
      </c>
      <c r="K392" t="s">
        <v>6</v>
      </c>
      <c r="L392" t="s">
        <v>433</v>
      </c>
      <c r="M392" t="s">
        <v>256</v>
      </c>
      <c r="N392" t="s">
        <v>3</v>
      </c>
      <c r="O392" t="s">
        <v>14</v>
      </c>
      <c r="P392">
        <f t="shared" ref="P392:P455" si="26">VLOOKUP($N392,$F$3:$G$4,2,FALSE)+VLOOKUP($L392,$B$20:$C$150,2,FALSE)+VLOOKUP($O392,$A$6:$B$16,2,FALSE)</f>
        <v>11.50688731859441</v>
      </c>
      <c r="Q392" t="str">
        <f t="shared" si="25"/>
        <v/>
      </c>
      <c r="R392" s="67" cm="1">
        <f t="array" ref="R392">SUMPRODUCT((J392=$J$7:$J$1000)*(P392&lt;$P$7:$P$1000))+1</f>
        <v>5</v>
      </c>
      <c r="S392" s="72"/>
    </row>
    <row r="393" spans="10:19" x14ac:dyDescent="0.35">
      <c r="J393" s="66">
        <v>13</v>
      </c>
      <c r="K393" t="s">
        <v>6</v>
      </c>
      <c r="L393" t="s">
        <v>208</v>
      </c>
      <c r="M393" t="s">
        <v>256</v>
      </c>
      <c r="N393" t="s">
        <v>3</v>
      </c>
      <c r="O393" t="s">
        <v>14</v>
      </c>
      <c r="P393">
        <f t="shared" si="26"/>
        <v>6.670250963719222</v>
      </c>
      <c r="Q393" t="str">
        <f t="shared" si="25"/>
        <v/>
      </c>
      <c r="R393" s="67" cm="1">
        <f t="array" ref="R393">SUMPRODUCT((J393=$J$7:$J$1000)*(P393&lt;$P$7:$P$1000))+1</f>
        <v>29</v>
      </c>
      <c r="S393" s="72"/>
    </row>
    <row r="394" spans="10:19" x14ac:dyDescent="0.35">
      <c r="J394" s="66">
        <v>13</v>
      </c>
      <c r="K394" t="s">
        <v>6</v>
      </c>
      <c r="L394" t="s">
        <v>219</v>
      </c>
      <c r="M394" t="s">
        <v>256</v>
      </c>
      <c r="N394" t="s">
        <v>3</v>
      </c>
      <c r="O394" t="s">
        <v>14</v>
      </c>
      <c r="P394">
        <f t="shared" si="26"/>
        <v>6.5045530058504397</v>
      </c>
      <c r="Q394" t="str">
        <f t="shared" si="25"/>
        <v/>
      </c>
      <c r="R394" s="67" cm="1">
        <f t="array" ref="R394">SUMPRODUCT((J394=$J$7:$J$1000)*(P394&lt;$P$7:$P$1000))+1</f>
        <v>31</v>
      </c>
      <c r="S394" s="72"/>
    </row>
    <row r="395" spans="10:19" x14ac:dyDescent="0.35">
      <c r="J395" s="66">
        <v>13</v>
      </c>
      <c r="K395" t="s">
        <v>6</v>
      </c>
      <c r="L395" t="s">
        <v>603</v>
      </c>
      <c r="M395" t="s">
        <v>256</v>
      </c>
      <c r="N395" t="s">
        <v>3</v>
      </c>
      <c r="O395" t="s">
        <v>14</v>
      </c>
      <c r="P395">
        <f t="shared" si="26"/>
        <v>11.287923936508212</v>
      </c>
      <c r="Q395" t="str">
        <f t="shared" si="25"/>
        <v/>
      </c>
      <c r="R395" s="67" cm="1">
        <f t="array" ref="R395">SUMPRODUCT((J395=$J$7:$J$1000)*(P395&lt;$P$7:$P$1000))+1</f>
        <v>7</v>
      </c>
      <c r="S395" s="72"/>
    </row>
    <row r="396" spans="10:19" x14ac:dyDescent="0.35">
      <c r="J396" s="66">
        <v>13</v>
      </c>
      <c r="K396" t="s">
        <v>6</v>
      </c>
      <c r="L396" t="s">
        <v>430</v>
      </c>
      <c r="M396" t="s">
        <v>256</v>
      </c>
      <c r="N396" t="s">
        <v>3</v>
      </c>
      <c r="O396" t="s">
        <v>14</v>
      </c>
      <c r="P396">
        <f t="shared" si="26"/>
        <v>4.8407174851485664</v>
      </c>
      <c r="Q396" t="str">
        <f t="shared" si="25"/>
        <v/>
      </c>
      <c r="R396" s="67" cm="1">
        <f t="array" ref="R396">SUMPRODUCT((J396=$J$7:$J$1000)*(P396&lt;$P$7:$P$1000))+1</f>
        <v>48</v>
      </c>
      <c r="S396" s="72"/>
    </row>
    <row r="397" spans="10:19" x14ac:dyDescent="0.35">
      <c r="J397" s="66">
        <v>13</v>
      </c>
      <c r="K397" t="s">
        <v>24</v>
      </c>
      <c r="L397" t="s">
        <v>199</v>
      </c>
      <c r="M397" t="s">
        <v>256</v>
      </c>
      <c r="N397" t="s">
        <v>9</v>
      </c>
      <c r="O397" t="s">
        <v>4</v>
      </c>
      <c r="P397">
        <f t="shared" si="26"/>
        <v>9.9393610263871199</v>
      </c>
      <c r="Q397" t="str">
        <f t="shared" si="25"/>
        <v/>
      </c>
      <c r="R397" s="67" cm="1">
        <f t="array" ref="R397">SUMPRODUCT((J397=$J$7:$J$1000)*(P397&lt;$P$7:$P$1000))+1</f>
        <v>9</v>
      </c>
      <c r="S397" s="72"/>
    </row>
    <row r="398" spans="10:19" x14ac:dyDescent="0.35">
      <c r="J398" s="66">
        <v>13</v>
      </c>
      <c r="K398" t="s">
        <v>24</v>
      </c>
      <c r="L398" t="s">
        <v>215</v>
      </c>
      <c r="M398" t="s">
        <v>256</v>
      </c>
      <c r="N398" t="s">
        <v>9</v>
      </c>
      <c r="O398" t="s">
        <v>4</v>
      </c>
      <c r="P398">
        <f t="shared" si="26"/>
        <v>13.274347308661097</v>
      </c>
      <c r="Q398" t="str">
        <f t="shared" si="25"/>
        <v/>
      </c>
      <c r="R398" s="67" cm="1">
        <f t="array" ref="R398">SUMPRODUCT((J398=$J$7:$J$1000)*(P398&lt;$P$7:$P$1000))+1</f>
        <v>1</v>
      </c>
      <c r="S398" s="72"/>
    </row>
    <row r="399" spans="10:19" x14ac:dyDescent="0.35">
      <c r="J399" s="66">
        <v>13</v>
      </c>
      <c r="K399" t="s">
        <v>24</v>
      </c>
      <c r="L399" t="s">
        <v>217</v>
      </c>
      <c r="M399" t="s">
        <v>256</v>
      </c>
      <c r="N399" t="s">
        <v>9</v>
      </c>
      <c r="O399" t="s">
        <v>4</v>
      </c>
      <c r="P399">
        <f t="shared" si="26"/>
        <v>5.0009318466479753</v>
      </c>
      <c r="Q399" t="str">
        <f t="shared" si="25"/>
        <v/>
      </c>
      <c r="R399" s="67" cm="1">
        <f t="array" ref="R399">SUMPRODUCT((J399=$J$7:$J$1000)*(P399&lt;$P$7:$P$1000))+1</f>
        <v>47</v>
      </c>
      <c r="S399" s="72"/>
    </row>
    <row r="400" spans="10:19" x14ac:dyDescent="0.35">
      <c r="J400" s="66">
        <v>13</v>
      </c>
      <c r="K400" t="s">
        <v>24</v>
      </c>
      <c r="L400" t="s">
        <v>223</v>
      </c>
      <c r="M400" t="s">
        <v>256</v>
      </c>
      <c r="N400" t="s">
        <v>9</v>
      </c>
      <c r="O400" t="s">
        <v>4</v>
      </c>
      <c r="P400">
        <f t="shared" si="26"/>
        <v>6.6732386566498958</v>
      </c>
      <c r="Q400" t="str">
        <f t="shared" si="25"/>
        <v/>
      </c>
      <c r="R400" s="67" cm="1">
        <f t="array" ref="R400">SUMPRODUCT((J400=$J$7:$J$1000)*(P400&lt;$P$7:$P$1000))+1</f>
        <v>28</v>
      </c>
      <c r="S400" s="72"/>
    </row>
    <row r="401" spans="10:19" x14ac:dyDescent="0.35">
      <c r="J401">
        <v>13</v>
      </c>
      <c r="K401" t="s">
        <v>24</v>
      </c>
      <c r="L401" t="s">
        <v>607</v>
      </c>
      <c r="M401" t="s">
        <v>256</v>
      </c>
      <c r="N401" t="s">
        <v>9</v>
      </c>
      <c r="O401" t="s">
        <v>4</v>
      </c>
      <c r="P401">
        <f t="shared" si="26"/>
        <v>3.1998461343114322</v>
      </c>
      <c r="Q401" t="str">
        <f t="shared" si="25"/>
        <v/>
      </c>
      <c r="R401" s="67" cm="1">
        <f t="array" ref="R401">SUMPRODUCT((J401=$J$7:$J$1000)*(P401&lt;$P$7:$P$1000))+1</f>
        <v>57</v>
      </c>
      <c r="S401" s="72"/>
    </row>
    <row r="402" spans="10:19" x14ac:dyDescent="0.35">
      <c r="J402" s="66">
        <v>13</v>
      </c>
      <c r="K402" t="s">
        <v>24</v>
      </c>
      <c r="L402" t="s">
        <v>511</v>
      </c>
      <c r="M402" t="s">
        <v>256</v>
      </c>
      <c r="N402" t="s">
        <v>9</v>
      </c>
      <c r="O402" t="s">
        <v>4</v>
      </c>
      <c r="P402">
        <f t="shared" si="26"/>
        <v>5.0996587710658625</v>
      </c>
      <c r="Q402" t="str">
        <f t="shared" si="25"/>
        <v/>
      </c>
      <c r="R402" s="67" cm="1">
        <f t="array" ref="R402">SUMPRODUCT((J402=$J$7:$J$1000)*(P402&lt;$P$7:$P$1000))+1</f>
        <v>46</v>
      </c>
      <c r="S402" s="72"/>
    </row>
    <row r="403" spans="10:19" x14ac:dyDescent="0.35">
      <c r="J403" s="66">
        <v>13</v>
      </c>
      <c r="K403" t="s">
        <v>23</v>
      </c>
      <c r="L403" t="s">
        <v>389</v>
      </c>
      <c r="M403" t="s">
        <v>256</v>
      </c>
      <c r="N403" t="s">
        <v>3</v>
      </c>
      <c r="O403" t="s">
        <v>2</v>
      </c>
      <c r="P403">
        <f t="shared" si="26"/>
        <v>12.357281412721761</v>
      </c>
      <c r="Q403" t="str">
        <f t="shared" si="25"/>
        <v/>
      </c>
      <c r="R403" s="67" cm="1">
        <f t="array" ref="R403">SUMPRODUCT((J403=$J$7:$J$1000)*(P403&lt;$P$7:$P$1000))+1</f>
        <v>4</v>
      </c>
      <c r="S403" s="72"/>
    </row>
    <row r="404" spans="10:19" x14ac:dyDescent="0.35">
      <c r="J404" s="66">
        <v>13</v>
      </c>
      <c r="K404" t="s">
        <v>23</v>
      </c>
      <c r="L404" t="s">
        <v>431</v>
      </c>
      <c r="M404" t="s">
        <v>256</v>
      </c>
      <c r="N404" t="s">
        <v>3</v>
      </c>
      <c r="O404" t="s">
        <v>2</v>
      </c>
      <c r="P404">
        <f t="shared" si="26"/>
        <v>7.696214579221567</v>
      </c>
      <c r="Q404" t="str">
        <f t="shared" si="25"/>
        <v/>
      </c>
      <c r="R404" s="67" cm="1">
        <f t="array" ref="R404">SUMPRODUCT((J404=$J$7:$J$1000)*(P404&lt;$P$7:$P$1000))+1</f>
        <v>22</v>
      </c>
      <c r="S404" s="72"/>
    </row>
    <row r="405" spans="10:19" x14ac:dyDescent="0.35">
      <c r="J405" s="66">
        <v>13</v>
      </c>
      <c r="K405" t="s">
        <v>23</v>
      </c>
      <c r="L405" t="s">
        <v>428</v>
      </c>
      <c r="M405" t="s">
        <v>256</v>
      </c>
      <c r="N405" t="s">
        <v>3</v>
      </c>
      <c r="O405" t="s">
        <v>2</v>
      </c>
      <c r="P405">
        <f t="shared" si="26"/>
        <v>9.9068791188244987</v>
      </c>
      <c r="Q405" t="str">
        <f t="shared" si="25"/>
        <v/>
      </c>
      <c r="R405" s="67" cm="1">
        <f t="array" ref="R405">SUMPRODUCT((J405=$J$7:$J$1000)*(P405&lt;$P$7:$P$1000))+1</f>
        <v>10</v>
      </c>
      <c r="S405" s="72"/>
    </row>
    <row r="406" spans="10:19" x14ac:dyDescent="0.35">
      <c r="J406" s="66">
        <v>13</v>
      </c>
      <c r="K406" t="s">
        <v>23</v>
      </c>
      <c r="L406" t="s">
        <v>229</v>
      </c>
      <c r="M406" t="s">
        <v>256</v>
      </c>
      <c r="N406" t="s">
        <v>3</v>
      </c>
      <c r="O406" t="s">
        <v>2</v>
      </c>
      <c r="P406">
        <f t="shared" si="26"/>
        <v>9.2519074784026891</v>
      </c>
      <c r="Q406" t="str">
        <f t="shared" si="25"/>
        <v/>
      </c>
      <c r="R406" s="67" cm="1">
        <f t="array" ref="R406">SUMPRODUCT((J406=$J$7:$J$1000)*(P406&lt;$P$7:$P$1000))+1</f>
        <v>12</v>
      </c>
      <c r="S406" s="72"/>
    </row>
    <row r="407" spans="10:19" x14ac:dyDescent="0.35">
      <c r="J407" s="66">
        <v>13</v>
      </c>
      <c r="K407" t="s">
        <v>4</v>
      </c>
      <c r="L407" t="s">
        <v>539</v>
      </c>
      <c r="M407" t="s">
        <v>256</v>
      </c>
      <c r="N407" t="s">
        <v>3</v>
      </c>
      <c r="O407" t="s">
        <v>24</v>
      </c>
      <c r="P407">
        <f t="shared" si="26"/>
        <v>7.9589632643111399</v>
      </c>
      <c r="Q407" t="str">
        <f t="shared" si="25"/>
        <v/>
      </c>
      <c r="R407" s="67" cm="1">
        <f t="array" ref="R407">SUMPRODUCT((J407=$J$7:$J$1000)*(P407&lt;$P$7:$P$1000))+1</f>
        <v>21</v>
      </c>
      <c r="S407" s="72"/>
    </row>
    <row r="408" spans="10:19" x14ac:dyDescent="0.35">
      <c r="J408">
        <v>13</v>
      </c>
      <c r="K408" t="s">
        <v>4</v>
      </c>
      <c r="L408" t="s">
        <v>632</v>
      </c>
      <c r="M408" t="s">
        <v>256</v>
      </c>
      <c r="N408" t="s">
        <v>3</v>
      </c>
      <c r="O408" t="s">
        <v>24</v>
      </c>
      <c r="P408">
        <f t="shared" si="26"/>
        <v>5.5394033439035377</v>
      </c>
      <c r="Q408" t="str">
        <f t="shared" si="25"/>
        <v/>
      </c>
      <c r="R408" s="67" cm="1">
        <f t="array" ref="R408">SUMPRODUCT((J408=$J$7:$J$1000)*(P408&lt;$P$7:$P$1000))+1</f>
        <v>37</v>
      </c>
      <c r="S408" s="72"/>
    </row>
    <row r="409" spans="10:19" x14ac:dyDescent="0.35">
      <c r="J409">
        <v>13</v>
      </c>
      <c r="K409" t="s">
        <v>4</v>
      </c>
      <c r="L409" t="s">
        <v>209</v>
      </c>
      <c r="M409" t="s">
        <v>256</v>
      </c>
      <c r="N409" t="s">
        <v>3</v>
      </c>
      <c r="O409" t="s">
        <v>24</v>
      </c>
      <c r="P409">
        <f t="shared" si="26"/>
        <v>12.553903049689826</v>
      </c>
      <c r="Q409" t="str">
        <f t="shared" si="25"/>
        <v/>
      </c>
      <c r="R409" s="67" cm="1">
        <f t="array" ref="R409">SUMPRODUCT((J409=$J$7:$J$1000)*(P409&lt;$P$7:$P$1000))+1</f>
        <v>3</v>
      </c>
      <c r="S409" s="72"/>
    </row>
    <row r="410" spans="10:19" x14ac:dyDescent="0.35">
      <c r="J410" s="66">
        <v>13</v>
      </c>
      <c r="K410" t="s">
        <v>4</v>
      </c>
      <c r="L410" t="s">
        <v>435</v>
      </c>
      <c r="M410" t="s">
        <v>256</v>
      </c>
      <c r="N410" t="s">
        <v>3</v>
      </c>
      <c r="O410" t="s">
        <v>24</v>
      </c>
      <c r="P410">
        <f t="shared" si="26"/>
        <v>3.7321232241748543</v>
      </c>
      <c r="Q410" t="str">
        <f t="shared" si="25"/>
        <v/>
      </c>
      <c r="R410" s="67" cm="1">
        <f t="array" ref="R410">SUMPRODUCT((J410=$J$7:$J$1000)*(P410&lt;$P$7:$P$1000))+1</f>
        <v>55</v>
      </c>
      <c r="S410" s="72"/>
    </row>
    <row r="411" spans="10:19" x14ac:dyDescent="0.35">
      <c r="J411" s="66">
        <v>13</v>
      </c>
      <c r="K411" t="s">
        <v>4</v>
      </c>
      <c r="L411" t="s">
        <v>109</v>
      </c>
      <c r="M411" t="s">
        <v>256</v>
      </c>
      <c r="N411" t="s">
        <v>3</v>
      </c>
      <c r="O411" t="s">
        <v>24</v>
      </c>
      <c r="P411">
        <f t="shared" si="26"/>
        <v>4.2446722257183733</v>
      </c>
      <c r="Q411" t="str">
        <f t="shared" si="25"/>
        <v/>
      </c>
      <c r="R411" s="67" cm="1">
        <f t="array" ref="R411">SUMPRODUCT((J411=$J$7:$J$1000)*(P411&lt;$P$7:$P$1000))+1</f>
        <v>50</v>
      </c>
      <c r="S411" s="72"/>
    </row>
    <row r="412" spans="10:19" x14ac:dyDescent="0.35">
      <c r="J412">
        <v>13</v>
      </c>
      <c r="K412" t="s">
        <v>4</v>
      </c>
      <c r="L412" t="s">
        <v>598</v>
      </c>
      <c r="M412" t="s">
        <v>256</v>
      </c>
      <c r="N412" t="s">
        <v>3</v>
      </c>
      <c r="O412" t="s">
        <v>24</v>
      </c>
      <c r="P412">
        <f t="shared" si="26"/>
        <v>4.1333947685647656</v>
      </c>
      <c r="Q412" t="str">
        <f t="shared" si="25"/>
        <v/>
      </c>
      <c r="R412" s="67" cm="1">
        <f t="array" ref="R412">SUMPRODUCT((J412=$J$7:$J$1000)*(P412&lt;$P$7:$P$1000))+1</f>
        <v>53</v>
      </c>
      <c r="S412" s="72"/>
    </row>
    <row r="413" spans="10:19" x14ac:dyDescent="0.35">
      <c r="J413" s="66">
        <v>13</v>
      </c>
      <c r="K413" t="s">
        <v>4</v>
      </c>
      <c r="L413" t="s">
        <v>434</v>
      </c>
      <c r="M413" t="s">
        <v>256</v>
      </c>
      <c r="N413" t="s">
        <v>3</v>
      </c>
      <c r="O413" t="s">
        <v>24</v>
      </c>
      <c r="P413">
        <f t="shared" si="26"/>
        <v>5.4706020434696683</v>
      </c>
      <c r="Q413" t="str">
        <f t="shared" si="25"/>
        <v/>
      </c>
      <c r="R413" s="67" cm="1">
        <f t="array" ref="R413">SUMPRODUCT((J413=$J$7:$J$1000)*(P413&lt;$P$7:$P$1000))+1</f>
        <v>39</v>
      </c>
      <c r="S413" s="72"/>
    </row>
    <row r="414" spans="10:19" x14ac:dyDescent="0.35">
      <c r="J414" s="66">
        <v>13</v>
      </c>
      <c r="K414" t="s">
        <v>4</v>
      </c>
      <c r="L414" t="s">
        <v>486</v>
      </c>
      <c r="M414" t="s">
        <v>256</v>
      </c>
      <c r="N414" t="s">
        <v>3</v>
      </c>
      <c r="O414" t="s">
        <v>24</v>
      </c>
      <c r="P414">
        <f t="shared" si="26"/>
        <v>1.8543084260326983</v>
      </c>
      <c r="Q414" t="str">
        <f t="shared" si="25"/>
        <v/>
      </c>
      <c r="R414" s="67" cm="1">
        <f t="array" ref="R414">SUMPRODUCT((J414=$J$7:$J$1000)*(P414&lt;$P$7:$P$1000))+1</f>
        <v>63</v>
      </c>
      <c r="S414" s="72"/>
    </row>
    <row r="415" spans="10:19" x14ac:dyDescent="0.35">
      <c r="J415" s="66">
        <v>13</v>
      </c>
      <c r="K415" t="s">
        <v>34</v>
      </c>
      <c r="L415" t="s">
        <v>678</v>
      </c>
      <c r="M415" t="s">
        <v>256</v>
      </c>
      <c r="N415" t="s">
        <v>3</v>
      </c>
      <c r="O415" t="s">
        <v>36</v>
      </c>
      <c r="P415">
        <f t="shared" si="26"/>
        <v>0.23372907583778041</v>
      </c>
      <c r="Q415" t="str">
        <f t="shared" si="25"/>
        <v/>
      </c>
      <c r="R415" s="67" cm="1">
        <f t="array" ref="R415">SUMPRODUCT((J415=$J$7:$J$1000)*(P415&lt;$P$7:$P$1000))+1</f>
        <v>65</v>
      </c>
      <c r="S415" s="72"/>
    </row>
    <row r="416" spans="10:19" x14ac:dyDescent="0.35">
      <c r="J416">
        <v>13</v>
      </c>
      <c r="K416" t="s">
        <v>34</v>
      </c>
      <c r="L416" t="s">
        <v>429</v>
      </c>
      <c r="M416" t="s">
        <v>256</v>
      </c>
      <c r="N416" t="s">
        <v>3</v>
      </c>
      <c r="O416" t="s">
        <v>36</v>
      </c>
      <c r="P416">
        <f t="shared" si="26"/>
        <v>9.4443051038176264</v>
      </c>
      <c r="Q416" t="str">
        <f t="shared" si="25"/>
        <v/>
      </c>
      <c r="R416" s="67" cm="1">
        <f t="array" ref="R416">SUMPRODUCT((J416=$J$7:$J$1000)*(P416&lt;$P$7:$P$1000))+1</f>
        <v>11</v>
      </c>
      <c r="S416" s="72"/>
    </row>
    <row r="417" spans="10:19" x14ac:dyDescent="0.35">
      <c r="J417">
        <v>13</v>
      </c>
      <c r="K417" t="s">
        <v>34</v>
      </c>
      <c r="L417" t="s">
        <v>200</v>
      </c>
      <c r="M417" t="s">
        <v>256</v>
      </c>
      <c r="N417" t="s">
        <v>3</v>
      </c>
      <c r="O417" t="s">
        <v>36</v>
      </c>
      <c r="P417">
        <f t="shared" si="26"/>
        <v>10.96788420252291</v>
      </c>
      <c r="Q417" t="str">
        <f t="shared" si="25"/>
        <v/>
      </c>
      <c r="R417" s="67" cm="1">
        <f t="array" ref="R417">SUMPRODUCT((J417=$J$7:$J$1000)*(P417&lt;$P$7:$P$1000))+1</f>
        <v>8</v>
      </c>
      <c r="S417" s="72"/>
    </row>
    <row r="418" spans="10:19" x14ac:dyDescent="0.35">
      <c r="J418">
        <v>13</v>
      </c>
      <c r="K418" t="s">
        <v>34</v>
      </c>
      <c r="L418" t="s">
        <v>436</v>
      </c>
      <c r="M418" t="s">
        <v>256</v>
      </c>
      <c r="N418" t="s">
        <v>3</v>
      </c>
      <c r="O418" t="s">
        <v>36</v>
      </c>
      <c r="P418">
        <f t="shared" si="26"/>
        <v>6.5436726990176659</v>
      </c>
      <c r="Q418" t="str">
        <f t="shared" si="25"/>
        <v/>
      </c>
      <c r="R418" s="67" cm="1">
        <f t="array" ref="R418">SUMPRODUCT((J418=$J$7:$J$1000)*(P418&lt;$P$7:$P$1000))+1</f>
        <v>30</v>
      </c>
      <c r="S418" s="72"/>
    </row>
    <row r="419" spans="10:19" x14ac:dyDescent="0.35">
      <c r="J419" s="66">
        <v>13</v>
      </c>
      <c r="K419" t="s">
        <v>34</v>
      </c>
      <c r="L419" t="s">
        <v>174</v>
      </c>
      <c r="M419" t="s">
        <v>256</v>
      </c>
      <c r="N419" t="s">
        <v>3</v>
      </c>
      <c r="O419" t="s">
        <v>36</v>
      </c>
      <c r="P419">
        <f t="shared" si="26"/>
        <v>8.9622916795598115</v>
      </c>
      <c r="Q419" t="str">
        <f t="shared" si="25"/>
        <v/>
      </c>
      <c r="R419" s="67" cm="1">
        <f t="array" ref="R419">SUMPRODUCT((J419=$J$7:$J$1000)*(P419&lt;$P$7:$P$1000))+1</f>
        <v>14</v>
      </c>
      <c r="S419" s="72"/>
    </row>
    <row r="420" spans="10:19" x14ac:dyDescent="0.35">
      <c r="J420" s="66">
        <v>13</v>
      </c>
      <c r="K420" t="s">
        <v>34</v>
      </c>
      <c r="L420" t="s">
        <v>227</v>
      </c>
      <c r="M420" t="s">
        <v>256</v>
      </c>
      <c r="N420" t="s">
        <v>3</v>
      </c>
      <c r="O420" t="s">
        <v>36</v>
      </c>
      <c r="P420">
        <f t="shared" si="26"/>
        <v>2.3703809285199848</v>
      </c>
      <c r="Q420" t="str">
        <f t="shared" si="25"/>
        <v/>
      </c>
      <c r="R420" s="67" cm="1">
        <f t="array" ref="R420">SUMPRODUCT((J420=$J$7:$J$1000)*(P420&lt;$P$7:$P$1000))+1</f>
        <v>61</v>
      </c>
      <c r="S420" s="72"/>
    </row>
    <row r="421" spans="10:19" x14ac:dyDescent="0.35">
      <c r="J421" s="66">
        <v>13</v>
      </c>
      <c r="K421" t="s">
        <v>34</v>
      </c>
      <c r="L421" t="s">
        <v>228</v>
      </c>
      <c r="M421" t="s">
        <v>256</v>
      </c>
      <c r="N421" t="s">
        <v>3</v>
      </c>
      <c r="O421" t="s">
        <v>36</v>
      </c>
      <c r="P421">
        <f t="shared" si="26"/>
        <v>4.1489595853930821</v>
      </c>
      <c r="Q421" t="str">
        <f t="shared" si="25"/>
        <v/>
      </c>
      <c r="R421" s="67" cm="1">
        <f t="array" ref="R421">SUMPRODUCT((J421=$J$7:$J$1000)*(P421&lt;$P$7:$P$1000))+1</f>
        <v>52</v>
      </c>
      <c r="S421" s="72"/>
    </row>
    <row r="422" spans="10:19" x14ac:dyDescent="0.35">
      <c r="J422">
        <v>13</v>
      </c>
      <c r="K422" t="s">
        <v>17</v>
      </c>
      <c r="L422" t="s">
        <v>631</v>
      </c>
      <c r="M422" t="s">
        <v>256</v>
      </c>
      <c r="N422" t="s">
        <v>9</v>
      </c>
      <c r="O422" t="s">
        <v>13</v>
      </c>
      <c r="P422">
        <f t="shared" si="26"/>
        <v>6.4604696026447321</v>
      </c>
      <c r="Q422" t="str">
        <f t="shared" si="25"/>
        <v/>
      </c>
      <c r="R422" s="67" cm="1">
        <f t="array" ref="R422">SUMPRODUCT((J422=$J$7:$J$1000)*(P422&lt;$P$7:$P$1000))+1</f>
        <v>32</v>
      </c>
      <c r="S422" s="72"/>
    </row>
    <row r="423" spans="10:19" x14ac:dyDescent="0.35">
      <c r="J423">
        <v>13</v>
      </c>
      <c r="K423" t="s">
        <v>17</v>
      </c>
      <c r="L423" t="s">
        <v>485</v>
      </c>
      <c r="M423" t="s">
        <v>256</v>
      </c>
      <c r="N423" t="s">
        <v>9</v>
      </c>
      <c r="O423" t="s">
        <v>13</v>
      </c>
      <c r="P423">
        <f t="shared" si="26"/>
        <v>7.0016470554310715</v>
      </c>
      <c r="Q423" t="str">
        <f t="shared" si="25"/>
        <v/>
      </c>
      <c r="R423" s="67" cm="1">
        <f t="array" ref="R423">SUMPRODUCT((J423=$J$7:$J$1000)*(P423&lt;$P$7:$P$1000))+1</f>
        <v>25</v>
      </c>
      <c r="S423" s="72"/>
    </row>
    <row r="424" spans="10:19" x14ac:dyDescent="0.35">
      <c r="J424">
        <v>13</v>
      </c>
      <c r="K424" t="s">
        <v>17</v>
      </c>
      <c r="L424" t="s">
        <v>206</v>
      </c>
      <c r="M424" t="s">
        <v>256</v>
      </c>
      <c r="N424" t="s">
        <v>9</v>
      </c>
      <c r="O424" t="s">
        <v>13</v>
      </c>
      <c r="P424">
        <f t="shared" si="26"/>
        <v>5.6502860905172732</v>
      </c>
      <c r="Q424" t="str">
        <f t="shared" si="25"/>
        <v/>
      </c>
      <c r="R424" s="67" cm="1">
        <f t="array" ref="R424">SUMPRODUCT((J424=$J$7:$J$1000)*(P424&lt;$P$7:$P$1000))+1</f>
        <v>36</v>
      </c>
      <c r="S424" s="72"/>
    </row>
    <row r="425" spans="10:19" x14ac:dyDescent="0.35">
      <c r="J425" s="66">
        <v>13</v>
      </c>
      <c r="K425" t="s">
        <v>17</v>
      </c>
      <c r="L425" t="s">
        <v>427</v>
      </c>
      <c r="M425" t="s">
        <v>256</v>
      </c>
      <c r="N425" t="s">
        <v>9</v>
      </c>
      <c r="O425" t="s">
        <v>13</v>
      </c>
      <c r="P425">
        <f t="shared" si="26"/>
        <v>5.1595490787168448</v>
      </c>
      <c r="Q425" t="str">
        <f t="shared" si="25"/>
        <v/>
      </c>
      <c r="R425" s="67" cm="1">
        <f t="array" ref="R425">SUMPRODUCT((J425=$J$7:$J$1000)*(P425&lt;$P$7:$P$1000))+1</f>
        <v>45</v>
      </c>
      <c r="S425" s="72"/>
    </row>
    <row r="426" spans="10:19" x14ac:dyDescent="0.35">
      <c r="J426" s="66">
        <v>13</v>
      </c>
      <c r="K426" t="s">
        <v>17</v>
      </c>
      <c r="L426" t="s">
        <v>222</v>
      </c>
      <c r="M426" t="s">
        <v>256</v>
      </c>
      <c r="N426" t="s">
        <v>9</v>
      </c>
      <c r="O426" t="s">
        <v>13</v>
      </c>
      <c r="P426">
        <f t="shared" si="26"/>
        <v>8.1294191732098078</v>
      </c>
      <c r="Q426" t="str">
        <f t="shared" si="25"/>
        <v/>
      </c>
      <c r="R426" s="67" cm="1">
        <f t="array" ref="R426">SUMPRODUCT((J426=$J$7:$J$1000)*(P426&lt;$P$7:$P$1000))+1</f>
        <v>19</v>
      </c>
      <c r="S426" s="72"/>
    </row>
    <row r="427" spans="10:19" x14ac:dyDescent="0.35">
      <c r="J427">
        <v>13</v>
      </c>
      <c r="K427" t="s">
        <v>13</v>
      </c>
      <c r="L427" t="s">
        <v>198</v>
      </c>
      <c r="M427" t="s">
        <v>256</v>
      </c>
      <c r="N427" t="s">
        <v>3</v>
      </c>
      <c r="O427" t="s">
        <v>17</v>
      </c>
      <c r="P427">
        <f t="shared" si="26"/>
        <v>6.911379071115717</v>
      </c>
      <c r="Q427" t="str">
        <f t="shared" ref="Q427:Q490" si="27">IFERROR(($M427-$P427)^2,"")</f>
        <v/>
      </c>
      <c r="R427" s="67" cm="1">
        <f t="array" ref="R427">SUMPRODUCT((J427=$J$7:$J$1000)*(P427&lt;$P$7:$P$1000))+1</f>
        <v>26</v>
      </c>
      <c r="S427" s="72"/>
    </row>
    <row r="428" spans="10:19" x14ac:dyDescent="0.35">
      <c r="J428" s="66">
        <v>13</v>
      </c>
      <c r="K428" t="s">
        <v>13</v>
      </c>
      <c r="L428" t="s">
        <v>204</v>
      </c>
      <c r="M428" t="s">
        <v>256</v>
      </c>
      <c r="N428" t="s">
        <v>3</v>
      </c>
      <c r="O428" t="s">
        <v>17</v>
      </c>
      <c r="P428">
        <f t="shared" si="26"/>
        <v>9.1632457783164654</v>
      </c>
      <c r="Q428" t="str">
        <f t="shared" si="27"/>
        <v/>
      </c>
      <c r="R428" s="67" cm="1">
        <f t="array" ref="R428">SUMPRODUCT((J428=$J$7:$J$1000)*(P428&lt;$P$7:$P$1000))+1</f>
        <v>13</v>
      </c>
      <c r="S428" s="72"/>
    </row>
    <row r="429" spans="10:19" x14ac:dyDescent="0.35">
      <c r="J429">
        <v>13</v>
      </c>
      <c r="K429" t="s">
        <v>13</v>
      </c>
      <c r="L429" t="s">
        <v>103</v>
      </c>
      <c r="M429" t="s">
        <v>256</v>
      </c>
      <c r="N429" t="s">
        <v>3</v>
      </c>
      <c r="O429" t="s">
        <v>17</v>
      </c>
      <c r="P429">
        <f t="shared" si="26"/>
        <v>8.4594022112030576</v>
      </c>
      <c r="Q429" t="str">
        <f t="shared" si="27"/>
        <v/>
      </c>
      <c r="R429" s="67" cm="1">
        <f t="array" ref="R429">SUMPRODUCT((J429=$J$7:$J$1000)*(P429&lt;$P$7:$P$1000))+1</f>
        <v>16</v>
      </c>
      <c r="S429" s="72"/>
    </row>
    <row r="430" spans="10:19" x14ac:dyDescent="0.35">
      <c r="J430" s="66">
        <v>13</v>
      </c>
      <c r="K430" t="s">
        <v>13</v>
      </c>
      <c r="L430" t="s">
        <v>210</v>
      </c>
      <c r="M430" t="s">
        <v>256</v>
      </c>
      <c r="N430" t="s">
        <v>3</v>
      </c>
      <c r="O430" t="s">
        <v>17</v>
      </c>
      <c r="P430">
        <f t="shared" si="26"/>
        <v>5.3087251527593367</v>
      </c>
      <c r="Q430" t="str">
        <f t="shared" si="27"/>
        <v/>
      </c>
      <c r="R430" s="67" cm="1">
        <f t="array" ref="R430">SUMPRODUCT((J430=$J$7:$J$1000)*(P430&lt;$P$7:$P$1000))+1</f>
        <v>41</v>
      </c>
      <c r="S430" s="72"/>
    </row>
    <row r="431" spans="10:19" x14ac:dyDescent="0.35">
      <c r="J431">
        <v>13</v>
      </c>
      <c r="K431" t="s">
        <v>13</v>
      </c>
      <c r="L431" t="s">
        <v>670</v>
      </c>
      <c r="M431" t="s">
        <v>256</v>
      </c>
      <c r="N431" t="s">
        <v>3</v>
      </c>
      <c r="O431" t="s">
        <v>17</v>
      </c>
      <c r="P431">
        <f t="shared" si="26"/>
        <v>0.41716355964123908</v>
      </c>
      <c r="Q431" t="str">
        <f t="shared" si="27"/>
        <v/>
      </c>
      <c r="R431" s="67" cm="1">
        <f t="array" ref="R431">SUMPRODUCT((J431=$J$7:$J$1000)*(P431&lt;$P$7:$P$1000))+1</f>
        <v>64</v>
      </c>
      <c r="S431" s="72"/>
    </row>
    <row r="432" spans="10:19" x14ac:dyDescent="0.35">
      <c r="J432">
        <v>13</v>
      </c>
      <c r="K432" t="s">
        <v>13</v>
      </c>
      <c r="L432" t="s">
        <v>600</v>
      </c>
      <c r="M432" t="s">
        <v>256</v>
      </c>
      <c r="N432" t="s">
        <v>3</v>
      </c>
      <c r="O432" t="s">
        <v>17</v>
      </c>
      <c r="P432">
        <f t="shared" si="26"/>
        <v>2.0592478491395831</v>
      </c>
      <c r="Q432" t="str">
        <f t="shared" si="27"/>
        <v/>
      </c>
      <c r="R432" s="67" cm="1">
        <f t="array" ref="R432">SUMPRODUCT((J432=$J$7:$J$1000)*(P432&lt;$P$7:$P$1000))+1</f>
        <v>62</v>
      </c>
      <c r="S432" s="72"/>
    </row>
    <row r="433" spans="10:19" x14ac:dyDescent="0.35">
      <c r="J433" s="66">
        <v>13</v>
      </c>
      <c r="K433" t="s">
        <v>13</v>
      </c>
      <c r="L433" t="s">
        <v>689</v>
      </c>
      <c r="M433" t="s">
        <v>256</v>
      </c>
      <c r="N433" t="s">
        <v>3</v>
      </c>
      <c r="O433" t="s">
        <v>17</v>
      </c>
      <c r="P433">
        <f t="shared" si="26"/>
        <v>2.9063398517236538</v>
      </c>
      <c r="Q433" t="str">
        <f t="shared" si="27"/>
        <v/>
      </c>
      <c r="R433" s="67" cm="1">
        <f t="array" ref="R433">SUMPRODUCT((J433=$J$7:$J$1000)*(P433&lt;$P$7:$P$1000))+1</f>
        <v>59</v>
      </c>
      <c r="S433" s="72"/>
    </row>
    <row r="434" spans="10:19" x14ac:dyDescent="0.35">
      <c r="J434">
        <v>13</v>
      </c>
      <c r="K434" t="s">
        <v>13</v>
      </c>
      <c r="L434" t="s">
        <v>638</v>
      </c>
      <c r="M434" t="s">
        <v>256</v>
      </c>
      <c r="N434" t="s">
        <v>3</v>
      </c>
      <c r="O434" t="s">
        <v>17</v>
      </c>
      <c r="P434">
        <f t="shared" si="26"/>
        <v>5.2998246245780507</v>
      </c>
      <c r="Q434" t="str">
        <f t="shared" si="27"/>
        <v/>
      </c>
      <c r="R434" s="67" cm="1">
        <f t="array" ref="R434">SUMPRODUCT((J434=$J$7:$J$1000)*(P434&lt;$P$7:$P$1000))+1</f>
        <v>42</v>
      </c>
      <c r="S434" s="72"/>
    </row>
    <row r="435" spans="10:19" x14ac:dyDescent="0.35">
      <c r="J435">
        <v>14</v>
      </c>
      <c r="K435" t="s">
        <v>14</v>
      </c>
      <c r="L435" t="s">
        <v>197</v>
      </c>
      <c r="M435" t="s">
        <v>256</v>
      </c>
      <c r="N435" t="s">
        <v>3</v>
      </c>
      <c r="O435" t="s">
        <v>7</v>
      </c>
      <c r="P435">
        <f t="shared" si="26"/>
        <v>3.2217169691128449</v>
      </c>
      <c r="Q435" t="str">
        <f t="shared" si="27"/>
        <v/>
      </c>
      <c r="R435" s="67" cm="1">
        <f t="array" ref="R435">SUMPRODUCT((J435=$J$7:$J$1000)*(P435&lt;$P$7:$P$1000))+1</f>
        <v>52</v>
      </c>
      <c r="S435" s="72"/>
    </row>
    <row r="436" spans="10:19" x14ac:dyDescent="0.35">
      <c r="J436">
        <v>14</v>
      </c>
      <c r="K436" t="s">
        <v>14</v>
      </c>
      <c r="L436" t="s">
        <v>540</v>
      </c>
      <c r="M436" t="s">
        <v>256</v>
      </c>
      <c r="N436" t="s">
        <v>3</v>
      </c>
      <c r="O436" t="s">
        <v>7</v>
      </c>
      <c r="P436">
        <f t="shared" si="26"/>
        <v>5.7633844346543448</v>
      </c>
      <c r="Q436" t="str">
        <f t="shared" si="27"/>
        <v/>
      </c>
      <c r="R436" s="67" cm="1">
        <f t="array" ref="R436">SUMPRODUCT((J436=$J$7:$J$1000)*(P436&lt;$P$7:$P$1000))+1</f>
        <v>36</v>
      </c>
      <c r="S436" s="72"/>
    </row>
    <row r="437" spans="10:19" x14ac:dyDescent="0.35">
      <c r="J437" s="66">
        <v>14</v>
      </c>
      <c r="K437" t="s">
        <v>14</v>
      </c>
      <c r="L437" t="s">
        <v>548</v>
      </c>
      <c r="M437" t="s">
        <v>256</v>
      </c>
      <c r="N437" t="s">
        <v>3</v>
      </c>
      <c r="O437" t="s">
        <v>7</v>
      </c>
      <c r="P437">
        <f t="shared" si="26"/>
        <v>4.2197609666125775</v>
      </c>
      <c r="Q437" t="str">
        <f t="shared" si="27"/>
        <v/>
      </c>
      <c r="R437" s="67" cm="1">
        <f t="array" ref="R437">SUMPRODUCT((J437=$J$7:$J$1000)*(P437&lt;$P$7:$P$1000))+1</f>
        <v>46</v>
      </c>
      <c r="S437" s="72"/>
    </row>
    <row r="438" spans="10:19" x14ac:dyDescent="0.35">
      <c r="J438" s="66">
        <v>14</v>
      </c>
      <c r="K438" t="s">
        <v>14</v>
      </c>
      <c r="L438" t="s">
        <v>203</v>
      </c>
      <c r="M438" t="s">
        <v>256</v>
      </c>
      <c r="N438" t="s">
        <v>3</v>
      </c>
      <c r="O438" t="s">
        <v>7</v>
      </c>
      <c r="P438">
        <f t="shared" si="26"/>
        <v>3.0309177261321603</v>
      </c>
      <c r="Q438" t="str">
        <f t="shared" si="27"/>
        <v/>
      </c>
      <c r="R438" s="67" cm="1">
        <f t="array" ref="R438">SUMPRODUCT((J438=$J$7:$J$1000)*(P438&lt;$P$7:$P$1000))+1</f>
        <v>54</v>
      </c>
      <c r="S438" s="72"/>
    </row>
    <row r="439" spans="10:19" x14ac:dyDescent="0.35">
      <c r="J439" s="66">
        <v>14</v>
      </c>
      <c r="K439" t="s">
        <v>14</v>
      </c>
      <c r="L439" t="s">
        <v>642</v>
      </c>
      <c r="M439" t="s">
        <v>256</v>
      </c>
      <c r="N439" t="s">
        <v>3</v>
      </c>
      <c r="O439" t="s">
        <v>7</v>
      </c>
      <c r="P439">
        <f t="shared" si="26"/>
        <v>5.3357478226407418</v>
      </c>
      <c r="Q439" t="str">
        <f t="shared" si="27"/>
        <v/>
      </c>
      <c r="R439" s="67" cm="1">
        <f t="array" ref="R439">SUMPRODUCT((J439=$J$7:$J$1000)*(P439&lt;$P$7:$P$1000))+1</f>
        <v>40</v>
      </c>
      <c r="S439" s="72"/>
    </row>
    <row r="440" spans="10:19" x14ac:dyDescent="0.35">
      <c r="J440" s="66">
        <v>14</v>
      </c>
      <c r="K440" t="s">
        <v>14</v>
      </c>
      <c r="L440" t="s">
        <v>396</v>
      </c>
      <c r="M440" t="s">
        <v>256</v>
      </c>
      <c r="N440" t="s">
        <v>3</v>
      </c>
      <c r="O440" t="s">
        <v>7</v>
      </c>
      <c r="P440">
        <f t="shared" si="26"/>
        <v>7.4786633051483768</v>
      </c>
      <c r="Q440" t="str">
        <f t="shared" si="27"/>
        <v/>
      </c>
      <c r="R440" s="67" cm="1">
        <f t="array" ref="R440">SUMPRODUCT((J440=$J$7:$J$1000)*(P440&lt;$P$7:$P$1000))+1</f>
        <v>25</v>
      </c>
      <c r="S440" s="72"/>
    </row>
    <row r="441" spans="10:19" x14ac:dyDescent="0.35">
      <c r="J441" s="66">
        <v>14</v>
      </c>
      <c r="K441" t="s">
        <v>14</v>
      </c>
      <c r="L441" t="s">
        <v>107</v>
      </c>
      <c r="M441" t="s">
        <v>256</v>
      </c>
      <c r="N441" t="s">
        <v>3</v>
      </c>
      <c r="O441" t="s">
        <v>7</v>
      </c>
      <c r="P441">
        <f t="shared" si="26"/>
        <v>4.8627564768617102</v>
      </c>
      <c r="Q441" t="str">
        <f t="shared" si="27"/>
        <v/>
      </c>
      <c r="R441" s="67" cm="1">
        <f t="array" ref="R441">SUMPRODUCT((J441=$J$7:$J$1000)*(P441&lt;$P$7:$P$1000))+1</f>
        <v>43</v>
      </c>
      <c r="S441" s="72"/>
    </row>
    <row r="442" spans="10:19" x14ac:dyDescent="0.35">
      <c r="J442">
        <v>14</v>
      </c>
      <c r="K442" t="s">
        <v>14</v>
      </c>
      <c r="L442" t="s">
        <v>514</v>
      </c>
      <c r="M442" t="s">
        <v>256</v>
      </c>
      <c r="N442" t="s">
        <v>3</v>
      </c>
      <c r="O442" t="s">
        <v>7</v>
      </c>
      <c r="P442">
        <f t="shared" si="26"/>
        <v>4.3041239732989318</v>
      </c>
      <c r="Q442" t="str">
        <f t="shared" si="27"/>
        <v/>
      </c>
      <c r="R442" s="67" cm="1">
        <f t="array" ref="R442">SUMPRODUCT((J442=$J$7:$J$1000)*(P442&lt;$P$7:$P$1000))+1</f>
        <v>45</v>
      </c>
      <c r="S442" s="72"/>
    </row>
    <row r="443" spans="10:19" x14ac:dyDescent="0.35">
      <c r="J443" s="66">
        <v>14</v>
      </c>
      <c r="K443" t="s">
        <v>2</v>
      </c>
      <c r="L443" t="s">
        <v>665</v>
      </c>
      <c r="M443" t="s">
        <v>256</v>
      </c>
      <c r="N443" t="s">
        <v>3</v>
      </c>
      <c r="O443" t="s">
        <v>6</v>
      </c>
      <c r="P443">
        <f t="shared" si="26"/>
        <v>3.397863139008614</v>
      </c>
      <c r="Q443" t="str">
        <f t="shared" si="27"/>
        <v/>
      </c>
      <c r="R443" s="67" cm="1">
        <f t="array" ref="R443">SUMPRODUCT((J443=$J$7:$J$1000)*(P443&lt;$P$7:$P$1000))+1</f>
        <v>51</v>
      </c>
      <c r="S443" s="72"/>
    </row>
    <row r="444" spans="10:19" x14ac:dyDescent="0.35">
      <c r="J444">
        <v>14</v>
      </c>
      <c r="K444" t="s">
        <v>2</v>
      </c>
      <c r="L444" t="s">
        <v>530</v>
      </c>
      <c r="M444" t="s">
        <v>256</v>
      </c>
      <c r="N444" t="s">
        <v>3</v>
      </c>
      <c r="O444" t="s">
        <v>6</v>
      </c>
      <c r="P444">
        <f t="shared" si="26"/>
        <v>6.1875852316004138</v>
      </c>
      <c r="Q444" t="str">
        <f t="shared" si="27"/>
        <v/>
      </c>
      <c r="R444" s="67" cm="1">
        <f t="array" ref="R444">SUMPRODUCT((J444=$J$7:$J$1000)*(P444&lt;$P$7:$P$1000))+1</f>
        <v>35</v>
      </c>
      <c r="S444" s="72"/>
    </row>
    <row r="445" spans="10:19" x14ac:dyDescent="0.35">
      <c r="J445">
        <v>14</v>
      </c>
      <c r="K445" t="s">
        <v>2</v>
      </c>
      <c r="L445" t="s">
        <v>212</v>
      </c>
      <c r="M445" t="s">
        <v>256</v>
      </c>
      <c r="N445" t="s">
        <v>3</v>
      </c>
      <c r="O445" t="s">
        <v>6</v>
      </c>
      <c r="P445">
        <f t="shared" si="26"/>
        <v>8.1039769231275844</v>
      </c>
      <c r="Q445" t="str">
        <f t="shared" si="27"/>
        <v/>
      </c>
      <c r="R445" s="67" cm="1">
        <f t="array" ref="R445">SUMPRODUCT((J445=$J$7:$J$1000)*(P445&lt;$P$7:$P$1000))+1</f>
        <v>22</v>
      </c>
      <c r="S445" s="72"/>
    </row>
    <row r="446" spans="10:19" x14ac:dyDescent="0.35">
      <c r="J446" s="66">
        <v>14</v>
      </c>
      <c r="K446" t="s">
        <v>2</v>
      </c>
      <c r="L446" t="s">
        <v>585</v>
      </c>
      <c r="M446" t="s">
        <v>256</v>
      </c>
      <c r="N446" t="s">
        <v>3</v>
      </c>
      <c r="O446" t="s">
        <v>6</v>
      </c>
      <c r="P446">
        <f t="shared" si="26"/>
        <v>3.9224804805370188</v>
      </c>
      <c r="Q446" t="str">
        <f t="shared" si="27"/>
        <v/>
      </c>
      <c r="R446" s="67" cm="1">
        <f t="array" ref="R446">SUMPRODUCT((J446=$J$7:$J$1000)*(P446&lt;$P$7:$P$1000))+1</f>
        <v>47</v>
      </c>
      <c r="S446" s="72"/>
    </row>
    <row r="447" spans="10:19" x14ac:dyDescent="0.35">
      <c r="J447">
        <v>14</v>
      </c>
      <c r="K447" t="s">
        <v>2</v>
      </c>
      <c r="L447" t="s">
        <v>213</v>
      </c>
      <c r="M447" t="s">
        <v>256</v>
      </c>
      <c r="N447" t="s">
        <v>3</v>
      </c>
      <c r="O447" t="s">
        <v>6</v>
      </c>
      <c r="P447">
        <f t="shared" si="26"/>
        <v>9.4236055953798523</v>
      </c>
      <c r="Q447" t="str">
        <f t="shared" si="27"/>
        <v/>
      </c>
      <c r="R447" s="67" cm="1">
        <f t="array" ref="R447">SUMPRODUCT((J447=$J$7:$J$1000)*(P447&lt;$P$7:$P$1000))+1</f>
        <v>12</v>
      </c>
      <c r="S447" s="72"/>
    </row>
    <row r="448" spans="10:19" x14ac:dyDescent="0.35">
      <c r="J448" s="66">
        <v>14</v>
      </c>
      <c r="K448" t="s">
        <v>2</v>
      </c>
      <c r="L448" t="s">
        <v>115</v>
      </c>
      <c r="M448" t="s">
        <v>256</v>
      </c>
      <c r="N448" t="s">
        <v>3</v>
      </c>
      <c r="O448" t="s">
        <v>6</v>
      </c>
      <c r="P448">
        <f t="shared" si="26"/>
        <v>9.0658079971739927</v>
      </c>
      <c r="Q448" t="str">
        <f t="shared" si="27"/>
        <v/>
      </c>
      <c r="R448" s="67" cm="1">
        <f t="array" ref="R448">SUMPRODUCT((J448=$J$7:$J$1000)*(P448&lt;$P$7:$P$1000))+1</f>
        <v>16</v>
      </c>
      <c r="S448" s="72"/>
    </row>
    <row r="449" spans="10:19" x14ac:dyDescent="0.35">
      <c r="J449" s="66">
        <v>14</v>
      </c>
      <c r="K449" t="s">
        <v>2</v>
      </c>
      <c r="L449" t="s">
        <v>589</v>
      </c>
      <c r="M449" t="s">
        <v>256</v>
      </c>
      <c r="N449" t="s">
        <v>3</v>
      </c>
      <c r="O449" t="s">
        <v>6</v>
      </c>
      <c r="P449">
        <f t="shared" si="26"/>
        <v>6.4977013896153721</v>
      </c>
      <c r="Q449" t="str">
        <f t="shared" si="27"/>
        <v/>
      </c>
      <c r="R449" s="67" cm="1">
        <f t="array" ref="R449">SUMPRODUCT((J449=$J$7:$J$1000)*(P449&lt;$P$7:$P$1000))+1</f>
        <v>33</v>
      </c>
      <c r="S449" s="72"/>
    </row>
    <row r="450" spans="10:19" x14ac:dyDescent="0.35">
      <c r="J450" s="66">
        <v>14</v>
      </c>
      <c r="K450" t="s">
        <v>36</v>
      </c>
      <c r="L450" t="s">
        <v>205</v>
      </c>
      <c r="M450" t="s">
        <v>256</v>
      </c>
      <c r="N450" t="s">
        <v>3</v>
      </c>
      <c r="O450" t="s">
        <v>13</v>
      </c>
      <c r="P450">
        <f t="shared" si="26"/>
        <v>5.7320068597570657</v>
      </c>
      <c r="Q450" t="str">
        <f t="shared" si="27"/>
        <v/>
      </c>
      <c r="R450" s="67" cm="1">
        <f t="array" ref="R450">SUMPRODUCT((J450=$J$7:$J$1000)*(P450&lt;$P$7:$P$1000))+1</f>
        <v>37</v>
      </c>
      <c r="S450" s="72"/>
    </row>
    <row r="451" spans="10:19" x14ac:dyDescent="0.35">
      <c r="J451">
        <v>14</v>
      </c>
      <c r="K451" t="s">
        <v>36</v>
      </c>
      <c r="L451" t="s">
        <v>112</v>
      </c>
      <c r="M451" t="s">
        <v>256</v>
      </c>
      <c r="N451" t="s">
        <v>3</v>
      </c>
      <c r="O451" t="s">
        <v>13</v>
      </c>
      <c r="P451">
        <f t="shared" si="26"/>
        <v>4.6987196855000946</v>
      </c>
      <c r="Q451" t="str">
        <f t="shared" si="27"/>
        <v/>
      </c>
      <c r="R451" s="67" cm="1">
        <f t="array" ref="R451">SUMPRODUCT((J451=$J$7:$J$1000)*(P451&lt;$P$7:$P$1000))+1</f>
        <v>44</v>
      </c>
      <c r="S451" s="72"/>
    </row>
    <row r="452" spans="10:19" x14ac:dyDescent="0.35">
      <c r="J452">
        <v>14</v>
      </c>
      <c r="K452" t="s">
        <v>36</v>
      </c>
      <c r="L452" t="s">
        <v>576</v>
      </c>
      <c r="M452" t="s">
        <v>256</v>
      </c>
      <c r="N452" t="s">
        <v>3</v>
      </c>
      <c r="O452" t="s">
        <v>13</v>
      </c>
      <c r="P452">
        <f t="shared" si="26"/>
        <v>1.0774136930225704</v>
      </c>
      <c r="Q452" t="str">
        <f t="shared" si="27"/>
        <v/>
      </c>
      <c r="R452" s="67" cm="1">
        <f t="array" ref="R452">SUMPRODUCT((J452=$J$7:$J$1000)*(P452&lt;$P$7:$P$1000))+1</f>
        <v>60</v>
      </c>
      <c r="S452" s="72"/>
    </row>
    <row r="453" spans="10:19" x14ac:dyDescent="0.35">
      <c r="J453" s="66">
        <v>14</v>
      </c>
      <c r="K453" t="s">
        <v>36</v>
      </c>
      <c r="L453" t="s">
        <v>216</v>
      </c>
      <c r="M453" t="s">
        <v>256</v>
      </c>
      <c r="N453" t="s">
        <v>3</v>
      </c>
      <c r="O453" t="s">
        <v>13</v>
      </c>
      <c r="P453">
        <f t="shared" si="26"/>
        <v>3.4572810180046747</v>
      </c>
      <c r="Q453" t="str">
        <f t="shared" si="27"/>
        <v/>
      </c>
      <c r="R453" s="67" cm="1">
        <f t="array" ref="R453">SUMPRODUCT((J453=$J$7:$J$1000)*(P453&lt;$P$7:$P$1000))+1</f>
        <v>49</v>
      </c>
      <c r="S453" s="72"/>
    </row>
    <row r="454" spans="10:19" x14ac:dyDescent="0.35">
      <c r="J454">
        <v>14</v>
      </c>
      <c r="K454" t="s">
        <v>36</v>
      </c>
      <c r="L454" t="s">
        <v>224</v>
      </c>
      <c r="M454" t="s">
        <v>256</v>
      </c>
      <c r="N454" t="s">
        <v>3</v>
      </c>
      <c r="O454" t="s">
        <v>13</v>
      </c>
      <c r="P454">
        <f t="shared" si="26"/>
        <v>1.9989459894743962</v>
      </c>
      <c r="Q454" t="str">
        <f t="shared" si="27"/>
        <v/>
      </c>
      <c r="R454" s="67" cm="1">
        <f t="array" ref="R454">SUMPRODUCT((J454=$J$7:$J$1000)*(P454&lt;$P$7:$P$1000))+1</f>
        <v>56</v>
      </c>
      <c r="S454" s="72"/>
    </row>
    <row r="455" spans="10:19" x14ac:dyDescent="0.35">
      <c r="J455" s="66">
        <v>14</v>
      </c>
      <c r="K455" t="s">
        <v>36</v>
      </c>
      <c r="L455" t="s">
        <v>225</v>
      </c>
      <c r="M455" t="s">
        <v>256</v>
      </c>
      <c r="N455" t="s">
        <v>3</v>
      </c>
      <c r="O455" t="s">
        <v>13</v>
      </c>
      <c r="P455">
        <f t="shared" si="26"/>
        <v>10.414391059000748</v>
      </c>
      <c r="Q455" t="str">
        <f t="shared" si="27"/>
        <v/>
      </c>
      <c r="R455" s="67" cm="1">
        <f t="array" ref="R455">SUMPRODUCT((J455=$J$7:$J$1000)*(P455&lt;$P$7:$P$1000))+1</f>
        <v>8</v>
      </c>
      <c r="S455" s="72"/>
    </row>
    <row r="456" spans="10:19" x14ac:dyDescent="0.35">
      <c r="J456">
        <v>14</v>
      </c>
      <c r="K456" t="s">
        <v>6</v>
      </c>
      <c r="L456" t="s">
        <v>432</v>
      </c>
      <c r="M456" t="s">
        <v>256</v>
      </c>
      <c r="N456" t="s">
        <v>9</v>
      </c>
      <c r="O456" t="s">
        <v>2</v>
      </c>
      <c r="P456">
        <f t="shared" ref="P456:P519" si="28">VLOOKUP($N456,$F$3:$G$4,2,FALSE)+VLOOKUP($L456,$B$20:$C$150,2,FALSE)+VLOOKUP($O456,$A$6:$B$16,2,FALSE)</f>
        <v>11.853532547080745</v>
      </c>
      <c r="Q456" t="str">
        <f t="shared" si="27"/>
        <v/>
      </c>
      <c r="R456" s="67" cm="1">
        <f t="array" ref="R456">SUMPRODUCT((J456=$J$7:$J$1000)*(P456&lt;$P$7:$P$1000))+1</f>
        <v>3</v>
      </c>
      <c r="S456" s="72"/>
    </row>
    <row r="457" spans="10:19" x14ac:dyDescent="0.35">
      <c r="J457" s="66">
        <v>14</v>
      </c>
      <c r="K457" t="s">
        <v>6</v>
      </c>
      <c r="L457" t="s">
        <v>433</v>
      </c>
      <c r="M457" t="s">
        <v>256</v>
      </c>
      <c r="N457" t="s">
        <v>9</v>
      </c>
      <c r="O457" t="s">
        <v>2</v>
      </c>
      <c r="P457">
        <f t="shared" si="28"/>
        <v>11.856909975514743</v>
      </c>
      <c r="Q457" t="str">
        <f t="shared" si="27"/>
        <v/>
      </c>
      <c r="R457" s="67" cm="1">
        <f t="array" ref="R457">SUMPRODUCT((J457=$J$7:$J$1000)*(P457&lt;$P$7:$P$1000))+1</f>
        <v>2</v>
      </c>
      <c r="S457" s="72"/>
    </row>
    <row r="458" spans="10:19" x14ac:dyDescent="0.35">
      <c r="J458">
        <v>14</v>
      </c>
      <c r="K458" t="s">
        <v>6</v>
      </c>
      <c r="L458" t="s">
        <v>208</v>
      </c>
      <c r="M458" t="s">
        <v>256</v>
      </c>
      <c r="N458" t="s">
        <v>9</v>
      </c>
      <c r="O458" t="s">
        <v>2</v>
      </c>
      <c r="P458">
        <f t="shared" si="28"/>
        <v>7.0202736206395553</v>
      </c>
      <c r="Q458" t="str">
        <f t="shared" si="27"/>
        <v/>
      </c>
      <c r="R458" s="67" cm="1">
        <f t="array" ref="R458">SUMPRODUCT((J458=$J$7:$J$1000)*(P458&lt;$P$7:$P$1000))+1</f>
        <v>29</v>
      </c>
      <c r="S458" s="72"/>
    </row>
    <row r="459" spans="10:19" x14ac:dyDescent="0.35">
      <c r="J459">
        <v>14</v>
      </c>
      <c r="K459" t="s">
        <v>6</v>
      </c>
      <c r="L459" t="s">
        <v>219</v>
      </c>
      <c r="M459" t="s">
        <v>256</v>
      </c>
      <c r="N459" t="s">
        <v>9</v>
      </c>
      <c r="O459" t="s">
        <v>2</v>
      </c>
      <c r="P459">
        <f t="shared" si="28"/>
        <v>6.854575662770773</v>
      </c>
      <c r="Q459" t="str">
        <f t="shared" si="27"/>
        <v/>
      </c>
      <c r="R459" s="67" cm="1">
        <f t="array" ref="R459">SUMPRODUCT((J459=$J$7:$J$1000)*(P459&lt;$P$7:$P$1000))+1</f>
        <v>31</v>
      </c>
      <c r="S459" s="72"/>
    </row>
    <row r="460" spans="10:19" x14ac:dyDescent="0.35">
      <c r="J460" s="66">
        <v>14</v>
      </c>
      <c r="K460" t="s">
        <v>6</v>
      </c>
      <c r="L460" t="s">
        <v>603</v>
      </c>
      <c r="M460" t="s">
        <v>256</v>
      </c>
      <c r="N460" t="s">
        <v>9</v>
      </c>
      <c r="O460" t="s">
        <v>2</v>
      </c>
      <c r="P460">
        <f t="shared" si="28"/>
        <v>11.637946593428545</v>
      </c>
      <c r="Q460" t="str">
        <f t="shared" si="27"/>
        <v/>
      </c>
      <c r="R460" s="67" cm="1">
        <f t="array" ref="R460">SUMPRODUCT((J460=$J$7:$J$1000)*(P460&lt;$P$7:$P$1000))+1</f>
        <v>5</v>
      </c>
      <c r="S460" s="72"/>
    </row>
    <row r="461" spans="10:19" x14ac:dyDescent="0.35">
      <c r="J461" s="66">
        <v>14</v>
      </c>
      <c r="K461" t="s">
        <v>6</v>
      </c>
      <c r="L461" t="s">
        <v>430</v>
      </c>
      <c r="M461" t="s">
        <v>256</v>
      </c>
      <c r="N461" t="s">
        <v>9</v>
      </c>
      <c r="O461" t="s">
        <v>2</v>
      </c>
      <c r="P461">
        <f t="shared" si="28"/>
        <v>5.1907401420688997</v>
      </c>
      <c r="Q461" t="str">
        <f t="shared" si="27"/>
        <v/>
      </c>
      <c r="R461" s="67" cm="1">
        <f t="array" ref="R461">SUMPRODUCT((J461=$J$7:$J$1000)*(P461&lt;$P$7:$P$1000))+1</f>
        <v>42</v>
      </c>
      <c r="S461" s="72"/>
    </row>
    <row r="462" spans="10:19" x14ac:dyDescent="0.35">
      <c r="J462">
        <v>14</v>
      </c>
      <c r="K462" t="s">
        <v>24</v>
      </c>
      <c r="L462" t="s">
        <v>199</v>
      </c>
      <c r="M462" t="s">
        <v>256</v>
      </c>
      <c r="N462" t="s">
        <v>3</v>
      </c>
      <c r="O462" t="s">
        <v>23</v>
      </c>
      <c r="P462">
        <f t="shared" si="28"/>
        <v>6.8109757728947304</v>
      </c>
      <c r="Q462" t="str">
        <f t="shared" si="27"/>
        <v/>
      </c>
      <c r="R462" s="67" cm="1">
        <f t="array" ref="R462">SUMPRODUCT((J462=$J$7:$J$1000)*(P462&lt;$P$7:$P$1000))+1</f>
        <v>32</v>
      </c>
      <c r="S462" s="72"/>
    </row>
    <row r="463" spans="10:19" x14ac:dyDescent="0.35">
      <c r="J463">
        <v>14</v>
      </c>
      <c r="K463" t="s">
        <v>24</v>
      </c>
      <c r="L463" t="s">
        <v>215</v>
      </c>
      <c r="M463" t="s">
        <v>256</v>
      </c>
      <c r="N463" t="s">
        <v>3</v>
      </c>
      <c r="O463" t="s">
        <v>23</v>
      </c>
      <c r="P463">
        <f t="shared" si="28"/>
        <v>10.145962055168708</v>
      </c>
      <c r="Q463" t="str">
        <f t="shared" si="27"/>
        <v/>
      </c>
      <c r="R463" s="67" cm="1">
        <f t="array" ref="R463">SUMPRODUCT((J463=$J$7:$J$1000)*(P463&lt;$P$7:$P$1000))+1</f>
        <v>9</v>
      </c>
      <c r="S463" s="72"/>
    </row>
    <row r="464" spans="10:19" x14ac:dyDescent="0.35">
      <c r="J464">
        <v>14</v>
      </c>
      <c r="K464" t="s">
        <v>24</v>
      </c>
      <c r="L464" t="s">
        <v>217</v>
      </c>
      <c r="M464" t="s">
        <v>256</v>
      </c>
      <c r="N464" t="s">
        <v>3</v>
      </c>
      <c r="O464" t="s">
        <v>23</v>
      </c>
      <c r="P464">
        <f t="shared" si="28"/>
        <v>1.8725465931555838</v>
      </c>
      <c r="Q464" t="str">
        <f t="shared" si="27"/>
        <v/>
      </c>
      <c r="R464" s="67" cm="1">
        <f t="array" ref="R464">SUMPRODUCT((J464=$J$7:$J$1000)*(P464&lt;$P$7:$P$1000))+1</f>
        <v>58</v>
      </c>
      <c r="S464" s="72"/>
    </row>
    <row r="465" spans="10:19" x14ac:dyDescent="0.35">
      <c r="J465">
        <v>14</v>
      </c>
      <c r="K465" t="s">
        <v>24</v>
      </c>
      <c r="L465" t="s">
        <v>223</v>
      </c>
      <c r="M465" t="s">
        <v>256</v>
      </c>
      <c r="N465" t="s">
        <v>3</v>
      </c>
      <c r="O465" t="s">
        <v>23</v>
      </c>
      <c r="P465">
        <f t="shared" si="28"/>
        <v>3.5448534031575045</v>
      </c>
      <c r="Q465" t="str">
        <f t="shared" si="27"/>
        <v/>
      </c>
      <c r="R465" s="67" cm="1">
        <f t="array" ref="R465">SUMPRODUCT((J465=$J$7:$J$1000)*(P465&lt;$P$7:$P$1000))+1</f>
        <v>48</v>
      </c>
      <c r="S465" s="72"/>
    </row>
    <row r="466" spans="10:19" x14ac:dyDescent="0.35">
      <c r="J466">
        <v>14</v>
      </c>
      <c r="K466" t="s">
        <v>24</v>
      </c>
      <c r="L466" t="s">
        <v>607</v>
      </c>
      <c r="M466" t="s">
        <v>256</v>
      </c>
      <c r="N466" t="s">
        <v>3</v>
      </c>
      <c r="O466" t="s">
        <v>23</v>
      </c>
      <c r="P466">
        <f t="shared" si="28"/>
        <v>7.1460880819041339E-2</v>
      </c>
      <c r="Q466" t="str">
        <f t="shared" si="27"/>
        <v/>
      </c>
      <c r="R466" s="67" cm="1">
        <f t="array" ref="R466">SUMPRODUCT((J466=$J$7:$J$1000)*(P466&lt;$P$7:$P$1000))+1</f>
        <v>62</v>
      </c>
      <c r="S466" s="72"/>
    </row>
    <row r="467" spans="10:19" x14ac:dyDescent="0.35">
      <c r="J467">
        <v>14</v>
      </c>
      <c r="K467" t="s">
        <v>24</v>
      </c>
      <c r="L467" t="s">
        <v>511</v>
      </c>
      <c r="M467" t="s">
        <v>256</v>
      </c>
      <c r="N467" t="s">
        <v>3</v>
      </c>
      <c r="O467" t="s">
        <v>23</v>
      </c>
      <c r="P467">
        <f t="shared" si="28"/>
        <v>1.971273517573471</v>
      </c>
      <c r="Q467" t="str">
        <f t="shared" si="27"/>
        <v/>
      </c>
      <c r="R467" s="67" cm="1">
        <f t="array" ref="R467">SUMPRODUCT((J467=$J$7:$J$1000)*(P467&lt;$P$7:$P$1000))+1</f>
        <v>57</v>
      </c>
      <c r="S467" s="72"/>
    </row>
    <row r="468" spans="10:19" x14ac:dyDescent="0.35">
      <c r="J468">
        <v>14</v>
      </c>
      <c r="K468" t="s">
        <v>23</v>
      </c>
      <c r="L468" t="s">
        <v>389</v>
      </c>
      <c r="M468" t="s">
        <v>256</v>
      </c>
      <c r="N468" t="s">
        <v>9</v>
      </c>
      <c r="O468" t="s">
        <v>24</v>
      </c>
      <c r="P468">
        <f t="shared" si="28"/>
        <v>11.829772495368289</v>
      </c>
      <c r="Q468" t="str">
        <f t="shared" si="27"/>
        <v/>
      </c>
      <c r="R468" s="67" cm="1">
        <f t="array" ref="R468">SUMPRODUCT((J468=$J$7:$J$1000)*(P468&lt;$P$7:$P$1000))+1</f>
        <v>4</v>
      </c>
      <c r="S468" s="72"/>
    </row>
    <row r="469" spans="10:19" x14ac:dyDescent="0.35">
      <c r="J469">
        <v>14</v>
      </c>
      <c r="K469" t="s">
        <v>23</v>
      </c>
      <c r="L469" t="s">
        <v>431</v>
      </c>
      <c r="M469" t="s">
        <v>256</v>
      </c>
      <c r="N469" t="s">
        <v>9</v>
      </c>
      <c r="O469" t="s">
        <v>24</v>
      </c>
      <c r="P469">
        <f t="shared" si="28"/>
        <v>7.1687056618680982</v>
      </c>
      <c r="Q469" t="str">
        <f t="shared" si="27"/>
        <v/>
      </c>
      <c r="R469" s="67" cm="1">
        <f t="array" ref="R469">SUMPRODUCT((J469=$J$7:$J$1000)*(P469&lt;$P$7:$P$1000))+1</f>
        <v>27</v>
      </c>
      <c r="S469" s="72"/>
    </row>
    <row r="470" spans="10:19" x14ac:dyDescent="0.35">
      <c r="J470">
        <v>14</v>
      </c>
      <c r="K470" t="s">
        <v>23</v>
      </c>
      <c r="L470" t="s">
        <v>428</v>
      </c>
      <c r="M470" t="s">
        <v>256</v>
      </c>
      <c r="N470" t="s">
        <v>9</v>
      </c>
      <c r="O470" t="s">
        <v>24</v>
      </c>
      <c r="P470">
        <f t="shared" si="28"/>
        <v>9.3793702014710263</v>
      </c>
      <c r="Q470" t="str">
        <f t="shared" si="27"/>
        <v/>
      </c>
      <c r="R470" s="67" cm="1">
        <f t="array" ref="R470">SUMPRODUCT((J470=$J$7:$J$1000)*(P470&lt;$P$7:$P$1000))+1</f>
        <v>13</v>
      </c>
      <c r="S470" s="72"/>
    </row>
    <row r="471" spans="10:19" x14ac:dyDescent="0.35">
      <c r="J471">
        <v>14</v>
      </c>
      <c r="K471" t="s">
        <v>23</v>
      </c>
      <c r="L471" t="s">
        <v>229</v>
      </c>
      <c r="M471" t="s">
        <v>256</v>
      </c>
      <c r="N471" t="s">
        <v>9</v>
      </c>
      <c r="O471" t="s">
        <v>24</v>
      </c>
      <c r="P471">
        <f t="shared" si="28"/>
        <v>8.7243985610492167</v>
      </c>
      <c r="Q471" t="str">
        <f t="shared" si="27"/>
        <v/>
      </c>
      <c r="R471" s="67" cm="1">
        <f t="array" ref="R471">SUMPRODUCT((J471=$J$7:$J$1000)*(P471&lt;$P$7:$P$1000))+1</f>
        <v>18</v>
      </c>
      <c r="S471" s="72"/>
    </row>
    <row r="472" spans="10:19" x14ac:dyDescent="0.35">
      <c r="J472">
        <v>14</v>
      </c>
      <c r="K472" t="s">
        <v>7</v>
      </c>
      <c r="L472" t="s">
        <v>201</v>
      </c>
      <c r="M472" t="s">
        <v>256</v>
      </c>
      <c r="N472" t="s">
        <v>9</v>
      </c>
      <c r="O472" t="s">
        <v>14</v>
      </c>
      <c r="P472">
        <f t="shared" si="28"/>
        <v>11.047242555125926</v>
      </c>
      <c r="Q472" t="str">
        <f t="shared" si="27"/>
        <v/>
      </c>
      <c r="R472" s="67" cm="1">
        <f t="array" ref="R472">SUMPRODUCT((J472=$J$7:$J$1000)*(P472&lt;$P$7:$P$1000))+1</f>
        <v>6</v>
      </c>
      <c r="S472" s="72"/>
    </row>
    <row r="473" spans="10:19" x14ac:dyDescent="0.35">
      <c r="J473">
        <v>14</v>
      </c>
      <c r="K473" t="s">
        <v>7</v>
      </c>
      <c r="L473" t="s">
        <v>202</v>
      </c>
      <c r="M473" t="s">
        <v>256</v>
      </c>
      <c r="N473" t="s">
        <v>9</v>
      </c>
      <c r="O473" t="s">
        <v>14</v>
      </c>
      <c r="P473">
        <f t="shared" si="28"/>
        <v>9.2329812856900109</v>
      </c>
      <c r="Q473" t="str">
        <f t="shared" si="27"/>
        <v/>
      </c>
      <c r="R473" s="67" cm="1">
        <f t="array" ref="R473">SUMPRODUCT((J473=$J$7:$J$1000)*(P473&lt;$P$7:$P$1000))+1</f>
        <v>15</v>
      </c>
      <c r="S473" s="72"/>
    </row>
    <row r="474" spans="10:19" x14ac:dyDescent="0.35">
      <c r="J474">
        <v>14</v>
      </c>
      <c r="K474" t="s">
        <v>7</v>
      </c>
      <c r="L474" t="s">
        <v>207</v>
      </c>
      <c r="M474" t="s">
        <v>256</v>
      </c>
      <c r="N474" t="s">
        <v>9</v>
      </c>
      <c r="O474" t="s">
        <v>14</v>
      </c>
      <c r="P474">
        <f t="shared" si="28"/>
        <v>8.8244638345523772</v>
      </c>
      <c r="Q474" t="str">
        <f t="shared" si="27"/>
        <v/>
      </c>
      <c r="R474" s="67" cm="1">
        <f t="array" ref="R474">SUMPRODUCT((J474=$J$7:$J$1000)*(P474&lt;$P$7:$P$1000))+1</f>
        <v>17</v>
      </c>
      <c r="S474" s="72"/>
    </row>
    <row r="475" spans="10:19" x14ac:dyDescent="0.35">
      <c r="J475">
        <v>14</v>
      </c>
      <c r="K475" t="s">
        <v>7</v>
      </c>
      <c r="L475" t="s">
        <v>211</v>
      </c>
      <c r="M475" t="s">
        <v>256</v>
      </c>
      <c r="N475" t="s">
        <v>9</v>
      </c>
      <c r="O475" t="s">
        <v>14</v>
      </c>
      <c r="P475">
        <f t="shared" si="28"/>
        <v>7.2307181018442259</v>
      </c>
      <c r="Q475" t="str">
        <f t="shared" si="27"/>
        <v/>
      </c>
      <c r="R475" s="67" cm="1">
        <f t="array" ref="R475">SUMPRODUCT((J475=$J$7:$J$1000)*(P475&lt;$P$7:$P$1000))+1</f>
        <v>26</v>
      </c>
      <c r="S475" s="72"/>
    </row>
    <row r="476" spans="10:19" x14ac:dyDescent="0.35">
      <c r="J476">
        <v>14</v>
      </c>
      <c r="K476" t="s">
        <v>7</v>
      </c>
      <c r="L476" t="s">
        <v>584</v>
      </c>
      <c r="M476" t="s">
        <v>256</v>
      </c>
      <c r="N476" t="s">
        <v>9</v>
      </c>
      <c r="O476" t="s">
        <v>14</v>
      </c>
      <c r="P476">
        <f t="shared" si="28"/>
        <v>8.1749955060328166</v>
      </c>
      <c r="Q476" t="str">
        <f t="shared" si="27"/>
        <v/>
      </c>
      <c r="R476" s="67" cm="1">
        <f t="array" ref="R476">SUMPRODUCT((J476=$J$7:$J$1000)*(P476&lt;$P$7:$P$1000))+1</f>
        <v>21</v>
      </c>
      <c r="S476" s="72"/>
    </row>
    <row r="477" spans="10:19" x14ac:dyDescent="0.35">
      <c r="J477">
        <v>14</v>
      </c>
      <c r="K477" t="s">
        <v>34</v>
      </c>
      <c r="L477" t="s">
        <v>678</v>
      </c>
      <c r="M477" t="s">
        <v>256</v>
      </c>
      <c r="N477" t="s">
        <v>9</v>
      </c>
      <c r="O477" t="s">
        <v>17</v>
      </c>
      <c r="P477">
        <f t="shared" si="28"/>
        <v>1.276287615480979</v>
      </c>
      <c r="Q477" t="str">
        <f t="shared" si="27"/>
        <v/>
      </c>
      <c r="R477" s="67" cm="1">
        <f t="array" ref="R477">SUMPRODUCT((J477=$J$7:$J$1000)*(P477&lt;$P$7:$P$1000))+1</f>
        <v>59</v>
      </c>
      <c r="S477" s="72"/>
    </row>
    <row r="478" spans="10:19" x14ac:dyDescent="0.35">
      <c r="J478">
        <v>14</v>
      </c>
      <c r="K478" t="s">
        <v>34</v>
      </c>
      <c r="L478" t="s">
        <v>429</v>
      </c>
      <c r="M478" t="s">
        <v>256</v>
      </c>
      <c r="N478" t="s">
        <v>9</v>
      </c>
      <c r="O478" t="s">
        <v>17</v>
      </c>
      <c r="P478">
        <f t="shared" si="28"/>
        <v>10.486863643460824</v>
      </c>
      <c r="Q478" t="str">
        <f t="shared" si="27"/>
        <v/>
      </c>
      <c r="R478" s="67" cm="1">
        <f t="array" ref="R478">SUMPRODUCT((J478=$J$7:$J$1000)*(P478&lt;$P$7:$P$1000))+1</f>
        <v>7</v>
      </c>
      <c r="S478" s="72"/>
    </row>
    <row r="479" spans="10:19" x14ac:dyDescent="0.35">
      <c r="J479" s="66">
        <v>14</v>
      </c>
      <c r="K479" t="s">
        <v>34</v>
      </c>
      <c r="L479" t="s">
        <v>200</v>
      </c>
      <c r="M479" t="s">
        <v>256</v>
      </c>
      <c r="N479" t="s">
        <v>9</v>
      </c>
      <c r="O479" t="s">
        <v>17</v>
      </c>
      <c r="P479">
        <f t="shared" si="28"/>
        <v>12.010442742166108</v>
      </c>
      <c r="Q479" t="str">
        <f t="shared" si="27"/>
        <v/>
      </c>
      <c r="R479" s="67" cm="1">
        <f t="array" ref="R479">SUMPRODUCT((J479=$J$7:$J$1000)*(P479&lt;$P$7:$P$1000))+1</f>
        <v>1</v>
      </c>
      <c r="S479" s="72"/>
    </row>
    <row r="480" spans="10:19" x14ac:dyDescent="0.35">
      <c r="J480">
        <v>14</v>
      </c>
      <c r="K480" t="s">
        <v>34</v>
      </c>
      <c r="L480" t="s">
        <v>436</v>
      </c>
      <c r="M480" t="s">
        <v>256</v>
      </c>
      <c r="N480" t="s">
        <v>9</v>
      </c>
      <c r="O480" t="s">
        <v>17</v>
      </c>
      <c r="P480">
        <f t="shared" si="28"/>
        <v>7.586231238660865</v>
      </c>
      <c r="Q480" t="str">
        <f t="shared" si="27"/>
        <v/>
      </c>
      <c r="R480" s="67" cm="1">
        <f t="array" ref="R480">SUMPRODUCT((J480=$J$7:$J$1000)*(P480&lt;$P$7:$P$1000))+1</f>
        <v>24</v>
      </c>
      <c r="S480" s="72"/>
    </row>
    <row r="481" spans="10:19" x14ac:dyDescent="0.35">
      <c r="J481">
        <v>14</v>
      </c>
      <c r="K481" t="s">
        <v>34</v>
      </c>
      <c r="L481" t="s">
        <v>174</v>
      </c>
      <c r="M481" t="s">
        <v>256</v>
      </c>
      <c r="N481" t="s">
        <v>9</v>
      </c>
      <c r="O481" t="s">
        <v>17</v>
      </c>
      <c r="P481">
        <f t="shared" si="28"/>
        <v>10.004850219203009</v>
      </c>
      <c r="Q481" t="str">
        <f t="shared" si="27"/>
        <v/>
      </c>
      <c r="R481" s="67" cm="1">
        <f t="array" ref="R481">SUMPRODUCT((J481=$J$7:$J$1000)*(P481&lt;$P$7:$P$1000))+1</f>
        <v>10</v>
      </c>
      <c r="S481" s="72"/>
    </row>
    <row r="482" spans="10:19" x14ac:dyDescent="0.35">
      <c r="J482">
        <v>14</v>
      </c>
      <c r="K482" t="s">
        <v>34</v>
      </c>
      <c r="L482" t="s">
        <v>227</v>
      </c>
      <c r="M482" t="s">
        <v>256</v>
      </c>
      <c r="N482" t="s">
        <v>9</v>
      </c>
      <c r="O482" t="s">
        <v>17</v>
      </c>
      <c r="P482">
        <f t="shared" si="28"/>
        <v>3.4129394681631831</v>
      </c>
      <c r="Q482" t="str">
        <f t="shared" si="27"/>
        <v/>
      </c>
      <c r="R482" s="67" cm="1">
        <f t="array" ref="R482">SUMPRODUCT((J482=$J$7:$J$1000)*(P482&lt;$P$7:$P$1000))+1</f>
        <v>50</v>
      </c>
      <c r="S482" s="72"/>
    </row>
    <row r="483" spans="10:19" x14ac:dyDescent="0.35">
      <c r="J483">
        <v>14</v>
      </c>
      <c r="K483" t="s">
        <v>34</v>
      </c>
      <c r="L483" t="s">
        <v>228</v>
      </c>
      <c r="M483" t="s">
        <v>256</v>
      </c>
      <c r="N483" t="s">
        <v>9</v>
      </c>
      <c r="O483" t="s">
        <v>17</v>
      </c>
      <c r="P483">
        <f t="shared" si="28"/>
        <v>5.1915181250362812</v>
      </c>
      <c r="Q483" t="str">
        <f t="shared" si="27"/>
        <v/>
      </c>
      <c r="R483" s="67" cm="1">
        <f t="array" ref="R483">SUMPRODUCT((J483=$J$7:$J$1000)*(P483&lt;$P$7:$P$1000))+1</f>
        <v>41</v>
      </c>
      <c r="S483" s="72"/>
    </row>
    <row r="484" spans="10:19" x14ac:dyDescent="0.35">
      <c r="J484">
        <v>14</v>
      </c>
      <c r="K484" t="s">
        <v>17</v>
      </c>
      <c r="L484" t="s">
        <v>631</v>
      </c>
      <c r="M484" t="s">
        <v>256</v>
      </c>
      <c r="N484" t="s">
        <v>3</v>
      </c>
      <c r="O484" t="s">
        <v>34</v>
      </c>
      <c r="P484">
        <f t="shared" si="28"/>
        <v>7.7762470690888419</v>
      </c>
      <c r="Q484" t="str">
        <f t="shared" si="27"/>
        <v/>
      </c>
      <c r="R484" s="67" cm="1">
        <f t="array" ref="R484">SUMPRODUCT((J484=$J$7:$J$1000)*(P484&lt;$P$7:$P$1000))+1</f>
        <v>23</v>
      </c>
      <c r="S484" s="72"/>
    </row>
    <row r="485" spans="10:19" x14ac:dyDescent="0.35">
      <c r="J485">
        <v>14</v>
      </c>
      <c r="K485" t="s">
        <v>17</v>
      </c>
      <c r="L485" t="s">
        <v>485</v>
      </c>
      <c r="M485" t="s">
        <v>256</v>
      </c>
      <c r="N485" t="s">
        <v>3</v>
      </c>
      <c r="O485" t="s">
        <v>34</v>
      </c>
      <c r="P485">
        <f t="shared" si="28"/>
        <v>8.3174245218751803</v>
      </c>
      <c r="Q485" t="str">
        <f t="shared" si="27"/>
        <v/>
      </c>
      <c r="R485" s="67" cm="1">
        <f t="array" ref="R485">SUMPRODUCT((J485=$J$7:$J$1000)*(P485&lt;$P$7:$P$1000))+1</f>
        <v>20</v>
      </c>
      <c r="S485" s="72"/>
    </row>
    <row r="486" spans="10:19" x14ac:dyDescent="0.35">
      <c r="J486">
        <v>14</v>
      </c>
      <c r="K486" t="s">
        <v>17</v>
      </c>
      <c r="L486" t="s">
        <v>206</v>
      </c>
      <c r="M486" t="s">
        <v>256</v>
      </c>
      <c r="N486" t="s">
        <v>3</v>
      </c>
      <c r="O486" t="s">
        <v>34</v>
      </c>
      <c r="P486">
        <f t="shared" si="28"/>
        <v>6.966063556961382</v>
      </c>
      <c r="Q486" t="str">
        <f t="shared" si="27"/>
        <v/>
      </c>
      <c r="R486" s="67" cm="1">
        <f t="array" ref="R486">SUMPRODUCT((J486=$J$7:$J$1000)*(P486&lt;$P$7:$P$1000))+1</f>
        <v>30</v>
      </c>
      <c r="S486" s="72"/>
    </row>
    <row r="487" spans="10:19" x14ac:dyDescent="0.35">
      <c r="J487">
        <v>14</v>
      </c>
      <c r="K487" t="s">
        <v>17</v>
      </c>
      <c r="L487" t="s">
        <v>427</v>
      </c>
      <c r="M487" t="s">
        <v>256</v>
      </c>
      <c r="N487" t="s">
        <v>3</v>
      </c>
      <c r="O487" t="s">
        <v>34</v>
      </c>
      <c r="P487">
        <f t="shared" si="28"/>
        <v>6.4753265451609545</v>
      </c>
      <c r="Q487" t="str">
        <f t="shared" si="27"/>
        <v/>
      </c>
      <c r="R487" s="67" cm="1">
        <f t="array" ref="R487">SUMPRODUCT((J487=$J$7:$J$1000)*(P487&lt;$P$7:$P$1000))+1</f>
        <v>34</v>
      </c>
      <c r="S487" s="72"/>
    </row>
    <row r="488" spans="10:19" x14ac:dyDescent="0.35">
      <c r="J488">
        <v>14</v>
      </c>
      <c r="K488" t="s">
        <v>17</v>
      </c>
      <c r="L488" t="s">
        <v>222</v>
      </c>
      <c r="M488" t="s">
        <v>256</v>
      </c>
      <c r="N488" t="s">
        <v>3</v>
      </c>
      <c r="O488" t="s">
        <v>34</v>
      </c>
      <c r="P488">
        <f t="shared" si="28"/>
        <v>9.4451966396539184</v>
      </c>
      <c r="Q488" t="str">
        <f t="shared" si="27"/>
        <v/>
      </c>
      <c r="R488" s="67" cm="1">
        <f t="array" ref="R488">SUMPRODUCT((J488=$J$7:$J$1000)*(P488&lt;$P$7:$P$1000))+1</f>
        <v>11</v>
      </c>
      <c r="S488" s="72"/>
    </row>
    <row r="489" spans="10:19" x14ac:dyDescent="0.35">
      <c r="J489">
        <v>14</v>
      </c>
      <c r="K489" t="s">
        <v>13</v>
      </c>
      <c r="L489" t="s">
        <v>198</v>
      </c>
      <c r="M489" t="s">
        <v>256</v>
      </c>
      <c r="N489" t="s">
        <v>9</v>
      </c>
      <c r="O489" t="s">
        <v>36</v>
      </c>
      <c r="P489">
        <f t="shared" si="28"/>
        <v>7.0688407829467641</v>
      </c>
      <c r="Q489" t="str">
        <f t="shared" si="27"/>
        <v/>
      </c>
      <c r="R489" s="67" cm="1">
        <f t="array" ref="R489">SUMPRODUCT((J489=$J$7:$J$1000)*(P489&lt;$P$7:$P$1000))+1</f>
        <v>28</v>
      </c>
      <c r="S489" s="72"/>
    </row>
    <row r="490" spans="10:19" x14ac:dyDescent="0.35">
      <c r="J490" s="66">
        <v>14</v>
      </c>
      <c r="K490" t="s">
        <v>13</v>
      </c>
      <c r="L490" t="s">
        <v>204</v>
      </c>
      <c r="M490" t="s">
        <v>256</v>
      </c>
      <c r="N490" t="s">
        <v>9</v>
      </c>
      <c r="O490" t="s">
        <v>36</v>
      </c>
      <c r="P490">
        <f t="shared" si="28"/>
        <v>9.3207074901475107</v>
      </c>
      <c r="Q490" t="str">
        <f t="shared" si="27"/>
        <v/>
      </c>
      <c r="R490" s="67" cm="1">
        <f t="array" ref="R490">SUMPRODUCT((J490=$J$7:$J$1000)*(P490&lt;$P$7:$P$1000))+1</f>
        <v>14</v>
      </c>
      <c r="S490" s="72"/>
    </row>
    <row r="491" spans="10:19" x14ac:dyDescent="0.35">
      <c r="J491">
        <v>14</v>
      </c>
      <c r="K491" t="s">
        <v>13</v>
      </c>
      <c r="L491" t="s">
        <v>103</v>
      </c>
      <c r="M491" t="s">
        <v>256</v>
      </c>
      <c r="N491" t="s">
        <v>9</v>
      </c>
      <c r="O491" t="s">
        <v>36</v>
      </c>
      <c r="P491">
        <f t="shared" si="28"/>
        <v>8.6168639230341029</v>
      </c>
      <c r="Q491" t="str">
        <f t="shared" ref="Q491:Q554" si="29">IFERROR(($M491-$P491)^2,"")</f>
        <v/>
      </c>
      <c r="R491" s="67" cm="1">
        <f t="array" ref="R491">SUMPRODUCT((J491=$J$7:$J$1000)*(P491&lt;$P$7:$P$1000))+1</f>
        <v>19</v>
      </c>
      <c r="S491" s="72"/>
    </row>
    <row r="492" spans="10:19" x14ac:dyDescent="0.35">
      <c r="J492">
        <v>14</v>
      </c>
      <c r="K492" t="s">
        <v>13</v>
      </c>
      <c r="L492" t="s">
        <v>210</v>
      </c>
      <c r="M492" t="s">
        <v>256</v>
      </c>
      <c r="N492" t="s">
        <v>9</v>
      </c>
      <c r="O492" t="s">
        <v>36</v>
      </c>
      <c r="P492">
        <f t="shared" si="28"/>
        <v>5.4661868645903837</v>
      </c>
      <c r="Q492" t="str">
        <f t="shared" si="29"/>
        <v/>
      </c>
      <c r="R492" s="67" cm="1">
        <f t="array" ref="R492">SUMPRODUCT((J492=$J$7:$J$1000)*(P492&lt;$P$7:$P$1000))+1</f>
        <v>38</v>
      </c>
      <c r="S492" s="72"/>
    </row>
    <row r="493" spans="10:19" x14ac:dyDescent="0.35">
      <c r="J493">
        <v>14</v>
      </c>
      <c r="K493" t="s">
        <v>13</v>
      </c>
      <c r="L493" t="s">
        <v>670</v>
      </c>
      <c r="M493" t="s">
        <v>256</v>
      </c>
      <c r="N493" t="s">
        <v>9</v>
      </c>
      <c r="O493" t="s">
        <v>36</v>
      </c>
      <c r="P493">
        <f t="shared" si="28"/>
        <v>0.5746252714722857</v>
      </c>
      <c r="Q493" t="str">
        <f t="shared" si="29"/>
        <v/>
      </c>
      <c r="R493" s="67" cm="1">
        <f t="array" ref="R493">SUMPRODUCT((J493=$J$7:$J$1000)*(P493&lt;$P$7:$P$1000))+1</f>
        <v>61</v>
      </c>
      <c r="S493" s="72"/>
    </row>
    <row r="494" spans="10:19" x14ac:dyDescent="0.35">
      <c r="J494">
        <v>14</v>
      </c>
      <c r="K494" t="s">
        <v>13</v>
      </c>
      <c r="L494" t="s">
        <v>600</v>
      </c>
      <c r="M494" t="s">
        <v>256</v>
      </c>
      <c r="N494" t="s">
        <v>9</v>
      </c>
      <c r="O494" t="s">
        <v>36</v>
      </c>
      <c r="P494">
        <f t="shared" si="28"/>
        <v>2.2167095609706293</v>
      </c>
      <c r="Q494" t="str">
        <f t="shared" si="29"/>
        <v/>
      </c>
      <c r="R494" s="67" cm="1">
        <f t="array" ref="R494">SUMPRODUCT((J494=$J$7:$J$1000)*(P494&lt;$P$7:$P$1000))+1</f>
        <v>55</v>
      </c>
      <c r="S494" s="72"/>
    </row>
    <row r="495" spans="10:19" x14ac:dyDescent="0.35">
      <c r="J495">
        <v>14</v>
      </c>
      <c r="K495" t="s">
        <v>13</v>
      </c>
      <c r="L495" t="s">
        <v>689</v>
      </c>
      <c r="M495" t="s">
        <v>256</v>
      </c>
      <c r="N495" t="s">
        <v>9</v>
      </c>
      <c r="O495" t="s">
        <v>36</v>
      </c>
      <c r="P495">
        <f t="shared" si="28"/>
        <v>3.0638015635547</v>
      </c>
      <c r="Q495" t="str">
        <f t="shared" si="29"/>
        <v/>
      </c>
      <c r="R495" s="67" cm="1">
        <f t="array" ref="R495">SUMPRODUCT((J495=$J$7:$J$1000)*(P495&lt;$P$7:$P$1000))+1</f>
        <v>53</v>
      </c>
      <c r="S495" s="72"/>
    </row>
    <row r="496" spans="10:19" x14ac:dyDescent="0.35">
      <c r="J496">
        <v>14</v>
      </c>
      <c r="K496" t="s">
        <v>13</v>
      </c>
      <c r="L496" t="s">
        <v>638</v>
      </c>
      <c r="M496" t="s">
        <v>256</v>
      </c>
      <c r="N496" t="s">
        <v>9</v>
      </c>
      <c r="O496" t="s">
        <v>36</v>
      </c>
      <c r="P496">
        <f t="shared" si="28"/>
        <v>5.4572863364090978</v>
      </c>
      <c r="Q496" t="str">
        <f t="shared" si="29"/>
        <v/>
      </c>
      <c r="R496" s="67" cm="1">
        <f t="array" ref="R496">SUMPRODUCT((J496=$J$7:$J$1000)*(P496&lt;$P$7:$P$1000))+1</f>
        <v>39</v>
      </c>
      <c r="S496" s="72"/>
    </row>
    <row r="497" spans="10:19" x14ac:dyDescent="0.35">
      <c r="J497">
        <v>15</v>
      </c>
      <c r="K497" t="s">
        <v>14</v>
      </c>
      <c r="L497" t="s">
        <v>197</v>
      </c>
      <c r="M497" t="s">
        <v>256</v>
      </c>
      <c r="N497" t="s">
        <v>3</v>
      </c>
      <c r="O497" t="s">
        <v>2</v>
      </c>
      <c r="P497">
        <f t="shared" si="28"/>
        <v>4.4133450682678186</v>
      </c>
      <c r="Q497" t="str">
        <f t="shared" si="29"/>
        <v/>
      </c>
      <c r="R497" s="67" cm="1">
        <f t="array" ref="R497">SUMPRODUCT((J497=$J$7:$J$1000)*(P497&lt;$P$7:$P$1000))+1</f>
        <v>49</v>
      </c>
      <c r="S497" s="72"/>
    </row>
    <row r="498" spans="10:19" x14ac:dyDescent="0.35">
      <c r="J498">
        <v>15</v>
      </c>
      <c r="K498" t="s">
        <v>14</v>
      </c>
      <c r="L498" t="s">
        <v>540</v>
      </c>
      <c r="M498" t="s">
        <v>256</v>
      </c>
      <c r="N498" t="s">
        <v>3</v>
      </c>
      <c r="O498" t="s">
        <v>2</v>
      </c>
      <c r="P498">
        <f t="shared" si="28"/>
        <v>6.9550125338093185</v>
      </c>
      <c r="Q498" t="str">
        <f t="shared" si="29"/>
        <v/>
      </c>
      <c r="R498" s="67" cm="1">
        <f t="array" ref="R498">SUMPRODUCT((J498=$J$7:$J$1000)*(P498&lt;$P$7:$P$1000))+1</f>
        <v>25</v>
      </c>
      <c r="S498" s="72"/>
    </row>
    <row r="499" spans="10:19" x14ac:dyDescent="0.35">
      <c r="J499">
        <v>15</v>
      </c>
      <c r="K499" t="s">
        <v>14</v>
      </c>
      <c r="L499" t="s">
        <v>548</v>
      </c>
      <c r="M499" t="s">
        <v>256</v>
      </c>
      <c r="N499" t="s">
        <v>3</v>
      </c>
      <c r="O499" t="s">
        <v>2</v>
      </c>
      <c r="P499">
        <f t="shared" si="28"/>
        <v>5.4113890657675512</v>
      </c>
      <c r="Q499" t="str">
        <f t="shared" si="29"/>
        <v/>
      </c>
      <c r="R499" s="67" cm="1">
        <f t="array" ref="R499">SUMPRODUCT((J499=$J$7:$J$1000)*(P499&lt;$P$7:$P$1000))+1</f>
        <v>42</v>
      </c>
      <c r="S499" s="72"/>
    </row>
    <row r="500" spans="10:19" x14ac:dyDescent="0.35">
      <c r="J500">
        <v>15</v>
      </c>
      <c r="K500" t="s">
        <v>14</v>
      </c>
      <c r="L500" t="s">
        <v>203</v>
      </c>
      <c r="M500" t="s">
        <v>256</v>
      </c>
      <c r="N500" t="s">
        <v>3</v>
      </c>
      <c r="O500" t="s">
        <v>2</v>
      </c>
      <c r="P500">
        <f t="shared" si="28"/>
        <v>4.222545825287134</v>
      </c>
      <c r="Q500" t="str">
        <f t="shared" si="29"/>
        <v/>
      </c>
      <c r="R500" s="67" cm="1">
        <f t="array" ref="R500">SUMPRODUCT((J500=$J$7:$J$1000)*(P500&lt;$P$7:$P$1000))+1</f>
        <v>50</v>
      </c>
      <c r="S500" s="72"/>
    </row>
    <row r="501" spans="10:19" x14ac:dyDescent="0.35">
      <c r="J501" s="66">
        <v>15</v>
      </c>
      <c r="K501" t="s">
        <v>14</v>
      </c>
      <c r="L501" t="s">
        <v>642</v>
      </c>
      <c r="M501" t="s">
        <v>256</v>
      </c>
      <c r="N501" t="s">
        <v>3</v>
      </c>
      <c r="O501" t="s">
        <v>2</v>
      </c>
      <c r="P501">
        <f t="shared" si="28"/>
        <v>6.5273759217957155</v>
      </c>
      <c r="Q501" t="str">
        <f t="shared" si="29"/>
        <v/>
      </c>
      <c r="R501" s="67" cm="1">
        <f t="array" ref="R501">SUMPRODUCT((J501=$J$7:$J$1000)*(P501&lt;$P$7:$P$1000))+1</f>
        <v>29</v>
      </c>
      <c r="S501" s="72"/>
    </row>
    <row r="502" spans="10:19" x14ac:dyDescent="0.35">
      <c r="J502">
        <v>15</v>
      </c>
      <c r="K502" t="s">
        <v>14</v>
      </c>
      <c r="L502" t="s">
        <v>396</v>
      </c>
      <c r="M502" t="s">
        <v>256</v>
      </c>
      <c r="N502" t="s">
        <v>3</v>
      </c>
      <c r="O502" t="s">
        <v>2</v>
      </c>
      <c r="P502">
        <f t="shared" si="28"/>
        <v>8.6702914043033505</v>
      </c>
      <c r="Q502" t="str">
        <f t="shared" si="29"/>
        <v/>
      </c>
      <c r="R502" s="67" cm="1">
        <f t="array" ref="R502">SUMPRODUCT((J502=$J$7:$J$1000)*(P502&lt;$P$7:$P$1000))+1</f>
        <v>15</v>
      </c>
      <c r="S502" s="72"/>
    </row>
    <row r="503" spans="10:19" x14ac:dyDescent="0.35">
      <c r="J503">
        <v>15</v>
      </c>
      <c r="K503" t="s">
        <v>14</v>
      </c>
      <c r="L503" t="s">
        <v>107</v>
      </c>
      <c r="M503" t="s">
        <v>256</v>
      </c>
      <c r="N503" t="s">
        <v>3</v>
      </c>
      <c r="O503" t="s">
        <v>2</v>
      </c>
      <c r="P503">
        <f t="shared" si="28"/>
        <v>6.0543845760166839</v>
      </c>
      <c r="Q503" t="str">
        <f t="shared" si="29"/>
        <v/>
      </c>
      <c r="R503" s="67" cm="1">
        <f t="array" ref="R503">SUMPRODUCT((J503=$J$7:$J$1000)*(P503&lt;$P$7:$P$1000))+1</f>
        <v>34</v>
      </c>
      <c r="S503" s="72"/>
    </row>
    <row r="504" spans="10:19" x14ac:dyDescent="0.35">
      <c r="J504">
        <v>15</v>
      </c>
      <c r="K504" t="s">
        <v>14</v>
      </c>
      <c r="L504" t="s">
        <v>514</v>
      </c>
      <c r="M504" t="s">
        <v>256</v>
      </c>
      <c r="N504" t="s">
        <v>3</v>
      </c>
      <c r="O504" t="s">
        <v>2</v>
      </c>
      <c r="P504">
        <f t="shared" si="28"/>
        <v>5.4957520724539055</v>
      </c>
      <c r="Q504" t="str">
        <f t="shared" si="29"/>
        <v/>
      </c>
      <c r="R504" s="67" cm="1">
        <f t="array" ref="R504">SUMPRODUCT((J504=$J$7:$J$1000)*(P504&lt;$P$7:$P$1000))+1</f>
        <v>40</v>
      </c>
      <c r="S504" s="72"/>
    </row>
    <row r="505" spans="10:19" x14ac:dyDescent="0.35">
      <c r="J505">
        <v>15</v>
      </c>
      <c r="K505" t="s">
        <v>2</v>
      </c>
      <c r="L505" t="s">
        <v>665</v>
      </c>
      <c r="M505" t="s">
        <v>256</v>
      </c>
      <c r="N505" t="s">
        <v>9</v>
      </c>
      <c r="O505" t="s">
        <v>14</v>
      </c>
      <c r="P505">
        <f t="shared" si="28"/>
        <v>5.0214310981331307</v>
      </c>
      <c r="Q505" t="str">
        <f t="shared" si="29"/>
        <v/>
      </c>
      <c r="R505" s="67" cm="1">
        <f t="array" ref="R505">SUMPRODUCT((J505=$J$7:$J$1000)*(P505&lt;$P$7:$P$1000))+1</f>
        <v>45</v>
      </c>
      <c r="S505" s="72"/>
    </row>
    <row r="506" spans="10:19" x14ac:dyDescent="0.35">
      <c r="J506" s="66">
        <v>15</v>
      </c>
      <c r="K506" t="s">
        <v>2</v>
      </c>
      <c r="L506" t="s">
        <v>530</v>
      </c>
      <c r="M506" t="s">
        <v>256</v>
      </c>
      <c r="N506" t="s">
        <v>9</v>
      </c>
      <c r="O506" t="s">
        <v>14</v>
      </c>
      <c r="P506">
        <f t="shared" si="28"/>
        <v>7.811153190724931</v>
      </c>
      <c r="Q506" t="str">
        <f t="shared" si="29"/>
        <v/>
      </c>
      <c r="R506" s="67" cm="1">
        <f t="array" ref="R506">SUMPRODUCT((J506=$J$7:$J$1000)*(P506&lt;$P$7:$P$1000))+1</f>
        <v>21</v>
      </c>
      <c r="S506" s="72"/>
    </row>
    <row r="507" spans="10:19" x14ac:dyDescent="0.35">
      <c r="J507">
        <v>15</v>
      </c>
      <c r="K507" t="s">
        <v>2</v>
      </c>
      <c r="L507" t="s">
        <v>212</v>
      </c>
      <c r="M507" t="s">
        <v>256</v>
      </c>
      <c r="N507" t="s">
        <v>9</v>
      </c>
      <c r="O507" t="s">
        <v>14</v>
      </c>
      <c r="P507">
        <f t="shared" si="28"/>
        <v>9.7275448822520989</v>
      </c>
      <c r="Q507" t="str">
        <f t="shared" si="29"/>
        <v/>
      </c>
      <c r="R507" s="67" cm="1">
        <f t="array" ref="R507">SUMPRODUCT((J507=$J$7:$J$1000)*(P507&lt;$P$7:$P$1000))+1</f>
        <v>11</v>
      </c>
      <c r="S507" s="72"/>
    </row>
    <row r="508" spans="10:19" x14ac:dyDescent="0.35">
      <c r="J508">
        <v>15</v>
      </c>
      <c r="K508" t="s">
        <v>2</v>
      </c>
      <c r="L508" t="s">
        <v>585</v>
      </c>
      <c r="M508" t="s">
        <v>256</v>
      </c>
      <c r="N508" t="s">
        <v>9</v>
      </c>
      <c r="O508" t="s">
        <v>14</v>
      </c>
      <c r="P508">
        <f t="shared" si="28"/>
        <v>5.5460484396615355</v>
      </c>
      <c r="Q508" t="str">
        <f t="shared" si="29"/>
        <v/>
      </c>
      <c r="R508" s="67" cm="1">
        <f t="array" ref="R508">SUMPRODUCT((J508=$J$7:$J$1000)*(P508&lt;$P$7:$P$1000))+1</f>
        <v>37</v>
      </c>
      <c r="S508" s="72"/>
    </row>
    <row r="509" spans="10:19" x14ac:dyDescent="0.35">
      <c r="J509">
        <v>15</v>
      </c>
      <c r="K509" t="s">
        <v>2</v>
      </c>
      <c r="L509" t="s">
        <v>213</v>
      </c>
      <c r="M509" t="s">
        <v>256</v>
      </c>
      <c r="N509" t="s">
        <v>9</v>
      </c>
      <c r="O509" t="s">
        <v>14</v>
      </c>
      <c r="P509">
        <f t="shared" si="28"/>
        <v>11.047173554504367</v>
      </c>
      <c r="Q509" t="str">
        <f t="shared" si="29"/>
        <v/>
      </c>
      <c r="R509" s="67" cm="1">
        <f t="array" ref="R509">SUMPRODUCT((J509=$J$7:$J$1000)*(P509&lt;$P$7:$P$1000))+1</f>
        <v>5</v>
      </c>
      <c r="S509" s="72"/>
    </row>
    <row r="510" spans="10:19" x14ac:dyDescent="0.35">
      <c r="J510">
        <v>15</v>
      </c>
      <c r="K510" t="s">
        <v>2</v>
      </c>
      <c r="L510" t="s">
        <v>115</v>
      </c>
      <c r="M510" t="s">
        <v>256</v>
      </c>
      <c r="N510" t="s">
        <v>9</v>
      </c>
      <c r="O510" t="s">
        <v>14</v>
      </c>
      <c r="P510">
        <f t="shared" si="28"/>
        <v>10.689375956298507</v>
      </c>
      <c r="Q510" t="str">
        <f t="shared" si="29"/>
        <v/>
      </c>
      <c r="R510" s="67" cm="1">
        <f t="array" ref="R510">SUMPRODUCT((J510=$J$7:$J$1000)*(P510&lt;$P$7:$P$1000))+1</f>
        <v>6</v>
      </c>
      <c r="S510" s="72"/>
    </row>
    <row r="511" spans="10:19" x14ac:dyDescent="0.35">
      <c r="J511">
        <v>15</v>
      </c>
      <c r="K511" t="s">
        <v>2</v>
      </c>
      <c r="L511" t="s">
        <v>589</v>
      </c>
      <c r="M511" t="s">
        <v>256</v>
      </c>
      <c r="N511" t="s">
        <v>9</v>
      </c>
      <c r="O511" t="s">
        <v>14</v>
      </c>
      <c r="P511">
        <f t="shared" si="28"/>
        <v>8.1212693487398901</v>
      </c>
      <c r="Q511" t="str">
        <f t="shared" si="29"/>
        <v/>
      </c>
      <c r="R511" s="67" cm="1">
        <f t="array" ref="R511">SUMPRODUCT((J511=$J$7:$J$1000)*(P511&lt;$P$7:$P$1000))+1</f>
        <v>18</v>
      </c>
      <c r="S511" s="72"/>
    </row>
    <row r="512" spans="10:19" x14ac:dyDescent="0.35">
      <c r="J512">
        <v>15</v>
      </c>
      <c r="K512" t="s">
        <v>36</v>
      </c>
      <c r="L512" t="s">
        <v>205</v>
      </c>
      <c r="M512" t="s">
        <v>256</v>
      </c>
      <c r="N512" t="s">
        <v>9</v>
      </c>
      <c r="O512" t="s">
        <v>17</v>
      </c>
      <c r="P512">
        <f t="shared" si="28"/>
        <v>7.7283606484853138</v>
      </c>
      <c r="Q512" t="str">
        <f t="shared" si="29"/>
        <v/>
      </c>
      <c r="R512" s="67" cm="1">
        <f t="array" ref="R512">SUMPRODUCT((J512=$J$7:$J$1000)*(P512&lt;$P$7:$P$1000))+1</f>
        <v>22</v>
      </c>
      <c r="S512" s="72"/>
    </row>
    <row r="513" spans="10:19" x14ac:dyDescent="0.35">
      <c r="J513" s="66">
        <v>15</v>
      </c>
      <c r="K513" t="s">
        <v>36</v>
      </c>
      <c r="L513" t="s">
        <v>112</v>
      </c>
      <c r="M513" t="s">
        <v>256</v>
      </c>
      <c r="N513" t="s">
        <v>9</v>
      </c>
      <c r="O513" t="s">
        <v>17</v>
      </c>
      <c r="P513">
        <f t="shared" si="28"/>
        <v>6.6950734742283426</v>
      </c>
      <c r="Q513" t="str">
        <f t="shared" si="29"/>
        <v/>
      </c>
      <c r="R513" s="67" cm="1">
        <f t="array" ref="R513">SUMPRODUCT((J513=$J$7:$J$1000)*(P513&lt;$P$7:$P$1000))+1</f>
        <v>27</v>
      </c>
      <c r="S513" s="72"/>
    </row>
    <row r="514" spans="10:19" x14ac:dyDescent="0.35">
      <c r="J514">
        <v>15</v>
      </c>
      <c r="K514" t="s">
        <v>36</v>
      </c>
      <c r="L514" t="s">
        <v>576</v>
      </c>
      <c r="M514" t="s">
        <v>256</v>
      </c>
      <c r="N514" t="s">
        <v>9</v>
      </c>
      <c r="O514" t="s">
        <v>17</v>
      </c>
      <c r="P514">
        <f t="shared" si="28"/>
        <v>3.0737674817508185</v>
      </c>
      <c r="Q514" t="str">
        <f t="shared" si="29"/>
        <v/>
      </c>
      <c r="R514" s="67" cm="1">
        <f t="array" ref="R514">SUMPRODUCT((J514=$J$7:$J$1000)*(P514&lt;$P$7:$P$1000))+1</f>
        <v>60</v>
      </c>
      <c r="S514" s="72"/>
    </row>
    <row r="515" spans="10:19" x14ac:dyDescent="0.35">
      <c r="J515">
        <v>15</v>
      </c>
      <c r="K515" t="s">
        <v>36</v>
      </c>
      <c r="L515" t="s">
        <v>216</v>
      </c>
      <c r="M515" t="s">
        <v>256</v>
      </c>
      <c r="N515" t="s">
        <v>9</v>
      </c>
      <c r="O515" t="s">
        <v>17</v>
      </c>
      <c r="P515">
        <f t="shared" si="28"/>
        <v>5.4536348067329232</v>
      </c>
      <c r="Q515" t="str">
        <f t="shared" si="29"/>
        <v/>
      </c>
      <c r="R515" s="67" cm="1">
        <f t="array" ref="R515">SUMPRODUCT((J515=$J$7:$J$1000)*(P515&lt;$P$7:$P$1000))+1</f>
        <v>41</v>
      </c>
      <c r="S515" s="72"/>
    </row>
    <row r="516" spans="10:19" x14ac:dyDescent="0.35">
      <c r="J516">
        <v>15</v>
      </c>
      <c r="K516" t="s">
        <v>36</v>
      </c>
      <c r="L516" t="s">
        <v>224</v>
      </c>
      <c r="M516" t="s">
        <v>256</v>
      </c>
      <c r="N516" t="s">
        <v>9</v>
      </c>
      <c r="O516" t="s">
        <v>17</v>
      </c>
      <c r="P516">
        <f t="shared" si="28"/>
        <v>3.9952997782026443</v>
      </c>
      <c r="Q516" t="str">
        <f t="shared" si="29"/>
        <v/>
      </c>
      <c r="R516" s="67" cm="1">
        <f t="array" ref="R516">SUMPRODUCT((J516=$J$7:$J$1000)*(P516&lt;$P$7:$P$1000))+1</f>
        <v>54</v>
      </c>
      <c r="S516" s="72"/>
    </row>
    <row r="517" spans="10:19" x14ac:dyDescent="0.35">
      <c r="J517">
        <v>15</v>
      </c>
      <c r="K517" t="s">
        <v>36</v>
      </c>
      <c r="L517" t="s">
        <v>225</v>
      </c>
      <c r="M517" t="s">
        <v>256</v>
      </c>
      <c r="N517" t="s">
        <v>9</v>
      </c>
      <c r="O517" t="s">
        <v>17</v>
      </c>
      <c r="P517">
        <f t="shared" si="28"/>
        <v>12.410744847728994</v>
      </c>
      <c r="Q517" t="str">
        <f t="shared" si="29"/>
        <v/>
      </c>
      <c r="R517" s="67" cm="1">
        <f t="array" ref="R517">SUMPRODUCT((J517=$J$7:$J$1000)*(P517&lt;$P$7:$P$1000))+1</f>
        <v>1</v>
      </c>
      <c r="S517" s="72"/>
    </row>
    <row r="518" spans="10:19" x14ac:dyDescent="0.35">
      <c r="J518">
        <v>15</v>
      </c>
      <c r="K518" t="s">
        <v>6</v>
      </c>
      <c r="L518" t="s">
        <v>432</v>
      </c>
      <c r="M518" t="s">
        <v>256</v>
      </c>
      <c r="N518" t="s">
        <v>3</v>
      </c>
      <c r="O518" t="s">
        <v>24</v>
      </c>
      <c r="P518">
        <f t="shared" si="28"/>
        <v>10.12600337825303</v>
      </c>
      <c r="Q518" t="str">
        <f t="shared" si="29"/>
        <v/>
      </c>
      <c r="R518" s="67" cm="1">
        <f t="array" ref="R518">SUMPRODUCT((J518=$J$7:$J$1000)*(P518&lt;$P$7:$P$1000))+1</f>
        <v>9</v>
      </c>
      <c r="S518" s="72"/>
    </row>
    <row r="519" spans="10:19" x14ac:dyDescent="0.35">
      <c r="J519">
        <v>15</v>
      </c>
      <c r="K519" t="s">
        <v>6</v>
      </c>
      <c r="L519" t="s">
        <v>433</v>
      </c>
      <c r="M519" t="s">
        <v>256</v>
      </c>
      <c r="N519" t="s">
        <v>3</v>
      </c>
      <c r="O519" t="s">
        <v>24</v>
      </c>
      <c r="P519">
        <f t="shared" si="28"/>
        <v>10.129380806687028</v>
      </c>
      <c r="Q519" t="str">
        <f t="shared" si="29"/>
        <v/>
      </c>
      <c r="R519" s="67" cm="1">
        <f t="array" ref="R519">SUMPRODUCT((J519=$J$7:$J$1000)*(P519&lt;$P$7:$P$1000))+1</f>
        <v>8</v>
      </c>
      <c r="S519" s="72"/>
    </row>
    <row r="520" spans="10:19" x14ac:dyDescent="0.35">
      <c r="J520">
        <v>15</v>
      </c>
      <c r="K520" t="s">
        <v>6</v>
      </c>
      <c r="L520" t="s">
        <v>208</v>
      </c>
      <c r="M520" t="s">
        <v>256</v>
      </c>
      <c r="N520" t="s">
        <v>3</v>
      </c>
      <c r="O520" t="s">
        <v>24</v>
      </c>
      <c r="P520">
        <f t="shared" ref="P520:P583" si="30">VLOOKUP($N520,$F$3:$G$4,2,FALSE)+VLOOKUP($L520,$B$20:$C$150,2,FALSE)+VLOOKUP($O520,$A$6:$B$16,2,FALSE)</f>
        <v>5.2927444518118403</v>
      </c>
      <c r="Q520" t="str">
        <f t="shared" si="29"/>
        <v/>
      </c>
      <c r="R520" s="67" cm="1">
        <f t="array" ref="R520">SUMPRODUCT((J520=$J$7:$J$1000)*(P520&lt;$P$7:$P$1000))+1</f>
        <v>43</v>
      </c>
      <c r="S520" s="72"/>
    </row>
    <row r="521" spans="10:19" x14ac:dyDescent="0.35">
      <c r="J521">
        <v>15</v>
      </c>
      <c r="K521" t="s">
        <v>6</v>
      </c>
      <c r="L521" t="s">
        <v>219</v>
      </c>
      <c r="M521" t="s">
        <v>256</v>
      </c>
      <c r="N521" t="s">
        <v>3</v>
      </c>
      <c r="O521" t="s">
        <v>24</v>
      </c>
      <c r="P521">
        <f t="shared" si="30"/>
        <v>5.127046493943058</v>
      </c>
      <c r="Q521" t="str">
        <f t="shared" si="29"/>
        <v/>
      </c>
      <c r="R521" s="67" cm="1">
        <f t="array" ref="R521">SUMPRODUCT((J521=$J$7:$J$1000)*(P521&lt;$P$7:$P$1000))+1</f>
        <v>44</v>
      </c>
      <c r="S521" s="72"/>
    </row>
    <row r="522" spans="10:19" x14ac:dyDescent="0.35">
      <c r="J522" s="66">
        <v>15</v>
      </c>
      <c r="K522" t="s">
        <v>6</v>
      </c>
      <c r="L522" t="s">
        <v>603</v>
      </c>
      <c r="M522" t="s">
        <v>256</v>
      </c>
      <c r="N522" t="s">
        <v>3</v>
      </c>
      <c r="O522" t="s">
        <v>24</v>
      </c>
      <c r="P522">
        <f t="shared" si="30"/>
        <v>9.9104174246008299</v>
      </c>
      <c r="Q522" t="str">
        <f t="shared" si="29"/>
        <v/>
      </c>
      <c r="R522" s="67" cm="1">
        <f t="array" ref="R522">SUMPRODUCT((J522=$J$7:$J$1000)*(P522&lt;$P$7:$P$1000))+1</f>
        <v>10</v>
      </c>
      <c r="S522" s="72"/>
    </row>
    <row r="523" spans="10:19" x14ac:dyDescent="0.35">
      <c r="J523">
        <v>15</v>
      </c>
      <c r="K523" t="s">
        <v>6</v>
      </c>
      <c r="L523" t="s">
        <v>430</v>
      </c>
      <c r="M523" t="s">
        <v>256</v>
      </c>
      <c r="N523" t="s">
        <v>3</v>
      </c>
      <c r="O523" t="s">
        <v>24</v>
      </c>
      <c r="P523">
        <f t="shared" si="30"/>
        <v>3.4632109732411847</v>
      </c>
      <c r="Q523" t="str">
        <f t="shared" si="29"/>
        <v/>
      </c>
      <c r="R523" s="67" cm="1">
        <f t="array" ref="R523">SUMPRODUCT((J523=$J$7:$J$1000)*(P523&lt;$P$7:$P$1000))+1</f>
        <v>57</v>
      </c>
      <c r="S523" s="72"/>
    </row>
    <row r="524" spans="10:19" x14ac:dyDescent="0.35">
      <c r="J524" s="66">
        <v>15</v>
      </c>
      <c r="K524" t="s">
        <v>24</v>
      </c>
      <c r="L524" t="s">
        <v>199</v>
      </c>
      <c r="M524" t="s">
        <v>256</v>
      </c>
      <c r="N524" t="s">
        <v>9</v>
      </c>
      <c r="O524" t="s">
        <v>6</v>
      </c>
      <c r="P524">
        <f t="shared" si="30"/>
        <v>9.0201438740394249</v>
      </c>
      <c r="Q524" t="str">
        <f t="shared" si="29"/>
        <v/>
      </c>
      <c r="R524" s="67" cm="1">
        <f t="array" ref="R524">SUMPRODUCT((J524=$J$7:$J$1000)*(P524&lt;$P$7:$P$1000))+1</f>
        <v>13</v>
      </c>
      <c r="S524" s="72"/>
    </row>
    <row r="525" spans="10:19" x14ac:dyDescent="0.35">
      <c r="J525">
        <v>15</v>
      </c>
      <c r="K525" t="s">
        <v>24</v>
      </c>
      <c r="L525" t="s">
        <v>215</v>
      </c>
      <c r="M525" t="s">
        <v>256</v>
      </c>
      <c r="N525" t="s">
        <v>9</v>
      </c>
      <c r="O525" t="s">
        <v>6</v>
      </c>
      <c r="P525">
        <f t="shared" si="30"/>
        <v>12.355130156313402</v>
      </c>
      <c r="Q525" t="str">
        <f t="shared" si="29"/>
        <v/>
      </c>
      <c r="R525" s="67" cm="1">
        <f t="array" ref="R525">SUMPRODUCT((J525=$J$7:$J$1000)*(P525&lt;$P$7:$P$1000))+1</f>
        <v>2</v>
      </c>
      <c r="S525" s="72"/>
    </row>
    <row r="526" spans="10:19" x14ac:dyDescent="0.35">
      <c r="J526">
        <v>15</v>
      </c>
      <c r="K526" t="s">
        <v>24</v>
      </c>
      <c r="L526" t="s">
        <v>217</v>
      </c>
      <c r="M526" t="s">
        <v>256</v>
      </c>
      <c r="N526" t="s">
        <v>9</v>
      </c>
      <c r="O526" t="s">
        <v>6</v>
      </c>
      <c r="P526">
        <f t="shared" si="30"/>
        <v>4.0817146943002793</v>
      </c>
      <c r="Q526" t="str">
        <f t="shared" si="29"/>
        <v/>
      </c>
      <c r="R526" s="67" cm="1">
        <f t="array" ref="R526">SUMPRODUCT((J526=$J$7:$J$1000)*(P526&lt;$P$7:$P$1000))+1</f>
        <v>52</v>
      </c>
      <c r="S526" s="72"/>
    </row>
    <row r="527" spans="10:19" x14ac:dyDescent="0.35">
      <c r="J527">
        <v>15</v>
      </c>
      <c r="K527" t="s">
        <v>24</v>
      </c>
      <c r="L527" t="s">
        <v>223</v>
      </c>
      <c r="M527" t="s">
        <v>256</v>
      </c>
      <c r="N527" t="s">
        <v>9</v>
      </c>
      <c r="O527" t="s">
        <v>6</v>
      </c>
      <c r="P527">
        <f t="shared" si="30"/>
        <v>5.7540215043021998</v>
      </c>
      <c r="Q527" t="str">
        <f t="shared" si="29"/>
        <v/>
      </c>
      <c r="R527" s="67" cm="1">
        <f t="array" ref="R527">SUMPRODUCT((J527=$J$7:$J$1000)*(P527&lt;$P$7:$P$1000))+1</f>
        <v>36</v>
      </c>
      <c r="S527" s="72"/>
    </row>
    <row r="528" spans="10:19" x14ac:dyDescent="0.35">
      <c r="J528">
        <v>15</v>
      </c>
      <c r="K528" t="s">
        <v>24</v>
      </c>
      <c r="L528" t="s">
        <v>607</v>
      </c>
      <c r="M528" t="s">
        <v>256</v>
      </c>
      <c r="N528" t="s">
        <v>9</v>
      </c>
      <c r="O528" t="s">
        <v>6</v>
      </c>
      <c r="P528">
        <f t="shared" si="30"/>
        <v>2.2806289819637366</v>
      </c>
      <c r="Q528" t="str">
        <f t="shared" si="29"/>
        <v/>
      </c>
      <c r="R528" s="67" cm="1">
        <f t="array" ref="R528">SUMPRODUCT((J528=$J$7:$J$1000)*(P528&lt;$P$7:$P$1000))+1</f>
        <v>61</v>
      </c>
      <c r="S528" s="72"/>
    </row>
    <row r="529" spans="10:19" x14ac:dyDescent="0.35">
      <c r="J529">
        <v>15</v>
      </c>
      <c r="K529" t="s">
        <v>24</v>
      </c>
      <c r="L529" t="s">
        <v>511</v>
      </c>
      <c r="M529" t="s">
        <v>256</v>
      </c>
      <c r="N529" t="s">
        <v>9</v>
      </c>
      <c r="O529" t="s">
        <v>6</v>
      </c>
      <c r="P529">
        <f t="shared" si="30"/>
        <v>4.1804416187181666</v>
      </c>
      <c r="Q529" t="str">
        <f t="shared" si="29"/>
        <v/>
      </c>
      <c r="R529" s="67" cm="1">
        <f t="array" ref="R529">SUMPRODUCT((J529=$J$7:$J$1000)*(P529&lt;$P$7:$P$1000))+1</f>
        <v>51</v>
      </c>
      <c r="S529" s="72"/>
    </row>
    <row r="530" spans="10:19" x14ac:dyDescent="0.35">
      <c r="J530">
        <v>15</v>
      </c>
      <c r="K530" t="s">
        <v>23</v>
      </c>
      <c r="L530" t="s">
        <v>389</v>
      </c>
      <c r="M530" t="s">
        <v>256</v>
      </c>
      <c r="N530" t="s">
        <v>3</v>
      </c>
      <c r="O530" t="s">
        <v>7</v>
      </c>
      <c r="P530">
        <f t="shared" si="30"/>
        <v>11.165653313566787</v>
      </c>
      <c r="Q530" t="str">
        <f t="shared" si="29"/>
        <v/>
      </c>
      <c r="R530" s="67" cm="1">
        <f t="array" ref="R530">SUMPRODUCT((J530=$J$7:$J$1000)*(P530&lt;$P$7:$P$1000))+1</f>
        <v>4</v>
      </c>
      <c r="S530" s="72"/>
    </row>
    <row r="531" spans="10:19" x14ac:dyDescent="0.35">
      <c r="J531">
        <v>15</v>
      </c>
      <c r="K531" t="s">
        <v>23</v>
      </c>
      <c r="L531" t="s">
        <v>431</v>
      </c>
      <c r="M531" t="s">
        <v>256</v>
      </c>
      <c r="N531" t="s">
        <v>3</v>
      </c>
      <c r="O531" t="s">
        <v>7</v>
      </c>
      <c r="P531">
        <f t="shared" si="30"/>
        <v>6.5045864800665933</v>
      </c>
      <c r="Q531" t="str">
        <f t="shared" si="29"/>
        <v/>
      </c>
      <c r="R531" s="67" cm="1">
        <f t="array" ref="R531">SUMPRODUCT((J531=$J$7:$J$1000)*(P531&lt;$P$7:$P$1000))+1</f>
        <v>30</v>
      </c>
      <c r="S531" s="72"/>
    </row>
    <row r="532" spans="10:19" x14ac:dyDescent="0.35">
      <c r="J532">
        <v>15</v>
      </c>
      <c r="K532" t="s">
        <v>23</v>
      </c>
      <c r="L532" t="s">
        <v>428</v>
      </c>
      <c r="M532" t="s">
        <v>256</v>
      </c>
      <c r="N532" t="s">
        <v>3</v>
      </c>
      <c r="O532" t="s">
        <v>7</v>
      </c>
      <c r="P532">
        <f t="shared" si="30"/>
        <v>8.715251019669525</v>
      </c>
      <c r="Q532" t="str">
        <f t="shared" si="29"/>
        <v/>
      </c>
      <c r="R532" s="67" cm="1">
        <f t="array" ref="R532">SUMPRODUCT((J532=$J$7:$J$1000)*(P532&lt;$P$7:$P$1000))+1</f>
        <v>14</v>
      </c>
      <c r="S532" s="72"/>
    </row>
    <row r="533" spans="10:19" x14ac:dyDescent="0.35">
      <c r="J533">
        <v>15</v>
      </c>
      <c r="K533" t="s">
        <v>23</v>
      </c>
      <c r="L533" t="s">
        <v>229</v>
      </c>
      <c r="M533" t="s">
        <v>256</v>
      </c>
      <c r="N533" t="s">
        <v>3</v>
      </c>
      <c r="O533" t="s">
        <v>7</v>
      </c>
      <c r="P533">
        <f t="shared" si="30"/>
        <v>8.0602793792477154</v>
      </c>
      <c r="Q533" t="str">
        <f t="shared" si="29"/>
        <v/>
      </c>
      <c r="R533" s="67" cm="1">
        <f t="array" ref="R533">SUMPRODUCT((J533=$J$7:$J$1000)*(P533&lt;$P$7:$P$1000))+1</f>
        <v>19</v>
      </c>
      <c r="S533" s="72"/>
    </row>
    <row r="534" spans="10:19" x14ac:dyDescent="0.35">
      <c r="J534">
        <v>15</v>
      </c>
      <c r="K534" t="s">
        <v>4</v>
      </c>
      <c r="L534" t="s">
        <v>539</v>
      </c>
      <c r="M534" t="s">
        <v>256</v>
      </c>
      <c r="N534" t="s">
        <v>3</v>
      </c>
      <c r="O534" t="s">
        <v>13</v>
      </c>
      <c r="P534">
        <f t="shared" si="30"/>
        <v>7.3095532603499507</v>
      </c>
      <c r="Q534" t="str">
        <f t="shared" si="29"/>
        <v/>
      </c>
      <c r="R534" s="67" cm="1">
        <f t="array" ref="R534">SUMPRODUCT((J534=$J$7:$J$1000)*(P534&lt;$P$7:$P$1000))+1</f>
        <v>24</v>
      </c>
      <c r="S534" s="72"/>
    </row>
    <row r="535" spans="10:19" x14ac:dyDescent="0.35">
      <c r="J535">
        <v>15</v>
      </c>
      <c r="K535" t="s">
        <v>4</v>
      </c>
      <c r="L535" t="s">
        <v>632</v>
      </c>
      <c r="M535" t="s">
        <v>256</v>
      </c>
      <c r="N535" t="s">
        <v>3</v>
      </c>
      <c r="O535" t="s">
        <v>13</v>
      </c>
      <c r="P535">
        <f t="shared" si="30"/>
        <v>4.8899933399423485</v>
      </c>
      <c r="Q535" t="str">
        <f t="shared" si="29"/>
        <v/>
      </c>
      <c r="R535" s="67" cm="1">
        <f t="array" ref="R535">SUMPRODUCT((J535=$J$7:$J$1000)*(P535&lt;$P$7:$P$1000))+1</f>
        <v>46</v>
      </c>
      <c r="S535" s="72"/>
    </row>
    <row r="536" spans="10:19" x14ac:dyDescent="0.35">
      <c r="J536">
        <v>15</v>
      </c>
      <c r="K536" t="s">
        <v>4</v>
      </c>
      <c r="L536" t="s">
        <v>209</v>
      </c>
      <c r="M536" t="s">
        <v>256</v>
      </c>
      <c r="N536" t="s">
        <v>3</v>
      </c>
      <c r="O536" t="s">
        <v>13</v>
      </c>
      <c r="P536">
        <f t="shared" si="30"/>
        <v>11.904493045728637</v>
      </c>
      <c r="Q536" t="str">
        <f t="shared" si="29"/>
        <v/>
      </c>
      <c r="R536" s="67" cm="1">
        <f t="array" ref="R536">SUMPRODUCT((J536=$J$7:$J$1000)*(P536&lt;$P$7:$P$1000))+1</f>
        <v>3</v>
      </c>
      <c r="S536" s="72"/>
    </row>
    <row r="537" spans="10:19" x14ac:dyDescent="0.35">
      <c r="J537">
        <v>15</v>
      </c>
      <c r="K537" t="s">
        <v>4</v>
      </c>
      <c r="L537" t="s">
        <v>435</v>
      </c>
      <c r="M537" t="s">
        <v>256</v>
      </c>
      <c r="N537" t="s">
        <v>3</v>
      </c>
      <c r="O537" t="s">
        <v>13</v>
      </c>
      <c r="P537">
        <f t="shared" si="30"/>
        <v>3.0827132202136647</v>
      </c>
      <c r="Q537" t="str">
        <f t="shared" si="29"/>
        <v/>
      </c>
      <c r="R537" s="67" cm="1">
        <f t="array" ref="R537">SUMPRODUCT((J537=$J$7:$J$1000)*(P537&lt;$P$7:$P$1000))+1</f>
        <v>59</v>
      </c>
      <c r="S537" s="72"/>
    </row>
    <row r="538" spans="10:19" x14ac:dyDescent="0.35">
      <c r="J538">
        <v>15</v>
      </c>
      <c r="K538" t="s">
        <v>4</v>
      </c>
      <c r="L538" t="s">
        <v>109</v>
      </c>
      <c r="M538" t="s">
        <v>256</v>
      </c>
      <c r="N538" t="s">
        <v>3</v>
      </c>
      <c r="O538" t="s">
        <v>13</v>
      </c>
      <c r="P538">
        <f t="shared" si="30"/>
        <v>3.5952622217571837</v>
      </c>
      <c r="Q538" t="str">
        <f t="shared" si="29"/>
        <v/>
      </c>
      <c r="R538" s="67" cm="1">
        <f t="array" ref="R538">SUMPRODUCT((J538=$J$7:$J$1000)*(P538&lt;$P$7:$P$1000))+1</f>
        <v>55</v>
      </c>
      <c r="S538" s="72"/>
    </row>
    <row r="539" spans="10:19" x14ac:dyDescent="0.35">
      <c r="J539">
        <v>15</v>
      </c>
      <c r="K539" t="s">
        <v>4</v>
      </c>
      <c r="L539" t="s">
        <v>598</v>
      </c>
      <c r="M539" t="s">
        <v>256</v>
      </c>
      <c r="N539" t="s">
        <v>3</v>
      </c>
      <c r="O539" t="s">
        <v>13</v>
      </c>
      <c r="P539">
        <f t="shared" si="30"/>
        <v>3.483984764603576</v>
      </c>
      <c r="Q539" t="str">
        <f t="shared" si="29"/>
        <v/>
      </c>
      <c r="R539" s="67" cm="1">
        <f t="array" ref="R539">SUMPRODUCT((J539=$J$7:$J$1000)*(P539&lt;$P$7:$P$1000))+1</f>
        <v>56</v>
      </c>
      <c r="S539" s="72"/>
    </row>
    <row r="540" spans="10:19" x14ac:dyDescent="0.35">
      <c r="J540">
        <v>15</v>
      </c>
      <c r="K540" t="s">
        <v>4</v>
      </c>
      <c r="L540" t="s">
        <v>434</v>
      </c>
      <c r="M540" t="s">
        <v>256</v>
      </c>
      <c r="N540" t="s">
        <v>3</v>
      </c>
      <c r="O540" t="s">
        <v>13</v>
      </c>
      <c r="P540">
        <f t="shared" si="30"/>
        <v>4.8211920395084782</v>
      </c>
      <c r="Q540" t="str">
        <f t="shared" si="29"/>
        <v/>
      </c>
      <c r="R540" s="67" cm="1">
        <f t="array" ref="R540">SUMPRODUCT((J540=$J$7:$J$1000)*(P540&lt;$P$7:$P$1000))+1</f>
        <v>47</v>
      </c>
      <c r="S540" s="72"/>
    </row>
    <row r="541" spans="10:19" x14ac:dyDescent="0.35">
      <c r="J541">
        <v>15</v>
      </c>
      <c r="K541" t="s">
        <v>4</v>
      </c>
      <c r="L541" t="s">
        <v>486</v>
      </c>
      <c r="M541" t="s">
        <v>256</v>
      </c>
      <c r="N541" t="s">
        <v>3</v>
      </c>
      <c r="O541" t="s">
        <v>13</v>
      </c>
      <c r="P541">
        <f t="shared" si="30"/>
        <v>1.2048984220715089</v>
      </c>
      <c r="Q541" t="str">
        <f t="shared" si="29"/>
        <v/>
      </c>
      <c r="R541" s="67" cm="1">
        <f t="array" ref="R541">SUMPRODUCT((J541=$J$7:$J$1000)*(P541&lt;$P$7:$P$1000))+1</f>
        <v>63</v>
      </c>
      <c r="S541" s="72"/>
    </row>
    <row r="542" spans="10:19" x14ac:dyDescent="0.35">
      <c r="J542">
        <v>15</v>
      </c>
      <c r="K542" t="s">
        <v>7</v>
      </c>
      <c r="L542" t="s">
        <v>201</v>
      </c>
      <c r="M542" t="s">
        <v>256</v>
      </c>
      <c r="N542" t="s">
        <v>9</v>
      </c>
      <c r="O542" t="s">
        <v>23</v>
      </c>
      <c r="P542">
        <f t="shared" si="30"/>
        <v>8.4145267463309601</v>
      </c>
      <c r="Q542" t="str">
        <f t="shared" si="29"/>
        <v/>
      </c>
      <c r="R542" s="67" cm="1">
        <f t="array" ref="R542">SUMPRODUCT((J542=$J$7:$J$1000)*(P542&lt;$P$7:$P$1000))+1</f>
        <v>17</v>
      </c>
      <c r="S542" s="72"/>
    </row>
    <row r="543" spans="10:19" x14ac:dyDescent="0.35">
      <c r="J543">
        <v>15</v>
      </c>
      <c r="K543" t="s">
        <v>7</v>
      </c>
      <c r="L543" t="s">
        <v>202</v>
      </c>
      <c r="M543" t="s">
        <v>256</v>
      </c>
      <c r="N543" t="s">
        <v>9</v>
      </c>
      <c r="O543" t="s">
        <v>23</v>
      </c>
      <c r="P543">
        <f t="shared" si="30"/>
        <v>6.6002654768950446</v>
      </c>
      <c r="Q543" t="str">
        <f t="shared" si="29"/>
        <v/>
      </c>
      <c r="R543" s="67" cm="1">
        <f t="array" ref="R543">SUMPRODUCT((J543=$J$7:$J$1000)*(P543&lt;$P$7:$P$1000))+1</f>
        <v>28</v>
      </c>
      <c r="S543" s="72"/>
    </row>
    <row r="544" spans="10:19" x14ac:dyDescent="0.35">
      <c r="J544">
        <v>15</v>
      </c>
      <c r="K544" t="s">
        <v>7</v>
      </c>
      <c r="L544" t="s">
        <v>207</v>
      </c>
      <c r="M544" t="s">
        <v>256</v>
      </c>
      <c r="N544" t="s">
        <v>9</v>
      </c>
      <c r="O544" t="s">
        <v>23</v>
      </c>
      <c r="P544">
        <f t="shared" si="30"/>
        <v>6.1917480257574109</v>
      </c>
      <c r="Q544" t="str">
        <f t="shared" si="29"/>
        <v/>
      </c>
      <c r="R544" s="67" cm="1">
        <f t="array" ref="R544">SUMPRODUCT((J544=$J$7:$J$1000)*(P544&lt;$P$7:$P$1000))+1</f>
        <v>33</v>
      </c>
      <c r="S544" s="72"/>
    </row>
    <row r="545" spans="10:19" x14ac:dyDescent="0.35">
      <c r="J545">
        <v>15</v>
      </c>
      <c r="K545" t="s">
        <v>7</v>
      </c>
      <c r="L545" t="s">
        <v>211</v>
      </c>
      <c r="M545" t="s">
        <v>256</v>
      </c>
      <c r="N545" t="s">
        <v>9</v>
      </c>
      <c r="O545" t="s">
        <v>23</v>
      </c>
      <c r="P545">
        <f t="shared" si="30"/>
        <v>4.5980022930492597</v>
      </c>
      <c r="Q545" t="str">
        <f t="shared" si="29"/>
        <v/>
      </c>
      <c r="R545" s="67" cm="1">
        <f t="array" ref="R545">SUMPRODUCT((J545=$J$7:$J$1000)*(P545&lt;$P$7:$P$1000))+1</f>
        <v>48</v>
      </c>
      <c r="S545" s="72"/>
    </row>
    <row r="546" spans="10:19" x14ac:dyDescent="0.35">
      <c r="J546">
        <v>15</v>
      </c>
      <c r="K546" t="s">
        <v>7</v>
      </c>
      <c r="L546" t="s">
        <v>584</v>
      </c>
      <c r="M546" t="s">
        <v>256</v>
      </c>
      <c r="N546" t="s">
        <v>9</v>
      </c>
      <c r="O546" t="s">
        <v>23</v>
      </c>
      <c r="P546">
        <f t="shared" si="30"/>
        <v>5.5422796972378503</v>
      </c>
      <c r="Q546" t="str">
        <f t="shared" si="29"/>
        <v/>
      </c>
      <c r="R546" s="67" cm="1">
        <f t="array" ref="R546">SUMPRODUCT((J546=$J$7:$J$1000)*(P546&lt;$P$7:$P$1000))+1</f>
        <v>38</v>
      </c>
      <c r="S546" s="72"/>
    </row>
    <row r="547" spans="10:19" x14ac:dyDescent="0.35">
      <c r="J547">
        <v>15</v>
      </c>
      <c r="K547" t="s">
        <v>17</v>
      </c>
      <c r="L547" t="s">
        <v>631</v>
      </c>
      <c r="M547" t="s">
        <v>256</v>
      </c>
      <c r="N547" t="s">
        <v>3</v>
      </c>
      <c r="O547" t="s">
        <v>36</v>
      </c>
      <c r="P547">
        <f t="shared" si="30"/>
        <v>6.8142547259926589</v>
      </c>
      <c r="Q547" t="str">
        <f t="shared" si="29"/>
        <v/>
      </c>
      <c r="R547" s="67" cm="1">
        <f t="array" ref="R547">SUMPRODUCT((J547=$J$7:$J$1000)*(P547&lt;$P$7:$P$1000))+1</f>
        <v>26</v>
      </c>
      <c r="S547" s="72"/>
    </row>
    <row r="548" spans="10:19" x14ac:dyDescent="0.35">
      <c r="J548" s="66">
        <v>15</v>
      </c>
      <c r="K548" t="s">
        <v>17</v>
      </c>
      <c r="L548" t="s">
        <v>485</v>
      </c>
      <c r="M548" t="s">
        <v>256</v>
      </c>
      <c r="N548" t="s">
        <v>3</v>
      </c>
      <c r="O548" t="s">
        <v>36</v>
      </c>
      <c r="P548">
        <f t="shared" si="30"/>
        <v>7.3554321787789982</v>
      </c>
      <c r="Q548" t="str">
        <f t="shared" si="29"/>
        <v/>
      </c>
      <c r="R548" s="67" cm="1">
        <f t="array" ref="R548">SUMPRODUCT((J548=$J$7:$J$1000)*(P548&lt;$P$7:$P$1000))+1</f>
        <v>23</v>
      </c>
      <c r="S548" s="72"/>
    </row>
    <row r="549" spans="10:19" x14ac:dyDescent="0.35">
      <c r="J549">
        <v>15</v>
      </c>
      <c r="K549" t="s">
        <v>17</v>
      </c>
      <c r="L549" t="s">
        <v>206</v>
      </c>
      <c r="M549" t="s">
        <v>256</v>
      </c>
      <c r="N549" t="s">
        <v>3</v>
      </c>
      <c r="O549" t="s">
        <v>36</v>
      </c>
      <c r="P549">
        <f t="shared" si="30"/>
        <v>6.004071213865199</v>
      </c>
      <c r="Q549" t="str">
        <f t="shared" si="29"/>
        <v/>
      </c>
      <c r="R549" s="67" cm="1">
        <f t="array" ref="R549">SUMPRODUCT((J549=$J$7:$J$1000)*(P549&lt;$P$7:$P$1000))+1</f>
        <v>35</v>
      </c>
      <c r="S549" s="72"/>
    </row>
    <row r="550" spans="10:19" x14ac:dyDescent="0.35">
      <c r="J550">
        <v>15</v>
      </c>
      <c r="K550" t="s">
        <v>17</v>
      </c>
      <c r="L550" t="s">
        <v>427</v>
      </c>
      <c r="M550" t="s">
        <v>256</v>
      </c>
      <c r="N550" t="s">
        <v>3</v>
      </c>
      <c r="O550" t="s">
        <v>36</v>
      </c>
      <c r="P550">
        <f t="shared" si="30"/>
        <v>5.5133342020647715</v>
      </c>
      <c r="Q550" t="str">
        <f t="shared" si="29"/>
        <v/>
      </c>
      <c r="R550" s="67" cm="1">
        <f t="array" ref="R550">SUMPRODUCT((J550=$J$7:$J$1000)*(P550&lt;$P$7:$P$1000))+1</f>
        <v>39</v>
      </c>
      <c r="S550" s="72"/>
    </row>
    <row r="551" spans="10:19" x14ac:dyDescent="0.35">
      <c r="J551">
        <v>15</v>
      </c>
      <c r="K551" t="s">
        <v>17</v>
      </c>
      <c r="L551" t="s">
        <v>222</v>
      </c>
      <c r="M551" t="s">
        <v>256</v>
      </c>
      <c r="N551" t="s">
        <v>3</v>
      </c>
      <c r="O551" t="s">
        <v>36</v>
      </c>
      <c r="P551">
        <f t="shared" si="30"/>
        <v>8.4832042965577354</v>
      </c>
      <c r="Q551" t="str">
        <f t="shared" si="29"/>
        <v/>
      </c>
      <c r="R551" s="67" cm="1">
        <f t="array" ref="R551">SUMPRODUCT((J551=$J$7:$J$1000)*(P551&lt;$P$7:$P$1000))+1</f>
        <v>16</v>
      </c>
      <c r="S551" s="72"/>
    </row>
    <row r="552" spans="10:19" x14ac:dyDescent="0.35">
      <c r="J552">
        <v>15</v>
      </c>
      <c r="K552" t="s">
        <v>13</v>
      </c>
      <c r="L552" t="s">
        <v>198</v>
      </c>
      <c r="M552" t="s">
        <v>256</v>
      </c>
      <c r="N552" t="s">
        <v>9</v>
      </c>
      <c r="O552" t="s">
        <v>4</v>
      </c>
      <c r="P552">
        <f t="shared" si="30"/>
        <v>8.0376213686905871</v>
      </c>
      <c r="Q552" t="str">
        <f t="shared" si="29"/>
        <v/>
      </c>
      <c r="R552" s="67" cm="1">
        <f t="array" ref="R552">SUMPRODUCT((J552=$J$7:$J$1000)*(P552&lt;$P$7:$P$1000))+1</f>
        <v>20</v>
      </c>
      <c r="S552" s="72"/>
    </row>
    <row r="553" spans="10:19" x14ac:dyDescent="0.35">
      <c r="J553">
        <v>15</v>
      </c>
      <c r="K553" t="s">
        <v>13</v>
      </c>
      <c r="L553" t="s">
        <v>204</v>
      </c>
      <c r="M553" t="s">
        <v>256</v>
      </c>
      <c r="N553" t="s">
        <v>9</v>
      </c>
      <c r="O553" t="s">
        <v>4</v>
      </c>
      <c r="P553">
        <f t="shared" si="30"/>
        <v>10.289488075891335</v>
      </c>
      <c r="Q553" t="str">
        <f t="shared" si="29"/>
        <v/>
      </c>
      <c r="R553" s="67" cm="1">
        <f t="array" ref="R553">SUMPRODUCT((J553=$J$7:$J$1000)*(P553&lt;$P$7:$P$1000))+1</f>
        <v>7</v>
      </c>
      <c r="S553" s="72"/>
    </row>
    <row r="554" spans="10:19" x14ac:dyDescent="0.35">
      <c r="J554">
        <v>15</v>
      </c>
      <c r="K554" t="s">
        <v>13</v>
      </c>
      <c r="L554" t="s">
        <v>103</v>
      </c>
      <c r="M554" t="s">
        <v>256</v>
      </c>
      <c r="N554" t="s">
        <v>9</v>
      </c>
      <c r="O554" t="s">
        <v>4</v>
      </c>
      <c r="P554">
        <f t="shared" si="30"/>
        <v>9.5856445087779267</v>
      </c>
      <c r="Q554" t="str">
        <f t="shared" si="29"/>
        <v/>
      </c>
      <c r="R554" s="67" cm="1">
        <f t="array" ref="R554">SUMPRODUCT((J554=$J$7:$J$1000)*(P554&lt;$P$7:$P$1000))+1</f>
        <v>12</v>
      </c>
      <c r="S554" s="72"/>
    </row>
    <row r="555" spans="10:19" x14ac:dyDescent="0.35">
      <c r="J555">
        <v>15</v>
      </c>
      <c r="K555" t="s">
        <v>13</v>
      </c>
      <c r="L555" t="s">
        <v>210</v>
      </c>
      <c r="M555" t="s">
        <v>256</v>
      </c>
      <c r="N555" t="s">
        <v>9</v>
      </c>
      <c r="O555" t="s">
        <v>4</v>
      </c>
      <c r="P555">
        <f t="shared" si="30"/>
        <v>6.4349674503342076</v>
      </c>
      <c r="Q555" t="str">
        <f t="shared" ref="Q555:Q618" si="31">IFERROR(($M555-$P555)^2,"")</f>
        <v/>
      </c>
      <c r="R555" s="67" cm="1">
        <f t="array" ref="R555">SUMPRODUCT((J555=$J$7:$J$1000)*(P555&lt;$P$7:$P$1000))+1</f>
        <v>31</v>
      </c>
      <c r="S555" s="72"/>
    </row>
    <row r="556" spans="10:19" x14ac:dyDescent="0.35">
      <c r="J556">
        <v>15</v>
      </c>
      <c r="K556" t="s">
        <v>13</v>
      </c>
      <c r="L556" t="s">
        <v>670</v>
      </c>
      <c r="M556" t="s">
        <v>256</v>
      </c>
      <c r="N556" t="s">
        <v>9</v>
      </c>
      <c r="O556" t="s">
        <v>4</v>
      </c>
      <c r="P556">
        <f t="shared" si="30"/>
        <v>1.54340585721611</v>
      </c>
      <c r="Q556" t="str">
        <f t="shared" si="31"/>
        <v/>
      </c>
      <c r="R556" s="67" cm="1">
        <f t="array" ref="R556">SUMPRODUCT((J556=$J$7:$J$1000)*(P556&lt;$P$7:$P$1000))+1</f>
        <v>62</v>
      </c>
      <c r="S556" s="72"/>
    </row>
    <row r="557" spans="10:19" x14ac:dyDescent="0.35">
      <c r="J557">
        <v>15</v>
      </c>
      <c r="K557" t="s">
        <v>13</v>
      </c>
      <c r="L557" t="s">
        <v>600</v>
      </c>
      <c r="M557" t="s">
        <v>256</v>
      </c>
      <c r="N557" t="s">
        <v>9</v>
      </c>
      <c r="O557" t="s">
        <v>4</v>
      </c>
      <c r="P557">
        <f t="shared" si="30"/>
        <v>3.1854901467144536</v>
      </c>
      <c r="Q557" t="str">
        <f t="shared" si="31"/>
        <v/>
      </c>
      <c r="R557" s="67" cm="1">
        <f t="array" ref="R557">SUMPRODUCT((J557=$J$7:$J$1000)*(P557&lt;$P$7:$P$1000))+1</f>
        <v>58</v>
      </c>
      <c r="S557" s="72"/>
    </row>
    <row r="558" spans="10:19" x14ac:dyDescent="0.35">
      <c r="J558">
        <v>15</v>
      </c>
      <c r="K558" t="s">
        <v>13</v>
      </c>
      <c r="L558" t="s">
        <v>689</v>
      </c>
      <c r="M558" t="s">
        <v>256</v>
      </c>
      <c r="N558" t="s">
        <v>9</v>
      </c>
      <c r="O558" t="s">
        <v>4</v>
      </c>
      <c r="P558">
        <f t="shared" si="30"/>
        <v>4.0325821492985243</v>
      </c>
      <c r="Q558" t="str">
        <f t="shared" si="31"/>
        <v/>
      </c>
      <c r="R558" s="67" cm="1">
        <f t="array" ref="R558">SUMPRODUCT((J558=$J$7:$J$1000)*(P558&lt;$P$7:$P$1000))+1</f>
        <v>53</v>
      </c>
      <c r="S558" s="72"/>
    </row>
    <row r="559" spans="10:19" x14ac:dyDescent="0.35">
      <c r="J559">
        <v>15</v>
      </c>
      <c r="K559" t="s">
        <v>13</v>
      </c>
      <c r="L559" t="s">
        <v>638</v>
      </c>
      <c r="M559" t="s">
        <v>256</v>
      </c>
      <c r="N559" t="s">
        <v>9</v>
      </c>
      <c r="O559" t="s">
        <v>4</v>
      </c>
      <c r="P559">
        <f t="shared" si="30"/>
        <v>6.4260669221529216</v>
      </c>
      <c r="Q559" t="str">
        <f t="shared" si="31"/>
        <v/>
      </c>
      <c r="R559" s="67" cm="1">
        <f t="array" ref="R559">SUMPRODUCT((J559=$J$7:$J$1000)*(P559&lt;$P$7:$P$1000))+1</f>
        <v>32</v>
      </c>
      <c r="S559" s="72"/>
    </row>
    <row r="560" spans="10:19" x14ac:dyDescent="0.35">
      <c r="J560">
        <v>16</v>
      </c>
      <c r="K560" t="s">
        <v>14</v>
      </c>
      <c r="L560" t="s">
        <v>197</v>
      </c>
      <c r="M560" t="s">
        <v>256</v>
      </c>
      <c r="N560" t="s">
        <v>9</v>
      </c>
      <c r="O560" t="s">
        <v>13</v>
      </c>
      <c r="P560">
        <f t="shared" si="30"/>
        <v>3.2364261469531601</v>
      </c>
      <c r="Q560" t="str">
        <f t="shared" si="31"/>
        <v/>
      </c>
      <c r="R560" s="67" cm="1">
        <f t="array" ref="R560">SUMPRODUCT((J560=$J$7:$J$1000)*(P560&lt;$P$7:$P$1000))+1</f>
        <v>58</v>
      </c>
      <c r="S560" s="72"/>
    </row>
    <row r="561" spans="10:19" x14ac:dyDescent="0.35">
      <c r="J561">
        <v>16</v>
      </c>
      <c r="K561" t="s">
        <v>14</v>
      </c>
      <c r="L561" t="s">
        <v>540</v>
      </c>
      <c r="M561" t="s">
        <v>256</v>
      </c>
      <c r="N561" t="s">
        <v>9</v>
      </c>
      <c r="O561" t="s">
        <v>13</v>
      </c>
      <c r="P561">
        <f t="shared" si="30"/>
        <v>5.7780936124946596</v>
      </c>
      <c r="Q561" t="str">
        <f t="shared" si="31"/>
        <v/>
      </c>
      <c r="R561" s="67" cm="1">
        <f t="array" ref="R561">SUMPRODUCT((J561=$J$7:$J$1000)*(P561&lt;$P$7:$P$1000))+1</f>
        <v>40</v>
      </c>
      <c r="S561" s="72"/>
    </row>
    <row r="562" spans="10:19" x14ac:dyDescent="0.35">
      <c r="J562">
        <v>16</v>
      </c>
      <c r="K562" t="s">
        <v>14</v>
      </c>
      <c r="L562" t="s">
        <v>548</v>
      </c>
      <c r="M562" t="s">
        <v>256</v>
      </c>
      <c r="N562" t="s">
        <v>9</v>
      </c>
      <c r="O562" t="s">
        <v>13</v>
      </c>
      <c r="P562">
        <f t="shared" si="30"/>
        <v>4.2344701444528923</v>
      </c>
      <c r="Q562" t="str">
        <f t="shared" si="31"/>
        <v/>
      </c>
      <c r="R562" s="67" cm="1">
        <f t="array" ref="R562">SUMPRODUCT((J562=$J$7:$J$1000)*(P562&lt;$P$7:$P$1000))+1</f>
        <v>54</v>
      </c>
      <c r="S562" s="72"/>
    </row>
    <row r="563" spans="10:19" x14ac:dyDescent="0.35">
      <c r="J563">
        <v>16</v>
      </c>
      <c r="K563" t="s">
        <v>14</v>
      </c>
      <c r="L563" t="s">
        <v>203</v>
      </c>
      <c r="M563" t="s">
        <v>256</v>
      </c>
      <c r="N563" t="s">
        <v>9</v>
      </c>
      <c r="O563" t="s">
        <v>13</v>
      </c>
      <c r="P563">
        <f t="shared" si="30"/>
        <v>3.0456269039724755</v>
      </c>
      <c r="Q563" t="str">
        <f t="shared" si="31"/>
        <v/>
      </c>
      <c r="R563" s="67" cm="1">
        <f t="array" ref="R563">SUMPRODUCT((J563=$J$7:$J$1000)*(P563&lt;$P$7:$P$1000))+1</f>
        <v>59</v>
      </c>
      <c r="S563" s="72"/>
    </row>
    <row r="564" spans="10:19" x14ac:dyDescent="0.35">
      <c r="J564">
        <v>16</v>
      </c>
      <c r="K564" t="s">
        <v>14</v>
      </c>
      <c r="L564" t="s">
        <v>642</v>
      </c>
      <c r="M564" t="s">
        <v>256</v>
      </c>
      <c r="N564" t="s">
        <v>9</v>
      </c>
      <c r="O564" t="s">
        <v>13</v>
      </c>
      <c r="P564">
        <f t="shared" si="30"/>
        <v>5.3504570004810574</v>
      </c>
      <c r="Q564" t="str">
        <f t="shared" si="31"/>
        <v/>
      </c>
      <c r="R564" s="67" cm="1">
        <f t="array" ref="R564">SUMPRODUCT((J564=$J$7:$J$1000)*(P564&lt;$P$7:$P$1000))+1</f>
        <v>44</v>
      </c>
      <c r="S564" s="72"/>
    </row>
    <row r="565" spans="10:19" x14ac:dyDescent="0.35">
      <c r="J565">
        <v>16</v>
      </c>
      <c r="K565" t="s">
        <v>14</v>
      </c>
      <c r="L565" t="s">
        <v>396</v>
      </c>
      <c r="M565" t="s">
        <v>256</v>
      </c>
      <c r="N565" t="s">
        <v>9</v>
      </c>
      <c r="O565" t="s">
        <v>13</v>
      </c>
      <c r="P565">
        <f t="shared" si="30"/>
        <v>7.4933724829886916</v>
      </c>
      <c r="Q565" t="str">
        <f t="shared" si="31"/>
        <v/>
      </c>
      <c r="R565" s="67" cm="1">
        <f t="array" ref="R565">SUMPRODUCT((J565=$J$7:$J$1000)*(P565&lt;$P$7:$P$1000))+1</f>
        <v>23</v>
      </c>
      <c r="S565" s="72"/>
    </row>
    <row r="566" spans="10:19" x14ac:dyDescent="0.35">
      <c r="J566">
        <v>16</v>
      </c>
      <c r="K566" t="s">
        <v>14</v>
      </c>
      <c r="L566" t="s">
        <v>107</v>
      </c>
      <c r="M566" t="s">
        <v>256</v>
      </c>
      <c r="N566" t="s">
        <v>9</v>
      </c>
      <c r="O566" t="s">
        <v>13</v>
      </c>
      <c r="P566">
        <f t="shared" si="30"/>
        <v>4.877465654702025</v>
      </c>
      <c r="Q566" t="str">
        <f t="shared" si="31"/>
        <v/>
      </c>
      <c r="R566" s="67" cm="1">
        <f t="array" ref="R566">SUMPRODUCT((J566=$J$7:$J$1000)*(P566&lt;$P$7:$P$1000))+1</f>
        <v>46</v>
      </c>
      <c r="S566" s="72"/>
    </row>
    <row r="567" spans="10:19" x14ac:dyDescent="0.35">
      <c r="J567">
        <v>16</v>
      </c>
      <c r="K567" t="s">
        <v>14</v>
      </c>
      <c r="L567" t="s">
        <v>514</v>
      </c>
      <c r="M567" t="s">
        <v>256</v>
      </c>
      <c r="N567" t="s">
        <v>9</v>
      </c>
      <c r="O567" t="s">
        <v>13</v>
      </c>
      <c r="P567">
        <f t="shared" si="30"/>
        <v>4.3188331511392466</v>
      </c>
      <c r="Q567" t="str">
        <f t="shared" si="31"/>
        <v/>
      </c>
      <c r="R567" s="67" cm="1">
        <f t="array" ref="R567">SUMPRODUCT((J567=$J$7:$J$1000)*(P567&lt;$P$7:$P$1000))+1</f>
        <v>52</v>
      </c>
      <c r="S567" s="72"/>
    </row>
    <row r="568" spans="10:19" x14ac:dyDescent="0.35">
      <c r="J568">
        <v>16</v>
      </c>
      <c r="K568" t="s">
        <v>2</v>
      </c>
      <c r="L568" t="s">
        <v>665</v>
      </c>
      <c r="M568" t="s">
        <v>256</v>
      </c>
      <c r="N568" t="s">
        <v>3</v>
      </c>
      <c r="O568" t="s">
        <v>4</v>
      </c>
      <c r="P568">
        <f t="shared" si="30"/>
        <v>4.3170802913563096</v>
      </c>
      <c r="Q568" t="str">
        <f t="shared" si="31"/>
        <v/>
      </c>
      <c r="R568" s="67" cm="1">
        <f t="array" ref="R568">SUMPRODUCT((J568=$J$7:$J$1000)*(P568&lt;$P$7:$P$1000))+1</f>
        <v>53</v>
      </c>
      <c r="S568" s="72"/>
    </row>
    <row r="569" spans="10:19" x14ac:dyDescent="0.35">
      <c r="J569">
        <v>16</v>
      </c>
      <c r="K569" t="s">
        <v>2</v>
      </c>
      <c r="L569" t="s">
        <v>530</v>
      </c>
      <c r="M569" t="s">
        <v>256</v>
      </c>
      <c r="N569" t="s">
        <v>3</v>
      </c>
      <c r="O569" t="s">
        <v>4</v>
      </c>
      <c r="P569">
        <f t="shared" si="30"/>
        <v>7.1068023839481098</v>
      </c>
      <c r="Q569" t="str">
        <f t="shared" si="31"/>
        <v/>
      </c>
      <c r="R569" s="67" cm="1">
        <f t="array" ref="R569">SUMPRODUCT((J569=$J$7:$J$1000)*(P569&lt;$P$7:$P$1000))+1</f>
        <v>29</v>
      </c>
      <c r="S569" s="72"/>
    </row>
    <row r="570" spans="10:19" x14ac:dyDescent="0.35">
      <c r="J570">
        <v>16</v>
      </c>
      <c r="K570" t="s">
        <v>2</v>
      </c>
      <c r="L570" t="s">
        <v>212</v>
      </c>
      <c r="M570" t="s">
        <v>256</v>
      </c>
      <c r="N570" t="s">
        <v>3</v>
      </c>
      <c r="O570" t="s">
        <v>4</v>
      </c>
      <c r="P570">
        <f t="shared" si="30"/>
        <v>9.0231940754752795</v>
      </c>
      <c r="Q570" t="str">
        <f t="shared" si="31"/>
        <v/>
      </c>
      <c r="R570" s="67" cm="1">
        <f t="array" ref="R570">SUMPRODUCT((J570=$J$7:$J$1000)*(P570&lt;$P$7:$P$1000))+1</f>
        <v>18</v>
      </c>
      <c r="S570" s="72"/>
    </row>
    <row r="571" spans="10:19" x14ac:dyDescent="0.35">
      <c r="J571">
        <v>16</v>
      </c>
      <c r="K571" t="s">
        <v>2</v>
      </c>
      <c r="L571" t="s">
        <v>585</v>
      </c>
      <c r="M571" t="s">
        <v>256</v>
      </c>
      <c r="N571" t="s">
        <v>3</v>
      </c>
      <c r="O571" t="s">
        <v>4</v>
      </c>
      <c r="P571">
        <f t="shared" si="30"/>
        <v>4.8416976328847143</v>
      </c>
      <c r="Q571" t="str">
        <f t="shared" si="31"/>
        <v/>
      </c>
      <c r="R571" s="67" cm="1">
        <f t="array" ref="R571">SUMPRODUCT((J571=$J$7:$J$1000)*(P571&lt;$P$7:$P$1000))+1</f>
        <v>47</v>
      </c>
      <c r="S571" s="72"/>
    </row>
    <row r="572" spans="10:19" x14ac:dyDescent="0.35">
      <c r="J572">
        <v>16</v>
      </c>
      <c r="K572" t="s">
        <v>2</v>
      </c>
      <c r="L572" t="s">
        <v>213</v>
      </c>
      <c r="M572" t="s">
        <v>256</v>
      </c>
      <c r="N572" t="s">
        <v>3</v>
      </c>
      <c r="O572" t="s">
        <v>4</v>
      </c>
      <c r="P572">
        <f t="shared" si="30"/>
        <v>10.342822747727547</v>
      </c>
      <c r="Q572" t="str">
        <f t="shared" si="31"/>
        <v/>
      </c>
      <c r="R572" s="67" cm="1">
        <f t="array" ref="R572">SUMPRODUCT((J572=$J$7:$J$1000)*(P572&lt;$P$7:$P$1000))+1</f>
        <v>8</v>
      </c>
      <c r="S572" s="72"/>
    </row>
    <row r="573" spans="10:19" x14ac:dyDescent="0.35">
      <c r="J573">
        <v>16</v>
      </c>
      <c r="K573" t="s">
        <v>2</v>
      </c>
      <c r="L573" t="s">
        <v>115</v>
      </c>
      <c r="M573" t="s">
        <v>256</v>
      </c>
      <c r="N573" t="s">
        <v>3</v>
      </c>
      <c r="O573" t="s">
        <v>4</v>
      </c>
      <c r="P573">
        <f t="shared" si="30"/>
        <v>9.9850251495216877</v>
      </c>
      <c r="Q573" t="str">
        <f t="shared" si="31"/>
        <v/>
      </c>
      <c r="R573" s="67" cm="1">
        <f t="array" ref="R573">SUMPRODUCT((J573=$J$7:$J$1000)*(P573&lt;$P$7:$P$1000))+1</f>
        <v>9</v>
      </c>
      <c r="S573" s="72"/>
    </row>
    <row r="574" spans="10:19" x14ac:dyDescent="0.35">
      <c r="J574">
        <v>16</v>
      </c>
      <c r="K574" t="s">
        <v>2</v>
      </c>
      <c r="L574" t="s">
        <v>589</v>
      </c>
      <c r="M574" t="s">
        <v>256</v>
      </c>
      <c r="N574" t="s">
        <v>3</v>
      </c>
      <c r="O574" t="s">
        <v>4</v>
      </c>
      <c r="P574">
        <f t="shared" si="30"/>
        <v>7.4169185419630681</v>
      </c>
      <c r="Q574" t="str">
        <f t="shared" si="31"/>
        <v/>
      </c>
      <c r="R574" s="67" cm="1">
        <f t="array" ref="R574">SUMPRODUCT((J574=$J$7:$J$1000)*(P574&lt;$P$7:$P$1000))+1</f>
        <v>24</v>
      </c>
      <c r="S574" s="72"/>
    </row>
    <row r="575" spans="10:19" x14ac:dyDescent="0.35">
      <c r="J575">
        <v>16</v>
      </c>
      <c r="K575" t="s">
        <v>6</v>
      </c>
      <c r="L575" t="s">
        <v>432</v>
      </c>
      <c r="M575" t="s">
        <v>256</v>
      </c>
      <c r="N575" t="s">
        <v>9</v>
      </c>
      <c r="O575" t="s">
        <v>7</v>
      </c>
      <c r="P575">
        <f t="shared" si="30"/>
        <v>10.661904447925771</v>
      </c>
      <c r="Q575" t="str">
        <f t="shared" si="31"/>
        <v/>
      </c>
      <c r="R575" s="67" cm="1">
        <f t="array" ref="R575">SUMPRODUCT((J575=$J$7:$J$1000)*(P575&lt;$P$7:$P$1000))+1</f>
        <v>6</v>
      </c>
      <c r="S575" s="72"/>
    </row>
    <row r="576" spans="10:19" x14ac:dyDescent="0.35">
      <c r="J576">
        <v>16</v>
      </c>
      <c r="K576" t="s">
        <v>6</v>
      </c>
      <c r="L576" t="s">
        <v>433</v>
      </c>
      <c r="M576" t="s">
        <v>256</v>
      </c>
      <c r="N576" t="s">
        <v>9</v>
      </c>
      <c r="O576" t="s">
        <v>7</v>
      </c>
      <c r="P576">
        <f t="shared" si="30"/>
        <v>10.665281876359769</v>
      </c>
      <c r="Q576" t="str">
        <f t="shared" si="31"/>
        <v/>
      </c>
      <c r="R576" s="67" cm="1">
        <f t="array" ref="R576">SUMPRODUCT((J576=$J$7:$J$1000)*(P576&lt;$P$7:$P$1000))+1</f>
        <v>5</v>
      </c>
      <c r="S576" s="72"/>
    </row>
    <row r="577" spans="10:19" x14ac:dyDescent="0.35">
      <c r="J577">
        <v>16</v>
      </c>
      <c r="K577" t="s">
        <v>6</v>
      </c>
      <c r="L577" t="s">
        <v>208</v>
      </c>
      <c r="M577" t="s">
        <v>256</v>
      </c>
      <c r="N577" t="s">
        <v>9</v>
      </c>
      <c r="O577" t="s">
        <v>7</v>
      </c>
      <c r="P577">
        <f t="shared" si="30"/>
        <v>5.8286455214845816</v>
      </c>
      <c r="Q577" t="str">
        <f t="shared" si="31"/>
        <v/>
      </c>
      <c r="R577" s="67" cm="1">
        <f t="array" ref="R577">SUMPRODUCT((J577=$J$7:$J$1000)*(P577&lt;$P$7:$P$1000))+1</f>
        <v>39</v>
      </c>
      <c r="S577" s="72"/>
    </row>
    <row r="578" spans="10:19" x14ac:dyDescent="0.35">
      <c r="J578">
        <v>16</v>
      </c>
      <c r="K578" t="s">
        <v>6</v>
      </c>
      <c r="L578" t="s">
        <v>219</v>
      </c>
      <c r="M578" t="s">
        <v>256</v>
      </c>
      <c r="N578" t="s">
        <v>9</v>
      </c>
      <c r="O578" t="s">
        <v>7</v>
      </c>
      <c r="P578">
        <f t="shared" si="30"/>
        <v>5.6629475636157993</v>
      </c>
      <c r="Q578" t="str">
        <f t="shared" si="31"/>
        <v/>
      </c>
      <c r="R578" s="67" cm="1">
        <f t="array" ref="R578">SUMPRODUCT((J578=$J$7:$J$1000)*(P578&lt;$P$7:$P$1000))+1</f>
        <v>41</v>
      </c>
      <c r="S578" s="72"/>
    </row>
    <row r="579" spans="10:19" x14ac:dyDescent="0.35">
      <c r="J579">
        <v>16</v>
      </c>
      <c r="K579" t="s">
        <v>6</v>
      </c>
      <c r="L579" t="s">
        <v>603</v>
      </c>
      <c r="M579" t="s">
        <v>256</v>
      </c>
      <c r="N579" t="s">
        <v>9</v>
      </c>
      <c r="O579" t="s">
        <v>7</v>
      </c>
      <c r="P579">
        <f t="shared" si="30"/>
        <v>10.446318494273571</v>
      </c>
      <c r="Q579" t="str">
        <f t="shared" si="31"/>
        <v/>
      </c>
      <c r="R579" s="67" cm="1">
        <f t="array" ref="R579">SUMPRODUCT((J579=$J$7:$J$1000)*(P579&lt;$P$7:$P$1000))+1</f>
        <v>7</v>
      </c>
      <c r="S579" s="72"/>
    </row>
    <row r="580" spans="10:19" x14ac:dyDescent="0.35">
      <c r="J580">
        <v>16</v>
      </c>
      <c r="K580" t="s">
        <v>6</v>
      </c>
      <c r="L580" t="s">
        <v>430</v>
      </c>
      <c r="M580" t="s">
        <v>256</v>
      </c>
      <c r="N580" t="s">
        <v>9</v>
      </c>
      <c r="O580" t="s">
        <v>7</v>
      </c>
      <c r="P580">
        <f t="shared" si="30"/>
        <v>3.999112042913926</v>
      </c>
      <c r="Q580" t="str">
        <f t="shared" si="31"/>
        <v/>
      </c>
      <c r="R580" s="67" cm="1">
        <f t="array" ref="R580">SUMPRODUCT((J580=$J$7:$J$1000)*(P580&lt;$P$7:$P$1000))+1</f>
        <v>55</v>
      </c>
      <c r="S580" s="72"/>
    </row>
    <row r="581" spans="10:19" x14ac:dyDescent="0.35">
      <c r="J581">
        <v>16</v>
      </c>
      <c r="K581" t="s">
        <v>24</v>
      </c>
      <c r="L581" t="s">
        <v>199</v>
      </c>
      <c r="M581" t="s">
        <v>256</v>
      </c>
      <c r="N581" t="s">
        <v>3</v>
      </c>
      <c r="O581" t="s">
        <v>34</v>
      </c>
      <c r="P581">
        <f t="shared" si="30"/>
        <v>9.3325626580023577</v>
      </c>
      <c r="Q581" t="str">
        <f t="shared" si="31"/>
        <v/>
      </c>
      <c r="R581" s="67" cm="1">
        <f t="array" ref="R581">SUMPRODUCT((J581=$J$7:$J$1000)*(P581&lt;$P$7:$P$1000))+1</f>
        <v>15</v>
      </c>
      <c r="S581" s="72"/>
    </row>
    <row r="582" spans="10:19" x14ac:dyDescent="0.35">
      <c r="J582">
        <v>16</v>
      </c>
      <c r="K582" t="s">
        <v>24</v>
      </c>
      <c r="L582" t="s">
        <v>215</v>
      </c>
      <c r="M582" t="s">
        <v>256</v>
      </c>
      <c r="N582" t="s">
        <v>3</v>
      </c>
      <c r="O582" t="s">
        <v>34</v>
      </c>
      <c r="P582">
        <f t="shared" si="30"/>
        <v>12.667548940276335</v>
      </c>
      <c r="Q582" t="str">
        <f t="shared" si="31"/>
        <v/>
      </c>
      <c r="R582" s="67" cm="1">
        <f t="array" ref="R582">SUMPRODUCT((J582=$J$7:$J$1000)*(P582&lt;$P$7:$P$1000))+1</f>
        <v>2</v>
      </c>
      <c r="S582" s="72"/>
    </row>
    <row r="583" spans="10:19" x14ac:dyDescent="0.35">
      <c r="J583">
        <v>16</v>
      </c>
      <c r="K583" t="s">
        <v>24</v>
      </c>
      <c r="L583" t="s">
        <v>217</v>
      </c>
      <c r="M583" t="s">
        <v>256</v>
      </c>
      <c r="N583" t="s">
        <v>3</v>
      </c>
      <c r="O583" t="s">
        <v>34</v>
      </c>
      <c r="P583">
        <f t="shared" si="30"/>
        <v>4.3941334782632113</v>
      </c>
      <c r="Q583" t="str">
        <f t="shared" si="31"/>
        <v/>
      </c>
      <c r="R583" s="67" cm="1">
        <f t="array" ref="R583">SUMPRODUCT((J583=$J$7:$J$1000)*(P583&lt;$P$7:$P$1000))+1</f>
        <v>51</v>
      </c>
      <c r="S583" s="72"/>
    </row>
    <row r="584" spans="10:19" x14ac:dyDescent="0.35">
      <c r="J584">
        <v>16</v>
      </c>
      <c r="K584" t="s">
        <v>24</v>
      </c>
      <c r="L584" t="s">
        <v>223</v>
      </c>
      <c r="M584" t="s">
        <v>256</v>
      </c>
      <c r="N584" t="s">
        <v>3</v>
      </c>
      <c r="O584" t="s">
        <v>34</v>
      </c>
      <c r="P584">
        <f t="shared" ref="P584:P623" si="32">VLOOKUP($N584,$F$3:$G$4,2,FALSE)+VLOOKUP($L584,$B$20:$C$150,2,FALSE)+VLOOKUP($O584,$A$6:$B$16,2,FALSE)</f>
        <v>6.0664402882651318</v>
      </c>
      <c r="Q584" t="str">
        <f t="shared" si="31"/>
        <v/>
      </c>
      <c r="R584" s="67" cm="1">
        <f t="array" ref="R584">SUMPRODUCT((J584=$J$7:$J$1000)*(P584&lt;$P$7:$P$1000))+1</f>
        <v>33</v>
      </c>
      <c r="S584" s="72"/>
    </row>
    <row r="585" spans="10:19" x14ac:dyDescent="0.35">
      <c r="J585">
        <v>16</v>
      </c>
      <c r="K585" t="s">
        <v>24</v>
      </c>
      <c r="L585" t="s">
        <v>607</v>
      </c>
      <c r="M585" t="s">
        <v>256</v>
      </c>
      <c r="N585" t="s">
        <v>3</v>
      </c>
      <c r="O585" t="s">
        <v>34</v>
      </c>
      <c r="P585">
        <f t="shared" si="32"/>
        <v>2.5930477659266686</v>
      </c>
      <c r="Q585" t="str">
        <f t="shared" si="31"/>
        <v/>
      </c>
      <c r="R585" s="67" cm="1">
        <f t="array" ref="R585">SUMPRODUCT((J585=$J$7:$J$1000)*(P585&lt;$P$7:$P$1000))+1</f>
        <v>62</v>
      </c>
      <c r="S585" s="72"/>
    </row>
    <row r="586" spans="10:19" x14ac:dyDescent="0.35">
      <c r="J586">
        <v>16</v>
      </c>
      <c r="K586" t="s">
        <v>24</v>
      </c>
      <c r="L586" t="s">
        <v>511</v>
      </c>
      <c r="M586" t="s">
        <v>256</v>
      </c>
      <c r="N586" t="s">
        <v>3</v>
      </c>
      <c r="O586" t="s">
        <v>34</v>
      </c>
      <c r="P586">
        <f t="shared" si="32"/>
        <v>4.4928604026810985</v>
      </c>
      <c r="Q586" t="str">
        <f t="shared" si="31"/>
        <v/>
      </c>
      <c r="R586" s="67" cm="1">
        <f t="array" ref="R586">SUMPRODUCT((J586=$J$7:$J$1000)*(P586&lt;$P$7:$P$1000))+1</f>
        <v>49</v>
      </c>
      <c r="S586" s="72"/>
    </row>
    <row r="587" spans="10:19" x14ac:dyDescent="0.35">
      <c r="J587">
        <v>16</v>
      </c>
      <c r="K587" t="s">
        <v>23</v>
      </c>
      <c r="L587" t="s">
        <v>389</v>
      </c>
      <c r="M587" t="s">
        <v>256</v>
      </c>
      <c r="N587" t="s">
        <v>3</v>
      </c>
      <c r="O587" t="s">
        <v>17</v>
      </c>
      <c r="P587">
        <f t="shared" si="32"/>
        <v>11.976696028661104</v>
      </c>
      <c r="Q587" t="str">
        <f t="shared" si="31"/>
        <v/>
      </c>
      <c r="R587" s="67" cm="1">
        <f t="array" ref="R587">SUMPRODUCT((J587=$J$7:$J$1000)*(P587&lt;$P$7:$P$1000))+1</f>
        <v>3</v>
      </c>
      <c r="S587" s="72"/>
    </row>
    <row r="588" spans="10:19" x14ac:dyDescent="0.35">
      <c r="J588">
        <v>16</v>
      </c>
      <c r="K588" t="s">
        <v>23</v>
      </c>
      <c r="L588" t="s">
        <v>431</v>
      </c>
      <c r="M588" t="s">
        <v>256</v>
      </c>
      <c r="N588" t="s">
        <v>3</v>
      </c>
      <c r="O588" t="s">
        <v>17</v>
      </c>
      <c r="P588">
        <f t="shared" si="32"/>
        <v>7.3156291951609109</v>
      </c>
      <c r="Q588" t="str">
        <f t="shared" si="31"/>
        <v/>
      </c>
      <c r="R588" s="67" cm="1">
        <f t="array" ref="R588">SUMPRODUCT((J588=$J$7:$J$1000)*(P588&lt;$P$7:$P$1000))+1</f>
        <v>25</v>
      </c>
      <c r="S588" s="72"/>
    </row>
    <row r="589" spans="10:19" x14ac:dyDescent="0.35">
      <c r="J589">
        <v>16</v>
      </c>
      <c r="K589" t="s">
        <v>23</v>
      </c>
      <c r="L589" t="s">
        <v>428</v>
      </c>
      <c r="M589" t="s">
        <v>256</v>
      </c>
      <c r="N589" t="s">
        <v>3</v>
      </c>
      <c r="O589" t="s">
        <v>17</v>
      </c>
      <c r="P589">
        <f t="shared" si="32"/>
        <v>9.5262937347638417</v>
      </c>
      <c r="Q589" t="str">
        <f t="shared" si="31"/>
        <v/>
      </c>
      <c r="R589" s="67" cm="1">
        <f t="array" ref="R589">SUMPRODUCT((J589=$J$7:$J$1000)*(P589&lt;$P$7:$P$1000))+1</f>
        <v>13</v>
      </c>
      <c r="S589" s="72"/>
    </row>
    <row r="590" spans="10:19" x14ac:dyDescent="0.35">
      <c r="J590">
        <v>16</v>
      </c>
      <c r="K590" t="s">
        <v>23</v>
      </c>
      <c r="L590" t="s">
        <v>229</v>
      </c>
      <c r="M590" t="s">
        <v>256</v>
      </c>
      <c r="N590" t="s">
        <v>3</v>
      </c>
      <c r="O590" t="s">
        <v>17</v>
      </c>
      <c r="P590">
        <f t="shared" si="32"/>
        <v>8.8713220943420321</v>
      </c>
      <c r="Q590" t="str">
        <f t="shared" si="31"/>
        <v/>
      </c>
      <c r="R590" s="67" cm="1">
        <f t="array" ref="R590">SUMPRODUCT((J590=$J$7:$J$1000)*(P590&lt;$P$7:$P$1000))+1</f>
        <v>19</v>
      </c>
      <c r="S590" s="72"/>
    </row>
    <row r="591" spans="10:19" x14ac:dyDescent="0.35">
      <c r="J591">
        <v>16</v>
      </c>
      <c r="K591" t="s">
        <v>4</v>
      </c>
      <c r="L591" t="s">
        <v>539</v>
      </c>
      <c r="M591" t="s">
        <v>256</v>
      </c>
      <c r="N591" t="s">
        <v>9</v>
      </c>
      <c r="O591" t="s">
        <v>2</v>
      </c>
      <c r="P591">
        <f t="shared" si="32"/>
        <v>9.686492433138854</v>
      </c>
      <c r="Q591" t="str">
        <f t="shared" si="31"/>
        <v/>
      </c>
      <c r="R591" s="67" cm="1">
        <f t="array" ref="R591">SUMPRODUCT((J591=$J$7:$J$1000)*(P591&lt;$P$7:$P$1000))+1</f>
        <v>12</v>
      </c>
      <c r="S591" s="72"/>
    </row>
    <row r="592" spans="10:19" x14ac:dyDescent="0.35">
      <c r="J592">
        <v>16</v>
      </c>
      <c r="K592" t="s">
        <v>4</v>
      </c>
      <c r="L592" t="s">
        <v>632</v>
      </c>
      <c r="M592" t="s">
        <v>256</v>
      </c>
      <c r="N592" t="s">
        <v>9</v>
      </c>
      <c r="O592" t="s">
        <v>2</v>
      </c>
      <c r="P592">
        <f t="shared" si="32"/>
        <v>7.2669325127312527</v>
      </c>
      <c r="Q592" t="str">
        <f t="shared" si="31"/>
        <v/>
      </c>
      <c r="R592" s="67" cm="1">
        <f t="array" ref="R592">SUMPRODUCT((J592=$J$7:$J$1000)*(P592&lt;$P$7:$P$1000))+1</f>
        <v>26</v>
      </c>
      <c r="S592" s="72"/>
    </row>
    <row r="593" spans="10:19" x14ac:dyDescent="0.35">
      <c r="J593">
        <v>16</v>
      </c>
      <c r="K593" t="s">
        <v>4</v>
      </c>
      <c r="L593" t="s">
        <v>209</v>
      </c>
      <c r="M593" t="s">
        <v>256</v>
      </c>
      <c r="N593" t="s">
        <v>9</v>
      </c>
      <c r="O593" t="s">
        <v>2</v>
      </c>
      <c r="P593">
        <f t="shared" si="32"/>
        <v>14.281432218517541</v>
      </c>
      <c r="Q593" t="str">
        <f t="shared" si="31"/>
        <v/>
      </c>
      <c r="R593" s="67" cm="1">
        <f t="array" ref="R593">SUMPRODUCT((J593=$J$7:$J$1000)*(P593&lt;$P$7:$P$1000))+1</f>
        <v>1</v>
      </c>
      <c r="S593" s="72"/>
    </row>
    <row r="594" spans="10:19" x14ac:dyDescent="0.35">
      <c r="J594" s="66">
        <v>16</v>
      </c>
      <c r="K594" t="s">
        <v>4</v>
      </c>
      <c r="L594" t="s">
        <v>435</v>
      </c>
      <c r="M594" t="s">
        <v>256</v>
      </c>
      <c r="N594" t="s">
        <v>9</v>
      </c>
      <c r="O594" t="s">
        <v>2</v>
      </c>
      <c r="P594">
        <f t="shared" si="32"/>
        <v>5.4596523930025693</v>
      </c>
      <c r="Q594" t="str">
        <f t="shared" si="31"/>
        <v/>
      </c>
      <c r="R594" s="67" cm="1">
        <f t="array" ref="R594">SUMPRODUCT((J594=$J$7:$J$1000)*(P594&lt;$P$7:$P$1000))+1</f>
        <v>43</v>
      </c>
      <c r="S594" s="72"/>
    </row>
    <row r="595" spans="10:19" x14ac:dyDescent="0.35">
      <c r="J595">
        <v>16</v>
      </c>
      <c r="K595" t="s">
        <v>4</v>
      </c>
      <c r="L595" t="s">
        <v>109</v>
      </c>
      <c r="M595" t="s">
        <v>256</v>
      </c>
      <c r="N595" t="s">
        <v>9</v>
      </c>
      <c r="O595" t="s">
        <v>2</v>
      </c>
      <c r="P595">
        <f t="shared" si="32"/>
        <v>5.9722013945460883</v>
      </c>
      <c r="Q595" t="str">
        <f t="shared" si="31"/>
        <v/>
      </c>
      <c r="R595" s="67" cm="1">
        <f t="array" ref="R595">SUMPRODUCT((J595=$J$7:$J$1000)*(P595&lt;$P$7:$P$1000))+1</f>
        <v>34</v>
      </c>
      <c r="S595" s="72"/>
    </row>
    <row r="596" spans="10:19" x14ac:dyDescent="0.35">
      <c r="J596" s="66">
        <v>16</v>
      </c>
      <c r="K596" t="s">
        <v>4</v>
      </c>
      <c r="L596" t="s">
        <v>598</v>
      </c>
      <c r="M596" t="s">
        <v>256</v>
      </c>
      <c r="N596" t="s">
        <v>9</v>
      </c>
      <c r="O596" t="s">
        <v>2</v>
      </c>
      <c r="P596">
        <f t="shared" si="32"/>
        <v>5.8609239373924806</v>
      </c>
      <c r="Q596" t="str">
        <f t="shared" si="31"/>
        <v/>
      </c>
      <c r="R596" s="67" cm="1">
        <f t="array" ref="R596">SUMPRODUCT((J596=$J$7:$J$1000)*(P596&lt;$P$7:$P$1000))+1</f>
        <v>37</v>
      </c>
      <c r="S596" s="72"/>
    </row>
    <row r="597" spans="10:19" x14ac:dyDescent="0.35">
      <c r="J597">
        <v>16</v>
      </c>
      <c r="K597" t="s">
        <v>4</v>
      </c>
      <c r="L597" t="s">
        <v>434</v>
      </c>
      <c r="M597" t="s">
        <v>256</v>
      </c>
      <c r="N597" t="s">
        <v>9</v>
      </c>
      <c r="O597" t="s">
        <v>2</v>
      </c>
      <c r="P597">
        <f t="shared" si="32"/>
        <v>7.1981312122973833</v>
      </c>
      <c r="Q597" t="str">
        <f t="shared" si="31"/>
        <v/>
      </c>
      <c r="R597" s="67" cm="1">
        <f t="array" ref="R597">SUMPRODUCT((J597=$J$7:$J$1000)*(P597&lt;$P$7:$P$1000))+1</f>
        <v>28</v>
      </c>
      <c r="S597" s="72"/>
    </row>
    <row r="598" spans="10:19" x14ac:dyDescent="0.35">
      <c r="J598">
        <v>16</v>
      </c>
      <c r="K598" t="s">
        <v>4</v>
      </c>
      <c r="L598" t="s">
        <v>486</v>
      </c>
      <c r="M598" t="s">
        <v>256</v>
      </c>
      <c r="N598" t="s">
        <v>9</v>
      </c>
      <c r="O598" t="s">
        <v>2</v>
      </c>
      <c r="P598">
        <f t="shared" si="32"/>
        <v>3.5818375948604126</v>
      </c>
      <c r="Q598" t="str">
        <f t="shared" si="31"/>
        <v/>
      </c>
      <c r="R598" s="67" cm="1">
        <f t="array" ref="R598">SUMPRODUCT((J598=$J$7:$J$1000)*(P598&lt;$P$7:$P$1000))+1</f>
        <v>56</v>
      </c>
      <c r="S598" s="72"/>
    </row>
    <row r="599" spans="10:19" x14ac:dyDescent="0.35">
      <c r="J599">
        <v>16</v>
      </c>
      <c r="K599" t="s">
        <v>7</v>
      </c>
      <c r="L599" t="s">
        <v>201</v>
      </c>
      <c r="M599" t="s">
        <v>256</v>
      </c>
      <c r="N599" t="s">
        <v>3</v>
      </c>
      <c r="O599" t="s">
        <v>6</v>
      </c>
      <c r="P599">
        <f t="shared" si="32"/>
        <v>9.4236745960014119</v>
      </c>
      <c r="Q599" t="str">
        <f t="shared" si="31"/>
        <v/>
      </c>
      <c r="R599" s="67" cm="1">
        <f t="array" ref="R599">SUMPRODUCT((J599=$J$7:$J$1000)*(P599&lt;$P$7:$P$1000))+1</f>
        <v>14</v>
      </c>
      <c r="S599" s="72"/>
    </row>
    <row r="600" spans="10:19" x14ac:dyDescent="0.35">
      <c r="J600">
        <v>16</v>
      </c>
      <c r="K600" t="s">
        <v>7</v>
      </c>
      <c r="L600" t="s">
        <v>202</v>
      </c>
      <c r="M600" t="s">
        <v>256</v>
      </c>
      <c r="N600" t="s">
        <v>3</v>
      </c>
      <c r="O600" t="s">
        <v>6</v>
      </c>
      <c r="P600">
        <f t="shared" si="32"/>
        <v>7.6094133265654937</v>
      </c>
      <c r="Q600" t="str">
        <f t="shared" si="31"/>
        <v/>
      </c>
      <c r="R600" s="67" cm="1">
        <f t="array" ref="R600">SUMPRODUCT((J600=$J$7:$J$1000)*(P600&lt;$P$7:$P$1000))+1</f>
        <v>20</v>
      </c>
      <c r="S600" s="72"/>
    </row>
    <row r="601" spans="10:19" x14ac:dyDescent="0.35">
      <c r="J601">
        <v>16</v>
      </c>
      <c r="K601" t="s">
        <v>7</v>
      </c>
      <c r="L601" t="s">
        <v>207</v>
      </c>
      <c r="M601" t="s">
        <v>256</v>
      </c>
      <c r="N601" t="s">
        <v>3</v>
      </c>
      <c r="O601" t="s">
        <v>6</v>
      </c>
      <c r="P601">
        <f t="shared" si="32"/>
        <v>7.20089587542786</v>
      </c>
      <c r="Q601" t="str">
        <f t="shared" si="31"/>
        <v/>
      </c>
      <c r="R601" s="67" cm="1">
        <f t="array" ref="R601">SUMPRODUCT((J601=$J$7:$J$1000)*(P601&lt;$P$7:$P$1000))+1</f>
        <v>27</v>
      </c>
    </row>
    <row r="602" spans="10:19" x14ac:dyDescent="0.35">
      <c r="J602">
        <v>16</v>
      </c>
      <c r="K602" t="s">
        <v>7</v>
      </c>
      <c r="L602" t="s">
        <v>211</v>
      </c>
      <c r="M602" t="s">
        <v>256</v>
      </c>
      <c r="N602" t="s">
        <v>3</v>
      </c>
      <c r="O602" t="s">
        <v>6</v>
      </c>
      <c r="P602">
        <f t="shared" si="32"/>
        <v>5.6071501427197088</v>
      </c>
      <c r="Q602" t="str">
        <f t="shared" si="31"/>
        <v/>
      </c>
      <c r="R602" s="67" cm="1">
        <f t="array" ref="R602">SUMPRODUCT((J602=$J$7:$J$1000)*(P602&lt;$P$7:$P$1000))+1</f>
        <v>42</v>
      </c>
    </row>
    <row r="603" spans="10:19" x14ac:dyDescent="0.35">
      <c r="J603">
        <v>16</v>
      </c>
      <c r="K603" t="s">
        <v>7</v>
      </c>
      <c r="L603" t="s">
        <v>584</v>
      </c>
      <c r="M603" t="s">
        <v>256</v>
      </c>
      <c r="N603" t="s">
        <v>3</v>
      </c>
      <c r="O603" t="s">
        <v>6</v>
      </c>
      <c r="P603">
        <f t="shared" si="32"/>
        <v>6.5514275469082994</v>
      </c>
      <c r="Q603" t="str">
        <f t="shared" si="31"/>
        <v/>
      </c>
      <c r="R603" s="67" cm="1">
        <f t="array" ref="R603">SUMPRODUCT((J603=$J$7:$J$1000)*(P603&lt;$P$7:$P$1000))+1</f>
        <v>31</v>
      </c>
    </row>
    <row r="604" spans="10:19" x14ac:dyDescent="0.35">
      <c r="J604">
        <v>16</v>
      </c>
      <c r="K604" t="s">
        <v>34</v>
      </c>
      <c r="L604" t="s">
        <v>678</v>
      </c>
      <c r="M604" t="s">
        <v>256</v>
      </c>
      <c r="N604" t="s">
        <v>9</v>
      </c>
      <c r="O604" t="s">
        <v>24</v>
      </c>
      <c r="P604">
        <f t="shared" si="32"/>
        <v>0.52935395645104344</v>
      </c>
      <c r="Q604" t="str">
        <f t="shared" si="31"/>
        <v/>
      </c>
      <c r="R604" s="67" cm="1">
        <f t="array" ref="R604">SUMPRODUCT((J604=$J$7:$J$1000)*(P604&lt;$P$7:$P$1000))+1</f>
        <v>64</v>
      </c>
    </row>
    <row r="605" spans="10:19" x14ac:dyDescent="0.35">
      <c r="J605">
        <v>16</v>
      </c>
      <c r="K605" t="s">
        <v>34</v>
      </c>
      <c r="L605" t="s">
        <v>429</v>
      </c>
      <c r="M605" t="s">
        <v>256</v>
      </c>
      <c r="N605" t="s">
        <v>9</v>
      </c>
      <c r="O605" t="s">
        <v>24</v>
      </c>
      <c r="P605">
        <f t="shared" si="32"/>
        <v>9.7399299844308871</v>
      </c>
      <c r="Q605" t="str">
        <f t="shared" si="31"/>
        <v/>
      </c>
      <c r="R605" s="67" cm="1">
        <f t="array" ref="R605">SUMPRODUCT((J605=$J$7:$J$1000)*(P605&lt;$P$7:$P$1000))+1</f>
        <v>11</v>
      </c>
    </row>
    <row r="606" spans="10:19" x14ac:dyDescent="0.35">
      <c r="J606">
        <v>16</v>
      </c>
      <c r="K606" t="s">
        <v>34</v>
      </c>
      <c r="L606" t="s">
        <v>200</v>
      </c>
      <c r="M606" t="s">
        <v>256</v>
      </c>
      <c r="N606" t="s">
        <v>9</v>
      </c>
      <c r="O606" t="s">
        <v>24</v>
      </c>
      <c r="P606">
        <f t="shared" si="32"/>
        <v>11.263509083136171</v>
      </c>
      <c r="Q606" t="str">
        <f t="shared" si="31"/>
        <v/>
      </c>
      <c r="R606" s="67" cm="1">
        <f t="array" ref="R606">SUMPRODUCT((J606=$J$7:$J$1000)*(P606&lt;$P$7:$P$1000))+1</f>
        <v>4</v>
      </c>
    </row>
    <row r="607" spans="10:19" x14ac:dyDescent="0.35">
      <c r="J607">
        <v>16</v>
      </c>
      <c r="K607" t="s">
        <v>34</v>
      </c>
      <c r="L607" t="s">
        <v>436</v>
      </c>
      <c r="M607" t="s">
        <v>256</v>
      </c>
      <c r="N607" t="s">
        <v>9</v>
      </c>
      <c r="O607" t="s">
        <v>24</v>
      </c>
      <c r="P607">
        <f t="shared" si="32"/>
        <v>6.8392975796309292</v>
      </c>
      <c r="Q607" t="str">
        <f t="shared" si="31"/>
        <v/>
      </c>
      <c r="R607" s="67" cm="1">
        <f t="array" ref="R607">SUMPRODUCT((J607=$J$7:$J$1000)*(P607&lt;$P$7:$P$1000))+1</f>
        <v>30</v>
      </c>
    </row>
    <row r="608" spans="10:19" x14ac:dyDescent="0.35">
      <c r="J608">
        <v>16</v>
      </c>
      <c r="K608" t="s">
        <v>34</v>
      </c>
      <c r="L608" t="s">
        <v>174</v>
      </c>
      <c r="M608" t="s">
        <v>256</v>
      </c>
      <c r="N608" t="s">
        <v>9</v>
      </c>
      <c r="O608" t="s">
        <v>24</v>
      </c>
      <c r="P608">
        <f t="shared" si="32"/>
        <v>9.2579165601730722</v>
      </c>
      <c r="Q608" t="str">
        <f t="shared" si="31"/>
        <v/>
      </c>
      <c r="R608" s="67" cm="1">
        <f t="array" ref="R608">SUMPRODUCT((J608=$J$7:$J$1000)*(P608&lt;$P$7:$P$1000))+1</f>
        <v>16</v>
      </c>
    </row>
    <row r="609" spans="10:18" x14ac:dyDescent="0.35">
      <c r="J609">
        <v>16</v>
      </c>
      <c r="K609" t="s">
        <v>34</v>
      </c>
      <c r="L609" t="s">
        <v>227</v>
      </c>
      <c r="M609" t="s">
        <v>256</v>
      </c>
      <c r="N609" t="s">
        <v>9</v>
      </c>
      <c r="O609" t="s">
        <v>24</v>
      </c>
      <c r="P609">
        <f t="shared" si="32"/>
        <v>2.6660058091332477</v>
      </c>
      <c r="Q609" t="str">
        <f t="shared" si="31"/>
        <v/>
      </c>
      <c r="R609" s="67" cm="1">
        <f t="array" ref="R609">SUMPRODUCT((J609=$J$7:$J$1000)*(P609&lt;$P$7:$P$1000))+1</f>
        <v>61</v>
      </c>
    </row>
    <row r="610" spans="10:18" x14ac:dyDescent="0.35">
      <c r="J610">
        <v>16</v>
      </c>
      <c r="K610" t="s">
        <v>34</v>
      </c>
      <c r="L610" t="s">
        <v>228</v>
      </c>
      <c r="M610" t="s">
        <v>256</v>
      </c>
      <c r="N610" t="s">
        <v>9</v>
      </c>
      <c r="O610" t="s">
        <v>24</v>
      </c>
      <c r="P610">
        <f t="shared" si="32"/>
        <v>4.4445844660063454</v>
      </c>
      <c r="Q610" t="str">
        <f t="shared" si="31"/>
        <v/>
      </c>
      <c r="R610" s="67" cm="1">
        <f t="array" ref="R610">SUMPRODUCT((J610=$J$7:$J$1000)*(P610&lt;$P$7:$P$1000))+1</f>
        <v>50</v>
      </c>
    </row>
    <row r="611" spans="10:18" x14ac:dyDescent="0.35">
      <c r="J611">
        <v>16</v>
      </c>
      <c r="K611" t="s">
        <v>17</v>
      </c>
      <c r="L611" t="s">
        <v>631</v>
      </c>
      <c r="M611" t="s">
        <v>256</v>
      </c>
      <c r="N611" t="s">
        <v>9</v>
      </c>
      <c r="O611" t="s">
        <v>23</v>
      </c>
      <c r="P611">
        <f t="shared" si="32"/>
        <v>5.8546703097183377</v>
      </c>
      <c r="Q611" t="str">
        <f t="shared" si="31"/>
        <v/>
      </c>
      <c r="R611" s="67" cm="1">
        <f t="array" ref="R611">SUMPRODUCT((J611=$J$7:$J$1000)*(P611&lt;$P$7:$P$1000))+1</f>
        <v>38</v>
      </c>
    </row>
    <row r="612" spans="10:18" x14ac:dyDescent="0.35">
      <c r="J612" s="66">
        <v>16</v>
      </c>
      <c r="K612" t="s">
        <v>17</v>
      </c>
      <c r="L612" t="s">
        <v>485</v>
      </c>
      <c r="M612" t="s">
        <v>256</v>
      </c>
      <c r="N612" t="s">
        <v>9</v>
      </c>
      <c r="O612" t="s">
        <v>23</v>
      </c>
      <c r="P612">
        <f t="shared" si="32"/>
        <v>6.3958477625046761</v>
      </c>
      <c r="Q612" t="str">
        <f t="shared" si="31"/>
        <v/>
      </c>
      <c r="R612" s="67" cm="1">
        <f t="array" ref="R612">SUMPRODUCT((J612=$J$7:$J$1000)*(P612&lt;$P$7:$P$1000))+1</f>
        <v>32</v>
      </c>
    </row>
    <row r="613" spans="10:18" x14ac:dyDescent="0.35">
      <c r="J613">
        <v>16</v>
      </c>
      <c r="K613" t="s">
        <v>17</v>
      </c>
      <c r="L613" t="s">
        <v>206</v>
      </c>
      <c r="M613" t="s">
        <v>256</v>
      </c>
      <c r="N613" t="s">
        <v>9</v>
      </c>
      <c r="O613" t="s">
        <v>23</v>
      </c>
      <c r="P613">
        <f t="shared" si="32"/>
        <v>5.0444867975908778</v>
      </c>
      <c r="Q613" t="str">
        <f t="shared" si="31"/>
        <v/>
      </c>
      <c r="R613" s="67" cm="1">
        <f t="array" ref="R613">SUMPRODUCT((J613=$J$7:$J$1000)*(P613&lt;$P$7:$P$1000))+1</f>
        <v>45</v>
      </c>
    </row>
    <row r="614" spans="10:18" x14ac:dyDescent="0.35">
      <c r="J614" s="66">
        <v>16</v>
      </c>
      <c r="K614" t="s">
        <v>17</v>
      </c>
      <c r="L614" t="s">
        <v>427</v>
      </c>
      <c r="M614" t="s">
        <v>256</v>
      </c>
      <c r="N614" t="s">
        <v>9</v>
      </c>
      <c r="O614" t="s">
        <v>23</v>
      </c>
      <c r="P614">
        <f t="shared" si="32"/>
        <v>4.5537497857904503</v>
      </c>
      <c r="Q614" t="str">
        <f t="shared" si="31"/>
        <v/>
      </c>
      <c r="R614" s="67" cm="1">
        <f t="array" ref="R614">SUMPRODUCT((J614=$J$7:$J$1000)*(P614&lt;$P$7:$P$1000))+1</f>
        <v>48</v>
      </c>
    </row>
    <row r="615" spans="10:18" x14ac:dyDescent="0.35">
      <c r="J615">
        <v>16</v>
      </c>
      <c r="K615" t="s">
        <v>17</v>
      </c>
      <c r="L615" t="s">
        <v>222</v>
      </c>
      <c r="M615" t="s">
        <v>256</v>
      </c>
      <c r="N615" t="s">
        <v>9</v>
      </c>
      <c r="O615" t="s">
        <v>23</v>
      </c>
      <c r="P615">
        <f t="shared" si="32"/>
        <v>7.5236198802834124</v>
      </c>
      <c r="Q615" t="str">
        <f t="shared" si="31"/>
        <v/>
      </c>
      <c r="R615" s="67" cm="1">
        <f t="array" ref="R615">SUMPRODUCT((J615=$J$7:$J$1000)*(P615&lt;$P$7:$P$1000))+1</f>
        <v>22</v>
      </c>
    </row>
    <row r="616" spans="10:18" x14ac:dyDescent="0.35">
      <c r="J616">
        <v>16</v>
      </c>
      <c r="K616" t="s">
        <v>13</v>
      </c>
      <c r="L616" t="s">
        <v>198</v>
      </c>
      <c r="M616" t="s">
        <v>256</v>
      </c>
      <c r="N616" t="s">
        <v>3</v>
      </c>
      <c r="O616" t="s">
        <v>14</v>
      </c>
      <c r="P616">
        <f t="shared" si="32"/>
        <v>7.5419519239931629</v>
      </c>
      <c r="Q616" t="str">
        <f t="shared" si="31"/>
        <v/>
      </c>
      <c r="R616" s="67" cm="1">
        <f t="array" ref="R616">SUMPRODUCT((J616=$J$7:$J$1000)*(P616&lt;$P$7:$P$1000))+1</f>
        <v>21</v>
      </c>
    </row>
    <row r="617" spans="10:18" x14ac:dyDescent="0.35">
      <c r="J617">
        <v>16</v>
      </c>
      <c r="K617" t="s">
        <v>13</v>
      </c>
      <c r="L617" t="s">
        <v>204</v>
      </c>
      <c r="M617" t="s">
        <v>256</v>
      </c>
      <c r="N617" t="s">
        <v>3</v>
      </c>
      <c r="O617" t="s">
        <v>14</v>
      </c>
      <c r="P617">
        <f t="shared" si="32"/>
        <v>9.7938186311939113</v>
      </c>
      <c r="Q617" t="str">
        <f t="shared" si="31"/>
        <v/>
      </c>
      <c r="R617" s="67" cm="1">
        <f t="array" ref="R617">SUMPRODUCT((J617=$J$7:$J$1000)*(P617&lt;$P$7:$P$1000))+1</f>
        <v>10</v>
      </c>
    </row>
    <row r="618" spans="10:18" x14ac:dyDescent="0.35">
      <c r="J618">
        <v>16</v>
      </c>
      <c r="K618" t="s">
        <v>13</v>
      </c>
      <c r="L618" t="s">
        <v>103</v>
      </c>
      <c r="M618" t="s">
        <v>256</v>
      </c>
      <c r="N618" t="s">
        <v>3</v>
      </c>
      <c r="O618" t="s">
        <v>14</v>
      </c>
      <c r="P618">
        <f t="shared" si="32"/>
        <v>9.0899750640805035</v>
      </c>
      <c r="Q618" t="str">
        <f t="shared" si="31"/>
        <v/>
      </c>
      <c r="R618" s="67" cm="1">
        <f t="array" ref="R618">SUMPRODUCT((J618=$J$7:$J$1000)*(P618&lt;$P$7:$P$1000))+1</f>
        <v>17</v>
      </c>
    </row>
    <row r="619" spans="10:18" x14ac:dyDescent="0.35">
      <c r="J619">
        <v>16</v>
      </c>
      <c r="K619" t="s">
        <v>13</v>
      </c>
      <c r="L619" t="s">
        <v>210</v>
      </c>
      <c r="M619" t="s">
        <v>256</v>
      </c>
      <c r="N619" t="s">
        <v>3</v>
      </c>
      <c r="O619" t="s">
        <v>14</v>
      </c>
      <c r="P619">
        <f t="shared" si="32"/>
        <v>5.9392980056367826</v>
      </c>
      <c r="Q619" t="str">
        <f t="shared" ref="Q619:Q623" si="33">IFERROR(($M619-$P619)^2,"")</f>
        <v/>
      </c>
      <c r="R619" s="67" cm="1">
        <f t="array" ref="R619">SUMPRODUCT((J619=$J$7:$J$1000)*(P619&lt;$P$7:$P$1000))+1</f>
        <v>35</v>
      </c>
    </row>
    <row r="620" spans="10:18" x14ac:dyDescent="0.35">
      <c r="J620">
        <v>16</v>
      </c>
      <c r="K620" t="s">
        <v>13</v>
      </c>
      <c r="L620" t="s">
        <v>670</v>
      </c>
      <c r="M620" t="s">
        <v>256</v>
      </c>
      <c r="N620" t="s">
        <v>3</v>
      </c>
      <c r="O620" t="s">
        <v>14</v>
      </c>
      <c r="P620">
        <f t="shared" si="32"/>
        <v>1.0477364125186857</v>
      </c>
      <c r="Q620" t="str">
        <f t="shared" si="33"/>
        <v/>
      </c>
      <c r="R620" s="67" cm="1">
        <f t="array" ref="R620">SUMPRODUCT((J620=$J$7:$J$1000)*(P620&lt;$P$7:$P$1000))+1</f>
        <v>63</v>
      </c>
    </row>
    <row r="621" spans="10:18" x14ac:dyDescent="0.35">
      <c r="J621">
        <v>16</v>
      </c>
      <c r="K621" t="s">
        <v>13</v>
      </c>
      <c r="L621" t="s">
        <v>600</v>
      </c>
      <c r="M621" t="s">
        <v>256</v>
      </c>
      <c r="N621" t="s">
        <v>3</v>
      </c>
      <c r="O621" t="s">
        <v>14</v>
      </c>
      <c r="P621">
        <f t="shared" si="32"/>
        <v>2.6898207020170295</v>
      </c>
      <c r="Q621" t="str">
        <f t="shared" si="33"/>
        <v/>
      </c>
      <c r="R621" s="67" cm="1">
        <f t="array" ref="R621">SUMPRODUCT((J621=$J$7:$J$1000)*(P621&lt;$P$7:$P$1000))+1</f>
        <v>60</v>
      </c>
    </row>
    <row r="622" spans="10:18" x14ac:dyDescent="0.35">
      <c r="J622">
        <v>16</v>
      </c>
      <c r="K622" t="s">
        <v>13</v>
      </c>
      <c r="L622" t="s">
        <v>689</v>
      </c>
      <c r="M622" t="s">
        <v>256</v>
      </c>
      <c r="N622" t="s">
        <v>3</v>
      </c>
      <c r="O622" t="s">
        <v>14</v>
      </c>
      <c r="P622">
        <f t="shared" si="32"/>
        <v>3.5369127046011002</v>
      </c>
      <c r="Q622" t="str">
        <f t="shared" si="33"/>
        <v/>
      </c>
      <c r="R622" s="67" cm="1">
        <f t="array" ref="R622">SUMPRODUCT((J622=$J$7:$J$1000)*(P622&lt;$P$7:$P$1000))+1</f>
        <v>57</v>
      </c>
    </row>
    <row r="623" spans="10:18" x14ac:dyDescent="0.35">
      <c r="J623">
        <v>16</v>
      </c>
      <c r="K623" t="s">
        <v>13</v>
      </c>
      <c r="L623" t="s">
        <v>638</v>
      </c>
      <c r="M623" t="s">
        <v>256</v>
      </c>
      <c r="N623" t="s">
        <v>3</v>
      </c>
      <c r="O623" t="s">
        <v>14</v>
      </c>
      <c r="P623">
        <f t="shared" si="32"/>
        <v>5.9303974774554966</v>
      </c>
      <c r="Q623" t="str">
        <f t="shared" si="33"/>
        <v/>
      </c>
      <c r="R623" s="67" cm="1">
        <f t="array" ref="R623">SUMPRODUCT((J623=$J$7:$J$1000)*(P623&lt;$P$7:$P$1000))+1</f>
        <v>36</v>
      </c>
    </row>
    <row r="624" spans="10:18" x14ac:dyDescent="0.35">
      <c r="R624" s="67"/>
    </row>
    <row r="625" spans="10:18" x14ac:dyDescent="0.35">
      <c r="R625" s="67"/>
    </row>
    <row r="626" spans="10:18" x14ac:dyDescent="0.35">
      <c r="R626" s="67"/>
    </row>
    <row r="627" spans="10:18" x14ac:dyDescent="0.35">
      <c r="R627" s="67"/>
    </row>
    <row r="628" spans="10:18" x14ac:dyDescent="0.35">
      <c r="R628" s="67"/>
    </row>
    <row r="629" spans="10:18" x14ac:dyDescent="0.35">
      <c r="R629" s="67"/>
    </row>
    <row r="630" spans="10:18" x14ac:dyDescent="0.35">
      <c r="R630" s="67"/>
    </row>
    <row r="631" spans="10:18" x14ac:dyDescent="0.35">
      <c r="J631" s="66"/>
      <c r="R631" s="67"/>
    </row>
    <row r="632" spans="10:18" x14ac:dyDescent="0.35">
      <c r="R632" s="67"/>
    </row>
    <row r="633" spans="10:18" x14ac:dyDescent="0.35">
      <c r="R633" s="67"/>
    </row>
    <row r="634" spans="10:18" x14ac:dyDescent="0.35">
      <c r="R634" s="67"/>
    </row>
    <row r="635" spans="10:18" x14ac:dyDescent="0.35">
      <c r="R635" s="67"/>
    </row>
    <row r="636" spans="10:18" x14ac:dyDescent="0.35">
      <c r="R636" s="67"/>
    </row>
    <row r="637" spans="10:18" x14ac:dyDescent="0.35">
      <c r="R637" s="67"/>
    </row>
    <row r="638" spans="10:18" x14ac:dyDescent="0.35">
      <c r="R638" s="67"/>
    </row>
    <row r="639" spans="10:18" x14ac:dyDescent="0.35">
      <c r="R639" s="67"/>
    </row>
    <row r="640" spans="10:18" x14ac:dyDescent="0.35">
      <c r="R640" s="67"/>
    </row>
    <row r="641" spans="18:18" x14ac:dyDescent="0.35">
      <c r="R641" s="67"/>
    </row>
    <row r="642" spans="18:18" x14ac:dyDescent="0.35">
      <c r="R642" s="67"/>
    </row>
    <row r="643" spans="18:18" x14ac:dyDescent="0.35">
      <c r="R643" s="67"/>
    </row>
    <row r="644" spans="18:18" x14ac:dyDescent="0.35">
      <c r="R644" s="67"/>
    </row>
    <row r="645" spans="18:18" x14ac:dyDescent="0.35">
      <c r="R645" s="67"/>
    </row>
    <row r="646" spans="18:18" x14ac:dyDescent="0.35">
      <c r="R646" s="67"/>
    </row>
    <row r="647" spans="18:18" x14ac:dyDescent="0.35">
      <c r="R647" s="67"/>
    </row>
    <row r="648" spans="18:18" x14ac:dyDescent="0.35">
      <c r="R648" s="67"/>
    </row>
    <row r="649" spans="18:18" x14ac:dyDescent="0.35">
      <c r="R649" s="67"/>
    </row>
    <row r="650" spans="18:18" x14ac:dyDescent="0.35">
      <c r="R650" s="67"/>
    </row>
    <row r="651" spans="18:18" x14ac:dyDescent="0.35">
      <c r="R651" s="67"/>
    </row>
    <row r="652" spans="18:18" x14ac:dyDescent="0.35">
      <c r="R652" s="67"/>
    </row>
    <row r="653" spans="18:18" x14ac:dyDescent="0.35">
      <c r="R653" s="67"/>
    </row>
    <row r="654" spans="18:18" x14ac:dyDescent="0.35">
      <c r="R654" s="67"/>
    </row>
    <row r="655" spans="18:18" x14ac:dyDescent="0.35">
      <c r="R655" s="67"/>
    </row>
    <row r="656" spans="18:18" x14ac:dyDescent="0.35">
      <c r="R656" s="67"/>
    </row>
    <row r="657" spans="18:18" x14ac:dyDescent="0.35">
      <c r="R657" s="67"/>
    </row>
    <row r="658" spans="18:18" x14ac:dyDescent="0.35">
      <c r="R658" s="67"/>
    </row>
    <row r="659" spans="18:18" x14ac:dyDescent="0.35">
      <c r="R659" s="67"/>
    </row>
    <row r="660" spans="18:18" x14ac:dyDescent="0.35">
      <c r="R660" s="67"/>
    </row>
    <row r="661" spans="18:18" x14ac:dyDescent="0.35">
      <c r="R661" s="67"/>
    </row>
    <row r="662" spans="18:18" x14ac:dyDescent="0.35">
      <c r="R662" s="67"/>
    </row>
    <row r="663" spans="18:18" x14ac:dyDescent="0.35">
      <c r="R663" s="67"/>
    </row>
    <row r="664" spans="18:18" x14ac:dyDescent="0.35">
      <c r="R664" s="67"/>
    </row>
    <row r="665" spans="18:18" x14ac:dyDescent="0.35">
      <c r="R665" s="67"/>
    </row>
    <row r="666" spans="18:18" x14ac:dyDescent="0.35">
      <c r="R666" s="67"/>
    </row>
    <row r="667" spans="18:18" x14ac:dyDescent="0.35">
      <c r="R667" s="67"/>
    </row>
    <row r="668" spans="18:18" x14ac:dyDescent="0.35">
      <c r="R668" s="67"/>
    </row>
    <row r="669" spans="18:18" x14ac:dyDescent="0.35">
      <c r="R669" s="67"/>
    </row>
    <row r="670" spans="18:18" x14ac:dyDescent="0.35">
      <c r="R670" s="67"/>
    </row>
    <row r="671" spans="18:18" x14ac:dyDescent="0.35">
      <c r="R671" s="67"/>
    </row>
    <row r="672" spans="18:18" x14ac:dyDescent="0.35">
      <c r="R672" s="67"/>
    </row>
    <row r="673" spans="18:18" x14ac:dyDescent="0.35">
      <c r="R673" s="67"/>
    </row>
    <row r="674" spans="18:18" x14ac:dyDescent="0.35">
      <c r="R674" s="67"/>
    </row>
    <row r="675" spans="18:18" x14ac:dyDescent="0.35">
      <c r="R675" s="67"/>
    </row>
    <row r="676" spans="18:18" x14ac:dyDescent="0.35">
      <c r="R676" s="67"/>
    </row>
    <row r="677" spans="18:18" x14ac:dyDescent="0.35">
      <c r="R677" s="67"/>
    </row>
    <row r="678" spans="18:18" x14ac:dyDescent="0.35">
      <c r="R678" s="67"/>
    </row>
    <row r="679" spans="18:18" x14ac:dyDescent="0.35">
      <c r="R679" s="67"/>
    </row>
    <row r="680" spans="18:18" x14ac:dyDescent="0.35">
      <c r="R680" s="67"/>
    </row>
    <row r="681" spans="18:18" x14ac:dyDescent="0.35">
      <c r="R681" s="67"/>
    </row>
    <row r="682" spans="18:18" x14ac:dyDescent="0.35">
      <c r="R682" s="67"/>
    </row>
    <row r="683" spans="18:18" x14ac:dyDescent="0.35">
      <c r="R683" s="67"/>
    </row>
    <row r="684" spans="18:18" x14ac:dyDescent="0.35">
      <c r="R684" s="67"/>
    </row>
    <row r="685" spans="18:18" x14ac:dyDescent="0.35">
      <c r="R685" s="67"/>
    </row>
    <row r="686" spans="18:18" x14ac:dyDescent="0.35">
      <c r="R686" s="67"/>
    </row>
    <row r="687" spans="18:18" x14ac:dyDescent="0.35">
      <c r="R687" s="67"/>
    </row>
    <row r="688" spans="18:18" x14ac:dyDescent="0.35">
      <c r="R688" s="67"/>
    </row>
    <row r="689" spans="18:18" x14ac:dyDescent="0.35">
      <c r="R689" s="67"/>
    </row>
  </sheetData>
  <autoFilter ref="A19:F749" xr:uid="{A92CACEC-1FF1-4425-9AA4-4D2B713E60A9}"/>
  <sortState xmlns:xlrd2="http://schemas.microsoft.com/office/spreadsheetml/2017/richdata2" ref="A20:I89">
    <sortCondition ref="D20:D89"/>
  </sortState>
  <conditionalFormatting sqref="A139:A146 A180:A204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B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5:B23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89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9:C14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0:C18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0:C204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05:C234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6:D1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89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80:D20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8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80:E204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0:F10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8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89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8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7:AB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FA0F-5C1C-43B2-85E0-0AEBA88B816F}">
  <dimension ref="A1:AB689"/>
  <sheetViews>
    <sheetView topLeftCell="A9" zoomScaleNormal="100" workbookViewId="0">
      <selection activeCell="F22" sqref="F22:F24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8" x14ac:dyDescent="0.35">
      <c r="A1" s="3" t="s">
        <v>400</v>
      </c>
      <c r="F1" s="3" t="s">
        <v>352</v>
      </c>
      <c r="G1">
        <v>12</v>
      </c>
    </row>
    <row r="2" spans="1:28" x14ac:dyDescent="0.35">
      <c r="B2">
        <v>0</v>
      </c>
    </row>
    <row r="3" spans="1:28" x14ac:dyDescent="0.35">
      <c r="A3" s="3" t="s">
        <v>62</v>
      </c>
      <c r="B3" s="4">
        <f>AVERAGE(B6:B49)</f>
        <v>-5.4673075359930453E-9</v>
      </c>
      <c r="F3" s="3" t="s">
        <v>3</v>
      </c>
      <c r="G3" s="4">
        <v>-0.25102266769921638</v>
      </c>
    </row>
    <row r="4" spans="1:28" x14ac:dyDescent="0.35">
      <c r="A4" s="3" t="s">
        <v>121</v>
      </c>
      <c r="F4" t="s">
        <v>9</v>
      </c>
      <c r="G4">
        <f>-G3</f>
        <v>0.25102266769921638</v>
      </c>
    </row>
    <row r="5" spans="1:28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1436.506464692462</v>
      </c>
    </row>
    <row r="6" spans="1:28" x14ac:dyDescent="0.35">
      <c r="A6" s="1" t="s">
        <v>14</v>
      </c>
      <c r="B6" s="1">
        <v>4.8865381963616166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  <c r="AA6" s="32" t="s">
        <v>357</v>
      </c>
      <c r="AB6" s="32" t="s">
        <v>61</v>
      </c>
    </row>
    <row r="7" spans="1:28" x14ac:dyDescent="0.35">
      <c r="A7" s="1" t="s">
        <v>4</v>
      </c>
      <c r="B7" s="1">
        <v>1.8519021396905384</v>
      </c>
      <c r="C7" s="1">
        <f t="shared" si="0"/>
        <v>2</v>
      </c>
      <c r="J7" s="65">
        <v>1</v>
      </c>
      <c r="K7" t="s">
        <v>14</v>
      </c>
      <c r="L7" t="s">
        <v>438</v>
      </c>
      <c r="M7">
        <v>12.3</v>
      </c>
      <c r="N7" t="s">
        <v>9</v>
      </c>
      <c r="O7" t="s">
        <v>4</v>
      </c>
      <c r="P7">
        <f>VLOOKUP($N7,$F$3:$G$4,2,FALSE)+VLOOKUP($L7,$B$20:$C$150,2,FALSE)+VLOOKUP($O7,$A$6:$B$16,2,FALSE)</f>
        <v>7.1305551946521639</v>
      </c>
      <c r="Q7">
        <f>IFERROR(($M7-$P7)^2,"")</f>
        <v>26.723159595537734</v>
      </c>
      <c r="R7" s="67" cm="1">
        <f t="array" ref="R7">SUMPRODUCT((J7=$J$7:$J$1000)*(P7&lt;$P$7:$P$1000))+1</f>
        <v>2</v>
      </c>
      <c r="S7" s="72"/>
      <c r="T7" cm="1">
        <f t="array" ref="T7:Z96">_xlfn._xlws.FILTER($J$7:$P$10000,($J$7:$J$10000&gt;$G$1)*($J$7:$J$10000&lt;18))</f>
        <v>13</v>
      </c>
      <c r="U7" t="str">
        <v>ARC</v>
      </c>
      <c r="V7" t="str">
        <v>Carlo de Nysschen</v>
      </c>
      <c r="W7" t="str">
        <v>NULL</v>
      </c>
      <c r="X7" t="str">
        <v>Away</v>
      </c>
      <c r="Y7" t="str">
        <v>LA</v>
      </c>
      <c r="Z7">
        <v>5.296814603817376</v>
      </c>
      <c r="AA7" s="1" t="str" cm="1">
        <f t="array" ref="AA7:AA32">_xlfn._xlws.SORT(_xlfn.UNIQUE($L$7:$L$10000))</f>
        <v>Andre Warner</v>
      </c>
      <c r="AB7" s="1" cm="1">
        <f t="array" ref="AB7">COUNT(_xlfn._xlws.FILTER($J$7:$J$10000,($L$7:$L$10000=AA7)*($M$7:$M$10000&lt;&gt;"NULL")*($J$7:$J$10000 &gt;= ($G$1-5))))/5</f>
        <v>0.8</v>
      </c>
    </row>
    <row r="8" spans="1:28" x14ac:dyDescent="0.35">
      <c r="A8" s="1" t="s">
        <v>36</v>
      </c>
      <c r="B8" s="1">
        <v>1.1245339981368079</v>
      </c>
      <c r="C8" s="1">
        <f t="shared" si="0"/>
        <v>3</v>
      </c>
      <c r="J8" s="65">
        <v>1</v>
      </c>
      <c r="K8" t="s">
        <v>6</v>
      </c>
      <c r="L8" t="s">
        <v>437</v>
      </c>
      <c r="M8">
        <v>11.1</v>
      </c>
      <c r="N8" t="s">
        <v>3</v>
      </c>
      <c r="O8" t="s">
        <v>23</v>
      </c>
      <c r="P8">
        <f t="shared" ref="P8:P71" si="1">VLOOKUP($N8,$F$3:$G$4,2,FALSE)+VLOOKUP($L8,$B$20:$C$150,2,FALSE)+VLOOKUP($O8,$A$6:$B$16,2,FALSE)</f>
        <v>6.6773980983979389</v>
      </c>
      <c r="Q8">
        <f t="shared" ref="Q8:Q44" si="2">IFERROR(($M8-$P8)^2,"")</f>
        <v>19.559407580054163</v>
      </c>
      <c r="R8" s="67" cm="1">
        <f t="array" ref="R8">SUMPRODUCT((J8=$J$7:$J$1000)*(P8&lt;$P$7:$P$1000))+1</f>
        <v>3</v>
      </c>
      <c r="S8" s="72"/>
      <c r="T8">
        <v>13</v>
      </c>
      <c r="U8" t="str">
        <v>ARC</v>
      </c>
      <c r="V8" t="str">
        <v>Ishma-eel Safodien</v>
      </c>
      <c r="W8" t="str">
        <v>NULL</v>
      </c>
      <c r="X8" t="str">
        <v>Away</v>
      </c>
      <c r="Y8" t="str">
        <v>LA</v>
      </c>
      <c r="Z8">
        <v>7.8282182350035994</v>
      </c>
      <c r="AA8" s="1" t="str">
        <v>Cam Nordli-Kelemeti</v>
      </c>
      <c r="AB8" s="1" cm="1">
        <f t="array" ref="AB8">COUNT(_xlfn._xlws.FILTER($J$7:$J$10000,($L$7:$L$10000=AA8)*($M$7:$M$10000&lt;&gt;"NULL")*($J$7:$J$10000 &gt;= ($G$1-5))))/5</f>
        <v>0.8</v>
      </c>
    </row>
    <row r="9" spans="1:28" x14ac:dyDescent="0.35">
      <c r="A9" s="1" t="s">
        <v>34</v>
      </c>
      <c r="B9" s="1">
        <v>0.4615807972378746</v>
      </c>
      <c r="C9" s="1">
        <f t="shared" si="0"/>
        <v>4</v>
      </c>
      <c r="J9" s="65">
        <v>1</v>
      </c>
      <c r="K9" t="s">
        <v>24</v>
      </c>
      <c r="L9" t="s">
        <v>439</v>
      </c>
      <c r="M9">
        <v>10</v>
      </c>
      <c r="N9" t="s">
        <v>3</v>
      </c>
      <c r="O9" t="s">
        <v>7</v>
      </c>
      <c r="P9">
        <f t="shared" si="1"/>
        <v>4.1965865751633089</v>
      </c>
      <c r="Q9">
        <f t="shared" si="2"/>
        <v>33.679607379574733</v>
      </c>
      <c r="R9" s="67" cm="1">
        <f t="array" ref="R9">SUMPRODUCT((J9=$J$7:$J$1000)*(P9&lt;$P$7:$P$1000))+1</f>
        <v>8</v>
      </c>
      <c r="S9" s="72"/>
      <c r="T9">
        <v>13</v>
      </c>
      <c r="U9" t="str">
        <v>ARC</v>
      </c>
      <c r="V9" t="str">
        <v>Karl Keane</v>
      </c>
      <c r="W9" t="str">
        <v>NULL</v>
      </c>
      <c r="X9" t="str">
        <v>Away</v>
      </c>
      <c r="Y9" t="str">
        <v>LA</v>
      </c>
      <c r="Z9">
        <v>3.9755856729977612</v>
      </c>
      <c r="AA9" s="1" t="str">
        <v>Carlo de Nysschen</v>
      </c>
      <c r="AB9" s="1" cm="1">
        <f t="array" ref="AB9">COUNT(_xlfn._xlws.FILTER($J$7:$J$10000,($L$7:$L$10000=AA9)*($M$7:$M$10000&lt;&gt;"NULL")*($J$7:$J$10000 &gt;= ($G$1-5))))/5</f>
        <v>0.4</v>
      </c>
    </row>
    <row r="10" spans="1:28" x14ac:dyDescent="0.35">
      <c r="A10" s="1" t="s">
        <v>13</v>
      </c>
      <c r="B10" s="1">
        <v>-1.8941804675803992E-3</v>
      </c>
      <c r="C10" s="1">
        <f t="shared" si="0"/>
        <v>5</v>
      </c>
      <c r="J10" s="65">
        <v>1</v>
      </c>
      <c r="K10" t="s">
        <v>23</v>
      </c>
      <c r="L10" t="s">
        <v>127</v>
      </c>
      <c r="M10">
        <v>8.1999999999999993</v>
      </c>
      <c r="N10" t="s">
        <v>9</v>
      </c>
      <c r="O10" t="s">
        <v>6</v>
      </c>
      <c r="P10">
        <f t="shared" si="1"/>
        <v>3.9322013679662406</v>
      </c>
      <c r="Q10">
        <f t="shared" si="2"/>
        <v>18.21410516358922</v>
      </c>
      <c r="R10" s="67" cm="1">
        <f t="array" ref="R10">SUMPRODUCT((J10=$J$7:$J$1000)*(P10&lt;$P$7:$P$1000))+1</f>
        <v>9</v>
      </c>
      <c r="S10" s="72"/>
      <c r="T10">
        <v>13</v>
      </c>
      <c r="U10" t="str">
        <v>CHI</v>
      </c>
      <c r="V10" t="str">
        <v>Michael Baska</v>
      </c>
      <c r="W10" t="str">
        <v>NULL</v>
      </c>
      <c r="X10" t="str">
        <v>Away</v>
      </c>
      <c r="Y10" t="str">
        <v>NEFJ</v>
      </c>
      <c r="Z10">
        <v>7.1684764740493563</v>
      </c>
      <c r="AA10" s="1" t="str">
        <v>Connor Buckley</v>
      </c>
      <c r="AB10" s="1" cm="1">
        <f t="array" ref="AB10">COUNT(_xlfn._xlws.FILTER($J$7:$J$10000,($L$7:$L$10000=AA10)*($M$7:$M$10000&lt;&gt;"NULL")*($J$7:$J$10000 &gt;= ($G$1-5))))/5</f>
        <v>1</v>
      </c>
    </row>
    <row r="11" spans="1:28" x14ac:dyDescent="0.35">
      <c r="A11" s="1" t="s">
        <v>2</v>
      </c>
      <c r="B11" s="1">
        <v>-0.2511544804266822</v>
      </c>
      <c r="C11" s="1">
        <f t="shared" si="0"/>
        <v>6</v>
      </c>
      <c r="J11" s="65">
        <v>1</v>
      </c>
      <c r="K11" t="s">
        <v>36</v>
      </c>
      <c r="L11" t="s">
        <v>123</v>
      </c>
      <c r="M11">
        <v>6.7</v>
      </c>
      <c r="N11" t="s">
        <v>3</v>
      </c>
      <c r="O11" t="s">
        <v>2</v>
      </c>
      <c r="P11">
        <f t="shared" si="1"/>
        <v>6.6753010884762274</v>
      </c>
      <c r="Q11">
        <f t="shared" si="2"/>
        <v>6.1003623045915642E-4</v>
      </c>
      <c r="R11" s="67" cm="1">
        <f t="array" ref="R11">SUMPRODUCT((J11=$J$7:$J$1000)*(P11&lt;$P$7:$P$1000))+1</f>
        <v>4</v>
      </c>
      <c r="S11" s="72"/>
      <c r="T11">
        <v>13</v>
      </c>
      <c r="U11" t="str">
        <v>CHI</v>
      </c>
      <c r="V11" t="str">
        <v>Mitch Short</v>
      </c>
      <c r="W11" t="str">
        <v>NULL</v>
      </c>
      <c r="X11" t="str">
        <v>Away</v>
      </c>
      <c r="Y11" t="str">
        <v>NEFJ</v>
      </c>
      <c r="Z11">
        <v>3.4072541567565535</v>
      </c>
      <c r="AA11" s="1" t="str">
        <v>Connor Tupai</v>
      </c>
      <c r="AB11" s="1" cm="1">
        <f t="array" ref="AB11">COUNT(_xlfn._xlws.FILTER($J$7:$J$10000,($L$7:$L$10000=AA11)*($M$7:$M$10000&lt;&gt;"NULL")*($J$7:$J$10000 &gt;= ($G$1-5))))/5</f>
        <v>0.4</v>
      </c>
    </row>
    <row r="12" spans="1:28" x14ac:dyDescent="0.35">
      <c r="A12" s="1" t="s">
        <v>17</v>
      </c>
      <c r="B12" s="1">
        <v>-0.67033215368893118</v>
      </c>
      <c r="C12" s="1">
        <f t="shared" si="0"/>
        <v>7</v>
      </c>
      <c r="J12" s="65">
        <v>1</v>
      </c>
      <c r="K12" t="s">
        <v>4</v>
      </c>
      <c r="L12" t="s">
        <v>125</v>
      </c>
      <c r="M12">
        <v>5.0999999999999996</v>
      </c>
      <c r="N12" t="s">
        <v>3</v>
      </c>
      <c r="O12" t="s">
        <v>14</v>
      </c>
      <c r="P12">
        <f t="shared" si="1"/>
        <v>8.921632936154186</v>
      </c>
      <c r="Q12">
        <f t="shared" si="2"/>
        <v>14.604878298698466</v>
      </c>
      <c r="R12" s="67" cm="1">
        <f t="array" ref="R12">SUMPRODUCT((J12=$J$7:$J$1000)*(P12&lt;$P$7:$P$1000))+1</f>
        <v>1</v>
      </c>
      <c r="S12" s="72"/>
      <c r="T12">
        <v>13</v>
      </c>
      <c r="U12" t="str">
        <v>HOU</v>
      </c>
      <c r="V12" t="str">
        <v>Andre Warner</v>
      </c>
      <c r="W12" t="str">
        <v>NULL</v>
      </c>
      <c r="X12" t="str">
        <v>Away</v>
      </c>
      <c r="Y12" t="str">
        <v>SDL</v>
      </c>
      <c r="Z12">
        <v>7.8900817015392173</v>
      </c>
      <c r="AA12" s="1" t="str">
        <v>Damian Stevens</v>
      </c>
      <c r="AB12" s="1" cm="1">
        <f t="array" ref="AB12">COUNT(_xlfn._xlws.FILTER($J$7:$J$10000,($L$7:$L$10000=AA12)*($M$7:$M$10000&lt;&gt;"NULL")*($J$7:$J$10000 &gt;= ($G$1-5))))/5</f>
        <v>0.2</v>
      </c>
    </row>
    <row r="13" spans="1:28" x14ac:dyDescent="0.35">
      <c r="A13" s="1" t="s">
        <v>24</v>
      </c>
      <c r="B13" s="1">
        <v>-1.0748814241350095</v>
      </c>
      <c r="C13" s="1">
        <f t="shared" si="0"/>
        <v>8</v>
      </c>
      <c r="J13" s="65">
        <v>1</v>
      </c>
      <c r="K13" t="s">
        <v>17</v>
      </c>
      <c r="L13" t="s">
        <v>81</v>
      </c>
      <c r="M13">
        <v>4.8</v>
      </c>
      <c r="N13" t="s">
        <v>9</v>
      </c>
      <c r="O13" t="s">
        <v>34</v>
      </c>
      <c r="P13">
        <f t="shared" si="1"/>
        <v>4.2996482439614265</v>
      </c>
      <c r="Q13">
        <f t="shared" si="2"/>
        <v>0.25035187977088397</v>
      </c>
      <c r="R13" s="67" cm="1">
        <f t="array" ref="R13">SUMPRODUCT((J13=$J$7:$J$1000)*(P13&lt;$P$7:$P$1000))+1</f>
        <v>7</v>
      </c>
      <c r="S13" s="72"/>
      <c r="T13">
        <v>13</v>
      </c>
      <c r="U13" t="str">
        <v>HOU</v>
      </c>
      <c r="V13" t="str">
        <v>Jay Renton</v>
      </c>
      <c r="W13" t="str">
        <v>NULL</v>
      </c>
      <c r="X13" t="str">
        <v>Away</v>
      </c>
      <c r="Y13" t="str">
        <v>SDL</v>
      </c>
      <c r="Z13">
        <v>6.1026071694709705</v>
      </c>
      <c r="AA13" s="1" t="str">
        <v>Ethan McVeigh</v>
      </c>
      <c r="AB13" s="1" cm="1">
        <f t="array" ref="AB13">COUNT(_xlfn._xlws.FILTER($J$7:$J$10000,($L$7:$L$10000=AA13)*($M$7:$M$10000&lt;&gt;"NULL")*($J$7:$J$10000 &gt;= ($G$1-5))))/5</f>
        <v>0.2</v>
      </c>
    </row>
    <row r="14" spans="1:28" x14ac:dyDescent="0.35">
      <c r="A14" s="1" t="s">
        <v>6</v>
      </c>
      <c r="B14" s="1">
        <v>-1.3030673819638647</v>
      </c>
      <c r="C14" s="1">
        <f t="shared" si="0"/>
        <v>9</v>
      </c>
      <c r="J14" s="65">
        <v>1</v>
      </c>
      <c r="K14" t="s">
        <v>34</v>
      </c>
      <c r="L14" t="s">
        <v>440</v>
      </c>
      <c r="M14">
        <v>4.7</v>
      </c>
      <c r="N14" t="s">
        <v>3</v>
      </c>
      <c r="O14" t="s">
        <v>17</v>
      </c>
      <c r="P14">
        <f t="shared" si="1"/>
        <v>6.2938338196220158</v>
      </c>
      <c r="Q14">
        <f t="shared" si="2"/>
        <v>2.5403062445709037</v>
      </c>
      <c r="R14" s="67" cm="1">
        <f t="array" ref="R14">SUMPRODUCT((J14=$J$7:$J$1000)*(P14&lt;$P$7:$P$1000))+1</f>
        <v>5</v>
      </c>
      <c r="S14" s="72"/>
      <c r="T14">
        <v>13</v>
      </c>
      <c r="U14" t="str">
        <v>HOU</v>
      </c>
      <c r="V14" t="str">
        <v>Juan Dee Oliver</v>
      </c>
      <c r="W14" t="str">
        <v>NULL</v>
      </c>
      <c r="X14" t="str">
        <v>Away</v>
      </c>
      <c r="Y14" t="str">
        <v>SDL</v>
      </c>
      <c r="Z14">
        <v>14.176771367040297</v>
      </c>
      <c r="AA14" s="1" t="str">
        <v>Gonzalo Bertranou</v>
      </c>
      <c r="AB14" s="1" cm="1">
        <f t="array" ref="AB14">COUNT(_xlfn._xlws.FILTER($J$7:$J$10000,($L$7:$L$10000=AA14)*($M$7:$M$10000&lt;&gt;"NULL")*($J$7:$J$10000 &gt;= ($G$1-5))))/5</f>
        <v>1</v>
      </c>
    </row>
    <row r="15" spans="1:28" x14ac:dyDescent="0.35">
      <c r="A15" s="1" t="s">
        <v>23</v>
      </c>
      <c r="B15" s="1">
        <v>-1.4660299953660905</v>
      </c>
      <c r="C15" s="1">
        <f t="shared" si="0"/>
        <v>10</v>
      </c>
      <c r="J15" s="65">
        <v>1</v>
      </c>
      <c r="K15" t="s">
        <v>2</v>
      </c>
      <c r="L15" t="s">
        <v>441</v>
      </c>
      <c r="M15">
        <v>3.6</v>
      </c>
      <c r="N15" t="s">
        <v>9</v>
      </c>
      <c r="O15" t="s">
        <v>36</v>
      </c>
      <c r="P15">
        <f t="shared" si="1"/>
        <v>5.9978181502594516</v>
      </c>
      <c r="Q15">
        <f t="shared" si="2"/>
        <v>5.7495318817136578</v>
      </c>
      <c r="R15" s="67" cm="1">
        <f t="array" ref="R15">SUMPRODUCT((J15=$J$7:$J$1000)*(P15&lt;$P$7:$P$1000))+1</f>
        <v>6</v>
      </c>
      <c r="S15" s="72"/>
      <c r="T15">
        <v>13</v>
      </c>
      <c r="U15" t="str">
        <v>LA</v>
      </c>
      <c r="V15" t="str">
        <v>Gonzalo Bertranou</v>
      </c>
      <c r="W15" t="str">
        <v>NULL</v>
      </c>
      <c r="X15" t="str">
        <v>Home</v>
      </c>
      <c r="Y15" t="str">
        <v>ARC</v>
      </c>
      <c r="Z15">
        <v>13.029966290125646</v>
      </c>
      <c r="AA15" s="1" t="str">
        <v>Ishma-eel Safodien</v>
      </c>
      <c r="AB15" s="1" cm="1">
        <f t="array" ref="AB15">COUNT(_xlfn._xlws.FILTER($J$7:$J$10000,($L$7:$L$10000=AA15)*($M$7:$M$10000&lt;&gt;"NULL")*($J$7:$J$10000 &gt;= ($G$1-5))))/5</f>
        <v>0.6</v>
      </c>
    </row>
    <row r="16" spans="1:28" x14ac:dyDescent="0.35">
      <c r="A16" s="1" t="s">
        <v>7</v>
      </c>
      <c r="B16" s="1">
        <v>-3.5571955755190614</v>
      </c>
      <c r="C16" s="1">
        <f t="shared" si="0"/>
        <v>11</v>
      </c>
      <c r="D16" s="3"/>
      <c r="J16" s="65">
        <v>1</v>
      </c>
      <c r="K16" t="s">
        <v>7</v>
      </c>
      <c r="L16" t="s">
        <v>126</v>
      </c>
      <c r="M16">
        <v>-0.3</v>
      </c>
      <c r="N16" t="s">
        <v>9</v>
      </c>
      <c r="O16" t="s">
        <v>24</v>
      </c>
      <c r="P16">
        <f t="shared" si="1"/>
        <v>1.7251632840396611</v>
      </c>
      <c r="Q16">
        <f t="shared" si="2"/>
        <v>4.1012863270223052</v>
      </c>
      <c r="R16" s="67" cm="1">
        <f t="array" ref="R16">SUMPRODUCT((J16=$J$7:$J$1000)*(P16&lt;$P$7:$P$1000))+1</f>
        <v>10</v>
      </c>
      <c r="S16" s="72"/>
      <c r="T16">
        <v>13</v>
      </c>
      <c r="U16" t="str">
        <v>LA</v>
      </c>
      <c r="V16" t="str">
        <v>Tas Smith</v>
      </c>
      <c r="W16" t="str">
        <v>NULL</v>
      </c>
      <c r="X16" t="str">
        <v>Home</v>
      </c>
      <c r="Y16" t="str">
        <v>ARC</v>
      </c>
      <c r="Z16">
        <v>11.527498490727289</v>
      </c>
      <c r="AA16" s="1" t="str">
        <v>Jay Renton</v>
      </c>
      <c r="AB16" s="1" cm="1">
        <f t="array" ref="AB16">COUNT(_xlfn._xlws.FILTER($J$7:$J$10000,($L$7:$L$10000=AA16)*($M$7:$M$10000&lt;&gt;"NULL")*($J$7:$J$10000 &gt;= ($G$1-5))))/5</f>
        <v>0.4</v>
      </c>
    </row>
    <row r="17" spans="1:28" x14ac:dyDescent="0.35">
      <c r="J17" s="65">
        <v>2</v>
      </c>
      <c r="K17" t="s">
        <v>34</v>
      </c>
      <c r="L17" t="s">
        <v>440</v>
      </c>
      <c r="M17">
        <v>16.2</v>
      </c>
      <c r="N17" t="s">
        <v>9</v>
      </c>
      <c r="O17" t="s">
        <v>14</v>
      </c>
      <c r="P17">
        <f t="shared" si="1"/>
        <v>12.352749505070996</v>
      </c>
      <c r="Q17">
        <f t="shared" si="2"/>
        <v>14.801336370731461</v>
      </c>
      <c r="R17" s="67" cm="1">
        <f t="array" ref="R17">SUMPRODUCT((J17=$J$7:$J$1000)*(P17&lt;$P$7:$P$1000))+1</f>
        <v>1</v>
      </c>
      <c r="S17" s="72"/>
      <c r="T17">
        <v>13</v>
      </c>
      <c r="U17" t="str">
        <v>MIA</v>
      </c>
      <c r="V17" t="str">
        <v>Tomás Cubelli</v>
      </c>
      <c r="W17" t="str">
        <v>NULL</v>
      </c>
      <c r="X17" t="str">
        <v>Away</v>
      </c>
      <c r="Y17" t="str">
        <v>NOLA</v>
      </c>
      <c r="Z17">
        <v>10.107729625771341</v>
      </c>
      <c r="AA17" s="1" t="str">
        <v>John Poland</v>
      </c>
      <c r="AB17" s="1" cm="1">
        <f t="array" ref="AB17">COUNT(_xlfn._xlws.FILTER($J$7:$J$10000,($L$7:$L$10000=AA17)*($M$7:$M$10000&lt;&gt;"NULL")*($J$7:$J$10000 &gt;= ($G$1-5))))/5</f>
        <v>0</v>
      </c>
    </row>
    <row r="18" spans="1:28" x14ac:dyDescent="0.35">
      <c r="J18" s="65">
        <v>2</v>
      </c>
      <c r="K18" t="s">
        <v>6</v>
      </c>
      <c r="L18" t="s">
        <v>437</v>
      </c>
      <c r="M18">
        <v>10.5</v>
      </c>
      <c r="N18" t="s">
        <v>3</v>
      </c>
      <c r="O18" t="s">
        <v>36</v>
      </c>
      <c r="P18">
        <f t="shared" si="1"/>
        <v>9.2679620919008379</v>
      </c>
      <c r="Q18">
        <f t="shared" si="2"/>
        <v>1.5179174069933594</v>
      </c>
      <c r="R18" s="67" cm="1">
        <f t="array" ref="R18">SUMPRODUCT((J18=$J$7:$J$1000)*(P18&lt;$P$7:$P$1000))+1</f>
        <v>3</v>
      </c>
      <c r="S18" s="72"/>
      <c r="T18">
        <v>13</v>
      </c>
      <c r="U18" t="str">
        <v>MIA</v>
      </c>
      <c r="V18" t="str">
        <v>Tomás Inciarte</v>
      </c>
      <c r="W18" t="str">
        <v>NULL</v>
      </c>
      <c r="X18" t="str">
        <v>Away</v>
      </c>
      <c r="Y18" t="str">
        <v>NOLA</v>
      </c>
      <c r="Z18">
        <v>10.450638341330876</v>
      </c>
      <c r="AA18" s="1" t="str">
        <v>JP Smith</v>
      </c>
      <c r="AB18" s="1" cm="1">
        <f t="array" ref="AB18">COUNT(_xlfn._xlws.FILTER($J$7:$J$10000,($L$7:$L$10000=AA18)*($M$7:$M$10000&lt;&gt;"NULL")*($J$7:$J$10000 &gt;= ($G$1-5))))/5</f>
        <v>1.2</v>
      </c>
    </row>
    <row r="19" spans="1:28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2</v>
      </c>
      <c r="K19" t="s">
        <v>2</v>
      </c>
      <c r="L19" t="s">
        <v>441</v>
      </c>
      <c r="M19">
        <v>8.1999999999999993</v>
      </c>
      <c r="N19" t="s">
        <v>3</v>
      </c>
      <c r="O19" t="s">
        <v>13</v>
      </c>
      <c r="P19">
        <f t="shared" si="1"/>
        <v>4.3693446362566304</v>
      </c>
      <c r="Q19">
        <f t="shared" si="2"/>
        <v>14.673920515775842</v>
      </c>
      <c r="R19" s="67" cm="1">
        <f t="array" ref="R19">SUMPRODUCT((J19=$J$7:$J$1000)*(P19&lt;$P$7:$P$1000))+1</f>
        <v>7</v>
      </c>
      <c r="S19" s="72"/>
      <c r="T19">
        <v>13</v>
      </c>
      <c r="U19" t="str">
        <v>NEFJ</v>
      </c>
      <c r="V19" t="str">
        <v>Cam Nordli-Kelemeti</v>
      </c>
      <c r="W19" t="str">
        <v>NULL</v>
      </c>
      <c r="X19" t="str">
        <v>Home</v>
      </c>
      <c r="Y19" t="str">
        <v>CHI</v>
      </c>
      <c r="Z19">
        <v>2.8465365027970391</v>
      </c>
      <c r="AA19" s="1" t="str">
        <v>Juan Dee Oliver</v>
      </c>
      <c r="AB19" s="1" cm="1">
        <f t="array" ref="AB19">COUNT(_xlfn._xlws.FILTER($J$7:$J$10000,($L$7:$L$10000=AA19)*($M$7:$M$10000&lt;&gt;"NULL")*($J$7:$J$10000 &gt;= ($G$1-5))))/5</f>
        <v>0</v>
      </c>
    </row>
    <row r="20" spans="1:28" x14ac:dyDescent="0.35">
      <c r="A20">
        <f>VLOOKUP($B20, PlayerIDs!$A$1:$B$516, 2, FALSE)</f>
        <v>568</v>
      </c>
      <c r="B20" t="s">
        <v>573</v>
      </c>
      <c r="C20" s="1">
        <v>13.464167902103206</v>
      </c>
      <c r="D20" s="1">
        <f t="shared" ref="D20:D44" si="3">RANK($C20,$C$20:$C$106)</f>
        <v>1</v>
      </c>
      <c r="E20" s="1" cm="1">
        <f t="array" ref="E20">IFERROR(VLOOKUP($B20,_xlfn._xlws.FILTER($L$7:$P$10000,$J$7:$J$10000=G$1+1),5, FALSE), 0)</f>
        <v>14.176771367040297</v>
      </c>
      <c r="F20" s="1">
        <f t="shared" ref="F20:F44" si="4">RANK(E20,$E$20:$E$72)</f>
        <v>1</v>
      </c>
      <c r="G20" s="1">
        <f t="shared" ref="G20:G44" ca="1" si="5">SUMIF(V:Z,$B20,Z:Z)</f>
        <v>40.432880837090195</v>
      </c>
      <c r="H20" s="1">
        <f t="shared" ref="H20:H44" ca="1" si="6">RANK($G20,$G$20:$G$106)</f>
        <v>2</v>
      </c>
      <c r="I20" s="1" cm="1">
        <f t="array" ref="I20">COUNT(_xlfn._xlws.FILTER($J$7:$J$10000,($L$7:$L$10000=B20)*($M$7:$M$10000&lt;&gt;"NULL")*($J$7:$J$10000 &gt;= ($G$1-4))))/5</f>
        <v>0</v>
      </c>
      <c r="J20" s="65">
        <v>2</v>
      </c>
      <c r="K20" t="s">
        <v>24</v>
      </c>
      <c r="L20" t="s">
        <v>439</v>
      </c>
      <c r="M20">
        <v>7.8</v>
      </c>
      <c r="N20" t="s">
        <v>3</v>
      </c>
      <c r="O20" t="s">
        <v>4</v>
      </c>
      <c r="P20">
        <f t="shared" si="1"/>
        <v>9.6056842903729081</v>
      </c>
      <c r="Q20">
        <f t="shared" si="2"/>
        <v>3.260495756499513</v>
      </c>
      <c r="R20" s="67" cm="1">
        <f t="array" ref="R20">SUMPRODUCT((J20=$J$7:$J$1000)*(P20&lt;$P$7:$P$1000))+1</f>
        <v>2</v>
      </c>
      <c r="S20" s="72"/>
      <c r="T20">
        <v>13</v>
      </c>
      <c r="U20" t="str">
        <v>NEFJ</v>
      </c>
      <c r="V20" t="str">
        <v>John Poland</v>
      </c>
      <c r="W20" t="str">
        <v>NULL</v>
      </c>
      <c r="X20" t="str">
        <v>Home</v>
      </c>
      <c r="Y20" t="str">
        <v>CHI</v>
      </c>
      <c r="Z20">
        <v>4.4820689341049897</v>
      </c>
      <c r="AA20" s="1" t="str">
        <v>Karl Keane</v>
      </c>
      <c r="AB20" s="1" cm="1">
        <f t="array" ref="AB20">COUNT(_xlfn._xlws.FILTER($J$7:$J$10000,($L$7:$L$10000=AA20)*($M$7:$M$10000&lt;&gt;"NULL")*($J$7:$J$10000 &gt;= ($G$1-5))))/5</f>
        <v>0.2</v>
      </c>
    </row>
    <row r="21" spans="1:28" x14ac:dyDescent="0.35">
      <c r="A21">
        <f>VLOOKUP($B21, PlayerIDs!$A$1:$B$516, 2, FALSE)</f>
        <v>95</v>
      </c>
      <c r="B21" t="s">
        <v>552</v>
      </c>
      <c r="C21" s="1">
        <v>12.979574944805234</v>
      </c>
      <c r="D21" s="1">
        <f t="shared" si="3"/>
        <v>2</v>
      </c>
      <c r="E21" s="1" cm="1">
        <f t="array" ref="E21">IFERROR(VLOOKUP($B21,_xlfn._xlws.FILTER($L$7:$P$10000,$J$7:$J$10000=G$1+1),5, FALSE), 0)</f>
        <v>11.653670852971009</v>
      </c>
      <c r="F21" s="1">
        <f t="shared" si="4"/>
        <v>3</v>
      </c>
      <c r="G21" s="1">
        <f t="shared" ca="1" si="5"/>
        <v>37.359772081687218</v>
      </c>
      <c r="H21" s="1">
        <f t="shared" ca="1" si="6"/>
        <v>4</v>
      </c>
      <c r="I21" s="1" cm="1">
        <f t="array" ref="I21">COUNT(_xlfn._xlws.FILTER($J$7:$J$10000,($L$7:$L$10000=B21)*($M$7:$M$10000&lt;&gt;"NULL")*($J$7:$J$10000 &gt;= ($G$1-4))))/5</f>
        <v>0.2</v>
      </c>
      <c r="J21" s="65">
        <v>2</v>
      </c>
      <c r="K21" t="s">
        <v>36</v>
      </c>
      <c r="L21" t="s">
        <v>123</v>
      </c>
      <c r="M21">
        <v>6.4</v>
      </c>
      <c r="N21" t="s">
        <v>9</v>
      </c>
      <c r="O21" t="s">
        <v>6</v>
      </c>
      <c r="P21">
        <f t="shared" si="1"/>
        <v>6.1254335223374783</v>
      </c>
      <c r="Q21">
        <f t="shared" si="2"/>
        <v>7.5386750656004226E-2</v>
      </c>
      <c r="R21" s="67" cm="1">
        <f t="array" ref="R21">SUMPRODUCT((J21=$J$7:$J$1000)*(P21&lt;$P$7:$P$1000))+1</f>
        <v>4</v>
      </c>
      <c r="S21" s="72"/>
      <c r="T21">
        <v>13</v>
      </c>
      <c r="U21" t="str">
        <v>NEFJ</v>
      </c>
      <c r="V21" t="str">
        <v>Oscar Lennon</v>
      </c>
      <c r="W21" t="str">
        <v>NULL</v>
      </c>
      <c r="X21" t="str">
        <v>Home</v>
      </c>
      <c r="Y21" t="str">
        <v>CHI</v>
      </c>
      <c r="Z21">
        <v>3.2948808511329783</v>
      </c>
      <c r="AA21" s="1" t="str">
        <v>Logan Crowley</v>
      </c>
      <c r="AB21" s="1" cm="1">
        <f t="array" ref="AB21">COUNT(_xlfn._xlws.FILTER($J$7:$J$10000,($L$7:$L$10000=AA21)*($M$7:$M$10000&lt;&gt;"NULL")*($J$7:$J$10000 &gt;= ($G$1-5))))/5</f>
        <v>0.4</v>
      </c>
    </row>
    <row r="22" spans="1:28" x14ac:dyDescent="0.35">
      <c r="A22">
        <f>VLOOKUP($B22, PlayerIDs!$A$1:$B$516, 2, FALSE)</f>
        <v>660</v>
      </c>
      <c r="B22" t="s">
        <v>550</v>
      </c>
      <c r="C22" s="1">
        <v>9.7926510496188772</v>
      </c>
      <c r="D22" s="1">
        <f t="shared" si="3"/>
        <v>3</v>
      </c>
      <c r="E22" s="1" cm="1">
        <f t="array" ref="E22">IFERROR(VLOOKUP($B22,_xlfn._xlws.FILTER($L$7:$P$10000,$J$7:$J$10000=G$1+1),5, FALSE), 0)</f>
        <v>10.66616238005647</v>
      </c>
      <c r="F22" s="1">
        <f t="shared" si="4"/>
        <v>5</v>
      </c>
      <c r="G22" s="1">
        <f t="shared" ca="1" si="5"/>
        <v>29.008296236868716</v>
      </c>
      <c r="H22" s="1">
        <f t="shared" ca="1" si="6"/>
        <v>10</v>
      </c>
      <c r="I22" s="1" cm="1">
        <f t="array" ref="I22">COUNT(_xlfn._xlws.FILTER($J$7:$J$10000,($L$7:$L$10000=B22)*($M$7:$M$10000&lt;&gt;"NULL")*($J$7:$J$10000 &gt;= ($G$1-4))))/5</f>
        <v>0.4</v>
      </c>
      <c r="J22" s="65">
        <v>2</v>
      </c>
      <c r="K22" t="s">
        <v>13</v>
      </c>
      <c r="L22" t="s">
        <v>472</v>
      </c>
      <c r="M22">
        <v>6.3</v>
      </c>
      <c r="N22" t="s">
        <v>9</v>
      </c>
      <c r="O22" t="s">
        <v>2</v>
      </c>
      <c r="P22">
        <f t="shared" si="1"/>
        <v>5.6023225638084391</v>
      </c>
      <c r="Q22">
        <f t="shared" si="2"/>
        <v>0.48675380497082932</v>
      </c>
      <c r="R22" s="67" cm="1">
        <f t="array" ref="R22">SUMPRODUCT((J22=$J$7:$J$1000)*(P22&lt;$P$7:$P$1000))+1</f>
        <v>5</v>
      </c>
      <c r="S22" s="72"/>
      <c r="T22">
        <v>13</v>
      </c>
      <c r="U22" t="str">
        <v>NOLA</v>
      </c>
      <c r="V22" t="str">
        <v>Damian Stevens</v>
      </c>
      <c r="W22" t="str">
        <v>NULL</v>
      </c>
      <c r="X22" t="str">
        <v>Home</v>
      </c>
      <c r="Y22" t="str">
        <v>MIA</v>
      </c>
      <c r="Z22">
        <v>11.653670852971009</v>
      </c>
      <c r="AA22" s="1" t="str">
        <v>Luke Campbell</v>
      </c>
      <c r="AB22" s="1" cm="1">
        <f t="array" ref="AB22">COUNT(_xlfn._xlws.FILTER($J$7:$J$10000,($L$7:$L$10000=AA22)*($M$7:$M$10000&lt;&gt;"NULL")*($J$7:$J$10000 &gt;= ($G$1-5))))/5</f>
        <v>0.6</v>
      </c>
    </row>
    <row r="23" spans="1:28" x14ac:dyDescent="0.35">
      <c r="A23">
        <f>VLOOKUP($B23, PlayerIDs!$A$1:$B$516, 2, FALSE)</f>
        <v>830</v>
      </c>
      <c r="B23" t="s">
        <v>563</v>
      </c>
      <c r="C23" s="1">
        <v>8.8802629492682481</v>
      </c>
      <c r="D23" s="1">
        <f t="shared" si="3"/>
        <v>4</v>
      </c>
      <c r="E23" s="1" cm="1">
        <f t="array" ref="E23">IFERROR(VLOOKUP($B23,_xlfn._xlws.FILTER($L$7:$P$10000,$J$7:$J$10000=G$1+1),5, FALSE), 0)</f>
        <v>7.8282182350035994</v>
      </c>
      <c r="F23" s="1">
        <f t="shared" si="4"/>
        <v>11</v>
      </c>
      <c r="G23" s="1">
        <f t="shared" ca="1" si="5"/>
        <v>30.4077401786958</v>
      </c>
      <c r="H23" s="1">
        <f t="shared" ca="1" si="6"/>
        <v>8</v>
      </c>
      <c r="I23" s="1" cm="1">
        <f t="array" ref="I23">COUNT(_xlfn._xlws.FILTER($J$7:$J$10000,($L$7:$L$10000=B23)*($M$7:$M$10000&lt;&gt;"NULL")*($J$7:$J$10000 &gt;= ($G$1-4))))/5</f>
        <v>0.6</v>
      </c>
      <c r="J23" s="65">
        <v>2</v>
      </c>
      <c r="K23" t="s">
        <v>14</v>
      </c>
      <c r="L23" t="s">
        <v>438</v>
      </c>
      <c r="M23">
        <v>4</v>
      </c>
      <c r="N23" t="s">
        <v>3</v>
      </c>
      <c r="O23" t="s">
        <v>34</v>
      </c>
      <c r="P23">
        <f t="shared" si="1"/>
        <v>5.2381885168010669</v>
      </c>
      <c r="Q23">
        <f t="shared" si="2"/>
        <v>1.5331108031380258</v>
      </c>
      <c r="R23" s="67" cm="1">
        <f t="array" ref="R23">SUMPRODUCT((J23=$J$7:$J$1000)*(P23&lt;$P$7:$P$1000))+1</f>
        <v>6</v>
      </c>
      <c r="S23" s="72"/>
      <c r="T23">
        <v>13</v>
      </c>
      <c r="U23" t="str">
        <v>NOLA</v>
      </c>
      <c r="V23" t="str">
        <v>Luke Campbell</v>
      </c>
      <c r="W23" t="str">
        <v>NULL</v>
      </c>
      <c r="X23" t="str">
        <v>Home</v>
      </c>
      <c r="Y23" t="str">
        <v>MIA</v>
      </c>
      <c r="Z23">
        <v>2.9602133156575601</v>
      </c>
      <c r="AA23" s="1" t="str">
        <v>Michael Baska</v>
      </c>
      <c r="AB23" s="1" cm="1">
        <f t="array" ref="AB23">COUNT(_xlfn._xlws.FILTER($J$7:$J$10000,($L$7:$L$10000=AA23)*($M$7:$M$10000&lt;&gt;"NULL")*($J$7:$J$10000 &gt;= ($G$1-5))))/5</f>
        <v>0.4</v>
      </c>
    </row>
    <row r="24" spans="1:28" x14ac:dyDescent="0.35">
      <c r="A24">
        <f>VLOOKUP($B24, PlayerIDs!$A$1:$B$516, 2, FALSE)</f>
        <v>458</v>
      </c>
      <c r="B24" t="s">
        <v>49</v>
      </c>
      <c r="C24" s="1">
        <v>8.8763140861069356</v>
      </c>
      <c r="D24" s="1">
        <f t="shared" si="3"/>
        <v>5</v>
      </c>
      <c r="E24" s="1" cm="1">
        <f t="array" ref="E24">IFERROR(VLOOKUP($B24,_xlfn._xlws.FILTER($L$7:$P$10000,$J$7:$J$10000=G$1+1),5, FALSE), 0)</f>
        <v>7.9549592647187888</v>
      </c>
      <c r="F24" s="1">
        <f t="shared" si="4"/>
        <v>9</v>
      </c>
      <c r="G24" s="1">
        <f t="shared" ca="1" si="5"/>
        <v>42.69789852492778</v>
      </c>
      <c r="H24" s="1">
        <f t="shared" ca="1" si="6"/>
        <v>1</v>
      </c>
      <c r="I24" s="1" cm="1">
        <f t="array" ref="I24">COUNT(_xlfn._xlws.FILTER($J$7:$J$10000,($L$7:$L$10000=B24)*($M$7:$M$10000&lt;&gt;"NULL")*($J$7:$J$10000 &gt;= ($G$1-4))))/5</f>
        <v>0.6</v>
      </c>
      <c r="J24" s="65">
        <v>2</v>
      </c>
      <c r="K24" t="s">
        <v>4</v>
      </c>
      <c r="L24" t="s">
        <v>125</v>
      </c>
      <c r="M24">
        <v>2</v>
      </c>
      <c r="N24" t="s">
        <v>9</v>
      </c>
      <c r="O24" t="s">
        <v>24</v>
      </c>
      <c r="P24">
        <f t="shared" si="1"/>
        <v>3.4622586510559934</v>
      </c>
      <c r="Q24">
        <f t="shared" si="2"/>
        <v>2.1382003625880937</v>
      </c>
      <c r="R24" s="67" cm="1">
        <f t="array" ref="R24">SUMPRODUCT((J24=$J$7:$J$1000)*(P24&lt;$P$7:$P$1000))+1</f>
        <v>8</v>
      </c>
      <c r="S24" s="72"/>
      <c r="T24">
        <v>13</v>
      </c>
      <c r="U24" t="str">
        <v>NOLA</v>
      </c>
      <c r="V24" t="str">
        <v>Ruben de Haas</v>
      </c>
      <c r="W24" t="str">
        <v>NULL</v>
      </c>
      <c r="X24" t="str">
        <v>Home</v>
      </c>
      <c r="Y24" t="str">
        <v>MIA</v>
      </c>
      <c r="Z24">
        <v>3.7019677620547231</v>
      </c>
      <c r="AA24" s="1" t="str">
        <v>Mitch Short</v>
      </c>
      <c r="AB24" s="1" cm="1">
        <f t="array" ref="AB24">COUNT(_xlfn._xlws.FILTER($J$7:$J$10000,($L$7:$L$10000=AA24)*($M$7:$M$10000&lt;&gt;"NULL")*($J$7:$J$10000 &gt;= ($G$1-5))))/5</f>
        <v>0.8</v>
      </c>
    </row>
    <row r="25" spans="1:28" x14ac:dyDescent="0.35">
      <c r="A25">
        <f>VLOOKUP($B25, PlayerIDs!$A$1:$B$516, 2, FALSE)</f>
        <v>753</v>
      </c>
      <c r="B25" t="s">
        <v>437</v>
      </c>
      <c r="C25" s="1">
        <v>8.3944507614632453</v>
      </c>
      <c r="D25" s="1">
        <f t="shared" si="3"/>
        <v>6</v>
      </c>
      <c r="E25" s="1" cm="1">
        <f t="array" ref="E25">IFERROR(VLOOKUP($B25,_xlfn._xlws.FILTER($L$7:$P$10000,$J$7:$J$10000=G$1+1),5, FALSE), 0)</f>
        <v>13.029966290125646</v>
      </c>
      <c r="F25" s="1">
        <f t="shared" si="4"/>
        <v>2</v>
      </c>
      <c r="G25" s="1">
        <f t="shared" ca="1" si="5"/>
        <v>33.581109762133842</v>
      </c>
      <c r="H25" s="1">
        <f t="shared" ca="1" si="6"/>
        <v>5</v>
      </c>
      <c r="I25" s="1" cm="1">
        <f t="array" ref="I25">COUNT(_xlfn._xlws.FILTER($J$7:$J$10000,($L$7:$L$10000=B25)*($M$7:$M$10000&lt;&gt;"NULL")*($J$7:$J$10000 &gt;= ($G$1-4))))/5</f>
        <v>0.8</v>
      </c>
      <c r="J25" s="65">
        <v>3</v>
      </c>
      <c r="K25" t="s">
        <v>24</v>
      </c>
      <c r="L25" t="s">
        <v>487</v>
      </c>
      <c r="M25">
        <v>10.4</v>
      </c>
      <c r="N25" t="s">
        <v>9</v>
      </c>
      <c r="O25" t="s">
        <v>14</v>
      </c>
      <c r="P25">
        <f t="shared" si="1"/>
        <v>13.485274398001954</v>
      </c>
      <c r="Q25">
        <f t="shared" si="2"/>
        <v>9.5189181109663146</v>
      </c>
      <c r="R25" s="67" cm="1">
        <f t="array" ref="R25">SUMPRODUCT((J25=$J$7:$J$1000)*(P25&lt;$P$7:$P$1000))+1</f>
        <v>1</v>
      </c>
      <c r="S25" s="72"/>
      <c r="T25">
        <v>13</v>
      </c>
      <c r="U25" t="str">
        <v>SDL</v>
      </c>
      <c r="V25" t="str">
        <v>Connor Tupai</v>
      </c>
      <c r="W25" t="str">
        <v>NULL</v>
      </c>
      <c r="X25" t="str">
        <v>Home</v>
      </c>
      <c r="Y25" t="str">
        <v>HOU</v>
      </c>
      <c r="Z25">
        <v>10.66616238005647</v>
      </c>
      <c r="AA25" s="1" t="str">
        <v>Oscar Lennon</v>
      </c>
      <c r="AB25" s="1" cm="1">
        <f t="array" ref="AB25">COUNT(_xlfn._xlws.FILTER($J$7:$J$10000,($L$7:$L$10000=AA25)*($M$7:$M$10000&lt;&gt;"NULL")*($J$7:$J$10000 &gt;= ($G$1-5))))/5</f>
        <v>0.2</v>
      </c>
    </row>
    <row r="26" spans="1:28" x14ac:dyDescent="0.35">
      <c r="A26">
        <f>VLOOKUP($B26, PlayerIDs!$A$1:$B$516, 2, FALSE)</f>
        <v>299</v>
      </c>
      <c r="B26" t="s">
        <v>590</v>
      </c>
      <c r="C26" s="1">
        <v>8.3834838017162312</v>
      </c>
      <c r="D26" s="1">
        <f t="shared" si="3"/>
        <v>7</v>
      </c>
      <c r="E26" s="1" cm="1">
        <f t="array" ref="E26">IFERROR(VLOOKUP($B26,_xlfn._xlws.FILTER($L$7:$P$10000,$J$7:$J$10000=G$1+1),5, FALSE), 0)</f>
        <v>7.1684764740493563</v>
      </c>
      <c r="F26" s="1">
        <f t="shared" si="4"/>
        <v>12</v>
      </c>
      <c r="G26" s="1">
        <f t="shared" ca="1" si="5"/>
        <v>37.503278165587119</v>
      </c>
      <c r="H26" s="1">
        <f t="shared" ca="1" si="6"/>
        <v>3</v>
      </c>
      <c r="I26" s="1" cm="1">
        <f t="array" ref="I26">COUNT(_xlfn._xlws.FILTER($J$7:$J$10000,($L$7:$L$10000=B26)*($M$7:$M$10000&lt;&gt;"NULL")*($J$7:$J$10000 &gt;= ($G$1-4))))/5</f>
        <v>0.4</v>
      </c>
      <c r="J26" s="65">
        <v>3</v>
      </c>
      <c r="K26" t="s">
        <v>17</v>
      </c>
      <c r="L26" t="s">
        <v>81</v>
      </c>
      <c r="M26">
        <v>7.4</v>
      </c>
      <c r="N26" t="s">
        <v>9</v>
      </c>
      <c r="O26" t="s">
        <v>36</v>
      </c>
      <c r="P26">
        <f t="shared" si="1"/>
        <v>4.9626014448603595</v>
      </c>
      <c r="Q26">
        <f t="shared" si="2"/>
        <v>5.9409117165968093</v>
      </c>
      <c r="R26" s="67" cm="1">
        <f t="array" ref="R26">SUMPRODUCT((J26=$J$7:$J$1000)*(P26&lt;$P$7:$P$1000))+1</f>
        <v>7</v>
      </c>
      <c r="S26" s="72"/>
      <c r="T26">
        <v>13</v>
      </c>
      <c r="U26" t="str">
        <v>SDL</v>
      </c>
      <c r="V26" t="str">
        <v>Richard Judd</v>
      </c>
      <c r="W26" t="str">
        <v>NULL</v>
      </c>
      <c r="X26" t="str">
        <v>Home</v>
      </c>
      <c r="Y26" t="str">
        <v>HOU</v>
      </c>
      <c r="Z26">
        <v>8.0886999714477543</v>
      </c>
      <c r="AA26" s="1" t="str">
        <v>Richard Judd</v>
      </c>
      <c r="AB26" s="1" cm="1">
        <f t="array" ref="AB26">COUNT(_xlfn._xlws.FILTER($J$7:$J$10000,($L$7:$L$10000=AA26)*($M$7:$M$10000&lt;&gt;"NULL")*($J$7:$J$10000 &gt;= ($G$1-5))))/5</f>
        <v>1</v>
      </c>
    </row>
    <row r="27" spans="1:28" x14ac:dyDescent="0.35">
      <c r="A27">
        <f>VLOOKUP($B27, PlayerIDs!$A$1:$B$516, 2, FALSE)</f>
        <v>617</v>
      </c>
      <c r="B27" t="s">
        <v>487</v>
      </c>
      <c r="C27" s="1">
        <v>8.3477135339411213</v>
      </c>
      <c r="D27" s="1">
        <f t="shared" si="3"/>
        <v>8</v>
      </c>
      <c r="E27" s="1" cm="1">
        <f t="array" ref="E27">IFERROR(VLOOKUP($B27,_xlfn._xlws.FILTER($L$7:$P$10000,$J$7:$J$10000=G$1+1),5, FALSE), 0)</f>
        <v>10.450638341330876</v>
      </c>
      <c r="F27" s="1">
        <f t="shared" si="4"/>
        <v>6</v>
      </c>
      <c r="G27" s="1">
        <f t="shared" ca="1" si="5"/>
        <v>32.935239695362945</v>
      </c>
      <c r="H27" s="1">
        <f t="shared" ca="1" si="6"/>
        <v>6</v>
      </c>
      <c r="I27" s="1" cm="1">
        <f t="array" ref="I27">COUNT(_xlfn._xlws.FILTER($J$7:$J$10000,($L$7:$L$10000=B27)*($M$7:$M$10000&lt;&gt;"NULL")*($J$7:$J$10000 &gt;= ($G$1-4))))/5</f>
        <v>0.4</v>
      </c>
      <c r="J27" s="65">
        <v>3</v>
      </c>
      <c r="K27" t="s">
        <v>34</v>
      </c>
      <c r="L27" t="s">
        <v>440</v>
      </c>
      <c r="M27">
        <v>6.6</v>
      </c>
      <c r="N27" t="s">
        <v>9</v>
      </c>
      <c r="O27" t="s">
        <v>7</v>
      </c>
      <c r="P27">
        <f t="shared" si="1"/>
        <v>3.9090157331903188</v>
      </c>
      <c r="Q27">
        <f t="shared" si="2"/>
        <v>7.2413963242172352</v>
      </c>
      <c r="R27" s="67" cm="1">
        <f t="array" ref="R27">SUMPRODUCT((J27=$J$7:$J$1000)*(P27&lt;$P$7:$P$1000))+1</f>
        <v>8</v>
      </c>
      <c r="S27" s="72"/>
      <c r="T27">
        <v>13</v>
      </c>
      <c r="U27" t="str">
        <v>SEA</v>
      </c>
      <c r="V27" t="str">
        <v>JP Smith</v>
      </c>
      <c r="W27" t="str">
        <v>NULL</v>
      </c>
      <c r="X27" t="str">
        <v>Away</v>
      </c>
      <c r="Y27" t="str">
        <v>UTAH</v>
      </c>
      <c r="Z27">
        <v>3.8361732662559711</v>
      </c>
      <c r="AA27" s="1" t="str">
        <v>Ruben de Haas</v>
      </c>
      <c r="AB27" s="1" cm="1">
        <f t="array" ref="AB27">COUNT(_xlfn._xlws.FILTER($J$7:$J$10000,($L$7:$L$10000=AA27)*($M$7:$M$10000&lt;&gt;"NULL")*($J$7:$J$10000 &gt;= ($G$1-5))))/5</f>
        <v>0.4</v>
      </c>
    </row>
    <row r="28" spans="1:28" x14ac:dyDescent="0.35">
      <c r="A28">
        <f>VLOOKUP($B28, PlayerIDs!$A$1:$B$516, 2, FALSE)</f>
        <v>612</v>
      </c>
      <c r="B28" t="s">
        <v>439</v>
      </c>
      <c r="C28" s="1">
        <v>8.0048048183815865</v>
      </c>
      <c r="D28" s="1">
        <f t="shared" si="3"/>
        <v>9</v>
      </c>
      <c r="E28" s="1" cm="1">
        <f t="array" ref="E28">IFERROR(VLOOKUP($B28,_xlfn._xlws.FILTER($L$7:$P$10000,$J$7:$J$10000=G$1+1),5, FALSE), 0)</f>
        <v>10.107729625771341</v>
      </c>
      <c r="F28" s="1">
        <f t="shared" si="4"/>
        <v>7</v>
      </c>
      <c r="G28" s="1">
        <f t="shared" ca="1" si="5"/>
        <v>31.563604833124803</v>
      </c>
      <c r="H28" s="1">
        <f t="shared" ca="1" si="6"/>
        <v>7</v>
      </c>
      <c r="I28" s="1" cm="1">
        <f t="array" ref="I28">COUNT(_xlfn._xlws.FILTER($J$7:$J$10000,($L$7:$L$10000=B28)*($M$7:$M$10000&lt;&gt;"NULL")*($J$7:$J$10000 &gt;= ($G$1-4))))/5</f>
        <v>0.6</v>
      </c>
      <c r="J28" s="65">
        <v>3</v>
      </c>
      <c r="K28" t="s">
        <v>14</v>
      </c>
      <c r="L28" t="s">
        <v>488</v>
      </c>
      <c r="M28">
        <v>5.8</v>
      </c>
      <c r="N28" t="s">
        <v>3</v>
      </c>
      <c r="O28" t="s">
        <v>24</v>
      </c>
      <c r="P28">
        <f t="shared" si="1"/>
        <v>5.0229552262477979</v>
      </c>
      <c r="Q28">
        <f t="shared" si="2"/>
        <v>0.60379858041561074</v>
      </c>
      <c r="R28" s="67" cm="1">
        <f t="array" ref="R28">SUMPRODUCT((J28=$J$7:$J$1000)*(P28&lt;$P$7:$P$1000))+1</f>
        <v>5</v>
      </c>
      <c r="S28" s="72"/>
      <c r="T28">
        <v>13</v>
      </c>
      <c r="U28" t="str">
        <v>UTAH</v>
      </c>
      <c r="V28" t="str">
        <v>Logan Crowley</v>
      </c>
      <c r="W28" t="str">
        <v>NULL</v>
      </c>
      <c r="X28" t="str">
        <v>Home</v>
      </c>
      <c r="Y28" t="str">
        <v>SEA</v>
      </c>
      <c r="Z28">
        <v>4.6810995551477568</v>
      </c>
      <c r="AA28" s="1" t="str">
        <v>Tas Smith</v>
      </c>
      <c r="AB28" s="1" cm="1">
        <f t="array" ref="AB28">COUNT(_xlfn._xlws.FILTER($J$7:$J$10000,($L$7:$L$10000=AA28)*($M$7:$M$10000&lt;&gt;"NULL")*($J$7:$J$10000 &gt;= ($G$1-5))))/5</f>
        <v>0.2</v>
      </c>
    </row>
    <row r="29" spans="1:28" x14ac:dyDescent="0.35">
      <c r="A29">
        <f>VLOOKUP($B29, PlayerIDs!$A$1:$B$516, 2, FALSE)</f>
        <v>732</v>
      </c>
      <c r="B29" t="s">
        <v>440</v>
      </c>
      <c r="C29" s="1">
        <v>7.2151886410101636</v>
      </c>
      <c r="D29" s="1">
        <f t="shared" si="3"/>
        <v>10</v>
      </c>
      <c r="E29" s="1" cm="1">
        <f t="array" ref="E29">IFERROR(VLOOKUP($B29,_xlfn._xlws.FILTER($L$7:$P$10000,$J$7:$J$10000=G$1+1),5, FALSE), 0)</f>
        <v>8.0886999714477543</v>
      </c>
      <c r="F29" s="1">
        <f t="shared" si="4"/>
        <v>8</v>
      </c>
      <c r="G29" s="1">
        <f t="shared" ca="1" si="5"/>
        <v>21.275909011042575</v>
      </c>
      <c r="H29" s="1">
        <f t="shared" ca="1" si="6"/>
        <v>14</v>
      </c>
      <c r="I29" s="1" cm="1">
        <f t="array" ref="I29">COUNT(_xlfn._xlws.FILTER($J$7:$J$10000,($L$7:$L$10000=B29)*($M$7:$M$10000&lt;&gt;"NULL")*($J$7:$J$10000 &gt;= ($G$1-4))))/5</f>
        <v>0.8</v>
      </c>
      <c r="J29" s="65">
        <v>3</v>
      </c>
      <c r="K29" t="s">
        <v>2</v>
      </c>
      <c r="L29" t="s">
        <v>441</v>
      </c>
      <c r="M29">
        <v>5.5</v>
      </c>
      <c r="N29" t="s">
        <v>3</v>
      </c>
      <c r="O29" t="s">
        <v>23</v>
      </c>
      <c r="P29">
        <f t="shared" si="1"/>
        <v>2.9052088213581202</v>
      </c>
      <c r="Q29">
        <f t="shared" si="2"/>
        <v>6.7329412607577162</v>
      </c>
      <c r="R29" s="67" cm="1">
        <f t="array" ref="R29">SUMPRODUCT((J29=$J$7:$J$1000)*(P29&lt;$P$7:$P$1000))+1</f>
        <v>9</v>
      </c>
      <c r="S29" s="72"/>
      <c r="T29">
        <v>13</v>
      </c>
      <c r="U29" t="str">
        <v>UTAH</v>
      </c>
      <c r="V29" t="str">
        <v>Zion Going</v>
      </c>
      <c r="W29" t="str">
        <v>NULL</v>
      </c>
      <c r="X29" t="str">
        <v>Home</v>
      </c>
      <c r="Y29" t="str">
        <v>SEA</v>
      </c>
      <c r="Z29">
        <v>7.9549592647187888</v>
      </c>
      <c r="AA29" s="1" t="str">
        <v>Tomás Cubelli</v>
      </c>
      <c r="AB29" s="1" cm="1">
        <f t="array" ref="AB29">COUNT(_xlfn._xlws.FILTER($J$7:$J$10000,($L$7:$L$10000=AA29)*($M$7:$M$10000&lt;&gt;"NULL")*($J$7:$J$10000 &gt;= ($G$1-5))))/5</f>
        <v>0.6</v>
      </c>
    </row>
    <row r="30" spans="1:28" x14ac:dyDescent="0.35">
      <c r="A30">
        <f>VLOOKUP($B30, PlayerIDs!$A$1:$B$516, 2, FALSE)</f>
        <v>581</v>
      </c>
      <c r="B30" t="s">
        <v>123</v>
      </c>
      <c r="C30" s="1">
        <v>7.1774782366021261</v>
      </c>
      <c r="D30" s="1">
        <f t="shared" si="3"/>
        <v>11</v>
      </c>
      <c r="E30" s="1" cm="1">
        <f t="array" ref="E30">IFERROR(VLOOKUP($B30,_xlfn._xlws.FILTER($L$7:$P$10000,$J$7:$J$10000=G$1+1),5, FALSE), 0)</f>
        <v>7.8900817015392173</v>
      </c>
      <c r="F30" s="1">
        <f t="shared" si="4"/>
        <v>10</v>
      </c>
      <c r="G30" s="1">
        <f t="shared" ca="1" si="5"/>
        <v>21.572811840586958</v>
      </c>
      <c r="H30" s="1">
        <f t="shared" ca="1" si="6"/>
        <v>13</v>
      </c>
      <c r="I30" s="1" cm="1">
        <f t="array" ref="I30">COUNT(_xlfn._xlws.FILTER($J$7:$J$10000,($L$7:$L$10000=B30)*($M$7:$M$10000&lt;&gt;"NULL")*($J$7:$J$10000 &gt;= ($G$1-4))))/5</f>
        <v>0.6</v>
      </c>
      <c r="J30" s="65">
        <v>3</v>
      </c>
      <c r="K30" t="s">
        <v>13</v>
      </c>
      <c r="L30" t="s">
        <v>472</v>
      </c>
      <c r="M30">
        <v>5.0999999999999996</v>
      </c>
      <c r="N30" t="s">
        <v>3</v>
      </c>
      <c r="O30" t="s">
        <v>4</v>
      </c>
      <c r="P30">
        <f t="shared" si="1"/>
        <v>7.203333848527226</v>
      </c>
      <c r="Q30">
        <f t="shared" si="2"/>
        <v>4.424013278360353</v>
      </c>
      <c r="R30" s="67" cm="1">
        <f t="array" ref="R30">SUMPRODUCT((J30=$J$7:$J$1000)*(P30&lt;$P$7:$P$1000))+1</f>
        <v>2</v>
      </c>
      <c r="S30" s="72"/>
      <c r="T30">
        <v>14</v>
      </c>
      <c r="U30" t="str">
        <v>ARC</v>
      </c>
      <c r="V30" t="str">
        <v>Carlo de Nysschen</v>
      </c>
      <c r="W30" t="str">
        <v>NULL</v>
      </c>
      <c r="X30" t="str">
        <v>Home</v>
      </c>
      <c r="Y30" t="str">
        <v>OGDC</v>
      </c>
      <c r="Z30">
        <v>2.5406410748637458</v>
      </c>
      <c r="AA30" s="1" t="str">
        <v>Tomás Inciarte</v>
      </c>
      <c r="AB30" s="1" cm="1">
        <f t="array" ref="AB30">COUNT(_xlfn._xlws.FILTER($J$7:$J$10000,($L$7:$L$10000=AA30)*($M$7:$M$10000&lt;&gt;"NULL")*($J$7:$J$10000 &gt;= ($G$1-5))))/5</f>
        <v>0.4</v>
      </c>
    </row>
    <row r="31" spans="1:28" x14ac:dyDescent="0.35">
      <c r="A31">
        <f>VLOOKUP($B31, PlayerIDs!$A$1:$B$516, 2, FALSE)</f>
        <v>596</v>
      </c>
      <c r="B31" t="s">
        <v>605</v>
      </c>
      <c r="C31" s="1">
        <v>6.8919829620648905</v>
      </c>
      <c r="D31" s="1">
        <f t="shared" si="3"/>
        <v>12</v>
      </c>
      <c r="E31" s="1" cm="1">
        <f t="array" ref="E31">IFERROR(VLOOKUP($B31,_xlfn._xlws.FILTER($L$7:$P$10000,$J$7:$J$10000=G$1+1),5, FALSE), 0)</f>
        <v>11.527498490727289</v>
      </c>
      <c r="F31" s="1">
        <f t="shared" si="4"/>
        <v>4</v>
      </c>
      <c r="G31" s="1">
        <f t="shared" ca="1" si="5"/>
        <v>27.571238564540426</v>
      </c>
      <c r="H31" s="1">
        <f t="shared" ca="1" si="6"/>
        <v>11</v>
      </c>
      <c r="I31" s="1" cm="1">
        <f t="array" ref="I31">COUNT(_xlfn._xlws.FILTER($J$7:$J$10000,($L$7:$L$10000=B31)*($M$7:$M$10000&lt;&gt;"NULL")*($J$7:$J$10000 &gt;= ($G$1-4))))/5</f>
        <v>0.2</v>
      </c>
      <c r="J31" s="65">
        <v>3</v>
      </c>
      <c r="K31" t="s">
        <v>36</v>
      </c>
      <c r="L31" t="s">
        <v>123</v>
      </c>
      <c r="M31">
        <v>1</v>
      </c>
      <c r="N31" t="s">
        <v>3</v>
      </c>
      <c r="O31" t="s">
        <v>17</v>
      </c>
      <c r="P31">
        <f t="shared" si="1"/>
        <v>6.2561234152139784</v>
      </c>
      <c r="Q31">
        <f t="shared" si="2"/>
        <v>27.626833355960656</v>
      </c>
      <c r="R31" s="67" cm="1">
        <f t="array" ref="R31">SUMPRODUCT((J31=$J$7:$J$1000)*(P31&lt;$P$7:$P$1000))+1</f>
        <v>3</v>
      </c>
      <c r="S31" s="72"/>
      <c r="T31">
        <v>14</v>
      </c>
      <c r="U31" t="str">
        <v>ARC</v>
      </c>
      <c r="V31" t="str">
        <v>Ishma-eel Safodien</v>
      </c>
      <c r="W31" t="str">
        <v>NULL</v>
      </c>
      <c r="X31" t="str">
        <v>Home</v>
      </c>
      <c r="Y31" t="str">
        <v>OGDC</v>
      </c>
      <c r="Z31">
        <v>5.0720447060499705</v>
      </c>
      <c r="AA31" s="1" t="str">
        <v>Zion Going</v>
      </c>
      <c r="AB31" s="1" cm="1">
        <f t="array" ref="AB31">COUNT(_xlfn._xlws.FILTER($J$7:$J$10000,($L$7:$L$10000=AA31)*($M$7:$M$10000&lt;&gt;"NULL")*($J$7:$J$10000 &gt;= ($G$1-5))))/5</f>
        <v>0.8</v>
      </c>
    </row>
    <row r="32" spans="1:28" x14ac:dyDescent="0.35">
      <c r="A32">
        <f>VLOOKUP($B32, PlayerIDs!$A$1:$B$516, 2, FALSE)</f>
        <v>54</v>
      </c>
      <c r="B32" t="s">
        <v>488</v>
      </c>
      <c r="C32" s="1">
        <v>6.3488593180820239</v>
      </c>
      <c r="D32" s="1">
        <f t="shared" si="3"/>
        <v>13</v>
      </c>
      <c r="E32" s="1" cm="1">
        <f t="array" ref="E32">IFERROR(VLOOKUP($B32,_xlfn._xlws.FILTER($L$7:$P$10000,$J$7:$J$10000=G$1+1),5, FALSE), 0)</f>
        <v>5.296814603817376</v>
      </c>
      <c r="F32" s="1">
        <f t="shared" si="4"/>
        <v>14</v>
      </c>
      <c r="G32" s="1">
        <f t="shared" ca="1" si="5"/>
        <v>20.282125653950906</v>
      </c>
      <c r="H32" s="1">
        <f t="shared" ca="1" si="6"/>
        <v>15</v>
      </c>
      <c r="I32" s="1" cm="1">
        <f t="array" ref="I32">COUNT(_xlfn._xlws.FILTER($J$7:$J$10000,($L$7:$L$10000=B32)*($M$7:$M$10000&lt;&gt;"NULL")*($J$7:$J$10000 &gt;= ($G$1-4))))/5</f>
        <v>0.4</v>
      </c>
      <c r="J32" s="65">
        <v>3</v>
      </c>
      <c r="K32" t="s">
        <v>23</v>
      </c>
      <c r="L32" t="s">
        <v>127</v>
      </c>
      <c r="M32">
        <v>0.8</v>
      </c>
      <c r="N32" t="s">
        <v>9</v>
      </c>
      <c r="O32" t="s">
        <v>2</v>
      </c>
      <c r="P32">
        <f t="shared" si="1"/>
        <v>4.9841142695034231</v>
      </c>
      <c r="Q32">
        <f t="shared" si="2"/>
        <v>17.506812220262166</v>
      </c>
      <c r="R32" s="67" cm="1">
        <f t="array" ref="R32">SUMPRODUCT((J32=$J$7:$J$1000)*(P32&lt;$P$7:$P$1000))+1</f>
        <v>6</v>
      </c>
      <c r="S32" s="72"/>
      <c r="T32">
        <v>14</v>
      </c>
      <c r="U32" t="str">
        <v>ARC</v>
      </c>
      <c r="V32" t="str">
        <v>Karl Keane</v>
      </c>
      <c r="W32" t="str">
        <v>NULL</v>
      </c>
      <c r="X32" t="str">
        <v>Home</v>
      </c>
      <c r="Y32" t="str">
        <v>OGDC</v>
      </c>
      <c r="Z32">
        <v>1.219412144044131</v>
      </c>
      <c r="AA32" s="1">
        <v>0</v>
      </c>
      <c r="AB32" s="1" cm="1">
        <f t="array" ref="AB32">COUNT(_xlfn._xlws.FILTER($J$7:$J$10000,($L$7:$L$10000=AA32)*($M$7:$M$10000&lt;&gt;"NULL")*($J$7:$J$10000 &gt;= ($G$1-5))))/5</f>
        <v>0</v>
      </c>
    </row>
    <row r="33" spans="1:28" x14ac:dyDescent="0.35">
      <c r="A33">
        <f>VLOOKUP($B33, PlayerIDs!$A$1:$B$516, 2, FALSE)</f>
        <v>743</v>
      </c>
      <c r="B33" t="s">
        <v>472</v>
      </c>
      <c r="C33" s="1">
        <v>5.6024543765359045</v>
      </c>
      <c r="D33" s="1">
        <f t="shared" si="3"/>
        <v>14</v>
      </c>
      <c r="E33" s="1" cm="1">
        <f t="array" ref="E33">IFERROR(VLOOKUP($B33,_xlfn._xlws.FILTER($L$7:$P$10000,$J$7:$J$10000=G$1+1),5, FALSE), 0)</f>
        <v>4.6810995551477568</v>
      </c>
      <c r="F33" s="1">
        <f t="shared" si="4"/>
        <v>15</v>
      </c>
      <c r="G33" s="1">
        <f t="shared" ca="1" si="5"/>
        <v>29.602459686643648</v>
      </c>
      <c r="H33" s="1">
        <f t="shared" ca="1" si="6"/>
        <v>9</v>
      </c>
      <c r="I33" s="1" cm="1">
        <f t="array" ref="I33">COUNT(_xlfn._xlws.FILTER($J$7:$J$10000,($L$7:$L$10000=B33)*($M$7:$M$10000&lt;&gt;"NULL")*($J$7:$J$10000 &gt;= ($G$1-4))))/5</f>
        <v>0.4</v>
      </c>
      <c r="J33" s="65">
        <v>3</v>
      </c>
      <c r="K33" t="s">
        <v>4</v>
      </c>
      <c r="L33" t="s">
        <v>489</v>
      </c>
      <c r="M33">
        <v>0.7</v>
      </c>
      <c r="N33" t="s">
        <v>9</v>
      </c>
      <c r="O33" t="s">
        <v>13</v>
      </c>
      <c r="P33">
        <f t="shared" si="1"/>
        <v>5.2770003411205852</v>
      </c>
      <c r="Q33">
        <f t="shared" si="2"/>
        <v>20.948932122617951</v>
      </c>
      <c r="R33" s="67" cm="1">
        <f t="array" ref="R33">SUMPRODUCT((J33=$J$7:$J$1000)*(P33&lt;$P$7:$P$1000))+1</f>
        <v>4</v>
      </c>
      <c r="S33" s="72"/>
      <c r="T33">
        <v>14</v>
      </c>
      <c r="U33" t="str">
        <v>CHI</v>
      </c>
      <c r="V33" t="str">
        <v>Michael Baska</v>
      </c>
      <c r="W33" t="str">
        <v>NULL</v>
      </c>
      <c r="X33" t="str">
        <v>Home</v>
      </c>
      <c r="Y33" t="str">
        <v>LA</v>
      </c>
      <c r="Z33">
        <v>6.8293937520531509</v>
      </c>
      <c r="AA33" s="1"/>
      <c r="AB33" s="1" cm="1">
        <f t="array" ref="AB33">COUNT(_xlfn._xlws.FILTER($J$7:$J$10000,($L$7:$L$10000=AA33)*($M$7:$M$10000&lt;&gt;"NULL")*($J$7:$J$10000 &gt;= ($G$1-5))))/5</f>
        <v>0</v>
      </c>
    </row>
    <row r="34" spans="1:28" x14ac:dyDescent="0.35">
      <c r="A34">
        <f>VLOOKUP($B34, PlayerIDs!$A$1:$B$516, 2, FALSE)</f>
        <v>725</v>
      </c>
      <c r="B34" t="s">
        <v>516</v>
      </c>
      <c r="C34" s="1">
        <v>5.3900037045338793</v>
      </c>
      <c r="D34" s="1">
        <f t="shared" si="3"/>
        <v>15</v>
      </c>
      <c r="E34" s="1" cm="1">
        <f t="array" ref="E34">IFERROR(VLOOKUP($B34,_xlfn._xlws.FILTER($L$7:$P$10000,$J$7:$J$10000=G$1+1),5, FALSE), 0)</f>
        <v>6.1026071694709705</v>
      </c>
      <c r="F34" s="1">
        <f t="shared" si="4"/>
        <v>13</v>
      </c>
      <c r="G34" s="1">
        <f t="shared" ca="1" si="5"/>
        <v>16.210388244382216</v>
      </c>
      <c r="H34" s="1">
        <f t="shared" ca="1" si="6"/>
        <v>16</v>
      </c>
      <c r="I34" s="1" cm="1">
        <f t="array" ref="I34">COUNT(_xlfn._xlws.FILTER($J$7:$J$10000,($L$7:$L$10000=B34)*($M$7:$M$10000&lt;&gt;"NULL")*($J$7:$J$10000 &gt;= ($G$1-4))))/5</f>
        <v>0.4</v>
      </c>
      <c r="J34" s="65">
        <v>3</v>
      </c>
      <c r="K34" t="s">
        <v>7</v>
      </c>
      <c r="L34" t="s">
        <v>131</v>
      </c>
      <c r="M34">
        <v>0.6</v>
      </c>
      <c r="N34" t="s">
        <v>3</v>
      </c>
      <c r="O34" t="s">
        <v>34</v>
      </c>
      <c r="P34">
        <f t="shared" si="1"/>
        <v>2.6412918680142679</v>
      </c>
      <c r="Q34">
        <f t="shared" si="2"/>
        <v>4.1668724904211789</v>
      </c>
      <c r="R34" s="67" cm="1">
        <f t="array" ref="R34">SUMPRODUCT((J34=$J$7:$J$1000)*(P34&lt;$P$7:$P$1000))+1</f>
        <v>10</v>
      </c>
      <c r="S34" s="72"/>
      <c r="T34">
        <v>14</v>
      </c>
      <c r="U34" t="str">
        <v>CHI</v>
      </c>
      <c r="V34" t="str">
        <v>Mitch Short</v>
      </c>
      <c r="W34" t="str">
        <v>NULL</v>
      </c>
      <c r="X34" t="str">
        <v>Home</v>
      </c>
      <c r="Y34" t="str">
        <v>LA</v>
      </c>
      <c r="Z34">
        <v>3.0681714347603464</v>
      </c>
      <c r="AA34" s="1"/>
      <c r="AB34" s="1" cm="1">
        <f t="array" ref="AB34">COUNT(_xlfn._xlws.FILTER($J$7:$J$10000,($L$7:$L$10000=AA34)*($M$7:$M$10000&lt;&gt;"NULL")*($J$7:$J$10000 &gt;= ($G$1-5))))/5</f>
        <v>0</v>
      </c>
    </row>
    <row r="35" spans="1:28" x14ac:dyDescent="0.35">
      <c r="A35">
        <f>VLOOKUP($B35, PlayerIDs!$A$1:$B$516, 2, FALSE)</f>
        <v>807</v>
      </c>
      <c r="B35" t="s">
        <v>489</v>
      </c>
      <c r="C35" s="1">
        <v>5.0278718538889491</v>
      </c>
      <c r="D35" s="1">
        <f t="shared" si="3"/>
        <v>16</v>
      </c>
      <c r="E35" s="1" cm="1">
        <f t="array" ref="E35">IFERROR(VLOOKUP($B35,_xlfn._xlws.FILTER($L$7:$P$10000,$J$7:$J$10000=G$1+1),5, FALSE), 0)</f>
        <v>3.7019677620547231</v>
      </c>
      <c r="F35" s="1">
        <f t="shared" si="4"/>
        <v>19</v>
      </c>
      <c r="G35" s="1">
        <f t="shared" ca="1" si="5"/>
        <v>13.50466280893836</v>
      </c>
      <c r="H35" s="1">
        <f t="shared" ca="1" si="6"/>
        <v>20</v>
      </c>
      <c r="I35" s="1" cm="1">
        <f t="array" ref="I35">COUNT(_xlfn._xlws.FILTER($J$7:$J$10000,($L$7:$L$10000=B35)*($M$7:$M$10000&lt;&gt;"NULL")*($J$7:$J$10000 &gt;= ($G$1-4))))/5</f>
        <v>0.4</v>
      </c>
      <c r="J35" s="65">
        <v>4</v>
      </c>
      <c r="K35" t="s">
        <v>24</v>
      </c>
      <c r="L35" t="s">
        <v>487</v>
      </c>
      <c r="M35">
        <v>13.6</v>
      </c>
      <c r="N35" t="s">
        <v>3</v>
      </c>
      <c r="O35" t="s">
        <v>2</v>
      </c>
      <c r="P35">
        <f t="shared" si="1"/>
        <v>7.8455363858152234</v>
      </c>
      <c r="Q35">
        <f t="shared" si="2"/>
        <v>33.113851486976515</v>
      </c>
      <c r="R35" s="67" cm="1">
        <f t="array" ref="R35">SUMPRODUCT((J35=$J$7:$J$1000)*(P35&lt;$P$7:$P$1000))+1</f>
        <v>3</v>
      </c>
      <c r="S35" s="72"/>
      <c r="T35">
        <v>14</v>
      </c>
      <c r="U35" t="str">
        <v>HOU</v>
      </c>
      <c r="V35" t="str">
        <v>Andre Warner</v>
      </c>
      <c r="W35" t="str">
        <v>NULL</v>
      </c>
      <c r="X35" t="str">
        <v>Home</v>
      </c>
      <c r="Y35" t="str">
        <v>UTAH</v>
      </c>
      <c r="Z35">
        <v>6.924561388435329</v>
      </c>
      <c r="AA35" s="1"/>
      <c r="AB35" s="1" cm="1">
        <f t="array" ref="AB35">COUNT(_xlfn._xlws.FILTER($J$7:$J$10000,($L$7:$L$10000=AA35)*($M$7:$M$10000&lt;&gt;"NULL")*($J$7:$J$10000 &gt;= ($G$1-5))))/5</f>
        <v>0</v>
      </c>
    </row>
    <row r="36" spans="1:28" x14ac:dyDescent="0.35">
      <c r="A36">
        <f>VLOOKUP($B36, PlayerIDs!$A$1:$B$516, 2, FALSE)</f>
        <v>831</v>
      </c>
      <c r="B36" t="s">
        <v>438</v>
      </c>
      <c r="C36" s="1">
        <v>5.0276303872624091</v>
      </c>
      <c r="D36" s="1">
        <f t="shared" si="3"/>
        <v>17</v>
      </c>
      <c r="E36" s="1" cm="1">
        <f t="array" ref="E36">IFERROR(VLOOKUP($B36,_xlfn._xlws.FILTER($L$7:$P$10000,$J$7:$J$10000=G$1+1),5, FALSE), 0)</f>
        <v>3.9755856729977612</v>
      </c>
      <c r="F36" s="1">
        <f t="shared" si="4"/>
        <v>17</v>
      </c>
      <c r="G36" s="1">
        <f t="shared" ca="1" si="5"/>
        <v>14.997209930672447</v>
      </c>
      <c r="H36" s="1">
        <f t="shared" ca="1" si="6"/>
        <v>17</v>
      </c>
      <c r="I36" s="1" cm="1">
        <f t="array" ref="I36">COUNT(_xlfn._xlws.FILTER($J$7:$J$10000,($L$7:$L$10000=B36)*($M$7:$M$10000&lt;&gt;"NULL")*($J$7:$J$10000 &gt;= ($G$1-4))))/5</f>
        <v>0</v>
      </c>
      <c r="J36" s="65">
        <v>4</v>
      </c>
      <c r="K36" t="s">
        <v>7</v>
      </c>
      <c r="L36" t="s">
        <v>131</v>
      </c>
      <c r="M36">
        <v>11</v>
      </c>
      <c r="N36" t="s">
        <v>3</v>
      </c>
      <c r="O36" t="s">
        <v>14</v>
      </c>
      <c r="P36">
        <f t="shared" si="1"/>
        <v>7.0662492671380104</v>
      </c>
      <c r="Q36">
        <f t="shared" si="2"/>
        <v>15.47439482829224</v>
      </c>
      <c r="R36" s="67" cm="1">
        <f t="array" ref="R36">SUMPRODUCT((J36=$J$7:$J$1000)*(P36&lt;$P$7:$P$1000))+1</f>
        <v>4</v>
      </c>
      <c r="S36" s="72"/>
      <c r="T36">
        <v>14</v>
      </c>
      <c r="U36" t="str">
        <v>HOU</v>
      </c>
      <c r="V36" t="str">
        <v>Jay Renton</v>
      </c>
      <c r="W36" t="str">
        <v>NULL</v>
      </c>
      <c r="X36" t="str">
        <v>Home</v>
      </c>
      <c r="Y36" t="str">
        <v>UTAH</v>
      </c>
      <c r="Z36">
        <v>5.1370868563670822</v>
      </c>
      <c r="AA36" s="1"/>
      <c r="AB36" s="1" cm="1">
        <f t="array" ref="AB36">COUNT(_xlfn._xlws.FILTER($J$7:$J$10000,($L$7:$L$10000=AA36)*($M$7:$M$10000&lt;&gt;"NULL")*($J$7:$J$10000 &gt;= ($G$1-5))))/5</f>
        <v>0</v>
      </c>
    </row>
    <row r="37" spans="1:28" x14ac:dyDescent="0.35">
      <c r="A37">
        <f>VLOOKUP($B37, PlayerIDs!$A$1:$B$516, 2, FALSE)</f>
        <v>217</v>
      </c>
      <c r="B37" t="s">
        <v>127</v>
      </c>
      <c r="C37" s="1">
        <v>4.9842460822308885</v>
      </c>
      <c r="D37" s="1">
        <f t="shared" si="3"/>
        <v>18</v>
      </c>
      <c r="E37" s="1" cm="1">
        <f t="array" ref="E37">IFERROR(VLOOKUP($B37,_xlfn._xlws.FILTER($L$7:$P$10000,$J$7:$J$10000=G$1+1),5, FALSE), 0)</f>
        <v>4.4820689341049897</v>
      </c>
      <c r="F37" s="1">
        <f t="shared" si="4"/>
        <v>16</v>
      </c>
      <c r="G37" s="1">
        <f t="shared" ca="1" si="5"/>
        <v>13.881375359755438</v>
      </c>
      <c r="H37" s="1">
        <f t="shared" ca="1" si="6"/>
        <v>19</v>
      </c>
      <c r="I37" s="1" cm="1">
        <f t="array" ref="I37">COUNT(_xlfn._xlws.FILTER($J$7:$J$10000,($L$7:$L$10000=B37)*($M$7:$M$10000&lt;&gt;"NULL")*($J$7:$J$10000 &gt;= ($G$1-4))))/5</f>
        <v>0</v>
      </c>
      <c r="J37" s="65">
        <v>4</v>
      </c>
      <c r="K37" t="s">
        <v>6</v>
      </c>
      <c r="L37" t="s">
        <v>437</v>
      </c>
      <c r="M37">
        <v>9</v>
      </c>
      <c r="N37" t="s">
        <v>9</v>
      </c>
      <c r="O37" t="s">
        <v>34</v>
      </c>
      <c r="P37">
        <f t="shared" si="1"/>
        <v>9.1070542264003365</v>
      </c>
      <c r="Q37">
        <f t="shared" si="2"/>
        <v>1.1460607390174496E-2</v>
      </c>
      <c r="R37" s="67" cm="1">
        <f t="array" ref="R37">SUMPRODUCT((J37=$J$7:$J$1000)*(P37&lt;$P$7:$P$1000))+1</f>
        <v>2</v>
      </c>
      <c r="S37" s="72"/>
      <c r="T37">
        <v>14</v>
      </c>
      <c r="U37" t="str">
        <v>HOU</v>
      </c>
      <c r="V37" t="str">
        <v>Juan Dee Oliver</v>
      </c>
      <c r="W37" t="str">
        <v>NULL</v>
      </c>
      <c r="X37" t="str">
        <v>Home</v>
      </c>
      <c r="Y37" t="str">
        <v>UTAH</v>
      </c>
      <c r="Z37">
        <v>13.21125105393641</v>
      </c>
      <c r="AA37" s="1"/>
      <c r="AB37" s="1" cm="1">
        <f t="array" ref="AB37">COUNT(_xlfn._xlws.FILTER($J$7:$J$10000,($L$7:$L$10000=AA37)*($M$7:$M$10000&lt;&gt;"NULL")*($J$7:$J$10000 &gt;= ($G$1-5))))/5</f>
        <v>0</v>
      </c>
    </row>
    <row r="38" spans="1:28" x14ac:dyDescent="0.35">
      <c r="A38">
        <f>VLOOKUP($B38, PlayerIDs!$A$1:$B$516, 2, FALSE)</f>
        <v>781</v>
      </c>
      <c r="B38" t="s">
        <v>441</v>
      </c>
      <c r="C38" s="1">
        <v>4.6222614844234275</v>
      </c>
      <c r="D38" s="1">
        <f t="shared" si="3"/>
        <v>19</v>
      </c>
      <c r="E38" s="1" cm="1">
        <f t="array" ref="E38">IFERROR(VLOOKUP($B38,_xlfn._xlws.FILTER($L$7:$P$10000,$J$7:$J$10000=G$1+1),5, FALSE), 0)</f>
        <v>3.4072541567565535</v>
      </c>
      <c r="F38" s="1">
        <f t="shared" si="4"/>
        <v>20</v>
      </c>
      <c r="G38" s="1">
        <f t="shared" ca="1" si="5"/>
        <v>22.458388896415908</v>
      </c>
      <c r="H38" s="1">
        <f t="shared" ca="1" si="6"/>
        <v>12</v>
      </c>
      <c r="I38" s="1" cm="1">
        <f t="array" ref="I38">COUNT(_xlfn._xlws.FILTER($J$7:$J$10000,($L$7:$L$10000=B38)*($M$7:$M$10000&lt;&gt;"NULL")*($J$7:$J$10000 &gt;= ($G$1-4))))/5</f>
        <v>0.6</v>
      </c>
      <c r="J38" s="65">
        <v>4</v>
      </c>
      <c r="K38" t="s">
        <v>13</v>
      </c>
      <c r="L38" t="s">
        <v>49</v>
      </c>
      <c r="M38">
        <v>4.7</v>
      </c>
      <c r="N38" t="s">
        <v>3</v>
      </c>
      <c r="O38" t="s">
        <v>36</v>
      </c>
      <c r="P38">
        <f t="shared" si="1"/>
        <v>9.7498254165445282</v>
      </c>
      <c r="Q38">
        <f t="shared" si="2"/>
        <v>25.500736737579114</v>
      </c>
      <c r="R38" s="67" cm="1">
        <f t="array" ref="R38">SUMPRODUCT((J38=$J$7:$J$1000)*(P38&lt;$P$7:$P$1000))+1</f>
        <v>1</v>
      </c>
      <c r="S38" s="72"/>
      <c r="T38">
        <v>14</v>
      </c>
      <c r="U38" t="str">
        <v>LA</v>
      </c>
      <c r="V38" t="str">
        <v>Gonzalo Bertranou</v>
      </c>
      <c r="W38" t="str">
        <v>NULL</v>
      </c>
      <c r="X38" t="str">
        <v>Away</v>
      </c>
      <c r="Y38" t="str">
        <v>CHI</v>
      </c>
      <c r="Z38">
        <v>8.3943189487357781</v>
      </c>
      <c r="AA38" s="1"/>
      <c r="AB38" s="1" cm="1">
        <f t="array" ref="AB38">COUNT(_xlfn._xlws.FILTER($J$7:$J$10000,($L$7:$L$10000=AA38)*($M$7:$M$10000&lt;&gt;"NULL")*($J$7:$J$10000 &gt;= ($G$1-5))))/5</f>
        <v>0</v>
      </c>
    </row>
    <row r="39" spans="1:28" x14ac:dyDescent="0.35">
      <c r="A39">
        <f>VLOOKUP($B39, PlayerIDs!$A$1:$B$516, 2, FALSE)</f>
        <v>272</v>
      </c>
      <c r="B39" t="s">
        <v>125</v>
      </c>
      <c r="C39" s="1">
        <v>4.286117407491786</v>
      </c>
      <c r="D39" s="1">
        <f t="shared" si="3"/>
        <v>20</v>
      </c>
      <c r="E39" s="1" cm="1">
        <f t="array" ref="E39">IFERROR(VLOOKUP($B39,_xlfn._xlws.FILTER($L$7:$P$10000,$J$7:$J$10000=G$1+1),5, FALSE), 0)</f>
        <v>2.9602133156575601</v>
      </c>
      <c r="F39" s="1">
        <f t="shared" si="4"/>
        <v>22</v>
      </c>
      <c r="G39" s="1">
        <f t="shared" ca="1" si="5"/>
        <v>11.27939946974687</v>
      </c>
      <c r="H39" s="1">
        <f t="shared" ca="1" si="6"/>
        <v>21</v>
      </c>
      <c r="I39" s="1" cm="1">
        <f t="array" ref="I39">COUNT(_xlfn._xlws.FILTER($J$7:$J$10000,($L$7:$L$10000=B39)*($M$7:$M$10000&lt;&gt;"NULL")*($J$7:$J$10000 &gt;= ($G$1-4))))/5</f>
        <v>0.4</v>
      </c>
      <c r="J39" s="65">
        <v>4</v>
      </c>
      <c r="K39" t="s">
        <v>23</v>
      </c>
      <c r="L39" t="s">
        <v>515</v>
      </c>
      <c r="M39">
        <v>4.4000000000000004</v>
      </c>
      <c r="N39" t="s">
        <v>9</v>
      </c>
      <c r="O39" t="s">
        <v>17</v>
      </c>
      <c r="P39">
        <f t="shared" si="1"/>
        <v>3.3777485132691618</v>
      </c>
      <c r="Q39">
        <f t="shared" si="2"/>
        <v>1.0449981021234098</v>
      </c>
      <c r="R39" s="67" cm="1">
        <f t="array" ref="R39">SUMPRODUCT((J39=$J$7:$J$1000)*(P39&lt;$P$7:$P$1000))+1</f>
        <v>8</v>
      </c>
      <c r="S39" s="72"/>
      <c r="T39">
        <v>14</v>
      </c>
      <c r="U39" t="str">
        <v>LA</v>
      </c>
      <c r="V39" t="str">
        <v>Tas Smith</v>
      </c>
      <c r="W39" t="str">
        <v>NULL</v>
      </c>
      <c r="X39" t="str">
        <v>Away</v>
      </c>
      <c r="Y39" t="str">
        <v>CHI</v>
      </c>
      <c r="Z39">
        <v>6.891851149337425</v>
      </c>
      <c r="AA39" s="1"/>
      <c r="AB39" s="1" cm="1">
        <f t="array" ref="AB39">COUNT(_xlfn._xlws.FILTER($J$7:$J$10000,($L$7:$L$10000=AA39)*($M$7:$M$10000&lt;&gt;"NULL")*($J$7:$J$10000 &gt;= ($G$1-5))))/5</f>
        <v>0</v>
      </c>
    </row>
    <row r="40" spans="1:28" x14ac:dyDescent="0.35">
      <c r="A40">
        <f>VLOOKUP($B40, PlayerIDs!$A$1:$B$516, 2, FALSE)</f>
        <v>857</v>
      </c>
      <c r="B40" t="s">
        <v>515</v>
      </c>
      <c r="C40" s="1">
        <v>3.7970579992588767</v>
      </c>
      <c r="D40" s="1">
        <f t="shared" si="3"/>
        <v>21</v>
      </c>
      <c r="E40" s="1" cm="1">
        <f t="array" ref="E40">IFERROR(VLOOKUP($B40,_xlfn._xlws.FILTER($L$7:$P$10000,$J$7:$J$10000=G$1+1),5, FALSE), 0)</f>
        <v>3.2948808511329783</v>
      </c>
      <c r="F40" s="1">
        <f t="shared" si="4"/>
        <v>21</v>
      </c>
      <c r="G40" s="1">
        <f t="shared" ca="1" si="5"/>
        <v>9.1326230278673908</v>
      </c>
      <c r="H40" s="1">
        <f t="shared" ca="1" si="6"/>
        <v>24</v>
      </c>
      <c r="I40" s="1" cm="1">
        <f t="array" ref="I40">COUNT(_xlfn._xlws.FILTER($J$7:$J$10000,($L$7:$L$10000=B40)*($M$7:$M$10000&lt;&gt;"NULL")*($J$7:$J$10000 &gt;= ($G$1-4))))/5</f>
        <v>0.2</v>
      </c>
      <c r="J40" s="65">
        <v>4</v>
      </c>
      <c r="K40" t="s">
        <v>36</v>
      </c>
      <c r="L40" t="s">
        <v>516</v>
      </c>
      <c r="M40">
        <v>4</v>
      </c>
      <c r="N40" t="s">
        <v>9</v>
      </c>
      <c r="O40" t="s">
        <v>13</v>
      </c>
      <c r="P40">
        <f t="shared" si="1"/>
        <v>5.6391321917655155</v>
      </c>
      <c r="Q40">
        <f t="shared" si="2"/>
        <v>2.6867543420820228</v>
      </c>
      <c r="R40" s="67" cm="1">
        <f t="array" ref="R40">SUMPRODUCT((J40=$J$7:$J$1000)*(P40&lt;$P$7:$P$1000))+1</f>
        <v>6</v>
      </c>
      <c r="S40" s="72"/>
      <c r="T40">
        <v>14</v>
      </c>
      <c r="U40" t="str">
        <v>MIA</v>
      </c>
      <c r="V40" t="str">
        <v>Tomás Cubelli</v>
      </c>
      <c r="W40" t="str">
        <v>NULL</v>
      </c>
      <c r="X40" t="str">
        <v>Home</v>
      </c>
      <c r="Y40" t="str">
        <v>NEFJ</v>
      </c>
      <c r="Z40">
        <v>6.2877521553162792</v>
      </c>
      <c r="AA40" s="1"/>
      <c r="AB40" s="1" cm="1">
        <f t="array" ref="AB40">COUNT(_xlfn._xlws.FILTER($J$7:$J$10000,($L$7:$L$10000=AA40)*($M$7:$M$10000&lt;&gt;"NULL")*($J$7:$J$10000 &gt;= ($G$1-5))))/5</f>
        <v>0</v>
      </c>
    </row>
    <row r="41" spans="1:28" x14ac:dyDescent="0.35">
      <c r="A41">
        <f>VLOOKUP($B41, PlayerIDs!$A$1:$B$516, 2, FALSE)</f>
        <v>231</v>
      </c>
      <c r="B41" t="s">
        <v>81</v>
      </c>
      <c r="C41" s="1">
        <v>3.5870447790243354</v>
      </c>
      <c r="D41" s="1">
        <f t="shared" si="3"/>
        <v>22</v>
      </c>
      <c r="E41" s="1" cm="1">
        <f t="array" ref="E41">IFERROR(VLOOKUP($B41,_xlfn._xlws.FILTER($L$7:$P$10000,$J$7:$J$10000=G$1+1),5, FALSE), 0)</f>
        <v>3.8361732662559711</v>
      </c>
      <c r="F41" s="1">
        <f t="shared" si="4"/>
        <v>18</v>
      </c>
      <c r="G41" s="1">
        <f t="shared" ca="1" si="5"/>
        <v>14.466369735638352</v>
      </c>
      <c r="H41" s="1">
        <f t="shared" ca="1" si="6"/>
        <v>18</v>
      </c>
      <c r="I41" s="1" cm="1">
        <f t="array" ref="I41">COUNT(_xlfn._xlws.FILTER($J$7:$J$10000,($L$7:$L$10000=B41)*($M$7:$M$10000&lt;&gt;"NULL")*($J$7:$J$10000 &gt;= ($G$1-4))))/5</f>
        <v>1</v>
      </c>
      <c r="J41" s="65">
        <v>4</v>
      </c>
      <c r="K41" t="s">
        <v>17</v>
      </c>
      <c r="L41" t="s">
        <v>81</v>
      </c>
      <c r="M41">
        <v>2.9</v>
      </c>
      <c r="N41" t="s">
        <v>3</v>
      </c>
      <c r="O41" t="s">
        <v>23</v>
      </c>
      <c r="P41">
        <f t="shared" si="1"/>
        <v>1.8699921159590287</v>
      </c>
      <c r="Q41">
        <f t="shared" si="2"/>
        <v>1.0609162411865587</v>
      </c>
      <c r="R41" s="67" cm="1">
        <f t="array" ref="R41">SUMPRODUCT((J41=$J$7:$J$1000)*(P41&lt;$P$7:$P$1000))+1</f>
        <v>9</v>
      </c>
      <c r="S41" s="72"/>
      <c r="T41">
        <v>14</v>
      </c>
      <c r="U41" t="str">
        <v>MIA</v>
      </c>
      <c r="V41" t="str">
        <v>Tomás Inciarte</v>
      </c>
      <c r="W41" t="str">
        <v>NULL</v>
      </c>
      <c r="X41" t="str">
        <v>Home</v>
      </c>
      <c r="Y41" t="str">
        <v>NEFJ</v>
      </c>
      <c r="Z41">
        <v>6.6306608708758148</v>
      </c>
      <c r="AA41" s="1"/>
      <c r="AB41" s="1" cm="1">
        <f t="array" ref="AB41">COUNT(_xlfn._xlws.FILTER($J$7:$J$10000,($L$7:$L$10000=AA41)*($M$7:$M$10000&lt;&gt;"NULL")*($J$7:$J$10000 &gt;= ($G$1-5))))/5</f>
        <v>0</v>
      </c>
    </row>
    <row r="42" spans="1:28" x14ac:dyDescent="0.35">
      <c r="A42">
        <f>VLOOKUP($B42, PlayerIDs!$A$1:$B$516, 2, FALSE)</f>
        <v>628</v>
      </c>
      <c r="B42" t="s">
        <v>133</v>
      </c>
      <c r="C42" s="1">
        <v>3.3487136509229374</v>
      </c>
      <c r="D42" s="1">
        <f t="shared" si="3"/>
        <v>23</v>
      </c>
      <c r="E42" s="1" cm="1">
        <f t="array" ref="E42">IFERROR(VLOOKUP($B42,_xlfn._xlws.FILTER($L$7:$P$10000,$J$7:$J$10000=G$1+1),5, FALSE), 0)</f>
        <v>2.8465365027970391</v>
      </c>
      <c r="F42" s="1">
        <f t="shared" si="4"/>
        <v>23</v>
      </c>
      <c r="G42" s="1">
        <f t="shared" ca="1" si="5"/>
        <v>7.3392456345236328</v>
      </c>
      <c r="H42" s="1">
        <f t="shared" ca="1" si="6"/>
        <v>25</v>
      </c>
      <c r="I42" s="1" cm="1">
        <f t="array" ref="I42">COUNT(_xlfn._xlws.FILTER($J$7:$J$10000,($L$7:$L$10000=B42)*($M$7:$M$10000&lt;&gt;"NULL")*($J$7:$J$10000 &gt;= ($G$1-4))))/5</f>
        <v>0.6</v>
      </c>
      <c r="J42" s="65">
        <v>4</v>
      </c>
      <c r="K42" t="s">
        <v>2</v>
      </c>
      <c r="L42" t="s">
        <v>441</v>
      </c>
      <c r="M42">
        <v>2.6</v>
      </c>
      <c r="N42" t="s">
        <v>9</v>
      </c>
      <c r="O42" t="s">
        <v>24</v>
      </c>
      <c r="P42">
        <f t="shared" si="1"/>
        <v>3.7984027279876349</v>
      </c>
      <c r="Q42">
        <f t="shared" si="2"/>
        <v>1.436169098448205</v>
      </c>
      <c r="R42" s="67" cm="1">
        <f t="array" ref="R42">SUMPRODUCT((J42=$J$7:$J$1000)*(P42&lt;$P$7:$P$1000))+1</f>
        <v>7</v>
      </c>
      <c r="S42" s="72"/>
      <c r="T42">
        <v>14</v>
      </c>
      <c r="U42" t="str">
        <v>NEFJ</v>
      </c>
      <c r="V42" t="str">
        <v>Cam Nordli-Kelemeti</v>
      </c>
      <c r="W42" t="str">
        <v>NULL</v>
      </c>
      <c r="X42" t="str">
        <v>Away</v>
      </c>
      <c r="Y42" t="str">
        <v>MIA</v>
      </c>
      <c r="Z42">
        <v>2.5248548944871443</v>
      </c>
      <c r="AA42" s="1"/>
      <c r="AB42" s="1" cm="1">
        <f t="array" ref="AB42">COUNT(_xlfn._xlws.FILTER($J$7:$J$10000,($L$7:$L$10000=AA42)*($M$7:$M$10000&lt;&gt;"NULL")*($J$7:$J$10000 &gt;= ($G$1-5))))/5</f>
        <v>0</v>
      </c>
    </row>
    <row r="43" spans="1:28" x14ac:dyDescent="0.35">
      <c r="A43">
        <f>VLOOKUP($B43, PlayerIDs!$A$1:$B$516, 2, FALSE)</f>
        <v>80</v>
      </c>
      <c r="B43" t="s">
        <v>126</v>
      </c>
      <c r="C43" s="1">
        <v>2.5490220404754544</v>
      </c>
      <c r="D43" s="1">
        <f t="shared" si="3"/>
        <v>24</v>
      </c>
      <c r="E43" s="1" cm="1">
        <f t="array" ref="E43">IFERROR(VLOOKUP($B43,_xlfn._xlws.FILTER($L$7:$P$10000,$J$7:$J$10000=G$1+1),5, FALSE), 0)</f>
        <v>0</v>
      </c>
      <c r="F43" s="1">
        <f t="shared" si="4"/>
        <v>24</v>
      </c>
      <c r="G43" s="1">
        <f t="shared" ca="1" si="5"/>
        <v>10.015529608157241</v>
      </c>
      <c r="H43" s="1">
        <f t="shared" ca="1" si="6"/>
        <v>22</v>
      </c>
      <c r="I43" s="1" cm="1">
        <f t="array" ref="I43">COUNT(_xlfn._xlws.FILTER($J$7:$J$10000,($L$7:$L$10000=B43)*($M$7:$M$10000&lt;&gt;"NULL")*($J$7:$J$10000 &gt;= ($G$1-4))))/5</f>
        <v>0.8</v>
      </c>
      <c r="J43" s="65">
        <v>4</v>
      </c>
      <c r="K43" t="s">
        <v>34</v>
      </c>
      <c r="L43" t="s">
        <v>440</v>
      </c>
      <c r="M43">
        <v>1.6</v>
      </c>
      <c r="N43" t="s">
        <v>3</v>
      </c>
      <c r="O43" t="s">
        <v>6</v>
      </c>
      <c r="P43">
        <f t="shared" si="1"/>
        <v>5.6610985913470824</v>
      </c>
      <c r="Q43">
        <f t="shared" si="2"/>
        <v>16.492521768641261</v>
      </c>
      <c r="R43" s="67" cm="1">
        <f t="array" ref="R43">SUMPRODUCT((J43=$J$7:$J$1000)*(P43&lt;$P$7:$P$1000))+1</f>
        <v>5</v>
      </c>
      <c r="S43" s="72"/>
      <c r="T43">
        <v>14</v>
      </c>
      <c r="U43" t="str">
        <v>NEFJ</v>
      </c>
      <c r="V43" t="str">
        <v>John Poland</v>
      </c>
      <c r="W43" t="str">
        <v>NULL</v>
      </c>
      <c r="X43" t="str">
        <v>Away</v>
      </c>
      <c r="Y43" t="str">
        <v>MIA</v>
      </c>
      <c r="Z43">
        <v>4.1603873257950958</v>
      </c>
      <c r="AA43" s="1"/>
      <c r="AB43" s="1" cm="1">
        <f t="array" ref="AB43">COUNT(_xlfn._xlws.FILTER($J$7:$J$10000,($L$7:$L$10000=AA43)*($M$7:$M$10000&lt;&gt;"NULL")*($J$7:$J$10000 &gt;= ($G$1-5))))/5</f>
        <v>0</v>
      </c>
    </row>
    <row r="44" spans="1:28" x14ac:dyDescent="0.35">
      <c r="A44">
        <f>VLOOKUP($B44, PlayerIDs!$A$1:$B$516, 2, FALSE)</f>
        <v>646</v>
      </c>
      <c r="B44" t="s">
        <v>131</v>
      </c>
      <c r="C44" s="1">
        <v>2.4307337384756096</v>
      </c>
      <c r="D44" s="1">
        <f t="shared" si="3"/>
        <v>25</v>
      </c>
      <c r="E44" s="1" cm="1">
        <f t="array" ref="E44">IFERROR(VLOOKUP($B44,_xlfn._xlws.FILTER($L$7:$P$10000,$J$7:$J$10000=G$1+1),5, FALSE), 0)</f>
        <v>0</v>
      </c>
      <c r="F44" s="1">
        <f t="shared" si="4"/>
        <v>24</v>
      </c>
      <c r="G44" s="1">
        <f t="shared" ca="1" si="5"/>
        <v>9.660664702157705</v>
      </c>
      <c r="H44" s="1">
        <f t="shared" ca="1" si="6"/>
        <v>23</v>
      </c>
      <c r="I44" s="1" cm="1">
        <f t="array" ref="I44">COUNT(_xlfn._xlws.FILTER($J$7:$J$10000,($L$7:$L$10000=B44)*($M$7:$M$10000&lt;&gt;"NULL")*($J$7:$J$10000 &gt;= ($G$1-4))))/5</f>
        <v>0.2</v>
      </c>
      <c r="J44" s="65">
        <v>4</v>
      </c>
      <c r="K44" t="s">
        <v>14</v>
      </c>
      <c r="L44" t="s">
        <v>438</v>
      </c>
      <c r="M44">
        <v>0.1</v>
      </c>
      <c r="N44" t="s">
        <v>9</v>
      </c>
      <c r="O44" t="s">
        <v>7</v>
      </c>
      <c r="P44">
        <f t="shared" si="1"/>
        <v>1.7214574794425643</v>
      </c>
      <c r="Q44">
        <f t="shared" si="2"/>
        <v>2.6291243576402334</v>
      </c>
      <c r="R44" s="67" cm="1">
        <f t="array" ref="R44">SUMPRODUCT((J44=$J$7:$J$1000)*(P44&lt;$P$7:$P$1000))+1</f>
        <v>10</v>
      </c>
      <c r="S44" s="72"/>
      <c r="T44">
        <v>14</v>
      </c>
      <c r="U44" t="str">
        <v>NEFJ</v>
      </c>
      <c r="V44" t="str">
        <v>Oscar Lennon</v>
      </c>
      <c r="W44" t="str">
        <v>NULL</v>
      </c>
      <c r="X44" t="str">
        <v>Away</v>
      </c>
      <c r="Y44" t="str">
        <v>MIA</v>
      </c>
      <c r="Z44">
        <v>2.9731992428230836</v>
      </c>
      <c r="AA44" s="1"/>
      <c r="AB44" s="1" cm="1">
        <f t="array" ref="AB44">COUNT(_xlfn._xlws.FILTER($J$7:$J$10000,($L$7:$L$10000=AA44)*($M$7:$M$10000&lt;&gt;"NULL")*($J$7:$J$10000 &gt;= ($G$1-5))))/5</f>
        <v>0</v>
      </c>
    </row>
    <row r="45" spans="1:28" x14ac:dyDescent="0.35">
      <c r="C45" s="1"/>
      <c r="D45" s="1"/>
      <c r="E45" s="1"/>
      <c r="F45" s="1"/>
      <c r="G45" s="1"/>
      <c r="H45" s="1"/>
      <c r="J45" s="65">
        <v>5</v>
      </c>
      <c r="K45" t="s">
        <v>13</v>
      </c>
      <c r="L45" t="s">
        <v>49</v>
      </c>
      <c r="M45">
        <v>18.7</v>
      </c>
      <c r="N45" t="s">
        <v>9</v>
      </c>
      <c r="O45" t="s">
        <v>24</v>
      </c>
      <c r="P45">
        <f t="shared" si="1"/>
        <v>8.0524553296711421</v>
      </c>
      <c r="Q45">
        <f t="shared" ref="Q45:Q62" si="7">IFERROR(($M45-$P45)^2,"")</f>
        <v>113.37020750664846</v>
      </c>
      <c r="R45" s="67" cm="1">
        <f t="array" ref="R45">SUMPRODUCT((J45=$J$7:$J$1000)*(P45&lt;$P$7:$P$1000))+1</f>
        <v>1</v>
      </c>
      <c r="S45" s="72"/>
      <c r="T45">
        <v>14</v>
      </c>
      <c r="U45" t="str">
        <v>OGDC</v>
      </c>
      <c r="V45" t="str">
        <v>Connor Buckley</v>
      </c>
      <c r="W45" t="str">
        <v>NULL</v>
      </c>
      <c r="X45" t="str">
        <v>Away</v>
      </c>
      <c r="Y45" t="str">
        <v>ARC</v>
      </c>
      <c r="Z45">
        <v>7.6865829045362872</v>
      </c>
      <c r="AA45" s="1"/>
      <c r="AB45" s="1" cm="1">
        <f t="array" ref="AB45">COUNT(_xlfn._xlws.FILTER($J$7:$J$10000,($L$7:$L$10000=AA45)*($M$7:$M$10000&lt;&gt;"NULL")*($J$7:$J$10000 &gt;= ($G$1-5))))/5</f>
        <v>0</v>
      </c>
    </row>
    <row r="46" spans="1:28" x14ac:dyDescent="0.35">
      <c r="C46" s="1"/>
      <c r="D46" s="1"/>
      <c r="E46" s="1"/>
      <c r="F46" s="1"/>
      <c r="G46" s="1"/>
      <c r="H46" s="1"/>
      <c r="J46" s="65">
        <v>5</v>
      </c>
      <c r="K46" t="s">
        <v>6</v>
      </c>
      <c r="L46" t="s">
        <v>437</v>
      </c>
      <c r="M46">
        <v>12.3</v>
      </c>
      <c r="N46" t="s">
        <v>3</v>
      </c>
      <c r="O46" t="s">
        <v>17</v>
      </c>
      <c r="P46">
        <f t="shared" si="1"/>
        <v>7.4730959400750985</v>
      </c>
      <c r="Q46">
        <f t="shared" si="7"/>
        <v>23.299002803719503</v>
      </c>
      <c r="R46" s="67" cm="1">
        <f t="array" ref="R46">SUMPRODUCT((J46=$J$7:$J$1000)*(P46&lt;$P$7:$P$1000))+1</f>
        <v>3</v>
      </c>
      <c r="S46" s="72"/>
      <c r="T46">
        <v>14</v>
      </c>
      <c r="U46" t="str">
        <v>OGDC</v>
      </c>
      <c r="V46" t="str">
        <v>Ethan McVeigh</v>
      </c>
      <c r="W46" t="str">
        <v>NULL</v>
      </c>
      <c r="X46" t="str">
        <v>Away</v>
      </c>
      <c r="Y46" t="str">
        <v>ARC</v>
      </c>
      <c r="Z46">
        <v>7.5682946025364419</v>
      </c>
      <c r="AA46" s="1"/>
      <c r="AB46" s="1" cm="1">
        <f t="array" ref="AB46">COUNT(_xlfn._xlws.FILTER($J$7:$J$10000,($L$7:$L$10000=AA46)*($M$7:$M$10000&lt;&gt;"NULL")*($J$7:$J$10000 &gt;= ($G$1-5))))/5</f>
        <v>0</v>
      </c>
    </row>
    <row r="47" spans="1:28" x14ac:dyDescent="0.35">
      <c r="C47" s="1"/>
      <c r="D47" s="1"/>
      <c r="E47" s="1"/>
      <c r="F47" s="1"/>
      <c r="G47" s="1"/>
      <c r="H47" s="1"/>
      <c r="J47" s="65">
        <v>5</v>
      </c>
      <c r="K47" t="s">
        <v>24</v>
      </c>
      <c r="L47" t="s">
        <v>439</v>
      </c>
      <c r="M47">
        <v>6.4</v>
      </c>
      <c r="N47" t="s">
        <v>3</v>
      </c>
      <c r="O47" t="s">
        <v>13</v>
      </c>
      <c r="P47">
        <f t="shared" si="1"/>
        <v>7.7518879702147894</v>
      </c>
      <c r="Q47">
        <f t="shared" si="7"/>
        <v>1.8276010840114623</v>
      </c>
      <c r="R47" s="67" cm="1">
        <f t="array" ref="R47">SUMPRODUCT((J47=$J$7:$J$1000)*(P47&lt;$P$7:$P$1000))+1</f>
        <v>2</v>
      </c>
      <c r="S47" s="72"/>
      <c r="T47">
        <v>14</v>
      </c>
      <c r="U47" t="str">
        <v>SDL</v>
      </c>
      <c r="V47" t="str">
        <v>Connor Tupai</v>
      </c>
      <c r="W47" t="str">
        <v>NULL</v>
      </c>
      <c r="X47" t="str">
        <v>Away</v>
      </c>
      <c r="Y47" t="str">
        <v>SEA</v>
      </c>
      <c r="Z47">
        <v>9.373341563629161</v>
      </c>
      <c r="AA47" s="1"/>
      <c r="AB47" s="1" cm="1">
        <f t="array" ref="AB47">COUNT(_xlfn._xlws.FILTER($J$7:$J$10000,($L$7:$L$10000=AA47)*($M$7:$M$10000&lt;&gt;"NULL")*($J$7:$J$10000 &gt;= ($G$1-5))))/5</f>
        <v>0</v>
      </c>
    </row>
    <row r="48" spans="1:28" x14ac:dyDescent="0.35">
      <c r="C48" s="1"/>
      <c r="D48" s="1"/>
      <c r="E48" s="1"/>
      <c r="F48" s="1"/>
      <c r="G48" s="1"/>
      <c r="H48" s="1"/>
      <c r="J48" s="65">
        <v>5</v>
      </c>
      <c r="K48" t="s">
        <v>23</v>
      </c>
      <c r="L48" t="s">
        <v>515</v>
      </c>
      <c r="M48">
        <v>5</v>
      </c>
      <c r="N48" t="s">
        <v>3</v>
      </c>
      <c r="O48" t="s">
        <v>4</v>
      </c>
      <c r="P48">
        <f t="shared" si="1"/>
        <v>5.3979374712501986</v>
      </c>
      <c r="Q48">
        <f t="shared" si="7"/>
        <v>0.15835423102500265</v>
      </c>
      <c r="R48" s="67" cm="1">
        <f t="array" ref="R48">SUMPRODUCT((J48=$J$7:$J$1000)*(P48&lt;$P$7:$P$1000))+1</f>
        <v>4</v>
      </c>
      <c r="S48" s="72"/>
      <c r="T48">
        <v>14</v>
      </c>
      <c r="U48" t="str">
        <v>SDL</v>
      </c>
      <c r="V48" t="str">
        <v>Richard Judd</v>
      </c>
      <c r="W48" t="str">
        <v>NULL</v>
      </c>
      <c r="X48" t="str">
        <v>Away</v>
      </c>
      <c r="Y48" t="str">
        <v>SEA</v>
      </c>
      <c r="Z48">
        <v>6.7958791550204491</v>
      </c>
      <c r="AA48" s="1"/>
      <c r="AB48" s="1" cm="1">
        <f t="array" ref="AB48">COUNT(_xlfn._xlws.FILTER($J$7:$J$10000,($L$7:$L$10000=AA48)*($M$7:$M$10000&lt;&gt;"NULL")*($J$7:$J$10000 &gt;= ($G$1-5))))/5</f>
        <v>0</v>
      </c>
    </row>
    <row r="49" spans="3:28" x14ac:dyDescent="0.35">
      <c r="C49" s="1"/>
      <c r="D49" s="1"/>
      <c r="E49" s="1"/>
      <c r="F49" s="1"/>
      <c r="G49" s="1"/>
      <c r="H49" s="1"/>
      <c r="J49" s="65">
        <v>5</v>
      </c>
      <c r="K49" t="s">
        <v>17</v>
      </c>
      <c r="L49" t="s">
        <v>81</v>
      </c>
      <c r="M49">
        <v>4.5999999999999996</v>
      </c>
      <c r="N49" t="s">
        <v>9</v>
      </c>
      <c r="O49" t="s">
        <v>6</v>
      </c>
      <c r="P49">
        <f t="shared" si="1"/>
        <v>2.5350000647596866</v>
      </c>
      <c r="Q49">
        <f t="shared" si="7"/>
        <v>4.2642247325424965</v>
      </c>
      <c r="R49" s="67" cm="1">
        <f t="array" ref="R49">SUMPRODUCT((J49=$J$7:$J$1000)*(P49&lt;$P$7:$P$1000))+1</f>
        <v>7</v>
      </c>
      <c r="S49" s="72"/>
      <c r="T49">
        <v>14</v>
      </c>
      <c r="U49" t="str">
        <v>SEA</v>
      </c>
      <c r="V49" t="str">
        <v>JP Smith</v>
      </c>
      <c r="W49" t="str">
        <v>NULL</v>
      </c>
      <c r="X49" t="str">
        <v>Home</v>
      </c>
      <c r="Y49" t="str">
        <v>SDL</v>
      </c>
      <c r="Z49">
        <v>3.7976029085629937</v>
      </c>
      <c r="AA49" s="1"/>
      <c r="AB49" s="1" cm="1">
        <f t="array" ref="AB49">COUNT(_xlfn._xlws.FILTER($J$7:$J$10000,($L$7:$L$10000=AA49)*($M$7:$M$10000&lt;&gt;"NULL")*($J$7:$J$10000 &gt;= ($G$1-5))))/5</f>
        <v>0</v>
      </c>
    </row>
    <row r="50" spans="3:28" x14ac:dyDescent="0.35">
      <c r="C50" s="1"/>
      <c r="D50" s="1"/>
      <c r="E50" s="1"/>
      <c r="F50" s="1"/>
      <c r="G50" s="1"/>
      <c r="H50" s="1"/>
      <c r="J50" s="65">
        <v>5</v>
      </c>
      <c r="K50" t="s">
        <v>7</v>
      </c>
      <c r="L50" t="s">
        <v>126</v>
      </c>
      <c r="M50">
        <v>2.7</v>
      </c>
      <c r="N50" t="s">
        <v>9</v>
      </c>
      <c r="O50" t="s">
        <v>2</v>
      </c>
      <c r="P50">
        <f t="shared" si="1"/>
        <v>2.5488902277479886</v>
      </c>
      <c r="Q50">
        <f t="shared" si="7"/>
        <v>2.2834163270054816E-2</v>
      </c>
      <c r="R50" s="67" cm="1">
        <f t="array" ref="R50">SUMPRODUCT((J50=$J$7:$J$1000)*(P50&lt;$P$7:$P$1000))+1</f>
        <v>6</v>
      </c>
      <c r="S50" s="72"/>
      <c r="T50">
        <v>14</v>
      </c>
      <c r="U50" t="str">
        <v>UTAH</v>
      </c>
      <c r="V50" t="str">
        <v>Logan Crowley</v>
      </c>
      <c r="W50" t="str">
        <v>NULL</v>
      </c>
      <c r="X50" t="str">
        <v>Away</v>
      </c>
      <c r="Y50" t="str">
        <v>HOU</v>
      </c>
      <c r="Z50">
        <v>6.9780110423719286</v>
      </c>
      <c r="AA50" s="1"/>
      <c r="AB50" s="1" cm="1">
        <f t="array" ref="AB50">COUNT(_xlfn._xlws.FILTER($J$7:$J$10000,($L$7:$L$10000=AA50)*($M$7:$M$10000&lt;&gt;"NULL")*($J$7:$J$10000 &gt;= ($G$1-5))))/5</f>
        <v>0</v>
      </c>
    </row>
    <row r="51" spans="3:28" x14ac:dyDescent="0.35">
      <c r="C51" s="1"/>
      <c r="D51" s="1"/>
      <c r="E51" s="1"/>
      <c r="F51" s="1"/>
      <c r="G51" s="1"/>
      <c r="H51" s="1"/>
      <c r="J51" s="65">
        <v>5</v>
      </c>
      <c r="K51" t="s">
        <v>2</v>
      </c>
      <c r="L51" t="s">
        <v>441</v>
      </c>
      <c r="M51">
        <v>2.4</v>
      </c>
      <c r="N51" t="s">
        <v>3</v>
      </c>
      <c r="O51" t="s">
        <v>7</v>
      </c>
      <c r="P51">
        <f t="shared" si="1"/>
        <v>0.81404324120514948</v>
      </c>
      <c r="Q51">
        <f t="shared" si="7"/>
        <v>2.5152588407670673</v>
      </c>
      <c r="R51" s="67" cm="1">
        <f t="array" ref="R51">SUMPRODUCT((J51=$J$7:$J$1000)*(P51&lt;$P$7:$P$1000))+1</f>
        <v>8</v>
      </c>
      <c r="S51" s="72"/>
      <c r="T51">
        <v>14</v>
      </c>
      <c r="U51" t="str">
        <v>UTAH</v>
      </c>
      <c r="V51" t="str">
        <v>Zion Going</v>
      </c>
      <c r="W51" t="str">
        <v>NULL</v>
      </c>
      <c r="X51" t="str">
        <v>Away</v>
      </c>
      <c r="Y51" t="str">
        <v>HOU</v>
      </c>
      <c r="Z51">
        <v>10.25187075194296</v>
      </c>
      <c r="AA51" s="1"/>
      <c r="AB51" s="1" cm="1">
        <f t="array" ref="AB51">COUNT(_xlfn._xlws.FILTER($J$7:$J$10000,($L$7:$L$10000=AA51)*($M$7:$M$10000&lt;&gt;"NULL")*($J$7:$J$10000 &gt;= ($G$1-5))))/5</f>
        <v>0</v>
      </c>
    </row>
    <row r="52" spans="3:28" x14ac:dyDescent="0.35">
      <c r="C52" s="1"/>
      <c r="D52" s="1"/>
      <c r="E52" s="1"/>
      <c r="F52" s="1"/>
      <c r="G52" s="1"/>
      <c r="H52" s="1"/>
      <c r="J52" s="65">
        <v>5</v>
      </c>
      <c r="K52" t="s">
        <v>4</v>
      </c>
      <c r="L52" t="s">
        <v>489</v>
      </c>
      <c r="M52">
        <v>0.3</v>
      </c>
      <c r="N52" t="s">
        <v>9</v>
      </c>
      <c r="O52" t="s">
        <v>23</v>
      </c>
      <c r="P52">
        <f t="shared" si="1"/>
        <v>3.8128645262220751</v>
      </c>
      <c r="Q52">
        <f t="shared" si="7"/>
        <v>12.340217179589445</v>
      </c>
      <c r="R52" s="67" cm="1">
        <f t="array" ref="R52">SUMPRODUCT((J52=$J$7:$J$1000)*(P52&lt;$P$7:$P$1000))+1</f>
        <v>5</v>
      </c>
      <c r="S52" s="72"/>
      <c r="T52">
        <v>15</v>
      </c>
      <c r="U52" t="str">
        <v>ARC</v>
      </c>
      <c r="V52" t="str">
        <v>Carlo de Nysschen</v>
      </c>
      <c r="W52" t="str">
        <v>NULL</v>
      </c>
      <c r="X52" t="str">
        <v>Home</v>
      </c>
      <c r="Y52" t="str">
        <v>CHI</v>
      </c>
      <c r="Z52">
        <v>5.8466821699561251</v>
      </c>
      <c r="AA52" s="1"/>
      <c r="AB52" s="1" cm="1">
        <f t="array" ref="AB52">COUNT(_xlfn._xlws.FILTER($J$7:$J$10000,($L$7:$L$10000=AA52)*($M$7:$M$10000&lt;&gt;"NULL")*($J$7:$J$10000 &gt;= ($G$1-5))))/5</f>
        <v>0</v>
      </c>
    </row>
    <row r="53" spans="3:28" x14ac:dyDescent="0.35">
      <c r="C53" s="1"/>
      <c r="D53" s="1"/>
      <c r="E53" s="1"/>
      <c r="F53" s="1"/>
      <c r="G53" s="1"/>
      <c r="H53" s="1"/>
      <c r="J53" s="65">
        <v>6</v>
      </c>
      <c r="K53" t="s">
        <v>36</v>
      </c>
      <c r="L53" t="s">
        <v>573</v>
      </c>
      <c r="M53">
        <v>18.600000000000001</v>
      </c>
      <c r="N53" t="s">
        <v>9</v>
      </c>
      <c r="O53" t="s">
        <v>14</v>
      </c>
      <c r="P53">
        <f t="shared" si="1"/>
        <v>18.601728766164037</v>
      </c>
      <c r="Q53">
        <f t="shared" si="7"/>
        <v>2.9886324499132501E-6</v>
      </c>
      <c r="R53" s="67" cm="1">
        <f t="array" ref="R53">SUMPRODUCT((J53=$J$7:$J$1000)*(P53&lt;$P$7:$P$1000))+1</f>
        <v>1</v>
      </c>
      <c r="S53" s="72"/>
      <c r="T53">
        <v>15</v>
      </c>
      <c r="U53" t="str">
        <v>ARC</v>
      </c>
      <c r="V53" t="str">
        <v>Ishma-eel Safodien</v>
      </c>
      <c r="W53" t="str">
        <v>NULL</v>
      </c>
      <c r="X53" t="str">
        <v>Home</v>
      </c>
      <c r="Y53" t="str">
        <v>CHI</v>
      </c>
      <c r="Z53">
        <v>8.3780858011423494</v>
      </c>
      <c r="AA53" s="1"/>
      <c r="AB53" s="1" cm="1">
        <f t="array" ref="AB53">COUNT(_xlfn._xlws.FILTER($J$7:$J$10000,($L$7:$L$10000=AA53)*($M$7:$M$10000&lt;&gt;"NULL")*($J$7:$J$10000 &gt;= ($G$1-5))))/5</f>
        <v>0</v>
      </c>
    </row>
    <row r="54" spans="3:28" x14ac:dyDescent="0.35">
      <c r="C54" s="1"/>
      <c r="D54" s="1"/>
      <c r="E54" s="1"/>
      <c r="F54" s="1"/>
      <c r="G54" s="1"/>
      <c r="H54" s="1"/>
      <c r="J54" s="65">
        <v>6</v>
      </c>
      <c r="K54" t="s">
        <v>6</v>
      </c>
      <c r="L54" t="s">
        <v>437</v>
      </c>
      <c r="M54">
        <v>17.399999999999999</v>
      </c>
      <c r="N54" t="s">
        <v>9</v>
      </c>
      <c r="O54" t="s">
        <v>4</v>
      </c>
      <c r="P54">
        <f t="shared" si="1"/>
        <v>10.497375568853</v>
      </c>
      <c r="Q54">
        <f t="shared" si="7"/>
        <v>47.646224037467427</v>
      </c>
      <c r="R54" s="67" cm="1">
        <f t="array" ref="R54">SUMPRODUCT((J54=$J$7:$J$1000)*(P54&lt;$P$7:$P$1000))+1</f>
        <v>2</v>
      </c>
      <c r="S54" s="72"/>
      <c r="T54">
        <v>15</v>
      </c>
      <c r="U54" t="str">
        <v>ARC</v>
      </c>
      <c r="V54" t="str">
        <v>Karl Keane</v>
      </c>
      <c r="W54" t="str">
        <v>NULL</v>
      </c>
      <c r="X54" t="str">
        <v>Home</v>
      </c>
      <c r="Y54" t="str">
        <v>CHI</v>
      </c>
      <c r="Z54">
        <v>4.5254532391365103</v>
      </c>
      <c r="AA54" s="1"/>
      <c r="AB54" s="1" cm="1">
        <f t="array" ref="AB54">COUNT(_xlfn._xlws.FILTER($J$7:$J$10000,($L$7:$L$10000=AA54)*($M$7:$M$10000&lt;&gt;"NULL")*($J$7:$J$10000 &gt;= ($G$1-5))))/5</f>
        <v>0</v>
      </c>
    </row>
    <row r="55" spans="3:28" x14ac:dyDescent="0.35">
      <c r="C55" s="1"/>
      <c r="D55" s="1"/>
      <c r="E55" s="1"/>
      <c r="F55" s="1"/>
      <c r="G55" s="1"/>
      <c r="H55" s="1"/>
      <c r="J55" s="65">
        <v>6</v>
      </c>
      <c r="K55" t="s">
        <v>24</v>
      </c>
      <c r="L55" t="s">
        <v>439</v>
      </c>
      <c r="M55">
        <v>10.9</v>
      </c>
      <c r="N55" t="s">
        <v>9</v>
      </c>
      <c r="O55" t="s">
        <v>34</v>
      </c>
      <c r="P55">
        <f t="shared" si="1"/>
        <v>8.7174082833186777</v>
      </c>
      <c r="Q55">
        <f t="shared" si="7"/>
        <v>4.7637066017259233</v>
      </c>
      <c r="R55" s="67" cm="1">
        <f t="array" ref="R55">SUMPRODUCT((J55=$J$7:$J$1000)*(P55&lt;$P$7:$P$1000))+1</f>
        <v>3</v>
      </c>
      <c r="S55" s="72"/>
      <c r="T55">
        <v>15</v>
      </c>
      <c r="U55" t="str">
        <v>CHI</v>
      </c>
      <c r="V55" t="str">
        <v>Michael Baska</v>
      </c>
      <c r="W55" t="str">
        <v>NULL</v>
      </c>
      <c r="X55" t="str">
        <v>Away</v>
      </c>
      <c r="Y55" t="str">
        <v>ARC</v>
      </c>
      <c r="Z55">
        <v>13.521044665777064</v>
      </c>
      <c r="AA55" s="1"/>
      <c r="AB55" s="1" cm="1">
        <f t="array" ref="AB55">COUNT(_xlfn._xlws.FILTER($J$7:$J$10000,($L$7:$L$10000=AA55)*($M$7:$M$10000&lt;&gt;"NULL")*($J$7:$J$10000 &gt;= ($G$1-5))))/5</f>
        <v>0</v>
      </c>
    </row>
    <row r="56" spans="3:28" x14ac:dyDescent="0.35">
      <c r="C56" s="1"/>
      <c r="D56" s="1"/>
      <c r="E56" s="1"/>
      <c r="F56" s="1"/>
      <c r="G56" s="1"/>
      <c r="H56" s="1"/>
      <c r="J56" s="65">
        <v>6</v>
      </c>
      <c r="K56" t="s">
        <v>34</v>
      </c>
      <c r="L56" t="s">
        <v>550</v>
      </c>
      <c r="M56">
        <v>9.9</v>
      </c>
      <c r="N56" t="s">
        <v>3</v>
      </c>
      <c r="O56" t="s">
        <v>24</v>
      </c>
      <c r="P56">
        <f t="shared" si="1"/>
        <v>8.4667469577846521</v>
      </c>
      <c r="Q56">
        <f t="shared" si="7"/>
        <v>2.0542142830195509</v>
      </c>
      <c r="R56" s="67" cm="1">
        <f t="array" ref="R56">SUMPRODUCT((J56=$J$7:$J$1000)*(P56&lt;$P$7:$P$1000))+1</f>
        <v>4</v>
      </c>
      <c r="S56" s="72"/>
      <c r="T56">
        <v>15</v>
      </c>
      <c r="U56" t="str">
        <v>CHI</v>
      </c>
      <c r="V56" t="str">
        <v>Mitch Short</v>
      </c>
      <c r="W56" t="str">
        <v>NULL</v>
      </c>
      <c r="X56" t="str">
        <v>Away</v>
      </c>
      <c r="Y56" t="str">
        <v>ARC</v>
      </c>
      <c r="Z56">
        <v>9.7598223484842599</v>
      </c>
      <c r="AA56" s="1"/>
      <c r="AB56" s="1" cm="1">
        <f t="array" ref="AB56">COUNT(_xlfn._xlws.FILTER($J$7:$J$10000,($L$7:$L$10000=AA56)*($M$7:$M$10000&lt;&gt;"NULL")*($J$7:$J$10000 &gt;= ($G$1-5))))/5</f>
        <v>0</v>
      </c>
    </row>
    <row r="57" spans="3:28" x14ac:dyDescent="0.35">
      <c r="C57" s="1"/>
      <c r="D57" s="1"/>
      <c r="E57" s="1"/>
      <c r="F57" s="1"/>
      <c r="G57" s="1"/>
      <c r="H57" s="1"/>
      <c r="J57" s="65">
        <v>6</v>
      </c>
      <c r="K57" t="s">
        <v>14</v>
      </c>
      <c r="L57" t="s">
        <v>438</v>
      </c>
      <c r="M57">
        <v>8</v>
      </c>
      <c r="N57" t="s">
        <v>3</v>
      </c>
      <c r="O57" t="s">
        <v>36</v>
      </c>
      <c r="P57">
        <f t="shared" si="1"/>
        <v>5.9011417176999998</v>
      </c>
      <c r="Q57">
        <f t="shared" si="7"/>
        <v>4.4052060891793072</v>
      </c>
      <c r="R57" s="67" cm="1">
        <f t="array" ref="R57">SUMPRODUCT((J57=$J$7:$J$1000)*(P57&lt;$P$7:$P$1000))+1</f>
        <v>6</v>
      </c>
      <c r="S57" s="72"/>
      <c r="T57">
        <v>15</v>
      </c>
      <c r="U57" t="str">
        <v>HOU</v>
      </c>
      <c r="V57" t="str">
        <v>Andre Warner</v>
      </c>
      <c r="W57" t="str">
        <v>NULL</v>
      </c>
      <c r="X57" t="str">
        <v>Away</v>
      </c>
      <c r="Y57" t="str">
        <v>SEA</v>
      </c>
      <c r="Z57">
        <v>6.7581687506124117</v>
      </c>
      <c r="AA57" s="1"/>
      <c r="AB57" s="1" cm="1">
        <f t="array" ref="AB57">COUNT(_xlfn._xlws.FILTER($J$7:$J$10000,($L$7:$L$10000=AA57)*($M$7:$M$10000&lt;&gt;"NULL")*($J$7:$J$10000 &gt;= ($G$1-5))))/5</f>
        <v>0</v>
      </c>
    </row>
    <row r="58" spans="3:28" x14ac:dyDescent="0.35">
      <c r="C58" s="1"/>
      <c r="D58" s="1"/>
      <c r="E58" s="1"/>
      <c r="F58" s="1"/>
      <c r="G58" s="1"/>
      <c r="H58" s="1"/>
      <c r="J58" s="65">
        <v>6</v>
      </c>
      <c r="K58" t="s">
        <v>13</v>
      </c>
      <c r="L58" t="s">
        <v>49</v>
      </c>
      <c r="M58">
        <v>7.1</v>
      </c>
      <c r="N58" t="s">
        <v>9</v>
      </c>
      <c r="O58" t="s">
        <v>17</v>
      </c>
      <c r="P58">
        <f t="shared" si="1"/>
        <v>8.4570046001172194</v>
      </c>
      <c r="Q58">
        <f t="shared" si="7"/>
        <v>1.8414614847392956</v>
      </c>
      <c r="R58" s="67" cm="1">
        <f t="array" ref="R58">SUMPRODUCT((J58=$J$7:$J$1000)*(P58&lt;$P$7:$P$1000))+1</f>
        <v>5</v>
      </c>
      <c r="S58" s="72"/>
      <c r="T58">
        <v>15</v>
      </c>
      <c r="U58" t="str">
        <v>HOU</v>
      </c>
      <c r="V58" t="str">
        <v>Jay Renton</v>
      </c>
      <c r="W58" t="str">
        <v>NULL</v>
      </c>
      <c r="X58" t="str">
        <v>Away</v>
      </c>
      <c r="Y58" t="str">
        <v>SEA</v>
      </c>
      <c r="Z58">
        <v>4.9706942185441649</v>
      </c>
      <c r="AA58" s="1"/>
      <c r="AB58" s="1" cm="1">
        <f t="array" ref="AB58">COUNT(_xlfn._xlws.FILTER($J$7:$J$10000,($L$7:$L$10000=AA58)*($M$7:$M$10000&lt;&gt;"NULL")*($J$7:$J$10000 &gt;= ($G$1-5))))/5</f>
        <v>0</v>
      </c>
    </row>
    <row r="59" spans="3:28" x14ac:dyDescent="0.35">
      <c r="C59" s="1"/>
      <c r="D59" s="1"/>
      <c r="E59" s="1"/>
      <c r="F59" s="1"/>
      <c r="G59" s="1"/>
      <c r="H59" s="1"/>
      <c r="J59" s="65">
        <v>6</v>
      </c>
      <c r="K59" t="s">
        <v>4</v>
      </c>
      <c r="L59" t="s">
        <v>125</v>
      </c>
      <c r="M59">
        <v>3</v>
      </c>
      <c r="N59" t="s">
        <v>3</v>
      </c>
      <c r="O59" t="s">
        <v>6</v>
      </c>
      <c r="P59">
        <f t="shared" si="1"/>
        <v>2.7320273578287049</v>
      </c>
      <c r="Q59">
        <f t="shared" si="7"/>
        <v>7.1809336952264977E-2</v>
      </c>
      <c r="R59" s="67" cm="1">
        <f t="array" ref="R59">SUMPRODUCT((J59=$J$7:$J$1000)*(P59&lt;$P$7:$P$1000))+1</f>
        <v>8</v>
      </c>
      <c r="S59" s="72"/>
      <c r="T59">
        <v>15</v>
      </c>
      <c r="U59" t="str">
        <v>HOU</v>
      </c>
      <c r="V59" t="str">
        <v>Juan Dee Oliver</v>
      </c>
      <c r="W59" t="str">
        <v>NULL</v>
      </c>
      <c r="X59" t="str">
        <v>Away</v>
      </c>
      <c r="Y59" t="str">
        <v>SEA</v>
      </c>
      <c r="Z59">
        <v>13.04485841611349</v>
      </c>
      <c r="AA59" s="1"/>
      <c r="AB59" s="1" cm="1">
        <f t="array" ref="AB59">COUNT(_xlfn._xlws.FILTER($J$7:$J$10000,($L$7:$L$10000=AA59)*($M$7:$M$10000&lt;&gt;"NULL")*($J$7:$J$10000 &gt;= ($G$1-5))))/5</f>
        <v>0</v>
      </c>
    </row>
    <row r="60" spans="3:28" x14ac:dyDescent="0.35">
      <c r="C60" s="1"/>
      <c r="D60" s="1"/>
      <c r="E60" s="1"/>
      <c r="F60" s="1"/>
      <c r="G60" s="1"/>
      <c r="H60" s="1"/>
      <c r="J60" s="65">
        <v>6</v>
      </c>
      <c r="K60" t="s">
        <v>17</v>
      </c>
      <c r="L60" t="s">
        <v>81</v>
      </c>
      <c r="M60">
        <v>2.2999999999999998</v>
      </c>
      <c r="N60" t="s">
        <v>3</v>
      </c>
      <c r="O60" t="s">
        <v>13</v>
      </c>
      <c r="P60">
        <f t="shared" si="1"/>
        <v>3.3341279308575387</v>
      </c>
      <c r="Q60">
        <f t="shared" si="7"/>
        <v>1.0694205773796945</v>
      </c>
      <c r="R60" s="67" cm="1">
        <f t="array" ref="R60">SUMPRODUCT((J60=$J$7:$J$1000)*(P60&lt;$P$7:$P$1000))+1</f>
        <v>7</v>
      </c>
      <c r="S60" s="72"/>
      <c r="T60">
        <v>15</v>
      </c>
      <c r="U60" t="str">
        <v>LA</v>
      </c>
      <c r="V60" t="str">
        <v>Gonzalo Bertranou</v>
      </c>
      <c r="W60" t="str">
        <v>NULL</v>
      </c>
      <c r="X60" t="str">
        <v>Home</v>
      </c>
      <c r="Y60" t="str">
        <v>MIA</v>
      </c>
      <c r="Z60">
        <v>7.0685466696290202</v>
      </c>
      <c r="AA60" s="1"/>
      <c r="AB60" s="1" cm="1">
        <f t="array" ref="AB60">COUNT(_xlfn._xlws.FILTER($J$7:$J$10000,($L$7:$L$10000=AA60)*($M$7:$M$10000&lt;&gt;"NULL")*($J$7:$J$10000 &gt;= ($G$1-5))))/5</f>
        <v>0</v>
      </c>
    </row>
    <row r="61" spans="3:28" x14ac:dyDescent="0.35">
      <c r="C61" s="1"/>
      <c r="D61" s="1"/>
      <c r="E61" s="1"/>
      <c r="F61" s="1"/>
      <c r="G61" s="1"/>
      <c r="H61" s="1"/>
      <c r="J61" s="65">
        <v>6</v>
      </c>
      <c r="K61" t="s">
        <v>23</v>
      </c>
      <c r="L61" t="s">
        <v>127</v>
      </c>
      <c r="M61">
        <v>1.6</v>
      </c>
      <c r="N61" t="s">
        <v>9</v>
      </c>
      <c r="O61" t="s">
        <v>7</v>
      </c>
      <c r="P61">
        <f t="shared" si="1"/>
        <v>1.6780731744110438</v>
      </c>
      <c r="Q61">
        <f t="shared" si="7"/>
        <v>6.0954205626172434E-3</v>
      </c>
      <c r="R61" s="67" cm="1">
        <f t="array" ref="R61">SUMPRODUCT((J61=$J$7:$J$1000)*(P61&lt;$P$7:$P$1000))+1</f>
        <v>9</v>
      </c>
      <c r="S61" s="72"/>
      <c r="T61">
        <v>15</v>
      </c>
      <c r="U61" t="str">
        <v>LA</v>
      </c>
      <c r="V61" t="str">
        <v>Tas Smith</v>
      </c>
      <c r="W61" t="str">
        <v>NULL</v>
      </c>
      <c r="X61" t="str">
        <v>Home</v>
      </c>
      <c r="Y61" t="str">
        <v>MIA</v>
      </c>
      <c r="Z61">
        <v>5.5660788702306645</v>
      </c>
      <c r="AA61" s="1"/>
      <c r="AB61" s="1" cm="1">
        <f t="array" ref="AB61">COUNT(_xlfn._xlws.FILTER($J$7:$J$10000,($L$7:$L$10000=AA61)*($M$7:$M$10000&lt;&gt;"NULL")*($J$7:$J$10000 &gt;= ($G$1-5))))/5</f>
        <v>0</v>
      </c>
    </row>
    <row r="62" spans="3:28" x14ac:dyDescent="0.35">
      <c r="C62" s="1"/>
      <c r="D62" s="1"/>
      <c r="E62" s="1"/>
      <c r="F62" s="1"/>
      <c r="G62" s="1"/>
      <c r="H62" s="1"/>
      <c r="J62" s="65">
        <v>6</v>
      </c>
      <c r="K62" t="s">
        <v>7</v>
      </c>
      <c r="L62" t="s">
        <v>126</v>
      </c>
      <c r="M62">
        <v>0.4</v>
      </c>
      <c r="N62" t="s">
        <v>3</v>
      </c>
      <c r="O62" t="s">
        <v>23</v>
      </c>
      <c r="P62">
        <f t="shared" si="1"/>
        <v>0.83196937741014776</v>
      </c>
      <c r="Q62">
        <f t="shared" si="7"/>
        <v>0.18659754302011067</v>
      </c>
      <c r="R62" s="67" cm="1">
        <f t="array" ref="R62">SUMPRODUCT((J62=$J$7:$J$1000)*(P62&lt;$P$7:$P$1000))+1</f>
        <v>10</v>
      </c>
      <c r="S62" s="72"/>
      <c r="T62">
        <v>15</v>
      </c>
      <c r="U62" t="str">
        <v>MIA</v>
      </c>
      <c r="V62" t="str">
        <v>Tomás Cubelli</v>
      </c>
      <c r="W62" t="str">
        <v>NULL</v>
      </c>
      <c r="X62" t="str">
        <v>Away</v>
      </c>
      <c r="Y62" t="str">
        <v>LA</v>
      </c>
      <c r="Z62">
        <v>6.9527601041169378</v>
      </c>
      <c r="AA62" s="1"/>
      <c r="AB62" s="1" cm="1">
        <f t="array" ref="AB62">COUNT(_xlfn._xlws.FILTER($J$7:$J$10000,($L$7:$L$10000=AA62)*($M$7:$M$10000&lt;&gt;"NULL")*($J$7:$J$10000 &gt;= ($G$1-5))))/5</f>
        <v>0</v>
      </c>
    </row>
    <row r="63" spans="3:28" x14ac:dyDescent="0.35">
      <c r="C63" s="1"/>
      <c r="D63" s="1"/>
      <c r="E63" s="1"/>
      <c r="F63" s="1"/>
      <c r="G63" s="1"/>
      <c r="H63" s="1"/>
      <c r="J63" s="65">
        <v>7</v>
      </c>
      <c r="K63" t="s">
        <v>36</v>
      </c>
      <c r="L63" t="s">
        <v>123</v>
      </c>
      <c r="M63">
        <v>16.100000000000001</v>
      </c>
      <c r="N63" t="s">
        <v>3</v>
      </c>
      <c r="O63" t="s">
        <v>34</v>
      </c>
      <c r="P63">
        <f t="shared" si="1"/>
        <v>7.388036366140784</v>
      </c>
      <c r="Q63">
        <f t="shared" ref="Q63:Q82" si="8">IFERROR(($M63-$P63)^2,"")</f>
        <v>75.898310357685489</v>
      </c>
      <c r="R63" s="67" cm="1">
        <f t="array" ref="R63">SUMPRODUCT((J63=$J$7:$J$1000)*(P63&lt;$P$7:$P$1000))+1</f>
        <v>3</v>
      </c>
      <c r="S63" s="72"/>
      <c r="T63">
        <v>15</v>
      </c>
      <c r="U63" t="str">
        <v>MIA</v>
      </c>
      <c r="V63" t="str">
        <v>Tomás Inciarte</v>
      </c>
      <c r="W63" t="str">
        <v>NULL</v>
      </c>
      <c r="X63" t="str">
        <v>Away</v>
      </c>
      <c r="Y63" t="str">
        <v>LA</v>
      </c>
      <c r="Z63">
        <v>7.2956688196764725</v>
      </c>
      <c r="AA63" s="1"/>
      <c r="AB63" s="1" cm="1">
        <f t="array" ref="AB63">COUNT(_xlfn._xlws.FILTER($J$7:$J$10000,($L$7:$L$10000=AA63)*($M$7:$M$10000&lt;&gt;"NULL")*($J$7:$J$10000 &gt;= ($G$1-5))))/5</f>
        <v>0</v>
      </c>
    </row>
    <row r="64" spans="3:28" x14ac:dyDescent="0.35">
      <c r="C64" s="1"/>
      <c r="D64" s="1"/>
      <c r="E64" s="1"/>
      <c r="F64" s="1"/>
      <c r="G64" s="1"/>
      <c r="H64" s="1"/>
      <c r="J64" s="65">
        <v>7</v>
      </c>
      <c r="K64" t="s">
        <v>13</v>
      </c>
      <c r="L64" t="s">
        <v>49</v>
      </c>
      <c r="M64">
        <v>6.8</v>
      </c>
      <c r="N64" t="s">
        <v>3</v>
      </c>
      <c r="O64" t="s">
        <v>23</v>
      </c>
      <c r="P64">
        <f t="shared" si="1"/>
        <v>7.1592614230416292</v>
      </c>
      <c r="Q64">
        <f t="shared" si="8"/>
        <v>0.12906877008589657</v>
      </c>
      <c r="R64" s="67" cm="1">
        <f t="array" ref="R64">SUMPRODUCT((J64=$J$7:$J$1000)*(P64&lt;$P$7:$P$1000))+1</f>
        <v>4</v>
      </c>
      <c r="S64" s="72"/>
      <c r="T64">
        <v>15</v>
      </c>
      <c r="U64" t="str">
        <v>NEFJ</v>
      </c>
      <c r="V64" t="str">
        <v>Cam Nordli-Kelemeti</v>
      </c>
      <c r="W64" t="str">
        <v>NULL</v>
      </c>
      <c r="X64" t="str">
        <v>Home</v>
      </c>
      <c r="Y64" t="str">
        <v>OGDC</v>
      </c>
      <c r="Z64">
        <v>-0.45950459229534024</v>
      </c>
      <c r="AA64" s="1"/>
      <c r="AB64" s="1" cm="1">
        <f t="array" ref="AB64">COUNT(_xlfn._xlws.FILTER($J$7:$J$10000,($L$7:$L$10000=AA64)*($M$7:$M$10000&lt;&gt;"NULL")*($J$7:$J$10000 &gt;= ($G$1-5))))/5</f>
        <v>0</v>
      </c>
    </row>
    <row r="65" spans="3:28" x14ac:dyDescent="0.35">
      <c r="C65" s="1"/>
      <c r="D65" s="1"/>
      <c r="E65" s="1"/>
      <c r="F65" s="1"/>
      <c r="G65" s="1"/>
      <c r="H65" s="1"/>
      <c r="J65" s="65">
        <v>7</v>
      </c>
      <c r="K65" t="s">
        <v>23</v>
      </c>
      <c r="L65" t="s">
        <v>133</v>
      </c>
      <c r="M65">
        <v>6.7</v>
      </c>
      <c r="N65" t="s">
        <v>9</v>
      </c>
      <c r="O65" t="s">
        <v>13</v>
      </c>
      <c r="P65">
        <f t="shared" si="1"/>
        <v>3.5978421381545731</v>
      </c>
      <c r="Q65">
        <f t="shared" si="8"/>
        <v>9.6233833998093914</v>
      </c>
      <c r="R65" s="67" cm="1">
        <f t="array" ref="R65">SUMPRODUCT((J65=$J$7:$J$1000)*(P65&lt;$P$7:$P$1000))+1</f>
        <v>9</v>
      </c>
      <c r="S65" s="72"/>
      <c r="T65">
        <v>15</v>
      </c>
      <c r="U65" t="str">
        <v>NEFJ</v>
      </c>
      <c r="V65" t="str">
        <v>John Poland</v>
      </c>
      <c r="W65" t="str">
        <v>NULL</v>
      </c>
      <c r="X65" t="str">
        <v>Home</v>
      </c>
      <c r="Y65" t="str">
        <v>OGDC</v>
      </c>
      <c r="Z65">
        <v>1.1760278390126104</v>
      </c>
      <c r="AA65" s="1"/>
      <c r="AB65" s="1" cm="1">
        <f t="array" ref="AB65">COUNT(_xlfn._xlws.FILTER($J$7:$J$10000,($L$7:$L$10000=AA65)*($M$7:$M$10000&lt;&gt;"NULL")*($J$7:$J$10000 &gt;= ($G$1-5))))/5</f>
        <v>0</v>
      </c>
    </row>
    <row r="66" spans="3:28" x14ac:dyDescent="0.35">
      <c r="C66" s="1"/>
      <c r="D66" s="1"/>
      <c r="E66" s="1"/>
      <c r="F66" s="1"/>
      <c r="G66" s="1"/>
      <c r="H66" s="1"/>
      <c r="J66" s="65">
        <v>7</v>
      </c>
      <c r="K66" t="s">
        <v>2</v>
      </c>
      <c r="L66" t="s">
        <v>441</v>
      </c>
      <c r="M66">
        <v>6.3</v>
      </c>
      <c r="N66" t="s">
        <v>9</v>
      </c>
      <c r="O66" t="s">
        <v>4</v>
      </c>
      <c r="P66">
        <f t="shared" si="1"/>
        <v>6.7251862918131824</v>
      </c>
      <c r="Q66">
        <f t="shared" si="8"/>
        <v>0.18078338274584485</v>
      </c>
      <c r="R66" s="67" cm="1">
        <f t="array" ref="R66">SUMPRODUCT((J66=$J$7:$J$1000)*(P66&lt;$P$7:$P$1000))+1</f>
        <v>5</v>
      </c>
      <c r="S66" s="72"/>
      <c r="T66">
        <v>15</v>
      </c>
      <c r="U66" t="str">
        <v>NEFJ</v>
      </c>
      <c r="V66" t="str">
        <v>Oscar Lennon</v>
      </c>
      <c r="W66" t="str">
        <v>NULL</v>
      </c>
      <c r="X66" t="str">
        <v>Home</v>
      </c>
      <c r="Y66" t="str">
        <v>OGDC</v>
      </c>
      <c r="Z66">
        <v>-1.1160243959400962E-2</v>
      </c>
      <c r="AA66" s="1"/>
      <c r="AB66" s="1" cm="1">
        <f t="array" ref="AB66">COUNT(_xlfn._xlws.FILTER($J$7:$J$10000,($L$7:$L$10000=AA66)*($M$7:$M$10000&lt;&gt;"NULL")*($J$7:$J$10000 &gt;= ($G$1-5))))/5</f>
        <v>0</v>
      </c>
    </row>
    <row r="67" spans="3:28" x14ac:dyDescent="0.35">
      <c r="C67" s="1"/>
      <c r="D67" s="1"/>
      <c r="E67" s="1"/>
      <c r="F67" s="1"/>
      <c r="G67" s="1"/>
      <c r="H67" s="1"/>
      <c r="J67" s="65">
        <v>7</v>
      </c>
      <c r="K67" t="s">
        <v>17</v>
      </c>
      <c r="L67" t="s">
        <v>81</v>
      </c>
      <c r="M67">
        <v>3.4</v>
      </c>
      <c r="N67" t="s">
        <v>3</v>
      </c>
      <c r="O67" t="s">
        <v>14</v>
      </c>
      <c r="P67">
        <f t="shared" si="1"/>
        <v>8.2225603076867362</v>
      </c>
      <c r="Q67">
        <f t="shared" si="8"/>
        <v>23.257087921275584</v>
      </c>
      <c r="R67" s="67" cm="1">
        <f t="array" ref="R67">SUMPRODUCT((J67=$J$7:$J$1000)*(P67&lt;$P$7:$P$1000))+1</f>
        <v>2</v>
      </c>
      <c r="S67" s="72"/>
      <c r="T67">
        <v>15</v>
      </c>
      <c r="U67" t="str">
        <v>NOLA</v>
      </c>
      <c r="V67" t="str">
        <v>Damian Stevens</v>
      </c>
      <c r="W67" t="str">
        <v>NULL</v>
      </c>
      <c r="X67" t="str">
        <v>Home</v>
      </c>
      <c r="Y67" t="str">
        <v>UTAH</v>
      </c>
      <c r="Z67">
        <v>12.726658096638438</v>
      </c>
      <c r="AA67" s="1"/>
      <c r="AB67" s="1" cm="1">
        <f t="array" ref="AB67">COUNT(_xlfn._xlws.FILTER($J$7:$J$10000,($L$7:$L$10000=AA67)*($M$7:$M$10000&lt;&gt;"NULL")*($J$7:$J$10000 &gt;= ($G$1-5))))/5</f>
        <v>0</v>
      </c>
    </row>
    <row r="68" spans="3:28" x14ac:dyDescent="0.35">
      <c r="C68" s="1"/>
      <c r="D68" s="1"/>
      <c r="E68" s="1"/>
      <c r="F68" s="1"/>
      <c r="G68" s="1"/>
      <c r="H68" s="1"/>
      <c r="J68" s="65">
        <v>7</v>
      </c>
      <c r="K68" t="s">
        <v>7</v>
      </c>
      <c r="L68" t="s">
        <v>126</v>
      </c>
      <c r="M68">
        <v>2.6</v>
      </c>
      <c r="N68" t="s">
        <v>9</v>
      </c>
      <c r="O68" t="s">
        <v>6</v>
      </c>
      <c r="P68">
        <f t="shared" si="1"/>
        <v>1.4969773262108059</v>
      </c>
      <c r="Q68">
        <f t="shared" si="8"/>
        <v>1.216659018893063</v>
      </c>
      <c r="R68" s="67" cm="1">
        <f t="array" ref="R68">SUMPRODUCT((J68=$J$7:$J$1000)*(P68&lt;$P$7:$P$1000))+1</f>
        <v>10</v>
      </c>
      <c r="S68" s="72"/>
      <c r="T68">
        <v>15</v>
      </c>
      <c r="U68" t="str">
        <v>NOLA</v>
      </c>
      <c r="V68" t="str">
        <v>Luke Campbell</v>
      </c>
      <c r="W68" t="str">
        <v>NULL</v>
      </c>
      <c r="X68" t="str">
        <v>Home</v>
      </c>
      <c r="Y68" t="str">
        <v>UTAH</v>
      </c>
      <c r="Z68">
        <v>4.0332005593249889</v>
      </c>
      <c r="AA68" s="1"/>
      <c r="AB68" s="1" cm="1">
        <f t="array" ref="AB68">COUNT(_xlfn._xlws.FILTER($J$7:$J$10000,($L$7:$L$10000=AA68)*($M$7:$M$10000&lt;&gt;"NULL")*($J$7:$J$10000 &gt;= ($G$1-5))))/5</f>
        <v>0</v>
      </c>
    </row>
    <row r="69" spans="3:28" x14ac:dyDescent="0.35">
      <c r="C69" s="1"/>
      <c r="D69" s="1"/>
      <c r="E69" s="1"/>
      <c r="F69" s="1"/>
      <c r="G69" s="1"/>
      <c r="H69" s="1"/>
      <c r="J69" s="65">
        <v>7</v>
      </c>
      <c r="K69" t="s">
        <v>34</v>
      </c>
      <c r="L69" t="s">
        <v>440</v>
      </c>
      <c r="M69">
        <v>2.5</v>
      </c>
      <c r="N69" t="s">
        <v>9</v>
      </c>
      <c r="O69" t="s">
        <v>36</v>
      </c>
      <c r="P69">
        <f t="shared" si="1"/>
        <v>8.5907453068461876</v>
      </c>
      <c r="Q69">
        <f t="shared" si="8"/>
        <v>37.097178392868862</v>
      </c>
      <c r="R69" s="67" cm="1">
        <f t="array" ref="R69">SUMPRODUCT((J69=$J$7:$J$1000)*(P69&lt;$P$7:$P$1000))+1</f>
        <v>1</v>
      </c>
      <c r="S69" s="72"/>
      <c r="T69">
        <v>15</v>
      </c>
      <c r="U69" t="str">
        <v>NOLA</v>
      </c>
      <c r="V69" t="str">
        <v>Ruben de Haas</v>
      </c>
      <c r="W69" t="str">
        <v>NULL</v>
      </c>
      <c r="X69" t="str">
        <v>Home</v>
      </c>
      <c r="Y69" t="str">
        <v>UTAH</v>
      </c>
      <c r="Z69">
        <v>4.7749550057221519</v>
      </c>
      <c r="AA69" s="1"/>
      <c r="AB69" s="1" cm="1">
        <f t="array" ref="AB69">COUNT(_xlfn._xlws.FILTER($J$7:$J$10000,($L$7:$L$10000=AA69)*($M$7:$M$10000&lt;&gt;"NULL")*($J$7:$J$10000 &gt;= ($G$1-5))))/5</f>
        <v>0</v>
      </c>
    </row>
    <row r="70" spans="3:28" x14ac:dyDescent="0.35">
      <c r="C70" s="1"/>
      <c r="D70" s="1"/>
      <c r="E70" s="1"/>
      <c r="F70" s="1"/>
      <c r="G70" s="1"/>
      <c r="H70" s="1"/>
      <c r="J70" s="66">
        <v>7</v>
      </c>
      <c r="K70" t="s">
        <v>4</v>
      </c>
      <c r="L70" t="s">
        <v>125</v>
      </c>
      <c r="M70">
        <v>0.8</v>
      </c>
      <c r="N70" t="s">
        <v>3</v>
      </c>
      <c r="O70" t="s">
        <v>2</v>
      </c>
      <c r="P70">
        <f t="shared" si="1"/>
        <v>3.7839402593658873</v>
      </c>
      <c r="Q70">
        <f t="shared" si="8"/>
        <v>8.903899471464559</v>
      </c>
      <c r="R70" s="67" cm="1">
        <f t="array" ref="R70">SUMPRODUCT((J70=$J$7:$J$1000)*(P70&lt;$P$7:$P$1000))+1</f>
        <v>8</v>
      </c>
      <c r="S70" s="72"/>
      <c r="T70">
        <v>15</v>
      </c>
      <c r="U70" t="str">
        <v>OGDC</v>
      </c>
      <c r="V70" t="str">
        <v>Connor Buckley</v>
      </c>
      <c r="W70" t="str">
        <v>NULL</v>
      </c>
      <c r="X70" t="str">
        <v>Away</v>
      </c>
      <c r="Y70" t="str">
        <v>NEFJ</v>
      </c>
      <c r="Z70">
        <v>1.3340147128085802</v>
      </c>
      <c r="AA70" s="1"/>
      <c r="AB70" s="1" cm="1">
        <f t="array" ref="AB70">COUNT(_xlfn._xlws.FILTER($J$7:$J$10000,($L$7:$L$10000=AA70)*($M$7:$M$10000&lt;&gt;"NULL")*($J$7:$J$10000 &gt;= ($G$1-5))))/5</f>
        <v>0</v>
      </c>
    </row>
    <row r="71" spans="3:28" x14ac:dyDescent="0.35">
      <c r="C71" s="1"/>
      <c r="D71" s="1"/>
      <c r="E71" s="1"/>
      <c r="F71" s="1"/>
      <c r="G71" s="1"/>
      <c r="H71" s="1"/>
      <c r="J71" s="65">
        <v>7</v>
      </c>
      <c r="K71" t="s">
        <v>14</v>
      </c>
      <c r="L71" t="s">
        <v>438</v>
      </c>
      <c r="M71">
        <v>0.2</v>
      </c>
      <c r="N71" t="s">
        <v>9</v>
      </c>
      <c r="O71" t="s">
        <v>17</v>
      </c>
      <c r="P71">
        <f t="shared" si="1"/>
        <v>4.6083209012726947</v>
      </c>
      <c r="Q71">
        <f t="shared" si="8"/>
        <v>19.4332931685977</v>
      </c>
      <c r="R71" s="67" cm="1">
        <f t="array" ref="R71">SUMPRODUCT((J71=$J$7:$J$1000)*(P71&lt;$P$7:$P$1000))+1</f>
        <v>6</v>
      </c>
      <c r="S71" s="72"/>
      <c r="T71">
        <v>15</v>
      </c>
      <c r="U71" t="str">
        <v>OGDC</v>
      </c>
      <c r="V71" t="str">
        <v>Ethan McVeigh</v>
      </c>
      <c r="W71" t="str">
        <v>NULL</v>
      </c>
      <c r="X71" t="str">
        <v>Away</v>
      </c>
      <c r="Y71" t="str">
        <v>NEFJ</v>
      </c>
      <c r="Z71">
        <v>1.2157264108087353</v>
      </c>
      <c r="AA71" s="1"/>
      <c r="AB71" s="1" cm="1">
        <f t="array" ref="AB71">COUNT(_xlfn._xlws.FILTER($J$7:$J$10000,($L$7:$L$10000=AA71)*($M$7:$M$10000&lt;&gt;"NULL")*($J$7:$J$10000 &gt;= ($G$1-5))))/5</f>
        <v>0</v>
      </c>
    </row>
    <row r="72" spans="3:28" x14ac:dyDescent="0.35">
      <c r="C72" s="1"/>
      <c r="D72" s="1"/>
      <c r="E72" s="1"/>
      <c r="F72" s="1"/>
      <c r="G72" s="1"/>
      <c r="H72" s="1"/>
      <c r="J72" s="65">
        <v>7</v>
      </c>
      <c r="K72" t="s">
        <v>6</v>
      </c>
      <c r="L72" t="s">
        <v>437</v>
      </c>
      <c r="M72">
        <v>-8.3000000000000007</v>
      </c>
      <c r="N72" t="s">
        <v>3</v>
      </c>
      <c r="O72" t="s">
        <v>7</v>
      </c>
      <c r="P72">
        <f t="shared" ref="P72:P135" si="9">VLOOKUP($N72,$F$3:$G$4,2,FALSE)+VLOOKUP($L72,$B$20:$C$150,2,FALSE)+VLOOKUP($O72,$A$6:$B$16,2,FALSE)</f>
        <v>4.5862325182449677</v>
      </c>
      <c r="Q72">
        <f t="shared" si="8"/>
        <v>166.05498851427407</v>
      </c>
      <c r="R72" s="67" cm="1">
        <f t="array" ref="R72">SUMPRODUCT((J72=$J$7:$J$1000)*(P72&lt;$P$7:$P$1000))+1</f>
        <v>7</v>
      </c>
      <c r="S72" s="72"/>
      <c r="T72">
        <v>15</v>
      </c>
      <c r="U72" t="str">
        <v>SEA</v>
      </c>
      <c r="V72" t="str">
        <v>JP Smith</v>
      </c>
      <c r="W72" t="str">
        <v>NULL</v>
      </c>
      <c r="X72" t="str">
        <v>Home</v>
      </c>
      <c r="Y72" t="str">
        <v>HOU</v>
      </c>
      <c r="Z72">
        <v>4.460556109461927</v>
      </c>
      <c r="AA72" s="1"/>
      <c r="AB72" s="1" cm="1">
        <f t="array" ref="AB72">COUNT(_xlfn._xlws.FILTER($J$7:$J$10000,($L$7:$L$10000=AA72)*($M$7:$M$10000&lt;&gt;"NULL")*($J$7:$J$10000 &gt;= ($G$1-5))))/5</f>
        <v>0</v>
      </c>
    </row>
    <row r="73" spans="3:28" x14ac:dyDescent="0.35">
      <c r="J73" s="65">
        <v>8</v>
      </c>
      <c r="K73" t="s">
        <v>4</v>
      </c>
      <c r="L73" t="s">
        <v>125</v>
      </c>
      <c r="M73">
        <v>13.7</v>
      </c>
      <c r="N73" t="s">
        <v>9</v>
      </c>
      <c r="O73" t="s">
        <v>14</v>
      </c>
      <c r="P73">
        <f t="shared" si="9"/>
        <v>9.4236782715526193</v>
      </c>
      <c r="Q73">
        <f t="shared" si="8"/>
        <v>18.286927525191189</v>
      </c>
      <c r="R73" s="67" cm="1">
        <f t="array" ref="R73">SUMPRODUCT((J73=$J$7:$J$1000)*(P73&lt;$P$7:$P$1000))+1</f>
        <v>2</v>
      </c>
      <c r="S73" s="72"/>
      <c r="T73">
        <v>15</v>
      </c>
      <c r="U73" t="str">
        <v>UTAH</v>
      </c>
      <c r="V73" t="str">
        <v>Logan Crowley</v>
      </c>
      <c r="W73" t="str">
        <v>NULL</v>
      </c>
      <c r="X73" t="str">
        <v>Away</v>
      </c>
      <c r="Y73" t="str">
        <v>NOLA</v>
      </c>
      <c r="Z73">
        <v>7.7053791839256593</v>
      </c>
      <c r="AA73" s="1"/>
      <c r="AB73" s="1" cm="1">
        <f t="array" ref="AB73">COUNT(_xlfn._xlws.FILTER($J$7:$J$10000,($L$7:$L$10000=AA73)*($M$7:$M$10000&lt;&gt;"NULL")*($J$7:$J$10000 &gt;= ($G$1-5))))/5</f>
        <v>0</v>
      </c>
    </row>
    <row r="74" spans="3:28" x14ac:dyDescent="0.35">
      <c r="J74" s="65">
        <v>8</v>
      </c>
      <c r="K74" t="s">
        <v>34</v>
      </c>
      <c r="L74" t="s">
        <v>440</v>
      </c>
      <c r="M74">
        <v>11</v>
      </c>
      <c r="N74" t="s">
        <v>3</v>
      </c>
      <c r="O74" t="s">
        <v>2</v>
      </c>
      <c r="P74">
        <f t="shared" si="9"/>
        <v>6.7130114928842648</v>
      </c>
      <c r="Q74">
        <f t="shared" si="8"/>
        <v>18.378270460142399</v>
      </c>
      <c r="R74" s="67" cm="1">
        <f t="array" ref="R74">SUMPRODUCT((J74=$J$7:$J$1000)*(P74&lt;$P$7:$P$1000))+1</f>
        <v>5</v>
      </c>
      <c r="S74" s="72"/>
      <c r="T74">
        <v>15</v>
      </c>
      <c r="U74" t="str">
        <v>UTAH</v>
      </c>
      <c r="V74" t="str">
        <v>Zion Going</v>
      </c>
      <c r="W74" t="str">
        <v>NULL</v>
      </c>
      <c r="X74" t="str">
        <v>Away</v>
      </c>
      <c r="Y74" t="str">
        <v>NOLA</v>
      </c>
      <c r="Z74">
        <v>10.97923889349669</v>
      </c>
      <c r="AA74" s="1"/>
      <c r="AB74" s="1" cm="1">
        <f t="array" ref="AB74">COUNT(_xlfn._xlws.FILTER($J$7:$J$10000,($L$7:$L$10000=AA74)*($M$7:$M$10000&lt;&gt;"NULL")*($J$7:$J$10000 &gt;= ($G$1-5))))/5</f>
        <v>0</v>
      </c>
    </row>
    <row r="75" spans="3:28" x14ac:dyDescent="0.35">
      <c r="J75" s="65">
        <v>8</v>
      </c>
      <c r="K75" t="s">
        <v>36</v>
      </c>
      <c r="L75" t="s">
        <v>123</v>
      </c>
      <c r="M75">
        <v>9.6</v>
      </c>
      <c r="N75" t="s">
        <v>3</v>
      </c>
      <c r="O75" t="s">
        <v>6</v>
      </c>
      <c r="P75">
        <f t="shared" si="9"/>
        <v>5.623388186939045</v>
      </c>
      <c r="Q75">
        <f t="shared" si="8"/>
        <v>15.813441511775933</v>
      </c>
      <c r="R75" s="67" cm="1">
        <f t="array" ref="R75">SUMPRODUCT((J75=$J$7:$J$1000)*(P75&lt;$P$7:$P$1000))+1</f>
        <v>6</v>
      </c>
      <c r="S75" s="72"/>
      <c r="T75">
        <v>16</v>
      </c>
      <c r="U75" t="str">
        <v>ARC</v>
      </c>
      <c r="V75" t="str">
        <v>Carlo de Nysschen</v>
      </c>
      <c r="W75" t="str">
        <v>NULL</v>
      </c>
      <c r="X75" t="str">
        <v>Away</v>
      </c>
      <c r="Y75" t="str">
        <v>UTAH</v>
      </c>
      <c r="Z75">
        <v>6.59798780531366</v>
      </c>
      <c r="AA75" s="1"/>
      <c r="AB75" s="1" cm="1">
        <f t="array" ref="AB75">COUNT(_xlfn._xlws.FILTER($J$7:$J$10000,($L$7:$L$10000=AA75)*($M$7:$M$10000&lt;&gt;"NULL")*($J$7:$J$10000 &gt;= ($G$1-5))))/5</f>
        <v>0</v>
      </c>
    </row>
    <row r="76" spans="3:28" x14ac:dyDescent="0.35">
      <c r="J76" s="65">
        <v>8</v>
      </c>
      <c r="K76" t="s">
        <v>14</v>
      </c>
      <c r="L76" t="s">
        <v>488</v>
      </c>
      <c r="M76">
        <v>7.9</v>
      </c>
      <c r="N76" t="s">
        <v>3</v>
      </c>
      <c r="O76" t="s">
        <v>4</v>
      </c>
      <c r="P76">
        <f t="shared" si="9"/>
        <v>7.9497387900733454</v>
      </c>
      <c r="Q76">
        <f t="shared" si="8"/>
        <v>2.4739472379602862E-3</v>
      </c>
      <c r="R76" s="67" cm="1">
        <f t="array" ref="R76">SUMPRODUCT((J76=$J$7:$J$1000)*(P76&lt;$P$7:$P$1000))+1</f>
        <v>3</v>
      </c>
      <c r="S76" s="72"/>
      <c r="T76">
        <v>16</v>
      </c>
      <c r="U76" t="str">
        <v>ARC</v>
      </c>
      <c r="V76" t="str">
        <v>Ishma-eel Safodien</v>
      </c>
      <c r="W76" t="str">
        <v>NULL</v>
      </c>
      <c r="X76" t="str">
        <v>Away</v>
      </c>
      <c r="Y76" t="str">
        <v>UTAH</v>
      </c>
      <c r="Z76">
        <v>9.1293914364998834</v>
      </c>
      <c r="AA76" s="1"/>
      <c r="AB76" s="1" cm="1">
        <f t="array" ref="AB76">COUNT(_xlfn._xlws.FILTER($J$7:$J$10000,($L$7:$L$10000=AA76)*($M$7:$M$10000&lt;&gt;"NULL")*($J$7:$J$10000 &gt;= ($G$1-5))))/5</f>
        <v>0</v>
      </c>
    </row>
    <row r="77" spans="3:28" x14ac:dyDescent="0.35">
      <c r="J77" s="65">
        <v>8</v>
      </c>
      <c r="K77" t="s">
        <v>6</v>
      </c>
      <c r="L77" t="s">
        <v>437</v>
      </c>
      <c r="M77">
        <v>6.5</v>
      </c>
      <c r="N77" t="s">
        <v>9</v>
      </c>
      <c r="O77" t="s">
        <v>36</v>
      </c>
      <c r="P77">
        <f t="shared" si="9"/>
        <v>9.7700074272992694</v>
      </c>
      <c r="Q77">
        <f t="shared" si="8"/>
        <v>10.692948574592387</v>
      </c>
      <c r="R77" s="67" cm="1">
        <f t="array" ref="R77">SUMPRODUCT((J77=$J$7:$J$1000)*(P77&lt;$P$7:$P$1000))+1</f>
        <v>1</v>
      </c>
      <c r="S77" s="72"/>
      <c r="T77">
        <v>16</v>
      </c>
      <c r="U77" t="str">
        <v>ARC</v>
      </c>
      <c r="V77" t="str">
        <v>Karl Keane</v>
      </c>
      <c r="W77" t="str">
        <v>NULL</v>
      </c>
      <c r="X77" t="str">
        <v>Away</v>
      </c>
      <c r="Y77" t="str">
        <v>UTAH</v>
      </c>
      <c r="Z77">
        <v>5.2767588744940452</v>
      </c>
      <c r="AA77" s="1"/>
      <c r="AB77" s="1" cm="1">
        <f t="array" ref="AB77">COUNT(_xlfn._xlws.FILTER($J$7:$J$10000,($L$7:$L$10000=AA77)*($M$7:$M$10000&lt;&gt;"NULL")*($J$7:$J$10000 &gt;= ($G$1-5))))/5</f>
        <v>0</v>
      </c>
    </row>
    <row r="78" spans="3:28" x14ac:dyDescent="0.35">
      <c r="J78" s="65">
        <v>8</v>
      </c>
      <c r="K78" t="s">
        <v>7</v>
      </c>
      <c r="L78" t="s">
        <v>126</v>
      </c>
      <c r="M78">
        <v>5.3</v>
      </c>
      <c r="N78" t="s">
        <v>3</v>
      </c>
      <c r="O78" t="s">
        <v>17</v>
      </c>
      <c r="P78">
        <f t="shared" si="9"/>
        <v>1.6276672190873072</v>
      </c>
      <c r="Q78">
        <f t="shared" si="8"/>
        <v>13.486028053765951</v>
      </c>
      <c r="R78" s="67" cm="1">
        <f t="array" ref="R78">SUMPRODUCT((J78=$J$7:$J$1000)*(P78&lt;$P$7:$P$1000))+1</f>
        <v>9</v>
      </c>
      <c r="S78" s="72"/>
      <c r="T78">
        <v>16</v>
      </c>
      <c r="U78" t="str">
        <v>CHI</v>
      </c>
      <c r="V78" t="str">
        <v>Michael Baska</v>
      </c>
      <c r="W78" t="str">
        <v>NULL</v>
      </c>
      <c r="X78" t="str">
        <v>Home</v>
      </c>
      <c r="Y78" t="str">
        <v>NOLA</v>
      </c>
      <c r="Z78">
        <v>9.9843632737075545</v>
      </c>
      <c r="AA78" s="1"/>
      <c r="AB78" s="1" cm="1">
        <f t="array" ref="AB78">COUNT(_xlfn._xlws.FILTER($J$7:$J$10000,($L$7:$L$10000=AA78)*($M$7:$M$10000&lt;&gt;"NULL")*($J$7:$J$10000 &gt;= ($G$1-5))))/5</f>
        <v>0</v>
      </c>
    </row>
    <row r="79" spans="3:28" x14ac:dyDescent="0.35">
      <c r="J79" s="65">
        <v>8</v>
      </c>
      <c r="K79" t="s">
        <v>24</v>
      </c>
      <c r="L79" t="s">
        <v>439</v>
      </c>
      <c r="M79">
        <v>3.3</v>
      </c>
      <c r="N79" t="s">
        <v>9</v>
      </c>
      <c r="O79" t="s">
        <v>23</v>
      </c>
      <c r="P79">
        <f t="shared" si="9"/>
        <v>6.7897974907147116</v>
      </c>
      <c r="Q79">
        <f t="shared" si="8"/>
        <v>12.1786865261987</v>
      </c>
      <c r="R79" s="67" cm="1">
        <f t="array" ref="R79">SUMPRODUCT((J79=$J$7:$J$1000)*(P79&lt;$P$7:$P$1000))+1</f>
        <v>4</v>
      </c>
      <c r="S79" s="72"/>
      <c r="T79">
        <v>16</v>
      </c>
      <c r="U79" t="str">
        <v>CHI</v>
      </c>
      <c r="V79" t="str">
        <v>Mitch Short</v>
      </c>
      <c r="W79" t="str">
        <v>NULL</v>
      </c>
      <c r="X79" t="str">
        <v>Home</v>
      </c>
      <c r="Y79" t="str">
        <v>NOLA</v>
      </c>
      <c r="Z79">
        <v>6.2231409564147491</v>
      </c>
      <c r="AA79" s="1"/>
      <c r="AB79" s="1" cm="1">
        <f t="array" ref="AB79">COUNT(_xlfn._xlws.FILTER($J$7:$J$10000,($L$7:$L$10000=AA79)*($M$7:$M$10000&lt;&gt;"NULL")*($J$7:$J$10000 &gt;= ($G$1-5))))/5</f>
        <v>0</v>
      </c>
    </row>
    <row r="80" spans="3:28" x14ac:dyDescent="0.35">
      <c r="J80" s="65">
        <v>8</v>
      </c>
      <c r="K80" t="s">
        <v>2</v>
      </c>
      <c r="L80" t="s">
        <v>441</v>
      </c>
      <c r="M80">
        <v>1.6</v>
      </c>
      <c r="N80" t="s">
        <v>9</v>
      </c>
      <c r="O80" t="s">
        <v>34</v>
      </c>
      <c r="P80">
        <f t="shared" si="9"/>
        <v>5.3348649493605187</v>
      </c>
      <c r="Q80">
        <f t="shared" si="8"/>
        <v>13.949216189961749</v>
      </c>
      <c r="R80" s="67" cm="1">
        <f t="array" ref="R80">SUMPRODUCT((J80=$J$7:$J$1000)*(P80&lt;$P$7:$P$1000))+1</f>
        <v>7</v>
      </c>
      <c r="S80" s="72"/>
      <c r="T80">
        <v>16</v>
      </c>
      <c r="U80" t="str">
        <v>LA</v>
      </c>
      <c r="V80" t="str">
        <v>Gonzalo Bertranou</v>
      </c>
      <c r="W80" t="str">
        <v>NULL</v>
      </c>
      <c r="X80" t="str">
        <v>Away</v>
      </c>
      <c r="Y80" t="str">
        <v>OGDC</v>
      </c>
      <c r="Z80">
        <v>5.0882778536433992</v>
      </c>
      <c r="AA80" s="1"/>
      <c r="AB80" s="1" cm="1">
        <f t="array" ref="AB80">COUNT(_xlfn._xlws.FILTER($J$7:$J$10000,($L$7:$L$10000=AA80)*($M$7:$M$10000&lt;&gt;"NULL")*($J$7:$J$10000 &gt;= ($G$1-5))))/5</f>
        <v>0</v>
      </c>
    </row>
    <row r="81" spans="10:28" x14ac:dyDescent="0.35">
      <c r="J81" s="65">
        <v>8</v>
      </c>
      <c r="K81" t="s">
        <v>17</v>
      </c>
      <c r="L81" t="s">
        <v>81</v>
      </c>
      <c r="M81">
        <v>1</v>
      </c>
      <c r="N81" t="s">
        <v>9</v>
      </c>
      <c r="O81" t="s">
        <v>7</v>
      </c>
      <c r="P81">
        <f t="shared" si="9"/>
        <v>0.2808718712044902</v>
      </c>
      <c r="Q81">
        <f t="shared" si="8"/>
        <v>0.51714526562493135</v>
      </c>
      <c r="R81" s="67" cm="1">
        <f t="array" ref="R81">SUMPRODUCT((J81=$J$7:$J$1000)*(P81&lt;$P$7:$P$1000))+1</f>
        <v>10</v>
      </c>
      <c r="S81" s="72"/>
      <c r="T81">
        <v>16</v>
      </c>
      <c r="U81" t="str">
        <v>LA</v>
      </c>
      <c r="V81" t="str">
        <v>Tas Smith</v>
      </c>
      <c r="W81" t="str">
        <v>NULL</v>
      </c>
      <c r="X81" t="str">
        <v>Away</v>
      </c>
      <c r="Y81" t="str">
        <v>OGDC</v>
      </c>
      <c r="Z81">
        <v>3.5858100542450457</v>
      </c>
      <c r="AA81" s="1"/>
      <c r="AB81" s="1" cm="1">
        <f t="array" ref="AB81">COUNT(_xlfn._xlws.FILTER($J$7:$J$10000,($L$7:$L$10000=AA81)*($M$7:$M$10000&lt;&gt;"NULL")*($J$7:$J$10000 &gt;= ($G$1-5))))/5</f>
        <v>0</v>
      </c>
    </row>
    <row r="82" spans="10:28" x14ac:dyDescent="0.35">
      <c r="J82" s="65">
        <v>8</v>
      </c>
      <c r="K82" t="s">
        <v>23</v>
      </c>
      <c r="L82" t="s">
        <v>133</v>
      </c>
      <c r="M82">
        <v>0.6</v>
      </c>
      <c r="N82" t="s">
        <v>3</v>
      </c>
      <c r="O82" t="s">
        <v>24</v>
      </c>
      <c r="P82">
        <f t="shared" si="9"/>
        <v>2.0228095590887119</v>
      </c>
      <c r="Q82">
        <f t="shared" si="8"/>
        <v>2.0243870414342142</v>
      </c>
      <c r="R82" s="67" cm="1">
        <f t="array" ref="R82">SUMPRODUCT((J82=$J$7:$J$1000)*(P82&lt;$P$7:$P$1000))+1</f>
        <v>8</v>
      </c>
      <c r="S82" s="72"/>
      <c r="T82">
        <v>16</v>
      </c>
      <c r="U82" t="str">
        <v>MIA</v>
      </c>
      <c r="V82" t="str">
        <v>Tomás Cubelli</v>
      </c>
      <c r="W82" t="str">
        <v>NULL</v>
      </c>
      <c r="X82" t="str">
        <v>Home</v>
      </c>
      <c r="Y82" t="str">
        <v>SDL</v>
      </c>
      <c r="Z82">
        <v>8.2153629479202444</v>
      </c>
      <c r="AA82" s="1"/>
      <c r="AB82" s="1" cm="1">
        <f t="array" ref="AB82">COUNT(_xlfn._xlws.FILTER($J$7:$J$10000,($L$7:$L$10000=AA82)*($M$7:$M$10000&lt;&gt;"NULL")*($J$7:$J$10000 &gt;= ($G$1-5))))/5</f>
        <v>0</v>
      </c>
    </row>
    <row r="83" spans="10:28" x14ac:dyDescent="0.35">
      <c r="J83" s="65">
        <v>9</v>
      </c>
      <c r="K83" t="s">
        <v>14</v>
      </c>
      <c r="L83" t="s">
        <v>563</v>
      </c>
      <c r="M83">
        <v>13.9</v>
      </c>
      <c r="N83" t="s">
        <v>9</v>
      </c>
      <c r="O83" t="s">
        <v>2</v>
      </c>
      <c r="P83">
        <f t="shared" si="9"/>
        <v>8.8801311365407809</v>
      </c>
      <c r="Q83">
        <f t="shared" ref="Q83:Q114" si="10">IFERROR(($M83-$P83)^2,"")</f>
        <v>25.199083406327354</v>
      </c>
      <c r="R83" s="67" cm="1">
        <f t="array" ref="R83">SUMPRODUCT((J83=$J$7:$J$1000)*(P83&lt;$P$7:$P$1000))+1</f>
        <v>3</v>
      </c>
      <c r="S83" s="72"/>
      <c r="T83">
        <v>16</v>
      </c>
      <c r="U83" t="str">
        <v>MIA</v>
      </c>
      <c r="V83" t="str">
        <v>Tomás Inciarte</v>
      </c>
      <c r="W83" t="str">
        <v>NULL</v>
      </c>
      <c r="X83" t="str">
        <v>Home</v>
      </c>
      <c r="Y83" t="str">
        <v>SDL</v>
      </c>
      <c r="Z83">
        <v>8.5582716634797809</v>
      </c>
      <c r="AA83" s="1"/>
      <c r="AB83" s="1" cm="1">
        <f t="array" ref="AB83">COUNT(_xlfn._xlws.FILTER($J$7:$J$10000,($L$7:$L$10000=AA83)*($M$7:$M$10000&lt;&gt;"NULL")*($J$7:$J$10000 &gt;= ($G$1-5))))/5</f>
        <v>0</v>
      </c>
    </row>
    <row r="84" spans="10:28" x14ac:dyDescent="0.35">
      <c r="J84" s="65">
        <v>9</v>
      </c>
      <c r="K84" t="s">
        <v>24</v>
      </c>
      <c r="L84" t="s">
        <v>487</v>
      </c>
      <c r="M84">
        <v>13.3</v>
      </c>
      <c r="N84" t="s">
        <v>3</v>
      </c>
      <c r="O84" t="s">
        <v>36</v>
      </c>
      <c r="P84">
        <f t="shared" si="9"/>
        <v>9.2212248643787138</v>
      </c>
      <c r="Q84">
        <f t="shared" si="10"/>
        <v>16.636406606962446</v>
      </c>
      <c r="R84" s="67" cm="1">
        <f t="array" ref="R84">SUMPRODUCT((J84=$J$7:$J$1000)*(P84&lt;$P$7:$P$1000))+1</f>
        <v>2</v>
      </c>
      <c r="S84" s="72"/>
      <c r="T84">
        <v>16</v>
      </c>
      <c r="U84" t="str">
        <v>NEFJ</v>
      </c>
      <c r="V84" t="str">
        <v>Cam Nordli-Kelemeti</v>
      </c>
      <c r="W84" t="str">
        <v>NULL</v>
      </c>
      <c r="X84" t="str">
        <v>Home</v>
      </c>
      <c r="Y84" t="str">
        <v>SEA</v>
      </c>
      <c r="Z84">
        <v>2.4273588295347901</v>
      </c>
      <c r="AA84" s="1"/>
      <c r="AB84" s="1" cm="1">
        <f t="array" ref="AB84">COUNT(_xlfn._xlws.FILTER($J$7:$J$10000,($L$7:$L$10000=AA84)*($M$7:$M$10000&lt;&gt;"NULL")*($J$7:$J$10000 &gt;= ($G$1-5))))/5</f>
        <v>0</v>
      </c>
    </row>
    <row r="85" spans="10:28" x14ac:dyDescent="0.35">
      <c r="J85" s="65">
        <v>9</v>
      </c>
      <c r="K85" t="s">
        <v>6</v>
      </c>
      <c r="L85" t="s">
        <v>437</v>
      </c>
      <c r="M85">
        <v>13.2</v>
      </c>
      <c r="N85" t="s">
        <v>3</v>
      </c>
      <c r="O85" t="s">
        <v>13</v>
      </c>
      <c r="P85">
        <f t="shared" si="9"/>
        <v>8.141533913296449</v>
      </c>
      <c r="Q85">
        <f t="shared" si="10"/>
        <v>25.588079150329929</v>
      </c>
      <c r="R85" s="67" cm="1">
        <f t="array" ref="R85">SUMPRODUCT((J85=$J$7:$J$1000)*(P85&lt;$P$7:$P$1000))+1</f>
        <v>4</v>
      </c>
      <c r="S85" s="72"/>
      <c r="T85">
        <v>16</v>
      </c>
      <c r="U85" t="str">
        <v>NEFJ</v>
      </c>
      <c r="V85" t="str">
        <v>John Poland</v>
      </c>
      <c r="W85" t="str">
        <v>NULL</v>
      </c>
      <c r="X85" t="str">
        <v>Home</v>
      </c>
      <c r="Y85" t="str">
        <v>SEA</v>
      </c>
      <c r="Z85">
        <v>4.0628912608427408</v>
      </c>
      <c r="AA85" s="1"/>
      <c r="AB85" s="1" cm="1">
        <f t="array" ref="AB85">COUNT(_xlfn._xlws.FILTER($J$7:$J$10000,($L$7:$L$10000=AA85)*($M$7:$M$10000&lt;&gt;"NULL")*($J$7:$J$10000 &gt;= ($G$1-5))))/5</f>
        <v>0</v>
      </c>
    </row>
    <row r="86" spans="10:28" x14ac:dyDescent="0.35">
      <c r="J86" s="65">
        <v>9</v>
      </c>
      <c r="K86" t="s">
        <v>2</v>
      </c>
      <c r="L86" t="s">
        <v>441</v>
      </c>
      <c r="M86">
        <v>11.1</v>
      </c>
      <c r="N86" t="s">
        <v>3</v>
      </c>
      <c r="O86" t="s">
        <v>14</v>
      </c>
      <c r="P86">
        <f t="shared" si="9"/>
        <v>9.2577770130858283</v>
      </c>
      <c r="Q86">
        <f t="shared" si="10"/>
        <v>3.3937855335149711</v>
      </c>
      <c r="R86" s="67" cm="1">
        <f t="array" ref="R86">SUMPRODUCT((J86=$J$7:$J$1000)*(P86&lt;$P$7:$P$1000))+1</f>
        <v>1</v>
      </c>
      <c r="S86" s="72"/>
      <c r="T86">
        <v>16</v>
      </c>
      <c r="U86" t="str">
        <v>NEFJ</v>
      </c>
      <c r="V86" t="str">
        <v>Oscar Lennon</v>
      </c>
      <c r="W86" t="str">
        <v>NULL</v>
      </c>
      <c r="X86" t="str">
        <v>Home</v>
      </c>
      <c r="Y86" t="str">
        <v>SEA</v>
      </c>
      <c r="Z86">
        <v>2.8757031778707294</v>
      </c>
      <c r="AA86" s="1"/>
      <c r="AB86" s="1" cm="1">
        <f t="array" ref="AB86">COUNT(_xlfn._xlws.FILTER($J$7:$J$10000,($L$7:$L$10000=AA86)*($M$7:$M$10000&lt;&gt;"NULL")*($J$7:$J$10000 &gt;= ($G$1-5))))/5</f>
        <v>0</v>
      </c>
    </row>
    <row r="87" spans="10:28" x14ac:dyDescent="0.35">
      <c r="J87" s="65">
        <v>9</v>
      </c>
      <c r="K87" t="s">
        <v>34</v>
      </c>
      <c r="L87" t="s">
        <v>440</v>
      </c>
      <c r="M87">
        <v>5.8</v>
      </c>
      <c r="N87" t="s">
        <v>9</v>
      </c>
      <c r="O87" t="s">
        <v>23</v>
      </c>
      <c r="P87">
        <f t="shared" si="9"/>
        <v>6.0001813133432895</v>
      </c>
      <c r="Q87">
        <f t="shared" si="10"/>
        <v>4.0072558211844335E-2</v>
      </c>
      <c r="R87" s="67" cm="1">
        <f t="array" ref="R87">SUMPRODUCT((J87=$J$7:$J$1000)*(P87&lt;$P$7:$P$1000))+1</f>
        <v>7</v>
      </c>
      <c r="S87" s="72"/>
      <c r="T87">
        <v>16</v>
      </c>
      <c r="U87" t="str">
        <v>NOLA</v>
      </c>
      <c r="V87" t="str">
        <v>Damian Stevens</v>
      </c>
      <c r="W87" t="str">
        <v>NULL</v>
      </c>
      <c r="X87" t="str">
        <v>Away</v>
      </c>
      <c r="Y87" t="str">
        <v>CHI</v>
      </c>
      <c r="Z87">
        <v>12.979443132077767</v>
      </c>
      <c r="AA87" s="1"/>
      <c r="AB87" s="1" cm="1">
        <f t="array" ref="AB87">COUNT(_xlfn._xlws.FILTER($J$7:$J$10000,($L$7:$L$10000=AA87)*($M$7:$M$10000&lt;&gt;"NULL")*($J$7:$J$10000 &gt;= ($G$1-5))))/5</f>
        <v>0</v>
      </c>
    </row>
    <row r="88" spans="10:28" x14ac:dyDescent="0.35">
      <c r="J88" s="65">
        <v>9</v>
      </c>
      <c r="K88" t="s">
        <v>36</v>
      </c>
      <c r="L88" t="s">
        <v>123</v>
      </c>
      <c r="M88">
        <v>4.9000000000000004</v>
      </c>
      <c r="N88" t="s">
        <v>9</v>
      </c>
      <c r="O88" t="s">
        <v>24</v>
      </c>
      <c r="P88">
        <f t="shared" si="9"/>
        <v>6.3536194801663335</v>
      </c>
      <c r="Q88">
        <f t="shared" si="10"/>
        <v>2.1130095931190405</v>
      </c>
      <c r="R88" s="67" cm="1">
        <f t="array" ref="R88">SUMPRODUCT((J88=$J$7:$J$1000)*(P88&lt;$P$7:$P$1000))+1</f>
        <v>6</v>
      </c>
      <c r="S88" s="72"/>
      <c r="T88">
        <v>16</v>
      </c>
      <c r="U88" t="str">
        <v>NOLA</v>
      </c>
      <c r="V88" t="str">
        <v>Luke Campbell</v>
      </c>
      <c r="W88" t="str">
        <v>NULL</v>
      </c>
      <c r="X88" t="str">
        <v>Away</v>
      </c>
      <c r="Y88" t="str">
        <v>CHI</v>
      </c>
      <c r="Z88">
        <v>4.2859855947643206</v>
      </c>
      <c r="AA88" s="1"/>
      <c r="AB88" s="1" cm="1">
        <f t="array" ref="AB88">COUNT(_xlfn._xlws.FILTER($J$7:$J$10000,($L$7:$L$10000=AA88)*($M$7:$M$10000&lt;&gt;"NULL")*($J$7:$J$10000 &gt;= ($G$1-5))))/5</f>
        <v>0</v>
      </c>
    </row>
    <row r="89" spans="10:28" x14ac:dyDescent="0.35">
      <c r="J89" s="66">
        <v>9</v>
      </c>
      <c r="K89" t="s">
        <v>4</v>
      </c>
      <c r="L89" t="s">
        <v>125</v>
      </c>
      <c r="M89">
        <v>4.2</v>
      </c>
      <c r="N89" t="s">
        <v>3</v>
      </c>
      <c r="O89" t="s">
        <v>7</v>
      </c>
      <c r="P89">
        <f t="shared" si="9"/>
        <v>0.47789916427350798</v>
      </c>
      <c r="Q89">
        <f t="shared" si="10"/>
        <v>13.854034631315852</v>
      </c>
      <c r="R89" s="67" cm="1">
        <f t="array" ref="R89">SUMPRODUCT((J89=$J$7:$J$1000)*(P89&lt;$P$7:$P$1000))+1</f>
        <v>10</v>
      </c>
      <c r="S89" s="72"/>
      <c r="T89">
        <v>16</v>
      </c>
      <c r="U89" t="str">
        <v>NOLA</v>
      </c>
      <c r="V89" t="str">
        <v>Ruben de Haas</v>
      </c>
      <c r="W89" t="str">
        <v>NULL</v>
      </c>
      <c r="X89" t="str">
        <v>Away</v>
      </c>
      <c r="Y89" t="str">
        <v>CHI</v>
      </c>
      <c r="Z89">
        <v>5.0277400411614837</v>
      </c>
      <c r="AA89" s="1"/>
      <c r="AB89" s="1" cm="1">
        <f t="array" ref="AB89">COUNT(_xlfn._xlws.FILTER($J$7:$J$10000,($L$7:$L$10000=AA89)*($M$7:$M$10000&lt;&gt;"NULL")*($J$7:$J$10000 &gt;= ($G$1-5))))/5</f>
        <v>0</v>
      </c>
    </row>
    <row r="90" spans="10:28" x14ac:dyDescent="0.35">
      <c r="J90" s="65">
        <v>9</v>
      </c>
      <c r="K90" t="s">
        <v>13</v>
      </c>
      <c r="L90" t="s">
        <v>49</v>
      </c>
      <c r="M90">
        <v>3.1</v>
      </c>
      <c r="N90" t="s">
        <v>9</v>
      </c>
      <c r="O90" t="s">
        <v>6</v>
      </c>
      <c r="P90">
        <f t="shared" si="9"/>
        <v>7.8242693718422869</v>
      </c>
      <c r="Q90">
        <f t="shared" si="10"/>
        <v>22.31872109772711</v>
      </c>
      <c r="R90" s="67" cm="1">
        <f t="array" ref="R90">SUMPRODUCT((J90=$J$7:$J$1000)*(P90&lt;$P$7:$P$1000))+1</f>
        <v>5</v>
      </c>
      <c r="S90" s="72"/>
      <c r="T90">
        <v>16</v>
      </c>
      <c r="U90" t="str">
        <v>OGDC</v>
      </c>
      <c r="V90" t="str">
        <v>Connor Buckley</v>
      </c>
      <c r="W90" t="str">
        <v>NULL</v>
      </c>
      <c r="X90" t="str">
        <v>Home</v>
      </c>
      <c r="Y90" t="str">
        <v>LA</v>
      </c>
      <c r="Z90">
        <v>0.99493199081237349</v>
      </c>
      <c r="AA90" s="1"/>
      <c r="AB90" s="1" cm="1">
        <f t="array" ref="AB90">COUNT(_xlfn._xlws.FILTER($J$7:$J$10000,($L$7:$L$10000=AA90)*($M$7:$M$10000&lt;&gt;"NULL")*($J$7:$J$10000 &gt;= ($G$1-5))))/5</f>
        <v>0</v>
      </c>
    </row>
    <row r="91" spans="10:28" x14ac:dyDescent="0.35">
      <c r="J91" s="66">
        <v>9</v>
      </c>
      <c r="K91" t="s">
        <v>7</v>
      </c>
      <c r="L91" t="s">
        <v>126</v>
      </c>
      <c r="M91">
        <v>0.7</v>
      </c>
      <c r="N91" t="s">
        <v>9</v>
      </c>
      <c r="O91" t="s">
        <v>4</v>
      </c>
      <c r="P91">
        <f t="shared" si="9"/>
        <v>4.6519468478652088</v>
      </c>
      <c r="Q91">
        <f t="shared" si="10"/>
        <v>15.617883888351759</v>
      </c>
      <c r="R91" s="67" cm="1">
        <f t="array" ref="R91">SUMPRODUCT((J91=$J$7:$J$1000)*(P91&lt;$P$7:$P$1000))+1</f>
        <v>8</v>
      </c>
      <c r="S91" s="72"/>
      <c r="T91">
        <v>16</v>
      </c>
      <c r="U91" t="str">
        <v>OGDC</v>
      </c>
      <c r="V91" t="str">
        <v>Ethan McVeigh</v>
      </c>
      <c r="W91" t="str">
        <v>NULL</v>
      </c>
      <c r="X91" t="str">
        <v>Home</v>
      </c>
      <c r="Y91" t="str">
        <v>LA</v>
      </c>
      <c r="Z91">
        <v>0.87664368881252863</v>
      </c>
      <c r="AA91" s="1"/>
      <c r="AB91" s="1" cm="1">
        <f t="array" ref="AB91">COUNT(_xlfn._xlws.FILTER($J$7:$J$10000,($L$7:$L$10000=AA91)*($M$7:$M$10000&lt;&gt;"NULL")*($J$7:$J$10000 &gt;= ($G$1-5))))/5</f>
        <v>0</v>
      </c>
    </row>
    <row r="92" spans="10:28" x14ac:dyDescent="0.35">
      <c r="J92" s="65">
        <v>9</v>
      </c>
      <c r="K92" t="s">
        <v>23</v>
      </c>
      <c r="L92" t="s">
        <v>133</v>
      </c>
      <c r="M92">
        <v>-0.7</v>
      </c>
      <c r="N92" t="s">
        <v>3</v>
      </c>
      <c r="O92" t="s">
        <v>34</v>
      </c>
      <c r="P92">
        <f t="shared" si="9"/>
        <v>3.5592717804615956</v>
      </c>
      <c r="Q92">
        <f t="shared" si="10"/>
        <v>18.141396099836491</v>
      </c>
      <c r="R92" s="67" cm="1">
        <f t="array" ref="R92">SUMPRODUCT((J92=$J$7:$J$1000)*(P92&lt;$P$7:$P$1000))+1</f>
        <v>9</v>
      </c>
      <c r="S92" s="72"/>
      <c r="T92">
        <v>16</v>
      </c>
      <c r="U92" t="str">
        <v>SDL</v>
      </c>
      <c r="V92" t="str">
        <v>Connor Tupai</v>
      </c>
      <c r="W92" t="str">
        <v>NULL</v>
      </c>
      <c r="X92" t="str">
        <v>Away</v>
      </c>
      <c r="Y92" t="str">
        <v>MIA</v>
      </c>
      <c r="Z92">
        <v>8.9687922931830837</v>
      </c>
      <c r="AA92" s="1"/>
      <c r="AB92" s="1"/>
    </row>
    <row r="93" spans="10:28" x14ac:dyDescent="0.35">
      <c r="J93" s="65">
        <v>10</v>
      </c>
      <c r="K93" t="s">
        <v>13</v>
      </c>
      <c r="L93" t="s">
        <v>49</v>
      </c>
      <c r="M93">
        <v>13.5</v>
      </c>
      <c r="N93" t="s">
        <v>9</v>
      </c>
      <c r="O93" t="s">
        <v>34</v>
      </c>
      <c r="P93">
        <f t="shared" si="9"/>
        <v>9.5889175510440268</v>
      </c>
      <c r="Q93">
        <f t="shared" si="10"/>
        <v>15.296565922531453</v>
      </c>
      <c r="R93" s="67" cm="1">
        <f t="array" ref="R93">SUMPRODUCT((J93=$J$7:$J$1000)*(P93&lt;$P$7:$P$1000))+1</f>
        <v>1</v>
      </c>
      <c r="S93" s="72"/>
      <c r="T93">
        <v>16</v>
      </c>
      <c r="U93" t="str">
        <v>SDL</v>
      </c>
      <c r="V93" t="str">
        <v>Richard Judd</v>
      </c>
      <c r="W93" t="str">
        <v>NULL</v>
      </c>
      <c r="X93" t="str">
        <v>Away</v>
      </c>
      <c r="Y93" t="str">
        <v>MIA</v>
      </c>
      <c r="Z93">
        <v>6.3913298845743709</v>
      </c>
    </row>
    <row r="94" spans="10:28" x14ac:dyDescent="0.35">
      <c r="J94" s="65">
        <v>10</v>
      </c>
      <c r="K94" t="s">
        <v>4</v>
      </c>
      <c r="L94" t="s">
        <v>489</v>
      </c>
      <c r="M94">
        <v>12.6</v>
      </c>
      <c r="N94" t="s">
        <v>9</v>
      </c>
      <c r="O94" t="s">
        <v>36</v>
      </c>
      <c r="P94">
        <f t="shared" si="9"/>
        <v>6.4034285197249741</v>
      </c>
      <c r="Q94">
        <f t="shared" si="10"/>
        <v>38.397498110157819</v>
      </c>
      <c r="R94" s="67" cm="1">
        <f t="array" ref="R94">SUMPRODUCT((J94=$J$7:$J$1000)*(P94&lt;$P$7:$P$1000))+1</f>
        <v>7</v>
      </c>
      <c r="S94" s="72"/>
      <c r="T94">
        <v>16</v>
      </c>
      <c r="U94" t="str">
        <v>SEA</v>
      </c>
      <c r="V94" t="str">
        <v>JP Smith</v>
      </c>
      <c r="W94" t="str">
        <v>NULL</v>
      </c>
      <c r="X94" t="str">
        <v>Away</v>
      </c>
      <c r="Y94" t="str">
        <v>NEFJ</v>
      </c>
      <c r="Z94">
        <v>2.3720374513574614</v>
      </c>
    </row>
    <row r="95" spans="10:28" x14ac:dyDescent="0.35">
      <c r="J95" s="65">
        <v>10</v>
      </c>
      <c r="K95" t="s">
        <v>2</v>
      </c>
      <c r="L95" t="s">
        <v>590</v>
      </c>
      <c r="M95">
        <v>11.2</v>
      </c>
      <c r="N95" t="s">
        <v>9</v>
      </c>
      <c r="O95" t="s">
        <v>17</v>
      </c>
      <c r="P95">
        <f t="shared" si="9"/>
        <v>7.9641743157265159</v>
      </c>
      <c r="Q95">
        <f t="shared" si="10"/>
        <v>10.470567859003957</v>
      </c>
      <c r="R95" s="67" cm="1">
        <f t="array" ref="R95">SUMPRODUCT((J95=$J$7:$J$1000)*(P95&lt;$P$7:$P$1000))+1</f>
        <v>4</v>
      </c>
      <c r="S95" s="72"/>
      <c r="T95">
        <v>16</v>
      </c>
      <c r="U95" t="str">
        <v>UTAH</v>
      </c>
      <c r="V95" t="str">
        <v>Logan Crowley</v>
      </c>
      <c r="W95" t="str">
        <v>NULL</v>
      </c>
      <c r="X95" t="str">
        <v>Home</v>
      </c>
      <c r="Y95" t="str">
        <v>ARC</v>
      </c>
      <c r="Z95">
        <v>10.237969905198305</v>
      </c>
    </row>
    <row r="96" spans="10:28" x14ac:dyDescent="0.35">
      <c r="J96" s="66">
        <v>10</v>
      </c>
      <c r="K96" t="s">
        <v>23</v>
      </c>
      <c r="L96" t="s">
        <v>515</v>
      </c>
      <c r="M96">
        <v>8.3000000000000007</v>
      </c>
      <c r="N96" t="s">
        <v>9</v>
      </c>
      <c r="O96" t="s">
        <v>14</v>
      </c>
      <c r="P96">
        <f t="shared" si="9"/>
        <v>8.9346188633197094</v>
      </c>
      <c r="Q96">
        <f t="shared" si="10"/>
        <v>0.40274110168119914</v>
      </c>
      <c r="R96" s="67" cm="1">
        <f t="array" ref="R96">SUMPRODUCT((J96=$J$7:$J$1000)*(P96&lt;$P$7:$P$1000))+1</f>
        <v>2</v>
      </c>
      <c r="S96" s="72"/>
      <c r="T96">
        <v>16</v>
      </c>
      <c r="U96" t="str">
        <v>UTAH</v>
      </c>
      <c r="V96" t="str">
        <v>Zion Going</v>
      </c>
      <c r="W96" t="str">
        <v>NULL</v>
      </c>
      <c r="X96" t="str">
        <v>Home</v>
      </c>
      <c r="Y96" t="str">
        <v>ARC</v>
      </c>
      <c r="Z96">
        <v>13.511829614769336</v>
      </c>
    </row>
    <row r="97" spans="10:19" x14ac:dyDescent="0.35">
      <c r="J97" s="66">
        <v>10</v>
      </c>
      <c r="K97" t="s">
        <v>34</v>
      </c>
      <c r="L97" t="s">
        <v>440</v>
      </c>
      <c r="M97">
        <v>6</v>
      </c>
      <c r="N97" t="s">
        <v>3</v>
      </c>
      <c r="O97" t="s">
        <v>13</v>
      </c>
      <c r="P97">
        <f t="shared" si="9"/>
        <v>6.9622717928433664</v>
      </c>
      <c r="Q97">
        <f t="shared" si="10"/>
        <v>0.92596700330198667</v>
      </c>
      <c r="R97" s="67" cm="1">
        <f t="array" ref="R97">SUMPRODUCT((J97=$J$7:$J$1000)*(P97&lt;$P$7:$P$1000))+1</f>
        <v>6</v>
      </c>
      <c r="S97" s="72"/>
    </row>
    <row r="98" spans="10:19" x14ac:dyDescent="0.35">
      <c r="J98" s="65">
        <v>10</v>
      </c>
      <c r="K98" t="s">
        <v>14</v>
      </c>
      <c r="L98" t="s">
        <v>563</v>
      </c>
      <c r="M98">
        <v>4.9000000000000004</v>
      </c>
      <c r="N98" t="s">
        <v>3</v>
      </c>
      <c r="O98" t="s">
        <v>23</v>
      </c>
      <c r="P98">
        <f t="shared" si="9"/>
        <v>7.1632102862029416</v>
      </c>
      <c r="Q98">
        <f t="shared" si="10"/>
        <v>5.122120799574799</v>
      </c>
      <c r="R98" s="67" cm="1">
        <f t="array" ref="R98">SUMPRODUCT((J98=$J$7:$J$1000)*(P98&lt;$P$7:$P$1000))+1</f>
        <v>5</v>
      </c>
      <c r="S98" s="72"/>
    </row>
    <row r="99" spans="10:19" x14ac:dyDescent="0.35">
      <c r="J99" s="66">
        <v>10</v>
      </c>
      <c r="K99" t="s">
        <v>24</v>
      </c>
      <c r="L99" t="s">
        <v>439</v>
      </c>
      <c r="M99">
        <v>4.9000000000000004</v>
      </c>
      <c r="N99" t="s">
        <v>9</v>
      </c>
      <c r="O99" t="s">
        <v>7</v>
      </c>
      <c r="P99">
        <f t="shared" si="9"/>
        <v>4.6986319105617405</v>
      </c>
      <c r="Q99">
        <f t="shared" si="10"/>
        <v>4.0549107444015041E-2</v>
      </c>
      <c r="R99" s="67" cm="1">
        <f t="array" ref="R99">SUMPRODUCT((J99=$J$7:$J$1000)*(P99&lt;$P$7:$P$1000))+1</f>
        <v>8</v>
      </c>
      <c r="S99" s="72"/>
    </row>
    <row r="100" spans="10:19" x14ac:dyDescent="0.35">
      <c r="J100" s="65">
        <v>10</v>
      </c>
      <c r="K100" t="s">
        <v>17</v>
      </c>
      <c r="L100" t="s">
        <v>81</v>
      </c>
      <c r="M100">
        <v>3</v>
      </c>
      <c r="N100" t="s">
        <v>3</v>
      </c>
      <c r="O100" t="s">
        <v>2</v>
      </c>
      <c r="P100">
        <f t="shared" si="9"/>
        <v>3.0848676308984371</v>
      </c>
      <c r="Q100">
        <f t="shared" si="10"/>
        <v>7.2025147743133514E-3</v>
      </c>
      <c r="R100" s="67" cm="1">
        <f t="array" ref="R100">SUMPRODUCT((J100=$J$7:$J$1000)*(P100&lt;$P$7:$P$1000))+1</f>
        <v>9</v>
      </c>
      <c r="S100" s="72"/>
    </row>
    <row r="101" spans="10:19" x14ac:dyDescent="0.35">
      <c r="J101" s="66">
        <v>10</v>
      </c>
      <c r="K101" t="s">
        <v>36</v>
      </c>
      <c r="L101" t="s">
        <v>123</v>
      </c>
      <c r="M101">
        <v>2.5</v>
      </c>
      <c r="N101" t="s">
        <v>3</v>
      </c>
      <c r="O101" t="s">
        <v>4</v>
      </c>
      <c r="P101">
        <f t="shared" si="9"/>
        <v>8.7783577085934485</v>
      </c>
      <c r="Q101">
        <f t="shared" si="10"/>
        <v>39.417775517054778</v>
      </c>
      <c r="R101" s="67" cm="1">
        <f t="array" ref="R101">SUMPRODUCT((J101=$J$7:$J$1000)*(P101&lt;$P$7:$P$1000))+1</f>
        <v>3</v>
      </c>
      <c r="S101" s="72"/>
    </row>
    <row r="102" spans="10:19" x14ac:dyDescent="0.35">
      <c r="J102" s="65">
        <v>10</v>
      </c>
      <c r="K102" t="s">
        <v>7</v>
      </c>
      <c r="L102" t="s">
        <v>126</v>
      </c>
      <c r="M102">
        <v>1.6</v>
      </c>
      <c r="N102" t="s">
        <v>3</v>
      </c>
      <c r="O102" t="s">
        <v>24</v>
      </c>
      <c r="P102">
        <f t="shared" si="9"/>
        <v>1.2231179486412287</v>
      </c>
      <c r="Q102">
        <f t="shared" si="10"/>
        <v>0.14204008063639559</v>
      </c>
      <c r="R102" s="67" cm="1">
        <f t="array" ref="R102">SUMPRODUCT((J102=$J$7:$J$1000)*(P102&lt;$P$7:$P$1000))+1</f>
        <v>10</v>
      </c>
      <c r="S102" s="72"/>
    </row>
    <row r="103" spans="10:19" x14ac:dyDescent="0.35">
      <c r="J103" s="65">
        <v>11</v>
      </c>
      <c r="K103" t="s">
        <v>24</v>
      </c>
      <c r="L103" t="s">
        <v>439</v>
      </c>
      <c r="M103">
        <v>11.1</v>
      </c>
      <c r="N103" t="s">
        <v>3</v>
      </c>
      <c r="O103" t="s">
        <v>14</v>
      </c>
      <c r="P103">
        <f t="shared" si="9"/>
        <v>12.640320347043986</v>
      </c>
      <c r="Q103">
        <f t="shared" si="10"/>
        <v>2.3725867715177054</v>
      </c>
      <c r="R103" s="67" cm="1">
        <f t="array" ref="R103">SUMPRODUCT((J103=$J$7:$J$1000)*(P103&lt;$P$7:$P$1000))+1</f>
        <v>1</v>
      </c>
      <c r="S103" s="72"/>
    </row>
    <row r="104" spans="10:19" x14ac:dyDescent="0.35">
      <c r="J104" s="66">
        <v>11</v>
      </c>
      <c r="K104" t="s">
        <v>6</v>
      </c>
      <c r="L104" t="s">
        <v>605</v>
      </c>
      <c r="M104">
        <v>7.6</v>
      </c>
      <c r="N104" t="s">
        <v>9</v>
      </c>
      <c r="O104" t="s">
        <v>34</v>
      </c>
      <c r="P104">
        <f t="shared" si="9"/>
        <v>7.6045864270019816</v>
      </c>
      <c r="Q104">
        <f t="shared" si="10"/>
        <v>2.103531264450936E-5</v>
      </c>
      <c r="R104" s="67" cm="1">
        <f t="array" ref="R104">SUMPRODUCT((J104=$J$7:$J$1000)*(P104&lt;$P$7:$P$1000))+1</f>
        <v>6</v>
      </c>
      <c r="S104" s="72"/>
    </row>
    <row r="105" spans="10:19" x14ac:dyDescent="0.35">
      <c r="J105" s="66">
        <v>11</v>
      </c>
      <c r="K105" t="s">
        <v>34</v>
      </c>
      <c r="L105" t="s">
        <v>550</v>
      </c>
      <c r="M105">
        <v>6.6</v>
      </c>
      <c r="N105" t="s">
        <v>9</v>
      </c>
      <c r="O105" t="s">
        <v>6</v>
      </c>
      <c r="P105">
        <f t="shared" si="9"/>
        <v>8.7406063353542276</v>
      </c>
      <c r="Q105">
        <f t="shared" si="10"/>
        <v>4.5821954829586575</v>
      </c>
      <c r="R105" s="67" cm="1">
        <f t="array" ref="R105">SUMPRODUCT((J105=$J$7:$J$1000)*(P105&lt;$P$7:$P$1000))+1</f>
        <v>2</v>
      </c>
      <c r="S105" s="72"/>
    </row>
    <row r="106" spans="10:19" x14ac:dyDescent="0.35">
      <c r="J106" s="66">
        <v>11</v>
      </c>
      <c r="K106" t="s">
        <v>17</v>
      </c>
      <c r="L106" t="s">
        <v>81</v>
      </c>
      <c r="M106">
        <v>6.5</v>
      </c>
      <c r="N106" t="s">
        <v>9</v>
      </c>
      <c r="O106" t="s">
        <v>4</v>
      </c>
      <c r="P106">
        <f t="shared" si="9"/>
        <v>5.6899695864140902</v>
      </c>
      <c r="Q106">
        <f t="shared" si="10"/>
        <v>0.65614927093416009</v>
      </c>
      <c r="R106" s="67" cm="1">
        <f t="array" ref="R106">SUMPRODUCT((J106=$J$7:$J$1000)*(P106&lt;$P$7:$P$1000))+1</f>
        <v>7</v>
      </c>
      <c r="S106" s="72"/>
    </row>
    <row r="107" spans="10:19" x14ac:dyDescent="0.35">
      <c r="J107" s="65">
        <v>11</v>
      </c>
      <c r="K107" t="s">
        <v>4</v>
      </c>
      <c r="L107" t="s">
        <v>489</v>
      </c>
      <c r="M107">
        <v>6</v>
      </c>
      <c r="N107" t="s">
        <v>3</v>
      </c>
      <c r="O107" t="s">
        <v>17</v>
      </c>
      <c r="P107">
        <f t="shared" si="9"/>
        <v>4.1065170325008014</v>
      </c>
      <c r="Q107">
        <f t="shared" si="10"/>
        <v>3.5852777482095712</v>
      </c>
      <c r="R107" s="67" cm="1">
        <f t="array" ref="R107">SUMPRODUCT((J107=$J$7:$J$1000)*(P107&lt;$P$7:$P$1000))+1</f>
        <v>11</v>
      </c>
      <c r="S107" s="72"/>
    </row>
    <row r="108" spans="10:19" x14ac:dyDescent="0.35">
      <c r="J108" s="66">
        <v>11</v>
      </c>
      <c r="K108" t="s">
        <v>2</v>
      </c>
      <c r="L108" t="s">
        <v>590</v>
      </c>
      <c r="M108">
        <v>5.4</v>
      </c>
      <c r="N108" t="s">
        <v>9</v>
      </c>
      <c r="O108" t="s">
        <v>13</v>
      </c>
      <c r="P108">
        <f t="shared" si="9"/>
        <v>8.6326122889478665</v>
      </c>
      <c r="Q108">
        <f t="shared" si="10"/>
        <v>10.449782210656762</v>
      </c>
      <c r="R108" s="67" cm="1">
        <f t="array" ref="R108">SUMPRODUCT((J108=$J$7:$J$1000)*(P108&lt;$P$7:$P$1000))+1</f>
        <v>3</v>
      </c>
      <c r="S108" s="72"/>
    </row>
    <row r="109" spans="10:19" x14ac:dyDescent="0.35">
      <c r="J109" s="66">
        <v>11</v>
      </c>
      <c r="K109" t="s">
        <v>14</v>
      </c>
      <c r="L109" t="s">
        <v>563</v>
      </c>
      <c r="M109">
        <v>5.3</v>
      </c>
      <c r="N109" t="s">
        <v>9</v>
      </c>
      <c r="O109" t="s">
        <v>24</v>
      </c>
      <c r="P109">
        <f t="shared" si="9"/>
        <v>8.0564041928324546</v>
      </c>
      <c r="Q109">
        <f t="shared" si="10"/>
        <v>7.5977640742643366</v>
      </c>
      <c r="R109" s="67" cm="1">
        <f t="array" ref="R109">SUMPRODUCT((J109=$J$7:$J$1000)*(P109&lt;$P$7:$P$1000))+1</f>
        <v>5</v>
      </c>
      <c r="S109" s="72"/>
    </row>
    <row r="110" spans="10:19" x14ac:dyDescent="0.35">
      <c r="J110" s="65">
        <v>11</v>
      </c>
      <c r="K110" t="s">
        <v>17</v>
      </c>
      <c r="L110" t="s">
        <v>81</v>
      </c>
      <c r="M110">
        <v>5.0999999999999996</v>
      </c>
      <c r="N110" t="s">
        <v>9</v>
      </c>
      <c r="O110" t="s">
        <v>4</v>
      </c>
      <c r="P110">
        <f t="shared" si="9"/>
        <v>5.6899695864140902</v>
      </c>
      <c r="Q110">
        <f t="shared" si="10"/>
        <v>0.34806411289361311</v>
      </c>
      <c r="R110" s="67" cm="1">
        <f t="array" ref="R110">SUMPRODUCT((J110=$J$7:$J$1000)*(P110&lt;$P$7:$P$1000))+1</f>
        <v>7</v>
      </c>
      <c r="S110" s="72"/>
    </row>
    <row r="111" spans="10:19" x14ac:dyDescent="0.35">
      <c r="J111" s="66">
        <v>11</v>
      </c>
      <c r="K111" t="s">
        <v>6</v>
      </c>
      <c r="L111" t="s">
        <v>437</v>
      </c>
      <c r="M111">
        <v>4.5</v>
      </c>
      <c r="N111" t="s">
        <v>3</v>
      </c>
      <c r="O111" t="s">
        <v>34</v>
      </c>
      <c r="P111">
        <f t="shared" si="9"/>
        <v>8.6050088910019049</v>
      </c>
      <c r="Q111">
        <f t="shared" si="10"/>
        <v>16.85109799520469</v>
      </c>
      <c r="R111" s="67" cm="1">
        <f t="array" ref="R111">SUMPRODUCT((J111=$J$7:$J$1000)*(P111&lt;$P$7:$P$1000))+1</f>
        <v>4</v>
      </c>
      <c r="S111" s="72"/>
    </row>
    <row r="112" spans="10:19" x14ac:dyDescent="0.35">
      <c r="J112" s="66">
        <v>11</v>
      </c>
      <c r="K112" t="s">
        <v>14</v>
      </c>
      <c r="L112" t="s">
        <v>488</v>
      </c>
      <c r="M112">
        <v>4.3</v>
      </c>
      <c r="N112" t="s">
        <v>3</v>
      </c>
      <c r="O112" t="s">
        <v>24</v>
      </c>
      <c r="P112">
        <f t="shared" si="9"/>
        <v>5.0229552262477979</v>
      </c>
      <c r="Q112">
        <f t="shared" si="10"/>
        <v>0.52266425915900494</v>
      </c>
      <c r="R112" s="67" cm="1">
        <f t="array" ref="R112">SUMPRODUCT((J112=$J$7:$J$1000)*(P112&lt;$P$7:$P$1000))+1</f>
        <v>10</v>
      </c>
      <c r="S112" s="72"/>
    </row>
    <row r="113" spans="10:19" x14ac:dyDescent="0.35">
      <c r="J113" s="66">
        <v>11</v>
      </c>
      <c r="K113" t="s">
        <v>13</v>
      </c>
      <c r="L113" t="s">
        <v>472</v>
      </c>
      <c r="M113">
        <v>3.1</v>
      </c>
      <c r="N113" t="s">
        <v>3</v>
      </c>
      <c r="O113" t="s">
        <v>2</v>
      </c>
      <c r="P113">
        <f t="shared" si="9"/>
        <v>5.1002772284100057</v>
      </c>
      <c r="Q113">
        <f t="shared" si="10"/>
        <v>4.0011089904956139</v>
      </c>
      <c r="R113" s="67" cm="1">
        <f t="array" ref="R113">SUMPRODUCT((J113=$J$7:$J$1000)*(P113&lt;$P$7:$P$1000))+1</f>
        <v>9</v>
      </c>
      <c r="S113" s="72"/>
    </row>
    <row r="114" spans="10:19" x14ac:dyDescent="0.35">
      <c r="J114" s="66">
        <v>11</v>
      </c>
      <c r="K114" t="s">
        <v>7</v>
      </c>
      <c r="L114" t="s">
        <v>131</v>
      </c>
      <c r="M114">
        <v>1.9</v>
      </c>
      <c r="N114" t="s">
        <v>9</v>
      </c>
      <c r="O114" t="s">
        <v>36</v>
      </c>
      <c r="P114">
        <f t="shared" si="9"/>
        <v>3.8062904043116337</v>
      </c>
      <c r="Q114">
        <f t="shared" si="10"/>
        <v>3.6339431055706122</v>
      </c>
      <c r="R114" s="67" cm="1">
        <f t="array" ref="R114">SUMPRODUCT((J114=$J$7:$J$1000)*(P114&lt;$P$7:$P$1000))+1</f>
        <v>12</v>
      </c>
      <c r="S114" s="72"/>
    </row>
    <row r="115" spans="10:19" x14ac:dyDescent="0.35">
      <c r="J115" s="66">
        <v>11</v>
      </c>
      <c r="K115" t="s">
        <v>36</v>
      </c>
      <c r="L115" t="s">
        <v>516</v>
      </c>
      <c r="M115">
        <v>1.1000000000000001</v>
      </c>
      <c r="N115" t="s">
        <v>3</v>
      </c>
      <c r="O115" t="s">
        <v>7</v>
      </c>
      <c r="P115">
        <f t="shared" si="9"/>
        <v>1.5817854613156013</v>
      </c>
      <c r="Q115">
        <f t="shared" ref="Q115" si="11">IFERROR(($M115-$P115)^2,"")</f>
        <v>0.23211723073508664</v>
      </c>
      <c r="R115" s="67" cm="1">
        <f t="array" ref="R115">SUMPRODUCT((J115=$J$7:$J$1000)*(P115&lt;$P$7:$P$1000))+1</f>
        <v>13</v>
      </c>
      <c r="S115" s="72"/>
    </row>
    <row r="116" spans="10:19" x14ac:dyDescent="0.35">
      <c r="J116" s="66">
        <v>12</v>
      </c>
      <c r="K116" t="s">
        <v>4</v>
      </c>
      <c r="L116" t="s">
        <v>552</v>
      </c>
      <c r="M116">
        <v>13.7</v>
      </c>
      <c r="N116" t="s">
        <v>9</v>
      </c>
      <c r="O116" t="s">
        <v>34</v>
      </c>
      <c r="P116">
        <f t="shared" si="9"/>
        <v>13.692178409742326</v>
      </c>
      <c r="Q116">
        <f t="shared" ref="Q116:Q147" si="12">IFERROR(($M116-$P116)^2,"")</f>
        <v>6.1177274158936222E-5</v>
      </c>
      <c r="R116" s="67" cm="1">
        <f t="array" ref="R116">SUMPRODUCT((J116=$J$7:$J$1000)*(P116&lt;$P$7:$P$1000))+1</f>
        <v>1</v>
      </c>
      <c r="S116" s="72"/>
    </row>
    <row r="117" spans="10:19" x14ac:dyDescent="0.35">
      <c r="J117" s="66">
        <v>12</v>
      </c>
      <c r="K117" t="s">
        <v>34</v>
      </c>
      <c r="L117" t="s">
        <v>550</v>
      </c>
      <c r="M117">
        <v>12.1</v>
      </c>
      <c r="N117" t="s">
        <v>3</v>
      </c>
      <c r="O117" t="s">
        <v>4</v>
      </c>
      <c r="P117">
        <f t="shared" si="9"/>
        <v>11.393530521610201</v>
      </c>
      <c r="Q117">
        <f t="shared" si="12"/>
        <v>0.49909912389635486</v>
      </c>
      <c r="R117" s="67" cm="1">
        <f t="array" ref="R117">SUMPRODUCT((J117=$J$7:$J$1000)*(P117&lt;$P$7:$P$1000))+1</f>
        <v>2</v>
      </c>
      <c r="S117" s="72"/>
    </row>
    <row r="118" spans="10:19" x14ac:dyDescent="0.35">
      <c r="J118" s="66">
        <v>12</v>
      </c>
      <c r="K118" t="s">
        <v>34</v>
      </c>
      <c r="L118" t="s">
        <v>440</v>
      </c>
      <c r="M118">
        <v>11.4</v>
      </c>
      <c r="N118" t="s">
        <v>9</v>
      </c>
      <c r="O118" t="s">
        <v>4</v>
      </c>
      <c r="P118">
        <f t="shared" si="9"/>
        <v>9.3181134483999184</v>
      </c>
      <c r="Q118">
        <f t="shared" si="12"/>
        <v>4.3342516137332812</v>
      </c>
      <c r="R118" s="67" cm="1">
        <f t="array" ref="R118">SUMPRODUCT((J118=$J$7:$J$1000)*(P118&lt;$P$7:$P$1000))+1</f>
        <v>3</v>
      </c>
      <c r="S118" s="72"/>
    </row>
    <row r="119" spans="10:19" x14ac:dyDescent="0.35">
      <c r="J119" s="66">
        <v>12</v>
      </c>
      <c r="K119" t="s">
        <v>23</v>
      </c>
      <c r="L119" t="s">
        <v>133</v>
      </c>
      <c r="M119">
        <v>6.8</v>
      </c>
      <c r="N119" t="s">
        <v>3</v>
      </c>
      <c r="O119" t="s">
        <v>36</v>
      </c>
      <c r="P119">
        <f t="shared" si="9"/>
        <v>4.2222249813605295</v>
      </c>
      <c r="Q119">
        <f t="shared" si="12"/>
        <v>6.6449240467217212</v>
      </c>
      <c r="R119" s="67" cm="1">
        <f t="array" ref="R119">SUMPRODUCT((J119=$J$7:$J$1000)*(P119&lt;$P$7:$P$1000))+1</f>
        <v>7</v>
      </c>
      <c r="S119" s="72"/>
    </row>
    <row r="120" spans="10:19" x14ac:dyDescent="0.35">
      <c r="J120" s="66">
        <v>12</v>
      </c>
      <c r="K120" t="s">
        <v>36</v>
      </c>
      <c r="L120" t="s">
        <v>516</v>
      </c>
      <c r="M120">
        <v>6.3</v>
      </c>
      <c r="N120" t="s">
        <v>9</v>
      </c>
      <c r="O120" t="s">
        <v>23</v>
      </c>
      <c r="P120">
        <f t="shared" si="9"/>
        <v>4.1749963768670053</v>
      </c>
      <c r="Q120">
        <f t="shared" si="12"/>
        <v>4.5156403983283537</v>
      </c>
      <c r="R120" s="67" cm="1">
        <f t="array" ref="R120">SUMPRODUCT((J120=$J$7:$J$1000)*(P120&lt;$P$7:$P$1000))+1</f>
        <v>8</v>
      </c>
      <c r="S120" s="72"/>
    </row>
    <row r="121" spans="10:19" x14ac:dyDescent="0.35">
      <c r="J121" s="66">
        <v>12</v>
      </c>
      <c r="K121" t="s">
        <v>6</v>
      </c>
      <c r="L121" t="s">
        <v>437</v>
      </c>
      <c r="M121">
        <v>5.9</v>
      </c>
      <c r="N121" t="s">
        <v>9</v>
      </c>
      <c r="O121" t="s">
        <v>17</v>
      </c>
      <c r="P121">
        <f t="shared" si="9"/>
        <v>7.97514127547353</v>
      </c>
      <c r="Q121">
        <f t="shared" si="12"/>
        <v>4.3062113131739075</v>
      </c>
      <c r="R121" s="67" cm="1">
        <f t="array" ref="R121">SUMPRODUCT((J121=$J$7:$J$1000)*(P121&lt;$P$7:$P$1000))+1</f>
        <v>5</v>
      </c>
      <c r="S121" s="72"/>
    </row>
    <row r="122" spans="10:19" x14ac:dyDescent="0.35">
      <c r="J122" s="66">
        <v>12</v>
      </c>
      <c r="K122" t="s">
        <v>13</v>
      </c>
      <c r="L122" t="s">
        <v>472</v>
      </c>
      <c r="M122">
        <v>5.7</v>
      </c>
      <c r="N122" t="s">
        <v>9</v>
      </c>
      <c r="O122" t="s">
        <v>7</v>
      </c>
      <c r="P122">
        <f t="shared" si="9"/>
        <v>2.2962814687160598</v>
      </c>
      <c r="Q122">
        <f t="shared" si="12"/>
        <v>11.585299840205705</v>
      </c>
      <c r="R122" s="67" cm="1">
        <f t="array" ref="R122">SUMPRODUCT((J122=$J$7:$J$1000)*(P122&lt;$P$7:$P$1000))+1</f>
        <v>10</v>
      </c>
      <c r="S122" s="72"/>
    </row>
    <row r="123" spans="10:19" x14ac:dyDescent="0.35">
      <c r="J123" s="66">
        <v>12</v>
      </c>
      <c r="K123" t="s">
        <v>7</v>
      </c>
      <c r="L123" t="s">
        <v>126</v>
      </c>
      <c r="M123">
        <v>3.4</v>
      </c>
      <c r="N123" t="s">
        <v>3</v>
      </c>
      <c r="O123" t="s">
        <v>13</v>
      </c>
      <c r="P123">
        <f t="shared" si="9"/>
        <v>2.2961051923086577</v>
      </c>
      <c r="Q123">
        <f t="shared" si="12"/>
        <v>1.2185837464479052</v>
      </c>
      <c r="R123" s="67" cm="1">
        <f t="array" ref="R123">SUMPRODUCT((J123=$J$7:$J$1000)*(P123&lt;$P$7:$P$1000))+1</f>
        <v>11</v>
      </c>
      <c r="S123" s="72"/>
    </row>
    <row r="124" spans="10:19" x14ac:dyDescent="0.35">
      <c r="J124" s="65">
        <v>12</v>
      </c>
      <c r="K124" t="s">
        <v>13</v>
      </c>
      <c r="L124" t="s">
        <v>49</v>
      </c>
      <c r="M124">
        <v>2</v>
      </c>
      <c r="N124" t="s">
        <v>3</v>
      </c>
      <c r="O124" t="s">
        <v>7</v>
      </c>
      <c r="P124">
        <f t="shared" si="9"/>
        <v>5.068095842888658</v>
      </c>
      <c r="Q124">
        <f t="shared" si="12"/>
        <v>9.4132121011506644</v>
      </c>
      <c r="R124" s="67" cm="1">
        <f t="array" ref="R124">SUMPRODUCT((J124=$J$7:$J$1000)*(P124&lt;$P$7:$P$1000))+1</f>
        <v>6</v>
      </c>
      <c r="S124" s="72"/>
    </row>
    <row r="125" spans="10:19" x14ac:dyDescent="0.35">
      <c r="J125" s="66">
        <v>12</v>
      </c>
      <c r="K125" t="s">
        <v>24</v>
      </c>
      <c r="L125" t="s">
        <v>487</v>
      </c>
      <c r="M125">
        <v>1.6</v>
      </c>
      <c r="N125" t="s">
        <v>9</v>
      </c>
      <c r="O125" t="s">
        <v>2</v>
      </c>
      <c r="P125">
        <f t="shared" si="9"/>
        <v>8.347581721213654</v>
      </c>
      <c r="Q125">
        <f t="shared" si="12"/>
        <v>45.529859084456625</v>
      </c>
      <c r="R125" s="67" cm="1">
        <f t="array" ref="R125">SUMPRODUCT((J125=$J$7:$J$1000)*(P125&lt;$P$7:$P$1000))+1</f>
        <v>4</v>
      </c>
      <c r="S125" s="72"/>
    </row>
    <row r="126" spans="10:19" x14ac:dyDescent="0.35">
      <c r="J126" s="66">
        <v>12</v>
      </c>
      <c r="K126" t="s">
        <v>2</v>
      </c>
      <c r="L126" t="s">
        <v>441</v>
      </c>
      <c r="M126">
        <v>1.2</v>
      </c>
      <c r="N126" t="s">
        <v>3</v>
      </c>
      <c r="O126" t="s">
        <v>24</v>
      </c>
      <c r="P126">
        <f t="shared" si="9"/>
        <v>3.2963573925892016</v>
      </c>
      <c r="Q126">
        <f t="shared" si="12"/>
        <v>4.3947143174633947</v>
      </c>
      <c r="R126" s="67" cm="1">
        <f t="array" ref="R126">SUMPRODUCT((J126=$J$7:$J$1000)*(P126&lt;$P$7:$P$1000))+1</f>
        <v>9</v>
      </c>
      <c r="S126" s="72"/>
    </row>
    <row r="127" spans="10:19" x14ac:dyDescent="0.35">
      <c r="J127">
        <v>12</v>
      </c>
      <c r="K127" t="s">
        <v>17</v>
      </c>
      <c r="L127" t="s">
        <v>81</v>
      </c>
      <c r="M127">
        <v>1</v>
      </c>
      <c r="N127" t="s">
        <v>3</v>
      </c>
      <c r="O127" t="s">
        <v>6</v>
      </c>
      <c r="P127">
        <f t="shared" si="9"/>
        <v>2.0329547293612542</v>
      </c>
      <c r="Q127">
        <f t="shared" si="12"/>
        <v>1.0669954729097819</v>
      </c>
      <c r="R127" s="67" cm="1">
        <f t="array" ref="R127">SUMPRODUCT((J127=$J$7:$J$1000)*(P127&lt;$P$7:$P$1000))+1</f>
        <v>12</v>
      </c>
      <c r="S127" s="72"/>
    </row>
    <row r="128" spans="10:19" x14ac:dyDescent="0.35">
      <c r="J128" s="66">
        <v>13</v>
      </c>
      <c r="K128" t="s">
        <v>14</v>
      </c>
      <c r="L128" t="s">
        <v>488</v>
      </c>
      <c r="M128" t="s">
        <v>256</v>
      </c>
      <c r="N128" t="s">
        <v>9</v>
      </c>
      <c r="O128" t="s">
        <v>6</v>
      </c>
      <c r="P128">
        <f t="shared" si="9"/>
        <v>5.296814603817376</v>
      </c>
      <c r="Q128" t="str">
        <f t="shared" si="12"/>
        <v/>
      </c>
      <c r="R128" s="67" cm="1">
        <f t="array" ref="R128">SUMPRODUCT((J128=$J$7:$J$1000)*(P128&lt;$P$7:$P$1000))+1</f>
        <v>14</v>
      </c>
      <c r="S128" s="72"/>
    </row>
    <row r="129" spans="10:19" x14ac:dyDescent="0.35">
      <c r="J129">
        <v>13</v>
      </c>
      <c r="K129" t="s">
        <v>14</v>
      </c>
      <c r="L129" t="s">
        <v>563</v>
      </c>
      <c r="M129" t="s">
        <v>256</v>
      </c>
      <c r="N129" t="s">
        <v>9</v>
      </c>
      <c r="O129" t="s">
        <v>6</v>
      </c>
      <c r="P129">
        <f t="shared" si="9"/>
        <v>7.8282182350035994</v>
      </c>
      <c r="Q129" t="str">
        <f t="shared" si="12"/>
        <v/>
      </c>
      <c r="R129" s="67" cm="1">
        <f t="array" ref="R129">SUMPRODUCT((J129=$J$7:$J$1000)*(P129&lt;$P$7:$P$1000))+1</f>
        <v>11</v>
      </c>
      <c r="S129" s="72"/>
    </row>
    <row r="130" spans="10:19" x14ac:dyDescent="0.35">
      <c r="J130" s="66">
        <v>13</v>
      </c>
      <c r="K130" t="s">
        <v>14</v>
      </c>
      <c r="L130" t="s">
        <v>438</v>
      </c>
      <c r="M130" t="s">
        <v>256</v>
      </c>
      <c r="N130" t="s">
        <v>9</v>
      </c>
      <c r="O130" t="s">
        <v>6</v>
      </c>
      <c r="P130">
        <f t="shared" si="9"/>
        <v>3.9755856729977612</v>
      </c>
      <c r="Q130" t="str">
        <f t="shared" si="12"/>
        <v/>
      </c>
      <c r="R130" s="67" cm="1">
        <f t="array" ref="R130">SUMPRODUCT((J130=$J$7:$J$1000)*(P130&lt;$P$7:$P$1000))+1</f>
        <v>17</v>
      </c>
      <c r="S130" s="72"/>
    </row>
    <row r="131" spans="10:19" x14ac:dyDescent="0.35">
      <c r="J131" s="66">
        <v>13</v>
      </c>
      <c r="K131" t="s">
        <v>2</v>
      </c>
      <c r="L131" t="s">
        <v>590</v>
      </c>
      <c r="M131" t="s">
        <v>256</v>
      </c>
      <c r="N131" t="s">
        <v>9</v>
      </c>
      <c r="O131" t="s">
        <v>23</v>
      </c>
      <c r="P131">
        <f t="shared" si="9"/>
        <v>7.1684764740493563</v>
      </c>
      <c r="Q131" t="str">
        <f t="shared" si="12"/>
        <v/>
      </c>
      <c r="R131" s="67" cm="1">
        <f t="array" ref="R131">SUMPRODUCT((J131=$J$7:$J$1000)*(P131&lt;$P$7:$P$1000))+1</f>
        <v>12</v>
      </c>
      <c r="S131" s="72"/>
    </row>
    <row r="132" spans="10:19" x14ac:dyDescent="0.35">
      <c r="J132">
        <v>13</v>
      </c>
      <c r="K132" t="s">
        <v>2</v>
      </c>
      <c r="L132" t="s">
        <v>441</v>
      </c>
      <c r="M132" t="s">
        <v>256</v>
      </c>
      <c r="N132" t="s">
        <v>9</v>
      </c>
      <c r="O132" t="s">
        <v>23</v>
      </c>
      <c r="P132">
        <f t="shared" si="9"/>
        <v>3.4072541567565535</v>
      </c>
      <c r="Q132" t="str">
        <f t="shared" si="12"/>
        <v/>
      </c>
      <c r="R132" s="67" cm="1">
        <f t="array" ref="R132">SUMPRODUCT((J132=$J$7:$J$1000)*(P132&lt;$P$7:$P$1000))+1</f>
        <v>20</v>
      </c>
      <c r="S132" s="72"/>
    </row>
    <row r="133" spans="10:19" x14ac:dyDescent="0.35">
      <c r="J133" s="66">
        <v>13</v>
      </c>
      <c r="K133" t="s">
        <v>36</v>
      </c>
      <c r="L133" t="s">
        <v>123</v>
      </c>
      <c r="M133" t="s">
        <v>256</v>
      </c>
      <c r="N133" t="s">
        <v>9</v>
      </c>
      <c r="O133" t="s">
        <v>34</v>
      </c>
      <c r="P133">
        <f t="shared" si="9"/>
        <v>7.8900817015392173</v>
      </c>
      <c r="Q133" t="str">
        <f t="shared" si="12"/>
        <v/>
      </c>
      <c r="R133" s="67" cm="1">
        <f t="array" ref="R133">SUMPRODUCT((J133=$J$7:$J$1000)*(P133&lt;$P$7:$P$1000))+1</f>
        <v>10</v>
      </c>
      <c r="S133" s="72"/>
    </row>
    <row r="134" spans="10:19" x14ac:dyDescent="0.35">
      <c r="J134" s="65">
        <v>13</v>
      </c>
      <c r="K134" t="s">
        <v>36</v>
      </c>
      <c r="L134" t="s">
        <v>516</v>
      </c>
      <c r="M134" t="s">
        <v>256</v>
      </c>
      <c r="N134" t="s">
        <v>9</v>
      </c>
      <c r="O134" t="s">
        <v>34</v>
      </c>
      <c r="P134">
        <f t="shared" si="9"/>
        <v>6.1026071694709705</v>
      </c>
      <c r="Q134" t="str">
        <f t="shared" si="12"/>
        <v/>
      </c>
      <c r="R134" s="67" cm="1">
        <f t="array" ref="R134">SUMPRODUCT((J134=$J$7:$J$1000)*(P134&lt;$P$7:$P$1000))+1</f>
        <v>13</v>
      </c>
      <c r="S134" s="72"/>
    </row>
    <row r="135" spans="10:19" x14ac:dyDescent="0.35">
      <c r="J135" s="66">
        <v>13</v>
      </c>
      <c r="K135" t="s">
        <v>36</v>
      </c>
      <c r="L135" t="s">
        <v>573</v>
      </c>
      <c r="M135" t="s">
        <v>256</v>
      </c>
      <c r="N135" t="s">
        <v>9</v>
      </c>
      <c r="O135" t="s">
        <v>34</v>
      </c>
      <c r="P135">
        <f t="shared" si="9"/>
        <v>14.176771367040297</v>
      </c>
      <c r="Q135" t="str">
        <f t="shared" si="12"/>
        <v/>
      </c>
      <c r="R135" s="67" cm="1">
        <f t="array" ref="R135">SUMPRODUCT((J135=$J$7:$J$1000)*(P135&lt;$P$7:$P$1000))+1</f>
        <v>1</v>
      </c>
      <c r="S135" s="72"/>
    </row>
    <row r="136" spans="10:19" x14ac:dyDescent="0.35">
      <c r="J136">
        <v>13</v>
      </c>
      <c r="K136" t="s">
        <v>6</v>
      </c>
      <c r="L136" t="s">
        <v>437</v>
      </c>
      <c r="M136" t="s">
        <v>256</v>
      </c>
      <c r="N136" t="s">
        <v>3</v>
      </c>
      <c r="O136" t="s">
        <v>14</v>
      </c>
      <c r="P136">
        <f t="shared" ref="P136:P199" si="13">VLOOKUP($N136,$F$3:$G$4,2,FALSE)+VLOOKUP($L136,$B$20:$C$150,2,FALSE)+VLOOKUP($O136,$A$6:$B$16,2,FALSE)</f>
        <v>13.029966290125646</v>
      </c>
      <c r="Q136" t="str">
        <f t="shared" si="12"/>
        <v/>
      </c>
      <c r="R136" s="67" cm="1">
        <f t="array" ref="R136">SUMPRODUCT((J136=$J$7:$J$1000)*(P136&lt;$P$7:$P$1000))+1</f>
        <v>2</v>
      </c>
      <c r="S136" s="72"/>
    </row>
    <row r="137" spans="10:19" x14ac:dyDescent="0.35">
      <c r="J137">
        <v>13</v>
      </c>
      <c r="K137" t="s">
        <v>6</v>
      </c>
      <c r="L137" t="s">
        <v>605</v>
      </c>
      <c r="M137" t="s">
        <v>256</v>
      </c>
      <c r="N137" t="s">
        <v>3</v>
      </c>
      <c r="O137" t="s">
        <v>14</v>
      </c>
      <c r="P137">
        <f t="shared" si="13"/>
        <v>11.527498490727289</v>
      </c>
      <c r="Q137" t="str">
        <f t="shared" si="12"/>
        <v/>
      </c>
      <c r="R137" s="67" cm="1">
        <f t="array" ref="R137">SUMPRODUCT((J137=$J$7:$J$1000)*(P137&lt;$P$7:$P$1000))+1</f>
        <v>4</v>
      </c>
      <c r="S137" s="72"/>
    </row>
    <row r="138" spans="10:19" x14ac:dyDescent="0.35">
      <c r="J138" s="66">
        <v>13</v>
      </c>
      <c r="K138" t="s">
        <v>24</v>
      </c>
      <c r="L138" t="s">
        <v>439</v>
      </c>
      <c r="M138" t="s">
        <v>256</v>
      </c>
      <c r="N138" t="s">
        <v>9</v>
      </c>
      <c r="O138" t="s">
        <v>4</v>
      </c>
      <c r="P138">
        <f t="shared" si="13"/>
        <v>10.107729625771341</v>
      </c>
      <c r="Q138" t="str">
        <f t="shared" si="12"/>
        <v/>
      </c>
      <c r="R138" s="67" cm="1">
        <f t="array" ref="R138">SUMPRODUCT((J138=$J$7:$J$1000)*(P138&lt;$P$7:$P$1000))+1</f>
        <v>7</v>
      </c>
      <c r="S138" s="72"/>
    </row>
    <row r="139" spans="10:19" x14ac:dyDescent="0.35">
      <c r="J139">
        <v>13</v>
      </c>
      <c r="K139" t="s">
        <v>24</v>
      </c>
      <c r="L139" t="s">
        <v>487</v>
      </c>
      <c r="M139" t="s">
        <v>256</v>
      </c>
      <c r="N139" t="s">
        <v>9</v>
      </c>
      <c r="O139" t="s">
        <v>4</v>
      </c>
      <c r="P139">
        <f t="shared" si="13"/>
        <v>10.450638341330876</v>
      </c>
      <c r="Q139" t="str">
        <f t="shared" si="12"/>
        <v/>
      </c>
      <c r="R139" s="67" cm="1">
        <f t="array" ref="R139">SUMPRODUCT((J139=$J$7:$J$1000)*(P139&lt;$P$7:$P$1000))+1</f>
        <v>6</v>
      </c>
      <c r="S139" s="72"/>
    </row>
    <row r="140" spans="10:19" x14ac:dyDescent="0.35">
      <c r="J140">
        <v>13</v>
      </c>
      <c r="K140" t="s">
        <v>23</v>
      </c>
      <c r="L140" t="s">
        <v>133</v>
      </c>
      <c r="M140" t="s">
        <v>256</v>
      </c>
      <c r="N140" t="s">
        <v>3</v>
      </c>
      <c r="O140" t="s">
        <v>2</v>
      </c>
      <c r="P140">
        <f t="shared" si="13"/>
        <v>2.8465365027970391</v>
      </c>
      <c r="Q140" t="str">
        <f t="shared" si="12"/>
        <v/>
      </c>
      <c r="R140" s="67" cm="1">
        <f t="array" ref="R140">SUMPRODUCT((J140=$J$7:$J$1000)*(P140&lt;$P$7:$P$1000))+1</f>
        <v>23</v>
      </c>
      <c r="S140" s="72"/>
    </row>
    <row r="141" spans="10:19" x14ac:dyDescent="0.35">
      <c r="J141">
        <v>13</v>
      </c>
      <c r="K141" t="s">
        <v>23</v>
      </c>
      <c r="L141" t="s">
        <v>127</v>
      </c>
      <c r="M141" t="s">
        <v>256</v>
      </c>
      <c r="N141" t="s">
        <v>3</v>
      </c>
      <c r="O141" t="s">
        <v>2</v>
      </c>
      <c r="P141">
        <f t="shared" si="13"/>
        <v>4.4820689341049897</v>
      </c>
      <c r="Q141" t="str">
        <f t="shared" si="12"/>
        <v/>
      </c>
      <c r="R141" s="67" cm="1">
        <f t="array" ref="R141">SUMPRODUCT((J141=$J$7:$J$1000)*(P141&lt;$P$7:$P$1000))+1</f>
        <v>16</v>
      </c>
      <c r="S141" s="72"/>
    </row>
    <row r="142" spans="10:19" x14ac:dyDescent="0.35">
      <c r="J142" s="66">
        <v>13</v>
      </c>
      <c r="K142" t="s">
        <v>23</v>
      </c>
      <c r="L142" t="s">
        <v>515</v>
      </c>
      <c r="M142" t="s">
        <v>256</v>
      </c>
      <c r="N142" t="s">
        <v>3</v>
      </c>
      <c r="O142" t="s">
        <v>2</v>
      </c>
      <c r="P142">
        <f t="shared" si="13"/>
        <v>3.2948808511329783</v>
      </c>
      <c r="Q142" t="str">
        <f t="shared" si="12"/>
        <v/>
      </c>
      <c r="R142" s="67" cm="1">
        <f t="array" ref="R142">SUMPRODUCT((J142=$J$7:$J$1000)*(P142&lt;$P$7:$P$1000))+1</f>
        <v>21</v>
      </c>
      <c r="S142" s="72"/>
    </row>
    <row r="143" spans="10:19" x14ac:dyDescent="0.35">
      <c r="J143">
        <v>13</v>
      </c>
      <c r="K143" t="s">
        <v>4</v>
      </c>
      <c r="L143" t="s">
        <v>552</v>
      </c>
      <c r="M143" t="s">
        <v>256</v>
      </c>
      <c r="N143" t="s">
        <v>3</v>
      </c>
      <c r="O143" t="s">
        <v>24</v>
      </c>
      <c r="P143">
        <f t="shared" si="13"/>
        <v>11.653670852971009</v>
      </c>
      <c r="Q143" t="str">
        <f t="shared" si="12"/>
        <v/>
      </c>
      <c r="R143" s="67" cm="1">
        <f t="array" ref="R143">SUMPRODUCT((J143=$J$7:$J$1000)*(P143&lt;$P$7:$P$1000))+1</f>
        <v>3</v>
      </c>
      <c r="S143" s="72"/>
    </row>
    <row r="144" spans="10:19" x14ac:dyDescent="0.35">
      <c r="J144">
        <v>13</v>
      </c>
      <c r="K144" t="s">
        <v>4</v>
      </c>
      <c r="L144" t="s">
        <v>125</v>
      </c>
      <c r="M144" t="s">
        <v>256</v>
      </c>
      <c r="N144" t="s">
        <v>3</v>
      </c>
      <c r="O144" t="s">
        <v>24</v>
      </c>
      <c r="P144">
        <f t="shared" si="13"/>
        <v>2.9602133156575601</v>
      </c>
      <c r="Q144" t="str">
        <f t="shared" si="12"/>
        <v/>
      </c>
      <c r="R144" s="67" cm="1">
        <f t="array" ref="R144">SUMPRODUCT((J144=$J$7:$J$1000)*(P144&lt;$P$7:$P$1000))+1</f>
        <v>22</v>
      </c>
      <c r="S144" s="72"/>
    </row>
    <row r="145" spans="10:19" x14ac:dyDescent="0.35">
      <c r="J145" s="66">
        <v>13</v>
      </c>
      <c r="K145" t="s">
        <v>4</v>
      </c>
      <c r="L145" t="s">
        <v>489</v>
      </c>
      <c r="M145" t="s">
        <v>256</v>
      </c>
      <c r="N145" t="s">
        <v>3</v>
      </c>
      <c r="O145" t="s">
        <v>24</v>
      </c>
      <c r="P145">
        <f t="shared" si="13"/>
        <v>3.7019677620547231</v>
      </c>
      <c r="Q145" t="str">
        <f t="shared" si="12"/>
        <v/>
      </c>
      <c r="R145" s="67" cm="1">
        <f t="array" ref="R145">SUMPRODUCT((J145=$J$7:$J$1000)*(P145&lt;$P$7:$P$1000))+1</f>
        <v>19</v>
      </c>
      <c r="S145" s="72"/>
    </row>
    <row r="146" spans="10:19" x14ac:dyDescent="0.35">
      <c r="J146" s="66">
        <v>13</v>
      </c>
      <c r="K146" t="s">
        <v>34</v>
      </c>
      <c r="L146" t="s">
        <v>550</v>
      </c>
      <c r="M146" t="s">
        <v>256</v>
      </c>
      <c r="N146" t="s">
        <v>3</v>
      </c>
      <c r="O146" t="s">
        <v>36</v>
      </c>
      <c r="P146">
        <f t="shared" si="13"/>
        <v>10.66616238005647</v>
      </c>
      <c r="Q146" t="str">
        <f t="shared" si="12"/>
        <v/>
      </c>
      <c r="R146" s="67" cm="1">
        <f t="array" ref="R146">SUMPRODUCT((J146=$J$7:$J$1000)*(P146&lt;$P$7:$P$1000))+1</f>
        <v>5</v>
      </c>
      <c r="S146" s="72"/>
    </row>
    <row r="147" spans="10:19" x14ac:dyDescent="0.35">
      <c r="J147" s="66">
        <v>13</v>
      </c>
      <c r="K147" t="s">
        <v>34</v>
      </c>
      <c r="L147" t="s">
        <v>440</v>
      </c>
      <c r="M147" t="s">
        <v>256</v>
      </c>
      <c r="N147" t="s">
        <v>3</v>
      </c>
      <c r="O147" t="s">
        <v>36</v>
      </c>
      <c r="P147">
        <f t="shared" si="13"/>
        <v>8.0886999714477543</v>
      </c>
      <c r="Q147" t="str">
        <f t="shared" si="12"/>
        <v/>
      </c>
      <c r="R147" s="67" cm="1">
        <f t="array" ref="R147">SUMPRODUCT((J147=$J$7:$J$1000)*(P147&lt;$P$7:$P$1000))+1</f>
        <v>8</v>
      </c>
      <c r="S147" s="72"/>
    </row>
    <row r="148" spans="10:19" x14ac:dyDescent="0.35">
      <c r="J148" s="66">
        <v>13</v>
      </c>
      <c r="K148" t="s">
        <v>17</v>
      </c>
      <c r="L148" t="s">
        <v>81</v>
      </c>
      <c r="M148" t="s">
        <v>256</v>
      </c>
      <c r="N148" t="s">
        <v>9</v>
      </c>
      <c r="O148" t="s">
        <v>13</v>
      </c>
      <c r="P148">
        <f t="shared" si="13"/>
        <v>3.8361732662559711</v>
      </c>
      <c r="Q148" t="str">
        <f t="shared" ref="Q148:Q179" si="14">IFERROR(($M148-$P148)^2,"")</f>
        <v/>
      </c>
      <c r="R148" s="67" cm="1">
        <f t="array" ref="R148">SUMPRODUCT((J148=$J$7:$J$1000)*(P148&lt;$P$7:$P$1000))+1</f>
        <v>18</v>
      </c>
      <c r="S148" s="72"/>
    </row>
    <row r="149" spans="10:19" x14ac:dyDescent="0.35">
      <c r="J149" s="66">
        <v>13</v>
      </c>
      <c r="K149" t="s">
        <v>13</v>
      </c>
      <c r="L149" t="s">
        <v>472</v>
      </c>
      <c r="M149" t="s">
        <v>256</v>
      </c>
      <c r="N149" t="s">
        <v>3</v>
      </c>
      <c r="O149" t="s">
        <v>17</v>
      </c>
      <c r="P149">
        <f t="shared" si="13"/>
        <v>4.6810995551477568</v>
      </c>
      <c r="Q149" t="str">
        <f t="shared" si="14"/>
        <v/>
      </c>
      <c r="R149" s="67" cm="1">
        <f t="array" ref="R149">SUMPRODUCT((J149=$J$7:$J$1000)*(P149&lt;$P$7:$P$1000))+1</f>
        <v>15</v>
      </c>
      <c r="S149" s="72"/>
    </row>
    <row r="150" spans="10:19" x14ac:dyDescent="0.35">
      <c r="J150" s="66">
        <v>13</v>
      </c>
      <c r="K150" t="s">
        <v>13</v>
      </c>
      <c r="L150" t="s">
        <v>49</v>
      </c>
      <c r="M150" t="s">
        <v>256</v>
      </c>
      <c r="N150" t="s">
        <v>3</v>
      </c>
      <c r="O150" t="s">
        <v>17</v>
      </c>
      <c r="P150">
        <f t="shared" si="13"/>
        <v>7.9549592647187888</v>
      </c>
      <c r="Q150" t="str">
        <f t="shared" si="14"/>
        <v/>
      </c>
      <c r="R150" s="67" cm="1">
        <f t="array" ref="R150">SUMPRODUCT((J150=$J$7:$J$1000)*(P150&lt;$P$7:$P$1000))+1</f>
        <v>9</v>
      </c>
      <c r="S150" s="72"/>
    </row>
    <row r="151" spans="10:19" x14ac:dyDescent="0.35">
      <c r="J151" s="66">
        <v>14</v>
      </c>
      <c r="K151" t="s">
        <v>14</v>
      </c>
      <c r="L151" t="s">
        <v>488</v>
      </c>
      <c r="M151" t="s">
        <v>256</v>
      </c>
      <c r="N151" t="s">
        <v>3</v>
      </c>
      <c r="O151" t="s">
        <v>7</v>
      </c>
      <c r="P151">
        <f t="shared" si="13"/>
        <v>2.5406410748637458</v>
      </c>
      <c r="Q151" t="str">
        <f t="shared" si="14"/>
        <v/>
      </c>
      <c r="R151" s="67" cm="1">
        <f t="array" ref="R151">SUMPRODUCT((J151=$J$7:$J$1000)*(P151&lt;$P$7:$P$1000))+1</f>
        <v>20</v>
      </c>
      <c r="S151" s="72"/>
    </row>
    <row r="152" spans="10:19" x14ac:dyDescent="0.35">
      <c r="J152">
        <v>14</v>
      </c>
      <c r="K152" t="s">
        <v>14</v>
      </c>
      <c r="L152" t="s">
        <v>563</v>
      </c>
      <c r="M152" t="s">
        <v>256</v>
      </c>
      <c r="N152" t="s">
        <v>3</v>
      </c>
      <c r="O152" t="s">
        <v>7</v>
      </c>
      <c r="P152">
        <f t="shared" si="13"/>
        <v>5.0720447060499705</v>
      </c>
      <c r="Q152" t="str">
        <f t="shared" si="14"/>
        <v/>
      </c>
      <c r="R152" s="67" cm="1">
        <f t="array" ref="R152">SUMPRODUCT((J152=$J$7:$J$1000)*(P152&lt;$P$7:$P$1000))+1</f>
        <v>15</v>
      </c>
      <c r="S152" s="72"/>
    </row>
    <row r="153" spans="10:19" x14ac:dyDescent="0.35">
      <c r="J153">
        <v>14</v>
      </c>
      <c r="K153" t="s">
        <v>14</v>
      </c>
      <c r="L153" t="s">
        <v>438</v>
      </c>
      <c r="M153" t="s">
        <v>256</v>
      </c>
      <c r="N153" t="s">
        <v>3</v>
      </c>
      <c r="O153" t="s">
        <v>7</v>
      </c>
      <c r="P153">
        <f t="shared" si="13"/>
        <v>1.219412144044131</v>
      </c>
      <c r="Q153" t="str">
        <f t="shared" si="14"/>
        <v/>
      </c>
      <c r="R153" s="67" cm="1">
        <f t="array" ref="R153">SUMPRODUCT((J153=$J$7:$J$1000)*(P153&lt;$P$7:$P$1000))+1</f>
        <v>22</v>
      </c>
      <c r="S153" s="72"/>
    </row>
    <row r="154" spans="10:19" x14ac:dyDescent="0.35">
      <c r="J154" s="66">
        <v>14</v>
      </c>
      <c r="K154" t="s">
        <v>2</v>
      </c>
      <c r="L154" t="s">
        <v>590</v>
      </c>
      <c r="M154" t="s">
        <v>256</v>
      </c>
      <c r="N154" t="s">
        <v>3</v>
      </c>
      <c r="O154" t="s">
        <v>6</v>
      </c>
      <c r="P154">
        <f t="shared" si="13"/>
        <v>6.8293937520531509</v>
      </c>
      <c r="Q154" t="str">
        <f t="shared" si="14"/>
        <v/>
      </c>
      <c r="R154" s="67" cm="1">
        <f t="array" ref="R154">SUMPRODUCT((J154=$J$7:$J$1000)*(P154&lt;$P$7:$P$1000))+1</f>
        <v>10</v>
      </c>
      <c r="S154" s="72"/>
    </row>
    <row r="155" spans="10:19" x14ac:dyDescent="0.35">
      <c r="J155" s="66">
        <v>14</v>
      </c>
      <c r="K155" t="s">
        <v>2</v>
      </c>
      <c r="L155" t="s">
        <v>441</v>
      </c>
      <c r="M155" t="s">
        <v>256</v>
      </c>
      <c r="N155" t="s">
        <v>3</v>
      </c>
      <c r="O155" t="s">
        <v>6</v>
      </c>
      <c r="P155">
        <f t="shared" si="13"/>
        <v>3.0681714347603464</v>
      </c>
      <c r="Q155" t="str">
        <f t="shared" si="14"/>
        <v/>
      </c>
      <c r="R155" s="67" cm="1">
        <f t="array" ref="R155">SUMPRODUCT((J155=$J$7:$J$1000)*(P155&lt;$P$7:$P$1000))+1</f>
        <v>18</v>
      </c>
      <c r="S155" s="72"/>
    </row>
    <row r="156" spans="10:19" x14ac:dyDescent="0.35">
      <c r="J156">
        <v>14</v>
      </c>
      <c r="K156" t="s">
        <v>36</v>
      </c>
      <c r="L156" t="s">
        <v>123</v>
      </c>
      <c r="M156" t="s">
        <v>256</v>
      </c>
      <c r="N156" t="s">
        <v>3</v>
      </c>
      <c r="O156" t="s">
        <v>13</v>
      </c>
      <c r="P156">
        <f t="shared" si="13"/>
        <v>6.924561388435329</v>
      </c>
      <c r="Q156" t="str">
        <f t="shared" si="14"/>
        <v/>
      </c>
      <c r="R156" s="67" cm="1">
        <f t="array" ref="R156">SUMPRODUCT((J156=$J$7:$J$1000)*(P156&lt;$P$7:$P$1000))+1</f>
        <v>8</v>
      </c>
      <c r="S156" s="72"/>
    </row>
    <row r="157" spans="10:19" x14ac:dyDescent="0.35">
      <c r="J157" s="66">
        <v>14</v>
      </c>
      <c r="K157" t="s">
        <v>36</v>
      </c>
      <c r="L157" t="s">
        <v>516</v>
      </c>
      <c r="M157" t="s">
        <v>256</v>
      </c>
      <c r="N157" t="s">
        <v>3</v>
      </c>
      <c r="O157" t="s">
        <v>13</v>
      </c>
      <c r="P157">
        <f t="shared" si="13"/>
        <v>5.1370868563670822</v>
      </c>
      <c r="Q157" t="str">
        <f t="shared" si="14"/>
        <v/>
      </c>
      <c r="R157" s="67" cm="1">
        <f t="array" ref="R157">SUMPRODUCT((J157=$J$7:$J$1000)*(P157&lt;$P$7:$P$1000))+1</f>
        <v>14</v>
      </c>
      <c r="S157" s="72"/>
    </row>
    <row r="158" spans="10:19" x14ac:dyDescent="0.35">
      <c r="J158" s="65">
        <v>14</v>
      </c>
      <c r="K158" t="s">
        <v>36</v>
      </c>
      <c r="L158" t="s">
        <v>573</v>
      </c>
      <c r="M158" t="s">
        <v>256</v>
      </c>
      <c r="N158" t="s">
        <v>3</v>
      </c>
      <c r="O158" t="s">
        <v>13</v>
      </c>
      <c r="P158">
        <f t="shared" si="13"/>
        <v>13.21125105393641</v>
      </c>
      <c r="Q158" t="str">
        <f t="shared" si="14"/>
        <v/>
      </c>
      <c r="R158" s="67" cm="1">
        <f t="array" ref="R158">SUMPRODUCT((J158=$J$7:$J$1000)*(P158&lt;$P$7:$P$1000))+1</f>
        <v>1</v>
      </c>
      <c r="S158" s="72"/>
    </row>
    <row r="159" spans="10:19" x14ac:dyDescent="0.35">
      <c r="J159">
        <v>14</v>
      </c>
      <c r="K159" t="s">
        <v>6</v>
      </c>
      <c r="L159" t="s">
        <v>437</v>
      </c>
      <c r="M159" t="s">
        <v>256</v>
      </c>
      <c r="N159" t="s">
        <v>9</v>
      </c>
      <c r="O159" t="s">
        <v>2</v>
      </c>
      <c r="P159">
        <f t="shared" si="13"/>
        <v>8.3943189487357781</v>
      </c>
      <c r="Q159" t="str">
        <f t="shared" si="14"/>
        <v/>
      </c>
      <c r="R159" s="67" cm="1">
        <f t="array" ref="R159">SUMPRODUCT((J159=$J$7:$J$1000)*(P159&lt;$P$7:$P$1000))+1</f>
        <v>4</v>
      </c>
      <c r="S159" s="72"/>
    </row>
    <row r="160" spans="10:19" x14ac:dyDescent="0.35">
      <c r="J160">
        <v>14</v>
      </c>
      <c r="K160" t="s">
        <v>6</v>
      </c>
      <c r="L160" t="s">
        <v>605</v>
      </c>
      <c r="M160" t="s">
        <v>256</v>
      </c>
      <c r="N160" t="s">
        <v>9</v>
      </c>
      <c r="O160" t="s">
        <v>2</v>
      </c>
      <c r="P160">
        <f t="shared" si="13"/>
        <v>6.891851149337425</v>
      </c>
      <c r="Q160" t="str">
        <f t="shared" si="14"/>
        <v/>
      </c>
      <c r="R160" s="67" cm="1">
        <f t="array" ref="R160">SUMPRODUCT((J160=$J$7:$J$1000)*(P160&lt;$P$7:$P$1000))+1</f>
        <v>9</v>
      </c>
      <c r="S160" s="72"/>
    </row>
    <row r="161" spans="10:19" x14ac:dyDescent="0.35">
      <c r="J161">
        <v>14</v>
      </c>
      <c r="K161" t="s">
        <v>24</v>
      </c>
      <c r="L161" t="s">
        <v>439</v>
      </c>
      <c r="M161" t="s">
        <v>256</v>
      </c>
      <c r="N161" t="s">
        <v>3</v>
      </c>
      <c r="O161" t="s">
        <v>23</v>
      </c>
      <c r="P161">
        <f t="shared" si="13"/>
        <v>6.2877521553162792</v>
      </c>
      <c r="Q161" t="str">
        <f t="shared" si="14"/>
        <v/>
      </c>
      <c r="R161" s="67" cm="1">
        <f t="array" ref="R161">SUMPRODUCT((J161=$J$7:$J$1000)*(P161&lt;$P$7:$P$1000))+1</f>
        <v>13</v>
      </c>
      <c r="S161" s="72"/>
    </row>
    <row r="162" spans="10:19" x14ac:dyDescent="0.35">
      <c r="J162">
        <v>14</v>
      </c>
      <c r="K162" t="s">
        <v>24</v>
      </c>
      <c r="L162" t="s">
        <v>487</v>
      </c>
      <c r="M162" t="s">
        <v>256</v>
      </c>
      <c r="N162" t="s">
        <v>3</v>
      </c>
      <c r="O162" t="s">
        <v>23</v>
      </c>
      <c r="P162">
        <f t="shared" si="13"/>
        <v>6.6306608708758148</v>
      </c>
      <c r="Q162" t="str">
        <f t="shared" si="14"/>
        <v/>
      </c>
      <c r="R162" s="67" cm="1">
        <f t="array" ref="R162">SUMPRODUCT((J162=$J$7:$J$1000)*(P162&lt;$P$7:$P$1000))+1</f>
        <v>12</v>
      </c>
      <c r="S162" s="72"/>
    </row>
    <row r="163" spans="10:19" x14ac:dyDescent="0.35">
      <c r="J163">
        <v>14</v>
      </c>
      <c r="K163" t="s">
        <v>23</v>
      </c>
      <c r="L163" t="s">
        <v>133</v>
      </c>
      <c r="M163" t="s">
        <v>256</v>
      </c>
      <c r="N163" t="s">
        <v>9</v>
      </c>
      <c r="O163" t="s">
        <v>24</v>
      </c>
      <c r="P163">
        <f t="shared" si="13"/>
        <v>2.5248548944871443</v>
      </c>
      <c r="Q163" t="str">
        <f t="shared" si="14"/>
        <v/>
      </c>
      <c r="R163" s="67" cm="1">
        <f t="array" ref="R163">SUMPRODUCT((J163=$J$7:$J$1000)*(P163&lt;$P$7:$P$1000))+1</f>
        <v>21</v>
      </c>
      <c r="S163" s="72"/>
    </row>
    <row r="164" spans="10:19" x14ac:dyDescent="0.35">
      <c r="J164">
        <v>14</v>
      </c>
      <c r="K164" t="s">
        <v>23</v>
      </c>
      <c r="L164" t="s">
        <v>127</v>
      </c>
      <c r="M164" t="s">
        <v>256</v>
      </c>
      <c r="N164" t="s">
        <v>9</v>
      </c>
      <c r="O164" t="s">
        <v>24</v>
      </c>
      <c r="P164">
        <f t="shared" si="13"/>
        <v>4.1603873257950958</v>
      </c>
      <c r="Q164" t="str">
        <f t="shared" si="14"/>
        <v/>
      </c>
      <c r="R164" s="67" cm="1">
        <f t="array" ref="R164">SUMPRODUCT((J164=$J$7:$J$1000)*(P164&lt;$P$7:$P$1000))+1</f>
        <v>16</v>
      </c>
      <c r="S164" s="72"/>
    </row>
    <row r="165" spans="10:19" x14ac:dyDescent="0.35">
      <c r="J165">
        <v>14</v>
      </c>
      <c r="K165" t="s">
        <v>23</v>
      </c>
      <c r="L165" t="s">
        <v>515</v>
      </c>
      <c r="M165" t="s">
        <v>256</v>
      </c>
      <c r="N165" t="s">
        <v>9</v>
      </c>
      <c r="O165" t="s">
        <v>24</v>
      </c>
      <c r="P165">
        <f t="shared" si="13"/>
        <v>2.9731992428230836</v>
      </c>
      <c r="Q165" t="str">
        <f t="shared" si="14"/>
        <v/>
      </c>
      <c r="R165" s="67" cm="1">
        <f t="array" ref="R165">SUMPRODUCT((J165=$J$7:$J$1000)*(P165&lt;$P$7:$P$1000))+1</f>
        <v>19</v>
      </c>
      <c r="S165" s="72"/>
    </row>
    <row r="166" spans="10:19" x14ac:dyDescent="0.35">
      <c r="J166">
        <v>14</v>
      </c>
      <c r="K166" t="s">
        <v>7</v>
      </c>
      <c r="L166" t="s">
        <v>126</v>
      </c>
      <c r="M166" t="s">
        <v>256</v>
      </c>
      <c r="N166" t="s">
        <v>9</v>
      </c>
      <c r="O166" t="s">
        <v>14</v>
      </c>
      <c r="P166">
        <f t="shared" si="13"/>
        <v>7.6865829045362872</v>
      </c>
      <c r="Q166" t="str">
        <f t="shared" si="14"/>
        <v/>
      </c>
      <c r="R166" s="67" cm="1">
        <f t="array" ref="R166">SUMPRODUCT((J166=$J$7:$J$1000)*(P166&lt;$P$7:$P$1000))+1</f>
        <v>5</v>
      </c>
      <c r="S166" s="72"/>
    </row>
    <row r="167" spans="10:19" x14ac:dyDescent="0.35">
      <c r="J167">
        <v>14</v>
      </c>
      <c r="K167" t="s">
        <v>7</v>
      </c>
      <c r="L167" t="s">
        <v>131</v>
      </c>
      <c r="M167" t="s">
        <v>256</v>
      </c>
      <c r="N167" t="s">
        <v>9</v>
      </c>
      <c r="O167" t="s">
        <v>14</v>
      </c>
      <c r="P167">
        <f t="shared" si="13"/>
        <v>7.5682946025364419</v>
      </c>
      <c r="Q167" t="str">
        <f t="shared" si="14"/>
        <v/>
      </c>
      <c r="R167" s="67" cm="1">
        <f t="array" ref="R167">SUMPRODUCT((J167=$J$7:$J$1000)*(P167&lt;$P$7:$P$1000))+1</f>
        <v>6</v>
      </c>
      <c r="S167" s="72"/>
    </row>
    <row r="168" spans="10:19" x14ac:dyDescent="0.35">
      <c r="J168">
        <v>14</v>
      </c>
      <c r="K168" t="s">
        <v>34</v>
      </c>
      <c r="L168" t="s">
        <v>550</v>
      </c>
      <c r="M168" t="s">
        <v>256</v>
      </c>
      <c r="N168" t="s">
        <v>9</v>
      </c>
      <c r="O168" t="s">
        <v>17</v>
      </c>
      <c r="P168">
        <f t="shared" si="13"/>
        <v>9.373341563629161</v>
      </c>
      <c r="Q168" t="str">
        <f t="shared" si="14"/>
        <v/>
      </c>
      <c r="R168" s="67" cm="1">
        <f t="array" ref="R168">SUMPRODUCT((J168=$J$7:$J$1000)*(P168&lt;$P$7:$P$1000))+1</f>
        <v>3</v>
      </c>
      <c r="S168" s="72"/>
    </row>
    <row r="169" spans="10:19" x14ac:dyDescent="0.35">
      <c r="J169">
        <v>14</v>
      </c>
      <c r="K169" t="s">
        <v>34</v>
      </c>
      <c r="L169" t="s">
        <v>440</v>
      </c>
      <c r="M169" t="s">
        <v>256</v>
      </c>
      <c r="N169" t="s">
        <v>9</v>
      </c>
      <c r="O169" t="s">
        <v>17</v>
      </c>
      <c r="P169">
        <f t="shared" si="13"/>
        <v>6.7958791550204491</v>
      </c>
      <c r="Q169" t="str">
        <f t="shared" si="14"/>
        <v/>
      </c>
      <c r="R169" s="67" cm="1">
        <f t="array" ref="R169">SUMPRODUCT((J169=$J$7:$J$1000)*(P169&lt;$P$7:$P$1000))+1</f>
        <v>11</v>
      </c>
      <c r="S169" s="72"/>
    </row>
    <row r="170" spans="10:19" x14ac:dyDescent="0.35">
      <c r="J170">
        <v>14</v>
      </c>
      <c r="K170" t="s">
        <v>17</v>
      </c>
      <c r="L170" t="s">
        <v>81</v>
      </c>
      <c r="M170" t="s">
        <v>256</v>
      </c>
      <c r="N170" t="s">
        <v>3</v>
      </c>
      <c r="O170" t="s">
        <v>34</v>
      </c>
      <c r="P170">
        <f t="shared" si="13"/>
        <v>3.7976029085629937</v>
      </c>
      <c r="Q170" t="str">
        <f t="shared" si="14"/>
        <v/>
      </c>
      <c r="R170" s="67" cm="1">
        <f t="array" ref="R170">SUMPRODUCT((J170=$J$7:$J$1000)*(P170&lt;$P$7:$P$1000))+1</f>
        <v>17</v>
      </c>
      <c r="S170" s="72"/>
    </row>
    <row r="171" spans="10:19" x14ac:dyDescent="0.35">
      <c r="J171">
        <v>14</v>
      </c>
      <c r="K171" t="s">
        <v>13</v>
      </c>
      <c r="L171" t="s">
        <v>472</v>
      </c>
      <c r="M171" t="s">
        <v>256</v>
      </c>
      <c r="N171" t="s">
        <v>9</v>
      </c>
      <c r="O171" t="s">
        <v>36</v>
      </c>
      <c r="P171">
        <f t="shared" si="13"/>
        <v>6.9780110423719286</v>
      </c>
      <c r="Q171" t="str">
        <f t="shared" si="14"/>
        <v/>
      </c>
      <c r="R171" s="67" cm="1">
        <f t="array" ref="R171">SUMPRODUCT((J171=$J$7:$J$1000)*(P171&lt;$P$7:$P$1000))+1</f>
        <v>7</v>
      </c>
      <c r="S171" s="72"/>
    </row>
    <row r="172" spans="10:19" x14ac:dyDescent="0.35">
      <c r="J172" s="66">
        <v>14</v>
      </c>
      <c r="K172" t="s">
        <v>13</v>
      </c>
      <c r="L172" t="s">
        <v>49</v>
      </c>
      <c r="M172" t="s">
        <v>256</v>
      </c>
      <c r="N172" t="s">
        <v>9</v>
      </c>
      <c r="O172" t="s">
        <v>36</v>
      </c>
      <c r="P172">
        <f t="shared" si="13"/>
        <v>10.25187075194296</v>
      </c>
      <c r="Q172" t="str">
        <f t="shared" si="14"/>
        <v/>
      </c>
      <c r="R172" s="67" cm="1">
        <f t="array" ref="R172">SUMPRODUCT((J172=$J$7:$J$1000)*(P172&lt;$P$7:$P$1000))+1</f>
        <v>2</v>
      </c>
      <c r="S172" s="72"/>
    </row>
    <row r="173" spans="10:19" x14ac:dyDescent="0.35">
      <c r="J173">
        <v>15</v>
      </c>
      <c r="K173" t="s">
        <v>14</v>
      </c>
      <c r="L173" t="s">
        <v>488</v>
      </c>
      <c r="M173" t="s">
        <v>256</v>
      </c>
      <c r="N173" t="s">
        <v>3</v>
      </c>
      <c r="O173" t="s">
        <v>2</v>
      </c>
      <c r="P173">
        <f t="shared" si="13"/>
        <v>5.8466821699561251</v>
      </c>
      <c r="Q173" t="str">
        <f t="shared" si="14"/>
        <v/>
      </c>
      <c r="R173" s="67" cm="1">
        <f t="array" ref="R173">SUMPRODUCT((J173=$J$7:$J$1000)*(P173&lt;$P$7:$P$1000))+1</f>
        <v>12</v>
      </c>
      <c r="S173" s="72"/>
    </row>
    <row r="174" spans="10:19" x14ac:dyDescent="0.35">
      <c r="J174">
        <v>15</v>
      </c>
      <c r="K174" t="s">
        <v>14</v>
      </c>
      <c r="L174" t="s">
        <v>563</v>
      </c>
      <c r="M174" t="s">
        <v>256</v>
      </c>
      <c r="N174" t="s">
        <v>3</v>
      </c>
      <c r="O174" t="s">
        <v>2</v>
      </c>
      <c r="P174">
        <f t="shared" si="13"/>
        <v>8.3780858011423494</v>
      </c>
      <c r="Q174" t="str">
        <f t="shared" si="14"/>
        <v/>
      </c>
      <c r="R174" s="67" cm="1">
        <f t="array" ref="R174">SUMPRODUCT((J174=$J$7:$J$1000)*(P174&lt;$P$7:$P$1000))+1</f>
        <v>6</v>
      </c>
      <c r="S174" s="72"/>
    </row>
    <row r="175" spans="10:19" x14ac:dyDescent="0.35">
      <c r="J175">
        <v>15</v>
      </c>
      <c r="K175" t="s">
        <v>14</v>
      </c>
      <c r="L175" t="s">
        <v>438</v>
      </c>
      <c r="M175" t="s">
        <v>256</v>
      </c>
      <c r="N175" t="s">
        <v>3</v>
      </c>
      <c r="O175" t="s">
        <v>2</v>
      </c>
      <c r="P175">
        <f t="shared" si="13"/>
        <v>4.5254532391365103</v>
      </c>
      <c r="Q175" t="str">
        <f t="shared" si="14"/>
        <v/>
      </c>
      <c r="R175" s="67" cm="1">
        <f t="array" ref="R175">SUMPRODUCT((J175=$J$7:$J$1000)*(P175&lt;$P$7:$P$1000))+1</f>
        <v>16</v>
      </c>
      <c r="S175" s="72"/>
    </row>
    <row r="176" spans="10:19" x14ac:dyDescent="0.35">
      <c r="J176">
        <v>15</v>
      </c>
      <c r="K176" t="s">
        <v>2</v>
      </c>
      <c r="L176" t="s">
        <v>590</v>
      </c>
      <c r="M176" t="s">
        <v>256</v>
      </c>
      <c r="N176" t="s">
        <v>9</v>
      </c>
      <c r="O176" t="s">
        <v>14</v>
      </c>
      <c r="P176">
        <f t="shared" si="13"/>
        <v>13.521044665777064</v>
      </c>
      <c r="Q176" t="str">
        <f t="shared" si="14"/>
        <v/>
      </c>
      <c r="R176" s="67" cm="1">
        <f t="array" ref="R176">SUMPRODUCT((J176=$J$7:$J$1000)*(P176&lt;$P$7:$P$1000))+1</f>
        <v>1</v>
      </c>
      <c r="S176" s="72"/>
    </row>
    <row r="177" spans="10:19" x14ac:dyDescent="0.35">
      <c r="J177">
        <v>15</v>
      </c>
      <c r="K177" t="s">
        <v>2</v>
      </c>
      <c r="L177" t="s">
        <v>441</v>
      </c>
      <c r="M177" t="s">
        <v>256</v>
      </c>
      <c r="N177" t="s">
        <v>9</v>
      </c>
      <c r="O177" t="s">
        <v>14</v>
      </c>
      <c r="P177">
        <f t="shared" si="13"/>
        <v>9.7598223484842599</v>
      </c>
      <c r="Q177" t="str">
        <f t="shared" si="14"/>
        <v/>
      </c>
      <c r="R177" s="67" cm="1">
        <f t="array" ref="R177">SUMPRODUCT((J177=$J$7:$J$1000)*(P177&lt;$P$7:$P$1000))+1</f>
        <v>5</v>
      </c>
      <c r="S177" s="72"/>
    </row>
    <row r="178" spans="10:19" x14ac:dyDescent="0.35">
      <c r="J178">
        <v>15</v>
      </c>
      <c r="K178" t="s">
        <v>36</v>
      </c>
      <c r="L178" t="s">
        <v>123</v>
      </c>
      <c r="M178" t="s">
        <v>256</v>
      </c>
      <c r="N178" t="s">
        <v>9</v>
      </c>
      <c r="O178" t="s">
        <v>17</v>
      </c>
      <c r="P178">
        <f t="shared" si="13"/>
        <v>6.7581687506124117</v>
      </c>
      <c r="Q178" t="str">
        <f t="shared" si="14"/>
        <v/>
      </c>
      <c r="R178" s="67" cm="1">
        <f t="array" ref="R178">SUMPRODUCT((J178=$J$7:$J$1000)*(P178&lt;$P$7:$P$1000))+1</f>
        <v>11</v>
      </c>
      <c r="S178" s="72"/>
    </row>
    <row r="179" spans="10:19" x14ac:dyDescent="0.35">
      <c r="J179" s="65">
        <v>15</v>
      </c>
      <c r="K179" t="s">
        <v>36</v>
      </c>
      <c r="L179" t="s">
        <v>516</v>
      </c>
      <c r="M179" t="s">
        <v>256</v>
      </c>
      <c r="N179" t="s">
        <v>9</v>
      </c>
      <c r="O179" t="s">
        <v>17</v>
      </c>
      <c r="P179">
        <f t="shared" si="13"/>
        <v>4.9706942185441649</v>
      </c>
      <c r="Q179" t="str">
        <f t="shared" si="14"/>
        <v/>
      </c>
      <c r="R179" s="67" cm="1">
        <f t="array" ref="R179">SUMPRODUCT((J179=$J$7:$J$1000)*(P179&lt;$P$7:$P$1000))+1</f>
        <v>14</v>
      </c>
      <c r="S179" s="72"/>
    </row>
    <row r="180" spans="10:19" x14ac:dyDescent="0.35">
      <c r="J180" s="66">
        <v>15</v>
      </c>
      <c r="K180" t="s">
        <v>36</v>
      </c>
      <c r="L180" t="s">
        <v>573</v>
      </c>
      <c r="M180" t="s">
        <v>256</v>
      </c>
      <c r="N180" t="s">
        <v>9</v>
      </c>
      <c r="O180" t="s">
        <v>17</v>
      </c>
      <c r="P180">
        <f t="shared" si="13"/>
        <v>13.04485841611349</v>
      </c>
      <c r="Q180" t="str">
        <f t="shared" ref="Q180:Q211" si="15">IFERROR(($M180-$P180)^2,"")</f>
        <v/>
      </c>
      <c r="R180" s="67" cm="1">
        <f t="array" ref="R180">SUMPRODUCT((J180=$J$7:$J$1000)*(P180&lt;$P$7:$P$1000))+1</f>
        <v>2</v>
      </c>
      <c r="S180" s="72"/>
    </row>
    <row r="181" spans="10:19" x14ac:dyDescent="0.35">
      <c r="J181">
        <v>15</v>
      </c>
      <c r="K181" t="s">
        <v>6</v>
      </c>
      <c r="L181" t="s">
        <v>437</v>
      </c>
      <c r="M181" t="s">
        <v>256</v>
      </c>
      <c r="N181" t="s">
        <v>3</v>
      </c>
      <c r="O181" t="s">
        <v>24</v>
      </c>
      <c r="P181">
        <f t="shared" si="13"/>
        <v>7.0685466696290202</v>
      </c>
      <c r="Q181" t="str">
        <f t="shared" si="15"/>
        <v/>
      </c>
      <c r="R181" s="67" cm="1">
        <f t="array" ref="R181">SUMPRODUCT((J181=$J$7:$J$1000)*(P181&lt;$P$7:$P$1000))+1</f>
        <v>9</v>
      </c>
      <c r="S181" s="72"/>
    </row>
    <row r="182" spans="10:19" x14ac:dyDescent="0.35">
      <c r="J182" s="66">
        <v>15</v>
      </c>
      <c r="K182" t="s">
        <v>6</v>
      </c>
      <c r="L182" t="s">
        <v>605</v>
      </c>
      <c r="M182" t="s">
        <v>256</v>
      </c>
      <c r="N182" t="s">
        <v>3</v>
      </c>
      <c r="O182" t="s">
        <v>24</v>
      </c>
      <c r="P182">
        <f t="shared" si="13"/>
        <v>5.5660788702306645</v>
      </c>
      <c r="Q182" t="str">
        <f t="shared" si="15"/>
        <v/>
      </c>
      <c r="R182" s="67" cm="1">
        <f t="array" ref="R182">SUMPRODUCT((J182=$J$7:$J$1000)*(P182&lt;$P$7:$P$1000))+1</f>
        <v>13</v>
      </c>
      <c r="S182" s="72"/>
    </row>
    <row r="183" spans="10:19" x14ac:dyDescent="0.35">
      <c r="J183">
        <v>15</v>
      </c>
      <c r="K183" t="s">
        <v>24</v>
      </c>
      <c r="L183" t="s">
        <v>439</v>
      </c>
      <c r="M183" t="s">
        <v>256</v>
      </c>
      <c r="N183" t="s">
        <v>9</v>
      </c>
      <c r="O183" t="s">
        <v>6</v>
      </c>
      <c r="P183">
        <f t="shared" si="13"/>
        <v>6.9527601041169378</v>
      </c>
      <c r="Q183" t="str">
        <f t="shared" si="15"/>
        <v/>
      </c>
      <c r="R183" s="67" cm="1">
        <f t="array" ref="R183">SUMPRODUCT((J183=$J$7:$J$1000)*(P183&lt;$P$7:$P$1000))+1</f>
        <v>10</v>
      </c>
      <c r="S183" s="72"/>
    </row>
    <row r="184" spans="10:19" x14ac:dyDescent="0.35">
      <c r="J184">
        <v>15</v>
      </c>
      <c r="K184" t="s">
        <v>24</v>
      </c>
      <c r="L184" t="s">
        <v>487</v>
      </c>
      <c r="M184" t="s">
        <v>256</v>
      </c>
      <c r="N184" t="s">
        <v>9</v>
      </c>
      <c r="O184" t="s">
        <v>6</v>
      </c>
      <c r="P184">
        <f t="shared" si="13"/>
        <v>7.2956688196764725</v>
      </c>
      <c r="Q184" t="str">
        <f t="shared" si="15"/>
        <v/>
      </c>
      <c r="R184" s="67" cm="1">
        <f t="array" ref="R184">SUMPRODUCT((J184=$J$7:$J$1000)*(P184&lt;$P$7:$P$1000))+1</f>
        <v>8</v>
      </c>
      <c r="S184" s="72"/>
    </row>
    <row r="185" spans="10:19" x14ac:dyDescent="0.35">
      <c r="J185">
        <v>15</v>
      </c>
      <c r="K185" t="s">
        <v>23</v>
      </c>
      <c r="L185" t="s">
        <v>133</v>
      </c>
      <c r="M185" t="s">
        <v>256</v>
      </c>
      <c r="N185" t="s">
        <v>3</v>
      </c>
      <c r="O185" t="s">
        <v>7</v>
      </c>
      <c r="P185">
        <f t="shared" si="13"/>
        <v>-0.45950459229534024</v>
      </c>
      <c r="Q185" t="str">
        <f t="shared" si="15"/>
        <v/>
      </c>
      <c r="R185" s="67" cm="1">
        <f t="array" ref="R185">SUMPRODUCT((J185=$J$7:$J$1000)*(P185&lt;$P$7:$P$1000))+1</f>
        <v>23</v>
      </c>
      <c r="S185" s="72"/>
    </row>
    <row r="186" spans="10:19" x14ac:dyDescent="0.35">
      <c r="J186">
        <v>15</v>
      </c>
      <c r="K186" t="s">
        <v>23</v>
      </c>
      <c r="L186" t="s">
        <v>127</v>
      </c>
      <c r="M186" t="s">
        <v>256</v>
      </c>
      <c r="N186" t="s">
        <v>3</v>
      </c>
      <c r="O186" t="s">
        <v>7</v>
      </c>
      <c r="P186">
        <f t="shared" si="13"/>
        <v>1.1760278390126104</v>
      </c>
      <c r="Q186" t="str">
        <f t="shared" si="15"/>
        <v/>
      </c>
      <c r="R186" s="67" cm="1">
        <f t="array" ref="R186">SUMPRODUCT((J186=$J$7:$J$1000)*(P186&lt;$P$7:$P$1000))+1</f>
        <v>21</v>
      </c>
      <c r="S186" s="72"/>
    </row>
    <row r="187" spans="10:19" x14ac:dyDescent="0.35">
      <c r="J187">
        <v>15</v>
      </c>
      <c r="K187" t="s">
        <v>23</v>
      </c>
      <c r="L187" t="s">
        <v>515</v>
      </c>
      <c r="M187" t="s">
        <v>256</v>
      </c>
      <c r="N187" t="s">
        <v>3</v>
      </c>
      <c r="O187" t="s">
        <v>7</v>
      </c>
      <c r="P187">
        <f t="shared" si="13"/>
        <v>-1.1160243959400962E-2</v>
      </c>
      <c r="Q187" t="str">
        <f t="shared" si="15"/>
        <v/>
      </c>
      <c r="R187" s="67" cm="1">
        <f t="array" ref="R187">SUMPRODUCT((J187=$J$7:$J$1000)*(P187&lt;$P$7:$P$1000))+1</f>
        <v>22</v>
      </c>
      <c r="S187" s="72"/>
    </row>
    <row r="188" spans="10:19" x14ac:dyDescent="0.35">
      <c r="J188" s="66">
        <v>15</v>
      </c>
      <c r="K188" t="s">
        <v>4</v>
      </c>
      <c r="L188" t="s">
        <v>552</v>
      </c>
      <c r="M188" t="s">
        <v>256</v>
      </c>
      <c r="N188" t="s">
        <v>3</v>
      </c>
      <c r="O188" t="s">
        <v>13</v>
      </c>
      <c r="P188">
        <f t="shared" si="13"/>
        <v>12.726658096638438</v>
      </c>
      <c r="Q188" t="str">
        <f t="shared" si="15"/>
        <v/>
      </c>
      <c r="R188" s="67" cm="1">
        <f t="array" ref="R188">SUMPRODUCT((J188=$J$7:$J$1000)*(P188&lt;$P$7:$P$1000))+1</f>
        <v>3</v>
      </c>
      <c r="S188" s="72"/>
    </row>
    <row r="189" spans="10:19" x14ac:dyDescent="0.35">
      <c r="J189">
        <v>15</v>
      </c>
      <c r="K189" t="s">
        <v>4</v>
      </c>
      <c r="L189" t="s">
        <v>125</v>
      </c>
      <c r="M189" t="s">
        <v>256</v>
      </c>
      <c r="N189" t="s">
        <v>3</v>
      </c>
      <c r="O189" t="s">
        <v>13</v>
      </c>
      <c r="P189">
        <f t="shared" si="13"/>
        <v>4.0332005593249889</v>
      </c>
      <c r="Q189" t="str">
        <f t="shared" si="15"/>
        <v/>
      </c>
      <c r="R189" s="67" cm="1">
        <f t="array" ref="R189">SUMPRODUCT((J189=$J$7:$J$1000)*(P189&lt;$P$7:$P$1000))+1</f>
        <v>18</v>
      </c>
      <c r="S189" s="72"/>
    </row>
    <row r="190" spans="10:19" x14ac:dyDescent="0.35">
      <c r="J190">
        <v>15</v>
      </c>
      <c r="K190" t="s">
        <v>4</v>
      </c>
      <c r="L190" t="s">
        <v>489</v>
      </c>
      <c r="M190" t="s">
        <v>256</v>
      </c>
      <c r="N190" t="s">
        <v>3</v>
      </c>
      <c r="O190" t="s">
        <v>13</v>
      </c>
      <c r="P190">
        <f t="shared" si="13"/>
        <v>4.7749550057221519</v>
      </c>
      <c r="Q190" t="str">
        <f t="shared" si="15"/>
        <v/>
      </c>
      <c r="R190" s="67" cm="1">
        <f t="array" ref="R190">SUMPRODUCT((J190=$J$7:$J$1000)*(P190&lt;$P$7:$P$1000))+1</f>
        <v>15</v>
      </c>
      <c r="S190" s="72"/>
    </row>
    <row r="191" spans="10:19" x14ac:dyDescent="0.35">
      <c r="J191">
        <v>15</v>
      </c>
      <c r="K191" t="s">
        <v>7</v>
      </c>
      <c r="L191" t="s">
        <v>126</v>
      </c>
      <c r="M191" t="s">
        <v>256</v>
      </c>
      <c r="N191" t="s">
        <v>9</v>
      </c>
      <c r="O191" t="s">
        <v>23</v>
      </c>
      <c r="P191">
        <f t="shared" si="13"/>
        <v>1.3340147128085802</v>
      </c>
      <c r="Q191" t="str">
        <f t="shared" si="15"/>
        <v/>
      </c>
      <c r="R191" s="67" cm="1">
        <f t="array" ref="R191">SUMPRODUCT((J191=$J$7:$J$1000)*(P191&lt;$P$7:$P$1000))+1</f>
        <v>19</v>
      </c>
      <c r="S191" s="72"/>
    </row>
    <row r="192" spans="10:19" x14ac:dyDescent="0.35">
      <c r="J192">
        <v>15</v>
      </c>
      <c r="K192" t="s">
        <v>7</v>
      </c>
      <c r="L192" t="s">
        <v>131</v>
      </c>
      <c r="M192" t="s">
        <v>256</v>
      </c>
      <c r="N192" t="s">
        <v>9</v>
      </c>
      <c r="O192" t="s">
        <v>23</v>
      </c>
      <c r="P192">
        <f t="shared" si="13"/>
        <v>1.2157264108087353</v>
      </c>
      <c r="Q192" t="str">
        <f t="shared" si="15"/>
        <v/>
      </c>
      <c r="R192" s="67" cm="1">
        <f t="array" ref="R192">SUMPRODUCT((J192=$J$7:$J$1000)*(P192&lt;$P$7:$P$1000))+1</f>
        <v>20</v>
      </c>
      <c r="S192" s="72"/>
    </row>
    <row r="193" spans="10:19" x14ac:dyDescent="0.35">
      <c r="J193">
        <v>15</v>
      </c>
      <c r="K193" t="s">
        <v>17</v>
      </c>
      <c r="L193" t="s">
        <v>81</v>
      </c>
      <c r="M193" t="s">
        <v>256</v>
      </c>
      <c r="N193" t="s">
        <v>3</v>
      </c>
      <c r="O193" t="s">
        <v>36</v>
      </c>
      <c r="P193">
        <f t="shared" si="13"/>
        <v>4.460556109461927</v>
      </c>
      <c r="Q193" t="str">
        <f t="shared" si="15"/>
        <v/>
      </c>
      <c r="R193" s="67" cm="1">
        <f t="array" ref="R193">SUMPRODUCT((J193=$J$7:$J$1000)*(P193&lt;$P$7:$P$1000))+1</f>
        <v>17</v>
      </c>
      <c r="S193" s="72"/>
    </row>
    <row r="194" spans="10:19" x14ac:dyDescent="0.35">
      <c r="J194">
        <v>15</v>
      </c>
      <c r="K194" t="s">
        <v>13</v>
      </c>
      <c r="L194" t="s">
        <v>472</v>
      </c>
      <c r="M194" t="s">
        <v>256</v>
      </c>
      <c r="N194" t="s">
        <v>9</v>
      </c>
      <c r="O194" t="s">
        <v>4</v>
      </c>
      <c r="P194">
        <f t="shared" si="13"/>
        <v>7.7053791839256593</v>
      </c>
      <c r="Q194" t="str">
        <f t="shared" si="15"/>
        <v/>
      </c>
      <c r="R194" s="67" cm="1">
        <f t="array" ref="R194">SUMPRODUCT((J194=$J$7:$J$1000)*(P194&lt;$P$7:$P$1000))+1</f>
        <v>7</v>
      </c>
      <c r="S194" s="72"/>
    </row>
    <row r="195" spans="10:19" x14ac:dyDescent="0.35">
      <c r="J195" s="66">
        <v>15</v>
      </c>
      <c r="K195" t="s">
        <v>13</v>
      </c>
      <c r="L195" t="s">
        <v>49</v>
      </c>
      <c r="M195" t="s">
        <v>256</v>
      </c>
      <c r="N195" t="s">
        <v>9</v>
      </c>
      <c r="O195" t="s">
        <v>4</v>
      </c>
      <c r="P195">
        <f t="shared" si="13"/>
        <v>10.97923889349669</v>
      </c>
      <c r="Q195" t="str">
        <f t="shared" si="15"/>
        <v/>
      </c>
      <c r="R195" s="67" cm="1">
        <f t="array" ref="R195">SUMPRODUCT((J195=$J$7:$J$1000)*(P195&lt;$P$7:$P$1000))+1</f>
        <v>4</v>
      </c>
      <c r="S195" s="72"/>
    </row>
    <row r="196" spans="10:19" x14ac:dyDescent="0.35">
      <c r="J196">
        <v>16</v>
      </c>
      <c r="K196" t="s">
        <v>14</v>
      </c>
      <c r="L196" t="s">
        <v>488</v>
      </c>
      <c r="M196" t="s">
        <v>256</v>
      </c>
      <c r="N196" t="s">
        <v>9</v>
      </c>
      <c r="O196" t="s">
        <v>13</v>
      </c>
      <c r="P196">
        <f t="shared" si="13"/>
        <v>6.59798780531366</v>
      </c>
      <c r="Q196" t="str">
        <f t="shared" si="15"/>
        <v/>
      </c>
      <c r="R196" s="67" cm="1">
        <f t="array" ref="R196">SUMPRODUCT((J196=$J$7:$J$1000)*(P196&lt;$P$7:$P$1000))+1</f>
        <v>9</v>
      </c>
      <c r="S196" s="72"/>
    </row>
    <row r="197" spans="10:19" x14ac:dyDescent="0.35">
      <c r="J197">
        <v>16</v>
      </c>
      <c r="K197" t="s">
        <v>14</v>
      </c>
      <c r="L197" t="s">
        <v>563</v>
      </c>
      <c r="M197" t="s">
        <v>256</v>
      </c>
      <c r="N197" t="s">
        <v>9</v>
      </c>
      <c r="O197" t="s">
        <v>13</v>
      </c>
      <c r="P197">
        <f t="shared" si="13"/>
        <v>9.1293914364998834</v>
      </c>
      <c r="Q197" t="str">
        <f t="shared" si="15"/>
        <v/>
      </c>
      <c r="R197" s="67" cm="1">
        <f t="array" ref="R197">SUMPRODUCT((J197=$J$7:$J$1000)*(P197&lt;$P$7:$P$1000))+1</f>
        <v>5</v>
      </c>
      <c r="S197" s="72"/>
    </row>
    <row r="198" spans="10:19" x14ac:dyDescent="0.35">
      <c r="J198">
        <v>16</v>
      </c>
      <c r="K198" t="s">
        <v>14</v>
      </c>
      <c r="L198" t="s">
        <v>438</v>
      </c>
      <c r="M198" t="s">
        <v>256</v>
      </c>
      <c r="N198" t="s">
        <v>9</v>
      </c>
      <c r="O198" t="s">
        <v>13</v>
      </c>
      <c r="P198">
        <f t="shared" si="13"/>
        <v>5.2767588744940452</v>
      </c>
      <c r="Q198" t="str">
        <f t="shared" si="15"/>
        <v/>
      </c>
      <c r="R198" s="67" cm="1">
        <f t="array" ref="R198">SUMPRODUCT((J198=$J$7:$J$1000)*(P198&lt;$P$7:$P$1000))+1</f>
        <v>12</v>
      </c>
      <c r="S198" s="72"/>
    </row>
    <row r="199" spans="10:19" x14ac:dyDescent="0.35">
      <c r="J199" s="66">
        <v>16</v>
      </c>
      <c r="K199" t="s">
        <v>2</v>
      </c>
      <c r="L199" t="s">
        <v>590</v>
      </c>
      <c r="M199" t="s">
        <v>256</v>
      </c>
      <c r="N199" t="s">
        <v>3</v>
      </c>
      <c r="O199" t="s">
        <v>4</v>
      </c>
      <c r="P199">
        <f t="shared" si="13"/>
        <v>9.9843632737075545</v>
      </c>
      <c r="Q199" t="str">
        <f t="shared" si="15"/>
        <v/>
      </c>
      <c r="R199" s="67" cm="1">
        <f t="array" ref="R199">SUMPRODUCT((J199=$J$7:$J$1000)*(P199&lt;$P$7:$P$1000))+1</f>
        <v>4</v>
      </c>
      <c r="S199" s="72"/>
    </row>
    <row r="200" spans="10:19" x14ac:dyDescent="0.35">
      <c r="J200">
        <v>16</v>
      </c>
      <c r="K200" t="s">
        <v>2</v>
      </c>
      <c r="L200" t="s">
        <v>441</v>
      </c>
      <c r="M200" t="s">
        <v>256</v>
      </c>
      <c r="N200" t="s">
        <v>3</v>
      </c>
      <c r="O200" t="s">
        <v>4</v>
      </c>
      <c r="P200">
        <f t="shared" ref="P200:P217" si="16">VLOOKUP($N200,$F$3:$G$4,2,FALSE)+VLOOKUP($L200,$B$20:$C$150,2,FALSE)+VLOOKUP($O200,$A$6:$B$16,2,FALSE)</f>
        <v>6.2231409564147491</v>
      </c>
      <c r="Q200" t="str">
        <f t="shared" si="15"/>
        <v/>
      </c>
      <c r="R200" s="67" cm="1">
        <f t="array" ref="R200">SUMPRODUCT((J200=$J$7:$J$1000)*(P200&lt;$P$7:$P$1000))+1</f>
        <v>11</v>
      </c>
      <c r="S200" s="72"/>
    </row>
    <row r="201" spans="10:19" x14ac:dyDescent="0.35">
      <c r="J201">
        <v>16</v>
      </c>
      <c r="K201" t="s">
        <v>6</v>
      </c>
      <c r="L201" t="s">
        <v>437</v>
      </c>
      <c r="M201" t="s">
        <v>256</v>
      </c>
      <c r="N201" t="s">
        <v>9</v>
      </c>
      <c r="O201" t="s">
        <v>7</v>
      </c>
      <c r="P201">
        <f t="shared" si="16"/>
        <v>5.0882778536433992</v>
      </c>
      <c r="Q201" t="str">
        <f t="shared" si="15"/>
        <v/>
      </c>
      <c r="R201" s="67" cm="1">
        <f t="array" ref="R201">SUMPRODUCT((J201=$J$7:$J$1000)*(P201&lt;$P$7:$P$1000))+1</f>
        <v>13</v>
      </c>
      <c r="S201" s="72"/>
    </row>
    <row r="202" spans="10:19" x14ac:dyDescent="0.35">
      <c r="J202">
        <v>16</v>
      </c>
      <c r="K202" t="s">
        <v>6</v>
      </c>
      <c r="L202" t="s">
        <v>605</v>
      </c>
      <c r="M202" t="s">
        <v>256</v>
      </c>
      <c r="N202" t="s">
        <v>9</v>
      </c>
      <c r="O202" t="s">
        <v>7</v>
      </c>
      <c r="P202">
        <f t="shared" si="16"/>
        <v>3.5858100542450457</v>
      </c>
      <c r="Q202" t="str">
        <f t="shared" si="15"/>
        <v/>
      </c>
      <c r="R202" s="67" cm="1">
        <f t="array" ref="R202">SUMPRODUCT((J202=$J$7:$J$1000)*(P202&lt;$P$7:$P$1000))+1</f>
        <v>17</v>
      </c>
      <c r="S202" s="72"/>
    </row>
    <row r="203" spans="10:19" x14ac:dyDescent="0.35">
      <c r="J203" s="66">
        <v>16</v>
      </c>
      <c r="K203" t="s">
        <v>24</v>
      </c>
      <c r="L203" t="s">
        <v>439</v>
      </c>
      <c r="M203" t="s">
        <v>256</v>
      </c>
      <c r="N203" t="s">
        <v>3</v>
      </c>
      <c r="O203" t="s">
        <v>34</v>
      </c>
      <c r="P203">
        <f t="shared" si="16"/>
        <v>8.2153629479202444</v>
      </c>
      <c r="Q203" t="str">
        <f t="shared" si="15"/>
        <v/>
      </c>
      <c r="R203" s="67" cm="1">
        <f t="array" ref="R203">SUMPRODUCT((J203=$J$7:$J$1000)*(P203&lt;$P$7:$P$1000))+1</f>
        <v>8</v>
      </c>
      <c r="S203" s="72"/>
    </row>
    <row r="204" spans="10:19" x14ac:dyDescent="0.35">
      <c r="J204" s="66">
        <v>16</v>
      </c>
      <c r="K204" t="s">
        <v>24</v>
      </c>
      <c r="L204" t="s">
        <v>487</v>
      </c>
      <c r="M204" t="s">
        <v>256</v>
      </c>
      <c r="N204" t="s">
        <v>3</v>
      </c>
      <c r="O204" t="s">
        <v>34</v>
      </c>
      <c r="P204">
        <f t="shared" si="16"/>
        <v>8.5582716634797809</v>
      </c>
      <c r="Q204" t="str">
        <f t="shared" si="15"/>
        <v/>
      </c>
      <c r="R204" s="67" cm="1">
        <f t="array" ref="R204">SUMPRODUCT((J204=$J$7:$J$1000)*(P204&lt;$P$7:$P$1000))+1</f>
        <v>7</v>
      </c>
      <c r="S204" s="72"/>
    </row>
    <row r="205" spans="10:19" x14ac:dyDescent="0.35">
      <c r="J205" s="66">
        <v>16</v>
      </c>
      <c r="K205" t="s">
        <v>23</v>
      </c>
      <c r="L205" t="s">
        <v>133</v>
      </c>
      <c r="M205" t="s">
        <v>256</v>
      </c>
      <c r="N205" t="s">
        <v>3</v>
      </c>
      <c r="O205" t="s">
        <v>17</v>
      </c>
      <c r="P205">
        <f t="shared" si="16"/>
        <v>2.4273588295347901</v>
      </c>
      <c r="Q205" t="str">
        <f t="shared" si="15"/>
        <v/>
      </c>
      <c r="R205" s="67" cm="1">
        <f t="array" ref="R205">SUMPRODUCT((J205=$J$7:$J$1000)*(P205&lt;$P$7:$P$1000))+1</f>
        <v>19</v>
      </c>
      <c r="S205" s="72"/>
    </row>
    <row r="206" spans="10:19" x14ac:dyDescent="0.35">
      <c r="J206" s="66">
        <v>16</v>
      </c>
      <c r="K206" t="s">
        <v>23</v>
      </c>
      <c r="L206" t="s">
        <v>127</v>
      </c>
      <c r="M206" t="s">
        <v>256</v>
      </c>
      <c r="N206" t="s">
        <v>3</v>
      </c>
      <c r="O206" t="s">
        <v>17</v>
      </c>
      <c r="P206">
        <f t="shared" si="16"/>
        <v>4.0628912608427408</v>
      </c>
      <c r="Q206" t="str">
        <f t="shared" si="15"/>
        <v/>
      </c>
      <c r="R206" s="67" cm="1">
        <f t="array" ref="R206">SUMPRODUCT((J206=$J$7:$J$1000)*(P206&lt;$P$7:$P$1000))+1</f>
        <v>16</v>
      </c>
      <c r="S206" s="72"/>
    </row>
    <row r="207" spans="10:19" x14ac:dyDescent="0.35">
      <c r="J207">
        <v>16</v>
      </c>
      <c r="K207" t="s">
        <v>23</v>
      </c>
      <c r="L207" t="s">
        <v>515</v>
      </c>
      <c r="M207" t="s">
        <v>256</v>
      </c>
      <c r="N207" t="s">
        <v>3</v>
      </c>
      <c r="O207" t="s">
        <v>17</v>
      </c>
      <c r="P207">
        <f t="shared" si="16"/>
        <v>2.8757031778707294</v>
      </c>
      <c r="Q207" t="str">
        <f t="shared" si="15"/>
        <v/>
      </c>
      <c r="R207" s="67" cm="1">
        <f t="array" ref="R207">SUMPRODUCT((J207=$J$7:$J$1000)*(P207&lt;$P$7:$P$1000))+1</f>
        <v>18</v>
      </c>
      <c r="S207" s="72"/>
    </row>
    <row r="208" spans="10:19" x14ac:dyDescent="0.35">
      <c r="J208" s="66">
        <v>16</v>
      </c>
      <c r="K208" t="s">
        <v>4</v>
      </c>
      <c r="L208" t="s">
        <v>552</v>
      </c>
      <c r="M208" t="s">
        <v>256</v>
      </c>
      <c r="N208" t="s">
        <v>9</v>
      </c>
      <c r="O208" t="s">
        <v>2</v>
      </c>
      <c r="P208">
        <f t="shared" si="16"/>
        <v>12.979443132077767</v>
      </c>
      <c r="Q208" t="str">
        <f t="shared" si="15"/>
        <v/>
      </c>
      <c r="R208" s="67" cm="1">
        <f t="array" ref="R208">SUMPRODUCT((J208=$J$7:$J$1000)*(P208&lt;$P$7:$P$1000))+1</f>
        <v>2</v>
      </c>
      <c r="S208" s="72"/>
    </row>
    <row r="209" spans="10:19" x14ac:dyDescent="0.35">
      <c r="J209" s="66">
        <v>16</v>
      </c>
      <c r="K209" t="s">
        <v>4</v>
      </c>
      <c r="L209" t="s">
        <v>125</v>
      </c>
      <c r="M209" t="s">
        <v>256</v>
      </c>
      <c r="N209" t="s">
        <v>9</v>
      </c>
      <c r="O209" t="s">
        <v>2</v>
      </c>
      <c r="P209">
        <f t="shared" si="16"/>
        <v>4.2859855947643206</v>
      </c>
      <c r="Q209" t="str">
        <f t="shared" si="15"/>
        <v/>
      </c>
      <c r="R209" s="67" cm="1">
        <f t="array" ref="R209">SUMPRODUCT((J209=$J$7:$J$1000)*(P209&lt;$P$7:$P$1000))+1</f>
        <v>15</v>
      </c>
      <c r="S209" s="72"/>
    </row>
    <row r="210" spans="10:19" x14ac:dyDescent="0.35">
      <c r="J210">
        <v>16</v>
      </c>
      <c r="K210" t="s">
        <v>4</v>
      </c>
      <c r="L210" t="s">
        <v>489</v>
      </c>
      <c r="M210" t="s">
        <v>256</v>
      </c>
      <c r="N210" t="s">
        <v>9</v>
      </c>
      <c r="O210" t="s">
        <v>2</v>
      </c>
      <c r="P210">
        <f t="shared" si="16"/>
        <v>5.0277400411614837</v>
      </c>
      <c r="Q210" t="str">
        <f t="shared" si="15"/>
        <v/>
      </c>
      <c r="R210" s="67" cm="1">
        <f t="array" ref="R210">SUMPRODUCT((J210=$J$7:$J$1000)*(P210&lt;$P$7:$P$1000))+1</f>
        <v>14</v>
      </c>
      <c r="S210" s="72"/>
    </row>
    <row r="211" spans="10:19" x14ac:dyDescent="0.35">
      <c r="J211">
        <v>16</v>
      </c>
      <c r="K211" t="s">
        <v>7</v>
      </c>
      <c r="L211" t="s">
        <v>126</v>
      </c>
      <c r="M211" t="s">
        <v>256</v>
      </c>
      <c r="N211" t="s">
        <v>3</v>
      </c>
      <c r="O211" t="s">
        <v>6</v>
      </c>
      <c r="P211">
        <f t="shared" si="16"/>
        <v>0.99493199081237349</v>
      </c>
      <c r="Q211" t="str">
        <f t="shared" si="15"/>
        <v/>
      </c>
      <c r="R211" s="67" cm="1">
        <f t="array" ref="R211">SUMPRODUCT((J211=$J$7:$J$1000)*(P211&lt;$P$7:$P$1000))+1</f>
        <v>21</v>
      </c>
      <c r="S211" s="72"/>
    </row>
    <row r="212" spans="10:19" x14ac:dyDescent="0.35">
      <c r="J212">
        <v>16</v>
      </c>
      <c r="K212" t="s">
        <v>7</v>
      </c>
      <c r="L212" t="s">
        <v>131</v>
      </c>
      <c r="M212" t="s">
        <v>256</v>
      </c>
      <c r="N212" t="s">
        <v>3</v>
      </c>
      <c r="O212" t="s">
        <v>6</v>
      </c>
      <c r="P212">
        <f t="shared" si="16"/>
        <v>0.87664368881252863</v>
      </c>
      <c r="Q212" t="str">
        <f t="shared" ref="Q212:Q217" si="17">IFERROR(($M212-$P212)^2,"")</f>
        <v/>
      </c>
      <c r="R212" s="67" cm="1">
        <f t="array" ref="R212">SUMPRODUCT((J212=$J$7:$J$1000)*(P212&lt;$P$7:$P$1000))+1</f>
        <v>22</v>
      </c>
      <c r="S212" s="72"/>
    </row>
    <row r="213" spans="10:19" x14ac:dyDescent="0.35">
      <c r="J213">
        <v>16</v>
      </c>
      <c r="K213" t="s">
        <v>34</v>
      </c>
      <c r="L213" t="s">
        <v>550</v>
      </c>
      <c r="M213" t="s">
        <v>256</v>
      </c>
      <c r="N213" t="s">
        <v>9</v>
      </c>
      <c r="O213" t="s">
        <v>24</v>
      </c>
      <c r="P213">
        <f t="shared" si="16"/>
        <v>8.9687922931830837</v>
      </c>
      <c r="Q213" t="str">
        <f t="shared" si="17"/>
        <v/>
      </c>
      <c r="R213" s="67" cm="1">
        <f t="array" ref="R213">SUMPRODUCT((J213=$J$7:$J$1000)*(P213&lt;$P$7:$P$1000))+1</f>
        <v>6</v>
      </c>
      <c r="S213" s="72"/>
    </row>
    <row r="214" spans="10:19" x14ac:dyDescent="0.35">
      <c r="J214">
        <v>16</v>
      </c>
      <c r="K214" t="s">
        <v>34</v>
      </c>
      <c r="L214" t="s">
        <v>440</v>
      </c>
      <c r="M214" t="s">
        <v>256</v>
      </c>
      <c r="N214" t="s">
        <v>9</v>
      </c>
      <c r="O214" t="s">
        <v>24</v>
      </c>
      <c r="P214">
        <f t="shared" si="16"/>
        <v>6.3913298845743709</v>
      </c>
      <c r="Q214" t="str">
        <f t="shared" si="17"/>
        <v/>
      </c>
      <c r="R214" s="67" cm="1">
        <f t="array" ref="R214">SUMPRODUCT((J214=$J$7:$J$1000)*(P214&lt;$P$7:$P$1000))+1</f>
        <v>10</v>
      </c>
      <c r="S214" s="72"/>
    </row>
    <row r="215" spans="10:19" x14ac:dyDescent="0.35">
      <c r="J215">
        <v>16</v>
      </c>
      <c r="K215" t="s">
        <v>17</v>
      </c>
      <c r="L215" t="s">
        <v>81</v>
      </c>
      <c r="M215" t="s">
        <v>256</v>
      </c>
      <c r="N215" t="s">
        <v>9</v>
      </c>
      <c r="O215" t="s">
        <v>23</v>
      </c>
      <c r="P215">
        <f t="shared" si="16"/>
        <v>2.3720374513574614</v>
      </c>
      <c r="Q215" t="str">
        <f t="shared" si="17"/>
        <v/>
      </c>
      <c r="R215" s="67" cm="1">
        <f t="array" ref="R215">SUMPRODUCT((J215=$J$7:$J$1000)*(P215&lt;$P$7:$P$1000))+1</f>
        <v>20</v>
      </c>
      <c r="S215" s="72"/>
    </row>
    <row r="216" spans="10:19" x14ac:dyDescent="0.35">
      <c r="J216">
        <v>16</v>
      </c>
      <c r="K216" t="s">
        <v>13</v>
      </c>
      <c r="L216" t="s">
        <v>472</v>
      </c>
      <c r="M216" t="s">
        <v>256</v>
      </c>
      <c r="N216" t="s">
        <v>3</v>
      </c>
      <c r="O216" t="s">
        <v>14</v>
      </c>
      <c r="P216">
        <f t="shared" si="16"/>
        <v>10.237969905198305</v>
      </c>
      <c r="Q216" t="str">
        <f t="shared" si="17"/>
        <v/>
      </c>
      <c r="R216" s="67" cm="1">
        <f t="array" ref="R216">SUMPRODUCT((J216=$J$7:$J$1000)*(P216&lt;$P$7:$P$1000))+1</f>
        <v>3</v>
      </c>
      <c r="S216" s="72"/>
    </row>
    <row r="217" spans="10:19" x14ac:dyDescent="0.35">
      <c r="J217">
        <v>16</v>
      </c>
      <c r="K217" t="s">
        <v>13</v>
      </c>
      <c r="L217" t="s">
        <v>49</v>
      </c>
      <c r="M217" t="s">
        <v>256</v>
      </c>
      <c r="N217" t="s">
        <v>3</v>
      </c>
      <c r="O217" t="s">
        <v>14</v>
      </c>
      <c r="P217">
        <f t="shared" si="16"/>
        <v>13.511829614769336</v>
      </c>
      <c r="Q217" t="str">
        <f t="shared" si="17"/>
        <v/>
      </c>
      <c r="R217" s="67" cm="1">
        <f t="array" ref="R217">SUMPRODUCT((J217=$J$7:$J$1000)*(P217&lt;$P$7:$P$1000))+1</f>
        <v>1</v>
      </c>
      <c r="S217" s="72"/>
    </row>
    <row r="218" spans="10:19" x14ac:dyDescent="0.35">
      <c r="J218" s="66"/>
      <c r="R218" s="67"/>
      <c r="S218" s="72"/>
    </row>
    <row r="219" spans="10:19" x14ac:dyDescent="0.35">
      <c r="J219" s="66"/>
      <c r="R219" s="67"/>
      <c r="S219" s="72"/>
    </row>
    <row r="220" spans="10:19" x14ac:dyDescent="0.35">
      <c r="J220" s="66"/>
      <c r="R220" s="67"/>
      <c r="S220" s="72"/>
    </row>
    <row r="221" spans="10:19" x14ac:dyDescent="0.35">
      <c r="J221" s="66"/>
      <c r="R221" s="67"/>
      <c r="S221" s="72"/>
    </row>
    <row r="222" spans="10:19" x14ac:dyDescent="0.35">
      <c r="J222" s="66"/>
      <c r="R222" s="67"/>
      <c r="S222" s="72"/>
    </row>
    <row r="223" spans="10:19" x14ac:dyDescent="0.35">
      <c r="R223" s="67"/>
      <c r="S223" s="72"/>
    </row>
    <row r="224" spans="10:19" x14ac:dyDescent="0.35">
      <c r="J224" s="66"/>
      <c r="R224" s="67"/>
      <c r="S224" s="72"/>
    </row>
    <row r="225" spans="10:19" x14ac:dyDescent="0.35">
      <c r="J225" s="66"/>
      <c r="R225" s="67"/>
      <c r="S225" s="72"/>
    </row>
    <row r="226" spans="10:19" x14ac:dyDescent="0.35">
      <c r="J226" s="66"/>
      <c r="R226" s="67"/>
      <c r="S226" s="72"/>
    </row>
    <row r="227" spans="10:19" x14ac:dyDescent="0.35">
      <c r="J227" s="66"/>
      <c r="R227" s="67"/>
      <c r="S227" s="72"/>
    </row>
    <row r="228" spans="10:19" x14ac:dyDescent="0.35">
      <c r="J228" s="66"/>
      <c r="R228" s="67"/>
      <c r="S228" s="72"/>
    </row>
    <row r="229" spans="10:19" x14ac:dyDescent="0.35">
      <c r="J229" s="66"/>
      <c r="R229" s="67"/>
      <c r="S229" s="72"/>
    </row>
    <row r="230" spans="10:19" x14ac:dyDescent="0.35">
      <c r="J230" s="66"/>
      <c r="R230" s="67"/>
      <c r="S230" s="72"/>
    </row>
    <row r="231" spans="10:19" x14ac:dyDescent="0.35">
      <c r="J231" s="66"/>
      <c r="R231" s="67"/>
      <c r="S231" s="72"/>
    </row>
    <row r="232" spans="10:19" x14ac:dyDescent="0.35">
      <c r="J232" s="66"/>
      <c r="R232" s="67"/>
      <c r="S232" s="72"/>
    </row>
    <row r="233" spans="10:19" x14ac:dyDescent="0.35">
      <c r="J233" s="66"/>
      <c r="R233" s="67"/>
      <c r="S233" s="72"/>
    </row>
    <row r="234" spans="10:19" x14ac:dyDescent="0.35">
      <c r="J234" s="66"/>
      <c r="R234" s="67"/>
      <c r="S234" s="72"/>
    </row>
    <row r="235" spans="10:19" x14ac:dyDescent="0.35">
      <c r="J235" s="66"/>
      <c r="R235" s="67"/>
      <c r="S235" s="72"/>
    </row>
    <row r="236" spans="10:19" x14ac:dyDescent="0.35">
      <c r="J236" s="66"/>
      <c r="R236" s="67"/>
      <c r="S236" s="72"/>
    </row>
    <row r="237" spans="10:19" x14ac:dyDescent="0.35">
      <c r="J237" s="66"/>
      <c r="R237" s="67"/>
      <c r="S237" s="72"/>
    </row>
    <row r="238" spans="10:19" x14ac:dyDescent="0.35">
      <c r="J238" s="66"/>
      <c r="R238" s="67"/>
      <c r="S238" s="72"/>
    </row>
    <row r="239" spans="10:19" x14ac:dyDescent="0.35">
      <c r="J239" s="66"/>
      <c r="R239" s="67"/>
      <c r="S239" s="72"/>
    </row>
    <row r="240" spans="10:19" x14ac:dyDescent="0.35">
      <c r="J240" s="66"/>
      <c r="R240" s="67"/>
      <c r="S240" s="72"/>
    </row>
    <row r="241" spans="10:19" x14ac:dyDescent="0.35">
      <c r="J241" s="66"/>
      <c r="R241" s="67"/>
      <c r="S241" s="72"/>
    </row>
    <row r="242" spans="10:19" x14ac:dyDescent="0.35">
      <c r="J242" s="66"/>
      <c r="R242" s="67"/>
      <c r="S242" s="72"/>
    </row>
    <row r="243" spans="10:19" x14ac:dyDescent="0.35">
      <c r="J243" s="66"/>
      <c r="R243" s="67"/>
      <c r="S243" s="72"/>
    </row>
    <row r="244" spans="10:19" x14ac:dyDescent="0.35">
      <c r="J244" s="66"/>
      <c r="R244" s="67"/>
      <c r="S244" s="72"/>
    </row>
    <row r="245" spans="10:19" x14ac:dyDescent="0.35">
      <c r="J245" s="66"/>
      <c r="R245" s="67"/>
      <c r="S245" s="72"/>
    </row>
    <row r="246" spans="10:19" x14ac:dyDescent="0.35">
      <c r="J246" s="66"/>
      <c r="R246" s="67"/>
      <c r="S246" s="72"/>
    </row>
    <row r="247" spans="10:19" x14ac:dyDescent="0.35">
      <c r="J247" s="66"/>
      <c r="R247" s="67"/>
      <c r="S247" s="72"/>
    </row>
    <row r="248" spans="10:19" x14ac:dyDescent="0.35">
      <c r="J248" s="66"/>
      <c r="R248" s="67"/>
      <c r="S248" s="72"/>
    </row>
    <row r="249" spans="10:19" x14ac:dyDescent="0.35">
      <c r="J249" s="66"/>
      <c r="R249" s="67"/>
      <c r="S249" s="72"/>
    </row>
    <row r="250" spans="10:19" x14ac:dyDescent="0.35">
      <c r="J250" s="66"/>
      <c r="R250" s="67"/>
      <c r="S250" s="72"/>
    </row>
    <row r="251" spans="10:19" x14ac:dyDescent="0.35">
      <c r="J251" s="66"/>
      <c r="R251" s="67"/>
      <c r="S251" s="72"/>
    </row>
    <row r="252" spans="10:19" x14ac:dyDescent="0.35">
      <c r="J252" s="66"/>
      <c r="R252" s="67"/>
      <c r="S252" s="72"/>
    </row>
    <row r="253" spans="10:19" x14ac:dyDescent="0.35">
      <c r="J253" s="66"/>
      <c r="R253" s="67"/>
      <c r="S253" s="72"/>
    </row>
    <row r="254" spans="10:19" x14ac:dyDescent="0.35">
      <c r="J254" s="66"/>
      <c r="R254" s="67"/>
      <c r="S254" s="72"/>
    </row>
    <row r="255" spans="10:19" x14ac:dyDescent="0.35">
      <c r="J255" s="66"/>
      <c r="R255" s="67"/>
      <c r="S255" s="72"/>
    </row>
    <row r="256" spans="10:19" x14ac:dyDescent="0.35">
      <c r="J256" s="66"/>
      <c r="R256" s="67"/>
      <c r="S256" s="72"/>
    </row>
    <row r="257" spans="10:19" x14ac:dyDescent="0.35">
      <c r="J257" s="66"/>
      <c r="R257" s="67"/>
      <c r="S257" s="72"/>
    </row>
    <row r="258" spans="10:19" x14ac:dyDescent="0.35">
      <c r="J258" s="66"/>
      <c r="R258" s="67"/>
      <c r="S258" s="72"/>
    </row>
    <row r="259" spans="10:19" x14ac:dyDescent="0.35">
      <c r="J259" s="66"/>
      <c r="R259" s="67"/>
      <c r="S259" s="72"/>
    </row>
    <row r="260" spans="10:19" x14ac:dyDescent="0.35">
      <c r="J260" s="66"/>
      <c r="R260" s="67"/>
      <c r="S260" s="72"/>
    </row>
    <row r="261" spans="10:19" x14ac:dyDescent="0.35">
      <c r="J261" s="66"/>
      <c r="R261" s="67"/>
      <c r="S261" s="72"/>
    </row>
    <row r="262" spans="10:19" x14ac:dyDescent="0.35">
      <c r="J262" s="66"/>
      <c r="R262" s="67"/>
      <c r="S262" s="72"/>
    </row>
    <row r="263" spans="10:19" x14ac:dyDescent="0.35">
      <c r="J263" s="66"/>
      <c r="R263" s="67"/>
      <c r="S263" s="72"/>
    </row>
    <row r="264" spans="10:19" x14ac:dyDescent="0.35">
      <c r="J264" s="66"/>
      <c r="R264" s="67"/>
      <c r="S264" s="72"/>
    </row>
    <row r="265" spans="10:19" x14ac:dyDescent="0.35">
      <c r="J265" s="66"/>
      <c r="R265" s="67"/>
      <c r="S265" s="72"/>
    </row>
    <row r="266" spans="10:19" x14ac:dyDescent="0.35">
      <c r="J266" s="66"/>
      <c r="R266" s="67"/>
      <c r="S266" s="72"/>
    </row>
    <row r="267" spans="10:19" x14ac:dyDescent="0.35">
      <c r="J267" s="66"/>
      <c r="R267" s="67"/>
      <c r="S267" s="72"/>
    </row>
    <row r="268" spans="10:19" x14ac:dyDescent="0.35">
      <c r="J268" s="66"/>
      <c r="R268" s="67"/>
      <c r="S268" s="72"/>
    </row>
    <row r="269" spans="10:19" x14ac:dyDescent="0.35">
      <c r="J269" s="66"/>
      <c r="R269" s="67"/>
      <c r="S269" s="72"/>
    </row>
    <row r="270" spans="10:19" x14ac:dyDescent="0.35">
      <c r="J270" s="66"/>
      <c r="R270" s="67"/>
      <c r="S270" s="72"/>
    </row>
    <row r="271" spans="10:19" x14ac:dyDescent="0.35">
      <c r="J271" s="66"/>
      <c r="R271" s="67"/>
      <c r="S271" s="72"/>
    </row>
    <row r="272" spans="10:19" x14ac:dyDescent="0.35">
      <c r="J272" s="66"/>
      <c r="R272" s="67"/>
      <c r="S272" s="72"/>
    </row>
    <row r="273" spans="10:19" x14ac:dyDescent="0.35">
      <c r="J273" s="66"/>
      <c r="R273" s="67"/>
      <c r="S273" s="72"/>
    </row>
    <row r="274" spans="10:19" x14ac:dyDescent="0.35">
      <c r="J274" s="66"/>
      <c r="R274" s="67"/>
      <c r="S274" s="72"/>
    </row>
    <row r="275" spans="10:19" x14ac:dyDescent="0.35">
      <c r="J275" s="66"/>
      <c r="R275" s="67"/>
      <c r="S275" s="72"/>
    </row>
    <row r="276" spans="10:19" x14ac:dyDescent="0.35">
      <c r="J276" s="66"/>
      <c r="R276" s="67"/>
      <c r="S276" s="72"/>
    </row>
    <row r="277" spans="10:19" x14ac:dyDescent="0.35">
      <c r="J277" s="66"/>
      <c r="R277" s="67"/>
      <c r="S277" s="72"/>
    </row>
    <row r="278" spans="10:19" x14ac:dyDescent="0.35">
      <c r="J278" s="66"/>
      <c r="R278" s="67"/>
      <c r="S278" s="72"/>
    </row>
    <row r="279" spans="10:19" x14ac:dyDescent="0.35">
      <c r="J279" s="66"/>
      <c r="R279" s="67"/>
      <c r="S279" s="72"/>
    </row>
    <row r="280" spans="10:19" x14ac:dyDescent="0.35">
      <c r="J280" s="66"/>
      <c r="R280" s="67"/>
      <c r="S280" s="72"/>
    </row>
    <row r="281" spans="10:19" x14ac:dyDescent="0.35">
      <c r="J281" s="66"/>
      <c r="R281" s="67"/>
      <c r="S281" s="72"/>
    </row>
    <row r="282" spans="10:19" x14ac:dyDescent="0.35">
      <c r="J282" s="66"/>
      <c r="R282" s="67"/>
      <c r="S282" s="72"/>
    </row>
    <row r="283" spans="10:19" x14ac:dyDescent="0.35">
      <c r="J283" s="66"/>
      <c r="R283" s="67"/>
      <c r="S283" s="72"/>
    </row>
    <row r="284" spans="10:19" x14ac:dyDescent="0.35">
      <c r="J284" s="66"/>
      <c r="R284" s="67"/>
      <c r="S284" s="72"/>
    </row>
    <row r="285" spans="10:19" x14ac:dyDescent="0.35">
      <c r="J285" s="66"/>
      <c r="R285" s="67"/>
      <c r="S285" s="72"/>
    </row>
    <row r="286" spans="10:19" x14ac:dyDescent="0.35">
      <c r="J286" s="66"/>
      <c r="R286" s="67"/>
      <c r="S286" s="72"/>
    </row>
    <row r="287" spans="10:19" x14ac:dyDescent="0.35">
      <c r="J287" s="66"/>
      <c r="R287" s="67"/>
      <c r="S287" s="72"/>
    </row>
    <row r="288" spans="10:19" x14ac:dyDescent="0.35">
      <c r="J288" s="66"/>
      <c r="R288" s="67"/>
      <c r="S288" s="72"/>
    </row>
    <row r="289" spans="10:19" x14ac:dyDescent="0.35">
      <c r="J289" s="66"/>
      <c r="R289" s="67"/>
      <c r="S289" s="72"/>
    </row>
    <row r="290" spans="10:19" x14ac:dyDescent="0.35">
      <c r="J290" s="66"/>
      <c r="R290" s="67"/>
      <c r="S290" s="72"/>
    </row>
    <row r="291" spans="10:19" x14ac:dyDescent="0.35">
      <c r="J291" s="66"/>
      <c r="R291" s="67"/>
      <c r="S291" s="72"/>
    </row>
    <row r="292" spans="10:19" x14ac:dyDescent="0.35">
      <c r="J292" s="66"/>
      <c r="R292" s="67"/>
      <c r="S292" s="72"/>
    </row>
    <row r="293" spans="10:19" x14ac:dyDescent="0.35">
      <c r="J293" s="66"/>
      <c r="R293" s="67"/>
      <c r="S293" s="72"/>
    </row>
    <row r="294" spans="10:19" x14ac:dyDescent="0.35">
      <c r="J294" s="66"/>
      <c r="R294" s="67"/>
      <c r="S294" s="72"/>
    </row>
    <row r="295" spans="10:19" x14ac:dyDescent="0.35">
      <c r="J295" s="66"/>
      <c r="R295" s="67"/>
      <c r="S295" s="72"/>
    </row>
    <row r="296" spans="10:19" x14ac:dyDescent="0.35">
      <c r="J296" s="66"/>
      <c r="R296" s="67"/>
      <c r="S296" s="72"/>
    </row>
    <row r="297" spans="10:19" x14ac:dyDescent="0.35">
      <c r="J297" s="66"/>
      <c r="R297" s="67"/>
      <c r="S297" s="72"/>
    </row>
    <row r="298" spans="10:19" x14ac:dyDescent="0.35">
      <c r="J298" s="66"/>
      <c r="R298" s="67"/>
      <c r="S298" s="72"/>
    </row>
    <row r="299" spans="10:19" x14ac:dyDescent="0.35">
      <c r="J299" s="66"/>
      <c r="R299" s="67"/>
      <c r="S299" s="72"/>
    </row>
    <row r="300" spans="10:19" x14ac:dyDescent="0.35">
      <c r="J300" s="66"/>
      <c r="R300" s="67"/>
      <c r="S300" s="72"/>
    </row>
    <row r="301" spans="10:19" x14ac:dyDescent="0.35">
      <c r="J301" s="66"/>
      <c r="R301" s="67"/>
      <c r="S301" s="72"/>
    </row>
    <row r="302" spans="10:19" x14ac:dyDescent="0.35">
      <c r="J302" s="66"/>
      <c r="R302" s="67"/>
      <c r="S302" s="72"/>
    </row>
    <row r="303" spans="10:19" x14ac:dyDescent="0.35">
      <c r="J303" s="66"/>
      <c r="R303" s="67"/>
      <c r="S303" s="72"/>
    </row>
    <row r="304" spans="10:19" x14ac:dyDescent="0.35">
      <c r="J304" s="66"/>
      <c r="R304" s="67"/>
      <c r="S304" s="72"/>
    </row>
    <row r="305" spans="10:19" x14ac:dyDescent="0.35">
      <c r="J305" s="66"/>
      <c r="R305" s="67"/>
      <c r="S305" s="72"/>
    </row>
    <row r="306" spans="10:19" x14ac:dyDescent="0.35">
      <c r="J306" s="66"/>
      <c r="R306" s="67"/>
      <c r="S306" s="72"/>
    </row>
    <row r="307" spans="10:19" x14ac:dyDescent="0.35">
      <c r="J307" s="66"/>
      <c r="R307" s="67"/>
      <c r="S307" s="72"/>
    </row>
    <row r="308" spans="10:19" x14ac:dyDescent="0.35">
      <c r="J308" s="66"/>
      <c r="R308" s="67"/>
      <c r="S308" s="72"/>
    </row>
    <row r="309" spans="10:19" x14ac:dyDescent="0.35">
      <c r="J309" s="66"/>
      <c r="R309" s="67"/>
      <c r="S309" s="72"/>
    </row>
    <row r="310" spans="10:19" x14ac:dyDescent="0.35">
      <c r="J310" s="66"/>
      <c r="R310" s="67"/>
      <c r="S310" s="72"/>
    </row>
    <row r="311" spans="10:19" x14ac:dyDescent="0.35">
      <c r="J311" s="66"/>
      <c r="R311" s="67"/>
      <c r="S311" s="72"/>
    </row>
    <row r="312" spans="10:19" x14ac:dyDescent="0.35">
      <c r="J312" s="66"/>
      <c r="R312" s="67"/>
      <c r="S312" s="72"/>
    </row>
    <row r="313" spans="10:19" x14ac:dyDescent="0.35">
      <c r="J313" s="66"/>
      <c r="R313" s="67"/>
      <c r="S313" s="72"/>
    </row>
    <row r="314" spans="10:19" x14ac:dyDescent="0.35">
      <c r="J314" s="66"/>
      <c r="R314" s="67"/>
      <c r="S314" s="72"/>
    </row>
    <row r="315" spans="10:19" x14ac:dyDescent="0.35">
      <c r="J315" s="66"/>
      <c r="R315" s="67"/>
      <c r="S315" s="72"/>
    </row>
    <row r="316" spans="10:19" x14ac:dyDescent="0.35">
      <c r="J316" s="66"/>
      <c r="R316" s="67"/>
      <c r="S316" s="72"/>
    </row>
    <row r="317" spans="10:19" x14ac:dyDescent="0.35">
      <c r="J317" s="66"/>
      <c r="R317" s="67"/>
      <c r="S317" s="72"/>
    </row>
    <row r="318" spans="10:19" x14ac:dyDescent="0.35">
      <c r="J318" s="66"/>
      <c r="R318" s="67"/>
      <c r="S318" s="72"/>
    </row>
    <row r="319" spans="10:19" x14ac:dyDescent="0.35">
      <c r="J319" s="66"/>
      <c r="R319" s="67"/>
      <c r="S319" s="72"/>
    </row>
    <row r="320" spans="10:19" x14ac:dyDescent="0.35">
      <c r="J320" s="66"/>
      <c r="R320" s="67"/>
      <c r="S320" s="72"/>
    </row>
    <row r="321" spans="10:19" x14ac:dyDescent="0.35">
      <c r="J321" s="66"/>
      <c r="R321" s="67"/>
      <c r="S321" s="72"/>
    </row>
    <row r="322" spans="10:19" x14ac:dyDescent="0.35">
      <c r="J322" s="66"/>
      <c r="R322" s="67"/>
      <c r="S322" s="72"/>
    </row>
    <row r="323" spans="10:19" x14ac:dyDescent="0.35">
      <c r="J323" s="66"/>
      <c r="R323" s="67"/>
      <c r="S323" s="72"/>
    </row>
    <row r="324" spans="10:19" x14ac:dyDescent="0.35">
      <c r="J324" s="66"/>
      <c r="R324" s="67"/>
      <c r="S324" s="72"/>
    </row>
    <row r="325" spans="10:19" x14ac:dyDescent="0.35">
      <c r="J325" s="66"/>
      <c r="R325" s="67"/>
      <c r="S325" s="72"/>
    </row>
    <row r="326" spans="10:19" x14ac:dyDescent="0.35">
      <c r="J326" s="66"/>
      <c r="R326" s="67"/>
      <c r="S326" s="72"/>
    </row>
    <row r="327" spans="10:19" x14ac:dyDescent="0.35">
      <c r="J327" s="66"/>
      <c r="R327" s="67"/>
      <c r="S327" s="72"/>
    </row>
    <row r="328" spans="10:19" x14ac:dyDescent="0.35">
      <c r="J328" s="66"/>
      <c r="R328" s="67"/>
      <c r="S328" s="72"/>
    </row>
    <row r="329" spans="10:19" x14ac:dyDescent="0.35">
      <c r="J329" s="66"/>
      <c r="R329" s="67"/>
      <c r="S329" s="72"/>
    </row>
    <row r="330" spans="10:19" x14ac:dyDescent="0.35">
      <c r="J330" s="66"/>
      <c r="R330" s="67"/>
      <c r="S330" s="72"/>
    </row>
    <row r="331" spans="10:19" x14ac:dyDescent="0.35">
      <c r="J331" s="66"/>
      <c r="R331" s="67"/>
      <c r="S331" s="72"/>
    </row>
    <row r="332" spans="10:19" x14ac:dyDescent="0.35">
      <c r="J332" s="66"/>
      <c r="R332" s="67"/>
      <c r="S332" s="72"/>
    </row>
    <row r="333" spans="10:19" x14ac:dyDescent="0.35">
      <c r="J333" s="66"/>
      <c r="R333" s="67"/>
      <c r="S333" s="72"/>
    </row>
    <row r="334" spans="10:19" x14ac:dyDescent="0.35">
      <c r="J334" s="66"/>
      <c r="R334" s="67"/>
      <c r="S334" s="72"/>
    </row>
    <row r="335" spans="10:19" x14ac:dyDescent="0.35">
      <c r="J335" s="66"/>
      <c r="R335" s="67"/>
      <c r="S335" s="72"/>
    </row>
    <row r="336" spans="10:19" x14ac:dyDescent="0.35">
      <c r="J336" s="66"/>
      <c r="R336" s="67"/>
      <c r="S336" s="72"/>
    </row>
    <row r="337" spans="10:19" x14ac:dyDescent="0.35">
      <c r="J337" s="66"/>
      <c r="R337" s="67"/>
      <c r="S337" s="72"/>
    </row>
    <row r="338" spans="10:19" x14ac:dyDescent="0.35">
      <c r="J338" s="66"/>
      <c r="R338" s="67"/>
      <c r="S338" s="72"/>
    </row>
    <row r="339" spans="10:19" x14ac:dyDescent="0.35">
      <c r="J339" s="66"/>
      <c r="R339" s="67"/>
      <c r="S339" s="72"/>
    </row>
    <row r="340" spans="10:19" x14ac:dyDescent="0.35">
      <c r="J340" s="66"/>
      <c r="R340" s="67"/>
      <c r="S340" s="72"/>
    </row>
    <row r="341" spans="10:19" x14ac:dyDescent="0.35">
      <c r="J341" s="66"/>
      <c r="R341" s="67"/>
      <c r="S341" s="72"/>
    </row>
    <row r="342" spans="10:19" x14ac:dyDescent="0.35">
      <c r="J342" s="66"/>
      <c r="R342" s="67"/>
      <c r="S342" s="72"/>
    </row>
    <row r="343" spans="10:19" x14ac:dyDescent="0.35">
      <c r="J343" s="66"/>
      <c r="R343" s="67"/>
      <c r="S343" s="72"/>
    </row>
    <row r="344" spans="10:19" x14ac:dyDescent="0.35">
      <c r="J344" s="66"/>
      <c r="R344" s="67"/>
      <c r="S344" s="72"/>
    </row>
    <row r="345" spans="10:19" x14ac:dyDescent="0.35">
      <c r="J345" s="66"/>
      <c r="R345" s="67"/>
      <c r="S345" s="72"/>
    </row>
    <row r="346" spans="10:19" x14ac:dyDescent="0.35">
      <c r="J346" s="66"/>
      <c r="R346" s="67"/>
      <c r="S346" s="72"/>
    </row>
    <row r="347" spans="10:19" x14ac:dyDescent="0.35">
      <c r="J347" s="66"/>
      <c r="R347" s="67"/>
      <c r="S347" s="72"/>
    </row>
    <row r="348" spans="10:19" x14ac:dyDescent="0.35">
      <c r="J348" s="66"/>
      <c r="R348" s="67"/>
      <c r="S348" s="72"/>
    </row>
    <row r="349" spans="10:19" x14ac:dyDescent="0.35">
      <c r="J349" s="66"/>
      <c r="R349" s="67"/>
      <c r="S349" s="72"/>
    </row>
    <row r="350" spans="10:19" x14ac:dyDescent="0.35">
      <c r="J350" s="66"/>
      <c r="R350" s="67"/>
      <c r="S350" s="72"/>
    </row>
    <row r="351" spans="10:19" x14ac:dyDescent="0.35">
      <c r="J351" s="66"/>
      <c r="R351" s="67"/>
      <c r="S351" s="72"/>
    </row>
    <row r="352" spans="10:19" x14ac:dyDescent="0.35">
      <c r="J352" s="66"/>
      <c r="R352" s="67"/>
      <c r="S352" s="72"/>
    </row>
    <row r="353" spans="10:19" x14ac:dyDescent="0.35">
      <c r="J353" s="66"/>
      <c r="R353" s="67"/>
      <c r="S353" s="72"/>
    </row>
    <row r="354" spans="10:19" x14ac:dyDescent="0.35">
      <c r="J354" s="66"/>
      <c r="R354" s="67"/>
      <c r="S354" s="72"/>
    </row>
    <row r="355" spans="10:19" x14ac:dyDescent="0.35">
      <c r="J355" s="66"/>
      <c r="R355" s="67"/>
      <c r="S355" s="72"/>
    </row>
    <row r="356" spans="10:19" x14ac:dyDescent="0.35">
      <c r="J356" s="66"/>
      <c r="R356" s="67"/>
      <c r="S356" s="72"/>
    </row>
    <row r="357" spans="10:19" x14ac:dyDescent="0.35">
      <c r="J357" s="66"/>
      <c r="R357" s="67"/>
      <c r="S357" s="72"/>
    </row>
    <row r="358" spans="10:19" x14ac:dyDescent="0.35">
      <c r="J358" s="66"/>
      <c r="R358" s="67"/>
      <c r="S358" s="72"/>
    </row>
    <row r="359" spans="10:19" x14ac:dyDescent="0.35">
      <c r="J359" s="66"/>
      <c r="R359" s="67"/>
      <c r="S359" s="72"/>
    </row>
    <row r="360" spans="10:19" x14ac:dyDescent="0.35">
      <c r="J360" s="66"/>
      <c r="R360" s="67"/>
      <c r="S360" s="72"/>
    </row>
    <row r="361" spans="10:19" x14ac:dyDescent="0.35">
      <c r="J361" s="66"/>
      <c r="R361" s="67"/>
      <c r="S361" s="72"/>
    </row>
    <row r="362" spans="10:19" x14ac:dyDescent="0.35">
      <c r="J362" s="66"/>
      <c r="R362" s="67"/>
      <c r="S362" s="72"/>
    </row>
    <row r="363" spans="10:19" x14ac:dyDescent="0.35">
      <c r="J363" s="66"/>
      <c r="R363" s="67"/>
      <c r="S363" s="72"/>
    </row>
    <row r="364" spans="10:19" x14ac:dyDescent="0.35">
      <c r="J364" s="66"/>
      <c r="R364" s="67"/>
      <c r="S364" s="72"/>
    </row>
    <row r="365" spans="10:19" x14ac:dyDescent="0.35">
      <c r="J365" s="66"/>
      <c r="R365" s="67"/>
      <c r="S365" s="72"/>
    </row>
    <row r="366" spans="10:19" x14ac:dyDescent="0.35">
      <c r="J366" s="66"/>
      <c r="R366" s="67"/>
      <c r="S366" s="72"/>
    </row>
    <row r="367" spans="10:19" x14ac:dyDescent="0.35">
      <c r="J367" s="66"/>
      <c r="R367" s="67"/>
      <c r="S367" s="72"/>
    </row>
    <row r="368" spans="10:19" x14ac:dyDescent="0.35">
      <c r="J368" s="66"/>
      <c r="R368" s="67"/>
      <c r="S368" s="72"/>
    </row>
    <row r="369" spans="10:19" x14ac:dyDescent="0.35">
      <c r="J369" s="66"/>
      <c r="R369" s="67"/>
      <c r="S369" s="72"/>
    </row>
    <row r="370" spans="10:19" x14ac:dyDescent="0.35">
      <c r="J370" s="66"/>
      <c r="R370" s="67"/>
      <c r="S370" s="72"/>
    </row>
    <row r="371" spans="10:19" x14ac:dyDescent="0.35">
      <c r="J371" s="66"/>
      <c r="R371" s="67"/>
      <c r="S371" s="72"/>
    </row>
    <row r="372" spans="10:19" x14ac:dyDescent="0.35">
      <c r="J372" s="66"/>
      <c r="R372" s="67"/>
      <c r="S372" s="72"/>
    </row>
    <row r="373" spans="10:19" x14ac:dyDescent="0.35">
      <c r="J373" s="66"/>
      <c r="R373" s="67"/>
      <c r="S373" s="72"/>
    </row>
    <row r="374" spans="10:19" x14ac:dyDescent="0.35">
      <c r="J374" s="66"/>
      <c r="R374" s="67"/>
      <c r="S374" s="72"/>
    </row>
    <row r="375" spans="10:19" x14ac:dyDescent="0.35">
      <c r="J375" s="66"/>
      <c r="R375" s="67"/>
      <c r="S375" s="72"/>
    </row>
    <row r="376" spans="10:19" x14ac:dyDescent="0.35">
      <c r="J376" s="66"/>
      <c r="R376" s="67"/>
      <c r="S376" s="72"/>
    </row>
    <row r="377" spans="10:19" x14ac:dyDescent="0.35">
      <c r="J377" s="66"/>
      <c r="R377" s="67"/>
      <c r="S377" s="72"/>
    </row>
    <row r="378" spans="10:19" x14ac:dyDescent="0.35">
      <c r="J378" s="66"/>
      <c r="R378" s="67"/>
      <c r="S378" s="72"/>
    </row>
    <row r="379" spans="10:19" x14ac:dyDescent="0.35">
      <c r="J379" s="66"/>
      <c r="R379" s="67"/>
      <c r="S379" s="72"/>
    </row>
    <row r="380" spans="10:19" x14ac:dyDescent="0.35">
      <c r="J380" s="66"/>
      <c r="R380" s="67"/>
      <c r="S380" s="72"/>
    </row>
    <row r="381" spans="10:19" x14ac:dyDescent="0.35">
      <c r="J381" s="66"/>
      <c r="R381" s="67"/>
      <c r="S381" s="72"/>
    </row>
    <row r="382" spans="10:19" x14ac:dyDescent="0.35">
      <c r="J382" s="66"/>
      <c r="R382" s="67"/>
      <c r="S382" s="72"/>
    </row>
    <row r="383" spans="10:19" x14ac:dyDescent="0.35">
      <c r="J383" s="66"/>
      <c r="R383" s="67"/>
      <c r="S383" s="72"/>
    </row>
    <row r="384" spans="10:19" x14ac:dyDescent="0.35">
      <c r="J384" s="66"/>
      <c r="R384" s="67"/>
      <c r="S384" s="72"/>
    </row>
    <row r="385" spans="10:19" x14ac:dyDescent="0.35">
      <c r="J385" s="66"/>
      <c r="R385" s="67"/>
      <c r="S385" s="72"/>
    </row>
    <row r="386" spans="10:19" x14ac:dyDescent="0.35">
      <c r="J386" s="66"/>
      <c r="R386" s="67"/>
      <c r="S386" s="72"/>
    </row>
    <row r="387" spans="10:19" x14ac:dyDescent="0.35">
      <c r="J387" s="66"/>
      <c r="R387" s="67"/>
      <c r="S387" s="72"/>
    </row>
    <row r="388" spans="10:19" x14ac:dyDescent="0.35">
      <c r="J388" s="66"/>
      <c r="R388" s="67"/>
      <c r="S388" s="72"/>
    </row>
    <row r="389" spans="10:19" x14ac:dyDescent="0.35">
      <c r="J389" s="66"/>
      <c r="R389" s="67"/>
      <c r="S389" s="72"/>
    </row>
    <row r="390" spans="10:19" x14ac:dyDescent="0.35">
      <c r="J390" s="66"/>
      <c r="R390" s="67"/>
      <c r="S390" s="72"/>
    </row>
    <row r="391" spans="10:19" x14ac:dyDescent="0.35">
      <c r="J391" s="66"/>
      <c r="R391" s="67"/>
      <c r="S391" s="72"/>
    </row>
    <row r="392" spans="10:19" x14ac:dyDescent="0.35">
      <c r="J392" s="66"/>
      <c r="R392" s="67"/>
      <c r="S392" s="72"/>
    </row>
    <row r="393" spans="10:19" x14ac:dyDescent="0.35">
      <c r="J393" s="66"/>
      <c r="R393" s="67"/>
      <c r="S393" s="72"/>
    </row>
    <row r="394" spans="10:19" x14ac:dyDescent="0.35">
      <c r="J394" s="66"/>
      <c r="R394" s="67"/>
      <c r="S394" s="72"/>
    </row>
    <row r="395" spans="10:19" x14ac:dyDescent="0.35">
      <c r="J395" s="66"/>
      <c r="R395" s="67"/>
      <c r="S395" s="72"/>
    </row>
    <row r="396" spans="10:19" x14ac:dyDescent="0.35">
      <c r="J396" s="66"/>
      <c r="R396" s="67"/>
      <c r="S396" s="72"/>
    </row>
    <row r="397" spans="10:19" x14ac:dyDescent="0.35">
      <c r="J397" s="66"/>
      <c r="R397" s="67"/>
      <c r="S397" s="72"/>
    </row>
    <row r="398" spans="10:19" x14ac:dyDescent="0.35">
      <c r="J398" s="66"/>
      <c r="R398" s="67"/>
      <c r="S398" s="72"/>
    </row>
    <row r="399" spans="10:19" x14ac:dyDescent="0.35">
      <c r="J399" s="66"/>
      <c r="R399" s="67"/>
      <c r="S399" s="72"/>
    </row>
    <row r="400" spans="10:19" x14ac:dyDescent="0.35">
      <c r="J400" s="66"/>
      <c r="R400" s="67"/>
      <c r="S400" s="72"/>
    </row>
    <row r="401" spans="10:19" x14ac:dyDescent="0.35">
      <c r="J401" s="66"/>
      <c r="R401" s="67"/>
      <c r="S401" s="72"/>
    </row>
    <row r="402" spans="10:19" x14ac:dyDescent="0.35">
      <c r="J402" s="66"/>
      <c r="R402" s="67"/>
      <c r="S402" s="72"/>
    </row>
    <row r="403" spans="10:19" x14ac:dyDescent="0.35">
      <c r="J403" s="66"/>
      <c r="R403" s="67"/>
      <c r="S403" s="72"/>
    </row>
    <row r="404" spans="10:19" x14ac:dyDescent="0.35">
      <c r="J404" s="66"/>
      <c r="R404" s="67"/>
      <c r="S404" s="72"/>
    </row>
    <row r="405" spans="10:19" x14ac:dyDescent="0.35">
      <c r="J405" s="66"/>
      <c r="R405" s="67"/>
      <c r="S405" s="72"/>
    </row>
    <row r="406" spans="10:19" x14ac:dyDescent="0.35">
      <c r="J406" s="66"/>
      <c r="R406" s="67"/>
      <c r="S406" s="72"/>
    </row>
    <row r="407" spans="10:19" x14ac:dyDescent="0.35">
      <c r="J407" s="66"/>
      <c r="R407" s="67"/>
      <c r="S407" s="72"/>
    </row>
    <row r="408" spans="10:19" x14ac:dyDescent="0.35">
      <c r="J408" s="66"/>
      <c r="R408" s="67"/>
      <c r="S408" s="72"/>
    </row>
    <row r="409" spans="10:19" x14ac:dyDescent="0.35">
      <c r="J409" s="66"/>
      <c r="R409" s="67"/>
      <c r="S409" s="72"/>
    </row>
    <row r="410" spans="10:19" x14ac:dyDescent="0.35">
      <c r="J410" s="66"/>
      <c r="R410" s="67"/>
      <c r="S410" s="72"/>
    </row>
    <row r="411" spans="10:19" x14ac:dyDescent="0.35">
      <c r="J411" s="66"/>
      <c r="R411" s="67"/>
      <c r="S411" s="72"/>
    </row>
    <row r="412" spans="10:19" x14ac:dyDescent="0.35">
      <c r="J412" s="66"/>
      <c r="R412" s="67"/>
      <c r="S412" s="72"/>
    </row>
    <row r="413" spans="10:19" x14ac:dyDescent="0.35">
      <c r="R413" s="67"/>
      <c r="S413" s="72"/>
    </row>
    <row r="414" spans="10:19" x14ac:dyDescent="0.35">
      <c r="J414" s="66"/>
      <c r="R414" s="67"/>
      <c r="S414" s="72"/>
    </row>
    <row r="415" spans="10:19" x14ac:dyDescent="0.35">
      <c r="R415" s="67"/>
      <c r="S415" s="72"/>
    </row>
    <row r="416" spans="10:19" x14ac:dyDescent="0.35">
      <c r="J416" s="66"/>
      <c r="R416" s="67"/>
      <c r="S416" s="72"/>
    </row>
    <row r="417" spans="10:19" x14ac:dyDescent="0.35">
      <c r="J417" s="66"/>
      <c r="R417" s="67"/>
      <c r="S417" s="72"/>
    </row>
    <row r="418" spans="10:19" x14ac:dyDescent="0.35">
      <c r="R418" s="67"/>
      <c r="S418" s="72"/>
    </row>
    <row r="419" spans="10:19" x14ac:dyDescent="0.35">
      <c r="J419" s="66"/>
      <c r="R419" s="67"/>
      <c r="S419" s="72"/>
    </row>
    <row r="420" spans="10:19" x14ac:dyDescent="0.35">
      <c r="J420" s="66"/>
      <c r="R420" s="67"/>
      <c r="S420" s="72"/>
    </row>
    <row r="421" spans="10:19" x14ac:dyDescent="0.35">
      <c r="R421" s="67"/>
      <c r="S421" s="72"/>
    </row>
    <row r="422" spans="10:19" x14ac:dyDescent="0.35">
      <c r="J422" s="66"/>
      <c r="R422" s="67"/>
      <c r="S422" s="72"/>
    </row>
    <row r="423" spans="10:19" x14ac:dyDescent="0.35">
      <c r="R423" s="67"/>
      <c r="S423" s="72"/>
    </row>
    <row r="424" spans="10:19" x14ac:dyDescent="0.35">
      <c r="J424" s="66"/>
      <c r="R424" s="67"/>
      <c r="S424" s="72"/>
    </row>
    <row r="425" spans="10:19" x14ac:dyDescent="0.35">
      <c r="R425" s="67"/>
      <c r="S425" s="72"/>
    </row>
    <row r="426" spans="10:19" x14ac:dyDescent="0.35">
      <c r="J426" s="66"/>
      <c r="R426" s="67"/>
      <c r="S426" s="72"/>
    </row>
    <row r="427" spans="10:19" x14ac:dyDescent="0.35">
      <c r="R427" s="67"/>
      <c r="S427" s="72"/>
    </row>
    <row r="428" spans="10:19" x14ac:dyDescent="0.35">
      <c r="J428" s="66"/>
      <c r="R428" s="67"/>
      <c r="S428" s="72"/>
    </row>
    <row r="429" spans="10:19" x14ac:dyDescent="0.35">
      <c r="J429" s="66"/>
      <c r="R429" s="67"/>
      <c r="S429" s="72"/>
    </row>
    <row r="430" spans="10:19" x14ac:dyDescent="0.35">
      <c r="R430" s="67"/>
      <c r="S430" s="72"/>
    </row>
    <row r="431" spans="10:19" x14ac:dyDescent="0.35">
      <c r="J431" s="66"/>
      <c r="R431" s="67"/>
      <c r="S431" s="72"/>
    </row>
    <row r="432" spans="10:19" x14ac:dyDescent="0.35">
      <c r="R432" s="67"/>
      <c r="S432" s="72"/>
    </row>
    <row r="433" spans="10:19" x14ac:dyDescent="0.35">
      <c r="R433" s="67"/>
      <c r="S433" s="72"/>
    </row>
    <row r="434" spans="10:19" x14ac:dyDescent="0.35">
      <c r="J434" s="66"/>
      <c r="R434" s="67"/>
      <c r="S434" s="72"/>
    </row>
    <row r="435" spans="10:19" x14ac:dyDescent="0.35">
      <c r="J435" s="66"/>
      <c r="R435" s="67"/>
      <c r="S435" s="72"/>
    </row>
    <row r="436" spans="10:19" x14ac:dyDescent="0.35">
      <c r="R436" s="67"/>
      <c r="S436" s="72"/>
    </row>
    <row r="437" spans="10:19" x14ac:dyDescent="0.35">
      <c r="J437" s="66"/>
      <c r="R437" s="67"/>
      <c r="S437" s="72"/>
    </row>
    <row r="438" spans="10:19" x14ac:dyDescent="0.35">
      <c r="J438" s="66"/>
      <c r="R438" s="67"/>
      <c r="S438" s="72"/>
    </row>
    <row r="439" spans="10:19" x14ac:dyDescent="0.35">
      <c r="J439" s="66"/>
      <c r="R439" s="67"/>
      <c r="S439" s="72"/>
    </row>
    <row r="440" spans="10:19" x14ac:dyDescent="0.35">
      <c r="R440" s="67"/>
      <c r="S440" s="72"/>
    </row>
    <row r="441" spans="10:19" x14ac:dyDescent="0.35">
      <c r="R441" s="67"/>
      <c r="S441" s="72"/>
    </row>
    <row r="442" spans="10:19" x14ac:dyDescent="0.35">
      <c r="J442" s="66"/>
      <c r="R442" s="67"/>
      <c r="S442" s="72"/>
    </row>
    <row r="443" spans="10:19" x14ac:dyDescent="0.35">
      <c r="J443" s="66"/>
      <c r="R443" s="67"/>
      <c r="S443" s="72"/>
    </row>
    <row r="444" spans="10:19" x14ac:dyDescent="0.35">
      <c r="J444" s="66"/>
      <c r="R444" s="67"/>
      <c r="S444" s="72"/>
    </row>
    <row r="445" spans="10:19" x14ac:dyDescent="0.35">
      <c r="J445" s="66"/>
      <c r="R445" s="67"/>
      <c r="S445" s="72"/>
    </row>
    <row r="446" spans="10:19" x14ac:dyDescent="0.35">
      <c r="R446" s="67"/>
      <c r="S446" s="72"/>
    </row>
    <row r="447" spans="10:19" x14ac:dyDescent="0.35">
      <c r="R447" s="67"/>
      <c r="S447" s="72"/>
    </row>
    <row r="448" spans="10:19" x14ac:dyDescent="0.35">
      <c r="R448" s="67"/>
      <c r="S448" s="72"/>
    </row>
    <row r="449" spans="18:19" x14ac:dyDescent="0.35">
      <c r="R449" s="67"/>
      <c r="S449" s="72"/>
    </row>
    <row r="450" spans="18:19" x14ac:dyDescent="0.35">
      <c r="R450" s="67"/>
      <c r="S450" s="72"/>
    </row>
    <row r="451" spans="18:19" x14ac:dyDescent="0.35">
      <c r="R451" s="67"/>
      <c r="S451" s="72"/>
    </row>
    <row r="452" spans="18:19" x14ac:dyDescent="0.35">
      <c r="R452" s="67"/>
      <c r="S452" s="72"/>
    </row>
    <row r="453" spans="18:19" x14ac:dyDescent="0.35">
      <c r="R453" s="67"/>
      <c r="S453" s="72"/>
    </row>
    <row r="454" spans="18:19" x14ac:dyDescent="0.35">
      <c r="R454" s="67"/>
      <c r="S454" s="72"/>
    </row>
    <row r="455" spans="18:19" x14ac:dyDescent="0.35">
      <c r="R455" s="67"/>
      <c r="S455" s="72"/>
    </row>
    <row r="456" spans="18:19" x14ac:dyDescent="0.35">
      <c r="R456" s="67"/>
      <c r="S456" s="72"/>
    </row>
    <row r="457" spans="18:19" x14ac:dyDescent="0.35">
      <c r="R457" s="67"/>
      <c r="S457" s="72"/>
    </row>
    <row r="458" spans="18:19" x14ac:dyDescent="0.35">
      <c r="R458" s="67"/>
      <c r="S458" s="72"/>
    </row>
    <row r="459" spans="18:19" x14ac:dyDescent="0.35">
      <c r="R459" s="67"/>
      <c r="S459" s="72"/>
    </row>
    <row r="460" spans="18:19" x14ac:dyDescent="0.35">
      <c r="R460" s="67"/>
      <c r="S460" s="72"/>
    </row>
    <row r="461" spans="18:19" x14ac:dyDescent="0.35">
      <c r="R461" s="67"/>
      <c r="S461" s="72"/>
    </row>
    <row r="462" spans="18:19" x14ac:dyDescent="0.35">
      <c r="R462" s="67"/>
      <c r="S462" s="72"/>
    </row>
    <row r="463" spans="18:19" x14ac:dyDescent="0.35">
      <c r="R463" s="67"/>
      <c r="S463" s="72"/>
    </row>
    <row r="464" spans="18:19" x14ac:dyDescent="0.35">
      <c r="R464" s="67"/>
      <c r="S464" s="72"/>
    </row>
    <row r="465" spans="18:19" x14ac:dyDescent="0.35">
      <c r="R465" s="67"/>
      <c r="S465" s="72"/>
    </row>
    <row r="466" spans="18:19" x14ac:dyDescent="0.35">
      <c r="R466" s="67"/>
      <c r="S466" s="72"/>
    </row>
    <row r="467" spans="18:19" x14ac:dyDescent="0.35">
      <c r="R467" s="67"/>
      <c r="S467" s="72"/>
    </row>
    <row r="468" spans="18:19" x14ac:dyDescent="0.35">
      <c r="R468" s="67"/>
      <c r="S468" s="72"/>
    </row>
    <row r="469" spans="18:19" x14ac:dyDescent="0.35">
      <c r="R469" s="67"/>
      <c r="S469" s="72"/>
    </row>
    <row r="470" spans="18:19" x14ac:dyDescent="0.35">
      <c r="R470" s="67"/>
      <c r="S470" s="72"/>
    </row>
    <row r="471" spans="18:19" x14ac:dyDescent="0.35">
      <c r="R471" s="67"/>
      <c r="S471" s="72"/>
    </row>
    <row r="472" spans="18:19" x14ac:dyDescent="0.35">
      <c r="R472" s="67"/>
      <c r="S472" s="72"/>
    </row>
    <row r="473" spans="18:19" x14ac:dyDescent="0.35">
      <c r="R473" s="67"/>
      <c r="S473" s="72"/>
    </row>
    <row r="474" spans="18:19" x14ac:dyDescent="0.35">
      <c r="R474" s="67"/>
      <c r="S474" s="72"/>
    </row>
    <row r="475" spans="18:19" x14ac:dyDescent="0.35">
      <c r="R475" s="67"/>
      <c r="S475" s="72"/>
    </row>
    <row r="476" spans="18:19" x14ac:dyDescent="0.35">
      <c r="R476" s="67"/>
      <c r="S476" s="72"/>
    </row>
    <row r="477" spans="18:19" x14ac:dyDescent="0.35">
      <c r="R477" s="67"/>
      <c r="S477" s="72"/>
    </row>
    <row r="478" spans="18:19" x14ac:dyDescent="0.35">
      <c r="R478" s="67"/>
      <c r="S478" s="72"/>
    </row>
    <row r="479" spans="18:19" x14ac:dyDescent="0.35">
      <c r="R479" s="67"/>
      <c r="S479" s="72"/>
    </row>
    <row r="480" spans="18:19" x14ac:dyDescent="0.35">
      <c r="R480" s="67"/>
      <c r="S480" s="72"/>
    </row>
    <row r="481" spans="18:19" x14ac:dyDescent="0.35">
      <c r="R481" s="67"/>
      <c r="S481" s="72"/>
    </row>
    <row r="482" spans="18:19" x14ac:dyDescent="0.35">
      <c r="R482" s="67"/>
      <c r="S482" s="72"/>
    </row>
    <row r="483" spans="18:19" x14ac:dyDescent="0.35">
      <c r="R483" s="67"/>
      <c r="S483" s="72"/>
    </row>
    <row r="484" spans="18:19" x14ac:dyDescent="0.35">
      <c r="R484" s="67"/>
      <c r="S484" s="72"/>
    </row>
    <row r="485" spans="18:19" x14ac:dyDescent="0.35">
      <c r="R485" s="67"/>
      <c r="S485" s="72"/>
    </row>
    <row r="486" spans="18:19" x14ac:dyDescent="0.35">
      <c r="R486" s="67"/>
      <c r="S486" s="72"/>
    </row>
    <row r="487" spans="18:19" x14ac:dyDescent="0.35">
      <c r="R487" s="67"/>
      <c r="S487" s="72"/>
    </row>
    <row r="488" spans="18:19" x14ac:dyDescent="0.35">
      <c r="R488" s="67"/>
      <c r="S488" s="72"/>
    </row>
    <row r="489" spans="18:19" x14ac:dyDescent="0.35">
      <c r="R489" s="67"/>
      <c r="S489" s="72"/>
    </row>
    <row r="490" spans="18:19" x14ac:dyDescent="0.35">
      <c r="R490" s="67"/>
      <c r="S490" s="72"/>
    </row>
    <row r="491" spans="18:19" x14ac:dyDescent="0.35">
      <c r="R491" s="67"/>
      <c r="S491" s="72"/>
    </row>
    <row r="492" spans="18:19" x14ac:dyDescent="0.35">
      <c r="R492" s="67"/>
      <c r="S492" s="72"/>
    </row>
    <row r="493" spans="18:19" x14ac:dyDescent="0.35">
      <c r="R493" s="67"/>
      <c r="S493" s="72"/>
    </row>
    <row r="494" spans="18:19" x14ac:dyDescent="0.35">
      <c r="R494" s="67"/>
      <c r="S494" s="72"/>
    </row>
    <row r="495" spans="18:19" x14ac:dyDescent="0.35">
      <c r="R495" s="67"/>
      <c r="S495" s="72"/>
    </row>
    <row r="496" spans="18:19" x14ac:dyDescent="0.35">
      <c r="R496" s="67"/>
      <c r="S496" s="72"/>
    </row>
    <row r="497" spans="18:19" x14ac:dyDescent="0.35">
      <c r="R497" s="67"/>
      <c r="S497" s="72"/>
    </row>
    <row r="498" spans="18:19" x14ac:dyDescent="0.35">
      <c r="R498" s="67"/>
      <c r="S498" s="72"/>
    </row>
    <row r="499" spans="18:19" x14ac:dyDescent="0.35">
      <c r="R499" s="67"/>
      <c r="S499" s="72"/>
    </row>
    <row r="500" spans="18:19" x14ac:dyDescent="0.35">
      <c r="R500" s="67"/>
      <c r="S500" s="72"/>
    </row>
    <row r="501" spans="18:19" x14ac:dyDescent="0.35">
      <c r="R501" s="67"/>
      <c r="S501" s="72"/>
    </row>
    <row r="502" spans="18:19" x14ac:dyDescent="0.35">
      <c r="R502" s="67"/>
      <c r="S502" s="72"/>
    </row>
    <row r="503" spans="18:19" x14ac:dyDescent="0.35">
      <c r="R503" s="67"/>
      <c r="S503" s="72"/>
    </row>
    <row r="504" spans="18:19" x14ac:dyDescent="0.35">
      <c r="R504" s="67"/>
      <c r="S504" s="72"/>
    </row>
    <row r="505" spans="18:19" x14ac:dyDescent="0.35">
      <c r="R505" s="67"/>
      <c r="S505" s="72"/>
    </row>
    <row r="506" spans="18:19" x14ac:dyDescent="0.35">
      <c r="R506" s="67"/>
      <c r="S506" s="72"/>
    </row>
    <row r="507" spans="18:19" x14ac:dyDescent="0.35">
      <c r="R507" s="67"/>
      <c r="S507" s="72"/>
    </row>
    <row r="508" spans="18:19" x14ac:dyDescent="0.35">
      <c r="R508" s="67"/>
      <c r="S508" s="72"/>
    </row>
    <row r="509" spans="18:19" x14ac:dyDescent="0.35">
      <c r="R509" s="67"/>
      <c r="S509" s="72"/>
    </row>
    <row r="510" spans="18:19" x14ac:dyDescent="0.35">
      <c r="R510" s="67"/>
      <c r="S510" s="72"/>
    </row>
    <row r="511" spans="18:19" x14ac:dyDescent="0.35">
      <c r="R511" s="67"/>
      <c r="S511" s="72"/>
    </row>
    <row r="512" spans="18:19" x14ac:dyDescent="0.35">
      <c r="R512" s="67"/>
      <c r="S512" s="72"/>
    </row>
    <row r="513" spans="18:19" x14ac:dyDescent="0.35">
      <c r="R513" s="67"/>
      <c r="S513" s="72"/>
    </row>
    <row r="514" spans="18:19" x14ac:dyDescent="0.35">
      <c r="R514" s="67"/>
      <c r="S514" s="72"/>
    </row>
    <row r="515" spans="18:19" x14ac:dyDescent="0.35">
      <c r="R515" s="67"/>
      <c r="S515" s="72"/>
    </row>
    <row r="516" spans="18:19" x14ac:dyDescent="0.35">
      <c r="R516" s="67"/>
      <c r="S516" s="72"/>
    </row>
    <row r="517" spans="18:19" x14ac:dyDescent="0.35">
      <c r="R517" s="67"/>
      <c r="S517" s="72"/>
    </row>
    <row r="518" spans="18:19" x14ac:dyDescent="0.35">
      <c r="R518" s="67"/>
      <c r="S518" s="72"/>
    </row>
    <row r="519" spans="18:19" x14ac:dyDescent="0.35">
      <c r="R519" s="67"/>
      <c r="S519" s="72"/>
    </row>
    <row r="520" spans="18:19" x14ac:dyDescent="0.35">
      <c r="R520" s="67"/>
      <c r="S520" s="72"/>
    </row>
    <row r="521" spans="18:19" x14ac:dyDescent="0.35">
      <c r="R521" s="67"/>
      <c r="S521" s="72"/>
    </row>
    <row r="522" spans="18:19" x14ac:dyDescent="0.35">
      <c r="R522" s="67"/>
      <c r="S522" s="72"/>
    </row>
    <row r="523" spans="18:19" x14ac:dyDescent="0.35">
      <c r="R523" s="67"/>
      <c r="S523" s="72"/>
    </row>
    <row r="524" spans="18:19" x14ac:dyDescent="0.35">
      <c r="R524" s="67"/>
      <c r="S524" s="72"/>
    </row>
    <row r="525" spans="18:19" x14ac:dyDescent="0.35">
      <c r="R525" s="67"/>
      <c r="S525" s="72"/>
    </row>
    <row r="526" spans="18:19" x14ac:dyDescent="0.35">
      <c r="R526" s="67"/>
      <c r="S526" s="72"/>
    </row>
    <row r="527" spans="18:19" x14ac:dyDescent="0.35">
      <c r="R527" s="67"/>
      <c r="S527" s="72"/>
    </row>
    <row r="528" spans="18:19" x14ac:dyDescent="0.35">
      <c r="R528" s="67"/>
      <c r="S528" s="72"/>
    </row>
    <row r="529" spans="18:19" x14ac:dyDescent="0.35">
      <c r="R529" s="67"/>
      <c r="S529" s="72"/>
    </row>
    <row r="530" spans="18:19" x14ac:dyDescent="0.35">
      <c r="R530" s="67"/>
      <c r="S530" s="72"/>
    </row>
    <row r="531" spans="18:19" x14ac:dyDescent="0.35">
      <c r="R531" s="67"/>
      <c r="S531" s="72"/>
    </row>
    <row r="532" spans="18:19" x14ac:dyDescent="0.35">
      <c r="R532" s="67"/>
      <c r="S532" s="72"/>
    </row>
    <row r="533" spans="18:19" x14ac:dyDescent="0.35">
      <c r="R533" s="67"/>
      <c r="S533" s="72"/>
    </row>
    <row r="534" spans="18:19" x14ac:dyDescent="0.35">
      <c r="R534" s="67"/>
      <c r="S534" s="72"/>
    </row>
    <row r="535" spans="18:19" x14ac:dyDescent="0.35">
      <c r="R535" s="67"/>
      <c r="S535" s="72"/>
    </row>
    <row r="536" spans="18:19" x14ac:dyDescent="0.35">
      <c r="R536" s="67"/>
      <c r="S536" s="72"/>
    </row>
    <row r="537" spans="18:19" x14ac:dyDescent="0.35">
      <c r="R537" s="67"/>
      <c r="S537" s="72"/>
    </row>
    <row r="538" spans="18:19" x14ac:dyDescent="0.35">
      <c r="R538" s="67"/>
      <c r="S538" s="72"/>
    </row>
    <row r="539" spans="18:19" x14ac:dyDescent="0.35">
      <c r="R539" s="67"/>
      <c r="S539" s="72"/>
    </row>
    <row r="540" spans="18:19" x14ac:dyDescent="0.35">
      <c r="R540" s="67"/>
      <c r="S540" s="72"/>
    </row>
    <row r="541" spans="18:19" x14ac:dyDescent="0.35">
      <c r="R541" s="67"/>
      <c r="S541" s="72"/>
    </row>
    <row r="542" spans="18:19" x14ac:dyDescent="0.35">
      <c r="R542" s="67"/>
      <c r="S542" s="72"/>
    </row>
    <row r="543" spans="18:19" x14ac:dyDescent="0.35">
      <c r="R543" s="67"/>
      <c r="S543" s="72"/>
    </row>
    <row r="544" spans="18:19" x14ac:dyDescent="0.35">
      <c r="R544" s="67"/>
      <c r="S544" s="72"/>
    </row>
    <row r="545" spans="10:19" x14ac:dyDescent="0.35">
      <c r="R545" s="67"/>
      <c r="S545" s="72"/>
    </row>
    <row r="546" spans="10:19" x14ac:dyDescent="0.35">
      <c r="R546" s="67"/>
      <c r="S546" s="72"/>
    </row>
    <row r="547" spans="10:19" x14ac:dyDescent="0.35">
      <c r="R547" s="67"/>
      <c r="S547" s="72"/>
    </row>
    <row r="548" spans="10:19" x14ac:dyDescent="0.35">
      <c r="R548" s="67"/>
      <c r="S548" s="72"/>
    </row>
    <row r="549" spans="10:19" x14ac:dyDescent="0.35">
      <c r="R549" s="67"/>
      <c r="S549" s="72"/>
    </row>
    <row r="550" spans="10:19" x14ac:dyDescent="0.35">
      <c r="R550" s="67"/>
      <c r="S550" s="72"/>
    </row>
    <row r="551" spans="10:19" x14ac:dyDescent="0.35">
      <c r="R551" s="67"/>
      <c r="S551" s="72"/>
    </row>
    <row r="552" spans="10:19" x14ac:dyDescent="0.35">
      <c r="R552" s="67"/>
      <c r="S552" s="72"/>
    </row>
    <row r="553" spans="10:19" x14ac:dyDescent="0.35">
      <c r="R553" s="67"/>
      <c r="S553" s="72"/>
    </row>
    <row r="554" spans="10:19" x14ac:dyDescent="0.35">
      <c r="J554" s="66"/>
      <c r="R554" s="67"/>
      <c r="S554" s="72"/>
    </row>
    <row r="555" spans="10:19" x14ac:dyDescent="0.35">
      <c r="R555" s="67"/>
      <c r="S555" s="72"/>
    </row>
    <row r="556" spans="10:19" x14ac:dyDescent="0.35">
      <c r="R556" s="67"/>
      <c r="S556" s="72"/>
    </row>
    <row r="557" spans="10:19" x14ac:dyDescent="0.35">
      <c r="R557" s="67"/>
      <c r="S557" s="72"/>
    </row>
    <row r="558" spans="10:19" x14ac:dyDescent="0.35">
      <c r="R558" s="67"/>
      <c r="S558" s="72"/>
    </row>
    <row r="559" spans="10:19" x14ac:dyDescent="0.35">
      <c r="R559" s="67"/>
      <c r="S559" s="72"/>
    </row>
    <row r="560" spans="10:19" x14ac:dyDescent="0.35">
      <c r="J560" s="66"/>
      <c r="R560" s="67"/>
      <c r="S560" s="72"/>
    </row>
    <row r="561" spans="10:19" x14ac:dyDescent="0.35">
      <c r="J561" s="66"/>
      <c r="R561" s="67"/>
      <c r="S561" s="72"/>
    </row>
    <row r="562" spans="10:19" x14ac:dyDescent="0.35">
      <c r="J562" s="66"/>
      <c r="R562" s="67"/>
      <c r="S562" s="72"/>
    </row>
    <row r="563" spans="10:19" x14ac:dyDescent="0.35">
      <c r="R563" s="67"/>
      <c r="S563" s="72"/>
    </row>
    <row r="564" spans="10:19" x14ac:dyDescent="0.35">
      <c r="R564" s="67"/>
      <c r="S564" s="72"/>
    </row>
    <row r="565" spans="10:19" x14ac:dyDescent="0.35">
      <c r="J565" s="66"/>
      <c r="R565" s="67"/>
      <c r="S565" s="72"/>
    </row>
    <row r="566" spans="10:19" x14ac:dyDescent="0.35">
      <c r="R566" s="67"/>
      <c r="S566" s="72"/>
    </row>
    <row r="567" spans="10:19" x14ac:dyDescent="0.35">
      <c r="R567" s="67"/>
      <c r="S567" s="72"/>
    </row>
    <row r="568" spans="10:19" x14ac:dyDescent="0.35">
      <c r="R568" s="67"/>
      <c r="S568" s="72"/>
    </row>
    <row r="569" spans="10:19" x14ac:dyDescent="0.35">
      <c r="R569" s="67"/>
      <c r="S569" s="72"/>
    </row>
    <row r="570" spans="10:19" x14ac:dyDescent="0.35">
      <c r="R570" s="67"/>
      <c r="S570" s="72"/>
    </row>
    <row r="571" spans="10:19" x14ac:dyDescent="0.35">
      <c r="R571" s="67"/>
      <c r="S571" s="72"/>
    </row>
    <row r="572" spans="10:19" x14ac:dyDescent="0.35">
      <c r="R572" s="67"/>
      <c r="S572" s="72"/>
    </row>
    <row r="573" spans="10:19" x14ac:dyDescent="0.35">
      <c r="R573" s="67"/>
      <c r="S573" s="72"/>
    </row>
    <row r="574" spans="10:19" x14ac:dyDescent="0.35">
      <c r="R574" s="67"/>
      <c r="S574" s="72"/>
    </row>
    <row r="575" spans="10:19" x14ac:dyDescent="0.35">
      <c r="J575" s="66"/>
      <c r="R575" s="67"/>
      <c r="S575" s="72"/>
    </row>
    <row r="576" spans="10:19" x14ac:dyDescent="0.35">
      <c r="J576" s="66"/>
      <c r="R576" s="67"/>
      <c r="S576" s="72"/>
    </row>
    <row r="577" spans="10:19" x14ac:dyDescent="0.35">
      <c r="R577" s="67"/>
      <c r="S577" s="72"/>
    </row>
    <row r="578" spans="10:19" x14ac:dyDescent="0.35">
      <c r="R578" s="67"/>
      <c r="S578" s="72"/>
    </row>
    <row r="579" spans="10:19" x14ac:dyDescent="0.35">
      <c r="R579" s="67"/>
      <c r="S579" s="72"/>
    </row>
    <row r="580" spans="10:19" x14ac:dyDescent="0.35">
      <c r="J580" s="66"/>
      <c r="R580" s="67"/>
      <c r="S580" s="72"/>
    </row>
    <row r="581" spans="10:19" x14ac:dyDescent="0.35">
      <c r="R581" s="67"/>
      <c r="S581" s="72"/>
    </row>
    <row r="582" spans="10:19" x14ac:dyDescent="0.35">
      <c r="R582" s="67"/>
      <c r="S582" s="72"/>
    </row>
    <row r="583" spans="10:19" x14ac:dyDescent="0.35">
      <c r="R583" s="67"/>
      <c r="S583" s="72"/>
    </row>
    <row r="584" spans="10:19" x14ac:dyDescent="0.35">
      <c r="J584" s="66"/>
      <c r="R584" s="67"/>
      <c r="S584" s="72"/>
    </row>
    <row r="585" spans="10:19" x14ac:dyDescent="0.35">
      <c r="R585" s="67"/>
      <c r="S585" s="72"/>
    </row>
    <row r="586" spans="10:19" x14ac:dyDescent="0.35">
      <c r="R586" s="67"/>
      <c r="S586" s="72"/>
    </row>
    <row r="587" spans="10:19" x14ac:dyDescent="0.35">
      <c r="R587" s="67"/>
      <c r="S587" s="72"/>
    </row>
    <row r="588" spans="10:19" x14ac:dyDescent="0.35">
      <c r="J588" s="66"/>
      <c r="R588" s="67"/>
      <c r="S588" s="72"/>
    </row>
    <row r="589" spans="10:19" x14ac:dyDescent="0.35">
      <c r="R589" s="67"/>
      <c r="S589" s="72"/>
    </row>
    <row r="590" spans="10:19" x14ac:dyDescent="0.35">
      <c r="R590" s="67"/>
      <c r="S590" s="72"/>
    </row>
    <row r="591" spans="10:19" x14ac:dyDescent="0.35">
      <c r="R591" s="67"/>
      <c r="S591" s="72"/>
    </row>
    <row r="592" spans="10:19" x14ac:dyDescent="0.35">
      <c r="R592" s="67"/>
      <c r="S592" s="72"/>
    </row>
    <row r="593" spans="18:19" x14ac:dyDescent="0.35">
      <c r="R593" s="67"/>
      <c r="S593" s="72"/>
    </row>
    <row r="594" spans="18:19" x14ac:dyDescent="0.35">
      <c r="R594" s="67"/>
      <c r="S594" s="72"/>
    </row>
    <row r="595" spans="18:19" x14ac:dyDescent="0.35">
      <c r="R595" s="67"/>
      <c r="S595" s="72"/>
    </row>
    <row r="596" spans="18:19" x14ac:dyDescent="0.35">
      <c r="R596" s="67"/>
      <c r="S596" s="72"/>
    </row>
    <row r="597" spans="18:19" x14ac:dyDescent="0.35">
      <c r="R597" s="67"/>
      <c r="S597" s="72"/>
    </row>
    <row r="598" spans="18:19" x14ac:dyDescent="0.35">
      <c r="R598" s="67"/>
      <c r="S598" s="72"/>
    </row>
    <row r="599" spans="18:19" x14ac:dyDescent="0.35">
      <c r="R599" s="67"/>
      <c r="S599" s="72"/>
    </row>
    <row r="600" spans="18:19" x14ac:dyDescent="0.35">
      <c r="R600" s="67"/>
      <c r="S600" s="72"/>
    </row>
    <row r="601" spans="18:19" x14ac:dyDescent="0.35">
      <c r="R601" s="67"/>
    </row>
    <row r="602" spans="18:19" x14ac:dyDescent="0.35">
      <c r="R602" s="67"/>
    </row>
    <row r="603" spans="18:19" x14ac:dyDescent="0.35">
      <c r="R603" s="67"/>
    </row>
    <row r="604" spans="18:19" x14ac:dyDescent="0.35">
      <c r="R604" s="67"/>
    </row>
    <row r="605" spans="18:19" x14ac:dyDescent="0.35">
      <c r="R605" s="67"/>
    </row>
    <row r="606" spans="18:19" x14ac:dyDescent="0.35">
      <c r="R606" s="67"/>
    </row>
    <row r="607" spans="18:19" x14ac:dyDescent="0.35">
      <c r="R607" s="67"/>
    </row>
    <row r="608" spans="18:19" x14ac:dyDescent="0.35">
      <c r="R608" s="67"/>
    </row>
    <row r="609" spans="18:18" x14ac:dyDescent="0.35">
      <c r="R609" s="67"/>
    </row>
    <row r="610" spans="18:18" x14ac:dyDescent="0.35">
      <c r="R610" s="67"/>
    </row>
    <row r="611" spans="18:18" x14ac:dyDescent="0.35">
      <c r="R611" s="67"/>
    </row>
    <row r="612" spans="18:18" x14ac:dyDescent="0.35">
      <c r="R612" s="67"/>
    </row>
    <row r="613" spans="18:18" x14ac:dyDescent="0.35">
      <c r="R613" s="67"/>
    </row>
    <row r="614" spans="18:18" x14ac:dyDescent="0.35">
      <c r="R614" s="67"/>
    </row>
    <row r="615" spans="18:18" x14ac:dyDescent="0.35">
      <c r="R615" s="67"/>
    </row>
    <row r="616" spans="18:18" x14ac:dyDescent="0.35">
      <c r="R616" s="67"/>
    </row>
    <row r="617" spans="18:18" x14ac:dyDescent="0.35">
      <c r="R617" s="67"/>
    </row>
    <row r="618" spans="18:18" x14ac:dyDescent="0.35">
      <c r="R618" s="67"/>
    </row>
    <row r="619" spans="18:18" x14ac:dyDescent="0.35">
      <c r="R619" s="67"/>
    </row>
    <row r="620" spans="18:18" x14ac:dyDescent="0.35">
      <c r="R620" s="67"/>
    </row>
    <row r="621" spans="18:18" x14ac:dyDescent="0.35">
      <c r="R621" s="67"/>
    </row>
    <row r="622" spans="18:18" x14ac:dyDescent="0.35">
      <c r="R622" s="67"/>
    </row>
    <row r="623" spans="18:18" x14ac:dyDescent="0.35">
      <c r="R623" s="67"/>
    </row>
    <row r="624" spans="18:18" x14ac:dyDescent="0.35">
      <c r="R624" s="67"/>
    </row>
    <row r="625" spans="18:18" x14ac:dyDescent="0.35">
      <c r="R625" s="67"/>
    </row>
    <row r="626" spans="18:18" x14ac:dyDescent="0.35">
      <c r="R626" s="67"/>
    </row>
    <row r="627" spans="18:18" x14ac:dyDescent="0.35">
      <c r="R627" s="67"/>
    </row>
    <row r="628" spans="18:18" x14ac:dyDescent="0.35">
      <c r="R628" s="67"/>
    </row>
    <row r="629" spans="18:18" x14ac:dyDescent="0.35">
      <c r="R629" s="67"/>
    </row>
    <row r="630" spans="18:18" x14ac:dyDescent="0.35">
      <c r="R630" s="67"/>
    </row>
    <row r="631" spans="18:18" x14ac:dyDescent="0.35">
      <c r="R631" s="67"/>
    </row>
    <row r="632" spans="18:18" x14ac:dyDescent="0.35">
      <c r="R632" s="67"/>
    </row>
    <row r="633" spans="18:18" x14ac:dyDescent="0.35">
      <c r="R633" s="67"/>
    </row>
    <row r="634" spans="18:18" x14ac:dyDescent="0.35">
      <c r="R634" s="67"/>
    </row>
    <row r="635" spans="18:18" x14ac:dyDescent="0.35">
      <c r="R635" s="67"/>
    </row>
    <row r="636" spans="18:18" x14ac:dyDescent="0.35">
      <c r="R636" s="67"/>
    </row>
    <row r="637" spans="18:18" x14ac:dyDescent="0.35">
      <c r="R637" s="67"/>
    </row>
    <row r="638" spans="18:18" x14ac:dyDescent="0.35">
      <c r="R638" s="67"/>
    </row>
    <row r="639" spans="18:18" x14ac:dyDescent="0.35">
      <c r="R639" s="67"/>
    </row>
    <row r="640" spans="18:18" x14ac:dyDescent="0.35">
      <c r="R640" s="67"/>
    </row>
    <row r="641" spans="18:18" x14ac:dyDescent="0.35">
      <c r="R641" s="67"/>
    </row>
    <row r="642" spans="18:18" x14ac:dyDescent="0.35">
      <c r="R642" s="67"/>
    </row>
    <row r="643" spans="18:18" x14ac:dyDescent="0.35">
      <c r="R643" s="67"/>
    </row>
    <row r="644" spans="18:18" x14ac:dyDescent="0.35">
      <c r="R644" s="67"/>
    </row>
    <row r="645" spans="18:18" x14ac:dyDescent="0.35">
      <c r="R645" s="67"/>
    </row>
    <row r="646" spans="18:18" x14ac:dyDescent="0.35">
      <c r="R646" s="67"/>
    </row>
    <row r="647" spans="18:18" x14ac:dyDescent="0.35">
      <c r="R647" s="67"/>
    </row>
    <row r="648" spans="18:18" x14ac:dyDescent="0.35">
      <c r="R648" s="67"/>
    </row>
    <row r="649" spans="18:18" x14ac:dyDescent="0.35">
      <c r="R649" s="67"/>
    </row>
    <row r="650" spans="18:18" x14ac:dyDescent="0.35">
      <c r="R650" s="67"/>
    </row>
    <row r="651" spans="18:18" x14ac:dyDescent="0.35">
      <c r="R651" s="67"/>
    </row>
    <row r="652" spans="18:18" x14ac:dyDescent="0.35">
      <c r="R652" s="67"/>
    </row>
    <row r="653" spans="18:18" x14ac:dyDescent="0.35">
      <c r="R653" s="67"/>
    </row>
    <row r="654" spans="18:18" x14ac:dyDescent="0.35">
      <c r="R654" s="67"/>
    </row>
    <row r="655" spans="18:18" x14ac:dyDescent="0.35">
      <c r="R655" s="67"/>
    </row>
    <row r="656" spans="18:18" x14ac:dyDescent="0.35">
      <c r="R656" s="67"/>
    </row>
    <row r="657" spans="18:18" x14ac:dyDescent="0.35">
      <c r="R657" s="67"/>
    </row>
    <row r="658" spans="18:18" x14ac:dyDescent="0.35">
      <c r="R658" s="67"/>
    </row>
    <row r="659" spans="18:18" x14ac:dyDescent="0.35">
      <c r="R659" s="67"/>
    </row>
    <row r="660" spans="18:18" x14ac:dyDescent="0.35">
      <c r="R660" s="67"/>
    </row>
    <row r="661" spans="18:18" x14ac:dyDescent="0.35">
      <c r="R661" s="67"/>
    </row>
    <row r="662" spans="18:18" x14ac:dyDescent="0.35">
      <c r="R662" s="67"/>
    </row>
    <row r="663" spans="18:18" x14ac:dyDescent="0.35">
      <c r="R663" s="67"/>
    </row>
    <row r="664" spans="18:18" x14ac:dyDescent="0.35">
      <c r="R664" s="67"/>
    </row>
    <row r="665" spans="18:18" x14ac:dyDescent="0.35">
      <c r="R665" s="67"/>
    </row>
    <row r="666" spans="18:18" x14ac:dyDescent="0.35">
      <c r="R666" s="67"/>
    </row>
    <row r="667" spans="18:18" x14ac:dyDescent="0.35">
      <c r="R667" s="67"/>
    </row>
    <row r="668" spans="18:18" x14ac:dyDescent="0.35">
      <c r="R668" s="67"/>
    </row>
    <row r="669" spans="18:18" x14ac:dyDescent="0.35">
      <c r="R669" s="67"/>
    </row>
    <row r="670" spans="18:18" x14ac:dyDescent="0.35">
      <c r="R670" s="67"/>
    </row>
    <row r="671" spans="18:18" x14ac:dyDescent="0.35">
      <c r="R671" s="67"/>
    </row>
    <row r="672" spans="18:18" x14ac:dyDescent="0.35">
      <c r="R672" s="67"/>
    </row>
    <row r="673" spans="18:18" x14ac:dyDescent="0.35">
      <c r="R673" s="67"/>
    </row>
    <row r="674" spans="18:18" x14ac:dyDescent="0.35">
      <c r="R674" s="67"/>
    </row>
    <row r="675" spans="18:18" x14ac:dyDescent="0.35">
      <c r="R675" s="67"/>
    </row>
    <row r="676" spans="18:18" x14ac:dyDescent="0.35">
      <c r="R676" s="67"/>
    </row>
    <row r="677" spans="18:18" x14ac:dyDescent="0.35">
      <c r="R677" s="67"/>
    </row>
    <row r="678" spans="18:18" x14ac:dyDescent="0.35">
      <c r="R678" s="67"/>
    </row>
    <row r="679" spans="18:18" x14ac:dyDescent="0.35">
      <c r="R679" s="67"/>
    </row>
    <row r="680" spans="18:18" x14ac:dyDescent="0.35">
      <c r="R680" s="67"/>
    </row>
    <row r="681" spans="18:18" x14ac:dyDescent="0.35">
      <c r="R681" s="67"/>
    </row>
    <row r="682" spans="18:18" x14ac:dyDescent="0.35">
      <c r="R682" s="67"/>
    </row>
    <row r="683" spans="18:18" x14ac:dyDescent="0.35">
      <c r="R683" s="67"/>
    </row>
    <row r="684" spans="18:18" x14ac:dyDescent="0.35">
      <c r="R684" s="67"/>
    </row>
    <row r="685" spans="18:18" x14ac:dyDescent="0.35">
      <c r="R685" s="67"/>
    </row>
    <row r="686" spans="18:18" x14ac:dyDescent="0.35">
      <c r="R686" s="67"/>
    </row>
    <row r="687" spans="18:18" x14ac:dyDescent="0.35">
      <c r="R687" s="67"/>
    </row>
    <row r="688" spans="18:18" x14ac:dyDescent="0.35">
      <c r="R688" s="67"/>
    </row>
    <row r="689" spans="18:18" x14ac:dyDescent="0.35">
      <c r="R689" s="67"/>
    </row>
  </sheetData>
  <autoFilter ref="A19:F19" xr:uid="{FE1EFA0F-5C1C-43B2-85E0-0AEBA88B816F}"/>
  <sortState xmlns:xlrd2="http://schemas.microsoft.com/office/spreadsheetml/2017/richdata2" ref="A6:C16">
    <sortCondition ref="C6:C16"/>
  </sortState>
  <conditionalFormatting sqref="A139:A146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B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72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9:C14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D1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72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7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0:F10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7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72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4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5:I72">
    <cfRule type="colorScale" priority="4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7:AB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BD8F-D507-43A5-A88F-0AD4D498B4A2}">
  <dimension ref="A1:AB689"/>
  <sheetViews>
    <sheetView topLeftCell="A19" zoomScaleNormal="100" workbookViewId="0">
      <selection activeCell="I28" sqref="B28:I34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8" x14ac:dyDescent="0.35">
      <c r="A1" s="3" t="s">
        <v>401</v>
      </c>
      <c r="F1" s="3" t="s">
        <v>352</v>
      </c>
      <c r="G1">
        <v>12</v>
      </c>
    </row>
    <row r="2" spans="1:28" x14ac:dyDescent="0.35">
      <c r="B2">
        <v>0</v>
      </c>
    </row>
    <row r="3" spans="1:28" x14ac:dyDescent="0.35">
      <c r="A3" s="3" t="s">
        <v>62</v>
      </c>
      <c r="B3" s="4">
        <f>AVERAGE(B6:B49)</f>
        <v>2.5048596974386328E-8</v>
      </c>
      <c r="F3" s="3" t="s">
        <v>3</v>
      </c>
      <c r="G3" s="4">
        <v>0.42574053051528488</v>
      </c>
    </row>
    <row r="4" spans="1:28" x14ac:dyDescent="0.35">
      <c r="A4" s="3" t="s">
        <v>121</v>
      </c>
      <c r="F4" t="s">
        <v>9</v>
      </c>
      <c r="G4">
        <f>-G3</f>
        <v>-0.42574053051528488</v>
      </c>
    </row>
    <row r="5" spans="1:28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2164.1858768080156</v>
      </c>
    </row>
    <row r="6" spans="1:28" x14ac:dyDescent="0.35">
      <c r="A6" s="1" t="s">
        <v>17</v>
      </c>
      <c r="B6" s="1">
        <v>1.6271708297743053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  <c r="AA6" s="32" t="s">
        <v>357</v>
      </c>
      <c r="AB6" s="32" t="s">
        <v>61</v>
      </c>
    </row>
    <row r="7" spans="1:28" x14ac:dyDescent="0.35">
      <c r="A7" s="1" t="s">
        <v>13</v>
      </c>
      <c r="B7" s="1">
        <v>1.1121936267601571</v>
      </c>
      <c r="C7" s="1">
        <f t="shared" si="0"/>
        <v>2</v>
      </c>
      <c r="J7" s="65">
        <v>1</v>
      </c>
      <c r="K7" t="s">
        <v>7</v>
      </c>
      <c r="L7" t="s">
        <v>77</v>
      </c>
      <c r="M7">
        <v>16.3</v>
      </c>
      <c r="N7" t="s">
        <v>9</v>
      </c>
      <c r="O7" t="s">
        <v>24</v>
      </c>
      <c r="P7">
        <f>VLOOKUP($N7,$F$3:$G$4,2,FALSE)+VLOOKUP($L7,$B$20:$C$150,2,FALSE)+VLOOKUP($O7,$A$6:$B$16,2,FALSE)</f>
        <v>12.746959963117467</v>
      </c>
      <c r="Q7">
        <f>IFERROR(($M7-$P7)^2,"")</f>
        <v>12.624093503690236</v>
      </c>
      <c r="R7" s="67" cm="1">
        <f t="array" ref="R7">SUMPRODUCT((J7=$J$7:$J$1000)*(P7&lt;$P$7:$P$1000))+1</f>
        <v>2</v>
      </c>
      <c r="S7" s="72"/>
      <c r="T7" cm="1">
        <f t="array" ref="T7:Z119">_xlfn._xlws.FILTER($J$7:$P$10000,($J$7:$J$10000&gt;$G$1)*($J$7:$J$10000&lt;18))</f>
        <v>13</v>
      </c>
      <c r="U7" t="str">
        <v>ARC</v>
      </c>
      <c r="V7" t="str">
        <v>Cameron Gerlach</v>
      </c>
      <c r="W7" t="str">
        <v>NULL</v>
      </c>
      <c r="X7" t="str">
        <v>Away</v>
      </c>
      <c r="Y7" t="str">
        <v>LA</v>
      </c>
      <c r="Z7">
        <v>2.8805067136778106</v>
      </c>
      <c r="AA7" s="1" t="str" cm="1">
        <f t="array" ref="AA7:AA38">_xlfn._xlws.SORT(_xlfn.UNIQUE($L$7:$L$10000))</f>
        <v>Adriaan Carelse</v>
      </c>
      <c r="AB7" s="1" cm="1">
        <f t="array" ref="AB7">COUNT(_xlfn._xlws.FILTER($J$7:$J$10000,($L$7:$L$10000=AA7)*($M$7:$M$10000&lt;&gt;"NULL")*($J$7:$J$10000 &gt;= ($G$1-5))))/5</f>
        <v>0</v>
      </c>
    </row>
    <row r="8" spans="1:28" x14ac:dyDescent="0.35">
      <c r="A8" s="1" t="s">
        <v>24</v>
      </c>
      <c r="B8" s="1">
        <v>0.68513517714271766</v>
      </c>
      <c r="C8" s="1">
        <f t="shared" si="0"/>
        <v>3</v>
      </c>
      <c r="J8" s="65">
        <v>1</v>
      </c>
      <c r="K8" t="s">
        <v>6</v>
      </c>
      <c r="L8" t="s">
        <v>442</v>
      </c>
      <c r="M8">
        <v>13.7</v>
      </c>
      <c r="N8" t="s">
        <v>3</v>
      </c>
      <c r="O8" t="s">
        <v>23</v>
      </c>
      <c r="P8">
        <f t="shared" ref="P8:P71" si="1">VLOOKUP($N8,$F$3:$G$4,2,FALSE)+VLOOKUP($L8,$B$20:$C$150,2,FALSE)+VLOOKUP($O8,$A$6:$B$16,2,FALSE)</f>
        <v>6.5353300296774597</v>
      </c>
      <c r="Q8">
        <f t="shared" ref="Q8:Q53" si="2">IFERROR(($M8-$P8)^2,"")</f>
        <v>51.332495783641583</v>
      </c>
      <c r="R8" s="67" cm="1">
        <f t="array" ref="R8">SUMPRODUCT((J8=$J$7:$J$1000)*(P8&lt;$P$7:$P$1000))+1</f>
        <v>8</v>
      </c>
      <c r="S8" s="72"/>
      <c r="T8">
        <v>13</v>
      </c>
      <c r="U8" t="str">
        <v>ARC</v>
      </c>
      <c r="V8" t="str">
        <v>Cliven Loubser</v>
      </c>
      <c r="W8" t="str">
        <v>NULL</v>
      </c>
      <c r="X8" t="str">
        <v>Away</v>
      </c>
      <c r="Y8" t="str">
        <v>LA</v>
      </c>
      <c r="Z8">
        <v>7.2960730773754463</v>
      </c>
      <c r="AA8" s="1" t="str">
        <v>AJ Alatimu</v>
      </c>
      <c r="AB8" s="1" cm="1">
        <f t="array" ref="AB8">COUNT(_xlfn._xlws.FILTER($J$7:$J$10000,($L$7:$L$10000=AA8)*($M$7:$M$10000&lt;&gt;"NULL")*($J$7:$J$10000 &gt;= ($G$1-5))))/5</f>
        <v>0.4</v>
      </c>
    </row>
    <row r="9" spans="1:28" x14ac:dyDescent="0.35">
      <c r="A9" s="1" t="s">
        <v>34</v>
      </c>
      <c r="B9" s="1">
        <v>0.50660922904041961</v>
      </c>
      <c r="C9" s="1">
        <f t="shared" si="0"/>
        <v>4</v>
      </c>
      <c r="J9" s="65">
        <v>1</v>
      </c>
      <c r="K9" t="s">
        <v>36</v>
      </c>
      <c r="L9" t="s">
        <v>71</v>
      </c>
      <c r="M9">
        <v>10</v>
      </c>
      <c r="N9" t="s">
        <v>3</v>
      </c>
      <c r="O9" t="s">
        <v>2</v>
      </c>
      <c r="P9">
        <f t="shared" si="1"/>
        <v>15.039010448863339</v>
      </c>
      <c r="Q9">
        <f t="shared" si="2"/>
        <v>25.391626303753906</v>
      </c>
      <c r="R9" s="67" cm="1">
        <f t="array" ref="R9">SUMPRODUCT((J9=$J$7:$J$1000)*(P9&lt;$P$7:$P$1000))+1</f>
        <v>1</v>
      </c>
      <c r="S9" s="72"/>
      <c r="T9">
        <v>13</v>
      </c>
      <c r="U9" t="str">
        <v>ARC</v>
      </c>
      <c r="V9" t="str">
        <v>Karl Keane</v>
      </c>
      <c r="W9" t="str">
        <v>NULL</v>
      </c>
      <c r="X9" t="str">
        <v>Away</v>
      </c>
      <c r="Y9" t="str">
        <v>LA</v>
      </c>
      <c r="Z9">
        <v>1.2886832239473678</v>
      </c>
      <c r="AA9" s="1" t="str">
        <v>Cameron Gerlach</v>
      </c>
      <c r="AB9" s="1" cm="1">
        <f t="array" ref="AB9">COUNT(_xlfn._xlws.FILTER($J$7:$J$10000,($L$7:$L$10000=AA9)*($M$7:$M$10000&lt;&gt;"NULL")*($J$7:$J$10000 &gt;= ($G$1-5))))/5</f>
        <v>0.8</v>
      </c>
    </row>
    <row r="10" spans="1:28" x14ac:dyDescent="0.35">
      <c r="A10" s="1" t="s">
        <v>4</v>
      </c>
      <c r="B10" s="1">
        <v>0.27350253196766083</v>
      </c>
      <c r="C10" s="1">
        <f t="shared" si="0"/>
        <v>5</v>
      </c>
      <c r="J10" s="65">
        <v>1</v>
      </c>
      <c r="K10" t="s">
        <v>34</v>
      </c>
      <c r="L10" t="s">
        <v>192</v>
      </c>
      <c r="M10">
        <v>8.5</v>
      </c>
      <c r="N10" t="s">
        <v>3</v>
      </c>
      <c r="O10" t="s">
        <v>17</v>
      </c>
      <c r="P10">
        <f t="shared" si="1"/>
        <v>9.9675046203616926</v>
      </c>
      <c r="Q10">
        <f t="shared" si="2"/>
        <v>2.1535698107829155</v>
      </c>
      <c r="R10" s="67" cm="1">
        <f t="array" ref="R10">SUMPRODUCT((J10=$J$7:$J$1000)*(P10&lt;$P$7:$P$1000))+1</f>
        <v>3</v>
      </c>
      <c r="S10" s="72"/>
      <c r="T10">
        <v>13</v>
      </c>
      <c r="U10" t="str">
        <v>ARC</v>
      </c>
      <c r="V10" t="str">
        <v>Line Latu</v>
      </c>
      <c r="W10" t="str">
        <v>NULL</v>
      </c>
      <c r="X10" t="str">
        <v>Away</v>
      </c>
      <c r="Y10" t="str">
        <v>LA</v>
      </c>
      <c r="Z10">
        <v>6.459496956767115</v>
      </c>
      <c r="AA10" s="1" t="str">
        <v>Christian Leali'ifano</v>
      </c>
      <c r="AB10" s="1" cm="1">
        <f t="array" ref="AB10">COUNT(_xlfn._xlws.FILTER($J$7:$J$10000,($L$7:$L$10000=AA10)*($M$7:$M$10000&lt;&gt;"NULL")*($J$7:$J$10000 &gt;= ($G$1-5))))/5</f>
        <v>0.8</v>
      </c>
    </row>
    <row r="11" spans="1:28" x14ac:dyDescent="0.35">
      <c r="A11" s="1" t="s">
        <v>2</v>
      </c>
      <c r="B11" s="1">
        <v>9.0392410338133236E-2</v>
      </c>
      <c r="C11" s="1">
        <f t="shared" si="0"/>
        <v>6</v>
      </c>
      <c r="J11" s="65">
        <v>1</v>
      </c>
      <c r="K11" t="s">
        <v>24</v>
      </c>
      <c r="L11" t="s">
        <v>194</v>
      </c>
      <c r="M11">
        <v>7.6</v>
      </c>
      <c r="N11" t="s">
        <v>3</v>
      </c>
      <c r="O11" t="s">
        <v>7</v>
      </c>
      <c r="P11">
        <f t="shared" si="1"/>
        <v>7.6106042463671368</v>
      </c>
      <c r="Q11">
        <f t="shared" si="2"/>
        <v>1.1245004101494236E-4</v>
      </c>
      <c r="R11" s="67" cm="1">
        <f t="array" ref="R11">SUMPRODUCT((J11=$J$7:$J$1000)*(P11&lt;$P$7:$P$1000))+1</f>
        <v>7</v>
      </c>
      <c r="S11" s="72"/>
      <c r="T11">
        <v>13</v>
      </c>
      <c r="U11" t="str">
        <v>CHI</v>
      </c>
      <c r="V11" t="str">
        <v>Adriaan Carelse</v>
      </c>
      <c r="W11" t="str">
        <v>NULL</v>
      </c>
      <c r="X11" t="str">
        <v>Away</v>
      </c>
      <c r="Y11" t="str">
        <v>NEFJ</v>
      </c>
      <c r="Z11">
        <v>6.9005040120589554</v>
      </c>
      <c r="AA11" s="1" t="str">
        <v>Christopher Hilsenbeck</v>
      </c>
      <c r="AB11" s="1" cm="1">
        <f t="array" ref="AB11">COUNT(_xlfn._xlws.FILTER($J$7:$J$10000,($L$7:$L$10000=AA11)*($M$7:$M$10000&lt;&gt;"NULL")*($J$7:$J$10000 &gt;= ($G$1-5))))/5</f>
        <v>0.8</v>
      </c>
    </row>
    <row r="12" spans="1:28" x14ac:dyDescent="0.35">
      <c r="A12" s="1" t="s">
        <v>7</v>
      </c>
      <c r="B12" s="1">
        <v>-0.26843335939750679</v>
      </c>
      <c r="C12" s="1">
        <f t="shared" si="0"/>
        <v>7</v>
      </c>
      <c r="J12" s="65">
        <v>1</v>
      </c>
      <c r="K12" t="s">
        <v>4</v>
      </c>
      <c r="L12" t="s">
        <v>188</v>
      </c>
      <c r="M12">
        <v>6.9</v>
      </c>
      <c r="N12" t="s">
        <v>3</v>
      </c>
      <c r="O12" t="s">
        <v>14</v>
      </c>
      <c r="P12">
        <f t="shared" si="1"/>
        <v>8.0287163856250459</v>
      </c>
      <c r="Q12">
        <f t="shared" si="2"/>
        <v>1.2740006791784664</v>
      </c>
      <c r="R12" s="67" cm="1">
        <f t="array" ref="R12">SUMPRODUCT((J12=$J$7:$J$1000)*(P12&lt;$P$7:$P$1000))+1</f>
        <v>5</v>
      </c>
      <c r="S12" s="72"/>
      <c r="T12">
        <v>13</v>
      </c>
      <c r="U12" t="str">
        <v>CHI</v>
      </c>
      <c r="V12" t="str">
        <v>Christopher Hilsenbeck</v>
      </c>
      <c r="W12" t="str">
        <v>NULL</v>
      </c>
      <c r="X12" t="str">
        <v>Away</v>
      </c>
      <c r="Y12" t="str">
        <v>NEFJ</v>
      </c>
      <c r="Z12">
        <v>7.0999881924184516</v>
      </c>
      <c r="AA12" s="1" t="str">
        <v>Cliven Loubser</v>
      </c>
      <c r="AB12" s="1" cm="1">
        <f t="array" ref="AB12">COUNT(_xlfn._xlws.FILTER($J$7:$J$10000,($L$7:$L$10000=AA12)*($M$7:$M$10000&lt;&gt;"NULL")*($J$7:$J$10000 &gt;= ($G$1-5))))/5</f>
        <v>0.4</v>
      </c>
    </row>
    <row r="13" spans="1:28" x14ac:dyDescent="0.35">
      <c r="A13" s="1" t="s">
        <v>36</v>
      </c>
      <c r="B13" s="1">
        <v>-0.41896634549815509</v>
      </c>
      <c r="C13" s="1">
        <f t="shared" si="0"/>
        <v>8</v>
      </c>
      <c r="J13" s="65">
        <v>1</v>
      </c>
      <c r="K13" t="s">
        <v>23</v>
      </c>
      <c r="L13" t="s">
        <v>443</v>
      </c>
      <c r="M13">
        <v>5.6</v>
      </c>
      <c r="N13" t="s">
        <v>9</v>
      </c>
      <c r="O13" t="s">
        <v>6</v>
      </c>
      <c r="P13">
        <f t="shared" si="1"/>
        <v>3.5703029988618304</v>
      </c>
      <c r="Q13">
        <f t="shared" si="2"/>
        <v>4.1196699164292774</v>
      </c>
      <c r="R13" s="67" cm="1">
        <f t="array" ref="R13">SUMPRODUCT((J13=$J$7:$J$1000)*(P13&lt;$P$7:$P$1000))+1</f>
        <v>9</v>
      </c>
      <c r="S13" s="72"/>
      <c r="T13">
        <v>13</v>
      </c>
      <c r="U13" t="str">
        <v>CHI</v>
      </c>
      <c r="V13" t="str">
        <v>Tim Swiel</v>
      </c>
      <c r="W13" t="str">
        <v>NULL</v>
      </c>
      <c r="X13" t="str">
        <v>Away</v>
      </c>
      <c r="Y13" t="str">
        <v>NEFJ</v>
      </c>
      <c r="Z13">
        <v>-1.5206838445294373</v>
      </c>
      <c r="AA13" s="1" t="str">
        <v>Dan Hollinshead</v>
      </c>
      <c r="AB13" s="1" cm="1">
        <f t="array" ref="AB13">COUNT(_xlfn._xlws.FILTER($J$7:$J$10000,($L$7:$L$10000=AA13)*($M$7:$M$10000&lt;&gt;"NULL")*($J$7:$J$10000 &gt;= ($G$1-5))))/5</f>
        <v>0.2</v>
      </c>
    </row>
    <row r="14" spans="1:28" x14ac:dyDescent="0.35">
      <c r="A14" s="1" t="s">
        <v>14</v>
      </c>
      <c r="B14" s="1">
        <v>-0.7490875497769508</v>
      </c>
      <c r="C14" s="1">
        <f t="shared" si="0"/>
        <v>9</v>
      </c>
      <c r="J14" s="65">
        <v>1</v>
      </c>
      <c r="K14" t="s">
        <v>17</v>
      </c>
      <c r="L14" t="s">
        <v>196</v>
      </c>
      <c r="M14">
        <v>4.7</v>
      </c>
      <c r="N14" t="s">
        <v>9</v>
      </c>
      <c r="O14" t="s">
        <v>34</v>
      </c>
      <c r="P14">
        <f t="shared" si="1"/>
        <v>7.8978633046460933</v>
      </c>
      <c r="Q14">
        <f t="shared" si="2"/>
        <v>10.226329715202031</v>
      </c>
      <c r="R14" s="67" cm="1">
        <f t="array" ref="R14">SUMPRODUCT((J14=$J$7:$J$1000)*(P14&lt;$P$7:$P$1000))+1</f>
        <v>6</v>
      </c>
      <c r="S14" s="72"/>
      <c r="T14">
        <v>13</v>
      </c>
      <c r="U14" t="str">
        <v>HOU</v>
      </c>
      <c r="V14" t="str">
        <v>AJ Alatimu</v>
      </c>
      <c r="W14" t="str">
        <v>NULL</v>
      </c>
      <c r="X14" t="str">
        <v>Away</v>
      </c>
      <c r="Y14" t="str">
        <v>SDL</v>
      </c>
      <c r="Z14">
        <v>7.4821651644755987</v>
      </c>
      <c r="AA14" s="1" t="str">
        <v>D'Angelo Leuila</v>
      </c>
      <c r="AB14" s="1" cm="1">
        <f t="array" ref="AB14">COUNT(_xlfn._xlws.FILTER($J$7:$J$10000,($L$7:$L$10000=AA14)*($M$7:$M$10000&lt;&gt;"NULL")*($J$7:$J$10000 &gt;= ($G$1-5))))/5</f>
        <v>0</v>
      </c>
    </row>
    <row r="15" spans="1:28" x14ac:dyDescent="0.35">
      <c r="A15" s="1" t="s">
        <v>23</v>
      </c>
      <c r="B15" s="1">
        <v>-1.2838183992489227</v>
      </c>
      <c r="C15" s="1">
        <f t="shared" si="0"/>
        <v>10</v>
      </c>
      <c r="J15" s="65">
        <v>1</v>
      </c>
      <c r="K15" t="s">
        <v>14</v>
      </c>
      <c r="L15" t="s">
        <v>83</v>
      </c>
      <c r="M15">
        <v>3</v>
      </c>
      <c r="N15" t="s">
        <v>9</v>
      </c>
      <c r="O15" t="s">
        <v>4</v>
      </c>
      <c r="P15">
        <f t="shared" si="1"/>
        <v>8.3076973643020668</v>
      </c>
      <c r="Q15">
        <f t="shared" si="2"/>
        <v>28.171651311019108</v>
      </c>
      <c r="R15" s="67" cm="1">
        <f t="array" ref="R15">SUMPRODUCT((J15=$J$7:$J$1000)*(P15&lt;$P$7:$P$1000))+1</f>
        <v>4</v>
      </c>
      <c r="S15" s="72"/>
      <c r="T15">
        <v>13</v>
      </c>
      <c r="U15" t="str">
        <v>HOU</v>
      </c>
      <c r="V15" t="str">
        <v>Davy Coetzer</v>
      </c>
      <c r="W15" t="str">
        <v>NULL</v>
      </c>
      <c r="X15" t="str">
        <v>Away</v>
      </c>
      <c r="Y15" t="str">
        <v>SDL</v>
      </c>
      <c r="Z15">
        <v>14.603746206535057</v>
      </c>
      <c r="AA15" s="1" t="str">
        <v>Davy Coetzer</v>
      </c>
      <c r="AB15" s="1" cm="1">
        <f t="array" ref="AB15">COUNT(_xlfn._xlws.FILTER($J$7:$J$10000,($L$7:$L$10000=AA15)*($M$7:$M$10000&lt;&gt;"NULL")*($J$7:$J$10000 &gt;= ($G$1-5))))/5</f>
        <v>0.4</v>
      </c>
    </row>
    <row r="16" spans="1:28" x14ac:dyDescent="0.35">
      <c r="A16" s="1" t="s">
        <v>6</v>
      </c>
      <c r="B16" s="1">
        <v>-1.5746978755672905</v>
      </c>
      <c r="C16" s="1">
        <f t="shared" si="0"/>
        <v>11</v>
      </c>
      <c r="D16" s="3"/>
      <c r="J16" s="65">
        <v>1</v>
      </c>
      <c r="K16" t="s">
        <v>2</v>
      </c>
      <c r="L16" t="s">
        <v>444</v>
      </c>
      <c r="M16">
        <v>0.6</v>
      </c>
      <c r="N16" t="s">
        <v>9</v>
      </c>
      <c r="O16" t="s">
        <v>36</v>
      </c>
      <c r="P16">
        <f t="shared" si="1"/>
        <v>-0.6558317907786696</v>
      </c>
      <c r="Q16">
        <f t="shared" si="2"/>
        <v>1.5771134867303602</v>
      </c>
      <c r="R16" s="67" cm="1">
        <f t="array" ref="R16">SUMPRODUCT((J16=$J$7:$J$1000)*(P16&lt;$P$7:$P$1000))+1</f>
        <v>10</v>
      </c>
      <c r="S16" s="72"/>
      <c r="T16">
        <v>13</v>
      </c>
      <c r="U16" t="str">
        <v>HOU</v>
      </c>
      <c r="V16" t="str">
        <v>Max Schumacher</v>
      </c>
      <c r="W16" t="str">
        <v>NULL</v>
      </c>
      <c r="X16" t="str">
        <v>Away</v>
      </c>
      <c r="Y16" t="str">
        <v>SDL</v>
      </c>
      <c r="Z16">
        <v>5.1860219624891206</v>
      </c>
      <c r="AA16" s="1" t="str">
        <v>Dorian Jones</v>
      </c>
      <c r="AB16" s="1" cm="1">
        <f t="array" ref="AB16">COUNT(_xlfn._xlws.FILTER($J$7:$J$10000,($L$7:$L$10000=AA16)*($M$7:$M$10000&lt;&gt;"NULL")*($J$7:$J$10000 &gt;= ($G$1-5))))/5</f>
        <v>0.8</v>
      </c>
    </row>
    <row r="17" spans="1:28" x14ac:dyDescent="0.35">
      <c r="J17" s="65">
        <v>2</v>
      </c>
      <c r="K17" t="s">
        <v>36</v>
      </c>
      <c r="L17" t="s">
        <v>71</v>
      </c>
      <c r="M17">
        <v>16.2</v>
      </c>
      <c r="N17" t="s">
        <v>9</v>
      </c>
      <c r="O17" t="s">
        <v>6</v>
      </c>
      <c r="P17">
        <f t="shared" si="1"/>
        <v>12.522439101927347</v>
      </c>
      <c r="Q17">
        <f t="shared" si="2"/>
        <v>13.524454159032933</v>
      </c>
      <c r="R17" s="67" cm="1">
        <f t="array" ref="R17">SUMPRODUCT((J17=$J$7:$J$1000)*(P17&lt;$P$7:$P$1000))+1</f>
        <v>1</v>
      </c>
      <c r="S17" s="72"/>
      <c r="T17">
        <v>13</v>
      </c>
      <c r="U17" t="str">
        <v>LA</v>
      </c>
      <c r="V17" t="str">
        <v>Christian Leali'ifano</v>
      </c>
      <c r="W17" t="str">
        <v>NULL</v>
      </c>
      <c r="X17" t="str">
        <v>Home</v>
      </c>
      <c r="Y17" t="str">
        <v>ARC</v>
      </c>
      <c r="Z17">
        <v>7.0700608791494322</v>
      </c>
      <c r="AA17" s="1" t="str">
        <v>Eddie Fouche</v>
      </c>
      <c r="AB17" s="1" cm="1">
        <f t="array" ref="AB17">COUNT(_xlfn._xlws.FILTER($J$7:$J$10000,($L$7:$L$10000=AA17)*($M$7:$M$10000&lt;&gt;"NULL")*($J$7:$J$10000 &gt;= ($G$1-5))))/5</f>
        <v>0</v>
      </c>
    </row>
    <row r="18" spans="1:28" x14ac:dyDescent="0.35">
      <c r="J18" s="65">
        <v>2</v>
      </c>
      <c r="K18" t="s">
        <v>13</v>
      </c>
      <c r="L18" t="s">
        <v>473</v>
      </c>
      <c r="M18">
        <v>16.100000000000001</v>
      </c>
      <c r="N18" t="s">
        <v>9</v>
      </c>
      <c r="O18" t="s">
        <v>2</v>
      </c>
      <c r="P18">
        <f t="shared" si="1"/>
        <v>10.9077510086</v>
      </c>
      <c r="Q18">
        <f t="shared" si="2"/>
        <v>26.959449588694333</v>
      </c>
      <c r="R18" s="67" cm="1">
        <f t="array" ref="R18">SUMPRODUCT((J18=$J$7:$J$1000)*(P18&lt;$P$7:$P$1000))+1</f>
        <v>2</v>
      </c>
      <c r="S18" s="72"/>
      <c r="T18">
        <v>13</v>
      </c>
      <c r="U18" t="str">
        <v>LA</v>
      </c>
      <c r="V18" t="str">
        <v>Sean Nolan</v>
      </c>
      <c r="W18" t="str">
        <v>NULL</v>
      </c>
      <c r="X18" t="str">
        <v>Home</v>
      </c>
      <c r="Y18" t="str">
        <v>ARC</v>
      </c>
      <c r="Z18">
        <v>1.6585699777368248</v>
      </c>
      <c r="AA18" s="1" t="str">
        <v>Ethan Grayson</v>
      </c>
      <c r="AB18" s="1" cm="1">
        <f t="array" ref="AB18">COUNT(_xlfn._xlws.FILTER($J$7:$J$10000,($L$7:$L$10000=AA18)*($M$7:$M$10000&lt;&gt;"NULL")*($J$7:$J$10000 &gt;= ($G$1-5))))/5</f>
        <v>0.2</v>
      </c>
    </row>
    <row r="19" spans="1:28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2</v>
      </c>
      <c r="K19" t="s">
        <v>14</v>
      </c>
      <c r="L19" t="s">
        <v>83</v>
      </c>
      <c r="M19">
        <v>14.7</v>
      </c>
      <c r="N19" t="s">
        <v>3</v>
      </c>
      <c r="O19" t="s">
        <v>34</v>
      </c>
      <c r="P19">
        <f t="shared" si="1"/>
        <v>9.3922851224053936</v>
      </c>
      <c r="Q19">
        <f t="shared" si="2"/>
        <v>28.17183722183912</v>
      </c>
      <c r="R19" s="67" cm="1">
        <f t="array" ref="R19">SUMPRODUCT((J19=$J$7:$J$1000)*(P19&lt;$P$7:$P$1000))+1</f>
        <v>4</v>
      </c>
      <c r="S19" s="72"/>
      <c r="T19">
        <v>13</v>
      </c>
      <c r="U19" t="str">
        <v>MIA</v>
      </c>
      <c r="V19" t="str">
        <v>Martin Elias</v>
      </c>
      <c r="W19" t="str">
        <v>NULL</v>
      </c>
      <c r="X19" t="str">
        <v>Away</v>
      </c>
      <c r="Y19" t="str">
        <v>NOLA</v>
      </c>
      <c r="Z19">
        <v>7.3010590767017343</v>
      </c>
      <c r="AA19" s="1" t="str">
        <v>Faletoi Peni</v>
      </c>
      <c r="AB19" s="1" cm="1">
        <f t="array" ref="AB19">COUNT(_xlfn._xlws.FILTER($J$7:$J$10000,($L$7:$L$10000=AA19)*($M$7:$M$10000&lt;&gt;"NULL")*($J$7:$J$10000 &gt;= ($G$1-5))))/5</f>
        <v>0.4</v>
      </c>
    </row>
    <row r="20" spans="1:28" x14ac:dyDescent="0.35">
      <c r="A20">
        <f>VLOOKUP($B20, PlayerIDs!$A$1:$B$516, 2, FALSE)</f>
        <v>105</v>
      </c>
      <c r="B20" t="s">
        <v>71</v>
      </c>
      <c r="C20" s="1">
        <v>14.522877508009921</v>
      </c>
      <c r="D20" s="1">
        <f t="shared" ref="D20:D50" si="3">RANK($C20,$C$20:$C$106)</f>
        <v>1</v>
      </c>
      <c r="E20" s="1" cm="1">
        <f t="array" ref="E20">IFERROR(VLOOKUP($B20,_xlfn._xlws.FILTER($L$7:$P$10000,$J$7:$J$10000=G$1+1),5, FALSE), 0)</f>
        <v>14.603746206535057</v>
      </c>
      <c r="F20" s="1">
        <f t="shared" ref="F20:F50" si="4">RANK(E20,$E$20:$E$72)</f>
        <v>1</v>
      </c>
      <c r="G20" s="1">
        <f t="shared" ref="G20:G50" ca="1" si="5">SUMIF(V:Z,$B20,Z:Z)</f>
        <v>46.388865679089363</v>
      </c>
      <c r="H20" s="1">
        <f t="shared" ref="H20:H50" ca="1" si="6">RANK($G20,$G$20:$G$106)</f>
        <v>5</v>
      </c>
      <c r="I20" s="1" cm="1">
        <f t="array" ref="I20">COUNT(_xlfn._xlws.FILTER($J$7:$J$10000,($L$7:$L$10000=B20)*($M$7:$M$10000&lt;&gt;"NULL")*($J$7:$J$10000 &gt;= ($G$1-4))))/5</f>
        <v>0.2</v>
      </c>
      <c r="J20" s="65">
        <v>2</v>
      </c>
      <c r="K20" t="s">
        <v>24</v>
      </c>
      <c r="L20" t="s">
        <v>194</v>
      </c>
      <c r="M20">
        <v>12.3</v>
      </c>
      <c r="N20" t="s">
        <v>3</v>
      </c>
      <c r="O20" t="s">
        <v>4</v>
      </c>
      <c r="P20">
        <f t="shared" si="1"/>
        <v>8.1525401377323057</v>
      </c>
      <c r="Q20">
        <f t="shared" si="2"/>
        <v>17.201423309121569</v>
      </c>
      <c r="R20" s="67" cm="1">
        <f t="array" ref="R20">SUMPRODUCT((J20=$J$7:$J$1000)*(P20&lt;$P$7:$P$1000))+1</f>
        <v>6</v>
      </c>
      <c r="S20" s="72"/>
      <c r="T20">
        <v>13</v>
      </c>
      <c r="U20" t="str">
        <v>MIA</v>
      </c>
      <c r="V20" t="str">
        <v>Santiago Videla</v>
      </c>
      <c r="W20" t="str">
        <v>NULL</v>
      </c>
      <c r="X20" t="str">
        <v>Away</v>
      </c>
      <c r="Y20" t="str">
        <v>NOLA</v>
      </c>
      <c r="Z20">
        <v>12.331617185929765</v>
      </c>
      <c r="AA20" s="1" t="str">
        <v>Harris Rutherford</v>
      </c>
      <c r="AB20" s="1" cm="1">
        <f t="array" ref="AB20">COUNT(_xlfn._xlws.FILTER($J$7:$J$10000,($L$7:$L$10000=AA20)*($M$7:$M$10000&lt;&gt;"NULL")*($J$7:$J$10000 &gt;= ($G$1-5))))/5</f>
        <v>0.2</v>
      </c>
    </row>
    <row r="21" spans="1:28" x14ac:dyDescent="0.35">
      <c r="A21">
        <f>VLOOKUP($B21, PlayerIDs!$A$1:$B$516, 2, FALSE)</f>
        <v>647</v>
      </c>
      <c r="B21" t="s">
        <v>77</v>
      </c>
      <c r="C21" s="1">
        <v>12.487565316490034</v>
      </c>
      <c r="D21" s="1">
        <f t="shared" si="3"/>
        <v>2</v>
      </c>
      <c r="E21" s="1" cm="1">
        <f t="array" ref="E21">IFERROR(VLOOKUP($B21,_xlfn._xlws.FILTER($L$7:$P$10000,$J$7:$J$10000=G$1+1),5, FALSE), 0)</f>
        <v>0</v>
      </c>
      <c r="F21" s="1">
        <f t="shared" si="4"/>
        <v>29</v>
      </c>
      <c r="G21" s="1">
        <f t="shared" ca="1" si="5"/>
        <v>33.429351594361655</v>
      </c>
      <c r="H21" s="1">
        <f t="shared" ca="1" si="6"/>
        <v>10</v>
      </c>
      <c r="I21" s="1" cm="1">
        <f t="array" ref="I21">COUNT(_xlfn._xlws.FILTER($J$7:$J$10000,($L$7:$L$10000=B21)*($M$7:$M$10000&lt;&gt;"NULL")*($J$7:$J$10000 &gt;= ($G$1-4))))/5</f>
        <v>0</v>
      </c>
      <c r="J21" s="65">
        <v>2</v>
      </c>
      <c r="K21" t="s">
        <v>6</v>
      </c>
      <c r="L21" t="s">
        <v>442</v>
      </c>
      <c r="M21">
        <v>11.2</v>
      </c>
      <c r="N21" t="s">
        <v>3</v>
      </c>
      <c r="O21" t="s">
        <v>36</v>
      </c>
      <c r="P21">
        <f t="shared" si="1"/>
        <v>7.4001820834282279</v>
      </c>
      <c r="Q21">
        <f t="shared" si="2"/>
        <v>14.438616199099837</v>
      </c>
      <c r="R21" s="67" cm="1">
        <f t="array" ref="R21">SUMPRODUCT((J21=$J$7:$J$1000)*(P21&lt;$P$7:$P$1000))+1</f>
        <v>7</v>
      </c>
      <c r="S21" s="72"/>
      <c r="T21">
        <v>13</v>
      </c>
      <c r="U21" t="str">
        <v>MIA</v>
      </c>
      <c r="V21" t="str">
        <v>Shane O'Leary</v>
      </c>
      <c r="W21" t="str">
        <v>NULL</v>
      </c>
      <c r="X21" t="str">
        <v>Away</v>
      </c>
      <c r="Y21" t="str">
        <v>NOLA</v>
      </c>
      <c r="Z21">
        <v>6.9620996966442803</v>
      </c>
      <c r="AA21" s="1" t="str">
        <v>Harrison Boyle</v>
      </c>
      <c r="AB21" s="1" cm="1">
        <f t="array" ref="AB21">COUNT(_xlfn._xlws.FILTER($J$7:$J$10000,($L$7:$L$10000=AA21)*($M$7:$M$10000&lt;&gt;"NULL")*($J$7:$J$10000 &gt;= ($G$1-5))))/5</f>
        <v>0.4</v>
      </c>
    </row>
    <row r="22" spans="1:28" x14ac:dyDescent="0.35">
      <c r="A22">
        <f>VLOOKUP($B22, PlayerIDs!$A$1:$B$516, 2, FALSE)</f>
        <v>619</v>
      </c>
      <c r="B22" t="s">
        <v>96</v>
      </c>
      <c r="C22" s="1">
        <v>12.483855184477388</v>
      </c>
      <c r="D22" s="1">
        <f t="shared" si="3"/>
        <v>3</v>
      </c>
      <c r="E22" s="1" cm="1">
        <f t="array" ref="E22">IFERROR(VLOOKUP($B22,_xlfn._xlws.FILTER($L$7:$P$10000,$J$7:$J$10000=G$1+1),5, FALSE), 0)</f>
        <v>12.331617185929765</v>
      </c>
      <c r="F22" s="1">
        <f t="shared" si="4"/>
        <v>3</v>
      </c>
      <c r="G22" s="1">
        <f t="shared" ca="1" si="5"/>
        <v>47.857016224101422</v>
      </c>
      <c r="H22" s="1">
        <f t="shared" ca="1" si="6"/>
        <v>3</v>
      </c>
      <c r="I22" s="1" cm="1">
        <f t="array" ref="I22">COUNT(_xlfn._xlws.FILTER($J$7:$J$10000,($L$7:$L$10000=B22)*($M$7:$M$10000&lt;&gt;"NULL")*($J$7:$J$10000 &gt;= ($G$1-4))))/5</f>
        <v>0</v>
      </c>
      <c r="J22" s="65">
        <v>2</v>
      </c>
      <c r="K22" t="s">
        <v>4</v>
      </c>
      <c r="L22" t="s">
        <v>188</v>
      </c>
      <c r="M22">
        <v>10.5</v>
      </c>
      <c r="N22" t="s">
        <v>9</v>
      </c>
      <c r="O22" t="s">
        <v>24</v>
      </c>
      <c r="P22">
        <f t="shared" si="1"/>
        <v>8.6114580515141448</v>
      </c>
      <c r="Q22">
        <f t="shared" si="2"/>
        <v>3.5665906911907506</v>
      </c>
      <c r="R22" s="67" cm="1">
        <f t="array" ref="R22">SUMPRODUCT((J22=$J$7:$J$1000)*(P22&lt;$P$7:$P$1000))+1</f>
        <v>5</v>
      </c>
      <c r="S22" s="72"/>
      <c r="T22">
        <v>13</v>
      </c>
      <c r="U22" t="str">
        <v>NEFJ</v>
      </c>
      <c r="V22" t="str">
        <v>Dan Hollinshead</v>
      </c>
      <c r="W22" t="str">
        <v>NULL</v>
      </c>
      <c r="X22" t="str">
        <v>Home</v>
      </c>
      <c r="Y22" t="str">
        <v>CHI</v>
      </c>
      <c r="Z22">
        <v>11.709352695708045</v>
      </c>
      <c r="AA22" s="1" t="str">
        <v>Jason Emery</v>
      </c>
      <c r="AB22" s="1" cm="1">
        <f t="array" ref="AB22">COUNT(_xlfn._xlws.FILTER($J$7:$J$10000,($L$7:$L$10000=AA22)*($M$7:$M$10000&lt;&gt;"NULL")*($J$7:$J$10000 &gt;= ($G$1-5))))/5</f>
        <v>1</v>
      </c>
    </row>
    <row r="23" spans="1:28" x14ac:dyDescent="0.35">
      <c r="A23">
        <f>VLOOKUP($B23, PlayerIDs!$A$1:$B$516, 2, FALSE)</f>
        <v>790</v>
      </c>
      <c r="B23" t="s">
        <v>518</v>
      </c>
      <c r="C23" s="1">
        <v>11.678375410884836</v>
      </c>
      <c r="D23" s="1">
        <f t="shared" si="3"/>
        <v>4</v>
      </c>
      <c r="E23" s="1" cm="1">
        <f t="array" ref="E23">IFERROR(VLOOKUP($B23,_xlfn._xlws.FILTER($L$7:$P$10000,$J$7:$J$10000=G$1+1),5, FALSE), 0)</f>
        <v>12.194508351738254</v>
      </c>
      <c r="F23" s="1">
        <f t="shared" si="4"/>
        <v>4</v>
      </c>
      <c r="G23" s="1">
        <f t="shared" ca="1" si="5"/>
        <v>49.699247762427561</v>
      </c>
      <c r="H23" s="1">
        <f t="shared" ca="1" si="6"/>
        <v>1</v>
      </c>
      <c r="I23" s="1" cm="1">
        <f t="array" ref="I23">COUNT(_xlfn._xlws.FILTER($J$7:$J$10000,($L$7:$L$10000=B23)*($M$7:$M$10000&lt;&gt;"NULL")*($J$7:$J$10000 &gt;= ($G$1-4))))/5</f>
        <v>0.4</v>
      </c>
      <c r="J23" s="65">
        <v>2</v>
      </c>
      <c r="K23" t="s">
        <v>2</v>
      </c>
      <c r="L23" t="s">
        <v>63</v>
      </c>
      <c r="M23">
        <v>10.1</v>
      </c>
      <c r="N23" t="s">
        <v>3</v>
      </c>
      <c r="O23" t="s">
        <v>13</v>
      </c>
      <c r="P23">
        <f t="shared" si="1"/>
        <v>10.147997099098603</v>
      </c>
      <c r="Q23">
        <f t="shared" si="2"/>
        <v>2.3037215218811758E-3</v>
      </c>
      <c r="R23" s="67" cm="1">
        <f t="array" ref="R23">SUMPRODUCT((J23=$J$7:$J$1000)*(P23&lt;$P$7:$P$1000))+1</f>
        <v>3</v>
      </c>
      <c r="S23" s="72"/>
      <c r="T23">
        <v>13</v>
      </c>
      <c r="U23" t="str">
        <v>NEFJ</v>
      </c>
      <c r="V23" t="str">
        <v>Faletoi Peni</v>
      </c>
      <c r="W23" t="str">
        <v>NULL</v>
      </c>
      <c r="X23" t="str">
        <v>Home</v>
      </c>
      <c r="Y23" t="str">
        <v>CHI</v>
      </c>
      <c r="Z23">
        <v>12.194508351738254</v>
      </c>
      <c r="AA23" s="1" t="str">
        <v>Jason Robertson</v>
      </c>
      <c r="AB23" s="1" cm="1">
        <f t="array" ref="AB23">COUNT(_xlfn._xlws.FILTER($J$7:$J$10000,($L$7:$L$10000=AA23)*($M$7:$M$10000&lt;&gt;"NULL")*($J$7:$J$10000 &gt;= ($G$1-5))))/5</f>
        <v>0.2</v>
      </c>
    </row>
    <row r="24" spans="1:28" x14ac:dyDescent="0.35">
      <c r="A24">
        <f>VLOOKUP($B24, PlayerIDs!$A$1:$B$516, 2, FALSE)</f>
        <v>204</v>
      </c>
      <c r="B24" t="s">
        <v>190</v>
      </c>
      <c r="C24" s="1">
        <v>11.444880155386018</v>
      </c>
      <c r="D24" s="1">
        <f t="shared" si="3"/>
        <v>5</v>
      </c>
      <c r="E24" s="1" cm="1">
        <f t="array" ref="E24">IFERROR(VLOOKUP($B24,_xlfn._xlws.FILTER($L$7:$P$10000,$J$7:$J$10000=G$1+1),5, FALSE), 0)</f>
        <v>11.961013096239435</v>
      </c>
      <c r="F24" s="1">
        <f t="shared" si="4"/>
        <v>6</v>
      </c>
      <c r="G24" s="1">
        <f t="shared" ca="1" si="5"/>
        <v>48.765266740432288</v>
      </c>
      <c r="H24" s="1">
        <f t="shared" ca="1" si="6"/>
        <v>2</v>
      </c>
      <c r="I24" s="1" cm="1">
        <f t="array" ref="I24">COUNT(_xlfn._xlws.FILTER($J$7:$J$10000,($L$7:$L$10000=B24)*($M$7:$M$10000&lt;&gt;"NULL")*($J$7:$J$10000 &gt;= ($G$1-4))))/5</f>
        <v>0</v>
      </c>
      <c r="J24" s="65">
        <v>2</v>
      </c>
      <c r="K24" t="s">
        <v>34</v>
      </c>
      <c r="L24" t="s">
        <v>192</v>
      </c>
      <c r="M24">
        <v>1.8</v>
      </c>
      <c r="N24" t="s">
        <v>9</v>
      </c>
      <c r="O24" t="s">
        <v>14</v>
      </c>
      <c r="P24">
        <f t="shared" si="1"/>
        <v>6.7397651797798659</v>
      </c>
      <c r="Q24">
        <f t="shared" si="2"/>
        <v>24.401280031365612</v>
      </c>
      <c r="R24" s="67" cm="1">
        <f t="array" ref="R24">SUMPRODUCT((J24=$J$7:$J$1000)*(P24&lt;$P$7:$P$1000))+1</f>
        <v>8</v>
      </c>
      <c r="S24" s="72"/>
      <c r="T24">
        <v>13</v>
      </c>
      <c r="U24" t="str">
        <v>NEFJ</v>
      </c>
      <c r="V24" t="str">
        <v>Harrison Boyle</v>
      </c>
      <c r="W24" t="str">
        <v>NULL</v>
      </c>
      <c r="X24" t="str">
        <v>Home</v>
      </c>
      <c r="Y24" t="str">
        <v>CHI</v>
      </c>
      <c r="Z24">
        <v>6.086874345797824</v>
      </c>
      <c r="AA24" s="1" t="str">
        <v>Jayson Potroz</v>
      </c>
      <c r="AB24" s="1" cm="1">
        <f t="array" ref="AB24">COUNT(_xlfn._xlws.FILTER($J$7:$J$10000,($L$7:$L$10000=AA24)*($M$7:$M$10000&lt;&gt;"NULL")*($J$7:$J$10000 &gt;= ($G$1-5))))/5</f>
        <v>0</v>
      </c>
    </row>
    <row r="25" spans="1:28" x14ac:dyDescent="0.35">
      <c r="A25">
        <f>VLOOKUP($B25, PlayerIDs!$A$1:$B$516, 2, FALSE)</f>
        <v>860</v>
      </c>
      <c r="B25" t="s">
        <v>473</v>
      </c>
      <c r="C25" s="1">
        <v>11.243099128777152</v>
      </c>
      <c r="D25" s="1">
        <f t="shared" si="3"/>
        <v>6</v>
      </c>
      <c r="E25" s="1" cm="1">
        <f t="array" ref="E25">IFERROR(VLOOKUP($B25,_xlfn._xlws.FILTER($L$7:$P$10000,$J$7:$J$10000=G$1+1),5, FALSE), 0)</f>
        <v>13.296010489066742</v>
      </c>
      <c r="F25" s="1">
        <f t="shared" si="4"/>
        <v>2</v>
      </c>
      <c r="G25" s="1">
        <f t="shared" ca="1" si="5"/>
        <v>45.705015981575464</v>
      </c>
      <c r="H25" s="1">
        <f t="shared" ca="1" si="6"/>
        <v>6</v>
      </c>
      <c r="I25" s="1" cm="1">
        <f t="array" ref="I25">COUNT(_xlfn._xlws.FILTER($J$7:$J$10000,($L$7:$L$10000=B25)*($M$7:$M$10000&lt;&gt;"NULL")*($J$7:$J$10000 &gt;= ($G$1-4))))/5</f>
        <v>0</v>
      </c>
      <c r="J25" s="65">
        <v>3</v>
      </c>
      <c r="K25" t="s">
        <v>23</v>
      </c>
      <c r="L25" t="s">
        <v>190</v>
      </c>
      <c r="M25">
        <v>11.2</v>
      </c>
      <c r="N25" t="s">
        <v>9</v>
      </c>
      <c r="O25" t="s">
        <v>2</v>
      </c>
      <c r="P25">
        <f t="shared" si="1"/>
        <v>11.109532035208867</v>
      </c>
      <c r="Q25">
        <f t="shared" si="2"/>
        <v>8.1844526534496104E-3</v>
      </c>
      <c r="R25" s="67" cm="1">
        <f t="array" ref="R25">SUMPRODUCT((J25=$J$7:$J$1000)*(P25&lt;$P$7:$P$1000))+1</f>
        <v>3</v>
      </c>
      <c r="S25" s="72"/>
      <c r="T25">
        <v>13</v>
      </c>
      <c r="U25" t="str">
        <v>NEFJ</v>
      </c>
      <c r="V25" t="str">
        <v>Jayson Potroz</v>
      </c>
      <c r="W25" t="str">
        <v>NULL</v>
      </c>
      <c r="X25" t="str">
        <v>Home</v>
      </c>
      <c r="Y25" t="str">
        <v>CHI</v>
      </c>
      <c r="Z25">
        <v>11.961013096239435</v>
      </c>
      <c r="AA25" s="1" t="str">
        <v>Joel Hodgson</v>
      </c>
      <c r="AB25" s="1" cm="1">
        <f t="array" ref="AB25">COUNT(_xlfn._xlws.FILTER($J$7:$J$10000,($L$7:$L$10000=AA25)*($M$7:$M$10000&lt;&gt;"NULL")*($J$7:$J$10000 &gt;= ($G$1-5))))/5</f>
        <v>1.2</v>
      </c>
    </row>
    <row r="26" spans="1:28" x14ac:dyDescent="0.35">
      <c r="A26">
        <f>VLOOKUP($B26, PlayerIDs!$A$1:$B$516, 2, FALSE)</f>
        <v>864</v>
      </c>
      <c r="B26" t="s">
        <v>187</v>
      </c>
      <c r="C26" s="1">
        <v>11.193219754854628</v>
      </c>
      <c r="D26" s="1">
        <f t="shared" si="3"/>
        <v>7</v>
      </c>
      <c r="E26" s="1" cm="1">
        <f t="array" ref="E26">IFERROR(VLOOKUP($B26,_xlfn._xlws.FILTER($L$7:$P$10000,$J$7:$J$10000=G$1+1),5, FALSE), 0)</f>
        <v>11.709352695708045</v>
      </c>
      <c r="F26" s="1">
        <f t="shared" si="4"/>
        <v>7</v>
      </c>
      <c r="G26" s="1">
        <f t="shared" ca="1" si="5"/>
        <v>47.758625138306726</v>
      </c>
      <c r="H26" s="1">
        <f t="shared" ca="1" si="6"/>
        <v>4</v>
      </c>
      <c r="I26" s="1" cm="1">
        <f t="array" ref="I26">COUNT(_xlfn._xlws.FILTER($J$7:$J$10000,($L$7:$L$10000=B26)*($M$7:$M$10000&lt;&gt;"NULL")*($J$7:$J$10000 &gt;= ($G$1-4))))/5</f>
        <v>0.2</v>
      </c>
      <c r="J26" s="65">
        <v>3</v>
      </c>
      <c r="K26" t="s">
        <v>13</v>
      </c>
      <c r="L26" t="s">
        <v>473</v>
      </c>
      <c r="M26">
        <v>9.4</v>
      </c>
      <c r="N26" t="s">
        <v>3</v>
      </c>
      <c r="O26" t="s">
        <v>4</v>
      </c>
      <c r="P26">
        <f t="shared" si="1"/>
        <v>11.942342191260098</v>
      </c>
      <c r="Q26">
        <f t="shared" si="2"/>
        <v>6.4635038174611923</v>
      </c>
      <c r="R26" s="67" cm="1">
        <f t="array" ref="R26">SUMPRODUCT((J26=$J$7:$J$1000)*(P26&lt;$P$7:$P$1000))+1</f>
        <v>2</v>
      </c>
      <c r="S26" s="72"/>
      <c r="T26">
        <v>13</v>
      </c>
      <c r="U26" t="str">
        <v>NOLA</v>
      </c>
      <c r="V26" t="str">
        <v>Dorian Jones</v>
      </c>
      <c r="W26" t="str">
        <v>NULL</v>
      </c>
      <c r="X26" t="str">
        <v>Home</v>
      </c>
      <c r="Y26" t="str">
        <v>MIA</v>
      </c>
      <c r="Z26">
        <v>9.4629391125447135</v>
      </c>
      <c r="AA26" s="1" t="str">
        <v>Karl Keane</v>
      </c>
      <c r="AB26" s="1" cm="1">
        <f t="array" ref="AB26">COUNT(_xlfn._xlws.FILTER($J$7:$J$10000,($L$7:$L$10000=AA26)*($M$7:$M$10000&lt;&gt;"NULL")*($J$7:$J$10000 &gt;= ($G$1-5))))/5</f>
        <v>0</v>
      </c>
    </row>
    <row r="27" spans="1:28" x14ac:dyDescent="0.35">
      <c r="A27">
        <f>VLOOKUP($B27, PlayerIDs!$A$1:$B$516, 2, FALSE)</f>
        <v>212</v>
      </c>
      <c r="B27" t="s">
        <v>191</v>
      </c>
      <c r="C27" s="1">
        <v>10.079684005333236</v>
      </c>
      <c r="D27" s="1">
        <f t="shared" si="3"/>
        <v>8</v>
      </c>
      <c r="E27" s="1" cm="1">
        <f t="array" ref="E27">IFERROR(VLOOKUP($B27,_xlfn._xlws.FILTER($L$7:$P$10000,$J$7:$J$10000=G$1+1),5, FALSE), 0)</f>
        <v>12.132595365622826</v>
      </c>
      <c r="F27" s="1">
        <f t="shared" si="4"/>
        <v>5</v>
      </c>
      <c r="G27" s="1">
        <f t="shared" ca="1" si="5"/>
        <v>41.05135548779981</v>
      </c>
      <c r="H27" s="1">
        <f t="shared" ca="1" si="6"/>
        <v>7</v>
      </c>
      <c r="I27" s="1" cm="1">
        <f t="array" ref="I27">COUNT(_xlfn._xlws.FILTER($J$7:$J$10000,($L$7:$L$10000=B27)*($M$7:$M$10000&lt;&gt;"NULL")*($J$7:$J$10000 &gt;= ($G$1-4))))/5</f>
        <v>1</v>
      </c>
      <c r="J27" s="65">
        <v>3</v>
      </c>
      <c r="K27" t="s">
        <v>36</v>
      </c>
      <c r="L27" t="s">
        <v>491</v>
      </c>
      <c r="M27">
        <v>8.1</v>
      </c>
      <c r="N27" t="s">
        <v>3</v>
      </c>
      <c r="O27" t="s">
        <v>17</v>
      </c>
      <c r="P27">
        <f t="shared" si="1"/>
        <v>9.4542078262400544</v>
      </c>
      <c r="Q27">
        <f t="shared" si="2"/>
        <v>1.8338788366498144</v>
      </c>
      <c r="R27" s="67" cm="1">
        <f t="array" ref="R27">SUMPRODUCT((J27=$J$7:$J$1000)*(P27&lt;$P$7:$P$1000))+1</f>
        <v>4</v>
      </c>
      <c r="S27" s="72"/>
      <c r="T27">
        <v>13</v>
      </c>
      <c r="U27" t="str">
        <v>NOLA</v>
      </c>
      <c r="V27" t="str">
        <v>Luke Carty</v>
      </c>
      <c r="W27" t="str">
        <v>NULL</v>
      </c>
      <c r="X27" t="str">
        <v>Home</v>
      </c>
      <c r="Y27" t="str">
        <v>MIA</v>
      </c>
      <c r="Z27">
        <v>8.0668061176007875</v>
      </c>
      <c r="AA27" s="1" t="str">
        <v>Lincoln McClutchie</v>
      </c>
      <c r="AB27" s="1" cm="1">
        <f t="array" ref="AB27">COUNT(_xlfn._xlws.FILTER($J$7:$J$10000,($L$7:$L$10000=AA27)*($M$7:$M$10000&lt;&gt;"NULL")*($J$7:$J$10000 &gt;= ($G$1-5))))/5</f>
        <v>1</v>
      </c>
    </row>
    <row r="28" spans="1:28" x14ac:dyDescent="0.35">
      <c r="A28">
        <f>VLOOKUP($B28, PlayerIDs!$A$1:$B$516, 2, FALSE)</f>
        <v>358</v>
      </c>
      <c r="B28" t="s">
        <v>532</v>
      </c>
      <c r="C28" s="1">
        <v>9.6340371470679731</v>
      </c>
      <c r="D28" s="1">
        <f t="shared" si="3"/>
        <v>9</v>
      </c>
      <c r="E28" s="1" cm="1">
        <f t="array" ref="E28">IFERROR(VLOOKUP($B28,_xlfn._xlws.FILTER($L$7:$P$10000,$J$7:$J$10000=G$1+1),5, FALSE), 0)</f>
        <v>10.744912854725975</v>
      </c>
      <c r="F28" s="1">
        <f t="shared" si="4"/>
        <v>8</v>
      </c>
      <c r="G28" s="1">
        <f t="shared" ca="1" si="5"/>
        <v>31.21557318596021</v>
      </c>
      <c r="H28" s="1">
        <f t="shared" ca="1" si="6"/>
        <v>13</v>
      </c>
      <c r="I28" s="1" cm="1">
        <f t="array" ref="I28">COUNT(_xlfn._xlws.FILTER($J$7:$J$10000,($L$7:$L$10000=B28)*($M$7:$M$10000&lt;&gt;"NULL")*($J$7:$J$10000 &gt;= ($G$1-4))))/5</f>
        <v>0.2</v>
      </c>
      <c r="J28" s="65">
        <v>3</v>
      </c>
      <c r="K28" t="s">
        <v>2</v>
      </c>
      <c r="L28" t="s">
        <v>63</v>
      </c>
      <c r="M28">
        <v>7.8</v>
      </c>
      <c r="N28" t="s">
        <v>3</v>
      </c>
      <c r="O28" t="s">
        <v>23</v>
      </c>
      <c r="P28">
        <f t="shared" si="1"/>
        <v>7.7519850730895241</v>
      </c>
      <c r="Q28">
        <f t="shared" si="2"/>
        <v>2.3054332062183245E-3</v>
      </c>
      <c r="R28" s="67" cm="1">
        <f t="array" ref="R28">SUMPRODUCT((J28=$J$7:$J$1000)*(P28&lt;$P$7:$P$1000))+1</f>
        <v>6</v>
      </c>
      <c r="S28" s="72"/>
      <c r="T28">
        <v>13</v>
      </c>
      <c r="U28" t="str">
        <v>NOLA</v>
      </c>
      <c r="V28" t="str">
        <v>Reece Botha</v>
      </c>
      <c r="W28" t="str">
        <v>NULL</v>
      </c>
      <c r="X28" t="str">
        <v>Home</v>
      </c>
      <c r="Y28" t="str">
        <v>MIA</v>
      </c>
      <c r="Z28">
        <v>10.744912854725975</v>
      </c>
      <c r="AA28" s="1" t="str">
        <v>Line Latu</v>
      </c>
      <c r="AB28" s="1" cm="1">
        <f t="array" ref="AB28">COUNT(_xlfn._xlws.FILTER($J$7:$J$10000,($L$7:$L$10000=AA28)*($M$7:$M$10000&lt;&gt;"NULL")*($J$7:$J$10000 &gt;= ($G$1-5))))/5</f>
        <v>0</v>
      </c>
    </row>
    <row r="29" spans="1:28" x14ac:dyDescent="0.35">
      <c r="A29">
        <f>VLOOKUP($B29, PlayerIDs!$A$1:$B$516, 2, FALSE)</f>
        <v>70</v>
      </c>
      <c r="B29" t="s">
        <v>519</v>
      </c>
      <c r="C29" s="1">
        <v>9.2965114834580209</v>
      </c>
      <c r="D29" s="1">
        <f t="shared" si="3"/>
        <v>10</v>
      </c>
      <c r="E29" s="1" cm="1">
        <f t="array" ref="E29">IFERROR(VLOOKUP($B29,_xlfn._xlws.FILTER($L$7:$P$10000,$J$7:$J$10000=G$1+1),5, FALSE), 0)</f>
        <v>7.2960730773754463</v>
      </c>
      <c r="F29" s="1">
        <f t="shared" si="4"/>
        <v>16</v>
      </c>
      <c r="G29" s="1">
        <f t="shared" ca="1" si="5"/>
        <v>36.545500735965575</v>
      </c>
      <c r="H29" s="1">
        <f t="shared" ca="1" si="6"/>
        <v>9</v>
      </c>
      <c r="I29" s="1" cm="1">
        <f t="array" ref="I29">COUNT(_xlfn._xlws.FILTER($J$7:$J$10000,($L$7:$L$10000=B29)*($M$7:$M$10000&lt;&gt;"NULL")*($J$7:$J$10000 &gt;= ($G$1-4))))/5</f>
        <v>0.4</v>
      </c>
      <c r="J29" s="65">
        <v>3</v>
      </c>
      <c r="K29" t="s">
        <v>17</v>
      </c>
      <c r="L29" t="s">
        <v>492</v>
      </c>
      <c r="M29">
        <v>7.6</v>
      </c>
      <c r="N29" t="s">
        <v>9</v>
      </c>
      <c r="O29" t="s">
        <v>36</v>
      </c>
      <c r="P29">
        <f t="shared" si="1"/>
        <v>8.3896915849467124</v>
      </c>
      <c r="Q29">
        <f t="shared" si="2"/>
        <v>0.62361279933565128</v>
      </c>
      <c r="R29" s="67" cm="1">
        <f t="array" ref="R29">SUMPRODUCT((J29=$J$7:$J$1000)*(P29&lt;$P$7:$P$1000))+1</f>
        <v>5</v>
      </c>
      <c r="S29" s="72"/>
      <c r="T29">
        <v>13</v>
      </c>
      <c r="U29" t="str">
        <v>SDL</v>
      </c>
      <c r="V29" t="str">
        <v>Ethan Grayson</v>
      </c>
      <c r="W29" t="str">
        <v>NULL</v>
      </c>
      <c r="X29" t="str">
        <v>Home</v>
      </c>
      <c r="Y29" t="str">
        <v>HOU</v>
      </c>
      <c r="Z29">
        <v>6.7163262088800559</v>
      </c>
      <c r="AA29" s="1" t="str">
        <v>Luke Carty</v>
      </c>
      <c r="AB29" s="1" cm="1">
        <f t="array" ref="AB29">COUNT(_xlfn._xlws.FILTER($J$7:$J$10000,($L$7:$L$10000=AA29)*($M$7:$M$10000&lt;&gt;"NULL")*($J$7:$J$10000 &gt;= ($G$1-5))))/5</f>
        <v>0.2</v>
      </c>
    </row>
    <row r="30" spans="1:28" x14ac:dyDescent="0.35">
      <c r="A30">
        <f>VLOOKUP($B30, PlayerIDs!$A$1:$B$516, 2, FALSE)</f>
        <v>761</v>
      </c>
      <c r="B30" t="s">
        <v>492</v>
      </c>
      <c r="C30" s="1">
        <v>9.2343984609601524</v>
      </c>
      <c r="D30" s="1">
        <f t="shared" si="3"/>
        <v>11</v>
      </c>
      <c r="E30" s="1" cm="1">
        <f t="array" ref="E30">IFERROR(VLOOKUP($B30,_xlfn._xlws.FILTER($L$7:$P$10000,$J$7:$J$10000=G$1+1),5, FALSE), 0)</f>
        <v>9.920851557205026</v>
      </c>
      <c r="F30" s="1">
        <f t="shared" si="4"/>
        <v>9</v>
      </c>
      <c r="G30" s="1">
        <f t="shared" ca="1" si="5"/>
        <v>36.853611954894106</v>
      </c>
      <c r="H30" s="1">
        <f t="shared" ca="1" si="6"/>
        <v>8</v>
      </c>
      <c r="I30" s="1" cm="1">
        <f t="array" ref="I30">COUNT(_xlfn._xlws.FILTER($J$7:$J$10000,($L$7:$L$10000=B30)*($M$7:$M$10000&lt;&gt;"NULL")*($J$7:$J$10000 &gt;= ($G$1-4))))/5</f>
        <v>0</v>
      </c>
      <c r="J30" s="65">
        <v>3</v>
      </c>
      <c r="K30" t="s">
        <v>7</v>
      </c>
      <c r="L30" t="s">
        <v>77</v>
      </c>
      <c r="M30">
        <v>7.5</v>
      </c>
      <c r="N30" t="s">
        <v>3</v>
      </c>
      <c r="O30" t="s">
        <v>34</v>
      </c>
      <c r="P30">
        <f t="shared" si="1"/>
        <v>13.419915076045738</v>
      </c>
      <c r="Q30">
        <f t="shared" si="2"/>
        <v>35.04539450759362</v>
      </c>
      <c r="R30" s="67" cm="1">
        <f t="array" ref="R30">SUMPRODUCT((J30=$J$7:$J$1000)*(P30&lt;$P$7:$P$1000))+1</f>
        <v>1</v>
      </c>
      <c r="S30" s="72"/>
      <c r="T30">
        <v>13</v>
      </c>
      <c r="U30" t="str">
        <v>SDL</v>
      </c>
      <c r="V30" t="str">
        <v>Harris Rutherford</v>
      </c>
      <c r="W30" t="str">
        <v>NULL</v>
      </c>
      <c r="X30" t="str">
        <v>Home</v>
      </c>
      <c r="Y30" t="str">
        <v>HOU</v>
      </c>
      <c r="Z30">
        <v>5.4590086737164478</v>
      </c>
      <c r="AA30" s="1" t="str">
        <v>Martin Elias</v>
      </c>
      <c r="AB30" s="1" cm="1">
        <f t="array" ref="AB30">COUNT(_xlfn._xlws.FILTER($J$7:$J$10000,($L$7:$L$10000=AA30)*($M$7:$M$10000&lt;&gt;"NULL")*($J$7:$J$10000 &gt;= ($G$1-5))))/5</f>
        <v>0.8</v>
      </c>
    </row>
    <row r="31" spans="1:28" x14ac:dyDescent="0.35">
      <c r="A31">
        <f>VLOOKUP($B31, PlayerIDs!$A$1:$B$516, 2, FALSE)</f>
        <v>514</v>
      </c>
      <c r="B31" t="s">
        <v>520</v>
      </c>
      <c r="C31" s="1">
        <v>8.8095471221826589</v>
      </c>
      <c r="D31" s="1">
        <f t="shared" si="3"/>
        <v>12</v>
      </c>
      <c r="E31" s="1" cm="1">
        <f t="array" ref="E31">IFERROR(VLOOKUP($B31,_xlfn._xlws.FILTER($L$7:$P$10000,$J$7:$J$10000=G$1+1),5, FALSE), 0)</f>
        <v>7.0999881924184516</v>
      </c>
      <c r="F31" s="1">
        <f t="shared" si="4"/>
        <v>17</v>
      </c>
      <c r="G31" s="1">
        <f t="shared" ca="1" si="5"/>
        <v>31.904087196105131</v>
      </c>
      <c r="H31" s="1">
        <f t="shared" ca="1" si="6"/>
        <v>12</v>
      </c>
      <c r="I31" s="1" cm="1">
        <f t="array" ref="I31">COUNT(_xlfn._xlws.FILTER($J$7:$J$10000,($L$7:$L$10000=B31)*($M$7:$M$10000&lt;&gt;"NULL")*($J$7:$J$10000 &gt;= ($G$1-4))))/5</f>
        <v>0.6</v>
      </c>
      <c r="J31" s="65">
        <v>3</v>
      </c>
      <c r="K31" t="s">
        <v>24</v>
      </c>
      <c r="L31" t="s">
        <v>194</v>
      </c>
      <c r="M31">
        <v>6.9</v>
      </c>
      <c r="N31" t="s">
        <v>9</v>
      </c>
      <c r="O31" t="s">
        <v>14</v>
      </c>
      <c r="P31">
        <f t="shared" si="1"/>
        <v>6.2784689949571231</v>
      </c>
      <c r="Q31">
        <f t="shared" si="2"/>
        <v>0.38630079022960917</v>
      </c>
      <c r="R31" s="67" cm="1">
        <f t="array" ref="R31">SUMPRODUCT((J31=$J$7:$J$1000)*(P31&lt;$P$7:$P$1000))+1</f>
        <v>9</v>
      </c>
      <c r="S31" s="72"/>
      <c r="T31">
        <v>13</v>
      </c>
      <c r="U31" t="str">
        <v>SDL</v>
      </c>
      <c r="V31" t="str">
        <v>Lincoln McClutchie</v>
      </c>
      <c r="W31" t="str">
        <v>NULL</v>
      </c>
      <c r="X31" t="str">
        <v>Home</v>
      </c>
      <c r="Y31" t="str">
        <v>HOU</v>
      </c>
      <c r="Z31">
        <v>7.9213674450892322</v>
      </c>
      <c r="AA31" s="1" t="str">
        <v>Max Schumacher</v>
      </c>
      <c r="AB31" s="1" cm="1">
        <f t="array" ref="AB31">COUNT(_xlfn._xlws.FILTER($J$7:$J$10000,($L$7:$L$10000=AA31)*($M$7:$M$10000&lt;&gt;"NULL")*($J$7:$J$10000 &gt;= ($G$1-5))))/5</f>
        <v>0.4</v>
      </c>
    </row>
    <row r="32" spans="1:28" x14ac:dyDescent="0.35">
      <c r="A32">
        <f>VLOOKUP($B32, PlayerIDs!$A$1:$B$516, 2, FALSE)</f>
        <v>4</v>
      </c>
      <c r="B32" t="s">
        <v>63</v>
      </c>
      <c r="C32" s="1">
        <v>8.6100629418231627</v>
      </c>
      <c r="D32" s="1">
        <f t="shared" si="3"/>
        <v>13</v>
      </c>
      <c r="E32" s="1" cm="1">
        <f t="array" ref="E32">IFERROR(VLOOKUP($B32,_xlfn._xlws.FILTER($L$7:$P$10000,$J$7:$J$10000=G$1+1),5, FALSE), 0)</f>
        <v>6.9005040120589554</v>
      </c>
      <c r="F32" s="1">
        <f t="shared" si="4"/>
        <v>20</v>
      </c>
      <c r="G32" s="1">
        <f t="shared" ca="1" si="5"/>
        <v>31.106150474667146</v>
      </c>
      <c r="H32" s="1">
        <f t="shared" ca="1" si="6"/>
        <v>15</v>
      </c>
      <c r="I32" s="1" cm="1">
        <f t="array" ref="I32">COUNT(_xlfn._xlws.FILTER($J$7:$J$10000,($L$7:$L$10000=B32)*($M$7:$M$10000&lt;&gt;"NULL")*($J$7:$J$10000 &gt;= ($G$1-4))))/5</f>
        <v>0</v>
      </c>
      <c r="J32" s="65">
        <v>3</v>
      </c>
      <c r="K32" t="s">
        <v>4</v>
      </c>
      <c r="L32" t="s">
        <v>493</v>
      </c>
      <c r="M32">
        <v>6.7</v>
      </c>
      <c r="N32" t="s">
        <v>9</v>
      </c>
      <c r="O32" t="s">
        <v>13</v>
      </c>
      <c r="P32">
        <f t="shared" si="1"/>
        <v>7.6423835061876568</v>
      </c>
      <c r="Q32">
        <f t="shared" si="2"/>
        <v>0.88808667273454112</v>
      </c>
      <c r="R32" s="67" cm="1">
        <f t="array" ref="R32">SUMPRODUCT((J32=$J$7:$J$1000)*(P32&lt;$P$7:$P$1000))+1</f>
        <v>7</v>
      </c>
      <c r="S32" s="72"/>
      <c r="T32">
        <v>13</v>
      </c>
      <c r="U32" t="str">
        <v>SEA</v>
      </c>
      <c r="V32" t="str">
        <v>Eddie Fouche</v>
      </c>
      <c r="W32" t="str">
        <v>NULL</v>
      </c>
      <c r="X32" t="str">
        <v>Away</v>
      </c>
      <c r="Y32" t="str">
        <v>UTAH</v>
      </c>
      <c r="Z32">
        <v>9.920851557205026</v>
      </c>
      <c r="AA32" s="1" t="str">
        <v>Reece Botha</v>
      </c>
      <c r="AB32" s="1" cm="1">
        <f t="array" ref="AB32">COUNT(_xlfn._xlws.FILTER($J$7:$J$10000,($L$7:$L$10000=AA32)*($M$7:$M$10000&lt;&gt;"NULL")*($J$7:$J$10000 &gt;= ($G$1-5))))/5</f>
        <v>0.2</v>
      </c>
    </row>
    <row r="33" spans="1:28" x14ac:dyDescent="0.35">
      <c r="A33">
        <f>VLOOKUP($B33, PlayerIDs!$A$1:$B$516, 2, FALSE)</f>
        <v>586</v>
      </c>
      <c r="B33" t="s">
        <v>83</v>
      </c>
      <c r="C33" s="1">
        <v>8.4599353628496896</v>
      </c>
      <c r="D33" s="1">
        <f t="shared" si="3"/>
        <v>14</v>
      </c>
      <c r="E33" s="1" cm="1">
        <f t="array" ref="E33">IFERROR(VLOOKUP($B33,_xlfn._xlws.FILTER($L$7:$P$10000,$J$7:$J$10000=G$1+1),5, FALSE), 0)</f>
        <v>6.459496956767115</v>
      </c>
      <c r="F33" s="1">
        <f t="shared" si="4"/>
        <v>22</v>
      </c>
      <c r="G33" s="1">
        <f t="shared" ca="1" si="5"/>
        <v>33.19919625353225</v>
      </c>
      <c r="H33" s="1">
        <f t="shared" ca="1" si="6"/>
        <v>11</v>
      </c>
      <c r="I33" s="1" cm="1">
        <f t="array" ref="I33">COUNT(_xlfn._xlws.FILTER($J$7:$J$10000,($L$7:$L$10000=B33)*($M$7:$M$10000&lt;&gt;"NULL")*($J$7:$J$10000 &gt;= ($G$1-4))))/5</f>
        <v>0</v>
      </c>
      <c r="J33" s="65">
        <v>3</v>
      </c>
      <c r="K33" t="s">
        <v>34</v>
      </c>
      <c r="L33" t="s">
        <v>192</v>
      </c>
      <c r="M33">
        <v>6.3</v>
      </c>
      <c r="N33" t="s">
        <v>9</v>
      </c>
      <c r="O33" t="s">
        <v>7</v>
      </c>
      <c r="P33">
        <f t="shared" si="1"/>
        <v>7.2204193701593091</v>
      </c>
      <c r="Q33">
        <f t="shared" si="2"/>
        <v>0.84717181696445965</v>
      </c>
      <c r="R33" s="67" cm="1">
        <f t="array" ref="R33">SUMPRODUCT((J33=$J$7:$J$1000)*(P33&lt;$P$7:$P$1000))+1</f>
        <v>8</v>
      </c>
      <c r="S33" s="72"/>
      <c r="T33">
        <v>13</v>
      </c>
      <c r="U33" t="str">
        <v>SEA</v>
      </c>
      <c r="V33" t="str">
        <v>Rodney Iona</v>
      </c>
      <c r="W33" t="str">
        <v>NULL</v>
      </c>
      <c r="X33" t="str">
        <v>Away</v>
      </c>
      <c r="Y33" t="str">
        <v>UTAH</v>
      </c>
      <c r="Z33">
        <v>8.5034477023658308</v>
      </c>
      <c r="AA33" s="1" t="str">
        <v>Rodney Iona</v>
      </c>
      <c r="AB33" s="1" cm="1">
        <f t="array" ref="AB33">COUNT(_xlfn._xlws.FILTER($J$7:$J$10000,($L$7:$L$10000=AA33)*($M$7:$M$10000&lt;&gt;"NULL")*($J$7:$J$10000 &gt;= ($G$1-5))))/5</f>
        <v>1.2</v>
      </c>
    </row>
    <row r="34" spans="1:28" x14ac:dyDescent="0.35">
      <c r="A34">
        <f>VLOOKUP($B34, PlayerIDs!$A$1:$B$516, 2, FALSE)</f>
        <v>638</v>
      </c>
      <c r="B34" t="s">
        <v>188</v>
      </c>
      <c r="C34" s="1">
        <v>8.352063404886712</v>
      </c>
      <c r="D34" s="1">
        <f t="shared" si="3"/>
        <v>15</v>
      </c>
      <c r="E34" s="1" cm="1">
        <f t="array" ref="E34">IFERROR(VLOOKUP($B34,_xlfn._xlws.FILTER($L$7:$P$10000,$J$7:$J$10000=G$1+1),5, FALSE), 0)</f>
        <v>9.4629391125447135</v>
      </c>
      <c r="F34" s="1">
        <f t="shared" si="4"/>
        <v>10</v>
      </c>
      <c r="G34" s="1">
        <f t="shared" ca="1" si="5"/>
        <v>27.36965195941643</v>
      </c>
      <c r="H34" s="1">
        <f t="shared" ca="1" si="6"/>
        <v>18</v>
      </c>
      <c r="I34" s="1" cm="1">
        <f t="array" ref="I34">COUNT(_xlfn._xlws.FILTER($J$7:$J$10000,($L$7:$L$10000=B34)*($M$7:$M$10000&lt;&gt;"NULL")*($J$7:$J$10000 &gt;= ($G$1-4))))/5</f>
        <v>0.6</v>
      </c>
      <c r="J34" s="65">
        <v>3</v>
      </c>
      <c r="K34" t="s">
        <v>14</v>
      </c>
      <c r="L34" t="s">
        <v>438</v>
      </c>
      <c r="M34">
        <v>4.4000000000000004</v>
      </c>
      <c r="N34" t="s">
        <v>3</v>
      </c>
      <c r="O34" t="s">
        <v>24</v>
      </c>
      <c r="P34">
        <f t="shared" si="1"/>
        <v>4.399997337687946</v>
      </c>
      <c r="Q34">
        <f t="shared" si="2"/>
        <v>7.0879054748382394E-12</v>
      </c>
      <c r="R34" s="67" cm="1">
        <f t="array" ref="R34">SUMPRODUCT((J34=$J$7:$J$1000)*(P34&lt;$P$7:$P$1000))+1</f>
        <v>10</v>
      </c>
      <c r="S34" s="72"/>
      <c r="T34">
        <v>13</v>
      </c>
      <c r="U34" t="str">
        <v>UTAH</v>
      </c>
      <c r="V34" t="str">
        <v>D'Angelo Leuila</v>
      </c>
      <c r="W34" t="str">
        <v>NULL</v>
      </c>
      <c r="X34" t="str">
        <v>Home</v>
      </c>
      <c r="Y34" t="str">
        <v>SEA</v>
      </c>
      <c r="Z34">
        <v>13.296010489066742</v>
      </c>
      <c r="AA34" s="1" t="str">
        <v>Santiago Videla</v>
      </c>
      <c r="AB34" s="1" cm="1">
        <f t="array" ref="AB34">COUNT(_xlfn._xlws.FILTER($J$7:$J$10000,($L$7:$L$10000=AA34)*($M$7:$M$10000&lt;&gt;"NULL")*($J$7:$J$10000 &gt;= ($G$1-5))))/5</f>
        <v>0</v>
      </c>
    </row>
    <row r="35" spans="1:28" x14ac:dyDescent="0.35">
      <c r="A35">
        <f>VLOOKUP($B35, PlayerIDs!$A$1:$B$516, 2, FALSE)</f>
        <v>662</v>
      </c>
      <c r="B35" t="s">
        <v>192</v>
      </c>
      <c r="C35" s="1">
        <v>7.9145932600721016</v>
      </c>
      <c r="D35" s="1">
        <f t="shared" si="3"/>
        <v>16</v>
      </c>
      <c r="E35" s="1" cm="1">
        <f t="array" ref="E35">IFERROR(VLOOKUP($B35,_xlfn._xlws.FILTER($L$7:$P$10000,$J$7:$J$10000=G$1+1),5, FALSE), 0)</f>
        <v>7.9213674450892322</v>
      </c>
      <c r="F35" s="1">
        <f t="shared" si="4"/>
        <v>13</v>
      </c>
      <c r="G35" s="1">
        <f t="shared" ca="1" si="5"/>
        <v>25.211378911119887</v>
      </c>
      <c r="H35" s="1">
        <f t="shared" ca="1" si="6"/>
        <v>21</v>
      </c>
      <c r="I35" s="1" cm="1">
        <f t="array" ref="I35">COUNT(_xlfn._xlws.FILTER($J$7:$J$10000,($L$7:$L$10000=B35)*($M$7:$M$10000&lt;&gt;"NULL")*($J$7:$J$10000 &gt;= ($G$1-4))))/5</f>
        <v>0.8</v>
      </c>
      <c r="J35" s="65">
        <v>4</v>
      </c>
      <c r="K35" t="s">
        <v>36</v>
      </c>
      <c r="L35" t="s">
        <v>71</v>
      </c>
      <c r="M35">
        <v>25.3</v>
      </c>
      <c r="N35" t="s">
        <v>9</v>
      </c>
      <c r="O35" t="s">
        <v>13</v>
      </c>
      <c r="P35">
        <f t="shared" si="1"/>
        <v>15.209330604254795</v>
      </c>
      <c r="Q35">
        <f t="shared" si="2"/>
        <v>101.82160885422891</v>
      </c>
      <c r="R35" s="67" cm="1">
        <f t="array" ref="R35">SUMPRODUCT((J35=$J$7:$J$1000)*(P35&lt;$P$7:$P$1000))+1</f>
        <v>1</v>
      </c>
      <c r="S35" s="72"/>
      <c r="T35">
        <v>13</v>
      </c>
      <c r="U35" t="str">
        <v>UTAH</v>
      </c>
      <c r="V35" t="str">
        <v>Joel Hodgson</v>
      </c>
      <c r="W35" t="str">
        <v>NULL</v>
      </c>
      <c r="X35" t="str">
        <v>Home</v>
      </c>
      <c r="Y35" t="str">
        <v>SEA</v>
      </c>
      <c r="Z35">
        <v>12.132595365622826</v>
      </c>
      <c r="AA35" s="1" t="str">
        <v>Sean Nolan</v>
      </c>
      <c r="AB35" s="1" cm="1">
        <f t="array" ref="AB35">COUNT(_xlfn._xlws.FILTER($J$7:$J$10000,($L$7:$L$10000=AA35)*($M$7:$M$10000&lt;&gt;"NULL")*($J$7:$J$10000 &gt;= ($G$1-5))))/5</f>
        <v>0.4</v>
      </c>
    </row>
    <row r="36" spans="1:28" x14ac:dyDescent="0.35">
      <c r="A36">
        <f>VLOOKUP($B36, PlayerIDs!$A$1:$B$516, 2, FALSE)</f>
        <v>369</v>
      </c>
      <c r="B36" t="s">
        <v>196</v>
      </c>
      <c r="C36" s="1">
        <v>7.816994606120959</v>
      </c>
      <c r="D36" s="1">
        <f t="shared" si="3"/>
        <v>17</v>
      </c>
      <c r="E36" s="1" cm="1">
        <f t="array" ref="E36">IFERROR(VLOOKUP($B36,_xlfn._xlws.FILTER($L$7:$P$10000,$J$7:$J$10000=G$1+1),5, FALSE), 0)</f>
        <v>8.5034477023658308</v>
      </c>
      <c r="F36" s="1">
        <f t="shared" si="4"/>
        <v>11</v>
      </c>
      <c r="G36" s="1">
        <f t="shared" ca="1" si="5"/>
        <v>31.183996535537336</v>
      </c>
      <c r="H36" s="1">
        <f t="shared" ca="1" si="6"/>
        <v>14</v>
      </c>
      <c r="I36" s="1" cm="1">
        <f t="array" ref="I36">COUNT(_xlfn._xlws.FILTER($J$7:$J$10000,($L$7:$L$10000=B36)*($M$7:$M$10000&lt;&gt;"NULL")*($J$7:$J$10000 &gt;= ($G$1-4))))/5</f>
        <v>1</v>
      </c>
      <c r="J36" s="65">
        <v>4</v>
      </c>
      <c r="K36" t="s">
        <v>23</v>
      </c>
      <c r="L36" t="s">
        <v>190</v>
      </c>
      <c r="M36">
        <v>14.3</v>
      </c>
      <c r="N36" t="s">
        <v>9</v>
      </c>
      <c r="O36" t="s">
        <v>17</v>
      </c>
      <c r="P36">
        <f t="shared" si="1"/>
        <v>12.64631045464504</v>
      </c>
      <c r="Q36">
        <f t="shared" si="2"/>
        <v>2.734689112416298</v>
      </c>
      <c r="R36" s="67" cm="1">
        <f t="array" ref="R36">SUMPRODUCT((J36=$J$7:$J$1000)*(P36&lt;$P$7:$P$1000))+1</f>
        <v>3</v>
      </c>
      <c r="S36" s="72"/>
      <c r="T36">
        <v>14</v>
      </c>
      <c r="U36" t="str">
        <v>ARC</v>
      </c>
      <c r="V36" t="str">
        <v>Cameron Gerlach</v>
      </c>
      <c r="W36" t="str">
        <v>NULL</v>
      </c>
      <c r="X36" t="str">
        <v>Home</v>
      </c>
      <c r="Y36" t="str">
        <v>OGDC</v>
      </c>
      <c r="Z36">
        <v>5.0382522908781642</v>
      </c>
      <c r="AA36" s="1" t="str">
        <v>Shane O'Leary</v>
      </c>
      <c r="AB36" s="1" cm="1">
        <f t="array" ref="AB36">COUNT(_xlfn._xlws.FILTER($J$7:$J$10000,($L$7:$L$10000=AA36)*($M$7:$M$10000&lt;&gt;"NULL")*($J$7:$J$10000 &gt;= ($G$1-5))))/5</f>
        <v>0.2</v>
      </c>
    </row>
    <row r="37" spans="1:28" x14ac:dyDescent="0.35">
      <c r="A37">
        <f>VLOOKUP($B37, PlayerIDs!$A$1:$B$516, 2, FALSE)</f>
        <v>286</v>
      </c>
      <c r="B37" t="s">
        <v>194</v>
      </c>
      <c r="C37" s="1">
        <v>7.4532970752493588</v>
      </c>
      <c r="D37" s="1">
        <f t="shared" si="3"/>
        <v>18</v>
      </c>
      <c r="E37" s="1" cm="1">
        <f t="array" ref="E37">IFERROR(VLOOKUP($B37,_xlfn._xlws.FILTER($L$7:$P$10000,$J$7:$J$10000=G$1+1),5, FALSE), 0)</f>
        <v>7.3010590767017343</v>
      </c>
      <c r="F37" s="1">
        <f t="shared" si="4"/>
        <v>15</v>
      </c>
      <c r="G37" s="1">
        <f t="shared" ca="1" si="5"/>
        <v>27.734783787189301</v>
      </c>
      <c r="H37" s="1">
        <f t="shared" ca="1" si="6"/>
        <v>17</v>
      </c>
      <c r="I37" s="1" cm="1">
        <f t="array" ref="I37">COUNT(_xlfn._xlws.FILTER($J$7:$J$10000,($L$7:$L$10000=B37)*($M$7:$M$10000&lt;&gt;"NULL")*($J$7:$J$10000 &gt;= ($G$1-4))))/5</f>
        <v>0.8</v>
      </c>
      <c r="J37" s="65">
        <v>4</v>
      </c>
      <c r="K37" t="s">
        <v>24</v>
      </c>
      <c r="L37" t="s">
        <v>96</v>
      </c>
      <c r="M37">
        <v>13</v>
      </c>
      <c r="N37" t="s">
        <v>3</v>
      </c>
      <c r="O37" t="s">
        <v>2</v>
      </c>
      <c r="P37">
        <f t="shared" si="1"/>
        <v>12.999988125330805</v>
      </c>
      <c r="Q37">
        <f t="shared" si="2"/>
        <v>1.4100776848145395E-10</v>
      </c>
      <c r="R37" s="67" cm="1">
        <f t="array" ref="R37">SUMPRODUCT((J37=$J$7:$J$1000)*(P37&lt;$P$7:$P$1000))+1</f>
        <v>2</v>
      </c>
      <c r="S37" s="72"/>
      <c r="T37">
        <v>14</v>
      </c>
      <c r="U37" t="str">
        <v>ARC</v>
      </c>
      <c r="V37" t="str">
        <v>Cliven Loubser</v>
      </c>
      <c r="W37" t="str">
        <v>NULL</v>
      </c>
      <c r="X37" t="str">
        <v>Home</v>
      </c>
      <c r="Y37" t="str">
        <v>OGDC</v>
      </c>
      <c r="Z37">
        <v>9.4538186545757981</v>
      </c>
      <c r="AA37" s="1" t="str">
        <v>Tim Swiel</v>
      </c>
      <c r="AB37" s="1" cm="1">
        <f t="array" ref="AB37">COUNT(_xlfn._xlws.FILTER($J$7:$J$10000,($L$7:$L$10000=AA37)*($M$7:$M$10000&lt;&gt;"NULL")*($J$7:$J$10000 &gt;= ($G$1-5))))/5</f>
        <v>0.4</v>
      </c>
    </row>
    <row r="38" spans="1:28" x14ac:dyDescent="0.35">
      <c r="A38">
        <f>VLOOKUP($B38, PlayerIDs!$A$1:$B$516, 2, FALSE)</f>
        <v>6</v>
      </c>
      <c r="B38" t="s">
        <v>491</v>
      </c>
      <c r="C38" s="1">
        <v>7.4012964659504643</v>
      </c>
      <c r="D38" s="1">
        <f t="shared" si="3"/>
        <v>19</v>
      </c>
      <c r="E38" s="1" cm="1">
        <f t="array" ref="E38">IFERROR(VLOOKUP($B38,_xlfn._xlws.FILTER($L$7:$P$10000,$J$7:$J$10000=G$1+1),5, FALSE), 0)</f>
        <v>7.4821651644755987</v>
      </c>
      <c r="F38" s="1">
        <f t="shared" si="4"/>
        <v>14</v>
      </c>
      <c r="G38" s="1">
        <f t="shared" ca="1" si="5"/>
        <v>25.024122552910988</v>
      </c>
      <c r="H38" s="1">
        <f t="shared" ca="1" si="6"/>
        <v>22</v>
      </c>
      <c r="I38" s="1" cm="1">
        <f t="array" ref="I38">COUNT(_xlfn._xlws.FILTER($J$7:$J$10000,($L$7:$L$10000=B38)*($M$7:$M$10000&lt;&gt;"NULL")*($J$7:$J$10000 &gt;= ($G$1-4))))/5</f>
        <v>0.4</v>
      </c>
      <c r="J38" s="65">
        <v>4</v>
      </c>
      <c r="K38" t="s">
        <v>14</v>
      </c>
      <c r="L38" t="s">
        <v>519</v>
      </c>
      <c r="M38">
        <v>9.1999999999999993</v>
      </c>
      <c r="N38" t="s">
        <v>9</v>
      </c>
      <c r="O38" t="s">
        <v>7</v>
      </c>
      <c r="P38">
        <f t="shared" si="1"/>
        <v>8.6023375935452293</v>
      </c>
      <c r="Q38">
        <f t="shared" si="2"/>
        <v>0.35720035208930667</v>
      </c>
      <c r="R38" s="67" cm="1">
        <f t="array" ref="R38">SUMPRODUCT((J38=$J$7:$J$1000)*(P38&lt;$P$7:$P$1000))+1</f>
        <v>7</v>
      </c>
      <c r="S38" s="72"/>
      <c r="T38">
        <v>14</v>
      </c>
      <c r="U38" t="str">
        <v>ARC</v>
      </c>
      <c r="V38" t="str">
        <v>Karl Keane</v>
      </c>
      <c r="W38" t="str">
        <v>NULL</v>
      </c>
      <c r="X38" t="str">
        <v>Home</v>
      </c>
      <c r="Y38" t="str">
        <v>OGDC</v>
      </c>
      <c r="Z38">
        <v>3.4464288011477211</v>
      </c>
      <c r="AA38" s="1">
        <v>0</v>
      </c>
      <c r="AB38" s="1" cm="1">
        <f t="array" ref="AB38">COUNT(_xlfn._xlws.FILTER($J$7:$J$10000,($L$7:$L$10000=AA38)*($M$7:$M$10000&lt;&gt;"NULL")*($J$7:$J$10000 &gt;= ($G$1-5))))/5</f>
        <v>0</v>
      </c>
    </row>
    <row r="39" spans="1:28" x14ac:dyDescent="0.35">
      <c r="A39">
        <f>VLOOKUP($B39, PlayerIDs!$A$1:$B$516, 2, FALSE)</f>
        <v>803</v>
      </c>
      <c r="B39" t="s">
        <v>442</v>
      </c>
      <c r="C39" s="1">
        <v>7.3934078984110974</v>
      </c>
      <c r="D39" s="1">
        <f t="shared" si="3"/>
        <v>20</v>
      </c>
      <c r="E39" s="1" cm="1">
        <f t="array" ref="E39">IFERROR(VLOOKUP($B39,_xlfn._xlws.FILTER($L$7:$P$10000,$J$7:$J$10000=G$1+1),5, FALSE), 0)</f>
        <v>7.0700608791494322</v>
      </c>
      <c r="F39" s="1">
        <f t="shared" si="4"/>
        <v>18</v>
      </c>
      <c r="G39" s="1">
        <f t="shared" ca="1" si="5"/>
        <v>29.331638271950784</v>
      </c>
      <c r="H39" s="1">
        <f t="shared" ca="1" si="6"/>
        <v>16</v>
      </c>
      <c r="I39" s="1" cm="1">
        <f t="array" ref="I39">COUNT(_xlfn._xlws.FILTER($J$7:$J$10000,($L$7:$L$10000=B39)*($M$7:$M$10000&lt;&gt;"NULL")*($J$7:$J$10000 &gt;= ($G$1-4))))/5</f>
        <v>0.6</v>
      </c>
      <c r="J39" s="65">
        <v>4</v>
      </c>
      <c r="K39" t="s">
        <v>2</v>
      </c>
      <c r="L39" t="s">
        <v>520</v>
      </c>
      <c r="M39">
        <v>8.6999999999999993</v>
      </c>
      <c r="N39" t="s">
        <v>9</v>
      </c>
      <c r="O39" t="s">
        <v>24</v>
      </c>
      <c r="P39">
        <f t="shared" si="1"/>
        <v>9.0689417688100917</v>
      </c>
      <c r="Q39">
        <f t="shared" si="2"/>
        <v>0.1361180287727197</v>
      </c>
      <c r="R39" s="67" cm="1">
        <f t="array" ref="R39">SUMPRODUCT((J39=$J$7:$J$1000)*(P39&lt;$P$7:$P$1000))+1</f>
        <v>6</v>
      </c>
      <c r="S39" s="72"/>
      <c r="T39">
        <v>14</v>
      </c>
      <c r="U39" t="str">
        <v>ARC</v>
      </c>
      <c r="V39" t="str">
        <v>Line Latu</v>
      </c>
      <c r="W39" t="str">
        <v>NULL</v>
      </c>
      <c r="X39" t="str">
        <v>Home</v>
      </c>
      <c r="Y39" t="str">
        <v>OGDC</v>
      </c>
      <c r="Z39">
        <v>8.6172425339674668</v>
      </c>
      <c r="AA39" s="1"/>
      <c r="AB39" s="1" cm="1">
        <f t="array" ref="AB39">COUNT(_xlfn._xlws.FILTER($J$7:$J$10000,($L$7:$L$10000=AA39)*($M$7:$M$10000&lt;&gt;"NULL")*($J$7:$J$10000 &gt;= ($G$1-5))))/5</f>
        <v>0</v>
      </c>
    </row>
    <row r="40" spans="1:28" x14ac:dyDescent="0.35">
      <c r="A40">
        <f>VLOOKUP($B40, PlayerIDs!$A$1:$B$516, 2, FALSE)</f>
        <v>399</v>
      </c>
      <c r="B40" t="s">
        <v>533</v>
      </c>
      <c r="C40" s="1">
        <v>7.1143376951919048</v>
      </c>
      <c r="D40" s="1">
        <f t="shared" si="3"/>
        <v>21</v>
      </c>
      <c r="E40" s="1" cm="1">
        <f t="array" ref="E40">IFERROR(VLOOKUP($B40,_xlfn._xlws.FILTER($L$7:$P$10000,$J$7:$J$10000=G$1+1),5, FALSE), 0)</f>
        <v>6.9620996966442803</v>
      </c>
      <c r="F40" s="1">
        <f t="shared" si="4"/>
        <v>19</v>
      </c>
      <c r="G40" s="1">
        <f t="shared" ca="1" si="5"/>
        <v>26.378946266959485</v>
      </c>
      <c r="H40" s="1">
        <f t="shared" ca="1" si="6"/>
        <v>19</v>
      </c>
      <c r="I40" s="1" cm="1">
        <f t="array" ref="I40">COUNT(_xlfn._xlws.FILTER($J$7:$J$10000,($L$7:$L$10000=B40)*($M$7:$M$10000&lt;&gt;"NULL")*($J$7:$J$10000 &gt;= ($G$1-4))))/5</f>
        <v>0.2</v>
      </c>
      <c r="J40" s="65">
        <v>4</v>
      </c>
      <c r="K40" t="s">
        <v>13</v>
      </c>
      <c r="L40" t="s">
        <v>473</v>
      </c>
      <c r="M40">
        <v>8.6</v>
      </c>
      <c r="N40" t="s">
        <v>3</v>
      </c>
      <c r="O40" t="s">
        <v>36</v>
      </c>
      <c r="P40">
        <f t="shared" si="1"/>
        <v>11.24987331379428</v>
      </c>
      <c r="Q40">
        <f t="shared" si="2"/>
        <v>7.0218285791590827</v>
      </c>
      <c r="R40" s="67" cm="1">
        <f t="array" ref="R40">SUMPRODUCT((J40=$J$7:$J$1000)*(P40&lt;$P$7:$P$1000))+1</f>
        <v>5</v>
      </c>
      <c r="S40" s="72"/>
      <c r="T40">
        <v>14</v>
      </c>
      <c r="U40" t="str">
        <v>CHI</v>
      </c>
      <c r="V40" t="str">
        <v>Adriaan Carelse</v>
      </c>
      <c r="W40" t="str">
        <v>NULL</v>
      </c>
      <c r="X40" t="str">
        <v>Home</v>
      </c>
      <c r="Y40" t="str">
        <v>LA</v>
      </c>
      <c r="Z40">
        <v>7.4611055967711568</v>
      </c>
      <c r="AA40" s="1"/>
      <c r="AB40" s="1" cm="1">
        <f t="array" ref="AB40">COUNT(_xlfn._xlws.FILTER($J$7:$J$10000,($L$7:$L$10000=AA40)*($M$7:$M$10000&lt;&gt;"NULL")*($J$7:$J$10000 &gt;= ($G$1-5))))/5</f>
        <v>0</v>
      </c>
    </row>
    <row r="41" spans="1:28" x14ac:dyDescent="0.35">
      <c r="A41">
        <f>VLOOKUP($B41, PlayerIDs!$A$1:$B$516, 2, FALSE)</f>
        <v>273</v>
      </c>
      <c r="B41" t="s">
        <v>493</v>
      </c>
      <c r="C41" s="1">
        <v>6.955930409942785</v>
      </c>
      <c r="D41" s="1">
        <f t="shared" si="3"/>
        <v>22</v>
      </c>
      <c r="E41" s="1" cm="1">
        <f t="array" ref="E41">IFERROR(VLOOKUP($B41,_xlfn._xlws.FILTER($L$7:$P$10000,$J$7:$J$10000=G$1+1),5, FALSE), 0)</f>
        <v>8.0668061176007875</v>
      </c>
      <c r="F41" s="1">
        <f t="shared" si="4"/>
        <v>12</v>
      </c>
      <c r="G41" s="1">
        <f t="shared" ca="1" si="5"/>
        <v>23.181252974584648</v>
      </c>
      <c r="H41" s="1">
        <f t="shared" ca="1" si="6"/>
        <v>23</v>
      </c>
      <c r="I41" s="1" cm="1">
        <f t="array" ref="I41">COUNT(_xlfn._xlws.FILTER($J$7:$J$10000,($L$7:$L$10000=B41)*($M$7:$M$10000&lt;&gt;"NULL")*($J$7:$J$10000 &gt;= ($G$1-4))))/5</f>
        <v>0.2</v>
      </c>
      <c r="J41" s="65">
        <v>4</v>
      </c>
      <c r="K41" t="s">
        <v>17</v>
      </c>
      <c r="L41" t="s">
        <v>492</v>
      </c>
      <c r="M41">
        <v>6.7</v>
      </c>
      <c r="N41" t="s">
        <v>3</v>
      </c>
      <c r="O41" t="s">
        <v>23</v>
      </c>
      <c r="P41">
        <f t="shared" si="1"/>
        <v>8.3763205922265147</v>
      </c>
      <c r="Q41">
        <f t="shared" si="2"/>
        <v>2.8100507279226523</v>
      </c>
      <c r="R41" s="67" cm="1">
        <f t="array" ref="R41">SUMPRODUCT((J41=$J$7:$J$1000)*(P41&lt;$P$7:$P$1000))+1</f>
        <v>8</v>
      </c>
      <c r="S41" s="72"/>
      <c r="T41">
        <v>14</v>
      </c>
      <c r="U41" t="str">
        <v>CHI</v>
      </c>
      <c r="V41" t="str">
        <v>Christopher Hilsenbeck</v>
      </c>
      <c r="W41" t="str">
        <v>NULL</v>
      </c>
      <c r="X41" t="str">
        <v>Home</v>
      </c>
      <c r="Y41" t="str">
        <v>LA</v>
      </c>
      <c r="Z41">
        <v>7.660589777130653</v>
      </c>
      <c r="AA41" s="1"/>
      <c r="AB41" s="1" cm="1">
        <f t="array" ref="AB41">COUNT(_xlfn._xlws.FILTER($J$7:$J$10000,($L$7:$L$10000=AA41)*($M$7:$M$10000&lt;&gt;"NULL")*($J$7:$J$10000 &gt;= ($G$1-5))))/5</f>
        <v>0</v>
      </c>
    </row>
    <row r="42" spans="1:28" x14ac:dyDescent="0.35">
      <c r="A42">
        <f>VLOOKUP($B42, PlayerIDs!$A$1:$B$516, 2, FALSE)</f>
        <v>200</v>
      </c>
      <c r="B42" t="s">
        <v>19</v>
      </c>
      <c r="C42" s="1">
        <v>6.8790378861720667</v>
      </c>
      <c r="D42" s="1">
        <f t="shared" si="3"/>
        <v>23</v>
      </c>
      <c r="E42" s="1" cm="1">
        <f t="array" ref="E42">IFERROR(VLOOKUP($B42,_xlfn._xlws.FILTER($L$7:$P$10000,$J$7:$J$10000=G$1+1),5, FALSE), 0)</f>
        <v>0</v>
      </c>
      <c r="F42" s="1">
        <f t="shared" si="4"/>
        <v>29</v>
      </c>
      <c r="G42" s="1">
        <f t="shared" ca="1" si="5"/>
        <v>16.603769303407752</v>
      </c>
      <c r="H42" s="1">
        <f t="shared" ca="1" si="6"/>
        <v>28</v>
      </c>
      <c r="I42" s="1" cm="1">
        <f t="array" ref="I42">COUNT(_xlfn._xlws.FILTER($J$7:$J$10000,($L$7:$L$10000=B42)*($M$7:$M$10000&lt;&gt;"NULL")*($J$7:$J$10000 &gt;= ($G$1-4))))/5</f>
        <v>1</v>
      </c>
      <c r="J42" s="65">
        <v>4</v>
      </c>
      <c r="K42" t="s">
        <v>7</v>
      </c>
      <c r="L42" t="s">
        <v>77</v>
      </c>
      <c r="M42">
        <v>5.5</v>
      </c>
      <c r="N42" t="s">
        <v>3</v>
      </c>
      <c r="O42" t="s">
        <v>14</v>
      </c>
      <c r="P42">
        <f t="shared" si="1"/>
        <v>12.164218297228368</v>
      </c>
      <c r="Q42">
        <f t="shared" si="2"/>
        <v>44.411805513113372</v>
      </c>
      <c r="R42" s="67" cm="1">
        <f t="array" ref="R42">SUMPRODUCT((J42=$J$7:$J$1000)*(P42&lt;$P$7:$P$1000))+1</f>
        <v>4</v>
      </c>
      <c r="S42" s="72"/>
      <c r="T42">
        <v>14</v>
      </c>
      <c r="U42" t="str">
        <v>CHI</v>
      </c>
      <c r="V42" t="str">
        <v>Tim Swiel</v>
      </c>
      <c r="W42" t="str">
        <v>NULL</v>
      </c>
      <c r="X42" t="str">
        <v>Home</v>
      </c>
      <c r="Y42" t="str">
        <v>LA</v>
      </c>
      <c r="Z42">
        <v>-0.96008225981723516</v>
      </c>
      <c r="AA42" s="1"/>
      <c r="AB42" s="1" cm="1">
        <f t="array" ref="AB42">COUNT(_xlfn._xlws.FILTER($J$7:$J$10000,($L$7:$L$10000=AA42)*($M$7:$M$10000&lt;&gt;"NULL")*($J$7:$J$10000 &gt;= ($G$1-5))))/5</f>
        <v>0</v>
      </c>
    </row>
    <row r="43" spans="1:28" x14ac:dyDescent="0.35">
      <c r="A43">
        <f>VLOOKUP($B43, PlayerIDs!$A$1:$B$516, 2, FALSE)</f>
        <v>664</v>
      </c>
      <c r="B43" t="s">
        <v>41</v>
      </c>
      <c r="C43" s="1">
        <v>6.7095520238629254</v>
      </c>
      <c r="D43" s="1">
        <f t="shared" si="3"/>
        <v>24</v>
      </c>
      <c r="E43" s="1" cm="1">
        <f t="array" ref="E43">IFERROR(VLOOKUP($B43,_xlfn._xlws.FILTER($L$7:$P$10000,$J$7:$J$10000=G$1+1),5, FALSE), 0)</f>
        <v>6.7163262088800559</v>
      </c>
      <c r="F43" s="1">
        <f t="shared" si="4"/>
        <v>21</v>
      </c>
      <c r="G43" s="1">
        <f t="shared" ca="1" si="5"/>
        <v>21.596255202492358</v>
      </c>
      <c r="H43" s="1">
        <f t="shared" ca="1" si="6"/>
        <v>24</v>
      </c>
      <c r="I43" s="1" cm="1">
        <f t="array" ref="I43">COUNT(_xlfn._xlws.FILTER($J$7:$J$10000,($L$7:$L$10000=B43)*($M$7:$M$10000&lt;&gt;"NULL")*($J$7:$J$10000 &gt;= ($G$1-4))))/5</f>
        <v>0.2</v>
      </c>
      <c r="J43" s="65">
        <v>4</v>
      </c>
      <c r="K43" t="s">
        <v>6</v>
      </c>
      <c r="L43" t="s">
        <v>442</v>
      </c>
      <c r="M43">
        <v>4.5</v>
      </c>
      <c r="N43" t="s">
        <v>9</v>
      </c>
      <c r="O43" t="s">
        <v>34</v>
      </c>
      <c r="P43">
        <f t="shared" si="1"/>
        <v>7.4742765969362317</v>
      </c>
      <c r="Q43">
        <f t="shared" si="2"/>
        <v>8.8463212750825715</v>
      </c>
      <c r="R43" s="67" cm="1">
        <f t="array" ref="R43">SUMPRODUCT((J43=$J$7:$J$1000)*(P43&lt;$P$7:$P$1000))+1</f>
        <v>9</v>
      </c>
      <c r="S43" s="72"/>
      <c r="T43">
        <v>14</v>
      </c>
      <c r="U43" t="str">
        <v>HOU</v>
      </c>
      <c r="V43" t="str">
        <v>AJ Alatimu</v>
      </c>
      <c r="W43" t="str">
        <v>NULL</v>
      </c>
      <c r="X43" t="str">
        <v>Home</v>
      </c>
      <c r="Y43" t="str">
        <v>UTAH</v>
      </c>
      <c r="Z43">
        <v>8.9392306232259067</v>
      </c>
      <c r="AA43" s="1"/>
      <c r="AB43" s="1" cm="1">
        <f t="array" ref="AB43">COUNT(_xlfn._xlws.FILTER($J$7:$J$10000,($L$7:$L$10000=AA43)*($M$7:$M$10000&lt;&gt;"NULL")*($J$7:$J$10000 &gt;= ($G$1-5))))/5</f>
        <v>0</v>
      </c>
    </row>
    <row r="44" spans="1:28" x14ac:dyDescent="0.35">
      <c r="A44">
        <f>VLOOKUP($B44, PlayerIDs!$A$1:$B$516, 2, FALSE)</f>
        <v>846</v>
      </c>
      <c r="B44" t="s">
        <v>443</v>
      </c>
      <c r="C44" s="1">
        <v>5.570741404944406</v>
      </c>
      <c r="D44" s="1">
        <f t="shared" si="3"/>
        <v>25</v>
      </c>
      <c r="E44" s="1" cm="1">
        <f t="array" ref="E44">IFERROR(VLOOKUP($B44,_xlfn._xlws.FILTER($L$7:$P$10000,$J$7:$J$10000=G$1+1),5, FALSE), 0)</f>
        <v>6.086874345797824</v>
      </c>
      <c r="F44" s="1">
        <f t="shared" si="4"/>
        <v>23</v>
      </c>
      <c r="G44" s="1">
        <f t="shared" ca="1" si="5"/>
        <v>25.268711738665843</v>
      </c>
      <c r="H44" s="1">
        <f t="shared" ca="1" si="6"/>
        <v>20</v>
      </c>
      <c r="I44" s="1" cm="1">
        <f t="array" ref="I44">COUNT(_xlfn._xlws.FILTER($J$7:$J$10000,($L$7:$L$10000=B44)*($M$7:$M$10000&lt;&gt;"NULL")*($J$7:$J$10000 &gt;= ($G$1-4))))/5</f>
        <v>0.2</v>
      </c>
      <c r="J44" s="65">
        <v>4</v>
      </c>
      <c r="K44" t="s">
        <v>34</v>
      </c>
      <c r="L44" t="s">
        <v>192</v>
      </c>
      <c r="M44">
        <v>0.8</v>
      </c>
      <c r="N44" t="s">
        <v>3</v>
      </c>
      <c r="O44" t="s">
        <v>6</v>
      </c>
      <c r="P44">
        <f t="shared" si="1"/>
        <v>6.7656359150200966</v>
      </c>
      <c r="Q44">
        <f t="shared" si="2"/>
        <v>35.588811870577665</v>
      </c>
      <c r="R44" s="67" cm="1">
        <f t="array" ref="R44">SUMPRODUCT((J44=$J$7:$J$1000)*(P44&lt;$P$7:$P$1000))+1</f>
        <v>10</v>
      </c>
      <c r="S44" s="72"/>
      <c r="T44">
        <v>14</v>
      </c>
      <c r="U44" t="str">
        <v>HOU</v>
      </c>
      <c r="V44" t="str">
        <v>Davy Coetzer</v>
      </c>
      <c r="W44" t="str">
        <v>NULL</v>
      </c>
      <c r="X44" t="str">
        <v>Home</v>
      </c>
      <c r="Y44" t="str">
        <v>UTAH</v>
      </c>
      <c r="Z44">
        <v>16.060811665285364</v>
      </c>
      <c r="AA44" s="1"/>
      <c r="AB44" s="1" cm="1">
        <f t="array" ref="AB44">COUNT(_xlfn._xlws.FILTER($J$7:$J$10000,($L$7:$L$10000=AA44)*($M$7:$M$10000&lt;&gt;"NULL")*($J$7:$J$10000 &gt;= ($G$1-5))))/5</f>
        <v>0</v>
      </c>
    </row>
    <row r="45" spans="1:28" x14ac:dyDescent="0.35">
      <c r="A45">
        <f>VLOOKUP($B45, PlayerIDs!$A$1:$B$516, 2, FALSE)</f>
        <v>663</v>
      </c>
      <c r="B45" t="s">
        <v>560</v>
      </c>
      <c r="C45" s="1">
        <v>5.4522344886993173</v>
      </c>
      <c r="D45" s="1">
        <f t="shared" si="3"/>
        <v>26</v>
      </c>
      <c r="E45" s="1" cm="1">
        <f t="array" ref="E45">IFERROR(VLOOKUP($B45,_xlfn._xlws.FILTER($L$7:$P$10000,$J$7:$J$10000=G$1+1),5, FALSE), 0)</f>
        <v>5.4590086737164478</v>
      </c>
      <c r="F45" s="1">
        <f t="shared" si="4"/>
        <v>24</v>
      </c>
      <c r="G45" s="1">
        <f t="shared" ca="1" si="5"/>
        <v>17.824302597001534</v>
      </c>
      <c r="H45" s="1">
        <f t="shared" ca="1" si="6"/>
        <v>27</v>
      </c>
      <c r="I45" s="1" cm="1">
        <f t="array" ref="I45">COUNT(_xlfn._xlws.FILTER($J$7:$J$10000,($L$7:$L$10000=B45)*($M$7:$M$10000&lt;&gt;"NULL")*($J$7:$J$10000 &gt;= ($G$1-4))))/5</f>
        <v>0.2</v>
      </c>
      <c r="J45" s="65">
        <v>5</v>
      </c>
      <c r="K45" t="s">
        <v>7</v>
      </c>
      <c r="L45" t="s">
        <v>77</v>
      </c>
      <c r="M45">
        <v>11.4</v>
      </c>
      <c r="N45" t="s">
        <v>9</v>
      </c>
      <c r="O45" t="s">
        <v>2</v>
      </c>
      <c r="P45">
        <f t="shared" si="1"/>
        <v>12.152217196312883</v>
      </c>
      <c r="Q45">
        <f t="shared" si="2"/>
        <v>0.56583071042881328</v>
      </c>
      <c r="R45" s="67" cm="1">
        <f t="array" ref="R45">SUMPRODUCT((J45=$J$7:$J$1000)*(P45&lt;$P$7:$P$1000))+1</f>
        <v>1</v>
      </c>
      <c r="S45" s="72"/>
      <c r="T45">
        <v>14</v>
      </c>
      <c r="U45" t="str">
        <v>HOU</v>
      </c>
      <c r="V45" t="str">
        <v>Max Schumacher</v>
      </c>
      <c r="W45" t="str">
        <v>NULL</v>
      </c>
      <c r="X45" t="str">
        <v>Home</v>
      </c>
      <c r="Y45" t="str">
        <v>UTAH</v>
      </c>
      <c r="Z45">
        <v>6.6430874212394286</v>
      </c>
      <c r="AA45" s="1"/>
      <c r="AB45" s="1" cm="1">
        <f t="array" ref="AB45">COUNT(_xlfn._xlws.FILTER($J$7:$J$10000,($L$7:$L$10000=AA45)*($M$7:$M$10000&lt;&gt;"NULL")*($J$7:$J$10000 &gt;= ($G$1-5))))/5</f>
        <v>0</v>
      </c>
    </row>
    <row r="46" spans="1:28" x14ac:dyDescent="0.35">
      <c r="A46">
        <f>VLOOKUP($B46, PlayerIDs!$A$1:$B$516, 2, FALSE)</f>
        <v>582</v>
      </c>
      <c r="B46" t="s">
        <v>476</v>
      </c>
      <c r="C46" s="1">
        <v>5.1051532639639863</v>
      </c>
      <c r="D46" s="1">
        <f t="shared" si="3"/>
        <v>27</v>
      </c>
      <c r="E46" s="1" cm="1">
        <f t="array" ref="E46">IFERROR(VLOOKUP($B46,_xlfn._xlws.FILTER($L$7:$P$10000,$J$7:$J$10000=G$1+1),5, FALSE), 0)</f>
        <v>5.1860219624891206</v>
      </c>
      <c r="F46" s="1">
        <f t="shared" si="4"/>
        <v>25</v>
      </c>
      <c r="G46" s="1">
        <f t="shared" ca="1" si="5"/>
        <v>18.135692946951558</v>
      </c>
      <c r="H46" s="1">
        <f t="shared" ca="1" si="6"/>
        <v>26</v>
      </c>
      <c r="I46" s="1" cm="1">
        <f t="array" ref="I46">COUNT(_xlfn._xlws.FILTER($J$7:$J$10000,($L$7:$L$10000=B46)*($M$7:$M$10000&lt;&gt;"NULL")*($J$7:$J$10000 &gt;= ($G$1-4))))/5</f>
        <v>0.4</v>
      </c>
      <c r="J46" s="65">
        <v>5</v>
      </c>
      <c r="K46" t="s">
        <v>6</v>
      </c>
      <c r="L46" t="s">
        <v>442</v>
      </c>
      <c r="M46">
        <v>11.3</v>
      </c>
      <c r="N46" t="s">
        <v>3</v>
      </c>
      <c r="O46" t="s">
        <v>17</v>
      </c>
      <c r="P46">
        <f t="shared" si="1"/>
        <v>9.4463192587006883</v>
      </c>
      <c r="Q46">
        <f t="shared" si="2"/>
        <v>3.4361322906639682</v>
      </c>
      <c r="R46" s="67" cm="1">
        <f t="array" ref="R46">SUMPRODUCT((J46=$J$7:$J$1000)*(P46&lt;$P$7:$P$1000))+1</f>
        <v>4</v>
      </c>
      <c r="S46" s="72"/>
      <c r="T46">
        <v>14</v>
      </c>
      <c r="U46" t="str">
        <v>LA</v>
      </c>
      <c r="V46" t="str">
        <v>Christian Leali'ifano</v>
      </c>
      <c r="W46" t="str">
        <v>NULL</v>
      </c>
      <c r="X46" t="str">
        <v>Away</v>
      </c>
      <c r="Y46" t="str">
        <v>CHI</v>
      </c>
      <c r="Z46">
        <v>7.0580597782339449</v>
      </c>
      <c r="AA46" s="1"/>
      <c r="AB46" s="1" cm="1">
        <f t="array" ref="AB46">COUNT(_xlfn._xlws.FILTER($J$7:$J$10000,($L$7:$L$10000=AA46)*($M$7:$M$10000&lt;&gt;"NULL")*($J$7:$J$10000 &gt;= ($G$1-5))))/5</f>
        <v>0</v>
      </c>
    </row>
    <row r="47" spans="1:28" x14ac:dyDescent="0.35">
      <c r="A47">
        <f>VLOOKUP($B47, PlayerIDs!$A$1:$B$516, 2, FALSE)</f>
        <v>851</v>
      </c>
      <c r="B47" t="s">
        <v>454</v>
      </c>
      <c r="C47" s="1">
        <v>4.8809451197603861</v>
      </c>
      <c r="D47" s="1">
        <f t="shared" si="3"/>
        <v>28</v>
      </c>
      <c r="E47" s="1" cm="1">
        <f t="array" ref="E47">IFERROR(VLOOKUP($B47,_xlfn._xlws.FILTER($L$7:$P$10000,$J$7:$J$10000=G$1+1),5, FALSE), 0)</f>
        <v>2.8805067136778106</v>
      </c>
      <c r="F47" s="1">
        <f t="shared" si="4"/>
        <v>26</v>
      </c>
      <c r="G47" s="1">
        <f t="shared" ca="1" si="5"/>
        <v>18.883235281175036</v>
      </c>
      <c r="H47" s="1">
        <f t="shared" ca="1" si="6"/>
        <v>25</v>
      </c>
      <c r="I47" s="1" cm="1">
        <f t="array" ref="I47">COUNT(_xlfn._xlws.FILTER($J$7:$J$10000,($L$7:$L$10000=B47)*($M$7:$M$10000&lt;&gt;"NULL")*($J$7:$J$10000 &gt;= ($G$1-4))))/5</f>
        <v>0.6</v>
      </c>
      <c r="J47" s="65">
        <v>5</v>
      </c>
      <c r="K47" t="s">
        <v>2</v>
      </c>
      <c r="L47" t="s">
        <v>520</v>
      </c>
      <c r="M47">
        <v>10.6</v>
      </c>
      <c r="N47" t="s">
        <v>3</v>
      </c>
      <c r="O47" t="s">
        <v>7</v>
      </c>
      <c r="P47">
        <f t="shared" si="1"/>
        <v>8.966854293300436</v>
      </c>
      <c r="Q47">
        <f t="shared" si="2"/>
        <v>2.6671648993112171</v>
      </c>
      <c r="R47" s="67" cm="1">
        <f t="array" ref="R47">SUMPRODUCT((J47=$J$7:$J$1000)*(P47&lt;$P$7:$P$1000))+1</f>
        <v>6</v>
      </c>
      <c r="S47" s="72"/>
      <c r="T47">
        <v>14</v>
      </c>
      <c r="U47" t="str">
        <v>LA</v>
      </c>
      <c r="V47" t="str">
        <v>Sean Nolan</v>
      </c>
      <c r="W47" t="str">
        <v>NULL</v>
      </c>
      <c r="X47" t="str">
        <v>Away</v>
      </c>
      <c r="Y47" t="str">
        <v>CHI</v>
      </c>
      <c r="Z47">
        <v>1.6465688768213391</v>
      </c>
      <c r="AA47" s="1"/>
      <c r="AB47" s="1" cm="1">
        <f t="array" ref="AB47">COUNT(_xlfn._xlws.FILTER($J$7:$J$10000,($L$7:$L$10000=AA47)*($M$7:$M$10000&lt;&gt;"NULL")*($J$7:$J$10000 &gt;= ($G$1-5))))/5</f>
        <v>0</v>
      </c>
    </row>
    <row r="48" spans="1:28" x14ac:dyDescent="0.35">
      <c r="A48">
        <f>VLOOKUP($B48, PlayerIDs!$A$1:$B$516, 2, FALSE)</f>
        <v>831</v>
      </c>
      <c r="B48" t="s">
        <v>438</v>
      </c>
      <c r="C48" s="1">
        <v>3.2891216300299431</v>
      </c>
      <c r="D48" s="1">
        <f t="shared" si="3"/>
        <v>29</v>
      </c>
      <c r="E48" s="1" cm="1">
        <f t="array" ref="E48">IFERROR(VLOOKUP($B48,_xlfn._xlws.FILTER($L$7:$P$10000,$J$7:$J$10000=G$1+1),5, FALSE), 0)</f>
        <v>1.2886832239473678</v>
      </c>
      <c r="F48" s="1">
        <f t="shared" si="4"/>
        <v>28</v>
      </c>
      <c r="G48" s="1">
        <f t="shared" ca="1" si="5"/>
        <v>12.515941322253266</v>
      </c>
      <c r="H48" s="1">
        <f t="shared" ca="1" si="6"/>
        <v>29</v>
      </c>
      <c r="I48" s="1" cm="1">
        <f t="array" ref="I48">COUNT(_xlfn._xlws.FILTER($J$7:$J$10000,($L$7:$L$10000=B48)*($M$7:$M$10000&lt;&gt;"NULL")*($J$7:$J$10000 &gt;= ($G$1-4))))/5</f>
        <v>0</v>
      </c>
      <c r="J48" s="65">
        <v>5</v>
      </c>
      <c r="K48" t="s">
        <v>23</v>
      </c>
      <c r="L48" t="s">
        <v>190</v>
      </c>
      <c r="M48">
        <v>10.4</v>
      </c>
      <c r="N48" t="s">
        <v>3</v>
      </c>
      <c r="O48" t="s">
        <v>4</v>
      </c>
      <c r="P48">
        <f t="shared" si="1"/>
        <v>12.144123217868964</v>
      </c>
      <c r="Q48">
        <f t="shared" si="2"/>
        <v>3.041965799109589</v>
      </c>
      <c r="R48" s="67" cm="1">
        <f t="array" ref="R48">SUMPRODUCT((J48=$J$7:$J$1000)*(P48&lt;$P$7:$P$1000))+1</f>
        <v>2</v>
      </c>
      <c r="S48" s="72"/>
      <c r="T48">
        <v>14</v>
      </c>
      <c r="U48" t="str">
        <v>MIA</v>
      </c>
      <c r="V48" t="str">
        <v>Martin Elias</v>
      </c>
      <c r="W48" t="str">
        <v>NULL</v>
      </c>
      <c r="X48" t="str">
        <v>Home</v>
      </c>
      <c r="Y48" t="str">
        <v>NEFJ</v>
      </c>
      <c r="Z48">
        <v>6.5952192065157211</v>
      </c>
      <c r="AA48" s="1"/>
      <c r="AB48" s="1" cm="1">
        <f t="array" ref="AB48">COUNT(_xlfn._xlws.FILTER($J$7:$J$10000,($L$7:$L$10000=AA48)*($M$7:$M$10000&lt;&gt;"NULL")*($J$7:$J$10000 &gt;= ($G$1-5))))/5</f>
        <v>0</v>
      </c>
    </row>
    <row r="49" spans="1:28" x14ac:dyDescent="0.35">
      <c r="A49">
        <f>VLOOKUP($B49, PlayerIDs!$A$1:$B$516, 2, FALSE)</f>
        <v>861</v>
      </c>
      <c r="B49" t="s">
        <v>602</v>
      </c>
      <c r="C49" s="1">
        <v>1.9819169969984907</v>
      </c>
      <c r="D49" s="1">
        <f t="shared" si="3"/>
        <v>30</v>
      </c>
      <c r="E49" s="1" cm="1">
        <f t="array" ref="E49">IFERROR(VLOOKUP($B49,_xlfn._xlws.FILTER($L$7:$P$10000,$J$7:$J$10000=G$1+1),5, FALSE), 0)</f>
        <v>1.6585699777368248</v>
      </c>
      <c r="F49" s="1">
        <f t="shared" si="4"/>
        <v>27</v>
      </c>
      <c r="G49" s="1">
        <f t="shared" ca="1" si="5"/>
        <v>7.6856746663003568</v>
      </c>
      <c r="H49" s="1">
        <f t="shared" ca="1" si="6"/>
        <v>30</v>
      </c>
      <c r="I49" s="1" cm="1">
        <f t="array" ref="I49">COUNT(_xlfn._xlws.FILTER($J$7:$J$10000,($L$7:$L$10000=B49)*($M$7:$M$10000&lt;&gt;"NULL")*($J$7:$J$10000 &gt;= ($G$1-4))))/5</f>
        <v>0.4</v>
      </c>
      <c r="J49" s="65">
        <v>5</v>
      </c>
      <c r="K49" t="s">
        <v>17</v>
      </c>
      <c r="L49" t="s">
        <v>492</v>
      </c>
      <c r="M49">
        <v>9.6999999999999993</v>
      </c>
      <c r="N49" t="s">
        <v>9</v>
      </c>
      <c r="O49" t="s">
        <v>6</v>
      </c>
      <c r="P49">
        <f t="shared" si="1"/>
        <v>7.2339600548775778</v>
      </c>
      <c r="Q49">
        <f t="shared" si="2"/>
        <v>6.0813530109393961</v>
      </c>
      <c r="R49" s="67" cm="1">
        <f t="array" ref="R49">SUMPRODUCT((J49=$J$7:$J$1000)*(P49&lt;$P$7:$P$1000))+1</f>
        <v>7</v>
      </c>
      <c r="S49" s="72"/>
      <c r="T49">
        <v>14</v>
      </c>
      <c r="U49" t="str">
        <v>MIA</v>
      </c>
      <c r="V49" t="str">
        <v>Santiago Videla</v>
      </c>
      <c r="W49" t="str">
        <v>NULL</v>
      </c>
      <c r="X49" t="str">
        <v>Home</v>
      </c>
      <c r="Y49" t="str">
        <v>NEFJ</v>
      </c>
      <c r="Z49">
        <v>11.625777315743751</v>
      </c>
      <c r="AA49" s="1"/>
      <c r="AB49" s="1" cm="1">
        <f t="array" ref="AB49">COUNT(_xlfn._xlws.FILTER($J$7:$J$10000,($L$7:$L$10000=AA49)*($M$7:$M$10000&lt;&gt;"NULL")*($J$7:$J$10000 &gt;= ($G$1-5))))/5</f>
        <v>0</v>
      </c>
    </row>
    <row r="50" spans="1:28" x14ac:dyDescent="0.35">
      <c r="A50">
        <f>VLOOKUP($B50, PlayerIDs!$A$1:$B$516, 2, FALSE)</f>
        <v>782</v>
      </c>
      <c r="B50" t="s">
        <v>444</v>
      </c>
      <c r="C50" s="1">
        <v>0.18887508523477037</v>
      </c>
      <c r="D50" s="1">
        <f t="shared" si="3"/>
        <v>31</v>
      </c>
      <c r="E50" s="1" cm="1">
        <f t="array" ref="E50">IFERROR(VLOOKUP($B50,_xlfn._xlws.FILTER($L$7:$P$10000,$J$7:$J$10000=G$1+1),5, FALSE), 0)</f>
        <v>-1.5206838445294373</v>
      </c>
      <c r="F50" s="1">
        <f t="shared" si="4"/>
        <v>31</v>
      </c>
      <c r="G50" s="1">
        <f t="shared" ca="1" si="5"/>
        <v>-2.5786009516864214</v>
      </c>
      <c r="H50" s="1">
        <f t="shared" ca="1" si="6"/>
        <v>31</v>
      </c>
      <c r="I50" s="1" cm="1">
        <f t="array" ref="I50">COUNT(_xlfn._xlws.FILTER($J$7:$J$10000,($L$7:$L$10000=B50)*($M$7:$M$10000&lt;&gt;"NULL")*($J$7:$J$10000 &gt;= ($G$1-4))))/5</f>
        <v>0.4</v>
      </c>
      <c r="J50" s="65">
        <v>5</v>
      </c>
      <c r="K50" t="s">
        <v>13</v>
      </c>
      <c r="L50" t="s">
        <v>191</v>
      </c>
      <c r="M50">
        <v>8.9</v>
      </c>
      <c r="N50" t="s">
        <v>9</v>
      </c>
      <c r="O50" t="s">
        <v>24</v>
      </c>
      <c r="P50">
        <f t="shared" si="1"/>
        <v>10.339078651960669</v>
      </c>
      <c r="Q50">
        <f t="shared" si="2"/>
        <v>2.070947366528936</v>
      </c>
      <c r="R50" s="67" cm="1">
        <f t="array" ref="R50">SUMPRODUCT((J50=$J$7:$J$1000)*(P50&lt;$P$7:$P$1000))+1</f>
        <v>3</v>
      </c>
      <c r="S50" s="72"/>
      <c r="T50">
        <v>14</v>
      </c>
      <c r="U50" t="str">
        <v>MIA</v>
      </c>
      <c r="V50" t="str">
        <v>Shane O'Leary</v>
      </c>
      <c r="W50" t="str">
        <v>NULL</v>
      </c>
      <c r="X50" t="str">
        <v>Home</v>
      </c>
      <c r="Y50" t="str">
        <v>NEFJ</v>
      </c>
      <c r="Z50">
        <v>6.2562598264582672</v>
      </c>
      <c r="AA50" s="1"/>
      <c r="AB50" s="1" cm="1">
        <f t="array" ref="AB50">COUNT(_xlfn._xlws.FILTER($J$7:$J$10000,($L$7:$L$10000=AA50)*($M$7:$M$10000&lt;&gt;"NULL")*($J$7:$J$10000 &gt;= ($G$1-5))))/5</f>
        <v>0</v>
      </c>
    </row>
    <row r="51" spans="1:28" x14ac:dyDescent="0.35">
      <c r="C51" s="1"/>
      <c r="D51" s="1"/>
      <c r="E51" s="1"/>
      <c r="F51" s="1"/>
      <c r="G51" s="1"/>
      <c r="H51" s="1"/>
      <c r="J51" s="65">
        <v>5</v>
      </c>
      <c r="K51" t="s">
        <v>24</v>
      </c>
      <c r="L51" t="s">
        <v>194</v>
      </c>
      <c r="M51">
        <v>7.8</v>
      </c>
      <c r="N51" t="s">
        <v>3</v>
      </c>
      <c r="O51" t="s">
        <v>13</v>
      </c>
      <c r="P51">
        <f t="shared" si="1"/>
        <v>8.9912312325248003</v>
      </c>
      <c r="Q51">
        <f t="shared" si="2"/>
        <v>1.4190318493425551</v>
      </c>
      <c r="R51" s="67" cm="1">
        <f t="array" ref="R51">SUMPRODUCT((J51=$J$7:$J$1000)*(P51&lt;$P$7:$P$1000))+1</f>
        <v>5</v>
      </c>
      <c r="S51" s="72"/>
      <c r="T51">
        <v>14</v>
      </c>
      <c r="U51" t="str">
        <v>NEFJ</v>
      </c>
      <c r="V51" t="str">
        <v>Dan Hollinshead</v>
      </c>
      <c r="W51" t="str">
        <v>NULL</v>
      </c>
      <c r="X51" t="str">
        <v>Away</v>
      </c>
      <c r="Y51" t="str">
        <v>MIA</v>
      </c>
      <c r="Z51">
        <v>11.452614401482061</v>
      </c>
      <c r="AA51" s="1"/>
      <c r="AB51" s="1" cm="1">
        <f t="array" ref="AB51">COUNT(_xlfn._xlws.FILTER($J$7:$J$10000,($L$7:$L$10000=AA51)*($M$7:$M$10000&lt;&gt;"NULL")*($J$7:$J$10000 &gt;= ($G$1-5))))/5</f>
        <v>0</v>
      </c>
    </row>
    <row r="52" spans="1:28" x14ac:dyDescent="0.35">
      <c r="C52" s="1"/>
      <c r="D52" s="1"/>
      <c r="E52" s="1"/>
      <c r="F52" s="1"/>
      <c r="G52" s="1"/>
      <c r="H52" s="1"/>
      <c r="J52" s="65">
        <v>5</v>
      </c>
      <c r="K52" t="s">
        <v>4</v>
      </c>
      <c r="L52" t="s">
        <v>493</v>
      </c>
      <c r="M52">
        <v>6.4</v>
      </c>
      <c r="N52" t="s">
        <v>9</v>
      </c>
      <c r="O52" t="s">
        <v>23</v>
      </c>
      <c r="P52">
        <f t="shared" si="1"/>
        <v>5.2463714801785768</v>
      </c>
      <c r="Q52">
        <f t="shared" si="2"/>
        <v>1.3308587617453687</v>
      </c>
      <c r="R52" s="67" cm="1">
        <f t="array" ref="R52">SUMPRODUCT((J52=$J$7:$J$1000)*(P52&lt;$P$7:$P$1000))+1</f>
        <v>8</v>
      </c>
      <c r="S52" s="72"/>
      <c r="T52">
        <v>14</v>
      </c>
      <c r="U52" t="str">
        <v>NEFJ</v>
      </c>
      <c r="V52" t="str">
        <v>Faletoi Peni</v>
      </c>
      <c r="W52" t="str">
        <v>NULL</v>
      </c>
      <c r="X52" t="str">
        <v>Away</v>
      </c>
      <c r="Y52" t="str">
        <v>MIA</v>
      </c>
      <c r="Z52">
        <v>11.937770057512269</v>
      </c>
      <c r="AA52" s="1"/>
      <c r="AB52" s="1" cm="1">
        <f t="array" ref="AB52">COUNT(_xlfn._xlws.FILTER($J$7:$J$10000,($L$7:$L$10000=AA52)*($M$7:$M$10000&lt;&gt;"NULL")*($J$7:$J$10000 &gt;= ($G$1-5))))/5</f>
        <v>0</v>
      </c>
    </row>
    <row r="53" spans="1:28" x14ac:dyDescent="0.35">
      <c r="C53" s="1"/>
      <c r="D53" s="1"/>
      <c r="E53" s="1"/>
      <c r="F53" s="1"/>
      <c r="G53" s="1"/>
      <c r="H53" s="1"/>
      <c r="J53" s="65">
        <v>6</v>
      </c>
      <c r="K53" t="s">
        <v>13</v>
      </c>
      <c r="L53" t="s">
        <v>191</v>
      </c>
      <c r="M53">
        <v>26.6</v>
      </c>
      <c r="N53" t="s">
        <v>9</v>
      </c>
      <c r="O53" t="s">
        <v>17</v>
      </c>
      <c r="P53">
        <f t="shared" si="1"/>
        <v>11.281114304592258</v>
      </c>
      <c r="Q53">
        <f t="shared" si="2"/>
        <v>234.668258948968</v>
      </c>
      <c r="R53" s="67" cm="1">
        <f t="array" ref="R53">SUMPRODUCT((J53=$J$7:$J$1000)*(P53&lt;$P$7:$P$1000))+1</f>
        <v>2</v>
      </c>
      <c r="S53" s="72"/>
      <c r="T53">
        <v>14</v>
      </c>
      <c r="U53" t="str">
        <v>NEFJ</v>
      </c>
      <c r="V53" t="str">
        <v>Harrison Boyle</v>
      </c>
      <c r="W53" t="str">
        <v>NULL</v>
      </c>
      <c r="X53" t="str">
        <v>Away</v>
      </c>
      <c r="Y53" t="str">
        <v>MIA</v>
      </c>
      <c r="Z53">
        <v>5.8301360515718379</v>
      </c>
      <c r="AA53" s="1"/>
      <c r="AB53" s="1" cm="1">
        <f t="array" ref="AB53">COUNT(_xlfn._xlws.FILTER($J$7:$J$10000,($L$7:$L$10000=AA53)*($M$7:$M$10000&lt;&gt;"NULL")*($J$7:$J$10000 &gt;= ($G$1-5))))/5</f>
        <v>0</v>
      </c>
    </row>
    <row r="54" spans="1:28" x14ac:dyDescent="0.35">
      <c r="C54" s="1"/>
      <c r="D54" s="1"/>
      <c r="E54" s="1"/>
      <c r="F54" s="1"/>
      <c r="G54" s="1"/>
      <c r="H54" s="1"/>
      <c r="J54" s="65">
        <v>6</v>
      </c>
      <c r="K54" t="s">
        <v>7</v>
      </c>
      <c r="L54" t="s">
        <v>77</v>
      </c>
      <c r="M54">
        <v>15.2</v>
      </c>
      <c r="N54" t="s">
        <v>3</v>
      </c>
      <c r="O54" t="s">
        <v>23</v>
      </c>
      <c r="P54">
        <f t="shared" si="1"/>
        <v>11.629487447756397</v>
      </c>
      <c r="Q54">
        <f t="shared" ref="Q54:Q62" si="7">IFERROR(($M54-$P54)^2,"")</f>
        <v>12.748559885729126</v>
      </c>
      <c r="R54" s="67" cm="1">
        <f t="array" ref="R54">SUMPRODUCT((J54=$J$7:$J$1000)*(P54&lt;$P$7:$P$1000))+1</f>
        <v>1</v>
      </c>
      <c r="S54" s="72"/>
      <c r="T54">
        <v>14</v>
      </c>
      <c r="U54" t="str">
        <v>NEFJ</v>
      </c>
      <c r="V54" t="str">
        <v>Jayson Potroz</v>
      </c>
      <c r="W54" t="str">
        <v>NULL</v>
      </c>
      <c r="X54" t="str">
        <v>Away</v>
      </c>
      <c r="Y54" t="str">
        <v>MIA</v>
      </c>
      <c r="Z54">
        <v>11.704274802013451</v>
      </c>
      <c r="AA54" s="1"/>
      <c r="AB54" s="1" cm="1">
        <f t="array" ref="AB54">COUNT(_xlfn._xlws.FILTER($J$7:$J$10000,($L$7:$L$10000=AA54)*($M$7:$M$10000&lt;&gt;"NULL")*($J$7:$J$10000 &gt;= ($G$1-5))))/5</f>
        <v>0</v>
      </c>
    </row>
    <row r="55" spans="1:28" x14ac:dyDescent="0.35">
      <c r="C55" s="1"/>
      <c r="D55" s="1"/>
      <c r="E55" s="1"/>
      <c r="F55" s="1"/>
      <c r="G55" s="1"/>
      <c r="H55" s="1"/>
      <c r="J55" s="65">
        <v>6</v>
      </c>
      <c r="K55" t="s">
        <v>14</v>
      </c>
      <c r="L55" t="s">
        <v>519</v>
      </c>
      <c r="M55">
        <v>12.8</v>
      </c>
      <c r="N55" t="s">
        <v>3</v>
      </c>
      <c r="O55" t="s">
        <v>36</v>
      </c>
      <c r="P55">
        <f t="shared" si="1"/>
        <v>9.3032856684751497</v>
      </c>
      <c r="Q55">
        <f t="shared" si="7"/>
        <v>12.227011116291285</v>
      </c>
      <c r="R55" s="67" cm="1">
        <f t="array" ref="R55">SUMPRODUCT((J55=$J$7:$J$1000)*(P55&lt;$P$7:$P$1000))+1</f>
        <v>4</v>
      </c>
      <c r="S55" s="72"/>
      <c r="T55">
        <v>14</v>
      </c>
      <c r="U55" t="str">
        <v>OGDC</v>
      </c>
      <c r="V55" t="str">
        <v>Jason Emery</v>
      </c>
      <c r="W55" t="str">
        <v>NULL</v>
      </c>
      <c r="X55" t="str">
        <v>Away</v>
      </c>
      <c r="Y55" t="str">
        <v>ARC</v>
      </c>
      <c r="Z55">
        <v>5.704209805879831</v>
      </c>
      <c r="AA55" s="1"/>
      <c r="AB55" s="1" cm="1">
        <f t="array" ref="AB55">COUNT(_xlfn._xlws.FILTER($J$7:$J$10000,($L$7:$L$10000=AA55)*($M$7:$M$10000&lt;&gt;"NULL")*($J$7:$J$10000 &gt;= ($G$1-5))))/5</f>
        <v>0</v>
      </c>
    </row>
    <row r="56" spans="1:28" x14ac:dyDescent="0.35">
      <c r="C56" s="1"/>
      <c r="D56" s="1"/>
      <c r="E56" s="1"/>
      <c r="F56" s="1"/>
      <c r="G56" s="1"/>
      <c r="H56" s="1"/>
      <c r="J56" s="65">
        <v>6</v>
      </c>
      <c r="K56" t="s">
        <v>24</v>
      </c>
      <c r="L56" t="s">
        <v>533</v>
      </c>
      <c r="M56">
        <v>12.2</v>
      </c>
      <c r="N56" t="s">
        <v>9</v>
      </c>
      <c r="O56" t="s">
        <v>34</v>
      </c>
      <c r="P56">
        <f t="shared" si="1"/>
        <v>7.1952063937170392</v>
      </c>
      <c r="Q56">
        <f t="shared" si="7"/>
        <v>25.047959041490795</v>
      </c>
      <c r="R56" s="67" cm="1">
        <f t="array" ref="R56">SUMPRODUCT((J56=$J$7:$J$1000)*(P56&lt;$P$7:$P$1000))+1</f>
        <v>8</v>
      </c>
      <c r="S56" s="72"/>
      <c r="T56">
        <v>14</v>
      </c>
      <c r="U56" t="str">
        <v>OGDC</v>
      </c>
      <c r="V56" t="str">
        <v>Jason Robertson</v>
      </c>
      <c r="W56" t="str">
        <v>NULL</v>
      </c>
      <c r="X56" t="str">
        <v>Away</v>
      </c>
      <c r="Y56" t="str">
        <v>ARC</v>
      </c>
      <c r="Z56">
        <v>11.312737236197799</v>
      </c>
      <c r="AA56" s="1"/>
      <c r="AB56" s="1" cm="1">
        <f t="array" ref="AB56">COUNT(_xlfn._xlws.FILTER($J$7:$J$10000,($L$7:$L$10000=AA56)*($M$7:$M$10000&lt;&gt;"NULL")*($J$7:$J$10000 &gt;= ($G$1-5))))/5</f>
        <v>0</v>
      </c>
    </row>
    <row r="57" spans="1:28" x14ac:dyDescent="0.35">
      <c r="C57" s="1"/>
      <c r="D57" s="1"/>
      <c r="E57" s="1"/>
      <c r="F57" s="1"/>
      <c r="G57" s="1"/>
      <c r="H57" s="1"/>
      <c r="J57" s="65">
        <v>6</v>
      </c>
      <c r="K57" t="s">
        <v>6</v>
      </c>
      <c r="L57" t="s">
        <v>442</v>
      </c>
      <c r="M57">
        <v>6.8</v>
      </c>
      <c r="N57" t="s">
        <v>9</v>
      </c>
      <c r="O57" t="s">
        <v>4</v>
      </c>
      <c r="P57">
        <f t="shared" si="1"/>
        <v>7.2411698998634728</v>
      </c>
      <c r="Q57">
        <f t="shared" si="7"/>
        <v>0.19463088054554678</v>
      </c>
      <c r="R57" s="67" cm="1">
        <f t="array" ref="R57">SUMPRODUCT((J57=$J$7:$J$1000)*(P57&lt;$P$7:$P$1000))+1</f>
        <v>7</v>
      </c>
      <c r="S57" s="72"/>
      <c r="T57">
        <v>14</v>
      </c>
      <c r="U57" t="str">
        <v>SDL</v>
      </c>
      <c r="V57" t="str">
        <v>Ethan Grayson</v>
      </c>
      <c r="W57" t="str">
        <v>NULL</v>
      </c>
      <c r="X57" t="str">
        <v>Away</v>
      </c>
      <c r="Y57" t="str">
        <v>SEA</v>
      </c>
      <c r="Z57">
        <v>7.9109823231219458</v>
      </c>
      <c r="AA57" s="1"/>
      <c r="AB57" s="1" cm="1">
        <f t="array" ref="AB57">COUNT(_xlfn._xlws.FILTER($J$7:$J$10000,($L$7:$L$10000=AA57)*($M$7:$M$10000&lt;&gt;"NULL")*($J$7:$J$10000 &gt;= ($G$1-5))))/5</f>
        <v>0</v>
      </c>
    </row>
    <row r="58" spans="1:28" x14ac:dyDescent="0.35">
      <c r="C58" s="1"/>
      <c r="D58" s="1"/>
      <c r="E58" s="1"/>
      <c r="F58" s="1"/>
      <c r="G58" s="1"/>
      <c r="H58" s="1"/>
      <c r="J58" s="65">
        <v>6</v>
      </c>
      <c r="K58" t="s">
        <v>34</v>
      </c>
      <c r="L58" t="s">
        <v>192</v>
      </c>
      <c r="M58">
        <v>5.5</v>
      </c>
      <c r="N58" s="10" t="s">
        <v>3</v>
      </c>
      <c r="O58" s="10" t="s">
        <v>24</v>
      </c>
      <c r="P58">
        <f t="shared" si="1"/>
        <v>9.0254689677301041</v>
      </c>
      <c r="Q58">
        <f t="shared" si="7"/>
        <v>12.428931442427965</v>
      </c>
      <c r="R58" s="67" cm="1">
        <f t="array" ref="R58">SUMPRODUCT((J58=$J$7:$J$1000)*(P58&lt;$P$7:$P$1000))+1</f>
        <v>5</v>
      </c>
      <c r="S58" s="72"/>
      <c r="T58">
        <v>14</v>
      </c>
      <c r="U58" t="str">
        <v>SDL</v>
      </c>
      <c r="V58" t="str">
        <v>Harris Rutherford</v>
      </c>
      <c r="W58" t="str">
        <v>NULL</v>
      </c>
      <c r="X58" t="str">
        <v>Away</v>
      </c>
      <c r="Y58" t="str">
        <v>SEA</v>
      </c>
      <c r="Z58">
        <v>6.6536647879583377</v>
      </c>
      <c r="AA58" s="1"/>
      <c r="AB58" s="1" cm="1">
        <f t="array" ref="AB58">COUNT(_xlfn._xlws.FILTER($J$7:$J$10000,($L$7:$L$10000=AA58)*($M$7:$M$10000&lt;&gt;"NULL")*($J$7:$J$10000 &gt;= ($G$1-5))))/5</f>
        <v>0</v>
      </c>
    </row>
    <row r="59" spans="1:28" x14ac:dyDescent="0.35">
      <c r="C59" s="1"/>
      <c r="D59" s="1"/>
      <c r="E59" s="1"/>
      <c r="F59" s="1"/>
      <c r="G59" s="1"/>
      <c r="H59" s="1"/>
      <c r="J59" s="65">
        <v>6</v>
      </c>
      <c r="K59" t="s">
        <v>23</v>
      </c>
      <c r="L59" t="s">
        <v>443</v>
      </c>
      <c r="M59">
        <v>4.8</v>
      </c>
      <c r="N59" t="s">
        <v>9</v>
      </c>
      <c r="O59" t="s">
        <v>7</v>
      </c>
      <c r="P59">
        <f t="shared" si="1"/>
        <v>4.8765675150316135</v>
      </c>
      <c r="Q59">
        <f t="shared" si="7"/>
        <v>5.8625843581163791E-3</v>
      </c>
      <c r="R59" s="67" cm="1">
        <f t="array" ref="R59">SUMPRODUCT((J59=$J$7:$J$1000)*(P59&lt;$P$7:$P$1000))+1</f>
        <v>10</v>
      </c>
      <c r="S59" s="72"/>
      <c r="T59">
        <v>14</v>
      </c>
      <c r="U59" t="str">
        <v>SDL</v>
      </c>
      <c r="V59" t="str">
        <v>Lincoln McClutchie</v>
      </c>
      <c r="W59" t="str">
        <v>NULL</v>
      </c>
      <c r="X59" t="str">
        <v>Away</v>
      </c>
      <c r="Y59" t="str">
        <v>SEA</v>
      </c>
      <c r="Z59">
        <v>9.1160235593311221</v>
      </c>
      <c r="AA59" s="1"/>
      <c r="AB59" s="1" cm="1">
        <f t="array" ref="AB59">COUNT(_xlfn._xlws.FILTER($J$7:$J$10000,($L$7:$L$10000=AA59)*($M$7:$M$10000&lt;&gt;"NULL")*($J$7:$J$10000 &gt;= ($G$1-5))))/5</f>
        <v>0</v>
      </c>
    </row>
    <row r="60" spans="1:28" x14ac:dyDescent="0.35">
      <c r="C60" s="1"/>
      <c r="D60" s="1"/>
      <c r="E60" s="1"/>
      <c r="F60" s="1"/>
      <c r="G60" s="1"/>
      <c r="H60" s="1"/>
      <c r="J60" s="65">
        <v>6</v>
      </c>
      <c r="K60" t="s">
        <v>4</v>
      </c>
      <c r="L60" t="s">
        <v>532</v>
      </c>
      <c r="M60">
        <v>4.0999999999999996</v>
      </c>
      <c r="N60" s="10" t="s">
        <v>3</v>
      </c>
      <c r="O60" s="10" t="s">
        <v>6</v>
      </c>
      <c r="P60">
        <f t="shared" si="1"/>
        <v>8.4850798020159672</v>
      </c>
      <c r="Q60">
        <f t="shared" si="7"/>
        <v>19.228924870048399</v>
      </c>
      <c r="R60" s="67" cm="1">
        <f t="array" ref="R60">SUMPRODUCT((J60=$J$7:$J$1000)*(P60&lt;$P$7:$P$1000))+1</f>
        <v>6</v>
      </c>
      <c r="S60" s="72"/>
      <c r="T60">
        <v>14</v>
      </c>
      <c r="U60" t="str">
        <v>SEA</v>
      </c>
      <c r="V60" t="str">
        <v>Eddie Fouche</v>
      </c>
      <c r="W60" t="str">
        <v>NULL</v>
      </c>
      <c r="X60" t="str">
        <v>Home</v>
      </c>
      <c r="Y60" t="str">
        <v>SDL</v>
      </c>
      <c r="Z60">
        <v>10.166748220515856</v>
      </c>
      <c r="AA60" s="1"/>
      <c r="AB60" s="1" cm="1">
        <f t="array" ref="AB60">COUNT(_xlfn._xlws.FILTER($J$7:$J$10000,($L$7:$L$10000=AA60)*($M$7:$M$10000&lt;&gt;"NULL")*($J$7:$J$10000 &gt;= ($G$1-5))))/5</f>
        <v>0</v>
      </c>
    </row>
    <row r="61" spans="1:28" x14ac:dyDescent="0.35">
      <c r="C61" s="1"/>
      <c r="D61" s="1"/>
      <c r="E61" s="1"/>
      <c r="F61" s="1"/>
      <c r="G61" s="1"/>
      <c r="H61" s="1"/>
      <c r="J61" s="65">
        <v>6</v>
      </c>
      <c r="K61" t="s">
        <v>36</v>
      </c>
      <c r="L61" t="s">
        <v>491</v>
      </c>
      <c r="M61">
        <v>3.9</v>
      </c>
      <c r="N61" s="10" t="s">
        <v>9</v>
      </c>
      <c r="O61" s="10" t="s">
        <v>14</v>
      </c>
      <c r="P61">
        <f t="shared" si="1"/>
        <v>6.2264683856582286</v>
      </c>
      <c r="Q61">
        <f t="shared" si="7"/>
        <v>5.4124551494672044</v>
      </c>
      <c r="R61" s="67" cm="1">
        <f t="array" ref="R61">SUMPRODUCT((J61=$J$7:$J$1000)*(P61&lt;$P$7:$P$1000))+1</f>
        <v>9</v>
      </c>
      <c r="S61" s="72"/>
      <c r="T61">
        <v>14</v>
      </c>
      <c r="U61" t="str">
        <v>SEA</v>
      </c>
      <c r="V61" t="str">
        <v>Rodney Iona</v>
      </c>
      <c r="W61" t="str">
        <v>NULL</v>
      </c>
      <c r="X61" t="str">
        <v>Home</v>
      </c>
      <c r="Y61" t="str">
        <v>SDL</v>
      </c>
      <c r="Z61">
        <v>8.749344365676663</v>
      </c>
      <c r="AA61" s="1"/>
      <c r="AB61" s="1" cm="1">
        <f t="array" ref="AB61">COUNT(_xlfn._xlws.FILTER($J$7:$J$10000,($L$7:$L$10000=AA61)*($M$7:$M$10000&lt;&gt;"NULL")*($J$7:$J$10000 &gt;= ($G$1-5))))/5</f>
        <v>0</v>
      </c>
    </row>
    <row r="62" spans="1:28" x14ac:dyDescent="0.35">
      <c r="C62" s="1"/>
      <c r="D62" s="1"/>
      <c r="E62" s="1"/>
      <c r="F62" s="1"/>
      <c r="G62" s="1"/>
      <c r="H62" s="1"/>
      <c r="J62" s="65">
        <v>6</v>
      </c>
      <c r="K62" t="s">
        <v>17</v>
      </c>
      <c r="L62" t="s">
        <v>196</v>
      </c>
      <c r="M62">
        <v>3.1</v>
      </c>
      <c r="N62" t="s">
        <v>3</v>
      </c>
      <c r="O62" t="s">
        <v>13</v>
      </c>
      <c r="P62">
        <f t="shared" si="1"/>
        <v>9.3549287633964013</v>
      </c>
      <c r="Q62">
        <f t="shared" si="7"/>
        <v>39.12413383516364</v>
      </c>
      <c r="R62" s="67" cm="1">
        <f t="array" ref="R62">SUMPRODUCT((J62=$J$7:$J$1000)*(P62&lt;$P$7:$P$1000))+1</f>
        <v>3</v>
      </c>
      <c r="S62" s="72"/>
      <c r="T62">
        <v>14</v>
      </c>
      <c r="U62" t="str">
        <v>UTAH</v>
      </c>
      <c r="V62" t="str">
        <v>D'Angelo Leuila</v>
      </c>
      <c r="W62" t="str">
        <v>NULL</v>
      </c>
      <c r="X62" t="str">
        <v>Away</v>
      </c>
      <c r="Y62" t="str">
        <v>HOU</v>
      </c>
      <c r="Z62">
        <v>10.398392252763712</v>
      </c>
      <c r="AA62" s="1"/>
      <c r="AB62" s="1" cm="1">
        <f t="array" ref="AB62">COUNT(_xlfn._xlws.FILTER($J$7:$J$10000,($L$7:$L$10000=AA62)*($M$7:$M$10000&lt;&gt;"NULL")*($J$7:$J$10000 &gt;= ($G$1-5))))/5</f>
        <v>0</v>
      </c>
    </row>
    <row r="63" spans="1:28" x14ac:dyDescent="0.35">
      <c r="C63" s="1"/>
      <c r="D63" s="1"/>
      <c r="E63" s="1"/>
      <c r="F63" s="1"/>
      <c r="G63" s="1"/>
      <c r="H63" s="1"/>
      <c r="J63" s="65">
        <v>7</v>
      </c>
      <c r="K63" t="s">
        <v>36</v>
      </c>
      <c r="L63" t="s">
        <v>71</v>
      </c>
      <c r="M63">
        <v>19.600000000000001</v>
      </c>
      <c r="N63" t="s">
        <v>3</v>
      </c>
      <c r="O63" t="s">
        <v>34</v>
      </c>
      <c r="P63">
        <f t="shared" si="1"/>
        <v>15.455227267565625</v>
      </c>
      <c r="Q63">
        <f t="shared" ref="Q63:Q82" si="8">IFERROR(($M63-$P63)^2,"")</f>
        <v>17.179141003531523</v>
      </c>
      <c r="R63" s="67" cm="1">
        <f t="array" ref="R63">SUMPRODUCT((J63=$J$7:$J$1000)*(P63&lt;$P$7:$P$1000))+1</f>
        <v>1</v>
      </c>
      <c r="S63" s="72"/>
      <c r="T63">
        <v>14</v>
      </c>
      <c r="U63" t="str">
        <v>UTAH</v>
      </c>
      <c r="V63" t="str">
        <v>Joel Hodgson</v>
      </c>
      <c r="W63" t="str">
        <v>NULL</v>
      </c>
      <c r="X63" t="str">
        <v>Away</v>
      </c>
      <c r="Y63" t="str">
        <v>HOU</v>
      </c>
      <c r="Z63">
        <v>9.2349771293197964</v>
      </c>
      <c r="AA63" s="1"/>
      <c r="AB63" s="1" cm="1">
        <f t="array" ref="AB63">COUNT(_xlfn._xlws.FILTER($J$7:$J$10000,($L$7:$L$10000=AA63)*($M$7:$M$10000&lt;&gt;"NULL")*($J$7:$J$10000 &gt;= ($G$1-5))))/5</f>
        <v>0</v>
      </c>
    </row>
    <row r="64" spans="1:28" x14ac:dyDescent="0.35">
      <c r="C64" s="1"/>
      <c r="D64" s="1"/>
      <c r="E64" s="1"/>
      <c r="F64" s="1"/>
      <c r="G64" s="1"/>
      <c r="H64" s="1"/>
      <c r="J64" s="65">
        <v>7</v>
      </c>
      <c r="K64" t="s">
        <v>7</v>
      </c>
      <c r="L64" t="s">
        <v>77</v>
      </c>
      <c r="M64">
        <v>16.7</v>
      </c>
      <c r="N64" t="s">
        <v>9</v>
      </c>
      <c r="O64" t="s">
        <v>6</v>
      </c>
      <c r="P64">
        <f t="shared" si="1"/>
        <v>10.48712691040746</v>
      </c>
      <c r="Q64">
        <f t="shared" si="8"/>
        <v>38.599792027383153</v>
      </c>
      <c r="R64" s="67" cm="1">
        <f t="array" ref="R64">SUMPRODUCT((J64=$J$7:$J$1000)*(P64&lt;$P$7:$P$1000))+1</f>
        <v>2</v>
      </c>
      <c r="S64" s="72"/>
      <c r="T64">
        <v>15</v>
      </c>
      <c r="U64" t="str">
        <v>ARC</v>
      </c>
      <c r="V64" t="str">
        <v>Cameron Gerlach</v>
      </c>
      <c r="W64" t="str">
        <v>NULL</v>
      </c>
      <c r="X64" t="str">
        <v>Home</v>
      </c>
      <c r="Y64" t="str">
        <v>CHI</v>
      </c>
      <c r="Z64">
        <v>5.3970780606138042</v>
      </c>
      <c r="AA64" s="1"/>
      <c r="AB64" s="1" cm="1">
        <f t="array" ref="AB64">COUNT(_xlfn._xlws.FILTER($J$7:$J$10000,($L$7:$L$10000=AA64)*($M$7:$M$10000&lt;&gt;"NULL")*($J$7:$J$10000 &gt;= ($G$1-5))))/5</f>
        <v>0</v>
      </c>
    </row>
    <row r="65" spans="3:28" x14ac:dyDescent="0.35">
      <c r="C65" s="1"/>
      <c r="D65" s="1"/>
      <c r="E65" s="1"/>
      <c r="F65" s="1"/>
      <c r="G65" s="1"/>
      <c r="H65" s="1"/>
      <c r="J65" s="65">
        <v>7</v>
      </c>
      <c r="K65" t="s">
        <v>17</v>
      </c>
      <c r="L65" t="s">
        <v>196</v>
      </c>
      <c r="M65">
        <v>12.7</v>
      </c>
      <c r="N65" t="s">
        <v>3</v>
      </c>
      <c r="O65" t="s">
        <v>14</v>
      </c>
      <c r="P65">
        <f t="shared" si="1"/>
        <v>7.4936475868592929</v>
      </c>
      <c r="Q65">
        <f t="shared" si="8"/>
        <v>27.106105449816056</v>
      </c>
      <c r="R65" s="67" cm="1">
        <f t="array" ref="R65">SUMPRODUCT((J65=$J$7:$J$1000)*(P65&lt;$P$7:$P$1000))+1</f>
        <v>7</v>
      </c>
      <c r="S65" s="72"/>
      <c r="T65">
        <v>15</v>
      </c>
      <c r="U65" t="str">
        <v>ARC</v>
      </c>
      <c r="V65" t="str">
        <v>Cliven Loubser</v>
      </c>
      <c r="W65" t="str">
        <v>NULL</v>
      </c>
      <c r="X65" t="str">
        <v>Home</v>
      </c>
      <c r="Y65" t="str">
        <v>CHI</v>
      </c>
      <c r="Z65">
        <v>9.8126444243114381</v>
      </c>
      <c r="AA65" s="1"/>
      <c r="AB65" s="1" cm="1">
        <f t="array" ref="AB65">COUNT(_xlfn._xlws.FILTER($J$7:$J$10000,($L$7:$L$10000=AA65)*($M$7:$M$10000&lt;&gt;"NULL")*($J$7:$J$10000 &gt;= ($G$1-5))))/5</f>
        <v>0</v>
      </c>
    </row>
    <row r="66" spans="3:28" x14ac:dyDescent="0.35">
      <c r="C66" s="1"/>
      <c r="D66" s="1"/>
      <c r="E66" s="1"/>
      <c r="F66" s="1"/>
      <c r="G66" s="1"/>
      <c r="H66" s="1"/>
      <c r="J66" s="65">
        <v>7</v>
      </c>
      <c r="K66" t="s">
        <v>4</v>
      </c>
      <c r="L66" t="s">
        <v>188</v>
      </c>
      <c r="M66">
        <v>11.1</v>
      </c>
      <c r="N66" t="s">
        <v>3</v>
      </c>
      <c r="O66" t="s">
        <v>2</v>
      </c>
      <c r="P66">
        <f t="shared" si="1"/>
        <v>8.8681963457401292</v>
      </c>
      <c r="Q66">
        <f t="shared" si="8"/>
        <v>4.9809475511677119</v>
      </c>
      <c r="R66" s="67" cm="1">
        <f t="array" ref="R66">SUMPRODUCT((J66=$J$7:$J$1000)*(P66&lt;$P$7:$P$1000))+1</f>
        <v>4</v>
      </c>
      <c r="S66" s="72"/>
      <c r="T66">
        <v>15</v>
      </c>
      <c r="U66" t="str">
        <v>ARC</v>
      </c>
      <c r="V66" t="str">
        <v>Karl Keane</v>
      </c>
      <c r="W66" t="str">
        <v>NULL</v>
      </c>
      <c r="X66" t="str">
        <v>Home</v>
      </c>
      <c r="Y66" t="str">
        <v>CHI</v>
      </c>
      <c r="Z66">
        <v>3.8052545708833612</v>
      </c>
      <c r="AA66" s="1"/>
      <c r="AB66" s="1" cm="1">
        <f t="array" ref="AB66">COUNT(_xlfn._xlws.FILTER($J$7:$J$10000,($L$7:$L$10000=AA66)*($M$7:$M$10000&lt;&gt;"NULL")*($J$7:$J$10000 &gt;= ($G$1-5))))/5</f>
        <v>0</v>
      </c>
    </row>
    <row r="67" spans="3:28" x14ac:dyDescent="0.35">
      <c r="C67" s="1"/>
      <c r="D67" s="1"/>
      <c r="E67" s="1"/>
      <c r="F67" s="1"/>
      <c r="G67" s="1"/>
      <c r="H67" s="1"/>
      <c r="J67" s="65">
        <v>7</v>
      </c>
      <c r="K67" t="s">
        <v>2</v>
      </c>
      <c r="L67" t="s">
        <v>520</v>
      </c>
      <c r="M67">
        <v>10.3</v>
      </c>
      <c r="N67" t="s">
        <v>9</v>
      </c>
      <c r="O67" t="s">
        <v>4</v>
      </c>
      <c r="P67">
        <f t="shared" si="1"/>
        <v>8.6573091236350361</v>
      </c>
      <c r="Q67">
        <f t="shared" si="8"/>
        <v>2.6984333152926951</v>
      </c>
      <c r="R67" s="67" cm="1">
        <f t="array" ref="R67">SUMPRODUCT((J67=$J$7:$J$1000)*(P67&lt;$P$7:$P$1000))+1</f>
        <v>5</v>
      </c>
      <c r="S67" s="72"/>
      <c r="T67">
        <v>15</v>
      </c>
      <c r="U67" t="str">
        <v>ARC</v>
      </c>
      <c r="V67" t="str">
        <v>Line Latu</v>
      </c>
      <c r="W67" t="str">
        <v>NULL</v>
      </c>
      <c r="X67" t="str">
        <v>Home</v>
      </c>
      <c r="Y67" t="str">
        <v>CHI</v>
      </c>
      <c r="Z67">
        <v>8.9760683037031068</v>
      </c>
      <c r="AA67" s="1"/>
      <c r="AB67" s="1" cm="1">
        <f t="array" ref="AB67">COUNT(_xlfn._xlws.FILTER($J$7:$J$10000,($L$7:$L$10000=AA67)*($M$7:$M$10000&lt;&gt;"NULL")*($J$7:$J$10000 &gt;= ($G$1-5))))/5</f>
        <v>0</v>
      </c>
    </row>
    <row r="68" spans="3:28" x14ac:dyDescent="0.35">
      <c r="C68" s="1"/>
      <c r="D68" s="1"/>
      <c r="E68" s="1"/>
      <c r="F68" s="1"/>
      <c r="G68" s="1"/>
      <c r="H68" s="1"/>
      <c r="J68" s="65">
        <v>7</v>
      </c>
      <c r="K68" t="s">
        <v>13</v>
      </c>
      <c r="L68" t="s">
        <v>191</v>
      </c>
      <c r="M68">
        <v>8</v>
      </c>
      <c r="N68" s="10" t="s">
        <v>3</v>
      </c>
      <c r="O68" s="10" t="s">
        <v>23</v>
      </c>
      <c r="P68">
        <f t="shared" si="1"/>
        <v>9.2216061365995987</v>
      </c>
      <c r="Q68">
        <f t="shared" si="8"/>
        <v>1.4923215529777973</v>
      </c>
      <c r="R68" s="67" cm="1">
        <f t="array" ref="R68">SUMPRODUCT((J68=$J$7:$J$1000)*(P68&lt;$P$7:$P$1000))+1</f>
        <v>3</v>
      </c>
      <c r="S68" s="72"/>
      <c r="T68">
        <v>15</v>
      </c>
      <c r="U68" t="str">
        <v>CHI</v>
      </c>
      <c r="V68" t="str">
        <v>Adriaan Carelse</v>
      </c>
      <c r="W68" t="str">
        <v>NULL</v>
      </c>
      <c r="X68" t="str">
        <v>Away</v>
      </c>
      <c r="Y68" t="str">
        <v>ARC</v>
      </c>
      <c r="Z68">
        <v>7.4352348615309278</v>
      </c>
      <c r="AA68" s="1"/>
      <c r="AB68" s="1" cm="1">
        <f t="array" ref="AB68">COUNT(_xlfn._xlws.FILTER($J$7:$J$10000,($L$7:$L$10000=AA68)*($M$7:$M$10000&lt;&gt;"NULL")*($J$7:$J$10000 &gt;= ($G$1-5))))/5</f>
        <v>0</v>
      </c>
    </row>
    <row r="69" spans="3:28" x14ac:dyDescent="0.35">
      <c r="C69" s="1"/>
      <c r="D69" s="1"/>
      <c r="E69" s="1"/>
      <c r="F69" s="1"/>
      <c r="G69" s="1"/>
      <c r="H69" s="1"/>
      <c r="J69" s="65">
        <v>7</v>
      </c>
      <c r="K69" t="s">
        <v>6</v>
      </c>
      <c r="L69" t="s">
        <v>442</v>
      </c>
      <c r="M69">
        <v>6.2</v>
      </c>
      <c r="N69" t="s">
        <v>3</v>
      </c>
      <c r="O69" t="s">
        <v>7</v>
      </c>
      <c r="P69">
        <f t="shared" si="1"/>
        <v>7.5507150695288754</v>
      </c>
      <c r="Q69">
        <f t="shared" si="8"/>
        <v>1.8244311990523943</v>
      </c>
      <c r="R69" s="67" cm="1">
        <f t="array" ref="R69">SUMPRODUCT((J69=$J$7:$J$1000)*(P69&lt;$P$7:$P$1000))+1</f>
        <v>6</v>
      </c>
      <c r="S69" s="72"/>
      <c r="T69">
        <v>15</v>
      </c>
      <c r="U69" t="str">
        <v>CHI</v>
      </c>
      <c r="V69" t="str">
        <v>Christopher Hilsenbeck</v>
      </c>
      <c r="W69" t="str">
        <v>NULL</v>
      </c>
      <c r="X69" t="str">
        <v>Away</v>
      </c>
      <c r="Y69" t="str">
        <v>ARC</v>
      </c>
      <c r="Z69">
        <v>7.6347190418904241</v>
      </c>
      <c r="AA69" s="1"/>
      <c r="AB69" s="1" cm="1">
        <f t="array" ref="AB69">COUNT(_xlfn._xlws.FILTER($J$7:$J$10000,($L$7:$L$10000=AA69)*($M$7:$M$10000&lt;&gt;"NULL")*($J$7:$J$10000 &gt;= ($G$1-5))))/5</f>
        <v>0</v>
      </c>
    </row>
    <row r="70" spans="3:28" x14ac:dyDescent="0.35">
      <c r="C70" s="1"/>
      <c r="D70" s="1"/>
      <c r="E70" s="1"/>
      <c r="F70" s="1"/>
      <c r="G70" s="1"/>
      <c r="H70" s="1"/>
      <c r="J70" s="65">
        <v>7</v>
      </c>
      <c r="K70" t="s">
        <v>23</v>
      </c>
      <c r="L70" t="s">
        <v>443</v>
      </c>
      <c r="M70">
        <v>3.6</v>
      </c>
      <c r="N70" t="s">
        <v>9</v>
      </c>
      <c r="O70" t="s">
        <v>13</v>
      </c>
      <c r="P70">
        <f t="shared" si="1"/>
        <v>6.2571945011892778</v>
      </c>
      <c r="Q70">
        <f t="shared" si="8"/>
        <v>7.0606826171505341</v>
      </c>
      <c r="R70" s="67" cm="1">
        <f t="array" ref="R70">SUMPRODUCT((J70=$J$7:$J$1000)*(P70&lt;$P$7:$P$1000))+1</f>
        <v>9</v>
      </c>
      <c r="S70" s="72"/>
      <c r="T70">
        <v>15</v>
      </c>
      <c r="U70" t="str">
        <v>CHI</v>
      </c>
      <c r="V70" t="str">
        <v>Tim Swiel</v>
      </c>
      <c r="W70" t="str">
        <v>NULL</v>
      </c>
      <c r="X70" t="str">
        <v>Away</v>
      </c>
      <c r="Y70" t="str">
        <v>ARC</v>
      </c>
      <c r="Z70">
        <v>-0.98595299505746525</v>
      </c>
      <c r="AA70" s="1"/>
      <c r="AB70" s="1" cm="1">
        <f t="array" ref="AB70">COUNT(_xlfn._xlws.FILTER($J$7:$J$10000,($L$7:$L$10000=AA70)*($M$7:$M$10000&lt;&gt;"NULL")*($J$7:$J$10000 &gt;= ($G$1-5))))/5</f>
        <v>0</v>
      </c>
    </row>
    <row r="71" spans="3:28" x14ac:dyDescent="0.35">
      <c r="C71" s="1"/>
      <c r="D71" s="1"/>
      <c r="E71" s="1"/>
      <c r="F71" s="1"/>
      <c r="G71" s="1"/>
      <c r="H71" s="1"/>
      <c r="J71" s="65">
        <v>7</v>
      </c>
      <c r="K71" t="s">
        <v>34</v>
      </c>
      <c r="L71" t="s">
        <v>192</v>
      </c>
      <c r="M71">
        <v>3.1</v>
      </c>
      <c r="N71" s="10" t="s">
        <v>9</v>
      </c>
      <c r="O71" s="10" t="s">
        <v>36</v>
      </c>
      <c r="P71">
        <f t="shared" si="1"/>
        <v>7.0698863840586617</v>
      </c>
      <c r="Q71">
        <f t="shared" si="8"/>
        <v>15.759997902334355</v>
      </c>
      <c r="R71" s="67" cm="1">
        <f t="array" ref="R71">SUMPRODUCT((J71=$J$7:$J$1000)*(P71&lt;$P$7:$P$1000))+1</f>
        <v>8</v>
      </c>
      <c r="S71" s="72"/>
      <c r="T71">
        <v>15</v>
      </c>
      <c r="U71" t="str">
        <v>HOU</v>
      </c>
      <c r="V71" t="str">
        <v>AJ Alatimu</v>
      </c>
      <c r="W71" t="str">
        <v>NULL</v>
      </c>
      <c r="X71" t="str">
        <v>Away</v>
      </c>
      <c r="Y71" t="str">
        <v>SEA</v>
      </c>
      <c r="Z71">
        <v>8.6027267652094839</v>
      </c>
      <c r="AA71" s="1"/>
      <c r="AB71" s="1" cm="1">
        <f t="array" ref="AB71">COUNT(_xlfn._xlws.FILTER($J$7:$J$10000,($L$7:$L$10000=AA71)*($M$7:$M$10000&lt;&gt;"NULL")*($J$7:$J$10000 &gt;= ($G$1-5))))/5</f>
        <v>0</v>
      </c>
    </row>
    <row r="72" spans="3:28" x14ac:dyDescent="0.35">
      <c r="C72" s="1"/>
      <c r="D72" s="1"/>
      <c r="E72" s="1"/>
      <c r="F72" s="1"/>
      <c r="G72" s="1"/>
      <c r="H72" s="1"/>
      <c r="J72" s="65">
        <v>7</v>
      </c>
      <c r="K72" t="s">
        <v>14</v>
      </c>
      <c r="L72" t="s">
        <v>454</v>
      </c>
      <c r="M72">
        <v>2.8</v>
      </c>
      <c r="N72" t="s">
        <v>9</v>
      </c>
      <c r="O72" t="s">
        <v>17</v>
      </c>
      <c r="P72">
        <f t="shared" ref="P72:P135" si="9">VLOOKUP($N72,$F$3:$G$4,2,FALSE)+VLOOKUP($L72,$B$20:$C$150,2,FALSE)+VLOOKUP($O72,$A$6:$B$16,2,FALSE)</f>
        <v>6.0823754190194066</v>
      </c>
      <c r="Q72">
        <f t="shared" si="8"/>
        <v>10.773988391382826</v>
      </c>
      <c r="R72" s="67" cm="1">
        <f t="array" ref="R72">SUMPRODUCT((J72=$J$7:$J$1000)*(P72&lt;$P$7:$P$1000))+1</f>
        <v>10</v>
      </c>
      <c r="S72" s="72"/>
      <c r="T72">
        <v>15</v>
      </c>
      <c r="U72" t="str">
        <v>HOU</v>
      </c>
      <c r="V72" t="str">
        <v>Davy Coetzer</v>
      </c>
      <c r="W72" t="str">
        <v>NULL</v>
      </c>
      <c r="X72" t="str">
        <v>Away</v>
      </c>
      <c r="Y72" t="str">
        <v>SEA</v>
      </c>
      <c r="Z72">
        <v>15.724307807268943</v>
      </c>
      <c r="AA72" s="1"/>
      <c r="AB72" s="1" cm="1">
        <f t="array" ref="AB72">COUNT(_xlfn._xlws.FILTER($J$7:$J$10000,($L$7:$L$10000=AA72)*($M$7:$M$10000&lt;&gt;"NULL")*($J$7:$J$10000 &gt;= ($G$1-5))))/5</f>
        <v>0</v>
      </c>
    </row>
    <row r="73" spans="3:28" x14ac:dyDescent="0.35">
      <c r="J73" s="65">
        <v>8</v>
      </c>
      <c r="K73" t="s">
        <v>23</v>
      </c>
      <c r="L73" t="s">
        <v>518</v>
      </c>
      <c r="M73">
        <v>15.8</v>
      </c>
      <c r="N73" t="s">
        <v>3</v>
      </c>
      <c r="O73" t="s">
        <v>24</v>
      </c>
      <c r="P73">
        <f t="shared" si="9"/>
        <v>12.789251118542838</v>
      </c>
      <c r="Q73">
        <f t="shared" si="8"/>
        <v>9.0646088271955563</v>
      </c>
      <c r="R73" s="67" cm="1">
        <f t="array" ref="R73">SUMPRODUCT((J73=$J$7:$J$1000)*(P73&lt;$P$7:$P$1000))+1</f>
        <v>2</v>
      </c>
      <c r="S73" s="72"/>
      <c r="T73">
        <v>15</v>
      </c>
      <c r="U73" t="str">
        <v>HOU</v>
      </c>
      <c r="V73" t="str">
        <v>Max Schumacher</v>
      </c>
      <c r="W73" t="str">
        <v>NULL</v>
      </c>
      <c r="X73" t="str">
        <v>Away</v>
      </c>
      <c r="Y73" t="str">
        <v>SEA</v>
      </c>
      <c r="Z73">
        <v>6.3065835632230058</v>
      </c>
      <c r="AA73" s="1"/>
      <c r="AB73" s="1" cm="1">
        <f t="array" ref="AB73">COUNT(_xlfn._xlws.FILTER($J$7:$J$10000,($L$7:$L$10000=AA73)*($M$7:$M$10000&lt;&gt;"NULL")*($J$7:$J$10000 &gt;= ($G$1-5))))/5</f>
        <v>0</v>
      </c>
    </row>
    <row r="74" spans="3:28" x14ac:dyDescent="0.35">
      <c r="J74" s="65">
        <v>8</v>
      </c>
      <c r="K74" t="s">
        <v>2</v>
      </c>
      <c r="L74" t="s">
        <v>520</v>
      </c>
      <c r="M74">
        <v>13.2</v>
      </c>
      <c r="N74" t="s">
        <v>9</v>
      </c>
      <c r="O74" t="s">
        <v>34</v>
      </c>
      <c r="P74">
        <f t="shared" si="9"/>
        <v>8.8904158207077941</v>
      </c>
      <c r="Q74">
        <f t="shared" si="8"/>
        <v>18.572515798405668</v>
      </c>
      <c r="R74" s="67" cm="1">
        <f t="array" ref="R74">SUMPRODUCT((J74=$J$7:$J$1000)*(P74&lt;$P$7:$P$1000))+1</f>
        <v>4</v>
      </c>
      <c r="S74" s="72"/>
      <c r="T74">
        <v>15</v>
      </c>
      <c r="U74" t="str">
        <v>LA</v>
      </c>
      <c r="V74" t="str">
        <v>Christian Leali'ifano</v>
      </c>
      <c r="W74" t="str">
        <v>NULL</v>
      </c>
      <c r="X74" t="str">
        <v>Home</v>
      </c>
      <c r="Y74" t="str">
        <v>MIA</v>
      </c>
      <c r="Z74">
        <v>8.5042836060690998</v>
      </c>
      <c r="AA74" s="1"/>
      <c r="AB74" s="1" cm="1">
        <f t="array" ref="AB74">COUNT(_xlfn._xlws.FILTER($J$7:$J$10000,($L$7:$L$10000=AA74)*($M$7:$M$10000&lt;&gt;"NULL")*($J$7:$J$10000 &gt;= ($G$1-5))))/5</f>
        <v>0</v>
      </c>
    </row>
    <row r="75" spans="3:28" x14ac:dyDescent="0.35">
      <c r="J75" s="66">
        <v>8</v>
      </c>
      <c r="K75" t="s">
        <v>34</v>
      </c>
      <c r="L75" t="s">
        <v>192</v>
      </c>
      <c r="M75">
        <v>10.5</v>
      </c>
      <c r="N75" t="s">
        <v>3</v>
      </c>
      <c r="O75" t="s">
        <v>2</v>
      </c>
      <c r="P75">
        <f t="shared" si="9"/>
        <v>8.4307262009255197</v>
      </c>
      <c r="Q75">
        <f t="shared" si="8"/>
        <v>4.2818940555361324</v>
      </c>
      <c r="R75" s="67" cm="1">
        <f t="array" ref="R75">SUMPRODUCT((J75=$J$7:$J$1000)*(P75&lt;$P$7:$P$1000))+1</f>
        <v>5</v>
      </c>
      <c r="S75" s="72"/>
      <c r="T75">
        <v>15</v>
      </c>
      <c r="U75" t="str">
        <v>LA</v>
      </c>
      <c r="V75" t="str">
        <v>Sean Nolan</v>
      </c>
      <c r="W75" t="str">
        <v>NULL</v>
      </c>
      <c r="X75" t="str">
        <v>Home</v>
      </c>
      <c r="Y75" t="str">
        <v>MIA</v>
      </c>
      <c r="Z75">
        <v>3.0927927046564934</v>
      </c>
      <c r="AA75" s="1"/>
      <c r="AB75" s="1" cm="1">
        <f t="array" ref="AB75">COUNT(_xlfn._xlws.FILTER($J$7:$J$10000,($L$7:$L$10000=AA75)*($M$7:$M$10000&lt;&gt;"NULL")*($J$7:$J$10000 &gt;= ($G$1-5))))/5</f>
        <v>0</v>
      </c>
    </row>
    <row r="76" spans="3:28" x14ac:dyDescent="0.35">
      <c r="J76" s="66">
        <v>8</v>
      </c>
      <c r="K76" t="s">
        <v>7</v>
      </c>
      <c r="L76" t="s">
        <v>19</v>
      </c>
      <c r="M76">
        <v>10.3</v>
      </c>
      <c r="N76" t="s">
        <v>3</v>
      </c>
      <c r="O76" t="s">
        <v>17</v>
      </c>
      <c r="P76">
        <f t="shared" si="9"/>
        <v>8.9319492464616577</v>
      </c>
      <c r="Q76">
        <f t="shared" si="8"/>
        <v>1.8715628642568283</v>
      </c>
      <c r="R76" s="67" cm="1">
        <f t="array" ref="R76">SUMPRODUCT((J76=$J$7:$J$1000)*(P76&lt;$P$7:$P$1000))+1</f>
        <v>3</v>
      </c>
      <c r="S76" s="72"/>
      <c r="T76">
        <v>15</v>
      </c>
      <c r="U76" t="str">
        <v>MIA</v>
      </c>
      <c r="V76" t="str">
        <v>Martin Elias</v>
      </c>
      <c r="W76" t="str">
        <v>NULL</v>
      </c>
      <c r="X76" t="str">
        <v>Away</v>
      </c>
      <c r="Y76" t="str">
        <v>LA</v>
      </c>
      <c r="Z76">
        <v>5.4528586691667833</v>
      </c>
      <c r="AA76" s="1"/>
      <c r="AB76" s="1" cm="1">
        <f t="array" ref="AB76">COUNT(_xlfn._xlws.FILTER($J$7:$J$10000,($L$7:$L$10000=AA76)*($M$7:$M$10000&lt;&gt;"NULL")*($J$7:$J$10000 &gt;= ($G$1-5))))/5</f>
        <v>0</v>
      </c>
    </row>
    <row r="77" spans="3:28" x14ac:dyDescent="0.35">
      <c r="J77" s="66">
        <v>8</v>
      </c>
      <c r="K77" t="s">
        <v>14</v>
      </c>
      <c r="L77" t="s">
        <v>454</v>
      </c>
      <c r="M77">
        <v>3.7</v>
      </c>
      <c r="N77" t="s">
        <v>3</v>
      </c>
      <c r="O77" t="s">
        <v>4</v>
      </c>
      <c r="P77">
        <f t="shared" si="9"/>
        <v>5.5801881822433321</v>
      </c>
      <c r="Q77">
        <f t="shared" si="8"/>
        <v>3.5351076006474846</v>
      </c>
      <c r="R77" s="67" cm="1">
        <f t="array" ref="R77">SUMPRODUCT((J77=$J$7:$J$1000)*(P77&lt;$P$7:$P$1000))+1</f>
        <v>8</v>
      </c>
      <c r="S77" s="72"/>
      <c r="T77">
        <v>15</v>
      </c>
      <c r="U77" t="str">
        <v>MIA</v>
      </c>
      <c r="V77" t="str">
        <v>Santiago Videla</v>
      </c>
      <c r="W77" t="str">
        <v>NULL</v>
      </c>
      <c r="X77" t="str">
        <v>Away</v>
      </c>
      <c r="Y77" t="str">
        <v>LA</v>
      </c>
      <c r="Z77">
        <v>10.483416778394814</v>
      </c>
      <c r="AA77" s="1"/>
      <c r="AB77" s="1" cm="1">
        <f t="array" ref="AB77">COUNT(_xlfn._xlws.FILTER($J$7:$J$10000,($L$7:$L$10000=AA77)*($M$7:$M$10000&lt;&gt;"NULL")*($J$7:$J$10000 &gt;= ($G$1-5))))/5</f>
        <v>0</v>
      </c>
    </row>
    <row r="78" spans="3:28" x14ac:dyDescent="0.35">
      <c r="J78" s="65">
        <v>8</v>
      </c>
      <c r="K78" t="s">
        <v>4</v>
      </c>
      <c r="L78" t="s">
        <v>188</v>
      </c>
      <c r="M78">
        <v>2.9</v>
      </c>
      <c r="N78" s="10" t="s">
        <v>9</v>
      </c>
      <c r="O78" s="10" t="s">
        <v>14</v>
      </c>
      <c r="P78">
        <f t="shared" si="9"/>
        <v>7.1772353245944762</v>
      </c>
      <c r="Q78">
        <f t="shared" si="8"/>
        <v>18.294742021958818</v>
      </c>
      <c r="R78" s="67" cm="1">
        <f t="array" ref="R78">SUMPRODUCT((J78=$J$7:$J$1000)*(P78&lt;$P$7:$P$1000))+1</f>
        <v>6</v>
      </c>
      <c r="S78" s="72"/>
      <c r="T78">
        <v>15</v>
      </c>
      <c r="U78" t="str">
        <v>MIA</v>
      </c>
      <c r="V78" t="str">
        <v>Shane O'Leary</v>
      </c>
      <c r="W78" t="str">
        <v>NULL</v>
      </c>
      <c r="X78" t="str">
        <v>Away</v>
      </c>
      <c r="Y78" t="str">
        <v>LA</v>
      </c>
      <c r="Z78">
        <v>5.1138992891093293</v>
      </c>
      <c r="AA78" s="1"/>
      <c r="AB78" s="1" cm="1">
        <f t="array" ref="AB78">COUNT(_xlfn._xlws.FILTER($J$7:$J$10000,($L$7:$L$10000=AA78)*($M$7:$M$10000&lt;&gt;"NULL")*($J$7:$J$10000 &gt;= ($G$1-5))))/5</f>
        <v>0</v>
      </c>
    </row>
    <row r="79" spans="3:28" x14ac:dyDescent="0.35">
      <c r="J79" s="65">
        <v>8</v>
      </c>
      <c r="K79" t="s">
        <v>6</v>
      </c>
      <c r="L79" t="s">
        <v>602</v>
      </c>
      <c r="M79">
        <v>1.9</v>
      </c>
      <c r="N79" t="s">
        <v>9</v>
      </c>
      <c r="O79" t="s">
        <v>36</v>
      </c>
      <c r="P79">
        <f t="shared" si="9"/>
        <v>1.1372101209850507</v>
      </c>
      <c r="Q79">
        <f t="shared" si="8"/>
        <v>0.58184839952764089</v>
      </c>
      <c r="R79" s="67" cm="1">
        <f t="array" ref="R79">SUMPRODUCT((J79=$J$7:$J$1000)*(P79&lt;$P$7:$P$1000))+1</f>
        <v>10</v>
      </c>
      <c r="S79" s="72"/>
      <c r="T79">
        <v>15</v>
      </c>
      <c r="U79" t="str">
        <v>NEFJ</v>
      </c>
      <c r="V79" t="str">
        <v>Dan Hollinshead</v>
      </c>
      <c r="W79" t="str">
        <v>NULL</v>
      </c>
      <c r="X79" t="str">
        <v>Home</v>
      </c>
      <c r="Y79" t="str">
        <v>OGDC</v>
      </c>
      <c r="Z79">
        <v>11.350526925972405</v>
      </c>
      <c r="AA79" s="1"/>
      <c r="AB79" s="1" cm="1">
        <f t="array" ref="AB79">COUNT(_xlfn._xlws.FILTER($J$7:$J$10000,($L$7:$L$10000=AA79)*($M$7:$M$10000&lt;&gt;"NULL")*($J$7:$J$10000 &gt;= ($G$1-5))))/5</f>
        <v>0</v>
      </c>
    </row>
    <row r="80" spans="3:28" x14ac:dyDescent="0.35">
      <c r="J80" s="65">
        <v>8</v>
      </c>
      <c r="K80" t="s">
        <v>36</v>
      </c>
      <c r="L80" t="s">
        <v>71</v>
      </c>
      <c r="M80">
        <v>0.5</v>
      </c>
      <c r="N80" s="10" t="s">
        <v>3</v>
      </c>
      <c r="O80" s="10" t="s">
        <v>6</v>
      </c>
      <c r="P80">
        <f t="shared" si="9"/>
        <v>13.373920162957916</v>
      </c>
      <c r="Q80">
        <f t="shared" si="8"/>
        <v>165.73782036221436</v>
      </c>
      <c r="R80" s="67" cm="1">
        <f t="array" ref="R80">SUMPRODUCT((J80=$J$7:$J$1000)*(P80&lt;$P$7:$P$1000))+1</f>
        <v>1</v>
      </c>
      <c r="S80" s="72"/>
      <c r="T80">
        <v>15</v>
      </c>
      <c r="U80" t="str">
        <v>NEFJ</v>
      </c>
      <c r="V80" t="str">
        <v>Faletoi Peni</v>
      </c>
      <c r="W80" t="str">
        <v>NULL</v>
      </c>
      <c r="X80" t="str">
        <v>Home</v>
      </c>
      <c r="Y80" t="str">
        <v>OGDC</v>
      </c>
      <c r="Z80">
        <v>11.835682582002613</v>
      </c>
      <c r="AA80" s="1"/>
      <c r="AB80" s="1" cm="1">
        <f t="array" ref="AB80">COUNT(_xlfn._xlws.FILTER($J$7:$J$10000,($L$7:$L$10000=AA80)*($M$7:$M$10000&lt;&gt;"NULL")*($J$7:$J$10000 &gt;= ($G$1-5))))/5</f>
        <v>0</v>
      </c>
    </row>
    <row r="81" spans="10:28" x14ac:dyDescent="0.35">
      <c r="J81" s="65">
        <v>8</v>
      </c>
      <c r="K81" t="s">
        <v>24</v>
      </c>
      <c r="L81" t="s">
        <v>533</v>
      </c>
      <c r="M81">
        <v>0.4</v>
      </c>
      <c r="N81" t="s">
        <v>9</v>
      </c>
      <c r="O81" t="s">
        <v>23</v>
      </c>
      <c r="P81">
        <f t="shared" si="9"/>
        <v>5.4047787654276966</v>
      </c>
      <c r="Q81">
        <f t="shared" si="8"/>
        <v>25.047810490875975</v>
      </c>
      <c r="R81" s="67" cm="1">
        <f t="array" ref="R81">SUMPRODUCT((J81=$J$7:$J$1000)*(P81&lt;$P$7:$P$1000))+1</f>
        <v>9</v>
      </c>
      <c r="S81" s="72"/>
      <c r="T81">
        <v>15</v>
      </c>
      <c r="U81" t="str">
        <v>NEFJ</v>
      </c>
      <c r="V81" t="str">
        <v>Harrison Boyle</v>
      </c>
      <c r="W81" t="str">
        <v>NULL</v>
      </c>
      <c r="X81" t="str">
        <v>Home</v>
      </c>
      <c r="Y81" t="str">
        <v>OGDC</v>
      </c>
      <c r="Z81">
        <v>5.728048576062184</v>
      </c>
      <c r="AA81" s="1"/>
      <c r="AB81" s="1" cm="1">
        <f t="array" ref="AB81">COUNT(_xlfn._xlws.FILTER($J$7:$J$10000,($L$7:$L$10000=AA81)*($M$7:$M$10000&lt;&gt;"NULL")*($J$7:$J$10000 &gt;= ($G$1-5))))/5</f>
        <v>0</v>
      </c>
    </row>
    <row r="82" spans="10:28" x14ac:dyDescent="0.35">
      <c r="J82" s="66">
        <v>8</v>
      </c>
      <c r="K82" t="s">
        <v>17</v>
      </c>
      <c r="L82" t="s">
        <v>196</v>
      </c>
      <c r="M82">
        <v>0.1</v>
      </c>
      <c r="N82" t="s">
        <v>9</v>
      </c>
      <c r="O82" t="s">
        <v>7</v>
      </c>
      <c r="P82">
        <f t="shared" si="9"/>
        <v>7.1228207162081674</v>
      </c>
      <c r="Q82">
        <f t="shared" si="8"/>
        <v>49.3200108120026</v>
      </c>
      <c r="R82" s="67" cm="1">
        <f t="array" ref="R82">SUMPRODUCT((J82=$J$7:$J$1000)*(P82&lt;$P$7:$P$1000))+1</f>
        <v>7</v>
      </c>
      <c r="S82" s="72"/>
      <c r="T82">
        <v>15</v>
      </c>
      <c r="U82" t="str">
        <v>NEFJ</v>
      </c>
      <c r="V82" t="str">
        <v>Jayson Potroz</v>
      </c>
      <c r="W82" t="str">
        <v>NULL</v>
      </c>
      <c r="X82" t="str">
        <v>Home</v>
      </c>
      <c r="Y82" t="str">
        <v>OGDC</v>
      </c>
      <c r="Z82">
        <v>11.602187326503795</v>
      </c>
      <c r="AA82" s="1"/>
      <c r="AB82" s="1" cm="1">
        <f t="array" ref="AB82">COUNT(_xlfn._xlws.FILTER($J$7:$J$10000,($L$7:$L$10000=AA82)*($M$7:$M$10000&lt;&gt;"NULL")*($J$7:$J$10000 &gt;= ($G$1-5))))/5</f>
        <v>0</v>
      </c>
    </row>
    <row r="83" spans="10:28" x14ac:dyDescent="0.35">
      <c r="J83" s="66">
        <v>9</v>
      </c>
      <c r="K83" t="s">
        <v>2</v>
      </c>
      <c r="L83" t="s">
        <v>444</v>
      </c>
      <c r="M83">
        <v>10.4</v>
      </c>
      <c r="N83" t="s">
        <v>3</v>
      </c>
      <c r="O83" t="s">
        <v>14</v>
      </c>
      <c r="P83">
        <f t="shared" si="9"/>
        <v>-0.1344719340268955</v>
      </c>
      <c r="Q83">
        <f t="shared" ref="Q83:Q114" si="10">IFERROR(($M83-$P83)^2,"")</f>
        <v>110.97509892880038</v>
      </c>
      <c r="R83" s="67" cm="1">
        <f t="array" ref="R83">SUMPRODUCT((J83=$J$7:$J$1000)*(P83&lt;$P$7:$P$1000))+1</f>
        <v>10</v>
      </c>
      <c r="S83" s="72"/>
      <c r="T83">
        <v>15</v>
      </c>
      <c r="U83" t="str">
        <v>NOLA</v>
      </c>
      <c r="V83" t="str">
        <v>Dorian Jones</v>
      </c>
      <c r="W83" t="str">
        <v>NULL</v>
      </c>
      <c r="X83" t="str">
        <v>Home</v>
      </c>
      <c r="Y83" t="str">
        <v>UTAH</v>
      </c>
      <c r="Z83">
        <v>9.8899975621621543</v>
      </c>
      <c r="AA83" s="1"/>
      <c r="AB83" s="1" cm="1">
        <f t="array" ref="AB83">COUNT(_xlfn._xlws.FILTER($J$7:$J$10000,($L$7:$L$10000=AA83)*($M$7:$M$10000&lt;&gt;"NULL")*($J$7:$J$10000 &gt;= ($G$1-5))))/5</f>
        <v>0</v>
      </c>
    </row>
    <row r="84" spans="10:28" x14ac:dyDescent="0.35">
      <c r="J84" s="65">
        <v>9</v>
      </c>
      <c r="K84" t="s">
        <v>23</v>
      </c>
      <c r="L84" t="s">
        <v>518</v>
      </c>
      <c r="M84">
        <v>9.6</v>
      </c>
      <c r="N84" t="s">
        <v>3</v>
      </c>
      <c r="O84" t="s">
        <v>34</v>
      </c>
      <c r="P84">
        <f t="shared" si="9"/>
        <v>12.61072517044054</v>
      </c>
      <c r="Q84">
        <f t="shared" si="10"/>
        <v>9.0644660519242226</v>
      </c>
      <c r="R84" s="67" cm="1">
        <f t="array" ref="R84">SUMPRODUCT((J84=$J$7:$J$1000)*(P84&lt;$P$7:$P$1000))+1</f>
        <v>1</v>
      </c>
      <c r="S84" s="72"/>
      <c r="T84">
        <v>15</v>
      </c>
      <c r="U84" t="str">
        <v>NOLA</v>
      </c>
      <c r="V84" t="str">
        <v>Luke Carty</v>
      </c>
      <c r="W84" t="str">
        <v>NULL</v>
      </c>
      <c r="X84" t="str">
        <v>Home</v>
      </c>
      <c r="Y84" t="str">
        <v>UTAH</v>
      </c>
      <c r="Z84">
        <v>8.4938645672182282</v>
      </c>
      <c r="AA84" s="1"/>
      <c r="AB84" s="1" cm="1">
        <f t="array" ref="AB84">COUNT(_xlfn._xlws.FILTER($J$7:$J$10000,($L$7:$L$10000=AA84)*($M$7:$M$10000&lt;&gt;"NULL")*($J$7:$J$10000 &gt;= ($G$1-5))))/5</f>
        <v>0</v>
      </c>
    </row>
    <row r="85" spans="10:28" x14ac:dyDescent="0.35">
      <c r="J85" s="65">
        <v>9</v>
      </c>
      <c r="K85" t="s">
        <v>4</v>
      </c>
      <c r="L85" t="s">
        <v>188</v>
      </c>
      <c r="M85">
        <v>9.3000000000000007</v>
      </c>
      <c r="N85" t="s">
        <v>3</v>
      </c>
      <c r="O85" t="s">
        <v>7</v>
      </c>
      <c r="P85">
        <f t="shared" si="9"/>
        <v>8.5093705760044891</v>
      </c>
      <c r="Q85">
        <f t="shared" si="10"/>
        <v>0.62509488608747443</v>
      </c>
      <c r="R85" s="67" cm="1">
        <f t="array" ref="R85">SUMPRODUCT((J85=$J$7:$J$1000)*(P85&lt;$P$7:$P$1000))+1</f>
        <v>3</v>
      </c>
      <c r="S85" s="72"/>
      <c r="T85">
        <v>15</v>
      </c>
      <c r="U85" t="str">
        <v>NOLA</v>
      </c>
      <c r="V85" t="str">
        <v>Reece Botha</v>
      </c>
      <c r="W85" t="str">
        <v>NULL</v>
      </c>
      <c r="X85" t="str">
        <v>Home</v>
      </c>
      <c r="Y85" t="str">
        <v>UTAH</v>
      </c>
      <c r="Z85">
        <v>11.171971304343415</v>
      </c>
      <c r="AA85" s="1"/>
      <c r="AB85" s="1" cm="1">
        <f t="array" ref="AB85">COUNT(_xlfn._xlws.FILTER($J$7:$J$10000,($L$7:$L$10000=AA85)*($M$7:$M$10000&lt;&gt;"NULL")*($J$7:$J$10000 &gt;= ($G$1-5))))/5</f>
        <v>0</v>
      </c>
    </row>
    <row r="86" spans="10:28" x14ac:dyDescent="0.35">
      <c r="J86" s="66">
        <v>9</v>
      </c>
      <c r="K86" t="s">
        <v>13</v>
      </c>
      <c r="L86" t="s">
        <v>191</v>
      </c>
      <c r="M86">
        <v>6.6</v>
      </c>
      <c r="N86" t="s">
        <v>9</v>
      </c>
      <c r="O86" t="s">
        <v>6</v>
      </c>
      <c r="P86">
        <f t="shared" si="9"/>
        <v>8.0792455992506618</v>
      </c>
      <c r="Q86">
        <f t="shared" si="10"/>
        <v>2.1881675429024505</v>
      </c>
      <c r="R86" s="67" cm="1">
        <f t="array" ref="R86">SUMPRODUCT((J86=$J$7:$J$1000)*(P86&lt;$P$7:$P$1000))+1</f>
        <v>4</v>
      </c>
      <c r="S86" s="72"/>
      <c r="T86">
        <v>15</v>
      </c>
      <c r="U86" t="str">
        <v>OGDC</v>
      </c>
      <c r="V86" t="str">
        <v>Jason Emery</v>
      </c>
      <c r="W86" t="str">
        <v>NULL</v>
      </c>
      <c r="X86" t="str">
        <v>Away</v>
      </c>
      <c r="Y86" t="str">
        <v>NEFJ</v>
      </c>
      <c r="Z86">
        <v>5.1694789564078585</v>
      </c>
      <c r="AA86" s="1"/>
      <c r="AB86" s="1" cm="1">
        <f t="array" ref="AB86">COUNT(_xlfn._xlws.FILTER($J$7:$J$10000,($L$7:$L$10000=AA86)*($M$7:$M$10000&lt;&gt;"NULL")*($J$7:$J$10000 &gt;= ($G$1-5))))/5</f>
        <v>0</v>
      </c>
    </row>
    <row r="87" spans="10:28" x14ac:dyDescent="0.35">
      <c r="J87" s="66">
        <v>9</v>
      </c>
      <c r="K87" t="s">
        <v>6</v>
      </c>
      <c r="L87" t="s">
        <v>442</v>
      </c>
      <c r="M87">
        <v>6.5</v>
      </c>
      <c r="N87" t="s">
        <v>3</v>
      </c>
      <c r="O87" t="s">
        <v>13</v>
      </c>
      <c r="P87">
        <f t="shared" si="9"/>
        <v>8.9313420556865388</v>
      </c>
      <c r="Q87">
        <f t="shared" si="10"/>
        <v>5.9114241917500445</v>
      </c>
      <c r="R87" s="67" cm="1">
        <f t="array" ref="R87">SUMPRODUCT((J87=$J$7:$J$1000)*(P87&lt;$P$7:$P$1000))+1</f>
        <v>2</v>
      </c>
      <c r="S87" s="72"/>
      <c r="T87">
        <v>15</v>
      </c>
      <c r="U87" t="str">
        <v>OGDC</v>
      </c>
      <c r="V87" t="str">
        <v>Jason Robertson</v>
      </c>
      <c r="W87" t="str">
        <v>NULL</v>
      </c>
      <c r="X87" t="str">
        <v>Away</v>
      </c>
      <c r="Y87" t="str">
        <v>NEFJ</v>
      </c>
      <c r="Z87">
        <v>10.778006386725828</v>
      </c>
      <c r="AA87" s="1"/>
      <c r="AB87" s="1" cm="1">
        <f t="array" ref="AB87">COUNT(_xlfn._xlws.FILTER($J$7:$J$10000,($L$7:$L$10000=AA87)*($M$7:$M$10000&lt;&gt;"NULL")*($J$7:$J$10000 &gt;= ($G$1-5))))/5</f>
        <v>0</v>
      </c>
    </row>
    <row r="88" spans="10:28" x14ac:dyDescent="0.35">
      <c r="J88" s="66">
        <v>9</v>
      </c>
      <c r="K88" t="s">
        <v>7</v>
      </c>
      <c r="L88" t="s">
        <v>19</v>
      </c>
      <c r="M88">
        <v>5.9</v>
      </c>
      <c r="N88" t="s">
        <v>9</v>
      </c>
      <c r="O88" t="s">
        <v>4</v>
      </c>
      <c r="P88">
        <f t="shared" si="9"/>
        <v>6.7267998876244421</v>
      </c>
      <c r="Q88">
        <f t="shared" si="10"/>
        <v>0.68359805417578956</v>
      </c>
      <c r="R88" s="67" cm="1">
        <f t="array" ref="R88">SUMPRODUCT((J88=$J$7:$J$1000)*(P88&lt;$P$7:$P$1000))+1</f>
        <v>7</v>
      </c>
      <c r="S88" s="72"/>
      <c r="T88">
        <v>15</v>
      </c>
      <c r="U88" t="str">
        <v>SEA</v>
      </c>
      <c r="V88" t="str">
        <v>Eddie Fouche</v>
      </c>
      <c r="W88" t="str">
        <v>NULL</v>
      </c>
      <c r="X88" t="str">
        <v>Home</v>
      </c>
      <c r="Y88" t="str">
        <v>HOU</v>
      </c>
      <c r="Z88">
        <v>9.2411726459772812</v>
      </c>
      <c r="AA88" s="1"/>
      <c r="AB88" s="1" cm="1">
        <f t="array" ref="AB88">COUNT(_xlfn._xlws.FILTER($J$7:$J$10000,($L$7:$L$10000=AA88)*($M$7:$M$10000&lt;&gt;"NULL")*($J$7:$J$10000 &gt;= ($G$1-5))))/5</f>
        <v>0</v>
      </c>
    </row>
    <row r="89" spans="10:28" x14ac:dyDescent="0.35">
      <c r="J89" s="65">
        <v>9</v>
      </c>
      <c r="K89" t="s">
        <v>34</v>
      </c>
      <c r="L89" t="s">
        <v>41</v>
      </c>
      <c r="M89">
        <v>5</v>
      </c>
      <c r="N89" t="s">
        <v>9</v>
      </c>
      <c r="O89" t="s">
        <v>23</v>
      </c>
      <c r="P89">
        <f t="shared" si="9"/>
        <v>4.9999930940987172</v>
      </c>
      <c r="Q89">
        <f t="shared" si="10"/>
        <v>4.7691472528160478E-11</v>
      </c>
      <c r="R89" s="67" cm="1">
        <f t="array" ref="R89">SUMPRODUCT((J89=$J$7:$J$1000)*(P89&lt;$P$7:$P$1000))+1</f>
        <v>8</v>
      </c>
      <c r="S89" s="72"/>
      <c r="T89">
        <v>15</v>
      </c>
      <c r="U89" t="str">
        <v>SEA</v>
      </c>
      <c r="V89" t="str">
        <v>Rodney Iona</v>
      </c>
      <c r="W89" t="str">
        <v>NULL</v>
      </c>
      <c r="X89" t="str">
        <v>Home</v>
      </c>
      <c r="Y89" t="str">
        <v>HOU</v>
      </c>
      <c r="Z89">
        <v>7.8237687911380887</v>
      </c>
      <c r="AA89" s="1"/>
      <c r="AB89" s="1" cm="1">
        <f t="array" ref="AB89">COUNT(_xlfn._xlws.FILTER($J$7:$J$10000,($L$7:$L$10000=AA89)*($M$7:$M$10000&lt;&gt;"NULL")*($J$7:$J$10000 &gt;= ($G$1-5))))/5</f>
        <v>0</v>
      </c>
    </row>
    <row r="90" spans="10:28" x14ac:dyDescent="0.35">
      <c r="J90" s="66">
        <v>9</v>
      </c>
      <c r="K90" t="s">
        <v>24</v>
      </c>
      <c r="L90" t="s">
        <v>194</v>
      </c>
      <c r="M90">
        <v>4</v>
      </c>
      <c r="N90" t="s">
        <v>3</v>
      </c>
      <c r="O90" t="s">
        <v>36</v>
      </c>
      <c r="P90">
        <f t="shared" si="9"/>
        <v>7.4600712602664894</v>
      </c>
      <c r="Q90">
        <f t="shared" si="10"/>
        <v>11.972093126122132</v>
      </c>
      <c r="R90" s="67" cm="1">
        <f t="array" ref="R90">SUMPRODUCT((J90=$J$7:$J$1000)*(P90&lt;$P$7:$P$1000))+1</f>
        <v>6</v>
      </c>
      <c r="S90" s="72"/>
      <c r="T90">
        <v>15</v>
      </c>
      <c r="U90" t="str">
        <v>UTAH</v>
      </c>
      <c r="V90" t="str">
        <v>D'Angelo Leuila</v>
      </c>
      <c r="W90" t="str">
        <v>NULL</v>
      </c>
      <c r="X90" t="str">
        <v>Away</v>
      </c>
      <c r="Y90" t="str">
        <v>NOLA</v>
      </c>
      <c r="Z90">
        <v>11.090861130229529</v>
      </c>
      <c r="AA90" s="1"/>
      <c r="AB90" s="1" cm="1">
        <f t="array" ref="AB90">COUNT(_xlfn._xlws.FILTER($J$7:$J$10000,($L$7:$L$10000=AA90)*($M$7:$M$10000&lt;&gt;"NULL")*($J$7:$J$10000 &gt;= ($G$1-5))))/5</f>
        <v>0</v>
      </c>
    </row>
    <row r="91" spans="10:28" x14ac:dyDescent="0.35">
      <c r="J91" s="66">
        <v>9</v>
      </c>
      <c r="K91" t="s">
        <v>36</v>
      </c>
      <c r="L91" t="s">
        <v>491</v>
      </c>
      <c r="M91">
        <v>1.6</v>
      </c>
      <c r="N91" t="s">
        <v>9</v>
      </c>
      <c r="O91" t="s">
        <v>24</v>
      </c>
      <c r="P91">
        <f t="shared" si="9"/>
        <v>7.6606911125778971</v>
      </c>
      <c r="Q91">
        <f t="shared" si="10"/>
        <v>36.731976762080713</v>
      </c>
      <c r="R91" s="67" cm="1">
        <f t="array" ref="R91">SUMPRODUCT((J91=$J$7:$J$1000)*(P91&lt;$P$7:$P$1000))+1</f>
        <v>5</v>
      </c>
      <c r="S91" s="72"/>
      <c r="T91">
        <v>15</v>
      </c>
      <c r="U91" t="str">
        <v>UTAH</v>
      </c>
      <c r="V91" t="str">
        <v>Joel Hodgson</v>
      </c>
      <c r="W91" t="str">
        <v>NULL</v>
      </c>
      <c r="X91" t="str">
        <v>Away</v>
      </c>
      <c r="Y91" t="str">
        <v>NOLA</v>
      </c>
      <c r="Z91">
        <v>9.9274460067856136</v>
      </c>
      <c r="AA91" s="1"/>
      <c r="AB91" s="1" cm="1">
        <f t="array" ref="AB91">COUNT(_xlfn._xlws.FILTER($J$7:$J$10000,($L$7:$L$10000=AA91)*($M$7:$M$10000&lt;&gt;"NULL")*($J$7:$J$10000 &gt;= ($G$1-5))))/5</f>
        <v>0</v>
      </c>
    </row>
    <row r="92" spans="10:28" x14ac:dyDescent="0.35">
      <c r="J92" s="65">
        <v>9</v>
      </c>
      <c r="K92" t="s">
        <v>14</v>
      </c>
      <c r="L92" t="s">
        <v>454</v>
      </c>
      <c r="M92">
        <v>1.4</v>
      </c>
      <c r="N92" s="10" t="s">
        <v>9</v>
      </c>
      <c r="O92" s="10" t="s">
        <v>2</v>
      </c>
      <c r="P92">
        <f t="shared" si="9"/>
        <v>4.5455969995832337</v>
      </c>
      <c r="Q92">
        <f t="shared" si="10"/>
        <v>9.8947804837870432</v>
      </c>
      <c r="R92" s="67" cm="1">
        <f t="array" ref="R92">SUMPRODUCT((J92=$J$7:$J$1000)*(P92&lt;$P$7:$P$1000))+1</f>
        <v>9</v>
      </c>
      <c r="S92" s="72"/>
      <c r="T92">
        <v>16</v>
      </c>
      <c r="U92" t="str">
        <v>ARC</v>
      </c>
      <c r="V92" t="str">
        <v>Cameron Gerlach</v>
      </c>
      <c r="W92" t="str">
        <v>NULL</v>
      </c>
      <c r="X92" t="str">
        <v>Away</v>
      </c>
      <c r="Y92" t="str">
        <v>UTAH</v>
      </c>
      <c r="Z92">
        <v>5.567398216005258</v>
      </c>
      <c r="AA92" s="1"/>
      <c r="AB92" s="1"/>
    </row>
    <row r="93" spans="10:28" x14ac:dyDescent="0.35">
      <c r="J93" s="65">
        <v>10</v>
      </c>
      <c r="K93" t="s">
        <v>34</v>
      </c>
      <c r="L93" t="s">
        <v>192</v>
      </c>
      <c r="M93">
        <v>15.6</v>
      </c>
      <c r="N93" t="s">
        <v>3</v>
      </c>
      <c r="O93" t="s">
        <v>13</v>
      </c>
      <c r="P93">
        <f t="shared" si="9"/>
        <v>9.4525274173475431</v>
      </c>
      <c r="Q93">
        <f t="shared" si="10"/>
        <v>37.791419154463661</v>
      </c>
      <c r="R93" s="67" cm="1">
        <f t="array" ref="R93">SUMPRODUCT((J93=$J$7:$J$1000)*(P93&lt;$P$7:$P$1000))+1</f>
        <v>2</v>
      </c>
      <c r="S93" s="72"/>
      <c r="T93">
        <v>16</v>
      </c>
      <c r="U93" t="str">
        <v>ARC</v>
      </c>
      <c r="V93" t="str">
        <v>Cliven Loubser</v>
      </c>
      <c r="W93" t="str">
        <v>NULL</v>
      </c>
      <c r="X93" t="str">
        <v>Away</v>
      </c>
      <c r="Y93" t="str">
        <v>UTAH</v>
      </c>
      <c r="Z93">
        <v>9.9829645797028945</v>
      </c>
    </row>
    <row r="94" spans="10:28" x14ac:dyDescent="0.35">
      <c r="J94" s="65">
        <v>10</v>
      </c>
      <c r="K94" t="s">
        <v>17</v>
      </c>
      <c r="L94" t="s">
        <v>196</v>
      </c>
      <c r="M94">
        <v>13.4</v>
      </c>
      <c r="N94" t="s">
        <v>3</v>
      </c>
      <c r="O94" t="s">
        <v>2</v>
      </c>
      <c r="P94">
        <f t="shared" si="9"/>
        <v>8.3331275469743762</v>
      </c>
      <c r="Q94">
        <f t="shared" si="10"/>
        <v>25.673196455229906</v>
      </c>
      <c r="R94" s="67" cm="1">
        <f t="array" ref="R94">SUMPRODUCT((J94=$J$7:$J$1000)*(P94&lt;$P$7:$P$1000))+1</f>
        <v>4</v>
      </c>
      <c r="S94" s="72"/>
      <c r="T94">
        <v>16</v>
      </c>
      <c r="U94" t="str">
        <v>ARC</v>
      </c>
      <c r="V94" t="str">
        <v>Karl Keane</v>
      </c>
      <c r="W94" t="str">
        <v>NULL</v>
      </c>
      <c r="X94" t="str">
        <v>Away</v>
      </c>
      <c r="Y94" t="str">
        <v>UTAH</v>
      </c>
      <c r="Z94">
        <v>3.9755747262748153</v>
      </c>
    </row>
    <row r="95" spans="10:28" x14ac:dyDescent="0.35">
      <c r="J95" s="66">
        <v>10</v>
      </c>
      <c r="K95" t="s">
        <v>24</v>
      </c>
      <c r="L95" t="s">
        <v>194</v>
      </c>
      <c r="M95">
        <v>9.1999999999999993</v>
      </c>
      <c r="N95" t="s">
        <v>9</v>
      </c>
      <c r="O95" t="s">
        <v>7</v>
      </c>
      <c r="P95">
        <f t="shared" si="9"/>
        <v>6.7591231853365663</v>
      </c>
      <c r="Q95">
        <f t="shared" si="10"/>
        <v>5.9578796243615066</v>
      </c>
      <c r="R95" s="67" cm="1">
        <f t="array" ref="R95">SUMPRODUCT((J95=$J$7:$J$1000)*(P95&lt;$P$7:$P$1000))+1</f>
        <v>6</v>
      </c>
      <c r="S95" s="72"/>
      <c r="T95">
        <v>16</v>
      </c>
      <c r="U95" t="str">
        <v>ARC</v>
      </c>
      <c r="V95" t="str">
        <v>Line Latu</v>
      </c>
      <c r="W95" t="str">
        <v>NULL</v>
      </c>
      <c r="X95" t="str">
        <v>Away</v>
      </c>
      <c r="Y95" t="str">
        <v>UTAH</v>
      </c>
      <c r="Z95">
        <v>9.1463884590945632</v>
      </c>
    </row>
    <row r="96" spans="10:28" x14ac:dyDescent="0.35">
      <c r="J96" s="65">
        <v>10</v>
      </c>
      <c r="K96" t="s">
        <v>4</v>
      </c>
      <c r="L96" t="s">
        <v>493</v>
      </c>
      <c r="M96">
        <v>5.9</v>
      </c>
      <c r="N96" t="s">
        <v>9</v>
      </c>
      <c r="O96" t="s">
        <v>36</v>
      </c>
      <c r="P96">
        <f t="shared" si="9"/>
        <v>6.111223533929345</v>
      </c>
      <c r="Q96">
        <f t="shared" si="10"/>
        <v>4.4615381285601025E-2</v>
      </c>
      <c r="R96" s="67" cm="1">
        <f t="array" ref="R96">SUMPRODUCT((J96=$J$7:$J$1000)*(P96&lt;$P$7:$P$1000))+1</f>
        <v>7</v>
      </c>
      <c r="S96" s="72"/>
      <c r="T96">
        <v>16</v>
      </c>
      <c r="U96" t="str">
        <v>CHI</v>
      </c>
      <c r="V96" t="str">
        <v>Adriaan Carelse</v>
      </c>
      <c r="W96" t="str">
        <v>NULL</v>
      </c>
      <c r="X96" t="str">
        <v>Home</v>
      </c>
      <c r="Y96" t="str">
        <v>NOLA</v>
      </c>
      <c r="Z96">
        <v>9.3093060043061087</v>
      </c>
    </row>
    <row r="97" spans="10:26" x14ac:dyDescent="0.35">
      <c r="J97" s="66">
        <v>10</v>
      </c>
      <c r="K97" t="s">
        <v>7</v>
      </c>
      <c r="L97" t="s">
        <v>19</v>
      </c>
      <c r="M97">
        <v>5.8</v>
      </c>
      <c r="N97" t="s">
        <v>3</v>
      </c>
      <c r="O97" t="s">
        <v>24</v>
      </c>
      <c r="P97">
        <f t="shared" si="9"/>
        <v>7.9899135938300692</v>
      </c>
      <c r="Q97">
        <f t="shared" si="10"/>
        <v>4.7957215484417297</v>
      </c>
      <c r="R97" s="67" cm="1">
        <f t="array" ref="R97">SUMPRODUCT((J97=$J$7:$J$1000)*(P97&lt;$P$7:$P$1000))+1</f>
        <v>5</v>
      </c>
      <c r="S97" s="72"/>
      <c r="T97">
        <v>16</v>
      </c>
      <c r="U97" t="str">
        <v>CHI</v>
      </c>
      <c r="V97" t="str">
        <v>Christopher Hilsenbeck</v>
      </c>
      <c r="W97" t="str">
        <v>NULL</v>
      </c>
      <c r="X97" t="str">
        <v>Home</v>
      </c>
      <c r="Y97" t="str">
        <v>NOLA</v>
      </c>
      <c r="Z97">
        <v>9.5087901846656049</v>
      </c>
    </row>
    <row r="98" spans="10:26" x14ac:dyDescent="0.35">
      <c r="J98" s="66">
        <v>10</v>
      </c>
      <c r="K98" t="s">
        <v>13</v>
      </c>
      <c r="L98" t="s">
        <v>191</v>
      </c>
      <c r="M98">
        <v>5.7</v>
      </c>
      <c r="N98" t="s">
        <v>9</v>
      </c>
      <c r="O98" t="s">
        <v>34</v>
      </c>
      <c r="P98">
        <f t="shared" si="9"/>
        <v>10.160552703858372</v>
      </c>
      <c r="Q98">
        <f t="shared" si="10"/>
        <v>19.896530423898227</v>
      </c>
      <c r="R98" s="67" cm="1">
        <f t="array" ref="R98">SUMPRODUCT((J98=$J$7:$J$1000)*(P98&lt;$P$7:$P$1000))+1</f>
        <v>1</v>
      </c>
      <c r="S98" s="72"/>
      <c r="T98">
        <v>16</v>
      </c>
      <c r="U98" t="str">
        <v>CHI</v>
      </c>
      <c r="V98" t="str">
        <v>Tim Swiel</v>
      </c>
      <c r="W98" t="str">
        <v>NULL</v>
      </c>
      <c r="X98" t="str">
        <v>Home</v>
      </c>
      <c r="Y98" t="str">
        <v>NOLA</v>
      </c>
      <c r="Z98">
        <v>0.88811814771771613</v>
      </c>
    </row>
    <row r="99" spans="10:26" x14ac:dyDescent="0.35">
      <c r="J99" s="66">
        <v>10</v>
      </c>
      <c r="K99" t="s">
        <v>23</v>
      </c>
      <c r="L99" t="s">
        <v>443</v>
      </c>
      <c r="M99">
        <v>5.0999999999999996</v>
      </c>
      <c r="N99" t="s">
        <v>9</v>
      </c>
      <c r="O99" t="s">
        <v>14</v>
      </c>
      <c r="P99">
        <f t="shared" si="9"/>
        <v>4.3959133246521702</v>
      </c>
      <c r="Q99">
        <f t="shared" si="10"/>
        <v>0.49573804640235974</v>
      </c>
      <c r="R99" s="67" cm="1">
        <f t="array" ref="R99">SUMPRODUCT((J99=$J$7:$J$1000)*(P99&lt;$P$7:$P$1000))+1</f>
        <v>9</v>
      </c>
      <c r="S99" s="72"/>
      <c r="T99">
        <v>16</v>
      </c>
      <c r="U99" t="str">
        <v>LA</v>
      </c>
      <c r="V99" t="str">
        <v>Christian Leali'ifano</v>
      </c>
      <c r="W99" t="str">
        <v>NULL</v>
      </c>
      <c r="X99" t="str">
        <v>Away</v>
      </c>
      <c r="Y99" t="str">
        <v>OGDC</v>
      </c>
      <c r="Z99">
        <v>6.6992340084983049</v>
      </c>
    </row>
    <row r="100" spans="10:26" x14ac:dyDescent="0.35">
      <c r="J100" s="65">
        <v>10</v>
      </c>
      <c r="K100" t="s">
        <v>36</v>
      </c>
      <c r="L100" t="s">
        <v>476</v>
      </c>
      <c r="M100">
        <v>4.3</v>
      </c>
      <c r="N100" t="s">
        <v>3</v>
      </c>
      <c r="O100" t="s">
        <v>4</v>
      </c>
      <c r="P100">
        <f t="shared" si="9"/>
        <v>5.8043963264469323</v>
      </c>
      <c r="Q100">
        <f t="shared" si="10"/>
        <v>2.2632083070270252</v>
      </c>
      <c r="R100" s="67" cm="1">
        <f t="array" ref="R100">SUMPRODUCT((J100=$J$7:$J$1000)*(P100&lt;$P$7:$P$1000))+1</f>
        <v>8</v>
      </c>
      <c r="S100" s="72"/>
      <c r="T100">
        <v>16</v>
      </c>
      <c r="U100" t="str">
        <v>LA</v>
      </c>
      <c r="V100" t="str">
        <v>Sean Nolan</v>
      </c>
      <c r="W100" t="str">
        <v>NULL</v>
      </c>
      <c r="X100" t="str">
        <v>Away</v>
      </c>
      <c r="Y100" t="str">
        <v>OGDC</v>
      </c>
      <c r="Z100">
        <v>1.2877431070856991</v>
      </c>
    </row>
    <row r="101" spans="10:26" x14ac:dyDescent="0.35">
      <c r="J101" s="66">
        <v>10</v>
      </c>
      <c r="K101" t="s">
        <v>14</v>
      </c>
      <c r="L101" t="s">
        <v>519</v>
      </c>
      <c r="M101">
        <v>2.9</v>
      </c>
      <c r="N101" t="s">
        <v>3</v>
      </c>
      <c r="O101" t="s">
        <v>23</v>
      </c>
      <c r="P101">
        <f t="shared" si="9"/>
        <v>8.4384336147243832</v>
      </c>
      <c r="Q101">
        <f t="shared" si="10"/>
        <v>30.674246904708994</v>
      </c>
      <c r="R101" s="67" cm="1">
        <f t="array" ref="R101">SUMPRODUCT((J101=$J$7:$J$1000)*(P101&lt;$P$7:$P$1000))+1</f>
        <v>3</v>
      </c>
      <c r="S101" s="72"/>
      <c r="T101">
        <v>16</v>
      </c>
      <c r="U101" t="str">
        <v>MIA</v>
      </c>
      <c r="V101" t="str">
        <v>Martin Elias</v>
      </c>
      <c r="W101" t="str">
        <v>NULL</v>
      </c>
      <c r="X101" t="str">
        <v>Home</v>
      </c>
      <c r="Y101" t="str">
        <v>SDL</v>
      </c>
      <c r="Z101">
        <v>8.3856468348050637</v>
      </c>
    </row>
    <row r="102" spans="10:26" x14ac:dyDescent="0.35">
      <c r="J102" s="65">
        <v>10</v>
      </c>
      <c r="K102" t="s">
        <v>2</v>
      </c>
      <c r="L102" t="s">
        <v>444</v>
      </c>
      <c r="M102">
        <v>-10.4</v>
      </c>
      <c r="N102" s="10" t="s">
        <v>9</v>
      </c>
      <c r="O102" s="10" t="s">
        <v>17</v>
      </c>
      <c r="P102">
        <f t="shared" si="9"/>
        <v>1.3903053844937907</v>
      </c>
      <c r="Q102">
        <f t="shared" si="10"/>
        <v>139.01130105962329</v>
      </c>
      <c r="R102" s="67" cm="1">
        <f t="array" ref="R102">SUMPRODUCT((J102=$J$7:$J$1000)*(P102&lt;$P$7:$P$1000))+1</f>
        <v>10</v>
      </c>
      <c r="S102" s="72"/>
      <c r="T102">
        <v>16</v>
      </c>
      <c r="U102" t="str">
        <v>MIA</v>
      </c>
      <c r="V102" t="str">
        <v>Santiago Videla</v>
      </c>
      <c r="W102" t="str">
        <v>NULL</v>
      </c>
      <c r="X102" t="str">
        <v>Home</v>
      </c>
      <c r="Y102" t="str">
        <v>SDL</v>
      </c>
      <c r="Z102">
        <v>13.416204944033092</v>
      </c>
    </row>
    <row r="103" spans="10:26" x14ac:dyDescent="0.35">
      <c r="J103" s="66">
        <v>11</v>
      </c>
      <c r="K103" t="s">
        <v>36</v>
      </c>
      <c r="L103" t="s">
        <v>491</v>
      </c>
      <c r="M103">
        <v>17.3</v>
      </c>
      <c r="N103" t="s">
        <v>3</v>
      </c>
      <c r="O103" t="s">
        <v>7</v>
      </c>
      <c r="P103">
        <f t="shared" si="9"/>
        <v>7.5586036370682432</v>
      </c>
      <c r="Q103">
        <f t="shared" si="10"/>
        <v>94.894803099740074</v>
      </c>
      <c r="R103" s="67" cm="1">
        <f t="array" ref="R103">SUMPRODUCT((J103=$J$7:$J$1000)*(P103&lt;$P$7:$P$1000))+1</f>
        <v>8</v>
      </c>
      <c r="S103" s="72"/>
      <c r="T103">
        <v>16</v>
      </c>
      <c r="U103" t="str">
        <v>MIA</v>
      </c>
      <c r="V103" t="str">
        <v>Shane O'Leary</v>
      </c>
      <c r="W103" t="str">
        <v>NULL</v>
      </c>
      <c r="X103" t="str">
        <v>Home</v>
      </c>
      <c r="Y103" t="str">
        <v>SDL</v>
      </c>
      <c r="Z103">
        <v>8.0466874547476088</v>
      </c>
    </row>
    <row r="104" spans="10:26" x14ac:dyDescent="0.35">
      <c r="J104" s="66">
        <v>11</v>
      </c>
      <c r="K104" t="s">
        <v>14</v>
      </c>
      <c r="L104" t="s">
        <v>454</v>
      </c>
      <c r="M104">
        <v>14.3</v>
      </c>
      <c r="N104" t="s">
        <v>3</v>
      </c>
      <c r="O104" t="s">
        <v>24</v>
      </c>
      <c r="P104">
        <f t="shared" si="9"/>
        <v>5.9918208274183886</v>
      </c>
      <c r="Q104">
        <f t="shared" si="10"/>
        <v>69.02584116371888</v>
      </c>
      <c r="R104" s="67" cm="1">
        <f t="array" ref="R104">SUMPRODUCT((J104=$J$7:$J$1000)*(P104&lt;$P$7:$P$1000))+1</f>
        <v>11</v>
      </c>
      <c r="S104" s="72"/>
      <c r="T104">
        <v>16</v>
      </c>
      <c r="U104" t="str">
        <v>NEFJ</v>
      </c>
      <c r="V104" t="str">
        <v>Dan Hollinshead</v>
      </c>
      <c r="W104" t="str">
        <v>NULL</v>
      </c>
      <c r="X104" t="str">
        <v>Home</v>
      </c>
      <c r="Y104" t="str">
        <v>SEA</v>
      </c>
      <c r="Z104">
        <v>13.246131115144218</v>
      </c>
    </row>
    <row r="105" spans="10:26" x14ac:dyDescent="0.35">
      <c r="J105" s="66">
        <v>11</v>
      </c>
      <c r="K105" t="s">
        <v>34</v>
      </c>
      <c r="L105" t="s">
        <v>192</v>
      </c>
      <c r="M105">
        <v>13.5</v>
      </c>
      <c r="N105" t="s">
        <v>9</v>
      </c>
      <c r="O105" t="s">
        <v>6</v>
      </c>
      <c r="P105">
        <f t="shared" si="9"/>
        <v>5.9141548539895261</v>
      </c>
      <c r="Q105">
        <f t="shared" si="10"/>
        <v>57.545046579250666</v>
      </c>
      <c r="R105" s="67" cm="1">
        <f t="array" ref="R105">SUMPRODUCT((J105=$J$7:$J$1000)*(P105&lt;$P$7:$P$1000))+1</f>
        <v>12</v>
      </c>
      <c r="S105" s="72"/>
      <c r="T105">
        <v>16</v>
      </c>
      <c r="U105" t="str">
        <v>NEFJ</v>
      </c>
      <c r="V105" t="str">
        <v>Faletoi Peni</v>
      </c>
      <c r="W105" t="str">
        <v>NULL</v>
      </c>
      <c r="X105" t="str">
        <v>Home</v>
      </c>
      <c r="Y105" t="str">
        <v>SEA</v>
      </c>
      <c r="Z105">
        <v>13.731286771174426</v>
      </c>
    </row>
    <row r="106" spans="10:26" x14ac:dyDescent="0.35">
      <c r="J106" s="66">
        <v>11</v>
      </c>
      <c r="K106" t="s">
        <v>17</v>
      </c>
      <c r="L106" t="s">
        <v>196</v>
      </c>
      <c r="M106">
        <v>11.1</v>
      </c>
      <c r="N106" t="s">
        <v>9</v>
      </c>
      <c r="O106" t="s">
        <v>4</v>
      </c>
      <c r="P106">
        <f t="shared" si="9"/>
        <v>7.6647566075733344</v>
      </c>
      <c r="Q106">
        <f t="shared" si="10"/>
        <v>11.800897165211063</v>
      </c>
      <c r="R106" s="67" cm="1">
        <f t="array" ref="R106">SUMPRODUCT((J106=$J$7:$J$1000)*(P106&lt;$P$7:$P$1000))+1</f>
        <v>6</v>
      </c>
      <c r="S106" s="72"/>
      <c r="T106">
        <v>16</v>
      </c>
      <c r="U106" t="str">
        <v>NEFJ</v>
      </c>
      <c r="V106" t="str">
        <v>Harrison Boyle</v>
      </c>
      <c r="W106" t="str">
        <v>NULL</v>
      </c>
      <c r="X106" t="str">
        <v>Home</v>
      </c>
      <c r="Y106" t="str">
        <v>SEA</v>
      </c>
      <c r="Z106">
        <v>7.6236527652339969</v>
      </c>
    </row>
    <row r="107" spans="10:26" x14ac:dyDescent="0.35">
      <c r="J107" s="66">
        <v>11</v>
      </c>
      <c r="K107" t="s">
        <v>14</v>
      </c>
      <c r="L107" t="s">
        <v>519</v>
      </c>
      <c r="M107">
        <v>11</v>
      </c>
      <c r="N107" t="s">
        <v>9</v>
      </c>
      <c r="O107" t="s">
        <v>24</v>
      </c>
      <c r="P107">
        <f t="shared" si="9"/>
        <v>9.5559061300854538</v>
      </c>
      <c r="Q107">
        <f t="shared" si="10"/>
        <v>2.0854071051247702</v>
      </c>
      <c r="R107" s="67" cm="1">
        <f t="array" ref="R107">SUMPRODUCT((J107=$J$7:$J$1000)*(P107&lt;$P$7:$P$1000))+1</f>
        <v>3</v>
      </c>
      <c r="S107" s="72"/>
      <c r="T107">
        <v>16</v>
      </c>
      <c r="U107" t="str">
        <v>NEFJ</v>
      </c>
      <c r="V107" t="str">
        <v>Jayson Potroz</v>
      </c>
      <c r="W107" t="str">
        <v>NULL</v>
      </c>
      <c r="X107" t="str">
        <v>Home</v>
      </c>
      <c r="Y107" t="str">
        <v>SEA</v>
      </c>
      <c r="Z107">
        <v>13.497791515675608</v>
      </c>
    </row>
    <row r="108" spans="10:26" x14ac:dyDescent="0.35">
      <c r="J108" s="65">
        <v>11</v>
      </c>
      <c r="K108" t="s">
        <v>4</v>
      </c>
      <c r="L108" t="s">
        <v>188</v>
      </c>
      <c r="M108">
        <v>10.9</v>
      </c>
      <c r="N108" t="s">
        <v>3</v>
      </c>
      <c r="O108" t="s">
        <v>17</v>
      </c>
      <c r="P108">
        <f t="shared" si="9"/>
        <v>10.404974765176302</v>
      </c>
      <c r="Q108">
        <f t="shared" si="10"/>
        <v>0.24504998311225765</v>
      </c>
      <c r="R108" s="67" cm="1">
        <f t="array" ref="R108">SUMPRODUCT((J108=$J$7:$J$1000)*(P108&lt;$P$7:$P$1000))+1</f>
        <v>2</v>
      </c>
      <c r="S108" s="72"/>
      <c r="T108">
        <v>16</v>
      </c>
      <c r="U108" t="str">
        <v>NOLA</v>
      </c>
      <c r="V108" t="str">
        <v>Dorian Jones</v>
      </c>
      <c r="W108" t="str">
        <v>NULL</v>
      </c>
      <c r="X108" t="str">
        <v>Away</v>
      </c>
      <c r="Y108" t="str">
        <v>CHI</v>
      </c>
      <c r="Z108">
        <v>8.0167152847095604</v>
      </c>
    </row>
    <row r="109" spans="10:26" x14ac:dyDescent="0.35">
      <c r="J109" s="66">
        <v>11</v>
      </c>
      <c r="K109" t="s">
        <v>13</v>
      </c>
      <c r="L109" t="s">
        <v>191</v>
      </c>
      <c r="M109">
        <v>9.6999999999999993</v>
      </c>
      <c r="N109" t="s">
        <v>3</v>
      </c>
      <c r="O109" t="s">
        <v>2</v>
      </c>
      <c r="P109">
        <f t="shared" si="9"/>
        <v>10.595816946186654</v>
      </c>
      <c r="Q109">
        <f t="shared" si="10"/>
        <v>0.80248800107518314</v>
      </c>
      <c r="R109" s="67" cm="1">
        <f t="array" ref="R109">SUMPRODUCT((J109=$J$7:$J$1000)*(P109&lt;$P$7:$P$1000))+1</f>
        <v>1</v>
      </c>
      <c r="S109" s="72"/>
      <c r="T109">
        <v>16</v>
      </c>
      <c r="U109" t="str">
        <v>NOLA</v>
      </c>
      <c r="V109" t="str">
        <v>Luke Carty</v>
      </c>
      <c r="W109" t="str">
        <v>NULL</v>
      </c>
      <c r="X109" t="str">
        <v>Away</v>
      </c>
      <c r="Y109" t="str">
        <v>CHI</v>
      </c>
      <c r="Z109">
        <v>6.6205822897656326</v>
      </c>
    </row>
    <row r="110" spans="10:26" x14ac:dyDescent="0.35">
      <c r="J110" s="66">
        <v>11</v>
      </c>
      <c r="K110" t="s">
        <v>24</v>
      </c>
      <c r="L110" t="s">
        <v>194</v>
      </c>
      <c r="M110">
        <v>9.4</v>
      </c>
      <c r="N110" t="s">
        <v>3</v>
      </c>
      <c r="O110" t="s">
        <v>14</v>
      </c>
      <c r="P110">
        <f t="shared" si="9"/>
        <v>7.1299500559876936</v>
      </c>
      <c r="Q110">
        <f t="shared" si="10"/>
        <v>5.1531267483102772</v>
      </c>
      <c r="R110" s="67" cm="1">
        <f t="array" ref="R110">SUMPRODUCT((J110=$J$7:$J$1000)*(P110&lt;$P$7:$P$1000))+1</f>
        <v>9</v>
      </c>
      <c r="S110" s="72"/>
      <c r="T110">
        <v>16</v>
      </c>
      <c r="U110" t="str">
        <v>NOLA</v>
      </c>
      <c r="V110" t="str">
        <v>Reece Botha</v>
      </c>
      <c r="W110" t="str">
        <v>NULL</v>
      </c>
      <c r="X110" t="str">
        <v>Away</v>
      </c>
      <c r="Y110" t="str">
        <v>CHI</v>
      </c>
      <c r="Z110">
        <v>9.2986890268908216</v>
      </c>
    </row>
    <row r="111" spans="10:26" x14ac:dyDescent="0.35">
      <c r="J111" s="66">
        <v>11</v>
      </c>
      <c r="K111" t="s">
        <v>7</v>
      </c>
      <c r="L111" t="s">
        <v>19</v>
      </c>
      <c r="M111">
        <v>7.8</v>
      </c>
      <c r="N111" t="s">
        <v>9</v>
      </c>
      <c r="O111" t="s">
        <v>36</v>
      </c>
      <c r="P111">
        <f t="shared" si="9"/>
        <v>6.0343310101586267</v>
      </c>
      <c r="Q111">
        <f t="shared" si="10"/>
        <v>3.1175869816874551</v>
      </c>
      <c r="R111" s="67" cm="1">
        <f t="array" ref="R111">SUMPRODUCT((J111=$J$7:$J$1000)*(P111&lt;$P$7:$P$1000))+1</f>
        <v>10</v>
      </c>
      <c r="S111" s="72"/>
      <c r="T111">
        <v>16</v>
      </c>
      <c r="U111" t="str">
        <v>OGDC</v>
      </c>
      <c r="V111" t="str">
        <v>Jason Emery</v>
      </c>
      <c r="W111" t="str">
        <v>NULL</v>
      </c>
      <c r="X111" t="str">
        <v>Home</v>
      </c>
      <c r="Y111" t="str">
        <v>LA</v>
      </c>
      <c r="Z111">
        <v>5.7300805411200617</v>
      </c>
    </row>
    <row r="112" spans="10:26" x14ac:dyDescent="0.35">
      <c r="J112" s="66">
        <v>11</v>
      </c>
      <c r="K112" t="s">
        <v>17</v>
      </c>
      <c r="L112" t="s">
        <v>196</v>
      </c>
      <c r="M112">
        <v>7.7</v>
      </c>
      <c r="N112" t="s">
        <v>9</v>
      </c>
      <c r="O112" t="s">
        <v>4</v>
      </c>
      <c r="P112">
        <f t="shared" si="9"/>
        <v>7.6647566075733344</v>
      </c>
      <c r="Q112">
        <f t="shared" si="10"/>
        <v>1.2420967097399602E-3</v>
      </c>
      <c r="R112" s="67" cm="1">
        <f t="array" ref="R112">SUMPRODUCT((J112=$J$7:$J$1000)*(P112&lt;$P$7:$P$1000))+1</f>
        <v>6</v>
      </c>
      <c r="S112" s="72"/>
      <c r="T112">
        <v>16</v>
      </c>
      <c r="U112" t="str">
        <v>OGDC</v>
      </c>
      <c r="V112" t="str">
        <v>Jason Robertson</v>
      </c>
      <c r="W112" t="str">
        <v>NULL</v>
      </c>
      <c r="X112" t="str">
        <v>Home</v>
      </c>
      <c r="Y112" t="str">
        <v>LA</v>
      </c>
      <c r="Z112">
        <v>11.338607971438028</v>
      </c>
    </row>
    <row r="113" spans="10:26" x14ac:dyDescent="0.35">
      <c r="J113" s="65">
        <v>11</v>
      </c>
      <c r="K113" t="s">
        <v>2</v>
      </c>
      <c r="L113" t="s">
        <v>520</v>
      </c>
      <c r="M113">
        <v>6.9</v>
      </c>
      <c r="N113" t="s">
        <v>9</v>
      </c>
      <c r="O113" t="s">
        <v>13</v>
      </c>
      <c r="P113">
        <f t="shared" si="9"/>
        <v>9.4960002184275325</v>
      </c>
      <c r="Q113">
        <f t="shared" si="10"/>
        <v>6.7392171340757949</v>
      </c>
      <c r="R113" s="67" cm="1">
        <f t="array" ref="R113">SUMPRODUCT((J113=$J$7:$J$1000)*(P113&lt;$P$7:$P$1000))+1</f>
        <v>4</v>
      </c>
      <c r="S113" s="72"/>
      <c r="T113">
        <v>16</v>
      </c>
      <c r="U113" t="str">
        <v>SDL</v>
      </c>
      <c r="V113" t="str">
        <v>Ethan Grayson</v>
      </c>
      <c r="W113" t="str">
        <v>NULL</v>
      </c>
      <c r="X113" t="str">
        <v>Away</v>
      </c>
      <c r="Y113" t="str">
        <v>MIA</v>
      </c>
      <c r="Z113">
        <v>6.9689466704903573</v>
      </c>
    </row>
    <row r="114" spans="10:26" x14ac:dyDescent="0.35">
      <c r="J114" s="66">
        <v>11</v>
      </c>
      <c r="K114" t="s">
        <v>6</v>
      </c>
      <c r="L114" t="s">
        <v>442</v>
      </c>
      <c r="M114">
        <v>5.5</v>
      </c>
      <c r="N114" t="s">
        <v>3</v>
      </c>
      <c r="O114" t="s">
        <v>34</v>
      </c>
      <c r="P114">
        <f t="shared" si="9"/>
        <v>8.3257576579668022</v>
      </c>
      <c r="Q114">
        <f t="shared" si="10"/>
        <v>7.9849063415580268</v>
      </c>
      <c r="R114" s="67" cm="1">
        <f t="array" ref="R114">SUMPRODUCT((J114=$J$7:$J$1000)*(P114&lt;$P$7:$P$1000))+1</f>
        <v>5</v>
      </c>
      <c r="S114" s="72"/>
      <c r="T114">
        <v>16</v>
      </c>
      <c r="U114" t="str">
        <v>SDL</v>
      </c>
      <c r="V114" t="str">
        <v>Harris Rutherford</v>
      </c>
      <c r="W114" t="str">
        <v>NULL</v>
      </c>
      <c r="X114" t="str">
        <v>Away</v>
      </c>
      <c r="Y114" t="str">
        <v>MIA</v>
      </c>
      <c r="Z114">
        <v>5.7116291353267492</v>
      </c>
    </row>
    <row r="115" spans="10:26" x14ac:dyDescent="0.35">
      <c r="J115" s="66">
        <v>11</v>
      </c>
      <c r="K115" t="s">
        <v>6</v>
      </c>
      <c r="L115" t="s">
        <v>602</v>
      </c>
      <c r="M115">
        <v>1.3</v>
      </c>
      <c r="N115" t="s">
        <v>9</v>
      </c>
      <c r="O115" t="s">
        <v>34</v>
      </c>
      <c r="P115">
        <f t="shared" si="9"/>
        <v>2.0627856955236252</v>
      </c>
      <c r="Q115">
        <f t="shared" ref="Q115" si="11">IFERROR(($M115-$P115)^2,"")</f>
        <v>0.58184201729546059</v>
      </c>
      <c r="R115" s="67" cm="1">
        <f t="array" ref="R115">SUMPRODUCT((J115=$J$7:$J$1000)*(P115&lt;$P$7:$P$1000))+1</f>
        <v>13</v>
      </c>
      <c r="S115" s="72"/>
      <c r="T115">
        <v>16</v>
      </c>
      <c r="U115" t="str">
        <v>SDL</v>
      </c>
      <c r="V115" t="str">
        <v>Lincoln McClutchie</v>
      </c>
      <c r="W115" t="str">
        <v>NULL</v>
      </c>
      <c r="X115" t="str">
        <v>Away</v>
      </c>
      <c r="Y115" t="str">
        <v>MIA</v>
      </c>
      <c r="Z115">
        <v>8.1739879066995336</v>
      </c>
    </row>
    <row r="116" spans="10:26" x14ac:dyDescent="0.35">
      <c r="J116" s="65">
        <v>12</v>
      </c>
      <c r="K116" t="s">
        <v>4</v>
      </c>
      <c r="L116" t="s">
        <v>532</v>
      </c>
      <c r="M116">
        <v>14.1</v>
      </c>
      <c r="N116" s="10" t="s">
        <v>9</v>
      </c>
      <c r="O116" s="10" t="s">
        <v>34</v>
      </c>
      <c r="P116">
        <f t="shared" si="9"/>
        <v>9.7149058455931083</v>
      </c>
      <c r="Q116">
        <f t="shared" ref="Q116:Q147" si="12">IFERROR(($M116-$P116)^2,"")</f>
        <v>19.229050743013488</v>
      </c>
      <c r="R116" s="67" cm="1">
        <f t="array" ref="R116">SUMPRODUCT((J116=$J$7:$J$1000)*(P116&lt;$P$7:$P$1000))+1</f>
        <v>4</v>
      </c>
      <c r="S116" s="72"/>
      <c r="T116">
        <v>16</v>
      </c>
      <c r="U116" t="str">
        <v>SEA</v>
      </c>
      <c r="V116" t="str">
        <v>Eddie Fouche</v>
      </c>
      <c r="W116" t="str">
        <v>NULL</v>
      </c>
      <c r="X116" t="str">
        <v>Away</v>
      </c>
      <c r="Y116" t="str">
        <v>NEFJ</v>
      </c>
      <c r="Z116">
        <v>7.5248395311959451</v>
      </c>
    </row>
    <row r="117" spans="10:26" x14ac:dyDescent="0.35">
      <c r="J117" s="65">
        <v>12</v>
      </c>
      <c r="K117" t="s">
        <v>34</v>
      </c>
      <c r="L117" t="s">
        <v>192</v>
      </c>
      <c r="M117">
        <v>13.6</v>
      </c>
      <c r="N117" t="s">
        <v>3</v>
      </c>
      <c r="O117" t="s">
        <v>4</v>
      </c>
      <c r="P117">
        <f t="shared" si="9"/>
        <v>8.6138363225550485</v>
      </c>
      <c r="Q117">
        <f t="shared" si="12"/>
        <v>24.861828218271359</v>
      </c>
      <c r="R117" s="67" cm="1">
        <f t="array" ref="R117">SUMPRODUCT((J117=$J$7:$J$1000)*(P117&lt;$P$7:$P$1000))+1</f>
        <v>6</v>
      </c>
      <c r="S117" s="72"/>
      <c r="T117">
        <v>16</v>
      </c>
      <c r="U117" t="str">
        <v>SEA</v>
      </c>
      <c r="V117" t="str">
        <v>Rodney Iona</v>
      </c>
      <c r="W117" t="str">
        <v>NULL</v>
      </c>
      <c r="X117" t="str">
        <v>Away</v>
      </c>
      <c r="Y117" t="str">
        <v>NEFJ</v>
      </c>
      <c r="Z117">
        <v>6.1074356763567508</v>
      </c>
    </row>
    <row r="118" spans="10:26" x14ac:dyDescent="0.35">
      <c r="J118" s="65">
        <v>12</v>
      </c>
      <c r="K118" t="s">
        <v>23</v>
      </c>
      <c r="L118" t="s">
        <v>187</v>
      </c>
      <c r="M118">
        <v>11.2</v>
      </c>
      <c r="N118" t="s">
        <v>3</v>
      </c>
      <c r="O118" t="s">
        <v>36</v>
      </c>
      <c r="P118">
        <f t="shared" si="9"/>
        <v>11.199993939871757</v>
      </c>
      <c r="Q118">
        <f t="shared" si="12"/>
        <v>3.672515431893597E-11</v>
      </c>
      <c r="R118" s="67" cm="1">
        <f t="array" ref="R118">SUMPRODUCT((J118=$J$7:$J$1000)*(P118&lt;$P$7:$P$1000))+1</f>
        <v>1</v>
      </c>
      <c r="S118" s="72"/>
      <c r="T118">
        <v>16</v>
      </c>
      <c r="U118" t="str">
        <v>UTAH</v>
      </c>
      <c r="V118" t="str">
        <v>D'Angelo Leuila</v>
      </c>
      <c r="W118" t="str">
        <v>NULL</v>
      </c>
      <c r="X118" t="str">
        <v>Home</v>
      </c>
      <c r="Y118" t="str">
        <v>ARC</v>
      </c>
      <c r="Z118">
        <v>10.919752109515485</v>
      </c>
    </row>
    <row r="119" spans="10:26" x14ac:dyDescent="0.35">
      <c r="J119" s="65">
        <v>12</v>
      </c>
      <c r="K119" t="s">
        <v>17</v>
      </c>
      <c r="L119" t="s">
        <v>196</v>
      </c>
      <c r="M119">
        <v>9.4</v>
      </c>
      <c r="N119" t="s">
        <v>3</v>
      </c>
      <c r="O119" t="s">
        <v>6</v>
      </c>
      <c r="P119">
        <f t="shared" si="9"/>
        <v>6.6680372610689531</v>
      </c>
      <c r="Q119">
        <f t="shared" si="12"/>
        <v>7.4636204069076291</v>
      </c>
      <c r="R119" s="67" cm="1">
        <f t="array" ref="R119">SUMPRODUCT((J119=$J$7:$J$1000)*(P119&lt;$P$7:$P$1000))+1</f>
        <v>10</v>
      </c>
      <c r="S119" s="72"/>
      <c r="T119">
        <v>16</v>
      </c>
      <c r="U119" t="str">
        <v>UTAH</v>
      </c>
      <c r="V119" t="str">
        <v>Joel Hodgson</v>
      </c>
      <c r="W119" t="str">
        <v>NULL</v>
      </c>
      <c r="X119" t="str">
        <v>Home</v>
      </c>
      <c r="Y119" t="str">
        <v>ARC</v>
      </c>
      <c r="Z119">
        <v>9.7563369860715703</v>
      </c>
    </row>
    <row r="120" spans="10:26" x14ac:dyDescent="0.35">
      <c r="J120" s="66">
        <v>12</v>
      </c>
      <c r="K120" t="s">
        <v>7</v>
      </c>
      <c r="L120" t="s">
        <v>19</v>
      </c>
      <c r="M120">
        <v>8.3000000000000007</v>
      </c>
      <c r="N120" t="s">
        <v>3</v>
      </c>
      <c r="O120" t="s">
        <v>13</v>
      </c>
      <c r="P120">
        <f t="shared" si="9"/>
        <v>8.4169720434475082</v>
      </c>
      <c r="Q120">
        <f t="shared" si="12"/>
        <v>1.368245894828557E-2</v>
      </c>
      <c r="R120" s="67" cm="1">
        <f t="array" ref="R120">SUMPRODUCT((J120=$J$7:$J$1000)*(P120&lt;$P$7:$P$1000))+1</f>
        <v>8</v>
      </c>
      <c r="S120" s="72"/>
    </row>
    <row r="121" spans="10:26" x14ac:dyDescent="0.35">
      <c r="J121">
        <v>12</v>
      </c>
      <c r="K121" t="s">
        <v>13</v>
      </c>
      <c r="L121" t="s">
        <v>191</v>
      </c>
      <c r="M121">
        <v>8.1999999999999993</v>
      </c>
      <c r="N121" t="s">
        <v>9</v>
      </c>
      <c r="O121" t="s">
        <v>7</v>
      </c>
      <c r="P121">
        <f t="shared" si="9"/>
        <v>9.3855101154204448</v>
      </c>
      <c r="Q121">
        <f t="shared" si="12"/>
        <v>1.4054342337641981</v>
      </c>
      <c r="R121" s="67" cm="1">
        <f t="array" ref="R121">SUMPRODUCT((J121=$J$7:$J$1000)*(P121&lt;$P$7:$P$1000))+1</f>
        <v>5</v>
      </c>
      <c r="S121" s="72"/>
    </row>
    <row r="122" spans="10:26" x14ac:dyDescent="0.35">
      <c r="J122" s="66">
        <v>12</v>
      </c>
      <c r="K122" t="s">
        <v>6</v>
      </c>
      <c r="L122" t="s">
        <v>442</v>
      </c>
      <c r="M122">
        <v>5.8</v>
      </c>
      <c r="N122" t="s">
        <v>9</v>
      </c>
      <c r="O122" t="s">
        <v>17</v>
      </c>
      <c r="P122">
        <f t="shared" si="9"/>
        <v>8.5948381976701178</v>
      </c>
      <c r="Q122">
        <f t="shared" si="12"/>
        <v>7.8111205511559536</v>
      </c>
      <c r="R122" s="67" cm="1">
        <f t="array" ref="R122">SUMPRODUCT((J122=$J$7:$J$1000)*(P122&lt;$P$7:$P$1000))+1</f>
        <v>7</v>
      </c>
      <c r="S122" s="72"/>
    </row>
    <row r="123" spans="10:26" x14ac:dyDescent="0.35">
      <c r="J123" s="66">
        <v>12</v>
      </c>
      <c r="K123" t="s">
        <v>13</v>
      </c>
      <c r="L123" t="s">
        <v>191</v>
      </c>
      <c r="M123">
        <v>5.6</v>
      </c>
      <c r="N123" t="s">
        <v>3</v>
      </c>
      <c r="O123" t="s">
        <v>7</v>
      </c>
      <c r="P123">
        <f t="shared" si="9"/>
        <v>10.236991176451014</v>
      </c>
      <c r="Q123">
        <f t="shared" si="12"/>
        <v>21.501687170484558</v>
      </c>
      <c r="R123" s="67" cm="1">
        <f t="array" ref="R123">SUMPRODUCT((J123=$J$7:$J$1000)*(P123&lt;$P$7:$P$1000))+1</f>
        <v>2</v>
      </c>
      <c r="S123" s="72"/>
    </row>
    <row r="124" spans="10:26" x14ac:dyDescent="0.35">
      <c r="J124" s="65">
        <v>12</v>
      </c>
      <c r="K124" t="s">
        <v>2</v>
      </c>
      <c r="L124" t="s">
        <v>520</v>
      </c>
      <c r="M124">
        <v>5.3</v>
      </c>
      <c r="N124" t="s">
        <v>3</v>
      </c>
      <c r="O124" t="s">
        <v>24</v>
      </c>
      <c r="P124">
        <f t="shared" si="9"/>
        <v>9.9204228298406605</v>
      </c>
      <c r="Q124">
        <f t="shared" si="12"/>
        <v>21.348307126512779</v>
      </c>
      <c r="R124" s="67" cm="1">
        <f t="array" ref="R124">SUMPRODUCT((J124=$J$7:$J$1000)*(P124&lt;$P$7:$P$1000))+1</f>
        <v>3</v>
      </c>
      <c r="S124" s="72"/>
    </row>
    <row r="125" spans="10:26" x14ac:dyDescent="0.35">
      <c r="J125" s="65">
        <v>12</v>
      </c>
      <c r="K125" t="s">
        <v>34</v>
      </c>
      <c r="L125" t="s">
        <v>560</v>
      </c>
      <c r="M125">
        <v>5.3</v>
      </c>
      <c r="N125" t="s">
        <v>9</v>
      </c>
      <c r="O125" t="s">
        <v>4</v>
      </c>
      <c r="P125">
        <f t="shared" si="9"/>
        <v>5.2999964901516927</v>
      </c>
      <c r="Q125">
        <f t="shared" si="12"/>
        <v>1.2319035138879972E-11</v>
      </c>
      <c r="R125" s="67" cm="1">
        <f t="array" ref="R125">SUMPRODUCT((J125=$J$7:$J$1000)*(P125&lt;$P$7:$P$1000))+1</f>
        <v>11</v>
      </c>
      <c r="S125" s="72"/>
    </row>
    <row r="126" spans="10:26" x14ac:dyDescent="0.35">
      <c r="J126" s="66">
        <v>12</v>
      </c>
      <c r="K126" t="s">
        <v>36</v>
      </c>
      <c r="L126" t="s">
        <v>476</v>
      </c>
      <c r="M126">
        <v>4.9000000000000004</v>
      </c>
      <c r="N126" t="s">
        <v>9</v>
      </c>
      <c r="O126" t="s">
        <v>23</v>
      </c>
      <c r="P126">
        <f t="shared" si="9"/>
        <v>3.3955943341997781</v>
      </c>
      <c r="Q126">
        <f t="shared" si="12"/>
        <v>2.2632364072918101</v>
      </c>
      <c r="R126" s="67" cm="1">
        <f t="array" ref="R126">SUMPRODUCT((J126=$J$7:$J$1000)*(P126&lt;$P$7:$P$1000))+1</f>
        <v>12</v>
      </c>
      <c r="S126" s="72"/>
    </row>
    <row r="127" spans="10:26" x14ac:dyDescent="0.35">
      <c r="J127" s="66">
        <v>12</v>
      </c>
      <c r="K127" t="s">
        <v>24</v>
      </c>
      <c r="L127" t="s">
        <v>194</v>
      </c>
      <c r="M127">
        <v>2.2999999999999998</v>
      </c>
      <c r="N127" t="s">
        <v>9</v>
      </c>
      <c r="O127" t="s">
        <v>2</v>
      </c>
      <c r="P127">
        <f t="shared" si="9"/>
        <v>7.1179489550722064</v>
      </c>
      <c r="Q127">
        <f t="shared" si="12"/>
        <v>23.212632133681367</v>
      </c>
      <c r="R127" s="67" cm="1">
        <f t="array" ref="R127">SUMPRODUCT((J127=$J$7:$J$1000)*(P127&lt;$P$7:$P$1000))+1</f>
        <v>9</v>
      </c>
      <c r="S127" s="72"/>
    </row>
    <row r="128" spans="10:26" x14ac:dyDescent="0.35">
      <c r="J128" s="66">
        <v>13</v>
      </c>
      <c r="K128" t="s">
        <v>14</v>
      </c>
      <c r="L128" t="s">
        <v>454</v>
      </c>
      <c r="M128" t="s">
        <v>256</v>
      </c>
      <c r="N128" t="s">
        <v>9</v>
      </c>
      <c r="O128" t="s">
        <v>6</v>
      </c>
      <c r="P128">
        <f t="shared" si="9"/>
        <v>2.8805067136778106</v>
      </c>
      <c r="Q128" t="str">
        <f t="shared" si="12"/>
        <v/>
      </c>
      <c r="R128" s="67" cm="1">
        <f t="array" ref="R128">SUMPRODUCT((J128=$J$7:$J$1000)*(P128&lt;$P$7:$P$1000))+1</f>
        <v>26</v>
      </c>
      <c r="S128" s="72"/>
    </row>
    <row r="129" spans="10:19" x14ac:dyDescent="0.35">
      <c r="J129" s="66">
        <v>13</v>
      </c>
      <c r="K129" t="s">
        <v>14</v>
      </c>
      <c r="L129" t="s">
        <v>519</v>
      </c>
      <c r="M129" t="s">
        <v>256</v>
      </c>
      <c r="N129" t="s">
        <v>9</v>
      </c>
      <c r="O129" t="s">
        <v>6</v>
      </c>
      <c r="P129">
        <f t="shared" si="9"/>
        <v>7.2960730773754463</v>
      </c>
      <c r="Q129" t="str">
        <f t="shared" si="12"/>
        <v/>
      </c>
      <c r="R129" s="67" cm="1">
        <f t="array" ref="R129">SUMPRODUCT((J129=$J$7:$J$1000)*(P129&lt;$P$7:$P$1000))+1</f>
        <v>16</v>
      </c>
      <c r="S129" s="72"/>
    </row>
    <row r="130" spans="10:19" x14ac:dyDescent="0.35">
      <c r="J130" s="66">
        <v>13</v>
      </c>
      <c r="K130" t="s">
        <v>14</v>
      </c>
      <c r="L130" t="s">
        <v>438</v>
      </c>
      <c r="M130" t="s">
        <v>256</v>
      </c>
      <c r="N130" t="s">
        <v>9</v>
      </c>
      <c r="O130" t="s">
        <v>6</v>
      </c>
      <c r="P130">
        <f t="shared" si="9"/>
        <v>1.2886832239473678</v>
      </c>
      <c r="Q130" t="str">
        <f t="shared" si="12"/>
        <v/>
      </c>
      <c r="R130" s="67" cm="1">
        <f t="array" ref="R130">SUMPRODUCT((J130=$J$7:$J$1000)*(P130&lt;$P$7:$P$1000))+1</f>
        <v>28</v>
      </c>
      <c r="S130" s="72"/>
    </row>
    <row r="131" spans="10:19" x14ac:dyDescent="0.35">
      <c r="J131" s="66">
        <v>13</v>
      </c>
      <c r="K131" t="s">
        <v>14</v>
      </c>
      <c r="L131" t="s">
        <v>83</v>
      </c>
      <c r="M131" t="s">
        <v>256</v>
      </c>
      <c r="N131" t="s">
        <v>9</v>
      </c>
      <c r="O131" t="s">
        <v>6</v>
      </c>
      <c r="P131">
        <f t="shared" si="9"/>
        <v>6.459496956767115</v>
      </c>
      <c r="Q131" t="str">
        <f t="shared" si="12"/>
        <v/>
      </c>
      <c r="R131" s="67" cm="1">
        <f t="array" ref="R131">SUMPRODUCT((J131=$J$7:$J$1000)*(P131&lt;$P$7:$P$1000))+1</f>
        <v>22</v>
      </c>
      <c r="S131" s="72"/>
    </row>
    <row r="132" spans="10:19" x14ac:dyDescent="0.35">
      <c r="J132" s="66">
        <v>13</v>
      </c>
      <c r="K132" t="s">
        <v>2</v>
      </c>
      <c r="L132" t="s">
        <v>63</v>
      </c>
      <c r="M132" t="s">
        <v>256</v>
      </c>
      <c r="N132" t="s">
        <v>9</v>
      </c>
      <c r="O132" t="s">
        <v>23</v>
      </c>
      <c r="P132">
        <f t="shared" si="9"/>
        <v>6.9005040120589554</v>
      </c>
      <c r="Q132" t="str">
        <f t="shared" si="12"/>
        <v/>
      </c>
      <c r="R132" s="67" cm="1">
        <f t="array" ref="R132">SUMPRODUCT((J132=$J$7:$J$1000)*(P132&lt;$P$7:$P$1000))+1</f>
        <v>20</v>
      </c>
      <c r="S132" s="72"/>
    </row>
    <row r="133" spans="10:19" x14ac:dyDescent="0.35">
      <c r="J133" s="66">
        <v>13</v>
      </c>
      <c r="K133" t="s">
        <v>2</v>
      </c>
      <c r="L133" t="s">
        <v>520</v>
      </c>
      <c r="M133" t="s">
        <v>256</v>
      </c>
      <c r="N133" t="s">
        <v>9</v>
      </c>
      <c r="O133" t="s">
        <v>23</v>
      </c>
      <c r="P133">
        <f t="shared" si="9"/>
        <v>7.0999881924184516</v>
      </c>
      <c r="Q133" t="str">
        <f t="shared" si="12"/>
        <v/>
      </c>
      <c r="R133" s="67" cm="1">
        <f t="array" ref="R133">SUMPRODUCT((J133=$J$7:$J$1000)*(P133&lt;$P$7:$P$1000))+1</f>
        <v>17</v>
      </c>
      <c r="S133" s="72"/>
    </row>
    <row r="134" spans="10:19" x14ac:dyDescent="0.35">
      <c r="J134" s="66">
        <v>13</v>
      </c>
      <c r="K134" t="s">
        <v>2</v>
      </c>
      <c r="L134" t="s">
        <v>444</v>
      </c>
      <c r="M134" t="s">
        <v>256</v>
      </c>
      <c r="N134" t="s">
        <v>9</v>
      </c>
      <c r="O134" t="s">
        <v>23</v>
      </c>
      <c r="P134">
        <f t="shared" si="9"/>
        <v>-1.5206838445294373</v>
      </c>
      <c r="Q134" t="str">
        <f t="shared" si="12"/>
        <v/>
      </c>
      <c r="R134" s="67" cm="1">
        <f t="array" ref="R134">SUMPRODUCT((J134=$J$7:$J$1000)*(P134&lt;$P$7:$P$1000))+1</f>
        <v>29</v>
      </c>
      <c r="S134" s="72"/>
    </row>
    <row r="135" spans="10:19" x14ac:dyDescent="0.35">
      <c r="J135" s="65">
        <v>13</v>
      </c>
      <c r="K135" t="s">
        <v>36</v>
      </c>
      <c r="L135" t="s">
        <v>491</v>
      </c>
      <c r="M135" t="s">
        <v>256</v>
      </c>
      <c r="N135" t="s">
        <v>9</v>
      </c>
      <c r="O135" t="s">
        <v>34</v>
      </c>
      <c r="P135">
        <f t="shared" si="9"/>
        <v>7.4821651644755987</v>
      </c>
      <c r="Q135" t="str">
        <f t="shared" si="12"/>
        <v/>
      </c>
      <c r="R135" s="67" cm="1">
        <f t="array" ref="R135">SUMPRODUCT((J135=$J$7:$J$1000)*(P135&lt;$P$7:$P$1000))+1</f>
        <v>14</v>
      </c>
      <c r="S135" s="72"/>
    </row>
    <row r="136" spans="10:19" x14ac:dyDescent="0.35">
      <c r="J136" s="66">
        <v>13</v>
      </c>
      <c r="K136" t="s">
        <v>36</v>
      </c>
      <c r="L136" t="s">
        <v>71</v>
      </c>
      <c r="M136" t="s">
        <v>256</v>
      </c>
      <c r="N136" t="s">
        <v>9</v>
      </c>
      <c r="O136" t="s">
        <v>34</v>
      </c>
      <c r="P136">
        <f t="shared" ref="P136:P199" si="13">VLOOKUP($N136,$F$3:$G$4,2,FALSE)+VLOOKUP($L136,$B$20:$C$150,2,FALSE)+VLOOKUP($O136,$A$6:$B$16,2,FALSE)</f>
        <v>14.603746206535057</v>
      </c>
      <c r="Q136" t="str">
        <f t="shared" si="12"/>
        <v/>
      </c>
      <c r="R136" s="67" cm="1">
        <f t="array" ref="R136">SUMPRODUCT((J136=$J$7:$J$1000)*(P136&lt;$P$7:$P$1000))+1</f>
        <v>1</v>
      </c>
      <c r="S136" s="72"/>
    </row>
    <row r="137" spans="10:19" x14ac:dyDescent="0.35">
      <c r="J137" s="65">
        <v>13</v>
      </c>
      <c r="K137" t="s">
        <v>36</v>
      </c>
      <c r="L137" t="s">
        <v>476</v>
      </c>
      <c r="M137" t="s">
        <v>256</v>
      </c>
      <c r="N137" t="s">
        <v>9</v>
      </c>
      <c r="O137" t="s">
        <v>34</v>
      </c>
      <c r="P137">
        <f t="shared" si="13"/>
        <v>5.1860219624891206</v>
      </c>
      <c r="Q137" t="str">
        <f t="shared" si="12"/>
        <v/>
      </c>
      <c r="R137" s="67" cm="1">
        <f t="array" ref="R137">SUMPRODUCT((J137=$J$7:$J$1000)*(P137&lt;$P$7:$P$1000))+1</f>
        <v>25</v>
      </c>
      <c r="S137" s="72"/>
    </row>
    <row r="138" spans="10:19" x14ac:dyDescent="0.35">
      <c r="J138" s="66">
        <v>13</v>
      </c>
      <c r="K138" t="s">
        <v>6</v>
      </c>
      <c r="L138" t="s">
        <v>442</v>
      </c>
      <c r="M138" t="s">
        <v>256</v>
      </c>
      <c r="N138" t="s">
        <v>3</v>
      </c>
      <c r="O138" t="s">
        <v>14</v>
      </c>
      <c r="P138">
        <f t="shared" si="13"/>
        <v>7.0700608791494322</v>
      </c>
      <c r="Q138" t="str">
        <f t="shared" si="12"/>
        <v/>
      </c>
      <c r="R138" s="67" cm="1">
        <f t="array" ref="R138">SUMPRODUCT((J138=$J$7:$J$1000)*(P138&lt;$P$7:$P$1000))+1</f>
        <v>18</v>
      </c>
      <c r="S138" s="72"/>
    </row>
    <row r="139" spans="10:19" x14ac:dyDescent="0.35">
      <c r="J139" s="65">
        <v>13</v>
      </c>
      <c r="K139" t="s">
        <v>6</v>
      </c>
      <c r="L139" t="s">
        <v>602</v>
      </c>
      <c r="M139" t="s">
        <v>256</v>
      </c>
      <c r="N139" t="s">
        <v>3</v>
      </c>
      <c r="O139" t="s">
        <v>14</v>
      </c>
      <c r="P139">
        <f t="shared" si="13"/>
        <v>1.6585699777368248</v>
      </c>
      <c r="Q139" t="str">
        <f t="shared" si="12"/>
        <v/>
      </c>
      <c r="R139" s="67" cm="1">
        <f t="array" ref="R139">SUMPRODUCT((J139=$J$7:$J$1000)*(P139&lt;$P$7:$P$1000))+1</f>
        <v>27</v>
      </c>
      <c r="S139" s="72"/>
    </row>
    <row r="140" spans="10:19" x14ac:dyDescent="0.35">
      <c r="J140" s="66">
        <v>13</v>
      </c>
      <c r="K140" t="s">
        <v>24</v>
      </c>
      <c r="L140" t="s">
        <v>194</v>
      </c>
      <c r="M140" t="s">
        <v>256</v>
      </c>
      <c r="N140" t="s">
        <v>9</v>
      </c>
      <c r="O140" t="s">
        <v>4</v>
      </c>
      <c r="P140">
        <f t="shared" si="13"/>
        <v>7.3010590767017343</v>
      </c>
      <c r="Q140" t="str">
        <f t="shared" si="12"/>
        <v/>
      </c>
      <c r="R140" s="67" cm="1">
        <f t="array" ref="R140">SUMPRODUCT((J140=$J$7:$J$1000)*(P140&lt;$P$7:$P$1000))+1</f>
        <v>15</v>
      </c>
      <c r="S140" s="72"/>
    </row>
    <row r="141" spans="10:19" x14ac:dyDescent="0.35">
      <c r="J141" s="66">
        <v>13</v>
      </c>
      <c r="K141" t="s">
        <v>24</v>
      </c>
      <c r="L141" t="s">
        <v>96</v>
      </c>
      <c r="M141" t="s">
        <v>256</v>
      </c>
      <c r="N141" t="s">
        <v>9</v>
      </c>
      <c r="O141" t="s">
        <v>4</v>
      </c>
      <c r="P141">
        <f t="shared" si="13"/>
        <v>12.331617185929765</v>
      </c>
      <c r="Q141" t="str">
        <f t="shared" si="12"/>
        <v/>
      </c>
      <c r="R141" s="67" cm="1">
        <f t="array" ref="R141">SUMPRODUCT((J141=$J$7:$J$1000)*(P141&lt;$P$7:$P$1000))+1</f>
        <v>3</v>
      </c>
      <c r="S141" s="72"/>
    </row>
    <row r="142" spans="10:19" x14ac:dyDescent="0.35">
      <c r="J142" s="66">
        <v>13</v>
      </c>
      <c r="K142" t="s">
        <v>24</v>
      </c>
      <c r="L142" t="s">
        <v>533</v>
      </c>
      <c r="M142" t="s">
        <v>256</v>
      </c>
      <c r="N142" t="s">
        <v>9</v>
      </c>
      <c r="O142" t="s">
        <v>4</v>
      </c>
      <c r="P142">
        <f t="shared" si="13"/>
        <v>6.9620996966442803</v>
      </c>
      <c r="Q142" t="str">
        <f t="shared" si="12"/>
        <v/>
      </c>
      <c r="R142" s="67" cm="1">
        <f t="array" ref="R142">SUMPRODUCT((J142=$J$7:$J$1000)*(P142&lt;$P$7:$P$1000))+1</f>
        <v>19</v>
      </c>
      <c r="S142" s="72"/>
    </row>
    <row r="143" spans="10:19" x14ac:dyDescent="0.35">
      <c r="J143" s="66">
        <v>13</v>
      </c>
      <c r="K143" t="s">
        <v>23</v>
      </c>
      <c r="L143" t="s">
        <v>187</v>
      </c>
      <c r="M143" t="s">
        <v>256</v>
      </c>
      <c r="N143" t="s">
        <v>3</v>
      </c>
      <c r="O143" t="s">
        <v>2</v>
      </c>
      <c r="P143">
        <f t="shared" si="13"/>
        <v>11.709352695708045</v>
      </c>
      <c r="Q143" t="str">
        <f t="shared" si="12"/>
        <v/>
      </c>
      <c r="R143" s="67" cm="1">
        <f t="array" ref="R143">SUMPRODUCT((J143=$J$7:$J$1000)*(P143&lt;$P$7:$P$1000))+1</f>
        <v>7</v>
      </c>
      <c r="S143" s="72"/>
    </row>
    <row r="144" spans="10:19" x14ac:dyDescent="0.35">
      <c r="J144" s="66">
        <v>13</v>
      </c>
      <c r="K144" t="s">
        <v>23</v>
      </c>
      <c r="L144" t="s">
        <v>518</v>
      </c>
      <c r="M144" t="s">
        <v>256</v>
      </c>
      <c r="N144" t="s">
        <v>3</v>
      </c>
      <c r="O144" t="s">
        <v>2</v>
      </c>
      <c r="P144">
        <f t="shared" si="13"/>
        <v>12.194508351738254</v>
      </c>
      <c r="Q144" t="str">
        <f t="shared" si="12"/>
        <v/>
      </c>
      <c r="R144" s="67" cm="1">
        <f t="array" ref="R144">SUMPRODUCT((J144=$J$7:$J$1000)*(P144&lt;$P$7:$P$1000))+1</f>
        <v>4</v>
      </c>
      <c r="S144" s="72"/>
    </row>
    <row r="145" spans="10:19" x14ac:dyDescent="0.35">
      <c r="J145">
        <v>13</v>
      </c>
      <c r="K145" t="s">
        <v>23</v>
      </c>
      <c r="L145" t="s">
        <v>443</v>
      </c>
      <c r="M145" t="s">
        <v>256</v>
      </c>
      <c r="N145" t="s">
        <v>3</v>
      </c>
      <c r="O145" t="s">
        <v>2</v>
      </c>
      <c r="P145">
        <f t="shared" si="13"/>
        <v>6.086874345797824</v>
      </c>
      <c r="Q145" t="str">
        <f t="shared" si="12"/>
        <v/>
      </c>
      <c r="R145" s="67" cm="1">
        <f t="array" ref="R145">SUMPRODUCT((J145=$J$7:$J$1000)*(P145&lt;$P$7:$P$1000))+1</f>
        <v>23</v>
      </c>
      <c r="S145" s="72"/>
    </row>
    <row r="146" spans="10:19" x14ac:dyDescent="0.35">
      <c r="J146" s="66">
        <v>13</v>
      </c>
      <c r="K146" t="s">
        <v>23</v>
      </c>
      <c r="L146" t="s">
        <v>190</v>
      </c>
      <c r="M146" t="s">
        <v>256</v>
      </c>
      <c r="N146" t="s">
        <v>3</v>
      </c>
      <c r="O146" t="s">
        <v>2</v>
      </c>
      <c r="P146">
        <f t="shared" si="13"/>
        <v>11.961013096239435</v>
      </c>
      <c r="Q146" t="str">
        <f t="shared" si="12"/>
        <v/>
      </c>
      <c r="R146" s="67" cm="1">
        <f t="array" ref="R146">SUMPRODUCT((J146=$J$7:$J$1000)*(P146&lt;$P$7:$P$1000))+1</f>
        <v>6</v>
      </c>
      <c r="S146" s="72"/>
    </row>
    <row r="147" spans="10:19" x14ac:dyDescent="0.35">
      <c r="J147">
        <v>13</v>
      </c>
      <c r="K147" t="s">
        <v>4</v>
      </c>
      <c r="L147" t="s">
        <v>188</v>
      </c>
      <c r="M147" t="s">
        <v>256</v>
      </c>
      <c r="N147" t="s">
        <v>3</v>
      </c>
      <c r="O147" t="s">
        <v>24</v>
      </c>
      <c r="P147">
        <f t="shared" si="13"/>
        <v>9.4629391125447135</v>
      </c>
      <c r="Q147" t="str">
        <f t="shared" si="12"/>
        <v/>
      </c>
      <c r="R147" s="67" cm="1">
        <f t="array" ref="R147">SUMPRODUCT((J147=$J$7:$J$1000)*(P147&lt;$P$7:$P$1000))+1</f>
        <v>10</v>
      </c>
      <c r="S147" s="72"/>
    </row>
    <row r="148" spans="10:19" x14ac:dyDescent="0.35">
      <c r="J148" s="66">
        <v>13</v>
      </c>
      <c r="K148" t="s">
        <v>4</v>
      </c>
      <c r="L148" t="s">
        <v>493</v>
      </c>
      <c r="M148" t="s">
        <v>256</v>
      </c>
      <c r="N148" t="s">
        <v>3</v>
      </c>
      <c r="O148" t="s">
        <v>24</v>
      </c>
      <c r="P148">
        <f t="shared" si="13"/>
        <v>8.0668061176007875</v>
      </c>
      <c r="Q148" t="str">
        <f t="shared" ref="Q148:Q179" si="14">IFERROR(($M148-$P148)^2,"")</f>
        <v/>
      </c>
      <c r="R148" s="67" cm="1">
        <f t="array" ref="R148">SUMPRODUCT((J148=$J$7:$J$1000)*(P148&lt;$P$7:$P$1000))+1</f>
        <v>12</v>
      </c>
      <c r="S148" s="72"/>
    </row>
    <row r="149" spans="10:19" x14ac:dyDescent="0.35">
      <c r="J149" s="66">
        <v>13</v>
      </c>
      <c r="K149" t="s">
        <v>4</v>
      </c>
      <c r="L149" t="s">
        <v>532</v>
      </c>
      <c r="M149" t="s">
        <v>256</v>
      </c>
      <c r="N149" t="s">
        <v>3</v>
      </c>
      <c r="O149" t="s">
        <v>24</v>
      </c>
      <c r="P149">
        <f t="shared" si="13"/>
        <v>10.744912854725975</v>
      </c>
      <c r="Q149" t="str">
        <f t="shared" si="14"/>
        <v/>
      </c>
      <c r="R149" s="67" cm="1">
        <f t="array" ref="R149">SUMPRODUCT((J149=$J$7:$J$1000)*(P149&lt;$P$7:$P$1000))+1</f>
        <v>8</v>
      </c>
      <c r="S149" s="72"/>
    </row>
    <row r="150" spans="10:19" x14ac:dyDescent="0.35">
      <c r="J150">
        <v>13</v>
      </c>
      <c r="K150" t="s">
        <v>34</v>
      </c>
      <c r="L150" t="s">
        <v>41</v>
      </c>
      <c r="M150" t="s">
        <v>256</v>
      </c>
      <c r="N150" t="s">
        <v>3</v>
      </c>
      <c r="O150" t="s">
        <v>36</v>
      </c>
      <c r="P150">
        <f t="shared" si="13"/>
        <v>6.7163262088800559</v>
      </c>
      <c r="Q150" t="str">
        <f t="shared" si="14"/>
        <v/>
      </c>
      <c r="R150" s="67" cm="1">
        <f t="array" ref="R150">SUMPRODUCT((J150=$J$7:$J$1000)*(P150&lt;$P$7:$P$1000))+1</f>
        <v>21</v>
      </c>
      <c r="S150" s="72"/>
    </row>
    <row r="151" spans="10:19" x14ac:dyDescent="0.35">
      <c r="J151" s="66">
        <v>13</v>
      </c>
      <c r="K151" t="s">
        <v>34</v>
      </c>
      <c r="L151" t="s">
        <v>560</v>
      </c>
      <c r="M151" t="s">
        <v>256</v>
      </c>
      <c r="N151" t="s">
        <v>3</v>
      </c>
      <c r="O151" t="s">
        <v>36</v>
      </c>
      <c r="P151">
        <f t="shared" si="13"/>
        <v>5.4590086737164478</v>
      </c>
      <c r="Q151" t="str">
        <f t="shared" si="14"/>
        <v/>
      </c>
      <c r="R151" s="67" cm="1">
        <f t="array" ref="R151">SUMPRODUCT((J151=$J$7:$J$1000)*(P151&lt;$P$7:$P$1000))+1</f>
        <v>24</v>
      </c>
      <c r="S151" s="72"/>
    </row>
    <row r="152" spans="10:19" x14ac:dyDescent="0.35">
      <c r="J152">
        <v>13</v>
      </c>
      <c r="K152" t="s">
        <v>34</v>
      </c>
      <c r="L152" t="s">
        <v>192</v>
      </c>
      <c r="M152" t="s">
        <v>256</v>
      </c>
      <c r="N152" t="s">
        <v>3</v>
      </c>
      <c r="O152" t="s">
        <v>36</v>
      </c>
      <c r="P152">
        <f t="shared" si="13"/>
        <v>7.9213674450892322</v>
      </c>
      <c r="Q152" t="str">
        <f t="shared" si="14"/>
        <v/>
      </c>
      <c r="R152" s="67" cm="1">
        <f t="array" ref="R152">SUMPRODUCT((J152=$J$7:$J$1000)*(P152&lt;$P$7:$P$1000))+1</f>
        <v>13</v>
      </c>
      <c r="S152" s="72"/>
    </row>
    <row r="153" spans="10:19" x14ac:dyDescent="0.35">
      <c r="J153">
        <v>13</v>
      </c>
      <c r="K153" t="s">
        <v>17</v>
      </c>
      <c r="L153" t="s">
        <v>492</v>
      </c>
      <c r="M153" t="s">
        <v>256</v>
      </c>
      <c r="N153" t="s">
        <v>9</v>
      </c>
      <c r="O153" t="s">
        <v>13</v>
      </c>
      <c r="P153">
        <f t="shared" si="13"/>
        <v>9.920851557205026</v>
      </c>
      <c r="Q153" t="str">
        <f t="shared" si="14"/>
        <v/>
      </c>
      <c r="R153" s="67" cm="1">
        <f t="array" ref="R153">SUMPRODUCT((J153=$J$7:$J$1000)*(P153&lt;$P$7:$P$1000))+1</f>
        <v>9</v>
      </c>
      <c r="S153" s="72"/>
    </row>
    <row r="154" spans="10:19" x14ac:dyDescent="0.35">
      <c r="J154">
        <v>13</v>
      </c>
      <c r="K154" t="s">
        <v>17</v>
      </c>
      <c r="L154" t="s">
        <v>196</v>
      </c>
      <c r="M154" t="s">
        <v>256</v>
      </c>
      <c r="N154" t="s">
        <v>9</v>
      </c>
      <c r="O154" t="s">
        <v>13</v>
      </c>
      <c r="P154">
        <f t="shared" si="13"/>
        <v>8.5034477023658308</v>
      </c>
      <c r="Q154" t="str">
        <f t="shared" si="14"/>
        <v/>
      </c>
      <c r="R154" s="67" cm="1">
        <f t="array" ref="R154">SUMPRODUCT((J154=$J$7:$J$1000)*(P154&lt;$P$7:$P$1000))+1</f>
        <v>11</v>
      </c>
      <c r="S154" s="72"/>
    </row>
    <row r="155" spans="10:19" x14ac:dyDescent="0.35">
      <c r="J155" s="66">
        <v>13</v>
      </c>
      <c r="K155" t="s">
        <v>13</v>
      </c>
      <c r="L155" t="s">
        <v>473</v>
      </c>
      <c r="M155" t="s">
        <v>256</v>
      </c>
      <c r="N155" t="s">
        <v>3</v>
      </c>
      <c r="O155" t="s">
        <v>17</v>
      </c>
      <c r="P155">
        <f t="shared" si="13"/>
        <v>13.296010489066742</v>
      </c>
      <c r="Q155" t="str">
        <f t="shared" si="14"/>
        <v/>
      </c>
      <c r="R155" s="67" cm="1">
        <f t="array" ref="R155">SUMPRODUCT((J155=$J$7:$J$1000)*(P155&lt;$P$7:$P$1000))+1</f>
        <v>2</v>
      </c>
      <c r="S155" s="72"/>
    </row>
    <row r="156" spans="10:19" x14ac:dyDescent="0.35">
      <c r="J156" s="65">
        <v>13</v>
      </c>
      <c r="K156" t="s">
        <v>13</v>
      </c>
      <c r="L156" t="s">
        <v>191</v>
      </c>
      <c r="M156" t="s">
        <v>256</v>
      </c>
      <c r="N156" t="s">
        <v>3</v>
      </c>
      <c r="O156" t="s">
        <v>17</v>
      </c>
      <c r="P156">
        <f t="shared" si="13"/>
        <v>12.132595365622826</v>
      </c>
      <c r="Q156" t="str">
        <f t="shared" si="14"/>
        <v/>
      </c>
      <c r="R156" s="67" cm="1">
        <f t="array" ref="R156">SUMPRODUCT((J156=$J$7:$J$1000)*(P156&lt;$P$7:$P$1000))+1</f>
        <v>5</v>
      </c>
      <c r="S156" s="72"/>
    </row>
    <row r="157" spans="10:19" x14ac:dyDescent="0.35">
      <c r="J157">
        <v>14</v>
      </c>
      <c r="K157" t="s">
        <v>14</v>
      </c>
      <c r="L157" t="s">
        <v>454</v>
      </c>
      <c r="M157" t="s">
        <v>256</v>
      </c>
      <c r="N157" t="s">
        <v>3</v>
      </c>
      <c r="O157" t="s">
        <v>7</v>
      </c>
      <c r="P157">
        <f t="shared" si="13"/>
        <v>5.0382522908781642</v>
      </c>
      <c r="Q157" t="str">
        <f t="shared" si="14"/>
        <v/>
      </c>
      <c r="R157" s="67" cm="1">
        <f t="array" ref="R157">SUMPRODUCT((J157=$J$7:$J$1000)*(P157&lt;$P$7:$P$1000))+1</f>
        <v>25</v>
      </c>
      <c r="S157" s="72"/>
    </row>
    <row r="158" spans="10:19" x14ac:dyDescent="0.35">
      <c r="J158" s="66">
        <v>14</v>
      </c>
      <c r="K158" t="s">
        <v>14</v>
      </c>
      <c r="L158" t="s">
        <v>519</v>
      </c>
      <c r="M158" t="s">
        <v>256</v>
      </c>
      <c r="N158" t="s">
        <v>3</v>
      </c>
      <c r="O158" t="s">
        <v>7</v>
      </c>
      <c r="P158">
        <f t="shared" si="13"/>
        <v>9.4538186545757981</v>
      </c>
      <c r="Q158" t="str">
        <f t="shared" si="14"/>
        <v/>
      </c>
      <c r="R158" s="67" cm="1">
        <f t="array" ref="R158">SUMPRODUCT((J158=$J$7:$J$1000)*(P158&lt;$P$7:$P$1000))+1</f>
        <v>9</v>
      </c>
      <c r="S158" s="72"/>
    </row>
    <row r="159" spans="10:19" x14ac:dyDescent="0.35">
      <c r="J159">
        <v>14</v>
      </c>
      <c r="K159" t="s">
        <v>14</v>
      </c>
      <c r="L159" t="s">
        <v>438</v>
      </c>
      <c r="M159" t="s">
        <v>256</v>
      </c>
      <c r="N159" t="s">
        <v>3</v>
      </c>
      <c r="O159" t="s">
        <v>7</v>
      </c>
      <c r="P159">
        <f t="shared" si="13"/>
        <v>3.4464288011477211</v>
      </c>
      <c r="Q159" t="str">
        <f t="shared" si="14"/>
        <v/>
      </c>
      <c r="R159" s="67" cm="1">
        <f t="array" ref="R159">SUMPRODUCT((J159=$J$7:$J$1000)*(P159&lt;$P$7:$P$1000))+1</f>
        <v>26</v>
      </c>
      <c r="S159" s="72"/>
    </row>
    <row r="160" spans="10:19" x14ac:dyDescent="0.35">
      <c r="J160" s="66">
        <v>14</v>
      </c>
      <c r="K160" t="s">
        <v>14</v>
      </c>
      <c r="L160" t="s">
        <v>83</v>
      </c>
      <c r="M160" t="s">
        <v>256</v>
      </c>
      <c r="N160" t="s">
        <v>3</v>
      </c>
      <c r="O160" t="s">
        <v>7</v>
      </c>
      <c r="P160">
        <f t="shared" si="13"/>
        <v>8.6172425339674668</v>
      </c>
      <c r="Q160" t="str">
        <f t="shared" si="14"/>
        <v/>
      </c>
      <c r="R160" s="67" cm="1">
        <f t="array" ref="R160">SUMPRODUCT((J160=$J$7:$J$1000)*(P160&lt;$P$7:$P$1000))+1</f>
        <v>14</v>
      </c>
      <c r="S160" s="72"/>
    </row>
    <row r="161" spans="10:19" x14ac:dyDescent="0.35">
      <c r="J161" s="66">
        <v>14</v>
      </c>
      <c r="K161" t="s">
        <v>2</v>
      </c>
      <c r="L161" t="s">
        <v>63</v>
      </c>
      <c r="M161" t="s">
        <v>256</v>
      </c>
      <c r="N161" t="s">
        <v>3</v>
      </c>
      <c r="O161" t="s">
        <v>6</v>
      </c>
      <c r="P161">
        <f t="shared" si="13"/>
        <v>7.4611055967711568</v>
      </c>
      <c r="Q161" t="str">
        <f t="shared" si="14"/>
        <v/>
      </c>
      <c r="R161" s="67" cm="1">
        <f t="array" ref="R161">SUMPRODUCT((J161=$J$7:$J$1000)*(P161&lt;$P$7:$P$1000))+1</f>
        <v>17</v>
      </c>
      <c r="S161" s="72"/>
    </row>
    <row r="162" spans="10:19" x14ac:dyDescent="0.35">
      <c r="J162" s="66">
        <v>14</v>
      </c>
      <c r="K162" t="s">
        <v>2</v>
      </c>
      <c r="L162" t="s">
        <v>520</v>
      </c>
      <c r="M162" t="s">
        <v>256</v>
      </c>
      <c r="N162" t="s">
        <v>3</v>
      </c>
      <c r="O162" t="s">
        <v>6</v>
      </c>
      <c r="P162">
        <f t="shared" si="13"/>
        <v>7.660589777130653</v>
      </c>
      <c r="Q162" t="str">
        <f t="shared" si="14"/>
        <v/>
      </c>
      <c r="R162" s="67" cm="1">
        <f t="array" ref="R162">SUMPRODUCT((J162=$J$7:$J$1000)*(P162&lt;$P$7:$P$1000))+1</f>
        <v>16</v>
      </c>
      <c r="S162" s="72"/>
    </row>
    <row r="163" spans="10:19" x14ac:dyDescent="0.35">
      <c r="J163" s="66">
        <v>14</v>
      </c>
      <c r="K163" t="s">
        <v>2</v>
      </c>
      <c r="L163" t="s">
        <v>444</v>
      </c>
      <c r="M163" t="s">
        <v>256</v>
      </c>
      <c r="N163" t="s">
        <v>3</v>
      </c>
      <c r="O163" t="s">
        <v>6</v>
      </c>
      <c r="P163">
        <f t="shared" si="13"/>
        <v>-0.96008225981723516</v>
      </c>
      <c r="Q163" t="str">
        <f t="shared" si="14"/>
        <v/>
      </c>
      <c r="R163" s="67" cm="1">
        <f t="array" ref="R163">SUMPRODUCT((J163=$J$7:$J$1000)*(P163&lt;$P$7:$P$1000))+1</f>
        <v>28</v>
      </c>
      <c r="S163" s="72"/>
    </row>
    <row r="164" spans="10:19" x14ac:dyDescent="0.35">
      <c r="J164">
        <v>14</v>
      </c>
      <c r="K164" t="s">
        <v>36</v>
      </c>
      <c r="L164" t="s">
        <v>491</v>
      </c>
      <c r="M164" t="s">
        <v>256</v>
      </c>
      <c r="N164" t="s">
        <v>3</v>
      </c>
      <c r="O164" t="s">
        <v>13</v>
      </c>
      <c r="P164">
        <f t="shared" si="13"/>
        <v>8.9392306232259067</v>
      </c>
      <c r="Q164" t="str">
        <f t="shared" si="14"/>
        <v/>
      </c>
      <c r="R164" s="67" cm="1">
        <f t="array" ref="R164">SUMPRODUCT((J164=$J$7:$J$1000)*(P164&lt;$P$7:$P$1000))+1</f>
        <v>12</v>
      </c>
      <c r="S164" s="72"/>
    </row>
    <row r="165" spans="10:19" x14ac:dyDescent="0.35">
      <c r="J165" s="66">
        <v>14</v>
      </c>
      <c r="K165" t="s">
        <v>36</v>
      </c>
      <c r="L165" t="s">
        <v>71</v>
      </c>
      <c r="M165" t="s">
        <v>256</v>
      </c>
      <c r="N165" t="s">
        <v>3</v>
      </c>
      <c r="O165" t="s">
        <v>13</v>
      </c>
      <c r="P165">
        <f t="shared" si="13"/>
        <v>16.060811665285364</v>
      </c>
      <c r="Q165" t="str">
        <f t="shared" si="14"/>
        <v/>
      </c>
      <c r="R165" s="67" cm="1">
        <f t="array" ref="R165">SUMPRODUCT((J165=$J$7:$J$1000)*(P165&lt;$P$7:$P$1000))+1</f>
        <v>1</v>
      </c>
      <c r="S165" s="72"/>
    </row>
    <row r="166" spans="10:19" x14ac:dyDescent="0.35">
      <c r="J166" s="66">
        <v>14</v>
      </c>
      <c r="K166" t="s">
        <v>36</v>
      </c>
      <c r="L166" t="s">
        <v>476</v>
      </c>
      <c r="M166" t="s">
        <v>256</v>
      </c>
      <c r="N166" t="s">
        <v>3</v>
      </c>
      <c r="O166" t="s">
        <v>13</v>
      </c>
      <c r="P166">
        <f t="shared" si="13"/>
        <v>6.6430874212394286</v>
      </c>
      <c r="Q166" t="str">
        <f t="shared" si="14"/>
        <v/>
      </c>
      <c r="R166" s="67" cm="1">
        <f t="array" ref="R166">SUMPRODUCT((J166=$J$7:$J$1000)*(P166&lt;$P$7:$P$1000))+1</f>
        <v>20</v>
      </c>
      <c r="S166" s="72"/>
    </row>
    <row r="167" spans="10:19" x14ac:dyDescent="0.35">
      <c r="J167" s="65">
        <v>14</v>
      </c>
      <c r="K167" t="s">
        <v>6</v>
      </c>
      <c r="L167" t="s">
        <v>442</v>
      </c>
      <c r="M167" t="s">
        <v>256</v>
      </c>
      <c r="N167" t="s">
        <v>9</v>
      </c>
      <c r="O167" t="s">
        <v>2</v>
      </c>
      <c r="P167">
        <f t="shared" si="13"/>
        <v>7.0580597782339449</v>
      </c>
      <c r="Q167" t="str">
        <f t="shared" si="14"/>
        <v/>
      </c>
      <c r="R167" s="67" cm="1">
        <f t="array" ref="R167">SUMPRODUCT((J167=$J$7:$J$1000)*(P167&lt;$P$7:$P$1000))+1</f>
        <v>18</v>
      </c>
      <c r="S167" s="72"/>
    </row>
    <row r="168" spans="10:19" x14ac:dyDescent="0.35">
      <c r="J168" s="66">
        <v>14</v>
      </c>
      <c r="K168" t="s">
        <v>6</v>
      </c>
      <c r="L168" t="s">
        <v>602</v>
      </c>
      <c r="M168" t="s">
        <v>256</v>
      </c>
      <c r="N168" t="s">
        <v>9</v>
      </c>
      <c r="O168" t="s">
        <v>2</v>
      </c>
      <c r="P168">
        <f t="shared" si="13"/>
        <v>1.6465688768213391</v>
      </c>
      <c r="Q168" t="str">
        <f t="shared" si="14"/>
        <v/>
      </c>
      <c r="R168" s="67" cm="1">
        <f t="array" ref="R168">SUMPRODUCT((J168=$J$7:$J$1000)*(P168&lt;$P$7:$P$1000))+1</f>
        <v>27</v>
      </c>
      <c r="S168" s="72"/>
    </row>
    <row r="169" spans="10:19" x14ac:dyDescent="0.35">
      <c r="J169">
        <v>14</v>
      </c>
      <c r="K169" t="s">
        <v>24</v>
      </c>
      <c r="L169" t="s">
        <v>194</v>
      </c>
      <c r="M169" t="s">
        <v>256</v>
      </c>
      <c r="N169" t="s">
        <v>3</v>
      </c>
      <c r="O169" t="s">
        <v>23</v>
      </c>
      <c r="P169">
        <f t="shared" si="13"/>
        <v>6.5952192065157211</v>
      </c>
      <c r="Q169" t="str">
        <f t="shared" si="14"/>
        <v/>
      </c>
      <c r="R169" s="67" cm="1">
        <f t="array" ref="R169">SUMPRODUCT((J169=$J$7:$J$1000)*(P169&lt;$P$7:$P$1000))+1</f>
        <v>21</v>
      </c>
      <c r="S169" s="72"/>
    </row>
    <row r="170" spans="10:19" x14ac:dyDescent="0.35">
      <c r="J170">
        <v>14</v>
      </c>
      <c r="K170" t="s">
        <v>24</v>
      </c>
      <c r="L170" t="s">
        <v>96</v>
      </c>
      <c r="M170" t="s">
        <v>256</v>
      </c>
      <c r="N170" t="s">
        <v>3</v>
      </c>
      <c r="O170" t="s">
        <v>23</v>
      </c>
      <c r="P170">
        <f t="shared" si="13"/>
        <v>11.625777315743751</v>
      </c>
      <c r="Q170" t="str">
        <f t="shared" si="14"/>
        <v/>
      </c>
      <c r="R170" s="67" cm="1">
        <f t="array" ref="R170">SUMPRODUCT((J170=$J$7:$J$1000)*(P170&lt;$P$7:$P$1000))+1</f>
        <v>4</v>
      </c>
      <c r="S170" s="72"/>
    </row>
    <row r="171" spans="10:19" x14ac:dyDescent="0.35">
      <c r="J171" s="66">
        <v>14</v>
      </c>
      <c r="K171" t="s">
        <v>24</v>
      </c>
      <c r="L171" t="s">
        <v>533</v>
      </c>
      <c r="M171" t="s">
        <v>256</v>
      </c>
      <c r="N171" t="s">
        <v>3</v>
      </c>
      <c r="O171" t="s">
        <v>23</v>
      </c>
      <c r="P171">
        <f t="shared" si="13"/>
        <v>6.2562598264582672</v>
      </c>
      <c r="Q171" t="str">
        <f t="shared" si="14"/>
        <v/>
      </c>
      <c r="R171" s="67" cm="1">
        <f t="array" ref="R171">SUMPRODUCT((J171=$J$7:$J$1000)*(P171&lt;$P$7:$P$1000))+1</f>
        <v>22</v>
      </c>
      <c r="S171" s="72"/>
    </row>
    <row r="172" spans="10:19" x14ac:dyDescent="0.35">
      <c r="J172">
        <v>14</v>
      </c>
      <c r="K172" t="s">
        <v>23</v>
      </c>
      <c r="L172" t="s">
        <v>187</v>
      </c>
      <c r="M172" t="s">
        <v>256</v>
      </c>
      <c r="N172" t="s">
        <v>9</v>
      </c>
      <c r="O172" t="s">
        <v>24</v>
      </c>
      <c r="P172">
        <f t="shared" si="13"/>
        <v>11.452614401482061</v>
      </c>
      <c r="Q172" t="str">
        <f t="shared" si="14"/>
        <v/>
      </c>
      <c r="R172" s="67" cm="1">
        <f t="array" ref="R172">SUMPRODUCT((J172=$J$7:$J$1000)*(P172&lt;$P$7:$P$1000))+1</f>
        <v>5</v>
      </c>
      <c r="S172" s="72"/>
    </row>
    <row r="173" spans="10:19" x14ac:dyDescent="0.35">
      <c r="J173">
        <v>14</v>
      </c>
      <c r="K173" t="s">
        <v>23</v>
      </c>
      <c r="L173" t="s">
        <v>518</v>
      </c>
      <c r="M173" t="s">
        <v>256</v>
      </c>
      <c r="N173" t="s">
        <v>9</v>
      </c>
      <c r="O173" t="s">
        <v>24</v>
      </c>
      <c r="P173">
        <f t="shared" si="13"/>
        <v>11.937770057512269</v>
      </c>
      <c r="Q173" t="str">
        <f t="shared" si="14"/>
        <v/>
      </c>
      <c r="R173" s="67" cm="1">
        <f t="array" ref="R173">SUMPRODUCT((J173=$J$7:$J$1000)*(P173&lt;$P$7:$P$1000))+1</f>
        <v>2</v>
      </c>
      <c r="S173" s="72"/>
    </row>
    <row r="174" spans="10:19" x14ac:dyDescent="0.35">
      <c r="J174">
        <v>14</v>
      </c>
      <c r="K174" t="s">
        <v>23</v>
      </c>
      <c r="L174" t="s">
        <v>443</v>
      </c>
      <c r="M174" t="s">
        <v>256</v>
      </c>
      <c r="N174" t="s">
        <v>9</v>
      </c>
      <c r="O174" t="s">
        <v>24</v>
      </c>
      <c r="P174">
        <f t="shared" si="13"/>
        <v>5.8301360515718379</v>
      </c>
      <c r="Q174" t="str">
        <f t="shared" si="14"/>
        <v/>
      </c>
      <c r="R174" s="67" cm="1">
        <f t="array" ref="R174">SUMPRODUCT((J174=$J$7:$J$1000)*(P174&lt;$P$7:$P$1000))+1</f>
        <v>23</v>
      </c>
      <c r="S174" s="72"/>
    </row>
    <row r="175" spans="10:19" x14ac:dyDescent="0.35">
      <c r="J175" s="66">
        <v>14</v>
      </c>
      <c r="K175" t="s">
        <v>23</v>
      </c>
      <c r="L175" t="s">
        <v>190</v>
      </c>
      <c r="M175" t="s">
        <v>256</v>
      </c>
      <c r="N175" t="s">
        <v>9</v>
      </c>
      <c r="O175" t="s">
        <v>24</v>
      </c>
      <c r="P175">
        <f t="shared" si="13"/>
        <v>11.704274802013451</v>
      </c>
      <c r="Q175" t="str">
        <f t="shared" si="14"/>
        <v/>
      </c>
      <c r="R175" s="67" cm="1">
        <f t="array" ref="R175">SUMPRODUCT((J175=$J$7:$J$1000)*(P175&lt;$P$7:$P$1000))+1</f>
        <v>3</v>
      </c>
      <c r="S175" s="72"/>
    </row>
    <row r="176" spans="10:19" x14ac:dyDescent="0.35">
      <c r="J176" s="66">
        <v>14</v>
      </c>
      <c r="K176" t="s">
        <v>7</v>
      </c>
      <c r="L176" t="s">
        <v>19</v>
      </c>
      <c r="M176" t="s">
        <v>256</v>
      </c>
      <c r="N176" t="s">
        <v>9</v>
      </c>
      <c r="O176" t="s">
        <v>14</v>
      </c>
      <c r="P176">
        <f t="shared" si="13"/>
        <v>5.704209805879831</v>
      </c>
      <c r="Q176" t="str">
        <f t="shared" si="14"/>
        <v/>
      </c>
      <c r="R176" s="67" cm="1">
        <f t="array" ref="R176">SUMPRODUCT((J176=$J$7:$J$1000)*(P176&lt;$P$7:$P$1000))+1</f>
        <v>24</v>
      </c>
      <c r="S176" s="72"/>
    </row>
    <row r="177" spans="10:19" x14ac:dyDescent="0.35">
      <c r="J177">
        <v>14</v>
      </c>
      <c r="K177" t="s">
        <v>7</v>
      </c>
      <c r="L177" t="s">
        <v>77</v>
      </c>
      <c r="M177" t="s">
        <v>256</v>
      </c>
      <c r="N177" t="s">
        <v>9</v>
      </c>
      <c r="O177" t="s">
        <v>14</v>
      </c>
      <c r="P177">
        <f t="shared" si="13"/>
        <v>11.312737236197799</v>
      </c>
      <c r="Q177" t="str">
        <f t="shared" si="14"/>
        <v/>
      </c>
      <c r="R177" s="67" cm="1">
        <f t="array" ref="R177">SUMPRODUCT((J177=$J$7:$J$1000)*(P177&lt;$P$7:$P$1000))+1</f>
        <v>6</v>
      </c>
      <c r="S177" s="72"/>
    </row>
    <row r="178" spans="10:19" x14ac:dyDescent="0.35">
      <c r="J178" s="66">
        <v>14</v>
      </c>
      <c r="K178" t="s">
        <v>34</v>
      </c>
      <c r="L178" t="s">
        <v>41</v>
      </c>
      <c r="M178" t="s">
        <v>256</v>
      </c>
      <c r="N178" t="s">
        <v>9</v>
      </c>
      <c r="O178" t="s">
        <v>17</v>
      </c>
      <c r="P178">
        <f t="shared" si="13"/>
        <v>7.9109823231219458</v>
      </c>
      <c r="Q178" t="str">
        <f t="shared" si="14"/>
        <v/>
      </c>
      <c r="R178" s="67" cm="1">
        <f t="array" ref="R178">SUMPRODUCT((J178=$J$7:$J$1000)*(P178&lt;$P$7:$P$1000))+1</f>
        <v>15</v>
      </c>
      <c r="S178" s="72"/>
    </row>
    <row r="179" spans="10:19" x14ac:dyDescent="0.35">
      <c r="J179">
        <v>14</v>
      </c>
      <c r="K179" t="s">
        <v>34</v>
      </c>
      <c r="L179" t="s">
        <v>560</v>
      </c>
      <c r="M179" t="s">
        <v>256</v>
      </c>
      <c r="N179" t="s">
        <v>9</v>
      </c>
      <c r="O179" t="s">
        <v>17</v>
      </c>
      <c r="P179">
        <f t="shared" si="13"/>
        <v>6.6536647879583377</v>
      </c>
      <c r="Q179" t="str">
        <f t="shared" si="14"/>
        <v/>
      </c>
      <c r="R179" s="67" cm="1">
        <f t="array" ref="R179">SUMPRODUCT((J179=$J$7:$J$1000)*(P179&lt;$P$7:$P$1000))+1</f>
        <v>19</v>
      </c>
      <c r="S179" s="72"/>
    </row>
    <row r="180" spans="10:19" x14ac:dyDescent="0.35">
      <c r="J180" s="66">
        <v>14</v>
      </c>
      <c r="K180" t="s">
        <v>34</v>
      </c>
      <c r="L180" t="s">
        <v>192</v>
      </c>
      <c r="M180" t="s">
        <v>256</v>
      </c>
      <c r="N180" t="s">
        <v>9</v>
      </c>
      <c r="O180" t="s">
        <v>17</v>
      </c>
      <c r="P180">
        <f t="shared" si="13"/>
        <v>9.1160235593311221</v>
      </c>
      <c r="Q180" t="str">
        <f t="shared" ref="Q180:Q211" si="15">IFERROR(($M180-$P180)^2,"")</f>
        <v/>
      </c>
      <c r="R180" s="67" cm="1">
        <f t="array" ref="R180">SUMPRODUCT((J180=$J$7:$J$1000)*(P180&lt;$P$7:$P$1000))+1</f>
        <v>11</v>
      </c>
      <c r="S180" s="72"/>
    </row>
    <row r="181" spans="10:19" x14ac:dyDescent="0.35">
      <c r="J181">
        <v>14</v>
      </c>
      <c r="K181" t="s">
        <v>17</v>
      </c>
      <c r="L181" t="s">
        <v>492</v>
      </c>
      <c r="M181" t="s">
        <v>256</v>
      </c>
      <c r="N181" t="s">
        <v>3</v>
      </c>
      <c r="O181" t="s">
        <v>34</v>
      </c>
      <c r="P181">
        <f t="shared" si="13"/>
        <v>10.166748220515856</v>
      </c>
      <c r="Q181" t="str">
        <f t="shared" si="15"/>
        <v/>
      </c>
      <c r="R181" s="67" cm="1">
        <f t="array" ref="R181">SUMPRODUCT((J181=$J$7:$J$1000)*(P181&lt;$P$7:$P$1000))+1</f>
        <v>8</v>
      </c>
      <c r="S181" s="72"/>
    </row>
    <row r="182" spans="10:19" x14ac:dyDescent="0.35">
      <c r="J182" s="66">
        <v>14</v>
      </c>
      <c r="K182" t="s">
        <v>17</v>
      </c>
      <c r="L182" t="s">
        <v>196</v>
      </c>
      <c r="M182" t="s">
        <v>256</v>
      </c>
      <c r="N182" t="s">
        <v>3</v>
      </c>
      <c r="O182" t="s">
        <v>34</v>
      </c>
      <c r="P182">
        <f t="shared" si="13"/>
        <v>8.749344365676663</v>
      </c>
      <c r="Q182" t="str">
        <f t="shared" si="15"/>
        <v/>
      </c>
      <c r="R182" s="67" cm="1">
        <f t="array" ref="R182">SUMPRODUCT((J182=$J$7:$J$1000)*(P182&lt;$P$7:$P$1000))+1</f>
        <v>13</v>
      </c>
      <c r="S182" s="72"/>
    </row>
    <row r="183" spans="10:19" x14ac:dyDescent="0.35">
      <c r="J183" s="66">
        <v>14</v>
      </c>
      <c r="K183" t="s">
        <v>13</v>
      </c>
      <c r="L183" t="s">
        <v>473</v>
      </c>
      <c r="M183" t="s">
        <v>256</v>
      </c>
      <c r="N183" t="s">
        <v>9</v>
      </c>
      <c r="O183" t="s">
        <v>36</v>
      </c>
      <c r="P183">
        <f t="shared" si="13"/>
        <v>10.398392252763712</v>
      </c>
      <c r="Q183" t="str">
        <f t="shared" si="15"/>
        <v/>
      </c>
      <c r="R183" s="67" cm="1">
        <f t="array" ref="R183">SUMPRODUCT((J183=$J$7:$J$1000)*(P183&lt;$P$7:$P$1000))+1</f>
        <v>7</v>
      </c>
      <c r="S183" s="72"/>
    </row>
    <row r="184" spans="10:19" x14ac:dyDescent="0.35">
      <c r="J184">
        <v>14</v>
      </c>
      <c r="K184" t="s">
        <v>13</v>
      </c>
      <c r="L184" t="s">
        <v>191</v>
      </c>
      <c r="M184" t="s">
        <v>256</v>
      </c>
      <c r="N184" t="s">
        <v>9</v>
      </c>
      <c r="O184" t="s">
        <v>36</v>
      </c>
      <c r="P184">
        <f t="shared" si="13"/>
        <v>9.2349771293197964</v>
      </c>
      <c r="Q184" t="str">
        <f t="shared" si="15"/>
        <v/>
      </c>
      <c r="R184" s="67" cm="1">
        <f t="array" ref="R184">SUMPRODUCT((J184=$J$7:$J$1000)*(P184&lt;$P$7:$P$1000))+1</f>
        <v>10</v>
      </c>
      <c r="S184" s="72"/>
    </row>
    <row r="185" spans="10:19" x14ac:dyDescent="0.35">
      <c r="J185" s="66">
        <v>15</v>
      </c>
      <c r="K185" t="s">
        <v>14</v>
      </c>
      <c r="L185" t="s">
        <v>454</v>
      </c>
      <c r="M185" t="s">
        <v>256</v>
      </c>
      <c r="N185" t="s">
        <v>3</v>
      </c>
      <c r="O185" t="s">
        <v>2</v>
      </c>
      <c r="P185">
        <f t="shared" si="13"/>
        <v>5.3970780606138042</v>
      </c>
      <c r="Q185" t="str">
        <f t="shared" si="15"/>
        <v/>
      </c>
      <c r="R185" s="67" cm="1">
        <f t="array" ref="R185">SUMPRODUCT((J185=$J$7:$J$1000)*(P185&lt;$P$7:$P$1000))+1</f>
        <v>23</v>
      </c>
      <c r="S185" s="72"/>
    </row>
    <row r="186" spans="10:19" x14ac:dyDescent="0.35">
      <c r="J186" s="66">
        <v>15</v>
      </c>
      <c r="K186" t="s">
        <v>14</v>
      </c>
      <c r="L186" t="s">
        <v>519</v>
      </c>
      <c r="M186" t="s">
        <v>256</v>
      </c>
      <c r="N186" t="s">
        <v>3</v>
      </c>
      <c r="O186" t="s">
        <v>2</v>
      </c>
      <c r="P186">
        <f t="shared" si="13"/>
        <v>9.8126444243114381</v>
      </c>
      <c r="Q186" t="str">
        <f t="shared" si="15"/>
        <v/>
      </c>
      <c r="R186" s="67" cm="1">
        <f t="array" ref="R186">SUMPRODUCT((J186=$J$7:$J$1000)*(P186&lt;$P$7:$P$1000))+1</f>
        <v>11</v>
      </c>
      <c r="S186" s="72"/>
    </row>
    <row r="187" spans="10:19" x14ac:dyDescent="0.35">
      <c r="J187">
        <v>15</v>
      </c>
      <c r="K187" t="s">
        <v>14</v>
      </c>
      <c r="L187" t="s">
        <v>438</v>
      </c>
      <c r="M187" t="s">
        <v>256</v>
      </c>
      <c r="N187" t="s">
        <v>3</v>
      </c>
      <c r="O187" t="s">
        <v>2</v>
      </c>
      <c r="P187">
        <f t="shared" si="13"/>
        <v>3.8052545708833612</v>
      </c>
      <c r="Q187" t="str">
        <f t="shared" si="15"/>
        <v/>
      </c>
      <c r="R187" s="67" cm="1">
        <f t="array" ref="R187">SUMPRODUCT((J187=$J$7:$J$1000)*(P187&lt;$P$7:$P$1000))+1</f>
        <v>26</v>
      </c>
      <c r="S187" s="72"/>
    </row>
    <row r="188" spans="10:19" x14ac:dyDescent="0.35">
      <c r="J188" s="66">
        <v>15</v>
      </c>
      <c r="K188" t="s">
        <v>14</v>
      </c>
      <c r="L188" t="s">
        <v>83</v>
      </c>
      <c r="M188" t="s">
        <v>256</v>
      </c>
      <c r="N188" t="s">
        <v>3</v>
      </c>
      <c r="O188" t="s">
        <v>2</v>
      </c>
      <c r="P188">
        <f t="shared" si="13"/>
        <v>8.9760683037031068</v>
      </c>
      <c r="Q188" t="str">
        <f t="shared" si="15"/>
        <v/>
      </c>
      <c r="R188" s="67" cm="1">
        <f t="array" ref="R188">SUMPRODUCT((J188=$J$7:$J$1000)*(P188&lt;$P$7:$P$1000))+1</f>
        <v>13</v>
      </c>
      <c r="S188" s="72"/>
    </row>
    <row r="189" spans="10:19" x14ac:dyDescent="0.35">
      <c r="J189" s="66">
        <v>15</v>
      </c>
      <c r="K189" t="s">
        <v>2</v>
      </c>
      <c r="L189" t="s">
        <v>63</v>
      </c>
      <c r="M189" t="s">
        <v>256</v>
      </c>
      <c r="N189" t="s">
        <v>9</v>
      </c>
      <c r="O189" t="s">
        <v>14</v>
      </c>
      <c r="P189">
        <f t="shared" si="13"/>
        <v>7.4352348615309278</v>
      </c>
      <c r="Q189" t="str">
        <f t="shared" si="15"/>
        <v/>
      </c>
      <c r="R189" s="67" cm="1">
        <f t="array" ref="R189">SUMPRODUCT((J189=$J$7:$J$1000)*(P189&lt;$P$7:$P$1000))+1</f>
        <v>19</v>
      </c>
      <c r="S189" s="72"/>
    </row>
    <row r="190" spans="10:19" x14ac:dyDescent="0.35">
      <c r="J190">
        <v>15</v>
      </c>
      <c r="K190" t="s">
        <v>2</v>
      </c>
      <c r="L190" t="s">
        <v>520</v>
      </c>
      <c r="M190" t="s">
        <v>256</v>
      </c>
      <c r="N190" t="s">
        <v>9</v>
      </c>
      <c r="O190" t="s">
        <v>14</v>
      </c>
      <c r="P190">
        <f t="shared" si="13"/>
        <v>7.6347190418904241</v>
      </c>
      <c r="Q190" t="str">
        <f t="shared" si="15"/>
        <v/>
      </c>
      <c r="R190" s="67" cm="1">
        <f t="array" ref="R190">SUMPRODUCT((J190=$J$7:$J$1000)*(P190&lt;$P$7:$P$1000))+1</f>
        <v>18</v>
      </c>
      <c r="S190" s="72"/>
    </row>
    <row r="191" spans="10:19" x14ac:dyDescent="0.35">
      <c r="J191">
        <v>15</v>
      </c>
      <c r="K191" t="s">
        <v>2</v>
      </c>
      <c r="L191" t="s">
        <v>444</v>
      </c>
      <c r="M191" t="s">
        <v>256</v>
      </c>
      <c r="N191" t="s">
        <v>9</v>
      </c>
      <c r="O191" t="s">
        <v>14</v>
      </c>
      <c r="P191">
        <f t="shared" si="13"/>
        <v>-0.98595299505746525</v>
      </c>
      <c r="Q191" t="str">
        <f t="shared" si="15"/>
        <v/>
      </c>
      <c r="R191" s="67" cm="1">
        <f t="array" ref="R191">SUMPRODUCT((J191=$J$7:$J$1000)*(P191&lt;$P$7:$P$1000))+1</f>
        <v>28</v>
      </c>
      <c r="S191" s="72"/>
    </row>
    <row r="192" spans="10:19" x14ac:dyDescent="0.35">
      <c r="J192" s="66">
        <v>15</v>
      </c>
      <c r="K192" t="s">
        <v>36</v>
      </c>
      <c r="L192" t="s">
        <v>491</v>
      </c>
      <c r="M192" t="s">
        <v>256</v>
      </c>
      <c r="N192" t="s">
        <v>9</v>
      </c>
      <c r="O192" t="s">
        <v>17</v>
      </c>
      <c r="P192">
        <f t="shared" si="13"/>
        <v>8.6027267652094839</v>
      </c>
      <c r="Q192" t="str">
        <f t="shared" si="15"/>
        <v/>
      </c>
      <c r="R192" s="67" cm="1">
        <f t="array" ref="R192">SUMPRODUCT((J192=$J$7:$J$1000)*(P192&lt;$P$7:$P$1000))+1</f>
        <v>14</v>
      </c>
      <c r="S192" s="72"/>
    </row>
    <row r="193" spans="10:19" x14ac:dyDescent="0.35">
      <c r="J193" s="66">
        <v>15</v>
      </c>
      <c r="K193" t="s">
        <v>36</v>
      </c>
      <c r="L193" t="s">
        <v>71</v>
      </c>
      <c r="M193" t="s">
        <v>256</v>
      </c>
      <c r="N193" t="s">
        <v>9</v>
      </c>
      <c r="O193" t="s">
        <v>17</v>
      </c>
      <c r="P193">
        <f t="shared" si="13"/>
        <v>15.724307807268943</v>
      </c>
      <c r="Q193" t="str">
        <f t="shared" si="15"/>
        <v/>
      </c>
      <c r="R193" s="67" cm="1">
        <f t="array" ref="R193">SUMPRODUCT((J193=$J$7:$J$1000)*(P193&lt;$P$7:$P$1000))+1</f>
        <v>1</v>
      </c>
      <c r="S193" s="72"/>
    </row>
    <row r="194" spans="10:19" x14ac:dyDescent="0.35">
      <c r="J194">
        <v>15</v>
      </c>
      <c r="K194" t="s">
        <v>36</v>
      </c>
      <c r="L194" t="s">
        <v>476</v>
      </c>
      <c r="M194" t="s">
        <v>256</v>
      </c>
      <c r="N194" t="s">
        <v>9</v>
      </c>
      <c r="O194" t="s">
        <v>17</v>
      </c>
      <c r="P194">
        <f t="shared" si="13"/>
        <v>6.3065835632230058</v>
      </c>
      <c r="Q194" t="str">
        <f t="shared" si="15"/>
        <v/>
      </c>
      <c r="R194" s="67" cm="1">
        <f t="array" ref="R194">SUMPRODUCT((J194=$J$7:$J$1000)*(P194&lt;$P$7:$P$1000))+1</f>
        <v>20</v>
      </c>
      <c r="S194" s="72"/>
    </row>
    <row r="195" spans="10:19" x14ac:dyDescent="0.35">
      <c r="J195">
        <v>15</v>
      </c>
      <c r="K195" t="s">
        <v>6</v>
      </c>
      <c r="L195" t="s">
        <v>442</v>
      </c>
      <c r="M195" t="s">
        <v>256</v>
      </c>
      <c r="N195" t="s">
        <v>3</v>
      </c>
      <c r="O195" t="s">
        <v>24</v>
      </c>
      <c r="P195">
        <f t="shared" si="13"/>
        <v>8.5042836060690998</v>
      </c>
      <c r="Q195" t="str">
        <f t="shared" si="15"/>
        <v/>
      </c>
      <c r="R195" s="67" cm="1">
        <f t="array" ref="R195">SUMPRODUCT((J195=$J$7:$J$1000)*(P195&lt;$P$7:$P$1000))+1</f>
        <v>15</v>
      </c>
      <c r="S195" s="72"/>
    </row>
    <row r="196" spans="10:19" x14ac:dyDescent="0.35">
      <c r="J196">
        <v>15</v>
      </c>
      <c r="K196" t="s">
        <v>6</v>
      </c>
      <c r="L196" t="s">
        <v>602</v>
      </c>
      <c r="M196" t="s">
        <v>256</v>
      </c>
      <c r="N196" t="s">
        <v>3</v>
      </c>
      <c r="O196" t="s">
        <v>24</v>
      </c>
      <c r="P196">
        <f t="shared" si="13"/>
        <v>3.0927927046564934</v>
      </c>
      <c r="Q196" t="str">
        <f t="shared" si="15"/>
        <v/>
      </c>
      <c r="R196" s="67" cm="1">
        <f t="array" ref="R196">SUMPRODUCT((J196=$J$7:$J$1000)*(P196&lt;$P$7:$P$1000))+1</f>
        <v>27</v>
      </c>
      <c r="S196" s="72"/>
    </row>
    <row r="197" spans="10:19" x14ac:dyDescent="0.35">
      <c r="J197">
        <v>15</v>
      </c>
      <c r="K197" t="s">
        <v>24</v>
      </c>
      <c r="L197" t="s">
        <v>194</v>
      </c>
      <c r="M197" t="s">
        <v>256</v>
      </c>
      <c r="N197" t="s">
        <v>9</v>
      </c>
      <c r="O197" t="s">
        <v>6</v>
      </c>
      <c r="P197">
        <f t="shared" si="13"/>
        <v>5.4528586691667833</v>
      </c>
      <c r="Q197" t="str">
        <f t="shared" si="15"/>
        <v/>
      </c>
      <c r="R197" s="67" cm="1">
        <f t="array" ref="R197">SUMPRODUCT((J197=$J$7:$J$1000)*(P197&lt;$P$7:$P$1000))+1</f>
        <v>22</v>
      </c>
      <c r="S197" s="72"/>
    </row>
    <row r="198" spans="10:19" x14ac:dyDescent="0.35">
      <c r="J198" s="66">
        <v>15</v>
      </c>
      <c r="K198" t="s">
        <v>24</v>
      </c>
      <c r="L198" t="s">
        <v>96</v>
      </c>
      <c r="M198" t="s">
        <v>256</v>
      </c>
      <c r="N198" t="s">
        <v>9</v>
      </c>
      <c r="O198" t="s">
        <v>6</v>
      </c>
      <c r="P198">
        <f t="shared" si="13"/>
        <v>10.483416778394814</v>
      </c>
      <c r="Q198" t="str">
        <f t="shared" si="15"/>
        <v/>
      </c>
      <c r="R198" s="67" cm="1">
        <f t="array" ref="R198">SUMPRODUCT((J198=$J$7:$J$1000)*(P198&lt;$P$7:$P$1000))+1</f>
        <v>8</v>
      </c>
      <c r="S198" s="72"/>
    </row>
    <row r="199" spans="10:19" x14ac:dyDescent="0.35">
      <c r="J199" s="66">
        <v>15</v>
      </c>
      <c r="K199" t="s">
        <v>24</v>
      </c>
      <c r="L199" t="s">
        <v>533</v>
      </c>
      <c r="M199" t="s">
        <v>256</v>
      </c>
      <c r="N199" t="s">
        <v>9</v>
      </c>
      <c r="O199" t="s">
        <v>6</v>
      </c>
      <c r="P199">
        <f t="shared" si="13"/>
        <v>5.1138992891093293</v>
      </c>
      <c r="Q199" t="str">
        <f t="shared" si="15"/>
        <v/>
      </c>
      <c r="R199" s="67" cm="1">
        <f t="array" ref="R199">SUMPRODUCT((J199=$J$7:$J$1000)*(P199&lt;$P$7:$P$1000))+1</f>
        <v>25</v>
      </c>
      <c r="S199" s="72"/>
    </row>
    <row r="200" spans="10:19" x14ac:dyDescent="0.35">
      <c r="J200">
        <v>15</v>
      </c>
      <c r="K200" t="s">
        <v>23</v>
      </c>
      <c r="L200" t="s">
        <v>187</v>
      </c>
      <c r="M200" t="s">
        <v>256</v>
      </c>
      <c r="N200" t="s">
        <v>3</v>
      </c>
      <c r="O200" t="s">
        <v>7</v>
      </c>
      <c r="P200">
        <f t="shared" ref="P200:P240" si="16">VLOOKUP($N200,$F$3:$G$4,2,FALSE)+VLOOKUP($L200,$B$20:$C$150,2,FALSE)+VLOOKUP($O200,$A$6:$B$16,2,FALSE)</f>
        <v>11.350526925972405</v>
      </c>
      <c r="Q200" t="str">
        <f t="shared" si="15"/>
        <v/>
      </c>
      <c r="R200" s="67" cm="1">
        <f t="array" ref="R200">SUMPRODUCT((J200=$J$7:$J$1000)*(P200&lt;$P$7:$P$1000))+1</f>
        <v>4</v>
      </c>
      <c r="S200" s="72"/>
    </row>
    <row r="201" spans="10:19" x14ac:dyDescent="0.35">
      <c r="J201">
        <v>15</v>
      </c>
      <c r="K201" t="s">
        <v>23</v>
      </c>
      <c r="L201" t="s">
        <v>518</v>
      </c>
      <c r="M201" t="s">
        <v>256</v>
      </c>
      <c r="N201" t="s">
        <v>3</v>
      </c>
      <c r="O201" t="s">
        <v>7</v>
      </c>
      <c r="P201">
        <f t="shared" si="16"/>
        <v>11.835682582002613</v>
      </c>
      <c r="Q201" t="str">
        <f t="shared" si="15"/>
        <v/>
      </c>
      <c r="R201" s="67" cm="1">
        <f t="array" ref="R201">SUMPRODUCT((J201=$J$7:$J$1000)*(P201&lt;$P$7:$P$1000))+1</f>
        <v>2</v>
      </c>
      <c r="S201" s="72"/>
    </row>
    <row r="202" spans="10:19" x14ac:dyDescent="0.35">
      <c r="J202">
        <v>15</v>
      </c>
      <c r="K202" t="s">
        <v>23</v>
      </c>
      <c r="L202" t="s">
        <v>443</v>
      </c>
      <c r="M202" t="s">
        <v>256</v>
      </c>
      <c r="N202" t="s">
        <v>3</v>
      </c>
      <c r="O202" t="s">
        <v>7</v>
      </c>
      <c r="P202">
        <f t="shared" si="16"/>
        <v>5.728048576062184</v>
      </c>
      <c r="Q202" t="str">
        <f t="shared" si="15"/>
        <v/>
      </c>
      <c r="R202" s="67" cm="1">
        <f t="array" ref="R202">SUMPRODUCT((J202=$J$7:$J$1000)*(P202&lt;$P$7:$P$1000))+1</f>
        <v>21</v>
      </c>
      <c r="S202" s="72"/>
    </row>
    <row r="203" spans="10:19" x14ac:dyDescent="0.35">
      <c r="J203">
        <v>15</v>
      </c>
      <c r="K203" t="s">
        <v>23</v>
      </c>
      <c r="L203" t="s">
        <v>190</v>
      </c>
      <c r="M203" t="s">
        <v>256</v>
      </c>
      <c r="N203" t="s">
        <v>3</v>
      </c>
      <c r="O203" t="s">
        <v>7</v>
      </c>
      <c r="P203">
        <f t="shared" si="16"/>
        <v>11.602187326503795</v>
      </c>
      <c r="Q203" t="str">
        <f t="shared" si="15"/>
        <v/>
      </c>
      <c r="R203" s="67" cm="1">
        <f t="array" ref="R203">SUMPRODUCT((J203=$J$7:$J$1000)*(P203&lt;$P$7:$P$1000))+1</f>
        <v>3</v>
      </c>
      <c r="S203" s="72"/>
    </row>
    <row r="204" spans="10:19" x14ac:dyDescent="0.35">
      <c r="J204" s="66">
        <v>15</v>
      </c>
      <c r="K204" t="s">
        <v>4</v>
      </c>
      <c r="L204" t="s">
        <v>188</v>
      </c>
      <c r="M204" t="s">
        <v>256</v>
      </c>
      <c r="N204" t="s">
        <v>3</v>
      </c>
      <c r="O204" t="s">
        <v>13</v>
      </c>
      <c r="P204">
        <f t="shared" si="16"/>
        <v>9.8899975621621543</v>
      </c>
      <c r="Q204" t="str">
        <f t="shared" si="15"/>
        <v/>
      </c>
      <c r="R204" s="67" cm="1">
        <f t="array" ref="R204">SUMPRODUCT((J204=$J$7:$J$1000)*(P204&lt;$P$7:$P$1000))+1</f>
        <v>10</v>
      </c>
      <c r="S204" s="72"/>
    </row>
    <row r="205" spans="10:19" x14ac:dyDescent="0.35">
      <c r="J205" s="66">
        <v>15</v>
      </c>
      <c r="K205" t="s">
        <v>4</v>
      </c>
      <c r="L205" t="s">
        <v>493</v>
      </c>
      <c r="M205" t="s">
        <v>256</v>
      </c>
      <c r="N205" t="s">
        <v>3</v>
      </c>
      <c r="O205" t="s">
        <v>13</v>
      </c>
      <c r="P205">
        <f t="shared" si="16"/>
        <v>8.4938645672182282</v>
      </c>
      <c r="Q205" t="str">
        <f t="shared" si="15"/>
        <v/>
      </c>
      <c r="R205" s="67" cm="1">
        <f t="array" ref="R205">SUMPRODUCT((J205=$J$7:$J$1000)*(P205&lt;$P$7:$P$1000))+1</f>
        <v>16</v>
      </c>
      <c r="S205" s="72"/>
    </row>
    <row r="206" spans="10:19" x14ac:dyDescent="0.35">
      <c r="J206" s="66">
        <v>15</v>
      </c>
      <c r="K206" t="s">
        <v>4</v>
      </c>
      <c r="L206" t="s">
        <v>532</v>
      </c>
      <c r="M206" t="s">
        <v>256</v>
      </c>
      <c r="N206" t="s">
        <v>3</v>
      </c>
      <c r="O206" t="s">
        <v>13</v>
      </c>
      <c r="P206">
        <f t="shared" si="16"/>
        <v>11.171971304343415</v>
      </c>
      <c r="Q206" t="str">
        <f t="shared" si="15"/>
        <v/>
      </c>
      <c r="R206" s="67" cm="1">
        <f t="array" ref="R206">SUMPRODUCT((J206=$J$7:$J$1000)*(P206&lt;$P$7:$P$1000))+1</f>
        <v>5</v>
      </c>
      <c r="S206" s="72"/>
    </row>
    <row r="207" spans="10:19" x14ac:dyDescent="0.35">
      <c r="J207" s="66">
        <v>15</v>
      </c>
      <c r="K207" t="s">
        <v>7</v>
      </c>
      <c r="L207" t="s">
        <v>19</v>
      </c>
      <c r="M207" t="s">
        <v>256</v>
      </c>
      <c r="N207" t="s">
        <v>9</v>
      </c>
      <c r="O207" t="s">
        <v>23</v>
      </c>
      <c r="P207">
        <f t="shared" si="16"/>
        <v>5.1694789564078585</v>
      </c>
      <c r="Q207" t="str">
        <f t="shared" si="15"/>
        <v/>
      </c>
      <c r="R207" s="67" cm="1">
        <f t="array" ref="R207">SUMPRODUCT((J207=$J$7:$J$1000)*(P207&lt;$P$7:$P$1000))+1</f>
        <v>24</v>
      </c>
      <c r="S207" s="72"/>
    </row>
    <row r="208" spans="10:19" x14ac:dyDescent="0.35">
      <c r="J208">
        <v>15</v>
      </c>
      <c r="K208" t="s">
        <v>7</v>
      </c>
      <c r="L208" t="s">
        <v>77</v>
      </c>
      <c r="M208" t="s">
        <v>256</v>
      </c>
      <c r="N208" t="s">
        <v>9</v>
      </c>
      <c r="O208" t="s">
        <v>23</v>
      </c>
      <c r="P208">
        <f t="shared" si="16"/>
        <v>10.778006386725828</v>
      </c>
      <c r="Q208" t="str">
        <f t="shared" si="15"/>
        <v/>
      </c>
      <c r="R208" s="67" cm="1">
        <f t="array" ref="R208">SUMPRODUCT((J208=$J$7:$J$1000)*(P208&lt;$P$7:$P$1000))+1</f>
        <v>7</v>
      </c>
      <c r="S208" s="72"/>
    </row>
    <row r="209" spans="10:19" x14ac:dyDescent="0.35">
      <c r="J209" s="66">
        <v>15</v>
      </c>
      <c r="K209" t="s">
        <v>17</v>
      </c>
      <c r="L209" t="s">
        <v>492</v>
      </c>
      <c r="M209" t="s">
        <v>256</v>
      </c>
      <c r="N209" t="s">
        <v>3</v>
      </c>
      <c r="O209" t="s">
        <v>36</v>
      </c>
      <c r="P209">
        <f t="shared" si="16"/>
        <v>9.2411726459772812</v>
      </c>
      <c r="Q209" t="str">
        <f t="shared" si="15"/>
        <v/>
      </c>
      <c r="R209" s="67" cm="1">
        <f t="array" ref="R209">SUMPRODUCT((J209=$J$7:$J$1000)*(P209&lt;$P$7:$P$1000))+1</f>
        <v>12</v>
      </c>
      <c r="S209" s="72"/>
    </row>
    <row r="210" spans="10:19" x14ac:dyDescent="0.35">
      <c r="J210">
        <v>15</v>
      </c>
      <c r="K210" t="s">
        <v>17</v>
      </c>
      <c r="L210" t="s">
        <v>196</v>
      </c>
      <c r="M210" t="s">
        <v>256</v>
      </c>
      <c r="N210" t="s">
        <v>3</v>
      </c>
      <c r="O210" t="s">
        <v>36</v>
      </c>
      <c r="P210">
        <f t="shared" si="16"/>
        <v>7.8237687911380887</v>
      </c>
      <c r="Q210" t="str">
        <f t="shared" si="15"/>
        <v/>
      </c>
      <c r="R210" s="67" cm="1">
        <f t="array" ref="R210">SUMPRODUCT((J210=$J$7:$J$1000)*(P210&lt;$P$7:$P$1000))+1</f>
        <v>17</v>
      </c>
      <c r="S210" s="72"/>
    </row>
    <row r="211" spans="10:19" x14ac:dyDescent="0.35">
      <c r="J211">
        <v>15</v>
      </c>
      <c r="K211" t="s">
        <v>13</v>
      </c>
      <c r="L211" t="s">
        <v>473</v>
      </c>
      <c r="M211" t="s">
        <v>256</v>
      </c>
      <c r="N211" t="s">
        <v>9</v>
      </c>
      <c r="O211" t="s">
        <v>4</v>
      </c>
      <c r="P211">
        <f t="shared" si="16"/>
        <v>11.090861130229529</v>
      </c>
      <c r="Q211" t="str">
        <f t="shared" si="15"/>
        <v/>
      </c>
      <c r="R211" s="67" cm="1">
        <f t="array" ref="R211">SUMPRODUCT((J211=$J$7:$J$1000)*(P211&lt;$P$7:$P$1000))+1</f>
        <v>6</v>
      </c>
      <c r="S211" s="72"/>
    </row>
    <row r="212" spans="10:19" x14ac:dyDescent="0.35">
      <c r="J212">
        <v>15</v>
      </c>
      <c r="K212" t="s">
        <v>13</v>
      </c>
      <c r="L212" t="s">
        <v>191</v>
      </c>
      <c r="M212" t="s">
        <v>256</v>
      </c>
      <c r="N212" t="s">
        <v>9</v>
      </c>
      <c r="O212" t="s">
        <v>4</v>
      </c>
      <c r="P212">
        <f t="shared" si="16"/>
        <v>9.9274460067856136</v>
      </c>
      <c r="Q212" t="str">
        <f t="shared" ref="Q212:Q240" si="17">IFERROR(($M212-$P212)^2,"")</f>
        <v/>
      </c>
      <c r="R212" s="67" cm="1">
        <f t="array" ref="R212">SUMPRODUCT((J212=$J$7:$J$1000)*(P212&lt;$P$7:$P$1000))+1</f>
        <v>9</v>
      </c>
      <c r="S212" s="72"/>
    </row>
    <row r="213" spans="10:19" x14ac:dyDescent="0.35">
      <c r="J213">
        <v>16</v>
      </c>
      <c r="K213" t="s">
        <v>14</v>
      </c>
      <c r="L213" t="s">
        <v>454</v>
      </c>
      <c r="M213" t="s">
        <v>256</v>
      </c>
      <c r="N213" t="s">
        <v>9</v>
      </c>
      <c r="O213" t="s">
        <v>13</v>
      </c>
      <c r="P213">
        <f t="shared" si="16"/>
        <v>5.567398216005258</v>
      </c>
      <c r="Q213" t="str">
        <f t="shared" si="17"/>
        <v/>
      </c>
      <c r="R213" s="67" cm="1">
        <f t="array" ref="R213">SUMPRODUCT((J213=$J$7:$J$1000)*(P213&lt;$P$7:$P$1000))+1</f>
        <v>25</v>
      </c>
      <c r="S213" s="72"/>
    </row>
    <row r="214" spans="10:19" x14ac:dyDescent="0.35">
      <c r="J214">
        <v>16</v>
      </c>
      <c r="K214" t="s">
        <v>14</v>
      </c>
      <c r="L214" t="s">
        <v>519</v>
      </c>
      <c r="M214" t="s">
        <v>256</v>
      </c>
      <c r="N214" t="s">
        <v>9</v>
      </c>
      <c r="O214" t="s">
        <v>13</v>
      </c>
      <c r="P214">
        <f t="shared" si="16"/>
        <v>9.9829645797028945</v>
      </c>
      <c r="Q214" t="str">
        <f t="shared" si="17"/>
        <v/>
      </c>
      <c r="R214" s="67" cm="1">
        <f t="array" ref="R214">SUMPRODUCT((J214=$J$7:$J$1000)*(P214&lt;$P$7:$P$1000))+1</f>
        <v>7</v>
      </c>
      <c r="S214" s="72"/>
    </row>
    <row r="215" spans="10:19" x14ac:dyDescent="0.35">
      <c r="J215" s="66">
        <v>16</v>
      </c>
      <c r="K215" t="s">
        <v>14</v>
      </c>
      <c r="L215" t="s">
        <v>438</v>
      </c>
      <c r="M215" t="s">
        <v>256</v>
      </c>
      <c r="N215" t="s">
        <v>9</v>
      </c>
      <c r="O215" t="s">
        <v>13</v>
      </c>
      <c r="P215">
        <f t="shared" si="16"/>
        <v>3.9755747262748153</v>
      </c>
      <c r="Q215" t="str">
        <f t="shared" si="17"/>
        <v/>
      </c>
      <c r="R215" s="67" cm="1">
        <f t="array" ref="R215">SUMPRODUCT((J215=$J$7:$J$1000)*(P215&lt;$P$7:$P$1000))+1</f>
        <v>26</v>
      </c>
      <c r="S215" s="72"/>
    </row>
    <row r="216" spans="10:19" x14ac:dyDescent="0.35">
      <c r="J216" s="66">
        <v>16</v>
      </c>
      <c r="K216" t="s">
        <v>14</v>
      </c>
      <c r="L216" t="s">
        <v>83</v>
      </c>
      <c r="M216" t="s">
        <v>256</v>
      </c>
      <c r="N216" t="s">
        <v>9</v>
      </c>
      <c r="O216" t="s">
        <v>13</v>
      </c>
      <c r="P216">
        <f t="shared" si="16"/>
        <v>9.1463884590945632</v>
      </c>
      <c r="Q216" t="str">
        <f t="shared" si="17"/>
        <v/>
      </c>
      <c r="R216" s="67" cm="1">
        <f t="array" ref="R216">SUMPRODUCT((J216=$J$7:$J$1000)*(P216&lt;$P$7:$P$1000))+1</f>
        <v>12</v>
      </c>
      <c r="S216" s="72"/>
    </row>
    <row r="217" spans="10:19" x14ac:dyDescent="0.35">
      <c r="J217">
        <v>16</v>
      </c>
      <c r="K217" t="s">
        <v>2</v>
      </c>
      <c r="L217" t="s">
        <v>63</v>
      </c>
      <c r="M217" t="s">
        <v>256</v>
      </c>
      <c r="N217" t="s">
        <v>3</v>
      </c>
      <c r="O217" t="s">
        <v>4</v>
      </c>
      <c r="P217">
        <f t="shared" si="16"/>
        <v>9.3093060043061087</v>
      </c>
      <c r="Q217" t="str">
        <f t="shared" si="17"/>
        <v/>
      </c>
      <c r="R217" s="67" cm="1">
        <f t="array" ref="R217">SUMPRODUCT((J217=$J$7:$J$1000)*(P217&lt;$P$7:$P$1000))+1</f>
        <v>10</v>
      </c>
      <c r="S217" s="72"/>
    </row>
    <row r="218" spans="10:19" x14ac:dyDescent="0.35">
      <c r="J218" s="66">
        <v>16</v>
      </c>
      <c r="K218" t="s">
        <v>2</v>
      </c>
      <c r="L218" t="s">
        <v>520</v>
      </c>
      <c r="M218" t="s">
        <v>256</v>
      </c>
      <c r="N218" t="s">
        <v>3</v>
      </c>
      <c r="O218" t="s">
        <v>4</v>
      </c>
      <c r="P218">
        <f t="shared" si="16"/>
        <v>9.5087901846656049</v>
      </c>
      <c r="Q218" t="str">
        <f t="shared" si="17"/>
        <v/>
      </c>
      <c r="R218" s="67" cm="1">
        <f t="array" ref="R218">SUMPRODUCT((J218=$J$7:$J$1000)*(P218&lt;$P$7:$P$1000))+1</f>
        <v>9</v>
      </c>
      <c r="S218" s="72"/>
    </row>
    <row r="219" spans="10:19" x14ac:dyDescent="0.35">
      <c r="J219">
        <v>16</v>
      </c>
      <c r="K219" t="s">
        <v>2</v>
      </c>
      <c r="L219" t="s">
        <v>444</v>
      </c>
      <c r="M219" t="s">
        <v>256</v>
      </c>
      <c r="N219" t="s">
        <v>3</v>
      </c>
      <c r="O219" t="s">
        <v>4</v>
      </c>
      <c r="P219">
        <f t="shared" si="16"/>
        <v>0.88811814771771613</v>
      </c>
      <c r="Q219" t="str">
        <f t="shared" si="17"/>
        <v/>
      </c>
      <c r="R219" s="67" cm="1">
        <f t="array" ref="R219">SUMPRODUCT((J219=$J$7:$J$1000)*(P219&lt;$P$7:$P$1000))+1</f>
        <v>28</v>
      </c>
      <c r="S219" s="72"/>
    </row>
    <row r="220" spans="10:19" x14ac:dyDescent="0.35">
      <c r="J220">
        <v>16</v>
      </c>
      <c r="K220" t="s">
        <v>6</v>
      </c>
      <c r="L220" t="s">
        <v>442</v>
      </c>
      <c r="M220" t="s">
        <v>256</v>
      </c>
      <c r="N220" t="s">
        <v>9</v>
      </c>
      <c r="O220" t="s">
        <v>7</v>
      </c>
      <c r="P220">
        <f t="shared" si="16"/>
        <v>6.6992340084983049</v>
      </c>
      <c r="Q220" t="str">
        <f t="shared" si="17"/>
        <v/>
      </c>
      <c r="R220" s="67" cm="1">
        <f t="array" ref="R220">SUMPRODUCT((J220=$J$7:$J$1000)*(P220&lt;$P$7:$P$1000))+1</f>
        <v>20</v>
      </c>
      <c r="S220" s="72"/>
    </row>
    <row r="221" spans="10:19" x14ac:dyDescent="0.35">
      <c r="J221" s="66">
        <v>16</v>
      </c>
      <c r="K221" t="s">
        <v>6</v>
      </c>
      <c r="L221" t="s">
        <v>602</v>
      </c>
      <c r="M221" t="s">
        <v>256</v>
      </c>
      <c r="N221" t="s">
        <v>9</v>
      </c>
      <c r="O221" t="s">
        <v>7</v>
      </c>
      <c r="P221">
        <f t="shared" si="16"/>
        <v>1.2877431070856991</v>
      </c>
      <c r="Q221" t="str">
        <f t="shared" si="17"/>
        <v/>
      </c>
      <c r="R221" s="67" cm="1">
        <f t="array" ref="R221">SUMPRODUCT((J221=$J$7:$J$1000)*(P221&lt;$P$7:$P$1000))+1</f>
        <v>27</v>
      </c>
      <c r="S221" s="72"/>
    </row>
    <row r="222" spans="10:19" x14ac:dyDescent="0.35">
      <c r="J222" s="66">
        <v>16</v>
      </c>
      <c r="K222" t="s">
        <v>24</v>
      </c>
      <c r="L222" t="s">
        <v>194</v>
      </c>
      <c r="M222" t="s">
        <v>256</v>
      </c>
      <c r="N222" t="s">
        <v>3</v>
      </c>
      <c r="O222" t="s">
        <v>34</v>
      </c>
      <c r="P222">
        <f t="shared" si="16"/>
        <v>8.3856468348050637</v>
      </c>
      <c r="Q222" t="str">
        <f t="shared" si="17"/>
        <v/>
      </c>
      <c r="R222" s="67" cm="1">
        <f t="array" ref="R222">SUMPRODUCT((J222=$J$7:$J$1000)*(P222&lt;$P$7:$P$1000))+1</f>
        <v>13</v>
      </c>
      <c r="S222" s="72"/>
    </row>
    <row r="223" spans="10:19" x14ac:dyDescent="0.35">
      <c r="J223" s="66">
        <v>16</v>
      </c>
      <c r="K223" t="s">
        <v>24</v>
      </c>
      <c r="L223" t="s">
        <v>96</v>
      </c>
      <c r="M223" t="s">
        <v>256</v>
      </c>
      <c r="N223" t="s">
        <v>3</v>
      </c>
      <c r="O223" t="s">
        <v>34</v>
      </c>
      <c r="P223">
        <f t="shared" si="16"/>
        <v>13.416204944033092</v>
      </c>
      <c r="Q223" t="str">
        <f t="shared" si="17"/>
        <v/>
      </c>
      <c r="R223" s="67" cm="1">
        <f t="array" ref="R223">SUMPRODUCT((J223=$J$7:$J$1000)*(P223&lt;$P$7:$P$1000))+1</f>
        <v>3</v>
      </c>
      <c r="S223" s="72"/>
    </row>
    <row r="224" spans="10:19" x14ac:dyDescent="0.35">
      <c r="J224" s="66">
        <v>16</v>
      </c>
      <c r="K224" t="s">
        <v>24</v>
      </c>
      <c r="L224" t="s">
        <v>533</v>
      </c>
      <c r="M224" t="s">
        <v>256</v>
      </c>
      <c r="N224" t="s">
        <v>3</v>
      </c>
      <c r="O224" t="s">
        <v>34</v>
      </c>
      <c r="P224">
        <f t="shared" si="16"/>
        <v>8.0466874547476088</v>
      </c>
      <c r="Q224" t="str">
        <f t="shared" si="17"/>
        <v/>
      </c>
      <c r="R224" s="67" cm="1">
        <f t="array" ref="R224">SUMPRODUCT((J224=$J$7:$J$1000)*(P224&lt;$P$7:$P$1000))+1</f>
        <v>15</v>
      </c>
      <c r="S224" s="72"/>
    </row>
    <row r="225" spans="10:19" x14ac:dyDescent="0.35">
      <c r="J225">
        <v>16</v>
      </c>
      <c r="K225" t="s">
        <v>23</v>
      </c>
      <c r="L225" t="s">
        <v>187</v>
      </c>
      <c r="M225" t="s">
        <v>256</v>
      </c>
      <c r="N225" t="s">
        <v>3</v>
      </c>
      <c r="O225" t="s">
        <v>17</v>
      </c>
      <c r="P225">
        <f t="shared" si="16"/>
        <v>13.246131115144218</v>
      </c>
      <c r="Q225" t="str">
        <f t="shared" si="17"/>
        <v/>
      </c>
      <c r="R225" s="67" cm="1">
        <f t="array" ref="R225">SUMPRODUCT((J225=$J$7:$J$1000)*(P225&lt;$P$7:$P$1000))+1</f>
        <v>4</v>
      </c>
      <c r="S225" s="72"/>
    </row>
    <row r="226" spans="10:19" x14ac:dyDescent="0.35">
      <c r="J226" s="66">
        <v>16</v>
      </c>
      <c r="K226" t="s">
        <v>23</v>
      </c>
      <c r="L226" t="s">
        <v>518</v>
      </c>
      <c r="M226" t="s">
        <v>256</v>
      </c>
      <c r="N226" t="s">
        <v>3</v>
      </c>
      <c r="O226" t="s">
        <v>17</v>
      </c>
      <c r="P226">
        <f t="shared" si="16"/>
        <v>13.731286771174426</v>
      </c>
      <c r="Q226" t="str">
        <f t="shared" si="17"/>
        <v/>
      </c>
      <c r="R226" s="67" cm="1">
        <f t="array" ref="R226">SUMPRODUCT((J226=$J$7:$J$1000)*(P226&lt;$P$7:$P$1000))+1</f>
        <v>1</v>
      </c>
      <c r="S226" s="72"/>
    </row>
    <row r="227" spans="10:19" x14ac:dyDescent="0.35">
      <c r="J227">
        <v>16</v>
      </c>
      <c r="K227" t="s">
        <v>23</v>
      </c>
      <c r="L227" t="s">
        <v>443</v>
      </c>
      <c r="M227" t="s">
        <v>256</v>
      </c>
      <c r="N227" t="s">
        <v>3</v>
      </c>
      <c r="O227" t="s">
        <v>17</v>
      </c>
      <c r="P227">
        <f t="shared" si="16"/>
        <v>7.6236527652339969</v>
      </c>
      <c r="Q227" t="str">
        <f t="shared" si="17"/>
        <v/>
      </c>
      <c r="R227" s="67" cm="1">
        <f t="array" ref="R227">SUMPRODUCT((J227=$J$7:$J$1000)*(P227&lt;$P$7:$P$1000))+1</f>
        <v>17</v>
      </c>
      <c r="S227" s="72"/>
    </row>
    <row r="228" spans="10:19" x14ac:dyDescent="0.35">
      <c r="J228">
        <v>16</v>
      </c>
      <c r="K228" t="s">
        <v>23</v>
      </c>
      <c r="L228" t="s">
        <v>190</v>
      </c>
      <c r="M228" t="s">
        <v>256</v>
      </c>
      <c r="N228" t="s">
        <v>3</v>
      </c>
      <c r="O228" t="s">
        <v>17</v>
      </c>
      <c r="P228">
        <f t="shared" si="16"/>
        <v>13.497791515675608</v>
      </c>
      <c r="Q228" t="str">
        <f t="shared" si="17"/>
        <v/>
      </c>
      <c r="R228" s="67" cm="1">
        <f t="array" ref="R228">SUMPRODUCT((J228=$J$7:$J$1000)*(P228&lt;$P$7:$P$1000))+1</f>
        <v>2</v>
      </c>
      <c r="S228" s="72"/>
    </row>
    <row r="229" spans="10:19" x14ac:dyDescent="0.35">
      <c r="J229">
        <v>16</v>
      </c>
      <c r="K229" t="s">
        <v>4</v>
      </c>
      <c r="L229" t="s">
        <v>188</v>
      </c>
      <c r="M229" t="s">
        <v>256</v>
      </c>
      <c r="N229" t="s">
        <v>9</v>
      </c>
      <c r="O229" t="s">
        <v>2</v>
      </c>
      <c r="P229">
        <f t="shared" si="16"/>
        <v>8.0167152847095604</v>
      </c>
      <c r="Q229" t="str">
        <f t="shared" si="17"/>
        <v/>
      </c>
      <c r="R229" s="67" cm="1">
        <f t="array" ref="R229">SUMPRODUCT((J229=$J$7:$J$1000)*(P229&lt;$P$7:$P$1000))+1</f>
        <v>16</v>
      </c>
      <c r="S229" s="72"/>
    </row>
    <row r="230" spans="10:19" x14ac:dyDescent="0.35">
      <c r="J230">
        <v>16</v>
      </c>
      <c r="K230" t="s">
        <v>4</v>
      </c>
      <c r="L230" t="s">
        <v>493</v>
      </c>
      <c r="M230" t="s">
        <v>256</v>
      </c>
      <c r="N230" t="s">
        <v>9</v>
      </c>
      <c r="O230" t="s">
        <v>2</v>
      </c>
      <c r="P230">
        <f t="shared" si="16"/>
        <v>6.6205822897656326</v>
      </c>
      <c r="Q230" t="str">
        <f t="shared" si="17"/>
        <v/>
      </c>
      <c r="R230" s="67" cm="1">
        <f t="array" ref="R230">SUMPRODUCT((J230=$J$7:$J$1000)*(P230&lt;$P$7:$P$1000))+1</f>
        <v>21</v>
      </c>
      <c r="S230" s="72"/>
    </row>
    <row r="231" spans="10:19" x14ac:dyDescent="0.35">
      <c r="J231">
        <v>16</v>
      </c>
      <c r="K231" t="s">
        <v>4</v>
      </c>
      <c r="L231" t="s">
        <v>532</v>
      </c>
      <c r="M231" t="s">
        <v>256</v>
      </c>
      <c r="N231" t="s">
        <v>9</v>
      </c>
      <c r="O231" t="s">
        <v>2</v>
      </c>
      <c r="P231">
        <f t="shared" si="16"/>
        <v>9.2986890268908216</v>
      </c>
      <c r="Q231" t="str">
        <f t="shared" si="17"/>
        <v/>
      </c>
      <c r="R231" s="67" cm="1">
        <f t="array" ref="R231">SUMPRODUCT((J231=$J$7:$J$1000)*(P231&lt;$P$7:$P$1000))+1</f>
        <v>11</v>
      </c>
      <c r="S231" s="72"/>
    </row>
    <row r="232" spans="10:19" x14ac:dyDescent="0.35">
      <c r="J232">
        <v>16</v>
      </c>
      <c r="K232" t="s">
        <v>7</v>
      </c>
      <c r="L232" t="s">
        <v>19</v>
      </c>
      <c r="M232" t="s">
        <v>256</v>
      </c>
      <c r="N232" t="s">
        <v>3</v>
      </c>
      <c r="O232" t="s">
        <v>6</v>
      </c>
      <c r="P232">
        <f t="shared" si="16"/>
        <v>5.7300805411200617</v>
      </c>
      <c r="Q232" t="str">
        <f t="shared" si="17"/>
        <v/>
      </c>
      <c r="R232" s="67" cm="1">
        <f t="array" ref="R232">SUMPRODUCT((J232=$J$7:$J$1000)*(P232&lt;$P$7:$P$1000))+1</f>
        <v>23</v>
      </c>
      <c r="S232" s="72"/>
    </row>
    <row r="233" spans="10:19" x14ac:dyDescent="0.35">
      <c r="J233" s="66">
        <v>16</v>
      </c>
      <c r="K233" t="s">
        <v>7</v>
      </c>
      <c r="L233" t="s">
        <v>77</v>
      </c>
      <c r="M233" t="s">
        <v>256</v>
      </c>
      <c r="N233" t="s">
        <v>3</v>
      </c>
      <c r="O233" t="s">
        <v>6</v>
      </c>
      <c r="P233">
        <f t="shared" si="16"/>
        <v>11.338607971438028</v>
      </c>
      <c r="Q233" t="str">
        <f t="shared" si="17"/>
        <v/>
      </c>
      <c r="R233" s="67" cm="1">
        <f t="array" ref="R233">SUMPRODUCT((J233=$J$7:$J$1000)*(P233&lt;$P$7:$P$1000))+1</f>
        <v>5</v>
      </c>
      <c r="S233" s="72"/>
    </row>
    <row r="234" spans="10:19" x14ac:dyDescent="0.35">
      <c r="J234">
        <v>16</v>
      </c>
      <c r="K234" t="s">
        <v>34</v>
      </c>
      <c r="L234" t="s">
        <v>41</v>
      </c>
      <c r="M234" t="s">
        <v>256</v>
      </c>
      <c r="N234" t="s">
        <v>9</v>
      </c>
      <c r="O234" t="s">
        <v>24</v>
      </c>
      <c r="P234">
        <f t="shared" si="16"/>
        <v>6.9689466704903573</v>
      </c>
      <c r="Q234" t="str">
        <f t="shared" si="17"/>
        <v/>
      </c>
      <c r="R234" s="67" cm="1">
        <f t="array" ref="R234">SUMPRODUCT((J234=$J$7:$J$1000)*(P234&lt;$P$7:$P$1000))+1</f>
        <v>19</v>
      </c>
      <c r="S234" s="72"/>
    </row>
    <row r="235" spans="10:19" x14ac:dyDescent="0.35">
      <c r="J235" s="66">
        <v>16</v>
      </c>
      <c r="K235" t="s">
        <v>34</v>
      </c>
      <c r="L235" t="s">
        <v>560</v>
      </c>
      <c r="M235" t="s">
        <v>256</v>
      </c>
      <c r="N235" t="s">
        <v>9</v>
      </c>
      <c r="O235" t="s">
        <v>24</v>
      </c>
      <c r="P235">
        <f t="shared" si="16"/>
        <v>5.7116291353267492</v>
      </c>
      <c r="Q235" t="str">
        <f t="shared" si="17"/>
        <v/>
      </c>
      <c r="R235" s="67" cm="1">
        <f t="array" ref="R235">SUMPRODUCT((J235=$J$7:$J$1000)*(P235&lt;$P$7:$P$1000))+1</f>
        <v>24</v>
      </c>
      <c r="S235" s="72"/>
    </row>
    <row r="236" spans="10:19" x14ac:dyDescent="0.35">
      <c r="J236" s="66">
        <v>16</v>
      </c>
      <c r="K236" t="s">
        <v>34</v>
      </c>
      <c r="L236" t="s">
        <v>192</v>
      </c>
      <c r="M236" t="s">
        <v>256</v>
      </c>
      <c r="N236" t="s">
        <v>9</v>
      </c>
      <c r="O236" t="s">
        <v>24</v>
      </c>
      <c r="P236">
        <f t="shared" si="16"/>
        <v>8.1739879066995336</v>
      </c>
      <c r="Q236" t="str">
        <f t="shared" si="17"/>
        <v/>
      </c>
      <c r="R236" s="67" cm="1">
        <f t="array" ref="R236">SUMPRODUCT((J236=$J$7:$J$1000)*(P236&lt;$P$7:$P$1000))+1</f>
        <v>14</v>
      </c>
      <c r="S236" s="72"/>
    </row>
    <row r="237" spans="10:19" x14ac:dyDescent="0.35">
      <c r="J237" s="66">
        <v>16</v>
      </c>
      <c r="K237" t="s">
        <v>17</v>
      </c>
      <c r="L237" t="s">
        <v>492</v>
      </c>
      <c r="M237" t="s">
        <v>256</v>
      </c>
      <c r="N237" t="s">
        <v>9</v>
      </c>
      <c r="O237" t="s">
        <v>23</v>
      </c>
      <c r="P237">
        <f t="shared" si="16"/>
        <v>7.5248395311959451</v>
      </c>
      <c r="Q237" t="str">
        <f t="shared" si="17"/>
        <v/>
      </c>
      <c r="R237" s="67" cm="1">
        <f t="array" ref="R237">SUMPRODUCT((J237=$J$7:$J$1000)*(P237&lt;$P$7:$P$1000))+1</f>
        <v>18</v>
      </c>
      <c r="S237" s="72"/>
    </row>
    <row r="238" spans="10:19" x14ac:dyDescent="0.35">
      <c r="J238" s="66">
        <v>16</v>
      </c>
      <c r="K238" t="s">
        <v>17</v>
      </c>
      <c r="L238" t="s">
        <v>196</v>
      </c>
      <c r="M238" t="s">
        <v>256</v>
      </c>
      <c r="N238" t="s">
        <v>9</v>
      </c>
      <c r="O238" t="s">
        <v>23</v>
      </c>
      <c r="P238">
        <f t="shared" si="16"/>
        <v>6.1074356763567508</v>
      </c>
      <c r="Q238" t="str">
        <f t="shared" si="17"/>
        <v/>
      </c>
      <c r="R238" s="67" cm="1">
        <f t="array" ref="R238">SUMPRODUCT((J238=$J$7:$J$1000)*(P238&lt;$P$7:$P$1000))+1</f>
        <v>22</v>
      </c>
      <c r="S238" s="72"/>
    </row>
    <row r="239" spans="10:19" x14ac:dyDescent="0.35">
      <c r="J239">
        <v>16</v>
      </c>
      <c r="K239" t="s">
        <v>13</v>
      </c>
      <c r="L239" t="s">
        <v>473</v>
      </c>
      <c r="M239" t="s">
        <v>256</v>
      </c>
      <c r="N239" t="s">
        <v>3</v>
      </c>
      <c r="O239" t="s">
        <v>14</v>
      </c>
      <c r="P239">
        <f t="shared" si="16"/>
        <v>10.919752109515485</v>
      </c>
      <c r="Q239" t="str">
        <f t="shared" si="17"/>
        <v/>
      </c>
      <c r="R239" s="67" cm="1">
        <f t="array" ref="R239">SUMPRODUCT((J239=$J$7:$J$1000)*(P239&lt;$P$7:$P$1000))+1</f>
        <v>6</v>
      </c>
      <c r="S239" s="72"/>
    </row>
    <row r="240" spans="10:19" x14ac:dyDescent="0.35">
      <c r="J240" s="66">
        <v>16</v>
      </c>
      <c r="K240" t="s">
        <v>13</v>
      </c>
      <c r="L240" t="s">
        <v>191</v>
      </c>
      <c r="M240" t="s">
        <v>256</v>
      </c>
      <c r="N240" t="s">
        <v>3</v>
      </c>
      <c r="O240" t="s">
        <v>14</v>
      </c>
      <c r="P240">
        <f t="shared" si="16"/>
        <v>9.7563369860715703</v>
      </c>
      <c r="Q240" t="str">
        <f t="shared" si="17"/>
        <v/>
      </c>
      <c r="R240" s="67" cm="1">
        <f t="array" ref="R240">SUMPRODUCT((J240=$J$7:$J$1000)*(P240&lt;$P$7:$P$1000))+1</f>
        <v>8</v>
      </c>
      <c r="S240" s="72"/>
    </row>
    <row r="241" spans="10:19" x14ac:dyDescent="0.35">
      <c r="J241" s="66"/>
      <c r="R241" s="67"/>
      <c r="S241" s="72"/>
    </row>
    <row r="242" spans="10:19" x14ac:dyDescent="0.35">
      <c r="R242" s="67"/>
      <c r="S242" s="72"/>
    </row>
    <row r="243" spans="10:19" x14ac:dyDescent="0.35">
      <c r="J243" s="66"/>
      <c r="R243" s="67"/>
      <c r="S243" s="72"/>
    </row>
    <row r="244" spans="10:19" x14ac:dyDescent="0.35">
      <c r="R244" s="67"/>
      <c r="S244" s="72"/>
    </row>
    <row r="245" spans="10:19" x14ac:dyDescent="0.35">
      <c r="R245" s="67"/>
      <c r="S245" s="72"/>
    </row>
    <row r="246" spans="10:19" x14ac:dyDescent="0.35">
      <c r="J246" s="66"/>
      <c r="R246" s="67"/>
      <c r="S246" s="72"/>
    </row>
    <row r="247" spans="10:19" x14ac:dyDescent="0.35">
      <c r="J247" s="66"/>
      <c r="R247" s="67"/>
      <c r="S247" s="72"/>
    </row>
    <row r="248" spans="10:19" x14ac:dyDescent="0.35">
      <c r="J248" s="66"/>
      <c r="R248" s="67"/>
      <c r="S248" s="72"/>
    </row>
    <row r="249" spans="10:19" x14ac:dyDescent="0.35">
      <c r="R249" s="67"/>
      <c r="S249" s="72"/>
    </row>
    <row r="250" spans="10:19" x14ac:dyDescent="0.35">
      <c r="J250" s="66"/>
      <c r="R250" s="67"/>
      <c r="S250" s="72"/>
    </row>
    <row r="251" spans="10:19" x14ac:dyDescent="0.35">
      <c r="J251" s="66"/>
      <c r="R251" s="67"/>
      <c r="S251" s="72"/>
    </row>
    <row r="252" spans="10:19" x14ac:dyDescent="0.35">
      <c r="J252" s="66"/>
      <c r="R252" s="67"/>
      <c r="S252" s="72"/>
    </row>
    <row r="253" spans="10:19" x14ac:dyDescent="0.35">
      <c r="R253" s="67"/>
      <c r="S253" s="72"/>
    </row>
    <row r="254" spans="10:19" x14ac:dyDescent="0.35">
      <c r="R254" s="67"/>
      <c r="S254" s="72"/>
    </row>
    <row r="255" spans="10:19" x14ac:dyDescent="0.35">
      <c r="J255" s="66"/>
      <c r="R255" s="67"/>
      <c r="S255" s="72"/>
    </row>
    <row r="256" spans="10:19" x14ac:dyDescent="0.35">
      <c r="J256" s="66"/>
      <c r="R256" s="67"/>
      <c r="S256" s="72"/>
    </row>
    <row r="257" spans="10:19" x14ac:dyDescent="0.35">
      <c r="J257" s="66"/>
      <c r="R257" s="67"/>
      <c r="S257" s="72"/>
    </row>
    <row r="258" spans="10:19" x14ac:dyDescent="0.35">
      <c r="J258" s="66"/>
      <c r="R258" s="67"/>
      <c r="S258" s="72"/>
    </row>
    <row r="259" spans="10:19" x14ac:dyDescent="0.35">
      <c r="J259" s="66"/>
      <c r="R259" s="67"/>
      <c r="S259" s="72"/>
    </row>
    <row r="260" spans="10:19" x14ac:dyDescent="0.35">
      <c r="J260" s="66"/>
      <c r="R260" s="67"/>
      <c r="S260" s="72"/>
    </row>
    <row r="261" spans="10:19" x14ac:dyDescent="0.35">
      <c r="J261" s="66"/>
      <c r="R261" s="67"/>
      <c r="S261" s="72"/>
    </row>
    <row r="262" spans="10:19" x14ac:dyDescent="0.35">
      <c r="J262" s="66"/>
      <c r="R262" s="67"/>
      <c r="S262" s="72"/>
    </row>
    <row r="263" spans="10:19" x14ac:dyDescent="0.35">
      <c r="J263" s="66"/>
      <c r="R263" s="67"/>
      <c r="S263" s="72"/>
    </row>
    <row r="264" spans="10:19" x14ac:dyDescent="0.35">
      <c r="J264" s="66"/>
      <c r="R264" s="67"/>
      <c r="S264" s="72"/>
    </row>
    <row r="265" spans="10:19" x14ac:dyDescent="0.35">
      <c r="J265" s="66"/>
      <c r="R265" s="67"/>
      <c r="S265" s="72"/>
    </row>
    <row r="266" spans="10:19" x14ac:dyDescent="0.35">
      <c r="R266" s="67"/>
      <c r="S266" s="72"/>
    </row>
    <row r="267" spans="10:19" x14ac:dyDescent="0.35">
      <c r="J267" s="66"/>
      <c r="R267" s="67"/>
      <c r="S267" s="72"/>
    </row>
    <row r="268" spans="10:19" x14ac:dyDescent="0.35">
      <c r="J268" s="66"/>
      <c r="R268" s="67"/>
      <c r="S268" s="72"/>
    </row>
    <row r="269" spans="10:19" x14ac:dyDescent="0.35">
      <c r="R269" s="67"/>
      <c r="S269" s="72"/>
    </row>
    <row r="270" spans="10:19" x14ac:dyDescent="0.35">
      <c r="J270" s="66"/>
      <c r="R270" s="67"/>
      <c r="S270" s="72"/>
    </row>
    <row r="271" spans="10:19" x14ac:dyDescent="0.35">
      <c r="J271" s="66"/>
      <c r="R271" s="67"/>
      <c r="S271" s="72"/>
    </row>
    <row r="272" spans="10:19" x14ac:dyDescent="0.35">
      <c r="J272" s="66"/>
      <c r="R272" s="67"/>
      <c r="S272" s="72"/>
    </row>
    <row r="273" spans="10:19" x14ac:dyDescent="0.35">
      <c r="J273" s="66"/>
      <c r="R273" s="67"/>
      <c r="S273" s="72"/>
    </row>
    <row r="274" spans="10:19" x14ac:dyDescent="0.35">
      <c r="J274" s="66"/>
      <c r="R274" s="67"/>
      <c r="S274" s="72"/>
    </row>
    <row r="275" spans="10:19" x14ac:dyDescent="0.35">
      <c r="J275" s="66"/>
      <c r="R275" s="67"/>
      <c r="S275" s="72"/>
    </row>
    <row r="276" spans="10:19" x14ac:dyDescent="0.35">
      <c r="R276" s="67"/>
      <c r="S276" s="72"/>
    </row>
    <row r="277" spans="10:19" x14ac:dyDescent="0.35">
      <c r="J277" s="66"/>
      <c r="R277" s="67"/>
      <c r="S277" s="72"/>
    </row>
    <row r="278" spans="10:19" x14ac:dyDescent="0.35">
      <c r="J278" s="66"/>
      <c r="R278" s="67"/>
      <c r="S278" s="72"/>
    </row>
    <row r="279" spans="10:19" x14ac:dyDescent="0.35">
      <c r="J279" s="66"/>
      <c r="R279" s="67"/>
      <c r="S279" s="72"/>
    </row>
    <row r="280" spans="10:19" x14ac:dyDescent="0.35">
      <c r="J280" s="66"/>
      <c r="R280" s="67"/>
      <c r="S280" s="72"/>
    </row>
    <row r="281" spans="10:19" x14ac:dyDescent="0.35">
      <c r="J281" s="66"/>
      <c r="R281" s="67"/>
      <c r="S281" s="72"/>
    </row>
    <row r="282" spans="10:19" x14ac:dyDescent="0.35">
      <c r="R282" s="67"/>
      <c r="S282" s="72"/>
    </row>
    <row r="283" spans="10:19" x14ac:dyDescent="0.35">
      <c r="R283" s="67"/>
      <c r="S283" s="72"/>
    </row>
    <row r="284" spans="10:19" x14ac:dyDescent="0.35">
      <c r="J284" s="66"/>
      <c r="R284" s="67"/>
      <c r="S284" s="72"/>
    </row>
    <row r="285" spans="10:19" x14ac:dyDescent="0.35">
      <c r="R285" s="67"/>
      <c r="S285" s="72"/>
    </row>
    <row r="286" spans="10:19" x14ac:dyDescent="0.35">
      <c r="J286" s="66"/>
      <c r="R286" s="67"/>
      <c r="S286" s="72"/>
    </row>
    <row r="287" spans="10:19" x14ac:dyDescent="0.35">
      <c r="R287" s="67"/>
      <c r="S287" s="72"/>
    </row>
    <row r="288" spans="10:19" x14ac:dyDescent="0.35">
      <c r="R288" s="67"/>
      <c r="S288" s="72"/>
    </row>
    <row r="289" spans="10:19" x14ac:dyDescent="0.35">
      <c r="J289" s="66"/>
      <c r="R289" s="67"/>
      <c r="S289" s="72"/>
    </row>
    <row r="290" spans="10:19" x14ac:dyDescent="0.35">
      <c r="R290" s="67"/>
      <c r="S290" s="72"/>
    </row>
    <row r="291" spans="10:19" x14ac:dyDescent="0.35">
      <c r="R291" s="67"/>
      <c r="S291" s="72"/>
    </row>
    <row r="292" spans="10:19" x14ac:dyDescent="0.35">
      <c r="R292" s="67"/>
      <c r="S292" s="72"/>
    </row>
    <row r="293" spans="10:19" x14ac:dyDescent="0.35">
      <c r="R293" s="67"/>
      <c r="S293" s="72"/>
    </row>
    <row r="294" spans="10:19" x14ac:dyDescent="0.35">
      <c r="R294" s="67"/>
      <c r="S294" s="72"/>
    </row>
    <row r="295" spans="10:19" x14ac:dyDescent="0.35">
      <c r="J295" s="66"/>
      <c r="R295" s="67"/>
      <c r="S295" s="72"/>
    </row>
    <row r="296" spans="10:19" x14ac:dyDescent="0.35">
      <c r="J296" s="66"/>
      <c r="R296" s="67"/>
      <c r="S296" s="72"/>
    </row>
    <row r="297" spans="10:19" x14ac:dyDescent="0.35">
      <c r="R297" s="67"/>
      <c r="S297" s="72"/>
    </row>
    <row r="298" spans="10:19" x14ac:dyDescent="0.35">
      <c r="R298" s="67"/>
      <c r="S298" s="72"/>
    </row>
    <row r="299" spans="10:19" x14ac:dyDescent="0.35">
      <c r="R299" s="67"/>
      <c r="S299" s="72"/>
    </row>
    <row r="300" spans="10:19" x14ac:dyDescent="0.35">
      <c r="J300" s="66"/>
      <c r="R300" s="67"/>
      <c r="S300" s="72"/>
    </row>
    <row r="301" spans="10:19" x14ac:dyDescent="0.35">
      <c r="R301" s="67"/>
      <c r="S301" s="72"/>
    </row>
    <row r="302" spans="10:19" x14ac:dyDescent="0.35">
      <c r="R302" s="67"/>
      <c r="S302" s="72"/>
    </row>
    <row r="303" spans="10:19" x14ac:dyDescent="0.35">
      <c r="R303" s="67"/>
      <c r="S303" s="72"/>
    </row>
    <row r="304" spans="10:19" x14ac:dyDescent="0.35">
      <c r="J304" s="66"/>
      <c r="R304" s="67"/>
      <c r="S304" s="72"/>
    </row>
    <row r="305" spans="10:19" x14ac:dyDescent="0.35">
      <c r="R305" s="67"/>
      <c r="S305" s="72"/>
    </row>
    <row r="306" spans="10:19" x14ac:dyDescent="0.35">
      <c r="R306" s="67"/>
      <c r="S306" s="72"/>
    </row>
    <row r="307" spans="10:19" x14ac:dyDescent="0.35">
      <c r="R307" s="67"/>
      <c r="S307" s="72"/>
    </row>
    <row r="308" spans="10:19" x14ac:dyDescent="0.35">
      <c r="J308" s="66"/>
      <c r="R308" s="67"/>
      <c r="S308" s="72"/>
    </row>
    <row r="309" spans="10:19" x14ac:dyDescent="0.35">
      <c r="J309" s="66"/>
      <c r="R309" s="67"/>
      <c r="S309" s="72"/>
    </row>
    <row r="310" spans="10:19" x14ac:dyDescent="0.35">
      <c r="R310" s="67"/>
      <c r="S310" s="72"/>
    </row>
    <row r="311" spans="10:19" x14ac:dyDescent="0.35">
      <c r="R311" s="67"/>
      <c r="S311" s="72"/>
    </row>
    <row r="312" spans="10:19" x14ac:dyDescent="0.35">
      <c r="R312" s="67"/>
      <c r="S312" s="72"/>
    </row>
    <row r="313" spans="10:19" x14ac:dyDescent="0.35">
      <c r="R313" s="67"/>
      <c r="S313" s="72"/>
    </row>
    <row r="314" spans="10:19" x14ac:dyDescent="0.35">
      <c r="R314" s="67"/>
      <c r="S314" s="72"/>
    </row>
    <row r="315" spans="10:19" x14ac:dyDescent="0.35">
      <c r="R315" s="67"/>
      <c r="S315" s="72"/>
    </row>
    <row r="316" spans="10:19" x14ac:dyDescent="0.35">
      <c r="R316" s="67"/>
      <c r="S316" s="72"/>
    </row>
    <row r="317" spans="10:19" x14ac:dyDescent="0.35">
      <c r="R317" s="67"/>
      <c r="S317" s="72"/>
    </row>
    <row r="318" spans="10:19" x14ac:dyDescent="0.35">
      <c r="R318" s="67"/>
      <c r="S318" s="72"/>
    </row>
    <row r="319" spans="10:19" x14ac:dyDescent="0.35">
      <c r="R319" s="67"/>
      <c r="S319" s="72"/>
    </row>
    <row r="320" spans="10:19" x14ac:dyDescent="0.35">
      <c r="R320" s="67"/>
      <c r="S320" s="72"/>
    </row>
    <row r="321" spans="18:19" x14ac:dyDescent="0.35">
      <c r="R321" s="67"/>
      <c r="S321" s="72"/>
    </row>
    <row r="322" spans="18:19" x14ac:dyDescent="0.35">
      <c r="R322" s="67"/>
      <c r="S322" s="72"/>
    </row>
    <row r="323" spans="18:19" x14ac:dyDescent="0.35">
      <c r="R323" s="67"/>
      <c r="S323" s="72"/>
    </row>
    <row r="324" spans="18:19" x14ac:dyDescent="0.35">
      <c r="R324" s="67"/>
      <c r="S324" s="72"/>
    </row>
    <row r="325" spans="18:19" x14ac:dyDescent="0.35">
      <c r="R325" s="67"/>
      <c r="S325" s="72"/>
    </row>
    <row r="326" spans="18:19" x14ac:dyDescent="0.35">
      <c r="R326" s="67"/>
      <c r="S326" s="72"/>
    </row>
    <row r="327" spans="18:19" x14ac:dyDescent="0.35">
      <c r="R327" s="67"/>
      <c r="S327" s="72"/>
    </row>
    <row r="328" spans="18:19" x14ac:dyDescent="0.35">
      <c r="R328" s="67"/>
      <c r="S328" s="72"/>
    </row>
    <row r="329" spans="18:19" x14ac:dyDescent="0.35">
      <c r="R329" s="67"/>
      <c r="S329" s="72"/>
    </row>
    <row r="330" spans="18:19" x14ac:dyDescent="0.35">
      <c r="R330" s="67"/>
      <c r="S330" s="72"/>
    </row>
    <row r="331" spans="18:19" x14ac:dyDescent="0.35">
      <c r="R331" s="67"/>
      <c r="S331" s="72"/>
    </row>
    <row r="332" spans="18:19" x14ac:dyDescent="0.35">
      <c r="R332" s="67"/>
      <c r="S332" s="72"/>
    </row>
    <row r="333" spans="18:19" x14ac:dyDescent="0.35">
      <c r="R333" s="67"/>
      <c r="S333" s="72"/>
    </row>
    <row r="334" spans="18:19" x14ac:dyDescent="0.35">
      <c r="R334" s="67"/>
      <c r="S334" s="72"/>
    </row>
    <row r="335" spans="18:19" x14ac:dyDescent="0.35">
      <c r="R335" s="67"/>
      <c r="S335" s="72"/>
    </row>
    <row r="336" spans="18:19" x14ac:dyDescent="0.35">
      <c r="R336" s="67"/>
      <c r="S336" s="72"/>
    </row>
    <row r="337" spans="18:19" x14ac:dyDescent="0.35">
      <c r="R337" s="67"/>
      <c r="S337" s="72"/>
    </row>
    <row r="338" spans="18:19" x14ac:dyDescent="0.35">
      <c r="R338" s="67"/>
      <c r="S338" s="72"/>
    </row>
    <row r="339" spans="18:19" x14ac:dyDescent="0.35">
      <c r="R339" s="67"/>
      <c r="S339" s="72"/>
    </row>
    <row r="340" spans="18:19" x14ac:dyDescent="0.35">
      <c r="R340" s="67"/>
      <c r="S340" s="72"/>
    </row>
    <row r="341" spans="18:19" x14ac:dyDescent="0.35">
      <c r="R341" s="67"/>
      <c r="S341" s="72"/>
    </row>
    <row r="342" spans="18:19" x14ac:dyDescent="0.35">
      <c r="R342" s="67"/>
      <c r="S342" s="72"/>
    </row>
    <row r="343" spans="18:19" x14ac:dyDescent="0.35">
      <c r="R343" s="67"/>
      <c r="S343" s="72"/>
    </row>
    <row r="344" spans="18:19" x14ac:dyDescent="0.35">
      <c r="R344" s="67"/>
      <c r="S344" s="72"/>
    </row>
    <row r="345" spans="18:19" x14ac:dyDescent="0.35">
      <c r="R345" s="67"/>
      <c r="S345" s="72"/>
    </row>
    <row r="346" spans="18:19" x14ac:dyDescent="0.35">
      <c r="R346" s="67"/>
      <c r="S346" s="72"/>
    </row>
    <row r="347" spans="18:19" x14ac:dyDescent="0.35">
      <c r="R347" s="67"/>
      <c r="S347" s="72"/>
    </row>
    <row r="348" spans="18:19" x14ac:dyDescent="0.35">
      <c r="R348" s="67"/>
      <c r="S348" s="72"/>
    </row>
    <row r="349" spans="18:19" x14ac:dyDescent="0.35">
      <c r="R349" s="67"/>
      <c r="S349" s="72"/>
    </row>
    <row r="350" spans="18:19" x14ac:dyDescent="0.35">
      <c r="R350" s="67"/>
      <c r="S350" s="72"/>
    </row>
    <row r="351" spans="18:19" x14ac:dyDescent="0.35">
      <c r="R351" s="67"/>
      <c r="S351" s="72"/>
    </row>
    <row r="352" spans="18:19" x14ac:dyDescent="0.35">
      <c r="R352" s="67"/>
      <c r="S352" s="72"/>
    </row>
    <row r="353" spans="18:19" x14ac:dyDescent="0.35">
      <c r="R353" s="67"/>
      <c r="S353" s="72"/>
    </row>
    <row r="354" spans="18:19" x14ac:dyDescent="0.35">
      <c r="R354" s="67"/>
      <c r="S354" s="72"/>
    </row>
    <row r="355" spans="18:19" x14ac:dyDescent="0.35">
      <c r="R355" s="67"/>
      <c r="S355" s="72"/>
    </row>
    <row r="356" spans="18:19" x14ac:dyDescent="0.35">
      <c r="R356" s="67"/>
      <c r="S356" s="72"/>
    </row>
    <row r="357" spans="18:19" x14ac:dyDescent="0.35">
      <c r="R357" s="67"/>
      <c r="S357" s="72"/>
    </row>
    <row r="358" spans="18:19" x14ac:dyDescent="0.35">
      <c r="R358" s="67"/>
      <c r="S358" s="72"/>
    </row>
    <row r="359" spans="18:19" x14ac:dyDescent="0.35">
      <c r="R359" s="67"/>
      <c r="S359" s="72"/>
    </row>
    <row r="360" spans="18:19" x14ac:dyDescent="0.35">
      <c r="R360" s="67"/>
      <c r="S360" s="72"/>
    </row>
    <row r="361" spans="18:19" x14ac:dyDescent="0.35">
      <c r="R361" s="67"/>
      <c r="S361" s="72"/>
    </row>
    <row r="362" spans="18:19" x14ac:dyDescent="0.35">
      <c r="R362" s="67"/>
      <c r="S362" s="72"/>
    </row>
    <row r="363" spans="18:19" x14ac:dyDescent="0.35">
      <c r="R363" s="67"/>
      <c r="S363" s="72"/>
    </row>
    <row r="364" spans="18:19" x14ac:dyDescent="0.35">
      <c r="R364" s="67"/>
      <c r="S364" s="72"/>
    </row>
    <row r="365" spans="18:19" x14ac:dyDescent="0.35">
      <c r="R365" s="67"/>
      <c r="S365" s="72"/>
    </row>
    <row r="366" spans="18:19" x14ac:dyDescent="0.35">
      <c r="R366" s="67"/>
      <c r="S366" s="72"/>
    </row>
    <row r="367" spans="18:19" x14ac:dyDescent="0.35">
      <c r="R367" s="67"/>
      <c r="S367" s="72"/>
    </row>
    <row r="368" spans="18:19" x14ac:dyDescent="0.35">
      <c r="R368" s="67"/>
      <c r="S368" s="72"/>
    </row>
    <row r="369" spans="18:19" x14ac:dyDescent="0.35">
      <c r="R369" s="67"/>
      <c r="S369" s="72"/>
    </row>
    <row r="370" spans="18:19" x14ac:dyDescent="0.35">
      <c r="R370" s="67"/>
      <c r="S370" s="72"/>
    </row>
    <row r="371" spans="18:19" x14ac:dyDescent="0.35">
      <c r="R371" s="67"/>
      <c r="S371" s="72"/>
    </row>
    <row r="372" spans="18:19" x14ac:dyDescent="0.35">
      <c r="R372" s="67"/>
      <c r="S372" s="72"/>
    </row>
    <row r="373" spans="18:19" x14ac:dyDescent="0.35">
      <c r="R373" s="67"/>
      <c r="S373" s="72"/>
    </row>
    <row r="374" spans="18:19" x14ac:dyDescent="0.35">
      <c r="R374" s="67"/>
      <c r="S374" s="72"/>
    </row>
    <row r="375" spans="18:19" x14ac:dyDescent="0.35">
      <c r="R375" s="67"/>
      <c r="S375" s="72"/>
    </row>
    <row r="376" spans="18:19" x14ac:dyDescent="0.35">
      <c r="R376" s="67"/>
      <c r="S376" s="72"/>
    </row>
    <row r="377" spans="18:19" x14ac:dyDescent="0.35">
      <c r="R377" s="67"/>
      <c r="S377" s="72"/>
    </row>
    <row r="378" spans="18:19" x14ac:dyDescent="0.35">
      <c r="R378" s="67"/>
      <c r="S378" s="72"/>
    </row>
    <row r="379" spans="18:19" x14ac:dyDescent="0.35">
      <c r="R379" s="67"/>
      <c r="S379" s="72"/>
    </row>
    <row r="380" spans="18:19" x14ac:dyDescent="0.35">
      <c r="R380" s="67"/>
      <c r="S380" s="72"/>
    </row>
    <row r="381" spans="18:19" x14ac:dyDescent="0.35">
      <c r="R381" s="67"/>
      <c r="S381" s="72"/>
    </row>
    <row r="382" spans="18:19" x14ac:dyDescent="0.35">
      <c r="R382" s="67"/>
      <c r="S382" s="72"/>
    </row>
    <row r="383" spans="18:19" x14ac:dyDescent="0.35">
      <c r="R383" s="67"/>
      <c r="S383" s="72"/>
    </row>
    <row r="384" spans="18:19" x14ac:dyDescent="0.35">
      <c r="R384" s="67"/>
      <c r="S384" s="72"/>
    </row>
    <row r="385" spans="18:19" x14ac:dyDescent="0.35">
      <c r="R385" s="67"/>
      <c r="S385" s="72"/>
    </row>
    <row r="386" spans="18:19" x14ac:dyDescent="0.35">
      <c r="R386" s="67"/>
      <c r="S386" s="72"/>
    </row>
    <row r="387" spans="18:19" x14ac:dyDescent="0.35">
      <c r="R387" s="67"/>
      <c r="S387" s="72"/>
    </row>
    <row r="388" spans="18:19" x14ac:dyDescent="0.35">
      <c r="R388" s="67"/>
      <c r="S388" s="72"/>
    </row>
    <row r="389" spans="18:19" x14ac:dyDescent="0.35">
      <c r="R389" s="67"/>
      <c r="S389" s="72"/>
    </row>
    <row r="390" spans="18:19" x14ac:dyDescent="0.35">
      <c r="R390" s="67"/>
      <c r="S390" s="72"/>
    </row>
    <row r="391" spans="18:19" x14ac:dyDescent="0.35">
      <c r="R391" s="67"/>
      <c r="S391" s="72"/>
    </row>
    <row r="392" spans="18:19" x14ac:dyDescent="0.35">
      <c r="R392" s="67"/>
      <c r="S392" s="72"/>
    </row>
    <row r="393" spans="18:19" x14ac:dyDescent="0.35">
      <c r="R393" s="67"/>
      <c r="S393" s="72"/>
    </row>
    <row r="394" spans="18:19" x14ac:dyDescent="0.35">
      <c r="R394" s="67"/>
      <c r="S394" s="72"/>
    </row>
    <row r="395" spans="18:19" x14ac:dyDescent="0.35">
      <c r="R395" s="67"/>
      <c r="S395" s="72"/>
    </row>
    <row r="396" spans="18:19" x14ac:dyDescent="0.35">
      <c r="R396" s="67"/>
      <c r="S396" s="72"/>
    </row>
    <row r="397" spans="18:19" x14ac:dyDescent="0.35">
      <c r="R397" s="67"/>
      <c r="S397" s="72"/>
    </row>
    <row r="398" spans="18:19" x14ac:dyDescent="0.35">
      <c r="R398" s="67"/>
      <c r="S398" s="72"/>
    </row>
    <row r="399" spans="18:19" x14ac:dyDescent="0.35">
      <c r="R399" s="67"/>
      <c r="S399" s="72"/>
    </row>
    <row r="400" spans="18:19" x14ac:dyDescent="0.35">
      <c r="R400" s="67"/>
      <c r="S400" s="72"/>
    </row>
    <row r="401" spans="18:19" x14ac:dyDescent="0.35">
      <c r="R401" s="67"/>
      <c r="S401" s="72"/>
    </row>
    <row r="402" spans="18:19" x14ac:dyDescent="0.35">
      <c r="R402" s="67"/>
      <c r="S402" s="72"/>
    </row>
    <row r="403" spans="18:19" x14ac:dyDescent="0.35">
      <c r="R403" s="67"/>
      <c r="S403" s="72"/>
    </row>
    <row r="404" spans="18:19" x14ac:dyDescent="0.35">
      <c r="R404" s="67"/>
      <c r="S404" s="72"/>
    </row>
    <row r="405" spans="18:19" x14ac:dyDescent="0.35">
      <c r="R405" s="67"/>
      <c r="S405" s="72"/>
    </row>
    <row r="406" spans="18:19" x14ac:dyDescent="0.35">
      <c r="R406" s="67"/>
      <c r="S406" s="72"/>
    </row>
    <row r="407" spans="18:19" x14ac:dyDescent="0.35">
      <c r="R407" s="67"/>
      <c r="S407" s="72"/>
    </row>
    <row r="408" spans="18:19" x14ac:dyDescent="0.35">
      <c r="R408" s="67"/>
      <c r="S408" s="72"/>
    </row>
    <row r="409" spans="18:19" x14ac:dyDescent="0.35">
      <c r="R409" s="67"/>
      <c r="S409" s="72"/>
    </row>
    <row r="410" spans="18:19" x14ac:dyDescent="0.35">
      <c r="R410" s="67"/>
      <c r="S410" s="72"/>
    </row>
    <row r="411" spans="18:19" x14ac:dyDescent="0.35">
      <c r="R411" s="67"/>
      <c r="S411" s="72"/>
    </row>
    <row r="412" spans="18:19" x14ac:dyDescent="0.35">
      <c r="R412" s="67"/>
      <c r="S412" s="72"/>
    </row>
    <row r="413" spans="18:19" x14ac:dyDescent="0.35">
      <c r="R413" s="67"/>
      <c r="S413" s="72"/>
    </row>
    <row r="414" spans="18:19" x14ac:dyDescent="0.35">
      <c r="R414" s="67"/>
      <c r="S414" s="72"/>
    </row>
    <row r="415" spans="18:19" x14ac:dyDescent="0.35">
      <c r="R415" s="67"/>
      <c r="S415" s="72"/>
    </row>
    <row r="416" spans="18:19" x14ac:dyDescent="0.35">
      <c r="R416" s="67"/>
      <c r="S416" s="72"/>
    </row>
    <row r="417" spans="10:19" x14ac:dyDescent="0.35">
      <c r="R417" s="67"/>
      <c r="S417" s="72"/>
    </row>
    <row r="418" spans="10:19" x14ac:dyDescent="0.35">
      <c r="R418" s="67"/>
      <c r="S418" s="72"/>
    </row>
    <row r="419" spans="10:19" x14ac:dyDescent="0.35">
      <c r="R419" s="67"/>
      <c r="S419" s="72"/>
    </row>
    <row r="420" spans="10:19" x14ac:dyDescent="0.35">
      <c r="R420" s="67"/>
      <c r="S420" s="72"/>
    </row>
    <row r="421" spans="10:19" x14ac:dyDescent="0.35">
      <c r="R421" s="67"/>
      <c r="S421" s="72"/>
    </row>
    <row r="422" spans="10:19" x14ac:dyDescent="0.35">
      <c r="R422" s="67"/>
      <c r="S422" s="72"/>
    </row>
    <row r="423" spans="10:19" x14ac:dyDescent="0.35">
      <c r="R423" s="67"/>
      <c r="S423" s="72"/>
    </row>
    <row r="424" spans="10:19" x14ac:dyDescent="0.35">
      <c r="J424" s="66"/>
      <c r="R424" s="67"/>
      <c r="S424" s="72"/>
    </row>
    <row r="425" spans="10:19" x14ac:dyDescent="0.35">
      <c r="R425" s="67"/>
      <c r="S425" s="72"/>
    </row>
    <row r="426" spans="10:19" x14ac:dyDescent="0.35">
      <c r="J426" s="66"/>
      <c r="R426" s="67"/>
      <c r="S426" s="72"/>
    </row>
    <row r="427" spans="10:19" x14ac:dyDescent="0.35">
      <c r="R427" s="67"/>
      <c r="S427" s="72"/>
    </row>
    <row r="428" spans="10:19" x14ac:dyDescent="0.35">
      <c r="J428" s="66"/>
      <c r="R428" s="67"/>
      <c r="S428" s="72"/>
    </row>
    <row r="429" spans="10:19" x14ac:dyDescent="0.35">
      <c r="J429" s="66"/>
      <c r="R429" s="67"/>
      <c r="S429" s="72"/>
    </row>
    <row r="430" spans="10:19" x14ac:dyDescent="0.35">
      <c r="R430" s="67"/>
      <c r="S430" s="72"/>
    </row>
    <row r="431" spans="10:19" x14ac:dyDescent="0.35">
      <c r="J431" s="66"/>
      <c r="R431" s="67"/>
      <c r="S431" s="72"/>
    </row>
    <row r="432" spans="10:19" x14ac:dyDescent="0.35">
      <c r="R432" s="67"/>
      <c r="S432" s="72"/>
    </row>
    <row r="433" spans="10:19" x14ac:dyDescent="0.35">
      <c r="R433" s="67"/>
      <c r="S433" s="72"/>
    </row>
    <row r="434" spans="10:19" x14ac:dyDescent="0.35">
      <c r="J434" s="66"/>
      <c r="R434" s="67"/>
      <c r="S434" s="72"/>
    </row>
    <row r="435" spans="10:19" x14ac:dyDescent="0.35">
      <c r="J435" s="66"/>
      <c r="R435" s="67"/>
      <c r="S435" s="72"/>
    </row>
    <row r="436" spans="10:19" x14ac:dyDescent="0.35">
      <c r="R436" s="67"/>
      <c r="S436" s="72"/>
    </row>
    <row r="437" spans="10:19" x14ac:dyDescent="0.35">
      <c r="J437" s="66"/>
      <c r="R437" s="67"/>
      <c r="S437" s="72"/>
    </row>
    <row r="438" spans="10:19" x14ac:dyDescent="0.35">
      <c r="J438" s="66"/>
      <c r="R438" s="67"/>
      <c r="S438" s="72"/>
    </row>
    <row r="439" spans="10:19" x14ac:dyDescent="0.35">
      <c r="J439" s="66"/>
      <c r="R439" s="67"/>
      <c r="S439" s="72"/>
    </row>
    <row r="440" spans="10:19" x14ac:dyDescent="0.35">
      <c r="R440" s="67"/>
      <c r="S440" s="72"/>
    </row>
    <row r="441" spans="10:19" x14ac:dyDescent="0.35">
      <c r="R441" s="67"/>
      <c r="S441" s="72"/>
    </row>
    <row r="442" spans="10:19" x14ac:dyDescent="0.35">
      <c r="J442" s="66"/>
      <c r="R442" s="67"/>
      <c r="S442" s="72"/>
    </row>
    <row r="443" spans="10:19" x14ac:dyDescent="0.35">
      <c r="J443" s="66"/>
      <c r="R443" s="67"/>
      <c r="S443" s="72"/>
    </row>
    <row r="444" spans="10:19" x14ac:dyDescent="0.35">
      <c r="J444" s="66"/>
      <c r="R444" s="67"/>
      <c r="S444" s="72"/>
    </row>
    <row r="445" spans="10:19" x14ac:dyDescent="0.35">
      <c r="J445" s="66"/>
      <c r="R445" s="67"/>
      <c r="S445" s="72"/>
    </row>
    <row r="446" spans="10:19" x14ac:dyDescent="0.35">
      <c r="R446" s="67"/>
      <c r="S446" s="72"/>
    </row>
    <row r="447" spans="10:19" x14ac:dyDescent="0.35">
      <c r="R447" s="67"/>
      <c r="S447" s="72"/>
    </row>
    <row r="448" spans="10:19" x14ac:dyDescent="0.35">
      <c r="R448" s="67"/>
      <c r="S448" s="72"/>
    </row>
    <row r="449" spans="18:19" x14ac:dyDescent="0.35">
      <c r="R449" s="67"/>
      <c r="S449" s="72"/>
    </row>
    <row r="450" spans="18:19" x14ac:dyDescent="0.35">
      <c r="R450" s="67"/>
      <c r="S450" s="72"/>
    </row>
    <row r="451" spans="18:19" x14ac:dyDescent="0.35">
      <c r="R451" s="67"/>
      <c r="S451" s="72"/>
    </row>
    <row r="452" spans="18:19" x14ac:dyDescent="0.35">
      <c r="R452" s="67"/>
      <c r="S452" s="72"/>
    </row>
    <row r="453" spans="18:19" x14ac:dyDescent="0.35">
      <c r="R453" s="67"/>
      <c r="S453" s="72"/>
    </row>
    <row r="454" spans="18:19" x14ac:dyDescent="0.35">
      <c r="R454" s="67"/>
      <c r="S454" s="72"/>
    </row>
    <row r="455" spans="18:19" x14ac:dyDescent="0.35">
      <c r="R455" s="67"/>
      <c r="S455" s="72"/>
    </row>
    <row r="456" spans="18:19" x14ac:dyDescent="0.35">
      <c r="R456" s="67"/>
      <c r="S456" s="72"/>
    </row>
    <row r="457" spans="18:19" x14ac:dyDescent="0.35">
      <c r="R457" s="67"/>
      <c r="S457" s="72"/>
    </row>
    <row r="458" spans="18:19" x14ac:dyDescent="0.35">
      <c r="R458" s="67"/>
      <c r="S458" s="72"/>
    </row>
    <row r="459" spans="18:19" x14ac:dyDescent="0.35">
      <c r="R459" s="67"/>
      <c r="S459" s="72"/>
    </row>
    <row r="460" spans="18:19" x14ac:dyDescent="0.35">
      <c r="R460" s="67"/>
      <c r="S460" s="72"/>
    </row>
    <row r="461" spans="18:19" x14ac:dyDescent="0.35">
      <c r="R461" s="67"/>
      <c r="S461" s="72"/>
    </row>
    <row r="462" spans="18:19" x14ac:dyDescent="0.35">
      <c r="R462" s="67"/>
      <c r="S462" s="72"/>
    </row>
    <row r="463" spans="18:19" x14ac:dyDescent="0.35">
      <c r="R463" s="67"/>
      <c r="S463" s="72"/>
    </row>
    <row r="464" spans="18:19" x14ac:dyDescent="0.35">
      <c r="R464" s="67"/>
      <c r="S464" s="72"/>
    </row>
    <row r="465" spans="18:19" x14ac:dyDescent="0.35">
      <c r="R465" s="67"/>
      <c r="S465" s="72"/>
    </row>
    <row r="466" spans="18:19" x14ac:dyDescent="0.35">
      <c r="R466" s="67"/>
      <c r="S466" s="72"/>
    </row>
    <row r="467" spans="18:19" x14ac:dyDescent="0.35">
      <c r="R467" s="67"/>
      <c r="S467" s="72"/>
    </row>
    <row r="468" spans="18:19" x14ac:dyDescent="0.35">
      <c r="R468" s="67"/>
      <c r="S468" s="72"/>
    </row>
    <row r="469" spans="18:19" x14ac:dyDescent="0.35">
      <c r="R469" s="67"/>
      <c r="S469" s="72"/>
    </row>
    <row r="470" spans="18:19" x14ac:dyDescent="0.35">
      <c r="R470" s="67"/>
      <c r="S470" s="72"/>
    </row>
    <row r="471" spans="18:19" x14ac:dyDescent="0.35">
      <c r="R471" s="67"/>
      <c r="S471" s="72"/>
    </row>
    <row r="472" spans="18:19" x14ac:dyDescent="0.35">
      <c r="R472" s="67"/>
      <c r="S472" s="72"/>
    </row>
    <row r="473" spans="18:19" x14ac:dyDescent="0.35">
      <c r="R473" s="67"/>
      <c r="S473" s="72"/>
    </row>
    <row r="474" spans="18:19" x14ac:dyDescent="0.35">
      <c r="R474" s="67"/>
      <c r="S474" s="72"/>
    </row>
    <row r="475" spans="18:19" x14ac:dyDescent="0.35">
      <c r="R475" s="67"/>
      <c r="S475" s="72"/>
    </row>
    <row r="476" spans="18:19" x14ac:dyDescent="0.35">
      <c r="R476" s="67"/>
      <c r="S476" s="72"/>
    </row>
    <row r="477" spans="18:19" x14ac:dyDescent="0.35">
      <c r="R477" s="67"/>
      <c r="S477" s="72"/>
    </row>
    <row r="478" spans="18:19" x14ac:dyDescent="0.35">
      <c r="R478" s="67"/>
      <c r="S478" s="72"/>
    </row>
    <row r="479" spans="18:19" x14ac:dyDescent="0.35">
      <c r="R479" s="67"/>
      <c r="S479" s="72"/>
    </row>
    <row r="480" spans="18:19" x14ac:dyDescent="0.35">
      <c r="R480" s="67"/>
      <c r="S480" s="72"/>
    </row>
    <row r="481" spans="18:19" x14ac:dyDescent="0.35">
      <c r="R481" s="67"/>
      <c r="S481" s="72"/>
    </row>
    <row r="482" spans="18:19" x14ac:dyDescent="0.35">
      <c r="R482" s="67"/>
      <c r="S482" s="72"/>
    </row>
    <row r="483" spans="18:19" x14ac:dyDescent="0.35">
      <c r="R483" s="67"/>
      <c r="S483" s="72"/>
    </row>
    <row r="484" spans="18:19" x14ac:dyDescent="0.35">
      <c r="R484" s="67"/>
      <c r="S484" s="72"/>
    </row>
    <row r="485" spans="18:19" x14ac:dyDescent="0.35">
      <c r="R485" s="67"/>
      <c r="S485" s="72"/>
    </row>
    <row r="486" spans="18:19" x14ac:dyDescent="0.35">
      <c r="R486" s="67"/>
      <c r="S486" s="72"/>
    </row>
    <row r="487" spans="18:19" x14ac:dyDescent="0.35">
      <c r="R487" s="67"/>
      <c r="S487" s="72"/>
    </row>
    <row r="488" spans="18:19" x14ac:dyDescent="0.35">
      <c r="R488" s="67"/>
      <c r="S488" s="72"/>
    </row>
    <row r="489" spans="18:19" x14ac:dyDescent="0.35">
      <c r="R489" s="67"/>
      <c r="S489" s="72"/>
    </row>
    <row r="490" spans="18:19" x14ac:dyDescent="0.35">
      <c r="R490" s="67"/>
      <c r="S490" s="72"/>
    </row>
    <row r="491" spans="18:19" x14ac:dyDescent="0.35">
      <c r="R491" s="67"/>
      <c r="S491" s="72"/>
    </row>
    <row r="492" spans="18:19" x14ac:dyDescent="0.35">
      <c r="R492" s="67"/>
      <c r="S492" s="72"/>
    </row>
    <row r="493" spans="18:19" x14ac:dyDescent="0.35">
      <c r="R493" s="67"/>
      <c r="S493" s="72"/>
    </row>
    <row r="494" spans="18:19" x14ac:dyDescent="0.35">
      <c r="R494" s="67"/>
      <c r="S494" s="72"/>
    </row>
    <row r="495" spans="18:19" x14ac:dyDescent="0.35">
      <c r="R495" s="67"/>
      <c r="S495" s="72"/>
    </row>
    <row r="496" spans="18:19" x14ac:dyDescent="0.35">
      <c r="R496" s="67"/>
      <c r="S496" s="72"/>
    </row>
    <row r="497" spans="18:19" x14ac:dyDescent="0.35">
      <c r="R497" s="67"/>
      <c r="S497" s="72"/>
    </row>
    <row r="498" spans="18:19" x14ac:dyDescent="0.35">
      <c r="R498" s="67"/>
      <c r="S498" s="72"/>
    </row>
    <row r="499" spans="18:19" x14ac:dyDescent="0.35">
      <c r="R499" s="67"/>
      <c r="S499" s="72"/>
    </row>
    <row r="500" spans="18:19" x14ac:dyDescent="0.35">
      <c r="R500" s="67"/>
      <c r="S500" s="72"/>
    </row>
    <row r="501" spans="18:19" x14ac:dyDescent="0.35">
      <c r="R501" s="67"/>
      <c r="S501" s="72"/>
    </row>
    <row r="502" spans="18:19" x14ac:dyDescent="0.35">
      <c r="R502" s="67"/>
      <c r="S502" s="72"/>
    </row>
    <row r="503" spans="18:19" x14ac:dyDescent="0.35">
      <c r="R503" s="67"/>
      <c r="S503" s="72"/>
    </row>
    <row r="504" spans="18:19" x14ac:dyDescent="0.35">
      <c r="R504" s="67"/>
      <c r="S504" s="72"/>
    </row>
    <row r="505" spans="18:19" x14ac:dyDescent="0.35">
      <c r="R505" s="67"/>
      <c r="S505" s="72"/>
    </row>
    <row r="506" spans="18:19" x14ac:dyDescent="0.35">
      <c r="R506" s="67"/>
      <c r="S506" s="72"/>
    </row>
    <row r="507" spans="18:19" x14ac:dyDescent="0.35">
      <c r="R507" s="67"/>
      <c r="S507" s="72"/>
    </row>
    <row r="508" spans="18:19" x14ac:dyDescent="0.35">
      <c r="R508" s="67"/>
      <c r="S508" s="72"/>
    </row>
    <row r="509" spans="18:19" x14ac:dyDescent="0.35">
      <c r="R509" s="67"/>
      <c r="S509" s="72"/>
    </row>
    <row r="510" spans="18:19" x14ac:dyDescent="0.35">
      <c r="R510" s="67"/>
      <c r="S510" s="72"/>
    </row>
    <row r="511" spans="18:19" x14ac:dyDescent="0.35">
      <c r="R511" s="67"/>
      <c r="S511" s="72"/>
    </row>
    <row r="512" spans="18:19" x14ac:dyDescent="0.35">
      <c r="R512" s="67"/>
      <c r="S512" s="72"/>
    </row>
    <row r="513" spans="18:19" x14ac:dyDescent="0.35">
      <c r="R513" s="67"/>
      <c r="S513" s="72"/>
    </row>
    <row r="514" spans="18:19" x14ac:dyDescent="0.35">
      <c r="R514" s="67"/>
      <c r="S514" s="72"/>
    </row>
    <row r="515" spans="18:19" x14ac:dyDescent="0.35">
      <c r="R515" s="67"/>
      <c r="S515" s="72"/>
    </row>
    <row r="516" spans="18:19" x14ac:dyDescent="0.35">
      <c r="R516" s="67"/>
      <c r="S516" s="72"/>
    </row>
    <row r="517" spans="18:19" x14ac:dyDescent="0.35">
      <c r="R517" s="67"/>
      <c r="S517" s="72"/>
    </row>
    <row r="518" spans="18:19" x14ac:dyDescent="0.35">
      <c r="R518" s="67"/>
      <c r="S518" s="72"/>
    </row>
    <row r="519" spans="18:19" x14ac:dyDescent="0.35">
      <c r="R519" s="67"/>
      <c r="S519" s="72"/>
    </row>
    <row r="520" spans="18:19" x14ac:dyDescent="0.35">
      <c r="R520" s="67"/>
      <c r="S520" s="72"/>
    </row>
    <row r="521" spans="18:19" x14ac:dyDescent="0.35">
      <c r="R521" s="67"/>
      <c r="S521" s="72"/>
    </row>
    <row r="522" spans="18:19" x14ac:dyDescent="0.35">
      <c r="R522" s="67"/>
      <c r="S522" s="72"/>
    </row>
    <row r="523" spans="18:19" x14ac:dyDescent="0.35">
      <c r="R523" s="67"/>
      <c r="S523" s="72"/>
    </row>
    <row r="524" spans="18:19" x14ac:dyDescent="0.35">
      <c r="R524" s="67"/>
      <c r="S524" s="72"/>
    </row>
    <row r="525" spans="18:19" x14ac:dyDescent="0.35">
      <c r="R525" s="67"/>
      <c r="S525" s="72"/>
    </row>
    <row r="526" spans="18:19" x14ac:dyDescent="0.35">
      <c r="R526" s="67"/>
      <c r="S526" s="72"/>
    </row>
    <row r="527" spans="18:19" x14ac:dyDescent="0.35">
      <c r="R527" s="67"/>
      <c r="S527" s="72"/>
    </row>
    <row r="528" spans="18:19" x14ac:dyDescent="0.35">
      <c r="R528" s="67"/>
      <c r="S528" s="72"/>
    </row>
    <row r="529" spans="18:19" x14ac:dyDescent="0.35">
      <c r="R529" s="67"/>
      <c r="S529" s="72"/>
    </row>
    <row r="530" spans="18:19" x14ac:dyDescent="0.35">
      <c r="R530" s="67"/>
      <c r="S530" s="72"/>
    </row>
    <row r="531" spans="18:19" x14ac:dyDescent="0.35">
      <c r="R531" s="67"/>
      <c r="S531" s="72"/>
    </row>
    <row r="532" spans="18:19" x14ac:dyDescent="0.35">
      <c r="R532" s="67"/>
      <c r="S532" s="72"/>
    </row>
    <row r="533" spans="18:19" x14ac:dyDescent="0.35">
      <c r="R533" s="67"/>
      <c r="S533" s="72"/>
    </row>
    <row r="534" spans="18:19" x14ac:dyDescent="0.35">
      <c r="R534" s="67"/>
      <c r="S534" s="72"/>
    </row>
    <row r="535" spans="18:19" x14ac:dyDescent="0.35">
      <c r="R535" s="67"/>
      <c r="S535" s="72"/>
    </row>
    <row r="536" spans="18:19" x14ac:dyDescent="0.35">
      <c r="R536" s="67"/>
      <c r="S536" s="72"/>
    </row>
    <row r="537" spans="18:19" x14ac:dyDescent="0.35">
      <c r="R537" s="67"/>
      <c r="S537" s="72"/>
    </row>
    <row r="538" spans="18:19" x14ac:dyDescent="0.35">
      <c r="R538" s="67"/>
      <c r="S538" s="72"/>
    </row>
    <row r="539" spans="18:19" x14ac:dyDescent="0.35">
      <c r="R539" s="67"/>
      <c r="S539" s="72"/>
    </row>
    <row r="540" spans="18:19" x14ac:dyDescent="0.35">
      <c r="R540" s="67"/>
      <c r="S540" s="72"/>
    </row>
    <row r="541" spans="18:19" x14ac:dyDescent="0.35">
      <c r="R541" s="67"/>
      <c r="S541" s="72"/>
    </row>
    <row r="542" spans="18:19" x14ac:dyDescent="0.35">
      <c r="R542" s="67"/>
      <c r="S542" s="72"/>
    </row>
    <row r="543" spans="18:19" x14ac:dyDescent="0.35">
      <c r="R543" s="67"/>
      <c r="S543" s="72"/>
    </row>
    <row r="544" spans="18:19" x14ac:dyDescent="0.35">
      <c r="R544" s="67"/>
      <c r="S544" s="72"/>
    </row>
    <row r="545" spans="10:19" x14ac:dyDescent="0.35">
      <c r="R545" s="67"/>
      <c r="S545" s="72"/>
    </row>
    <row r="546" spans="10:19" x14ac:dyDescent="0.35">
      <c r="R546" s="67"/>
      <c r="S546" s="72"/>
    </row>
    <row r="547" spans="10:19" x14ac:dyDescent="0.35">
      <c r="R547" s="67"/>
      <c r="S547" s="72"/>
    </row>
    <row r="548" spans="10:19" x14ac:dyDescent="0.35">
      <c r="R548" s="67"/>
      <c r="S548" s="72"/>
    </row>
    <row r="549" spans="10:19" x14ac:dyDescent="0.35">
      <c r="R549" s="67"/>
      <c r="S549" s="72"/>
    </row>
    <row r="550" spans="10:19" x14ac:dyDescent="0.35">
      <c r="R550" s="67"/>
      <c r="S550" s="72"/>
    </row>
    <row r="551" spans="10:19" x14ac:dyDescent="0.35">
      <c r="R551" s="67"/>
      <c r="S551" s="72"/>
    </row>
    <row r="552" spans="10:19" x14ac:dyDescent="0.35">
      <c r="R552" s="67"/>
      <c r="S552" s="72"/>
    </row>
    <row r="553" spans="10:19" x14ac:dyDescent="0.35">
      <c r="R553" s="67"/>
      <c r="S553" s="72"/>
    </row>
    <row r="554" spans="10:19" x14ac:dyDescent="0.35">
      <c r="J554" s="66"/>
      <c r="R554" s="67"/>
      <c r="S554" s="72"/>
    </row>
    <row r="555" spans="10:19" x14ac:dyDescent="0.35">
      <c r="R555" s="67"/>
      <c r="S555" s="72"/>
    </row>
    <row r="556" spans="10:19" x14ac:dyDescent="0.35">
      <c r="R556" s="67"/>
      <c r="S556" s="72"/>
    </row>
    <row r="557" spans="10:19" x14ac:dyDescent="0.35">
      <c r="R557" s="67"/>
      <c r="S557" s="72"/>
    </row>
    <row r="558" spans="10:19" x14ac:dyDescent="0.35">
      <c r="R558" s="67"/>
      <c r="S558" s="72"/>
    </row>
    <row r="559" spans="10:19" x14ac:dyDescent="0.35">
      <c r="R559" s="67"/>
      <c r="S559" s="72"/>
    </row>
    <row r="560" spans="10:19" x14ac:dyDescent="0.35">
      <c r="J560" s="66"/>
      <c r="R560" s="67"/>
      <c r="S560" s="72"/>
    </row>
    <row r="561" spans="10:19" x14ac:dyDescent="0.35">
      <c r="J561" s="66"/>
      <c r="R561" s="67"/>
      <c r="S561" s="72"/>
    </row>
    <row r="562" spans="10:19" x14ac:dyDescent="0.35">
      <c r="J562" s="66"/>
      <c r="R562" s="67"/>
      <c r="S562" s="72"/>
    </row>
    <row r="563" spans="10:19" x14ac:dyDescent="0.35">
      <c r="R563" s="67"/>
      <c r="S563" s="72"/>
    </row>
    <row r="564" spans="10:19" x14ac:dyDescent="0.35">
      <c r="R564" s="67"/>
      <c r="S564" s="72"/>
    </row>
    <row r="565" spans="10:19" x14ac:dyDescent="0.35">
      <c r="J565" s="66"/>
      <c r="R565" s="67"/>
      <c r="S565" s="72"/>
    </row>
    <row r="566" spans="10:19" x14ac:dyDescent="0.35">
      <c r="R566" s="67"/>
      <c r="S566" s="72"/>
    </row>
    <row r="567" spans="10:19" x14ac:dyDescent="0.35">
      <c r="R567" s="67"/>
      <c r="S567" s="72"/>
    </row>
    <row r="568" spans="10:19" x14ac:dyDescent="0.35">
      <c r="R568" s="67"/>
      <c r="S568" s="72"/>
    </row>
    <row r="569" spans="10:19" x14ac:dyDescent="0.35">
      <c r="R569" s="67"/>
      <c r="S569" s="72"/>
    </row>
    <row r="570" spans="10:19" x14ac:dyDescent="0.35">
      <c r="R570" s="67"/>
      <c r="S570" s="72"/>
    </row>
    <row r="571" spans="10:19" x14ac:dyDescent="0.35">
      <c r="R571" s="67"/>
      <c r="S571" s="72"/>
    </row>
    <row r="572" spans="10:19" x14ac:dyDescent="0.35">
      <c r="R572" s="67"/>
      <c r="S572" s="72"/>
    </row>
    <row r="573" spans="10:19" x14ac:dyDescent="0.35">
      <c r="R573" s="67"/>
      <c r="S573" s="72"/>
    </row>
    <row r="574" spans="10:19" x14ac:dyDescent="0.35">
      <c r="R574" s="67"/>
      <c r="S574" s="72"/>
    </row>
    <row r="575" spans="10:19" x14ac:dyDescent="0.35">
      <c r="J575" s="66"/>
      <c r="R575" s="67"/>
      <c r="S575" s="72"/>
    </row>
    <row r="576" spans="10:19" x14ac:dyDescent="0.35">
      <c r="J576" s="66"/>
      <c r="R576" s="67"/>
      <c r="S576" s="72"/>
    </row>
    <row r="577" spans="10:19" x14ac:dyDescent="0.35">
      <c r="R577" s="67"/>
      <c r="S577" s="72"/>
    </row>
    <row r="578" spans="10:19" x14ac:dyDescent="0.35">
      <c r="R578" s="67"/>
      <c r="S578" s="72"/>
    </row>
    <row r="579" spans="10:19" x14ac:dyDescent="0.35">
      <c r="R579" s="67"/>
      <c r="S579" s="72"/>
    </row>
    <row r="580" spans="10:19" x14ac:dyDescent="0.35">
      <c r="J580" s="66"/>
      <c r="R580" s="67"/>
      <c r="S580" s="72"/>
    </row>
    <row r="581" spans="10:19" x14ac:dyDescent="0.35">
      <c r="R581" s="67"/>
      <c r="S581" s="72"/>
    </row>
    <row r="582" spans="10:19" x14ac:dyDescent="0.35">
      <c r="R582" s="67"/>
      <c r="S582" s="72"/>
    </row>
    <row r="583" spans="10:19" x14ac:dyDescent="0.35">
      <c r="R583" s="67"/>
      <c r="S583" s="72"/>
    </row>
    <row r="584" spans="10:19" x14ac:dyDescent="0.35">
      <c r="J584" s="66"/>
      <c r="R584" s="67"/>
      <c r="S584" s="72"/>
    </row>
    <row r="585" spans="10:19" x14ac:dyDescent="0.35">
      <c r="R585" s="67"/>
      <c r="S585" s="72"/>
    </row>
    <row r="586" spans="10:19" x14ac:dyDescent="0.35">
      <c r="R586" s="67"/>
      <c r="S586" s="72"/>
    </row>
    <row r="587" spans="10:19" x14ac:dyDescent="0.35">
      <c r="R587" s="67"/>
      <c r="S587" s="72"/>
    </row>
    <row r="588" spans="10:19" x14ac:dyDescent="0.35">
      <c r="J588" s="66"/>
      <c r="R588" s="67"/>
      <c r="S588" s="72"/>
    </row>
    <row r="589" spans="10:19" x14ac:dyDescent="0.35">
      <c r="R589" s="67"/>
      <c r="S589" s="72"/>
    </row>
    <row r="590" spans="10:19" x14ac:dyDescent="0.35">
      <c r="R590" s="67"/>
      <c r="S590" s="72"/>
    </row>
    <row r="591" spans="10:19" x14ac:dyDescent="0.35">
      <c r="R591" s="67"/>
      <c r="S591" s="72"/>
    </row>
    <row r="592" spans="10:19" x14ac:dyDescent="0.35">
      <c r="R592" s="67"/>
      <c r="S592" s="72"/>
    </row>
    <row r="593" spans="18:19" x14ac:dyDescent="0.35">
      <c r="R593" s="67"/>
      <c r="S593" s="72"/>
    </row>
    <row r="594" spans="18:19" x14ac:dyDescent="0.35">
      <c r="R594" s="67"/>
      <c r="S594" s="72"/>
    </row>
    <row r="595" spans="18:19" x14ac:dyDescent="0.35">
      <c r="R595" s="67"/>
      <c r="S595" s="72"/>
    </row>
    <row r="596" spans="18:19" x14ac:dyDescent="0.35">
      <c r="R596" s="67"/>
      <c r="S596" s="72"/>
    </row>
    <row r="597" spans="18:19" x14ac:dyDescent="0.35">
      <c r="R597" s="67"/>
      <c r="S597" s="72"/>
    </row>
    <row r="598" spans="18:19" x14ac:dyDescent="0.35">
      <c r="R598" s="67"/>
      <c r="S598" s="72"/>
    </row>
    <row r="599" spans="18:19" x14ac:dyDescent="0.35">
      <c r="R599" s="67"/>
      <c r="S599" s="72"/>
    </row>
    <row r="600" spans="18:19" x14ac:dyDescent="0.35">
      <c r="R600" s="67"/>
      <c r="S600" s="72"/>
    </row>
    <row r="601" spans="18:19" x14ac:dyDescent="0.35">
      <c r="R601" s="67"/>
    </row>
    <row r="602" spans="18:19" x14ac:dyDescent="0.35">
      <c r="R602" s="67"/>
    </row>
    <row r="603" spans="18:19" x14ac:dyDescent="0.35">
      <c r="R603" s="67"/>
    </row>
    <row r="604" spans="18:19" x14ac:dyDescent="0.35">
      <c r="R604" s="67"/>
    </row>
    <row r="605" spans="18:19" x14ac:dyDescent="0.35">
      <c r="R605" s="67"/>
    </row>
    <row r="606" spans="18:19" x14ac:dyDescent="0.35">
      <c r="R606" s="67"/>
    </row>
    <row r="607" spans="18:19" x14ac:dyDescent="0.35">
      <c r="R607" s="67"/>
    </row>
    <row r="608" spans="18:19" x14ac:dyDescent="0.35">
      <c r="R608" s="67"/>
    </row>
    <row r="609" spans="18:18" x14ac:dyDescent="0.35">
      <c r="R609" s="67"/>
    </row>
    <row r="610" spans="18:18" x14ac:dyDescent="0.35">
      <c r="R610" s="67"/>
    </row>
    <row r="611" spans="18:18" x14ac:dyDescent="0.35">
      <c r="R611" s="67"/>
    </row>
    <row r="612" spans="18:18" x14ac:dyDescent="0.35">
      <c r="R612" s="67"/>
    </row>
    <row r="613" spans="18:18" x14ac:dyDescent="0.35">
      <c r="R613" s="67"/>
    </row>
    <row r="614" spans="18:18" x14ac:dyDescent="0.35">
      <c r="R614" s="67"/>
    </row>
    <row r="615" spans="18:18" x14ac:dyDescent="0.35">
      <c r="R615" s="67"/>
    </row>
    <row r="616" spans="18:18" x14ac:dyDescent="0.35">
      <c r="R616" s="67"/>
    </row>
    <row r="617" spans="18:18" x14ac:dyDescent="0.35">
      <c r="R617" s="67"/>
    </row>
    <row r="618" spans="18:18" x14ac:dyDescent="0.35">
      <c r="R618" s="67"/>
    </row>
    <row r="619" spans="18:18" x14ac:dyDescent="0.35">
      <c r="R619" s="67"/>
    </row>
    <row r="620" spans="18:18" x14ac:dyDescent="0.35">
      <c r="R620" s="67"/>
    </row>
    <row r="621" spans="18:18" x14ac:dyDescent="0.35">
      <c r="R621" s="67"/>
    </row>
    <row r="622" spans="18:18" x14ac:dyDescent="0.35">
      <c r="R622" s="67"/>
    </row>
    <row r="623" spans="18:18" x14ac:dyDescent="0.35">
      <c r="R623" s="67"/>
    </row>
    <row r="624" spans="18:18" x14ac:dyDescent="0.35">
      <c r="R624" s="67"/>
    </row>
    <row r="625" spans="18:18" x14ac:dyDescent="0.35">
      <c r="R625" s="67"/>
    </row>
    <row r="626" spans="18:18" x14ac:dyDescent="0.35">
      <c r="R626" s="67"/>
    </row>
    <row r="627" spans="18:18" x14ac:dyDescent="0.35">
      <c r="R627" s="67"/>
    </row>
    <row r="628" spans="18:18" x14ac:dyDescent="0.35">
      <c r="R628" s="67"/>
    </row>
    <row r="629" spans="18:18" x14ac:dyDescent="0.35">
      <c r="R629" s="67"/>
    </row>
    <row r="630" spans="18:18" x14ac:dyDescent="0.35">
      <c r="R630" s="67"/>
    </row>
    <row r="631" spans="18:18" x14ac:dyDescent="0.35">
      <c r="R631" s="67"/>
    </row>
    <row r="632" spans="18:18" x14ac:dyDescent="0.35">
      <c r="R632" s="67"/>
    </row>
    <row r="633" spans="18:18" x14ac:dyDescent="0.35">
      <c r="R633" s="67"/>
    </row>
    <row r="634" spans="18:18" x14ac:dyDescent="0.35">
      <c r="R634" s="67"/>
    </row>
    <row r="635" spans="18:18" x14ac:dyDescent="0.35">
      <c r="R635" s="67"/>
    </row>
    <row r="636" spans="18:18" x14ac:dyDescent="0.35">
      <c r="R636" s="67"/>
    </row>
    <row r="637" spans="18:18" x14ac:dyDescent="0.35">
      <c r="R637" s="67"/>
    </row>
    <row r="638" spans="18:18" x14ac:dyDescent="0.35">
      <c r="R638" s="67"/>
    </row>
    <row r="639" spans="18:18" x14ac:dyDescent="0.35">
      <c r="R639" s="67"/>
    </row>
    <row r="640" spans="18:18" x14ac:dyDescent="0.35">
      <c r="R640" s="67"/>
    </row>
    <row r="641" spans="18:18" x14ac:dyDescent="0.35">
      <c r="R641" s="67"/>
    </row>
    <row r="642" spans="18:18" x14ac:dyDescent="0.35">
      <c r="R642" s="67"/>
    </row>
    <row r="643" spans="18:18" x14ac:dyDescent="0.35">
      <c r="R643" s="67"/>
    </row>
    <row r="644" spans="18:18" x14ac:dyDescent="0.35">
      <c r="R644" s="67"/>
    </row>
    <row r="645" spans="18:18" x14ac:dyDescent="0.35">
      <c r="R645" s="67"/>
    </row>
    <row r="646" spans="18:18" x14ac:dyDescent="0.35">
      <c r="R646" s="67"/>
    </row>
    <row r="647" spans="18:18" x14ac:dyDescent="0.35">
      <c r="R647" s="67"/>
    </row>
    <row r="648" spans="18:18" x14ac:dyDescent="0.35">
      <c r="R648" s="67"/>
    </row>
    <row r="649" spans="18:18" x14ac:dyDescent="0.35">
      <c r="R649" s="67"/>
    </row>
    <row r="650" spans="18:18" x14ac:dyDescent="0.35">
      <c r="R650" s="67"/>
    </row>
    <row r="651" spans="18:18" x14ac:dyDescent="0.35">
      <c r="R651" s="67"/>
    </row>
    <row r="652" spans="18:18" x14ac:dyDescent="0.35">
      <c r="R652" s="67"/>
    </row>
    <row r="653" spans="18:18" x14ac:dyDescent="0.35">
      <c r="R653" s="67"/>
    </row>
    <row r="654" spans="18:18" x14ac:dyDescent="0.35">
      <c r="R654" s="67"/>
    </row>
    <row r="655" spans="18:18" x14ac:dyDescent="0.35">
      <c r="R655" s="67"/>
    </row>
    <row r="656" spans="18:18" x14ac:dyDescent="0.35">
      <c r="R656" s="67"/>
    </row>
    <row r="657" spans="18:18" x14ac:dyDescent="0.35">
      <c r="R657" s="67"/>
    </row>
    <row r="658" spans="18:18" x14ac:dyDescent="0.35">
      <c r="R658" s="67"/>
    </row>
    <row r="659" spans="18:18" x14ac:dyDescent="0.35">
      <c r="R659" s="67"/>
    </row>
    <row r="660" spans="18:18" x14ac:dyDescent="0.35">
      <c r="R660" s="67"/>
    </row>
    <row r="661" spans="18:18" x14ac:dyDescent="0.35">
      <c r="R661" s="67"/>
    </row>
    <row r="662" spans="18:18" x14ac:dyDescent="0.35">
      <c r="R662" s="67"/>
    </row>
    <row r="663" spans="18:18" x14ac:dyDescent="0.35">
      <c r="R663" s="67"/>
    </row>
    <row r="664" spans="18:18" x14ac:dyDescent="0.35">
      <c r="R664" s="67"/>
    </row>
    <row r="665" spans="18:18" x14ac:dyDescent="0.35">
      <c r="R665" s="67"/>
    </row>
    <row r="666" spans="18:18" x14ac:dyDescent="0.35">
      <c r="R666" s="67"/>
    </row>
    <row r="667" spans="18:18" x14ac:dyDescent="0.35">
      <c r="R667" s="67"/>
    </row>
    <row r="668" spans="18:18" x14ac:dyDescent="0.35">
      <c r="R668" s="67"/>
    </row>
    <row r="669" spans="18:18" x14ac:dyDescent="0.35">
      <c r="R669" s="67"/>
    </row>
    <row r="670" spans="18:18" x14ac:dyDescent="0.35">
      <c r="R670" s="67"/>
    </row>
    <row r="671" spans="18:18" x14ac:dyDescent="0.35">
      <c r="R671" s="67"/>
    </row>
    <row r="672" spans="18:18" x14ac:dyDescent="0.35">
      <c r="R672" s="67"/>
    </row>
    <row r="673" spans="18:18" x14ac:dyDescent="0.35">
      <c r="R673" s="67"/>
    </row>
    <row r="674" spans="18:18" x14ac:dyDescent="0.35">
      <c r="R674" s="67"/>
    </row>
    <row r="675" spans="18:18" x14ac:dyDescent="0.35">
      <c r="R675" s="67"/>
    </row>
    <row r="676" spans="18:18" x14ac:dyDescent="0.35">
      <c r="R676" s="67"/>
    </row>
    <row r="677" spans="18:18" x14ac:dyDescent="0.35">
      <c r="R677" s="67"/>
    </row>
    <row r="678" spans="18:18" x14ac:dyDescent="0.35">
      <c r="R678" s="67"/>
    </row>
    <row r="679" spans="18:18" x14ac:dyDescent="0.35">
      <c r="R679" s="67"/>
    </row>
    <row r="680" spans="18:18" x14ac:dyDescent="0.35">
      <c r="R680" s="67"/>
    </row>
    <row r="681" spans="18:18" x14ac:dyDescent="0.35">
      <c r="R681" s="67"/>
    </row>
    <row r="682" spans="18:18" x14ac:dyDescent="0.35">
      <c r="R682" s="67"/>
    </row>
    <row r="683" spans="18:18" x14ac:dyDescent="0.35">
      <c r="R683" s="67"/>
    </row>
    <row r="684" spans="18:18" x14ac:dyDescent="0.35">
      <c r="R684" s="67"/>
    </row>
    <row r="685" spans="18:18" x14ac:dyDescent="0.35">
      <c r="R685" s="67"/>
    </row>
    <row r="686" spans="18:18" x14ac:dyDescent="0.35">
      <c r="R686" s="67"/>
    </row>
    <row r="687" spans="18:18" x14ac:dyDescent="0.35">
      <c r="R687" s="67"/>
    </row>
    <row r="688" spans="18:18" x14ac:dyDescent="0.35">
      <c r="R688" s="67"/>
    </row>
    <row r="689" spans="18:18" x14ac:dyDescent="0.35">
      <c r="R689" s="67"/>
    </row>
  </sheetData>
  <autoFilter ref="A19:F270" xr:uid="{C4A6BD8F-D507-43A5-A88F-0AD4D498B4A2}"/>
  <sortState xmlns:xlrd2="http://schemas.microsoft.com/office/spreadsheetml/2017/richdata2" ref="A6:C16">
    <sortCondition ref="C6:C16"/>
  </sortState>
  <conditionalFormatting sqref="A139:A146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B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72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9:C14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D1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72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7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0:F10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7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72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5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1:I72">
    <cfRule type="colorScale" priority="4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7:AB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6B1C-0915-40C0-924F-31DE461C7459}">
  <dimension ref="A1:AB689"/>
  <sheetViews>
    <sheetView topLeftCell="A17" zoomScaleNormal="100" workbookViewId="0">
      <selection activeCell="E41" sqref="E41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8" x14ac:dyDescent="0.35">
      <c r="A1" s="3" t="s">
        <v>403</v>
      </c>
      <c r="F1" s="3" t="s">
        <v>352</v>
      </c>
      <c r="G1">
        <v>12</v>
      </c>
    </row>
    <row r="2" spans="1:28" x14ac:dyDescent="0.35">
      <c r="B2">
        <v>0</v>
      </c>
    </row>
    <row r="3" spans="1:28" x14ac:dyDescent="0.35">
      <c r="A3" s="3" t="s">
        <v>62</v>
      </c>
      <c r="B3" s="4">
        <f>AVERAGE(B6:B49)</f>
        <v>-3.9427757099601154E-8</v>
      </c>
      <c r="F3" s="3" t="s">
        <v>3</v>
      </c>
      <c r="G3" s="4">
        <v>-0.13918743195386246</v>
      </c>
    </row>
    <row r="4" spans="1:28" x14ac:dyDescent="0.35">
      <c r="A4" s="3" t="s">
        <v>121</v>
      </c>
      <c r="F4" t="s">
        <v>9</v>
      </c>
      <c r="G4">
        <f>-G3</f>
        <v>0.13918743195386246</v>
      </c>
    </row>
    <row r="5" spans="1:28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3052.6277525943997</v>
      </c>
    </row>
    <row r="6" spans="1:28" x14ac:dyDescent="0.35">
      <c r="A6" s="1" t="s">
        <v>6</v>
      </c>
      <c r="B6" s="1">
        <v>3.2560934275963431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  <c r="AA6" s="32" t="s">
        <v>357</v>
      </c>
      <c r="AB6" s="32" t="s">
        <v>61</v>
      </c>
    </row>
    <row r="7" spans="1:28" x14ac:dyDescent="0.35">
      <c r="A7" s="1" t="s">
        <v>14</v>
      </c>
      <c r="B7" s="1">
        <v>1.8728633411029396</v>
      </c>
      <c r="C7" s="1">
        <f t="shared" si="0"/>
        <v>2</v>
      </c>
      <c r="J7" s="65">
        <v>1</v>
      </c>
      <c r="K7" t="s">
        <v>23</v>
      </c>
      <c r="L7" t="s">
        <v>46</v>
      </c>
      <c r="M7">
        <v>17.7</v>
      </c>
      <c r="N7" t="s">
        <v>9</v>
      </c>
      <c r="O7" t="s">
        <v>6</v>
      </c>
      <c r="P7">
        <f>VLOOKUP($N7,$F$3:$G$4,2,FALSE)+VLOOKUP($L7,$B$20:$C$150,2,FALSE)+VLOOKUP($O7,$A$6:$B$16,2,FALSE)</f>
        <v>11.52016434460867</v>
      </c>
      <c r="Q7">
        <f>IFERROR(($M7-$P7)^2,"")</f>
        <v>38.190368727645982</v>
      </c>
      <c r="R7" s="67" t="e" cm="1">
        <f t="array" ref="R7">SUMPRODUCT((J7=$J$7:$J$1000)*(P7&lt;$P$7:$P$1000))+1</f>
        <v>#N/A</v>
      </c>
      <c r="S7" s="72"/>
      <c r="T7" cm="1">
        <f t="array" ref="T7:Z183">_xlfn._xlws.FILTER($J$7:$P$10000,($J$7:$J$10000&gt;$G$1)*($J$7:$J$10000&lt;18))</f>
        <v>13</v>
      </c>
      <c r="U7" t="str">
        <v>ARC</v>
      </c>
      <c r="V7" t="str">
        <v>EJ Freeman</v>
      </c>
      <c r="W7" t="str">
        <v>NULL</v>
      </c>
      <c r="X7" t="str">
        <v>Away</v>
      </c>
      <c r="Y7" t="str">
        <v>LA</v>
      </c>
      <c r="Z7">
        <v>10.758497025077288</v>
      </c>
      <c r="AA7" s="1" t="str" cm="1">
        <f t="array" ref="AA7:AA56">_xlfn._xlws.SORT(_xlfn.UNIQUE($L$7:$L$10000))</f>
        <v>Ben LeSage</v>
      </c>
      <c r="AB7" s="1" cm="1">
        <f t="array" ref="AB7">COUNT(_xlfn._xlws.FILTER($J$7:$J$10000,($L$7:$L$10000=AA7)*($M$7:$M$10000&lt;&gt;"NULL")*($J$7:$J$10000 &gt;= ($G$1-5))))/5</f>
        <v>0.6</v>
      </c>
    </row>
    <row r="8" spans="1:28" x14ac:dyDescent="0.35">
      <c r="A8" s="1" t="s">
        <v>7</v>
      </c>
      <c r="B8" s="1">
        <v>1.7027138257790275</v>
      </c>
      <c r="C8" s="1">
        <f t="shared" si="0"/>
        <v>3</v>
      </c>
      <c r="J8" s="65">
        <v>1</v>
      </c>
      <c r="K8" t="s">
        <v>24</v>
      </c>
      <c r="L8" t="s">
        <v>446</v>
      </c>
      <c r="M8">
        <v>13.5</v>
      </c>
      <c r="N8" t="s">
        <v>3</v>
      </c>
      <c r="O8" t="s">
        <v>7</v>
      </c>
      <c r="P8">
        <f t="shared" ref="P8:P71" si="1">VLOOKUP($N8,$F$3:$G$4,2,FALSE)+VLOOKUP($L8,$B$20:$C$150,2,FALSE)+VLOOKUP($O8,$A$6:$B$16,2,FALSE)</f>
        <v>10.465544344880758</v>
      </c>
      <c r="Q8">
        <f t="shared" ref="Q8:Q71" si="2">IFERROR(($M8-$P8)^2,"")</f>
        <v>9.2079211228851481</v>
      </c>
      <c r="R8" s="67" t="e" cm="1">
        <f t="array" ref="R8">SUMPRODUCT((J8=$J$7:$J$1000)*(P8&lt;$P$7:$P$1000))+1</f>
        <v>#N/A</v>
      </c>
      <c r="S8" s="72"/>
      <c r="T8">
        <v>13</v>
      </c>
      <c r="U8" t="str">
        <v>ARC</v>
      </c>
      <c r="V8" t="str">
        <v>Erich Storti</v>
      </c>
      <c r="W8" t="str">
        <v>NULL</v>
      </c>
      <c r="X8" t="str">
        <v>Away</v>
      </c>
      <c r="Y8" t="str">
        <v>LA</v>
      </c>
      <c r="Z8">
        <v>11.019630156571601</v>
      </c>
      <c r="AA8" s="1" t="str">
        <v>Billy Meakes</v>
      </c>
      <c r="AB8" s="1" cm="1">
        <f t="array" ref="AB8">COUNT(_xlfn._xlws.FILTER($J$7:$J$10000,($L$7:$L$10000=AA8)*($M$7:$M$10000&lt;&gt;"NULL")*($J$7:$J$10000 &gt;= ($G$1-5))))/5</f>
        <v>1</v>
      </c>
    </row>
    <row r="9" spans="1:28" x14ac:dyDescent="0.35">
      <c r="A9" s="1" t="s">
        <v>23</v>
      </c>
      <c r="B9" s="1">
        <v>-0.14261093622434709</v>
      </c>
      <c r="C9" s="1">
        <f t="shared" si="0"/>
        <v>4</v>
      </c>
      <c r="J9" s="65">
        <v>1</v>
      </c>
      <c r="K9" t="s">
        <v>6</v>
      </c>
      <c r="L9" t="s">
        <v>445</v>
      </c>
      <c r="M9">
        <v>11.5</v>
      </c>
      <c r="N9" t="s">
        <v>3</v>
      </c>
      <c r="O9" t="s">
        <v>23</v>
      </c>
      <c r="P9">
        <f t="shared" si="1"/>
        <v>11.600438317939714</v>
      </c>
      <c r="Q9">
        <f t="shared" si="2"/>
        <v>1.0087855710559103E-2</v>
      </c>
      <c r="R9" s="67" t="e" cm="1">
        <f t="array" ref="R9">SUMPRODUCT((J9=$J$7:$J$1000)*(P9&lt;$P$7:$P$1000))+1</f>
        <v>#N/A</v>
      </c>
      <c r="S9" s="72"/>
      <c r="T9">
        <v>13</v>
      </c>
      <c r="U9" t="str">
        <v>ARC</v>
      </c>
      <c r="V9" t="str">
        <v>Junior Gafa</v>
      </c>
      <c r="W9" t="str">
        <v>NULL</v>
      </c>
      <c r="X9" t="str">
        <v>Away</v>
      </c>
      <c r="Y9" t="str">
        <v>LA</v>
      </c>
      <c r="Z9">
        <v>11.524755311994348</v>
      </c>
      <c r="AA9" s="1" t="str">
        <v>Bryce Campbell</v>
      </c>
      <c r="AB9" s="1" cm="1">
        <f t="array" ref="AB9">COUNT(_xlfn._xlws.FILTER($J$7:$J$10000,($L$7:$L$10000=AA9)*($M$7:$M$10000&lt;&gt;"NULL")*($J$7:$J$10000 &gt;= ($G$1-5))))/5</f>
        <v>1</v>
      </c>
    </row>
    <row r="10" spans="1:28" x14ac:dyDescent="0.35">
      <c r="A10" s="1" t="s">
        <v>34</v>
      </c>
      <c r="B10" s="1">
        <v>-0.3129070289899073</v>
      </c>
      <c r="C10" s="1">
        <f t="shared" si="0"/>
        <v>5</v>
      </c>
      <c r="J10" s="65">
        <v>1</v>
      </c>
      <c r="K10" t="s">
        <v>6</v>
      </c>
      <c r="L10" t="s">
        <v>451</v>
      </c>
      <c r="M10">
        <v>11.5</v>
      </c>
      <c r="N10" t="s">
        <v>3</v>
      </c>
      <c r="O10" t="s">
        <v>23</v>
      </c>
      <c r="P10">
        <f t="shared" si="1"/>
        <v>9.5374023811594935</v>
      </c>
      <c r="Q10">
        <f t="shared" si="2"/>
        <v>3.8517894134784263</v>
      </c>
      <c r="R10" s="67" t="e" cm="1">
        <f t="array" ref="R10">SUMPRODUCT((J10=$J$7:$J$1000)*(P10&lt;$P$7:$P$1000))+1</f>
        <v>#N/A</v>
      </c>
      <c r="S10" s="72"/>
      <c r="T10">
        <v>13</v>
      </c>
      <c r="U10" t="str">
        <v>ARC</v>
      </c>
      <c r="V10" t="str">
        <v>Watson Filikitonga</v>
      </c>
      <c r="W10" t="str">
        <v>NULL</v>
      </c>
      <c r="X10" t="str">
        <v>Away</v>
      </c>
      <c r="Y10" t="str">
        <v>LA</v>
      </c>
      <c r="Z10">
        <v>9.2392971733411322</v>
      </c>
      <c r="AA10" s="1" t="str">
        <v>Cassh Maluia</v>
      </c>
      <c r="AB10" s="1" cm="1">
        <f t="array" ref="AB10">COUNT(_xlfn._xlws.FILTER($J$7:$J$10000,($L$7:$L$10000=AA10)*($M$7:$M$10000&lt;&gt;"NULL")*($J$7:$J$10000 &gt;= ($G$1-5))))/5</f>
        <v>0.6</v>
      </c>
    </row>
    <row r="11" spans="1:28" x14ac:dyDescent="0.35">
      <c r="A11" s="1" t="s">
        <v>36</v>
      </c>
      <c r="B11" s="1">
        <v>-0.36357735583518763</v>
      </c>
      <c r="C11" s="1">
        <f t="shared" si="0"/>
        <v>6</v>
      </c>
      <c r="J11" s="65">
        <v>1</v>
      </c>
      <c r="K11" t="s">
        <v>36</v>
      </c>
      <c r="L11" t="s">
        <v>38</v>
      </c>
      <c r="M11">
        <v>10.9</v>
      </c>
      <c r="N11" t="s">
        <v>3</v>
      </c>
      <c r="O11" t="s">
        <v>2</v>
      </c>
      <c r="P11">
        <f t="shared" si="1"/>
        <v>8.755971376286432</v>
      </c>
      <c r="Q11">
        <f t="shared" si="2"/>
        <v>4.596858739303098</v>
      </c>
      <c r="R11" s="67" t="e" cm="1">
        <f t="array" ref="R11">SUMPRODUCT((J11=$J$7:$J$1000)*(P11&lt;$P$7:$P$1000))+1</f>
        <v>#N/A</v>
      </c>
      <c r="S11" s="72"/>
      <c r="T11">
        <v>13</v>
      </c>
      <c r="U11" t="str">
        <v>CHI</v>
      </c>
      <c r="V11" t="str">
        <v>Bryce Campbell</v>
      </c>
      <c r="W11" t="str">
        <v>NULL</v>
      </c>
      <c r="X11" t="str">
        <v>Away</v>
      </c>
      <c r="Y11" t="str">
        <v>NEFJ</v>
      </c>
      <c r="Z11">
        <v>6.758847181576793</v>
      </c>
      <c r="AA11" s="1" t="str">
        <v>Cole Semu</v>
      </c>
      <c r="AB11" s="1" cm="1">
        <f t="array" ref="AB11">COUNT(_xlfn._xlws.FILTER($J$7:$J$10000,($L$7:$L$10000=AA11)*($M$7:$M$10000&lt;&gt;"NULL")*($J$7:$J$10000 &gt;= ($G$1-5))))/5</f>
        <v>0.6</v>
      </c>
    </row>
    <row r="12" spans="1:28" x14ac:dyDescent="0.35">
      <c r="A12" s="1" t="s">
        <v>17</v>
      </c>
      <c r="B12" s="1">
        <v>-0.72503860775918061</v>
      </c>
      <c r="C12" s="1">
        <f t="shared" si="0"/>
        <v>7</v>
      </c>
      <c r="J12" s="65">
        <v>1</v>
      </c>
      <c r="K12" t="s">
        <v>4</v>
      </c>
      <c r="L12" t="s">
        <v>1</v>
      </c>
      <c r="M12">
        <v>8.3000000000000007</v>
      </c>
      <c r="N12" t="s">
        <v>3</v>
      </c>
      <c r="O12" t="s">
        <v>14</v>
      </c>
      <c r="P12">
        <f t="shared" si="1"/>
        <v>10.577104875574113</v>
      </c>
      <c r="Q12">
        <f t="shared" si="2"/>
        <v>5.1852066143633939</v>
      </c>
      <c r="R12" s="67" t="e" cm="1">
        <f t="array" ref="R12">SUMPRODUCT((J12=$J$7:$J$1000)*(P12&lt;$P$7:$P$1000))+1</f>
        <v>#N/A</v>
      </c>
      <c r="S12" s="72"/>
      <c r="T12">
        <v>13</v>
      </c>
      <c r="U12" t="str">
        <v>CHI</v>
      </c>
      <c r="V12" t="str">
        <v>Noah Flesch</v>
      </c>
      <c r="W12" t="str">
        <v>NULL</v>
      </c>
      <c r="X12" t="str">
        <v>Away</v>
      </c>
      <c r="Y12" t="str">
        <v>NEFJ</v>
      </c>
      <c r="Z12">
        <v>8.6746945669129545</v>
      </c>
      <c r="AA12" s="1" t="str">
        <v>Dan Kriel</v>
      </c>
      <c r="AB12" s="1" cm="1">
        <f t="array" ref="AB12">COUNT(_xlfn._xlws.FILTER($J$7:$J$10000,($L$7:$L$10000=AA12)*($M$7:$M$10000&lt;&gt;"NULL")*($J$7:$J$10000 &gt;= ($G$1-5))))/5</f>
        <v>1.2</v>
      </c>
    </row>
    <row r="13" spans="1:28" x14ac:dyDescent="0.35">
      <c r="A13" s="1" t="s">
        <v>4</v>
      </c>
      <c r="B13" s="1">
        <v>-0.77023645971126153</v>
      </c>
      <c r="C13" s="1">
        <f t="shared" si="0"/>
        <v>8</v>
      </c>
      <c r="J13" s="65">
        <v>1</v>
      </c>
      <c r="K13" t="s">
        <v>34</v>
      </c>
      <c r="L13" t="s">
        <v>52</v>
      </c>
      <c r="M13">
        <v>8.3000000000000007</v>
      </c>
      <c r="N13" t="s">
        <v>3</v>
      </c>
      <c r="O13" t="s">
        <v>17</v>
      </c>
      <c r="P13">
        <f t="shared" si="1"/>
        <v>5.6726076233902747</v>
      </c>
      <c r="Q13">
        <f t="shared" si="2"/>
        <v>6.9031907006669044</v>
      </c>
      <c r="R13" s="67" t="e" cm="1">
        <f t="array" ref="R13">SUMPRODUCT((J13=$J$7:$J$1000)*(P13&lt;$P$7:$P$1000))+1</f>
        <v>#N/A</v>
      </c>
      <c r="S13" s="72"/>
      <c r="T13">
        <v>13</v>
      </c>
      <c r="U13" t="str">
        <v>CHI</v>
      </c>
      <c r="V13" t="str">
        <v>Ollie Devoto</v>
      </c>
      <c r="W13" t="str">
        <v>NULL</v>
      </c>
      <c r="X13" t="str">
        <v>Away</v>
      </c>
      <c r="Y13" t="str">
        <v>NEFJ</v>
      </c>
      <c r="Z13">
        <v>8.5870928771299422</v>
      </c>
      <c r="AA13" s="1" t="str">
        <v>D'Angelo Leuila</v>
      </c>
      <c r="AB13" s="1" cm="1">
        <f t="array" ref="AB13">COUNT(_xlfn._xlws.FILTER($J$7:$J$10000,($L$7:$L$10000=AA13)*($M$7:$M$10000&lt;&gt;"NULL")*($J$7:$J$10000 &gt;= ($G$1-5))))/5</f>
        <v>0.8</v>
      </c>
    </row>
    <row r="14" spans="1:28" x14ac:dyDescent="0.35">
      <c r="A14" s="1" t="s">
        <v>2</v>
      </c>
      <c r="B14" s="1">
        <v>-0.82171945350871778</v>
      </c>
      <c r="C14" s="1">
        <f t="shared" si="0"/>
        <v>9</v>
      </c>
      <c r="J14" s="65">
        <v>1</v>
      </c>
      <c r="K14" t="s">
        <v>34</v>
      </c>
      <c r="L14" t="s">
        <v>39</v>
      </c>
      <c r="M14">
        <v>8</v>
      </c>
      <c r="N14" t="s">
        <v>3</v>
      </c>
      <c r="O14" t="s">
        <v>17</v>
      </c>
      <c r="P14">
        <f t="shared" si="1"/>
        <v>3.3198349613724556</v>
      </c>
      <c r="Q14">
        <f t="shared" si="2"/>
        <v>21.903944788791563</v>
      </c>
      <c r="R14" s="67" t="e" cm="1">
        <f t="array" ref="R14">SUMPRODUCT((J14=$J$7:$J$1000)*(P14&lt;$P$7:$P$1000))+1</f>
        <v>#N/A</v>
      </c>
      <c r="S14" s="72"/>
      <c r="T14">
        <v>13</v>
      </c>
      <c r="U14" t="str">
        <v>HOU</v>
      </c>
      <c r="V14" t="str">
        <v>Dom Akina</v>
      </c>
      <c r="W14" t="str">
        <v>NULL</v>
      </c>
      <c r="X14" t="str">
        <v>Away</v>
      </c>
      <c r="Y14" t="str">
        <v>SDL</v>
      </c>
      <c r="Z14">
        <v>9.5431586647129691</v>
      </c>
      <c r="AA14" s="1" t="str">
        <v>Divan Rossouw</v>
      </c>
      <c r="AB14" s="1" cm="1">
        <f t="array" ref="AB14">COUNT(_xlfn._xlws.FILTER($J$7:$J$10000,($L$7:$L$10000=AA14)*($M$7:$M$10000&lt;&gt;"NULL")*($J$7:$J$10000 &gt;= ($G$1-5))))/5</f>
        <v>0.8</v>
      </c>
    </row>
    <row r="15" spans="1:28" x14ac:dyDescent="0.35">
      <c r="A15" s="1" t="s">
        <v>24</v>
      </c>
      <c r="B15" s="1">
        <v>-0.88888474069043999</v>
      </c>
      <c r="C15" s="1">
        <f t="shared" si="0"/>
        <v>10</v>
      </c>
      <c r="J15" s="65">
        <v>1</v>
      </c>
      <c r="K15" t="s">
        <v>2</v>
      </c>
      <c r="L15" t="s">
        <v>449</v>
      </c>
      <c r="M15">
        <v>7.7</v>
      </c>
      <c r="N15" t="s">
        <v>9</v>
      </c>
      <c r="O15" t="s">
        <v>36</v>
      </c>
      <c r="P15">
        <f t="shared" si="1"/>
        <v>8.3661264575191012</v>
      </c>
      <c r="Q15">
        <f t="shared" si="2"/>
        <v>0.44372445740694672</v>
      </c>
      <c r="R15" s="67" t="e" cm="1">
        <f t="array" ref="R15">SUMPRODUCT((J15=$J$7:$J$1000)*(P15&lt;$P$7:$P$1000))+1</f>
        <v>#N/A</v>
      </c>
      <c r="S15" s="72"/>
      <c r="T15">
        <v>13</v>
      </c>
      <c r="U15" t="str">
        <v>HOU</v>
      </c>
      <c r="V15" t="str">
        <v>Louritz van der Schyff</v>
      </c>
      <c r="W15" t="str">
        <v>NULL</v>
      </c>
      <c r="X15" t="str">
        <v>Away</v>
      </c>
      <c r="Y15" t="str">
        <v>SDL</v>
      </c>
      <c r="Z15">
        <v>3.1835281306861805</v>
      </c>
      <c r="AA15" s="1" t="str">
        <v>Dom Akina</v>
      </c>
      <c r="AB15" s="1" cm="1">
        <f t="array" ref="AB15">COUNT(_xlfn._xlws.FILTER($J$7:$J$10000,($L$7:$L$10000=AA15)*($M$7:$M$10000&lt;&gt;"NULL")*($J$7:$J$10000 &gt;= ($G$1-5))))/5</f>
        <v>0.8</v>
      </c>
    </row>
    <row r="16" spans="1:28" x14ac:dyDescent="0.35">
      <c r="A16" s="1" t="s">
        <v>13</v>
      </c>
      <c r="B16" s="1">
        <v>-2.8066964454645964</v>
      </c>
      <c r="C16" s="1">
        <f t="shared" si="0"/>
        <v>11</v>
      </c>
      <c r="D16" s="3"/>
      <c r="J16" s="65">
        <v>1</v>
      </c>
      <c r="K16" t="s">
        <v>17</v>
      </c>
      <c r="L16" t="s">
        <v>450</v>
      </c>
      <c r="M16">
        <v>7.6</v>
      </c>
      <c r="N16" t="s">
        <v>9</v>
      </c>
      <c r="O16" t="s">
        <v>34</v>
      </c>
      <c r="P16">
        <f t="shared" si="1"/>
        <v>4.5963292366479864</v>
      </c>
      <c r="Q16">
        <f t="shared" si="2"/>
        <v>9.0220380546156651</v>
      </c>
      <c r="R16" s="67" t="e" cm="1">
        <f t="array" ref="R16">SUMPRODUCT((J16=$J$7:$J$1000)*(P16&lt;$P$7:$P$1000))+1</f>
        <v>#N/A</v>
      </c>
      <c r="S16" s="72"/>
      <c r="T16">
        <v>13</v>
      </c>
      <c r="U16" t="str">
        <v>HOU</v>
      </c>
      <c r="V16" t="str">
        <v>Sam Hill</v>
      </c>
      <c r="W16" t="str">
        <v>NULL</v>
      </c>
      <c r="X16" t="str">
        <v>Away</v>
      </c>
      <c r="Y16" t="str">
        <v>SDL</v>
      </c>
      <c r="Z16">
        <v>2.1195943480567614</v>
      </c>
      <c r="AA16" s="1" t="str">
        <v>Eddie Fouche</v>
      </c>
      <c r="AB16" s="1" cm="1">
        <f t="array" ref="AB16">COUNT(_xlfn._xlws.FILTER($J$7:$J$10000,($L$7:$L$10000=AA16)*($M$7:$M$10000&lt;&gt;"NULL")*($J$7:$J$10000 &gt;= ($G$1-5))))/5</f>
        <v>0.2</v>
      </c>
    </row>
    <row r="17" spans="1:28" x14ac:dyDescent="0.35">
      <c r="J17" s="65">
        <v>1</v>
      </c>
      <c r="K17" t="s">
        <v>23</v>
      </c>
      <c r="L17" t="s">
        <v>32</v>
      </c>
      <c r="M17">
        <v>7.4</v>
      </c>
      <c r="N17" t="s">
        <v>9</v>
      </c>
      <c r="O17" t="s">
        <v>6</v>
      </c>
      <c r="P17">
        <f t="shared" si="1"/>
        <v>12.261236236064512</v>
      </c>
      <c r="Q17">
        <f t="shared" si="2"/>
        <v>23.631617742826663</v>
      </c>
      <c r="R17" s="67" t="e" cm="1">
        <f t="array" ref="R17">SUMPRODUCT((J17=$J$7:$J$1000)*(P17&lt;$P$7:$P$1000))+1</f>
        <v>#N/A</v>
      </c>
      <c r="S17" s="72"/>
      <c r="T17">
        <v>13</v>
      </c>
      <c r="U17" t="str">
        <v>HOU</v>
      </c>
      <c r="V17" t="str">
        <v>Tautalatasi Tasi</v>
      </c>
      <c r="W17" t="str">
        <v>NULL</v>
      </c>
      <c r="X17" t="str">
        <v>Away</v>
      </c>
      <c r="Y17" t="str">
        <v>SDL</v>
      </c>
      <c r="Z17">
        <v>8.4285807697009592</v>
      </c>
      <c r="AA17" s="1" t="str">
        <v>EJ Freeman</v>
      </c>
      <c r="AB17" s="1" cm="1">
        <f t="array" ref="AB17">COUNT(_xlfn._xlws.FILTER($J$7:$J$10000,($L$7:$L$10000=AA17)*($M$7:$M$10000&lt;&gt;"NULL")*($J$7:$J$10000 &gt;= ($G$1-5))))/5</f>
        <v>0.4</v>
      </c>
    </row>
    <row r="18" spans="1:28" x14ac:dyDescent="0.35">
      <c r="J18" s="65">
        <v>1</v>
      </c>
      <c r="K18" t="s">
        <v>14</v>
      </c>
      <c r="L18" t="s">
        <v>448</v>
      </c>
      <c r="M18">
        <v>7.2</v>
      </c>
      <c r="N18" t="s">
        <v>9</v>
      </c>
      <c r="O18" t="s">
        <v>4</v>
      </c>
      <c r="P18">
        <f t="shared" si="1"/>
        <v>6.9933002692639974</v>
      </c>
      <c r="Q18">
        <f t="shared" si="2"/>
        <v>4.2724778686336055E-2</v>
      </c>
      <c r="R18" s="67" t="e" cm="1">
        <f t="array" ref="R18">SUMPRODUCT((J18=$J$7:$J$1000)*(P18&lt;$P$7:$P$1000))+1</f>
        <v>#N/A</v>
      </c>
      <c r="S18" s="72"/>
      <c r="T18">
        <v>13</v>
      </c>
      <c r="U18" t="str">
        <v>LA</v>
      </c>
      <c r="V18" t="str">
        <v>Billy Meakes</v>
      </c>
      <c r="W18" t="str">
        <v>NULL</v>
      </c>
      <c r="X18" t="str">
        <v>Home</v>
      </c>
      <c r="Y18" t="str">
        <v>ARC</v>
      </c>
      <c r="Z18">
        <v>13.757729265362075</v>
      </c>
      <c r="AA18" s="1" t="str">
        <v>Erich Storti</v>
      </c>
      <c r="AB18" s="1" cm="1">
        <f t="array" ref="AB18">COUNT(_xlfn._xlws.FILTER($J$7:$J$10000,($L$7:$L$10000=AA18)*($M$7:$M$10000&lt;&gt;"NULL")*($J$7:$J$10000 &gt;= ($G$1-5))))/5</f>
        <v>1</v>
      </c>
    </row>
    <row r="19" spans="1:28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1</v>
      </c>
      <c r="K19" t="s">
        <v>14</v>
      </c>
      <c r="L19" t="s">
        <v>11</v>
      </c>
      <c r="M19">
        <v>7.2</v>
      </c>
      <c r="N19" t="s">
        <v>9</v>
      </c>
      <c r="O19" t="s">
        <v>4</v>
      </c>
      <c r="P19">
        <f t="shared" si="1"/>
        <v>7.4984254246867437</v>
      </c>
      <c r="Q19">
        <f t="shared" si="2"/>
        <v>8.9057734099463215E-2</v>
      </c>
      <c r="R19" s="67" t="e" cm="1">
        <f t="array" ref="R19">SUMPRODUCT((J19=$J$7:$J$1000)*(P19&lt;$P$7:$P$1000))+1</f>
        <v>#N/A</v>
      </c>
      <c r="S19" s="72"/>
      <c r="T19">
        <v>13</v>
      </c>
      <c r="U19" t="str">
        <v>LA</v>
      </c>
      <c r="V19" t="str">
        <v>Matias Jensen</v>
      </c>
      <c r="W19" t="str">
        <v>NULL</v>
      </c>
      <c r="X19" t="str">
        <v>Home</v>
      </c>
      <c r="Y19" t="str">
        <v>ARC</v>
      </c>
      <c r="Z19">
        <v>13.615912595267002</v>
      </c>
      <c r="AA19" s="1" t="str">
        <v>Ethan Grayson</v>
      </c>
      <c r="AB19" s="1" cm="1">
        <f t="array" ref="AB19">COUNT(_xlfn._xlws.FILTER($J$7:$J$10000,($L$7:$L$10000=AA19)*($M$7:$M$10000&lt;&gt;"NULL")*($J$7:$J$10000 &gt;= ($G$1-5))))/5</f>
        <v>0.2</v>
      </c>
    </row>
    <row r="20" spans="1:28" x14ac:dyDescent="0.35">
      <c r="A20">
        <f>VLOOKUP($B20, PlayerIDs!$A$1:$B$516, 2, FALSE)</f>
        <v>860</v>
      </c>
      <c r="B20" t="s">
        <v>473</v>
      </c>
      <c r="C20" s="1">
        <v>12.401880256861935</v>
      </c>
      <c r="D20" s="1">
        <f t="shared" ref="D20:D66" si="3">RANK($C20,$C$20:$C$106)</f>
        <v>1</v>
      </c>
      <c r="E20" s="1" cm="1">
        <f t="array" ref="E20">IFERROR(VLOOKUP($B20,_xlfn._xlws.FILTER($L$7:$P$10000,$J$7:$J$10000=G$1+1),5, FALSE), 0)</f>
        <v>11.537654217148891</v>
      </c>
      <c r="F20" s="1">
        <f t="shared" ref="F20:F66" si="4">RANK(E20,$E$20:$E$72)</f>
        <v>4</v>
      </c>
      <c r="G20" s="1">
        <f t="shared" ref="G20:G66" ca="1" si="5">SUMIF(V:Z,$B20,Z:Z)</f>
        <v>49.621531945245053</v>
      </c>
      <c r="H20" s="1">
        <f t="shared" ref="H20:H66" ca="1" si="6">RANK($G20,$G$20:$G$106)</f>
        <v>2</v>
      </c>
      <c r="I20" s="1" cm="1">
        <f t="array" ref="I20">COUNT(_xlfn._xlws.FILTER($J$7:$J$10000,($L$7:$L$10000=B20)*($M$7:$M$10000&lt;&gt;"NULL")*($J$7:$J$10000 &gt;= ($G$1-4))))/5</f>
        <v>0.8</v>
      </c>
      <c r="J20" s="65">
        <v>1</v>
      </c>
      <c r="K20" t="s">
        <v>7</v>
      </c>
      <c r="L20" t="s">
        <v>447</v>
      </c>
      <c r="M20">
        <v>6.3</v>
      </c>
      <c r="N20" t="s">
        <v>9</v>
      </c>
      <c r="O20" t="s">
        <v>24</v>
      </c>
      <c r="P20">
        <f t="shared" si="1"/>
        <v>5.7188741691386955</v>
      </c>
      <c r="Q20">
        <f t="shared" si="2"/>
        <v>0.33770723129424129</v>
      </c>
      <c r="R20" s="67" t="e" cm="1">
        <f t="array" ref="R20">SUMPRODUCT((J20=$J$7:$J$1000)*(P20&lt;$P$7:$P$1000))+1</f>
        <v>#N/A</v>
      </c>
      <c r="S20" s="72"/>
      <c r="T20">
        <v>13</v>
      </c>
      <c r="U20" t="str">
        <v>LA</v>
      </c>
      <c r="V20" t="str">
        <v>Nick Chan</v>
      </c>
      <c r="W20" t="str">
        <v>NULL</v>
      </c>
      <c r="X20" t="str">
        <v>Home</v>
      </c>
      <c r="Y20" t="str">
        <v>ARC</v>
      </c>
      <c r="Z20">
        <v>11.552876658486781</v>
      </c>
      <c r="AA20" s="1" t="str">
        <v>Faletoi Peni</v>
      </c>
      <c r="AB20" s="1" cm="1">
        <f t="array" ref="AB20">COUNT(_xlfn._xlws.FILTER($J$7:$J$10000,($L$7:$L$10000=AA20)*($M$7:$M$10000&lt;&gt;"NULL")*($J$7:$J$10000 &gt;= ($G$1-5))))/5</f>
        <v>0</v>
      </c>
    </row>
    <row r="21" spans="1:28" x14ac:dyDescent="0.35">
      <c r="A21">
        <f>VLOOKUP($B21, PlayerIDs!$A$1:$B$516, 2, FALSE)</f>
        <v>34</v>
      </c>
      <c r="B21" t="s">
        <v>8</v>
      </c>
      <c r="C21" s="1">
        <v>12.024053356212997</v>
      </c>
      <c r="D21" s="1">
        <f t="shared" si="3"/>
        <v>2</v>
      </c>
      <c r="E21" s="1" cm="1">
        <f t="array" ref="E21">IFERROR(VLOOKUP($B21,_xlfn._xlws.FILTER($L$7:$P$10000,$J$7:$J$10000=G$1+1),5, FALSE), 0)</f>
        <v>13.757729265362075</v>
      </c>
      <c r="F21" s="1">
        <f t="shared" si="4"/>
        <v>1</v>
      </c>
      <c r="G21" s="1">
        <f t="shared" ca="1" si="5"/>
        <v>49.961186397534803</v>
      </c>
      <c r="H21" s="1">
        <f t="shared" ca="1" si="6"/>
        <v>1</v>
      </c>
      <c r="I21" s="1" cm="1">
        <f t="array" ref="I21">COUNT(_xlfn._xlws.FILTER($J$7:$J$10000,($L$7:$L$10000=B21)*($M$7:$M$10000&lt;&gt;"NULL")*($J$7:$J$10000 &gt;= ($G$1-4))))/5</f>
        <v>0.8</v>
      </c>
      <c r="J21" s="65">
        <v>1</v>
      </c>
      <c r="K21" t="s">
        <v>17</v>
      </c>
      <c r="L21" t="s">
        <v>16</v>
      </c>
      <c r="M21">
        <v>5.7</v>
      </c>
      <c r="N21" t="s">
        <v>9</v>
      </c>
      <c r="O21" t="s">
        <v>34</v>
      </c>
      <c r="P21">
        <f t="shared" si="1"/>
        <v>5.3707492059545094</v>
      </c>
      <c r="Q21">
        <f t="shared" si="2"/>
        <v>0.10840608537958615</v>
      </c>
      <c r="R21" s="67" t="e" cm="1">
        <f t="array" ref="R21">SUMPRODUCT((J21=$J$7:$J$1000)*(P21&lt;$P$7:$P$1000))+1</f>
        <v>#N/A</v>
      </c>
      <c r="S21" s="72"/>
      <c r="T21">
        <v>13</v>
      </c>
      <c r="U21" t="str">
        <v>MIA</v>
      </c>
      <c r="V21" t="str">
        <v>Guiseppe du Toit</v>
      </c>
      <c r="W21" t="str">
        <v>NULL</v>
      </c>
      <c r="X21" t="str">
        <v>Away</v>
      </c>
      <c r="Y21" t="str">
        <v>NOLA</v>
      </c>
      <c r="Z21">
        <v>5.5388442687443229</v>
      </c>
      <c r="AA21" s="1" t="str">
        <v>Guiseppe du Toit</v>
      </c>
      <c r="AB21" s="1" cm="1">
        <f t="array" ref="AB21">COUNT(_xlfn._xlws.FILTER($J$7:$J$10000,($L$7:$L$10000=AA21)*($M$7:$M$10000&lt;&gt;"NULL")*($J$7:$J$10000 &gt;= ($G$1-5))))/5</f>
        <v>0.4</v>
      </c>
    </row>
    <row r="22" spans="1:28" x14ac:dyDescent="0.35">
      <c r="A22">
        <f>VLOOKUP($B22, PlayerIDs!$A$1:$B$516, 2, FALSE)</f>
        <v>755</v>
      </c>
      <c r="B22" t="s">
        <v>445</v>
      </c>
      <c r="C22" s="1">
        <v>11.882236686117924</v>
      </c>
      <c r="D22" s="1">
        <f t="shared" si="3"/>
        <v>3</v>
      </c>
      <c r="E22" s="1" cm="1">
        <f t="array" ref="E22">IFERROR(VLOOKUP($B22,_xlfn._xlws.FILTER($L$7:$P$10000,$J$7:$J$10000=G$1+1),5, FALSE), 0)</f>
        <v>13.615912595267002</v>
      </c>
      <c r="F22" s="1">
        <f t="shared" si="4"/>
        <v>2</v>
      </c>
      <c r="G22" s="1">
        <f t="shared" ca="1" si="5"/>
        <v>49.393919717154503</v>
      </c>
      <c r="H22" s="1">
        <f t="shared" ca="1" si="6"/>
        <v>3</v>
      </c>
      <c r="I22" s="1" cm="1">
        <f t="array" ref="I22">COUNT(_xlfn._xlws.FILTER($J$7:$J$10000,($L$7:$L$10000=B22)*($M$7:$M$10000&lt;&gt;"NULL")*($J$7:$J$10000 &gt;= ($G$1-4))))/5</f>
        <v>0.6</v>
      </c>
      <c r="J22" s="65">
        <v>1</v>
      </c>
      <c r="K22" t="s">
        <v>4</v>
      </c>
      <c r="L22" t="s">
        <v>452</v>
      </c>
      <c r="M22">
        <v>5.3</v>
      </c>
      <c r="N22" t="s">
        <v>3</v>
      </c>
      <c r="O22" t="s">
        <v>14</v>
      </c>
      <c r="P22">
        <f t="shared" si="1"/>
        <v>9.2588349929211464</v>
      </c>
      <c r="Q22">
        <f t="shared" si="2"/>
        <v>15.672374501176975</v>
      </c>
      <c r="R22" s="67" t="e" cm="1">
        <f t="array" ref="R22">SUMPRODUCT((J22=$J$7:$J$1000)*(P22&lt;$P$7:$P$1000))+1</f>
        <v>#N/A</v>
      </c>
      <c r="S22" s="72"/>
      <c r="T22">
        <v>13</v>
      </c>
      <c r="U22" t="str">
        <v>MIA</v>
      </c>
      <c r="V22" t="str">
        <v>Matias Orlando</v>
      </c>
      <c r="W22" t="str">
        <v>NULL</v>
      </c>
      <c r="X22" t="str">
        <v>Away</v>
      </c>
      <c r="Y22" t="str">
        <v>NOLA</v>
      </c>
      <c r="Z22">
        <v>5.114673016872116</v>
      </c>
      <c r="AA22" s="1" t="str">
        <v>Isaac Te Tamaki</v>
      </c>
      <c r="AB22" s="1" cm="1">
        <f t="array" ref="AB22">COUNT(_xlfn._xlws.FILTER($J$7:$J$10000,($L$7:$L$10000=AA22)*($M$7:$M$10000&lt;&gt;"NULL")*($J$7:$J$10000 &gt;= ($G$1-5))))/5</f>
        <v>0.8</v>
      </c>
    </row>
    <row r="23" spans="1:28" x14ac:dyDescent="0.35">
      <c r="A23">
        <f>VLOOKUP($B23, PlayerIDs!$A$1:$B$516, 2, FALSE)</f>
        <v>677</v>
      </c>
      <c r="B23" t="s">
        <v>37</v>
      </c>
      <c r="C23" s="1">
        <v>11.395345455690491</v>
      </c>
      <c r="D23" s="1">
        <f t="shared" si="3"/>
        <v>4</v>
      </c>
      <c r="E23" s="1" cm="1">
        <f t="array" ref="E23">IFERROR(VLOOKUP($B23,_xlfn._xlws.FILTER($L$7:$P$10000,$J$7:$J$10000=G$1+1),5, FALSE), 0)</f>
        <v>8.7278364421797576</v>
      </c>
      <c r="F23" s="1">
        <f t="shared" si="4"/>
        <v>12</v>
      </c>
      <c r="G23" s="1">
        <f t="shared" ca="1" si="5"/>
        <v>41.955590056247928</v>
      </c>
      <c r="H23" s="1">
        <f t="shared" ca="1" si="6"/>
        <v>4</v>
      </c>
      <c r="I23" s="1" cm="1">
        <f t="array" ref="I23">COUNT(_xlfn._xlws.FILTER($J$7:$J$10000,($L$7:$L$10000=B23)*($M$7:$M$10000&lt;&gt;"NULL")*($J$7:$J$10000 &gt;= ($G$1-4))))/5</f>
        <v>0.8</v>
      </c>
      <c r="J23" s="65">
        <v>1</v>
      </c>
      <c r="K23" t="s">
        <v>24</v>
      </c>
      <c r="L23" t="s">
        <v>402</v>
      </c>
      <c r="M23">
        <v>4.5999999999999996</v>
      </c>
      <c r="N23" t="s">
        <v>3</v>
      </c>
      <c r="O23" t="s">
        <v>7</v>
      </c>
      <c r="P23">
        <f t="shared" si="1"/>
        <v>7.3092484384546799</v>
      </c>
      <c r="Q23">
        <f t="shared" si="2"/>
        <v>7.3400271012691229</v>
      </c>
      <c r="R23" s="67" t="e" cm="1">
        <f t="array" ref="R23">SUMPRODUCT((J23=$J$7:$J$1000)*(P23&lt;$P$7:$P$1000))+1</f>
        <v>#N/A</v>
      </c>
      <c r="S23" s="72"/>
      <c r="T23">
        <v>13</v>
      </c>
      <c r="U23" t="str">
        <v>MIA</v>
      </c>
      <c r="V23" t="str">
        <v>Santiago Videla</v>
      </c>
      <c r="W23" t="str">
        <v>NULL</v>
      </c>
      <c r="X23" t="str">
        <v>Away</v>
      </c>
      <c r="Y23" t="str">
        <v>NOLA</v>
      </c>
      <c r="Z23">
        <v>3.0864315563573412</v>
      </c>
      <c r="AA23" s="1" t="str">
        <v>Jason Emery</v>
      </c>
      <c r="AB23" s="1" cm="1">
        <f t="array" ref="AB23">COUNT(_xlfn._xlws.FILTER($J$7:$J$10000,($L$7:$L$10000=AA23)*($M$7:$M$10000&lt;&gt;"NULL")*($J$7:$J$10000 &gt;= ($G$1-5))))/5</f>
        <v>0</v>
      </c>
    </row>
    <row r="24" spans="1:28" x14ac:dyDescent="0.35">
      <c r="A24">
        <f>VLOOKUP($B24, PlayerIDs!$A$1:$B$516, 2, FALSE)</f>
        <v>417</v>
      </c>
      <c r="B24" t="s">
        <v>100</v>
      </c>
      <c r="C24" s="1">
        <v>11.158987493187269</v>
      </c>
      <c r="D24" s="1">
        <f t="shared" si="3"/>
        <v>5</v>
      </c>
      <c r="E24" s="1" cm="1">
        <f t="array" ref="E24">IFERROR(VLOOKUP($B24,_xlfn._xlws.FILTER($L$7:$P$10000,$J$7:$J$10000=G$1+1),5, FALSE), 0)</f>
        <v>10.656222705398218</v>
      </c>
      <c r="F24" s="1">
        <f t="shared" si="4"/>
        <v>8</v>
      </c>
      <c r="G24" s="1">
        <f t="shared" ca="1" si="5"/>
        <v>31.638649207230856</v>
      </c>
      <c r="H24" s="1">
        <f t="shared" ca="1" si="6"/>
        <v>15</v>
      </c>
      <c r="I24" s="1" cm="1">
        <f t="array" ref="I24">COUNT(_xlfn._xlws.FILTER($J$7:$J$10000,($L$7:$L$10000=B24)*($M$7:$M$10000&lt;&gt;"NULL")*($J$7:$J$10000 &gt;= ($G$1-4))))/5</f>
        <v>0</v>
      </c>
      <c r="J24" s="65">
        <v>1</v>
      </c>
      <c r="K24" t="s">
        <v>36</v>
      </c>
      <c r="L24" t="s">
        <v>48</v>
      </c>
      <c r="M24">
        <v>3.7</v>
      </c>
      <c r="N24" t="s">
        <v>3</v>
      </c>
      <c r="O24" t="s">
        <v>2</v>
      </c>
      <c r="P24">
        <f t="shared" si="1"/>
        <v>1.3324070596302258</v>
      </c>
      <c r="Q24">
        <f t="shared" si="2"/>
        <v>5.6054963312887933</v>
      </c>
      <c r="R24" s="67" t="e" cm="1">
        <f t="array" ref="R24">SUMPRODUCT((J24=$J$7:$J$1000)*(P24&lt;$P$7:$P$1000))+1</f>
        <v>#N/A</v>
      </c>
      <c r="S24" s="72"/>
      <c r="T24">
        <v>13</v>
      </c>
      <c r="U24" t="str">
        <v>MIA</v>
      </c>
      <c r="V24" t="str">
        <v>Tomás Cubilla</v>
      </c>
      <c r="W24" t="str">
        <v>NULL</v>
      </c>
      <c r="X24" t="str">
        <v>Away</v>
      </c>
      <c r="Y24" t="str">
        <v>NOLA</v>
      </c>
      <c r="Z24">
        <v>8.2709689232981951</v>
      </c>
      <c r="AA24" s="1" t="str">
        <v>John Powers</v>
      </c>
      <c r="AB24" s="1" cm="1">
        <f t="array" ref="AB24">COUNT(_xlfn._xlws.FILTER($J$7:$J$10000,($L$7:$L$10000=AA24)*($M$7:$M$10000&lt;&gt;"NULL")*($J$7:$J$10000 &gt;= ($G$1-5))))/5</f>
        <v>0.2</v>
      </c>
    </row>
    <row r="25" spans="1:28" x14ac:dyDescent="0.35">
      <c r="A25">
        <f>VLOOKUP($B25, PlayerIDs!$A$1:$B$516, 2, FALSE)</f>
        <v>616</v>
      </c>
      <c r="B25" t="s">
        <v>26</v>
      </c>
      <c r="C25" s="1">
        <v>10.360422321514168</v>
      </c>
      <c r="D25" s="1">
        <f t="shared" si="3"/>
        <v>6</v>
      </c>
      <c r="E25" s="1" cm="1">
        <f t="array" ref="E25">IFERROR(VLOOKUP($B25,_xlfn._xlws.FILTER($L$7:$P$10000,$J$7:$J$10000=G$1+1),5, FALSE), 0)</f>
        <v>0</v>
      </c>
      <c r="F25" s="1">
        <f t="shared" si="4"/>
        <v>43</v>
      </c>
      <c r="G25" s="1">
        <f t="shared" ca="1" si="5"/>
        <v>36.206800228971304</v>
      </c>
      <c r="H25" s="1">
        <f t="shared" ca="1" si="6"/>
        <v>10</v>
      </c>
      <c r="I25" s="1" cm="1">
        <f t="array" ref="I25">COUNT(_xlfn._xlws.FILTER($J$7:$J$10000,($L$7:$L$10000=B25)*($M$7:$M$10000&lt;&gt;"NULL")*($J$7:$J$10000 &gt;= ($G$1-4))))/5</f>
        <v>0.8</v>
      </c>
      <c r="J25" s="65">
        <v>1</v>
      </c>
      <c r="K25" t="s">
        <v>2</v>
      </c>
      <c r="L25" t="s">
        <v>44</v>
      </c>
      <c r="M25">
        <v>3.3</v>
      </c>
      <c r="N25" t="s">
        <v>9</v>
      </c>
      <c r="O25" t="s">
        <v>36</v>
      </c>
      <c r="P25">
        <f t="shared" si="1"/>
        <v>6.5378807619659529</v>
      </c>
      <c r="Q25">
        <f t="shared" si="2"/>
        <v>10.483871828709221</v>
      </c>
      <c r="R25" s="67" t="e" cm="1">
        <f t="array" ref="R25">SUMPRODUCT((J25=$J$7:$J$1000)*(P25&lt;$P$7:$P$1000))+1</f>
        <v>#N/A</v>
      </c>
      <c r="S25" s="72"/>
      <c r="T25">
        <v>13</v>
      </c>
      <c r="U25" t="str">
        <v>MIA</v>
      </c>
      <c r="V25" t="str">
        <v>Tomás Inciarte</v>
      </c>
      <c r="W25" t="str">
        <v>NULL</v>
      </c>
      <c r="X25" t="str">
        <v>Away</v>
      </c>
      <c r="Y25" t="str">
        <v>NOLA</v>
      </c>
      <c r="Z25">
        <v>3.259053606589756</v>
      </c>
      <c r="AA25" s="1" t="str">
        <v>JP Du Plessis</v>
      </c>
      <c r="AB25" s="1" cm="1">
        <f t="array" ref="AB25">COUNT(_xlfn._xlws.FILTER($J$7:$J$10000,($L$7:$L$10000=AA25)*($M$7:$M$10000&lt;&gt;"NULL")*($J$7:$J$10000 &gt;= ($G$1-5))))/5</f>
        <v>1</v>
      </c>
    </row>
    <row r="26" spans="1:28" x14ac:dyDescent="0.35">
      <c r="A26">
        <f>VLOOKUP($B26, PlayerIDs!$A$1:$B$516, 2, FALSE)</f>
        <v>404</v>
      </c>
      <c r="B26" t="s">
        <v>53</v>
      </c>
      <c r="C26" s="1">
        <v>10.145294600407279</v>
      </c>
      <c r="D26" s="1">
        <f t="shared" si="3"/>
        <v>7</v>
      </c>
      <c r="E26" s="1" cm="1">
        <f t="array" ref="E26">IFERROR(VLOOKUP($B26,_xlfn._xlws.FILTER($L$7:$P$10000,$J$7:$J$10000=G$1+1),5, FALSE), 0)</f>
        <v>9.2810685606942354</v>
      </c>
      <c r="F26" s="1">
        <f t="shared" si="4"/>
        <v>10</v>
      </c>
      <c r="G26" s="1">
        <f t="shared" ca="1" si="5"/>
        <v>40.595189319426424</v>
      </c>
      <c r="H26" s="1">
        <f t="shared" ca="1" si="6"/>
        <v>6</v>
      </c>
      <c r="I26" s="1" cm="1">
        <f t="array" ref="I26">COUNT(_xlfn._xlws.FILTER($J$7:$J$10000,($L$7:$L$10000=B26)*($M$7:$M$10000&lt;&gt;"NULL")*($J$7:$J$10000 &gt;= ($G$1-4))))/5</f>
        <v>0</v>
      </c>
      <c r="J26" s="65">
        <v>1</v>
      </c>
      <c r="K26" t="s">
        <v>7</v>
      </c>
      <c r="L26" t="s">
        <v>19</v>
      </c>
      <c r="M26">
        <v>2.6</v>
      </c>
      <c r="N26" t="s">
        <v>9</v>
      </c>
      <c r="O26" t="s">
        <v>24</v>
      </c>
      <c r="P26">
        <f t="shared" si="1"/>
        <v>4.2402619977865337</v>
      </c>
      <c r="Q26">
        <f t="shared" si="2"/>
        <v>2.6904594213826702</v>
      </c>
      <c r="R26" s="67" t="e" cm="1">
        <f t="array" ref="R26">SUMPRODUCT((J26=$J$7:$J$1000)*(P26&lt;$P$7:$P$1000))+1</f>
        <v>#N/A</v>
      </c>
      <c r="S26" s="72"/>
      <c r="T26">
        <v>13</v>
      </c>
      <c r="U26" t="str">
        <v>NEFJ</v>
      </c>
      <c r="V26" t="str">
        <v>Ben LeSage</v>
      </c>
      <c r="W26" t="str">
        <v>NULL</v>
      </c>
      <c r="X26" t="str">
        <v>Home</v>
      </c>
      <c r="Y26" t="str">
        <v>CHI</v>
      </c>
      <c r="Z26">
        <v>2.7186679515658811</v>
      </c>
      <c r="AA26" s="1" t="str">
        <v>Junior Gafa</v>
      </c>
      <c r="AB26" s="1" cm="1">
        <f t="array" ref="AB26">COUNT(_xlfn._xlws.FILTER($J$7:$J$10000,($L$7:$L$10000=AA26)*($M$7:$M$10000&lt;&gt;"NULL")*($J$7:$J$10000 &gt;= ($G$1-5))))/5</f>
        <v>0.4</v>
      </c>
    </row>
    <row r="27" spans="1:28" x14ac:dyDescent="0.35">
      <c r="A27">
        <f>VLOOKUP($B27, PlayerIDs!$A$1:$B$516, 2, FALSE)</f>
        <v>754</v>
      </c>
      <c r="B27" t="s">
        <v>451</v>
      </c>
      <c r="C27" s="1">
        <v>9.8192007493377034</v>
      </c>
      <c r="D27" s="1">
        <f t="shared" si="3"/>
        <v>8</v>
      </c>
      <c r="E27" s="1" cm="1">
        <f t="array" ref="E27">IFERROR(VLOOKUP($B27,_xlfn._xlws.FILTER($L$7:$P$10000,$J$7:$J$10000=G$1+1),5, FALSE), 0)</f>
        <v>11.552876658486781</v>
      </c>
      <c r="F27" s="1">
        <f t="shared" si="4"/>
        <v>3</v>
      </c>
      <c r="G27" s="1">
        <f t="shared" ca="1" si="5"/>
        <v>41.141775970033621</v>
      </c>
      <c r="H27" s="1">
        <f t="shared" ca="1" si="6"/>
        <v>5</v>
      </c>
      <c r="I27" s="1" cm="1">
        <f t="array" ref="I27">COUNT(_xlfn._xlws.FILTER($J$7:$J$10000,($L$7:$L$10000=B27)*($M$7:$M$10000&lt;&gt;"NULL")*($J$7:$J$10000 &gt;= ($G$1-4))))/5</f>
        <v>0.6</v>
      </c>
      <c r="J27" s="65">
        <v>2</v>
      </c>
      <c r="K27" t="s">
        <v>36</v>
      </c>
      <c r="L27" t="s">
        <v>38</v>
      </c>
      <c r="M27">
        <v>23.6</v>
      </c>
      <c r="N27" t="s">
        <v>9</v>
      </c>
      <c r="O27" t="s">
        <v>6</v>
      </c>
      <c r="P27">
        <f t="shared" si="1"/>
        <v>13.112159121299218</v>
      </c>
      <c r="Q27">
        <f t="shared" si="2"/>
        <v>109.99480629694722</v>
      </c>
      <c r="R27" s="67" t="e" cm="1">
        <f t="array" ref="R27">SUMPRODUCT((J27=$J$7:$J$1000)*(P27&lt;$P$7:$P$1000))+1</f>
        <v>#N/A</v>
      </c>
      <c r="S27" s="72"/>
      <c r="T27">
        <v>13</v>
      </c>
      <c r="U27" t="str">
        <v>NEFJ</v>
      </c>
      <c r="V27" t="str">
        <v>Faletoi Peni</v>
      </c>
      <c r="W27" t="str">
        <v>NULL</v>
      </c>
      <c r="X27" t="str">
        <v>Home</v>
      </c>
      <c r="Y27" t="str">
        <v>CHI</v>
      </c>
      <c r="Z27">
        <v>0.56485214887593926</v>
      </c>
      <c r="AA27" s="1" t="str">
        <v>Killian Coghlan</v>
      </c>
      <c r="AB27" s="1" cm="1">
        <f t="array" ref="AB27">COUNT(_xlfn._xlws.FILTER($J$7:$J$10000,($L$7:$L$10000=AA27)*($M$7:$M$10000&lt;&gt;"NULL")*($J$7:$J$10000 &gt;= ($G$1-5))))/5</f>
        <v>0</v>
      </c>
    </row>
    <row r="28" spans="1:28" x14ac:dyDescent="0.35">
      <c r="A28">
        <f>VLOOKUP($B28, PlayerIDs!$A$1:$B$516, 2, FALSE)</f>
        <v>116</v>
      </c>
      <c r="B28" t="s">
        <v>38</v>
      </c>
      <c r="C28" s="1">
        <v>9.716878261749013</v>
      </c>
      <c r="D28" s="1">
        <f t="shared" si="3"/>
        <v>9</v>
      </c>
      <c r="E28" s="1" cm="1">
        <f t="array" ref="E28">IFERROR(VLOOKUP($B28,_xlfn._xlws.FILTER($L$7:$P$10000,$J$7:$J$10000=G$1+1),5, FALSE), 0)</f>
        <v>9.5431586647129691</v>
      </c>
      <c r="F28" s="1">
        <f t="shared" si="4"/>
        <v>9</v>
      </c>
      <c r="G28" s="1">
        <f t="shared" ca="1" si="5"/>
        <v>25.445180134987218</v>
      </c>
      <c r="H28" s="1">
        <f t="shared" ca="1" si="6"/>
        <v>22</v>
      </c>
      <c r="I28" s="1" cm="1">
        <f t="array" ref="I28">COUNT(_xlfn._xlws.FILTER($J$7:$J$10000,($L$7:$L$10000=B28)*($M$7:$M$10000&lt;&gt;"NULL")*($J$7:$J$10000 &gt;= ($G$1-4))))/5</f>
        <v>0.6</v>
      </c>
      <c r="J28" s="65">
        <v>2</v>
      </c>
      <c r="K28" t="s">
        <v>34</v>
      </c>
      <c r="L28" t="s">
        <v>52</v>
      </c>
      <c r="M28">
        <v>15.9</v>
      </c>
      <c r="N28" t="s">
        <v>9</v>
      </c>
      <c r="O28" t="s">
        <v>14</v>
      </c>
      <c r="P28">
        <f t="shared" si="1"/>
        <v>8.5488844361601206</v>
      </c>
      <c r="Q28">
        <f t="shared" si="2"/>
        <v>54.038900032928915</v>
      </c>
      <c r="R28" s="67" t="e" cm="1">
        <f t="array" ref="R28">SUMPRODUCT((J28=$J$7:$J$1000)*(P28&lt;$P$7:$P$1000))+1</f>
        <v>#N/A</v>
      </c>
      <c r="S28" s="72"/>
      <c r="T28">
        <v>13</v>
      </c>
      <c r="U28" t="str">
        <v>NEFJ</v>
      </c>
      <c r="V28" t="str">
        <v>Killian Coghlan</v>
      </c>
      <c r="W28" t="str">
        <v>NULL</v>
      </c>
      <c r="X28" t="str">
        <v>Home</v>
      </c>
      <c r="Y28" t="str">
        <v>CHI</v>
      </c>
      <c r="Z28">
        <v>7.2214573607869115</v>
      </c>
      <c r="AA28" s="1" t="str">
        <v>Kyle Brown</v>
      </c>
      <c r="AB28" s="1" cm="1">
        <f t="array" ref="AB28">COUNT(_xlfn._xlws.FILTER($J$7:$J$10000,($L$7:$L$10000=AA28)*($M$7:$M$10000&lt;&gt;"NULL")*($J$7:$J$10000 &gt;= ($G$1-5))))/5</f>
        <v>0.6</v>
      </c>
    </row>
    <row r="29" spans="1:28" x14ac:dyDescent="0.35">
      <c r="A29">
        <f>VLOOKUP($B29, PlayerIDs!$A$1:$B$516, 2, FALSE)</f>
        <v>489</v>
      </c>
      <c r="B29" t="s">
        <v>446</v>
      </c>
      <c r="C29" s="1">
        <v>8.9020179510555941</v>
      </c>
      <c r="D29" s="1">
        <f t="shared" si="3"/>
        <v>10</v>
      </c>
      <c r="E29" s="1" cm="1">
        <f t="array" ref="E29">IFERROR(VLOOKUP($B29,_xlfn._xlws.FILTER($L$7:$P$10000,$J$7:$J$10000=G$1+1),5, FALSE), 0)</f>
        <v>8.2709689232981951</v>
      </c>
      <c r="F29" s="1">
        <f t="shared" si="4"/>
        <v>16</v>
      </c>
      <c r="G29" s="1">
        <f t="shared" ca="1" si="5"/>
        <v>37.638410806893205</v>
      </c>
      <c r="H29" s="1">
        <f t="shared" ca="1" si="6"/>
        <v>9</v>
      </c>
      <c r="I29" s="1" cm="1">
        <f t="array" ref="I29">COUNT(_xlfn._xlws.FILTER($J$7:$J$10000,($L$7:$L$10000=B29)*($M$7:$M$10000&lt;&gt;"NULL")*($J$7:$J$10000 &gt;= ($G$1-4))))/5</f>
        <v>0.6</v>
      </c>
      <c r="J29" s="65">
        <v>2</v>
      </c>
      <c r="K29" t="s">
        <v>13</v>
      </c>
      <c r="L29" t="s">
        <v>53</v>
      </c>
      <c r="M29">
        <v>14.7</v>
      </c>
      <c r="N29" t="s">
        <v>9</v>
      </c>
      <c r="O29" t="s">
        <v>2</v>
      </c>
      <c r="P29">
        <f t="shared" si="1"/>
        <v>9.4627625788524234</v>
      </c>
      <c r="Q29">
        <f t="shared" si="2"/>
        <v>27.428655805468512</v>
      </c>
      <c r="R29" s="67" t="e" cm="1">
        <f t="array" ref="R29">SUMPRODUCT((J29=$J$7:$J$1000)*(P29&lt;$P$7:$P$1000))+1</f>
        <v>#N/A</v>
      </c>
      <c r="S29" s="72"/>
      <c r="T29">
        <v>13</v>
      </c>
      <c r="U29" t="str">
        <v>NEFJ</v>
      </c>
      <c r="V29" t="str">
        <v>Le Roux Malan</v>
      </c>
      <c r="W29" t="str">
        <v>NULL</v>
      </c>
      <c r="X29" t="str">
        <v>Home</v>
      </c>
      <c r="Y29" t="str">
        <v>CHI</v>
      </c>
      <c r="Z29">
        <v>7.9050484910517271</v>
      </c>
      <c r="AA29" s="1" t="str">
        <v>Le Roux Malan</v>
      </c>
      <c r="AB29" s="1" cm="1">
        <f t="array" ref="AB29">COUNT(_xlfn._xlws.FILTER($J$7:$J$10000,($L$7:$L$10000=AA29)*($M$7:$M$10000&lt;&gt;"NULL")*($J$7:$J$10000 &gt;= ($G$1-5))))/5</f>
        <v>1</v>
      </c>
    </row>
    <row r="30" spans="1:28" x14ac:dyDescent="0.35">
      <c r="A30">
        <f>VLOOKUP($B30, PlayerIDs!$A$1:$B$516, 2, FALSE)</f>
        <v>259</v>
      </c>
      <c r="B30" t="s">
        <v>32</v>
      </c>
      <c r="C30" s="1">
        <v>8.8659553765143073</v>
      </c>
      <c r="D30" s="1">
        <f t="shared" si="3"/>
        <v>11</v>
      </c>
      <c r="E30" s="1" cm="1">
        <f t="array" ref="E30">IFERROR(VLOOKUP($B30,_xlfn._xlws.FILTER($L$7:$P$10000,$J$7:$J$10000=G$1+1),5, FALSE), 0)</f>
        <v>7.9050484910517271</v>
      </c>
      <c r="F30" s="1">
        <f t="shared" si="4"/>
        <v>17</v>
      </c>
      <c r="G30" s="1">
        <f t="shared" ca="1" si="5"/>
        <v>34.452517665970191</v>
      </c>
      <c r="H30" s="1">
        <f t="shared" ca="1" si="6"/>
        <v>11</v>
      </c>
      <c r="I30" s="1" cm="1">
        <f t="array" ref="I30">COUNT(_xlfn._xlws.FILTER($J$7:$J$10000,($L$7:$L$10000=B30)*($M$7:$M$10000&lt;&gt;"NULL")*($J$7:$J$10000 &gt;= ($G$1-4))))/5</f>
        <v>0.8</v>
      </c>
      <c r="J30" s="65">
        <v>2</v>
      </c>
      <c r="K30" t="s">
        <v>6</v>
      </c>
      <c r="L30" t="s">
        <v>8</v>
      </c>
      <c r="M30">
        <v>13.8</v>
      </c>
      <c r="N30" t="s">
        <v>3</v>
      </c>
      <c r="O30" t="s">
        <v>36</v>
      </c>
      <c r="P30">
        <f t="shared" si="1"/>
        <v>11.521288568423946</v>
      </c>
      <c r="Q30">
        <f t="shared" si="2"/>
        <v>5.1925257883953915</v>
      </c>
      <c r="R30" s="67" t="e" cm="1">
        <f t="array" ref="R30">SUMPRODUCT((J30=$J$7:$J$1000)*(P30&lt;$P$7:$P$1000))+1</f>
        <v>#N/A</v>
      </c>
      <c r="S30" s="72"/>
      <c r="T30">
        <v>13</v>
      </c>
      <c r="U30" t="str">
        <v>NEFJ</v>
      </c>
      <c r="V30" t="str">
        <v>Wayne van der Bank</v>
      </c>
      <c r="W30" t="str">
        <v>NULL</v>
      </c>
      <c r="X30" t="str">
        <v>Home</v>
      </c>
      <c r="Y30" t="str">
        <v>CHI</v>
      </c>
      <c r="Z30">
        <v>7.1639765995958848</v>
      </c>
      <c r="AA30" s="1" t="str">
        <v>Louritz van der Schyff</v>
      </c>
      <c r="AB30" s="1" cm="1">
        <f t="array" ref="AB30">COUNT(_xlfn._xlws.FILTER($J$7:$J$10000,($L$7:$L$10000=AA30)*($M$7:$M$10000&lt;&gt;"NULL")*($J$7:$J$10000 &gt;= ($G$1-5))))/5</f>
        <v>0.4</v>
      </c>
    </row>
    <row r="31" spans="1:28" x14ac:dyDescent="0.35">
      <c r="A31">
        <f>VLOOKUP($B31, PlayerIDs!$A$1:$B$516, 2, FALSE)</f>
        <v>229</v>
      </c>
      <c r="B31" t="s">
        <v>1</v>
      </c>
      <c r="C31" s="1">
        <v>8.8434289664250354</v>
      </c>
      <c r="D31" s="1">
        <f t="shared" si="3"/>
        <v>12</v>
      </c>
      <c r="E31" s="1" cm="1">
        <f t="array" ref="E31">IFERROR(VLOOKUP($B31,_xlfn._xlws.FILTER($L$7:$P$10000,$J$7:$J$10000=G$1+1),5, FALSE), 0)</f>
        <v>7.8153567937807331</v>
      </c>
      <c r="F31" s="1">
        <f t="shared" si="4"/>
        <v>18</v>
      </c>
      <c r="G31" s="1">
        <f t="shared" ca="1" si="5"/>
        <v>21.873798827657488</v>
      </c>
      <c r="H31" s="1">
        <f t="shared" ca="1" si="6"/>
        <v>29</v>
      </c>
      <c r="I31" s="1" cm="1">
        <f t="array" ref="I31">COUNT(_xlfn._xlws.FILTER($J$7:$J$10000,($L$7:$L$10000=B31)*($M$7:$M$10000&lt;&gt;"NULL")*($J$7:$J$10000 &gt;= ($G$1-4))))/5</f>
        <v>0.8</v>
      </c>
      <c r="J31" s="65">
        <v>2</v>
      </c>
      <c r="K31" t="s">
        <v>6</v>
      </c>
      <c r="L31" t="s">
        <v>451</v>
      </c>
      <c r="M31">
        <v>11.9</v>
      </c>
      <c r="N31" t="s">
        <v>3</v>
      </c>
      <c r="O31" t="s">
        <v>36</v>
      </c>
      <c r="P31">
        <f t="shared" si="1"/>
        <v>9.3164359615486525</v>
      </c>
      <c r="Q31">
        <f t="shared" si="2"/>
        <v>6.674803140779038</v>
      </c>
      <c r="R31" s="67" t="e" cm="1">
        <f t="array" ref="R31">SUMPRODUCT((J31=$J$7:$J$1000)*(P31&lt;$P$7:$P$1000))+1</f>
        <v>#N/A</v>
      </c>
      <c r="S31" s="72"/>
      <c r="T31">
        <v>13</v>
      </c>
      <c r="U31" t="str">
        <v>NOLA</v>
      </c>
      <c r="V31" t="str">
        <v>Isaac Te Tamaki</v>
      </c>
      <c r="W31" t="str">
        <v>NULL</v>
      </c>
      <c r="X31" t="str">
        <v>Home</v>
      </c>
      <c r="Y31" t="str">
        <v>MIA</v>
      </c>
      <c r="Z31">
        <v>6.4970869111277665</v>
      </c>
      <c r="AA31" s="1" t="str">
        <v>Marcel Brache</v>
      </c>
      <c r="AB31" s="1" cm="1">
        <f t="array" ref="AB31">COUNT(_xlfn._xlws.FILTER($J$7:$J$10000,($L$7:$L$10000=AA31)*($M$7:$M$10000&lt;&gt;"NULL")*($J$7:$J$10000 &gt;= ($G$1-5))))/5</f>
        <v>0.8</v>
      </c>
    </row>
    <row r="32" spans="1:28" x14ac:dyDescent="0.35">
      <c r="A32">
        <f>VLOOKUP($B32, PlayerIDs!$A$1:$B$516, 2, FALSE)</f>
        <v>784</v>
      </c>
      <c r="B32" t="s">
        <v>596</v>
      </c>
      <c r="C32" s="1">
        <v>8.6781180711834391</v>
      </c>
      <c r="D32" s="1">
        <f t="shared" si="3"/>
        <v>13</v>
      </c>
      <c r="E32" s="1" cm="1">
        <f t="array" ref="E32">IFERROR(VLOOKUP($B32,_xlfn._xlws.FILTER($L$7:$P$10000,$J$7:$J$10000=G$1+1),5, FALSE), 0)</f>
        <v>8.6746945669129545</v>
      </c>
      <c r="F32" s="1">
        <f t="shared" si="4"/>
        <v>13</v>
      </c>
      <c r="G32" s="1">
        <f t="shared" ca="1" si="5"/>
        <v>38.928581657497432</v>
      </c>
      <c r="H32" s="1">
        <f t="shared" ca="1" si="6"/>
        <v>7</v>
      </c>
      <c r="I32" s="1" cm="1">
        <f t="array" ref="I32">COUNT(_xlfn._xlws.FILTER($J$7:$J$10000,($L$7:$L$10000=B32)*($M$7:$M$10000&lt;&gt;"NULL")*($J$7:$J$10000 &gt;= ($G$1-4))))/5</f>
        <v>0.4</v>
      </c>
      <c r="J32" s="65">
        <v>2</v>
      </c>
      <c r="K32" t="s">
        <v>14</v>
      </c>
      <c r="L32" t="s">
        <v>448</v>
      </c>
      <c r="M32">
        <v>11.3</v>
      </c>
      <c r="N32" t="s">
        <v>3</v>
      </c>
      <c r="O32" t="s">
        <v>34</v>
      </c>
      <c r="P32">
        <f t="shared" si="1"/>
        <v>7.1722548360776264</v>
      </c>
      <c r="Q32">
        <f t="shared" si="2"/>
        <v>17.038280138284549</v>
      </c>
      <c r="R32" s="67" t="e" cm="1">
        <f t="array" ref="R32">SUMPRODUCT((J32=$J$7:$J$1000)*(P32&lt;$P$7:$P$1000))+1</f>
        <v>#N/A</v>
      </c>
      <c r="S32" s="72"/>
      <c r="T32">
        <v>13</v>
      </c>
      <c r="U32" t="str">
        <v>NOLA</v>
      </c>
      <c r="V32" t="str">
        <v>JP Du Plessis</v>
      </c>
      <c r="W32" t="str">
        <v>NULL</v>
      </c>
      <c r="X32" t="str">
        <v>Home</v>
      </c>
      <c r="Y32" t="str">
        <v>MIA</v>
      </c>
      <c r="Z32">
        <v>7.8153567937807331</v>
      </c>
      <c r="AA32" s="1" t="str">
        <v>Matias Jensen</v>
      </c>
      <c r="AB32" s="1" cm="1">
        <f t="array" ref="AB32">COUNT(_xlfn._xlws.FILTER($J$7:$J$10000,($L$7:$L$10000=AA32)*($M$7:$M$10000&lt;&gt;"NULL")*($J$7:$J$10000 &gt;= ($G$1-5))))/5</f>
        <v>0.8</v>
      </c>
    </row>
    <row r="33" spans="1:28" x14ac:dyDescent="0.35">
      <c r="A33">
        <f>VLOOKUP($B33, PlayerIDs!$A$1:$B$516, 2, FALSE)</f>
        <v>460</v>
      </c>
      <c r="B33" t="s">
        <v>490</v>
      </c>
      <c r="C33" s="1">
        <v>8.602300366737003</v>
      </c>
      <c r="D33" s="1">
        <f t="shared" si="3"/>
        <v>14</v>
      </c>
      <c r="E33" s="1" cm="1">
        <f t="array" ref="E33">IFERROR(VLOOKUP($B33,_xlfn._xlws.FILTER($L$7:$P$10000,$J$7:$J$10000=G$1+1),5, FALSE), 0)</f>
        <v>8.4285807697009592</v>
      </c>
      <c r="F33" s="1">
        <f t="shared" si="4"/>
        <v>15</v>
      </c>
      <c r="G33" s="1">
        <f t="shared" ca="1" si="5"/>
        <v>22.101446449951187</v>
      </c>
      <c r="H33" s="1">
        <f t="shared" ca="1" si="6"/>
        <v>28</v>
      </c>
      <c r="I33" s="1" cm="1">
        <f t="array" ref="I33">COUNT(_xlfn._xlws.FILTER($J$7:$J$10000,($L$7:$L$10000=B33)*($M$7:$M$10000&lt;&gt;"NULL")*($J$7:$J$10000 &gt;= ($G$1-4))))/5</f>
        <v>0.8</v>
      </c>
      <c r="J33" s="65">
        <v>2</v>
      </c>
      <c r="K33" t="s">
        <v>4</v>
      </c>
      <c r="L33" t="s">
        <v>452</v>
      </c>
      <c r="M33">
        <v>8.9</v>
      </c>
      <c r="N33" t="s">
        <v>9</v>
      </c>
      <c r="O33" t="s">
        <v>24</v>
      </c>
      <c r="P33">
        <f t="shared" si="1"/>
        <v>6.7754617750354917</v>
      </c>
      <c r="Q33">
        <f t="shared" si="2"/>
        <v>4.5136626693353454</v>
      </c>
      <c r="R33" s="67" t="e" cm="1">
        <f t="array" ref="R33">SUMPRODUCT((J33=$J$7:$J$1000)*(P33&lt;$P$7:$P$1000))+1</f>
        <v>#N/A</v>
      </c>
      <c r="S33" s="72"/>
      <c r="T33">
        <v>13</v>
      </c>
      <c r="U33" t="str">
        <v>NOLA</v>
      </c>
      <c r="V33" t="str">
        <v>Nikolai Foliaki</v>
      </c>
      <c r="W33" t="str">
        <v>NULL</v>
      </c>
      <c r="X33" t="str">
        <v>Home</v>
      </c>
      <c r="Y33" t="str">
        <v>MIA</v>
      </c>
      <c r="Z33">
        <v>4.2999220672151388</v>
      </c>
      <c r="AA33" s="1" t="str">
        <v>Matias Orlando</v>
      </c>
      <c r="AB33" s="1" cm="1">
        <f t="array" ref="AB33">COUNT(_xlfn._xlws.FILTER($J$7:$J$10000,($L$7:$L$10000=AA33)*($M$7:$M$10000&lt;&gt;"NULL")*($J$7:$J$10000 &gt;= ($G$1-5))))/5</f>
        <v>0.8</v>
      </c>
    </row>
    <row r="34" spans="1:28" x14ac:dyDescent="0.35">
      <c r="A34">
        <f>VLOOKUP($B34, PlayerIDs!$A$1:$B$516, 2, FALSE)</f>
        <v>783</v>
      </c>
      <c r="B34" t="s">
        <v>449</v>
      </c>
      <c r="C34" s="1">
        <v>8.5905163814004268</v>
      </c>
      <c r="D34" s="1">
        <f t="shared" si="3"/>
        <v>15</v>
      </c>
      <c r="E34" s="1" cm="1">
        <f t="array" ref="E34">IFERROR(VLOOKUP($B34,_xlfn._xlws.FILTER($L$7:$P$10000,$J$7:$J$10000=G$1+1),5, FALSE), 0)</f>
        <v>8.5870928771299422</v>
      </c>
      <c r="F34" s="1">
        <f t="shared" si="4"/>
        <v>14</v>
      </c>
      <c r="G34" s="1">
        <f t="shared" ca="1" si="5"/>
        <v>38.578174898365383</v>
      </c>
      <c r="H34" s="1">
        <f t="shared" ca="1" si="6"/>
        <v>8</v>
      </c>
      <c r="I34" s="1" cm="1">
        <f t="array" ref="I34">COUNT(_xlfn._xlws.FILTER($J$7:$J$10000,($L$7:$L$10000=B34)*($M$7:$M$10000&lt;&gt;"NULL")*($J$7:$J$10000 &gt;= ($G$1-4))))/5</f>
        <v>0.8</v>
      </c>
      <c r="J34" s="65">
        <v>2</v>
      </c>
      <c r="K34" t="s">
        <v>2</v>
      </c>
      <c r="L34" t="s">
        <v>449</v>
      </c>
      <c r="M34">
        <v>7.6</v>
      </c>
      <c r="N34" t="s">
        <v>3</v>
      </c>
      <c r="O34" t="s">
        <v>13</v>
      </c>
      <c r="P34">
        <f t="shared" si="1"/>
        <v>5.6446325039819678</v>
      </c>
      <c r="Q34">
        <f t="shared" si="2"/>
        <v>3.8234620444838279</v>
      </c>
      <c r="R34" s="67" t="e" cm="1">
        <f t="array" ref="R34">SUMPRODUCT((J34=$J$7:$J$1000)*(P34&lt;$P$7:$P$1000))+1</f>
        <v>#N/A</v>
      </c>
      <c r="S34" s="72"/>
      <c r="T34">
        <v>13</v>
      </c>
      <c r="U34" t="str">
        <v>NOLA</v>
      </c>
      <c r="V34" t="str">
        <v>Ross Depperschmidt</v>
      </c>
      <c r="W34" t="str">
        <v>NULL</v>
      </c>
      <c r="X34" t="str">
        <v>Home</v>
      </c>
      <c r="Y34" t="str">
        <v>MIA</v>
      </c>
      <c r="Z34" t="e">
        <v>#N/A</v>
      </c>
      <c r="AA34" s="1" t="str">
        <v>Mikaela Kruse</v>
      </c>
      <c r="AB34" s="1" cm="1">
        <f t="array" ref="AB34">COUNT(_xlfn._xlws.FILTER($J$7:$J$10000,($L$7:$L$10000=AA34)*($M$7:$M$10000&lt;&gt;"NULL")*($J$7:$J$10000 &gt;= ($G$1-5))))/5</f>
        <v>0.2</v>
      </c>
    </row>
    <row r="35" spans="1:28" x14ac:dyDescent="0.35">
      <c r="A35">
        <f>VLOOKUP($B35, PlayerIDs!$A$1:$B$516, 2, FALSE)</f>
        <v>761</v>
      </c>
      <c r="B35" t="s">
        <v>492</v>
      </c>
      <c r="C35" s="1">
        <v>8.4515680108366968</v>
      </c>
      <c r="D35" s="1">
        <f t="shared" si="3"/>
        <v>16</v>
      </c>
      <c r="E35" s="1" cm="1">
        <f t="array" ref="E35">IFERROR(VLOOKUP($B35,_xlfn._xlws.FILTER($L$7:$P$10000,$J$7:$J$10000=G$1+1),5, FALSE), 0)</f>
        <v>5.7840589973259631</v>
      </c>
      <c r="F35" s="1">
        <f t="shared" si="4"/>
        <v>26</v>
      </c>
      <c r="G35" s="1">
        <f t="shared" ca="1" si="5"/>
        <v>30.18048027683275</v>
      </c>
      <c r="H35" s="1">
        <f t="shared" ca="1" si="6"/>
        <v>19</v>
      </c>
      <c r="I35" s="1" cm="1">
        <f t="array" ref="I35">COUNT(_xlfn._xlws.FILTER($J$7:$J$10000,($L$7:$L$10000=B35)*($M$7:$M$10000&lt;&gt;"NULL")*($J$7:$J$10000 &gt;= ($G$1-4))))/5</f>
        <v>0.2</v>
      </c>
      <c r="J35" s="65">
        <v>2</v>
      </c>
      <c r="K35" t="s">
        <v>2</v>
      </c>
      <c r="L35" t="s">
        <v>44</v>
      </c>
      <c r="M35">
        <v>7.2</v>
      </c>
      <c r="N35" t="s">
        <v>3</v>
      </c>
      <c r="O35" t="s">
        <v>13</v>
      </c>
      <c r="P35">
        <f t="shared" si="1"/>
        <v>3.8163868084288186</v>
      </c>
      <c r="Q35">
        <f t="shared" si="2"/>
        <v>11.448838230174518</v>
      </c>
      <c r="R35" s="67" t="e" cm="1">
        <f t="array" ref="R35">SUMPRODUCT((J35=$J$7:$J$1000)*(P35&lt;$P$7:$P$1000))+1</f>
        <v>#N/A</v>
      </c>
      <c r="S35" s="72"/>
      <c r="T35">
        <v>13</v>
      </c>
      <c r="U35" t="str">
        <v>SDL</v>
      </c>
      <c r="V35" t="str">
        <v>Cassh Maluia</v>
      </c>
      <c r="W35" t="str">
        <v>NULL</v>
      </c>
      <c r="X35" t="str">
        <v>Home</v>
      </c>
      <c r="Y35" t="str">
        <v>HOU</v>
      </c>
      <c r="Z35">
        <v>7.5161137242584504</v>
      </c>
      <c r="AA35" s="1" t="str">
        <v>Nick Chan</v>
      </c>
      <c r="AB35" s="1" cm="1">
        <f t="array" ref="AB35">COUNT(_xlfn._xlws.FILTER($J$7:$J$10000,($L$7:$L$10000=AA35)*($M$7:$M$10000&lt;&gt;"NULL")*($J$7:$J$10000 &gt;= ($G$1-5))))/5</f>
        <v>0.6</v>
      </c>
    </row>
    <row r="36" spans="1:28" x14ac:dyDescent="0.35">
      <c r="A36">
        <f>VLOOKUP($B36, PlayerIDs!$A$1:$B$516, 2, FALSE)</f>
        <v>631</v>
      </c>
      <c r="B36" t="s">
        <v>498</v>
      </c>
      <c r="C36" s="1">
        <v>8.1823642462494917</v>
      </c>
      <c r="D36" s="1">
        <f t="shared" si="3"/>
        <v>17</v>
      </c>
      <c r="E36" s="1" cm="1">
        <f t="array" ref="E36">IFERROR(VLOOKUP($B36,_xlfn._xlws.FILTER($L$7:$P$10000,$J$7:$J$10000=G$1+1),5, FALSE), 0)</f>
        <v>7.2214573607869115</v>
      </c>
      <c r="F36" s="1">
        <f t="shared" si="4"/>
        <v>20</v>
      </c>
      <c r="G36" s="1">
        <f t="shared" ca="1" si="5"/>
        <v>31.718153144910932</v>
      </c>
      <c r="H36" s="1">
        <f t="shared" ca="1" si="6"/>
        <v>14</v>
      </c>
      <c r="I36" s="1" cm="1">
        <f t="array" ref="I36">COUNT(_xlfn._xlws.FILTER($J$7:$J$10000,($L$7:$L$10000=B36)*($M$7:$M$10000&lt;&gt;"NULL")*($J$7:$J$10000 &gt;= ($G$1-4))))/5</f>
        <v>0</v>
      </c>
      <c r="J36" s="65">
        <v>2</v>
      </c>
      <c r="K36" t="s">
        <v>36</v>
      </c>
      <c r="L36" t="s">
        <v>48</v>
      </c>
      <c r="M36">
        <v>6.1</v>
      </c>
      <c r="N36" t="s">
        <v>9</v>
      </c>
      <c r="O36" t="s">
        <v>6</v>
      </c>
      <c r="P36">
        <f t="shared" si="1"/>
        <v>5.6885948046430119</v>
      </c>
      <c r="Q36">
        <f t="shared" si="2"/>
        <v>0.16925423476672122</v>
      </c>
      <c r="R36" s="67" t="e" cm="1">
        <f t="array" ref="R36">SUMPRODUCT((J36=$J$7:$J$1000)*(P36&lt;$P$7:$P$1000))+1</f>
        <v>#N/A</v>
      </c>
      <c r="S36" s="72"/>
      <c r="T36">
        <v>13</v>
      </c>
      <c r="U36" t="str">
        <v>SDL</v>
      </c>
      <c r="V36" t="str">
        <v>Ethan Grayson</v>
      </c>
      <c r="W36" t="str">
        <v>NULL</v>
      </c>
      <c r="X36" t="str">
        <v>Home</v>
      </c>
      <c r="Y36" t="str">
        <v>HOU</v>
      </c>
      <c r="Z36">
        <v>5.9220782010735036</v>
      </c>
      <c r="AA36" s="1" t="str">
        <v>Nick Grigg</v>
      </c>
      <c r="AB36" s="1" cm="1">
        <f t="array" ref="AB36">COUNT(_xlfn._xlws.FILTER($J$7:$J$10000,($L$7:$L$10000=AA36)*($M$7:$M$10000&lt;&gt;"NULL")*($J$7:$J$10000 &gt;= ($G$1-5))))/5</f>
        <v>1</v>
      </c>
    </row>
    <row r="37" spans="1:28" x14ac:dyDescent="0.35">
      <c r="A37">
        <f>VLOOKUP($B37, PlayerIDs!$A$1:$B$516, 2, FALSE)</f>
        <v>540</v>
      </c>
      <c r="B37" t="s">
        <v>11</v>
      </c>
      <c r="C37" s="1">
        <v>8.1294744524441427</v>
      </c>
      <c r="D37" s="1">
        <f t="shared" si="3"/>
        <v>18</v>
      </c>
      <c r="E37" s="1" cm="1">
        <f t="array" ref="E37">IFERROR(VLOOKUP($B37,_xlfn._xlws.FILTER($L$7:$P$10000,$J$7:$J$10000=G$1+1),5, FALSE), 0)</f>
        <v>11.524755311994348</v>
      </c>
      <c r="F37" s="1">
        <f t="shared" si="4"/>
        <v>5</v>
      </c>
      <c r="G37" s="1">
        <f t="shared" ca="1" si="5"/>
        <v>33.848289164178624</v>
      </c>
      <c r="H37" s="1">
        <f t="shared" ca="1" si="6"/>
        <v>12</v>
      </c>
      <c r="I37" s="1" cm="1">
        <f t="array" ref="I37">COUNT(_xlfn._xlws.FILTER($J$7:$J$10000,($L$7:$L$10000=B37)*($M$7:$M$10000&lt;&gt;"NULL")*($J$7:$J$10000 &gt;= ($G$1-4))))/5</f>
        <v>0.2</v>
      </c>
      <c r="J37" s="65">
        <v>2</v>
      </c>
      <c r="K37" t="s">
        <v>24</v>
      </c>
      <c r="L37" t="s">
        <v>35</v>
      </c>
      <c r="M37">
        <v>5.6</v>
      </c>
      <c r="N37" t="s">
        <v>3</v>
      </c>
      <c r="O37" t="s">
        <v>4</v>
      </c>
      <c r="P37">
        <f t="shared" si="1"/>
        <v>5.2604694048365976</v>
      </c>
      <c r="Q37">
        <f t="shared" si="2"/>
        <v>0.11528102505201399</v>
      </c>
      <c r="R37" s="67" t="e" cm="1">
        <f t="array" ref="R37">SUMPRODUCT((J37=$J$7:$J$1000)*(P37&lt;$P$7:$P$1000))+1</f>
        <v>#N/A</v>
      </c>
      <c r="S37" s="72"/>
      <c r="T37">
        <v>13</v>
      </c>
      <c r="U37" t="str">
        <v>SDL</v>
      </c>
      <c r="V37" t="str">
        <v>Marcel Brache</v>
      </c>
      <c r="W37" t="str">
        <v>NULL</v>
      </c>
      <c r="X37" t="str">
        <v>Home</v>
      </c>
      <c r="Y37" t="str">
        <v>HOU</v>
      </c>
      <c r="Z37">
        <v>3.8302664907523369</v>
      </c>
      <c r="AA37" s="1" t="str">
        <v>Nikolai Foliaki</v>
      </c>
      <c r="AB37" s="1" cm="1">
        <f t="array" ref="AB37">COUNT(_xlfn._xlws.FILTER($J$7:$J$10000,($L$7:$L$10000=AA37)*($M$7:$M$10000&lt;&gt;"NULL")*($J$7:$J$10000 &gt;= ($G$1-5))))/5</f>
        <v>0.4</v>
      </c>
    </row>
    <row r="38" spans="1:28" x14ac:dyDescent="0.35">
      <c r="A38">
        <f>VLOOKUP($B38, PlayerIDs!$A$1:$B$516, 2, FALSE)</f>
        <v>443</v>
      </c>
      <c r="B38" t="s">
        <v>46</v>
      </c>
      <c r="C38" s="1">
        <v>8.124883485058465</v>
      </c>
      <c r="D38" s="1">
        <f t="shared" si="3"/>
        <v>19</v>
      </c>
      <c r="E38" s="1" cm="1">
        <f t="array" ref="E38">IFERROR(VLOOKUP($B38,_xlfn._xlws.FILTER($L$7:$P$10000,$J$7:$J$10000=G$1+1),5, FALSE), 0)</f>
        <v>7.1639765995958848</v>
      </c>
      <c r="F38" s="1">
        <f t="shared" si="4"/>
        <v>21</v>
      </c>
      <c r="G38" s="1">
        <f t="shared" ca="1" si="5"/>
        <v>31.488230100146826</v>
      </c>
      <c r="H38" s="1">
        <f t="shared" ca="1" si="6"/>
        <v>16</v>
      </c>
      <c r="I38" s="1" cm="1">
        <f t="array" ref="I38">COUNT(_xlfn._xlws.FILTER($J$7:$J$10000,($L$7:$L$10000=B38)*($M$7:$M$10000&lt;&gt;"NULL")*($J$7:$J$10000 &gt;= ($G$1-4))))/5</f>
        <v>0.2</v>
      </c>
      <c r="J38" s="65">
        <v>2</v>
      </c>
      <c r="K38" t="s">
        <v>13</v>
      </c>
      <c r="L38" t="s">
        <v>474</v>
      </c>
      <c r="M38">
        <v>5.0999999999999996</v>
      </c>
      <c r="N38" t="s">
        <v>9</v>
      </c>
      <c r="O38" t="s">
        <v>2</v>
      </c>
      <c r="P38">
        <f t="shared" si="1"/>
        <v>5.3652111743907769</v>
      </c>
      <c r="Q38">
        <f t="shared" si="2"/>
        <v>7.0336967021735253E-2</v>
      </c>
      <c r="R38" s="67" t="e" cm="1">
        <f t="array" ref="R38">SUMPRODUCT((J38=$J$7:$J$1000)*(P38&lt;$P$7:$P$1000))+1</f>
        <v>#N/A</v>
      </c>
      <c r="S38" s="72"/>
      <c r="T38">
        <v>13</v>
      </c>
      <c r="U38" t="str">
        <v>SDL</v>
      </c>
      <c r="V38" t="str">
        <v>Tavite Lopeti</v>
      </c>
      <c r="W38" t="str">
        <v>NULL</v>
      </c>
      <c r="X38" t="str">
        <v>Home</v>
      </c>
      <c r="Y38" t="str">
        <v>HOU</v>
      </c>
      <c r="Z38">
        <v>6.0340688753142677</v>
      </c>
      <c r="AA38" s="1" t="str">
        <v>Noah Flesch</v>
      </c>
      <c r="AB38" s="1" cm="1">
        <f t="array" ref="AB38">COUNT(_xlfn._xlws.FILTER($J$7:$J$10000,($L$7:$L$10000=AA38)*($M$7:$M$10000&lt;&gt;"NULL")*($J$7:$J$10000 &gt;= ($G$1-5))))/5</f>
        <v>0.4</v>
      </c>
    </row>
    <row r="39" spans="1:28" x14ac:dyDescent="0.35">
      <c r="A39">
        <f>VLOOKUP($B39, PlayerIDs!$A$1:$B$516, 2, FALSE)</f>
        <v>556</v>
      </c>
      <c r="B39" t="s">
        <v>546</v>
      </c>
      <c r="C39" s="1">
        <v>8.0188785120475004</v>
      </c>
      <c r="D39" s="1">
        <f t="shared" si="3"/>
        <v>20</v>
      </c>
      <c r="E39" s="1" cm="1">
        <f t="array" ref="E39">IFERROR(VLOOKUP($B39,_xlfn._xlws.FILTER($L$7:$P$10000,$J$7:$J$10000=G$1+1),5, FALSE), 0)</f>
        <v>7.5161137242584504</v>
      </c>
      <c r="F39" s="1">
        <f t="shared" si="4"/>
        <v>19</v>
      </c>
      <c r="G39" s="1">
        <f t="shared" ca="1" si="5"/>
        <v>22.218322263811558</v>
      </c>
      <c r="H39" s="1">
        <f t="shared" ca="1" si="6"/>
        <v>27</v>
      </c>
      <c r="I39" s="1" cm="1">
        <f t="array" ref="I39">COUNT(_xlfn._xlws.FILTER($J$7:$J$10000,($L$7:$L$10000=B39)*($M$7:$M$10000&lt;&gt;"NULL")*($J$7:$J$10000 &gt;= ($G$1-4))))/5</f>
        <v>0.6</v>
      </c>
      <c r="J39" s="65">
        <v>2</v>
      </c>
      <c r="K39" t="s">
        <v>34</v>
      </c>
      <c r="L39" t="s">
        <v>51</v>
      </c>
      <c r="M39">
        <v>4.7</v>
      </c>
      <c r="N39" t="s">
        <v>9</v>
      </c>
      <c r="O39" t="s">
        <v>14</v>
      </c>
      <c r="P39">
        <f t="shared" si="1"/>
        <v>6.3450820515981894</v>
      </c>
      <c r="Q39">
        <f t="shared" si="2"/>
        <v>2.7062949564905074</v>
      </c>
      <c r="R39" s="67" t="e" cm="1">
        <f t="array" ref="R39">SUMPRODUCT((J39=$J$7:$J$1000)*(P39&lt;$P$7:$P$1000))+1</f>
        <v>#N/A</v>
      </c>
      <c r="S39" s="72"/>
      <c r="T39">
        <v>13</v>
      </c>
      <c r="U39" t="str">
        <v>SDL</v>
      </c>
      <c r="V39" t="str">
        <v>Tiaan Loots</v>
      </c>
      <c r="W39" t="str">
        <v>NULL</v>
      </c>
      <c r="X39" t="str">
        <v>Home</v>
      </c>
      <c r="Y39" t="str">
        <v>HOU</v>
      </c>
      <c r="Z39">
        <v>3.6812962132964482</v>
      </c>
      <c r="AA39" s="1" t="str">
        <v>Ollie Devoto</v>
      </c>
      <c r="AB39" s="1" cm="1">
        <f t="array" ref="AB39">COUNT(_xlfn._xlws.FILTER($J$7:$J$10000,($L$7:$L$10000=AA39)*($M$7:$M$10000&lt;&gt;"NULL")*($J$7:$J$10000 &gt;= ($G$1-5))))/5</f>
        <v>1</v>
      </c>
    </row>
    <row r="40" spans="1:28" x14ac:dyDescent="0.35">
      <c r="A40">
        <f>VLOOKUP($B40, PlayerIDs!$A$1:$B$516, 2, FALSE)</f>
        <v>648</v>
      </c>
      <c r="B40" t="s">
        <v>45</v>
      </c>
      <c r="C40" s="1">
        <v>7.9289667516049169</v>
      </c>
      <c r="D40" s="1">
        <f t="shared" si="3"/>
        <v>21</v>
      </c>
      <c r="E40" s="1" cm="1">
        <f t="array" ref="E40">IFERROR(VLOOKUP($B40,_xlfn._xlws.FILTER($L$7:$P$10000,$J$7:$J$10000=G$1+1),5, FALSE), 0)</f>
        <v>0</v>
      </c>
      <c r="F40" s="1">
        <f t="shared" si="4"/>
        <v>43</v>
      </c>
      <c r="G40" s="1">
        <f t="shared" ca="1" si="5"/>
        <v>28.912433519243546</v>
      </c>
      <c r="H40" s="1">
        <f t="shared" ca="1" si="6"/>
        <v>20</v>
      </c>
      <c r="I40" s="1" cm="1">
        <f t="array" ref="I40">COUNT(_xlfn._xlws.FILTER($J$7:$J$10000,($L$7:$L$10000=B40)*($M$7:$M$10000&lt;&gt;"NULL")*($J$7:$J$10000 &gt;= ($G$1-4))))/5</f>
        <v>0.2</v>
      </c>
      <c r="J40" s="65">
        <v>2</v>
      </c>
      <c r="K40" t="s">
        <v>14</v>
      </c>
      <c r="L40" t="s">
        <v>11</v>
      </c>
      <c r="M40">
        <v>4</v>
      </c>
      <c r="N40" t="s">
        <v>3</v>
      </c>
      <c r="O40" t="s">
        <v>34</v>
      </c>
      <c r="P40">
        <f t="shared" si="1"/>
        <v>7.6773799915003726</v>
      </c>
      <c r="Q40">
        <f t="shared" si="2"/>
        <v>13.523123601887281</v>
      </c>
      <c r="R40" s="67" t="e" cm="1">
        <f t="array" ref="R40">SUMPRODUCT((J40=$J$7:$J$1000)*(P40&lt;$P$7:$P$1000))+1</f>
        <v>#N/A</v>
      </c>
      <c r="S40" s="72"/>
      <c r="T40">
        <v>13</v>
      </c>
      <c r="U40" t="str">
        <v>SDL</v>
      </c>
      <c r="V40" t="str">
        <v>Tomas Aoake</v>
      </c>
      <c r="W40" t="str">
        <v>NULL</v>
      </c>
      <c r="X40" t="str">
        <v>Home</v>
      </c>
      <c r="Y40" t="str">
        <v>HOU</v>
      </c>
      <c r="Z40">
        <v>10.656222705398218</v>
      </c>
      <c r="AA40" s="1" t="str">
        <v>Rodney Iona</v>
      </c>
      <c r="AB40" s="1" cm="1">
        <f t="array" ref="AB40">COUNT(_xlfn._xlws.FILTER($J$7:$J$10000,($L$7:$L$10000=AA40)*($M$7:$M$10000&lt;&gt;"NULL")*($J$7:$J$10000 &gt;= ($G$1-5))))/5</f>
        <v>0</v>
      </c>
    </row>
    <row r="41" spans="1:28" x14ac:dyDescent="0.35">
      <c r="A41">
        <f>VLOOKUP($B41, PlayerIDs!$A$1:$B$516, 2, FALSE)</f>
        <v>833</v>
      </c>
      <c r="B41" t="s">
        <v>448</v>
      </c>
      <c r="C41" s="1">
        <v>7.6243492970213964</v>
      </c>
      <c r="D41" s="1">
        <f t="shared" si="3"/>
        <v>22</v>
      </c>
      <c r="E41" s="1" cm="1">
        <f t="array" ref="E41">IFERROR(VLOOKUP($B41,_xlfn._xlws.FILTER($L$7:$P$10000,$J$7:$J$10000=G$1+1),5, FALSE), 0)</f>
        <v>11.019630156571601</v>
      </c>
      <c r="F41" s="1">
        <f t="shared" si="4"/>
        <v>6</v>
      </c>
      <c r="G41" s="1">
        <f t="shared" ca="1" si="5"/>
        <v>31.827788542487639</v>
      </c>
      <c r="H41" s="1">
        <f t="shared" ca="1" si="6"/>
        <v>13</v>
      </c>
      <c r="I41" s="1" cm="1">
        <f t="array" ref="I41">COUNT(_xlfn._xlws.FILTER($J$7:$J$10000,($L$7:$L$10000=B41)*($M$7:$M$10000&lt;&gt;"NULL")*($J$7:$J$10000 &gt;= ($G$1-4))))/5</f>
        <v>0.8</v>
      </c>
      <c r="J41" s="65">
        <v>2</v>
      </c>
      <c r="K41" t="s">
        <v>24</v>
      </c>
      <c r="L41" t="s">
        <v>96</v>
      </c>
      <c r="M41">
        <v>2.8</v>
      </c>
      <c r="N41" t="s">
        <v>3</v>
      </c>
      <c r="O41" t="s">
        <v>4</v>
      </c>
      <c r="P41">
        <f t="shared" si="1"/>
        <v>2.808056692449616</v>
      </c>
      <c r="Q41">
        <f t="shared" si="2"/>
        <v>6.491029322770194E-5</v>
      </c>
      <c r="R41" s="67" t="e" cm="1">
        <f t="array" ref="R41">SUMPRODUCT((J41=$J$7:$J$1000)*(P41&lt;$P$7:$P$1000))+1</f>
        <v>#N/A</v>
      </c>
      <c r="S41" s="72"/>
      <c r="T41">
        <v>13</v>
      </c>
      <c r="U41" t="str">
        <v>SEA</v>
      </c>
      <c r="V41" t="str">
        <v>Dan Kriel</v>
      </c>
      <c r="W41" t="str">
        <v>NULL</v>
      </c>
      <c r="X41" t="str">
        <v>Away</v>
      </c>
      <c r="Y41" t="str">
        <v>UTAH</v>
      </c>
      <c r="Z41">
        <v>2.8769597894798205</v>
      </c>
      <c r="AA41" s="1" t="str">
        <v>Ross Depperschmidt</v>
      </c>
      <c r="AB41" s="1" cm="1">
        <f t="array" ref="AB41">COUNT(_xlfn._xlws.FILTER($J$7:$J$10000,($L$7:$L$10000=AA41)*($M$7:$M$10000&lt;&gt;"NULL")*($J$7:$J$10000 &gt;= ($G$1-5))))/5</f>
        <v>0.2</v>
      </c>
    </row>
    <row r="42" spans="1:28" x14ac:dyDescent="0.35">
      <c r="A42">
        <f>VLOOKUP($B42, PlayerIDs!$A$1:$B$516, 2, FALSE)</f>
        <v>771</v>
      </c>
      <c r="B42" t="s">
        <v>452</v>
      </c>
      <c r="C42" s="1">
        <v>7.5251590837720688</v>
      </c>
      <c r="D42" s="1">
        <f t="shared" si="3"/>
        <v>23</v>
      </c>
      <c r="E42" s="1" cm="1">
        <f t="array" ref="E42">IFERROR(VLOOKUP($B42,_xlfn._xlws.FILTER($L$7:$P$10000,$J$7:$J$10000=G$1+1),5, FALSE), 0)</f>
        <v>6.4970869111277665</v>
      </c>
      <c r="F42" s="1">
        <f t="shared" si="4"/>
        <v>23</v>
      </c>
      <c r="G42" s="1">
        <f t="shared" ca="1" si="5"/>
        <v>17.918989179698592</v>
      </c>
      <c r="H42" s="1">
        <f t="shared" ca="1" si="6"/>
        <v>34</v>
      </c>
      <c r="I42" s="1" cm="1">
        <f t="array" ref="I42">COUNT(_xlfn._xlws.FILTER($J$7:$J$10000,($L$7:$L$10000=B42)*($M$7:$M$10000&lt;&gt;"NULL")*($J$7:$J$10000 &gt;= ($G$1-4))))/5</f>
        <v>0.6</v>
      </c>
      <c r="J42" s="65">
        <v>2</v>
      </c>
      <c r="K42" t="s">
        <v>4</v>
      </c>
      <c r="L42" t="s">
        <v>475</v>
      </c>
      <c r="M42">
        <v>2</v>
      </c>
      <c r="N42" t="s">
        <v>9</v>
      </c>
      <c r="O42" t="s">
        <v>24</v>
      </c>
      <c r="P42">
        <f t="shared" si="1"/>
        <v>4.5782969311228641</v>
      </c>
      <c r="Q42">
        <f t="shared" si="2"/>
        <v>6.6476150650375789</v>
      </c>
      <c r="R42" s="67" t="e" cm="1">
        <f t="array" ref="R42">SUMPRODUCT((J42=$J$7:$J$1000)*(P42&lt;$P$7:$P$1000))+1</f>
        <v>#N/A</v>
      </c>
      <c r="S42" s="72"/>
      <c r="T42">
        <v>13</v>
      </c>
      <c r="U42" t="str">
        <v>SEA</v>
      </c>
      <c r="V42" t="str">
        <v>Divan Rossouw</v>
      </c>
      <c r="W42" t="str">
        <v>NULL</v>
      </c>
      <c r="X42" t="str">
        <v>Away</v>
      </c>
      <c r="Y42" t="str">
        <v>UTAH</v>
      </c>
      <c r="Z42">
        <v>8.7278364421797576</v>
      </c>
      <c r="AA42" s="1" t="str">
        <v>Sam Hill</v>
      </c>
      <c r="AB42" s="1" cm="1">
        <f t="array" ref="AB42">COUNT(_xlfn._xlws.FILTER($J$7:$J$10000,($L$7:$L$10000=AA42)*($M$7:$M$10000&lt;&gt;"NULL")*($J$7:$J$10000 &gt;= ($G$1-5))))/5</f>
        <v>0.2</v>
      </c>
    </row>
    <row r="43" spans="1:28" x14ac:dyDescent="0.35">
      <c r="A43">
        <f>VLOOKUP($B43, PlayerIDs!$A$1:$B$516, 2, FALSE)</f>
        <v>834</v>
      </c>
      <c r="B43" t="s">
        <v>534</v>
      </c>
      <c r="C43" s="1">
        <v>7.3632161655270822</v>
      </c>
      <c r="D43" s="1">
        <f t="shared" si="3"/>
        <v>24</v>
      </c>
      <c r="E43" s="1" cm="1">
        <f t="array" ref="E43">IFERROR(VLOOKUP($B43,_xlfn._xlws.FILTER($L$7:$P$10000,$J$7:$J$10000=G$1+1),5, FALSE), 0)</f>
        <v>10.758497025077288</v>
      </c>
      <c r="F43" s="1">
        <f t="shared" si="4"/>
        <v>7</v>
      </c>
      <c r="G43" s="1">
        <f t="shared" ca="1" si="5"/>
        <v>30.783256016510386</v>
      </c>
      <c r="H43" s="1">
        <f t="shared" ca="1" si="6"/>
        <v>18</v>
      </c>
      <c r="I43" s="1" cm="1">
        <f t="array" ref="I43">COUNT(_xlfn._xlws.FILTER($J$7:$J$10000,($L$7:$L$10000=B43)*($M$7:$M$10000&lt;&gt;"NULL")*($J$7:$J$10000 &gt;= ($G$1-4))))/5</f>
        <v>0.4</v>
      </c>
      <c r="J43" s="65">
        <v>3</v>
      </c>
      <c r="K43" t="s">
        <v>2</v>
      </c>
      <c r="L43" t="s">
        <v>449</v>
      </c>
      <c r="M43">
        <v>15.6</v>
      </c>
      <c r="N43" t="s">
        <v>3</v>
      </c>
      <c r="O43" t="s">
        <v>23</v>
      </c>
      <c r="P43">
        <f t="shared" si="1"/>
        <v>8.3087180132222169</v>
      </c>
      <c r="Q43">
        <f t="shared" si="2"/>
        <v>53.162793010710168</v>
      </c>
      <c r="R43" s="67" t="e" cm="1">
        <f t="array" ref="R43">SUMPRODUCT((J43=$J$7:$J$1000)*(P43&lt;$P$7:$P$1000))+1</f>
        <v>#N/A</v>
      </c>
      <c r="S43" s="72"/>
      <c r="T43">
        <v>13</v>
      </c>
      <c r="U43" t="str">
        <v>SEA</v>
      </c>
      <c r="V43" t="str">
        <v>Eddie Fouche</v>
      </c>
      <c r="W43" t="str">
        <v>NULL</v>
      </c>
      <c r="X43" t="str">
        <v>Away</v>
      </c>
      <c r="Y43" t="str">
        <v>UTAH</v>
      </c>
      <c r="Z43">
        <v>5.7840589973259631</v>
      </c>
      <c r="AA43" s="1" t="str">
        <v>Santiago Videla</v>
      </c>
      <c r="AB43" s="1" cm="1">
        <f t="array" ref="AB43">COUNT(_xlfn._xlws.FILTER($J$7:$J$10000,($L$7:$L$10000=AA43)*($M$7:$M$10000&lt;&gt;"NULL")*($J$7:$J$10000 &gt;= ($G$1-5))))/5</f>
        <v>0</v>
      </c>
    </row>
    <row r="44" spans="1:28" x14ac:dyDescent="0.35">
      <c r="A44">
        <f>VLOOKUP($B44, PlayerIDs!$A$1:$B$516, 2, FALSE)</f>
        <v>44</v>
      </c>
      <c r="B44" t="s">
        <v>44</v>
      </c>
      <c r="C44" s="1">
        <v>6.7622706858472776</v>
      </c>
      <c r="D44" s="1">
        <f t="shared" si="3"/>
        <v>25</v>
      </c>
      <c r="E44" s="1" cm="1">
        <f t="array" ref="E44">IFERROR(VLOOKUP($B44,_xlfn._xlws.FILTER($L$7:$P$10000,$J$7:$J$10000=G$1+1),5, FALSE), 0)</f>
        <v>6.758847181576793</v>
      </c>
      <c r="F44" s="1">
        <f t="shared" si="4"/>
        <v>22</v>
      </c>
      <c r="G44" s="1">
        <f t="shared" ca="1" si="5"/>
        <v>31.265192116152782</v>
      </c>
      <c r="H44" s="1">
        <f t="shared" ca="1" si="6"/>
        <v>17</v>
      </c>
      <c r="I44" s="1" cm="1">
        <f t="array" ref="I44">COUNT(_xlfn._xlws.FILTER($J$7:$J$10000,($L$7:$L$10000=B44)*($M$7:$M$10000&lt;&gt;"NULL")*($J$7:$J$10000 &gt;= ($G$1-4))))/5</f>
        <v>0.8</v>
      </c>
      <c r="J44" s="65">
        <v>3</v>
      </c>
      <c r="K44" t="s">
        <v>14</v>
      </c>
      <c r="L44" t="s">
        <v>448</v>
      </c>
      <c r="M44">
        <v>15.1</v>
      </c>
      <c r="N44" t="s">
        <v>3</v>
      </c>
      <c r="O44" t="s">
        <v>24</v>
      </c>
      <c r="P44">
        <f t="shared" si="1"/>
        <v>6.5962771243770941</v>
      </c>
      <c r="Q44">
        <f t="shared" si="2"/>
        <v>72.313302745392292</v>
      </c>
      <c r="R44" s="67" t="e" cm="1">
        <f t="array" ref="R44">SUMPRODUCT((J44=$J$7:$J$1000)*(P44&lt;$P$7:$P$1000))+1</f>
        <v>#N/A</v>
      </c>
      <c r="S44" s="72"/>
      <c r="T44">
        <v>13</v>
      </c>
      <c r="U44" t="str">
        <v>SEA</v>
      </c>
      <c r="V44" t="str">
        <v>Mikaela Kruse</v>
      </c>
      <c r="W44" t="str">
        <v>NULL</v>
      </c>
      <c r="X44" t="str">
        <v>Away</v>
      </c>
      <c r="Y44" t="str">
        <v>UTAH</v>
      </c>
      <c r="Z44">
        <v>2.1025398201732974</v>
      </c>
      <c r="AA44" s="1" t="str">
        <v>Spencer Jones</v>
      </c>
      <c r="AB44" s="1" cm="1">
        <f t="array" ref="AB44">COUNT(_xlfn._xlws.FILTER($J$7:$J$10000,($L$7:$L$10000=AA44)*($M$7:$M$10000&lt;&gt;"NULL")*($J$7:$J$10000 &gt;= ($G$1-5))))/5</f>
        <v>0.2</v>
      </c>
    </row>
    <row r="45" spans="1:28" x14ac:dyDescent="0.35">
      <c r="A45">
        <f>VLOOKUP($B45, PlayerIDs!$A$1:$B$516, 2, FALSE)</f>
        <v>409</v>
      </c>
      <c r="B45" t="s">
        <v>52</v>
      </c>
      <c r="C45" s="1">
        <v>6.5368336631033177</v>
      </c>
      <c r="D45" s="1">
        <f t="shared" si="3"/>
        <v>26</v>
      </c>
      <c r="E45" s="1" cm="1">
        <f t="array" ref="E45">IFERROR(VLOOKUP($B45,_xlfn._xlws.FILTER($L$7:$P$10000,$J$7:$J$10000=G$1+1),5, FALSE), 0)</f>
        <v>6.0340688753142677</v>
      </c>
      <c r="F45" s="1">
        <f t="shared" si="4"/>
        <v>24</v>
      </c>
      <c r="G45" s="1">
        <f t="shared" ca="1" si="5"/>
        <v>17.772187716979008</v>
      </c>
      <c r="H45" s="1">
        <f t="shared" ca="1" si="6"/>
        <v>35</v>
      </c>
      <c r="I45" s="1" cm="1">
        <f t="array" ref="I45">COUNT(_xlfn._xlws.FILTER($J$7:$J$10000,($L$7:$L$10000=B45)*($M$7:$M$10000&lt;&gt;"NULL")*($J$7:$J$10000 &gt;= ($G$1-4))))/5</f>
        <v>0.8</v>
      </c>
      <c r="J45" s="65">
        <v>3</v>
      </c>
      <c r="K45" t="s">
        <v>34</v>
      </c>
      <c r="L45" t="s">
        <v>100</v>
      </c>
      <c r="M45">
        <v>13</v>
      </c>
      <c r="N45" t="s">
        <v>9</v>
      </c>
      <c r="O45" t="s">
        <v>7</v>
      </c>
      <c r="P45">
        <f t="shared" si="1"/>
        <v>13.000888750920158</v>
      </c>
      <c r="Q45">
        <f t="shared" si="2"/>
        <v>7.8987819808139399E-7</v>
      </c>
      <c r="R45" s="67" t="e" cm="1">
        <f t="array" ref="R45">SUMPRODUCT((J45=$J$7:$J$1000)*(P45&lt;$P$7:$P$1000))+1</f>
        <v>#N/A</v>
      </c>
      <c r="S45" s="72"/>
      <c r="T45">
        <v>13</v>
      </c>
      <c r="U45" t="str">
        <v>SEA</v>
      </c>
      <c r="V45" t="str">
        <v>Rodney Iona</v>
      </c>
      <c r="W45" t="str">
        <v>NULL</v>
      </c>
      <c r="X45" t="str">
        <v>Away</v>
      </c>
      <c r="Y45" t="str">
        <v>UTAH</v>
      </c>
      <c r="Z45">
        <v>3.6028024677089734</v>
      </c>
      <c r="AA45" s="1" t="str">
        <v>Steffan Hughes</v>
      </c>
      <c r="AB45" s="1" cm="1">
        <f t="array" ref="AB45">COUNT(_xlfn._xlws.FILTER($J$7:$J$10000,($L$7:$L$10000=AA45)*($M$7:$M$10000&lt;&gt;"NULL")*($J$7:$J$10000 &gt;= ($G$1-5))))/5</f>
        <v>1</v>
      </c>
    </row>
    <row r="46" spans="1:28" x14ac:dyDescent="0.35">
      <c r="A46">
        <f>VLOOKUP($B46, PlayerIDs!$A$1:$B$516, 2, FALSE)</f>
        <v>766</v>
      </c>
      <c r="B46" t="s">
        <v>447</v>
      </c>
      <c r="C46" s="1">
        <v>6.4685714778752725</v>
      </c>
      <c r="D46" s="1">
        <f t="shared" si="3"/>
        <v>27</v>
      </c>
      <c r="E46" s="1" cm="1">
        <f t="array" ref="E46">IFERROR(VLOOKUP($B46,_xlfn._xlws.FILTER($L$7:$P$10000,$J$7:$J$10000=G$1+1),5, FALSE), 0)</f>
        <v>0</v>
      </c>
      <c r="F46" s="1">
        <f t="shared" si="4"/>
        <v>43</v>
      </c>
      <c r="G46" s="1">
        <f t="shared" ca="1" si="5"/>
        <v>24.531247698054614</v>
      </c>
      <c r="H46" s="1">
        <f t="shared" ca="1" si="6"/>
        <v>25</v>
      </c>
      <c r="I46" s="1" cm="1">
        <f t="array" ref="I46">COUNT(_xlfn._xlws.FILTER($J$7:$J$10000,($L$7:$L$10000=B46)*($M$7:$M$10000&lt;&gt;"NULL")*($J$7:$J$10000 &gt;= ($G$1-4))))/5</f>
        <v>0.8</v>
      </c>
      <c r="J46" s="65">
        <v>3</v>
      </c>
      <c r="K46" t="s">
        <v>2</v>
      </c>
      <c r="L46" t="s">
        <v>44</v>
      </c>
      <c r="M46">
        <v>10.6</v>
      </c>
      <c r="N46" t="s">
        <v>3</v>
      </c>
      <c r="O46" t="s">
        <v>23</v>
      </c>
      <c r="P46">
        <f t="shared" si="1"/>
        <v>6.4804723176690677</v>
      </c>
      <c r="Q46">
        <f t="shared" si="2"/>
        <v>16.970508325490858</v>
      </c>
      <c r="R46" s="67" t="e" cm="1">
        <f t="array" ref="R46">SUMPRODUCT((J46=$J$7:$J$1000)*(P46&lt;$P$7:$P$1000))+1</f>
        <v>#N/A</v>
      </c>
      <c r="S46" s="72"/>
      <c r="T46">
        <v>13</v>
      </c>
      <c r="U46" t="str">
        <v>UTAH</v>
      </c>
      <c r="V46" t="str">
        <v>Cole Semu</v>
      </c>
      <c r="W46" t="str">
        <v>NULL</v>
      </c>
      <c r="X46" t="str">
        <v>Home</v>
      </c>
      <c r="Y46" t="str">
        <v>SEA</v>
      </c>
      <c r="Z46">
        <v>3.9924695823938432</v>
      </c>
      <c r="AA46" s="1" t="str">
        <v>Tautalatasi Tasi</v>
      </c>
      <c r="AB46" s="1" cm="1">
        <f t="array" ref="AB46">COUNT(_xlfn._xlws.FILTER($J$7:$J$10000,($L$7:$L$10000=AA46)*($M$7:$M$10000&lt;&gt;"NULL")*($J$7:$J$10000 &gt;= ($G$1-5))))/5</f>
        <v>1</v>
      </c>
    </row>
    <row r="47" spans="1:28" x14ac:dyDescent="0.35">
      <c r="A47">
        <f>VLOOKUP($B47, PlayerIDs!$A$1:$B$516, 2, FALSE)</f>
        <v>664</v>
      </c>
      <c r="B47" t="s">
        <v>41</v>
      </c>
      <c r="C47" s="1">
        <v>6.4248429888625536</v>
      </c>
      <c r="D47" s="1">
        <f t="shared" si="3"/>
        <v>28</v>
      </c>
      <c r="E47" s="1" cm="1">
        <f t="array" ref="E47">IFERROR(VLOOKUP($B47,_xlfn._xlws.FILTER($L$7:$P$10000,$J$7:$J$10000=G$1+1),5, FALSE), 0)</f>
        <v>5.9220782010735036</v>
      </c>
      <c r="F47" s="1">
        <f t="shared" si="4"/>
        <v>25</v>
      </c>
      <c r="G47" s="1">
        <f t="shared" ca="1" si="5"/>
        <v>17.436215694256717</v>
      </c>
      <c r="H47" s="1">
        <f t="shared" ca="1" si="6"/>
        <v>37</v>
      </c>
      <c r="I47" s="1" cm="1">
        <f t="array" ref="I47">COUNT(_xlfn._xlws.FILTER($J$7:$J$10000,($L$7:$L$10000=B47)*($M$7:$M$10000&lt;&gt;"NULL")*($J$7:$J$10000 &gt;= ($G$1-4))))/5</f>
        <v>0</v>
      </c>
      <c r="J47" s="65">
        <v>3</v>
      </c>
      <c r="K47" t="s">
        <v>36</v>
      </c>
      <c r="L47" t="s">
        <v>38</v>
      </c>
      <c r="M47">
        <v>10.6</v>
      </c>
      <c r="N47" t="s">
        <v>3</v>
      </c>
      <c r="O47" t="s">
        <v>17</v>
      </c>
      <c r="P47">
        <f t="shared" si="1"/>
        <v>8.8526522220359691</v>
      </c>
      <c r="Q47">
        <f t="shared" si="2"/>
        <v>3.053224257155835</v>
      </c>
      <c r="R47" s="67" t="e" cm="1">
        <f t="array" ref="R47">SUMPRODUCT((J47=$J$7:$J$1000)*(P47&lt;$P$7:$P$1000))+1</f>
        <v>#N/A</v>
      </c>
      <c r="S47" s="72"/>
      <c r="T47">
        <v>13</v>
      </c>
      <c r="U47" t="str">
        <v>UTAH</v>
      </c>
      <c r="V47" t="str">
        <v>D'Angelo Leuila</v>
      </c>
      <c r="W47" t="str">
        <v>NULL</v>
      </c>
      <c r="X47" t="str">
        <v>Home</v>
      </c>
      <c r="Y47" t="str">
        <v>SEA</v>
      </c>
      <c r="Z47">
        <v>11.537654217148891</v>
      </c>
      <c r="AA47" s="1" t="str">
        <v>Tavite Lopeti</v>
      </c>
      <c r="AB47" s="1" cm="1">
        <f t="array" ref="AB47">COUNT(_xlfn._xlws.FILTER($J$7:$J$10000,($L$7:$L$10000=AA47)*($M$7:$M$10000&lt;&gt;"NULL")*($J$7:$J$10000 &gt;= ($G$1-5))))/5</f>
        <v>1</v>
      </c>
    </row>
    <row r="48" spans="1:28" x14ac:dyDescent="0.35">
      <c r="A48">
        <f>VLOOKUP($B48, PlayerIDs!$A$1:$B$516, 2, FALSE)</f>
        <v>369</v>
      </c>
      <c r="B48" t="s">
        <v>196</v>
      </c>
      <c r="C48" s="1">
        <v>6.2703114812197072</v>
      </c>
      <c r="D48" s="1">
        <f t="shared" si="3"/>
        <v>29</v>
      </c>
      <c r="E48" s="1" cm="1">
        <f t="array" ref="E48">IFERROR(VLOOKUP($B48,_xlfn._xlws.FILTER($L$7:$P$10000,$J$7:$J$10000=G$1+1),5, FALSE), 0)</f>
        <v>3.6028024677089734</v>
      </c>
      <c r="F48" s="1">
        <f t="shared" si="4"/>
        <v>34</v>
      </c>
      <c r="G48" s="1">
        <f t="shared" ca="1" si="5"/>
        <v>21.455454158364788</v>
      </c>
      <c r="H48" s="1">
        <f t="shared" ca="1" si="6"/>
        <v>30</v>
      </c>
      <c r="I48" s="1" cm="1">
        <f t="array" ref="I48">COUNT(_xlfn._xlws.FILTER($J$7:$J$10000,($L$7:$L$10000=B48)*($M$7:$M$10000&lt;&gt;"NULL")*($J$7:$J$10000 &gt;= ($G$1-4))))/5</f>
        <v>0</v>
      </c>
      <c r="J48" s="65">
        <v>3</v>
      </c>
      <c r="K48" t="s">
        <v>34</v>
      </c>
      <c r="L48" t="s">
        <v>39</v>
      </c>
      <c r="M48">
        <v>8.9</v>
      </c>
      <c r="N48" t="s">
        <v>9</v>
      </c>
      <c r="O48" t="s">
        <v>7</v>
      </c>
      <c r="P48">
        <f t="shared" si="1"/>
        <v>6.0259622588183888</v>
      </c>
      <c r="Q48">
        <f t="shared" si="2"/>
        <v>8.2600929377362995</v>
      </c>
      <c r="R48" s="67" t="e" cm="1">
        <f t="array" ref="R48">SUMPRODUCT((J48=$J$7:$J$1000)*(P48&lt;$P$7:$P$1000))+1</f>
        <v>#N/A</v>
      </c>
      <c r="S48" s="72"/>
      <c r="T48">
        <v>13</v>
      </c>
      <c r="U48" t="str">
        <v>UTAH</v>
      </c>
      <c r="V48" t="str">
        <v>Kyle Brown</v>
      </c>
      <c r="W48" t="str">
        <v>NULL</v>
      </c>
      <c r="X48" t="str">
        <v>Home</v>
      </c>
      <c r="Y48" t="str">
        <v>SEA</v>
      </c>
      <c r="Z48">
        <v>5.1835171562325888</v>
      </c>
      <c r="AA48" s="1" t="str">
        <v>Tiaan Loots</v>
      </c>
      <c r="AB48" s="1" cm="1">
        <f t="array" ref="AB48">COUNT(_xlfn._xlws.FILTER($J$7:$J$10000,($L$7:$L$10000=AA48)*($M$7:$M$10000&lt;&gt;"NULL")*($J$7:$J$10000 &gt;= ($G$1-5))))/5</f>
        <v>0.2</v>
      </c>
    </row>
    <row r="49" spans="1:28" x14ac:dyDescent="0.35">
      <c r="A49">
        <f>VLOOKUP($B49, PlayerIDs!$A$1:$B$516, 2, FALSE)</f>
        <v>615</v>
      </c>
      <c r="B49" t="s">
        <v>35</v>
      </c>
      <c r="C49" s="1">
        <v>6.1698932965017219</v>
      </c>
      <c r="D49" s="1">
        <f t="shared" si="3"/>
        <v>30</v>
      </c>
      <c r="E49" s="1" cm="1">
        <f t="array" ref="E49">IFERROR(VLOOKUP($B49,_xlfn._xlws.FILTER($L$7:$P$10000,$J$7:$J$10000=G$1+1),5, FALSE), 0)</f>
        <v>5.5388442687443229</v>
      </c>
      <c r="F49" s="1">
        <f t="shared" si="4"/>
        <v>27</v>
      </c>
      <c r="G49" s="1">
        <f t="shared" ca="1" si="5"/>
        <v>26.709912188677713</v>
      </c>
      <c r="H49" s="1">
        <f t="shared" ca="1" si="6"/>
        <v>21</v>
      </c>
      <c r="I49" s="1" cm="1">
        <f t="array" ref="I49">COUNT(_xlfn._xlws.FILTER($J$7:$J$10000,($L$7:$L$10000=B49)*($M$7:$M$10000&lt;&gt;"NULL")*($J$7:$J$10000 &gt;= ($G$1-4))))/5</f>
        <v>0.4</v>
      </c>
      <c r="J49" s="65">
        <v>3</v>
      </c>
      <c r="K49" t="s">
        <v>23</v>
      </c>
      <c r="L49" t="s">
        <v>46</v>
      </c>
      <c r="M49">
        <v>7.3</v>
      </c>
      <c r="N49" t="s">
        <v>9</v>
      </c>
      <c r="O49" t="s">
        <v>2</v>
      </c>
      <c r="P49">
        <f t="shared" si="1"/>
        <v>7.4423514635036101</v>
      </c>
      <c r="Q49">
        <f t="shared" si="2"/>
        <v>2.0263939161619688E-2</v>
      </c>
      <c r="R49" s="67" t="e" cm="1">
        <f t="array" ref="R49">SUMPRODUCT((J49=$J$7:$J$1000)*(P49&lt;$P$7:$P$1000))+1</f>
        <v>#N/A</v>
      </c>
      <c r="S49" s="72"/>
      <c r="T49">
        <v>13</v>
      </c>
      <c r="U49" t="str">
        <v>UTAH</v>
      </c>
      <c r="V49" t="str">
        <v>Spencer Jones</v>
      </c>
      <c r="W49" t="str">
        <v>NULL</v>
      </c>
      <c r="X49" t="str">
        <v>Home</v>
      </c>
      <c r="Y49" t="str">
        <v>SEA</v>
      </c>
      <c r="Z49">
        <v>9.2810685606942354</v>
      </c>
      <c r="AA49" s="1" t="str">
        <v>Tomas Aoake</v>
      </c>
      <c r="AB49" s="1" cm="1">
        <f t="array" ref="AB49">COUNT(_xlfn._xlws.FILTER($J$7:$J$10000,($L$7:$L$10000=AA49)*($M$7:$M$10000&lt;&gt;"NULL")*($J$7:$J$10000 &gt;= ($G$1-5))))/5</f>
        <v>0</v>
      </c>
    </row>
    <row r="50" spans="1:28" x14ac:dyDescent="0.35">
      <c r="A50">
        <f>VLOOKUP($B50, PlayerIDs!$A$1:$B$516, 2, FALSE)</f>
        <v>744</v>
      </c>
      <c r="B50" t="s">
        <v>474</v>
      </c>
      <c r="C50" s="1">
        <v>6.0477431959456318</v>
      </c>
      <c r="D50" s="1">
        <f t="shared" si="3"/>
        <v>31</v>
      </c>
      <c r="E50" s="1" cm="1">
        <f t="array" ref="E50">IFERROR(VLOOKUP($B50,_xlfn._xlws.FILTER($L$7:$P$10000,$J$7:$J$10000=G$1+1),5, FALSE), 0)</f>
        <v>5.1835171562325888</v>
      </c>
      <c r="F50" s="1">
        <f t="shared" si="4"/>
        <v>28</v>
      </c>
      <c r="G50" s="1">
        <f t="shared" ca="1" si="5"/>
        <v>24.204983701579838</v>
      </c>
      <c r="H50" s="1">
        <f t="shared" ca="1" si="6"/>
        <v>26</v>
      </c>
      <c r="I50" s="1" cm="1">
        <f t="array" ref="I50">COUNT(_xlfn._xlws.FILTER($J$7:$J$10000,($L$7:$L$10000=B50)*($M$7:$M$10000&lt;&gt;"NULL")*($J$7:$J$10000 &gt;= ($G$1-4))))/5</f>
        <v>0.4</v>
      </c>
      <c r="J50" s="65">
        <v>3</v>
      </c>
      <c r="K50" t="s">
        <v>14</v>
      </c>
      <c r="L50" t="s">
        <v>11</v>
      </c>
      <c r="M50">
        <v>7.1</v>
      </c>
      <c r="N50" t="s">
        <v>3</v>
      </c>
      <c r="O50" t="s">
        <v>24</v>
      </c>
      <c r="P50">
        <f t="shared" si="1"/>
        <v>7.1014022797998404</v>
      </c>
      <c r="Q50">
        <f t="shared" si="2"/>
        <v>1.9663886370414293E-6</v>
      </c>
      <c r="R50" s="67" t="e" cm="1">
        <f t="array" ref="R50">SUMPRODUCT((J50=$J$7:$J$1000)*(P50&lt;$P$7:$P$1000))+1</f>
        <v>#N/A</v>
      </c>
      <c r="S50" s="72"/>
      <c r="T50">
        <v>13</v>
      </c>
      <c r="U50" t="str">
        <v>UTAH</v>
      </c>
      <c r="V50" t="str">
        <v>Tomasi Tonga</v>
      </c>
      <c r="W50" t="str">
        <v>NULL</v>
      </c>
      <c r="X50" t="str">
        <v>Home</v>
      </c>
      <c r="Y50" t="str">
        <v>SEA</v>
      </c>
      <c r="Z50">
        <v>-1.9993842950194463</v>
      </c>
      <c r="AA50" s="1" t="str">
        <v>Tomás Cubilla</v>
      </c>
      <c r="AB50" s="1" cm="1">
        <f t="array" ref="AB50">COUNT(_xlfn._xlws.FILTER($J$7:$J$10000,($L$7:$L$10000=AA50)*($M$7:$M$10000&lt;&gt;"NULL")*($J$7:$J$10000 &gt;= ($G$1-5))))/5</f>
        <v>0.6</v>
      </c>
    </row>
    <row r="51" spans="1:28" x14ac:dyDescent="0.35">
      <c r="A51">
        <f>VLOOKUP($B51, PlayerIDs!$A$1:$B$516, 2, FALSE)</f>
        <v>832</v>
      </c>
      <c r="B51" t="s">
        <v>517</v>
      </c>
      <c r="C51" s="1">
        <v>5.8440163137909256</v>
      </c>
      <c r="D51" s="1">
        <f t="shared" si="3"/>
        <v>32</v>
      </c>
      <c r="E51" s="1" cm="1">
        <f t="array" ref="E51">IFERROR(VLOOKUP($B51,_xlfn._xlws.FILTER($L$7:$P$10000,$J$7:$J$10000=G$1+1),5, FALSE), 0)</f>
        <v>9.2392971733411322</v>
      </c>
      <c r="F51" s="1">
        <f t="shared" si="4"/>
        <v>11</v>
      </c>
      <c r="G51" s="1">
        <f t="shared" ca="1" si="5"/>
        <v>24.706456609565763</v>
      </c>
      <c r="H51" s="1">
        <f t="shared" ca="1" si="6"/>
        <v>24</v>
      </c>
      <c r="I51" s="1" cm="1">
        <f t="array" ref="I51">COUNT(_xlfn._xlws.FILTER($J$7:$J$10000,($L$7:$L$10000=B51)*($M$7:$M$10000&lt;&gt;"NULL")*($J$7:$J$10000 &gt;= ($G$1-4))))/5</f>
        <v>0.6</v>
      </c>
      <c r="J51" s="65">
        <v>3</v>
      </c>
      <c r="K51" t="s">
        <v>7</v>
      </c>
      <c r="L51" t="s">
        <v>19</v>
      </c>
      <c r="M51">
        <v>6.9</v>
      </c>
      <c r="N51" t="s">
        <v>3</v>
      </c>
      <c r="O51" t="s">
        <v>34</v>
      </c>
      <c r="P51">
        <f t="shared" si="1"/>
        <v>4.5378648455793407</v>
      </c>
      <c r="Q51">
        <f t="shared" si="2"/>
        <v>5.5796824877499134</v>
      </c>
      <c r="R51" s="67" t="e" cm="1">
        <f t="array" ref="R51">SUMPRODUCT((J51=$J$7:$J$1000)*(P51&lt;$P$7:$P$1000))+1</f>
        <v>#N/A</v>
      </c>
      <c r="S51" s="72"/>
      <c r="T51">
        <v>14</v>
      </c>
      <c r="U51" t="str">
        <v>ARC</v>
      </c>
      <c r="V51" t="str">
        <v>EJ Freeman</v>
      </c>
      <c r="W51" t="str">
        <v>NULL</v>
      </c>
      <c r="X51" t="str">
        <v>Home</v>
      </c>
      <c r="Y51" t="str">
        <v>OGDC</v>
      </c>
      <c r="Z51">
        <v>8.9267425593522471</v>
      </c>
      <c r="AA51" s="1" t="str">
        <v>Tomás Inciarte</v>
      </c>
      <c r="AB51" s="1" cm="1">
        <f t="array" ref="AB51">COUNT(_xlfn._xlws.FILTER($J$7:$J$10000,($L$7:$L$10000=AA51)*($M$7:$M$10000&lt;&gt;"NULL")*($J$7:$J$10000 &gt;= ($G$1-5))))/5</f>
        <v>0.2</v>
      </c>
    </row>
    <row r="52" spans="1:28" x14ac:dyDescent="0.35">
      <c r="A52">
        <f>VLOOKUP($B52, PlayerIDs!$A$1:$B$516, 2, FALSE)</f>
        <v>728</v>
      </c>
      <c r="B52" t="s">
        <v>402</v>
      </c>
      <c r="C52" s="1">
        <v>5.745722044629515</v>
      </c>
      <c r="D52" s="1">
        <f t="shared" si="3"/>
        <v>33</v>
      </c>
      <c r="E52" s="1" cm="1">
        <f t="array" ref="E52">IFERROR(VLOOKUP($B52,_xlfn._xlws.FILTER($L$7:$P$10000,$J$7:$J$10000=G$1+1),5, FALSE), 0)</f>
        <v>5.114673016872116</v>
      </c>
      <c r="F52" s="1">
        <f t="shared" si="4"/>
        <v>29</v>
      </c>
      <c r="G52" s="1">
        <f t="shared" ca="1" si="5"/>
        <v>25.013227181188885</v>
      </c>
      <c r="H52" s="1">
        <f t="shared" ca="1" si="6"/>
        <v>23</v>
      </c>
      <c r="I52" s="1" cm="1">
        <f t="array" ref="I52">COUNT(_xlfn._xlws.FILTER($J$7:$J$10000,($L$7:$L$10000=B52)*($M$7:$M$10000&lt;&gt;"NULL")*($J$7:$J$10000 &gt;= ($G$1-4))))/5</f>
        <v>0.8</v>
      </c>
      <c r="J52" s="65">
        <v>3</v>
      </c>
      <c r="K52" t="s">
        <v>24</v>
      </c>
      <c r="L52" t="s">
        <v>402</v>
      </c>
      <c r="M52">
        <v>6.8</v>
      </c>
      <c r="N52" t="s">
        <v>9</v>
      </c>
      <c r="O52" t="s">
        <v>14</v>
      </c>
      <c r="P52">
        <f t="shared" si="1"/>
        <v>7.757772817686317</v>
      </c>
      <c r="Q52">
        <f t="shared" si="2"/>
        <v>0.91732877029878734</v>
      </c>
      <c r="R52" s="67" t="e" cm="1">
        <f t="array" ref="R52">SUMPRODUCT((J52=$J$7:$J$1000)*(P52&lt;$P$7:$P$1000))+1</f>
        <v>#N/A</v>
      </c>
      <c r="S52" s="72"/>
      <c r="T52">
        <v>14</v>
      </c>
      <c r="U52" t="str">
        <v>ARC</v>
      </c>
      <c r="V52" t="str">
        <v>Erich Storti</v>
      </c>
      <c r="W52" t="str">
        <v>NULL</v>
      </c>
      <c r="X52" t="str">
        <v>Home</v>
      </c>
      <c r="Y52" t="str">
        <v>OGDC</v>
      </c>
      <c r="Z52">
        <v>9.1878756908465604</v>
      </c>
      <c r="AA52" s="1" t="str">
        <v>Tomasi Tonga</v>
      </c>
      <c r="AB52" s="1" cm="1">
        <f t="array" ref="AB52">COUNT(_xlfn._xlws.FILTER($J$7:$J$10000,($L$7:$L$10000=AA52)*($M$7:$M$10000&lt;&gt;"NULL")*($J$7:$J$10000 &gt;= ($G$1-5))))/5</f>
        <v>0.2</v>
      </c>
    </row>
    <row r="53" spans="1:28" x14ac:dyDescent="0.35">
      <c r="A53">
        <f>VLOOKUP($B53, PlayerIDs!$A$1:$B$516, 2, FALSE)</f>
        <v>96</v>
      </c>
      <c r="B53" t="s">
        <v>16</v>
      </c>
      <c r="C53" s="1">
        <v>5.5444688029905542</v>
      </c>
      <c r="D53" s="1">
        <f t="shared" si="3"/>
        <v>34</v>
      </c>
      <c r="E53" s="1" cm="1">
        <f t="array" ref="E53">IFERROR(VLOOKUP($B53,_xlfn._xlws.FILTER($L$7:$P$10000,$J$7:$J$10000=G$1+1),5, FALSE), 0)</f>
        <v>2.8769597894798205</v>
      </c>
      <c r="F53" s="1">
        <f t="shared" si="4"/>
        <v>38</v>
      </c>
      <c r="G53" s="1">
        <f t="shared" ca="1" si="5"/>
        <v>18.552083445448176</v>
      </c>
      <c r="H53" s="1">
        <f t="shared" ca="1" si="6"/>
        <v>33</v>
      </c>
      <c r="I53" s="1" cm="1">
        <f t="array" ref="I53">COUNT(_xlfn._xlws.FILTER($J$7:$J$10000,($L$7:$L$10000=B53)*($M$7:$M$10000&lt;&gt;"NULL")*($J$7:$J$10000 &gt;= ($G$1-4))))/5</f>
        <v>1</v>
      </c>
      <c r="J53" s="65">
        <v>3</v>
      </c>
      <c r="K53" t="s">
        <v>24</v>
      </c>
      <c r="L53" t="s">
        <v>35</v>
      </c>
      <c r="M53">
        <v>6.7</v>
      </c>
      <c r="N53" t="s">
        <v>9</v>
      </c>
      <c r="O53" t="s">
        <v>14</v>
      </c>
      <c r="P53">
        <f t="shared" si="1"/>
        <v>8.1819440695585239</v>
      </c>
      <c r="Q53">
        <f t="shared" si="2"/>
        <v>2.1961582252996785</v>
      </c>
      <c r="R53" s="67" t="e" cm="1">
        <f t="array" ref="R53">SUMPRODUCT((J53=$J$7:$J$1000)*(P53&lt;$P$7:$P$1000))+1</f>
        <v>#N/A</v>
      </c>
      <c r="S53" s="72"/>
      <c r="T53">
        <v>14</v>
      </c>
      <c r="U53" t="str">
        <v>ARC</v>
      </c>
      <c r="V53" t="str">
        <v>Junior Gafa</v>
      </c>
      <c r="W53" t="str">
        <v>NULL</v>
      </c>
      <c r="X53" t="str">
        <v>Home</v>
      </c>
      <c r="Y53" t="str">
        <v>OGDC</v>
      </c>
      <c r="Z53">
        <v>9.6930008462693067</v>
      </c>
      <c r="AA53" s="1" t="str">
        <v>Tommaso Boni</v>
      </c>
      <c r="AB53" s="1" cm="1">
        <f t="array" ref="AB53">COUNT(_xlfn._xlws.FILTER($J$7:$J$10000,($L$7:$L$10000=AA53)*($M$7:$M$10000&lt;&gt;"NULL")*($J$7:$J$10000 &gt;= ($G$1-5))))/5</f>
        <v>0.2</v>
      </c>
    </row>
    <row r="54" spans="1:28" x14ac:dyDescent="0.35">
      <c r="A54">
        <f>VLOOKUP($B54, PlayerIDs!$A$1:$B$516, 2, FALSE)</f>
        <v>770</v>
      </c>
      <c r="B54" t="s">
        <v>475</v>
      </c>
      <c r="C54" s="1">
        <v>5.3279942398594411</v>
      </c>
      <c r="D54" s="1">
        <f t="shared" si="3"/>
        <v>35</v>
      </c>
      <c r="E54" s="1" cm="1">
        <f t="array" ref="E54">IFERROR(VLOOKUP($B54,_xlfn._xlws.FILTER($L$7:$P$10000,$J$7:$J$10000=G$1+1),5, FALSE), 0)</f>
        <v>4.2999220672151388</v>
      </c>
      <c r="F54" s="1">
        <f t="shared" si="4"/>
        <v>30</v>
      </c>
      <c r="G54" s="1">
        <f t="shared" ca="1" si="5"/>
        <v>11.327494647960707</v>
      </c>
      <c r="H54" s="1">
        <f t="shared" ca="1" si="6"/>
        <v>41</v>
      </c>
      <c r="I54" s="1" cm="1">
        <f t="array" ref="I54">COUNT(_xlfn._xlws.FILTER($J$7:$J$10000,($L$7:$L$10000=B54)*($M$7:$M$10000&lt;&gt;"NULL")*($J$7:$J$10000 &gt;= ($G$1-4))))/5</f>
        <v>0.4</v>
      </c>
      <c r="J54" s="65">
        <v>3</v>
      </c>
      <c r="K54" t="s">
        <v>7</v>
      </c>
      <c r="L54" t="s">
        <v>447</v>
      </c>
      <c r="M54">
        <v>6.3</v>
      </c>
      <c r="N54" t="s">
        <v>3</v>
      </c>
      <c r="O54" t="s">
        <v>34</v>
      </c>
      <c r="P54">
        <f t="shared" si="1"/>
        <v>6.0164770169315025</v>
      </c>
      <c r="Q54">
        <f t="shared" si="2"/>
        <v>8.0385281928059424E-2</v>
      </c>
      <c r="R54" s="67" t="e" cm="1">
        <f t="array" ref="R54">SUMPRODUCT((J54=$J$7:$J$1000)*(P54&lt;$P$7:$P$1000))+1</f>
        <v>#N/A</v>
      </c>
      <c r="S54" s="72"/>
      <c r="T54">
        <v>14</v>
      </c>
      <c r="U54" t="str">
        <v>ARC</v>
      </c>
      <c r="V54" t="str">
        <v>Watson Filikitonga</v>
      </c>
      <c r="W54" t="str">
        <v>NULL</v>
      </c>
      <c r="X54" t="str">
        <v>Home</v>
      </c>
      <c r="Y54" t="str">
        <v>OGDC</v>
      </c>
      <c r="Z54">
        <v>7.4075427076160905</v>
      </c>
      <c r="AA54" s="1" t="str">
        <v>Watson Filikitonga</v>
      </c>
      <c r="AB54" s="1" cm="1">
        <f t="array" ref="AB54">COUNT(_xlfn._xlws.FILTER($J$7:$J$10000,($L$7:$L$10000=AA54)*($M$7:$M$10000&lt;&gt;"NULL")*($J$7:$J$10000 &gt;= ($G$1-5))))/5</f>
        <v>0.6</v>
      </c>
    </row>
    <row r="55" spans="1:28" x14ac:dyDescent="0.35">
      <c r="A55">
        <f>VLOOKUP($B55, PlayerIDs!$A$1:$B$516, 2, FALSE)</f>
        <v>200</v>
      </c>
      <c r="B55" t="s">
        <v>19</v>
      </c>
      <c r="C55" s="1">
        <v>4.9899593065231107</v>
      </c>
      <c r="D55" s="1">
        <f t="shared" si="3"/>
        <v>36</v>
      </c>
      <c r="E55" s="1" cm="1">
        <f t="array" ref="E55">IFERROR(VLOOKUP($B55,_xlfn._xlws.FILTER($L$7:$P$10000,$J$7:$J$10000=G$1+1),5, FALSE), 0)</f>
        <v>0</v>
      </c>
      <c r="F55" s="1">
        <f t="shared" si="4"/>
        <v>43</v>
      </c>
      <c r="G55" s="1">
        <f t="shared" ca="1" si="5"/>
        <v>20.095411183998131</v>
      </c>
      <c r="H55" s="1">
        <f t="shared" ca="1" si="6"/>
        <v>31</v>
      </c>
      <c r="I55" s="1" cm="1">
        <f t="array" ref="I55">COUNT(_xlfn._xlws.FILTER($J$7:$J$10000,($L$7:$L$10000=B55)*($M$7:$M$10000&lt;&gt;"NULL")*($J$7:$J$10000 &gt;= ($G$1-4))))/5</f>
        <v>0</v>
      </c>
      <c r="J55" s="65">
        <v>3</v>
      </c>
      <c r="K55" t="s">
        <v>13</v>
      </c>
      <c r="L55" t="s">
        <v>474</v>
      </c>
      <c r="M55">
        <v>6.3</v>
      </c>
      <c r="N55" t="s">
        <v>3</v>
      </c>
      <c r="O55" t="s">
        <v>4</v>
      </c>
      <c r="P55">
        <f t="shared" si="1"/>
        <v>5.1383193042805075</v>
      </c>
      <c r="Q55">
        <f t="shared" si="2"/>
        <v>1.3495020388073236</v>
      </c>
      <c r="R55" s="67" t="e" cm="1">
        <f t="array" ref="R55">SUMPRODUCT((J55=$J$7:$J$1000)*(P55&lt;$P$7:$P$1000))+1</f>
        <v>#N/A</v>
      </c>
      <c r="S55" s="72"/>
      <c r="T55">
        <v>14</v>
      </c>
      <c r="U55" t="str">
        <v>CHI</v>
      </c>
      <c r="V55" t="str">
        <v>Bryce Campbell</v>
      </c>
      <c r="W55" t="str">
        <v>NULL</v>
      </c>
      <c r="X55" t="str">
        <v>Home</v>
      </c>
      <c r="Y55" t="str">
        <v>LA</v>
      </c>
      <c r="Z55">
        <v>9.8791766814897581</v>
      </c>
      <c r="AA55" s="1" t="str">
        <v>Wayne van der Bank</v>
      </c>
      <c r="AB55" s="1" cm="1">
        <f t="array" ref="AB55">COUNT(_xlfn._xlws.FILTER($J$7:$J$10000,($L$7:$L$10000=AA55)*($M$7:$M$10000&lt;&gt;"NULL")*($J$7:$J$10000 &gt;= ($G$1-5))))/5</f>
        <v>0.4</v>
      </c>
    </row>
    <row r="56" spans="1:28" x14ac:dyDescent="0.35">
      <c r="A56">
        <f>VLOOKUP($B56, PlayerIDs!$A$1:$B$516, 2, FALSE)</f>
        <v>855</v>
      </c>
      <c r="B56" t="s">
        <v>649</v>
      </c>
      <c r="C56" s="1">
        <v>4.8566956221068862</v>
      </c>
      <c r="D56" s="1">
        <f t="shared" si="3"/>
        <v>37</v>
      </c>
      <c r="E56" s="1" cm="1">
        <f t="array" ref="E56">IFERROR(VLOOKUP($B56,_xlfn._xlws.FILTER($L$7:$P$10000,$J$7:$J$10000=G$1+1),5, FALSE), 0)</f>
        <v>3.9924695823938432</v>
      </c>
      <c r="F56" s="1">
        <f t="shared" si="4"/>
        <v>31</v>
      </c>
      <c r="G56" s="1">
        <f t="shared" ca="1" si="5"/>
        <v>19.440793406224856</v>
      </c>
      <c r="H56" s="1">
        <f t="shared" ca="1" si="6"/>
        <v>32</v>
      </c>
      <c r="I56" s="1" cm="1">
        <f t="array" ref="I56">COUNT(_xlfn._xlws.FILTER($J$7:$J$10000,($L$7:$L$10000=B56)*($M$7:$M$10000&lt;&gt;"NULL")*($J$7:$J$10000 &gt;= ($G$1-4))))/5</f>
        <v>0.6</v>
      </c>
      <c r="J56" s="65">
        <v>3</v>
      </c>
      <c r="K56" t="s">
        <v>23</v>
      </c>
      <c r="L56" t="s">
        <v>32</v>
      </c>
      <c r="M56">
        <v>5.5</v>
      </c>
      <c r="N56" t="s">
        <v>9</v>
      </c>
      <c r="O56" t="s">
        <v>2</v>
      </c>
      <c r="P56">
        <f t="shared" si="1"/>
        <v>8.1834233549594515</v>
      </c>
      <c r="Q56">
        <f t="shared" si="2"/>
        <v>7.2007609019418384</v>
      </c>
      <c r="R56" s="67" t="e" cm="1">
        <f t="array" ref="R56">SUMPRODUCT((J56=$J$7:$J$1000)*(P56&lt;$P$7:$P$1000))+1</f>
        <v>#N/A</v>
      </c>
      <c r="S56" s="72"/>
      <c r="T56">
        <v>14</v>
      </c>
      <c r="U56" t="str">
        <v>CHI</v>
      </c>
      <c r="V56" t="str">
        <v>Noah Flesch</v>
      </c>
      <c r="W56" t="str">
        <v>NULL</v>
      </c>
      <c r="X56" t="str">
        <v>Home</v>
      </c>
      <c r="Y56" t="str">
        <v>LA</v>
      </c>
      <c r="Z56">
        <v>11.795024066825921</v>
      </c>
      <c r="AA56" s="1">
        <v>0</v>
      </c>
      <c r="AB56" s="1" cm="1">
        <f t="array" ref="AB56">COUNT(_xlfn._xlws.FILTER($J$7:$J$10000,($L$7:$L$10000=AA56)*($M$7:$M$10000&lt;&gt;"NULL")*($J$7:$J$10000 &gt;= ($G$1-5))))/5</f>
        <v>0</v>
      </c>
    </row>
    <row r="57" spans="1:28" x14ac:dyDescent="0.35">
      <c r="A57">
        <f>VLOOKUP($B57, PlayerIDs!$A$1:$B$516, 2, FALSE)</f>
        <v>302</v>
      </c>
      <c r="B57" t="s">
        <v>450</v>
      </c>
      <c r="C57" s="1">
        <v>4.7700488336840312</v>
      </c>
      <c r="D57" s="1">
        <f t="shared" si="3"/>
        <v>38</v>
      </c>
      <c r="E57" s="1" cm="1">
        <f t="array" ref="E57">IFERROR(VLOOKUP($B57,_xlfn._xlws.FILTER($L$7:$P$10000,$J$7:$J$10000=G$1+1),5, FALSE), 0)</f>
        <v>2.1025398201732974</v>
      </c>
      <c r="F57" s="1">
        <f t="shared" si="4"/>
        <v>41</v>
      </c>
      <c r="G57" s="1">
        <f t="shared" ca="1" si="5"/>
        <v>15.454403568222087</v>
      </c>
      <c r="H57" s="1">
        <f t="shared" ca="1" si="6"/>
        <v>39</v>
      </c>
      <c r="I57" s="1" cm="1">
        <f t="array" ref="I57">COUNT(_xlfn._xlws.FILTER($J$7:$J$10000,($L$7:$L$10000=B57)*($M$7:$M$10000&lt;&gt;"NULL")*($J$7:$J$10000 &gt;= ($G$1-4))))/5</f>
        <v>0</v>
      </c>
      <c r="J57" s="65">
        <v>3</v>
      </c>
      <c r="K57" t="s">
        <v>36</v>
      </c>
      <c r="L57" t="s">
        <v>490</v>
      </c>
      <c r="M57">
        <v>5.2</v>
      </c>
      <c r="N57" t="s">
        <v>3</v>
      </c>
      <c r="O57" t="s">
        <v>17</v>
      </c>
      <c r="P57">
        <f t="shared" si="1"/>
        <v>7.73807432702396</v>
      </c>
      <c r="Q57">
        <f t="shared" si="2"/>
        <v>6.4418212894981268</v>
      </c>
      <c r="R57" s="67" t="e" cm="1">
        <f t="array" ref="R57">SUMPRODUCT((J57=$J$7:$J$1000)*(P57&lt;$P$7:$P$1000))+1</f>
        <v>#N/A</v>
      </c>
      <c r="S57" s="72"/>
      <c r="T57">
        <v>14</v>
      </c>
      <c r="U57" t="str">
        <v>CHI</v>
      </c>
      <c r="V57" t="str">
        <v>Ollie Devoto</v>
      </c>
      <c r="W57" t="str">
        <v>NULL</v>
      </c>
      <c r="X57" t="str">
        <v>Home</v>
      </c>
      <c r="Y57" t="str">
        <v>LA</v>
      </c>
      <c r="Z57">
        <v>11.707422377042906</v>
      </c>
      <c r="AA57" s="1"/>
      <c r="AB57" s="1" cm="1">
        <f t="array" ref="AB57">COUNT(_xlfn._xlws.FILTER($J$7:$J$10000,($L$7:$L$10000=AA57)*($M$7:$M$10000&lt;&gt;"NULL")*($J$7:$J$10000 &gt;= ($G$1-5))))/5</f>
        <v>0</v>
      </c>
    </row>
    <row r="58" spans="1:28" x14ac:dyDescent="0.35">
      <c r="A58">
        <f>VLOOKUP($B58, PlayerIDs!$A$1:$B$516, 2, FALSE)</f>
        <v>281</v>
      </c>
      <c r="B58" t="s">
        <v>51</v>
      </c>
      <c r="C58" s="1">
        <v>4.3330312785413874</v>
      </c>
      <c r="D58" s="1">
        <f t="shared" si="3"/>
        <v>39</v>
      </c>
      <c r="E58" s="1" cm="1">
        <f t="array" ref="E58">IFERROR(VLOOKUP($B58,_xlfn._xlws.FILTER($L$7:$P$10000,$J$7:$J$10000=G$1+1),5, FALSE), 0)</f>
        <v>3.8302664907523369</v>
      </c>
      <c r="F58" s="1">
        <f t="shared" si="4"/>
        <v>32</v>
      </c>
      <c r="G58" s="1">
        <f t="shared" ca="1" si="5"/>
        <v>11.160780563293217</v>
      </c>
      <c r="H58" s="1">
        <f t="shared" ca="1" si="6"/>
        <v>42</v>
      </c>
      <c r="I58" s="1" cm="1">
        <f t="array" ref="I58">COUNT(_xlfn._xlws.FILTER($J$7:$J$10000,($L$7:$L$10000=B58)*($M$7:$M$10000&lt;&gt;"NULL")*($J$7:$J$10000 &gt;= ($G$1-4))))/5</f>
        <v>0.8</v>
      </c>
      <c r="J58" s="65">
        <v>3</v>
      </c>
      <c r="K58" t="s">
        <v>17</v>
      </c>
      <c r="L58" t="s">
        <v>196</v>
      </c>
      <c r="M58">
        <v>4.9000000000000004</v>
      </c>
      <c r="N58" t="s">
        <v>9</v>
      </c>
      <c r="O58" t="s">
        <v>36</v>
      </c>
      <c r="P58">
        <f t="shared" si="1"/>
        <v>6.0459215573383824</v>
      </c>
      <c r="Q58">
        <f t="shared" si="2"/>
        <v>1.3131362155728228</v>
      </c>
      <c r="R58" s="67" t="e" cm="1">
        <f t="array" ref="R58">SUMPRODUCT((J58=$J$7:$J$1000)*(P58&lt;$P$7:$P$1000))+1</f>
        <v>#N/A</v>
      </c>
      <c r="S58" s="72"/>
      <c r="T58">
        <v>14</v>
      </c>
      <c r="U58" t="str">
        <v>HOU</v>
      </c>
      <c r="V58" t="str">
        <v>Dom Akina</v>
      </c>
      <c r="W58" t="str">
        <v>NULL</v>
      </c>
      <c r="X58" t="str">
        <v>Home</v>
      </c>
      <c r="Y58" t="str">
        <v>UTAH</v>
      </c>
      <c r="Z58">
        <v>6.770994384330554</v>
      </c>
      <c r="AA58" s="1"/>
      <c r="AB58" s="1" cm="1">
        <f t="array" ref="AB58">COUNT(_xlfn._xlws.FILTER($J$7:$J$10000,($L$7:$L$10000=AA58)*($M$7:$M$10000&lt;&gt;"NULL")*($J$7:$J$10000 &gt;= ($G$1-5))))/5</f>
        <v>0</v>
      </c>
    </row>
    <row r="59" spans="1:28" x14ac:dyDescent="0.35">
      <c r="A59">
        <f>VLOOKUP($B59, PlayerIDs!$A$1:$B$516, 2, FALSE)</f>
        <v>459</v>
      </c>
      <c r="B59" t="s">
        <v>39</v>
      </c>
      <c r="C59" s="1">
        <v>4.1840610010854986</v>
      </c>
      <c r="D59" s="1">
        <f t="shared" si="3"/>
        <v>40</v>
      </c>
      <c r="E59" s="1" cm="1">
        <f t="array" ref="E59">IFERROR(VLOOKUP($B59,_xlfn._xlws.FILTER($L$7:$P$10000,$J$7:$J$10000=G$1+1),5, FALSE), 0)</f>
        <v>3.6812962132964482</v>
      </c>
      <c r="F59" s="1">
        <f t="shared" si="4"/>
        <v>33</v>
      </c>
      <c r="G59" s="1">
        <f t="shared" ca="1" si="5"/>
        <v>10.71386973092555</v>
      </c>
      <c r="H59" s="1">
        <f t="shared" ca="1" si="6"/>
        <v>43</v>
      </c>
      <c r="I59" s="1" cm="1">
        <f t="array" ref="I59">COUNT(_xlfn._xlws.FILTER($J$7:$J$10000,($L$7:$L$10000=B59)*($M$7:$M$10000&lt;&gt;"NULL")*($J$7:$J$10000 &gt;= ($G$1-4))))/5</f>
        <v>0.2</v>
      </c>
      <c r="J59" s="65">
        <v>3</v>
      </c>
      <c r="K59" t="s">
        <v>17</v>
      </c>
      <c r="L59" t="s">
        <v>37</v>
      </c>
      <c r="M59">
        <v>4.4000000000000004</v>
      </c>
      <c r="N59" t="s">
        <v>9</v>
      </c>
      <c r="O59" t="s">
        <v>36</v>
      </c>
      <c r="P59">
        <f t="shared" si="1"/>
        <v>11.170955531809165</v>
      </c>
      <c r="Q59">
        <f t="shared" si="2"/>
        <v>45.845838813737124</v>
      </c>
      <c r="R59" s="67" t="e" cm="1">
        <f t="array" ref="R59">SUMPRODUCT((J59=$J$7:$J$1000)*(P59&lt;$P$7:$P$1000))+1</f>
        <v>#N/A</v>
      </c>
      <c r="S59" s="72"/>
      <c r="T59">
        <v>14</v>
      </c>
      <c r="U59" t="str">
        <v>HOU</v>
      </c>
      <c r="V59" t="str">
        <v>Louritz van der Schyff</v>
      </c>
      <c r="W59" t="str">
        <v>NULL</v>
      </c>
      <c r="X59" t="str">
        <v>Home</v>
      </c>
      <c r="Y59" t="str">
        <v>UTAH</v>
      </c>
      <c r="Z59">
        <v>0.41136385030376621</v>
      </c>
      <c r="AA59" s="1"/>
      <c r="AB59" s="1" cm="1">
        <f t="array" ref="AB59">COUNT(_xlfn._xlws.FILTER($J$7:$J$10000,($L$7:$L$10000=AA59)*($M$7:$M$10000&lt;&gt;"NULL")*($J$7:$J$10000 &gt;= ($G$1-5))))/5</f>
        <v>0</v>
      </c>
    </row>
    <row r="60" spans="1:28" x14ac:dyDescent="0.35">
      <c r="A60">
        <f>VLOOKUP($B60, PlayerIDs!$A$1:$B$516, 2, FALSE)</f>
        <v>617</v>
      </c>
      <c r="B60" t="s">
        <v>487</v>
      </c>
      <c r="C60" s="1">
        <v>3.890102634347155</v>
      </c>
      <c r="D60" s="1">
        <f t="shared" si="3"/>
        <v>41</v>
      </c>
      <c r="E60" s="1" cm="1">
        <f t="array" ref="E60">IFERROR(VLOOKUP($B60,_xlfn._xlws.FILTER($L$7:$P$10000,$J$7:$J$10000=G$1+1),5, FALSE), 0)</f>
        <v>3.259053606589756</v>
      </c>
      <c r="F60" s="1">
        <f t="shared" si="4"/>
        <v>35</v>
      </c>
      <c r="G60" s="1">
        <f t="shared" ca="1" si="5"/>
        <v>17.590749540059448</v>
      </c>
      <c r="H60" s="1">
        <f t="shared" ca="1" si="6"/>
        <v>36</v>
      </c>
      <c r="I60" s="1" cm="1">
        <f t="array" ref="I60">COUNT(_xlfn._xlws.FILTER($J$7:$J$10000,($L$7:$L$10000=B60)*($M$7:$M$10000&lt;&gt;"NULL")*($J$7:$J$10000 &gt;= ($G$1-4))))/5</f>
        <v>0.2</v>
      </c>
      <c r="J60" s="65">
        <v>3</v>
      </c>
      <c r="K60" t="s">
        <v>13</v>
      </c>
      <c r="L60" t="s">
        <v>53</v>
      </c>
      <c r="M60">
        <v>2.9</v>
      </c>
      <c r="N60" t="s">
        <v>3</v>
      </c>
      <c r="O60" t="s">
        <v>4</v>
      </c>
      <c r="P60">
        <f t="shared" si="1"/>
        <v>9.235870708742155</v>
      </c>
      <c r="Q60">
        <f t="shared" si="2"/>
        <v>40.143257637896809</v>
      </c>
      <c r="R60" s="67" t="e" cm="1">
        <f t="array" ref="R60">SUMPRODUCT((J60=$J$7:$J$1000)*(P60&lt;$P$7:$P$1000))+1</f>
        <v>#N/A</v>
      </c>
      <c r="S60" s="72"/>
      <c r="T60">
        <v>14</v>
      </c>
      <c r="U60" t="str">
        <v>HOU</v>
      </c>
      <c r="V60" t="str">
        <v>Sam Hill</v>
      </c>
      <c r="W60" t="str">
        <v>NULL</v>
      </c>
      <c r="X60" t="str">
        <v>Home</v>
      </c>
      <c r="Y60" t="str">
        <v>UTAH</v>
      </c>
      <c r="Z60">
        <v>-0.65256993232565286</v>
      </c>
      <c r="AA60" s="1"/>
      <c r="AB60" s="1" cm="1">
        <f t="array" ref="AB60">COUNT(_xlfn._xlws.FILTER($J$7:$J$10000,($L$7:$L$10000=AA60)*($M$7:$M$10000&lt;&gt;"NULL")*($J$7:$J$10000 &gt;= ($G$1-5))))/5</f>
        <v>0</v>
      </c>
    </row>
    <row r="61" spans="1:28" x14ac:dyDescent="0.35">
      <c r="A61">
        <f>VLOOKUP($B61, PlayerIDs!$A$1:$B$516, 2, FALSE)</f>
        <v>619</v>
      </c>
      <c r="B61" t="s">
        <v>96</v>
      </c>
      <c r="C61" s="1">
        <v>3.7174805841147402</v>
      </c>
      <c r="D61" s="1">
        <f t="shared" si="3"/>
        <v>42</v>
      </c>
      <c r="E61" s="1" cm="1">
        <f t="array" ref="E61">IFERROR(VLOOKUP($B61,_xlfn._xlws.FILTER($L$7:$P$10000,$J$7:$J$10000=G$1+1),5, FALSE), 0)</f>
        <v>3.0864315563573412</v>
      </c>
      <c r="F61" s="1">
        <f t="shared" si="4"/>
        <v>37</v>
      </c>
      <c r="G61" s="1">
        <f t="shared" ca="1" si="5"/>
        <v>16.900261339129788</v>
      </c>
      <c r="H61" s="1">
        <f t="shared" ca="1" si="6"/>
        <v>38</v>
      </c>
      <c r="I61" s="1" cm="1">
        <f t="array" ref="I61">COUNT(_xlfn._xlws.FILTER($J$7:$J$10000,($L$7:$L$10000=B61)*($M$7:$M$10000&lt;&gt;"NULL")*($J$7:$J$10000 &gt;= ($G$1-4))))/5</f>
        <v>0</v>
      </c>
      <c r="J61" s="65">
        <v>3</v>
      </c>
      <c r="K61" t="s">
        <v>4</v>
      </c>
      <c r="L61" t="s">
        <v>452</v>
      </c>
      <c r="M61">
        <v>2.7</v>
      </c>
      <c r="N61" t="s">
        <v>9</v>
      </c>
      <c r="O61" t="s">
        <v>13</v>
      </c>
      <c r="P61">
        <f t="shared" si="1"/>
        <v>4.857650070261335</v>
      </c>
      <c r="Q61">
        <f t="shared" si="2"/>
        <v>4.6554538256987428</v>
      </c>
      <c r="R61" s="67" t="e" cm="1">
        <f t="array" ref="R61">SUMPRODUCT((J61=$J$7:$J$1000)*(P61&lt;$P$7:$P$1000))+1</f>
        <v>#N/A</v>
      </c>
      <c r="S61" s="72"/>
      <c r="T61">
        <v>14</v>
      </c>
      <c r="U61" t="str">
        <v>HOU</v>
      </c>
      <c r="V61" t="str">
        <v>Tautalatasi Tasi</v>
      </c>
      <c r="W61" t="str">
        <v>NULL</v>
      </c>
      <c r="X61" t="str">
        <v>Home</v>
      </c>
      <c r="Y61" t="str">
        <v>UTAH</v>
      </c>
      <c r="Z61">
        <v>5.656416489318544</v>
      </c>
      <c r="AA61" s="1"/>
      <c r="AB61" s="1" cm="1">
        <f t="array" ref="AB61">COUNT(_xlfn._xlws.FILTER($J$7:$J$10000,($L$7:$L$10000=AA61)*($M$7:$M$10000&lt;&gt;"NULL")*($J$7:$J$10000 &gt;= ($G$1-5))))/5</f>
        <v>0</v>
      </c>
    </row>
    <row r="62" spans="1:28" x14ac:dyDescent="0.35">
      <c r="A62">
        <f>VLOOKUP($B62, PlayerIDs!$A$1:$B$516, 2, FALSE)</f>
        <v>30</v>
      </c>
      <c r="B62" t="s">
        <v>25</v>
      </c>
      <c r="C62" s="1">
        <v>3.6795748370284613</v>
      </c>
      <c r="D62" s="1">
        <f t="shared" si="3"/>
        <v>43</v>
      </c>
      <c r="E62" s="1" cm="1">
        <f t="array" ref="E62">IFERROR(VLOOKUP($B62,_xlfn._xlws.FILTER($L$7:$P$10000,$J$7:$J$10000=G$1+1),5, FALSE), 0)</f>
        <v>2.7186679515658811</v>
      </c>
      <c r="F62" s="1">
        <f t="shared" si="4"/>
        <v>39</v>
      </c>
      <c r="G62" s="1">
        <f t="shared" ca="1" si="5"/>
        <v>13.706995508026811</v>
      </c>
      <c r="H62" s="1">
        <f t="shared" ca="1" si="6"/>
        <v>40</v>
      </c>
      <c r="I62" s="1" cm="1">
        <f t="array" ref="I62">COUNT(_xlfn._xlws.FILTER($J$7:$J$10000,($L$7:$L$10000=B62)*($M$7:$M$10000&lt;&gt;"NULL")*($J$7:$J$10000 &gt;= ($G$1-4))))/5</f>
        <v>0.6</v>
      </c>
      <c r="J62" s="65">
        <v>3</v>
      </c>
      <c r="K62" t="s">
        <v>4</v>
      </c>
      <c r="L62" t="s">
        <v>1</v>
      </c>
      <c r="M62">
        <v>2.2000000000000002</v>
      </c>
      <c r="N62" t="s">
        <v>9</v>
      </c>
      <c r="O62" t="s">
        <v>13</v>
      </c>
      <c r="P62">
        <f t="shared" si="1"/>
        <v>6.1759199529143016</v>
      </c>
      <c r="Q62">
        <f t="shared" si="2"/>
        <v>15.807939471982062</v>
      </c>
      <c r="R62" s="67" t="e" cm="1">
        <f t="array" ref="R62">SUMPRODUCT((J62=$J$7:$J$1000)*(P62&lt;$P$7:$P$1000))+1</f>
        <v>#N/A</v>
      </c>
      <c r="S62" s="72"/>
      <c r="T62">
        <v>14</v>
      </c>
      <c r="U62" t="str">
        <v>LA</v>
      </c>
      <c r="V62" t="str">
        <v>Billy Meakes</v>
      </c>
      <c r="W62" t="str">
        <v>NULL</v>
      </c>
      <c r="X62" t="str">
        <v>Away</v>
      </c>
      <c r="Y62" t="str">
        <v>CHI</v>
      </c>
      <c r="Z62">
        <v>11.341521334658141</v>
      </c>
      <c r="AA62" s="1"/>
      <c r="AB62" s="1" cm="1">
        <f t="array" ref="AB62">COUNT(_xlfn._xlws.FILTER($J$7:$J$10000,($L$7:$L$10000=AA62)*($M$7:$M$10000&lt;&gt;"NULL")*($J$7:$J$10000 &gt;= ($G$1-5))))/5</f>
        <v>0</v>
      </c>
    </row>
    <row r="63" spans="1:28" x14ac:dyDescent="0.35">
      <c r="A63">
        <f>VLOOKUP($B63, PlayerIDs!$A$1:$B$516, 2, FALSE)</f>
        <v>267</v>
      </c>
      <c r="B63" t="s">
        <v>50</v>
      </c>
      <c r="C63" s="1">
        <v>3.3572477277222252</v>
      </c>
      <c r="D63" s="1">
        <f t="shared" si="3"/>
        <v>44</v>
      </c>
      <c r="E63" s="1" cm="1">
        <f t="array" ref="E63">IFERROR(VLOOKUP($B63,_xlfn._xlws.FILTER($L$7:$P$10000,$J$7:$J$10000=G$1+1),5, FALSE), 0)</f>
        <v>3.1835281306861805</v>
      </c>
      <c r="F63" s="1">
        <f t="shared" si="4"/>
        <v>36</v>
      </c>
      <c r="G63" s="1">
        <f t="shared" ca="1" si="5"/>
        <v>6.3662885329068537</v>
      </c>
      <c r="H63" s="1">
        <f t="shared" ca="1" si="6"/>
        <v>44</v>
      </c>
      <c r="I63" s="1" cm="1">
        <f t="array" ref="I63">COUNT(_xlfn._xlws.FILTER($J$7:$J$10000,($L$7:$L$10000=B63)*($M$7:$M$10000&lt;&gt;"NULL")*($J$7:$J$10000 &gt;= ($G$1-4))))/5</f>
        <v>0.4</v>
      </c>
      <c r="J63" s="65">
        <v>4</v>
      </c>
      <c r="K63" t="s">
        <v>14</v>
      </c>
      <c r="L63" t="s">
        <v>11</v>
      </c>
      <c r="M63">
        <v>21</v>
      </c>
      <c r="N63" t="s">
        <v>9</v>
      </c>
      <c r="O63" t="s">
        <v>7</v>
      </c>
      <c r="P63">
        <f t="shared" si="1"/>
        <v>9.9713757101770319</v>
      </c>
      <c r="Q63">
        <f t="shared" si="2"/>
        <v>121.63055372607316</v>
      </c>
      <c r="R63" s="67" t="e" cm="1">
        <f t="array" ref="R63">SUMPRODUCT((J63=$J$7:$J$1000)*(P63&lt;$P$7:$P$1000))+1</f>
        <v>#N/A</v>
      </c>
      <c r="S63" s="72"/>
      <c r="T63">
        <v>14</v>
      </c>
      <c r="U63" t="str">
        <v>LA</v>
      </c>
      <c r="V63" t="str">
        <v>Matias Jensen</v>
      </c>
      <c r="W63" t="str">
        <v>NULL</v>
      </c>
      <c r="X63" t="str">
        <v>Away</v>
      </c>
      <c r="Y63" t="str">
        <v>CHI</v>
      </c>
      <c r="Z63">
        <v>11.199704664563068</v>
      </c>
      <c r="AA63" s="1"/>
      <c r="AB63" s="1" cm="1">
        <f t="array" ref="AB63">COUNT(_xlfn._xlws.FILTER($J$7:$J$10000,($L$7:$L$10000=AA63)*($M$7:$M$10000&lt;&gt;"NULL")*($J$7:$J$10000 &gt;= ($G$1-5))))/5</f>
        <v>0</v>
      </c>
    </row>
    <row r="64" spans="1:28" x14ac:dyDescent="0.35">
      <c r="A64">
        <f>VLOOKUP($B64, PlayerIDs!$A$1:$B$516, 2, FALSE)</f>
        <v>583</v>
      </c>
      <c r="B64" t="s">
        <v>48</v>
      </c>
      <c r="C64" s="1">
        <v>2.2933139450928062</v>
      </c>
      <c r="D64" s="1">
        <f t="shared" si="3"/>
        <v>45</v>
      </c>
      <c r="E64" s="1" cm="1">
        <f t="array" ref="E64">IFERROR(VLOOKUP($B64,_xlfn._xlws.FILTER($L$7:$P$10000,$J$7:$J$10000=G$1+1),5, FALSE), 0)</f>
        <v>2.1195943480567614</v>
      </c>
      <c r="F64" s="1">
        <f t="shared" si="4"/>
        <v>40</v>
      </c>
      <c r="G64" s="1">
        <f t="shared" ca="1" si="5"/>
        <v>3.1744871850185969</v>
      </c>
      <c r="H64" s="1">
        <f t="shared" ca="1" si="6"/>
        <v>46</v>
      </c>
      <c r="I64" s="1" cm="1">
        <f t="array" ref="I64">COUNT(_xlfn._xlws.FILTER($J$7:$J$10000,($L$7:$L$10000=B64)*($M$7:$M$10000&lt;&gt;"NULL")*($J$7:$J$10000 &gt;= ($G$1-4))))/5</f>
        <v>0.2</v>
      </c>
      <c r="J64" s="65">
        <v>4</v>
      </c>
      <c r="K64" t="s">
        <v>36</v>
      </c>
      <c r="L64" t="s">
        <v>490</v>
      </c>
      <c r="M64">
        <v>13.2</v>
      </c>
      <c r="N64" t="s">
        <v>9</v>
      </c>
      <c r="O64" t="s">
        <v>13</v>
      </c>
      <c r="P64">
        <f t="shared" si="1"/>
        <v>5.9347913532262693</v>
      </c>
      <c r="Q64">
        <f t="shared" si="2"/>
        <v>52.783256681155777</v>
      </c>
      <c r="R64" s="67" t="e" cm="1">
        <f t="array" ref="R64">SUMPRODUCT((J64=$J$7:$J$1000)*(P64&lt;$P$7:$P$1000))+1</f>
        <v>#N/A</v>
      </c>
      <c r="S64" s="72"/>
      <c r="T64">
        <v>14</v>
      </c>
      <c r="U64" t="str">
        <v>LA</v>
      </c>
      <c r="V64" t="str">
        <v>Nick Chan</v>
      </c>
      <c r="W64" t="str">
        <v>NULL</v>
      </c>
      <c r="X64" t="str">
        <v>Away</v>
      </c>
      <c r="Y64" t="str">
        <v>CHI</v>
      </c>
      <c r="Z64">
        <v>9.1366687277828476</v>
      </c>
      <c r="AA64" s="1"/>
      <c r="AB64" s="1" cm="1">
        <f t="array" ref="AB64">COUNT(_xlfn._xlws.FILTER($J$7:$J$10000,($L$7:$L$10000=AA64)*($M$7:$M$10000&lt;&gt;"NULL")*($J$7:$J$10000 &gt;= ($G$1-5))))/5</f>
        <v>0</v>
      </c>
    </row>
    <row r="65" spans="1:28" x14ac:dyDescent="0.35">
      <c r="A65">
        <f>VLOOKUP($B65, PlayerIDs!$A$1:$B$516, 2, FALSE)</f>
        <v>790</v>
      </c>
      <c r="B65" t="s">
        <v>518</v>
      </c>
      <c r="C65" s="1">
        <v>1.5257590343385194</v>
      </c>
      <c r="D65" s="1">
        <f t="shared" si="3"/>
        <v>46</v>
      </c>
      <c r="E65" s="1" cm="1">
        <f t="array" ref="E65">IFERROR(VLOOKUP($B65,_xlfn._xlws.FILTER($L$7:$P$10000,$J$7:$J$10000=G$1+1),5, FALSE), 0)</f>
        <v>0.56485214887593926</v>
      </c>
      <c r="F65" s="1">
        <f t="shared" si="4"/>
        <v>42</v>
      </c>
      <c r="G65" s="1">
        <f t="shared" ca="1" si="5"/>
        <v>5.0917322972670416</v>
      </c>
      <c r="H65" s="1">
        <f t="shared" ca="1" si="6"/>
        <v>45</v>
      </c>
      <c r="I65" s="1" cm="1">
        <f t="array" ref="I65">COUNT(_xlfn._xlws.FILTER($J$7:$J$10000,($L$7:$L$10000=B65)*($M$7:$M$10000&lt;&gt;"NULL")*($J$7:$J$10000 &gt;= ($G$1-4))))/5</f>
        <v>0</v>
      </c>
      <c r="J65" s="65">
        <v>4</v>
      </c>
      <c r="K65" t="s">
        <v>7</v>
      </c>
      <c r="L65" t="s">
        <v>26</v>
      </c>
      <c r="M65">
        <v>11</v>
      </c>
      <c r="N65" t="s">
        <v>3</v>
      </c>
      <c r="O65" t="s">
        <v>14</v>
      </c>
      <c r="P65">
        <f t="shared" si="1"/>
        <v>12.094098230663246</v>
      </c>
      <c r="Q65">
        <f t="shared" si="2"/>
        <v>1.1970509383404446</v>
      </c>
      <c r="R65" s="67" t="e" cm="1">
        <f t="array" ref="R65">SUMPRODUCT((J65=$J$7:$J$1000)*(P65&lt;$P$7:$P$1000))+1</f>
        <v>#N/A</v>
      </c>
      <c r="S65" s="72"/>
      <c r="T65">
        <v>14</v>
      </c>
      <c r="U65" t="str">
        <v>MIA</v>
      </c>
      <c r="V65" t="str">
        <v>Guiseppe du Toit</v>
      </c>
      <c r="W65" t="str">
        <v>NULL</v>
      </c>
      <c r="X65" t="str">
        <v>Home</v>
      </c>
      <c r="Y65" t="str">
        <v>NEFJ</v>
      </c>
      <c r="Z65">
        <v>5.888094928323512</v>
      </c>
      <c r="AA65" s="1"/>
      <c r="AB65" s="1" cm="1">
        <f t="array" ref="AB65">COUNT(_xlfn._xlws.FILTER($J$7:$J$10000,($L$7:$L$10000=AA65)*($M$7:$M$10000&lt;&gt;"NULL")*($J$7:$J$10000 &gt;= ($G$1-5))))/5</f>
        <v>0</v>
      </c>
    </row>
    <row r="66" spans="1:28" x14ac:dyDescent="0.35">
      <c r="A66">
        <f>VLOOKUP($B66, PlayerIDs!$A$1:$B$516, 2, FALSE)</f>
        <v>430</v>
      </c>
      <c r="B66" t="s">
        <v>693</v>
      </c>
      <c r="C66" s="1">
        <v>-1.1351582553064032</v>
      </c>
      <c r="D66" s="1">
        <f t="shared" si="3"/>
        <v>47</v>
      </c>
      <c r="E66" s="1" cm="1">
        <f t="array" ref="E66">IFERROR(VLOOKUP($B66,_xlfn._xlws.FILTER($L$7:$P$10000,$J$7:$J$10000=G$1+1),5, FALSE), 0)</f>
        <v>-1.9993842950194463</v>
      </c>
      <c r="F66" s="1">
        <f t="shared" si="4"/>
        <v>47</v>
      </c>
      <c r="G66" s="1">
        <f t="shared" ca="1" si="5"/>
        <v>-4.5266221034283038</v>
      </c>
      <c r="H66" s="1">
        <f t="shared" ca="1" si="6"/>
        <v>47</v>
      </c>
      <c r="I66" s="1" cm="1">
        <f t="array" ref="I66">COUNT(_xlfn._xlws.FILTER($J$7:$J$10000,($L$7:$L$10000=B66)*($M$7:$M$10000&lt;&gt;"NULL")*($J$7:$J$10000 &gt;= ($G$1-4))))/5</f>
        <v>0.2</v>
      </c>
      <c r="J66" s="65">
        <v>4</v>
      </c>
      <c r="K66" t="s">
        <v>17</v>
      </c>
      <c r="L66" t="s">
        <v>37</v>
      </c>
      <c r="M66">
        <v>10.4</v>
      </c>
      <c r="N66" t="s">
        <v>3</v>
      </c>
      <c r="O66" t="s">
        <v>23</v>
      </c>
      <c r="P66">
        <f t="shared" si="1"/>
        <v>11.113547087512281</v>
      </c>
      <c r="Q66">
        <f t="shared" si="2"/>
        <v>0.50914944609725776</v>
      </c>
      <c r="R66" s="67" t="e" cm="1">
        <f t="array" ref="R66">SUMPRODUCT((J66=$J$7:$J$1000)*(P66&lt;$P$7:$P$1000))+1</f>
        <v>#N/A</v>
      </c>
      <c r="S66" s="72"/>
      <c r="T66">
        <v>14</v>
      </c>
      <c r="U66" t="str">
        <v>MIA</v>
      </c>
      <c r="V66" t="str">
        <v>Matias Orlando</v>
      </c>
      <c r="W66" t="str">
        <v>NULL</v>
      </c>
      <c r="X66" t="str">
        <v>Home</v>
      </c>
      <c r="Y66" t="str">
        <v>NEFJ</v>
      </c>
      <c r="Z66">
        <v>5.4639236764513051</v>
      </c>
      <c r="AA66" s="1"/>
      <c r="AB66" s="1" cm="1">
        <f t="array" ref="AB66">COUNT(_xlfn._xlws.FILTER($J$7:$J$10000,($L$7:$L$10000=AA66)*($M$7:$M$10000&lt;&gt;"NULL")*($J$7:$J$10000 &gt;= ($G$1-5))))/5</f>
        <v>0</v>
      </c>
    </row>
    <row r="67" spans="1:28" x14ac:dyDescent="0.35">
      <c r="C67" s="1"/>
      <c r="D67" s="1"/>
      <c r="E67" s="1"/>
      <c r="F67" s="1"/>
      <c r="G67" s="1"/>
      <c r="H67" s="1"/>
      <c r="J67" s="65">
        <v>4</v>
      </c>
      <c r="K67" t="s">
        <v>2</v>
      </c>
      <c r="L67" t="s">
        <v>449</v>
      </c>
      <c r="M67">
        <v>10.199999999999999</v>
      </c>
      <c r="N67" t="s">
        <v>9</v>
      </c>
      <c r="O67" t="s">
        <v>24</v>
      </c>
      <c r="P67">
        <f t="shared" si="1"/>
        <v>7.8408190726638498</v>
      </c>
      <c r="Q67">
        <f t="shared" si="2"/>
        <v>5.5657346479066545</v>
      </c>
      <c r="R67" s="67" t="e" cm="1">
        <f t="array" ref="R67">SUMPRODUCT((J67=$J$7:$J$1000)*(P67&lt;$P$7:$P$1000))+1</f>
        <v>#N/A</v>
      </c>
      <c r="S67" s="72"/>
      <c r="T67">
        <v>14</v>
      </c>
      <c r="U67" t="str">
        <v>MIA</v>
      </c>
      <c r="V67" t="str">
        <v>Santiago Videla</v>
      </c>
      <c r="W67" t="str">
        <v>NULL</v>
      </c>
      <c r="X67" t="str">
        <v>Home</v>
      </c>
      <c r="Y67" t="str">
        <v>NEFJ</v>
      </c>
      <c r="Z67">
        <v>3.4356822159365303</v>
      </c>
      <c r="AA67" s="1"/>
      <c r="AB67" s="1" cm="1">
        <f t="array" ref="AB67">COUNT(_xlfn._xlws.FILTER($J$7:$J$10000,($L$7:$L$10000=AA67)*($M$7:$M$10000&lt;&gt;"NULL")*($J$7:$J$10000 &gt;= ($G$1-5))))/5</f>
        <v>0</v>
      </c>
    </row>
    <row r="68" spans="1:28" x14ac:dyDescent="0.35">
      <c r="C68" s="1"/>
      <c r="D68" s="1"/>
      <c r="E68" s="1"/>
      <c r="F68" s="1"/>
      <c r="G68" s="1"/>
      <c r="H68" s="1"/>
      <c r="J68" s="65">
        <v>4</v>
      </c>
      <c r="K68" t="s">
        <v>6</v>
      </c>
      <c r="L68" t="s">
        <v>8</v>
      </c>
      <c r="M68">
        <v>8.6999999999999993</v>
      </c>
      <c r="N68" t="s">
        <v>9</v>
      </c>
      <c r="O68" t="s">
        <v>34</v>
      </c>
      <c r="P68">
        <f t="shared" si="1"/>
        <v>11.850333759176953</v>
      </c>
      <c r="Q68">
        <f t="shared" si="2"/>
        <v>9.9246027942099992</v>
      </c>
      <c r="R68" s="67" t="e" cm="1">
        <f t="array" ref="R68">SUMPRODUCT((J68=$J$7:$J$1000)*(P68&lt;$P$7:$P$1000))+1</f>
        <v>#N/A</v>
      </c>
      <c r="S68" s="72"/>
      <c r="T68">
        <v>14</v>
      </c>
      <c r="U68" t="str">
        <v>MIA</v>
      </c>
      <c r="V68" t="str">
        <v>Tomás Cubilla</v>
      </c>
      <c r="W68" t="str">
        <v>NULL</v>
      </c>
      <c r="X68" t="str">
        <v>Home</v>
      </c>
      <c r="Y68" t="str">
        <v>NEFJ</v>
      </c>
      <c r="Z68">
        <v>8.6202195828773842</v>
      </c>
      <c r="AA68" s="1"/>
      <c r="AB68" s="1" cm="1">
        <f t="array" ref="AB68">COUNT(_xlfn._xlws.FILTER($J$7:$J$10000,($L$7:$L$10000=AA68)*($M$7:$M$10000&lt;&gt;"NULL")*($J$7:$J$10000 &gt;= ($G$1-5))))/5</f>
        <v>0</v>
      </c>
    </row>
    <row r="69" spans="1:28" x14ac:dyDescent="0.35">
      <c r="C69" s="1"/>
      <c r="D69" s="1"/>
      <c r="E69" s="1"/>
      <c r="F69" s="1"/>
      <c r="G69" s="1"/>
      <c r="H69" s="1"/>
      <c r="J69" s="65">
        <v>4</v>
      </c>
      <c r="K69" t="s">
        <v>2</v>
      </c>
      <c r="L69" t="s">
        <v>44</v>
      </c>
      <c r="M69">
        <v>8</v>
      </c>
      <c r="N69" t="s">
        <v>9</v>
      </c>
      <c r="O69" t="s">
        <v>24</v>
      </c>
      <c r="P69">
        <f t="shared" si="1"/>
        <v>6.0125733771107006</v>
      </c>
      <c r="Q69">
        <f t="shared" si="2"/>
        <v>3.9498645813691655</v>
      </c>
      <c r="R69" s="67" t="e" cm="1">
        <f t="array" ref="R69">SUMPRODUCT((J69=$J$7:$J$1000)*(P69&lt;$P$7:$P$1000))+1</f>
        <v>#N/A</v>
      </c>
      <c r="S69" s="72"/>
      <c r="T69">
        <v>14</v>
      </c>
      <c r="U69" t="str">
        <v>MIA</v>
      </c>
      <c r="V69" t="str">
        <v>Tomás Inciarte</v>
      </c>
      <c r="W69" t="str">
        <v>NULL</v>
      </c>
      <c r="X69" t="str">
        <v>Home</v>
      </c>
      <c r="Y69" t="str">
        <v>NEFJ</v>
      </c>
      <c r="Z69">
        <v>3.6083042661689451</v>
      </c>
      <c r="AA69" s="1"/>
      <c r="AB69" s="1" cm="1">
        <f t="array" ref="AB69">COUNT(_xlfn._xlws.FILTER($J$7:$J$10000,($L$7:$L$10000=AA69)*($M$7:$M$10000&lt;&gt;"NULL")*($J$7:$J$10000 &gt;= ($G$1-5))))/5</f>
        <v>0</v>
      </c>
    </row>
    <row r="70" spans="1:28" x14ac:dyDescent="0.35">
      <c r="C70" s="1"/>
      <c r="D70" s="1"/>
      <c r="E70" s="1"/>
      <c r="F70" s="1"/>
      <c r="G70" s="1"/>
      <c r="H70" s="1"/>
      <c r="J70" s="65">
        <v>4</v>
      </c>
      <c r="K70" t="s">
        <v>6</v>
      </c>
      <c r="L70" t="s">
        <v>451</v>
      </c>
      <c r="M70">
        <v>8</v>
      </c>
      <c r="N70" t="s">
        <v>9</v>
      </c>
      <c r="O70" t="s">
        <v>34</v>
      </c>
      <c r="P70">
        <f t="shared" si="1"/>
        <v>9.6454811523016595</v>
      </c>
      <c r="Q70">
        <f t="shared" si="2"/>
        <v>2.7076082225799971</v>
      </c>
      <c r="R70" s="67" t="e" cm="1">
        <f t="array" ref="R70">SUMPRODUCT((J70=$J$7:$J$1000)*(P70&lt;$P$7:$P$1000))+1</f>
        <v>#N/A</v>
      </c>
      <c r="S70" s="72"/>
      <c r="T70">
        <v>14</v>
      </c>
      <c r="U70" t="str">
        <v>NEFJ</v>
      </c>
      <c r="V70" t="str">
        <v>Ben LeSage</v>
      </c>
      <c r="W70" t="str">
        <v>NULL</v>
      </c>
      <c r="X70" t="str">
        <v>Away</v>
      </c>
      <c r="Y70" t="str">
        <v>MIA</v>
      </c>
      <c r="Z70">
        <v>2.9298775282918839</v>
      </c>
      <c r="AA70" s="1"/>
      <c r="AB70" s="1" cm="1">
        <f t="array" ref="AB70">COUNT(_xlfn._xlws.FILTER($J$7:$J$10000,($L$7:$L$10000=AA70)*($M$7:$M$10000&lt;&gt;"NULL")*($J$7:$J$10000 &gt;= ($G$1-5))))/5</f>
        <v>0</v>
      </c>
    </row>
    <row r="71" spans="1:28" x14ac:dyDescent="0.35">
      <c r="C71" s="1"/>
      <c r="D71" s="1"/>
      <c r="E71" s="1"/>
      <c r="F71" s="1"/>
      <c r="G71" s="1"/>
      <c r="H71" s="1"/>
      <c r="J71" s="65">
        <v>4</v>
      </c>
      <c r="K71" t="s">
        <v>17</v>
      </c>
      <c r="L71" t="s">
        <v>196</v>
      </c>
      <c r="M71">
        <v>8</v>
      </c>
      <c r="N71" t="s">
        <v>3</v>
      </c>
      <c r="O71" t="s">
        <v>23</v>
      </c>
      <c r="P71">
        <f t="shared" si="1"/>
        <v>5.9885131130414972</v>
      </c>
      <c r="Q71">
        <f t="shared" si="2"/>
        <v>4.0460794964060085</v>
      </c>
      <c r="R71" s="67" t="e" cm="1">
        <f t="array" ref="R71">SUMPRODUCT((J71=$J$7:$J$1000)*(P71&lt;$P$7:$P$1000))+1</f>
        <v>#N/A</v>
      </c>
      <c r="S71" s="72"/>
      <c r="T71">
        <v>14</v>
      </c>
      <c r="U71" t="str">
        <v>NEFJ</v>
      </c>
      <c r="V71" t="str">
        <v>Faletoi Peni</v>
      </c>
      <c r="W71" t="str">
        <v>NULL</v>
      </c>
      <c r="X71" t="str">
        <v>Away</v>
      </c>
      <c r="Y71" t="str">
        <v>MIA</v>
      </c>
      <c r="Z71">
        <v>0.77606172560194187</v>
      </c>
      <c r="AA71" s="1"/>
      <c r="AB71" s="1" cm="1">
        <f t="array" ref="AB71">COUNT(_xlfn._xlws.FILTER($J$7:$J$10000,($L$7:$L$10000=AA71)*($M$7:$M$10000&lt;&gt;"NULL")*($J$7:$J$10000 &gt;= ($G$1-5))))/5</f>
        <v>0</v>
      </c>
    </row>
    <row r="72" spans="1:28" x14ac:dyDescent="0.35">
      <c r="C72" s="1"/>
      <c r="D72" s="1"/>
      <c r="E72" s="1"/>
      <c r="F72" s="1"/>
      <c r="G72" s="1"/>
      <c r="H72" s="1"/>
      <c r="J72" s="65">
        <v>4</v>
      </c>
      <c r="K72" t="s">
        <v>13</v>
      </c>
      <c r="L72" t="s">
        <v>53</v>
      </c>
      <c r="M72">
        <v>7.9</v>
      </c>
      <c r="N72" t="s">
        <v>3</v>
      </c>
      <c r="O72" t="s">
        <v>36</v>
      </c>
      <c r="P72">
        <f t="shared" ref="P72:P135" si="7">VLOOKUP($N72,$F$3:$G$4,2,FALSE)+VLOOKUP($L72,$B$20:$C$150,2,FALSE)+VLOOKUP($O72,$A$6:$B$16,2,FALSE)</f>
        <v>9.6425298126182284</v>
      </c>
      <c r="Q72">
        <f t="shared" ref="Q72:Q98" si="8">IFERROR(($M72-$P72)^2,"")</f>
        <v>3.0364101478633168</v>
      </c>
      <c r="R72" s="67" t="e" cm="1">
        <f t="array" ref="R72">SUMPRODUCT((J72=$J$7:$J$1000)*(P72&lt;$P$7:$P$1000))+1</f>
        <v>#N/A</v>
      </c>
      <c r="S72" s="72"/>
      <c r="T72">
        <v>14</v>
      </c>
      <c r="U72" t="str">
        <v>NEFJ</v>
      </c>
      <c r="V72" t="str">
        <v>Killian Coghlan</v>
      </c>
      <c r="W72" t="str">
        <v>NULL</v>
      </c>
      <c r="X72" t="str">
        <v>Away</v>
      </c>
      <c r="Y72" t="str">
        <v>MIA</v>
      </c>
      <c r="Z72">
        <v>7.4326669375129146</v>
      </c>
      <c r="AA72" s="1"/>
      <c r="AB72" s="1" cm="1">
        <f t="array" ref="AB72">COUNT(_xlfn._xlws.FILTER($J$7:$J$10000,($L$7:$L$10000=AA72)*($M$7:$M$10000&lt;&gt;"NULL")*($J$7:$J$10000 &gt;= ($G$1-5))))/5</f>
        <v>0</v>
      </c>
    </row>
    <row r="73" spans="1:28" x14ac:dyDescent="0.35">
      <c r="J73" s="65">
        <v>4</v>
      </c>
      <c r="K73" t="s">
        <v>23</v>
      </c>
      <c r="L73" t="s">
        <v>498</v>
      </c>
      <c r="M73">
        <v>7.6</v>
      </c>
      <c r="N73" t="s">
        <v>9</v>
      </c>
      <c r="O73" t="s">
        <v>17</v>
      </c>
      <c r="P73">
        <f t="shared" si="7"/>
        <v>7.5965130704441739</v>
      </c>
      <c r="Q73">
        <f t="shared" si="8"/>
        <v>1.2158677727291137E-5</v>
      </c>
      <c r="R73" s="67" t="e" cm="1">
        <f t="array" ref="R73">SUMPRODUCT((J73=$J$7:$J$1000)*(P73&lt;$P$7:$P$1000))+1</f>
        <v>#N/A</v>
      </c>
      <c r="S73" s="72"/>
      <c r="T73">
        <v>14</v>
      </c>
      <c r="U73" t="str">
        <v>NEFJ</v>
      </c>
      <c r="V73" t="str">
        <v>Le Roux Malan</v>
      </c>
      <c r="W73" t="str">
        <v>NULL</v>
      </c>
      <c r="X73" t="str">
        <v>Away</v>
      </c>
      <c r="Y73" t="str">
        <v>MIA</v>
      </c>
      <c r="Z73">
        <v>8.1162580677777303</v>
      </c>
      <c r="AA73" s="1"/>
      <c r="AB73" s="1" cm="1">
        <f t="array" ref="AB73">COUNT(_xlfn._xlws.FILTER($J$7:$J$10000,($L$7:$L$10000=AA73)*($M$7:$M$10000&lt;&gt;"NULL")*($J$7:$J$10000 &gt;= ($G$1-5))))/5</f>
        <v>0</v>
      </c>
    </row>
    <row r="74" spans="1:28" x14ac:dyDescent="0.35">
      <c r="J74" s="65">
        <v>4</v>
      </c>
      <c r="K74" t="s">
        <v>34</v>
      </c>
      <c r="L74" t="s">
        <v>39</v>
      </c>
      <c r="M74">
        <v>7.6</v>
      </c>
      <c r="N74" t="s">
        <v>3</v>
      </c>
      <c r="O74" t="s">
        <v>6</v>
      </c>
      <c r="P74">
        <f t="shared" si="7"/>
        <v>7.3009669967279791</v>
      </c>
      <c r="Q74">
        <f t="shared" si="8"/>
        <v>8.9420737045884241E-2</v>
      </c>
      <c r="R74" s="67" t="e" cm="1">
        <f t="array" ref="R74">SUMPRODUCT((J74=$J$7:$J$1000)*(P74&lt;$P$7:$P$1000))+1</f>
        <v>#N/A</v>
      </c>
      <c r="S74" s="72"/>
      <c r="T74">
        <v>14</v>
      </c>
      <c r="U74" t="str">
        <v>NEFJ</v>
      </c>
      <c r="V74" t="str">
        <v>Wayne van der Bank</v>
      </c>
      <c r="W74" t="str">
        <v>NULL</v>
      </c>
      <c r="X74" t="str">
        <v>Away</v>
      </c>
      <c r="Y74" t="str">
        <v>MIA</v>
      </c>
      <c r="Z74">
        <v>7.375186176321888</v>
      </c>
      <c r="AA74" s="1"/>
      <c r="AB74" s="1" cm="1">
        <f t="array" ref="AB74">COUNT(_xlfn._xlws.FILTER($J$7:$J$10000,($L$7:$L$10000=AA74)*($M$7:$M$10000&lt;&gt;"NULL")*($J$7:$J$10000 &gt;= ($G$1-5))))/5</f>
        <v>0</v>
      </c>
    </row>
    <row r="75" spans="1:28" x14ac:dyDescent="0.35">
      <c r="J75" s="65">
        <v>4</v>
      </c>
      <c r="K75" t="s">
        <v>14</v>
      </c>
      <c r="L75" t="s">
        <v>517</v>
      </c>
      <c r="M75">
        <v>7.5</v>
      </c>
      <c r="N75" t="s">
        <v>9</v>
      </c>
      <c r="O75" t="s">
        <v>7</v>
      </c>
      <c r="P75">
        <f t="shared" si="7"/>
        <v>7.6859175715238157</v>
      </c>
      <c r="Q75">
        <f t="shared" si="8"/>
        <v>3.4565343401313134E-2</v>
      </c>
      <c r="R75" s="67" t="e" cm="1">
        <f t="array" ref="R75">SUMPRODUCT((J75=$J$7:$J$1000)*(P75&lt;$P$7:$P$1000))+1</f>
        <v>#N/A</v>
      </c>
      <c r="S75" s="72"/>
      <c r="T75">
        <v>14</v>
      </c>
      <c r="U75" t="str">
        <v>OGDC</v>
      </c>
      <c r="V75" t="str">
        <v>Jason Emery</v>
      </c>
      <c r="W75" t="str">
        <v>NULL</v>
      </c>
      <c r="X75" t="str">
        <v>Away</v>
      </c>
      <c r="Y75" t="str">
        <v>ARC</v>
      </c>
      <c r="Z75">
        <v>7.0020100795799127</v>
      </c>
      <c r="AA75" s="1"/>
      <c r="AB75" s="1" cm="1">
        <f t="array" ref="AB75">COUNT(_xlfn._xlws.FILTER($J$7:$J$10000,($L$7:$L$10000=AA75)*($M$7:$M$10000&lt;&gt;"NULL")*($J$7:$J$10000 &gt;= ($G$1-5))))/5</f>
        <v>0</v>
      </c>
    </row>
    <row r="76" spans="1:28" x14ac:dyDescent="0.35">
      <c r="J76" s="65">
        <v>4</v>
      </c>
      <c r="K76" t="s">
        <v>34</v>
      </c>
      <c r="L76" t="s">
        <v>52</v>
      </c>
      <c r="M76">
        <v>5.2</v>
      </c>
      <c r="N76" t="s">
        <v>3</v>
      </c>
      <c r="O76" t="s">
        <v>6</v>
      </c>
      <c r="P76">
        <f t="shared" si="7"/>
        <v>9.6537396587457991</v>
      </c>
      <c r="Q76">
        <f t="shared" si="8"/>
        <v>19.835796947885147</v>
      </c>
      <c r="R76" s="67" t="e" cm="1">
        <f t="array" ref="R76">SUMPRODUCT((J76=$J$7:$J$1000)*(P76&lt;$P$7:$P$1000))+1</f>
        <v>#N/A</v>
      </c>
      <c r="S76" s="72"/>
      <c r="T76">
        <v>14</v>
      </c>
      <c r="U76" t="str">
        <v>OGDC</v>
      </c>
      <c r="V76" t="str">
        <v>John Powers</v>
      </c>
      <c r="W76" t="str">
        <v>NULL</v>
      </c>
      <c r="X76" t="str">
        <v>Away</v>
      </c>
      <c r="Y76" t="str">
        <v>ARC</v>
      </c>
      <c r="Z76" t="e">
        <v>#N/A</v>
      </c>
      <c r="AA76" s="1"/>
      <c r="AB76" s="1" cm="1">
        <f t="array" ref="AB76">COUNT(_xlfn._xlws.FILTER($J$7:$J$10000,($L$7:$L$10000=AA76)*($M$7:$M$10000&lt;&gt;"NULL")*($J$7:$J$10000 &gt;= ($G$1-5))))/5</f>
        <v>0</v>
      </c>
    </row>
    <row r="77" spans="1:28" x14ac:dyDescent="0.35">
      <c r="J77" s="65">
        <v>4</v>
      </c>
      <c r="K77" t="s">
        <v>24</v>
      </c>
      <c r="L77" t="s">
        <v>402</v>
      </c>
      <c r="M77">
        <v>4.8</v>
      </c>
      <c r="N77" t="s">
        <v>3</v>
      </c>
      <c r="O77" t="s">
        <v>2</v>
      </c>
      <c r="P77">
        <f t="shared" si="7"/>
        <v>4.7848151591669348</v>
      </c>
      <c r="Q77">
        <f t="shared" si="8"/>
        <v>2.3057939112551933E-4</v>
      </c>
      <c r="R77" s="67" t="e" cm="1">
        <f t="array" ref="R77">SUMPRODUCT((J77=$J$7:$J$1000)*(P77&lt;$P$7:$P$1000))+1</f>
        <v>#N/A</v>
      </c>
      <c r="S77" s="72"/>
      <c r="T77">
        <v>14</v>
      </c>
      <c r="U77" t="str">
        <v>OGDC</v>
      </c>
      <c r="V77" t="str">
        <v>Nick Grigg</v>
      </c>
      <c r="W77" t="str">
        <v>NULL</v>
      </c>
      <c r="X77" t="str">
        <v>Away</v>
      </c>
      <c r="Y77" t="str">
        <v>ARC</v>
      </c>
      <c r="Z77">
        <v>12.372473094570971</v>
      </c>
      <c r="AA77" s="1"/>
      <c r="AB77" s="1" cm="1">
        <f t="array" ref="AB77">COUNT(_xlfn._xlws.FILTER($J$7:$J$10000,($L$7:$L$10000=AA77)*($M$7:$M$10000&lt;&gt;"NULL")*($J$7:$J$10000 &gt;= ($G$1-5))))/5</f>
        <v>0</v>
      </c>
    </row>
    <row r="78" spans="1:28" x14ac:dyDescent="0.35">
      <c r="J78" s="65">
        <v>4</v>
      </c>
      <c r="K78" t="s">
        <v>13</v>
      </c>
      <c r="L78" t="s">
        <v>474</v>
      </c>
      <c r="M78">
        <v>3.9</v>
      </c>
      <c r="N78" t="s">
        <v>3</v>
      </c>
      <c r="O78" t="s">
        <v>36</v>
      </c>
      <c r="P78">
        <f t="shared" si="7"/>
        <v>5.5449784081565818</v>
      </c>
      <c r="Q78">
        <f t="shared" si="8"/>
        <v>2.7059539633013623</v>
      </c>
      <c r="R78" s="67" t="e" cm="1">
        <f t="array" ref="R78">SUMPRODUCT((J78=$J$7:$J$1000)*(P78&lt;$P$7:$P$1000))+1</f>
        <v>#N/A</v>
      </c>
      <c r="S78" s="72"/>
      <c r="T78">
        <v>14</v>
      </c>
      <c r="U78" t="str">
        <v>OGDC</v>
      </c>
      <c r="V78" t="str">
        <v>Steffan Hughes</v>
      </c>
      <c r="W78" t="str">
        <v>NULL</v>
      </c>
      <c r="X78" t="str">
        <v>Away</v>
      </c>
      <c r="Y78" t="str">
        <v>ARC</v>
      </c>
      <c r="Z78">
        <v>8.4806222509320754</v>
      </c>
      <c r="AA78" s="1"/>
      <c r="AB78" s="1" cm="1">
        <f t="array" ref="AB78">COUNT(_xlfn._xlws.FILTER($J$7:$J$10000,($L$7:$L$10000=AA78)*($M$7:$M$10000&lt;&gt;"NULL")*($J$7:$J$10000 &gt;= ($G$1-5))))/5</f>
        <v>0</v>
      </c>
    </row>
    <row r="79" spans="1:28" x14ac:dyDescent="0.35">
      <c r="J79" s="65">
        <v>4</v>
      </c>
      <c r="K79" t="s">
        <v>24</v>
      </c>
      <c r="L79" t="s">
        <v>35</v>
      </c>
      <c r="M79">
        <v>3.5</v>
      </c>
      <c r="N79" t="s">
        <v>3</v>
      </c>
      <c r="O79" t="s">
        <v>2</v>
      </c>
      <c r="P79">
        <f t="shared" si="7"/>
        <v>5.2089864110391417</v>
      </c>
      <c r="Q79">
        <f t="shared" si="8"/>
        <v>2.9206345531164462</v>
      </c>
      <c r="R79" s="67" t="e" cm="1">
        <f t="array" ref="R79">SUMPRODUCT((J79=$J$7:$J$1000)*(P79&lt;$P$7:$P$1000))+1</f>
        <v>#N/A</v>
      </c>
      <c r="S79" s="72"/>
      <c r="T79">
        <v>14</v>
      </c>
      <c r="U79" t="str">
        <v>OGDC</v>
      </c>
      <c r="V79" t="str">
        <v>Tommaso Boni</v>
      </c>
      <c r="W79" t="str">
        <v>NULL</v>
      </c>
      <c r="X79" t="str">
        <v>Away</v>
      </c>
      <c r="Y79" t="str">
        <v>ARC</v>
      </c>
      <c r="Z79">
        <v>9.941017524661719</v>
      </c>
      <c r="AA79" s="1"/>
      <c r="AB79" s="1" cm="1">
        <f t="array" ref="AB79">COUNT(_xlfn._xlws.FILTER($J$7:$J$10000,($L$7:$L$10000=AA79)*($M$7:$M$10000&lt;&gt;"NULL")*($J$7:$J$10000 &gt;= ($G$1-5))))/5</f>
        <v>0</v>
      </c>
    </row>
    <row r="80" spans="1:28" x14ac:dyDescent="0.35">
      <c r="J80" s="65">
        <v>4</v>
      </c>
      <c r="K80" t="s">
        <v>7</v>
      </c>
      <c r="L80" t="s">
        <v>447</v>
      </c>
      <c r="M80">
        <v>2.6</v>
      </c>
      <c r="N80" t="s">
        <v>3</v>
      </c>
      <c r="O80" t="s">
        <v>14</v>
      </c>
      <c r="P80">
        <f t="shared" si="7"/>
        <v>8.2022473870243502</v>
      </c>
      <c r="Q80">
        <f t="shared" si="8"/>
        <v>31.385175785421165</v>
      </c>
      <c r="R80" s="67" t="e" cm="1">
        <f t="array" ref="R80">SUMPRODUCT((J80=$J$7:$J$1000)*(P80&lt;$P$7:$P$1000))+1</f>
        <v>#N/A</v>
      </c>
      <c r="S80" s="72"/>
      <c r="T80">
        <v>14</v>
      </c>
      <c r="U80" t="str">
        <v>SDL</v>
      </c>
      <c r="V80" t="str">
        <v>Cassh Maluia</v>
      </c>
      <c r="W80" t="str">
        <v>NULL</v>
      </c>
      <c r="X80" t="str">
        <v>Away</v>
      </c>
      <c r="Y80" t="str">
        <v>SEA</v>
      </c>
      <c r="Z80">
        <v>7.4330273362421826</v>
      </c>
      <c r="AA80" s="1"/>
      <c r="AB80" s="1" cm="1">
        <f t="array" ref="AB80">COUNT(_xlfn._xlws.FILTER($J$7:$J$10000,($L$7:$L$10000=AA80)*($M$7:$M$10000&lt;&gt;"NULL")*($J$7:$J$10000 &gt;= ($G$1-5))))/5</f>
        <v>0</v>
      </c>
    </row>
    <row r="81" spans="10:28" x14ac:dyDescent="0.35">
      <c r="J81" s="65">
        <v>4</v>
      </c>
      <c r="K81" t="s">
        <v>23</v>
      </c>
      <c r="L81" t="s">
        <v>518</v>
      </c>
      <c r="M81">
        <v>0.9</v>
      </c>
      <c r="N81" t="s">
        <v>9</v>
      </c>
      <c r="O81" t="s">
        <v>17</v>
      </c>
      <c r="P81">
        <f t="shared" si="7"/>
        <v>0.93990785853320125</v>
      </c>
      <c r="Q81">
        <f t="shared" si="8"/>
        <v>1.5926371727060017E-3</v>
      </c>
      <c r="R81" s="67" t="e" cm="1">
        <f t="array" ref="R81">SUMPRODUCT((J81=$J$7:$J$1000)*(P81&lt;$P$7:$P$1000))+1</f>
        <v>#N/A</v>
      </c>
      <c r="S81" s="72"/>
      <c r="T81">
        <v>14</v>
      </c>
      <c r="U81" t="str">
        <v>SDL</v>
      </c>
      <c r="V81" t="str">
        <v>Ethan Grayson</v>
      </c>
      <c r="W81" t="str">
        <v>NULL</v>
      </c>
      <c r="X81" t="str">
        <v>Away</v>
      </c>
      <c r="Y81" t="str">
        <v>SEA</v>
      </c>
      <c r="Z81">
        <v>5.8389918130572358</v>
      </c>
      <c r="AA81" s="1"/>
      <c r="AB81" s="1" cm="1">
        <f t="array" ref="AB81">COUNT(_xlfn._xlws.FILTER($J$7:$J$10000,($L$7:$L$10000=AA81)*($M$7:$M$10000&lt;&gt;"NULL")*($J$7:$J$10000 &gt;= ($G$1-5))))/5</f>
        <v>0</v>
      </c>
    </row>
    <row r="82" spans="10:28" x14ac:dyDescent="0.35">
      <c r="J82" s="65">
        <v>4</v>
      </c>
      <c r="K82" t="s">
        <v>36</v>
      </c>
      <c r="L82" t="s">
        <v>50</v>
      </c>
      <c r="M82">
        <v>-4.2</v>
      </c>
      <c r="N82" t="s">
        <v>9</v>
      </c>
      <c r="O82" t="s">
        <v>13</v>
      </c>
      <c r="P82">
        <f t="shared" si="7"/>
        <v>0.68973871421149147</v>
      </c>
      <c r="Q82">
        <f t="shared" si="8"/>
        <v>23.909544693258646</v>
      </c>
      <c r="R82" s="67" t="e" cm="1">
        <f t="array" ref="R82">SUMPRODUCT((J82=$J$7:$J$1000)*(P82&lt;$P$7:$P$1000))+1</f>
        <v>#N/A</v>
      </c>
      <c r="S82" s="72"/>
      <c r="T82">
        <v>14</v>
      </c>
      <c r="U82" t="str">
        <v>SDL</v>
      </c>
      <c r="V82" t="str">
        <v>Marcel Brache</v>
      </c>
      <c r="W82" t="str">
        <v>NULL</v>
      </c>
      <c r="X82" t="str">
        <v>Away</v>
      </c>
      <c r="Y82" t="str">
        <v>SEA</v>
      </c>
      <c r="Z82">
        <v>3.7471801027360696</v>
      </c>
      <c r="AA82" s="1"/>
      <c r="AB82" s="1" cm="1">
        <f t="array" ref="AB82">COUNT(_xlfn._xlws.FILTER($J$7:$J$10000,($L$7:$L$10000=AA82)*($M$7:$M$10000&lt;&gt;"NULL")*($J$7:$J$10000 &gt;= ($G$1-5))))/5</f>
        <v>0</v>
      </c>
    </row>
    <row r="83" spans="10:28" x14ac:dyDescent="0.35">
      <c r="J83" s="65">
        <v>5</v>
      </c>
      <c r="K83" t="s">
        <v>17</v>
      </c>
      <c r="L83" t="s">
        <v>37</v>
      </c>
      <c r="M83">
        <v>20.2</v>
      </c>
      <c r="N83" t="s">
        <v>9</v>
      </c>
      <c r="O83" t="s">
        <v>6</v>
      </c>
      <c r="P83">
        <f t="shared" si="7"/>
        <v>14.790626315240697</v>
      </c>
      <c r="Q83">
        <f t="shared" si="8"/>
        <v>29.261323661366429</v>
      </c>
      <c r="R83" s="67" t="e" cm="1">
        <f t="array" ref="R83">SUMPRODUCT((J83=$J$7:$J$1000)*(P83&lt;$P$7:$P$1000))+1</f>
        <v>#N/A</v>
      </c>
      <c r="S83" s="72"/>
      <c r="T83">
        <v>14</v>
      </c>
      <c r="U83" t="str">
        <v>SDL</v>
      </c>
      <c r="V83" t="str">
        <v>Tavite Lopeti</v>
      </c>
      <c r="W83" t="str">
        <v>NULL</v>
      </c>
      <c r="X83" t="str">
        <v>Away</v>
      </c>
      <c r="Y83" t="str">
        <v>SEA</v>
      </c>
      <c r="Z83">
        <v>5.9509824872979999</v>
      </c>
      <c r="AA83" s="1"/>
      <c r="AB83" s="1" cm="1">
        <f t="array" ref="AB83">COUNT(_xlfn._xlws.FILTER($J$7:$J$10000,($L$7:$L$10000=AA83)*($M$7:$M$10000&lt;&gt;"NULL")*($J$7:$J$10000 &gt;= ($G$1-5))))/5</f>
        <v>0</v>
      </c>
    </row>
    <row r="84" spans="10:28" x14ac:dyDescent="0.35">
      <c r="J84" s="65">
        <v>5</v>
      </c>
      <c r="K84" t="s">
        <v>13</v>
      </c>
      <c r="L84" t="s">
        <v>53</v>
      </c>
      <c r="M84">
        <v>15.7</v>
      </c>
      <c r="N84" t="s">
        <v>9</v>
      </c>
      <c r="O84" t="s">
        <v>24</v>
      </c>
      <c r="P84">
        <f t="shared" si="7"/>
        <v>9.3955972916707022</v>
      </c>
      <c r="Q84">
        <f t="shared" si="8"/>
        <v>39.745493508789778</v>
      </c>
      <c r="R84" s="67" t="e" cm="1">
        <f t="array" ref="R84">SUMPRODUCT((J84=$J$7:$J$1000)*(P84&lt;$P$7:$P$1000))+1</f>
        <v>#N/A</v>
      </c>
      <c r="S84" s="72"/>
      <c r="T84">
        <v>14</v>
      </c>
      <c r="U84" t="str">
        <v>SDL</v>
      </c>
      <c r="V84" t="str">
        <v>Tiaan Loots</v>
      </c>
      <c r="W84" t="str">
        <v>NULL</v>
      </c>
      <c r="X84" t="str">
        <v>Away</v>
      </c>
      <c r="Y84" t="str">
        <v>SEA</v>
      </c>
      <c r="Z84">
        <v>3.5982098252801809</v>
      </c>
      <c r="AA84" s="1"/>
      <c r="AB84" s="1" cm="1">
        <f t="array" ref="AB84">COUNT(_xlfn._xlws.FILTER($J$7:$J$10000,($L$7:$L$10000=AA84)*($M$7:$M$10000&lt;&gt;"NULL")*($J$7:$J$10000 &gt;= ($G$1-5))))/5</f>
        <v>0</v>
      </c>
    </row>
    <row r="85" spans="10:28" x14ac:dyDescent="0.35">
      <c r="J85" s="65">
        <v>5</v>
      </c>
      <c r="K85" t="s">
        <v>23</v>
      </c>
      <c r="L85" t="s">
        <v>32</v>
      </c>
      <c r="M85">
        <v>14.7</v>
      </c>
      <c r="N85" t="s">
        <v>3</v>
      </c>
      <c r="O85" t="s">
        <v>4</v>
      </c>
      <c r="P85">
        <f t="shared" si="7"/>
        <v>7.956531484849183</v>
      </c>
      <c r="Q85">
        <f t="shared" si="8"/>
        <v>45.474367614830356</v>
      </c>
      <c r="R85" s="67" t="e" cm="1">
        <f t="array" ref="R85">SUMPRODUCT((J85=$J$7:$J$1000)*(P85&lt;$P$7:$P$1000))+1</f>
        <v>#N/A</v>
      </c>
      <c r="S85" s="72"/>
      <c r="T85">
        <v>14</v>
      </c>
      <c r="U85" t="str">
        <v>SDL</v>
      </c>
      <c r="V85" t="str">
        <v>Tomas Aoake</v>
      </c>
      <c r="W85" t="str">
        <v>NULL</v>
      </c>
      <c r="X85" t="str">
        <v>Away</v>
      </c>
      <c r="Y85" t="str">
        <v>SEA</v>
      </c>
      <c r="Z85">
        <v>10.57313631738195</v>
      </c>
      <c r="AA85" s="1"/>
      <c r="AB85" s="1" cm="1">
        <f t="array" ref="AB85">COUNT(_xlfn._xlws.FILTER($J$7:$J$10000,($L$7:$L$10000=AA85)*($M$7:$M$10000&lt;&gt;"NULL")*($J$7:$J$10000 &gt;= ($G$1-5))))/5</f>
        <v>0</v>
      </c>
    </row>
    <row r="86" spans="10:28" x14ac:dyDescent="0.35">
      <c r="J86" s="65">
        <v>5</v>
      </c>
      <c r="K86" t="s">
        <v>13</v>
      </c>
      <c r="L86" t="s">
        <v>473</v>
      </c>
      <c r="M86">
        <v>10</v>
      </c>
      <c r="N86" t="s">
        <v>9</v>
      </c>
      <c r="O86" t="s">
        <v>24</v>
      </c>
      <c r="P86">
        <f t="shared" si="7"/>
        <v>11.652182948125358</v>
      </c>
      <c r="Q86">
        <f t="shared" si="8"/>
        <v>2.7297084940761982</v>
      </c>
      <c r="R86" s="67" t="e" cm="1">
        <f t="array" ref="R86">SUMPRODUCT((J86=$J$7:$J$1000)*(P86&lt;$P$7:$P$1000))+1</f>
        <v>#N/A</v>
      </c>
      <c r="S86" s="72"/>
      <c r="T86">
        <v>14</v>
      </c>
      <c r="U86" t="str">
        <v>SEA</v>
      </c>
      <c r="V86" t="str">
        <v>Dan Kriel</v>
      </c>
      <c r="W86" t="str">
        <v>NULL</v>
      </c>
      <c r="X86" t="str">
        <v>Home</v>
      </c>
      <c r="Y86" t="str">
        <v>SDL</v>
      </c>
      <c r="Z86">
        <v>5.0923743420467842</v>
      </c>
      <c r="AA86" s="1"/>
      <c r="AB86" s="1" cm="1">
        <f t="array" ref="AB86">COUNT(_xlfn._xlws.FILTER($J$7:$J$10000,($L$7:$L$10000=AA86)*($M$7:$M$10000&lt;&gt;"NULL")*($J$7:$J$10000 &gt;= ($G$1-5))))/5</f>
        <v>0</v>
      </c>
    </row>
    <row r="87" spans="10:28" x14ac:dyDescent="0.35">
      <c r="J87" s="65">
        <v>5</v>
      </c>
      <c r="K87" t="s">
        <v>6</v>
      </c>
      <c r="L87" t="s">
        <v>8</v>
      </c>
      <c r="M87">
        <v>9.6999999999999993</v>
      </c>
      <c r="N87" t="s">
        <v>3</v>
      </c>
      <c r="O87" t="s">
        <v>17</v>
      </c>
      <c r="P87">
        <f t="shared" si="7"/>
        <v>11.159827316499953</v>
      </c>
      <c r="Q87">
        <f t="shared" si="8"/>
        <v>2.131095793999457</v>
      </c>
      <c r="R87" s="67" t="e" cm="1">
        <f t="array" ref="R87">SUMPRODUCT((J87=$J$7:$J$1000)*(P87&lt;$P$7:$P$1000))+1</f>
        <v>#N/A</v>
      </c>
      <c r="S87" s="72"/>
      <c r="T87">
        <v>14</v>
      </c>
      <c r="U87" t="str">
        <v>SEA</v>
      </c>
      <c r="V87" t="str">
        <v>Divan Rossouw</v>
      </c>
      <c r="W87" t="str">
        <v>NULL</v>
      </c>
      <c r="X87" t="str">
        <v>Home</v>
      </c>
      <c r="Y87" t="str">
        <v>SDL</v>
      </c>
      <c r="Z87">
        <v>10.943250994746721</v>
      </c>
      <c r="AA87" s="1"/>
      <c r="AB87" s="1" cm="1">
        <f t="array" ref="AB87">COUNT(_xlfn._xlws.FILTER($J$7:$J$10000,($L$7:$L$10000=AA87)*($M$7:$M$10000&lt;&gt;"NULL")*($J$7:$J$10000 &gt;= ($G$1-5))))/5</f>
        <v>0</v>
      </c>
    </row>
    <row r="88" spans="10:28" x14ac:dyDescent="0.35">
      <c r="J88" s="65">
        <v>5</v>
      </c>
      <c r="K88" t="s">
        <v>7</v>
      </c>
      <c r="L88" t="s">
        <v>26</v>
      </c>
      <c r="M88">
        <v>9.6</v>
      </c>
      <c r="N88" t="s">
        <v>9</v>
      </c>
      <c r="O88" t="s">
        <v>2</v>
      </c>
      <c r="P88">
        <f t="shared" si="7"/>
        <v>9.6778902999593122</v>
      </c>
      <c r="Q88">
        <f t="shared" si="8"/>
        <v>6.0668988277516791E-3</v>
      </c>
      <c r="R88" s="67" t="e" cm="1">
        <f t="array" ref="R88">SUMPRODUCT((J88=$J$7:$J$1000)*(P88&lt;$P$7:$P$1000))+1</f>
        <v>#N/A</v>
      </c>
      <c r="S88" s="72"/>
      <c r="T88">
        <v>14</v>
      </c>
      <c r="U88" t="str">
        <v>SEA</v>
      </c>
      <c r="V88" t="str">
        <v>Eddie Fouche</v>
      </c>
      <c r="W88" t="str">
        <v>NULL</v>
      </c>
      <c r="X88" t="str">
        <v>Home</v>
      </c>
      <c r="Y88" t="str">
        <v>SDL</v>
      </c>
      <c r="Z88">
        <v>7.9994735498929268</v>
      </c>
      <c r="AA88" s="1"/>
      <c r="AB88" s="1" cm="1">
        <f t="array" ref="AB88">COUNT(_xlfn._xlws.FILTER($J$7:$J$10000,($L$7:$L$10000=AA88)*($M$7:$M$10000&lt;&gt;"NULL")*($J$7:$J$10000 &gt;= ($G$1-5))))/5</f>
        <v>0</v>
      </c>
    </row>
    <row r="89" spans="10:28" x14ac:dyDescent="0.35">
      <c r="J89" s="65">
        <v>5</v>
      </c>
      <c r="K89" t="s">
        <v>17</v>
      </c>
      <c r="L89" t="s">
        <v>196</v>
      </c>
      <c r="M89">
        <v>8.8000000000000007</v>
      </c>
      <c r="N89" t="s">
        <v>9</v>
      </c>
      <c r="O89" t="s">
        <v>6</v>
      </c>
      <c r="P89">
        <f t="shared" si="7"/>
        <v>9.665592340769912</v>
      </c>
      <c r="Q89">
        <f t="shared" si="8"/>
        <v>0.74925010039953432</v>
      </c>
      <c r="R89" s="67" t="e" cm="1">
        <f t="array" ref="R89">SUMPRODUCT((J89=$J$7:$J$1000)*(P89&lt;$P$7:$P$1000))+1</f>
        <v>#N/A</v>
      </c>
      <c r="S89" s="72"/>
      <c r="T89">
        <v>14</v>
      </c>
      <c r="U89" t="str">
        <v>SEA</v>
      </c>
      <c r="V89" t="str">
        <v>Mikaela Kruse</v>
      </c>
      <c r="W89" t="str">
        <v>NULL</v>
      </c>
      <c r="X89" t="str">
        <v>Home</v>
      </c>
      <c r="Y89" t="str">
        <v>SDL</v>
      </c>
      <c r="Z89">
        <v>4.3179543727402612</v>
      </c>
      <c r="AA89" s="1"/>
      <c r="AB89" s="1" cm="1">
        <f t="array" ref="AB89">COUNT(_xlfn._xlws.FILTER($J$7:$J$10000,($L$7:$L$10000=AA89)*($M$7:$M$10000&lt;&gt;"NULL")*($J$7:$J$10000 &gt;= ($G$1-5))))/5</f>
        <v>0</v>
      </c>
    </row>
    <row r="90" spans="10:28" x14ac:dyDescent="0.35">
      <c r="J90" s="65">
        <v>5</v>
      </c>
      <c r="K90" t="s">
        <v>23</v>
      </c>
      <c r="L90" t="s">
        <v>46</v>
      </c>
      <c r="M90">
        <v>8.1</v>
      </c>
      <c r="N90" t="s">
        <v>3</v>
      </c>
      <c r="O90" t="s">
        <v>4</v>
      </c>
      <c r="P90">
        <f t="shared" si="7"/>
        <v>7.2154595933933408</v>
      </c>
      <c r="Q90">
        <f t="shared" si="8"/>
        <v>0.78241173091987348</v>
      </c>
      <c r="R90" s="67" t="e" cm="1">
        <f t="array" ref="R90">SUMPRODUCT((J90=$J$7:$J$1000)*(P90&lt;$P$7:$P$1000))+1</f>
        <v>#N/A</v>
      </c>
      <c r="S90" s="72"/>
      <c r="T90">
        <v>14</v>
      </c>
      <c r="U90" t="str">
        <v>SEA</v>
      </c>
      <c r="V90" t="str">
        <v>Rodney Iona</v>
      </c>
      <c r="W90" t="str">
        <v>NULL</v>
      </c>
      <c r="X90" t="str">
        <v>Home</v>
      </c>
      <c r="Y90" t="str">
        <v>SDL</v>
      </c>
      <c r="Z90">
        <v>5.8182170202759371</v>
      </c>
      <c r="AA90" s="1"/>
      <c r="AB90" s="1" cm="1">
        <f t="array" ref="AB90">COUNT(_xlfn._xlws.FILTER($J$7:$J$10000,($L$7:$L$10000=AA90)*($M$7:$M$10000&lt;&gt;"NULL")*($J$7:$J$10000 &gt;= ($G$1-5))))/5</f>
        <v>0</v>
      </c>
    </row>
    <row r="91" spans="10:28" x14ac:dyDescent="0.35">
      <c r="J91" s="65">
        <v>5</v>
      </c>
      <c r="K91" t="s">
        <v>2</v>
      </c>
      <c r="L91" t="s">
        <v>449</v>
      </c>
      <c r="M91">
        <v>6.8</v>
      </c>
      <c r="N91" t="s">
        <v>3</v>
      </c>
      <c r="O91" t="s">
        <v>7</v>
      </c>
      <c r="P91">
        <f t="shared" si="7"/>
        <v>10.154042775225591</v>
      </c>
      <c r="Q91">
        <f t="shared" si="8"/>
        <v>11.249602938042985</v>
      </c>
      <c r="R91" s="67" t="e" cm="1">
        <f t="array" ref="R91">SUMPRODUCT((J91=$J$7:$J$1000)*(P91&lt;$P$7:$P$1000))+1</f>
        <v>#N/A</v>
      </c>
      <c r="S91" s="72"/>
      <c r="T91">
        <v>14</v>
      </c>
      <c r="U91" t="str">
        <v>UTAH</v>
      </c>
      <c r="V91" t="str">
        <v>Cole Semu</v>
      </c>
      <c r="W91" t="str">
        <v>NULL</v>
      </c>
      <c r="X91" t="str">
        <v>Away</v>
      </c>
      <c r="Y91" t="str">
        <v>HOU</v>
      </c>
      <c r="Z91">
        <v>4.6323056982255615</v>
      </c>
      <c r="AA91" s="1"/>
      <c r="AB91" s="1" cm="1">
        <f t="array" ref="AB91">COUNT(_xlfn._xlws.FILTER($J$7:$J$10000,($L$7:$L$10000=AA91)*($M$7:$M$10000&lt;&gt;"NULL")*($J$7:$J$10000 &gt;= ($G$1-5))))/5</f>
        <v>0</v>
      </c>
    </row>
    <row r="92" spans="10:28" x14ac:dyDescent="0.35">
      <c r="J92" s="66">
        <v>5</v>
      </c>
      <c r="K92" t="s">
        <v>7</v>
      </c>
      <c r="L92" t="s">
        <v>447</v>
      </c>
      <c r="M92">
        <v>5</v>
      </c>
      <c r="N92" t="s">
        <v>9</v>
      </c>
      <c r="O92" t="s">
        <v>2</v>
      </c>
      <c r="P92">
        <f t="shared" si="7"/>
        <v>5.7860394563204176</v>
      </c>
      <c r="Q92">
        <f t="shared" si="8"/>
        <v>0.61785802689249769</v>
      </c>
      <c r="R92" s="67" t="e" cm="1">
        <f t="array" ref="R92">SUMPRODUCT((J92=$J$7:$J$1000)*(P92&lt;$P$7:$P$1000))+1</f>
        <v>#N/A</v>
      </c>
      <c r="S92" s="72"/>
      <c r="T92">
        <v>14</v>
      </c>
      <c r="U92" t="str">
        <v>UTAH</v>
      </c>
      <c r="V92" t="str">
        <v>D'Angelo Leuila</v>
      </c>
      <c r="W92" t="str">
        <v>NULL</v>
      </c>
      <c r="X92" t="str">
        <v>Away</v>
      </c>
      <c r="Y92" t="str">
        <v>HOU</v>
      </c>
      <c r="Z92">
        <v>12.177490332980609</v>
      </c>
      <c r="AA92" s="1"/>
      <c r="AB92" s="1"/>
    </row>
    <row r="93" spans="10:28" x14ac:dyDescent="0.35">
      <c r="J93" s="65">
        <v>5</v>
      </c>
      <c r="K93" t="s">
        <v>24</v>
      </c>
      <c r="L93" t="s">
        <v>402</v>
      </c>
      <c r="M93">
        <v>4.8</v>
      </c>
      <c r="N93" t="s">
        <v>3</v>
      </c>
      <c r="O93" t="s">
        <v>13</v>
      </c>
      <c r="P93">
        <f t="shared" si="7"/>
        <v>2.7998381672110559</v>
      </c>
      <c r="Q93">
        <f t="shared" si="8"/>
        <v>4.0006473573456267</v>
      </c>
      <c r="R93" s="67" t="e" cm="1">
        <f t="array" ref="R93">SUMPRODUCT((J93=$J$7:$J$1000)*(P93&lt;$P$7:$P$1000))+1</f>
        <v>#N/A</v>
      </c>
      <c r="S93" s="72"/>
      <c r="T93">
        <v>14</v>
      </c>
      <c r="U93" t="str">
        <v>UTAH</v>
      </c>
      <c r="V93" t="str">
        <v>Kyle Brown</v>
      </c>
      <c r="W93" t="str">
        <v>NULL</v>
      </c>
      <c r="X93" t="str">
        <v>Away</v>
      </c>
      <c r="Y93" t="str">
        <v>HOU</v>
      </c>
      <c r="Z93">
        <v>5.8233532720643071</v>
      </c>
    </row>
    <row r="94" spans="10:28" x14ac:dyDescent="0.35">
      <c r="J94" s="66">
        <v>5</v>
      </c>
      <c r="K94" t="s">
        <v>6</v>
      </c>
      <c r="L94" t="s">
        <v>451</v>
      </c>
      <c r="M94">
        <v>4.3</v>
      </c>
      <c r="N94" t="s">
        <v>3</v>
      </c>
      <c r="O94" t="s">
        <v>17</v>
      </c>
      <c r="P94">
        <f t="shared" si="7"/>
        <v>8.9549747096246595</v>
      </c>
      <c r="Q94">
        <f t="shared" si="8"/>
        <v>21.668789547245183</v>
      </c>
      <c r="R94" s="67" t="e" cm="1">
        <f t="array" ref="R94">SUMPRODUCT((J94=$J$7:$J$1000)*(P94&lt;$P$7:$P$1000))+1</f>
        <v>#N/A</v>
      </c>
      <c r="S94" s="72"/>
      <c r="T94">
        <v>14</v>
      </c>
      <c r="U94" t="str">
        <v>UTAH</v>
      </c>
      <c r="V94" t="str">
        <v>Spencer Jones</v>
      </c>
      <c r="W94" t="str">
        <v>NULL</v>
      </c>
      <c r="X94" t="str">
        <v>Away</v>
      </c>
      <c r="Y94" t="str">
        <v>HOU</v>
      </c>
      <c r="Z94">
        <v>9.9209046765259536</v>
      </c>
    </row>
    <row r="95" spans="10:28" x14ac:dyDescent="0.35">
      <c r="J95" s="66">
        <v>5</v>
      </c>
      <c r="K95" t="s">
        <v>4</v>
      </c>
      <c r="L95" t="s">
        <v>452</v>
      </c>
      <c r="M95">
        <v>4.3</v>
      </c>
      <c r="N95" t="s">
        <v>9</v>
      </c>
      <c r="O95" t="s">
        <v>23</v>
      </c>
      <c r="P95">
        <f t="shared" si="7"/>
        <v>7.5217355795015841</v>
      </c>
      <c r="Q95">
        <f t="shared" si="8"/>
        <v>10.379580144226409</v>
      </c>
      <c r="R95" s="67" t="e" cm="1">
        <f t="array" ref="R95">SUMPRODUCT((J95=$J$7:$J$1000)*(P95&lt;$P$7:$P$1000))+1</f>
        <v>#N/A</v>
      </c>
      <c r="S95" s="72"/>
      <c r="T95">
        <v>14</v>
      </c>
      <c r="U95" t="str">
        <v>UTAH</v>
      </c>
      <c r="V95" t="str">
        <v>Tomasi Tonga</v>
      </c>
      <c r="W95" t="str">
        <v>NULL</v>
      </c>
      <c r="X95" t="str">
        <v>Away</v>
      </c>
      <c r="Y95" t="str">
        <v>HOU</v>
      </c>
      <c r="Z95">
        <v>-1.3595481791877284</v>
      </c>
    </row>
    <row r="96" spans="10:28" x14ac:dyDescent="0.35">
      <c r="J96" s="66">
        <v>5</v>
      </c>
      <c r="K96" t="s">
        <v>2</v>
      </c>
      <c r="L96" t="s">
        <v>44</v>
      </c>
      <c r="M96">
        <v>4</v>
      </c>
      <c r="N96" t="s">
        <v>3</v>
      </c>
      <c r="O96" t="s">
        <v>7</v>
      </c>
      <c r="P96">
        <f t="shared" si="7"/>
        <v>8.3257970796724425</v>
      </c>
      <c r="Q96">
        <f t="shared" si="8"/>
        <v>18.712520374502631</v>
      </c>
      <c r="R96" s="67" t="e" cm="1">
        <f t="array" ref="R96">SUMPRODUCT((J96=$J$7:$J$1000)*(P96&lt;$P$7:$P$1000))+1</f>
        <v>#N/A</v>
      </c>
      <c r="S96" s="72"/>
      <c r="T96">
        <v>15</v>
      </c>
      <c r="U96" t="str">
        <v>ARC</v>
      </c>
      <c r="V96" t="str">
        <v>EJ Freeman</v>
      </c>
      <c r="W96" t="str">
        <v>NULL</v>
      </c>
      <c r="X96" t="str">
        <v>Home</v>
      </c>
      <c r="Y96" t="str">
        <v>CHI</v>
      </c>
      <c r="Z96">
        <v>6.4023092800645021</v>
      </c>
    </row>
    <row r="97" spans="10:26" x14ac:dyDescent="0.35">
      <c r="J97" s="65">
        <v>5</v>
      </c>
      <c r="K97" t="s">
        <v>4</v>
      </c>
      <c r="L97" t="s">
        <v>475</v>
      </c>
      <c r="M97">
        <v>3.5</v>
      </c>
      <c r="N97" t="s">
        <v>9</v>
      </c>
      <c r="O97" t="s">
        <v>23</v>
      </c>
      <c r="P97">
        <f t="shared" si="7"/>
        <v>5.3245707355889564</v>
      </c>
      <c r="Q97">
        <f t="shared" si="8"/>
        <v>3.3290583691676257</v>
      </c>
      <c r="R97" s="67" t="e" cm="1">
        <f t="array" ref="R97">SUMPRODUCT((J97=$J$7:$J$1000)*(P97&lt;$P$7:$P$1000))+1</f>
        <v>#N/A</v>
      </c>
      <c r="S97" s="72"/>
      <c r="T97">
        <v>15</v>
      </c>
      <c r="U97" t="str">
        <v>ARC</v>
      </c>
      <c r="V97" t="str">
        <v>Erich Storti</v>
      </c>
      <c r="W97" t="str">
        <v>NULL</v>
      </c>
      <c r="X97" t="str">
        <v>Home</v>
      </c>
      <c r="Y97" t="str">
        <v>CHI</v>
      </c>
      <c r="Z97">
        <v>6.6634424115588162</v>
      </c>
    </row>
    <row r="98" spans="10:26" x14ac:dyDescent="0.35">
      <c r="J98" s="66">
        <v>5</v>
      </c>
      <c r="K98" t="s">
        <v>24</v>
      </c>
      <c r="L98" t="s">
        <v>446</v>
      </c>
      <c r="M98">
        <v>-4.3</v>
      </c>
      <c r="N98" t="s">
        <v>3</v>
      </c>
      <c r="O98" t="s">
        <v>13</v>
      </c>
      <c r="P98">
        <f t="shared" si="7"/>
        <v>5.9561340736371351</v>
      </c>
      <c r="Q98">
        <f t="shared" si="8"/>
        <v>105.18828613642066</v>
      </c>
      <c r="R98" s="67" t="e" cm="1">
        <f t="array" ref="R98">SUMPRODUCT((J98=$J$7:$J$1000)*(P98&lt;$P$7:$P$1000))+1</f>
        <v>#N/A</v>
      </c>
      <c r="S98" s="72"/>
      <c r="T98">
        <v>15</v>
      </c>
      <c r="U98" t="str">
        <v>ARC</v>
      </c>
      <c r="V98" t="str">
        <v>Junior Gafa</v>
      </c>
      <c r="W98" t="str">
        <v>NULL</v>
      </c>
      <c r="X98" t="str">
        <v>Home</v>
      </c>
      <c r="Y98" t="str">
        <v>CHI</v>
      </c>
      <c r="Z98">
        <v>7.1685675669815625</v>
      </c>
    </row>
    <row r="99" spans="10:26" x14ac:dyDescent="0.35">
      <c r="J99" s="65">
        <v>6</v>
      </c>
      <c r="K99" t="s">
        <v>7</v>
      </c>
      <c r="L99" t="s">
        <v>447</v>
      </c>
      <c r="M99">
        <v>14.5</v>
      </c>
      <c r="N99" t="s">
        <v>3</v>
      </c>
      <c r="O99" t="s">
        <v>23</v>
      </c>
      <c r="P99">
        <f t="shared" si="7"/>
        <v>6.1867731096970626</v>
      </c>
      <c r="Q99">
        <f t="shared" ref="Q99:Q158" si="9">IFERROR(($M99-$P99)^2,"")</f>
        <v>69.109741329655847</v>
      </c>
      <c r="R99" s="67" t="e" cm="1">
        <f t="array" ref="R99">SUMPRODUCT((J99=$J$7:$J$1000)*(P99&lt;$P$7:$P$1000))+1</f>
        <v>#N/A</v>
      </c>
      <c r="S99" s="72"/>
      <c r="T99">
        <v>15</v>
      </c>
      <c r="U99" t="str">
        <v>ARC</v>
      </c>
      <c r="V99" t="str">
        <v>Watson Filikitonga</v>
      </c>
      <c r="W99" t="str">
        <v>NULL</v>
      </c>
      <c r="X99" t="str">
        <v>Home</v>
      </c>
      <c r="Y99" t="str">
        <v>CHI</v>
      </c>
      <c r="Z99">
        <v>4.8831094283283454</v>
      </c>
    </row>
    <row r="100" spans="10:26" x14ac:dyDescent="0.35">
      <c r="J100" s="66">
        <v>6</v>
      </c>
      <c r="K100" t="s">
        <v>6</v>
      </c>
      <c r="L100" t="s">
        <v>8</v>
      </c>
      <c r="M100">
        <v>11.1</v>
      </c>
      <c r="N100" t="s">
        <v>9</v>
      </c>
      <c r="O100" t="s">
        <v>4</v>
      </c>
      <c r="P100">
        <f t="shared" si="7"/>
        <v>11.393004328455598</v>
      </c>
      <c r="Q100">
        <f t="shared" si="9"/>
        <v>8.5851536493716268E-2</v>
      </c>
      <c r="R100" s="67" t="e" cm="1">
        <f t="array" ref="R100">SUMPRODUCT((J100=$J$7:$J$1000)*(P100&lt;$P$7:$P$1000))+1</f>
        <v>#N/A</v>
      </c>
      <c r="S100" s="72"/>
      <c r="T100">
        <v>15</v>
      </c>
      <c r="U100" t="str">
        <v>CHI</v>
      </c>
      <c r="V100" t="str">
        <v>Bryce Campbell</v>
      </c>
      <c r="W100" t="str">
        <v>NULL</v>
      </c>
      <c r="X100" t="str">
        <v>Away</v>
      </c>
      <c r="Y100" t="str">
        <v>ARC</v>
      </c>
      <c r="Z100">
        <v>8.7743214589040797</v>
      </c>
    </row>
    <row r="101" spans="10:26" x14ac:dyDescent="0.35">
      <c r="J101" s="66">
        <v>6</v>
      </c>
      <c r="K101" t="s">
        <v>13</v>
      </c>
      <c r="L101" t="s">
        <v>473</v>
      </c>
      <c r="M101">
        <v>10.7</v>
      </c>
      <c r="N101" t="s">
        <v>9</v>
      </c>
      <c r="O101" t="s">
        <v>17</v>
      </c>
      <c r="P101">
        <f t="shared" si="7"/>
        <v>11.816029081056616</v>
      </c>
      <c r="Q101">
        <f t="shared" si="9"/>
        <v>1.2455209097640763</v>
      </c>
      <c r="R101" s="67" t="e" cm="1">
        <f t="array" ref="R101">SUMPRODUCT((J101=$J$7:$J$1000)*(P101&lt;$P$7:$P$1000))+1</f>
        <v>#N/A</v>
      </c>
      <c r="S101" s="72"/>
      <c r="T101">
        <v>15</v>
      </c>
      <c r="U101" t="str">
        <v>CHI</v>
      </c>
      <c r="V101" t="str">
        <v>Noah Flesch</v>
      </c>
      <c r="W101" t="str">
        <v>NULL</v>
      </c>
      <c r="X101" t="str">
        <v>Away</v>
      </c>
      <c r="Y101" t="str">
        <v>ARC</v>
      </c>
      <c r="Z101">
        <v>10.690168844240242</v>
      </c>
    </row>
    <row r="102" spans="10:26" x14ac:dyDescent="0.35">
      <c r="J102" s="66">
        <v>6</v>
      </c>
      <c r="K102" t="s">
        <v>36</v>
      </c>
      <c r="L102" t="s">
        <v>50</v>
      </c>
      <c r="M102">
        <v>9.4</v>
      </c>
      <c r="N102" t="s">
        <v>9</v>
      </c>
      <c r="O102" t="s">
        <v>14</v>
      </c>
      <c r="P102">
        <f t="shared" si="7"/>
        <v>5.3692985007790277</v>
      </c>
      <c r="Q102">
        <f t="shared" si="9"/>
        <v>16.246554575822195</v>
      </c>
      <c r="R102" s="67" t="e" cm="1">
        <f t="array" ref="R102">SUMPRODUCT((J102=$J$7:$J$1000)*(P102&lt;$P$7:$P$1000))+1</f>
        <v>#N/A</v>
      </c>
      <c r="S102" s="72"/>
      <c r="T102">
        <v>15</v>
      </c>
      <c r="U102" t="str">
        <v>CHI</v>
      </c>
      <c r="V102" t="str">
        <v>Ollie Devoto</v>
      </c>
      <c r="W102" t="str">
        <v>NULL</v>
      </c>
      <c r="X102" t="str">
        <v>Away</v>
      </c>
      <c r="Y102" t="str">
        <v>ARC</v>
      </c>
      <c r="Z102">
        <v>10.60256715445723</v>
      </c>
    </row>
    <row r="103" spans="10:26" x14ac:dyDescent="0.35">
      <c r="J103" s="65">
        <v>6</v>
      </c>
      <c r="K103" t="s">
        <v>17</v>
      </c>
      <c r="L103" t="s">
        <v>492</v>
      </c>
      <c r="M103">
        <v>9.4</v>
      </c>
      <c r="N103" t="s">
        <v>3</v>
      </c>
      <c r="O103" t="s">
        <v>13</v>
      </c>
      <c r="P103">
        <f t="shared" si="7"/>
        <v>5.5056841334182378</v>
      </c>
      <c r="Q103">
        <f t="shared" si="9"/>
        <v>15.165696068710464</v>
      </c>
      <c r="R103" s="67" t="e" cm="1">
        <f t="array" ref="R103">SUMPRODUCT((J103=$J$7:$J$1000)*(P103&lt;$P$7:$P$1000))+1</f>
        <v>#N/A</v>
      </c>
      <c r="S103" s="72"/>
      <c r="T103">
        <v>15</v>
      </c>
      <c r="U103" t="str">
        <v>HOU</v>
      </c>
      <c r="V103" t="str">
        <v>Dom Akina</v>
      </c>
      <c r="W103" t="str">
        <v>NULL</v>
      </c>
      <c r="X103" t="str">
        <v>Away</v>
      </c>
      <c r="Y103" t="str">
        <v>SEA</v>
      </c>
      <c r="Z103">
        <v>9.1310270859436944</v>
      </c>
    </row>
    <row r="104" spans="10:26" x14ac:dyDescent="0.35">
      <c r="J104" s="66">
        <v>6</v>
      </c>
      <c r="K104" t="s">
        <v>23</v>
      </c>
      <c r="L104" t="s">
        <v>32</v>
      </c>
      <c r="M104">
        <v>9.3000000000000007</v>
      </c>
      <c r="N104" t="s">
        <v>9</v>
      </c>
      <c r="O104" t="s">
        <v>7</v>
      </c>
      <c r="P104">
        <f t="shared" si="7"/>
        <v>10.707856634247197</v>
      </c>
      <c r="Q104">
        <f t="shared" si="9"/>
        <v>1.9820603025938426</v>
      </c>
      <c r="R104" s="67" t="e" cm="1">
        <f t="array" ref="R104">SUMPRODUCT((J104=$J$7:$J$1000)*(P104&lt;$P$7:$P$1000))+1</f>
        <v>#N/A</v>
      </c>
      <c r="S104" s="72"/>
      <c r="T104">
        <v>15</v>
      </c>
      <c r="U104" t="str">
        <v>HOU</v>
      </c>
      <c r="V104" t="str">
        <v>Louritz van der Schyff</v>
      </c>
      <c r="W104" t="str">
        <v>NULL</v>
      </c>
      <c r="X104" t="str">
        <v>Away</v>
      </c>
      <c r="Y104" t="str">
        <v>SEA</v>
      </c>
      <c r="Z104">
        <v>2.771396551916907</v>
      </c>
    </row>
    <row r="105" spans="10:26" x14ac:dyDescent="0.35">
      <c r="J105" s="66">
        <v>6</v>
      </c>
      <c r="K105" t="s">
        <v>34</v>
      </c>
      <c r="L105" t="s">
        <v>41</v>
      </c>
      <c r="M105">
        <v>7.5</v>
      </c>
      <c r="N105" t="s">
        <v>3</v>
      </c>
      <c r="O105" t="s">
        <v>24</v>
      </c>
      <c r="P105">
        <f t="shared" si="7"/>
        <v>5.3967708162182513</v>
      </c>
      <c r="Q105">
        <f t="shared" si="9"/>
        <v>4.4235729995112409</v>
      </c>
      <c r="R105" s="67" t="e" cm="1">
        <f t="array" ref="R105">SUMPRODUCT((J105=$J$7:$J$1000)*(P105&lt;$P$7:$P$1000))+1</f>
        <v>#N/A</v>
      </c>
      <c r="S105" s="72"/>
      <c r="T105">
        <v>15</v>
      </c>
      <c r="U105" t="str">
        <v>HOU</v>
      </c>
      <c r="V105" t="str">
        <v>Sam Hill</v>
      </c>
      <c r="W105" t="str">
        <v>NULL</v>
      </c>
      <c r="X105" t="str">
        <v>Away</v>
      </c>
      <c r="Y105" t="str">
        <v>SEA</v>
      </c>
      <c r="Z105">
        <v>1.7074627692874882</v>
      </c>
    </row>
    <row r="106" spans="10:26" x14ac:dyDescent="0.35">
      <c r="J106" s="66">
        <v>6</v>
      </c>
      <c r="K106" t="s">
        <v>4</v>
      </c>
      <c r="L106" t="s">
        <v>475</v>
      </c>
      <c r="M106">
        <v>6.9</v>
      </c>
      <c r="N106" t="s">
        <v>3</v>
      </c>
      <c r="O106" t="s">
        <v>6</v>
      </c>
      <c r="P106">
        <f t="shared" si="7"/>
        <v>8.4449002355019225</v>
      </c>
      <c r="Q106">
        <f t="shared" si="9"/>
        <v>2.3867167376538942</v>
      </c>
      <c r="R106" s="67" t="e" cm="1">
        <f t="array" ref="R106">SUMPRODUCT((J106=$J$7:$J$1000)*(P106&lt;$P$7:$P$1000))+1</f>
        <v>#N/A</v>
      </c>
      <c r="S106" s="72"/>
      <c r="T106">
        <v>15</v>
      </c>
      <c r="U106" t="str">
        <v>HOU</v>
      </c>
      <c r="V106" t="str">
        <v>Tautalatasi Tasi</v>
      </c>
      <c r="W106" t="str">
        <v>NULL</v>
      </c>
      <c r="X106" t="str">
        <v>Away</v>
      </c>
      <c r="Y106" t="str">
        <v>SEA</v>
      </c>
      <c r="Z106">
        <v>8.0164491909316844</v>
      </c>
    </row>
    <row r="107" spans="10:26" x14ac:dyDescent="0.35">
      <c r="J107" s="66">
        <v>6</v>
      </c>
      <c r="K107" t="s">
        <v>14</v>
      </c>
      <c r="L107" t="s">
        <v>11</v>
      </c>
      <c r="M107">
        <v>6.6</v>
      </c>
      <c r="N107" t="s">
        <v>3</v>
      </c>
      <c r="O107" t="s">
        <v>36</v>
      </c>
      <c r="P107">
        <f t="shared" si="7"/>
        <v>7.6267096646550927</v>
      </c>
      <c r="Q107">
        <f t="shared" si="9"/>
        <v>1.0541327354961736</v>
      </c>
      <c r="R107" s="67" t="e" cm="1">
        <f t="array" ref="R107">SUMPRODUCT((J107=$J$7:$J$1000)*(P107&lt;$P$7:$P$1000))+1</f>
        <v>#N/A</v>
      </c>
      <c r="S107" s="72"/>
      <c r="T107">
        <v>15</v>
      </c>
      <c r="U107" t="str">
        <v>LA</v>
      </c>
      <c r="V107" t="str">
        <v>Billy Meakes</v>
      </c>
      <c r="W107" t="str">
        <v>NULL</v>
      </c>
      <c r="X107" t="str">
        <v>Home</v>
      </c>
      <c r="Y107" t="str">
        <v>MIA</v>
      </c>
      <c r="Z107">
        <v>10.995981183568695</v>
      </c>
    </row>
    <row r="108" spans="10:26" x14ac:dyDescent="0.35">
      <c r="J108" s="66">
        <v>6</v>
      </c>
      <c r="K108" t="s">
        <v>23</v>
      </c>
      <c r="L108" t="s">
        <v>46</v>
      </c>
      <c r="M108">
        <v>6.6</v>
      </c>
      <c r="N108" t="s">
        <v>9</v>
      </c>
      <c r="O108" t="s">
        <v>7</v>
      </c>
      <c r="P108">
        <f t="shared" si="7"/>
        <v>9.9667847427913543</v>
      </c>
      <c r="Q108">
        <f t="shared" si="9"/>
        <v>11.335239504292648</v>
      </c>
      <c r="R108" s="67" t="e" cm="1">
        <f t="array" ref="R108">SUMPRODUCT((J108=$J$7:$J$1000)*(P108&lt;$P$7:$P$1000))+1</f>
        <v>#N/A</v>
      </c>
      <c r="S108" s="72"/>
      <c r="T108">
        <v>15</v>
      </c>
      <c r="U108" t="str">
        <v>LA</v>
      </c>
      <c r="V108" t="str">
        <v>Matias Jensen</v>
      </c>
      <c r="W108" t="str">
        <v>NULL</v>
      </c>
      <c r="X108" t="str">
        <v>Home</v>
      </c>
      <c r="Y108" t="str">
        <v>MIA</v>
      </c>
      <c r="Z108">
        <v>10.854164513473622</v>
      </c>
    </row>
    <row r="109" spans="10:26" x14ac:dyDescent="0.35">
      <c r="J109" s="66">
        <v>6</v>
      </c>
      <c r="K109" t="s">
        <v>4</v>
      </c>
      <c r="L109" t="s">
        <v>452</v>
      </c>
      <c r="M109">
        <v>6.4</v>
      </c>
      <c r="N109" t="s">
        <v>3</v>
      </c>
      <c r="O109" t="s">
        <v>6</v>
      </c>
      <c r="P109">
        <f t="shared" si="7"/>
        <v>10.64206507941455</v>
      </c>
      <c r="Q109">
        <f t="shared" si="9"/>
        <v>17.995116137988372</v>
      </c>
      <c r="R109" s="67" t="e" cm="1">
        <f t="array" ref="R109">SUMPRODUCT((J109=$J$7:$J$1000)*(P109&lt;$P$7:$P$1000))+1</f>
        <v>#N/A</v>
      </c>
      <c r="S109" s="72"/>
      <c r="T109">
        <v>15</v>
      </c>
      <c r="U109" t="str">
        <v>LA</v>
      </c>
      <c r="V109" t="str">
        <v>Nick Chan</v>
      </c>
      <c r="W109" t="str">
        <v>NULL</v>
      </c>
      <c r="X109" t="str">
        <v>Home</v>
      </c>
      <c r="Y109" t="str">
        <v>MIA</v>
      </c>
      <c r="Z109">
        <v>8.7911285766934011</v>
      </c>
    </row>
    <row r="110" spans="10:26" x14ac:dyDescent="0.35">
      <c r="J110" s="66">
        <v>6</v>
      </c>
      <c r="K110" t="s">
        <v>6</v>
      </c>
      <c r="L110" t="s">
        <v>445</v>
      </c>
      <c r="M110">
        <v>5.9</v>
      </c>
      <c r="N110" t="s">
        <v>9</v>
      </c>
      <c r="O110" t="s">
        <v>4</v>
      </c>
      <c r="P110">
        <f t="shared" si="7"/>
        <v>11.251187658360525</v>
      </c>
      <c r="Q110">
        <f t="shared" si="9"/>
        <v>28.635209354989996</v>
      </c>
      <c r="R110" s="67" t="e" cm="1">
        <f t="array" ref="R110">SUMPRODUCT((J110=$J$7:$J$1000)*(P110&lt;$P$7:$P$1000))+1</f>
        <v>#N/A</v>
      </c>
      <c r="S110" s="72"/>
      <c r="T110">
        <v>15</v>
      </c>
      <c r="U110" t="str">
        <v>MIA</v>
      </c>
      <c r="V110" t="str">
        <v>Guiseppe du Toit</v>
      </c>
      <c r="W110" t="str">
        <v>NULL</v>
      </c>
      <c r="X110" t="str">
        <v>Away</v>
      </c>
      <c r="Y110" t="str">
        <v>LA</v>
      </c>
      <c r="Z110">
        <v>9.5651741560519277</v>
      </c>
    </row>
    <row r="111" spans="10:26" x14ac:dyDescent="0.35">
      <c r="J111" s="66">
        <v>6</v>
      </c>
      <c r="K111" t="s">
        <v>13</v>
      </c>
      <c r="L111" t="s">
        <v>474</v>
      </c>
      <c r="M111">
        <v>5.6</v>
      </c>
      <c r="N111" t="s">
        <v>9</v>
      </c>
      <c r="O111" t="s">
        <v>17</v>
      </c>
      <c r="P111">
        <f t="shared" si="7"/>
        <v>5.4618920201403141</v>
      </c>
      <c r="Q111">
        <f t="shared" si="9"/>
        <v>1.907381410092332E-2</v>
      </c>
      <c r="R111" s="67" t="e" cm="1">
        <f t="array" ref="R111">SUMPRODUCT((J111=$J$7:$J$1000)*(P111&lt;$P$7:$P$1000))+1</f>
        <v>#N/A</v>
      </c>
      <c r="S111" s="72"/>
      <c r="T111">
        <v>15</v>
      </c>
      <c r="U111" t="str">
        <v>MIA</v>
      </c>
      <c r="V111" t="str">
        <v>Matias Orlando</v>
      </c>
      <c r="W111" t="str">
        <v>NULL</v>
      </c>
      <c r="X111" t="str">
        <v>Away</v>
      </c>
      <c r="Y111" t="str">
        <v>LA</v>
      </c>
      <c r="Z111">
        <v>9.1410029041797216</v>
      </c>
    </row>
    <row r="112" spans="10:26" x14ac:dyDescent="0.35">
      <c r="J112" s="65">
        <v>6</v>
      </c>
      <c r="K112" t="s">
        <v>24</v>
      </c>
      <c r="L112" t="s">
        <v>487</v>
      </c>
      <c r="M112">
        <v>5.0999999999999996</v>
      </c>
      <c r="N112" t="s">
        <v>9</v>
      </c>
      <c r="O112" t="s">
        <v>34</v>
      </c>
      <c r="P112">
        <f t="shared" si="7"/>
        <v>3.7163830373111102</v>
      </c>
      <c r="Q112">
        <f t="shared" si="9"/>
        <v>1.9143958994404278</v>
      </c>
      <c r="R112" s="67" t="e" cm="1">
        <f t="array" ref="R112">SUMPRODUCT((J112=$J$7:$J$1000)*(P112&lt;$P$7:$P$1000))+1</f>
        <v>#N/A</v>
      </c>
      <c r="S112" s="72"/>
      <c r="T112">
        <v>15</v>
      </c>
      <c r="U112" t="str">
        <v>MIA</v>
      </c>
      <c r="V112" t="str">
        <v>Santiago Videla</v>
      </c>
      <c r="W112" t="str">
        <v>NULL</v>
      </c>
      <c r="X112" t="str">
        <v>Away</v>
      </c>
      <c r="Y112" t="str">
        <v>LA</v>
      </c>
      <c r="Z112">
        <v>7.1127614436649456</v>
      </c>
    </row>
    <row r="113" spans="10:26" x14ac:dyDescent="0.35">
      <c r="J113" s="66">
        <v>6</v>
      </c>
      <c r="K113" t="s">
        <v>24</v>
      </c>
      <c r="L113" t="s">
        <v>402</v>
      </c>
      <c r="M113">
        <v>4.7</v>
      </c>
      <c r="N113" t="s">
        <v>9</v>
      </c>
      <c r="O113" t="s">
        <v>34</v>
      </c>
      <c r="P113">
        <f t="shared" si="7"/>
        <v>5.5720024475934702</v>
      </c>
      <c r="Q113">
        <f t="shared" si="9"/>
        <v>0.76038826860900244</v>
      </c>
      <c r="R113" s="67" t="e" cm="1">
        <f t="array" ref="R113">SUMPRODUCT((J113=$J$7:$J$1000)*(P113&lt;$P$7:$P$1000))+1</f>
        <v>#N/A</v>
      </c>
      <c r="S113" s="72"/>
      <c r="T113">
        <v>15</v>
      </c>
      <c r="U113" t="str">
        <v>MIA</v>
      </c>
      <c r="V113" t="str">
        <v>Tomás Cubilla</v>
      </c>
      <c r="W113" t="str">
        <v>NULL</v>
      </c>
      <c r="X113" t="str">
        <v>Away</v>
      </c>
      <c r="Y113" t="str">
        <v>LA</v>
      </c>
      <c r="Z113">
        <v>12.297298810605799</v>
      </c>
    </row>
    <row r="114" spans="10:26" x14ac:dyDescent="0.35">
      <c r="J114" s="66">
        <v>6</v>
      </c>
      <c r="K114" t="s">
        <v>17</v>
      </c>
      <c r="L114" t="s">
        <v>37</v>
      </c>
      <c r="M114">
        <v>4.7</v>
      </c>
      <c r="N114" t="s">
        <v>3</v>
      </c>
      <c r="O114" t="s">
        <v>13</v>
      </c>
      <c r="P114">
        <f t="shared" si="7"/>
        <v>8.4494615782720324</v>
      </c>
      <c r="Q114">
        <f t="shared" si="9"/>
        <v>14.058462126938199</v>
      </c>
      <c r="R114" s="67" t="e" cm="1">
        <f t="array" ref="R114">SUMPRODUCT((J114=$J$7:$J$1000)*(P114&lt;$P$7:$P$1000))+1</f>
        <v>#N/A</v>
      </c>
      <c r="S114" s="72"/>
      <c r="T114">
        <v>15</v>
      </c>
      <c r="U114" t="str">
        <v>MIA</v>
      </c>
      <c r="V114" t="str">
        <v>Tomás Inciarte</v>
      </c>
      <c r="W114" t="str">
        <v>NULL</v>
      </c>
      <c r="X114" t="str">
        <v>Away</v>
      </c>
      <c r="Y114" t="str">
        <v>LA</v>
      </c>
      <c r="Z114">
        <v>7.2853834938973607</v>
      </c>
    </row>
    <row r="115" spans="10:26" x14ac:dyDescent="0.35">
      <c r="J115" s="66">
        <v>6</v>
      </c>
      <c r="K115" t="s">
        <v>14</v>
      </c>
      <c r="L115" t="s">
        <v>448</v>
      </c>
      <c r="M115">
        <v>4.3</v>
      </c>
      <c r="N115" t="s">
        <v>3</v>
      </c>
      <c r="O115" t="s">
        <v>36</v>
      </c>
      <c r="P115">
        <f t="shared" si="7"/>
        <v>7.1215845092323464</v>
      </c>
      <c r="Q115">
        <f t="shared" si="9"/>
        <v>7.9613391427399423</v>
      </c>
      <c r="R115" s="67" t="e" cm="1">
        <f t="array" ref="R115">SUMPRODUCT((J115=$J$7:$J$1000)*(P115&lt;$P$7:$P$1000))+1</f>
        <v>#N/A</v>
      </c>
      <c r="S115" s="72"/>
      <c r="T115">
        <v>15</v>
      </c>
      <c r="U115" t="str">
        <v>NEFJ</v>
      </c>
      <c r="V115" t="str">
        <v>Ben LeSage</v>
      </c>
      <c r="W115" t="str">
        <v>NULL</v>
      </c>
      <c r="X115" t="str">
        <v>Home</v>
      </c>
      <c r="Y115" t="str">
        <v>OGDC</v>
      </c>
      <c r="Z115">
        <v>5.2431012308536262</v>
      </c>
    </row>
    <row r="116" spans="10:26" x14ac:dyDescent="0.35">
      <c r="J116" s="66">
        <v>6</v>
      </c>
      <c r="K116" t="s">
        <v>7</v>
      </c>
      <c r="L116" t="s">
        <v>19</v>
      </c>
      <c r="M116">
        <v>4</v>
      </c>
      <c r="N116" t="s">
        <v>3</v>
      </c>
      <c r="O116" t="s">
        <v>23</v>
      </c>
      <c r="P116">
        <f t="shared" si="7"/>
        <v>4.7081609383449008</v>
      </c>
      <c r="Q116">
        <f t="shared" si="9"/>
        <v>0.5014919145975304</v>
      </c>
      <c r="R116" s="67" t="e" cm="1">
        <f t="array" ref="R116">SUMPRODUCT((J116=$J$7:$J$1000)*(P116&lt;$P$7:$P$1000))+1</f>
        <v>#N/A</v>
      </c>
      <c r="S116" s="72"/>
      <c r="T116">
        <v>15</v>
      </c>
      <c r="U116" t="str">
        <v>NEFJ</v>
      </c>
      <c r="V116" t="str">
        <v>Faletoi Peni</v>
      </c>
      <c r="W116" t="str">
        <v>NULL</v>
      </c>
      <c r="X116" t="str">
        <v>Home</v>
      </c>
      <c r="Y116" t="str">
        <v>OGDC</v>
      </c>
      <c r="Z116">
        <v>3.0892854281636843</v>
      </c>
    </row>
    <row r="117" spans="10:26" x14ac:dyDescent="0.35">
      <c r="J117" s="65">
        <v>6</v>
      </c>
      <c r="K117" t="s">
        <v>34</v>
      </c>
      <c r="L117" t="s">
        <v>52</v>
      </c>
      <c r="M117">
        <v>3</v>
      </c>
      <c r="N117" t="s">
        <v>3</v>
      </c>
      <c r="O117" t="s">
        <v>24</v>
      </c>
      <c r="P117">
        <f t="shared" si="7"/>
        <v>5.5087614904590154</v>
      </c>
      <c r="Q117">
        <f t="shared" si="9"/>
        <v>6.2938842160101407</v>
      </c>
      <c r="R117" s="67" t="e" cm="1">
        <f t="array" ref="R117">SUMPRODUCT((J117=$J$7:$J$1000)*(P117&lt;$P$7:$P$1000))+1</f>
        <v>#N/A</v>
      </c>
      <c r="S117" s="72"/>
      <c r="T117">
        <v>15</v>
      </c>
      <c r="U117" t="str">
        <v>NEFJ</v>
      </c>
      <c r="V117" t="str">
        <v>Killian Coghlan</v>
      </c>
      <c r="W117" t="str">
        <v>NULL</v>
      </c>
      <c r="X117" t="str">
        <v>Home</v>
      </c>
      <c r="Y117" t="str">
        <v>OGDC</v>
      </c>
      <c r="Z117">
        <v>9.7458906400746557</v>
      </c>
    </row>
    <row r="118" spans="10:26" x14ac:dyDescent="0.35">
      <c r="J118" s="65">
        <v>6</v>
      </c>
      <c r="K118" t="s">
        <v>36</v>
      </c>
      <c r="L118" t="s">
        <v>48</v>
      </c>
      <c r="M118">
        <v>0.7</v>
      </c>
      <c r="N118" t="s">
        <v>9</v>
      </c>
      <c r="O118" t="s">
        <v>14</v>
      </c>
      <c r="P118">
        <f t="shared" si="7"/>
        <v>4.3053647181496082</v>
      </c>
      <c r="Q118">
        <f t="shared" si="9"/>
        <v>12.998654750878002</v>
      </c>
      <c r="R118" s="67" t="e" cm="1">
        <f t="array" ref="R118">SUMPRODUCT((J118=$J$7:$J$1000)*(P118&lt;$P$7:$P$1000))+1</f>
        <v>#N/A</v>
      </c>
      <c r="S118" s="72"/>
      <c r="T118">
        <v>15</v>
      </c>
      <c r="U118" t="str">
        <v>NEFJ</v>
      </c>
      <c r="V118" t="str">
        <v>Le Roux Malan</v>
      </c>
      <c r="W118" t="str">
        <v>NULL</v>
      </c>
      <c r="X118" t="str">
        <v>Home</v>
      </c>
      <c r="Y118" t="str">
        <v>OGDC</v>
      </c>
      <c r="Z118">
        <v>10.429481770339471</v>
      </c>
    </row>
    <row r="119" spans="10:26" x14ac:dyDescent="0.35">
      <c r="J119" s="66">
        <v>7</v>
      </c>
      <c r="K119" t="s">
        <v>6</v>
      </c>
      <c r="L119" t="s">
        <v>8</v>
      </c>
      <c r="M119">
        <v>14.1</v>
      </c>
      <c r="N119" t="s">
        <v>3</v>
      </c>
      <c r="O119" t="s">
        <v>7</v>
      </c>
      <c r="P119">
        <f t="shared" si="7"/>
        <v>13.587579750038163</v>
      </c>
      <c r="Q119">
        <f t="shared" si="9"/>
        <v>0.26257451257095116</v>
      </c>
      <c r="R119" s="67" t="e" cm="1">
        <f t="array" ref="R119">SUMPRODUCT((J119=$J$7:$J$1000)*(P119&lt;$P$7:$P$1000))+1</f>
        <v>#N/A</v>
      </c>
      <c r="S119" s="72"/>
      <c r="T119">
        <v>15</v>
      </c>
      <c r="U119" t="str">
        <v>NEFJ</v>
      </c>
      <c r="V119" t="str">
        <v>Wayne van der Bank</v>
      </c>
      <c r="W119" t="str">
        <v>NULL</v>
      </c>
      <c r="X119" t="str">
        <v>Home</v>
      </c>
      <c r="Y119" t="str">
        <v>OGDC</v>
      </c>
      <c r="Z119">
        <v>9.688409878883629</v>
      </c>
    </row>
    <row r="120" spans="10:26" x14ac:dyDescent="0.35">
      <c r="J120" s="66">
        <v>7</v>
      </c>
      <c r="K120" t="s">
        <v>7</v>
      </c>
      <c r="L120" t="s">
        <v>447</v>
      </c>
      <c r="M120">
        <v>12.7</v>
      </c>
      <c r="N120" t="s">
        <v>9</v>
      </c>
      <c r="O120" t="s">
        <v>6</v>
      </c>
      <c r="P120">
        <f t="shared" si="7"/>
        <v>9.8638523374254774</v>
      </c>
      <c r="Q120">
        <f t="shared" si="9"/>
        <v>8.0437335639269243</v>
      </c>
      <c r="R120" s="67" t="e" cm="1">
        <f t="array" ref="R120">SUMPRODUCT((J120=$J$7:$J$1000)*(P120&lt;$P$7:$P$1000))+1</f>
        <v>#N/A</v>
      </c>
      <c r="S120" s="72"/>
      <c r="T120">
        <v>15</v>
      </c>
      <c r="U120" t="str">
        <v>NOLA</v>
      </c>
      <c r="V120" t="str">
        <v>Isaac Te Tamaki</v>
      </c>
      <c r="W120" t="str">
        <v>NULL</v>
      </c>
      <c r="X120" t="str">
        <v>Home</v>
      </c>
      <c r="Y120" t="str">
        <v>UTAH</v>
      </c>
      <c r="Z120">
        <v>4.5792752063536097</v>
      </c>
    </row>
    <row r="121" spans="10:26" x14ac:dyDescent="0.35">
      <c r="J121" s="66">
        <v>7</v>
      </c>
      <c r="K121" t="s">
        <v>7</v>
      </c>
      <c r="L121" t="s">
        <v>26</v>
      </c>
      <c r="M121">
        <v>12.1</v>
      </c>
      <c r="N121" t="s">
        <v>9</v>
      </c>
      <c r="O121" t="s">
        <v>6</v>
      </c>
      <c r="P121">
        <f t="shared" si="7"/>
        <v>13.755703181064373</v>
      </c>
      <c r="Q121">
        <f t="shared" si="9"/>
        <v>2.7413530237866848</v>
      </c>
      <c r="R121" s="67" t="e" cm="1">
        <f t="array" ref="R121">SUMPRODUCT((J121=$J$7:$J$1000)*(P121&lt;$P$7:$P$1000))+1</f>
        <v>#N/A</v>
      </c>
      <c r="S121" s="72"/>
      <c r="T121">
        <v>15</v>
      </c>
      <c r="U121" t="str">
        <v>NOLA</v>
      </c>
      <c r="V121" t="str">
        <v>JP Du Plessis</v>
      </c>
      <c r="W121" t="str">
        <v>NULL</v>
      </c>
      <c r="X121" t="str">
        <v>Home</v>
      </c>
      <c r="Y121" t="str">
        <v>UTAH</v>
      </c>
      <c r="Z121">
        <v>5.8975450890065764</v>
      </c>
    </row>
    <row r="122" spans="10:26" x14ac:dyDescent="0.35">
      <c r="J122" s="66">
        <v>7</v>
      </c>
      <c r="K122" t="s">
        <v>2</v>
      </c>
      <c r="L122" t="s">
        <v>44</v>
      </c>
      <c r="M122">
        <v>11.8</v>
      </c>
      <c r="N122" t="s">
        <v>9</v>
      </c>
      <c r="O122" t="s">
        <v>4</v>
      </c>
      <c r="P122">
        <f t="shared" si="7"/>
        <v>6.1312216580898786</v>
      </c>
      <c r="Q122">
        <f t="shared" si="9"/>
        <v>32.13504788970927</v>
      </c>
      <c r="R122" s="67" t="e" cm="1">
        <f t="array" ref="R122">SUMPRODUCT((J122=$J$7:$J$1000)*(P122&lt;$P$7:$P$1000))+1</f>
        <v>#N/A</v>
      </c>
      <c r="S122" s="72"/>
      <c r="T122">
        <v>15</v>
      </c>
      <c r="U122" t="str">
        <v>NOLA</v>
      </c>
      <c r="V122" t="str">
        <v>Nikolai Foliaki</v>
      </c>
      <c r="W122" t="str">
        <v>NULL</v>
      </c>
      <c r="X122" t="str">
        <v>Home</v>
      </c>
      <c r="Y122" t="str">
        <v>UTAH</v>
      </c>
      <c r="Z122">
        <v>2.3821103624409821</v>
      </c>
    </row>
    <row r="123" spans="10:26" x14ac:dyDescent="0.35">
      <c r="J123" s="66">
        <v>7</v>
      </c>
      <c r="K123" t="s">
        <v>13</v>
      </c>
      <c r="L123" t="s">
        <v>474</v>
      </c>
      <c r="M123">
        <v>11.5</v>
      </c>
      <c r="N123" t="s">
        <v>3</v>
      </c>
      <c r="O123" t="s">
        <v>23</v>
      </c>
      <c r="P123">
        <f t="shared" si="7"/>
        <v>5.7659448277674219</v>
      </c>
      <c r="Q123">
        <f t="shared" si="9"/>
        <v>32.879388718207181</v>
      </c>
      <c r="R123" s="67" t="e" cm="1">
        <f t="array" ref="R123">SUMPRODUCT((J123=$J$7:$J$1000)*(P123&lt;$P$7:$P$1000))+1</f>
        <v>#N/A</v>
      </c>
      <c r="S123" s="72"/>
      <c r="T123">
        <v>15</v>
      </c>
      <c r="U123" t="str">
        <v>NOLA</v>
      </c>
      <c r="V123" t="str">
        <v>Ross Depperschmidt</v>
      </c>
      <c r="W123" t="str">
        <v>NULL</v>
      </c>
      <c r="X123" t="str">
        <v>Home</v>
      </c>
      <c r="Y123" t="str">
        <v>UTAH</v>
      </c>
      <c r="Z123" t="e">
        <v>#N/A</v>
      </c>
    </row>
    <row r="124" spans="10:26" x14ac:dyDescent="0.35">
      <c r="J124" s="65">
        <v>7</v>
      </c>
      <c r="K124" t="s">
        <v>6</v>
      </c>
      <c r="L124" t="s">
        <v>445</v>
      </c>
      <c r="M124">
        <v>9.3000000000000007</v>
      </c>
      <c r="N124" t="s">
        <v>3</v>
      </c>
      <c r="O124" t="s">
        <v>7</v>
      </c>
      <c r="P124">
        <f t="shared" si="7"/>
        <v>13.445763079943088</v>
      </c>
      <c r="Q124">
        <f t="shared" si="9"/>
        <v>17.187351515019195</v>
      </c>
      <c r="R124" s="67" t="e" cm="1">
        <f t="array" ref="R124">SUMPRODUCT((J124=$J$7:$J$1000)*(P124&lt;$P$7:$P$1000))+1</f>
        <v>#N/A</v>
      </c>
      <c r="S124" s="72"/>
      <c r="T124">
        <v>15</v>
      </c>
      <c r="U124" t="str">
        <v>OGDC</v>
      </c>
      <c r="V124" t="str">
        <v>Jason Emery</v>
      </c>
      <c r="W124" t="str">
        <v>NULL</v>
      </c>
      <c r="X124" t="str">
        <v>Away</v>
      </c>
      <c r="Y124" t="str">
        <v>NEFJ</v>
      </c>
      <c r="Z124">
        <v>4.986535802252626</v>
      </c>
    </row>
    <row r="125" spans="10:26" x14ac:dyDescent="0.35">
      <c r="J125" s="66">
        <v>7</v>
      </c>
      <c r="K125" t="s">
        <v>23</v>
      </c>
      <c r="L125" t="s">
        <v>32</v>
      </c>
      <c r="M125">
        <v>8.6</v>
      </c>
      <c r="N125" t="s">
        <v>9</v>
      </c>
      <c r="O125" t="s">
        <v>13</v>
      </c>
      <c r="P125">
        <f t="shared" si="7"/>
        <v>6.1984463630035735</v>
      </c>
      <c r="Q125">
        <f t="shared" si="9"/>
        <v>5.7674598713707619</v>
      </c>
      <c r="R125" s="67" t="e" cm="1">
        <f t="array" ref="R125">SUMPRODUCT((J125=$J$7:$J$1000)*(P125&lt;$P$7:$P$1000))+1</f>
        <v>#N/A</v>
      </c>
      <c r="S125" s="72"/>
      <c r="T125">
        <v>15</v>
      </c>
      <c r="U125" t="str">
        <v>OGDC</v>
      </c>
      <c r="V125" t="str">
        <v>John Powers</v>
      </c>
      <c r="W125" t="str">
        <v>NULL</v>
      </c>
      <c r="X125" t="str">
        <v>Away</v>
      </c>
      <c r="Y125" t="str">
        <v>NEFJ</v>
      </c>
      <c r="Z125" t="e">
        <v>#N/A</v>
      </c>
    </row>
    <row r="126" spans="10:26" x14ac:dyDescent="0.35">
      <c r="J126" s="66">
        <v>7</v>
      </c>
      <c r="K126" t="s">
        <v>2</v>
      </c>
      <c r="L126" t="s">
        <v>449</v>
      </c>
      <c r="M126">
        <v>7.8</v>
      </c>
      <c r="N126" t="s">
        <v>9</v>
      </c>
      <c r="O126" t="s">
        <v>4</v>
      </c>
      <c r="P126">
        <f t="shared" si="7"/>
        <v>7.9594673536430278</v>
      </c>
      <c r="Q126">
        <f t="shared" si="9"/>
        <v>2.5429836877910554E-2</v>
      </c>
      <c r="R126" s="67" t="e" cm="1">
        <f t="array" ref="R126">SUMPRODUCT((J126=$J$7:$J$1000)*(P126&lt;$P$7:$P$1000))+1</f>
        <v>#N/A</v>
      </c>
      <c r="S126" s="72"/>
      <c r="T126">
        <v>15</v>
      </c>
      <c r="U126" t="str">
        <v>OGDC</v>
      </c>
      <c r="V126" t="str">
        <v>Nick Grigg</v>
      </c>
      <c r="W126" t="str">
        <v>NULL</v>
      </c>
      <c r="X126" t="str">
        <v>Away</v>
      </c>
      <c r="Y126" t="str">
        <v>NEFJ</v>
      </c>
      <c r="Z126">
        <v>10.356998817243683</v>
      </c>
    </row>
    <row r="127" spans="10:26" x14ac:dyDescent="0.35">
      <c r="J127" s="66">
        <v>7</v>
      </c>
      <c r="K127" t="s">
        <v>13</v>
      </c>
      <c r="L127" t="s">
        <v>53</v>
      </c>
      <c r="M127">
        <v>6.4</v>
      </c>
      <c r="N127" t="s">
        <v>3</v>
      </c>
      <c r="O127" t="s">
        <v>23</v>
      </c>
      <c r="P127">
        <f t="shared" si="7"/>
        <v>9.8634962322290693</v>
      </c>
      <c r="Q127">
        <f t="shared" si="9"/>
        <v>11.995806150664958</v>
      </c>
      <c r="R127" s="67" t="e" cm="1">
        <f t="array" ref="R127">SUMPRODUCT((J127=$J$7:$J$1000)*(P127&lt;$P$7:$P$1000))+1</f>
        <v>#N/A</v>
      </c>
      <c r="S127" s="72"/>
      <c r="T127">
        <v>15</v>
      </c>
      <c r="U127" t="str">
        <v>OGDC</v>
      </c>
      <c r="V127" t="str">
        <v>Steffan Hughes</v>
      </c>
      <c r="W127" t="str">
        <v>NULL</v>
      </c>
      <c r="X127" t="str">
        <v>Away</v>
      </c>
      <c r="Y127" t="str">
        <v>NEFJ</v>
      </c>
      <c r="Z127">
        <v>6.4651479736047879</v>
      </c>
    </row>
    <row r="128" spans="10:26" x14ac:dyDescent="0.35">
      <c r="J128" s="66">
        <v>7</v>
      </c>
      <c r="K128" t="s">
        <v>23</v>
      </c>
      <c r="L128" t="s">
        <v>46</v>
      </c>
      <c r="M128">
        <v>5.9</v>
      </c>
      <c r="N128" t="s">
        <v>9</v>
      </c>
      <c r="O128" t="s">
        <v>13</v>
      </c>
      <c r="P128">
        <f t="shared" si="7"/>
        <v>5.4573744715477313</v>
      </c>
      <c r="Q128">
        <f t="shared" si="9"/>
        <v>0.19591735843765049</v>
      </c>
      <c r="R128" s="67" t="e" cm="1">
        <f t="array" ref="R128">SUMPRODUCT((J128=$J$7:$J$1000)*(P128&lt;$P$7:$P$1000))+1</f>
        <v>#N/A</v>
      </c>
      <c r="S128" s="72"/>
      <c r="T128">
        <v>15</v>
      </c>
      <c r="U128" t="str">
        <v>OGDC</v>
      </c>
      <c r="V128" t="str">
        <v>Tommaso Boni</v>
      </c>
      <c r="W128" t="str">
        <v>NULL</v>
      </c>
      <c r="X128" t="str">
        <v>Away</v>
      </c>
      <c r="Y128" t="str">
        <v>NEFJ</v>
      </c>
      <c r="Z128">
        <v>7.9255432473344314</v>
      </c>
    </row>
    <row r="129" spans="10:26" x14ac:dyDescent="0.35">
      <c r="J129" s="66">
        <v>7</v>
      </c>
      <c r="K129" t="s">
        <v>17</v>
      </c>
      <c r="L129" t="s">
        <v>16</v>
      </c>
      <c r="M129">
        <v>5.9</v>
      </c>
      <c r="N129" t="s">
        <v>3</v>
      </c>
      <c r="O129" t="s">
        <v>14</v>
      </c>
      <c r="P129">
        <f t="shared" si="7"/>
        <v>7.278144712139631</v>
      </c>
      <c r="Q129">
        <f t="shared" si="9"/>
        <v>1.8992828475984254</v>
      </c>
      <c r="R129" s="67" t="e" cm="1">
        <f t="array" ref="R129">SUMPRODUCT((J129=$J$7:$J$1000)*(P129&lt;$P$7:$P$1000))+1</f>
        <v>#N/A</v>
      </c>
      <c r="S129" s="72"/>
      <c r="T129">
        <v>15</v>
      </c>
      <c r="U129" t="str">
        <v>SEA</v>
      </c>
      <c r="V129" t="str">
        <v>Dan Kriel</v>
      </c>
      <c r="W129" t="str">
        <v>NULL</v>
      </c>
      <c r="X129" t="str">
        <v>Home</v>
      </c>
      <c r="Y129" t="str">
        <v>HOU</v>
      </c>
      <c r="Z129">
        <v>5.0417040152015042</v>
      </c>
    </row>
    <row r="130" spans="10:26" x14ac:dyDescent="0.35">
      <c r="J130" s="66">
        <v>7</v>
      </c>
      <c r="K130" t="s">
        <v>36</v>
      </c>
      <c r="L130" t="s">
        <v>38</v>
      </c>
      <c r="M130">
        <v>5.2</v>
      </c>
      <c r="N130" t="s">
        <v>3</v>
      </c>
      <c r="O130" t="s">
        <v>34</v>
      </c>
      <c r="P130">
        <f t="shared" si="7"/>
        <v>9.2647838008052439</v>
      </c>
      <c r="Q130">
        <f t="shared" si="9"/>
        <v>16.522467347288725</v>
      </c>
      <c r="R130" s="67" t="e" cm="1">
        <f t="array" ref="R130">SUMPRODUCT((J130=$J$7:$J$1000)*(P130&lt;$P$7:$P$1000))+1</f>
        <v>#N/A</v>
      </c>
      <c r="S130" s="72"/>
      <c r="T130">
        <v>15</v>
      </c>
      <c r="U130" t="str">
        <v>SEA</v>
      </c>
      <c r="V130" t="str">
        <v>Divan Rossouw</v>
      </c>
      <c r="W130" t="str">
        <v>NULL</v>
      </c>
      <c r="X130" t="str">
        <v>Home</v>
      </c>
      <c r="Y130" t="str">
        <v>HOU</v>
      </c>
      <c r="Z130">
        <v>10.89258066790144</v>
      </c>
    </row>
    <row r="131" spans="10:26" x14ac:dyDescent="0.35">
      <c r="J131" s="66">
        <v>7</v>
      </c>
      <c r="K131" t="s">
        <v>4</v>
      </c>
      <c r="L131" t="s">
        <v>452</v>
      </c>
      <c r="M131">
        <v>4.7</v>
      </c>
      <c r="N131" t="s">
        <v>3</v>
      </c>
      <c r="O131" t="s">
        <v>2</v>
      </c>
      <c r="P131">
        <f t="shared" si="7"/>
        <v>6.5642521983094886</v>
      </c>
      <c r="Q131">
        <f t="shared" si="9"/>
        <v>3.4754362589017602</v>
      </c>
      <c r="R131" s="67" t="e" cm="1">
        <f t="array" ref="R131">SUMPRODUCT((J131=$J$7:$J$1000)*(P131&lt;$P$7:$P$1000))+1</f>
        <v>#N/A</v>
      </c>
      <c r="S131" s="72"/>
      <c r="T131">
        <v>15</v>
      </c>
      <c r="U131" t="str">
        <v>SEA</v>
      </c>
      <c r="V131" t="str">
        <v>Eddie Fouche</v>
      </c>
      <c r="W131" t="str">
        <v>NULL</v>
      </c>
      <c r="X131" t="str">
        <v>Home</v>
      </c>
      <c r="Y131" t="str">
        <v>HOU</v>
      </c>
      <c r="Z131">
        <v>7.9488032230476469</v>
      </c>
    </row>
    <row r="132" spans="10:26" x14ac:dyDescent="0.35">
      <c r="J132" s="66">
        <v>7</v>
      </c>
      <c r="K132" t="s">
        <v>36</v>
      </c>
      <c r="L132" t="s">
        <v>490</v>
      </c>
      <c r="M132">
        <v>4.5999999999999996</v>
      </c>
      <c r="N132" t="s">
        <v>3</v>
      </c>
      <c r="O132" t="s">
        <v>34</v>
      </c>
      <c r="P132">
        <f t="shared" si="7"/>
        <v>8.1502059057932339</v>
      </c>
      <c r="Q132">
        <f t="shared" si="9"/>
        <v>12.603961973529159</v>
      </c>
      <c r="R132" s="67" t="e" cm="1">
        <f t="array" ref="R132">SUMPRODUCT((J132=$J$7:$J$1000)*(P132&lt;$P$7:$P$1000))+1</f>
        <v>#N/A</v>
      </c>
      <c r="S132" s="72"/>
      <c r="T132">
        <v>15</v>
      </c>
      <c r="U132" t="str">
        <v>SEA</v>
      </c>
      <c r="V132" t="str">
        <v>Mikaela Kruse</v>
      </c>
      <c r="W132" t="str">
        <v>NULL</v>
      </c>
      <c r="X132" t="str">
        <v>Home</v>
      </c>
      <c r="Y132" t="str">
        <v>HOU</v>
      </c>
      <c r="Z132">
        <v>4.2672840458949812</v>
      </c>
    </row>
    <row r="133" spans="10:26" x14ac:dyDescent="0.35">
      <c r="J133" s="66">
        <v>7</v>
      </c>
      <c r="K133" t="s">
        <v>14</v>
      </c>
      <c r="L133" t="s">
        <v>448</v>
      </c>
      <c r="M133">
        <v>4.2</v>
      </c>
      <c r="N133" t="s">
        <v>9</v>
      </c>
      <c r="O133" t="s">
        <v>17</v>
      </c>
      <c r="P133">
        <f t="shared" si="7"/>
        <v>7.0384981212160787</v>
      </c>
      <c r="Q133">
        <f t="shared" si="9"/>
        <v>8.0570715841472076</v>
      </c>
      <c r="R133" s="67" t="e" cm="1">
        <f t="array" ref="R133">SUMPRODUCT((J133=$J$7:$J$1000)*(P133&lt;$P$7:$P$1000))+1</f>
        <v>#N/A</v>
      </c>
      <c r="S133" s="72"/>
      <c r="T133">
        <v>15</v>
      </c>
      <c r="U133" t="str">
        <v>SEA</v>
      </c>
      <c r="V133" t="str">
        <v>Rodney Iona</v>
      </c>
      <c r="W133" t="str">
        <v>NULL</v>
      </c>
      <c r="X133" t="str">
        <v>Home</v>
      </c>
      <c r="Y133" t="str">
        <v>HOU</v>
      </c>
      <c r="Z133">
        <v>5.7675466934306572</v>
      </c>
    </row>
    <row r="134" spans="10:26" x14ac:dyDescent="0.35">
      <c r="J134" s="66">
        <v>7</v>
      </c>
      <c r="K134" t="s">
        <v>14</v>
      </c>
      <c r="L134" t="s">
        <v>11</v>
      </c>
      <c r="M134">
        <v>4.0999999999999996</v>
      </c>
      <c r="N134" t="s">
        <v>9</v>
      </c>
      <c r="O134" t="s">
        <v>17</v>
      </c>
      <c r="P134">
        <f t="shared" si="7"/>
        <v>7.5436232766388249</v>
      </c>
      <c r="Q134">
        <f t="shared" si="9"/>
        <v>11.85854127140872</v>
      </c>
      <c r="R134" s="67" t="e" cm="1">
        <f t="array" ref="R134">SUMPRODUCT((J134=$J$7:$J$1000)*(P134&lt;$P$7:$P$1000))+1</f>
        <v>#N/A</v>
      </c>
      <c r="S134" s="72"/>
      <c r="T134">
        <v>15</v>
      </c>
      <c r="U134" t="str">
        <v>UTAH</v>
      </c>
      <c r="V134" t="str">
        <v>Cole Semu</v>
      </c>
      <c r="W134" t="str">
        <v>NULL</v>
      </c>
      <c r="X134" t="str">
        <v>Away</v>
      </c>
      <c r="Y134" t="str">
        <v>NOLA</v>
      </c>
      <c r="Z134">
        <v>4.2256465943494872</v>
      </c>
    </row>
    <row r="135" spans="10:26" x14ac:dyDescent="0.35">
      <c r="J135" s="66">
        <v>7</v>
      </c>
      <c r="K135" t="s">
        <v>34</v>
      </c>
      <c r="L135" t="s">
        <v>41</v>
      </c>
      <c r="M135">
        <v>4.0999999999999996</v>
      </c>
      <c r="N135" t="s">
        <v>9</v>
      </c>
      <c r="O135" t="s">
        <v>36</v>
      </c>
      <c r="P135">
        <f t="shared" si="7"/>
        <v>6.2004530649812288</v>
      </c>
      <c r="Q135">
        <f t="shared" si="9"/>
        <v>4.4119030781890398</v>
      </c>
      <c r="R135" s="67" t="e" cm="1">
        <f t="array" ref="R135">SUMPRODUCT((J135=$J$7:$J$1000)*(P135&lt;$P$7:$P$1000))+1</f>
        <v>#N/A</v>
      </c>
      <c r="S135" s="72"/>
      <c r="T135">
        <v>15</v>
      </c>
      <c r="U135" t="str">
        <v>UTAH</v>
      </c>
      <c r="V135" t="str">
        <v>D'Angelo Leuila</v>
      </c>
      <c r="W135" t="str">
        <v>NULL</v>
      </c>
      <c r="X135" t="str">
        <v>Away</v>
      </c>
      <c r="Y135" t="str">
        <v>NOLA</v>
      </c>
      <c r="Z135">
        <v>11.770831229104536</v>
      </c>
    </row>
    <row r="136" spans="10:26" x14ac:dyDescent="0.35">
      <c r="J136" s="66">
        <v>7</v>
      </c>
      <c r="K136" t="s">
        <v>34</v>
      </c>
      <c r="L136" t="s">
        <v>52</v>
      </c>
      <c r="M136">
        <v>3.9</v>
      </c>
      <c r="N136" t="s">
        <v>9</v>
      </c>
      <c r="O136" t="s">
        <v>36</v>
      </c>
      <c r="P136">
        <f t="shared" ref="P136:P199" si="10">VLOOKUP($N136,$F$3:$G$4,2,FALSE)+VLOOKUP($L136,$B$20:$C$150,2,FALSE)+VLOOKUP($O136,$A$6:$B$16,2,FALSE)</f>
        <v>6.312443739221993</v>
      </c>
      <c r="Q136">
        <f t="shared" si="9"/>
        <v>5.8198847949113919</v>
      </c>
      <c r="R136" s="67" t="e" cm="1">
        <f t="array" ref="R136">SUMPRODUCT((J136=$J$7:$J$1000)*(P136&lt;$P$7:$P$1000))+1</f>
        <v>#N/A</v>
      </c>
      <c r="S136" s="72"/>
      <c r="T136">
        <v>15</v>
      </c>
      <c r="U136" t="str">
        <v>UTAH</v>
      </c>
      <c r="V136" t="str">
        <v>Kyle Brown</v>
      </c>
      <c r="W136" t="str">
        <v>NULL</v>
      </c>
      <c r="X136" t="str">
        <v>Away</v>
      </c>
      <c r="Y136" t="str">
        <v>NOLA</v>
      </c>
      <c r="Z136">
        <v>5.4166941681882328</v>
      </c>
    </row>
    <row r="137" spans="10:26" x14ac:dyDescent="0.35">
      <c r="J137" s="66">
        <v>7</v>
      </c>
      <c r="K137" t="s">
        <v>17</v>
      </c>
      <c r="L137" t="s">
        <v>450</v>
      </c>
      <c r="M137">
        <v>3.5</v>
      </c>
      <c r="N137" t="s">
        <v>3</v>
      </c>
      <c r="O137" t="s">
        <v>14</v>
      </c>
      <c r="P137">
        <f t="shared" si="10"/>
        <v>6.503724742833108</v>
      </c>
      <c r="Q137">
        <f t="shared" si="9"/>
        <v>9.0223623307078213</v>
      </c>
      <c r="R137" s="67" t="e" cm="1">
        <f t="array" ref="R137">SUMPRODUCT((J137=$J$7:$J$1000)*(P137&lt;$P$7:$P$1000))+1</f>
        <v>#N/A</v>
      </c>
      <c r="S137" s="72"/>
      <c r="T137">
        <v>15</v>
      </c>
      <c r="U137" t="str">
        <v>UTAH</v>
      </c>
      <c r="V137" t="str">
        <v>Spencer Jones</v>
      </c>
      <c r="W137" t="str">
        <v>NULL</v>
      </c>
      <c r="X137" t="str">
        <v>Away</v>
      </c>
      <c r="Y137" t="str">
        <v>NOLA</v>
      </c>
      <c r="Z137">
        <v>9.5142455726498802</v>
      </c>
    </row>
    <row r="138" spans="10:26" x14ac:dyDescent="0.35">
      <c r="J138" s="66">
        <v>7</v>
      </c>
      <c r="K138" t="s">
        <v>4</v>
      </c>
      <c r="L138" t="s">
        <v>1</v>
      </c>
      <c r="M138">
        <v>-1</v>
      </c>
      <c r="N138" t="s">
        <v>3</v>
      </c>
      <c r="O138" t="s">
        <v>2</v>
      </c>
      <c r="P138">
        <f t="shared" si="10"/>
        <v>7.8825220809624552</v>
      </c>
      <c r="Q138">
        <f t="shared" si="9"/>
        <v>78.899198518785596</v>
      </c>
      <c r="R138" s="67" t="e" cm="1">
        <f t="array" ref="R138">SUMPRODUCT((J138=$J$7:$J$1000)*(P138&lt;$P$7:$P$1000))+1</f>
        <v>#N/A</v>
      </c>
      <c r="S138" s="72"/>
      <c r="T138">
        <v>15</v>
      </c>
      <c r="U138" t="str">
        <v>UTAH</v>
      </c>
      <c r="V138" t="str">
        <v>Tomasi Tonga</v>
      </c>
      <c r="W138" t="str">
        <v>NULL</v>
      </c>
      <c r="X138" t="str">
        <v>Away</v>
      </c>
      <c r="Y138" t="str">
        <v>NOLA</v>
      </c>
      <c r="Z138">
        <v>-1.7662072830638023</v>
      </c>
    </row>
    <row r="139" spans="10:26" x14ac:dyDescent="0.35">
      <c r="J139" s="66">
        <v>8</v>
      </c>
      <c r="K139" t="s">
        <v>4</v>
      </c>
      <c r="L139" t="s">
        <v>1</v>
      </c>
      <c r="M139">
        <v>21.8</v>
      </c>
      <c r="N139" t="s">
        <v>9</v>
      </c>
      <c r="O139" t="s">
        <v>14</v>
      </c>
      <c r="P139">
        <f t="shared" si="10"/>
        <v>10.855479739481838</v>
      </c>
      <c r="Q139">
        <f t="shared" si="9"/>
        <v>119.78252373289254</v>
      </c>
      <c r="R139" s="67" t="e" cm="1">
        <f t="array" ref="R139">SUMPRODUCT((J139=$J$7:$J$1000)*(P139&lt;$P$7:$P$1000))+1</f>
        <v>#N/A</v>
      </c>
      <c r="S139" s="72"/>
      <c r="T139">
        <v>16</v>
      </c>
      <c r="U139" t="str">
        <v>ARC</v>
      </c>
      <c r="V139" t="str">
        <v>EJ Freeman</v>
      </c>
      <c r="W139" t="str">
        <v>NULL</v>
      </c>
      <c r="X139" t="str">
        <v>Away</v>
      </c>
      <c r="Y139" t="str">
        <v>UTAH</v>
      </c>
      <c r="Z139">
        <v>4.6957071520163485</v>
      </c>
    </row>
    <row r="140" spans="10:26" x14ac:dyDescent="0.35">
      <c r="J140" s="66">
        <v>8</v>
      </c>
      <c r="K140" t="s">
        <v>6</v>
      </c>
      <c r="L140" t="s">
        <v>445</v>
      </c>
      <c r="M140">
        <v>16.600000000000001</v>
      </c>
      <c r="N140" t="s">
        <v>9</v>
      </c>
      <c r="O140" t="s">
        <v>36</v>
      </c>
      <c r="P140">
        <f t="shared" si="10"/>
        <v>11.657846762236598</v>
      </c>
      <c r="Q140">
        <f t="shared" si="9"/>
        <v>24.424878625535289</v>
      </c>
      <c r="R140" s="67" t="e" cm="1">
        <f t="array" ref="R140">SUMPRODUCT((J140=$J$7:$J$1000)*(P140&lt;$P$7:$P$1000))+1</f>
        <v>#N/A</v>
      </c>
      <c r="S140" s="72"/>
      <c r="T140">
        <v>16</v>
      </c>
      <c r="U140" t="str">
        <v>ARC</v>
      </c>
      <c r="V140" t="str">
        <v>Erich Storti</v>
      </c>
      <c r="W140" t="str">
        <v>NULL</v>
      </c>
      <c r="X140" t="str">
        <v>Away</v>
      </c>
      <c r="Y140" t="str">
        <v>UTAH</v>
      </c>
      <c r="Z140">
        <v>4.9568402835106626</v>
      </c>
    </row>
    <row r="141" spans="10:26" x14ac:dyDescent="0.35">
      <c r="J141" s="65">
        <v>8</v>
      </c>
      <c r="K141" t="s">
        <v>7</v>
      </c>
      <c r="L141" t="s">
        <v>26</v>
      </c>
      <c r="M141">
        <v>14.8</v>
      </c>
      <c r="N141" t="s">
        <v>3</v>
      </c>
      <c r="O141" t="s">
        <v>17</v>
      </c>
      <c r="P141">
        <f t="shared" si="10"/>
        <v>9.4961962818011241</v>
      </c>
      <c r="Q141">
        <f t="shared" si="9"/>
        <v>28.130333881180228</v>
      </c>
      <c r="R141" s="67" t="e" cm="1">
        <f t="array" ref="R141">SUMPRODUCT((J141=$J$7:$J$1000)*(P141&lt;$P$7:$P$1000))+1</f>
        <v>#N/A</v>
      </c>
      <c r="S141" s="72"/>
      <c r="T141">
        <v>16</v>
      </c>
      <c r="U141" t="str">
        <v>ARC</v>
      </c>
      <c r="V141" t="str">
        <v>Junior Gafa</v>
      </c>
      <c r="W141" t="str">
        <v>NULL</v>
      </c>
      <c r="X141" t="str">
        <v>Away</v>
      </c>
      <c r="Y141" t="str">
        <v>UTAH</v>
      </c>
      <c r="Z141">
        <v>5.4619654389334089</v>
      </c>
    </row>
    <row r="142" spans="10:26" x14ac:dyDescent="0.35">
      <c r="J142" s="66">
        <v>8</v>
      </c>
      <c r="K142" t="s">
        <v>6</v>
      </c>
      <c r="L142" t="s">
        <v>8</v>
      </c>
      <c r="M142">
        <v>14.5</v>
      </c>
      <c r="N142" t="s">
        <v>9</v>
      </c>
      <c r="O142" t="s">
        <v>36</v>
      </c>
      <c r="P142">
        <f t="shared" si="10"/>
        <v>11.799663432331672</v>
      </c>
      <c r="Q142">
        <f t="shared" si="9"/>
        <v>7.2918175786867687</v>
      </c>
      <c r="R142" s="67" t="e" cm="1">
        <f t="array" ref="R142">SUMPRODUCT((J142=$J$7:$J$1000)*(P142&lt;$P$7:$P$1000))+1</f>
        <v>#N/A</v>
      </c>
      <c r="S142" s="72"/>
      <c r="T142">
        <v>16</v>
      </c>
      <c r="U142" t="str">
        <v>ARC</v>
      </c>
      <c r="V142" t="str">
        <v>Watson Filikitonga</v>
      </c>
      <c r="W142" t="str">
        <v>NULL</v>
      </c>
      <c r="X142" t="str">
        <v>Away</v>
      </c>
      <c r="Y142" t="str">
        <v>UTAH</v>
      </c>
      <c r="Z142">
        <v>3.1765073002801918</v>
      </c>
    </row>
    <row r="143" spans="10:26" x14ac:dyDescent="0.35">
      <c r="J143" s="66">
        <v>8</v>
      </c>
      <c r="K143" t="s">
        <v>36</v>
      </c>
      <c r="L143" t="s">
        <v>490</v>
      </c>
      <c r="M143">
        <v>13.5</v>
      </c>
      <c r="N143" t="s">
        <v>3</v>
      </c>
      <c r="O143" t="s">
        <v>6</v>
      </c>
      <c r="P143">
        <f t="shared" si="10"/>
        <v>11.719206362379484</v>
      </c>
      <c r="Q143">
        <f t="shared" si="9"/>
        <v>3.1712259797897082</v>
      </c>
      <c r="R143" s="67" t="e" cm="1">
        <f t="array" ref="R143">SUMPRODUCT((J143=$J$7:$J$1000)*(P143&lt;$P$7:$P$1000))+1</f>
        <v>#N/A</v>
      </c>
      <c r="S143" s="72"/>
      <c r="T143">
        <v>16</v>
      </c>
      <c r="U143" t="str">
        <v>CHI</v>
      </c>
      <c r="V143" t="str">
        <v>Bryce Campbell</v>
      </c>
      <c r="W143" t="str">
        <v>NULL</v>
      </c>
      <c r="X143" t="str">
        <v>Home</v>
      </c>
      <c r="Y143" t="str">
        <v>NOLA</v>
      </c>
      <c r="Z143">
        <v>5.8528467941821534</v>
      </c>
    </row>
    <row r="144" spans="10:26" x14ac:dyDescent="0.35">
      <c r="J144" s="66">
        <v>8</v>
      </c>
      <c r="K144" t="s">
        <v>4</v>
      </c>
      <c r="L144" t="s">
        <v>452</v>
      </c>
      <c r="M144">
        <v>11.6</v>
      </c>
      <c r="N144" t="s">
        <v>9</v>
      </c>
      <c r="O144" t="s">
        <v>14</v>
      </c>
      <c r="P144">
        <f t="shared" si="10"/>
        <v>9.5372098568288717</v>
      </c>
      <c r="Q144">
        <f t="shared" si="9"/>
        <v>4.2551031747639625</v>
      </c>
      <c r="R144" s="67" t="e" cm="1">
        <f t="array" ref="R144">SUMPRODUCT((J144=$J$7:$J$1000)*(P144&lt;$P$7:$P$1000))+1</f>
        <v>#N/A</v>
      </c>
      <c r="S144" s="72"/>
      <c r="T144">
        <v>16</v>
      </c>
      <c r="U144" t="str">
        <v>CHI</v>
      </c>
      <c r="V144" t="str">
        <v>Noah Flesch</v>
      </c>
      <c r="W144" t="str">
        <v>NULL</v>
      </c>
      <c r="X144" t="str">
        <v>Home</v>
      </c>
      <c r="Y144" t="str">
        <v>NOLA</v>
      </c>
      <c r="Z144">
        <v>7.7686941795183149</v>
      </c>
    </row>
    <row r="145" spans="10:26" x14ac:dyDescent="0.35">
      <c r="J145" s="66">
        <v>8</v>
      </c>
      <c r="K145" t="s">
        <v>2</v>
      </c>
      <c r="L145" t="s">
        <v>449</v>
      </c>
      <c r="M145">
        <v>8.6999999999999993</v>
      </c>
      <c r="N145" t="s">
        <v>9</v>
      </c>
      <c r="O145" t="s">
        <v>34</v>
      </c>
      <c r="P145">
        <f t="shared" si="10"/>
        <v>8.4167967843643829</v>
      </c>
      <c r="Q145">
        <f t="shared" si="9"/>
        <v>8.0204061346353411E-2</v>
      </c>
      <c r="R145" s="67" t="e" cm="1">
        <f t="array" ref="R145">SUMPRODUCT((J145=$J$7:$J$1000)*(P145&lt;$P$7:$P$1000))+1</f>
        <v>#N/A</v>
      </c>
      <c r="S145" s="72"/>
      <c r="T145">
        <v>16</v>
      </c>
      <c r="U145" t="str">
        <v>CHI</v>
      </c>
      <c r="V145" t="str">
        <v>Ollie Devoto</v>
      </c>
      <c r="W145" t="str">
        <v>NULL</v>
      </c>
      <c r="X145" t="str">
        <v>Home</v>
      </c>
      <c r="Y145" t="str">
        <v>NOLA</v>
      </c>
      <c r="Z145">
        <v>7.6810924897353026</v>
      </c>
    </row>
    <row r="146" spans="10:26" x14ac:dyDescent="0.35">
      <c r="J146" s="66">
        <v>8</v>
      </c>
      <c r="K146" t="s">
        <v>36</v>
      </c>
      <c r="L146" t="s">
        <v>38</v>
      </c>
      <c r="M146">
        <v>7.9</v>
      </c>
      <c r="N146" t="s">
        <v>3</v>
      </c>
      <c r="O146" t="s">
        <v>6</v>
      </c>
      <c r="P146">
        <f t="shared" si="10"/>
        <v>12.833784257391493</v>
      </c>
      <c r="Q146">
        <f t="shared" si="9"/>
        <v>24.34222709848412</v>
      </c>
      <c r="R146" s="67" t="e" cm="1">
        <f t="array" ref="R146">SUMPRODUCT((J146=$J$7:$J$1000)*(P146&lt;$P$7:$P$1000))+1</f>
        <v>#N/A</v>
      </c>
      <c r="S146" s="72"/>
      <c r="T146">
        <v>16</v>
      </c>
      <c r="U146" t="str">
        <v>LA</v>
      </c>
      <c r="V146" t="str">
        <v>Billy Meakes</v>
      </c>
      <c r="W146" t="str">
        <v>NULL</v>
      </c>
      <c r="X146" t="str">
        <v>Away</v>
      </c>
      <c r="Y146" t="str">
        <v>OGDC</v>
      </c>
      <c r="Z146">
        <v>13.865954613945888</v>
      </c>
    </row>
    <row r="147" spans="10:26" x14ac:dyDescent="0.35">
      <c r="J147" s="66">
        <v>8</v>
      </c>
      <c r="K147" t="s">
        <v>7</v>
      </c>
      <c r="L147" t="s">
        <v>447</v>
      </c>
      <c r="M147">
        <v>7.7</v>
      </c>
      <c r="N147" t="s">
        <v>3</v>
      </c>
      <c r="O147" t="s">
        <v>17</v>
      </c>
      <c r="P147">
        <f t="shared" si="10"/>
        <v>5.6043454381622295</v>
      </c>
      <c r="Q147">
        <f t="shared" si="9"/>
        <v>4.3917680425514583</v>
      </c>
      <c r="R147" s="67" t="e" cm="1">
        <f t="array" ref="R147">SUMPRODUCT((J147=$J$7:$J$1000)*(P147&lt;$P$7:$P$1000))+1</f>
        <v>#N/A</v>
      </c>
      <c r="S147" s="72"/>
      <c r="T147">
        <v>16</v>
      </c>
      <c r="U147" t="str">
        <v>LA</v>
      </c>
      <c r="V147" t="str">
        <v>Matias Jensen</v>
      </c>
      <c r="W147" t="str">
        <v>NULL</v>
      </c>
      <c r="X147" t="str">
        <v>Away</v>
      </c>
      <c r="Y147" t="str">
        <v>OGDC</v>
      </c>
      <c r="Z147">
        <v>13.724137943850813</v>
      </c>
    </row>
    <row r="148" spans="10:26" x14ac:dyDescent="0.35">
      <c r="J148" s="66">
        <v>8</v>
      </c>
      <c r="K148" t="s">
        <v>17</v>
      </c>
      <c r="L148" t="s">
        <v>492</v>
      </c>
      <c r="M148">
        <v>6.4</v>
      </c>
      <c r="N148" t="s">
        <v>9</v>
      </c>
      <c r="O148" t="s">
        <v>7</v>
      </c>
      <c r="P148">
        <f t="shared" si="10"/>
        <v>10.293469268569588</v>
      </c>
      <c r="Q148">
        <f t="shared" si="9"/>
        <v>15.1591029452958</v>
      </c>
      <c r="R148" s="67" t="e" cm="1">
        <f t="array" ref="R148">SUMPRODUCT((J148=$J$7:$J$1000)*(P148&lt;$P$7:$P$1000))+1</f>
        <v>#N/A</v>
      </c>
      <c r="S148" s="72"/>
      <c r="T148">
        <v>16</v>
      </c>
      <c r="U148" t="str">
        <v>LA</v>
      </c>
      <c r="V148" t="str">
        <v>Nick Chan</v>
      </c>
      <c r="W148" t="str">
        <v>NULL</v>
      </c>
      <c r="X148" t="str">
        <v>Away</v>
      </c>
      <c r="Y148" t="str">
        <v>OGDC</v>
      </c>
      <c r="Z148">
        <v>11.661102007070593</v>
      </c>
    </row>
    <row r="149" spans="10:26" x14ac:dyDescent="0.35">
      <c r="J149" s="65">
        <v>8</v>
      </c>
      <c r="K149" t="s">
        <v>2</v>
      </c>
      <c r="L149" t="s">
        <v>44</v>
      </c>
      <c r="M149">
        <v>6.2</v>
      </c>
      <c r="N149" t="s">
        <v>9</v>
      </c>
      <c r="O149" t="s">
        <v>34</v>
      </c>
      <c r="P149">
        <f t="shared" si="10"/>
        <v>6.5885510888112329</v>
      </c>
      <c r="Q149">
        <f t="shared" si="9"/>
        <v>0.15097194861639443</v>
      </c>
      <c r="R149" s="67" t="e" cm="1">
        <f t="array" ref="R149">SUMPRODUCT((J149=$J$7:$J$1000)*(P149&lt;$P$7:$P$1000))+1</f>
        <v>#N/A</v>
      </c>
      <c r="S149" s="72"/>
      <c r="T149">
        <v>16</v>
      </c>
      <c r="U149" t="str">
        <v>MIA</v>
      </c>
      <c r="V149" t="str">
        <v>Guiseppe du Toit</v>
      </c>
      <c r="W149" t="str">
        <v>NULL</v>
      </c>
      <c r="X149" t="str">
        <v>Home</v>
      </c>
      <c r="Y149" t="str">
        <v>SDL</v>
      </c>
      <c r="Z149">
        <v>5.7177988355579519</v>
      </c>
    </row>
    <row r="150" spans="10:26" x14ac:dyDescent="0.35">
      <c r="J150" s="66">
        <v>8</v>
      </c>
      <c r="K150" t="s">
        <v>17</v>
      </c>
      <c r="L150" t="s">
        <v>16</v>
      </c>
      <c r="M150">
        <v>6.2</v>
      </c>
      <c r="N150" t="s">
        <v>9</v>
      </c>
      <c r="O150" t="s">
        <v>7</v>
      </c>
      <c r="P150">
        <f t="shared" si="10"/>
        <v>7.3863700607234444</v>
      </c>
      <c r="Q150">
        <f t="shared" si="9"/>
        <v>1.4074739209809486</v>
      </c>
      <c r="R150" s="67" t="e" cm="1">
        <f t="array" ref="R150">SUMPRODUCT((J150=$J$7:$J$1000)*(P150&lt;$P$7:$P$1000))+1</f>
        <v>#N/A</v>
      </c>
      <c r="S150" s="72"/>
      <c r="T150">
        <v>16</v>
      </c>
      <c r="U150" t="str">
        <v>MIA</v>
      </c>
      <c r="V150" t="str">
        <v>Matias Orlando</v>
      </c>
      <c r="W150" t="str">
        <v>NULL</v>
      </c>
      <c r="X150" t="str">
        <v>Home</v>
      </c>
      <c r="Y150" t="str">
        <v>SDL</v>
      </c>
      <c r="Z150">
        <v>5.2936275836857449</v>
      </c>
    </row>
    <row r="151" spans="10:26" x14ac:dyDescent="0.35">
      <c r="J151" s="66">
        <v>8</v>
      </c>
      <c r="K151" t="s">
        <v>34</v>
      </c>
      <c r="L151" t="s">
        <v>51</v>
      </c>
      <c r="M151">
        <v>6</v>
      </c>
      <c r="N151" t="s">
        <v>3</v>
      </c>
      <c r="O151" t="s">
        <v>2</v>
      </c>
      <c r="P151">
        <f t="shared" si="10"/>
        <v>3.3721243930788072</v>
      </c>
      <c r="Q151">
        <f t="shared" si="9"/>
        <v>6.9057302054514276</v>
      </c>
      <c r="R151" s="67" t="e" cm="1">
        <f t="array" ref="R151">SUMPRODUCT((J151=$J$7:$J$1000)*(P151&lt;$P$7:$P$1000))+1</f>
        <v>#N/A</v>
      </c>
      <c r="S151" s="72"/>
      <c r="T151">
        <v>16</v>
      </c>
      <c r="U151" t="str">
        <v>MIA</v>
      </c>
      <c r="V151" t="str">
        <v>Santiago Videla</v>
      </c>
      <c r="W151" t="str">
        <v>NULL</v>
      </c>
      <c r="X151" t="str">
        <v>Home</v>
      </c>
      <c r="Y151" t="str">
        <v>SDL</v>
      </c>
      <c r="Z151">
        <v>3.2653861231709702</v>
      </c>
    </row>
    <row r="152" spans="10:26" x14ac:dyDescent="0.35">
      <c r="J152" s="66">
        <v>8</v>
      </c>
      <c r="K152" t="s">
        <v>23</v>
      </c>
      <c r="L152" t="s">
        <v>32</v>
      </c>
      <c r="M152">
        <v>5.3</v>
      </c>
      <c r="N152" t="s">
        <v>3</v>
      </c>
      <c r="O152" t="s">
        <v>24</v>
      </c>
      <c r="P152">
        <f t="shared" si="10"/>
        <v>7.837883203870005</v>
      </c>
      <c r="Q152">
        <f t="shared" si="9"/>
        <v>6.4408511564854827</v>
      </c>
      <c r="R152" s="67" t="e" cm="1">
        <f t="array" ref="R152">SUMPRODUCT((J152=$J$7:$J$1000)*(P152&lt;$P$7:$P$1000))+1</f>
        <v>#N/A</v>
      </c>
      <c r="S152" s="72"/>
      <c r="T152">
        <v>16</v>
      </c>
      <c r="U152" t="str">
        <v>MIA</v>
      </c>
      <c r="V152" t="str">
        <v>Tomás Cubilla</v>
      </c>
      <c r="W152" t="str">
        <v>NULL</v>
      </c>
      <c r="X152" t="str">
        <v>Home</v>
      </c>
      <c r="Y152" t="str">
        <v>SDL</v>
      </c>
      <c r="Z152">
        <v>8.449923490111825</v>
      </c>
    </row>
    <row r="153" spans="10:26" x14ac:dyDescent="0.35">
      <c r="J153" s="66">
        <v>8</v>
      </c>
      <c r="K153" t="s">
        <v>14</v>
      </c>
      <c r="L153" t="s">
        <v>448</v>
      </c>
      <c r="M153">
        <v>5</v>
      </c>
      <c r="N153" t="s">
        <v>3</v>
      </c>
      <c r="O153" t="s">
        <v>4</v>
      </c>
      <c r="P153">
        <f t="shared" si="10"/>
        <v>6.7149254053562721</v>
      </c>
      <c r="Q153">
        <f t="shared" si="9"/>
        <v>2.9409691459363745</v>
      </c>
      <c r="R153" s="67" t="e" cm="1">
        <f t="array" ref="R153">SUMPRODUCT((J153=$J$7:$J$1000)*(P153&lt;$P$7:$P$1000))+1</f>
        <v>#N/A</v>
      </c>
      <c r="S153" s="72"/>
      <c r="T153">
        <v>16</v>
      </c>
      <c r="U153" t="str">
        <v>MIA</v>
      </c>
      <c r="V153" t="str">
        <v>Tomás Inciarte</v>
      </c>
      <c r="W153" t="str">
        <v>NULL</v>
      </c>
      <c r="X153" t="str">
        <v>Home</v>
      </c>
      <c r="Y153" t="str">
        <v>SDL</v>
      </c>
      <c r="Z153">
        <v>3.4380081734033849</v>
      </c>
    </row>
    <row r="154" spans="10:26" x14ac:dyDescent="0.35">
      <c r="J154" s="65">
        <v>8</v>
      </c>
      <c r="K154" t="s">
        <v>14</v>
      </c>
      <c r="L154" t="s">
        <v>517</v>
      </c>
      <c r="M154">
        <v>4.7</v>
      </c>
      <c r="N154" t="s">
        <v>3</v>
      </c>
      <c r="O154" t="s">
        <v>4</v>
      </c>
      <c r="P154">
        <f t="shared" si="10"/>
        <v>4.9345924221258013</v>
      </c>
      <c r="Q154">
        <f t="shared" si="9"/>
        <v>5.503360451885006E-2</v>
      </c>
      <c r="R154" s="67" t="e" cm="1">
        <f t="array" ref="R154">SUMPRODUCT((J154=$J$7:$J$1000)*(P154&lt;$P$7:$P$1000))+1</f>
        <v>#N/A</v>
      </c>
      <c r="S154" s="72"/>
      <c r="T154">
        <v>16</v>
      </c>
      <c r="U154" t="str">
        <v>NEFJ</v>
      </c>
      <c r="V154" t="str">
        <v>Ben LeSage</v>
      </c>
      <c r="W154" t="str">
        <v>NULL</v>
      </c>
      <c r="X154" t="str">
        <v>Home</v>
      </c>
      <c r="Y154" t="str">
        <v>SEA</v>
      </c>
      <c r="Z154">
        <v>2.8153487973154183</v>
      </c>
    </row>
    <row r="155" spans="10:26" x14ac:dyDescent="0.35">
      <c r="J155" s="66">
        <v>8</v>
      </c>
      <c r="K155" t="s">
        <v>23</v>
      </c>
      <c r="L155" t="s">
        <v>46</v>
      </c>
      <c r="M155">
        <v>3.1</v>
      </c>
      <c r="N155" t="s">
        <v>3</v>
      </c>
      <c r="O155" t="s">
        <v>24</v>
      </c>
      <c r="P155">
        <f t="shared" si="10"/>
        <v>7.0968113124141627</v>
      </c>
      <c r="Q155">
        <f t="shared" si="9"/>
        <v>15.974500667041822</v>
      </c>
      <c r="R155" s="67" t="e" cm="1">
        <f t="array" ref="R155">SUMPRODUCT((J155=$J$7:$J$1000)*(P155&lt;$P$7:$P$1000))+1</f>
        <v>#N/A</v>
      </c>
      <c r="S155" s="72"/>
      <c r="T155">
        <v>16</v>
      </c>
      <c r="U155" t="str">
        <v>NEFJ</v>
      </c>
      <c r="V155" t="str">
        <v>Faletoi Peni</v>
      </c>
      <c r="W155" t="str">
        <v>NULL</v>
      </c>
      <c r="X155" t="str">
        <v>Home</v>
      </c>
      <c r="Y155" t="str">
        <v>SEA</v>
      </c>
      <c r="Z155">
        <v>0.66153299462547643</v>
      </c>
    </row>
    <row r="156" spans="10:26" x14ac:dyDescent="0.35">
      <c r="J156" s="66">
        <v>8</v>
      </c>
      <c r="K156" t="s">
        <v>24</v>
      </c>
      <c r="L156" t="s">
        <v>402</v>
      </c>
      <c r="M156">
        <v>2.6</v>
      </c>
      <c r="N156" t="s">
        <v>9</v>
      </c>
      <c r="O156" t="s">
        <v>23</v>
      </c>
      <c r="P156">
        <f t="shared" si="10"/>
        <v>5.7422985403590303</v>
      </c>
      <c r="Q156">
        <f t="shared" si="9"/>
        <v>9.874040116742492</v>
      </c>
      <c r="R156" s="67" t="e" cm="1">
        <f t="array" ref="R156">SUMPRODUCT((J156=$J$7:$J$1000)*(P156&lt;$P$7:$P$1000))+1</f>
        <v>#N/A</v>
      </c>
      <c r="S156" s="72"/>
      <c r="T156">
        <v>16</v>
      </c>
      <c r="U156" t="str">
        <v>NEFJ</v>
      </c>
      <c r="V156" t="str">
        <v>Killian Coghlan</v>
      </c>
      <c r="W156" t="str">
        <v>NULL</v>
      </c>
      <c r="X156" t="str">
        <v>Home</v>
      </c>
      <c r="Y156" t="str">
        <v>SEA</v>
      </c>
      <c r="Z156">
        <v>7.3181382065364486</v>
      </c>
    </row>
    <row r="157" spans="10:26" x14ac:dyDescent="0.35">
      <c r="J157" s="66">
        <v>8</v>
      </c>
      <c r="K157" t="s">
        <v>24</v>
      </c>
      <c r="L157" t="s">
        <v>487</v>
      </c>
      <c r="M157">
        <v>2.5</v>
      </c>
      <c r="N157" t="s">
        <v>9</v>
      </c>
      <c r="O157" t="s">
        <v>23</v>
      </c>
      <c r="P157">
        <f t="shared" si="10"/>
        <v>3.8866791300766703</v>
      </c>
      <c r="Q157">
        <f t="shared" si="9"/>
        <v>1.9228790097901911</v>
      </c>
      <c r="R157" s="67" t="e" cm="1">
        <f t="array" ref="R157">SUMPRODUCT((J157=$J$7:$J$1000)*(P157&lt;$P$7:$P$1000))+1</f>
        <v>#N/A</v>
      </c>
      <c r="S157" s="72"/>
      <c r="T157">
        <v>16</v>
      </c>
      <c r="U157" t="str">
        <v>NEFJ</v>
      </c>
      <c r="V157" t="str">
        <v>Le Roux Malan</v>
      </c>
      <c r="W157" t="str">
        <v>NULL</v>
      </c>
      <c r="X157" t="str">
        <v>Home</v>
      </c>
      <c r="Y157" t="str">
        <v>SEA</v>
      </c>
      <c r="Z157">
        <v>8.0017293368012634</v>
      </c>
    </row>
    <row r="158" spans="10:26" x14ac:dyDescent="0.35">
      <c r="J158" s="66">
        <v>8</v>
      </c>
      <c r="K158" t="s">
        <v>34</v>
      </c>
      <c r="L158" t="s">
        <v>52</v>
      </c>
      <c r="M158">
        <v>1.8</v>
      </c>
      <c r="N158" t="s">
        <v>3</v>
      </c>
      <c r="O158" t="s">
        <v>2</v>
      </c>
      <c r="P158">
        <f t="shared" si="10"/>
        <v>5.5759267776407375</v>
      </c>
      <c r="Q158">
        <f t="shared" si="9"/>
        <v>14.257623030104366</v>
      </c>
      <c r="R158" s="67" t="e" cm="1">
        <f t="array" ref="R158">SUMPRODUCT((J158=$J$7:$J$1000)*(P158&lt;$P$7:$P$1000))+1</f>
        <v>#N/A</v>
      </c>
      <c r="S158" s="72"/>
      <c r="T158">
        <v>16</v>
      </c>
      <c r="U158" t="str">
        <v>NEFJ</v>
      </c>
      <c r="V158" t="str">
        <v>Wayne van der Bank</v>
      </c>
      <c r="W158" t="str">
        <v>NULL</v>
      </c>
      <c r="X158" t="str">
        <v>Home</v>
      </c>
      <c r="Y158" t="str">
        <v>SEA</v>
      </c>
      <c r="Z158">
        <v>7.260657445345422</v>
      </c>
    </row>
    <row r="159" spans="10:26" x14ac:dyDescent="0.35">
      <c r="J159" s="66">
        <v>9</v>
      </c>
      <c r="K159" t="s">
        <v>6</v>
      </c>
      <c r="L159" t="s">
        <v>445</v>
      </c>
      <c r="M159">
        <v>15.4</v>
      </c>
      <c r="N159" t="s">
        <v>3</v>
      </c>
      <c r="O159" t="s">
        <v>13</v>
      </c>
      <c r="P159">
        <f t="shared" si="10"/>
        <v>8.9363528086994641</v>
      </c>
      <c r="Q159">
        <f t="shared" ref="Q159:Q222" si="11">IFERROR(($M159-$P159)^2,"")</f>
        <v>41.77873501360731</v>
      </c>
      <c r="R159" s="67" t="e" cm="1">
        <f t="array" ref="R159">SUMPRODUCT((J159=$J$7:$J$1000)*(P159&lt;$P$7:$P$1000))+1</f>
        <v>#N/A</v>
      </c>
      <c r="S159" s="72"/>
      <c r="T159">
        <v>16</v>
      </c>
      <c r="U159" t="str">
        <v>NOLA</v>
      </c>
      <c r="V159" t="str">
        <v>Isaac Te Tamaki</v>
      </c>
      <c r="W159" t="str">
        <v>NULL</v>
      </c>
      <c r="X159" t="str">
        <v>Away</v>
      </c>
      <c r="Y159" t="str">
        <v>CHI</v>
      </c>
      <c r="Z159">
        <v>6.8426270622172138</v>
      </c>
    </row>
    <row r="160" spans="10:26" x14ac:dyDescent="0.35">
      <c r="J160" s="66">
        <v>9</v>
      </c>
      <c r="K160" t="s">
        <v>4</v>
      </c>
      <c r="L160" t="s">
        <v>452</v>
      </c>
      <c r="M160">
        <v>15.3</v>
      </c>
      <c r="N160" t="s">
        <v>3</v>
      </c>
      <c r="O160" t="s">
        <v>7</v>
      </c>
      <c r="P160">
        <f t="shared" si="10"/>
        <v>9.0886854775972346</v>
      </c>
      <c r="Q160">
        <f t="shared" si="11"/>
        <v>38.580428096211506</v>
      </c>
      <c r="R160" s="67" t="e" cm="1">
        <f t="array" ref="R160">SUMPRODUCT((J160=$J$7:$J$1000)*(P160&lt;$P$7:$P$1000))+1</f>
        <v>#N/A</v>
      </c>
      <c r="S160" s="72"/>
      <c r="T160">
        <v>16</v>
      </c>
      <c r="U160" t="str">
        <v>NOLA</v>
      </c>
      <c r="V160" t="str">
        <v>JP Du Plessis</v>
      </c>
      <c r="W160" t="str">
        <v>NULL</v>
      </c>
      <c r="X160" t="str">
        <v>Away</v>
      </c>
      <c r="Y160" t="str">
        <v>CHI</v>
      </c>
      <c r="Z160">
        <v>8.1608969448701796</v>
      </c>
    </row>
    <row r="161" spans="10:26" x14ac:dyDescent="0.35">
      <c r="J161" s="66">
        <v>9</v>
      </c>
      <c r="K161" t="s">
        <v>24</v>
      </c>
      <c r="L161" t="s">
        <v>446</v>
      </c>
      <c r="M161">
        <v>14.8</v>
      </c>
      <c r="N161" t="s">
        <v>3</v>
      </c>
      <c r="O161" t="s">
        <v>36</v>
      </c>
      <c r="P161">
        <f t="shared" si="10"/>
        <v>8.3992531632665433</v>
      </c>
      <c r="Q161">
        <f t="shared" si="11"/>
        <v>40.96956006795336</v>
      </c>
      <c r="R161" s="67" t="e" cm="1">
        <f t="array" ref="R161">SUMPRODUCT((J161=$J$7:$J$1000)*(P161&lt;$P$7:$P$1000))+1</f>
        <v>#N/A</v>
      </c>
      <c r="S161" s="72"/>
      <c r="T161">
        <v>16</v>
      </c>
      <c r="U161" t="str">
        <v>NOLA</v>
      </c>
      <c r="V161" t="str">
        <v>Nikolai Foliaki</v>
      </c>
      <c r="W161" t="str">
        <v>NULL</v>
      </c>
      <c r="X161" t="str">
        <v>Away</v>
      </c>
      <c r="Y161" t="str">
        <v>CHI</v>
      </c>
      <c r="Z161">
        <v>4.6454622183045862</v>
      </c>
    </row>
    <row r="162" spans="10:26" x14ac:dyDescent="0.35">
      <c r="J162" s="66">
        <v>9</v>
      </c>
      <c r="K162" t="s">
        <v>13</v>
      </c>
      <c r="L162" t="s">
        <v>473</v>
      </c>
      <c r="M162">
        <v>13.4</v>
      </c>
      <c r="N162" t="s">
        <v>9</v>
      </c>
      <c r="O162" t="s">
        <v>6</v>
      </c>
      <c r="P162">
        <f t="shared" si="10"/>
        <v>15.797161116412141</v>
      </c>
      <c r="Q162">
        <f t="shared" si="11"/>
        <v>5.7463814180383022</v>
      </c>
      <c r="R162" s="67" t="e" cm="1">
        <f t="array" ref="R162">SUMPRODUCT((J162=$J$7:$J$1000)*(P162&lt;$P$7:$P$1000))+1</f>
        <v>#N/A</v>
      </c>
      <c r="S162" s="72"/>
      <c r="T162">
        <v>16</v>
      </c>
      <c r="U162" t="str">
        <v>NOLA</v>
      </c>
      <c r="V162" t="str">
        <v>Ross Depperschmidt</v>
      </c>
      <c r="W162" t="str">
        <v>NULL</v>
      </c>
      <c r="X162" t="str">
        <v>Away</v>
      </c>
      <c r="Y162" t="str">
        <v>CHI</v>
      </c>
      <c r="Z162" t="e">
        <v>#N/A</v>
      </c>
    </row>
    <row r="163" spans="10:26" x14ac:dyDescent="0.35">
      <c r="J163" s="66">
        <v>9</v>
      </c>
      <c r="K163" t="s">
        <v>4</v>
      </c>
      <c r="L163" t="s">
        <v>1</v>
      </c>
      <c r="M163">
        <v>10.4</v>
      </c>
      <c r="N163" t="s">
        <v>3</v>
      </c>
      <c r="O163" t="s">
        <v>7</v>
      </c>
      <c r="P163">
        <f t="shared" si="10"/>
        <v>10.406955360250201</v>
      </c>
      <c r="Q163">
        <f t="shared" si="11"/>
        <v>4.8377036210073698E-5</v>
      </c>
      <c r="R163" s="67" t="e" cm="1">
        <f t="array" ref="R163">SUMPRODUCT((J163=$J$7:$J$1000)*(P163&lt;$P$7:$P$1000))+1</f>
        <v>#N/A</v>
      </c>
      <c r="S163" s="72"/>
      <c r="T163">
        <v>16</v>
      </c>
      <c r="U163" t="str">
        <v>OGDC</v>
      </c>
      <c r="V163" t="str">
        <v>Jason Emery</v>
      </c>
      <c r="W163" t="str">
        <v>NULL</v>
      </c>
      <c r="X163" t="str">
        <v>Home</v>
      </c>
      <c r="Y163" t="str">
        <v>LA</v>
      </c>
      <c r="Z163">
        <v>8.1068653021655912</v>
      </c>
    </row>
    <row r="164" spans="10:26" x14ac:dyDescent="0.35">
      <c r="J164" s="66">
        <v>9</v>
      </c>
      <c r="K164" t="s">
        <v>2</v>
      </c>
      <c r="L164" t="s">
        <v>449</v>
      </c>
      <c r="M164">
        <v>8.6999999999999993</v>
      </c>
      <c r="N164" t="s">
        <v>3</v>
      </c>
      <c r="O164" t="s">
        <v>14</v>
      </c>
      <c r="P164">
        <f t="shared" si="10"/>
        <v>10.324192290549504</v>
      </c>
      <c r="Q164">
        <f t="shared" si="11"/>
        <v>2.6380005966804485</v>
      </c>
      <c r="R164" s="67" t="e" cm="1">
        <f t="array" ref="R164">SUMPRODUCT((J164=$J$7:$J$1000)*(P164&lt;$P$7:$P$1000))+1</f>
        <v>#N/A</v>
      </c>
      <c r="S164" s="72"/>
      <c r="T164">
        <v>16</v>
      </c>
      <c r="U164" t="str">
        <v>OGDC</v>
      </c>
      <c r="V164" t="str">
        <v>John Powers</v>
      </c>
      <c r="W164" t="str">
        <v>NULL</v>
      </c>
      <c r="X164" t="str">
        <v>Home</v>
      </c>
      <c r="Y164" t="str">
        <v>LA</v>
      </c>
      <c r="Z164" t="e">
        <v>#N/A</v>
      </c>
    </row>
    <row r="165" spans="10:26" x14ac:dyDescent="0.35">
      <c r="J165" s="66">
        <v>9</v>
      </c>
      <c r="K165" t="s">
        <v>36</v>
      </c>
      <c r="L165" t="s">
        <v>50</v>
      </c>
      <c r="M165">
        <v>8.4</v>
      </c>
      <c r="N165" t="s">
        <v>9</v>
      </c>
      <c r="O165" t="s">
        <v>24</v>
      </c>
      <c r="P165">
        <f t="shared" si="10"/>
        <v>2.6075504189856478</v>
      </c>
      <c r="Q165">
        <f t="shared" si="11"/>
        <v>33.552472148593345</v>
      </c>
      <c r="R165" s="67" t="e" cm="1">
        <f t="array" ref="R165">SUMPRODUCT((J165=$J$7:$J$1000)*(P165&lt;$P$7:$P$1000))+1</f>
        <v>#N/A</v>
      </c>
      <c r="S165" s="72"/>
      <c r="T165">
        <v>16</v>
      </c>
      <c r="U165" t="str">
        <v>OGDC</v>
      </c>
      <c r="V165" t="str">
        <v>Nick Grigg</v>
      </c>
      <c r="W165" t="str">
        <v>NULL</v>
      </c>
      <c r="X165" t="str">
        <v>Home</v>
      </c>
      <c r="Y165" t="str">
        <v>LA</v>
      </c>
      <c r="Z165">
        <v>13.477328317156648</v>
      </c>
    </row>
    <row r="166" spans="10:26" x14ac:dyDescent="0.35">
      <c r="J166" s="66">
        <v>9</v>
      </c>
      <c r="K166" t="s">
        <v>6</v>
      </c>
      <c r="L166" t="s">
        <v>8</v>
      </c>
      <c r="M166">
        <v>8.3000000000000007</v>
      </c>
      <c r="N166" t="s">
        <v>3</v>
      </c>
      <c r="O166" t="s">
        <v>13</v>
      </c>
      <c r="P166">
        <f t="shared" si="10"/>
        <v>9.0781694787945391</v>
      </c>
      <c r="Q166">
        <f t="shared" si="11"/>
        <v>0.60554773772736348</v>
      </c>
      <c r="R166" s="67" t="e" cm="1">
        <f t="array" ref="R166">SUMPRODUCT((J166=$J$7:$J$1000)*(P166&lt;$P$7:$P$1000))+1</f>
        <v>#N/A</v>
      </c>
      <c r="S166" s="72"/>
      <c r="T166">
        <v>16</v>
      </c>
      <c r="U166" t="str">
        <v>OGDC</v>
      </c>
      <c r="V166" t="str">
        <v>Steffan Hughes</v>
      </c>
      <c r="W166" t="str">
        <v>NULL</v>
      </c>
      <c r="X166" t="str">
        <v>Home</v>
      </c>
      <c r="Y166" t="str">
        <v>LA</v>
      </c>
      <c r="Z166">
        <v>9.5854774735177521</v>
      </c>
    </row>
    <row r="167" spans="10:26" x14ac:dyDescent="0.35">
      <c r="J167" s="66">
        <v>9</v>
      </c>
      <c r="K167" t="s">
        <v>24</v>
      </c>
      <c r="L167" t="s">
        <v>35</v>
      </c>
      <c r="M167">
        <v>7.6</v>
      </c>
      <c r="N167" t="s">
        <v>3</v>
      </c>
      <c r="O167" t="s">
        <v>36</v>
      </c>
      <c r="P167">
        <f t="shared" si="10"/>
        <v>5.6671285087126719</v>
      </c>
      <c r="Q167">
        <f t="shared" si="11"/>
        <v>3.7359922018312983</v>
      </c>
      <c r="R167" s="67" t="e" cm="1">
        <f t="array" ref="R167">SUMPRODUCT((J167=$J$7:$J$1000)*(P167&lt;$P$7:$P$1000))+1</f>
        <v>#N/A</v>
      </c>
      <c r="S167" s="72"/>
      <c r="T167">
        <v>16</v>
      </c>
      <c r="U167" t="str">
        <v>OGDC</v>
      </c>
      <c r="V167" t="str">
        <v>Tommaso Boni</v>
      </c>
      <c r="W167" t="str">
        <v>NULL</v>
      </c>
      <c r="X167" t="str">
        <v>Home</v>
      </c>
      <c r="Y167" t="str">
        <v>LA</v>
      </c>
      <c r="Z167">
        <v>11.045872747247397</v>
      </c>
    </row>
    <row r="168" spans="10:26" x14ac:dyDescent="0.35">
      <c r="J168" s="66">
        <v>9</v>
      </c>
      <c r="K168" t="s">
        <v>7</v>
      </c>
      <c r="L168" t="s">
        <v>26</v>
      </c>
      <c r="M168">
        <v>7.6</v>
      </c>
      <c r="N168" t="s">
        <v>9</v>
      </c>
      <c r="O168" t="s">
        <v>4</v>
      </c>
      <c r="P168">
        <f t="shared" si="10"/>
        <v>9.729373293756769</v>
      </c>
      <c r="Q168">
        <f t="shared" si="11"/>
        <v>4.5342306241645529</v>
      </c>
      <c r="R168" s="67" t="e" cm="1">
        <f t="array" ref="R168">SUMPRODUCT((J168=$J$7:$J$1000)*(P168&lt;$P$7:$P$1000))+1</f>
        <v>#N/A</v>
      </c>
      <c r="S168" s="72"/>
      <c r="T168">
        <v>16</v>
      </c>
      <c r="U168" t="str">
        <v>SDL</v>
      </c>
      <c r="V168" t="str">
        <v>Cassh Maluia</v>
      </c>
      <c r="W168" t="str">
        <v>NULL</v>
      </c>
      <c r="X168" t="str">
        <v>Away</v>
      </c>
      <c r="Y168" t="str">
        <v>MIA</v>
      </c>
      <c r="Z168">
        <v>7.2691812033109233</v>
      </c>
    </row>
    <row r="169" spans="10:26" x14ac:dyDescent="0.35">
      <c r="J169" s="66">
        <v>9</v>
      </c>
      <c r="K169" t="s">
        <v>13</v>
      </c>
      <c r="L169" t="s">
        <v>474</v>
      </c>
      <c r="M169">
        <v>7.3</v>
      </c>
      <c r="N169" t="s">
        <v>9</v>
      </c>
      <c r="O169" t="s">
        <v>6</v>
      </c>
      <c r="P169">
        <f t="shared" si="10"/>
        <v>9.4430240554958367</v>
      </c>
      <c r="Q169">
        <f t="shared" si="11"/>
        <v>4.5925521024338236</v>
      </c>
      <c r="R169" s="67" t="e" cm="1">
        <f t="array" ref="R169">SUMPRODUCT((J169=$J$7:$J$1000)*(P169&lt;$P$7:$P$1000))+1</f>
        <v>#N/A</v>
      </c>
      <c r="S169" s="72"/>
      <c r="T169">
        <v>16</v>
      </c>
      <c r="U169" t="str">
        <v>SDL</v>
      </c>
      <c r="V169" t="str">
        <v>Ethan Grayson</v>
      </c>
      <c r="W169" t="str">
        <v>NULL</v>
      </c>
      <c r="X169" t="str">
        <v>Away</v>
      </c>
      <c r="Y169" t="str">
        <v>MIA</v>
      </c>
      <c r="Z169">
        <v>5.6751456801259765</v>
      </c>
    </row>
    <row r="170" spans="10:26" x14ac:dyDescent="0.35">
      <c r="J170" s="66">
        <v>9</v>
      </c>
      <c r="K170" t="s">
        <v>2</v>
      </c>
      <c r="L170" t="s">
        <v>44</v>
      </c>
      <c r="M170">
        <v>6.8</v>
      </c>
      <c r="N170" t="s">
        <v>3</v>
      </c>
      <c r="O170" t="s">
        <v>14</v>
      </c>
      <c r="P170">
        <f t="shared" si="10"/>
        <v>8.4959465949963544</v>
      </c>
      <c r="Q170">
        <f t="shared" si="11"/>
        <v>2.8762348530797293</v>
      </c>
      <c r="R170" s="67" t="e" cm="1">
        <f t="array" ref="R170">SUMPRODUCT((J170=$J$7:$J$1000)*(P170&lt;$P$7:$P$1000))+1</f>
        <v>#N/A</v>
      </c>
      <c r="S170" s="72"/>
      <c r="T170">
        <v>16</v>
      </c>
      <c r="U170" t="str">
        <v>SDL</v>
      </c>
      <c r="V170" t="str">
        <v>Marcel Brache</v>
      </c>
      <c r="W170" t="str">
        <v>NULL</v>
      </c>
      <c r="X170" t="str">
        <v>Away</v>
      </c>
      <c r="Y170" t="str">
        <v>MIA</v>
      </c>
      <c r="Z170">
        <v>3.5833339698048099</v>
      </c>
    </row>
    <row r="171" spans="10:26" x14ac:dyDescent="0.35">
      <c r="J171" s="66">
        <v>9</v>
      </c>
      <c r="K171" t="s">
        <v>14</v>
      </c>
      <c r="L171" t="s">
        <v>448</v>
      </c>
      <c r="M171">
        <v>6.7</v>
      </c>
      <c r="N171" t="s">
        <v>9</v>
      </c>
      <c r="O171" t="s">
        <v>2</v>
      </c>
      <c r="P171">
        <f t="shared" si="10"/>
        <v>6.9418172754665415</v>
      </c>
      <c r="Q171">
        <f t="shared" si="11"/>
        <v>5.8475594714061122E-2</v>
      </c>
      <c r="R171" s="67" t="e" cm="1">
        <f t="array" ref="R171">SUMPRODUCT((J171=$J$7:$J$1000)*(P171&lt;$P$7:$P$1000))+1</f>
        <v>#N/A</v>
      </c>
      <c r="S171" s="72"/>
      <c r="T171">
        <v>16</v>
      </c>
      <c r="U171" t="str">
        <v>SDL</v>
      </c>
      <c r="V171" t="str">
        <v>Tavite Lopeti</v>
      </c>
      <c r="W171" t="str">
        <v>NULL</v>
      </c>
      <c r="X171" t="str">
        <v>Away</v>
      </c>
      <c r="Y171" t="str">
        <v>MIA</v>
      </c>
      <c r="Z171">
        <v>5.7871363543667407</v>
      </c>
    </row>
    <row r="172" spans="10:26" x14ac:dyDescent="0.35">
      <c r="J172" s="66">
        <v>9</v>
      </c>
      <c r="K172" t="s">
        <v>23</v>
      </c>
      <c r="L172" t="s">
        <v>32</v>
      </c>
      <c r="M172">
        <v>5.6</v>
      </c>
      <c r="N172" t="s">
        <v>3</v>
      </c>
      <c r="O172" t="s">
        <v>34</v>
      </c>
      <c r="P172">
        <f t="shared" si="10"/>
        <v>8.4138609155705382</v>
      </c>
      <c r="Q172">
        <f t="shared" si="11"/>
        <v>7.9178132521754696</v>
      </c>
      <c r="R172" s="67" t="e" cm="1">
        <f t="array" ref="R172">SUMPRODUCT((J172=$J$7:$J$1000)*(P172&lt;$P$7:$P$1000))+1</f>
        <v>#N/A</v>
      </c>
      <c r="S172" s="72"/>
      <c r="T172">
        <v>16</v>
      </c>
      <c r="U172" t="str">
        <v>SDL</v>
      </c>
      <c r="V172" t="str">
        <v>Tiaan Loots</v>
      </c>
      <c r="W172" t="str">
        <v>NULL</v>
      </c>
      <c r="X172" t="str">
        <v>Away</v>
      </c>
      <c r="Y172" t="str">
        <v>MIA</v>
      </c>
      <c r="Z172">
        <v>3.4343636923489211</v>
      </c>
    </row>
    <row r="173" spans="10:26" x14ac:dyDescent="0.35">
      <c r="J173" s="66">
        <v>9</v>
      </c>
      <c r="K173" t="s">
        <v>14</v>
      </c>
      <c r="L173" t="s">
        <v>517</v>
      </c>
      <c r="M173">
        <v>5.3</v>
      </c>
      <c r="N173" t="s">
        <v>9</v>
      </c>
      <c r="O173" t="s">
        <v>2</v>
      </c>
      <c r="P173">
        <f t="shared" si="10"/>
        <v>5.1614842922360706</v>
      </c>
      <c r="Q173">
        <f t="shared" si="11"/>
        <v>1.9186601297342232E-2</v>
      </c>
      <c r="R173" s="67" t="e" cm="1">
        <f t="array" ref="R173">SUMPRODUCT((J173=$J$7:$J$1000)*(P173&lt;$P$7:$P$1000))+1</f>
        <v>#N/A</v>
      </c>
      <c r="S173" s="72"/>
      <c r="T173">
        <v>16</v>
      </c>
      <c r="U173" t="str">
        <v>SDL</v>
      </c>
      <c r="V173" t="str">
        <v>Tomas Aoake</v>
      </c>
      <c r="W173" t="str">
        <v>NULL</v>
      </c>
      <c r="X173" t="str">
        <v>Away</v>
      </c>
      <c r="Y173" t="str">
        <v>MIA</v>
      </c>
      <c r="Z173">
        <v>10.409290184450692</v>
      </c>
    </row>
    <row r="174" spans="10:26" x14ac:dyDescent="0.35">
      <c r="J174" s="66">
        <v>9</v>
      </c>
      <c r="K174" t="s">
        <v>36</v>
      </c>
      <c r="L174" t="s">
        <v>38</v>
      </c>
      <c r="M174">
        <v>3.4</v>
      </c>
      <c r="N174" t="s">
        <v>9</v>
      </c>
      <c r="O174" t="s">
        <v>24</v>
      </c>
      <c r="P174">
        <f t="shared" si="10"/>
        <v>8.967180953012436</v>
      </c>
      <c r="Q174">
        <f t="shared" si="11"/>
        <v>30.993503763584453</v>
      </c>
      <c r="R174" s="67" t="e" cm="1">
        <f t="array" ref="R174">SUMPRODUCT((J174=$J$7:$J$1000)*(P174&lt;$P$7:$P$1000))+1</f>
        <v>#N/A</v>
      </c>
      <c r="S174" s="72"/>
      <c r="T174">
        <v>16</v>
      </c>
      <c r="U174" t="str">
        <v>SEA</v>
      </c>
      <c r="V174" t="str">
        <v>Dan Kriel</v>
      </c>
      <c r="W174" t="str">
        <v>NULL</v>
      </c>
      <c r="X174" t="str">
        <v>Away</v>
      </c>
      <c r="Y174" t="str">
        <v>NEFJ</v>
      </c>
      <c r="Z174">
        <v>5.5410452987200696</v>
      </c>
    </row>
    <row r="175" spans="10:26" x14ac:dyDescent="0.35">
      <c r="J175" s="66">
        <v>9</v>
      </c>
      <c r="K175" t="s">
        <v>7</v>
      </c>
      <c r="L175" t="s">
        <v>447</v>
      </c>
      <c r="M175">
        <v>3.3</v>
      </c>
      <c r="N175" t="s">
        <v>9</v>
      </c>
      <c r="O175" t="s">
        <v>4</v>
      </c>
      <c r="P175">
        <f t="shared" si="10"/>
        <v>5.8375224501178735</v>
      </c>
      <c r="Q175">
        <f t="shared" si="11"/>
        <v>6.4390201848522164</v>
      </c>
      <c r="R175" s="67" t="e" cm="1">
        <f t="array" ref="R175">SUMPRODUCT((J175=$J$7:$J$1000)*(P175&lt;$P$7:$P$1000))+1</f>
        <v>#N/A</v>
      </c>
      <c r="S175" s="72"/>
      <c r="T175">
        <v>16</v>
      </c>
      <c r="U175" t="str">
        <v>SEA</v>
      </c>
      <c r="V175" t="str">
        <v>Divan Rossouw</v>
      </c>
      <c r="W175" t="str">
        <v>NULL</v>
      </c>
      <c r="X175" t="str">
        <v>Away</v>
      </c>
      <c r="Y175" t="str">
        <v>NEFJ</v>
      </c>
      <c r="Z175">
        <v>11.391921951420006</v>
      </c>
    </row>
    <row r="176" spans="10:26" x14ac:dyDescent="0.35">
      <c r="J176" s="66">
        <v>9</v>
      </c>
      <c r="K176" t="s">
        <v>23</v>
      </c>
      <c r="L176" t="s">
        <v>25</v>
      </c>
      <c r="M176">
        <v>2.5</v>
      </c>
      <c r="N176" t="s">
        <v>3</v>
      </c>
      <c r="O176" t="s">
        <v>34</v>
      </c>
      <c r="P176">
        <f t="shared" si="10"/>
        <v>3.2274803760846913</v>
      </c>
      <c r="Q176">
        <f t="shared" si="11"/>
        <v>0.52922769758832389</v>
      </c>
      <c r="R176" s="67" t="e" cm="1">
        <f t="array" ref="R176">SUMPRODUCT((J176=$J$7:$J$1000)*(P176&lt;$P$7:$P$1000))+1</f>
        <v>#N/A</v>
      </c>
      <c r="S176" s="72"/>
      <c r="T176">
        <v>16</v>
      </c>
      <c r="U176" t="str">
        <v>SEA</v>
      </c>
      <c r="V176" t="str">
        <v>Eddie Fouche</v>
      </c>
      <c r="W176" t="str">
        <v>NULL</v>
      </c>
      <c r="X176" t="str">
        <v>Away</v>
      </c>
      <c r="Y176" t="str">
        <v>NEFJ</v>
      </c>
      <c r="Z176">
        <v>8.4481445065662122</v>
      </c>
    </row>
    <row r="177" spans="10:26" x14ac:dyDescent="0.35">
      <c r="J177" s="66">
        <v>9</v>
      </c>
      <c r="K177" t="s">
        <v>34</v>
      </c>
      <c r="L177" t="s">
        <v>52</v>
      </c>
      <c r="M177">
        <v>2.2999999999999998</v>
      </c>
      <c r="N177" t="s">
        <v>9</v>
      </c>
      <c r="O177" t="s">
        <v>23</v>
      </c>
      <c r="P177">
        <f t="shared" si="10"/>
        <v>6.533410158832833</v>
      </c>
      <c r="Q177">
        <f t="shared" si="11"/>
        <v>17.921761572909034</v>
      </c>
      <c r="R177" s="67" t="e" cm="1">
        <f t="array" ref="R177">SUMPRODUCT((J177=$J$7:$J$1000)*(P177&lt;$P$7:$P$1000))+1</f>
        <v>#N/A</v>
      </c>
      <c r="S177" s="72"/>
      <c r="T177">
        <v>16</v>
      </c>
      <c r="U177" t="str">
        <v>SEA</v>
      </c>
      <c r="V177" t="str">
        <v>Mikaela Kruse</v>
      </c>
      <c r="W177" t="str">
        <v>NULL</v>
      </c>
      <c r="X177" t="str">
        <v>Away</v>
      </c>
      <c r="Y177" t="str">
        <v>NEFJ</v>
      </c>
      <c r="Z177">
        <v>4.7666253294135466</v>
      </c>
    </row>
    <row r="178" spans="10:26" x14ac:dyDescent="0.35">
      <c r="J178" s="66">
        <v>9</v>
      </c>
      <c r="K178" t="s">
        <v>34</v>
      </c>
      <c r="L178" t="s">
        <v>51</v>
      </c>
      <c r="M178">
        <v>0.3</v>
      </c>
      <c r="N178" t="s">
        <v>9</v>
      </c>
      <c r="O178" t="s">
        <v>23</v>
      </c>
      <c r="P178">
        <f t="shared" si="10"/>
        <v>4.3296077742709027</v>
      </c>
      <c r="Q178">
        <f t="shared" si="11"/>
        <v>16.2377388144645</v>
      </c>
      <c r="R178" s="67" t="e" cm="1">
        <f t="array" ref="R178">SUMPRODUCT((J178=$J$7:$J$1000)*(P178&lt;$P$7:$P$1000))+1</f>
        <v>#N/A</v>
      </c>
      <c r="S178" s="72"/>
      <c r="T178">
        <v>16</v>
      </c>
      <c r="U178" t="str">
        <v>SEA</v>
      </c>
      <c r="V178" t="str">
        <v>Rodney Iona</v>
      </c>
      <c r="W178" t="str">
        <v>NULL</v>
      </c>
      <c r="X178" t="str">
        <v>Away</v>
      </c>
      <c r="Y178" t="str">
        <v>NEFJ</v>
      </c>
      <c r="Z178">
        <v>6.2668879769492225</v>
      </c>
    </row>
    <row r="179" spans="10:26" x14ac:dyDescent="0.35">
      <c r="J179" s="66">
        <v>10</v>
      </c>
      <c r="K179" t="s">
        <v>17</v>
      </c>
      <c r="L179" t="s">
        <v>37</v>
      </c>
      <c r="M179">
        <v>17.8</v>
      </c>
      <c r="N179" t="s">
        <v>3</v>
      </c>
      <c r="O179" t="s">
        <v>2</v>
      </c>
      <c r="P179">
        <f t="shared" si="10"/>
        <v>10.434438570227909</v>
      </c>
      <c r="Q179">
        <f t="shared" si="11"/>
        <v>54.251495175746292</v>
      </c>
      <c r="R179" s="67" t="e" cm="1">
        <f t="array" ref="R179">SUMPRODUCT((J179=$J$7:$J$1000)*(P179&lt;$P$7:$P$1000))+1</f>
        <v>#N/A</v>
      </c>
      <c r="S179" s="72"/>
      <c r="T179">
        <v>16</v>
      </c>
      <c r="U179" t="str">
        <v>UTAH</v>
      </c>
      <c r="V179" t="str">
        <v>Cole Semu</v>
      </c>
      <c r="W179" t="str">
        <v>NULL</v>
      </c>
      <c r="X179" t="str">
        <v>Home</v>
      </c>
      <c r="Y179" t="str">
        <v>ARC</v>
      </c>
      <c r="Z179">
        <v>6.590371531255963</v>
      </c>
    </row>
    <row r="180" spans="10:26" x14ac:dyDescent="0.35">
      <c r="J180" s="66">
        <v>10</v>
      </c>
      <c r="K180" t="s">
        <v>23</v>
      </c>
      <c r="L180" t="s">
        <v>32</v>
      </c>
      <c r="M180">
        <v>15.7</v>
      </c>
      <c r="N180" t="s">
        <v>9</v>
      </c>
      <c r="O180" t="s">
        <v>14</v>
      </c>
      <c r="P180">
        <f t="shared" si="10"/>
        <v>10.87800614957111</v>
      </c>
      <c r="Q180">
        <f t="shared" si="11"/>
        <v>23.251624693574023</v>
      </c>
      <c r="R180" s="67" t="e" cm="1">
        <f t="array" ref="R180">SUMPRODUCT((J180=$J$7:$J$1000)*(P180&lt;$P$7:$P$1000))+1</f>
        <v>#N/A</v>
      </c>
      <c r="S180" s="72"/>
      <c r="T180">
        <v>16</v>
      </c>
      <c r="U180" t="str">
        <v>UTAH</v>
      </c>
      <c r="V180" t="str">
        <v>D'Angelo Leuila</v>
      </c>
      <c r="W180" t="str">
        <v>NULL</v>
      </c>
      <c r="X180" t="str">
        <v>Home</v>
      </c>
      <c r="Y180" t="str">
        <v>ARC</v>
      </c>
      <c r="Z180">
        <v>14.135556166011012</v>
      </c>
    </row>
    <row r="181" spans="10:26" x14ac:dyDescent="0.35">
      <c r="J181" s="66">
        <v>10</v>
      </c>
      <c r="K181" t="s">
        <v>24</v>
      </c>
      <c r="L181" t="s">
        <v>402</v>
      </c>
      <c r="M181">
        <v>14.1</v>
      </c>
      <c r="N181" t="s">
        <v>9</v>
      </c>
      <c r="O181" t="s">
        <v>7</v>
      </c>
      <c r="P181">
        <f t="shared" si="10"/>
        <v>7.5876233023624051</v>
      </c>
      <c r="Q181">
        <f t="shared" si="11"/>
        <v>42.41105025193314</v>
      </c>
      <c r="R181" s="67" t="e" cm="1">
        <f t="array" ref="R181">SUMPRODUCT((J181=$J$7:$J$1000)*(P181&lt;$P$7:$P$1000))+1</f>
        <v>#N/A</v>
      </c>
      <c r="S181" s="72"/>
      <c r="T181">
        <v>16</v>
      </c>
      <c r="U181" t="str">
        <v>UTAH</v>
      </c>
      <c r="V181" t="str">
        <v>Kyle Brown</v>
      </c>
      <c r="W181" t="str">
        <v>NULL</v>
      </c>
      <c r="X181" t="str">
        <v>Home</v>
      </c>
      <c r="Y181" t="str">
        <v>ARC</v>
      </c>
      <c r="Z181">
        <v>7.7814191050947086</v>
      </c>
    </row>
    <row r="182" spans="10:26" x14ac:dyDescent="0.35">
      <c r="J182" s="66">
        <v>10</v>
      </c>
      <c r="K182" t="s">
        <v>13</v>
      </c>
      <c r="L182" t="s">
        <v>473</v>
      </c>
      <c r="M182">
        <v>13.4</v>
      </c>
      <c r="N182" t="s">
        <v>9</v>
      </c>
      <c r="O182" t="s">
        <v>34</v>
      </c>
      <c r="P182">
        <f t="shared" si="10"/>
        <v>12.228160659825891</v>
      </c>
      <c r="Q182">
        <f t="shared" si="11"/>
        <v>1.3732074391796927</v>
      </c>
      <c r="R182" s="67" t="e" cm="1">
        <f t="array" ref="R182">SUMPRODUCT((J182=$J$7:$J$1000)*(P182&lt;$P$7:$P$1000))+1</f>
        <v>#N/A</v>
      </c>
      <c r="S182" s="72"/>
      <c r="T182">
        <v>16</v>
      </c>
      <c r="U182" t="str">
        <v>UTAH</v>
      </c>
      <c r="V182" t="str">
        <v>Spencer Jones</v>
      </c>
      <c r="W182" t="str">
        <v>NULL</v>
      </c>
      <c r="X182" t="str">
        <v>Home</v>
      </c>
      <c r="Y182" t="str">
        <v>ARC</v>
      </c>
      <c r="Z182">
        <v>11.878970509556357</v>
      </c>
    </row>
    <row r="183" spans="10:26" x14ac:dyDescent="0.35">
      <c r="J183" s="66">
        <v>10</v>
      </c>
      <c r="K183" t="s">
        <v>24</v>
      </c>
      <c r="L183" t="s">
        <v>446</v>
      </c>
      <c r="M183">
        <v>10.8</v>
      </c>
      <c r="N183" t="s">
        <v>9</v>
      </c>
      <c r="O183" t="s">
        <v>7</v>
      </c>
      <c r="P183">
        <f t="shared" si="10"/>
        <v>10.743919208788483</v>
      </c>
      <c r="Q183">
        <f t="shared" si="11"/>
        <v>3.1450551429097985E-3</v>
      </c>
      <c r="R183" s="67" t="e" cm="1">
        <f t="array" ref="R183">SUMPRODUCT((J183=$J$7:$J$1000)*(P183&lt;$P$7:$P$1000))+1</f>
        <v>#N/A</v>
      </c>
      <c r="S183" s="72"/>
      <c r="T183">
        <v>16</v>
      </c>
      <c r="U183" t="str">
        <v>UTAH</v>
      </c>
      <c r="V183" t="str">
        <v>Tomasi Tonga</v>
      </c>
      <c r="W183" t="str">
        <v>NULL</v>
      </c>
      <c r="X183" t="str">
        <v>Home</v>
      </c>
      <c r="Y183" t="str">
        <v>ARC</v>
      </c>
      <c r="Z183">
        <v>0.59851765384267397</v>
      </c>
    </row>
    <row r="184" spans="10:26" x14ac:dyDescent="0.35">
      <c r="J184" s="66">
        <v>10</v>
      </c>
      <c r="K184" t="s">
        <v>36</v>
      </c>
      <c r="L184" t="s">
        <v>490</v>
      </c>
      <c r="M184">
        <v>10.6</v>
      </c>
      <c r="N184" t="s">
        <v>3</v>
      </c>
      <c r="O184" t="s">
        <v>4</v>
      </c>
      <c r="P184">
        <f t="shared" si="10"/>
        <v>7.6928764750718788</v>
      </c>
      <c r="Q184">
        <f t="shared" si="11"/>
        <v>8.4513671891905027</v>
      </c>
      <c r="R184" s="67" t="e" cm="1">
        <f t="array" ref="R184">SUMPRODUCT((J184=$J$7:$J$1000)*(P184&lt;$P$7:$P$1000))+1</f>
        <v>#N/A</v>
      </c>
      <c r="S184" s="72"/>
    </row>
    <row r="185" spans="10:26" x14ac:dyDescent="0.35">
      <c r="J185" s="66">
        <v>10</v>
      </c>
      <c r="K185" t="s">
        <v>4</v>
      </c>
      <c r="L185" t="s">
        <v>1</v>
      </c>
      <c r="M185">
        <v>9.6</v>
      </c>
      <c r="N185" t="s">
        <v>9</v>
      </c>
      <c r="O185" t="s">
        <v>36</v>
      </c>
      <c r="P185">
        <f t="shared" si="10"/>
        <v>8.6190390425437098</v>
      </c>
      <c r="Q185">
        <f t="shared" si="11"/>
        <v>0.96228440005356097</v>
      </c>
      <c r="R185" s="67" t="e" cm="1">
        <f t="array" ref="R185">SUMPRODUCT((J185=$J$7:$J$1000)*(P185&lt;$P$7:$P$1000))+1</f>
        <v>#N/A</v>
      </c>
      <c r="S185" s="72"/>
    </row>
    <row r="186" spans="10:26" x14ac:dyDescent="0.35">
      <c r="J186" s="66">
        <v>10</v>
      </c>
      <c r="K186" t="s">
        <v>4</v>
      </c>
      <c r="L186" t="s">
        <v>475</v>
      </c>
      <c r="M186">
        <v>9.6</v>
      </c>
      <c r="N186" t="s">
        <v>9</v>
      </c>
      <c r="O186" t="s">
        <v>36</v>
      </c>
      <c r="P186">
        <f t="shared" si="10"/>
        <v>5.1036043159781164</v>
      </c>
      <c r="Q186">
        <f t="shared" si="11"/>
        <v>20.21757414729062</v>
      </c>
      <c r="R186" s="67" t="e" cm="1">
        <f t="array" ref="R186">SUMPRODUCT((J186=$J$7:$J$1000)*(P186&lt;$P$7:$P$1000))+1</f>
        <v>#N/A</v>
      </c>
      <c r="S186" s="72"/>
    </row>
    <row r="187" spans="10:26" x14ac:dyDescent="0.35">
      <c r="J187" s="66">
        <v>10</v>
      </c>
      <c r="K187" t="s">
        <v>7</v>
      </c>
      <c r="L187" t="s">
        <v>26</v>
      </c>
      <c r="M187">
        <v>9.6</v>
      </c>
      <c r="N187" t="s">
        <v>3</v>
      </c>
      <c r="O187" t="s">
        <v>24</v>
      </c>
      <c r="P187">
        <f t="shared" si="10"/>
        <v>9.3323501488698657</v>
      </c>
      <c r="Q187">
        <f t="shared" si="11"/>
        <v>7.1636442809982867E-2</v>
      </c>
      <c r="R187" s="67" t="e" cm="1">
        <f t="array" ref="R187">SUMPRODUCT((J187=$J$7:$J$1000)*(P187&lt;$P$7:$P$1000))+1</f>
        <v>#N/A</v>
      </c>
      <c r="S187" s="72"/>
    </row>
    <row r="188" spans="10:26" x14ac:dyDescent="0.35">
      <c r="J188" s="66">
        <v>10</v>
      </c>
      <c r="K188" t="s">
        <v>14</v>
      </c>
      <c r="L188" t="s">
        <v>534</v>
      </c>
      <c r="M188">
        <v>7.5</v>
      </c>
      <c r="N188" t="s">
        <v>3</v>
      </c>
      <c r="O188" t="s">
        <v>23</v>
      </c>
      <c r="P188">
        <f t="shared" si="10"/>
        <v>7.0814177973488723</v>
      </c>
      <c r="Q188">
        <f t="shared" si="11"/>
        <v>0.17521106037626971</v>
      </c>
      <c r="R188" s="67" t="e" cm="1">
        <f t="array" ref="R188">SUMPRODUCT((J188=$J$7:$J$1000)*(P188&lt;$P$7:$P$1000))+1</f>
        <v>#N/A</v>
      </c>
      <c r="S188" s="72"/>
    </row>
    <row r="189" spans="10:26" x14ac:dyDescent="0.35">
      <c r="J189" s="66">
        <v>10</v>
      </c>
      <c r="K189" t="s">
        <v>2</v>
      </c>
      <c r="L189" t="s">
        <v>596</v>
      </c>
      <c r="M189">
        <v>7.4</v>
      </c>
      <c r="N189" t="s">
        <v>9</v>
      </c>
      <c r="O189" t="s">
        <v>17</v>
      </c>
      <c r="P189">
        <f t="shared" si="10"/>
        <v>8.0922668953781205</v>
      </c>
      <c r="Q189">
        <f t="shared" si="11"/>
        <v>0.47923345443646115</v>
      </c>
      <c r="R189" s="67" t="e" cm="1">
        <f t="array" ref="R189">SUMPRODUCT((J189=$J$7:$J$1000)*(P189&lt;$P$7:$P$1000))+1</f>
        <v>#N/A</v>
      </c>
      <c r="S189" s="72"/>
    </row>
    <row r="190" spans="10:26" x14ac:dyDescent="0.35">
      <c r="J190" s="66">
        <v>10</v>
      </c>
      <c r="K190" t="s">
        <v>17</v>
      </c>
      <c r="L190" t="s">
        <v>16</v>
      </c>
      <c r="M190">
        <v>6.8</v>
      </c>
      <c r="N190" t="s">
        <v>3</v>
      </c>
      <c r="O190" t="s">
        <v>2</v>
      </c>
      <c r="P190">
        <f t="shared" si="10"/>
        <v>4.583561917527974</v>
      </c>
      <c r="Q190">
        <f t="shared" si="11"/>
        <v>4.912597773432271</v>
      </c>
      <c r="R190" s="67" t="e" cm="1">
        <f t="array" ref="R190">SUMPRODUCT((J190=$J$7:$J$1000)*(P190&lt;$P$7:$P$1000))+1</f>
        <v>#N/A</v>
      </c>
      <c r="S190" s="72"/>
    </row>
    <row r="191" spans="10:26" x14ac:dyDescent="0.35">
      <c r="J191" s="66">
        <v>10</v>
      </c>
      <c r="K191" t="s">
        <v>7</v>
      </c>
      <c r="L191" t="s">
        <v>447</v>
      </c>
      <c r="M191">
        <v>6</v>
      </c>
      <c r="N191" t="s">
        <v>3</v>
      </c>
      <c r="O191" t="s">
        <v>24</v>
      </c>
      <c r="P191">
        <f t="shared" si="10"/>
        <v>5.4404993052309703</v>
      </c>
      <c r="Q191">
        <f t="shared" si="11"/>
        <v>0.313041027447027</v>
      </c>
      <c r="R191" s="67" t="e" cm="1">
        <f t="array" ref="R191">SUMPRODUCT((J191=$J$7:$J$1000)*(P191&lt;$P$7:$P$1000))+1</f>
        <v>#N/A</v>
      </c>
      <c r="S191" s="72"/>
    </row>
    <row r="192" spans="10:26" x14ac:dyDescent="0.35">
      <c r="J192" s="66">
        <v>10</v>
      </c>
      <c r="K192" t="s">
        <v>34</v>
      </c>
      <c r="L192" t="s">
        <v>546</v>
      </c>
      <c r="M192">
        <v>5.6</v>
      </c>
      <c r="N192" t="s">
        <v>3</v>
      </c>
      <c r="O192" t="s">
        <v>13</v>
      </c>
      <c r="P192">
        <f t="shared" si="10"/>
        <v>5.0729946346290413</v>
      </c>
      <c r="Q192">
        <f t="shared" si="11"/>
        <v>0.2777346551297773</v>
      </c>
      <c r="R192" s="67" t="e" cm="1">
        <f t="array" ref="R192">SUMPRODUCT((J192=$J$7:$J$1000)*(P192&lt;$P$7:$P$1000))+1</f>
        <v>#N/A</v>
      </c>
      <c r="S192" s="72"/>
    </row>
    <row r="193" spans="10:19" x14ac:dyDescent="0.35">
      <c r="J193" s="66">
        <v>10</v>
      </c>
      <c r="K193" t="s">
        <v>13</v>
      </c>
      <c r="L193" t="s">
        <v>649</v>
      </c>
      <c r="M193">
        <v>5.6</v>
      </c>
      <c r="N193" t="s">
        <v>9</v>
      </c>
      <c r="O193" t="s">
        <v>34</v>
      </c>
      <c r="P193">
        <f t="shared" si="10"/>
        <v>4.6829760250708414</v>
      </c>
      <c r="Q193">
        <f t="shared" si="11"/>
        <v>0.84093297059487337</v>
      </c>
      <c r="R193" s="67" t="e" cm="1">
        <f t="array" ref="R193">SUMPRODUCT((J193=$J$7:$J$1000)*(P193&lt;$P$7:$P$1000))+1</f>
        <v>#N/A</v>
      </c>
      <c r="S193" s="72"/>
    </row>
    <row r="194" spans="10:19" x14ac:dyDescent="0.35">
      <c r="J194" s="66">
        <v>10</v>
      </c>
      <c r="K194" t="s">
        <v>34</v>
      </c>
      <c r="L194" t="s">
        <v>52</v>
      </c>
      <c r="M194">
        <v>4.0999999999999996</v>
      </c>
      <c r="N194" t="s">
        <v>3</v>
      </c>
      <c r="O194" t="s">
        <v>13</v>
      </c>
      <c r="P194">
        <f t="shared" si="10"/>
        <v>3.5909497856848587</v>
      </c>
      <c r="Q194">
        <f t="shared" si="11"/>
        <v>0.25913212069429098</v>
      </c>
      <c r="R194" s="67" t="e" cm="1">
        <f t="array" ref="R194">SUMPRODUCT((J194=$J$7:$J$1000)*(P194&lt;$P$7:$P$1000))+1</f>
        <v>#N/A</v>
      </c>
      <c r="S194" s="72"/>
    </row>
    <row r="195" spans="10:19" x14ac:dyDescent="0.35">
      <c r="J195" s="66">
        <v>10</v>
      </c>
      <c r="K195" t="s">
        <v>23</v>
      </c>
      <c r="L195" t="s">
        <v>25</v>
      </c>
      <c r="M195">
        <v>3.8</v>
      </c>
      <c r="N195" t="s">
        <v>9</v>
      </c>
      <c r="O195" t="s">
        <v>14</v>
      </c>
      <c r="P195">
        <f t="shared" si="10"/>
        <v>5.6916256100852634</v>
      </c>
      <c r="Q195">
        <f t="shared" si="11"/>
        <v>3.5782474487304454</v>
      </c>
      <c r="R195" s="67" t="e" cm="1">
        <f t="array" ref="R195">SUMPRODUCT((J195=$J$7:$J$1000)*(P195&lt;$P$7:$P$1000))+1</f>
        <v>#N/A</v>
      </c>
      <c r="S195" s="72"/>
    </row>
    <row r="196" spans="10:19" x14ac:dyDescent="0.35">
      <c r="J196" s="66">
        <v>10</v>
      </c>
      <c r="K196" t="s">
        <v>14</v>
      </c>
      <c r="L196" t="s">
        <v>448</v>
      </c>
      <c r="M196">
        <v>3.6</v>
      </c>
      <c r="N196" t="s">
        <v>3</v>
      </c>
      <c r="O196" t="s">
        <v>23</v>
      </c>
      <c r="P196">
        <f t="shared" si="10"/>
        <v>7.3425509288431865</v>
      </c>
      <c r="Q196">
        <f t="shared" si="11"/>
        <v>14.006687454984997</v>
      </c>
      <c r="R196" s="67" t="e" cm="1">
        <f t="array" ref="R196">SUMPRODUCT((J196=$J$7:$J$1000)*(P196&lt;$P$7:$P$1000))+1</f>
        <v>#N/A</v>
      </c>
      <c r="S196" s="72"/>
    </row>
    <row r="197" spans="10:19" x14ac:dyDescent="0.35">
      <c r="J197" s="66">
        <v>10</v>
      </c>
      <c r="K197" t="s">
        <v>2</v>
      </c>
      <c r="L197" t="s">
        <v>44</v>
      </c>
      <c r="M197">
        <v>3.6</v>
      </c>
      <c r="N197" t="s">
        <v>9</v>
      </c>
      <c r="O197" t="s">
        <v>17</v>
      </c>
      <c r="P197">
        <f t="shared" si="10"/>
        <v>6.1764195100419599</v>
      </c>
      <c r="Q197">
        <f t="shared" si="11"/>
        <v>6.6379374917248519</v>
      </c>
      <c r="R197" s="67" t="e" cm="1">
        <f t="array" ref="R197">SUMPRODUCT((J197=$J$7:$J$1000)*(P197&lt;$P$7:$P$1000))+1</f>
        <v>#N/A</v>
      </c>
      <c r="S197" s="72"/>
    </row>
    <row r="198" spans="10:19" x14ac:dyDescent="0.35">
      <c r="J198" s="66">
        <v>10</v>
      </c>
      <c r="K198" t="s">
        <v>36</v>
      </c>
      <c r="L198" t="s">
        <v>48</v>
      </c>
      <c r="M198">
        <v>2.2000000000000002</v>
      </c>
      <c r="N198" t="s">
        <v>3</v>
      </c>
      <c r="O198" t="s">
        <v>4</v>
      </c>
      <c r="P198">
        <f t="shared" si="10"/>
        <v>1.3838900534276819</v>
      </c>
      <c r="Q198">
        <f t="shared" si="11"/>
        <v>0.66603544489427224</v>
      </c>
      <c r="R198" s="67" t="e" cm="1">
        <f t="array" ref="R198">SUMPRODUCT((J198=$J$7:$J$1000)*(P198&lt;$P$7:$P$1000))+1</f>
        <v>#N/A</v>
      </c>
      <c r="S198" s="72"/>
    </row>
    <row r="199" spans="10:19" x14ac:dyDescent="0.35">
      <c r="J199" s="66">
        <v>11</v>
      </c>
      <c r="K199" t="s">
        <v>6</v>
      </c>
      <c r="L199" t="s">
        <v>451</v>
      </c>
      <c r="M199">
        <v>20.399999999999999</v>
      </c>
      <c r="N199" t="s">
        <v>9</v>
      </c>
      <c r="O199" t="s">
        <v>34</v>
      </c>
      <c r="P199">
        <f t="shared" si="10"/>
        <v>9.6454811523016595</v>
      </c>
      <c r="Q199">
        <f t="shared" si="11"/>
        <v>115.65967564549881</v>
      </c>
      <c r="R199" s="67" t="e" cm="1">
        <f t="array" ref="R199">SUMPRODUCT((J199=$J$7:$J$1000)*(P199&lt;$P$7:$P$1000))+1</f>
        <v>#N/A</v>
      </c>
      <c r="S199" s="72"/>
    </row>
    <row r="200" spans="10:19" x14ac:dyDescent="0.35">
      <c r="J200">
        <v>11</v>
      </c>
      <c r="K200" t="s">
        <v>13</v>
      </c>
      <c r="L200" t="s">
        <v>473</v>
      </c>
      <c r="M200">
        <v>12.9</v>
      </c>
      <c r="N200" t="s">
        <v>3</v>
      </c>
      <c r="O200" t="s">
        <v>2</v>
      </c>
      <c r="P200">
        <f t="shared" ref="P200:P263" si="12">VLOOKUP($N200,$F$3:$G$4,2,FALSE)+VLOOKUP($L200,$B$20:$C$150,2,FALSE)+VLOOKUP($O200,$A$6:$B$16,2,FALSE)</f>
        <v>11.440973371399354</v>
      </c>
      <c r="Q200">
        <f t="shared" si="11"/>
        <v>2.1287587029657695</v>
      </c>
      <c r="R200" s="67" t="e" cm="1">
        <f t="array" ref="R200">SUMPRODUCT((J200=$J$7:$J$1000)*(P200&lt;$P$7:$P$1000))+1</f>
        <v>#N/A</v>
      </c>
      <c r="S200" s="72"/>
    </row>
    <row r="201" spans="10:19" x14ac:dyDescent="0.35">
      <c r="J201" s="66">
        <v>11</v>
      </c>
      <c r="K201" t="s">
        <v>6</v>
      </c>
      <c r="L201" t="s">
        <v>8</v>
      </c>
      <c r="M201">
        <v>12.5</v>
      </c>
      <c r="N201" t="s">
        <v>3</v>
      </c>
      <c r="O201" t="s">
        <v>34</v>
      </c>
      <c r="P201">
        <f t="shared" si="12"/>
        <v>11.571958895269228</v>
      </c>
      <c r="Q201">
        <f t="shared" si="11"/>
        <v>0.86126029206991161</v>
      </c>
      <c r="R201" s="67" t="e" cm="1">
        <f t="array" ref="R201">SUMPRODUCT((J201=$J$7:$J$1000)*(P201&lt;$P$7:$P$1000))+1</f>
        <v>#N/A</v>
      </c>
      <c r="S201" s="72"/>
    </row>
    <row r="202" spans="10:19" x14ac:dyDescent="0.35">
      <c r="J202" s="66">
        <v>11</v>
      </c>
      <c r="K202" t="s">
        <v>4</v>
      </c>
      <c r="L202" t="s">
        <v>452</v>
      </c>
      <c r="M202">
        <v>11.7</v>
      </c>
      <c r="N202" t="s">
        <v>3</v>
      </c>
      <c r="O202" t="s">
        <v>17</v>
      </c>
      <c r="P202">
        <f t="shared" si="12"/>
        <v>6.6609330440590258</v>
      </c>
      <c r="Q202">
        <f t="shared" si="11"/>
        <v>25.392195786456231</v>
      </c>
      <c r="R202" s="67" t="e" cm="1">
        <f t="array" ref="R202">SUMPRODUCT((J202=$J$7:$J$1000)*(P202&lt;$P$7:$P$1000))+1</f>
        <v>#N/A</v>
      </c>
      <c r="S202" s="72"/>
    </row>
    <row r="203" spans="10:19" x14ac:dyDescent="0.35">
      <c r="J203" s="66">
        <v>11</v>
      </c>
      <c r="K203" t="s">
        <v>24</v>
      </c>
      <c r="L203" t="s">
        <v>446</v>
      </c>
      <c r="M203">
        <v>11.4</v>
      </c>
      <c r="N203" t="s">
        <v>3</v>
      </c>
      <c r="O203" t="s">
        <v>14</v>
      </c>
      <c r="P203">
        <f t="shared" si="12"/>
        <v>10.635693860204672</v>
      </c>
      <c r="Q203">
        <f t="shared" si="11"/>
        <v>0.5841638753288364</v>
      </c>
      <c r="R203" s="67" t="e" cm="1">
        <f t="array" ref="R203">SUMPRODUCT((J203=$J$7:$J$1000)*(P203&lt;$P$7:$P$1000))+1</f>
        <v>#N/A</v>
      </c>
      <c r="S203" s="72"/>
    </row>
    <row r="204" spans="10:19" x14ac:dyDescent="0.35">
      <c r="J204" s="66">
        <v>11</v>
      </c>
      <c r="K204" t="s">
        <v>4</v>
      </c>
      <c r="L204" t="s">
        <v>1</v>
      </c>
      <c r="M204">
        <v>11.2</v>
      </c>
      <c r="N204" t="s">
        <v>3</v>
      </c>
      <c r="O204" t="s">
        <v>17</v>
      </c>
      <c r="P204">
        <f t="shared" si="12"/>
        <v>7.9792029267119924</v>
      </c>
      <c r="Q204">
        <f t="shared" si="11"/>
        <v>10.373533787300591</v>
      </c>
      <c r="R204" s="67" t="e" cm="1">
        <f t="array" ref="R204">SUMPRODUCT((J204=$J$7:$J$1000)*(P204&lt;$P$7:$P$1000))+1</f>
        <v>#N/A</v>
      </c>
      <c r="S204" s="72"/>
    </row>
    <row r="205" spans="10:19" x14ac:dyDescent="0.35">
      <c r="J205" s="66">
        <v>11</v>
      </c>
      <c r="K205" t="s">
        <v>17</v>
      </c>
      <c r="L205" t="s">
        <v>37</v>
      </c>
      <c r="M205">
        <v>10.1</v>
      </c>
      <c r="N205" t="s">
        <v>9</v>
      </c>
      <c r="O205" t="s">
        <v>4</v>
      </c>
      <c r="P205">
        <f t="shared" si="12"/>
        <v>10.764296427933091</v>
      </c>
      <c r="Q205">
        <f t="shared" si="11"/>
        <v>0.44128974416466549</v>
      </c>
      <c r="R205" s="67" t="e" cm="1">
        <f t="array" ref="R205">SUMPRODUCT((J205=$J$7:$J$1000)*(P205&lt;$P$7:$P$1000))+1</f>
        <v>#N/A</v>
      </c>
      <c r="S205" s="72"/>
    </row>
    <row r="206" spans="10:19" x14ac:dyDescent="0.35">
      <c r="J206" s="66">
        <v>11</v>
      </c>
      <c r="K206" t="s">
        <v>6</v>
      </c>
      <c r="L206" t="s">
        <v>445</v>
      </c>
      <c r="M206">
        <v>9.9</v>
      </c>
      <c r="N206" t="s">
        <v>9</v>
      </c>
      <c r="O206" t="s">
        <v>34</v>
      </c>
      <c r="P206">
        <f t="shared" si="12"/>
        <v>11.70851708908188</v>
      </c>
      <c r="Q206">
        <f t="shared" si="11"/>
        <v>3.2707340615011962</v>
      </c>
      <c r="R206" s="67" t="e" cm="1">
        <f t="array" ref="R206">SUMPRODUCT((J206=$J$7:$J$1000)*(P206&lt;$P$7:$P$1000))+1</f>
        <v>#N/A</v>
      </c>
      <c r="S206" s="72"/>
    </row>
    <row r="207" spans="10:19" x14ac:dyDescent="0.35">
      <c r="J207" s="66">
        <v>11</v>
      </c>
      <c r="K207" t="s">
        <v>34</v>
      </c>
      <c r="L207" t="s">
        <v>546</v>
      </c>
      <c r="M207">
        <v>9.8000000000000007</v>
      </c>
      <c r="N207" t="s">
        <v>9</v>
      </c>
      <c r="O207" t="s">
        <v>6</v>
      </c>
      <c r="P207">
        <f t="shared" si="12"/>
        <v>11.414159371597705</v>
      </c>
      <c r="Q207">
        <f t="shared" si="11"/>
        <v>2.6055104769166961</v>
      </c>
      <c r="R207" s="67" t="e" cm="1">
        <f t="array" ref="R207">SUMPRODUCT((J207=$J$7:$J$1000)*(P207&lt;$P$7:$P$1000))+1</f>
        <v>#N/A</v>
      </c>
      <c r="S207" s="72"/>
    </row>
    <row r="208" spans="10:19" x14ac:dyDescent="0.35">
      <c r="J208" s="66">
        <v>11</v>
      </c>
      <c r="K208" t="s">
        <v>17</v>
      </c>
      <c r="L208" t="s">
        <v>16</v>
      </c>
      <c r="M208">
        <v>9.6999999999999993</v>
      </c>
      <c r="N208" t="s">
        <v>9</v>
      </c>
      <c r="O208" t="s">
        <v>4</v>
      </c>
      <c r="P208">
        <f t="shared" si="12"/>
        <v>4.9134197752331552</v>
      </c>
      <c r="Q208">
        <f t="shared" si="11"/>
        <v>22.911350248129011</v>
      </c>
      <c r="R208" s="67" t="e" cm="1">
        <f t="array" ref="R208">SUMPRODUCT((J208=$J$7:$J$1000)*(P208&lt;$P$7:$P$1000))+1</f>
        <v>#N/A</v>
      </c>
      <c r="S208" s="72"/>
    </row>
    <row r="209" spans="10:19" x14ac:dyDescent="0.35">
      <c r="J209" s="66">
        <v>11</v>
      </c>
      <c r="K209" t="s">
        <v>34</v>
      </c>
      <c r="L209" t="s">
        <v>51</v>
      </c>
      <c r="M209">
        <v>8.6999999999999993</v>
      </c>
      <c r="N209" t="s">
        <v>9</v>
      </c>
      <c r="O209" t="s">
        <v>6</v>
      </c>
      <c r="P209">
        <f t="shared" si="12"/>
        <v>7.7283121380915931</v>
      </c>
      <c r="Q209">
        <f t="shared" si="11"/>
        <v>0.94417730098012986</v>
      </c>
      <c r="R209" s="67" t="e" cm="1">
        <f t="array" ref="R209">SUMPRODUCT((J209=$J$7:$J$1000)*(P209&lt;$P$7:$P$1000))+1</f>
        <v>#N/A</v>
      </c>
      <c r="S209" s="72"/>
    </row>
    <row r="210" spans="10:19" x14ac:dyDescent="0.35">
      <c r="J210" s="66">
        <v>11</v>
      </c>
      <c r="K210" t="s">
        <v>36</v>
      </c>
      <c r="L210" t="s">
        <v>490</v>
      </c>
      <c r="M210">
        <v>7.8</v>
      </c>
      <c r="N210" t="s">
        <v>3</v>
      </c>
      <c r="O210" t="s">
        <v>7</v>
      </c>
      <c r="P210">
        <f t="shared" si="12"/>
        <v>10.165826760562169</v>
      </c>
      <c r="Q210">
        <f t="shared" si="11"/>
        <v>5.5971362609920865</v>
      </c>
      <c r="R210" s="67" t="e" cm="1">
        <f t="array" ref="R210">SUMPRODUCT((J210=$J$7:$J$1000)*(P210&lt;$P$7:$P$1000))+1</f>
        <v>#N/A</v>
      </c>
      <c r="S210" s="72"/>
    </row>
    <row r="211" spans="10:19" x14ac:dyDescent="0.35">
      <c r="J211" s="66">
        <v>11</v>
      </c>
      <c r="K211" t="s">
        <v>24</v>
      </c>
      <c r="L211" t="s">
        <v>402</v>
      </c>
      <c r="M211">
        <v>7.7</v>
      </c>
      <c r="N211" t="s">
        <v>3</v>
      </c>
      <c r="O211" t="s">
        <v>14</v>
      </c>
      <c r="P211">
        <f t="shared" si="12"/>
        <v>7.4793979537785917</v>
      </c>
      <c r="Q211">
        <f t="shared" si="11"/>
        <v>4.866526279707243E-2</v>
      </c>
      <c r="R211" s="67" t="e" cm="1">
        <f t="array" ref="R211">SUMPRODUCT((J211=$J$7:$J$1000)*(P211&lt;$P$7:$P$1000))+1</f>
        <v>#N/A</v>
      </c>
      <c r="S211" s="72"/>
    </row>
    <row r="212" spans="10:19" x14ac:dyDescent="0.35">
      <c r="J212" s="66">
        <v>11</v>
      </c>
      <c r="K212" t="s">
        <v>7</v>
      </c>
      <c r="L212" t="s">
        <v>45</v>
      </c>
      <c r="M212">
        <v>7.7</v>
      </c>
      <c r="N212" t="s">
        <v>9</v>
      </c>
      <c r="O212" t="s">
        <v>36</v>
      </c>
      <c r="P212">
        <f t="shared" si="12"/>
        <v>7.7045768277235913</v>
      </c>
      <c r="Q212">
        <f t="shared" si="11"/>
        <v>2.0947352011432428E-5</v>
      </c>
      <c r="R212" s="67" t="e" cm="1">
        <f t="array" ref="R212">SUMPRODUCT((J212=$J$7:$J$1000)*(P212&lt;$P$7:$P$1000))+1</f>
        <v>#N/A</v>
      </c>
      <c r="S212" s="72"/>
    </row>
    <row r="213" spans="10:19" x14ac:dyDescent="0.35">
      <c r="J213" s="66">
        <v>11</v>
      </c>
      <c r="K213" t="s">
        <v>2</v>
      </c>
      <c r="L213" t="s">
        <v>596</v>
      </c>
      <c r="M213">
        <v>6.7</v>
      </c>
      <c r="N213" t="s">
        <v>9</v>
      </c>
      <c r="O213" t="s">
        <v>13</v>
      </c>
      <c r="P213">
        <f t="shared" si="12"/>
        <v>6.0106090576727054</v>
      </c>
      <c r="Q213">
        <f t="shared" si="11"/>
        <v>0.47525987136291553</v>
      </c>
      <c r="R213" s="67" t="e" cm="1">
        <f t="array" ref="R213">SUMPRODUCT((J213=$J$7:$J$1000)*(P213&lt;$P$7:$P$1000))+1</f>
        <v>#N/A</v>
      </c>
      <c r="S213" s="72"/>
    </row>
    <row r="214" spans="10:19" x14ac:dyDescent="0.35">
      <c r="J214" s="66">
        <v>11</v>
      </c>
      <c r="K214" t="s">
        <v>14</v>
      </c>
      <c r="L214" t="s">
        <v>534</v>
      </c>
      <c r="M214">
        <v>5.9</v>
      </c>
      <c r="N214" t="s">
        <v>3</v>
      </c>
      <c r="O214" t="s">
        <v>24</v>
      </c>
      <c r="P214">
        <f t="shared" si="12"/>
        <v>6.33514399288278</v>
      </c>
      <c r="Q214">
        <f t="shared" si="11"/>
        <v>0.18935029454196856</v>
      </c>
      <c r="R214" s="67" t="e" cm="1">
        <f t="array" ref="R214">SUMPRODUCT((J214=$J$7:$J$1000)*(P214&lt;$P$7:$P$1000))+1</f>
        <v>#N/A</v>
      </c>
      <c r="S214" s="72"/>
    </row>
    <row r="215" spans="10:19" x14ac:dyDescent="0.35">
      <c r="J215" s="66">
        <v>11</v>
      </c>
      <c r="K215" t="s">
        <v>17</v>
      </c>
      <c r="L215" t="s">
        <v>37</v>
      </c>
      <c r="M215">
        <v>5.6</v>
      </c>
      <c r="N215" t="s">
        <v>9</v>
      </c>
      <c r="O215" t="s">
        <v>4</v>
      </c>
      <c r="P215">
        <f t="shared" si="12"/>
        <v>10.764296427933091</v>
      </c>
      <c r="Q215">
        <f t="shared" si="11"/>
        <v>26.669957595562494</v>
      </c>
      <c r="R215" s="67" t="e" cm="1">
        <f t="array" ref="R215">SUMPRODUCT((J215=$J$7:$J$1000)*(P215&lt;$P$7:$P$1000))+1</f>
        <v>#N/A</v>
      </c>
      <c r="S215" s="72"/>
    </row>
    <row r="216" spans="10:19" x14ac:dyDescent="0.35">
      <c r="J216" s="66">
        <v>11</v>
      </c>
      <c r="K216" t="s">
        <v>14</v>
      </c>
      <c r="L216" t="s">
        <v>448</v>
      </c>
      <c r="M216">
        <v>5.4</v>
      </c>
      <c r="N216" t="s">
        <v>9</v>
      </c>
      <c r="O216" t="s">
        <v>24</v>
      </c>
      <c r="P216">
        <f t="shared" si="12"/>
        <v>6.8746519882848194</v>
      </c>
      <c r="Q216">
        <f t="shared" si="11"/>
        <v>2.17459848655237</v>
      </c>
      <c r="R216" s="67" t="e" cm="1">
        <f t="array" ref="R216">SUMPRODUCT((J216=$J$7:$J$1000)*(P216&lt;$P$7:$P$1000))+1</f>
        <v>#N/A</v>
      </c>
      <c r="S216" s="72"/>
    </row>
    <row r="217" spans="10:19" x14ac:dyDescent="0.35">
      <c r="J217" s="66">
        <v>11</v>
      </c>
      <c r="K217" t="s">
        <v>14</v>
      </c>
      <c r="L217" t="s">
        <v>517</v>
      </c>
      <c r="M217">
        <v>5.0999999999999996</v>
      </c>
      <c r="N217" t="s">
        <v>3</v>
      </c>
      <c r="O217" t="s">
        <v>24</v>
      </c>
      <c r="P217">
        <f t="shared" si="12"/>
        <v>4.8159441411466233</v>
      </c>
      <c r="Q217">
        <f t="shared" si="11"/>
        <v>8.0687730948929282E-2</v>
      </c>
      <c r="R217" s="67" t="e" cm="1">
        <f t="array" ref="R217">SUMPRODUCT((J217=$J$7:$J$1000)*(P217&lt;$P$7:$P$1000))+1</f>
        <v>#N/A</v>
      </c>
      <c r="S217" s="72"/>
    </row>
    <row r="218" spans="10:19" x14ac:dyDescent="0.35">
      <c r="J218" s="66">
        <v>11</v>
      </c>
      <c r="K218" t="s">
        <v>6</v>
      </c>
      <c r="L218" t="s">
        <v>451</v>
      </c>
      <c r="M218">
        <v>5.0999999999999996</v>
      </c>
      <c r="N218" t="s">
        <v>3</v>
      </c>
      <c r="O218" t="s">
        <v>34</v>
      </c>
      <c r="P218">
        <f t="shared" si="12"/>
        <v>9.3671062883939342</v>
      </c>
      <c r="Q218">
        <f t="shared" si="11"/>
        <v>18.20819607645106</v>
      </c>
      <c r="R218" s="67" t="e" cm="1">
        <f t="array" ref="R218">SUMPRODUCT((J218=$J$7:$J$1000)*(P218&lt;$P$7:$P$1000))+1</f>
        <v>#N/A</v>
      </c>
      <c r="S218" s="72"/>
    </row>
    <row r="219" spans="10:19" x14ac:dyDescent="0.35">
      <c r="J219" s="66">
        <v>11</v>
      </c>
      <c r="K219" t="s">
        <v>14</v>
      </c>
      <c r="L219" t="s">
        <v>11</v>
      </c>
      <c r="M219">
        <v>4.8</v>
      </c>
      <c r="N219" t="s">
        <v>9</v>
      </c>
      <c r="O219" t="s">
        <v>24</v>
      </c>
      <c r="P219">
        <f t="shared" si="12"/>
        <v>7.3797771437075657</v>
      </c>
      <c r="Q219">
        <f t="shared" si="11"/>
        <v>6.6552501111959668</v>
      </c>
      <c r="R219" s="67" t="e" cm="1">
        <f t="array" ref="R219">SUMPRODUCT((J219=$J$7:$J$1000)*(P219&lt;$P$7:$P$1000))+1</f>
        <v>#N/A</v>
      </c>
      <c r="S219" s="72"/>
    </row>
    <row r="220" spans="10:19" x14ac:dyDescent="0.35">
      <c r="J220" s="66">
        <v>11</v>
      </c>
      <c r="K220" t="s">
        <v>17</v>
      </c>
      <c r="L220" t="s">
        <v>16</v>
      </c>
      <c r="M220">
        <v>4.0999999999999996</v>
      </c>
      <c r="N220" t="s">
        <v>9</v>
      </c>
      <c r="O220" t="s">
        <v>4</v>
      </c>
      <c r="P220">
        <f t="shared" si="12"/>
        <v>4.9134197752331552</v>
      </c>
      <c r="Q220">
        <f t="shared" si="11"/>
        <v>0.66165173074035732</v>
      </c>
      <c r="R220" s="67" t="e" cm="1">
        <f t="array" ref="R220">SUMPRODUCT((J220=$J$7:$J$1000)*(P220&lt;$P$7:$P$1000))+1</f>
        <v>#N/A</v>
      </c>
      <c r="S220" s="72"/>
    </row>
    <row r="221" spans="10:19" x14ac:dyDescent="0.35">
      <c r="J221" s="66">
        <v>11</v>
      </c>
      <c r="K221" t="s">
        <v>2</v>
      </c>
      <c r="L221" t="s">
        <v>449</v>
      </c>
      <c r="M221">
        <v>2.8</v>
      </c>
      <c r="N221" t="s">
        <v>9</v>
      </c>
      <c r="O221" t="s">
        <v>13</v>
      </c>
      <c r="P221">
        <f t="shared" si="12"/>
        <v>5.9230073678896931</v>
      </c>
      <c r="Q221">
        <f t="shared" si="11"/>
        <v>9.7531750198933089</v>
      </c>
      <c r="R221" s="67" t="e" cm="1">
        <f t="array" ref="R221">SUMPRODUCT((J221=$J$7:$J$1000)*(P221&lt;$P$7:$P$1000))+1</f>
        <v>#N/A</v>
      </c>
      <c r="S221" s="72"/>
    </row>
    <row r="222" spans="10:19" x14ac:dyDescent="0.35">
      <c r="J222" s="66">
        <v>11</v>
      </c>
      <c r="K222" t="s">
        <v>13</v>
      </c>
      <c r="L222" t="s">
        <v>474</v>
      </c>
      <c r="M222">
        <v>2.1</v>
      </c>
      <c r="N222" t="s">
        <v>3</v>
      </c>
      <c r="O222" t="s">
        <v>2</v>
      </c>
      <c r="P222">
        <f t="shared" si="12"/>
        <v>5.0868363104830516</v>
      </c>
      <c r="Q222">
        <f t="shared" si="11"/>
        <v>8.921191145620007</v>
      </c>
      <c r="R222" s="67" t="e" cm="1">
        <f t="array" ref="R222">SUMPRODUCT((J222=$J$7:$J$1000)*(P222&lt;$P$7:$P$1000))+1</f>
        <v>#N/A</v>
      </c>
      <c r="S222" s="72"/>
    </row>
    <row r="223" spans="10:19" x14ac:dyDescent="0.35">
      <c r="J223" s="66">
        <v>11</v>
      </c>
      <c r="K223" t="s">
        <v>7</v>
      </c>
      <c r="L223" t="s">
        <v>447</v>
      </c>
      <c r="M223">
        <v>0.5</v>
      </c>
      <c r="N223" t="s">
        <v>9</v>
      </c>
      <c r="O223" t="s">
        <v>36</v>
      </c>
      <c r="P223">
        <f t="shared" si="12"/>
        <v>6.2441815539939478</v>
      </c>
      <c r="Q223">
        <f t="shared" ref="Q223:Q224" si="13">IFERROR(($M223-$P223)^2,"")</f>
        <v>32.995621725244327</v>
      </c>
      <c r="R223" s="67" t="e" cm="1">
        <f t="array" ref="R223">SUMPRODUCT((J223=$J$7:$J$1000)*(P223&lt;$P$7:$P$1000))+1</f>
        <v>#N/A</v>
      </c>
      <c r="S223" s="72"/>
    </row>
    <row r="224" spans="10:19" x14ac:dyDescent="0.35">
      <c r="J224" s="66">
        <v>11</v>
      </c>
      <c r="K224" t="s">
        <v>36</v>
      </c>
      <c r="L224" t="s">
        <v>50</v>
      </c>
      <c r="M224">
        <v>0</v>
      </c>
      <c r="N224" t="s">
        <v>3</v>
      </c>
      <c r="O224" t="s">
        <v>7</v>
      </c>
      <c r="P224">
        <f t="shared" si="12"/>
        <v>4.9207741215473906</v>
      </c>
      <c r="Q224">
        <f t="shared" si="13"/>
        <v>24.214017955290494</v>
      </c>
      <c r="R224" s="67" t="e" cm="1">
        <f t="array" ref="R224">SUMPRODUCT((J224=$J$7:$J$1000)*(P224&lt;$P$7:$P$1000))+1</f>
        <v>#N/A</v>
      </c>
      <c r="S224" s="72"/>
    </row>
    <row r="225" spans="10:19" x14ac:dyDescent="0.35">
      <c r="J225" s="66">
        <v>12</v>
      </c>
      <c r="K225" t="s">
        <v>17</v>
      </c>
      <c r="L225" t="s">
        <v>37</v>
      </c>
      <c r="M225">
        <v>18.8</v>
      </c>
      <c r="N225" t="s">
        <v>3</v>
      </c>
      <c r="O225" t="s">
        <v>6</v>
      </c>
      <c r="P225">
        <f t="shared" si="12"/>
        <v>14.512251451332972</v>
      </c>
      <c r="Q225">
        <f t="shared" ref="Q225:Q288" si="14">IFERROR(($M225-$P225)^2,"")</f>
        <v>18.384787616596213</v>
      </c>
      <c r="R225" s="67" t="e" cm="1">
        <f t="array" ref="R225">SUMPRODUCT((J225=$J$7:$J$1000)*(P225&lt;$P$7:$P$1000))+1</f>
        <v>#N/A</v>
      </c>
      <c r="S225" s="72"/>
    </row>
    <row r="226" spans="10:19" x14ac:dyDescent="0.35">
      <c r="J226" s="66">
        <v>12</v>
      </c>
      <c r="K226" t="s">
        <v>13</v>
      </c>
      <c r="L226" t="s">
        <v>473</v>
      </c>
      <c r="M226">
        <v>16.5</v>
      </c>
      <c r="N226" t="s">
        <v>3</v>
      </c>
      <c r="O226" t="s">
        <v>7</v>
      </c>
      <c r="P226">
        <f t="shared" si="12"/>
        <v>13.9654066506871</v>
      </c>
      <c r="Q226">
        <f t="shared" si="14"/>
        <v>6.4241634463811819</v>
      </c>
      <c r="R226" s="67" t="e" cm="1">
        <f t="array" ref="R226">SUMPRODUCT((J226=$J$7:$J$1000)*(P226&lt;$P$7:$P$1000))+1</f>
        <v>#N/A</v>
      </c>
      <c r="S226" s="72"/>
    </row>
    <row r="227" spans="10:19" x14ac:dyDescent="0.35">
      <c r="J227" s="66">
        <v>12</v>
      </c>
      <c r="K227" t="s">
        <v>34</v>
      </c>
      <c r="L227" t="s">
        <v>52</v>
      </c>
      <c r="M227">
        <v>12.8</v>
      </c>
      <c r="N227" t="s">
        <v>9</v>
      </c>
      <c r="O227" t="s">
        <v>4</v>
      </c>
      <c r="P227">
        <f t="shared" si="12"/>
        <v>5.9057846353459187</v>
      </c>
      <c r="Q227">
        <f t="shared" si="14"/>
        <v>47.530205494232419</v>
      </c>
      <c r="R227" s="67" t="e" cm="1">
        <f t="array" ref="R227">SUMPRODUCT((J227=$J$7:$J$1000)*(P227&lt;$P$7:$P$1000))+1</f>
        <v>#N/A</v>
      </c>
      <c r="S227" s="72"/>
    </row>
    <row r="228" spans="10:19" x14ac:dyDescent="0.35">
      <c r="J228" s="66">
        <v>12</v>
      </c>
      <c r="K228" t="s">
        <v>6</v>
      </c>
      <c r="L228" t="s">
        <v>8</v>
      </c>
      <c r="M228">
        <v>10.7</v>
      </c>
      <c r="N228" t="s">
        <v>9</v>
      </c>
      <c r="O228" t="s">
        <v>17</v>
      </c>
      <c r="P228">
        <f t="shared" si="12"/>
        <v>11.438202180407679</v>
      </c>
      <c r="Q228">
        <f t="shared" si="14"/>
        <v>0.5449424591586518</v>
      </c>
      <c r="R228" s="67" t="e" cm="1">
        <f t="array" ref="R228">SUMPRODUCT((J228=$J$7:$J$1000)*(P228&lt;$P$7:$P$1000))+1</f>
        <v>#N/A</v>
      </c>
      <c r="S228" s="72"/>
    </row>
    <row r="229" spans="10:19" x14ac:dyDescent="0.35">
      <c r="J229" s="66">
        <v>12</v>
      </c>
      <c r="K229" t="s">
        <v>36</v>
      </c>
      <c r="L229" t="s">
        <v>38</v>
      </c>
      <c r="M229">
        <v>9.9</v>
      </c>
      <c r="N229" t="s">
        <v>9</v>
      </c>
      <c r="O229" t="s">
        <v>23</v>
      </c>
      <c r="P229">
        <f t="shared" si="12"/>
        <v>9.7134547574785284</v>
      </c>
      <c r="Q229">
        <f t="shared" si="14"/>
        <v>3.4799127507394799E-2</v>
      </c>
      <c r="R229" s="67" t="e" cm="1">
        <f t="array" ref="R229">SUMPRODUCT((J229=$J$7:$J$1000)*(P229&lt;$P$7:$P$1000))+1</f>
        <v>#N/A</v>
      </c>
      <c r="S229" s="72"/>
    </row>
    <row r="230" spans="10:19" x14ac:dyDescent="0.35">
      <c r="J230">
        <v>12</v>
      </c>
      <c r="K230" t="s">
        <v>23</v>
      </c>
      <c r="L230" t="s">
        <v>32</v>
      </c>
      <c r="M230">
        <v>8.6999999999999993</v>
      </c>
      <c r="N230" t="s">
        <v>3</v>
      </c>
      <c r="O230" t="s">
        <v>36</v>
      </c>
      <c r="P230">
        <f t="shared" si="12"/>
        <v>8.3631905887252564</v>
      </c>
      <c r="Q230">
        <f t="shared" si="14"/>
        <v>0.11344057952323887</v>
      </c>
      <c r="R230" s="67" t="e" cm="1">
        <f t="array" ref="R230">SUMPRODUCT((J230=$J$7:$J$1000)*(P230&lt;$P$7:$P$1000))+1</f>
        <v>#N/A</v>
      </c>
      <c r="S230" s="72"/>
    </row>
    <row r="231" spans="10:19" x14ac:dyDescent="0.35">
      <c r="J231">
        <v>12</v>
      </c>
      <c r="K231" t="s">
        <v>34</v>
      </c>
      <c r="L231" t="s">
        <v>546</v>
      </c>
      <c r="M231">
        <v>8.1999999999999993</v>
      </c>
      <c r="N231" t="s">
        <v>3</v>
      </c>
      <c r="O231" t="s">
        <v>4</v>
      </c>
      <c r="P231">
        <f t="shared" si="12"/>
        <v>7.1094546203823761</v>
      </c>
      <c r="Q231">
        <f t="shared" si="14"/>
        <v>1.189289225005346</v>
      </c>
      <c r="R231" s="67" t="e" cm="1">
        <f t="array" ref="R231">SUMPRODUCT((J231=$J$7:$J$1000)*(P231&lt;$P$7:$P$1000))+1</f>
        <v>#N/A</v>
      </c>
      <c r="S231" s="72"/>
    </row>
    <row r="232" spans="10:19" x14ac:dyDescent="0.35">
      <c r="J232" s="66">
        <v>12</v>
      </c>
      <c r="K232" t="s">
        <v>4</v>
      </c>
      <c r="L232" t="s">
        <v>0</v>
      </c>
      <c r="M232">
        <v>7.6</v>
      </c>
      <c r="N232" t="s">
        <v>9</v>
      </c>
      <c r="O232" t="s">
        <v>34</v>
      </c>
      <c r="P232" t="e">
        <f t="shared" si="12"/>
        <v>#N/A</v>
      </c>
      <c r="Q232" t="str">
        <f t="shared" si="14"/>
        <v/>
      </c>
      <c r="R232" s="67" t="e" cm="1">
        <f t="array" ref="R232">SUMPRODUCT((J232=$J$7:$J$1000)*(P232&lt;$P$7:$P$1000))+1</f>
        <v>#N/A</v>
      </c>
      <c r="S232" s="72"/>
    </row>
    <row r="233" spans="10:19" x14ac:dyDescent="0.35">
      <c r="J233" s="66">
        <v>12</v>
      </c>
      <c r="K233" t="s">
        <v>13</v>
      </c>
      <c r="L233" t="s">
        <v>649</v>
      </c>
      <c r="M233">
        <v>7.2</v>
      </c>
      <c r="N233" t="s">
        <v>3</v>
      </c>
      <c r="O233" t="s">
        <v>7</v>
      </c>
      <c r="P233">
        <f t="shared" si="12"/>
        <v>6.4202220159320511</v>
      </c>
      <c r="Q233">
        <f t="shared" si="14"/>
        <v>0.60805370443707463</v>
      </c>
      <c r="R233" s="67" t="e" cm="1">
        <f t="array" ref="R233">SUMPRODUCT((J233=$J$7:$J$1000)*(P233&lt;$P$7:$P$1000))+1</f>
        <v>#N/A</v>
      </c>
      <c r="S233" s="72"/>
    </row>
    <row r="234" spans="10:19" x14ac:dyDescent="0.35">
      <c r="J234" s="66">
        <v>12</v>
      </c>
      <c r="K234" t="s">
        <v>7</v>
      </c>
      <c r="L234" t="s">
        <v>26</v>
      </c>
      <c r="M234">
        <v>6.8</v>
      </c>
      <c r="N234" t="s">
        <v>3</v>
      </c>
      <c r="O234" t="s">
        <v>13</v>
      </c>
      <c r="P234">
        <f t="shared" si="12"/>
        <v>7.4145384440957089</v>
      </c>
      <c r="Q234">
        <f t="shared" si="14"/>
        <v>0.37765749927157499</v>
      </c>
      <c r="R234" s="67" t="e" cm="1">
        <f t="array" ref="R234">SUMPRODUCT((J234=$J$7:$J$1000)*(P234&lt;$P$7:$P$1000))+1</f>
        <v>#N/A</v>
      </c>
      <c r="S234" s="72"/>
    </row>
    <row r="235" spans="10:19" x14ac:dyDescent="0.35">
      <c r="J235" s="66">
        <v>12</v>
      </c>
      <c r="K235" t="s">
        <v>4</v>
      </c>
      <c r="L235" t="s">
        <v>475</v>
      </c>
      <c r="M235">
        <v>6.6</v>
      </c>
      <c r="N235" t="s">
        <v>9</v>
      </c>
      <c r="O235" t="s">
        <v>34</v>
      </c>
      <c r="P235">
        <f t="shared" si="12"/>
        <v>5.1542746428233963</v>
      </c>
      <c r="Q235">
        <f t="shared" si="14"/>
        <v>2.0901218083834174</v>
      </c>
      <c r="R235" s="67" t="e" cm="1">
        <f t="array" ref="R235">SUMPRODUCT((J235=$J$7:$J$1000)*(P235&lt;$P$7:$P$1000))+1</f>
        <v>#N/A</v>
      </c>
      <c r="S235" s="72"/>
    </row>
    <row r="236" spans="10:19" x14ac:dyDescent="0.35">
      <c r="J236" s="66">
        <v>12</v>
      </c>
      <c r="K236" t="s">
        <v>7</v>
      </c>
      <c r="L236" t="s">
        <v>570</v>
      </c>
      <c r="M236">
        <v>6.6</v>
      </c>
      <c r="N236" t="s">
        <v>3</v>
      </c>
      <c r="O236" t="s">
        <v>13</v>
      </c>
      <c r="P236" t="e">
        <f t="shared" si="12"/>
        <v>#N/A</v>
      </c>
      <c r="Q236" t="str">
        <f t="shared" si="14"/>
        <v/>
      </c>
      <c r="R236" s="67" t="e" cm="1">
        <f t="array" ref="R236">SUMPRODUCT((J236=$J$7:$J$1000)*(P236&lt;$P$7:$P$1000))+1</f>
        <v>#N/A</v>
      </c>
      <c r="S236" s="72"/>
    </row>
    <row r="237" spans="10:19" x14ac:dyDescent="0.35">
      <c r="J237" s="66">
        <v>12</v>
      </c>
      <c r="K237" t="s">
        <v>24</v>
      </c>
      <c r="L237" t="s">
        <v>35</v>
      </c>
      <c r="M237">
        <v>6.4</v>
      </c>
      <c r="N237" t="s">
        <v>9</v>
      </c>
      <c r="O237" t="s">
        <v>2</v>
      </c>
      <c r="P237">
        <f t="shared" si="12"/>
        <v>5.487361274946867</v>
      </c>
      <c r="Q237">
        <f t="shared" si="14"/>
        <v>0.83290944246660881</v>
      </c>
      <c r="R237" s="67" t="e" cm="1">
        <f t="array" ref="R237">SUMPRODUCT((J237=$J$7:$J$1000)*(P237&lt;$P$7:$P$1000))+1</f>
        <v>#N/A</v>
      </c>
      <c r="S237" s="72"/>
    </row>
    <row r="238" spans="10:19" x14ac:dyDescent="0.35">
      <c r="J238" s="66">
        <v>12</v>
      </c>
      <c r="K238" t="s">
        <v>23</v>
      </c>
      <c r="L238" t="s">
        <v>25</v>
      </c>
      <c r="M238">
        <v>5.8</v>
      </c>
      <c r="N238" t="s">
        <v>3</v>
      </c>
      <c r="O238" t="s">
        <v>36</v>
      </c>
      <c r="P238">
        <f t="shared" si="12"/>
        <v>3.1768100492394109</v>
      </c>
      <c r="Q238">
        <f t="shared" si="14"/>
        <v>6.8811255177713413</v>
      </c>
      <c r="R238" s="67" t="e" cm="1">
        <f t="array" ref="R238">SUMPRODUCT((J238=$J$7:$J$1000)*(P238&lt;$P$7:$P$1000))+1</f>
        <v>#N/A</v>
      </c>
      <c r="S238" s="72"/>
    </row>
    <row r="239" spans="10:19" x14ac:dyDescent="0.35">
      <c r="J239" s="66">
        <v>12</v>
      </c>
      <c r="K239" t="s">
        <v>34</v>
      </c>
      <c r="L239" t="s">
        <v>51</v>
      </c>
      <c r="M239">
        <v>5.5</v>
      </c>
      <c r="N239" t="s">
        <v>3</v>
      </c>
      <c r="O239" t="s">
        <v>4</v>
      </c>
      <c r="P239">
        <f t="shared" si="12"/>
        <v>3.4236073868762631</v>
      </c>
      <c r="Q239">
        <f t="shared" si="14"/>
        <v>4.3114062838348204</v>
      </c>
      <c r="R239" s="67" t="e" cm="1">
        <f t="array" ref="R239">SUMPRODUCT((J239=$J$7:$J$1000)*(P239&lt;$P$7:$P$1000))+1</f>
        <v>#N/A</v>
      </c>
      <c r="S239" s="72"/>
    </row>
    <row r="240" spans="10:19" x14ac:dyDescent="0.35">
      <c r="J240" s="66">
        <v>12</v>
      </c>
      <c r="K240" t="s">
        <v>36</v>
      </c>
      <c r="L240" t="s">
        <v>490</v>
      </c>
      <c r="M240">
        <v>5.0999999999999996</v>
      </c>
      <c r="N240" t="s">
        <v>9</v>
      </c>
      <c r="O240" t="s">
        <v>23</v>
      </c>
      <c r="P240">
        <f t="shared" si="12"/>
        <v>8.5988768624665184</v>
      </c>
      <c r="Q240">
        <f t="shared" si="14"/>
        <v>12.242139298703551</v>
      </c>
      <c r="R240" s="67" t="e" cm="1">
        <f t="array" ref="R240">SUMPRODUCT((J240=$J$7:$J$1000)*(P240&lt;$P$7:$P$1000))+1</f>
        <v>#N/A</v>
      </c>
      <c r="S240" s="72"/>
    </row>
    <row r="241" spans="10:19" x14ac:dyDescent="0.35">
      <c r="J241" s="66">
        <v>12</v>
      </c>
      <c r="K241" t="s">
        <v>13</v>
      </c>
      <c r="L241" t="s">
        <v>649</v>
      </c>
      <c r="M241">
        <v>5</v>
      </c>
      <c r="N241" t="s">
        <v>9</v>
      </c>
      <c r="O241" t="s">
        <v>7</v>
      </c>
      <c r="P241">
        <f t="shared" si="12"/>
        <v>6.6985968798397764</v>
      </c>
      <c r="Q241">
        <f t="shared" si="14"/>
        <v>2.8852313602014235</v>
      </c>
      <c r="R241" s="67" t="e" cm="1">
        <f t="array" ref="R241">SUMPRODUCT((J241=$J$7:$J$1000)*(P241&lt;$P$7:$P$1000))+1</f>
        <v>#N/A</v>
      </c>
      <c r="S241" s="72"/>
    </row>
    <row r="242" spans="10:19" x14ac:dyDescent="0.35">
      <c r="J242" s="66">
        <v>12</v>
      </c>
      <c r="K242" t="s">
        <v>17</v>
      </c>
      <c r="L242" t="s">
        <v>16</v>
      </c>
      <c r="M242">
        <v>4.7</v>
      </c>
      <c r="N242" t="s">
        <v>3</v>
      </c>
      <c r="O242" t="s">
        <v>6</v>
      </c>
      <c r="P242">
        <f t="shared" si="12"/>
        <v>8.6613747986330338</v>
      </c>
      <c r="Q242">
        <f t="shared" si="14"/>
        <v>15.692490295244909</v>
      </c>
      <c r="R242" s="67" t="e" cm="1">
        <f t="array" ref="R242">SUMPRODUCT((J242=$J$7:$J$1000)*(P242&lt;$P$7:$P$1000))+1</f>
        <v>#N/A</v>
      </c>
      <c r="S242" s="72"/>
    </row>
    <row r="243" spans="10:19" x14ac:dyDescent="0.35">
      <c r="J243" s="66">
        <v>12</v>
      </c>
      <c r="K243" t="s">
        <v>2</v>
      </c>
      <c r="L243" t="s">
        <v>449</v>
      </c>
      <c r="M243">
        <v>4.5999999999999996</v>
      </c>
      <c r="N243" t="s">
        <v>3</v>
      </c>
      <c r="O243" t="s">
        <v>24</v>
      </c>
      <c r="P243">
        <f t="shared" si="12"/>
        <v>7.5624442087561246</v>
      </c>
      <c r="Q243">
        <f t="shared" si="14"/>
        <v>8.7760756899927035</v>
      </c>
      <c r="R243" s="67" t="e" cm="1">
        <f t="array" ref="R243">SUMPRODUCT((J243=$J$7:$J$1000)*(P243&lt;$P$7:$P$1000))+1</f>
        <v>#N/A</v>
      </c>
      <c r="S243" s="72"/>
    </row>
    <row r="244" spans="10:19" x14ac:dyDescent="0.35">
      <c r="J244" s="66">
        <v>12</v>
      </c>
      <c r="K244" t="s">
        <v>6</v>
      </c>
      <c r="L244" t="s">
        <v>451</v>
      </c>
      <c r="M244">
        <v>4.5</v>
      </c>
      <c r="N244" t="s">
        <v>9</v>
      </c>
      <c r="O244" t="s">
        <v>17</v>
      </c>
      <c r="P244">
        <f t="shared" si="12"/>
        <v>9.2333495735323847</v>
      </c>
      <c r="Q244">
        <f t="shared" si="14"/>
        <v>22.404598185259207</v>
      </c>
      <c r="R244" s="67" t="e" cm="1">
        <f t="array" ref="R244">SUMPRODUCT((J244=$J$7:$J$1000)*(P244&lt;$P$7:$P$1000))+1</f>
        <v>#N/A</v>
      </c>
      <c r="S244" s="72"/>
    </row>
    <row r="245" spans="10:19" x14ac:dyDescent="0.35">
      <c r="J245" s="66">
        <v>12</v>
      </c>
      <c r="K245" t="s">
        <v>24</v>
      </c>
      <c r="L245" t="s">
        <v>402</v>
      </c>
      <c r="M245">
        <v>4</v>
      </c>
      <c r="N245" t="s">
        <v>9</v>
      </c>
      <c r="O245" t="s">
        <v>2</v>
      </c>
      <c r="P245">
        <f t="shared" si="12"/>
        <v>5.06319002307466</v>
      </c>
      <c r="Q245">
        <f t="shared" si="14"/>
        <v>1.1303730251654962</v>
      </c>
      <c r="R245" s="67" t="e" cm="1">
        <f t="array" ref="R245">SUMPRODUCT((J245=$J$7:$J$1000)*(P245&lt;$P$7:$P$1000))+1</f>
        <v>#N/A</v>
      </c>
      <c r="S245" s="72"/>
    </row>
    <row r="246" spans="10:19" x14ac:dyDescent="0.35">
      <c r="J246">
        <v>12</v>
      </c>
      <c r="K246" t="s">
        <v>2</v>
      </c>
      <c r="L246" t="s">
        <v>44</v>
      </c>
      <c r="M246">
        <v>2.8</v>
      </c>
      <c r="N246" t="s">
        <v>3</v>
      </c>
      <c r="O246" t="s">
        <v>24</v>
      </c>
      <c r="P246">
        <f t="shared" si="12"/>
        <v>5.7341985132029754</v>
      </c>
      <c r="Q246">
        <f t="shared" si="14"/>
        <v>8.6095209148825518</v>
      </c>
      <c r="R246" s="67" t="e" cm="1">
        <f t="array" ref="R246">SUMPRODUCT((J246=$J$7:$J$1000)*(P246&lt;$P$7:$P$1000))+1</f>
        <v>#N/A</v>
      </c>
      <c r="S246" s="72"/>
    </row>
    <row r="247" spans="10:19" x14ac:dyDescent="0.35">
      <c r="J247" s="66">
        <v>12</v>
      </c>
      <c r="K247" t="s">
        <v>13</v>
      </c>
      <c r="L247" t="s">
        <v>693</v>
      </c>
      <c r="M247">
        <v>0.7</v>
      </c>
      <c r="N247" t="s">
        <v>9</v>
      </c>
      <c r="O247" t="s">
        <v>7</v>
      </c>
      <c r="P247">
        <f t="shared" si="12"/>
        <v>0.70674300242648669</v>
      </c>
      <c r="Q247">
        <f t="shared" si="14"/>
        <v>4.5468081723605963E-5</v>
      </c>
      <c r="R247" s="67" t="e" cm="1">
        <f t="array" ref="R247">SUMPRODUCT((J247=$J$7:$J$1000)*(P247&lt;$P$7:$P$1000))+1</f>
        <v>#N/A</v>
      </c>
      <c r="S247" s="72"/>
    </row>
    <row r="248" spans="10:19" x14ac:dyDescent="0.35">
      <c r="J248" s="66">
        <v>12</v>
      </c>
      <c r="K248" t="s">
        <v>34</v>
      </c>
      <c r="L248" t="s">
        <v>39</v>
      </c>
      <c r="M248">
        <v>-4.3</v>
      </c>
      <c r="N248" t="s">
        <v>9</v>
      </c>
      <c r="O248" t="s">
        <v>4</v>
      </c>
      <c r="P248">
        <f t="shared" si="12"/>
        <v>3.5530119733280996</v>
      </c>
      <c r="Q248">
        <f t="shared" si="14"/>
        <v>61.66979705323449</v>
      </c>
      <c r="R248" s="67" t="e" cm="1">
        <f t="array" ref="R248">SUMPRODUCT((J248=$J$7:$J$1000)*(P248&lt;$P$7:$P$1000))+1</f>
        <v>#N/A</v>
      </c>
      <c r="S248" s="72"/>
    </row>
    <row r="249" spans="10:19" x14ac:dyDescent="0.35">
      <c r="J249" s="66">
        <v>13</v>
      </c>
      <c r="K249" t="s">
        <v>14</v>
      </c>
      <c r="L249" t="s">
        <v>534</v>
      </c>
      <c r="M249" t="s">
        <v>256</v>
      </c>
      <c r="N249" t="s">
        <v>9</v>
      </c>
      <c r="O249" t="s">
        <v>6</v>
      </c>
      <c r="P249">
        <f t="shared" si="12"/>
        <v>10.758497025077288</v>
      </c>
      <c r="Q249" t="str">
        <f t="shared" si="14"/>
        <v/>
      </c>
      <c r="R249" s="67" t="e" cm="1">
        <f t="array" ref="R249">SUMPRODUCT((J249=$J$7:$J$1000)*(P249&lt;$P$7:$P$1000))+1</f>
        <v>#N/A</v>
      </c>
      <c r="S249" s="72"/>
    </row>
    <row r="250" spans="10:19" x14ac:dyDescent="0.35">
      <c r="J250" s="66">
        <v>13</v>
      </c>
      <c r="K250" t="s">
        <v>14</v>
      </c>
      <c r="L250" t="s">
        <v>448</v>
      </c>
      <c r="M250" t="s">
        <v>256</v>
      </c>
      <c r="N250" t="s">
        <v>9</v>
      </c>
      <c r="O250" t="s">
        <v>6</v>
      </c>
      <c r="P250">
        <f t="shared" si="12"/>
        <v>11.019630156571601</v>
      </c>
      <c r="Q250" t="str">
        <f t="shared" si="14"/>
        <v/>
      </c>
      <c r="R250" s="67" t="e" cm="1">
        <f t="array" ref="R250">SUMPRODUCT((J250=$J$7:$J$1000)*(P250&lt;$P$7:$P$1000))+1</f>
        <v>#N/A</v>
      </c>
      <c r="S250" s="72"/>
    </row>
    <row r="251" spans="10:19" x14ac:dyDescent="0.35">
      <c r="J251" s="66">
        <v>13</v>
      </c>
      <c r="K251" t="s">
        <v>14</v>
      </c>
      <c r="L251" t="s">
        <v>11</v>
      </c>
      <c r="M251" t="s">
        <v>256</v>
      </c>
      <c r="N251" t="s">
        <v>9</v>
      </c>
      <c r="O251" t="s">
        <v>6</v>
      </c>
      <c r="P251">
        <f t="shared" si="12"/>
        <v>11.524755311994348</v>
      </c>
      <c r="Q251" t="str">
        <f t="shared" si="14"/>
        <v/>
      </c>
      <c r="R251" s="67" t="e" cm="1">
        <f t="array" ref="R251">SUMPRODUCT((J251=$J$7:$J$1000)*(P251&lt;$P$7:$P$1000))+1</f>
        <v>#N/A</v>
      </c>
      <c r="S251" s="72"/>
    </row>
    <row r="252" spans="10:19" x14ac:dyDescent="0.35">
      <c r="J252" s="66">
        <v>13</v>
      </c>
      <c r="K252" t="s">
        <v>14</v>
      </c>
      <c r="L252" t="s">
        <v>517</v>
      </c>
      <c r="M252" t="s">
        <v>256</v>
      </c>
      <c r="N252" t="s">
        <v>9</v>
      </c>
      <c r="O252" t="s">
        <v>6</v>
      </c>
      <c r="P252">
        <f t="shared" si="12"/>
        <v>9.2392971733411322</v>
      </c>
      <c r="Q252" t="str">
        <f t="shared" si="14"/>
        <v/>
      </c>
      <c r="R252" s="67" t="e" cm="1">
        <f t="array" ref="R252">SUMPRODUCT((J252=$J$7:$J$1000)*(P252&lt;$P$7:$P$1000))+1</f>
        <v>#N/A</v>
      </c>
      <c r="S252" s="72"/>
    </row>
    <row r="253" spans="10:19" x14ac:dyDescent="0.35">
      <c r="J253" s="66">
        <v>13</v>
      </c>
      <c r="K253" t="s">
        <v>2</v>
      </c>
      <c r="L253" t="s">
        <v>44</v>
      </c>
      <c r="M253" t="s">
        <v>256</v>
      </c>
      <c r="N253" t="s">
        <v>9</v>
      </c>
      <c r="O253" t="s">
        <v>23</v>
      </c>
      <c r="P253">
        <f t="shared" si="12"/>
        <v>6.758847181576793</v>
      </c>
      <c r="Q253" t="str">
        <f t="shared" si="14"/>
        <v/>
      </c>
      <c r="R253" s="67" t="e" cm="1">
        <f t="array" ref="R253">SUMPRODUCT((J253=$J$7:$J$1000)*(P253&lt;$P$7:$P$1000))+1</f>
        <v>#N/A</v>
      </c>
      <c r="S253" s="72"/>
    </row>
    <row r="254" spans="10:19" x14ac:dyDescent="0.35">
      <c r="J254" s="66">
        <v>13</v>
      </c>
      <c r="K254" t="s">
        <v>2</v>
      </c>
      <c r="L254" t="s">
        <v>596</v>
      </c>
      <c r="M254" t="s">
        <v>256</v>
      </c>
      <c r="N254" t="s">
        <v>9</v>
      </c>
      <c r="O254" t="s">
        <v>23</v>
      </c>
      <c r="P254">
        <f t="shared" si="12"/>
        <v>8.6746945669129545</v>
      </c>
      <c r="Q254" t="str">
        <f t="shared" si="14"/>
        <v/>
      </c>
      <c r="R254" s="67" t="e" cm="1">
        <f t="array" ref="R254">SUMPRODUCT((J254=$J$7:$J$1000)*(P254&lt;$P$7:$P$1000))+1</f>
        <v>#N/A</v>
      </c>
      <c r="S254" s="72"/>
    </row>
    <row r="255" spans="10:19" x14ac:dyDescent="0.35">
      <c r="J255" s="66">
        <v>13</v>
      </c>
      <c r="K255" t="s">
        <v>2</v>
      </c>
      <c r="L255" t="s">
        <v>449</v>
      </c>
      <c r="M255" t="s">
        <v>256</v>
      </c>
      <c r="N255" t="s">
        <v>9</v>
      </c>
      <c r="O255" t="s">
        <v>23</v>
      </c>
      <c r="P255">
        <f t="shared" si="12"/>
        <v>8.5870928771299422</v>
      </c>
      <c r="Q255" t="str">
        <f t="shared" si="14"/>
        <v/>
      </c>
      <c r="R255" s="67" t="e" cm="1">
        <f t="array" ref="R255">SUMPRODUCT((J255=$J$7:$J$1000)*(P255&lt;$P$7:$P$1000))+1</f>
        <v>#N/A</v>
      </c>
      <c r="S255" s="72"/>
    </row>
    <row r="256" spans="10:19" x14ac:dyDescent="0.35">
      <c r="J256">
        <v>13</v>
      </c>
      <c r="K256" t="s">
        <v>36</v>
      </c>
      <c r="L256" t="s">
        <v>38</v>
      </c>
      <c r="M256" t="s">
        <v>256</v>
      </c>
      <c r="N256" t="s">
        <v>9</v>
      </c>
      <c r="O256" t="s">
        <v>34</v>
      </c>
      <c r="P256">
        <f t="shared" si="12"/>
        <v>9.5431586647129691</v>
      </c>
      <c r="Q256" t="str">
        <f t="shared" si="14"/>
        <v/>
      </c>
      <c r="R256" s="67" t="e" cm="1">
        <f t="array" ref="R256">SUMPRODUCT((J256=$J$7:$J$1000)*(P256&lt;$P$7:$P$1000))+1</f>
        <v>#N/A</v>
      </c>
      <c r="S256" s="72"/>
    </row>
    <row r="257" spans="10:19" x14ac:dyDescent="0.35">
      <c r="J257">
        <v>13</v>
      </c>
      <c r="K257" t="s">
        <v>36</v>
      </c>
      <c r="L257" t="s">
        <v>50</v>
      </c>
      <c r="M257" t="s">
        <v>256</v>
      </c>
      <c r="N257" t="s">
        <v>9</v>
      </c>
      <c r="O257" t="s">
        <v>34</v>
      </c>
      <c r="P257">
        <f t="shared" si="12"/>
        <v>3.1835281306861805</v>
      </c>
      <c r="Q257" t="str">
        <f t="shared" si="14"/>
        <v/>
      </c>
      <c r="R257" s="67" t="e" cm="1">
        <f t="array" ref="R257">SUMPRODUCT((J257=$J$7:$J$1000)*(P257&lt;$P$7:$P$1000))+1</f>
        <v>#N/A</v>
      </c>
      <c r="S257" s="72"/>
    </row>
    <row r="258" spans="10:19" x14ac:dyDescent="0.35">
      <c r="J258" s="66">
        <v>13</v>
      </c>
      <c r="K258" t="s">
        <v>36</v>
      </c>
      <c r="L258" t="s">
        <v>48</v>
      </c>
      <c r="M258" t="s">
        <v>256</v>
      </c>
      <c r="N258" t="s">
        <v>9</v>
      </c>
      <c r="O258" t="s">
        <v>34</v>
      </c>
      <c r="P258">
        <f t="shared" si="12"/>
        <v>2.1195943480567614</v>
      </c>
      <c r="Q258" t="str">
        <f t="shared" si="14"/>
        <v/>
      </c>
      <c r="R258" s="67" t="e" cm="1">
        <f t="array" ref="R258">SUMPRODUCT((J258=$J$7:$J$1000)*(P258&lt;$P$7:$P$1000))+1</f>
        <v>#N/A</v>
      </c>
      <c r="S258" s="72"/>
    </row>
    <row r="259" spans="10:19" x14ac:dyDescent="0.35">
      <c r="J259" s="66">
        <v>13</v>
      </c>
      <c r="K259" t="s">
        <v>36</v>
      </c>
      <c r="L259" t="s">
        <v>490</v>
      </c>
      <c r="M259" t="s">
        <v>256</v>
      </c>
      <c r="N259" t="s">
        <v>9</v>
      </c>
      <c r="O259" t="s">
        <v>34</v>
      </c>
      <c r="P259">
        <f t="shared" si="12"/>
        <v>8.4285807697009592</v>
      </c>
      <c r="Q259" t="str">
        <f t="shared" si="14"/>
        <v/>
      </c>
      <c r="R259" s="67" t="e" cm="1">
        <f t="array" ref="R259">SUMPRODUCT((J259=$J$7:$J$1000)*(P259&lt;$P$7:$P$1000))+1</f>
        <v>#N/A</v>
      </c>
      <c r="S259" s="72"/>
    </row>
    <row r="260" spans="10:19" x14ac:dyDescent="0.35">
      <c r="J260" s="66">
        <v>13</v>
      </c>
      <c r="K260" t="s">
        <v>6</v>
      </c>
      <c r="L260" t="s">
        <v>8</v>
      </c>
      <c r="M260" t="s">
        <v>256</v>
      </c>
      <c r="N260" t="s">
        <v>3</v>
      </c>
      <c r="O260" t="s">
        <v>14</v>
      </c>
      <c r="P260">
        <f t="shared" si="12"/>
        <v>13.757729265362075</v>
      </c>
      <c r="Q260" t="str">
        <f t="shared" si="14"/>
        <v/>
      </c>
      <c r="R260" s="67" t="e" cm="1">
        <f t="array" ref="R260">SUMPRODUCT((J260=$J$7:$J$1000)*(P260&lt;$P$7:$P$1000))+1</f>
        <v>#N/A</v>
      </c>
      <c r="S260" s="72"/>
    </row>
    <row r="261" spans="10:19" x14ac:dyDescent="0.35">
      <c r="J261" s="66">
        <v>13</v>
      </c>
      <c r="K261" t="s">
        <v>6</v>
      </c>
      <c r="L261" t="s">
        <v>445</v>
      </c>
      <c r="M261" t="s">
        <v>256</v>
      </c>
      <c r="N261" t="s">
        <v>3</v>
      </c>
      <c r="O261" t="s">
        <v>14</v>
      </c>
      <c r="P261">
        <f t="shared" si="12"/>
        <v>13.615912595267002</v>
      </c>
      <c r="Q261" t="str">
        <f t="shared" si="14"/>
        <v/>
      </c>
      <c r="R261" s="67" t="e" cm="1">
        <f t="array" ref="R261">SUMPRODUCT((J261=$J$7:$J$1000)*(P261&lt;$P$7:$P$1000))+1</f>
        <v>#N/A</v>
      </c>
      <c r="S261" s="72"/>
    </row>
    <row r="262" spans="10:19" x14ac:dyDescent="0.35">
      <c r="J262" s="66">
        <v>13</v>
      </c>
      <c r="K262" t="s">
        <v>6</v>
      </c>
      <c r="L262" t="s">
        <v>451</v>
      </c>
      <c r="M262" t="s">
        <v>256</v>
      </c>
      <c r="N262" t="s">
        <v>3</v>
      </c>
      <c r="O262" t="s">
        <v>14</v>
      </c>
      <c r="P262">
        <f t="shared" si="12"/>
        <v>11.552876658486781</v>
      </c>
      <c r="Q262" t="str">
        <f t="shared" si="14"/>
        <v/>
      </c>
      <c r="R262" s="67" t="e" cm="1">
        <f t="array" ref="R262">SUMPRODUCT((J262=$J$7:$J$1000)*(P262&lt;$P$7:$P$1000))+1</f>
        <v>#N/A</v>
      </c>
      <c r="S262" s="72"/>
    </row>
    <row r="263" spans="10:19" x14ac:dyDescent="0.35">
      <c r="J263" s="66">
        <v>13</v>
      </c>
      <c r="K263" t="s">
        <v>24</v>
      </c>
      <c r="L263" t="s">
        <v>35</v>
      </c>
      <c r="M263" t="s">
        <v>256</v>
      </c>
      <c r="N263" t="s">
        <v>9</v>
      </c>
      <c r="O263" t="s">
        <v>4</v>
      </c>
      <c r="P263">
        <f t="shared" si="12"/>
        <v>5.5388442687443229</v>
      </c>
      <c r="Q263" t="str">
        <f t="shared" si="14"/>
        <v/>
      </c>
      <c r="R263" s="67" t="e" cm="1">
        <f t="array" ref="R263">SUMPRODUCT((J263=$J$7:$J$1000)*(P263&lt;$P$7:$P$1000))+1</f>
        <v>#N/A</v>
      </c>
      <c r="S263" s="72"/>
    </row>
    <row r="264" spans="10:19" x14ac:dyDescent="0.35">
      <c r="J264" s="66">
        <v>13</v>
      </c>
      <c r="K264" t="s">
        <v>24</v>
      </c>
      <c r="L264" t="s">
        <v>402</v>
      </c>
      <c r="M264" t="s">
        <v>256</v>
      </c>
      <c r="N264" t="s">
        <v>9</v>
      </c>
      <c r="O264" t="s">
        <v>4</v>
      </c>
      <c r="P264">
        <f t="shared" ref="P264:P327" si="15">VLOOKUP($N264,$F$3:$G$4,2,FALSE)+VLOOKUP($L264,$B$20:$C$150,2,FALSE)+VLOOKUP($O264,$A$6:$B$16,2,FALSE)</f>
        <v>5.114673016872116</v>
      </c>
      <c r="Q264" t="str">
        <f t="shared" si="14"/>
        <v/>
      </c>
      <c r="R264" s="67" t="e" cm="1">
        <f t="array" ref="R264">SUMPRODUCT((J264=$J$7:$J$1000)*(P264&lt;$P$7:$P$1000))+1</f>
        <v>#N/A</v>
      </c>
      <c r="S264" s="72"/>
    </row>
    <row r="265" spans="10:19" x14ac:dyDescent="0.35">
      <c r="J265">
        <v>13</v>
      </c>
      <c r="K265" t="s">
        <v>24</v>
      </c>
      <c r="L265" t="s">
        <v>96</v>
      </c>
      <c r="M265" t="s">
        <v>256</v>
      </c>
      <c r="N265" t="s">
        <v>9</v>
      </c>
      <c r="O265" t="s">
        <v>4</v>
      </c>
      <c r="P265">
        <f t="shared" si="15"/>
        <v>3.0864315563573412</v>
      </c>
      <c r="Q265" t="str">
        <f t="shared" si="14"/>
        <v/>
      </c>
      <c r="R265" s="67" t="e" cm="1">
        <f t="array" ref="R265">SUMPRODUCT((J265=$J$7:$J$1000)*(P265&lt;$P$7:$P$1000))+1</f>
        <v>#N/A</v>
      </c>
      <c r="S265" s="72"/>
    </row>
    <row r="266" spans="10:19" x14ac:dyDescent="0.35">
      <c r="J266" s="66">
        <v>13</v>
      </c>
      <c r="K266" t="s">
        <v>24</v>
      </c>
      <c r="L266" t="s">
        <v>446</v>
      </c>
      <c r="M266" t="s">
        <v>256</v>
      </c>
      <c r="N266" t="s">
        <v>9</v>
      </c>
      <c r="O266" t="s">
        <v>4</v>
      </c>
      <c r="P266">
        <f t="shared" si="15"/>
        <v>8.2709689232981951</v>
      </c>
      <c r="Q266" t="str">
        <f t="shared" si="14"/>
        <v/>
      </c>
      <c r="R266" s="67" t="e" cm="1">
        <f t="array" ref="R266">SUMPRODUCT((J266=$J$7:$J$1000)*(P266&lt;$P$7:$P$1000))+1</f>
        <v>#N/A</v>
      </c>
      <c r="S266" s="72"/>
    </row>
    <row r="267" spans="10:19" x14ac:dyDescent="0.35">
      <c r="J267">
        <v>13</v>
      </c>
      <c r="K267" t="s">
        <v>24</v>
      </c>
      <c r="L267" t="s">
        <v>487</v>
      </c>
      <c r="M267" t="s">
        <v>256</v>
      </c>
      <c r="N267" t="s">
        <v>9</v>
      </c>
      <c r="O267" t="s">
        <v>4</v>
      </c>
      <c r="P267">
        <f t="shared" si="15"/>
        <v>3.259053606589756</v>
      </c>
      <c r="Q267" t="str">
        <f t="shared" si="14"/>
        <v/>
      </c>
      <c r="R267" s="67" t="e" cm="1">
        <f t="array" ref="R267">SUMPRODUCT((J267=$J$7:$J$1000)*(P267&lt;$P$7:$P$1000))+1</f>
        <v>#N/A</v>
      </c>
      <c r="S267" s="72"/>
    </row>
    <row r="268" spans="10:19" x14ac:dyDescent="0.35">
      <c r="J268" s="66">
        <v>13</v>
      </c>
      <c r="K268" t="s">
        <v>23</v>
      </c>
      <c r="L268" t="s">
        <v>25</v>
      </c>
      <c r="M268" t="s">
        <v>256</v>
      </c>
      <c r="N268" t="s">
        <v>3</v>
      </c>
      <c r="O268" t="s">
        <v>2</v>
      </c>
      <c r="P268">
        <f t="shared" si="15"/>
        <v>2.7186679515658811</v>
      </c>
      <c r="Q268" t="str">
        <f t="shared" si="14"/>
        <v/>
      </c>
      <c r="R268" s="67" t="e" cm="1">
        <f t="array" ref="R268">SUMPRODUCT((J268=$J$7:$J$1000)*(P268&lt;$P$7:$P$1000))+1</f>
        <v>#N/A</v>
      </c>
      <c r="S268" s="72"/>
    </row>
    <row r="269" spans="10:19" x14ac:dyDescent="0.35">
      <c r="J269">
        <v>13</v>
      </c>
      <c r="K269" t="s">
        <v>23</v>
      </c>
      <c r="L269" t="s">
        <v>518</v>
      </c>
      <c r="M269" t="s">
        <v>256</v>
      </c>
      <c r="N269" t="s">
        <v>3</v>
      </c>
      <c r="O269" t="s">
        <v>2</v>
      </c>
      <c r="P269">
        <f t="shared" si="15"/>
        <v>0.56485214887593926</v>
      </c>
      <c r="Q269" t="str">
        <f t="shared" si="14"/>
        <v/>
      </c>
      <c r="R269" s="67" t="e" cm="1">
        <f t="array" ref="R269">SUMPRODUCT((J269=$J$7:$J$1000)*(P269&lt;$P$7:$P$1000))+1</f>
        <v>#N/A</v>
      </c>
      <c r="S269" s="72"/>
    </row>
    <row r="270" spans="10:19" x14ac:dyDescent="0.35">
      <c r="J270" s="66">
        <v>13</v>
      </c>
      <c r="K270" t="s">
        <v>23</v>
      </c>
      <c r="L270" t="s">
        <v>498</v>
      </c>
      <c r="M270" t="s">
        <v>256</v>
      </c>
      <c r="N270" t="s">
        <v>3</v>
      </c>
      <c r="O270" t="s">
        <v>2</v>
      </c>
      <c r="P270">
        <f t="shared" si="15"/>
        <v>7.2214573607869115</v>
      </c>
      <c r="Q270" t="str">
        <f t="shared" si="14"/>
        <v/>
      </c>
      <c r="R270" s="67" t="e" cm="1">
        <f t="array" ref="R270">SUMPRODUCT((J270=$J$7:$J$1000)*(P270&lt;$P$7:$P$1000))+1</f>
        <v>#N/A</v>
      </c>
      <c r="S270" s="72"/>
    </row>
    <row r="271" spans="10:19" x14ac:dyDescent="0.35">
      <c r="J271" s="66">
        <v>13</v>
      </c>
      <c r="K271" t="s">
        <v>23</v>
      </c>
      <c r="L271" t="s">
        <v>32</v>
      </c>
      <c r="M271" t="s">
        <v>256</v>
      </c>
      <c r="N271" t="s">
        <v>3</v>
      </c>
      <c r="O271" t="s">
        <v>2</v>
      </c>
      <c r="P271">
        <f t="shared" si="15"/>
        <v>7.9050484910517271</v>
      </c>
      <c r="Q271" t="str">
        <f t="shared" si="14"/>
        <v/>
      </c>
      <c r="R271" s="67" t="e" cm="1">
        <f t="array" ref="R271">SUMPRODUCT((J271=$J$7:$J$1000)*(P271&lt;$P$7:$P$1000))+1</f>
        <v>#N/A</v>
      </c>
      <c r="S271" s="72"/>
    </row>
    <row r="272" spans="10:19" x14ac:dyDescent="0.35">
      <c r="J272" s="66">
        <v>13</v>
      </c>
      <c r="K272" t="s">
        <v>23</v>
      </c>
      <c r="L272" t="s">
        <v>46</v>
      </c>
      <c r="M272" t="s">
        <v>256</v>
      </c>
      <c r="N272" t="s">
        <v>3</v>
      </c>
      <c r="O272" t="s">
        <v>2</v>
      </c>
      <c r="P272">
        <f t="shared" si="15"/>
        <v>7.1639765995958848</v>
      </c>
      <c r="Q272" t="str">
        <f t="shared" si="14"/>
        <v/>
      </c>
      <c r="R272" s="67" t="e" cm="1">
        <f t="array" ref="R272">SUMPRODUCT((J272=$J$7:$J$1000)*(P272&lt;$P$7:$P$1000))+1</f>
        <v>#N/A</v>
      </c>
      <c r="S272" s="72"/>
    </row>
    <row r="273" spans="10:19" x14ac:dyDescent="0.35">
      <c r="J273" s="66">
        <v>13</v>
      </c>
      <c r="K273" t="s">
        <v>4</v>
      </c>
      <c r="L273" t="s">
        <v>452</v>
      </c>
      <c r="M273" t="s">
        <v>256</v>
      </c>
      <c r="N273" t="s">
        <v>3</v>
      </c>
      <c r="O273" t="s">
        <v>24</v>
      </c>
      <c r="P273">
        <f t="shared" si="15"/>
        <v>6.4970869111277665</v>
      </c>
      <c r="Q273" t="str">
        <f t="shared" si="14"/>
        <v/>
      </c>
      <c r="R273" s="67" t="e" cm="1">
        <f t="array" ref="R273">SUMPRODUCT((J273=$J$7:$J$1000)*(P273&lt;$P$7:$P$1000))+1</f>
        <v>#N/A</v>
      </c>
      <c r="S273" s="72"/>
    </row>
    <row r="274" spans="10:19" x14ac:dyDescent="0.35">
      <c r="J274">
        <v>13</v>
      </c>
      <c r="K274" t="s">
        <v>4</v>
      </c>
      <c r="L274" t="s">
        <v>1</v>
      </c>
      <c r="M274" t="s">
        <v>256</v>
      </c>
      <c r="N274" t="s">
        <v>3</v>
      </c>
      <c r="O274" t="s">
        <v>24</v>
      </c>
      <c r="P274">
        <f t="shared" si="15"/>
        <v>7.8153567937807331</v>
      </c>
      <c r="Q274" t="str">
        <f t="shared" si="14"/>
        <v/>
      </c>
      <c r="R274" s="67" t="e" cm="1">
        <f t="array" ref="R274">SUMPRODUCT((J274=$J$7:$J$1000)*(P274&lt;$P$7:$P$1000))+1</f>
        <v>#N/A</v>
      </c>
      <c r="S274" s="72"/>
    </row>
    <row r="275" spans="10:19" x14ac:dyDescent="0.35">
      <c r="J275" s="66">
        <v>13</v>
      </c>
      <c r="K275" t="s">
        <v>4</v>
      </c>
      <c r="L275" t="s">
        <v>475</v>
      </c>
      <c r="M275" t="s">
        <v>256</v>
      </c>
      <c r="N275" t="s">
        <v>3</v>
      </c>
      <c r="O275" t="s">
        <v>24</v>
      </c>
      <c r="P275">
        <f t="shared" si="15"/>
        <v>4.2999220672151388</v>
      </c>
      <c r="Q275" t="str">
        <f t="shared" si="14"/>
        <v/>
      </c>
      <c r="R275" s="67" t="e" cm="1">
        <f t="array" ref="R275">SUMPRODUCT((J275=$J$7:$J$1000)*(P275&lt;$P$7:$P$1000))+1</f>
        <v>#N/A</v>
      </c>
      <c r="S275" s="72"/>
    </row>
    <row r="276" spans="10:19" x14ac:dyDescent="0.35">
      <c r="J276" s="66">
        <v>13</v>
      </c>
      <c r="K276" t="s">
        <v>4</v>
      </c>
      <c r="L276" t="s">
        <v>0</v>
      </c>
      <c r="M276" t="s">
        <v>256</v>
      </c>
      <c r="N276" t="s">
        <v>3</v>
      </c>
      <c r="O276" t="s">
        <v>24</v>
      </c>
      <c r="P276" t="e">
        <f t="shared" si="15"/>
        <v>#N/A</v>
      </c>
      <c r="Q276" t="str">
        <f t="shared" si="14"/>
        <v/>
      </c>
      <c r="R276" s="67" t="e" cm="1">
        <f t="array" ref="R276">SUMPRODUCT((J276=$J$7:$J$1000)*(P276&lt;$P$7:$P$1000))+1</f>
        <v>#N/A</v>
      </c>
      <c r="S276" s="72"/>
    </row>
    <row r="277" spans="10:19" x14ac:dyDescent="0.35">
      <c r="J277" s="66">
        <v>13</v>
      </c>
      <c r="K277" t="s">
        <v>34</v>
      </c>
      <c r="L277" t="s">
        <v>546</v>
      </c>
      <c r="M277" t="s">
        <v>256</v>
      </c>
      <c r="N277" t="s">
        <v>3</v>
      </c>
      <c r="O277" t="s">
        <v>36</v>
      </c>
      <c r="P277">
        <f t="shared" si="15"/>
        <v>7.5161137242584504</v>
      </c>
      <c r="Q277" t="str">
        <f t="shared" si="14"/>
        <v/>
      </c>
      <c r="R277" s="67" t="e" cm="1">
        <f t="array" ref="R277">SUMPRODUCT((J277=$J$7:$J$1000)*(P277&lt;$P$7:$P$1000))+1</f>
        <v>#N/A</v>
      </c>
      <c r="S277" s="72"/>
    </row>
    <row r="278" spans="10:19" x14ac:dyDescent="0.35">
      <c r="J278">
        <v>13</v>
      </c>
      <c r="K278" t="s">
        <v>34</v>
      </c>
      <c r="L278" t="s">
        <v>41</v>
      </c>
      <c r="M278" t="s">
        <v>256</v>
      </c>
      <c r="N278" t="s">
        <v>3</v>
      </c>
      <c r="O278" t="s">
        <v>36</v>
      </c>
      <c r="P278">
        <f t="shared" si="15"/>
        <v>5.9220782010735036</v>
      </c>
      <c r="Q278" t="str">
        <f t="shared" si="14"/>
        <v/>
      </c>
      <c r="R278" s="67" t="e" cm="1">
        <f t="array" ref="R278">SUMPRODUCT((J278=$J$7:$J$1000)*(P278&lt;$P$7:$P$1000))+1</f>
        <v>#N/A</v>
      </c>
      <c r="S278" s="72"/>
    </row>
    <row r="279" spans="10:19" x14ac:dyDescent="0.35">
      <c r="J279" s="66">
        <v>13</v>
      </c>
      <c r="K279" t="s">
        <v>34</v>
      </c>
      <c r="L279" t="s">
        <v>51</v>
      </c>
      <c r="M279" t="s">
        <v>256</v>
      </c>
      <c r="N279" t="s">
        <v>3</v>
      </c>
      <c r="O279" t="s">
        <v>36</v>
      </c>
      <c r="P279">
        <f t="shared" si="15"/>
        <v>3.8302664907523369</v>
      </c>
      <c r="Q279" t="str">
        <f t="shared" si="14"/>
        <v/>
      </c>
      <c r="R279" s="67" t="e" cm="1">
        <f t="array" ref="R279">SUMPRODUCT((J279=$J$7:$J$1000)*(P279&lt;$P$7:$P$1000))+1</f>
        <v>#N/A</v>
      </c>
      <c r="S279" s="72"/>
    </row>
    <row r="280" spans="10:19" x14ac:dyDescent="0.35">
      <c r="J280">
        <v>13</v>
      </c>
      <c r="K280" t="s">
        <v>34</v>
      </c>
      <c r="L280" t="s">
        <v>52</v>
      </c>
      <c r="M280" t="s">
        <v>256</v>
      </c>
      <c r="N280" t="s">
        <v>3</v>
      </c>
      <c r="O280" t="s">
        <v>36</v>
      </c>
      <c r="P280">
        <f t="shared" si="15"/>
        <v>6.0340688753142677</v>
      </c>
      <c r="Q280" t="str">
        <f t="shared" si="14"/>
        <v/>
      </c>
      <c r="R280" s="67" t="e" cm="1">
        <f t="array" ref="R280">SUMPRODUCT((J280=$J$7:$J$1000)*(P280&lt;$P$7:$P$1000))+1</f>
        <v>#N/A</v>
      </c>
      <c r="S280" s="72"/>
    </row>
    <row r="281" spans="10:19" x14ac:dyDescent="0.35">
      <c r="J281" s="66">
        <v>13</v>
      </c>
      <c r="K281" t="s">
        <v>34</v>
      </c>
      <c r="L281" t="s">
        <v>39</v>
      </c>
      <c r="M281" t="s">
        <v>256</v>
      </c>
      <c r="N281" t="s">
        <v>3</v>
      </c>
      <c r="O281" t="s">
        <v>36</v>
      </c>
      <c r="P281">
        <f t="shared" si="15"/>
        <v>3.6812962132964482</v>
      </c>
      <c r="Q281" t="str">
        <f t="shared" si="14"/>
        <v/>
      </c>
      <c r="R281" s="67" t="e" cm="1">
        <f t="array" ref="R281">SUMPRODUCT((J281=$J$7:$J$1000)*(P281&lt;$P$7:$P$1000))+1</f>
        <v>#N/A</v>
      </c>
      <c r="S281" s="72"/>
    </row>
    <row r="282" spans="10:19" x14ac:dyDescent="0.35">
      <c r="J282" s="66">
        <v>13</v>
      </c>
      <c r="K282" t="s">
        <v>34</v>
      </c>
      <c r="L282" t="s">
        <v>100</v>
      </c>
      <c r="M282" t="s">
        <v>256</v>
      </c>
      <c r="N282" t="s">
        <v>3</v>
      </c>
      <c r="O282" t="s">
        <v>36</v>
      </c>
      <c r="P282">
        <f t="shared" si="15"/>
        <v>10.656222705398218</v>
      </c>
      <c r="Q282" t="str">
        <f t="shared" si="14"/>
        <v/>
      </c>
      <c r="R282" s="67" t="e" cm="1">
        <f t="array" ref="R282">SUMPRODUCT((J282=$J$7:$J$1000)*(P282&lt;$P$7:$P$1000))+1</f>
        <v>#N/A</v>
      </c>
      <c r="S282" s="72"/>
    </row>
    <row r="283" spans="10:19" x14ac:dyDescent="0.35">
      <c r="J283">
        <v>13</v>
      </c>
      <c r="K283" t="s">
        <v>17</v>
      </c>
      <c r="L283" t="s">
        <v>16</v>
      </c>
      <c r="M283" t="s">
        <v>256</v>
      </c>
      <c r="N283" t="s">
        <v>9</v>
      </c>
      <c r="O283" t="s">
        <v>13</v>
      </c>
      <c r="P283">
        <f t="shared" si="15"/>
        <v>2.8769597894798205</v>
      </c>
      <c r="Q283" t="str">
        <f t="shared" si="14"/>
        <v/>
      </c>
      <c r="R283" s="67" t="e" cm="1">
        <f t="array" ref="R283">SUMPRODUCT((J283=$J$7:$J$1000)*(P283&lt;$P$7:$P$1000))+1</f>
        <v>#N/A</v>
      </c>
      <c r="S283" s="72"/>
    </row>
    <row r="284" spans="10:19" x14ac:dyDescent="0.35">
      <c r="J284" s="66">
        <v>13</v>
      </c>
      <c r="K284" t="s">
        <v>17</v>
      </c>
      <c r="L284" t="s">
        <v>37</v>
      </c>
      <c r="M284" t="s">
        <v>256</v>
      </c>
      <c r="N284" t="s">
        <v>9</v>
      </c>
      <c r="O284" t="s">
        <v>13</v>
      </c>
      <c r="P284">
        <f t="shared" si="15"/>
        <v>8.7278364421797576</v>
      </c>
      <c r="Q284" t="str">
        <f t="shared" si="14"/>
        <v/>
      </c>
      <c r="R284" s="67" t="e" cm="1">
        <f t="array" ref="R284">SUMPRODUCT((J284=$J$7:$J$1000)*(P284&lt;$P$7:$P$1000))+1</f>
        <v>#N/A</v>
      </c>
      <c r="S284" s="72"/>
    </row>
    <row r="285" spans="10:19" x14ac:dyDescent="0.35">
      <c r="J285" s="66">
        <v>13</v>
      </c>
      <c r="K285" t="s">
        <v>17</v>
      </c>
      <c r="L285" t="s">
        <v>492</v>
      </c>
      <c r="M285" t="s">
        <v>256</v>
      </c>
      <c r="N285" t="s">
        <v>9</v>
      </c>
      <c r="O285" t="s">
        <v>13</v>
      </c>
      <c r="P285">
        <f t="shared" si="15"/>
        <v>5.7840589973259631</v>
      </c>
      <c r="Q285" t="str">
        <f t="shared" si="14"/>
        <v/>
      </c>
      <c r="R285" s="67" t="e" cm="1">
        <f t="array" ref="R285">SUMPRODUCT((J285=$J$7:$J$1000)*(P285&lt;$P$7:$P$1000))+1</f>
        <v>#N/A</v>
      </c>
      <c r="S285" s="72"/>
    </row>
    <row r="286" spans="10:19" x14ac:dyDescent="0.35">
      <c r="J286" s="66">
        <v>13</v>
      </c>
      <c r="K286" t="s">
        <v>17</v>
      </c>
      <c r="L286" t="s">
        <v>450</v>
      </c>
      <c r="M286" t="s">
        <v>256</v>
      </c>
      <c r="N286" t="s">
        <v>9</v>
      </c>
      <c r="O286" t="s">
        <v>13</v>
      </c>
      <c r="P286">
        <f t="shared" si="15"/>
        <v>2.1025398201732974</v>
      </c>
      <c r="Q286" t="str">
        <f t="shared" si="14"/>
        <v/>
      </c>
      <c r="R286" s="67" t="e" cm="1">
        <f t="array" ref="R286">SUMPRODUCT((J286=$J$7:$J$1000)*(P286&lt;$P$7:$P$1000))+1</f>
        <v>#N/A</v>
      </c>
      <c r="S286" s="72"/>
    </row>
    <row r="287" spans="10:19" x14ac:dyDescent="0.35">
      <c r="J287">
        <v>13</v>
      </c>
      <c r="K287" t="s">
        <v>17</v>
      </c>
      <c r="L287" t="s">
        <v>196</v>
      </c>
      <c r="M287" t="s">
        <v>256</v>
      </c>
      <c r="N287" t="s">
        <v>9</v>
      </c>
      <c r="O287" t="s">
        <v>13</v>
      </c>
      <c r="P287">
        <f t="shared" si="15"/>
        <v>3.6028024677089734</v>
      </c>
      <c r="Q287" t="str">
        <f t="shared" si="14"/>
        <v/>
      </c>
      <c r="R287" s="67" t="e" cm="1">
        <f t="array" ref="R287">SUMPRODUCT((J287=$J$7:$J$1000)*(P287&lt;$P$7:$P$1000))+1</f>
        <v>#N/A</v>
      </c>
      <c r="S287" s="72"/>
    </row>
    <row r="288" spans="10:19" x14ac:dyDescent="0.35">
      <c r="J288">
        <v>13</v>
      </c>
      <c r="K288" t="s">
        <v>13</v>
      </c>
      <c r="L288" t="s">
        <v>649</v>
      </c>
      <c r="M288" t="s">
        <v>256</v>
      </c>
      <c r="N288" t="s">
        <v>3</v>
      </c>
      <c r="O288" t="s">
        <v>17</v>
      </c>
      <c r="P288">
        <f t="shared" si="15"/>
        <v>3.9924695823938432</v>
      </c>
      <c r="Q288" t="str">
        <f t="shared" si="14"/>
        <v/>
      </c>
      <c r="R288" s="67" t="e" cm="1">
        <f t="array" ref="R288">SUMPRODUCT((J288=$J$7:$J$1000)*(P288&lt;$P$7:$P$1000))+1</f>
        <v>#N/A</v>
      </c>
      <c r="S288" s="72"/>
    </row>
    <row r="289" spans="10:19" x14ac:dyDescent="0.35">
      <c r="J289">
        <v>13</v>
      </c>
      <c r="K289" t="s">
        <v>13</v>
      </c>
      <c r="L289" t="s">
        <v>473</v>
      </c>
      <c r="M289" t="s">
        <v>256</v>
      </c>
      <c r="N289" t="s">
        <v>3</v>
      </c>
      <c r="O289" t="s">
        <v>17</v>
      </c>
      <c r="P289">
        <f t="shared" si="15"/>
        <v>11.537654217148891</v>
      </c>
      <c r="Q289" t="str">
        <f t="shared" ref="Q289:Q352" si="16">IFERROR(($M289-$P289)^2,"")</f>
        <v/>
      </c>
      <c r="R289" s="67" t="e" cm="1">
        <f t="array" ref="R289">SUMPRODUCT((J289=$J$7:$J$1000)*(P289&lt;$P$7:$P$1000))+1</f>
        <v>#N/A</v>
      </c>
      <c r="S289" s="72"/>
    </row>
    <row r="290" spans="10:19" x14ac:dyDescent="0.35">
      <c r="J290">
        <v>13</v>
      </c>
      <c r="K290" t="s">
        <v>13</v>
      </c>
      <c r="L290" t="s">
        <v>474</v>
      </c>
      <c r="M290" t="s">
        <v>256</v>
      </c>
      <c r="N290" t="s">
        <v>3</v>
      </c>
      <c r="O290" t="s">
        <v>17</v>
      </c>
      <c r="P290">
        <f t="shared" si="15"/>
        <v>5.1835171562325888</v>
      </c>
      <c r="Q290" t="str">
        <f t="shared" si="16"/>
        <v/>
      </c>
      <c r="R290" s="67" t="e" cm="1">
        <f t="array" ref="R290">SUMPRODUCT((J290=$J$7:$J$1000)*(P290&lt;$P$7:$P$1000))+1</f>
        <v>#N/A</v>
      </c>
      <c r="S290" s="72"/>
    </row>
    <row r="291" spans="10:19" x14ac:dyDescent="0.35">
      <c r="J291">
        <v>13</v>
      </c>
      <c r="K291" t="s">
        <v>13</v>
      </c>
      <c r="L291" t="s">
        <v>53</v>
      </c>
      <c r="M291" t="s">
        <v>256</v>
      </c>
      <c r="N291" t="s">
        <v>3</v>
      </c>
      <c r="O291" t="s">
        <v>17</v>
      </c>
      <c r="P291">
        <f t="shared" si="15"/>
        <v>9.2810685606942354</v>
      </c>
      <c r="Q291" t="str">
        <f t="shared" si="16"/>
        <v/>
      </c>
      <c r="R291" s="67" t="e" cm="1">
        <f t="array" ref="R291">SUMPRODUCT((J291=$J$7:$J$1000)*(P291&lt;$P$7:$P$1000))+1</f>
        <v>#N/A</v>
      </c>
      <c r="S291" s="72"/>
    </row>
    <row r="292" spans="10:19" x14ac:dyDescent="0.35">
      <c r="J292" s="66">
        <v>13</v>
      </c>
      <c r="K292" t="s">
        <v>13</v>
      </c>
      <c r="L292" t="s">
        <v>693</v>
      </c>
      <c r="M292" t="s">
        <v>256</v>
      </c>
      <c r="N292" t="s">
        <v>3</v>
      </c>
      <c r="O292" t="s">
        <v>17</v>
      </c>
      <c r="P292">
        <f t="shared" si="15"/>
        <v>-1.9993842950194463</v>
      </c>
      <c r="Q292" t="str">
        <f t="shared" si="16"/>
        <v/>
      </c>
      <c r="R292" s="67" t="e" cm="1">
        <f t="array" ref="R292">SUMPRODUCT((J292=$J$7:$J$1000)*(P292&lt;$P$7:$P$1000))+1</f>
        <v>#N/A</v>
      </c>
      <c r="S292" s="72"/>
    </row>
    <row r="293" spans="10:19" x14ac:dyDescent="0.35">
      <c r="J293">
        <v>14</v>
      </c>
      <c r="K293" t="s">
        <v>14</v>
      </c>
      <c r="L293" t="s">
        <v>534</v>
      </c>
      <c r="M293" t="s">
        <v>256</v>
      </c>
      <c r="N293" t="s">
        <v>3</v>
      </c>
      <c r="O293" t="s">
        <v>7</v>
      </c>
      <c r="P293">
        <f t="shared" si="15"/>
        <v>8.9267425593522471</v>
      </c>
      <c r="Q293" t="str">
        <f t="shared" si="16"/>
        <v/>
      </c>
      <c r="R293" s="67" t="e" cm="1">
        <f t="array" ref="R293">SUMPRODUCT((J293=$J$7:$J$1000)*(P293&lt;$P$7:$P$1000))+1</f>
        <v>#N/A</v>
      </c>
      <c r="S293" s="72"/>
    </row>
    <row r="294" spans="10:19" x14ac:dyDescent="0.35">
      <c r="J294" s="66">
        <v>14</v>
      </c>
      <c r="K294" t="s">
        <v>14</v>
      </c>
      <c r="L294" t="s">
        <v>448</v>
      </c>
      <c r="M294" t="s">
        <v>256</v>
      </c>
      <c r="N294" t="s">
        <v>3</v>
      </c>
      <c r="O294" t="s">
        <v>7</v>
      </c>
      <c r="P294">
        <f t="shared" si="15"/>
        <v>9.1878756908465604</v>
      </c>
      <c r="Q294" t="str">
        <f t="shared" si="16"/>
        <v/>
      </c>
      <c r="R294" s="67" t="e" cm="1">
        <f t="array" ref="R294">SUMPRODUCT((J294=$J$7:$J$1000)*(P294&lt;$P$7:$P$1000))+1</f>
        <v>#N/A</v>
      </c>
      <c r="S294" s="72"/>
    </row>
    <row r="295" spans="10:19" x14ac:dyDescent="0.35">
      <c r="J295">
        <v>14</v>
      </c>
      <c r="K295" t="s">
        <v>14</v>
      </c>
      <c r="L295" t="s">
        <v>11</v>
      </c>
      <c r="M295" t="s">
        <v>256</v>
      </c>
      <c r="N295" t="s">
        <v>3</v>
      </c>
      <c r="O295" t="s">
        <v>7</v>
      </c>
      <c r="P295">
        <f t="shared" si="15"/>
        <v>9.6930008462693067</v>
      </c>
      <c r="Q295" t="str">
        <f t="shared" si="16"/>
        <v/>
      </c>
      <c r="R295" s="67" t="e" cm="1">
        <f t="array" ref="R295">SUMPRODUCT((J295=$J$7:$J$1000)*(P295&lt;$P$7:$P$1000))+1</f>
        <v>#N/A</v>
      </c>
      <c r="S295" s="72"/>
    </row>
    <row r="296" spans="10:19" x14ac:dyDescent="0.35">
      <c r="J296">
        <v>14</v>
      </c>
      <c r="K296" t="s">
        <v>14</v>
      </c>
      <c r="L296" t="s">
        <v>517</v>
      </c>
      <c r="M296" t="s">
        <v>256</v>
      </c>
      <c r="N296" t="s">
        <v>3</v>
      </c>
      <c r="O296" t="s">
        <v>7</v>
      </c>
      <c r="P296">
        <f t="shared" si="15"/>
        <v>7.4075427076160905</v>
      </c>
      <c r="Q296" t="str">
        <f t="shared" si="16"/>
        <v/>
      </c>
      <c r="R296" s="67" t="e" cm="1">
        <f t="array" ref="R296">SUMPRODUCT((J296=$J$7:$J$1000)*(P296&lt;$P$7:$P$1000))+1</f>
        <v>#N/A</v>
      </c>
      <c r="S296" s="72"/>
    </row>
    <row r="297" spans="10:19" x14ac:dyDescent="0.35">
      <c r="J297">
        <v>14</v>
      </c>
      <c r="K297" t="s">
        <v>2</v>
      </c>
      <c r="L297" t="s">
        <v>44</v>
      </c>
      <c r="M297" t="s">
        <v>256</v>
      </c>
      <c r="N297" t="s">
        <v>3</v>
      </c>
      <c r="O297" t="s">
        <v>6</v>
      </c>
      <c r="P297">
        <f t="shared" si="15"/>
        <v>9.8791766814897581</v>
      </c>
      <c r="Q297" t="str">
        <f t="shared" si="16"/>
        <v/>
      </c>
      <c r="R297" s="67" t="e" cm="1">
        <f t="array" ref="R297">SUMPRODUCT((J297=$J$7:$J$1000)*(P297&lt;$P$7:$P$1000))+1</f>
        <v>#N/A</v>
      </c>
      <c r="S297" s="72"/>
    </row>
    <row r="298" spans="10:19" x14ac:dyDescent="0.35">
      <c r="J298" s="66">
        <v>14</v>
      </c>
      <c r="K298" t="s">
        <v>2</v>
      </c>
      <c r="L298" t="s">
        <v>596</v>
      </c>
      <c r="M298" t="s">
        <v>256</v>
      </c>
      <c r="N298" t="s">
        <v>3</v>
      </c>
      <c r="O298" t="s">
        <v>6</v>
      </c>
      <c r="P298">
        <f t="shared" si="15"/>
        <v>11.795024066825921</v>
      </c>
      <c r="Q298" t="str">
        <f t="shared" si="16"/>
        <v/>
      </c>
      <c r="R298" s="67" t="e" cm="1">
        <f t="array" ref="R298">SUMPRODUCT((J298=$J$7:$J$1000)*(P298&lt;$P$7:$P$1000))+1</f>
        <v>#N/A</v>
      </c>
      <c r="S298" s="72"/>
    </row>
    <row r="299" spans="10:19" x14ac:dyDescent="0.35">
      <c r="J299" s="66">
        <v>14</v>
      </c>
      <c r="K299" t="s">
        <v>2</v>
      </c>
      <c r="L299" t="s">
        <v>449</v>
      </c>
      <c r="M299" t="s">
        <v>256</v>
      </c>
      <c r="N299" t="s">
        <v>3</v>
      </c>
      <c r="O299" t="s">
        <v>6</v>
      </c>
      <c r="P299">
        <f t="shared" si="15"/>
        <v>11.707422377042906</v>
      </c>
      <c r="Q299" t="str">
        <f t="shared" si="16"/>
        <v/>
      </c>
      <c r="R299" s="67" t="e" cm="1">
        <f t="array" ref="R299">SUMPRODUCT((J299=$J$7:$J$1000)*(P299&lt;$P$7:$P$1000))+1</f>
        <v>#N/A</v>
      </c>
      <c r="S299" s="72"/>
    </row>
    <row r="300" spans="10:19" x14ac:dyDescent="0.35">
      <c r="J300" s="66">
        <v>14</v>
      </c>
      <c r="K300" t="s">
        <v>36</v>
      </c>
      <c r="L300" t="s">
        <v>38</v>
      </c>
      <c r="M300" t="s">
        <v>256</v>
      </c>
      <c r="N300" t="s">
        <v>3</v>
      </c>
      <c r="O300" t="s">
        <v>13</v>
      </c>
      <c r="P300">
        <f t="shared" si="15"/>
        <v>6.770994384330554</v>
      </c>
      <c r="Q300" t="str">
        <f t="shared" si="16"/>
        <v/>
      </c>
      <c r="R300" s="67" t="e" cm="1">
        <f t="array" ref="R300">SUMPRODUCT((J300=$J$7:$J$1000)*(P300&lt;$P$7:$P$1000))+1</f>
        <v>#N/A</v>
      </c>
      <c r="S300" s="72"/>
    </row>
    <row r="301" spans="10:19" x14ac:dyDescent="0.35">
      <c r="J301">
        <v>14</v>
      </c>
      <c r="K301" t="s">
        <v>36</v>
      </c>
      <c r="L301" t="s">
        <v>50</v>
      </c>
      <c r="M301" t="s">
        <v>256</v>
      </c>
      <c r="N301" t="s">
        <v>3</v>
      </c>
      <c r="O301" t="s">
        <v>13</v>
      </c>
      <c r="P301">
        <f t="shared" si="15"/>
        <v>0.41136385030376621</v>
      </c>
      <c r="Q301" t="str">
        <f t="shared" si="16"/>
        <v/>
      </c>
      <c r="R301" s="67" t="e" cm="1">
        <f t="array" ref="R301">SUMPRODUCT((J301=$J$7:$J$1000)*(P301&lt;$P$7:$P$1000))+1</f>
        <v>#N/A</v>
      </c>
      <c r="S301" s="72"/>
    </row>
    <row r="302" spans="10:19" x14ac:dyDescent="0.35">
      <c r="J302" s="66">
        <v>14</v>
      </c>
      <c r="K302" t="s">
        <v>36</v>
      </c>
      <c r="L302" t="s">
        <v>48</v>
      </c>
      <c r="M302" t="s">
        <v>256</v>
      </c>
      <c r="N302" t="s">
        <v>3</v>
      </c>
      <c r="O302" t="s">
        <v>13</v>
      </c>
      <c r="P302">
        <f t="shared" si="15"/>
        <v>-0.65256993232565286</v>
      </c>
      <c r="Q302" t="str">
        <f t="shared" si="16"/>
        <v/>
      </c>
      <c r="R302" s="67" t="e" cm="1">
        <f t="array" ref="R302">SUMPRODUCT((J302=$J$7:$J$1000)*(P302&lt;$P$7:$P$1000))+1</f>
        <v>#N/A</v>
      </c>
      <c r="S302" s="72"/>
    </row>
    <row r="303" spans="10:19" x14ac:dyDescent="0.35">
      <c r="J303" s="66">
        <v>14</v>
      </c>
      <c r="K303" t="s">
        <v>36</v>
      </c>
      <c r="L303" t="s">
        <v>490</v>
      </c>
      <c r="M303" t="s">
        <v>256</v>
      </c>
      <c r="N303" t="s">
        <v>3</v>
      </c>
      <c r="O303" t="s">
        <v>13</v>
      </c>
      <c r="P303">
        <f t="shared" si="15"/>
        <v>5.656416489318544</v>
      </c>
      <c r="Q303" t="str">
        <f t="shared" si="16"/>
        <v/>
      </c>
      <c r="R303" s="67" t="e" cm="1">
        <f t="array" ref="R303">SUMPRODUCT((J303=$J$7:$J$1000)*(P303&lt;$P$7:$P$1000))+1</f>
        <v>#N/A</v>
      </c>
      <c r="S303" s="72"/>
    </row>
    <row r="304" spans="10:19" x14ac:dyDescent="0.35">
      <c r="J304">
        <v>14</v>
      </c>
      <c r="K304" t="s">
        <v>6</v>
      </c>
      <c r="L304" t="s">
        <v>8</v>
      </c>
      <c r="M304" t="s">
        <v>256</v>
      </c>
      <c r="N304" t="s">
        <v>9</v>
      </c>
      <c r="O304" t="s">
        <v>2</v>
      </c>
      <c r="P304">
        <f t="shared" si="15"/>
        <v>11.341521334658141</v>
      </c>
      <c r="Q304" t="str">
        <f t="shared" si="16"/>
        <v/>
      </c>
      <c r="R304" s="67" t="e" cm="1">
        <f t="array" ref="R304">SUMPRODUCT((J304=$J$7:$J$1000)*(P304&lt;$P$7:$P$1000))+1</f>
        <v>#N/A</v>
      </c>
      <c r="S304" s="72"/>
    </row>
    <row r="305" spans="10:19" x14ac:dyDescent="0.35">
      <c r="J305">
        <v>14</v>
      </c>
      <c r="K305" t="s">
        <v>6</v>
      </c>
      <c r="L305" t="s">
        <v>445</v>
      </c>
      <c r="M305" t="s">
        <v>256</v>
      </c>
      <c r="N305" t="s">
        <v>9</v>
      </c>
      <c r="O305" t="s">
        <v>2</v>
      </c>
      <c r="P305">
        <f t="shared" si="15"/>
        <v>11.199704664563068</v>
      </c>
      <c r="Q305" t="str">
        <f t="shared" si="16"/>
        <v/>
      </c>
      <c r="R305" s="67" t="e" cm="1">
        <f t="array" ref="R305">SUMPRODUCT((J305=$J$7:$J$1000)*(P305&lt;$P$7:$P$1000))+1</f>
        <v>#N/A</v>
      </c>
      <c r="S305" s="72"/>
    </row>
    <row r="306" spans="10:19" x14ac:dyDescent="0.35">
      <c r="J306" s="66">
        <v>14</v>
      </c>
      <c r="K306" t="s">
        <v>6</v>
      </c>
      <c r="L306" t="s">
        <v>451</v>
      </c>
      <c r="M306" t="s">
        <v>256</v>
      </c>
      <c r="N306" t="s">
        <v>9</v>
      </c>
      <c r="O306" t="s">
        <v>2</v>
      </c>
      <c r="P306">
        <f t="shared" si="15"/>
        <v>9.1366687277828476</v>
      </c>
      <c r="Q306" t="str">
        <f t="shared" si="16"/>
        <v/>
      </c>
      <c r="R306" s="67" t="e" cm="1">
        <f t="array" ref="R306">SUMPRODUCT((J306=$J$7:$J$1000)*(P306&lt;$P$7:$P$1000))+1</f>
        <v>#N/A</v>
      </c>
      <c r="S306" s="72"/>
    </row>
    <row r="307" spans="10:19" x14ac:dyDescent="0.35">
      <c r="J307">
        <v>14</v>
      </c>
      <c r="K307" t="s">
        <v>24</v>
      </c>
      <c r="L307" t="s">
        <v>35</v>
      </c>
      <c r="M307" t="s">
        <v>256</v>
      </c>
      <c r="N307" t="s">
        <v>3</v>
      </c>
      <c r="O307" t="s">
        <v>23</v>
      </c>
      <c r="P307">
        <f t="shared" si="15"/>
        <v>5.888094928323512</v>
      </c>
      <c r="Q307" t="str">
        <f t="shared" si="16"/>
        <v/>
      </c>
      <c r="R307" s="67" t="e" cm="1">
        <f t="array" ref="R307">SUMPRODUCT((J307=$J$7:$J$1000)*(P307&lt;$P$7:$P$1000))+1</f>
        <v>#N/A</v>
      </c>
      <c r="S307" s="72"/>
    </row>
    <row r="308" spans="10:19" x14ac:dyDescent="0.35">
      <c r="J308">
        <v>14</v>
      </c>
      <c r="K308" t="s">
        <v>24</v>
      </c>
      <c r="L308" t="s">
        <v>402</v>
      </c>
      <c r="M308" t="s">
        <v>256</v>
      </c>
      <c r="N308" t="s">
        <v>3</v>
      </c>
      <c r="O308" t="s">
        <v>23</v>
      </c>
      <c r="P308">
        <f t="shared" si="15"/>
        <v>5.4639236764513051</v>
      </c>
      <c r="Q308" t="str">
        <f t="shared" si="16"/>
        <v/>
      </c>
      <c r="R308" s="67" t="e" cm="1">
        <f t="array" ref="R308">SUMPRODUCT((J308=$J$7:$J$1000)*(P308&lt;$P$7:$P$1000))+1</f>
        <v>#N/A</v>
      </c>
      <c r="S308" s="72"/>
    </row>
    <row r="309" spans="10:19" x14ac:dyDescent="0.35">
      <c r="J309">
        <v>14</v>
      </c>
      <c r="K309" t="s">
        <v>24</v>
      </c>
      <c r="L309" t="s">
        <v>96</v>
      </c>
      <c r="M309" t="s">
        <v>256</v>
      </c>
      <c r="N309" t="s">
        <v>3</v>
      </c>
      <c r="O309" t="s">
        <v>23</v>
      </c>
      <c r="P309">
        <f t="shared" si="15"/>
        <v>3.4356822159365303</v>
      </c>
      <c r="Q309" t="str">
        <f t="shared" si="16"/>
        <v/>
      </c>
      <c r="R309" s="67" t="e" cm="1">
        <f t="array" ref="R309">SUMPRODUCT((J309=$J$7:$J$1000)*(P309&lt;$P$7:$P$1000))+1</f>
        <v>#N/A</v>
      </c>
      <c r="S309" s="72"/>
    </row>
    <row r="310" spans="10:19" x14ac:dyDescent="0.35">
      <c r="J310" s="66">
        <v>14</v>
      </c>
      <c r="K310" t="s">
        <v>24</v>
      </c>
      <c r="L310" t="s">
        <v>446</v>
      </c>
      <c r="M310" t="s">
        <v>256</v>
      </c>
      <c r="N310" t="s">
        <v>3</v>
      </c>
      <c r="O310" t="s">
        <v>23</v>
      </c>
      <c r="P310">
        <f t="shared" si="15"/>
        <v>8.6202195828773842</v>
      </c>
      <c r="Q310" t="str">
        <f t="shared" si="16"/>
        <v/>
      </c>
      <c r="R310" s="67" t="e" cm="1">
        <f t="array" ref="R310">SUMPRODUCT((J310=$J$7:$J$1000)*(P310&lt;$P$7:$P$1000))+1</f>
        <v>#N/A</v>
      </c>
      <c r="S310" s="72"/>
    </row>
    <row r="311" spans="10:19" x14ac:dyDescent="0.35">
      <c r="J311" s="66">
        <v>14</v>
      </c>
      <c r="K311" t="s">
        <v>24</v>
      </c>
      <c r="L311" t="s">
        <v>487</v>
      </c>
      <c r="M311" t="s">
        <v>256</v>
      </c>
      <c r="N311" t="s">
        <v>3</v>
      </c>
      <c r="O311" t="s">
        <v>23</v>
      </c>
      <c r="P311">
        <f t="shared" si="15"/>
        <v>3.6083042661689451</v>
      </c>
      <c r="Q311" t="str">
        <f t="shared" si="16"/>
        <v/>
      </c>
      <c r="R311" s="67" t="e" cm="1">
        <f t="array" ref="R311">SUMPRODUCT((J311=$J$7:$J$1000)*(P311&lt;$P$7:$P$1000))+1</f>
        <v>#N/A</v>
      </c>
      <c r="S311" s="72"/>
    </row>
    <row r="312" spans="10:19" x14ac:dyDescent="0.35">
      <c r="J312">
        <v>14</v>
      </c>
      <c r="K312" t="s">
        <v>23</v>
      </c>
      <c r="L312" t="s">
        <v>25</v>
      </c>
      <c r="M312" t="s">
        <v>256</v>
      </c>
      <c r="N312" t="s">
        <v>9</v>
      </c>
      <c r="O312" t="s">
        <v>24</v>
      </c>
      <c r="P312">
        <f t="shared" si="15"/>
        <v>2.9298775282918839</v>
      </c>
      <c r="Q312" t="str">
        <f t="shared" si="16"/>
        <v/>
      </c>
      <c r="R312" s="67" t="e" cm="1">
        <f t="array" ref="R312">SUMPRODUCT((J312=$J$7:$J$1000)*(P312&lt;$P$7:$P$1000))+1</f>
        <v>#N/A</v>
      </c>
      <c r="S312" s="72"/>
    </row>
    <row r="313" spans="10:19" x14ac:dyDescent="0.35">
      <c r="J313">
        <v>14</v>
      </c>
      <c r="K313" t="s">
        <v>23</v>
      </c>
      <c r="L313" t="s">
        <v>518</v>
      </c>
      <c r="M313" t="s">
        <v>256</v>
      </c>
      <c r="N313" t="s">
        <v>9</v>
      </c>
      <c r="O313" t="s">
        <v>24</v>
      </c>
      <c r="P313">
        <f t="shared" si="15"/>
        <v>0.77606172560194187</v>
      </c>
      <c r="Q313" t="str">
        <f t="shared" si="16"/>
        <v/>
      </c>
      <c r="R313" s="67" t="e" cm="1">
        <f t="array" ref="R313">SUMPRODUCT((J313=$J$7:$J$1000)*(P313&lt;$P$7:$P$1000))+1</f>
        <v>#N/A</v>
      </c>
      <c r="S313" s="72"/>
    </row>
    <row r="314" spans="10:19" x14ac:dyDescent="0.35">
      <c r="J314" s="66">
        <v>14</v>
      </c>
      <c r="K314" t="s">
        <v>23</v>
      </c>
      <c r="L314" t="s">
        <v>498</v>
      </c>
      <c r="M314" t="s">
        <v>256</v>
      </c>
      <c r="N314" t="s">
        <v>9</v>
      </c>
      <c r="O314" t="s">
        <v>24</v>
      </c>
      <c r="P314">
        <f t="shared" si="15"/>
        <v>7.4326669375129146</v>
      </c>
      <c r="Q314" t="str">
        <f t="shared" si="16"/>
        <v/>
      </c>
      <c r="R314" s="67" t="e" cm="1">
        <f t="array" ref="R314">SUMPRODUCT((J314=$J$7:$J$1000)*(P314&lt;$P$7:$P$1000))+1</f>
        <v>#N/A</v>
      </c>
      <c r="S314" s="72"/>
    </row>
    <row r="315" spans="10:19" x14ac:dyDescent="0.35">
      <c r="J315">
        <v>14</v>
      </c>
      <c r="K315" t="s">
        <v>23</v>
      </c>
      <c r="L315" t="s">
        <v>32</v>
      </c>
      <c r="M315" t="s">
        <v>256</v>
      </c>
      <c r="N315" t="s">
        <v>9</v>
      </c>
      <c r="O315" t="s">
        <v>24</v>
      </c>
      <c r="P315">
        <f t="shared" si="15"/>
        <v>8.1162580677777303</v>
      </c>
      <c r="Q315" t="str">
        <f t="shared" si="16"/>
        <v/>
      </c>
      <c r="R315" s="67" t="e" cm="1">
        <f t="array" ref="R315">SUMPRODUCT((J315=$J$7:$J$1000)*(P315&lt;$P$7:$P$1000))+1</f>
        <v>#N/A</v>
      </c>
      <c r="S315" s="72"/>
    </row>
    <row r="316" spans="10:19" x14ac:dyDescent="0.35">
      <c r="J316">
        <v>14</v>
      </c>
      <c r="K316" t="s">
        <v>23</v>
      </c>
      <c r="L316" t="s">
        <v>46</v>
      </c>
      <c r="M316" t="s">
        <v>256</v>
      </c>
      <c r="N316" t="s">
        <v>9</v>
      </c>
      <c r="O316" t="s">
        <v>24</v>
      </c>
      <c r="P316">
        <f t="shared" si="15"/>
        <v>7.375186176321888</v>
      </c>
      <c r="Q316" t="str">
        <f t="shared" si="16"/>
        <v/>
      </c>
      <c r="R316" s="67" t="e" cm="1">
        <f t="array" ref="R316">SUMPRODUCT((J316=$J$7:$J$1000)*(P316&lt;$P$7:$P$1000))+1</f>
        <v>#N/A</v>
      </c>
      <c r="S316" s="72"/>
    </row>
    <row r="317" spans="10:19" x14ac:dyDescent="0.35">
      <c r="J317">
        <v>14</v>
      </c>
      <c r="K317" t="s">
        <v>7</v>
      </c>
      <c r="L317" t="s">
        <v>19</v>
      </c>
      <c r="M317" t="s">
        <v>256</v>
      </c>
      <c r="N317" t="s">
        <v>9</v>
      </c>
      <c r="O317" t="s">
        <v>14</v>
      </c>
      <c r="P317">
        <f t="shared" si="15"/>
        <v>7.0020100795799127</v>
      </c>
      <c r="Q317" t="str">
        <f t="shared" si="16"/>
        <v/>
      </c>
      <c r="R317" s="67" t="e" cm="1">
        <f t="array" ref="R317">SUMPRODUCT((J317=$J$7:$J$1000)*(P317&lt;$P$7:$P$1000))+1</f>
        <v>#N/A</v>
      </c>
      <c r="S317" s="72"/>
    </row>
    <row r="318" spans="10:19" x14ac:dyDescent="0.35">
      <c r="J318" s="66">
        <v>14</v>
      </c>
      <c r="K318" t="s">
        <v>7</v>
      </c>
      <c r="L318" t="s">
        <v>570</v>
      </c>
      <c r="M318" t="s">
        <v>256</v>
      </c>
      <c r="N318" t="s">
        <v>9</v>
      </c>
      <c r="O318" t="s">
        <v>14</v>
      </c>
      <c r="P318" t="e">
        <f t="shared" si="15"/>
        <v>#N/A</v>
      </c>
      <c r="Q318" t="str">
        <f t="shared" si="16"/>
        <v/>
      </c>
      <c r="R318" s="67" t="e" cm="1">
        <f t="array" ref="R318">SUMPRODUCT((J318=$J$7:$J$1000)*(P318&lt;$P$7:$P$1000))+1</f>
        <v>#N/A</v>
      </c>
      <c r="S318" s="72"/>
    </row>
    <row r="319" spans="10:19" x14ac:dyDescent="0.35">
      <c r="J319" s="66">
        <v>14</v>
      </c>
      <c r="K319" t="s">
        <v>7</v>
      </c>
      <c r="L319" t="s">
        <v>26</v>
      </c>
      <c r="M319" t="s">
        <v>256</v>
      </c>
      <c r="N319" t="s">
        <v>9</v>
      </c>
      <c r="O319" t="s">
        <v>14</v>
      </c>
      <c r="P319">
        <f t="shared" si="15"/>
        <v>12.372473094570971</v>
      </c>
      <c r="Q319" t="str">
        <f t="shared" si="16"/>
        <v/>
      </c>
      <c r="R319" s="67" t="e" cm="1">
        <f t="array" ref="R319">SUMPRODUCT((J319=$J$7:$J$1000)*(P319&lt;$P$7:$P$1000))+1</f>
        <v>#N/A</v>
      </c>
      <c r="S319" s="72"/>
    </row>
    <row r="320" spans="10:19" x14ac:dyDescent="0.35">
      <c r="J320">
        <v>14</v>
      </c>
      <c r="K320" t="s">
        <v>7</v>
      </c>
      <c r="L320" t="s">
        <v>447</v>
      </c>
      <c r="M320" t="s">
        <v>256</v>
      </c>
      <c r="N320" t="s">
        <v>9</v>
      </c>
      <c r="O320" t="s">
        <v>14</v>
      </c>
      <c r="P320">
        <f t="shared" si="15"/>
        <v>8.4806222509320754</v>
      </c>
      <c r="Q320" t="str">
        <f t="shared" si="16"/>
        <v/>
      </c>
      <c r="R320" s="67" t="e" cm="1">
        <f t="array" ref="R320">SUMPRODUCT((J320=$J$7:$J$1000)*(P320&lt;$P$7:$P$1000))+1</f>
        <v>#N/A</v>
      </c>
      <c r="S320" s="72"/>
    </row>
    <row r="321" spans="10:19" x14ac:dyDescent="0.35">
      <c r="J321">
        <v>14</v>
      </c>
      <c r="K321" t="s">
        <v>7</v>
      </c>
      <c r="L321" t="s">
        <v>45</v>
      </c>
      <c r="M321" t="s">
        <v>256</v>
      </c>
      <c r="N321" t="s">
        <v>9</v>
      </c>
      <c r="O321" t="s">
        <v>14</v>
      </c>
      <c r="P321">
        <f t="shared" si="15"/>
        <v>9.941017524661719</v>
      </c>
      <c r="Q321" t="str">
        <f t="shared" si="16"/>
        <v/>
      </c>
      <c r="R321" s="67" t="e" cm="1">
        <f t="array" ref="R321">SUMPRODUCT((J321=$J$7:$J$1000)*(P321&lt;$P$7:$P$1000))+1</f>
        <v>#N/A</v>
      </c>
      <c r="S321" s="72"/>
    </row>
    <row r="322" spans="10:19" x14ac:dyDescent="0.35">
      <c r="J322">
        <v>14</v>
      </c>
      <c r="K322" t="s">
        <v>34</v>
      </c>
      <c r="L322" t="s">
        <v>546</v>
      </c>
      <c r="M322" t="s">
        <v>256</v>
      </c>
      <c r="N322" t="s">
        <v>9</v>
      </c>
      <c r="O322" t="s">
        <v>17</v>
      </c>
      <c r="P322">
        <f t="shared" si="15"/>
        <v>7.4330273362421826</v>
      </c>
      <c r="Q322" t="str">
        <f t="shared" si="16"/>
        <v/>
      </c>
      <c r="R322" s="67" t="e" cm="1">
        <f t="array" ref="R322">SUMPRODUCT((J322=$J$7:$J$1000)*(P322&lt;$P$7:$P$1000))+1</f>
        <v>#N/A</v>
      </c>
      <c r="S322" s="72"/>
    </row>
    <row r="323" spans="10:19" x14ac:dyDescent="0.35">
      <c r="J323" s="66">
        <v>14</v>
      </c>
      <c r="K323" t="s">
        <v>34</v>
      </c>
      <c r="L323" t="s">
        <v>41</v>
      </c>
      <c r="M323" t="s">
        <v>256</v>
      </c>
      <c r="N323" t="s">
        <v>9</v>
      </c>
      <c r="O323" t="s">
        <v>17</v>
      </c>
      <c r="P323">
        <f t="shared" si="15"/>
        <v>5.8389918130572358</v>
      </c>
      <c r="Q323" t="str">
        <f t="shared" si="16"/>
        <v/>
      </c>
      <c r="R323" s="67" t="e" cm="1">
        <f t="array" ref="R323">SUMPRODUCT((J323=$J$7:$J$1000)*(P323&lt;$P$7:$P$1000))+1</f>
        <v>#N/A</v>
      </c>
      <c r="S323" s="72"/>
    </row>
    <row r="324" spans="10:19" x14ac:dyDescent="0.35">
      <c r="J324">
        <v>14</v>
      </c>
      <c r="K324" t="s">
        <v>34</v>
      </c>
      <c r="L324" t="s">
        <v>51</v>
      </c>
      <c r="M324" t="s">
        <v>256</v>
      </c>
      <c r="N324" t="s">
        <v>9</v>
      </c>
      <c r="O324" t="s">
        <v>17</v>
      </c>
      <c r="P324">
        <f t="shared" si="15"/>
        <v>3.7471801027360696</v>
      </c>
      <c r="Q324" t="str">
        <f t="shared" si="16"/>
        <v/>
      </c>
      <c r="R324" s="67" t="e" cm="1">
        <f t="array" ref="R324">SUMPRODUCT((J324=$J$7:$J$1000)*(P324&lt;$P$7:$P$1000))+1</f>
        <v>#N/A</v>
      </c>
      <c r="S324" s="72"/>
    </row>
    <row r="325" spans="10:19" x14ac:dyDescent="0.35">
      <c r="J325">
        <v>14</v>
      </c>
      <c r="K325" t="s">
        <v>34</v>
      </c>
      <c r="L325" t="s">
        <v>52</v>
      </c>
      <c r="M325" t="s">
        <v>256</v>
      </c>
      <c r="N325" t="s">
        <v>9</v>
      </c>
      <c r="O325" t="s">
        <v>17</v>
      </c>
      <c r="P325">
        <f t="shared" si="15"/>
        <v>5.9509824872979999</v>
      </c>
      <c r="Q325" t="str">
        <f t="shared" si="16"/>
        <v/>
      </c>
      <c r="R325" s="67" t="e" cm="1">
        <f t="array" ref="R325">SUMPRODUCT((J325=$J$7:$J$1000)*(P325&lt;$P$7:$P$1000))+1</f>
        <v>#N/A</v>
      </c>
      <c r="S325" s="72"/>
    </row>
    <row r="326" spans="10:19" x14ac:dyDescent="0.35">
      <c r="J326">
        <v>14</v>
      </c>
      <c r="K326" t="s">
        <v>34</v>
      </c>
      <c r="L326" t="s">
        <v>39</v>
      </c>
      <c r="M326" t="s">
        <v>256</v>
      </c>
      <c r="N326" t="s">
        <v>9</v>
      </c>
      <c r="O326" t="s">
        <v>17</v>
      </c>
      <c r="P326">
        <f t="shared" si="15"/>
        <v>3.5982098252801809</v>
      </c>
      <c r="Q326" t="str">
        <f t="shared" si="16"/>
        <v/>
      </c>
      <c r="R326" s="67" t="e" cm="1">
        <f t="array" ref="R326">SUMPRODUCT((J326=$J$7:$J$1000)*(P326&lt;$P$7:$P$1000))+1</f>
        <v>#N/A</v>
      </c>
      <c r="S326" s="72"/>
    </row>
    <row r="327" spans="10:19" x14ac:dyDescent="0.35">
      <c r="J327">
        <v>14</v>
      </c>
      <c r="K327" t="s">
        <v>34</v>
      </c>
      <c r="L327" t="s">
        <v>100</v>
      </c>
      <c r="M327" t="s">
        <v>256</v>
      </c>
      <c r="N327" t="s">
        <v>9</v>
      </c>
      <c r="O327" t="s">
        <v>17</v>
      </c>
      <c r="P327">
        <f t="shared" si="15"/>
        <v>10.57313631738195</v>
      </c>
      <c r="Q327" t="str">
        <f t="shared" si="16"/>
        <v/>
      </c>
      <c r="R327" s="67" t="e" cm="1">
        <f t="array" ref="R327">SUMPRODUCT((J327=$J$7:$J$1000)*(P327&lt;$P$7:$P$1000))+1</f>
        <v>#N/A</v>
      </c>
      <c r="S327" s="72"/>
    </row>
    <row r="328" spans="10:19" x14ac:dyDescent="0.35">
      <c r="J328">
        <v>14</v>
      </c>
      <c r="K328" t="s">
        <v>17</v>
      </c>
      <c r="L328" t="s">
        <v>16</v>
      </c>
      <c r="M328" t="s">
        <v>256</v>
      </c>
      <c r="N328" t="s">
        <v>3</v>
      </c>
      <c r="O328" t="s">
        <v>34</v>
      </c>
      <c r="P328">
        <f t="shared" ref="P328:P391" si="17">VLOOKUP($N328,$F$3:$G$4,2,FALSE)+VLOOKUP($L328,$B$20:$C$150,2,FALSE)+VLOOKUP($O328,$A$6:$B$16,2,FALSE)</f>
        <v>5.0923743420467842</v>
      </c>
      <c r="Q328" t="str">
        <f t="shared" si="16"/>
        <v/>
      </c>
      <c r="R328" s="67" t="e" cm="1">
        <f t="array" ref="R328">SUMPRODUCT((J328=$J$7:$J$1000)*(P328&lt;$P$7:$P$1000))+1</f>
        <v>#N/A</v>
      </c>
      <c r="S328" s="72"/>
    </row>
    <row r="329" spans="10:19" x14ac:dyDescent="0.35">
      <c r="J329">
        <v>14</v>
      </c>
      <c r="K329" t="s">
        <v>17</v>
      </c>
      <c r="L329" t="s">
        <v>37</v>
      </c>
      <c r="M329" t="s">
        <v>256</v>
      </c>
      <c r="N329" t="s">
        <v>3</v>
      </c>
      <c r="O329" t="s">
        <v>34</v>
      </c>
      <c r="P329">
        <f t="shared" si="17"/>
        <v>10.943250994746721</v>
      </c>
      <c r="Q329" t="str">
        <f t="shared" si="16"/>
        <v/>
      </c>
      <c r="R329" s="67" t="e" cm="1">
        <f t="array" ref="R329">SUMPRODUCT((J329=$J$7:$J$1000)*(P329&lt;$P$7:$P$1000))+1</f>
        <v>#N/A</v>
      </c>
      <c r="S329" s="72"/>
    </row>
    <row r="330" spans="10:19" x14ac:dyDescent="0.35">
      <c r="J330">
        <v>14</v>
      </c>
      <c r="K330" t="s">
        <v>17</v>
      </c>
      <c r="L330" t="s">
        <v>492</v>
      </c>
      <c r="M330" t="s">
        <v>256</v>
      </c>
      <c r="N330" t="s">
        <v>3</v>
      </c>
      <c r="O330" t="s">
        <v>34</v>
      </c>
      <c r="P330">
        <f t="shared" si="17"/>
        <v>7.9994735498929268</v>
      </c>
      <c r="Q330" t="str">
        <f t="shared" si="16"/>
        <v/>
      </c>
      <c r="R330" s="67" t="e" cm="1">
        <f t="array" ref="R330">SUMPRODUCT((J330=$J$7:$J$1000)*(P330&lt;$P$7:$P$1000))+1</f>
        <v>#N/A</v>
      </c>
      <c r="S330" s="72"/>
    </row>
    <row r="331" spans="10:19" x14ac:dyDescent="0.35">
      <c r="J331">
        <v>14</v>
      </c>
      <c r="K331" t="s">
        <v>17</v>
      </c>
      <c r="L331" t="s">
        <v>450</v>
      </c>
      <c r="M331" t="s">
        <v>256</v>
      </c>
      <c r="N331" t="s">
        <v>3</v>
      </c>
      <c r="O331" t="s">
        <v>34</v>
      </c>
      <c r="P331">
        <f t="shared" si="17"/>
        <v>4.3179543727402612</v>
      </c>
      <c r="Q331" t="str">
        <f t="shared" si="16"/>
        <v/>
      </c>
      <c r="R331" s="67" t="e" cm="1">
        <f t="array" ref="R331">SUMPRODUCT((J331=$J$7:$J$1000)*(P331&lt;$P$7:$P$1000))+1</f>
        <v>#N/A</v>
      </c>
      <c r="S331" s="72"/>
    </row>
    <row r="332" spans="10:19" x14ac:dyDescent="0.35">
      <c r="J332">
        <v>14</v>
      </c>
      <c r="K332" t="s">
        <v>17</v>
      </c>
      <c r="L332" t="s">
        <v>196</v>
      </c>
      <c r="M332" t="s">
        <v>256</v>
      </c>
      <c r="N332" t="s">
        <v>3</v>
      </c>
      <c r="O332" t="s">
        <v>34</v>
      </c>
      <c r="P332">
        <f t="shared" si="17"/>
        <v>5.8182170202759371</v>
      </c>
      <c r="Q332" t="str">
        <f t="shared" si="16"/>
        <v/>
      </c>
      <c r="R332" s="67" t="e" cm="1">
        <f t="array" ref="R332">SUMPRODUCT((J332=$J$7:$J$1000)*(P332&lt;$P$7:$P$1000))+1</f>
        <v>#N/A</v>
      </c>
      <c r="S332" s="72"/>
    </row>
    <row r="333" spans="10:19" x14ac:dyDescent="0.35">
      <c r="J333">
        <v>14</v>
      </c>
      <c r="K333" t="s">
        <v>13</v>
      </c>
      <c r="L333" t="s">
        <v>649</v>
      </c>
      <c r="M333" t="s">
        <v>256</v>
      </c>
      <c r="N333" t="s">
        <v>9</v>
      </c>
      <c r="O333" t="s">
        <v>36</v>
      </c>
      <c r="P333">
        <f t="shared" si="17"/>
        <v>4.6323056982255615</v>
      </c>
      <c r="Q333" t="str">
        <f t="shared" si="16"/>
        <v/>
      </c>
      <c r="R333" s="67" t="e" cm="1">
        <f t="array" ref="R333">SUMPRODUCT((J333=$J$7:$J$1000)*(P333&lt;$P$7:$P$1000))+1</f>
        <v>#N/A</v>
      </c>
      <c r="S333" s="72"/>
    </row>
    <row r="334" spans="10:19" x14ac:dyDescent="0.35">
      <c r="J334">
        <v>14</v>
      </c>
      <c r="K334" t="s">
        <v>13</v>
      </c>
      <c r="L334" t="s">
        <v>473</v>
      </c>
      <c r="M334" t="s">
        <v>256</v>
      </c>
      <c r="N334" t="s">
        <v>9</v>
      </c>
      <c r="O334" t="s">
        <v>36</v>
      </c>
      <c r="P334">
        <f t="shared" si="17"/>
        <v>12.177490332980609</v>
      </c>
      <c r="Q334" t="str">
        <f t="shared" si="16"/>
        <v/>
      </c>
      <c r="R334" s="67" t="e" cm="1">
        <f t="array" ref="R334">SUMPRODUCT((J334=$J$7:$J$1000)*(P334&lt;$P$7:$P$1000))+1</f>
        <v>#N/A</v>
      </c>
      <c r="S334" s="72"/>
    </row>
    <row r="335" spans="10:19" x14ac:dyDescent="0.35">
      <c r="J335">
        <v>14</v>
      </c>
      <c r="K335" t="s">
        <v>13</v>
      </c>
      <c r="L335" t="s">
        <v>474</v>
      </c>
      <c r="M335" t="s">
        <v>256</v>
      </c>
      <c r="N335" t="s">
        <v>9</v>
      </c>
      <c r="O335" t="s">
        <v>36</v>
      </c>
      <c r="P335">
        <f t="shared" si="17"/>
        <v>5.8233532720643071</v>
      </c>
      <c r="Q335" t="str">
        <f t="shared" si="16"/>
        <v/>
      </c>
      <c r="R335" s="67" t="e" cm="1">
        <f t="array" ref="R335">SUMPRODUCT((J335=$J$7:$J$1000)*(P335&lt;$P$7:$P$1000))+1</f>
        <v>#N/A</v>
      </c>
      <c r="S335" s="72"/>
    </row>
    <row r="336" spans="10:19" x14ac:dyDescent="0.35">
      <c r="J336">
        <v>14</v>
      </c>
      <c r="K336" t="s">
        <v>13</v>
      </c>
      <c r="L336" t="s">
        <v>53</v>
      </c>
      <c r="M336" t="s">
        <v>256</v>
      </c>
      <c r="N336" t="s">
        <v>9</v>
      </c>
      <c r="O336" t="s">
        <v>36</v>
      </c>
      <c r="P336">
        <f t="shared" si="17"/>
        <v>9.9209046765259536</v>
      </c>
      <c r="Q336" t="str">
        <f t="shared" si="16"/>
        <v/>
      </c>
      <c r="R336" s="67" t="e" cm="1">
        <f t="array" ref="R336">SUMPRODUCT((J336=$J$7:$J$1000)*(P336&lt;$P$7:$P$1000))+1</f>
        <v>#N/A</v>
      </c>
      <c r="S336" s="72"/>
    </row>
    <row r="337" spans="10:19" x14ac:dyDescent="0.35">
      <c r="J337">
        <v>14</v>
      </c>
      <c r="K337" t="s">
        <v>13</v>
      </c>
      <c r="L337" t="s">
        <v>693</v>
      </c>
      <c r="M337" t="s">
        <v>256</v>
      </c>
      <c r="N337" t="s">
        <v>9</v>
      </c>
      <c r="O337" t="s">
        <v>36</v>
      </c>
      <c r="P337">
        <f t="shared" si="17"/>
        <v>-1.3595481791877284</v>
      </c>
      <c r="Q337" t="str">
        <f t="shared" si="16"/>
        <v/>
      </c>
      <c r="R337" s="67" t="e" cm="1">
        <f t="array" ref="R337">SUMPRODUCT((J337=$J$7:$J$1000)*(P337&lt;$P$7:$P$1000))+1</f>
        <v>#N/A</v>
      </c>
      <c r="S337" s="72"/>
    </row>
    <row r="338" spans="10:19" x14ac:dyDescent="0.35">
      <c r="J338">
        <v>15</v>
      </c>
      <c r="K338" t="s">
        <v>14</v>
      </c>
      <c r="L338" t="s">
        <v>534</v>
      </c>
      <c r="M338" t="s">
        <v>256</v>
      </c>
      <c r="N338" t="s">
        <v>3</v>
      </c>
      <c r="O338" t="s">
        <v>2</v>
      </c>
      <c r="P338">
        <f t="shared" si="17"/>
        <v>6.4023092800645021</v>
      </c>
      <c r="Q338" t="str">
        <f t="shared" si="16"/>
        <v/>
      </c>
      <c r="R338" s="67" t="e" cm="1">
        <f t="array" ref="R338">SUMPRODUCT((J338=$J$7:$J$1000)*(P338&lt;$P$7:$P$1000))+1</f>
        <v>#N/A</v>
      </c>
      <c r="S338" s="72"/>
    </row>
    <row r="339" spans="10:19" x14ac:dyDescent="0.35">
      <c r="J339">
        <v>15</v>
      </c>
      <c r="K339" t="s">
        <v>14</v>
      </c>
      <c r="L339" t="s">
        <v>448</v>
      </c>
      <c r="M339" t="s">
        <v>256</v>
      </c>
      <c r="N339" t="s">
        <v>3</v>
      </c>
      <c r="O339" t="s">
        <v>2</v>
      </c>
      <c r="P339">
        <f t="shared" si="17"/>
        <v>6.6634424115588162</v>
      </c>
      <c r="Q339" t="str">
        <f t="shared" si="16"/>
        <v/>
      </c>
      <c r="R339" s="67" t="e" cm="1">
        <f t="array" ref="R339">SUMPRODUCT((J339=$J$7:$J$1000)*(P339&lt;$P$7:$P$1000))+1</f>
        <v>#N/A</v>
      </c>
      <c r="S339" s="72"/>
    </row>
    <row r="340" spans="10:19" x14ac:dyDescent="0.35">
      <c r="J340">
        <v>15</v>
      </c>
      <c r="K340" t="s">
        <v>14</v>
      </c>
      <c r="L340" t="s">
        <v>11</v>
      </c>
      <c r="M340" t="s">
        <v>256</v>
      </c>
      <c r="N340" t="s">
        <v>3</v>
      </c>
      <c r="O340" t="s">
        <v>2</v>
      </c>
      <c r="P340">
        <f t="shared" si="17"/>
        <v>7.1685675669815625</v>
      </c>
      <c r="Q340" t="str">
        <f t="shared" si="16"/>
        <v/>
      </c>
      <c r="R340" s="67" t="e" cm="1">
        <f t="array" ref="R340">SUMPRODUCT((J340=$J$7:$J$1000)*(P340&lt;$P$7:$P$1000))+1</f>
        <v>#N/A</v>
      </c>
      <c r="S340" s="72"/>
    </row>
    <row r="341" spans="10:19" x14ac:dyDescent="0.35">
      <c r="J341">
        <v>15</v>
      </c>
      <c r="K341" t="s">
        <v>14</v>
      </c>
      <c r="L341" t="s">
        <v>517</v>
      </c>
      <c r="M341" t="s">
        <v>256</v>
      </c>
      <c r="N341" t="s">
        <v>3</v>
      </c>
      <c r="O341" t="s">
        <v>2</v>
      </c>
      <c r="P341">
        <f t="shared" si="17"/>
        <v>4.8831094283283454</v>
      </c>
      <c r="Q341" t="str">
        <f t="shared" si="16"/>
        <v/>
      </c>
      <c r="R341" s="67" t="e" cm="1">
        <f t="array" ref="R341">SUMPRODUCT((J341=$J$7:$J$1000)*(P341&lt;$P$7:$P$1000))+1</f>
        <v>#N/A</v>
      </c>
      <c r="S341" s="72"/>
    </row>
    <row r="342" spans="10:19" x14ac:dyDescent="0.35">
      <c r="J342">
        <v>15</v>
      </c>
      <c r="K342" t="s">
        <v>2</v>
      </c>
      <c r="L342" t="s">
        <v>44</v>
      </c>
      <c r="M342" t="s">
        <v>256</v>
      </c>
      <c r="N342" t="s">
        <v>9</v>
      </c>
      <c r="O342" t="s">
        <v>14</v>
      </c>
      <c r="P342">
        <f t="shared" si="17"/>
        <v>8.7743214589040797</v>
      </c>
      <c r="Q342" t="str">
        <f t="shared" si="16"/>
        <v/>
      </c>
      <c r="R342" s="67" t="e" cm="1">
        <f t="array" ref="R342">SUMPRODUCT((J342=$J$7:$J$1000)*(P342&lt;$P$7:$P$1000))+1</f>
        <v>#N/A</v>
      </c>
      <c r="S342" s="72"/>
    </row>
    <row r="343" spans="10:19" x14ac:dyDescent="0.35">
      <c r="J343">
        <v>15</v>
      </c>
      <c r="K343" t="s">
        <v>2</v>
      </c>
      <c r="L343" t="s">
        <v>596</v>
      </c>
      <c r="M343" t="s">
        <v>256</v>
      </c>
      <c r="N343" t="s">
        <v>9</v>
      </c>
      <c r="O343" t="s">
        <v>14</v>
      </c>
      <c r="P343">
        <f t="shared" si="17"/>
        <v>10.690168844240242</v>
      </c>
      <c r="Q343" t="str">
        <f t="shared" si="16"/>
        <v/>
      </c>
      <c r="R343" s="67" t="e" cm="1">
        <f t="array" ref="R343">SUMPRODUCT((J343=$J$7:$J$1000)*(P343&lt;$P$7:$P$1000))+1</f>
        <v>#N/A</v>
      </c>
      <c r="S343" s="72"/>
    </row>
    <row r="344" spans="10:19" x14ac:dyDescent="0.35">
      <c r="J344">
        <v>15</v>
      </c>
      <c r="K344" t="s">
        <v>2</v>
      </c>
      <c r="L344" t="s">
        <v>449</v>
      </c>
      <c r="M344" t="s">
        <v>256</v>
      </c>
      <c r="N344" t="s">
        <v>9</v>
      </c>
      <c r="O344" t="s">
        <v>14</v>
      </c>
      <c r="P344">
        <f t="shared" si="17"/>
        <v>10.60256715445723</v>
      </c>
      <c r="Q344" t="str">
        <f t="shared" si="16"/>
        <v/>
      </c>
      <c r="R344" s="67" t="e" cm="1">
        <f t="array" ref="R344">SUMPRODUCT((J344=$J$7:$J$1000)*(P344&lt;$P$7:$P$1000))+1</f>
        <v>#N/A</v>
      </c>
      <c r="S344" s="72"/>
    </row>
    <row r="345" spans="10:19" x14ac:dyDescent="0.35">
      <c r="J345">
        <v>15</v>
      </c>
      <c r="K345" t="s">
        <v>36</v>
      </c>
      <c r="L345" t="s">
        <v>38</v>
      </c>
      <c r="M345" t="s">
        <v>256</v>
      </c>
      <c r="N345" t="s">
        <v>9</v>
      </c>
      <c r="O345" t="s">
        <v>17</v>
      </c>
      <c r="P345">
        <f t="shared" si="17"/>
        <v>9.1310270859436944</v>
      </c>
      <c r="Q345" t="str">
        <f t="shared" si="16"/>
        <v/>
      </c>
      <c r="R345" s="67" t="e" cm="1">
        <f t="array" ref="R345">SUMPRODUCT((J345=$J$7:$J$1000)*(P345&lt;$P$7:$P$1000))+1</f>
        <v>#N/A</v>
      </c>
      <c r="S345" s="72"/>
    </row>
    <row r="346" spans="10:19" x14ac:dyDescent="0.35">
      <c r="J346" s="66">
        <v>15</v>
      </c>
      <c r="K346" t="s">
        <v>36</v>
      </c>
      <c r="L346" t="s">
        <v>50</v>
      </c>
      <c r="M346" t="s">
        <v>256</v>
      </c>
      <c r="N346" t="s">
        <v>9</v>
      </c>
      <c r="O346" t="s">
        <v>17</v>
      </c>
      <c r="P346">
        <f t="shared" si="17"/>
        <v>2.771396551916907</v>
      </c>
      <c r="Q346" t="str">
        <f t="shared" si="16"/>
        <v/>
      </c>
      <c r="R346" s="67" t="e" cm="1">
        <f t="array" ref="R346">SUMPRODUCT((J346=$J$7:$J$1000)*(P346&lt;$P$7:$P$1000))+1</f>
        <v>#N/A</v>
      </c>
      <c r="S346" s="72"/>
    </row>
    <row r="347" spans="10:19" x14ac:dyDescent="0.35">
      <c r="J347">
        <v>15</v>
      </c>
      <c r="K347" t="s">
        <v>36</v>
      </c>
      <c r="L347" t="s">
        <v>48</v>
      </c>
      <c r="M347" t="s">
        <v>256</v>
      </c>
      <c r="N347" t="s">
        <v>9</v>
      </c>
      <c r="O347" t="s">
        <v>17</v>
      </c>
      <c r="P347">
        <f t="shared" si="17"/>
        <v>1.7074627692874882</v>
      </c>
      <c r="Q347" t="str">
        <f t="shared" si="16"/>
        <v/>
      </c>
      <c r="R347" s="67" t="e" cm="1">
        <f t="array" ref="R347">SUMPRODUCT((J347=$J$7:$J$1000)*(P347&lt;$P$7:$P$1000))+1</f>
        <v>#N/A</v>
      </c>
      <c r="S347" s="72"/>
    </row>
    <row r="348" spans="10:19" x14ac:dyDescent="0.35">
      <c r="J348">
        <v>15</v>
      </c>
      <c r="K348" t="s">
        <v>36</v>
      </c>
      <c r="L348" t="s">
        <v>490</v>
      </c>
      <c r="M348" t="s">
        <v>256</v>
      </c>
      <c r="N348" t="s">
        <v>9</v>
      </c>
      <c r="O348" t="s">
        <v>17</v>
      </c>
      <c r="P348">
        <f t="shared" si="17"/>
        <v>8.0164491909316844</v>
      </c>
      <c r="Q348" t="str">
        <f t="shared" si="16"/>
        <v/>
      </c>
      <c r="R348" s="67" t="e" cm="1">
        <f t="array" ref="R348">SUMPRODUCT((J348=$J$7:$J$1000)*(P348&lt;$P$7:$P$1000))+1</f>
        <v>#N/A</v>
      </c>
      <c r="S348" s="72"/>
    </row>
    <row r="349" spans="10:19" x14ac:dyDescent="0.35">
      <c r="J349" s="66">
        <v>15</v>
      </c>
      <c r="K349" t="s">
        <v>6</v>
      </c>
      <c r="L349" t="s">
        <v>8</v>
      </c>
      <c r="M349" t="s">
        <v>256</v>
      </c>
      <c r="N349" t="s">
        <v>3</v>
      </c>
      <c r="O349" t="s">
        <v>24</v>
      </c>
      <c r="P349">
        <f t="shared" si="17"/>
        <v>10.995981183568695</v>
      </c>
      <c r="Q349" t="str">
        <f t="shared" si="16"/>
        <v/>
      </c>
      <c r="R349" s="67" t="e" cm="1">
        <f t="array" ref="R349">SUMPRODUCT((J349=$J$7:$J$1000)*(P349&lt;$P$7:$P$1000))+1</f>
        <v>#N/A</v>
      </c>
      <c r="S349" s="72"/>
    </row>
    <row r="350" spans="10:19" x14ac:dyDescent="0.35">
      <c r="J350">
        <v>15</v>
      </c>
      <c r="K350" t="s">
        <v>6</v>
      </c>
      <c r="L350" t="s">
        <v>445</v>
      </c>
      <c r="M350" t="s">
        <v>256</v>
      </c>
      <c r="N350" t="s">
        <v>3</v>
      </c>
      <c r="O350" t="s">
        <v>24</v>
      </c>
      <c r="P350">
        <f t="shared" si="17"/>
        <v>10.854164513473622</v>
      </c>
      <c r="Q350" t="str">
        <f t="shared" si="16"/>
        <v/>
      </c>
      <c r="R350" s="67" t="e" cm="1">
        <f t="array" ref="R350">SUMPRODUCT((J350=$J$7:$J$1000)*(P350&lt;$P$7:$P$1000))+1</f>
        <v>#N/A</v>
      </c>
      <c r="S350" s="72"/>
    </row>
    <row r="351" spans="10:19" x14ac:dyDescent="0.35">
      <c r="J351">
        <v>15</v>
      </c>
      <c r="K351" t="s">
        <v>6</v>
      </c>
      <c r="L351" t="s">
        <v>451</v>
      </c>
      <c r="M351" t="s">
        <v>256</v>
      </c>
      <c r="N351" t="s">
        <v>3</v>
      </c>
      <c r="O351" t="s">
        <v>24</v>
      </c>
      <c r="P351">
        <f t="shared" si="17"/>
        <v>8.7911285766934011</v>
      </c>
      <c r="Q351" t="str">
        <f t="shared" si="16"/>
        <v/>
      </c>
      <c r="R351" s="67" t="e" cm="1">
        <f t="array" ref="R351">SUMPRODUCT((J351=$J$7:$J$1000)*(P351&lt;$P$7:$P$1000))+1</f>
        <v>#N/A</v>
      </c>
      <c r="S351" s="72"/>
    </row>
    <row r="352" spans="10:19" x14ac:dyDescent="0.35">
      <c r="J352">
        <v>15</v>
      </c>
      <c r="K352" t="s">
        <v>24</v>
      </c>
      <c r="L352" t="s">
        <v>35</v>
      </c>
      <c r="M352" t="s">
        <v>256</v>
      </c>
      <c r="N352" t="s">
        <v>9</v>
      </c>
      <c r="O352" t="s">
        <v>6</v>
      </c>
      <c r="P352">
        <f t="shared" si="17"/>
        <v>9.5651741560519277</v>
      </c>
      <c r="Q352" t="str">
        <f t="shared" si="16"/>
        <v/>
      </c>
      <c r="R352" s="67" t="e" cm="1">
        <f t="array" ref="R352">SUMPRODUCT((J352=$J$7:$J$1000)*(P352&lt;$P$7:$P$1000))+1</f>
        <v>#N/A</v>
      </c>
      <c r="S352" s="72"/>
    </row>
    <row r="353" spans="10:19" x14ac:dyDescent="0.35">
      <c r="J353">
        <v>15</v>
      </c>
      <c r="K353" t="s">
        <v>24</v>
      </c>
      <c r="L353" t="s">
        <v>402</v>
      </c>
      <c r="M353" t="s">
        <v>256</v>
      </c>
      <c r="N353" t="s">
        <v>9</v>
      </c>
      <c r="O353" t="s">
        <v>6</v>
      </c>
      <c r="P353">
        <f t="shared" si="17"/>
        <v>9.1410029041797216</v>
      </c>
      <c r="Q353" t="str">
        <f t="shared" ref="Q353:Q416" si="18">IFERROR(($M353-$P353)^2,"")</f>
        <v/>
      </c>
      <c r="R353" s="67" t="e" cm="1">
        <f t="array" ref="R353">SUMPRODUCT((J353=$J$7:$J$1000)*(P353&lt;$P$7:$P$1000))+1</f>
        <v>#N/A</v>
      </c>
      <c r="S353" s="72"/>
    </row>
    <row r="354" spans="10:19" x14ac:dyDescent="0.35">
      <c r="J354">
        <v>15</v>
      </c>
      <c r="K354" t="s">
        <v>24</v>
      </c>
      <c r="L354" t="s">
        <v>96</v>
      </c>
      <c r="M354" t="s">
        <v>256</v>
      </c>
      <c r="N354" t="s">
        <v>9</v>
      </c>
      <c r="O354" t="s">
        <v>6</v>
      </c>
      <c r="P354">
        <f t="shared" si="17"/>
        <v>7.1127614436649456</v>
      </c>
      <c r="Q354" t="str">
        <f t="shared" si="18"/>
        <v/>
      </c>
      <c r="R354" s="67" t="e" cm="1">
        <f t="array" ref="R354">SUMPRODUCT((J354=$J$7:$J$1000)*(P354&lt;$P$7:$P$1000))+1</f>
        <v>#N/A</v>
      </c>
      <c r="S354" s="72"/>
    </row>
    <row r="355" spans="10:19" x14ac:dyDescent="0.35">
      <c r="J355">
        <v>15</v>
      </c>
      <c r="K355" t="s">
        <v>24</v>
      </c>
      <c r="L355" t="s">
        <v>446</v>
      </c>
      <c r="M355" t="s">
        <v>256</v>
      </c>
      <c r="N355" t="s">
        <v>9</v>
      </c>
      <c r="O355" t="s">
        <v>6</v>
      </c>
      <c r="P355">
        <f t="shared" si="17"/>
        <v>12.297298810605799</v>
      </c>
      <c r="Q355" t="str">
        <f t="shared" si="18"/>
        <v/>
      </c>
      <c r="R355" s="67" t="e" cm="1">
        <f t="array" ref="R355">SUMPRODUCT((J355=$J$7:$J$1000)*(P355&lt;$P$7:$P$1000))+1</f>
        <v>#N/A</v>
      </c>
      <c r="S355" s="72"/>
    </row>
    <row r="356" spans="10:19" x14ac:dyDescent="0.35">
      <c r="J356">
        <v>15</v>
      </c>
      <c r="K356" t="s">
        <v>24</v>
      </c>
      <c r="L356" t="s">
        <v>487</v>
      </c>
      <c r="M356" t="s">
        <v>256</v>
      </c>
      <c r="N356" t="s">
        <v>9</v>
      </c>
      <c r="O356" t="s">
        <v>6</v>
      </c>
      <c r="P356">
        <f t="shared" si="17"/>
        <v>7.2853834938973607</v>
      </c>
      <c r="Q356" t="str">
        <f t="shared" si="18"/>
        <v/>
      </c>
      <c r="R356" s="67" t="e" cm="1">
        <f t="array" ref="R356">SUMPRODUCT((J356=$J$7:$J$1000)*(P356&lt;$P$7:$P$1000))+1</f>
        <v>#N/A</v>
      </c>
      <c r="S356" s="72"/>
    </row>
    <row r="357" spans="10:19" x14ac:dyDescent="0.35">
      <c r="J357">
        <v>15</v>
      </c>
      <c r="K357" t="s">
        <v>23</v>
      </c>
      <c r="L357" t="s">
        <v>25</v>
      </c>
      <c r="M357" t="s">
        <v>256</v>
      </c>
      <c r="N357" t="s">
        <v>3</v>
      </c>
      <c r="O357" t="s">
        <v>7</v>
      </c>
      <c r="P357">
        <f t="shared" si="17"/>
        <v>5.2431012308536262</v>
      </c>
      <c r="Q357" t="str">
        <f t="shared" si="18"/>
        <v/>
      </c>
      <c r="R357" s="67" t="e" cm="1">
        <f t="array" ref="R357">SUMPRODUCT((J357=$J$7:$J$1000)*(P357&lt;$P$7:$P$1000))+1</f>
        <v>#N/A</v>
      </c>
      <c r="S357" s="72"/>
    </row>
    <row r="358" spans="10:19" x14ac:dyDescent="0.35">
      <c r="J358">
        <v>15</v>
      </c>
      <c r="K358" t="s">
        <v>23</v>
      </c>
      <c r="L358" t="s">
        <v>518</v>
      </c>
      <c r="M358" t="s">
        <v>256</v>
      </c>
      <c r="N358" t="s">
        <v>3</v>
      </c>
      <c r="O358" t="s">
        <v>7</v>
      </c>
      <c r="P358">
        <f t="shared" si="17"/>
        <v>3.0892854281636843</v>
      </c>
      <c r="Q358" t="str">
        <f t="shared" si="18"/>
        <v/>
      </c>
      <c r="R358" s="67" t="e" cm="1">
        <f t="array" ref="R358">SUMPRODUCT((J358=$J$7:$J$1000)*(P358&lt;$P$7:$P$1000))+1</f>
        <v>#N/A</v>
      </c>
      <c r="S358" s="72"/>
    </row>
    <row r="359" spans="10:19" x14ac:dyDescent="0.35">
      <c r="J359">
        <v>15</v>
      </c>
      <c r="K359" t="s">
        <v>23</v>
      </c>
      <c r="L359" t="s">
        <v>498</v>
      </c>
      <c r="M359" t="s">
        <v>256</v>
      </c>
      <c r="N359" t="s">
        <v>3</v>
      </c>
      <c r="O359" t="s">
        <v>7</v>
      </c>
      <c r="P359">
        <f t="shared" si="17"/>
        <v>9.7458906400746557</v>
      </c>
      <c r="Q359" t="str">
        <f t="shared" si="18"/>
        <v/>
      </c>
      <c r="R359" s="67" t="e" cm="1">
        <f t="array" ref="R359">SUMPRODUCT((J359=$J$7:$J$1000)*(P359&lt;$P$7:$P$1000))+1</f>
        <v>#N/A</v>
      </c>
      <c r="S359" s="72"/>
    </row>
    <row r="360" spans="10:19" x14ac:dyDescent="0.35">
      <c r="J360">
        <v>15</v>
      </c>
      <c r="K360" t="s">
        <v>23</v>
      </c>
      <c r="L360" t="s">
        <v>32</v>
      </c>
      <c r="M360" t="s">
        <v>256</v>
      </c>
      <c r="N360" t="s">
        <v>3</v>
      </c>
      <c r="O360" t="s">
        <v>7</v>
      </c>
      <c r="P360">
        <f t="shared" si="17"/>
        <v>10.429481770339471</v>
      </c>
      <c r="Q360" t="str">
        <f t="shared" si="18"/>
        <v/>
      </c>
      <c r="R360" s="67" t="e" cm="1">
        <f t="array" ref="R360">SUMPRODUCT((J360=$J$7:$J$1000)*(P360&lt;$P$7:$P$1000))+1</f>
        <v>#N/A</v>
      </c>
      <c r="S360" s="72"/>
    </row>
    <row r="361" spans="10:19" x14ac:dyDescent="0.35">
      <c r="J361">
        <v>15</v>
      </c>
      <c r="K361" t="s">
        <v>23</v>
      </c>
      <c r="L361" t="s">
        <v>46</v>
      </c>
      <c r="M361" t="s">
        <v>256</v>
      </c>
      <c r="N361" t="s">
        <v>3</v>
      </c>
      <c r="O361" t="s">
        <v>7</v>
      </c>
      <c r="P361">
        <f t="shared" si="17"/>
        <v>9.688409878883629</v>
      </c>
      <c r="Q361" t="str">
        <f t="shared" si="18"/>
        <v/>
      </c>
      <c r="R361" s="67" t="e" cm="1">
        <f t="array" ref="R361">SUMPRODUCT((J361=$J$7:$J$1000)*(P361&lt;$P$7:$P$1000))+1</f>
        <v>#N/A</v>
      </c>
      <c r="S361" s="72"/>
    </row>
    <row r="362" spans="10:19" x14ac:dyDescent="0.35">
      <c r="J362">
        <v>15</v>
      </c>
      <c r="K362" t="s">
        <v>4</v>
      </c>
      <c r="L362" t="s">
        <v>452</v>
      </c>
      <c r="M362" t="s">
        <v>256</v>
      </c>
      <c r="N362" t="s">
        <v>3</v>
      </c>
      <c r="O362" t="s">
        <v>13</v>
      </c>
      <c r="P362">
        <f t="shared" si="17"/>
        <v>4.5792752063536097</v>
      </c>
      <c r="Q362" t="str">
        <f t="shared" si="18"/>
        <v/>
      </c>
      <c r="R362" s="67" t="e" cm="1">
        <f t="array" ref="R362">SUMPRODUCT((J362=$J$7:$J$1000)*(P362&lt;$P$7:$P$1000))+1</f>
        <v>#N/A</v>
      </c>
      <c r="S362" s="72"/>
    </row>
    <row r="363" spans="10:19" x14ac:dyDescent="0.35">
      <c r="J363">
        <v>15</v>
      </c>
      <c r="K363" t="s">
        <v>4</v>
      </c>
      <c r="L363" t="s">
        <v>1</v>
      </c>
      <c r="M363" t="s">
        <v>256</v>
      </c>
      <c r="N363" t="s">
        <v>3</v>
      </c>
      <c r="O363" t="s">
        <v>13</v>
      </c>
      <c r="P363">
        <f t="shared" si="17"/>
        <v>5.8975450890065764</v>
      </c>
      <c r="Q363" t="str">
        <f t="shared" si="18"/>
        <v/>
      </c>
      <c r="R363" s="67" t="e" cm="1">
        <f t="array" ref="R363">SUMPRODUCT((J363=$J$7:$J$1000)*(P363&lt;$P$7:$P$1000))+1</f>
        <v>#N/A</v>
      </c>
      <c r="S363" s="72"/>
    </row>
    <row r="364" spans="10:19" x14ac:dyDescent="0.35">
      <c r="J364">
        <v>15</v>
      </c>
      <c r="K364" t="s">
        <v>4</v>
      </c>
      <c r="L364" t="s">
        <v>475</v>
      </c>
      <c r="M364" t="s">
        <v>256</v>
      </c>
      <c r="N364" t="s">
        <v>3</v>
      </c>
      <c r="O364" t="s">
        <v>13</v>
      </c>
      <c r="P364">
        <f t="shared" si="17"/>
        <v>2.3821103624409821</v>
      </c>
      <c r="Q364" t="str">
        <f t="shared" si="18"/>
        <v/>
      </c>
      <c r="R364" s="67" t="e" cm="1">
        <f t="array" ref="R364">SUMPRODUCT((J364=$J$7:$J$1000)*(P364&lt;$P$7:$P$1000))+1</f>
        <v>#N/A</v>
      </c>
      <c r="S364" s="72"/>
    </row>
    <row r="365" spans="10:19" x14ac:dyDescent="0.35">
      <c r="J365">
        <v>15</v>
      </c>
      <c r="K365" t="s">
        <v>4</v>
      </c>
      <c r="L365" t="s">
        <v>0</v>
      </c>
      <c r="M365" t="s">
        <v>256</v>
      </c>
      <c r="N365" t="s">
        <v>3</v>
      </c>
      <c r="O365" t="s">
        <v>13</v>
      </c>
      <c r="P365" t="e">
        <f t="shared" si="17"/>
        <v>#N/A</v>
      </c>
      <c r="Q365" t="str">
        <f t="shared" si="18"/>
        <v/>
      </c>
      <c r="R365" s="67" t="e" cm="1">
        <f t="array" ref="R365">SUMPRODUCT((J365=$J$7:$J$1000)*(P365&lt;$P$7:$P$1000))+1</f>
        <v>#N/A</v>
      </c>
      <c r="S365" s="72"/>
    </row>
    <row r="366" spans="10:19" x14ac:dyDescent="0.35">
      <c r="J366">
        <v>15</v>
      </c>
      <c r="K366" t="s">
        <v>7</v>
      </c>
      <c r="L366" t="s">
        <v>19</v>
      </c>
      <c r="M366" t="s">
        <v>256</v>
      </c>
      <c r="N366" t="s">
        <v>9</v>
      </c>
      <c r="O366" t="s">
        <v>23</v>
      </c>
      <c r="P366">
        <f t="shared" si="17"/>
        <v>4.986535802252626</v>
      </c>
      <c r="Q366" t="str">
        <f t="shared" si="18"/>
        <v/>
      </c>
      <c r="R366" s="67" t="e" cm="1">
        <f t="array" ref="R366">SUMPRODUCT((J366=$J$7:$J$1000)*(P366&lt;$P$7:$P$1000))+1</f>
        <v>#N/A</v>
      </c>
      <c r="S366" s="72"/>
    </row>
    <row r="367" spans="10:19" x14ac:dyDescent="0.35">
      <c r="J367">
        <v>15</v>
      </c>
      <c r="K367" t="s">
        <v>7</v>
      </c>
      <c r="L367" t="s">
        <v>570</v>
      </c>
      <c r="M367" t="s">
        <v>256</v>
      </c>
      <c r="N367" t="s">
        <v>9</v>
      </c>
      <c r="O367" t="s">
        <v>23</v>
      </c>
      <c r="P367" t="e">
        <f t="shared" si="17"/>
        <v>#N/A</v>
      </c>
      <c r="Q367" t="str">
        <f t="shared" si="18"/>
        <v/>
      </c>
      <c r="R367" s="67" t="e" cm="1">
        <f t="array" ref="R367">SUMPRODUCT((J367=$J$7:$J$1000)*(P367&lt;$P$7:$P$1000))+1</f>
        <v>#N/A</v>
      </c>
      <c r="S367" s="72"/>
    </row>
    <row r="368" spans="10:19" x14ac:dyDescent="0.35">
      <c r="J368">
        <v>15</v>
      </c>
      <c r="K368" t="s">
        <v>7</v>
      </c>
      <c r="L368" t="s">
        <v>26</v>
      </c>
      <c r="M368" t="s">
        <v>256</v>
      </c>
      <c r="N368" t="s">
        <v>9</v>
      </c>
      <c r="O368" t="s">
        <v>23</v>
      </c>
      <c r="P368">
        <f t="shared" si="17"/>
        <v>10.356998817243683</v>
      </c>
      <c r="Q368" t="str">
        <f t="shared" si="18"/>
        <v/>
      </c>
      <c r="R368" s="67" t="e" cm="1">
        <f t="array" ref="R368">SUMPRODUCT((J368=$J$7:$J$1000)*(P368&lt;$P$7:$P$1000))+1</f>
        <v>#N/A</v>
      </c>
      <c r="S368" s="72"/>
    </row>
    <row r="369" spans="10:19" x14ac:dyDescent="0.35">
      <c r="J369" s="66">
        <v>15</v>
      </c>
      <c r="K369" t="s">
        <v>7</v>
      </c>
      <c r="L369" t="s">
        <v>447</v>
      </c>
      <c r="M369" t="s">
        <v>256</v>
      </c>
      <c r="N369" t="s">
        <v>9</v>
      </c>
      <c r="O369" t="s">
        <v>23</v>
      </c>
      <c r="P369">
        <f t="shared" si="17"/>
        <v>6.4651479736047879</v>
      </c>
      <c r="Q369" t="str">
        <f t="shared" si="18"/>
        <v/>
      </c>
      <c r="R369" s="67" t="e" cm="1">
        <f t="array" ref="R369">SUMPRODUCT((J369=$J$7:$J$1000)*(P369&lt;$P$7:$P$1000))+1</f>
        <v>#N/A</v>
      </c>
      <c r="S369" s="72"/>
    </row>
    <row r="370" spans="10:19" x14ac:dyDescent="0.35">
      <c r="J370">
        <v>15</v>
      </c>
      <c r="K370" t="s">
        <v>7</v>
      </c>
      <c r="L370" t="s">
        <v>45</v>
      </c>
      <c r="M370" t="s">
        <v>256</v>
      </c>
      <c r="N370" t="s">
        <v>9</v>
      </c>
      <c r="O370" t="s">
        <v>23</v>
      </c>
      <c r="P370">
        <f t="shared" si="17"/>
        <v>7.9255432473344314</v>
      </c>
      <c r="Q370" t="str">
        <f t="shared" si="18"/>
        <v/>
      </c>
      <c r="R370" s="67" t="e" cm="1">
        <f t="array" ref="R370">SUMPRODUCT((J370=$J$7:$J$1000)*(P370&lt;$P$7:$P$1000))+1</f>
        <v>#N/A</v>
      </c>
      <c r="S370" s="72"/>
    </row>
    <row r="371" spans="10:19" x14ac:dyDescent="0.35">
      <c r="J371">
        <v>15</v>
      </c>
      <c r="K371" t="s">
        <v>17</v>
      </c>
      <c r="L371" t="s">
        <v>16</v>
      </c>
      <c r="M371" t="s">
        <v>256</v>
      </c>
      <c r="N371" t="s">
        <v>3</v>
      </c>
      <c r="O371" t="s">
        <v>36</v>
      </c>
      <c r="P371">
        <f t="shared" si="17"/>
        <v>5.0417040152015042</v>
      </c>
      <c r="Q371" t="str">
        <f t="shared" si="18"/>
        <v/>
      </c>
      <c r="R371" s="67" t="e" cm="1">
        <f t="array" ref="R371">SUMPRODUCT((J371=$J$7:$J$1000)*(P371&lt;$P$7:$P$1000))+1</f>
        <v>#N/A</v>
      </c>
      <c r="S371" s="72"/>
    </row>
    <row r="372" spans="10:19" x14ac:dyDescent="0.35">
      <c r="J372">
        <v>15</v>
      </c>
      <c r="K372" t="s">
        <v>17</v>
      </c>
      <c r="L372" t="s">
        <v>37</v>
      </c>
      <c r="M372" t="s">
        <v>256</v>
      </c>
      <c r="N372" t="s">
        <v>3</v>
      </c>
      <c r="O372" t="s">
        <v>36</v>
      </c>
      <c r="P372">
        <f t="shared" si="17"/>
        <v>10.89258066790144</v>
      </c>
      <c r="Q372" t="str">
        <f t="shared" si="18"/>
        <v/>
      </c>
      <c r="R372" s="67" t="e" cm="1">
        <f t="array" ref="R372">SUMPRODUCT((J372=$J$7:$J$1000)*(P372&lt;$P$7:$P$1000))+1</f>
        <v>#N/A</v>
      </c>
      <c r="S372" s="72"/>
    </row>
    <row r="373" spans="10:19" x14ac:dyDescent="0.35">
      <c r="J373">
        <v>15</v>
      </c>
      <c r="K373" t="s">
        <v>17</v>
      </c>
      <c r="L373" t="s">
        <v>492</v>
      </c>
      <c r="M373" t="s">
        <v>256</v>
      </c>
      <c r="N373" t="s">
        <v>3</v>
      </c>
      <c r="O373" t="s">
        <v>36</v>
      </c>
      <c r="P373">
        <f t="shared" si="17"/>
        <v>7.9488032230476469</v>
      </c>
      <c r="Q373" t="str">
        <f t="shared" si="18"/>
        <v/>
      </c>
      <c r="R373" s="67" t="e" cm="1">
        <f t="array" ref="R373">SUMPRODUCT((J373=$J$7:$J$1000)*(P373&lt;$P$7:$P$1000))+1</f>
        <v>#N/A</v>
      </c>
      <c r="S373" s="72"/>
    </row>
    <row r="374" spans="10:19" x14ac:dyDescent="0.35">
      <c r="J374">
        <v>15</v>
      </c>
      <c r="K374" t="s">
        <v>17</v>
      </c>
      <c r="L374" t="s">
        <v>450</v>
      </c>
      <c r="M374" t="s">
        <v>256</v>
      </c>
      <c r="N374" t="s">
        <v>3</v>
      </c>
      <c r="O374" t="s">
        <v>36</v>
      </c>
      <c r="P374">
        <f t="shared" si="17"/>
        <v>4.2672840458949812</v>
      </c>
      <c r="Q374" t="str">
        <f t="shared" si="18"/>
        <v/>
      </c>
      <c r="R374" s="67" t="e" cm="1">
        <f t="array" ref="R374">SUMPRODUCT((J374=$J$7:$J$1000)*(P374&lt;$P$7:$P$1000))+1</f>
        <v>#N/A</v>
      </c>
      <c r="S374" s="72"/>
    </row>
    <row r="375" spans="10:19" x14ac:dyDescent="0.35">
      <c r="J375">
        <v>15</v>
      </c>
      <c r="K375" t="s">
        <v>17</v>
      </c>
      <c r="L375" t="s">
        <v>196</v>
      </c>
      <c r="M375" t="s">
        <v>256</v>
      </c>
      <c r="N375" t="s">
        <v>3</v>
      </c>
      <c r="O375" t="s">
        <v>36</v>
      </c>
      <c r="P375">
        <f t="shared" si="17"/>
        <v>5.7675466934306572</v>
      </c>
      <c r="Q375" t="str">
        <f t="shared" si="18"/>
        <v/>
      </c>
      <c r="R375" s="67" t="e" cm="1">
        <f t="array" ref="R375">SUMPRODUCT((J375=$J$7:$J$1000)*(P375&lt;$P$7:$P$1000))+1</f>
        <v>#N/A</v>
      </c>
      <c r="S375" s="72"/>
    </row>
    <row r="376" spans="10:19" x14ac:dyDescent="0.35">
      <c r="J376">
        <v>15</v>
      </c>
      <c r="K376" t="s">
        <v>13</v>
      </c>
      <c r="L376" t="s">
        <v>649</v>
      </c>
      <c r="M376" t="s">
        <v>256</v>
      </c>
      <c r="N376" t="s">
        <v>9</v>
      </c>
      <c r="O376" t="s">
        <v>4</v>
      </c>
      <c r="P376">
        <f t="shared" si="17"/>
        <v>4.2256465943494872</v>
      </c>
      <c r="Q376" t="str">
        <f t="shared" si="18"/>
        <v/>
      </c>
      <c r="R376" s="67" t="e" cm="1">
        <f t="array" ref="R376">SUMPRODUCT((J376=$J$7:$J$1000)*(P376&lt;$P$7:$P$1000))+1</f>
        <v>#N/A</v>
      </c>
      <c r="S376" s="72"/>
    </row>
    <row r="377" spans="10:19" x14ac:dyDescent="0.35">
      <c r="J377">
        <v>15</v>
      </c>
      <c r="K377" t="s">
        <v>13</v>
      </c>
      <c r="L377" t="s">
        <v>473</v>
      </c>
      <c r="M377" t="s">
        <v>256</v>
      </c>
      <c r="N377" t="s">
        <v>9</v>
      </c>
      <c r="O377" t="s">
        <v>4</v>
      </c>
      <c r="P377">
        <f t="shared" si="17"/>
        <v>11.770831229104536</v>
      </c>
      <c r="Q377" t="str">
        <f t="shared" si="18"/>
        <v/>
      </c>
      <c r="R377" s="67" t="e" cm="1">
        <f t="array" ref="R377">SUMPRODUCT((J377=$J$7:$J$1000)*(P377&lt;$P$7:$P$1000))+1</f>
        <v>#N/A</v>
      </c>
      <c r="S377" s="72"/>
    </row>
    <row r="378" spans="10:19" x14ac:dyDescent="0.35">
      <c r="J378">
        <v>15</v>
      </c>
      <c r="K378" t="s">
        <v>13</v>
      </c>
      <c r="L378" t="s">
        <v>474</v>
      </c>
      <c r="M378" t="s">
        <v>256</v>
      </c>
      <c r="N378" t="s">
        <v>9</v>
      </c>
      <c r="O378" t="s">
        <v>4</v>
      </c>
      <c r="P378">
        <f t="shared" si="17"/>
        <v>5.4166941681882328</v>
      </c>
      <c r="Q378" t="str">
        <f t="shared" si="18"/>
        <v/>
      </c>
      <c r="R378" s="67" t="e" cm="1">
        <f t="array" ref="R378">SUMPRODUCT((J378=$J$7:$J$1000)*(P378&lt;$P$7:$P$1000))+1</f>
        <v>#N/A</v>
      </c>
      <c r="S378" s="72"/>
    </row>
    <row r="379" spans="10:19" x14ac:dyDescent="0.35">
      <c r="J379" s="66">
        <v>15</v>
      </c>
      <c r="K379" t="s">
        <v>13</v>
      </c>
      <c r="L379" t="s">
        <v>53</v>
      </c>
      <c r="M379" t="s">
        <v>256</v>
      </c>
      <c r="N379" t="s">
        <v>9</v>
      </c>
      <c r="O379" t="s">
        <v>4</v>
      </c>
      <c r="P379">
        <f t="shared" si="17"/>
        <v>9.5142455726498802</v>
      </c>
      <c r="Q379" t="str">
        <f t="shared" si="18"/>
        <v/>
      </c>
      <c r="R379" s="67" t="e" cm="1">
        <f t="array" ref="R379">SUMPRODUCT((J379=$J$7:$J$1000)*(P379&lt;$P$7:$P$1000))+1</f>
        <v>#N/A</v>
      </c>
      <c r="S379" s="72"/>
    </row>
    <row r="380" spans="10:19" x14ac:dyDescent="0.35">
      <c r="J380">
        <v>15</v>
      </c>
      <c r="K380" t="s">
        <v>13</v>
      </c>
      <c r="L380" t="s">
        <v>693</v>
      </c>
      <c r="M380" t="s">
        <v>256</v>
      </c>
      <c r="N380" t="s">
        <v>9</v>
      </c>
      <c r="O380" t="s">
        <v>4</v>
      </c>
      <c r="P380">
        <f t="shared" si="17"/>
        <v>-1.7662072830638023</v>
      </c>
      <c r="Q380" t="str">
        <f t="shared" si="18"/>
        <v/>
      </c>
      <c r="R380" s="67" t="e" cm="1">
        <f t="array" ref="R380">SUMPRODUCT((J380=$J$7:$J$1000)*(P380&lt;$P$7:$P$1000))+1</f>
        <v>#N/A</v>
      </c>
      <c r="S380" s="72"/>
    </row>
    <row r="381" spans="10:19" x14ac:dyDescent="0.35">
      <c r="J381">
        <v>16</v>
      </c>
      <c r="K381" t="s">
        <v>14</v>
      </c>
      <c r="L381" t="s">
        <v>534</v>
      </c>
      <c r="M381" t="s">
        <v>256</v>
      </c>
      <c r="N381" t="s">
        <v>9</v>
      </c>
      <c r="O381" t="s">
        <v>13</v>
      </c>
      <c r="P381">
        <f t="shared" si="17"/>
        <v>4.6957071520163485</v>
      </c>
      <c r="Q381" t="str">
        <f t="shared" si="18"/>
        <v/>
      </c>
      <c r="R381" s="67" t="e" cm="1">
        <f t="array" ref="R381">SUMPRODUCT((J381=$J$7:$J$1000)*(P381&lt;$P$7:$P$1000))+1</f>
        <v>#N/A</v>
      </c>
      <c r="S381" s="72"/>
    </row>
    <row r="382" spans="10:19" x14ac:dyDescent="0.35">
      <c r="J382">
        <v>16</v>
      </c>
      <c r="K382" t="s">
        <v>14</v>
      </c>
      <c r="L382" t="s">
        <v>448</v>
      </c>
      <c r="M382" t="s">
        <v>256</v>
      </c>
      <c r="N382" t="s">
        <v>9</v>
      </c>
      <c r="O382" t="s">
        <v>13</v>
      </c>
      <c r="P382">
        <f t="shared" si="17"/>
        <v>4.9568402835106626</v>
      </c>
      <c r="Q382" t="str">
        <f t="shared" si="18"/>
        <v/>
      </c>
      <c r="R382" s="67" t="e" cm="1">
        <f t="array" ref="R382">SUMPRODUCT((J382=$J$7:$J$1000)*(P382&lt;$P$7:$P$1000))+1</f>
        <v>#N/A</v>
      </c>
      <c r="S382" s="72"/>
    </row>
    <row r="383" spans="10:19" x14ac:dyDescent="0.35">
      <c r="J383">
        <v>16</v>
      </c>
      <c r="K383" t="s">
        <v>14</v>
      </c>
      <c r="L383" t="s">
        <v>11</v>
      </c>
      <c r="M383" t="s">
        <v>256</v>
      </c>
      <c r="N383" t="s">
        <v>9</v>
      </c>
      <c r="O383" t="s">
        <v>13</v>
      </c>
      <c r="P383">
        <f t="shared" si="17"/>
        <v>5.4619654389334089</v>
      </c>
      <c r="Q383" t="str">
        <f t="shared" si="18"/>
        <v/>
      </c>
      <c r="R383" s="67" t="e" cm="1">
        <f t="array" ref="R383">SUMPRODUCT((J383=$J$7:$J$1000)*(P383&lt;$P$7:$P$1000))+1</f>
        <v>#N/A</v>
      </c>
      <c r="S383" s="72"/>
    </row>
    <row r="384" spans="10:19" x14ac:dyDescent="0.35">
      <c r="J384">
        <v>16</v>
      </c>
      <c r="K384" t="s">
        <v>14</v>
      </c>
      <c r="L384" t="s">
        <v>517</v>
      </c>
      <c r="M384" t="s">
        <v>256</v>
      </c>
      <c r="N384" t="s">
        <v>9</v>
      </c>
      <c r="O384" t="s">
        <v>13</v>
      </c>
      <c r="P384">
        <f t="shared" si="17"/>
        <v>3.1765073002801918</v>
      </c>
      <c r="Q384" t="str">
        <f t="shared" si="18"/>
        <v/>
      </c>
      <c r="R384" s="67" t="e" cm="1">
        <f t="array" ref="R384">SUMPRODUCT((J384=$J$7:$J$1000)*(P384&lt;$P$7:$P$1000))+1</f>
        <v>#N/A</v>
      </c>
      <c r="S384" s="72"/>
    </row>
    <row r="385" spans="10:19" x14ac:dyDescent="0.35">
      <c r="J385">
        <v>16</v>
      </c>
      <c r="K385" t="s">
        <v>2</v>
      </c>
      <c r="L385" t="s">
        <v>44</v>
      </c>
      <c r="M385" t="s">
        <v>256</v>
      </c>
      <c r="N385" t="s">
        <v>3</v>
      </c>
      <c r="O385" t="s">
        <v>4</v>
      </c>
      <c r="P385">
        <f t="shared" si="17"/>
        <v>5.8528467941821534</v>
      </c>
      <c r="Q385" t="str">
        <f t="shared" si="18"/>
        <v/>
      </c>
      <c r="R385" s="67" t="e" cm="1">
        <f t="array" ref="R385">SUMPRODUCT((J385=$J$7:$J$1000)*(P385&lt;$P$7:$P$1000))+1</f>
        <v>#N/A</v>
      </c>
      <c r="S385" s="72"/>
    </row>
    <row r="386" spans="10:19" x14ac:dyDescent="0.35">
      <c r="J386" s="66">
        <v>16</v>
      </c>
      <c r="K386" t="s">
        <v>2</v>
      </c>
      <c r="L386" t="s">
        <v>596</v>
      </c>
      <c r="M386" t="s">
        <v>256</v>
      </c>
      <c r="N386" t="s">
        <v>3</v>
      </c>
      <c r="O386" t="s">
        <v>4</v>
      </c>
      <c r="P386">
        <f t="shared" si="17"/>
        <v>7.7686941795183149</v>
      </c>
      <c r="Q386" t="str">
        <f t="shared" si="18"/>
        <v/>
      </c>
      <c r="R386" s="67" t="e" cm="1">
        <f t="array" ref="R386">SUMPRODUCT((J386=$J$7:$J$1000)*(P386&lt;$P$7:$P$1000))+1</f>
        <v>#N/A</v>
      </c>
      <c r="S386" s="72"/>
    </row>
    <row r="387" spans="10:19" x14ac:dyDescent="0.35">
      <c r="J387">
        <v>16</v>
      </c>
      <c r="K387" t="s">
        <v>2</v>
      </c>
      <c r="L387" t="s">
        <v>449</v>
      </c>
      <c r="M387" t="s">
        <v>256</v>
      </c>
      <c r="N387" t="s">
        <v>3</v>
      </c>
      <c r="O387" t="s">
        <v>4</v>
      </c>
      <c r="P387">
        <f t="shared" si="17"/>
        <v>7.6810924897353026</v>
      </c>
      <c r="Q387" t="str">
        <f t="shared" si="18"/>
        <v/>
      </c>
      <c r="R387" s="67" t="e" cm="1">
        <f t="array" ref="R387">SUMPRODUCT((J387=$J$7:$J$1000)*(P387&lt;$P$7:$P$1000))+1</f>
        <v>#N/A</v>
      </c>
      <c r="S387" s="72"/>
    </row>
    <row r="388" spans="10:19" x14ac:dyDescent="0.35">
      <c r="J388">
        <v>16</v>
      </c>
      <c r="K388" t="s">
        <v>6</v>
      </c>
      <c r="L388" t="s">
        <v>8</v>
      </c>
      <c r="M388" t="s">
        <v>256</v>
      </c>
      <c r="N388" t="s">
        <v>9</v>
      </c>
      <c r="O388" t="s">
        <v>7</v>
      </c>
      <c r="P388">
        <f t="shared" si="17"/>
        <v>13.865954613945888</v>
      </c>
      <c r="Q388" t="str">
        <f t="shared" si="18"/>
        <v/>
      </c>
      <c r="R388" s="67" t="e" cm="1">
        <f t="array" ref="R388">SUMPRODUCT((J388=$J$7:$J$1000)*(P388&lt;$P$7:$P$1000))+1</f>
        <v>#N/A</v>
      </c>
      <c r="S388" s="72"/>
    </row>
    <row r="389" spans="10:19" x14ac:dyDescent="0.35">
      <c r="J389">
        <v>16</v>
      </c>
      <c r="K389" t="s">
        <v>6</v>
      </c>
      <c r="L389" t="s">
        <v>445</v>
      </c>
      <c r="M389" t="s">
        <v>256</v>
      </c>
      <c r="N389" t="s">
        <v>9</v>
      </c>
      <c r="O389" t="s">
        <v>7</v>
      </c>
      <c r="P389">
        <f t="shared" si="17"/>
        <v>13.724137943850813</v>
      </c>
      <c r="Q389" t="str">
        <f t="shared" si="18"/>
        <v/>
      </c>
      <c r="R389" s="67" t="e" cm="1">
        <f t="array" ref="R389">SUMPRODUCT((J389=$J$7:$J$1000)*(P389&lt;$P$7:$P$1000))+1</f>
        <v>#N/A</v>
      </c>
      <c r="S389" s="72"/>
    </row>
    <row r="390" spans="10:19" x14ac:dyDescent="0.35">
      <c r="J390">
        <v>16</v>
      </c>
      <c r="K390" t="s">
        <v>6</v>
      </c>
      <c r="L390" t="s">
        <v>451</v>
      </c>
      <c r="M390" t="s">
        <v>256</v>
      </c>
      <c r="N390" t="s">
        <v>9</v>
      </c>
      <c r="O390" t="s">
        <v>7</v>
      </c>
      <c r="P390">
        <f t="shared" si="17"/>
        <v>11.661102007070593</v>
      </c>
      <c r="Q390" t="str">
        <f t="shared" si="18"/>
        <v/>
      </c>
      <c r="R390" s="67" t="e" cm="1">
        <f t="array" ref="R390">SUMPRODUCT((J390=$J$7:$J$1000)*(P390&lt;$P$7:$P$1000))+1</f>
        <v>#N/A</v>
      </c>
      <c r="S390" s="72"/>
    </row>
    <row r="391" spans="10:19" x14ac:dyDescent="0.35">
      <c r="J391">
        <v>16</v>
      </c>
      <c r="K391" t="s">
        <v>24</v>
      </c>
      <c r="L391" t="s">
        <v>35</v>
      </c>
      <c r="M391" t="s">
        <v>256</v>
      </c>
      <c r="N391" t="s">
        <v>3</v>
      </c>
      <c r="O391" t="s">
        <v>34</v>
      </c>
      <c r="P391">
        <f t="shared" si="17"/>
        <v>5.7177988355579519</v>
      </c>
      <c r="Q391" t="str">
        <f t="shared" si="18"/>
        <v/>
      </c>
      <c r="R391" s="67" t="e" cm="1">
        <f t="array" ref="R391">SUMPRODUCT((J391=$J$7:$J$1000)*(P391&lt;$P$7:$P$1000))+1</f>
        <v>#N/A</v>
      </c>
      <c r="S391" s="72"/>
    </row>
    <row r="392" spans="10:19" x14ac:dyDescent="0.35">
      <c r="J392">
        <v>16</v>
      </c>
      <c r="K392" t="s">
        <v>24</v>
      </c>
      <c r="L392" t="s">
        <v>402</v>
      </c>
      <c r="M392" t="s">
        <v>256</v>
      </c>
      <c r="N392" t="s">
        <v>3</v>
      </c>
      <c r="O392" t="s">
        <v>34</v>
      </c>
      <c r="P392">
        <f t="shared" ref="P392:P425" si="19">VLOOKUP($N392,$F$3:$G$4,2,FALSE)+VLOOKUP($L392,$B$20:$C$150,2,FALSE)+VLOOKUP($O392,$A$6:$B$16,2,FALSE)</f>
        <v>5.2936275836857449</v>
      </c>
      <c r="Q392" t="str">
        <f t="shared" si="18"/>
        <v/>
      </c>
      <c r="R392" s="67" t="e" cm="1">
        <f t="array" ref="R392">SUMPRODUCT((J392=$J$7:$J$1000)*(P392&lt;$P$7:$P$1000))+1</f>
        <v>#N/A</v>
      </c>
      <c r="S392" s="72"/>
    </row>
    <row r="393" spans="10:19" x14ac:dyDescent="0.35">
      <c r="J393">
        <v>16</v>
      </c>
      <c r="K393" t="s">
        <v>24</v>
      </c>
      <c r="L393" t="s">
        <v>96</v>
      </c>
      <c r="M393" t="s">
        <v>256</v>
      </c>
      <c r="N393" t="s">
        <v>3</v>
      </c>
      <c r="O393" t="s">
        <v>34</v>
      </c>
      <c r="P393">
        <f t="shared" si="19"/>
        <v>3.2653861231709702</v>
      </c>
      <c r="Q393" t="str">
        <f t="shared" si="18"/>
        <v/>
      </c>
      <c r="R393" s="67" t="e" cm="1">
        <f t="array" ref="R393">SUMPRODUCT((J393=$J$7:$J$1000)*(P393&lt;$P$7:$P$1000))+1</f>
        <v>#N/A</v>
      </c>
      <c r="S393" s="72"/>
    </row>
    <row r="394" spans="10:19" x14ac:dyDescent="0.35">
      <c r="J394">
        <v>16</v>
      </c>
      <c r="K394" t="s">
        <v>24</v>
      </c>
      <c r="L394" t="s">
        <v>446</v>
      </c>
      <c r="M394" t="s">
        <v>256</v>
      </c>
      <c r="N394" t="s">
        <v>3</v>
      </c>
      <c r="O394" t="s">
        <v>34</v>
      </c>
      <c r="P394">
        <f t="shared" si="19"/>
        <v>8.449923490111825</v>
      </c>
      <c r="Q394" t="str">
        <f t="shared" si="18"/>
        <v/>
      </c>
      <c r="R394" s="67" t="e" cm="1">
        <f t="array" ref="R394">SUMPRODUCT((J394=$J$7:$J$1000)*(P394&lt;$P$7:$P$1000))+1</f>
        <v>#N/A</v>
      </c>
      <c r="S394" s="72"/>
    </row>
    <row r="395" spans="10:19" x14ac:dyDescent="0.35">
      <c r="J395">
        <v>16</v>
      </c>
      <c r="K395" t="s">
        <v>24</v>
      </c>
      <c r="L395" t="s">
        <v>487</v>
      </c>
      <c r="M395" t="s">
        <v>256</v>
      </c>
      <c r="N395" t="s">
        <v>3</v>
      </c>
      <c r="O395" t="s">
        <v>34</v>
      </c>
      <c r="P395">
        <f t="shared" si="19"/>
        <v>3.4380081734033849</v>
      </c>
      <c r="Q395" t="str">
        <f t="shared" si="18"/>
        <v/>
      </c>
      <c r="R395" s="67" t="e" cm="1">
        <f t="array" ref="R395">SUMPRODUCT((J395=$J$7:$J$1000)*(P395&lt;$P$7:$P$1000))+1</f>
        <v>#N/A</v>
      </c>
      <c r="S395" s="72"/>
    </row>
    <row r="396" spans="10:19" x14ac:dyDescent="0.35">
      <c r="J396" s="66">
        <v>16</v>
      </c>
      <c r="K396" t="s">
        <v>23</v>
      </c>
      <c r="L396" t="s">
        <v>25</v>
      </c>
      <c r="M396" t="s">
        <v>256</v>
      </c>
      <c r="N396" t="s">
        <v>3</v>
      </c>
      <c r="O396" t="s">
        <v>17</v>
      </c>
      <c r="P396">
        <f t="shared" si="19"/>
        <v>2.8153487973154183</v>
      </c>
      <c r="Q396" t="str">
        <f t="shared" si="18"/>
        <v/>
      </c>
      <c r="R396" s="67" t="e" cm="1">
        <f t="array" ref="R396">SUMPRODUCT((J396=$J$7:$J$1000)*(P396&lt;$P$7:$P$1000))+1</f>
        <v>#N/A</v>
      </c>
      <c r="S396" s="72"/>
    </row>
    <row r="397" spans="10:19" x14ac:dyDescent="0.35">
      <c r="J397">
        <v>16</v>
      </c>
      <c r="K397" t="s">
        <v>23</v>
      </c>
      <c r="L397" t="s">
        <v>518</v>
      </c>
      <c r="M397" t="s">
        <v>256</v>
      </c>
      <c r="N397" t="s">
        <v>3</v>
      </c>
      <c r="O397" t="s">
        <v>17</v>
      </c>
      <c r="P397">
        <f t="shared" si="19"/>
        <v>0.66153299462547643</v>
      </c>
      <c r="Q397" t="str">
        <f t="shared" si="18"/>
        <v/>
      </c>
      <c r="R397" s="67" t="e" cm="1">
        <f t="array" ref="R397">SUMPRODUCT((J397=$J$7:$J$1000)*(P397&lt;$P$7:$P$1000))+1</f>
        <v>#N/A</v>
      </c>
      <c r="S397" s="72"/>
    </row>
    <row r="398" spans="10:19" x14ac:dyDescent="0.35">
      <c r="J398">
        <v>16</v>
      </c>
      <c r="K398" t="s">
        <v>23</v>
      </c>
      <c r="L398" t="s">
        <v>498</v>
      </c>
      <c r="M398" t="s">
        <v>256</v>
      </c>
      <c r="N398" t="s">
        <v>3</v>
      </c>
      <c r="O398" t="s">
        <v>17</v>
      </c>
      <c r="P398">
        <f t="shared" si="19"/>
        <v>7.3181382065364486</v>
      </c>
      <c r="Q398" t="str">
        <f t="shared" si="18"/>
        <v/>
      </c>
      <c r="R398" s="67" t="e" cm="1">
        <f t="array" ref="R398">SUMPRODUCT((J398=$J$7:$J$1000)*(P398&lt;$P$7:$P$1000))+1</f>
        <v>#N/A</v>
      </c>
      <c r="S398" s="72"/>
    </row>
    <row r="399" spans="10:19" x14ac:dyDescent="0.35">
      <c r="J399">
        <v>16</v>
      </c>
      <c r="K399" t="s">
        <v>23</v>
      </c>
      <c r="L399" t="s">
        <v>32</v>
      </c>
      <c r="M399" t="s">
        <v>256</v>
      </c>
      <c r="N399" t="s">
        <v>3</v>
      </c>
      <c r="O399" t="s">
        <v>17</v>
      </c>
      <c r="P399">
        <f t="shared" si="19"/>
        <v>8.0017293368012634</v>
      </c>
      <c r="Q399" t="str">
        <f t="shared" si="18"/>
        <v/>
      </c>
      <c r="R399" s="67" t="e" cm="1">
        <f t="array" ref="R399">SUMPRODUCT((J399=$J$7:$J$1000)*(P399&lt;$P$7:$P$1000))+1</f>
        <v>#N/A</v>
      </c>
      <c r="S399" s="72"/>
    </row>
    <row r="400" spans="10:19" x14ac:dyDescent="0.35">
      <c r="J400">
        <v>16</v>
      </c>
      <c r="K400" t="s">
        <v>23</v>
      </c>
      <c r="L400" t="s">
        <v>46</v>
      </c>
      <c r="M400" t="s">
        <v>256</v>
      </c>
      <c r="N400" t="s">
        <v>3</v>
      </c>
      <c r="O400" t="s">
        <v>17</v>
      </c>
      <c r="P400">
        <f t="shared" si="19"/>
        <v>7.260657445345422</v>
      </c>
      <c r="Q400" t="str">
        <f t="shared" si="18"/>
        <v/>
      </c>
      <c r="R400" s="67" t="e" cm="1">
        <f t="array" ref="R400">SUMPRODUCT((J400=$J$7:$J$1000)*(P400&lt;$P$7:$P$1000))+1</f>
        <v>#N/A</v>
      </c>
      <c r="S400" s="72"/>
    </row>
    <row r="401" spans="10:19" x14ac:dyDescent="0.35">
      <c r="J401">
        <v>16</v>
      </c>
      <c r="K401" t="s">
        <v>4</v>
      </c>
      <c r="L401" t="s">
        <v>452</v>
      </c>
      <c r="M401" t="s">
        <v>256</v>
      </c>
      <c r="N401" t="s">
        <v>9</v>
      </c>
      <c r="O401" t="s">
        <v>2</v>
      </c>
      <c r="P401">
        <f t="shared" si="19"/>
        <v>6.8426270622172138</v>
      </c>
      <c r="Q401" t="str">
        <f t="shared" si="18"/>
        <v/>
      </c>
      <c r="R401" s="67" t="e" cm="1">
        <f t="array" ref="R401">SUMPRODUCT((J401=$J$7:$J$1000)*(P401&lt;$P$7:$P$1000))+1</f>
        <v>#N/A</v>
      </c>
      <c r="S401" s="72"/>
    </row>
    <row r="402" spans="10:19" x14ac:dyDescent="0.35">
      <c r="J402">
        <v>16</v>
      </c>
      <c r="K402" t="s">
        <v>4</v>
      </c>
      <c r="L402" t="s">
        <v>1</v>
      </c>
      <c r="M402" t="s">
        <v>256</v>
      </c>
      <c r="N402" t="s">
        <v>9</v>
      </c>
      <c r="O402" t="s">
        <v>2</v>
      </c>
      <c r="P402">
        <f t="shared" si="19"/>
        <v>8.1608969448701796</v>
      </c>
      <c r="Q402" t="str">
        <f t="shared" si="18"/>
        <v/>
      </c>
      <c r="R402" s="67" t="e" cm="1">
        <f t="array" ref="R402">SUMPRODUCT((J402=$J$7:$J$1000)*(P402&lt;$P$7:$P$1000))+1</f>
        <v>#N/A</v>
      </c>
      <c r="S402" s="72"/>
    </row>
    <row r="403" spans="10:19" x14ac:dyDescent="0.35">
      <c r="J403">
        <v>16</v>
      </c>
      <c r="K403" t="s">
        <v>4</v>
      </c>
      <c r="L403" t="s">
        <v>475</v>
      </c>
      <c r="M403" t="s">
        <v>256</v>
      </c>
      <c r="N403" t="s">
        <v>9</v>
      </c>
      <c r="O403" t="s">
        <v>2</v>
      </c>
      <c r="P403">
        <f t="shared" si="19"/>
        <v>4.6454622183045862</v>
      </c>
      <c r="Q403" t="str">
        <f t="shared" si="18"/>
        <v/>
      </c>
      <c r="R403" s="67" t="e" cm="1">
        <f t="array" ref="R403">SUMPRODUCT((J403=$J$7:$J$1000)*(P403&lt;$P$7:$P$1000))+1</f>
        <v>#N/A</v>
      </c>
      <c r="S403" s="72"/>
    </row>
    <row r="404" spans="10:19" x14ac:dyDescent="0.35">
      <c r="J404">
        <v>16</v>
      </c>
      <c r="K404" t="s">
        <v>4</v>
      </c>
      <c r="L404" t="s">
        <v>0</v>
      </c>
      <c r="M404" t="s">
        <v>256</v>
      </c>
      <c r="N404" t="s">
        <v>9</v>
      </c>
      <c r="O404" t="s">
        <v>2</v>
      </c>
      <c r="P404" t="e">
        <f t="shared" si="19"/>
        <v>#N/A</v>
      </c>
      <c r="Q404" t="str">
        <f t="shared" si="18"/>
        <v/>
      </c>
      <c r="R404" s="67" t="e" cm="1">
        <f t="array" ref="R404">SUMPRODUCT((J404=$J$7:$J$1000)*(P404&lt;$P$7:$P$1000))+1</f>
        <v>#N/A</v>
      </c>
      <c r="S404" s="72"/>
    </row>
    <row r="405" spans="10:19" x14ac:dyDescent="0.35">
      <c r="J405">
        <v>16</v>
      </c>
      <c r="K405" t="s">
        <v>7</v>
      </c>
      <c r="L405" t="s">
        <v>19</v>
      </c>
      <c r="M405" t="s">
        <v>256</v>
      </c>
      <c r="N405" t="s">
        <v>3</v>
      </c>
      <c r="O405" t="s">
        <v>6</v>
      </c>
      <c r="P405">
        <f t="shared" si="19"/>
        <v>8.1068653021655912</v>
      </c>
      <c r="Q405" t="str">
        <f t="shared" si="18"/>
        <v/>
      </c>
      <c r="R405" s="67" t="e" cm="1">
        <f t="array" ref="R405">SUMPRODUCT((J405=$J$7:$J$1000)*(P405&lt;$P$7:$P$1000))+1</f>
        <v>#N/A</v>
      </c>
      <c r="S405" s="72"/>
    </row>
    <row r="406" spans="10:19" x14ac:dyDescent="0.35">
      <c r="J406">
        <v>16</v>
      </c>
      <c r="K406" t="s">
        <v>7</v>
      </c>
      <c r="L406" t="s">
        <v>570</v>
      </c>
      <c r="M406" t="s">
        <v>256</v>
      </c>
      <c r="N406" t="s">
        <v>3</v>
      </c>
      <c r="O406" t="s">
        <v>6</v>
      </c>
      <c r="P406" t="e">
        <f t="shared" si="19"/>
        <v>#N/A</v>
      </c>
      <c r="Q406" t="str">
        <f t="shared" si="18"/>
        <v/>
      </c>
      <c r="R406" s="67" t="e" cm="1">
        <f t="array" ref="R406">SUMPRODUCT((J406=$J$7:$J$1000)*(P406&lt;$P$7:$P$1000))+1</f>
        <v>#N/A</v>
      </c>
      <c r="S406" s="72"/>
    </row>
    <row r="407" spans="10:19" x14ac:dyDescent="0.35">
      <c r="J407">
        <v>16</v>
      </c>
      <c r="K407" t="s">
        <v>7</v>
      </c>
      <c r="L407" t="s">
        <v>26</v>
      </c>
      <c r="M407" t="s">
        <v>256</v>
      </c>
      <c r="N407" t="s">
        <v>3</v>
      </c>
      <c r="O407" t="s">
        <v>6</v>
      </c>
      <c r="P407">
        <f t="shared" si="19"/>
        <v>13.477328317156648</v>
      </c>
      <c r="Q407" t="str">
        <f t="shared" si="18"/>
        <v/>
      </c>
      <c r="R407" s="67" t="e" cm="1">
        <f t="array" ref="R407">SUMPRODUCT((J407=$J$7:$J$1000)*(P407&lt;$P$7:$P$1000))+1</f>
        <v>#N/A</v>
      </c>
      <c r="S407" s="72"/>
    </row>
    <row r="408" spans="10:19" x14ac:dyDescent="0.35">
      <c r="J408">
        <v>16</v>
      </c>
      <c r="K408" t="s">
        <v>7</v>
      </c>
      <c r="L408" t="s">
        <v>447</v>
      </c>
      <c r="M408" t="s">
        <v>256</v>
      </c>
      <c r="N408" t="s">
        <v>3</v>
      </c>
      <c r="O408" t="s">
        <v>6</v>
      </c>
      <c r="P408">
        <f t="shared" si="19"/>
        <v>9.5854774735177521</v>
      </c>
      <c r="Q408" t="str">
        <f t="shared" si="18"/>
        <v/>
      </c>
      <c r="R408" s="67" t="e" cm="1">
        <f t="array" ref="R408">SUMPRODUCT((J408=$J$7:$J$1000)*(P408&lt;$P$7:$P$1000))+1</f>
        <v>#N/A</v>
      </c>
      <c r="S408" s="72"/>
    </row>
    <row r="409" spans="10:19" x14ac:dyDescent="0.35">
      <c r="J409">
        <v>16</v>
      </c>
      <c r="K409" t="s">
        <v>7</v>
      </c>
      <c r="L409" t="s">
        <v>45</v>
      </c>
      <c r="M409" t="s">
        <v>256</v>
      </c>
      <c r="N409" t="s">
        <v>3</v>
      </c>
      <c r="O409" t="s">
        <v>6</v>
      </c>
      <c r="P409">
        <f t="shared" si="19"/>
        <v>11.045872747247397</v>
      </c>
      <c r="Q409" t="str">
        <f t="shared" si="18"/>
        <v/>
      </c>
      <c r="R409" s="67" t="e" cm="1">
        <f t="array" ref="R409">SUMPRODUCT((J409=$J$7:$J$1000)*(P409&lt;$P$7:$P$1000))+1</f>
        <v>#N/A</v>
      </c>
      <c r="S409" s="72"/>
    </row>
    <row r="410" spans="10:19" x14ac:dyDescent="0.35">
      <c r="J410">
        <v>16</v>
      </c>
      <c r="K410" t="s">
        <v>34</v>
      </c>
      <c r="L410" t="s">
        <v>546</v>
      </c>
      <c r="M410" t="s">
        <v>256</v>
      </c>
      <c r="N410" t="s">
        <v>9</v>
      </c>
      <c r="O410" t="s">
        <v>24</v>
      </c>
      <c r="P410">
        <f t="shared" si="19"/>
        <v>7.2691812033109233</v>
      </c>
      <c r="Q410" t="str">
        <f t="shared" si="18"/>
        <v/>
      </c>
      <c r="R410" s="67" t="e" cm="1">
        <f t="array" ref="R410">SUMPRODUCT((J410=$J$7:$J$1000)*(P410&lt;$P$7:$P$1000))+1</f>
        <v>#N/A</v>
      </c>
      <c r="S410" s="72"/>
    </row>
    <row r="411" spans="10:19" x14ac:dyDescent="0.35">
      <c r="J411">
        <v>16</v>
      </c>
      <c r="K411" t="s">
        <v>34</v>
      </c>
      <c r="L411" t="s">
        <v>41</v>
      </c>
      <c r="M411" t="s">
        <v>256</v>
      </c>
      <c r="N411" t="s">
        <v>9</v>
      </c>
      <c r="O411" t="s">
        <v>24</v>
      </c>
      <c r="P411">
        <f t="shared" si="19"/>
        <v>5.6751456801259765</v>
      </c>
      <c r="Q411" t="str">
        <f t="shared" si="18"/>
        <v/>
      </c>
      <c r="R411" s="67" t="e" cm="1">
        <f t="array" ref="R411">SUMPRODUCT((J411=$J$7:$J$1000)*(P411&lt;$P$7:$P$1000))+1</f>
        <v>#N/A</v>
      </c>
      <c r="S411" s="72"/>
    </row>
    <row r="412" spans="10:19" x14ac:dyDescent="0.35">
      <c r="J412" s="66">
        <v>16</v>
      </c>
      <c r="K412" t="s">
        <v>34</v>
      </c>
      <c r="L412" t="s">
        <v>51</v>
      </c>
      <c r="M412" t="s">
        <v>256</v>
      </c>
      <c r="N412" t="s">
        <v>9</v>
      </c>
      <c r="O412" t="s">
        <v>24</v>
      </c>
      <c r="P412">
        <f t="shared" si="19"/>
        <v>3.5833339698048099</v>
      </c>
      <c r="Q412" t="str">
        <f t="shared" si="18"/>
        <v/>
      </c>
      <c r="R412" s="67" t="e" cm="1">
        <f t="array" ref="R412">SUMPRODUCT((J412=$J$7:$J$1000)*(P412&lt;$P$7:$P$1000))+1</f>
        <v>#N/A</v>
      </c>
      <c r="S412" s="72"/>
    </row>
    <row r="413" spans="10:19" x14ac:dyDescent="0.35">
      <c r="J413">
        <v>16</v>
      </c>
      <c r="K413" t="s">
        <v>34</v>
      </c>
      <c r="L413" t="s">
        <v>52</v>
      </c>
      <c r="M413" t="s">
        <v>256</v>
      </c>
      <c r="N413" t="s">
        <v>9</v>
      </c>
      <c r="O413" t="s">
        <v>24</v>
      </c>
      <c r="P413">
        <f t="shared" si="19"/>
        <v>5.7871363543667407</v>
      </c>
      <c r="Q413" t="str">
        <f t="shared" si="18"/>
        <v/>
      </c>
      <c r="R413" s="67" t="e" cm="1">
        <f t="array" ref="R413">SUMPRODUCT((J413=$J$7:$J$1000)*(P413&lt;$P$7:$P$1000))+1</f>
        <v>#N/A</v>
      </c>
      <c r="S413" s="72"/>
    </row>
    <row r="414" spans="10:19" x14ac:dyDescent="0.35">
      <c r="J414">
        <v>16</v>
      </c>
      <c r="K414" t="s">
        <v>34</v>
      </c>
      <c r="L414" t="s">
        <v>39</v>
      </c>
      <c r="M414" t="s">
        <v>256</v>
      </c>
      <c r="N414" t="s">
        <v>9</v>
      </c>
      <c r="O414" t="s">
        <v>24</v>
      </c>
      <c r="P414">
        <f t="shared" si="19"/>
        <v>3.4343636923489211</v>
      </c>
      <c r="Q414" t="str">
        <f t="shared" si="18"/>
        <v/>
      </c>
      <c r="R414" s="67" t="e" cm="1">
        <f t="array" ref="R414">SUMPRODUCT((J414=$J$7:$J$1000)*(P414&lt;$P$7:$P$1000))+1</f>
        <v>#N/A</v>
      </c>
      <c r="S414" s="72"/>
    </row>
    <row r="415" spans="10:19" x14ac:dyDescent="0.35">
      <c r="J415">
        <v>16</v>
      </c>
      <c r="K415" t="s">
        <v>34</v>
      </c>
      <c r="L415" t="s">
        <v>100</v>
      </c>
      <c r="M415" t="s">
        <v>256</v>
      </c>
      <c r="N415" t="s">
        <v>9</v>
      </c>
      <c r="O415" t="s">
        <v>24</v>
      </c>
      <c r="P415">
        <f t="shared" si="19"/>
        <v>10.409290184450692</v>
      </c>
      <c r="Q415" t="str">
        <f t="shared" si="18"/>
        <v/>
      </c>
      <c r="R415" s="67" t="e" cm="1">
        <f t="array" ref="R415">SUMPRODUCT((J415=$J$7:$J$1000)*(P415&lt;$P$7:$P$1000))+1</f>
        <v>#N/A</v>
      </c>
      <c r="S415" s="72"/>
    </row>
    <row r="416" spans="10:19" x14ac:dyDescent="0.35">
      <c r="J416" s="66">
        <v>16</v>
      </c>
      <c r="K416" t="s">
        <v>17</v>
      </c>
      <c r="L416" t="s">
        <v>16</v>
      </c>
      <c r="M416" t="s">
        <v>256</v>
      </c>
      <c r="N416" t="s">
        <v>9</v>
      </c>
      <c r="O416" t="s">
        <v>23</v>
      </c>
      <c r="P416">
        <f t="shared" si="19"/>
        <v>5.5410452987200696</v>
      </c>
      <c r="Q416" t="str">
        <f t="shared" si="18"/>
        <v/>
      </c>
      <c r="R416" s="67" t="e" cm="1">
        <f t="array" ref="R416">SUMPRODUCT((J416=$J$7:$J$1000)*(P416&lt;$P$7:$P$1000))+1</f>
        <v>#N/A</v>
      </c>
      <c r="S416" s="72"/>
    </row>
    <row r="417" spans="10:19" x14ac:dyDescent="0.35">
      <c r="J417">
        <v>16</v>
      </c>
      <c r="K417" t="s">
        <v>17</v>
      </c>
      <c r="L417" t="s">
        <v>37</v>
      </c>
      <c r="M417" t="s">
        <v>256</v>
      </c>
      <c r="N417" t="s">
        <v>9</v>
      </c>
      <c r="O417" t="s">
        <v>23</v>
      </c>
      <c r="P417">
        <f t="shared" si="19"/>
        <v>11.391921951420006</v>
      </c>
      <c r="Q417" t="str">
        <f t="shared" ref="Q417:Q425" si="20">IFERROR(($M417-$P417)^2,"")</f>
        <v/>
      </c>
      <c r="R417" s="67" t="e" cm="1">
        <f t="array" ref="R417">SUMPRODUCT((J417=$J$7:$J$1000)*(P417&lt;$P$7:$P$1000))+1</f>
        <v>#N/A</v>
      </c>
      <c r="S417" s="72"/>
    </row>
    <row r="418" spans="10:19" x14ac:dyDescent="0.35">
      <c r="J418">
        <v>16</v>
      </c>
      <c r="K418" t="s">
        <v>17</v>
      </c>
      <c r="L418" t="s">
        <v>492</v>
      </c>
      <c r="M418" t="s">
        <v>256</v>
      </c>
      <c r="N418" t="s">
        <v>9</v>
      </c>
      <c r="O418" t="s">
        <v>23</v>
      </c>
      <c r="P418">
        <f t="shared" si="19"/>
        <v>8.4481445065662122</v>
      </c>
      <c r="Q418" t="str">
        <f t="shared" si="20"/>
        <v/>
      </c>
      <c r="R418" s="67" t="e" cm="1">
        <f t="array" ref="R418">SUMPRODUCT((J418=$J$7:$J$1000)*(P418&lt;$P$7:$P$1000))+1</f>
        <v>#N/A</v>
      </c>
      <c r="S418" s="72"/>
    </row>
    <row r="419" spans="10:19" x14ac:dyDescent="0.35">
      <c r="J419">
        <v>16</v>
      </c>
      <c r="K419" t="s">
        <v>17</v>
      </c>
      <c r="L419" t="s">
        <v>450</v>
      </c>
      <c r="M419" t="s">
        <v>256</v>
      </c>
      <c r="N419" t="s">
        <v>9</v>
      </c>
      <c r="O419" t="s">
        <v>23</v>
      </c>
      <c r="P419">
        <f t="shared" si="19"/>
        <v>4.7666253294135466</v>
      </c>
      <c r="Q419" t="str">
        <f t="shared" si="20"/>
        <v/>
      </c>
      <c r="R419" s="67" t="e" cm="1">
        <f t="array" ref="R419">SUMPRODUCT((J419=$J$7:$J$1000)*(P419&lt;$P$7:$P$1000))+1</f>
        <v>#N/A</v>
      </c>
      <c r="S419" s="72"/>
    </row>
    <row r="420" spans="10:19" x14ac:dyDescent="0.35">
      <c r="J420">
        <v>16</v>
      </c>
      <c r="K420" t="s">
        <v>17</v>
      </c>
      <c r="L420" t="s">
        <v>196</v>
      </c>
      <c r="M420" t="s">
        <v>256</v>
      </c>
      <c r="N420" t="s">
        <v>9</v>
      </c>
      <c r="O420" t="s">
        <v>23</v>
      </c>
      <c r="P420">
        <f t="shared" si="19"/>
        <v>6.2668879769492225</v>
      </c>
      <c r="Q420" t="str">
        <f t="shared" si="20"/>
        <v/>
      </c>
      <c r="R420" s="67" t="e" cm="1">
        <f t="array" ref="R420">SUMPRODUCT((J420=$J$7:$J$1000)*(P420&lt;$P$7:$P$1000))+1</f>
        <v>#N/A</v>
      </c>
      <c r="S420" s="72"/>
    </row>
    <row r="421" spans="10:19" x14ac:dyDescent="0.35">
      <c r="J421">
        <v>16</v>
      </c>
      <c r="K421" t="s">
        <v>13</v>
      </c>
      <c r="L421" t="s">
        <v>649</v>
      </c>
      <c r="M421" t="s">
        <v>256</v>
      </c>
      <c r="N421" t="s">
        <v>3</v>
      </c>
      <c r="O421" t="s">
        <v>14</v>
      </c>
      <c r="P421">
        <f t="shared" si="19"/>
        <v>6.590371531255963</v>
      </c>
      <c r="Q421" t="str">
        <f t="shared" si="20"/>
        <v/>
      </c>
      <c r="R421" s="67" t="e" cm="1">
        <f t="array" ref="R421">SUMPRODUCT((J421=$J$7:$J$1000)*(P421&lt;$P$7:$P$1000))+1</f>
        <v>#N/A</v>
      </c>
      <c r="S421" s="72"/>
    </row>
    <row r="422" spans="10:19" x14ac:dyDescent="0.35">
      <c r="J422">
        <v>16</v>
      </c>
      <c r="K422" t="s">
        <v>13</v>
      </c>
      <c r="L422" t="s">
        <v>473</v>
      </c>
      <c r="M422" t="s">
        <v>256</v>
      </c>
      <c r="N422" t="s">
        <v>3</v>
      </c>
      <c r="O422" t="s">
        <v>14</v>
      </c>
      <c r="P422">
        <f t="shared" si="19"/>
        <v>14.135556166011012</v>
      </c>
      <c r="Q422" t="str">
        <f t="shared" si="20"/>
        <v/>
      </c>
      <c r="R422" s="67" t="e" cm="1">
        <f t="array" ref="R422">SUMPRODUCT((J422=$J$7:$J$1000)*(P422&lt;$P$7:$P$1000))+1</f>
        <v>#N/A</v>
      </c>
      <c r="S422" s="72"/>
    </row>
    <row r="423" spans="10:19" x14ac:dyDescent="0.35">
      <c r="J423">
        <v>16</v>
      </c>
      <c r="K423" t="s">
        <v>13</v>
      </c>
      <c r="L423" t="s">
        <v>474</v>
      </c>
      <c r="M423" t="s">
        <v>256</v>
      </c>
      <c r="N423" t="s">
        <v>3</v>
      </c>
      <c r="O423" t="s">
        <v>14</v>
      </c>
      <c r="P423">
        <f t="shared" si="19"/>
        <v>7.7814191050947086</v>
      </c>
      <c r="Q423" t="str">
        <f t="shared" si="20"/>
        <v/>
      </c>
      <c r="R423" s="67" t="e" cm="1">
        <f t="array" ref="R423">SUMPRODUCT((J423=$J$7:$J$1000)*(P423&lt;$P$7:$P$1000))+1</f>
        <v>#N/A</v>
      </c>
      <c r="S423" s="72"/>
    </row>
    <row r="424" spans="10:19" x14ac:dyDescent="0.35">
      <c r="J424">
        <v>16</v>
      </c>
      <c r="K424" t="s">
        <v>13</v>
      </c>
      <c r="L424" t="s">
        <v>53</v>
      </c>
      <c r="M424" t="s">
        <v>256</v>
      </c>
      <c r="N424" t="s">
        <v>3</v>
      </c>
      <c r="O424" t="s">
        <v>14</v>
      </c>
      <c r="P424">
        <f t="shared" si="19"/>
        <v>11.878970509556357</v>
      </c>
      <c r="Q424" t="str">
        <f t="shared" si="20"/>
        <v/>
      </c>
      <c r="R424" s="67" t="e" cm="1">
        <f t="array" ref="R424">SUMPRODUCT((J424=$J$7:$J$1000)*(P424&lt;$P$7:$P$1000))+1</f>
        <v>#N/A</v>
      </c>
      <c r="S424" s="72"/>
    </row>
    <row r="425" spans="10:19" x14ac:dyDescent="0.35">
      <c r="J425">
        <v>16</v>
      </c>
      <c r="K425" t="s">
        <v>13</v>
      </c>
      <c r="L425" t="s">
        <v>693</v>
      </c>
      <c r="M425" t="s">
        <v>256</v>
      </c>
      <c r="N425" t="s">
        <v>3</v>
      </c>
      <c r="O425" t="s">
        <v>14</v>
      </c>
      <c r="P425">
        <f t="shared" si="19"/>
        <v>0.59851765384267397</v>
      </c>
      <c r="Q425" t="str">
        <f t="shared" si="20"/>
        <v/>
      </c>
      <c r="R425" s="67" t="e" cm="1">
        <f t="array" ref="R425">SUMPRODUCT((J425=$J$7:$J$1000)*(P425&lt;$P$7:$P$1000))+1</f>
        <v>#N/A</v>
      </c>
      <c r="S425" s="72"/>
    </row>
    <row r="426" spans="10:19" x14ac:dyDescent="0.35">
      <c r="R426" s="67"/>
      <c r="S426" s="72"/>
    </row>
    <row r="427" spans="10:19" x14ac:dyDescent="0.35">
      <c r="R427" s="67"/>
      <c r="S427" s="72"/>
    </row>
    <row r="428" spans="10:19" x14ac:dyDescent="0.35">
      <c r="R428" s="67"/>
      <c r="S428" s="72"/>
    </row>
    <row r="429" spans="10:19" x14ac:dyDescent="0.35">
      <c r="R429" s="67"/>
      <c r="S429" s="72"/>
    </row>
    <row r="430" spans="10:19" x14ac:dyDescent="0.35">
      <c r="R430" s="67"/>
      <c r="S430" s="72"/>
    </row>
    <row r="431" spans="10:19" x14ac:dyDescent="0.35">
      <c r="R431" s="67"/>
      <c r="S431" s="72"/>
    </row>
    <row r="432" spans="10:19" x14ac:dyDescent="0.35">
      <c r="R432" s="67"/>
      <c r="S432" s="72"/>
    </row>
    <row r="433" spans="10:19" x14ac:dyDescent="0.35">
      <c r="R433" s="67"/>
      <c r="S433" s="72"/>
    </row>
    <row r="434" spans="10:19" x14ac:dyDescent="0.35">
      <c r="R434" s="67"/>
      <c r="S434" s="72"/>
    </row>
    <row r="435" spans="10:19" x14ac:dyDescent="0.35">
      <c r="J435" s="66"/>
      <c r="R435" s="67"/>
      <c r="S435" s="72"/>
    </row>
    <row r="436" spans="10:19" x14ac:dyDescent="0.35">
      <c r="R436" s="67"/>
      <c r="S436" s="72"/>
    </row>
    <row r="437" spans="10:19" x14ac:dyDescent="0.35">
      <c r="R437" s="67"/>
      <c r="S437" s="72"/>
    </row>
    <row r="438" spans="10:19" x14ac:dyDescent="0.35">
      <c r="R438" s="67"/>
      <c r="S438" s="72"/>
    </row>
    <row r="439" spans="10:19" x14ac:dyDescent="0.35">
      <c r="R439" s="67"/>
      <c r="S439" s="72"/>
    </row>
    <row r="440" spans="10:19" x14ac:dyDescent="0.35">
      <c r="R440" s="67"/>
      <c r="S440" s="72"/>
    </row>
    <row r="441" spans="10:19" x14ac:dyDescent="0.35">
      <c r="J441" s="66"/>
      <c r="R441" s="67"/>
      <c r="S441" s="72"/>
    </row>
    <row r="442" spans="10:19" x14ac:dyDescent="0.35">
      <c r="R442" s="67"/>
      <c r="S442" s="72"/>
    </row>
    <row r="443" spans="10:19" x14ac:dyDescent="0.35">
      <c r="R443" s="67"/>
      <c r="S443" s="72"/>
    </row>
    <row r="444" spans="10:19" x14ac:dyDescent="0.35">
      <c r="R444" s="67"/>
      <c r="S444" s="72"/>
    </row>
    <row r="445" spans="10:19" x14ac:dyDescent="0.35">
      <c r="R445" s="67"/>
      <c r="S445" s="72"/>
    </row>
    <row r="446" spans="10:19" x14ac:dyDescent="0.35">
      <c r="R446" s="67"/>
      <c r="S446" s="72"/>
    </row>
    <row r="447" spans="10:19" x14ac:dyDescent="0.35">
      <c r="R447" s="67"/>
      <c r="S447" s="72"/>
    </row>
    <row r="448" spans="10:19" x14ac:dyDescent="0.35">
      <c r="J448" s="66"/>
      <c r="R448" s="67"/>
      <c r="S448" s="72"/>
    </row>
    <row r="449" spans="10:19" x14ac:dyDescent="0.35">
      <c r="R449" s="67"/>
      <c r="S449" s="72"/>
    </row>
    <row r="450" spans="10:19" x14ac:dyDescent="0.35">
      <c r="R450" s="67"/>
      <c r="S450" s="72"/>
    </row>
    <row r="451" spans="10:19" x14ac:dyDescent="0.35">
      <c r="R451" s="67"/>
      <c r="S451" s="72"/>
    </row>
    <row r="452" spans="10:19" x14ac:dyDescent="0.35">
      <c r="R452" s="67"/>
      <c r="S452" s="72"/>
    </row>
    <row r="453" spans="10:19" x14ac:dyDescent="0.35">
      <c r="R453" s="67"/>
      <c r="S453" s="72"/>
    </row>
    <row r="454" spans="10:19" x14ac:dyDescent="0.35">
      <c r="R454" s="67"/>
      <c r="S454" s="72"/>
    </row>
    <row r="455" spans="10:19" x14ac:dyDescent="0.35">
      <c r="R455" s="67"/>
      <c r="S455" s="72"/>
    </row>
    <row r="456" spans="10:19" x14ac:dyDescent="0.35">
      <c r="R456" s="67"/>
      <c r="S456" s="72"/>
    </row>
    <row r="457" spans="10:19" x14ac:dyDescent="0.35">
      <c r="R457" s="67"/>
      <c r="S457" s="72"/>
    </row>
    <row r="458" spans="10:19" x14ac:dyDescent="0.35">
      <c r="R458" s="67"/>
      <c r="S458" s="72"/>
    </row>
    <row r="459" spans="10:19" x14ac:dyDescent="0.35">
      <c r="R459" s="67"/>
      <c r="S459" s="72"/>
    </row>
    <row r="460" spans="10:19" x14ac:dyDescent="0.35">
      <c r="R460" s="67"/>
      <c r="S460" s="72"/>
    </row>
    <row r="461" spans="10:19" x14ac:dyDescent="0.35">
      <c r="R461" s="67"/>
      <c r="S461" s="72"/>
    </row>
    <row r="462" spans="10:19" x14ac:dyDescent="0.35">
      <c r="J462" s="66"/>
      <c r="R462" s="67"/>
      <c r="S462" s="72"/>
    </row>
    <row r="463" spans="10:19" x14ac:dyDescent="0.35">
      <c r="R463" s="67"/>
      <c r="S463" s="72"/>
    </row>
    <row r="464" spans="10:19" x14ac:dyDescent="0.35">
      <c r="R464" s="67"/>
      <c r="S464" s="72"/>
    </row>
    <row r="465" spans="10:19" x14ac:dyDescent="0.35">
      <c r="R465" s="67"/>
      <c r="S465" s="72"/>
    </row>
    <row r="466" spans="10:19" x14ac:dyDescent="0.35">
      <c r="R466" s="67"/>
      <c r="S466" s="72"/>
    </row>
    <row r="467" spans="10:19" x14ac:dyDescent="0.35">
      <c r="J467" s="66"/>
      <c r="R467" s="67"/>
      <c r="S467" s="72"/>
    </row>
    <row r="468" spans="10:19" x14ac:dyDescent="0.35">
      <c r="R468" s="67"/>
      <c r="S468" s="72"/>
    </row>
    <row r="469" spans="10:19" x14ac:dyDescent="0.35">
      <c r="J469" s="66"/>
      <c r="R469" s="67"/>
      <c r="S469" s="72"/>
    </row>
    <row r="470" spans="10:19" x14ac:dyDescent="0.35">
      <c r="R470" s="67"/>
      <c r="S470" s="72"/>
    </row>
    <row r="471" spans="10:19" x14ac:dyDescent="0.35">
      <c r="R471" s="67"/>
      <c r="S471" s="72"/>
    </row>
    <row r="472" spans="10:19" x14ac:dyDescent="0.35">
      <c r="R472" s="67"/>
      <c r="S472" s="72"/>
    </row>
    <row r="473" spans="10:19" x14ac:dyDescent="0.35">
      <c r="R473" s="67"/>
      <c r="S473" s="72"/>
    </row>
    <row r="474" spans="10:19" x14ac:dyDescent="0.35">
      <c r="J474" s="66"/>
      <c r="R474" s="67"/>
      <c r="S474" s="72"/>
    </row>
    <row r="475" spans="10:19" x14ac:dyDescent="0.35">
      <c r="R475" s="67"/>
      <c r="S475" s="72"/>
    </row>
    <row r="476" spans="10:19" x14ac:dyDescent="0.35">
      <c r="R476" s="67"/>
      <c r="S476" s="72"/>
    </row>
    <row r="477" spans="10:19" x14ac:dyDescent="0.35">
      <c r="J477" s="66"/>
      <c r="R477" s="67"/>
      <c r="S477" s="72"/>
    </row>
    <row r="478" spans="10:19" x14ac:dyDescent="0.35">
      <c r="R478" s="67"/>
      <c r="S478" s="72"/>
    </row>
    <row r="479" spans="10:19" x14ac:dyDescent="0.35">
      <c r="J479" s="66"/>
      <c r="R479" s="67"/>
      <c r="S479" s="72"/>
    </row>
    <row r="480" spans="10:19" x14ac:dyDescent="0.35">
      <c r="R480" s="67"/>
      <c r="S480" s="72"/>
    </row>
    <row r="481" spans="18:19" x14ac:dyDescent="0.35">
      <c r="R481" s="67"/>
      <c r="S481" s="72"/>
    </row>
    <row r="482" spans="18:19" x14ac:dyDescent="0.35">
      <c r="R482" s="67"/>
      <c r="S482" s="72"/>
    </row>
    <row r="483" spans="18:19" x14ac:dyDescent="0.35">
      <c r="R483" s="67"/>
      <c r="S483" s="72"/>
    </row>
    <row r="484" spans="18:19" x14ac:dyDescent="0.35">
      <c r="R484" s="67"/>
      <c r="S484" s="72"/>
    </row>
    <row r="485" spans="18:19" x14ac:dyDescent="0.35">
      <c r="R485" s="67"/>
      <c r="S485" s="72"/>
    </row>
    <row r="486" spans="18:19" x14ac:dyDescent="0.35">
      <c r="R486" s="67"/>
      <c r="S486" s="72"/>
    </row>
    <row r="487" spans="18:19" x14ac:dyDescent="0.35">
      <c r="R487" s="67"/>
      <c r="S487" s="72"/>
    </row>
    <row r="488" spans="18:19" x14ac:dyDescent="0.35">
      <c r="R488" s="67"/>
      <c r="S488" s="72"/>
    </row>
    <row r="489" spans="18:19" x14ac:dyDescent="0.35">
      <c r="R489" s="67"/>
      <c r="S489" s="72"/>
    </row>
    <row r="490" spans="18:19" x14ac:dyDescent="0.35">
      <c r="R490" s="67"/>
      <c r="S490" s="72"/>
    </row>
    <row r="491" spans="18:19" x14ac:dyDescent="0.35">
      <c r="R491" s="67"/>
      <c r="S491" s="72"/>
    </row>
    <row r="492" spans="18:19" x14ac:dyDescent="0.35">
      <c r="R492" s="67"/>
      <c r="S492" s="72"/>
    </row>
    <row r="493" spans="18:19" x14ac:dyDescent="0.35">
      <c r="R493" s="67"/>
      <c r="S493" s="72"/>
    </row>
    <row r="494" spans="18:19" x14ac:dyDescent="0.35">
      <c r="R494" s="67"/>
      <c r="S494" s="72"/>
    </row>
    <row r="495" spans="18:19" x14ac:dyDescent="0.35">
      <c r="R495" s="67"/>
      <c r="S495" s="72"/>
    </row>
    <row r="496" spans="18:19" x14ac:dyDescent="0.35">
      <c r="R496" s="67"/>
      <c r="S496" s="72"/>
    </row>
    <row r="497" spans="18:19" x14ac:dyDescent="0.35">
      <c r="R497" s="67"/>
      <c r="S497" s="72"/>
    </row>
    <row r="498" spans="18:19" x14ac:dyDescent="0.35">
      <c r="R498" s="67"/>
      <c r="S498" s="72"/>
    </row>
    <row r="499" spans="18:19" x14ac:dyDescent="0.35">
      <c r="R499" s="67"/>
      <c r="S499" s="72"/>
    </row>
    <row r="500" spans="18:19" x14ac:dyDescent="0.35">
      <c r="R500" s="67"/>
      <c r="S500" s="72"/>
    </row>
    <row r="501" spans="18:19" x14ac:dyDescent="0.35">
      <c r="R501" s="67"/>
      <c r="S501" s="72"/>
    </row>
    <row r="502" spans="18:19" x14ac:dyDescent="0.35">
      <c r="R502" s="67"/>
      <c r="S502" s="72"/>
    </row>
    <row r="503" spans="18:19" x14ac:dyDescent="0.35">
      <c r="R503" s="67"/>
      <c r="S503" s="72"/>
    </row>
    <row r="504" spans="18:19" x14ac:dyDescent="0.35">
      <c r="R504" s="67"/>
      <c r="S504" s="72"/>
    </row>
    <row r="505" spans="18:19" x14ac:dyDescent="0.35">
      <c r="R505" s="67"/>
      <c r="S505" s="72"/>
    </row>
    <row r="506" spans="18:19" x14ac:dyDescent="0.35">
      <c r="R506" s="67"/>
      <c r="S506" s="72"/>
    </row>
    <row r="507" spans="18:19" x14ac:dyDescent="0.35">
      <c r="R507" s="67"/>
      <c r="S507" s="72"/>
    </row>
    <row r="508" spans="18:19" x14ac:dyDescent="0.35">
      <c r="R508" s="67"/>
      <c r="S508" s="72"/>
    </row>
    <row r="509" spans="18:19" x14ac:dyDescent="0.35">
      <c r="R509" s="67"/>
      <c r="S509" s="72"/>
    </row>
    <row r="510" spans="18:19" x14ac:dyDescent="0.35">
      <c r="R510" s="67"/>
      <c r="S510" s="72"/>
    </row>
    <row r="511" spans="18:19" x14ac:dyDescent="0.35">
      <c r="R511" s="67"/>
      <c r="S511" s="72"/>
    </row>
    <row r="512" spans="18:19" x14ac:dyDescent="0.35">
      <c r="R512" s="67"/>
      <c r="S512" s="72"/>
    </row>
    <row r="513" spans="18:19" x14ac:dyDescent="0.35">
      <c r="R513" s="67"/>
      <c r="S513" s="72"/>
    </row>
    <row r="514" spans="18:19" x14ac:dyDescent="0.35">
      <c r="R514" s="67"/>
      <c r="S514" s="72"/>
    </row>
    <row r="515" spans="18:19" x14ac:dyDescent="0.35">
      <c r="R515" s="67"/>
      <c r="S515" s="72"/>
    </row>
    <row r="516" spans="18:19" x14ac:dyDescent="0.35">
      <c r="R516" s="67"/>
      <c r="S516" s="72"/>
    </row>
    <row r="517" spans="18:19" x14ac:dyDescent="0.35">
      <c r="R517" s="67"/>
      <c r="S517" s="72"/>
    </row>
    <row r="518" spans="18:19" x14ac:dyDescent="0.35">
      <c r="R518" s="67"/>
      <c r="S518" s="72"/>
    </row>
    <row r="519" spans="18:19" x14ac:dyDescent="0.35">
      <c r="R519" s="67"/>
      <c r="S519" s="72"/>
    </row>
    <row r="520" spans="18:19" x14ac:dyDescent="0.35">
      <c r="R520" s="67"/>
      <c r="S520" s="72"/>
    </row>
    <row r="521" spans="18:19" x14ac:dyDescent="0.35">
      <c r="R521" s="67"/>
      <c r="S521" s="72"/>
    </row>
    <row r="522" spans="18:19" x14ac:dyDescent="0.35">
      <c r="R522" s="67"/>
      <c r="S522" s="72"/>
    </row>
    <row r="523" spans="18:19" x14ac:dyDescent="0.35">
      <c r="R523" s="67"/>
      <c r="S523" s="72"/>
    </row>
    <row r="524" spans="18:19" x14ac:dyDescent="0.35">
      <c r="R524" s="67"/>
      <c r="S524" s="72"/>
    </row>
    <row r="525" spans="18:19" x14ac:dyDescent="0.35">
      <c r="R525" s="67"/>
      <c r="S525" s="72"/>
    </row>
    <row r="526" spans="18:19" x14ac:dyDescent="0.35">
      <c r="R526" s="67"/>
      <c r="S526" s="72"/>
    </row>
    <row r="527" spans="18:19" x14ac:dyDescent="0.35">
      <c r="R527" s="67"/>
      <c r="S527" s="72"/>
    </row>
    <row r="528" spans="18:19" x14ac:dyDescent="0.35">
      <c r="R528" s="67"/>
      <c r="S528" s="72"/>
    </row>
    <row r="529" spans="18:19" x14ac:dyDescent="0.35">
      <c r="R529" s="67"/>
      <c r="S529" s="72"/>
    </row>
    <row r="530" spans="18:19" x14ac:dyDescent="0.35">
      <c r="R530" s="67"/>
      <c r="S530" s="72"/>
    </row>
    <row r="531" spans="18:19" x14ac:dyDescent="0.35">
      <c r="R531" s="67"/>
      <c r="S531" s="72"/>
    </row>
    <row r="532" spans="18:19" x14ac:dyDescent="0.35">
      <c r="R532" s="67"/>
      <c r="S532" s="72"/>
    </row>
    <row r="533" spans="18:19" x14ac:dyDescent="0.35">
      <c r="R533" s="67"/>
      <c r="S533" s="72"/>
    </row>
    <row r="534" spans="18:19" x14ac:dyDescent="0.35">
      <c r="R534" s="67"/>
      <c r="S534" s="72"/>
    </row>
    <row r="535" spans="18:19" x14ac:dyDescent="0.35">
      <c r="R535" s="67"/>
      <c r="S535" s="72"/>
    </row>
    <row r="536" spans="18:19" x14ac:dyDescent="0.35">
      <c r="R536" s="67"/>
      <c r="S536" s="72"/>
    </row>
    <row r="537" spans="18:19" x14ac:dyDescent="0.35">
      <c r="R537" s="67"/>
      <c r="S537" s="72"/>
    </row>
    <row r="538" spans="18:19" x14ac:dyDescent="0.35">
      <c r="R538" s="67"/>
      <c r="S538" s="72"/>
    </row>
    <row r="539" spans="18:19" x14ac:dyDescent="0.35">
      <c r="R539" s="67"/>
      <c r="S539" s="72"/>
    </row>
    <row r="540" spans="18:19" x14ac:dyDescent="0.35">
      <c r="R540" s="67"/>
      <c r="S540" s="72"/>
    </row>
    <row r="541" spans="18:19" x14ac:dyDescent="0.35">
      <c r="R541" s="67"/>
      <c r="S541" s="72"/>
    </row>
    <row r="542" spans="18:19" x14ac:dyDescent="0.35">
      <c r="R542" s="67"/>
      <c r="S542" s="72"/>
    </row>
    <row r="543" spans="18:19" x14ac:dyDescent="0.35">
      <c r="R543" s="67"/>
      <c r="S543" s="72"/>
    </row>
    <row r="544" spans="18:19" x14ac:dyDescent="0.35">
      <c r="R544" s="67"/>
      <c r="S544" s="72"/>
    </row>
    <row r="545" spans="10:19" x14ac:dyDescent="0.35">
      <c r="R545" s="67"/>
      <c r="S545" s="72"/>
    </row>
    <row r="546" spans="10:19" x14ac:dyDescent="0.35">
      <c r="R546" s="67"/>
      <c r="S546" s="72"/>
    </row>
    <row r="547" spans="10:19" x14ac:dyDescent="0.35">
      <c r="R547" s="67"/>
      <c r="S547" s="72"/>
    </row>
    <row r="548" spans="10:19" x14ac:dyDescent="0.35">
      <c r="R548" s="67"/>
      <c r="S548" s="72"/>
    </row>
    <row r="549" spans="10:19" x14ac:dyDescent="0.35">
      <c r="R549" s="67"/>
      <c r="S549" s="72"/>
    </row>
    <row r="550" spans="10:19" x14ac:dyDescent="0.35">
      <c r="R550" s="67"/>
      <c r="S550" s="72"/>
    </row>
    <row r="551" spans="10:19" x14ac:dyDescent="0.35">
      <c r="R551" s="67"/>
      <c r="S551" s="72"/>
    </row>
    <row r="552" spans="10:19" x14ac:dyDescent="0.35">
      <c r="R552" s="67"/>
      <c r="S552" s="72"/>
    </row>
    <row r="553" spans="10:19" x14ac:dyDescent="0.35">
      <c r="R553" s="67"/>
      <c r="S553" s="72"/>
    </row>
    <row r="554" spans="10:19" x14ac:dyDescent="0.35">
      <c r="J554" s="66"/>
      <c r="R554" s="67"/>
      <c r="S554" s="72"/>
    </row>
    <row r="555" spans="10:19" x14ac:dyDescent="0.35">
      <c r="R555" s="67"/>
      <c r="S555" s="72"/>
    </row>
    <row r="556" spans="10:19" x14ac:dyDescent="0.35">
      <c r="R556" s="67"/>
      <c r="S556" s="72"/>
    </row>
    <row r="557" spans="10:19" x14ac:dyDescent="0.35">
      <c r="R557" s="67"/>
      <c r="S557" s="72"/>
    </row>
    <row r="558" spans="10:19" x14ac:dyDescent="0.35">
      <c r="R558" s="67"/>
      <c r="S558" s="72"/>
    </row>
    <row r="559" spans="10:19" x14ac:dyDescent="0.35">
      <c r="R559" s="67"/>
      <c r="S559" s="72"/>
    </row>
    <row r="560" spans="10:19" x14ac:dyDescent="0.35">
      <c r="J560" s="66"/>
      <c r="R560" s="67"/>
      <c r="S560" s="72"/>
    </row>
    <row r="561" spans="10:19" x14ac:dyDescent="0.35">
      <c r="J561" s="66"/>
      <c r="R561" s="67"/>
      <c r="S561" s="72"/>
    </row>
    <row r="562" spans="10:19" x14ac:dyDescent="0.35">
      <c r="J562" s="66"/>
      <c r="R562" s="67"/>
      <c r="S562" s="72"/>
    </row>
    <row r="563" spans="10:19" x14ac:dyDescent="0.35">
      <c r="R563" s="67"/>
      <c r="S563" s="72"/>
    </row>
    <row r="564" spans="10:19" x14ac:dyDescent="0.35">
      <c r="R564" s="67"/>
      <c r="S564" s="72"/>
    </row>
    <row r="565" spans="10:19" x14ac:dyDescent="0.35">
      <c r="J565" s="66"/>
      <c r="R565" s="67"/>
      <c r="S565" s="72"/>
    </row>
    <row r="566" spans="10:19" x14ac:dyDescent="0.35">
      <c r="R566" s="67"/>
      <c r="S566" s="72"/>
    </row>
    <row r="567" spans="10:19" x14ac:dyDescent="0.35">
      <c r="R567" s="67"/>
      <c r="S567" s="72"/>
    </row>
    <row r="568" spans="10:19" x14ac:dyDescent="0.35">
      <c r="R568" s="67"/>
      <c r="S568" s="72"/>
    </row>
    <row r="569" spans="10:19" x14ac:dyDescent="0.35">
      <c r="R569" s="67"/>
      <c r="S569" s="72"/>
    </row>
    <row r="570" spans="10:19" x14ac:dyDescent="0.35">
      <c r="R570" s="67"/>
      <c r="S570" s="72"/>
    </row>
    <row r="571" spans="10:19" x14ac:dyDescent="0.35">
      <c r="R571" s="67"/>
      <c r="S571" s="72"/>
    </row>
    <row r="572" spans="10:19" x14ac:dyDescent="0.35">
      <c r="R572" s="67"/>
      <c r="S572" s="72"/>
    </row>
    <row r="573" spans="10:19" x14ac:dyDescent="0.35">
      <c r="R573" s="67"/>
      <c r="S573" s="72"/>
    </row>
    <row r="574" spans="10:19" x14ac:dyDescent="0.35">
      <c r="R574" s="67"/>
      <c r="S574" s="72"/>
    </row>
    <row r="575" spans="10:19" x14ac:dyDescent="0.35">
      <c r="J575" s="66"/>
      <c r="R575" s="67"/>
      <c r="S575" s="72"/>
    </row>
    <row r="576" spans="10:19" x14ac:dyDescent="0.35">
      <c r="J576" s="66"/>
      <c r="R576" s="67"/>
      <c r="S576" s="72"/>
    </row>
    <row r="577" spans="10:19" x14ac:dyDescent="0.35">
      <c r="R577" s="67"/>
      <c r="S577" s="72"/>
    </row>
    <row r="578" spans="10:19" x14ac:dyDescent="0.35">
      <c r="R578" s="67"/>
      <c r="S578" s="72"/>
    </row>
    <row r="579" spans="10:19" x14ac:dyDescent="0.35">
      <c r="R579" s="67"/>
      <c r="S579" s="72"/>
    </row>
    <row r="580" spans="10:19" x14ac:dyDescent="0.35">
      <c r="J580" s="66"/>
      <c r="R580" s="67"/>
      <c r="S580" s="72"/>
    </row>
    <row r="581" spans="10:19" x14ac:dyDescent="0.35">
      <c r="R581" s="67"/>
      <c r="S581" s="72"/>
    </row>
    <row r="582" spans="10:19" x14ac:dyDescent="0.35">
      <c r="R582" s="67"/>
      <c r="S582" s="72"/>
    </row>
    <row r="583" spans="10:19" x14ac:dyDescent="0.35">
      <c r="R583" s="67"/>
      <c r="S583" s="72"/>
    </row>
    <row r="584" spans="10:19" x14ac:dyDescent="0.35">
      <c r="J584" s="66"/>
      <c r="R584" s="67"/>
      <c r="S584" s="72"/>
    </row>
    <row r="585" spans="10:19" x14ac:dyDescent="0.35">
      <c r="R585" s="67"/>
      <c r="S585" s="72"/>
    </row>
    <row r="586" spans="10:19" x14ac:dyDescent="0.35">
      <c r="R586" s="67"/>
      <c r="S586" s="72"/>
    </row>
    <row r="587" spans="10:19" x14ac:dyDescent="0.35">
      <c r="R587" s="67"/>
      <c r="S587" s="72"/>
    </row>
    <row r="588" spans="10:19" x14ac:dyDescent="0.35">
      <c r="J588" s="66"/>
      <c r="R588" s="67"/>
      <c r="S588" s="72"/>
    </row>
    <row r="589" spans="10:19" x14ac:dyDescent="0.35">
      <c r="R589" s="67"/>
      <c r="S589" s="72"/>
    </row>
    <row r="590" spans="10:19" x14ac:dyDescent="0.35">
      <c r="R590" s="67"/>
      <c r="S590" s="72"/>
    </row>
    <row r="591" spans="10:19" x14ac:dyDescent="0.35">
      <c r="R591" s="67"/>
      <c r="S591" s="72"/>
    </row>
    <row r="592" spans="10:19" x14ac:dyDescent="0.35">
      <c r="R592" s="67"/>
      <c r="S592" s="72"/>
    </row>
    <row r="593" spans="18:19" x14ac:dyDescent="0.35">
      <c r="R593" s="67"/>
      <c r="S593" s="72"/>
    </row>
    <row r="594" spans="18:19" x14ac:dyDescent="0.35">
      <c r="R594" s="67"/>
      <c r="S594" s="72"/>
    </row>
    <row r="595" spans="18:19" x14ac:dyDescent="0.35">
      <c r="R595" s="67"/>
      <c r="S595" s="72"/>
    </row>
    <row r="596" spans="18:19" x14ac:dyDescent="0.35">
      <c r="R596" s="67"/>
      <c r="S596" s="72"/>
    </row>
    <row r="597" spans="18:19" x14ac:dyDescent="0.35">
      <c r="R597" s="67"/>
      <c r="S597" s="72"/>
    </row>
    <row r="598" spans="18:19" x14ac:dyDescent="0.35">
      <c r="R598" s="67"/>
      <c r="S598" s="72"/>
    </row>
    <row r="599" spans="18:19" x14ac:dyDescent="0.35">
      <c r="R599" s="67"/>
      <c r="S599" s="72"/>
    </row>
    <row r="600" spans="18:19" x14ac:dyDescent="0.35">
      <c r="R600" s="67"/>
      <c r="S600" s="72"/>
    </row>
    <row r="601" spans="18:19" x14ac:dyDescent="0.35">
      <c r="R601" s="67"/>
    </row>
    <row r="602" spans="18:19" x14ac:dyDescent="0.35">
      <c r="R602" s="67"/>
    </row>
    <row r="603" spans="18:19" x14ac:dyDescent="0.35">
      <c r="R603" s="67"/>
    </row>
    <row r="604" spans="18:19" x14ac:dyDescent="0.35">
      <c r="R604" s="67"/>
    </row>
    <row r="605" spans="18:19" x14ac:dyDescent="0.35">
      <c r="R605" s="67"/>
    </row>
    <row r="606" spans="18:19" x14ac:dyDescent="0.35">
      <c r="R606" s="67"/>
    </row>
    <row r="607" spans="18:19" x14ac:dyDescent="0.35">
      <c r="R607" s="67"/>
    </row>
    <row r="608" spans="18:19" x14ac:dyDescent="0.35">
      <c r="R608" s="67"/>
    </row>
    <row r="609" spans="18:18" x14ac:dyDescent="0.35">
      <c r="R609" s="67"/>
    </row>
    <row r="610" spans="18:18" x14ac:dyDescent="0.35">
      <c r="R610" s="67"/>
    </row>
    <row r="611" spans="18:18" x14ac:dyDescent="0.35">
      <c r="R611" s="67"/>
    </row>
    <row r="612" spans="18:18" x14ac:dyDescent="0.35">
      <c r="R612" s="67"/>
    </row>
    <row r="613" spans="18:18" x14ac:dyDescent="0.35">
      <c r="R613" s="67"/>
    </row>
    <row r="614" spans="18:18" x14ac:dyDescent="0.35">
      <c r="R614" s="67"/>
    </row>
    <row r="615" spans="18:18" x14ac:dyDescent="0.35">
      <c r="R615" s="67"/>
    </row>
    <row r="616" spans="18:18" x14ac:dyDescent="0.35">
      <c r="R616" s="67"/>
    </row>
    <row r="617" spans="18:18" x14ac:dyDescent="0.35">
      <c r="R617" s="67"/>
    </row>
    <row r="618" spans="18:18" x14ac:dyDescent="0.35">
      <c r="R618" s="67"/>
    </row>
    <row r="619" spans="18:18" x14ac:dyDescent="0.35">
      <c r="R619" s="67"/>
    </row>
    <row r="620" spans="18:18" x14ac:dyDescent="0.35">
      <c r="R620" s="67"/>
    </row>
    <row r="621" spans="18:18" x14ac:dyDescent="0.35">
      <c r="R621" s="67"/>
    </row>
    <row r="622" spans="18:18" x14ac:dyDescent="0.35">
      <c r="R622" s="67"/>
    </row>
    <row r="623" spans="18:18" x14ac:dyDescent="0.35">
      <c r="R623" s="67"/>
    </row>
    <row r="624" spans="18:18" x14ac:dyDescent="0.35">
      <c r="R624" s="67"/>
    </row>
    <row r="625" spans="18:18" x14ac:dyDescent="0.35">
      <c r="R625" s="67"/>
    </row>
    <row r="626" spans="18:18" x14ac:dyDescent="0.35">
      <c r="R626" s="67"/>
    </row>
    <row r="627" spans="18:18" x14ac:dyDescent="0.35">
      <c r="R627" s="67"/>
    </row>
    <row r="628" spans="18:18" x14ac:dyDescent="0.35">
      <c r="R628" s="67"/>
    </row>
    <row r="629" spans="18:18" x14ac:dyDescent="0.35">
      <c r="R629" s="67"/>
    </row>
    <row r="630" spans="18:18" x14ac:dyDescent="0.35">
      <c r="R630" s="67"/>
    </row>
    <row r="631" spans="18:18" x14ac:dyDescent="0.35">
      <c r="R631" s="67"/>
    </row>
    <row r="632" spans="18:18" x14ac:dyDescent="0.35">
      <c r="R632" s="67"/>
    </row>
    <row r="633" spans="18:18" x14ac:dyDescent="0.35">
      <c r="R633" s="67"/>
    </row>
    <row r="634" spans="18:18" x14ac:dyDescent="0.35">
      <c r="R634" s="67"/>
    </row>
    <row r="635" spans="18:18" x14ac:dyDescent="0.35">
      <c r="R635" s="67"/>
    </row>
    <row r="636" spans="18:18" x14ac:dyDescent="0.35">
      <c r="R636" s="67"/>
    </row>
    <row r="637" spans="18:18" x14ac:dyDescent="0.35">
      <c r="R637" s="67"/>
    </row>
    <row r="638" spans="18:18" x14ac:dyDescent="0.35">
      <c r="R638" s="67"/>
    </row>
    <row r="639" spans="18:18" x14ac:dyDescent="0.35">
      <c r="R639" s="67"/>
    </row>
    <row r="640" spans="18:18" x14ac:dyDescent="0.35">
      <c r="R640" s="67"/>
    </row>
    <row r="641" spans="18:18" x14ac:dyDescent="0.35">
      <c r="R641" s="67"/>
    </row>
    <row r="642" spans="18:18" x14ac:dyDescent="0.35">
      <c r="R642" s="67"/>
    </row>
    <row r="643" spans="18:18" x14ac:dyDescent="0.35">
      <c r="R643" s="67"/>
    </row>
    <row r="644" spans="18:18" x14ac:dyDescent="0.35">
      <c r="R644" s="67"/>
    </row>
    <row r="645" spans="18:18" x14ac:dyDescent="0.35">
      <c r="R645" s="67"/>
    </row>
    <row r="646" spans="18:18" x14ac:dyDescent="0.35">
      <c r="R646" s="67"/>
    </row>
    <row r="647" spans="18:18" x14ac:dyDescent="0.35">
      <c r="R647" s="67"/>
    </row>
    <row r="648" spans="18:18" x14ac:dyDescent="0.35">
      <c r="R648" s="67"/>
    </row>
    <row r="649" spans="18:18" x14ac:dyDescent="0.35">
      <c r="R649" s="67"/>
    </row>
    <row r="650" spans="18:18" x14ac:dyDescent="0.35">
      <c r="R650" s="67"/>
    </row>
    <row r="651" spans="18:18" x14ac:dyDescent="0.35">
      <c r="R651" s="67"/>
    </row>
    <row r="652" spans="18:18" x14ac:dyDescent="0.35">
      <c r="R652" s="67"/>
    </row>
    <row r="653" spans="18:18" x14ac:dyDescent="0.35">
      <c r="R653" s="67"/>
    </row>
    <row r="654" spans="18:18" x14ac:dyDescent="0.35">
      <c r="R654" s="67"/>
    </row>
    <row r="655" spans="18:18" x14ac:dyDescent="0.35">
      <c r="R655" s="67"/>
    </row>
    <row r="656" spans="18:18" x14ac:dyDescent="0.35">
      <c r="R656" s="67"/>
    </row>
    <row r="657" spans="18:18" x14ac:dyDescent="0.35">
      <c r="R657" s="67"/>
    </row>
    <row r="658" spans="18:18" x14ac:dyDescent="0.35">
      <c r="R658" s="67"/>
    </row>
    <row r="659" spans="18:18" x14ac:dyDescent="0.35">
      <c r="R659" s="67"/>
    </row>
    <row r="660" spans="18:18" x14ac:dyDescent="0.35">
      <c r="R660" s="67"/>
    </row>
    <row r="661" spans="18:18" x14ac:dyDescent="0.35">
      <c r="R661" s="67"/>
    </row>
    <row r="662" spans="18:18" x14ac:dyDescent="0.35">
      <c r="R662" s="67"/>
    </row>
    <row r="663" spans="18:18" x14ac:dyDescent="0.35">
      <c r="R663" s="67"/>
    </row>
    <row r="664" spans="18:18" x14ac:dyDescent="0.35">
      <c r="R664" s="67"/>
    </row>
    <row r="665" spans="18:18" x14ac:dyDescent="0.35">
      <c r="R665" s="67"/>
    </row>
    <row r="666" spans="18:18" x14ac:dyDescent="0.35">
      <c r="R666" s="67"/>
    </row>
    <row r="667" spans="18:18" x14ac:dyDescent="0.35">
      <c r="R667" s="67"/>
    </row>
    <row r="668" spans="18:18" x14ac:dyDescent="0.35">
      <c r="R668" s="67"/>
    </row>
    <row r="669" spans="18:18" x14ac:dyDescent="0.35">
      <c r="R669" s="67"/>
    </row>
    <row r="670" spans="18:18" x14ac:dyDescent="0.35">
      <c r="R670" s="67"/>
    </row>
    <row r="671" spans="18:18" x14ac:dyDescent="0.35">
      <c r="R671" s="67"/>
    </row>
    <row r="672" spans="18:18" x14ac:dyDescent="0.35">
      <c r="R672" s="67"/>
    </row>
    <row r="673" spans="18:18" x14ac:dyDescent="0.35">
      <c r="R673" s="67"/>
    </row>
    <row r="674" spans="18:18" x14ac:dyDescent="0.35">
      <c r="R674" s="67"/>
    </row>
    <row r="675" spans="18:18" x14ac:dyDescent="0.35">
      <c r="R675" s="67"/>
    </row>
    <row r="676" spans="18:18" x14ac:dyDescent="0.35">
      <c r="R676" s="67"/>
    </row>
    <row r="677" spans="18:18" x14ac:dyDescent="0.35">
      <c r="R677" s="67"/>
    </row>
    <row r="678" spans="18:18" x14ac:dyDescent="0.35">
      <c r="R678" s="67"/>
    </row>
    <row r="679" spans="18:18" x14ac:dyDescent="0.35">
      <c r="R679" s="67"/>
    </row>
    <row r="680" spans="18:18" x14ac:dyDescent="0.35">
      <c r="R680" s="67"/>
    </row>
    <row r="681" spans="18:18" x14ac:dyDescent="0.35">
      <c r="R681" s="67"/>
    </row>
    <row r="682" spans="18:18" x14ac:dyDescent="0.35">
      <c r="R682" s="67"/>
    </row>
    <row r="683" spans="18:18" x14ac:dyDescent="0.35">
      <c r="R683" s="67"/>
    </row>
    <row r="684" spans="18:18" x14ac:dyDescent="0.35">
      <c r="R684" s="67"/>
    </row>
    <row r="685" spans="18:18" x14ac:dyDescent="0.35">
      <c r="R685" s="67"/>
    </row>
    <row r="686" spans="18:18" x14ac:dyDescent="0.35">
      <c r="R686" s="67"/>
    </row>
    <row r="687" spans="18:18" x14ac:dyDescent="0.35">
      <c r="R687" s="67"/>
    </row>
    <row r="688" spans="18:18" x14ac:dyDescent="0.35">
      <c r="R688" s="67"/>
    </row>
    <row r="689" spans="18:18" x14ac:dyDescent="0.35">
      <c r="R689" s="67"/>
    </row>
  </sheetData>
  <autoFilter ref="A19:F518" xr:uid="{3BE16B1C-0915-40C0-924F-31DE461C7459}"/>
  <sortState xmlns:xlrd2="http://schemas.microsoft.com/office/spreadsheetml/2017/richdata2" ref="A6:C16">
    <sortCondition ref="C6:C16"/>
  </sortState>
  <conditionalFormatting sqref="A139:A146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B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72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9:C14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D1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72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7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0:F10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7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72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6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7:I72">
    <cfRule type="colorScale" priority="4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7:AB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7DF6-5474-4443-8A09-7A99A294B49F}">
  <dimension ref="A1:AB748"/>
  <sheetViews>
    <sheetView topLeftCell="A12" zoomScaleNormal="100" workbookViewId="0">
      <selection activeCell="B20" sqref="B20:F42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8" x14ac:dyDescent="0.35">
      <c r="A1" s="3" t="s">
        <v>404</v>
      </c>
      <c r="F1" s="3" t="s">
        <v>352</v>
      </c>
      <c r="G1">
        <v>12</v>
      </c>
    </row>
    <row r="2" spans="1:28" x14ac:dyDescent="0.35">
      <c r="B2">
        <v>0</v>
      </c>
    </row>
    <row r="3" spans="1:28" x14ac:dyDescent="0.35">
      <c r="A3" s="3" t="s">
        <v>62</v>
      </c>
      <c r="B3" s="4">
        <f>AVERAGE(B6:B49)</f>
        <v>-9.1823350660420869E-8</v>
      </c>
      <c r="F3" s="3" t="s">
        <v>3</v>
      </c>
      <c r="G3" s="4">
        <v>0.56565623659415454</v>
      </c>
    </row>
    <row r="4" spans="1:28" x14ac:dyDescent="0.35">
      <c r="A4" s="3" t="s">
        <v>121</v>
      </c>
      <c r="F4" t="s">
        <v>9</v>
      </c>
      <c r="G4">
        <f>-G3</f>
        <v>-0.56565623659415454</v>
      </c>
    </row>
    <row r="5" spans="1:28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9106.4366808940758</v>
      </c>
    </row>
    <row r="6" spans="1:28" x14ac:dyDescent="0.35">
      <c r="A6" s="1" t="s">
        <v>24</v>
      </c>
      <c r="B6" s="1">
        <v>2.6775010168630691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  <c r="AA6" s="32" t="s">
        <v>357</v>
      </c>
      <c r="AB6" s="32" t="s">
        <v>61</v>
      </c>
    </row>
    <row r="7" spans="1:28" x14ac:dyDescent="0.35">
      <c r="A7" s="1" t="s">
        <v>14</v>
      </c>
      <c r="B7" s="1">
        <v>2.1704039045602586</v>
      </c>
      <c r="C7" s="1">
        <f t="shared" si="0"/>
        <v>2</v>
      </c>
      <c r="J7" s="65">
        <v>1</v>
      </c>
      <c r="K7" t="s">
        <v>7</v>
      </c>
      <c r="L7" t="s">
        <v>65</v>
      </c>
      <c r="M7">
        <v>32.9</v>
      </c>
      <c r="N7" t="s">
        <v>9</v>
      </c>
      <c r="O7" t="s">
        <v>24</v>
      </c>
      <c r="P7">
        <f>VLOOKUP($N7,$F$3:$G$4,2,FALSE)+VLOOKUP($L7,$B$20:$C$150,2,FALSE)+VLOOKUP($O7,$A$6:$B$16,2,FALSE)</f>
        <v>11.9372439798779</v>
      </c>
      <c r="Q7">
        <f>IFERROR(($M7-$P7)^2,"")</f>
        <v>439.43713995916534</v>
      </c>
      <c r="R7" s="67" cm="1">
        <f t="array" ref="R7">SUMPRODUCT((J7=$J$7:$J$1000)*(P7&lt;$P$7:$P$1000))+1</f>
        <v>6</v>
      </c>
      <c r="S7" s="72"/>
      <c r="T7" cm="1">
        <f t="array" ref="T7:Z319">_xlfn._xlws.FILTER($J$7:$P$10000,($J$7:$J$10000&gt;$G$1)*($J$7:$J$10000&lt;18))</f>
        <v>13</v>
      </c>
      <c r="U7" t="str">
        <v>ARC</v>
      </c>
      <c r="V7" t="str">
        <v>Ashawnty Staples Flowers</v>
      </c>
      <c r="W7" t="str">
        <v>NULL</v>
      </c>
      <c r="X7" t="str">
        <v>Away</v>
      </c>
      <c r="Y7" t="str">
        <v>LA</v>
      </c>
      <c r="Z7">
        <v>-2.9973777107956838</v>
      </c>
      <c r="AA7" s="1" t="str" cm="1">
        <f t="array" ref="AA7:AA89">_xlfn._xlws.SORT(_xlfn.UNIQUE($L$7:$L$10000))</f>
        <v>Adriaan Carelse</v>
      </c>
      <c r="AB7" s="1" cm="1">
        <f t="array" ref="AB7">COUNT(_xlfn._xlws.FILTER($J$7:$J$10000,($L$7:$L$10000=AA7)*($M$7:$M$10000&lt;&gt;"NULL")*($J$7:$J$10000 &gt;= ($G$1-5))))/5</f>
        <v>0.4</v>
      </c>
    </row>
    <row r="8" spans="1:28" x14ac:dyDescent="0.35">
      <c r="A8" s="1" t="s">
        <v>13</v>
      </c>
      <c r="B8" s="1">
        <v>1.7079194027946987</v>
      </c>
      <c r="C8" s="1">
        <f t="shared" si="0"/>
        <v>3</v>
      </c>
      <c r="J8" s="65">
        <v>1</v>
      </c>
      <c r="K8" t="s">
        <v>7</v>
      </c>
      <c r="L8" t="s">
        <v>67</v>
      </c>
      <c r="M8">
        <v>20.100000000000001</v>
      </c>
      <c r="N8" t="s">
        <v>9</v>
      </c>
      <c r="O8" t="s">
        <v>24</v>
      </c>
      <c r="P8">
        <f t="shared" ref="P8:P71" si="1">VLOOKUP($N8,$F$3:$G$4,2,FALSE)+VLOOKUP($L8,$B$20:$C$150,2,FALSE)+VLOOKUP($O8,$A$6:$B$16,2,FALSE)</f>
        <v>12.02060143899231</v>
      </c>
      <c r="Q8">
        <f t="shared" ref="Q8:Q71" si="2">IFERROR(($M8-$P8)^2,"")</f>
        <v>65.276681107613157</v>
      </c>
      <c r="R8" s="67" cm="1">
        <f t="array" ref="R8">SUMPRODUCT((J8=$J$7:$J$1000)*(P8&lt;$P$7:$P$1000))+1</f>
        <v>5</v>
      </c>
      <c r="S8" s="72"/>
      <c r="T8">
        <v>13</v>
      </c>
      <c r="U8" t="str">
        <v>ARC</v>
      </c>
      <c r="V8" t="str">
        <v>Cameron Gerlach</v>
      </c>
      <c r="W8" t="str">
        <v>NULL</v>
      </c>
      <c r="X8" t="str">
        <v>Home</v>
      </c>
      <c r="Y8" t="str">
        <v>ARC</v>
      </c>
      <c r="Z8">
        <v>13.026967582569799</v>
      </c>
      <c r="AA8" s="1" t="str">
        <v>Andrew Coe</v>
      </c>
      <c r="AB8" s="1" cm="1">
        <f t="array" ref="AB8">COUNT(_xlfn._xlws.FILTER($J$7:$J$10000,($L$7:$L$10000=AA8)*($M$7:$M$10000&lt;&gt;"NULL")*($J$7:$J$10000 &gt;= ($G$1-5))))/5</f>
        <v>1</v>
      </c>
    </row>
    <row r="9" spans="1:28" x14ac:dyDescent="0.35">
      <c r="A9" s="1" t="s">
        <v>4</v>
      </c>
      <c r="B9" s="1">
        <v>0.71282764330582638</v>
      </c>
      <c r="C9" s="1">
        <f t="shared" si="0"/>
        <v>4</v>
      </c>
      <c r="J9" s="65">
        <v>1</v>
      </c>
      <c r="K9" t="s">
        <v>34</v>
      </c>
      <c r="L9" t="s">
        <v>95</v>
      </c>
      <c r="M9">
        <v>19.7</v>
      </c>
      <c r="N9" t="s">
        <v>3</v>
      </c>
      <c r="O9" t="s">
        <v>17</v>
      </c>
      <c r="P9">
        <f t="shared" si="1"/>
        <v>12.391042452227992</v>
      </c>
      <c r="Q9">
        <f t="shared" si="2"/>
        <v>53.420860435133385</v>
      </c>
      <c r="R9" s="67" cm="1">
        <f t="array" ref="R9">SUMPRODUCT((J9=$J$7:$J$1000)*(P9&lt;$P$7:$P$1000))+1</f>
        <v>4</v>
      </c>
      <c r="S9" s="72"/>
      <c r="T9">
        <v>13</v>
      </c>
      <c r="U9" t="str">
        <v>ARC</v>
      </c>
      <c r="V9" t="str">
        <v>Conner Mooneyham</v>
      </c>
      <c r="W9" t="str">
        <v>NULL</v>
      </c>
      <c r="X9" t="str">
        <v>Away</v>
      </c>
      <c r="Y9" t="str">
        <v>LA</v>
      </c>
      <c r="Z9">
        <v>4.1880731855147735</v>
      </c>
      <c r="AA9" s="1" t="str">
        <v>Ashawnty Staples Flowers</v>
      </c>
      <c r="AB9" s="1" cm="1">
        <f t="array" ref="AB9">COUNT(_xlfn._xlws.FILTER($J$7:$J$10000,($L$7:$L$10000=AA9)*($M$7:$M$10000&lt;&gt;"NULL")*($J$7:$J$10000 &gt;= ($G$1-5))))/5</f>
        <v>0.2</v>
      </c>
    </row>
    <row r="10" spans="1:28" x14ac:dyDescent="0.35">
      <c r="A10" s="1" t="s">
        <v>34</v>
      </c>
      <c r="B10" s="1">
        <v>-0.14047139095974745</v>
      </c>
      <c r="C10" s="1">
        <f t="shared" si="0"/>
        <v>5</v>
      </c>
      <c r="J10" s="65">
        <v>1</v>
      </c>
      <c r="K10" t="s">
        <v>4</v>
      </c>
      <c r="L10" t="s">
        <v>453</v>
      </c>
      <c r="M10">
        <v>13.2</v>
      </c>
      <c r="N10" t="s">
        <v>3</v>
      </c>
      <c r="O10" t="s">
        <v>14</v>
      </c>
      <c r="P10">
        <f t="shared" si="1"/>
        <v>15.329667216833506</v>
      </c>
      <c r="Q10">
        <f t="shared" si="2"/>
        <v>4.5354824544553765</v>
      </c>
      <c r="R10" s="67" cm="1">
        <f t="array" ref="R10">SUMPRODUCT((J10=$J$7:$J$1000)*(P10&lt;$P$7:$P$1000))+1</f>
        <v>2</v>
      </c>
      <c r="S10" s="72"/>
      <c r="T10">
        <v>13</v>
      </c>
      <c r="U10" t="str">
        <v>ARC</v>
      </c>
      <c r="V10" t="str">
        <v>EJ Freeman</v>
      </c>
      <c r="W10" t="str">
        <v>NULL</v>
      </c>
      <c r="X10" t="str">
        <v>Away</v>
      </c>
      <c r="Y10" t="str">
        <v>LA</v>
      </c>
      <c r="Z10">
        <v>1.5136521186449803</v>
      </c>
      <c r="AA10" s="1" t="str">
        <v>Axel Muller</v>
      </c>
      <c r="AB10" s="1" cm="1">
        <f t="array" ref="AB10">COUNT(_xlfn._xlws.FILTER($J$7:$J$10000,($L$7:$L$10000=AA10)*($M$7:$M$10000&lt;&gt;"NULL")*($J$7:$J$10000 &gt;= ($G$1-5))))/5</f>
        <v>0.6</v>
      </c>
    </row>
    <row r="11" spans="1:28" x14ac:dyDescent="0.35">
      <c r="A11" s="1" t="s">
        <v>2</v>
      </c>
      <c r="B11" s="1">
        <v>-0.19456570007972673</v>
      </c>
      <c r="C11" s="1">
        <f t="shared" si="0"/>
        <v>6</v>
      </c>
      <c r="J11" s="65">
        <v>1</v>
      </c>
      <c r="K11" t="s">
        <v>34</v>
      </c>
      <c r="L11" t="s">
        <v>100</v>
      </c>
      <c r="M11">
        <v>12.8</v>
      </c>
      <c r="N11" t="s">
        <v>3</v>
      </c>
      <c r="O11" t="s">
        <v>17</v>
      </c>
      <c r="P11">
        <f t="shared" si="1"/>
        <v>8.4409297155485099</v>
      </c>
      <c r="Q11">
        <f t="shared" si="2"/>
        <v>19.001493744788</v>
      </c>
      <c r="R11" s="67" cm="1">
        <f t="array" ref="R11">SUMPRODUCT((J11=$J$7:$J$1000)*(P11&lt;$P$7:$P$1000))+1</f>
        <v>17</v>
      </c>
      <c r="S11" s="72"/>
      <c r="T11">
        <v>13</v>
      </c>
      <c r="U11" t="str">
        <v>ARC</v>
      </c>
      <c r="V11" t="str">
        <v>Jason Tidwell</v>
      </c>
      <c r="W11" t="str">
        <v>NULL</v>
      </c>
      <c r="X11" t="str">
        <v>Away</v>
      </c>
      <c r="Y11" t="str">
        <v>LA</v>
      </c>
      <c r="Z11">
        <v>4.2359067621811981</v>
      </c>
      <c r="AA11" s="1" t="str">
        <v>Ben Pollack</v>
      </c>
      <c r="AB11" s="1" cm="1">
        <f t="array" ref="AB11">COUNT(_xlfn._xlws.FILTER($J$7:$J$10000,($L$7:$L$10000=AA11)*($M$7:$M$10000&lt;&gt;"NULL")*($J$7:$J$10000 &gt;= ($G$1-5))))/5</f>
        <v>0</v>
      </c>
    </row>
    <row r="12" spans="1:28" x14ac:dyDescent="0.35">
      <c r="A12" s="1" t="s">
        <v>17</v>
      </c>
      <c r="B12" s="1">
        <v>-0.48245656317968172</v>
      </c>
      <c r="C12" s="1">
        <f t="shared" si="0"/>
        <v>7</v>
      </c>
      <c r="J12" s="65">
        <v>1</v>
      </c>
      <c r="K12" t="s">
        <v>17</v>
      </c>
      <c r="L12" t="s">
        <v>37</v>
      </c>
      <c r="M12">
        <v>12.2</v>
      </c>
      <c r="N12" t="s">
        <v>9</v>
      </c>
      <c r="O12" t="s">
        <v>34</v>
      </c>
      <c r="P12">
        <f t="shared" si="1"/>
        <v>15.561493720745412</v>
      </c>
      <c r="Q12">
        <f t="shared" si="2"/>
        <v>11.299640034610841</v>
      </c>
      <c r="R12" s="67" cm="1">
        <f t="array" ref="R12">SUMPRODUCT((J12=$J$7:$J$1000)*(P12&lt;$P$7:$P$1000))+1</f>
        <v>1</v>
      </c>
      <c r="S12" s="72"/>
      <c r="T12">
        <v>13</v>
      </c>
      <c r="U12" t="str">
        <v>ARC</v>
      </c>
      <c r="V12" t="str">
        <v>Line Latu</v>
      </c>
      <c r="W12" t="str">
        <v>NULL</v>
      </c>
      <c r="X12" t="str">
        <v>Away</v>
      </c>
      <c r="Y12" t="str">
        <v>LA</v>
      </c>
      <c r="Z12">
        <v>6.7572553347869704</v>
      </c>
      <c r="AA12" s="1" t="str">
        <v>Blake Makiri</v>
      </c>
      <c r="AB12" s="1" cm="1">
        <f t="array" ref="AB12">COUNT(_xlfn._xlws.FILTER($J$7:$J$10000,($L$7:$L$10000=AA12)*($M$7:$M$10000&lt;&gt;"NULL")*($J$7:$J$10000 &gt;= ($G$1-5))))/5</f>
        <v>0</v>
      </c>
    </row>
    <row r="13" spans="1:28" x14ac:dyDescent="0.35">
      <c r="A13" s="1" t="s">
        <v>7</v>
      </c>
      <c r="B13" s="1">
        <v>-0.76721065703074554</v>
      </c>
      <c r="C13" s="1">
        <f t="shared" si="0"/>
        <v>8</v>
      </c>
      <c r="J13" s="65">
        <v>1</v>
      </c>
      <c r="K13" t="s">
        <v>34</v>
      </c>
      <c r="L13" t="s">
        <v>41</v>
      </c>
      <c r="M13">
        <v>12.1</v>
      </c>
      <c r="N13" t="s">
        <v>3</v>
      </c>
      <c r="O13" t="s">
        <v>17</v>
      </c>
      <c r="P13">
        <f t="shared" si="1"/>
        <v>11.566794147960259</v>
      </c>
      <c r="Q13">
        <f t="shared" si="2"/>
        <v>0.28430848064942582</v>
      </c>
      <c r="R13" s="67" cm="1">
        <f t="array" ref="R13">SUMPRODUCT((J13=$J$7:$J$1000)*(P13&lt;$P$7:$P$1000))+1</f>
        <v>7</v>
      </c>
      <c r="S13" s="72"/>
      <c r="T13">
        <v>13</v>
      </c>
      <c r="U13" t="str">
        <v>ARC</v>
      </c>
      <c r="V13" t="str">
        <v>Mitch Wilson</v>
      </c>
      <c r="W13" t="str">
        <v>NULL</v>
      </c>
      <c r="X13" t="str">
        <v>Away</v>
      </c>
      <c r="Y13" t="str">
        <v>LA</v>
      </c>
      <c r="Z13">
        <v>6.962572466813663</v>
      </c>
      <c r="AA13" s="1" t="str">
        <v>Brock Webster</v>
      </c>
      <c r="AB13" s="1" cm="1">
        <f t="array" ref="AB13">COUNT(_xlfn._xlws.FILTER($J$7:$J$10000,($L$7:$L$10000=AA13)*($M$7:$M$10000&lt;&gt;"NULL")*($J$7:$J$10000 &gt;= ($G$1-5))))/5</f>
        <v>1</v>
      </c>
    </row>
    <row r="14" spans="1:28" x14ac:dyDescent="0.35">
      <c r="A14" s="1" t="s">
        <v>36</v>
      </c>
      <c r="B14" s="1">
        <v>-1.436068643765571</v>
      </c>
      <c r="C14" s="1">
        <f t="shared" si="0"/>
        <v>9</v>
      </c>
      <c r="J14" s="65">
        <v>1</v>
      </c>
      <c r="K14" t="s">
        <v>23</v>
      </c>
      <c r="L14" t="s">
        <v>91</v>
      </c>
      <c r="M14">
        <v>11.4</v>
      </c>
      <c r="N14" t="s">
        <v>9</v>
      </c>
      <c r="O14" t="s">
        <v>6</v>
      </c>
      <c r="P14">
        <f t="shared" si="1"/>
        <v>11.191565811407589</v>
      </c>
      <c r="Q14">
        <f t="shared" si="2"/>
        <v>4.3444810974176955E-2</v>
      </c>
      <c r="R14" s="67" cm="1">
        <f t="array" ref="R14">SUMPRODUCT((J14=$J$7:$J$1000)*(P14&lt;$P$7:$P$1000))+1</f>
        <v>11</v>
      </c>
      <c r="S14" s="72"/>
      <c r="T14">
        <v>13</v>
      </c>
      <c r="U14" t="str">
        <v>ARC</v>
      </c>
      <c r="V14" t="str">
        <v>Toby Fricker</v>
      </c>
      <c r="W14" t="str">
        <v>NULL</v>
      </c>
      <c r="X14" t="str">
        <v>Away</v>
      </c>
      <c r="Y14" t="str">
        <v>LA</v>
      </c>
      <c r="Z14">
        <v>6.4433127991353203</v>
      </c>
      <c r="AA14" s="1" t="str">
        <v>Cameron Gerlach</v>
      </c>
      <c r="AB14" s="1" cm="1">
        <f t="array" ref="AB14">COUNT(_xlfn._xlws.FILTER($J$7:$J$10000,($L$7:$L$10000=AA14)*($M$7:$M$10000&lt;&gt;"NULL")*($J$7:$J$10000 &gt;= ($G$1-5))))/5</f>
        <v>0</v>
      </c>
    </row>
    <row r="15" spans="1:28" x14ac:dyDescent="0.35">
      <c r="A15" s="1" t="s">
        <v>6</v>
      </c>
      <c r="B15" s="1">
        <v>-1.8925654541368517</v>
      </c>
      <c r="C15" s="1">
        <f t="shared" si="0"/>
        <v>10</v>
      </c>
      <c r="J15" s="65">
        <v>1</v>
      </c>
      <c r="K15" t="s">
        <v>36</v>
      </c>
      <c r="L15" t="s">
        <v>78</v>
      </c>
      <c r="M15">
        <v>10</v>
      </c>
      <c r="N15" t="s">
        <v>3</v>
      </c>
      <c r="O15" t="s">
        <v>2</v>
      </c>
      <c r="P15">
        <f t="shared" si="1"/>
        <v>10.312037167091551</v>
      </c>
      <c r="Q15">
        <f t="shared" si="2"/>
        <v>9.7367193646520758E-2</v>
      </c>
      <c r="R15" s="67" cm="1">
        <f t="array" ref="R15">SUMPRODUCT((J15=$J$7:$J$1000)*(P15&lt;$P$7:$P$1000))+1</f>
        <v>13</v>
      </c>
      <c r="S15" s="72"/>
      <c r="T15">
        <v>13</v>
      </c>
      <c r="U15" t="str">
        <v>CHI</v>
      </c>
      <c r="V15" t="str">
        <v>Adriaan Carelse</v>
      </c>
      <c r="W15" t="str">
        <v>NULL</v>
      </c>
      <c r="X15" t="str">
        <v>Away</v>
      </c>
      <c r="Y15" t="str">
        <v>NEFJ</v>
      </c>
      <c r="Z15">
        <v>1.6646515025581841</v>
      </c>
      <c r="AA15" s="1" t="str">
        <v>Christian Dyer</v>
      </c>
      <c r="AB15" s="1" cm="1">
        <f t="array" ref="AB15">COUNT(_xlfn._xlws.FILTER($J$7:$J$10000,($L$7:$L$10000=AA15)*($M$7:$M$10000&lt;&gt;"NULL")*($J$7:$J$10000 &gt;= ($G$1-5))))/5</f>
        <v>0</v>
      </c>
    </row>
    <row r="16" spans="1:28" x14ac:dyDescent="0.35">
      <c r="A16" s="1" t="s">
        <v>23</v>
      </c>
      <c r="B16" s="1">
        <v>-2.3553145684283856</v>
      </c>
      <c r="C16" s="1">
        <f t="shared" si="0"/>
        <v>11</v>
      </c>
      <c r="D16" s="3"/>
      <c r="J16" s="65">
        <v>1</v>
      </c>
      <c r="K16" t="s">
        <v>24</v>
      </c>
      <c r="L16" t="s">
        <v>96</v>
      </c>
      <c r="M16">
        <v>9.6</v>
      </c>
      <c r="N16" t="s">
        <v>3</v>
      </c>
      <c r="O16" t="s">
        <v>7</v>
      </c>
      <c r="P16">
        <f t="shared" si="1"/>
        <v>11.387908023433624</v>
      </c>
      <c r="Q16">
        <f t="shared" si="2"/>
        <v>3.1966151002583305</v>
      </c>
      <c r="R16" s="67" cm="1">
        <f t="array" ref="R16">SUMPRODUCT((J16=$J$7:$J$1000)*(P16&lt;$P$7:$P$1000))+1</f>
        <v>9</v>
      </c>
      <c r="S16" s="72"/>
      <c r="T16">
        <v>13</v>
      </c>
      <c r="U16" t="str">
        <v>CHI</v>
      </c>
      <c r="V16" t="str">
        <v>Ben Pollack</v>
      </c>
      <c r="W16" t="str">
        <v>NULL</v>
      </c>
      <c r="X16" t="str">
        <v>Away</v>
      </c>
      <c r="Y16" t="str">
        <v>NEFJ</v>
      </c>
      <c r="Z16">
        <v>1.0156068971533321</v>
      </c>
      <c r="AA16" s="1" t="str">
        <v>Conner Mooneyham</v>
      </c>
      <c r="AB16" s="1" cm="1">
        <f t="array" ref="AB16">COUNT(_xlfn._xlws.FILTER($J$7:$J$10000,($L$7:$L$10000=AA16)*($M$7:$M$10000&lt;&gt;"NULL")*($J$7:$J$10000 &gt;= ($G$1-5))))/5</f>
        <v>0.8</v>
      </c>
    </row>
    <row r="17" spans="1:28" x14ac:dyDescent="0.35">
      <c r="J17" s="65">
        <v>1</v>
      </c>
      <c r="K17" t="s">
        <v>4</v>
      </c>
      <c r="L17" t="s">
        <v>74</v>
      </c>
      <c r="M17">
        <v>9.5</v>
      </c>
      <c r="N17" t="s">
        <v>3</v>
      </c>
      <c r="O17" t="s">
        <v>14</v>
      </c>
      <c r="P17">
        <f t="shared" si="1"/>
        <v>11.388631179684383</v>
      </c>
      <c r="Q17">
        <f t="shared" si="2"/>
        <v>3.5669277328760245</v>
      </c>
      <c r="R17" s="67" cm="1">
        <f t="array" ref="R17">SUMPRODUCT((J17=$J$7:$J$1000)*(P17&lt;$P$7:$P$1000))+1</f>
        <v>8</v>
      </c>
      <c r="S17" s="72"/>
      <c r="T17">
        <v>13</v>
      </c>
      <c r="U17" t="str">
        <v>CHI</v>
      </c>
      <c r="V17" t="str">
        <v>Julian Dominguez</v>
      </c>
      <c r="W17" t="str">
        <v>NULL</v>
      </c>
      <c r="X17" t="str">
        <v>Away</v>
      </c>
      <c r="Y17" t="str">
        <v>NEFJ</v>
      </c>
      <c r="Z17">
        <v>-1.0974143978127278</v>
      </c>
      <c r="AA17" s="1" t="str">
        <v>Connor Burns</v>
      </c>
      <c r="AB17" s="1" cm="1">
        <f t="array" ref="AB17">COUNT(_xlfn._xlws.FILTER($J$7:$J$10000,($L$7:$L$10000=AA17)*($M$7:$M$10000&lt;&gt;"NULL")*($J$7:$J$10000 &gt;= ($G$1-5))))/5</f>
        <v>0</v>
      </c>
    </row>
    <row r="18" spans="1:28" x14ac:dyDescent="0.35">
      <c r="J18" s="65">
        <v>1</v>
      </c>
      <c r="K18" t="s">
        <v>6</v>
      </c>
      <c r="L18" t="s">
        <v>64</v>
      </c>
      <c r="M18">
        <v>9</v>
      </c>
      <c r="N18" t="s">
        <v>3</v>
      </c>
      <c r="O18" t="s">
        <v>23</v>
      </c>
      <c r="P18">
        <f t="shared" si="1"/>
        <v>8.456791474209858</v>
      </c>
      <c r="Q18">
        <f t="shared" si="2"/>
        <v>0.29507550249109937</v>
      </c>
      <c r="R18" s="67" cm="1">
        <f t="array" ref="R18">SUMPRODUCT((J18=$J$7:$J$1000)*(P18&lt;$P$7:$P$1000))+1</f>
        <v>16</v>
      </c>
      <c r="S18" s="72"/>
      <c r="T18">
        <v>13</v>
      </c>
      <c r="U18" t="str">
        <v>CHI</v>
      </c>
      <c r="V18" t="str">
        <v>Mark O'Keeffe</v>
      </c>
      <c r="W18" t="str">
        <v>NULL</v>
      </c>
      <c r="X18" t="str">
        <v>Away</v>
      </c>
      <c r="Y18" t="str">
        <v>NEFJ</v>
      </c>
      <c r="Z18">
        <v>1.8164905254751482</v>
      </c>
      <c r="AA18" s="1" t="str">
        <v>Cooper Coats</v>
      </c>
      <c r="AB18" s="1" cm="1">
        <f t="array" ref="AB18">COUNT(_xlfn._xlws.FILTER($J$7:$J$10000,($L$7:$L$10000=AA18)*($M$7:$M$10000&lt;&gt;"NULL")*($J$7:$J$10000 &gt;= ($G$1-5))))/5</f>
        <v>0.2</v>
      </c>
    </row>
    <row r="19" spans="1:28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1</v>
      </c>
      <c r="K19" t="s">
        <v>6</v>
      </c>
      <c r="L19" t="s">
        <v>454</v>
      </c>
      <c r="M19">
        <v>8.5</v>
      </c>
      <c r="N19" t="s">
        <v>3</v>
      </c>
      <c r="O19" t="s">
        <v>23</v>
      </c>
      <c r="P19">
        <f t="shared" si="1"/>
        <v>8.5012491095811562</v>
      </c>
      <c r="Q19">
        <f t="shared" si="2"/>
        <v>1.5602747457362293E-6</v>
      </c>
      <c r="R19" s="67" cm="1">
        <f t="array" ref="R19">SUMPRODUCT((J19=$J$7:$J$1000)*(P19&lt;$P$7:$P$1000))+1</f>
        <v>15</v>
      </c>
      <c r="S19" s="72"/>
      <c r="T19">
        <v>13</v>
      </c>
      <c r="U19" t="str">
        <v>CHI</v>
      </c>
      <c r="V19" t="str">
        <v>Michael Hand</v>
      </c>
      <c r="W19" t="str">
        <v>NULL</v>
      </c>
      <c r="X19" t="str">
        <v>Away</v>
      </c>
      <c r="Y19" t="str">
        <v>NEFJ</v>
      </c>
      <c r="Z19">
        <v>3.1424411175472442</v>
      </c>
      <c r="AA19" s="1" t="str">
        <v>Damien Hoyland</v>
      </c>
      <c r="AB19" s="1" cm="1">
        <f t="array" ref="AB19">COUNT(_xlfn._xlws.FILTER($J$7:$J$10000,($L$7:$L$10000=AA19)*($M$7:$M$10000&lt;&gt;"NULL")*($J$7:$J$10000 &gt;= ($G$1-5))))/5</f>
        <v>0.4</v>
      </c>
    </row>
    <row r="20" spans="1:28" x14ac:dyDescent="0.35">
      <c r="A20">
        <f>VLOOKUP($B20, PlayerIDs!$A$1:$B$516, 2, FALSE)</f>
        <v>677</v>
      </c>
      <c r="B20" t="s">
        <v>37</v>
      </c>
      <c r="C20" s="1">
        <v>16.267621348299315</v>
      </c>
      <c r="D20" s="1">
        <f t="shared" ref="D20:D51" si="3">RANK($C20,$C$20:$C$106)</f>
        <v>1</v>
      </c>
      <c r="E20" s="1" cm="1">
        <f t="array" ref="E20">IFERROR(VLOOKUP($B20,_xlfn._xlws.FILTER($L$7:$P$10000,$J$7:$J$10000=G$1+1),5, FALSE), 0)</f>
        <v>17.409884514499858</v>
      </c>
      <c r="F20" s="1">
        <f t="shared" ref="F20:F51" si="4">RANK(E20,$E$20:$E$150)</f>
        <v>2</v>
      </c>
      <c r="G20" s="1">
        <f t="shared" ref="G20:G51" ca="1" si="5">SUMIF(V:Z,$B20,Z:Z)</f>
        <v>62.846550192838258</v>
      </c>
      <c r="H20" s="1">
        <f t="shared" ref="H20:H51" ca="1" si="6">RANK($G20,$G$20:$G$150)</f>
        <v>1</v>
      </c>
      <c r="I20" s="1" cm="1">
        <f t="array" ref="I20">COUNT(_xlfn._xlws.FILTER($J$7:$J$10000,($L$7:$L$10000=B20)*($M$7:$M$10000&lt;&gt;"NULL")*($J$7:$J$10000 &gt;= ($G$1-4))))/5</f>
        <v>0.2</v>
      </c>
      <c r="J20" s="65">
        <v>1</v>
      </c>
      <c r="K20" t="s">
        <v>7</v>
      </c>
      <c r="L20" t="s">
        <v>92</v>
      </c>
      <c r="M20">
        <v>8.5</v>
      </c>
      <c r="N20" t="s">
        <v>9</v>
      </c>
      <c r="O20" t="s">
        <v>24</v>
      </c>
      <c r="P20">
        <f t="shared" si="1"/>
        <v>11.301713507533877</v>
      </c>
      <c r="Q20">
        <f t="shared" si="2"/>
        <v>7.8495985782977824</v>
      </c>
      <c r="R20" s="67" cm="1">
        <f t="array" ref="R20">SUMPRODUCT((J20=$J$7:$J$1000)*(P20&lt;$P$7:$P$1000))+1</f>
        <v>10</v>
      </c>
      <c r="S20" s="72"/>
      <c r="T20">
        <v>13</v>
      </c>
      <c r="U20" t="str">
        <v>CHI</v>
      </c>
      <c r="V20" t="str">
        <v>Nate Augspurger</v>
      </c>
      <c r="W20" t="str">
        <v>NULL</v>
      </c>
      <c r="X20" t="str">
        <v>Away</v>
      </c>
      <c r="Y20" t="str">
        <v>NEFJ</v>
      </c>
      <c r="Z20">
        <v>-0.13584653626404553</v>
      </c>
      <c r="AA20" s="1" t="str">
        <v>Davy Coetzer</v>
      </c>
      <c r="AB20" s="1" cm="1">
        <f t="array" ref="AB20">COUNT(_xlfn._xlws.FILTER($J$7:$J$10000,($L$7:$L$10000=AA20)*($M$7:$M$10000&lt;&gt;"NULL")*($J$7:$J$10000 &gt;= ($G$1-5))))/5</f>
        <v>0</v>
      </c>
    </row>
    <row r="21" spans="1:28" x14ac:dyDescent="0.35">
      <c r="A21">
        <f>VLOOKUP($B21, PlayerIDs!$A$1:$B$516, 2, FALSE)</f>
        <v>105</v>
      </c>
      <c r="B21" t="s">
        <v>71</v>
      </c>
      <c r="C21" s="1">
        <v>15.116885717917359</v>
      </c>
      <c r="D21" s="1">
        <f t="shared" si="3"/>
        <v>2</v>
      </c>
      <c r="E21" s="1" cm="1">
        <f t="array" ref="E21">IFERROR(VLOOKUP($B21,_xlfn._xlws.FILTER($L$7:$P$10000,$J$7:$J$10000=G$1+1),5, FALSE), 0)</f>
        <v>14.410758090363457</v>
      </c>
      <c r="F21" s="1">
        <f t="shared" si="4"/>
        <v>13</v>
      </c>
      <c r="G21" s="1">
        <f t="shared" ca="1" si="5"/>
        <v>45.869992365813189</v>
      </c>
      <c r="H21" s="1">
        <f t="shared" ca="1" si="6"/>
        <v>13</v>
      </c>
      <c r="I21" s="1" cm="1">
        <f t="array" ref="I21">COUNT(_xlfn._xlws.FILTER($J$7:$J$10000,($L$7:$L$10000=B21)*($M$7:$M$10000&lt;&gt;"NULL")*($J$7:$J$10000 &gt;= ($G$1-4))))/5</f>
        <v>0</v>
      </c>
      <c r="J21" s="65">
        <v>1</v>
      </c>
      <c r="K21" t="s">
        <v>24</v>
      </c>
      <c r="L21" t="s">
        <v>101</v>
      </c>
      <c r="M21">
        <v>7</v>
      </c>
      <c r="N21" t="s">
        <v>3</v>
      </c>
      <c r="O21" t="s">
        <v>7</v>
      </c>
      <c r="P21">
        <f t="shared" si="1"/>
        <v>6.1883416223637076</v>
      </c>
      <c r="Q21">
        <f t="shared" si="2"/>
        <v>0.65878932198717832</v>
      </c>
      <c r="R21" s="67" cm="1">
        <f t="array" ref="R21">SUMPRODUCT((J21=$J$7:$J$1000)*(P21&lt;$P$7:$P$1000))+1</f>
        <v>20</v>
      </c>
      <c r="S21" s="72"/>
      <c r="T21">
        <v>13</v>
      </c>
      <c r="U21" t="str">
        <v>CHI</v>
      </c>
      <c r="V21" t="str">
        <v>Noah Brown</v>
      </c>
      <c r="W21" t="str">
        <v>NULL</v>
      </c>
      <c r="X21" t="str">
        <v>Away</v>
      </c>
      <c r="Y21" t="str">
        <v>NEFJ</v>
      </c>
      <c r="Z21">
        <v>2.8314345216629717</v>
      </c>
      <c r="AA21" s="1" t="str">
        <v>Divan Rossouw</v>
      </c>
      <c r="AB21" s="1" cm="1">
        <f t="array" ref="AB21">COUNT(_xlfn._xlws.FILTER($J$7:$J$10000,($L$7:$L$10000=AA21)*($M$7:$M$10000&lt;&gt;"NULL")*($J$7:$J$10000 &gt;= ($G$1-5))))/5</f>
        <v>0.4</v>
      </c>
    </row>
    <row r="22" spans="1:28" x14ac:dyDescent="0.35">
      <c r="A22">
        <f>VLOOKUP($B22, PlayerIDs!$A$1:$B$516, 2, FALSE)</f>
        <v>399</v>
      </c>
      <c r="B22" t="s">
        <v>533</v>
      </c>
      <c r="C22" s="1">
        <v>14.851690362921914</v>
      </c>
      <c r="D22" s="1">
        <f t="shared" si="3"/>
        <v>3</v>
      </c>
      <c r="E22" s="1" cm="1">
        <f t="array" ref="E22">IFERROR(VLOOKUP($B22,_xlfn._xlws.FILTER($L$7:$P$10000,$J$7:$J$10000=G$1+1),5, FALSE), 0)</f>
        <v>14.998861769633587</v>
      </c>
      <c r="F22" s="1">
        <f t="shared" si="4"/>
        <v>8</v>
      </c>
      <c r="G22" s="1">
        <f t="shared" ca="1" si="5"/>
        <v>55.7312376814685</v>
      </c>
      <c r="H22" s="1">
        <f t="shared" ca="1" si="6"/>
        <v>5</v>
      </c>
      <c r="I22" s="1" cm="1">
        <f t="array" ref="I22">COUNT(_xlfn._xlws.FILTER($J$7:$J$10000,($L$7:$L$10000=B22)*($M$7:$M$10000&lt;&gt;"NULL")*($J$7:$J$10000 &gt;= ($G$1-4))))/5</f>
        <v>0.4</v>
      </c>
      <c r="J22" s="65">
        <v>1</v>
      </c>
      <c r="K22" t="s">
        <v>14</v>
      </c>
      <c r="L22" t="s">
        <v>87</v>
      </c>
      <c r="M22">
        <v>6.2</v>
      </c>
      <c r="N22" t="s">
        <v>9</v>
      </c>
      <c r="O22" t="s">
        <v>4</v>
      </c>
      <c r="P22">
        <f t="shared" si="1"/>
        <v>9.5679655642563421</v>
      </c>
      <c r="Q22">
        <f t="shared" si="2"/>
        <v>11.34319204201654</v>
      </c>
      <c r="R22" s="67" cm="1">
        <f t="array" ref="R22">SUMPRODUCT((J22=$J$7:$J$1000)*(P22&lt;$P$7:$P$1000))+1</f>
        <v>14</v>
      </c>
      <c r="S22" s="72"/>
      <c r="T22">
        <v>13</v>
      </c>
      <c r="U22" t="str">
        <v>HOU</v>
      </c>
      <c r="V22" t="str">
        <v>Davy Coetzer</v>
      </c>
      <c r="W22" t="str">
        <v>NULL</v>
      </c>
      <c r="X22" t="str">
        <v>Away</v>
      </c>
      <c r="Y22" t="str">
        <v>SDL</v>
      </c>
      <c r="Z22">
        <v>14.410758090363457</v>
      </c>
      <c r="AA22" s="1" t="str">
        <v>Drew Wild</v>
      </c>
      <c r="AB22" s="1" cm="1">
        <f t="array" ref="AB22">COUNT(_xlfn._xlws.FILTER($J$7:$J$10000,($L$7:$L$10000=AA22)*($M$7:$M$10000&lt;&gt;"NULL")*($J$7:$J$10000 &gt;= ($G$1-5))))/5</f>
        <v>1</v>
      </c>
    </row>
    <row r="23" spans="1:28" x14ac:dyDescent="0.35">
      <c r="A23">
        <f>VLOOKUP($B23, PlayerIDs!$A$1:$B$516, 2, FALSE)</f>
        <v>210</v>
      </c>
      <c r="B23" t="s">
        <v>79</v>
      </c>
      <c r="C23" s="1">
        <v>14.563467839358493</v>
      </c>
      <c r="D23" s="1">
        <f t="shared" si="3"/>
        <v>4</v>
      </c>
      <c r="E23" s="1" cm="1">
        <f t="array" ref="E23">IFERROR(VLOOKUP($B23,_xlfn._xlws.FILTER($L$7:$P$10000,$J$7:$J$10000=G$1+1),5, FALSE), 0)</f>
        <v>14.646667512772966</v>
      </c>
      <c r="F23" s="1">
        <f t="shared" si="4"/>
        <v>11</v>
      </c>
      <c r="G23" s="1">
        <f t="shared" ca="1" si="5"/>
        <v>59.218577698354807</v>
      </c>
      <c r="H23" s="1">
        <f t="shared" ca="1" si="6"/>
        <v>3</v>
      </c>
      <c r="I23" s="1" cm="1">
        <f t="array" ref="I23">COUNT(_xlfn._xlws.FILTER($J$7:$J$10000,($L$7:$L$10000=B23)*($M$7:$M$10000&lt;&gt;"NULL")*($J$7:$J$10000 &gt;= ($G$1-4))))/5</f>
        <v>0.6</v>
      </c>
      <c r="J23" s="65">
        <v>1</v>
      </c>
      <c r="K23" t="s">
        <v>17</v>
      </c>
      <c r="L23" t="s">
        <v>76</v>
      </c>
      <c r="M23">
        <v>5.8</v>
      </c>
      <c r="N23" t="s">
        <v>9</v>
      </c>
      <c r="O23" t="s">
        <v>34</v>
      </c>
      <c r="P23">
        <f t="shared" si="1"/>
        <v>7.1243549482328996</v>
      </c>
      <c r="Q23">
        <f t="shared" si="2"/>
        <v>1.7539160289089666</v>
      </c>
      <c r="R23" s="67" cm="1">
        <f t="array" ref="R23">SUMPRODUCT((J23=$J$7:$J$1000)*(P23&lt;$P$7:$P$1000))+1</f>
        <v>18</v>
      </c>
      <c r="S23" s="72"/>
      <c r="T23">
        <v>13</v>
      </c>
      <c r="U23" t="str">
        <v>HOU</v>
      </c>
      <c r="V23" t="str">
        <v>Drew Wild</v>
      </c>
      <c r="W23" t="str">
        <v>NULL</v>
      </c>
      <c r="X23" t="str">
        <v>Away</v>
      </c>
      <c r="Y23" t="str">
        <v>SDL</v>
      </c>
      <c r="Z23">
        <v>9.7680002318393662</v>
      </c>
      <c r="AA23" s="1" t="str">
        <v>Duncan Matthews</v>
      </c>
      <c r="AB23" s="1" cm="1">
        <f t="array" ref="AB23">COUNT(_xlfn._xlws.FILTER($J$7:$J$10000,($L$7:$L$10000=AA23)*($M$7:$M$10000&lt;&gt;"NULL")*($J$7:$J$10000 &gt;= ($G$1-5))))/5</f>
        <v>0.8</v>
      </c>
    </row>
    <row r="24" spans="1:28" x14ac:dyDescent="0.35">
      <c r="A24">
        <f>VLOOKUP($B24, PlayerIDs!$A$1:$B$516, 2, FALSE)</f>
        <v>166</v>
      </c>
      <c r="B24" t="s">
        <v>633</v>
      </c>
      <c r="C24" s="1">
        <v>14.217511321637513</v>
      </c>
      <c r="D24" s="1">
        <f t="shared" si="3"/>
        <v>5</v>
      </c>
      <c r="E24" s="1" cm="1">
        <f t="array" ref="E24">IFERROR(VLOOKUP($B24,_xlfn._xlws.FILTER($L$7:$P$10000,$J$7:$J$10000=G$1+1),5, FALSE), 0)</f>
        <v>17.460668575094736</v>
      </c>
      <c r="F24" s="1">
        <f t="shared" si="4"/>
        <v>1</v>
      </c>
      <c r="G24" s="1">
        <f t="shared" ca="1" si="5"/>
        <v>47.409044921084728</v>
      </c>
      <c r="H24" s="1">
        <f t="shared" ca="1" si="6"/>
        <v>12</v>
      </c>
      <c r="I24" s="1" cm="1">
        <f t="array" ref="I24">COUNT(_xlfn._xlws.FILTER($J$7:$J$10000,($L$7:$L$10000=B24)*($M$7:$M$10000&lt;&gt;"NULL")*($J$7:$J$10000 &gt;= ($G$1-4))))/5</f>
        <v>0.2</v>
      </c>
      <c r="J24" s="65">
        <v>1</v>
      </c>
      <c r="K24" t="s">
        <v>14</v>
      </c>
      <c r="L24" t="s">
        <v>285</v>
      </c>
      <c r="M24">
        <v>5.7</v>
      </c>
      <c r="N24" t="s">
        <v>9</v>
      </c>
      <c r="O24" t="s">
        <v>4</v>
      </c>
      <c r="P24">
        <f t="shared" si="1"/>
        <v>6.8412998596238763</v>
      </c>
      <c r="Q24">
        <f t="shared" si="2"/>
        <v>1.3025653695774795</v>
      </c>
      <c r="R24" s="67" cm="1">
        <f t="array" ref="R24">SUMPRODUCT((J24=$J$7:$J$1000)*(P24&lt;$P$7:$P$1000))+1</f>
        <v>19</v>
      </c>
      <c r="S24" s="72"/>
      <c r="T24">
        <v>13</v>
      </c>
      <c r="U24" t="str">
        <v>HOU</v>
      </c>
      <c r="V24" t="str">
        <v>Jeremy Misailegalu</v>
      </c>
      <c r="W24" t="str">
        <v>NULL</v>
      </c>
      <c r="X24" t="str">
        <v>Away</v>
      </c>
      <c r="Y24" t="str">
        <v>SDL</v>
      </c>
      <c r="Z24">
        <v>9.2348190030232207</v>
      </c>
      <c r="AA24" s="1" t="str">
        <v>Ed Fidow</v>
      </c>
      <c r="AB24" s="1" cm="1">
        <f t="array" ref="AB24">COUNT(_xlfn._xlws.FILTER($J$7:$J$10000,($L$7:$L$10000=AA24)*($M$7:$M$10000&lt;&gt;"NULL")*($J$7:$J$10000 &gt;= ($G$1-5))))/5</f>
        <v>0.6</v>
      </c>
    </row>
    <row r="25" spans="1:28" x14ac:dyDescent="0.35">
      <c r="A25">
        <f>VLOOKUP($B25, PlayerIDs!$A$1:$B$516, 2, FALSE)</f>
        <v>763</v>
      </c>
      <c r="B25" t="s">
        <v>531</v>
      </c>
      <c r="C25" s="1">
        <v>14.005405943066963</v>
      </c>
      <c r="D25" s="1">
        <f t="shared" si="3"/>
        <v>6</v>
      </c>
      <c r="E25" s="1" cm="1">
        <f t="array" ref="E25">IFERROR(VLOOKUP($B25,_xlfn._xlws.FILTER($L$7:$P$10000,$J$7:$J$10000=G$1+1),5, FALSE), 0)</f>
        <v>15.147669109267508</v>
      </c>
      <c r="F25" s="1">
        <f t="shared" si="4"/>
        <v>7</v>
      </c>
      <c r="G25" s="1">
        <f t="shared" ca="1" si="5"/>
        <v>53.79768857190885</v>
      </c>
      <c r="H25" s="1">
        <f t="shared" ca="1" si="6"/>
        <v>8</v>
      </c>
      <c r="I25" s="1" cm="1">
        <f t="array" ref="I25">COUNT(_xlfn._xlws.FILTER($J$7:$J$10000,($L$7:$L$10000=B25)*($M$7:$M$10000&lt;&gt;"NULL")*($J$7:$J$10000 &gt;= ($G$1-4))))/5</f>
        <v>0.2</v>
      </c>
      <c r="J25" s="65">
        <v>1</v>
      </c>
      <c r="K25" t="s">
        <v>2</v>
      </c>
      <c r="L25" t="s">
        <v>455</v>
      </c>
      <c r="M25">
        <v>4.4000000000000004</v>
      </c>
      <c r="N25" t="s">
        <v>9</v>
      </c>
      <c r="O25" t="s">
        <v>36</v>
      </c>
      <c r="P25">
        <f t="shared" si="1"/>
        <v>1.9348528218161467</v>
      </c>
      <c r="Q25">
        <f t="shared" si="2"/>
        <v>6.076950610107815</v>
      </c>
      <c r="R25" s="67" cm="1">
        <f t="array" ref="R25">SUMPRODUCT((J25=$J$7:$J$1000)*(P25&lt;$P$7:$P$1000))+1</f>
        <v>26</v>
      </c>
      <c r="S25" s="72"/>
      <c r="T25">
        <v>13</v>
      </c>
      <c r="U25" t="str">
        <v>HOU</v>
      </c>
      <c r="V25" t="str">
        <v>Juan Dee Oliver</v>
      </c>
      <c r="W25" t="str">
        <v>NULL</v>
      </c>
      <c r="X25" t="str">
        <v>Away</v>
      </c>
      <c r="Y25" t="str">
        <v>SDL</v>
      </c>
      <c r="Z25">
        <v>3.7831738832650905</v>
      </c>
      <c r="AA25" s="1" t="str">
        <v>EJ Freeman</v>
      </c>
      <c r="AB25" s="1" cm="1">
        <f t="array" ref="AB25">COUNT(_xlfn._xlws.FILTER($J$7:$J$10000,($L$7:$L$10000=AA25)*($M$7:$M$10000&lt;&gt;"NULL")*($J$7:$J$10000 &gt;= ($G$1-5))))/5</f>
        <v>0</v>
      </c>
    </row>
    <row r="26" spans="1:28" x14ac:dyDescent="0.35">
      <c r="A26">
        <f>VLOOKUP($B26, PlayerIDs!$A$1:$B$516, 2, FALSE)</f>
        <v>449</v>
      </c>
      <c r="B26" t="s">
        <v>5</v>
      </c>
      <c r="C26" s="1">
        <v>13.853986185261459</v>
      </c>
      <c r="D26" s="1">
        <f t="shared" si="3"/>
        <v>7</v>
      </c>
      <c r="E26" s="1" cm="1">
        <f t="array" ref="E26">IFERROR(VLOOKUP($B26,_xlfn._xlws.FILTER($L$7:$P$10000,$J$7:$J$10000=G$1+1),5, FALSE), 0)</f>
        <v>16.590046326415873</v>
      </c>
      <c r="F26" s="1">
        <f t="shared" si="4"/>
        <v>3</v>
      </c>
      <c r="G26" s="1">
        <f t="shared" ca="1" si="5"/>
        <v>59.302073305358689</v>
      </c>
      <c r="H26" s="1">
        <f t="shared" ca="1" si="6"/>
        <v>2</v>
      </c>
      <c r="I26" s="1" cm="1">
        <f t="array" ref="I26">COUNT(_xlfn._xlws.FILTER($J$7:$J$10000,($L$7:$L$10000=B26)*($M$7:$M$10000&lt;&gt;"NULL")*($J$7:$J$10000 &gt;= ($G$1-4))))/5</f>
        <v>0.4</v>
      </c>
      <c r="J26" s="65">
        <v>1</v>
      </c>
      <c r="K26" t="s">
        <v>36</v>
      </c>
      <c r="L26" t="s">
        <v>334</v>
      </c>
      <c r="M26">
        <v>4.3</v>
      </c>
      <c r="N26" t="s">
        <v>3</v>
      </c>
      <c r="O26" t="s">
        <v>2</v>
      </c>
      <c r="P26">
        <f t="shared" si="1"/>
        <v>4.7176769038779192</v>
      </c>
      <c r="Q26">
        <f t="shared" si="2"/>
        <v>0.17445399603304468</v>
      </c>
      <c r="R26" s="67" cm="1">
        <f t="array" ref="R26">SUMPRODUCT((J26=$J$7:$J$1000)*(P26&lt;$P$7:$P$1000))+1</f>
        <v>22</v>
      </c>
      <c r="S26" s="72"/>
      <c r="T26">
        <v>13</v>
      </c>
      <c r="U26" t="str">
        <v>HOU</v>
      </c>
      <c r="V26" t="str">
        <v>Max Schumacher</v>
      </c>
      <c r="W26" t="str">
        <v>NULL</v>
      </c>
      <c r="X26" t="str">
        <v>Away</v>
      </c>
      <c r="Y26" t="str">
        <v>SDL</v>
      </c>
      <c r="Z26">
        <v>6.1125477572012006</v>
      </c>
      <c r="AA26" s="1" t="str">
        <v>Ethan Grayson</v>
      </c>
      <c r="AB26" s="1" cm="1">
        <f t="array" ref="AB26">COUNT(_xlfn._xlws.FILTER($J$7:$J$10000,($L$7:$L$10000=AA26)*($M$7:$M$10000&lt;&gt;"NULL")*($J$7:$J$10000 &gt;= ($G$1-5))))/5</f>
        <v>0.6</v>
      </c>
    </row>
    <row r="27" spans="1:28" x14ac:dyDescent="0.35">
      <c r="A27">
        <f>VLOOKUP($B27, PlayerIDs!$A$1:$B$516, 2, FALSE)</f>
        <v>349</v>
      </c>
      <c r="B27" t="s">
        <v>91</v>
      </c>
      <c r="C27" s="1">
        <v>13.649787502138595</v>
      </c>
      <c r="D27" s="1">
        <f t="shared" si="3"/>
        <v>8</v>
      </c>
      <c r="E27" s="1" cm="1">
        <f t="array" ref="E27">IFERROR(VLOOKUP($B27,_xlfn._xlws.FILTER($L$7:$P$10000,$J$7:$J$10000=G$1+1),5, FALSE), 0)</f>
        <v>14.020878038653024</v>
      </c>
      <c r="F27" s="1">
        <f t="shared" si="4"/>
        <v>15</v>
      </c>
      <c r="G27" s="1">
        <f t="shared" ca="1" si="5"/>
        <v>56.963730578315612</v>
      </c>
      <c r="H27" s="1">
        <f t="shared" ca="1" si="6"/>
        <v>4</v>
      </c>
      <c r="I27" s="1" cm="1">
        <f t="array" ref="I27">COUNT(_xlfn._xlws.FILTER($J$7:$J$10000,($L$7:$L$10000=B27)*($M$7:$M$10000&lt;&gt;"NULL")*($J$7:$J$10000 &gt;= ($G$1-4))))/5</f>
        <v>0.8</v>
      </c>
      <c r="J27" s="65">
        <v>1</v>
      </c>
      <c r="K27" t="s">
        <v>23</v>
      </c>
      <c r="L27" t="s">
        <v>456</v>
      </c>
      <c r="M27">
        <v>4.3</v>
      </c>
      <c r="N27" t="s">
        <v>9</v>
      </c>
      <c r="O27" t="s">
        <v>6</v>
      </c>
      <c r="P27">
        <f t="shared" si="1"/>
        <v>3.845369578503961</v>
      </c>
      <c r="Q27">
        <f t="shared" si="2"/>
        <v>0.20668882014966591</v>
      </c>
      <c r="R27" s="67" cm="1">
        <f t="array" ref="R27">SUMPRODUCT((J27=$J$7:$J$1000)*(P27&lt;$P$7:$P$1000))+1</f>
        <v>23</v>
      </c>
      <c r="S27" s="72"/>
      <c r="T27">
        <v>13</v>
      </c>
      <c r="U27" t="str">
        <v>HOU</v>
      </c>
      <c r="V27" t="str">
        <v>Rufus McLean</v>
      </c>
      <c r="W27" t="str">
        <v>NULL</v>
      </c>
      <c r="X27" t="str">
        <v>Away</v>
      </c>
      <c r="Y27" t="str">
        <v>SDL</v>
      </c>
      <c r="Z27">
        <v>8.1123654781774359</v>
      </c>
      <c r="AA27" s="1" t="str">
        <v>Guiseppe du Toit</v>
      </c>
      <c r="AB27" s="1" cm="1">
        <f t="array" ref="AB27">COUNT(_xlfn._xlws.FILTER($J$7:$J$10000,($L$7:$L$10000=AA27)*($M$7:$M$10000&lt;&gt;"NULL")*($J$7:$J$10000 &gt;= ($G$1-5))))/5</f>
        <v>0.2</v>
      </c>
    </row>
    <row r="28" spans="1:28" x14ac:dyDescent="0.35">
      <c r="A28">
        <f>VLOOKUP($B28, PlayerIDs!$A$1:$B$516, 2, FALSE)</f>
        <v>735</v>
      </c>
      <c r="B28" t="s">
        <v>674</v>
      </c>
      <c r="C28" s="1">
        <v>13.637163441910507</v>
      </c>
      <c r="D28" s="1">
        <f t="shared" si="3"/>
        <v>9</v>
      </c>
      <c r="E28" s="1" cm="1">
        <f t="array" ref="E28">IFERROR(VLOOKUP($B28,_xlfn._xlws.FILTER($L$7:$P$10000,$J$7:$J$10000=G$1+1),5, FALSE), 0)</f>
        <v>12.766751034739091</v>
      </c>
      <c r="F28" s="1">
        <f t="shared" si="4"/>
        <v>18</v>
      </c>
      <c r="G28" s="1">
        <f t="shared" ca="1" si="5"/>
        <v>41.104809899055184</v>
      </c>
      <c r="H28" s="1">
        <f t="shared" ca="1" si="6"/>
        <v>20</v>
      </c>
      <c r="I28" s="1" cm="1">
        <f t="array" ref="I28">COUNT(_xlfn._xlws.FILTER($J$7:$J$10000,($L$7:$L$10000=B28)*($M$7:$M$10000&lt;&gt;"NULL")*($J$7:$J$10000 &gt;= ($G$1-4))))/5</f>
        <v>0.4</v>
      </c>
      <c r="J28" s="65">
        <v>1</v>
      </c>
      <c r="K28" t="s">
        <v>23</v>
      </c>
      <c r="L28" t="s">
        <v>340</v>
      </c>
      <c r="M28">
        <v>3.8</v>
      </c>
      <c r="N28" t="s">
        <v>9</v>
      </c>
      <c r="O28" t="s">
        <v>6</v>
      </c>
      <c r="P28">
        <f t="shared" si="1"/>
        <v>5.1598697503608868</v>
      </c>
      <c r="Q28">
        <f t="shared" si="2"/>
        <v>1.849245737946581</v>
      </c>
      <c r="R28" s="67" cm="1">
        <f t="array" ref="R28">SUMPRODUCT((J28=$J$7:$J$1000)*(P28&lt;$P$7:$P$1000))+1</f>
        <v>21</v>
      </c>
      <c r="S28" s="72"/>
      <c r="T28">
        <v>13</v>
      </c>
      <c r="U28" t="str">
        <v>HOU</v>
      </c>
      <c r="V28" t="str">
        <v>Seimou Smith</v>
      </c>
      <c r="W28" t="str">
        <v>NULL</v>
      </c>
      <c r="X28" t="str">
        <v>Away</v>
      </c>
      <c r="Y28" t="str">
        <v>SDL</v>
      </c>
      <c r="Z28">
        <v>3.6404587398095889</v>
      </c>
      <c r="AA28" s="1" t="str">
        <v>Harley Wheeler</v>
      </c>
      <c r="AB28" s="1" cm="1">
        <f t="array" ref="AB28">COUNT(_xlfn._xlws.FILTER($J$7:$J$10000,($L$7:$L$10000=AA28)*($M$7:$M$10000&lt;&gt;"NULL")*($J$7:$J$10000 &gt;= ($G$1-5))))/5</f>
        <v>0.4</v>
      </c>
    </row>
    <row r="29" spans="1:28" x14ac:dyDescent="0.35">
      <c r="A29">
        <f>VLOOKUP($B29, PlayerIDs!$A$1:$B$516, 2, FALSE)</f>
        <v>122</v>
      </c>
      <c r="B29" t="s">
        <v>497</v>
      </c>
      <c r="C29" s="1">
        <v>13.604671040119115</v>
      </c>
      <c r="D29" s="1">
        <f t="shared" si="3"/>
        <v>10</v>
      </c>
      <c r="E29" s="1" cm="1">
        <f t="array" ref="E29">IFERROR(VLOOKUP($B29,_xlfn._xlws.FILTER($L$7:$P$10000,$J$7:$J$10000=G$1+1),5, FALSE), 0)</f>
        <v>14.74693420631966</v>
      </c>
      <c r="F29" s="1">
        <f t="shared" si="4"/>
        <v>10</v>
      </c>
      <c r="G29" s="1">
        <f t="shared" ca="1" si="5"/>
        <v>52.194748960117451</v>
      </c>
      <c r="H29" s="1">
        <f t="shared" ca="1" si="6"/>
        <v>10</v>
      </c>
      <c r="I29" s="1" cm="1">
        <f t="array" ref="I29">COUNT(_xlfn._xlws.FILTER($J$7:$J$10000,($L$7:$L$10000=B29)*($M$7:$M$10000&lt;&gt;"NULL")*($J$7:$J$10000 &gt;= ($G$1-4))))/5</f>
        <v>0.8</v>
      </c>
      <c r="J29" s="65">
        <v>1</v>
      </c>
      <c r="K29" t="s">
        <v>6</v>
      </c>
      <c r="L29" t="s">
        <v>66</v>
      </c>
      <c r="M29">
        <v>3.7</v>
      </c>
      <c r="N29" t="s">
        <v>3</v>
      </c>
      <c r="O29" t="s">
        <v>23</v>
      </c>
      <c r="P29">
        <f t="shared" si="1"/>
        <v>1.5137061370620537</v>
      </c>
      <c r="Q29">
        <f t="shared" si="2"/>
        <v>4.7798808551201279</v>
      </c>
      <c r="R29" s="67" cm="1">
        <f t="array" ref="R29">SUMPRODUCT((J29=$J$7:$J$1000)*(P29&lt;$P$7:$P$1000))+1</f>
        <v>27</v>
      </c>
      <c r="S29" s="72"/>
      <c r="T29">
        <v>13</v>
      </c>
      <c r="U29" t="str">
        <v>LA</v>
      </c>
      <c r="V29" t="str">
        <v>Andrew Coe</v>
      </c>
      <c r="W29" t="str">
        <v>NULL</v>
      </c>
      <c r="X29" t="str">
        <v>Home</v>
      </c>
      <c r="Y29" t="str">
        <v>ARC</v>
      </c>
      <c r="Z29">
        <v>12.982509947198501</v>
      </c>
      <c r="AA29" s="1" t="str">
        <v>Harrison Boyle</v>
      </c>
      <c r="AB29" s="1" cm="1">
        <f t="array" ref="AB29">COUNT(_xlfn._xlws.FILTER($J$7:$J$10000,($L$7:$L$10000=AA29)*($M$7:$M$10000&lt;&gt;"NULL")*($J$7:$J$10000 &gt;= ($G$1-5))))/5</f>
        <v>0.4</v>
      </c>
    </row>
    <row r="30" spans="1:28" x14ac:dyDescent="0.35">
      <c r="A30">
        <f>VLOOKUP($B30, PlayerIDs!$A$1:$B$516, 2, FALSE)</f>
        <v>574</v>
      </c>
      <c r="B30" t="s">
        <v>675</v>
      </c>
      <c r="C30" s="1">
        <v>12.807638547104206</v>
      </c>
      <c r="D30" s="1">
        <f t="shared" si="3"/>
        <v>11</v>
      </c>
      <c r="E30" s="1" cm="1">
        <f t="array" ref="E30">IFERROR(VLOOKUP($B30,_xlfn._xlws.FILTER($L$7:$P$10000,$J$7:$J$10000=G$1+1),5, FALSE), 0)</f>
        <v>15.543698688258619</v>
      </c>
      <c r="F30" s="1">
        <f t="shared" si="4"/>
        <v>5</v>
      </c>
      <c r="G30" s="1">
        <f t="shared" ca="1" si="5"/>
        <v>55.116682752729687</v>
      </c>
      <c r="H30" s="1">
        <f t="shared" ca="1" si="6"/>
        <v>6</v>
      </c>
      <c r="I30" s="1" cm="1">
        <f t="array" ref="I30">COUNT(_xlfn._xlws.FILTER($J$7:$J$10000,($L$7:$L$10000=B30)*($M$7:$M$10000&lt;&gt;"NULL")*($J$7:$J$10000 &gt;= ($G$1-4))))/5</f>
        <v>0.2</v>
      </c>
      <c r="J30" s="65">
        <v>1</v>
      </c>
      <c r="K30" t="s">
        <v>4</v>
      </c>
      <c r="L30" t="s">
        <v>457</v>
      </c>
      <c r="M30">
        <v>3.5</v>
      </c>
      <c r="N30" t="s">
        <v>3</v>
      </c>
      <c r="O30" t="s">
        <v>14</v>
      </c>
      <c r="P30">
        <f t="shared" si="1"/>
        <v>13.763342784146896</v>
      </c>
      <c r="Q30">
        <f t="shared" si="2"/>
        <v>105.33620510490017</v>
      </c>
      <c r="R30" s="67" cm="1">
        <f t="array" ref="R30">SUMPRODUCT((J30=$J$7:$J$1000)*(P30&lt;$P$7:$P$1000))+1</f>
        <v>3</v>
      </c>
      <c r="S30" s="72"/>
      <c r="T30">
        <v>13</v>
      </c>
      <c r="U30" t="str">
        <v>LA</v>
      </c>
      <c r="V30" t="str">
        <v>Christian Dyer</v>
      </c>
      <c r="W30" t="str">
        <v>NULL</v>
      </c>
      <c r="X30" t="str">
        <v>Home</v>
      </c>
      <c r="Y30" t="str">
        <v>ARC</v>
      </c>
      <c r="Z30">
        <v>6.0394246100506983</v>
      </c>
      <c r="AA30" s="1" t="str">
        <v>Isaac Olson</v>
      </c>
      <c r="AB30" s="1" cm="1">
        <f t="array" ref="AB30">COUNT(_xlfn._xlws.FILTER($J$7:$J$10000,($L$7:$L$10000=AA30)*($M$7:$M$10000&lt;&gt;"NULL")*($J$7:$J$10000 &gt;= ($G$1-5))))/5</f>
        <v>0</v>
      </c>
    </row>
    <row r="31" spans="1:28" x14ac:dyDescent="0.35">
      <c r="A31">
        <f>VLOOKUP($B31, PlayerIDs!$A$1:$B$516, 2, FALSE)</f>
        <v>601</v>
      </c>
      <c r="B31" t="s">
        <v>94</v>
      </c>
      <c r="C31" s="1">
        <v>12.640486767086934</v>
      </c>
      <c r="D31" s="1">
        <f t="shared" si="3"/>
        <v>12</v>
      </c>
      <c r="E31" s="1" cm="1">
        <f t="array" ref="E31">IFERROR(VLOOKUP($B31,_xlfn._xlws.FILTER($L$7:$P$10000,$J$7:$J$10000=G$1+1),5, FALSE), 0)</f>
        <v>15.376546908241346</v>
      </c>
      <c r="F31" s="1">
        <f t="shared" si="4"/>
        <v>6</v>
      </c>
      <c r="G31" s="1">
        <f t="shared" ca="1" si="5"/>
        <v>54.44807563266059</v>
      </c>
      <c r="H31" s="1">
        <f t="shared" ca="1" si="6"/>
        <v>7</v>
      </c>
      <c r="I31" s="1" cm="1">
        <f t="array" ref="I31">COUNT(_xlfn._xlws.FILTER($J$7:$J$10000,($L$7:$L$10000=B31)*($M$7:$M$10000&lt;&gt;"NULL")*($J$7:$J$10000 &gt;= ($G$1-4))))/5</f>
        <v>1</v>
      </c>
      <c r="J31" s="65">
        <v>1</v>
      </c>
      <c r="K31" t="s">
        <v>24</v>
      </c>
      <c r="L31" t="s">
        <v>459</v>
      </c>
      <c r="M31">
        <v>2.2000000000000002</v>
      </c>
      <c r="N31" t="s">
        <v>3</v>
      </c>
      <c r="O31" t="s">
        <v>7</v>
      </c>
      <c r="P31">
        <f t="shared" si="1"/>
        <v>0.57863155836938396</v>
      </c>
      <c r="Q31">
        <f t="shared" si="2"/>
        <v>2.6288356235156929</v>
      </c>
      <c r="R31" s="67" cm="1">
        <f t="array" ref="R31">SUMPRODUCT((J31=$J$7:$J$1000)*(P31&lt;$P$7:$P$1000))+1</f>
        <v>28</v>
      </c>
      <c r="S31" s="72"/>
      <c r="T31">
        <v>13</v>
      </c>
      <c r="U31" t="str">
        <v>LA</v>
      </c>
      <c r="V31" t="str">
        <v>Jack Shaw</v>
      </c>
      <c r="W31" t="str">
        <v>NULL</v>
      </c>
      <c r="X31" t="str">
        <v>Home</v>
      </c>
      <c r="Y31" t="str">
        <v>ARC</v>
      </c>
      <c r="Z31">
        <v>9.6215987931273244</v>
      </c>
      <c r="AA31" s="1" t="str">
        <v>Jack Reeves</v>
      </c>
      <c r="AB31" s="1" cm="1">
        <f t="array" ref="AB31">COUNT(_xlfn._xlws.FILTER($J$7:$J$10000,($L$7:$L$10000=AA31)*($M$7:$M$10000&lt;&gt;"NULL")*($J$7:$J$10000 &gt;= ($G$1-5))))/5</f>
        <v>0.4</v>
      </c>
    </row>
    <row r="32" spans="1:28" x14ac:dyDescent="0.35">
      <c r="A32">
        <f>VLOOKUP($B32, PlayerIDs!$A$1:$B$516, 2, FALSE)</f>
        <v>773</v>
      </c>
      <c r="B32" t="s">
        <v>453</v>
      </c>
      <c r="C32" s="1">
        <v>12.593607075679094</v>
      </c>
      <c r="D32" s="1">
        <f t="shared" si="3"/>
        <v>13</v>
      </c>
      <c r="E32" s="1" cm="1">
        <f t="array" ref="E32">IFERROR(VLOOKUP($B32,_xlfn._xlws.FILTER($L$7:$P$10000,$J$7:$J$10000=G$1+1),5, FALSE), 0)</f>
        <v>15.836764329136317</v>
      </c>
      <c r="F32" s="1">
        <f t="shared" si="4"/>
        <v>4</v>
      </c>
      <c r="G32" s="1">
        <f t="shared" ca="1" si="5"/>
        <v>42.537332183209472</v>
      </c>
      <c r="H32" s="1">
        <f t="shared" ca="1" si="6"/>
        <v>19</v>
      </c>
      <c r="I32" s="1" cm="1">
        <f t="array" ref="I32">COUNT(_xlfn._xlws.FILTER($J$7:$J$10000,($L$7:$L$10000=B32)*($M$7:$M$10000&lt;&gt;"NULL")*($J$7:$J$10000 &gt;= ($G$1-4))))/5</f>
        <v>0.6</v>
      </c>
      <c r="J32" s="65">
        <v>1</v>
      </c>
      <c r="K32" t="s">
        <v>36</v>
      </c>
      <c r="L32" t="s">
        <v>73</v>
      </c>
      <c r="M32">
        <v>0.9</v>
      </c>
      <c r="N32" t="s">
        <v>3</v>
      </c>
      <c r="O32" t="s">
        <v>2</v>
      </c>
      <c r="P32">
        <f t="shared" si="1"/>
        <v>10.845218395907697</v>
      </c>
      <c r="Q32">
        <f t="shared" si="2"/>
        <v>98.907368942300863</v>
      </c>
      <c r="R32" s="67" cm="1">
        <f t="array" ref="R32">SUMPRODUCT((J32=$J$7:$J$1000)*(P32&lt;$P$7:$P$1000))+1</f>
        <v>12</v>
      </c>
      <c r="S32" s="72"/>
      <c r="T32">
        <v>13</v>
      </c>
      <c r="U32" t="str">
        <v>LA</v>
      </c>
      <c r="V32" t="str">
        <v>Reece Macdonald</v>
      </c>
      <c r="W32" t="str">
        <v>NULL</v>
      </c>
      <c r="X32" t="str">
        <v>Home</v>
      </c>
      <c r="Y32" t="str">
        <v>ARC</v>
      </c>
      <c r="Z32">
        <v>14.81917603517652</v>
      </c>
      <c r="AA32" s="1" t="str">
        <v>Jack Shaw</v>
      </c>
      <c r="AB32" s="1" cm="1">
        <f t="array" ref="AB32">COUNT(_xlfn._xlws.FILTER($J$7:$J$10000,($L$7:$L$10000=AA32)*($M$7:$M$10000&lt;&gt;"NULL")*($J$7:$J$10000 &gt;= ($G$1-5))))/5</f>
        <v>0.2</v>
      </c>
    </row>
    <row r="33" spans="1:28" x14ac:dyDescent="0.35">
      <c r="A33">
        <f>VLOOKUP($B33, PlayerIDs!$A$1:$B$516, 2, FALSE)</f>
        <v>665</v>
      </c>
      <c r="B33" t="s">
        <v>95</v>
      </c>
      <c r="C33" s="1">
        <v>12.307842778813519</v>
      </c>
      <c r="D33" s="1">
        <f t="shared" si="3"/>
        <v>14</v>
      </c>
      <c r="E33" s="1" cm="1">
        <f t="array" ref="E33">IFERROR(VLOOKUP($B33,_xlfn._xlws.FILTER($L$7:$P$10000,$J$7:$J$10000=G$1+1),5, FALSE), 0)</f>
        <v>11.437430371642103</v>
      </c>
      <c r="F33" s="1">
        <f t="shared" si="4"/>
        <v>22</v>
      </c>
      <c r="G33" s="1">
        <f t="shared" ca="1" si="5"/>
        <v>37.116847909764218</v>
      </c>
      <c r="H33" s="1">
        <f t="shared" ca="1" si="6"/>
        <v>25</v>
      </c>
      <c r="I33" s="1" cm="1">
        <f t="array" ref="I33">COUNT(_xlfn._xlws.FILTER($J$7:$J$10000,($L$7:$L$10000=B33)*($M$7:$M$10000&lt;&gt;"NULL")*($J$7:$J$10000 &gt;= ($G$1-4))))/5</f>
        <v>1</v>
      </c>
      <c r="J33" s="65">
        <v>1</v>
      </c>
      <c r="K33" t="s">
        <v>14</v>
      </c>
      <c r="L33" t="s">
        <v>460</v>
      </c>
      <c r="M33">
        <v>0.7</v>
      </c>
      <c r="N33" t="s">
        <v>9</v>
      </c>
      <c r="O33" t="s">
        <v>4</v>
      </c>
      <c r="P33">
        <f t="shared" si="1"/>
        <v>-0.39198461335300594</v>
      </c>
      <c r="Q33">
        <f t="shared" si="2"/>
        <v>1.1924303957997135</v>
      </c>
      <c r="R33" s="67" cm="1">
        <f t="array" ref="R33">SUMPRODUCT((J33=$J$7:$J$1000)*(P33&lt;$P$7:$P$1000))+1</f>
        <v>30</v>
      </c>
      <c r="S33" s="72"/>
      <c r="T33">
        <v>13</v>
      </c>
      <c r="U33" t="str">
        <v>LA</v>
      </c>
      <c r="V33" t="str">
        <v>Rory van Vugt</v>
      </c>
      <c r="W33" t="str">
        <v>NULL</v>
      </c>
      <c r="X33" t="str">
        <v>Home</v>
      </c>
      <c r="Y33" t="str">
        <v>ARC</v>
      </c>
      <c r="Z33">
        <v>15.376546908241346</v>
      </c>
      <c r="AA33" s="1" t="str">
        <v>Jack Webster</v>
      </c>
      <c r="AB33" s="1" cm="1">
        <f t="array" ref="AB33">COUNT(_xlfn._xlws.FILTER($J$7:$J$10000,($L$7:$L$10000=AA33)*($M$7:$M$10000&lt;&gt;"NULL")*($J$7:$J$10000 &gt;= ($G$1-5))))/5</f>
        <v>0.2</v>
      </c>
    </row>
    <row r="34" spans="1:28" x14ac:dyDescent="0.35">
      <c r="A34">
        <f>VLOOKUP($B34, PlayerIDs!$A$1:$B$516, 2, FALSE)</f>
        <v>359</v>
      </c>
      <c r="B34" t="s">
        <v>93</v>
      </c>
      <c r="C34" s="1">
        <v>12.083115894022107</v>
      </c>
      <c r="D34" s="1">
        <f t="shared" si="3"/>
        <v>15</v>
      </c>
      <c r="E34" s="1" cm="1">
        <f t="array" ref="E34">IFERROR(VLOOKUP($B34,_xlfn._xlws.FILTER($L$7:$P$10000,$J$7:$J$10000=G$1+1),5, FALSE), 0)</f>
        <v>14.81917603517652</v>
      </c>
      <c r="F34" s="1">
        <f t="shared" si="4"/>
        <v>9</v>
      </c>
      <c r="G34" s="1">
        <f t="shared" ca="1" si="5"/>
        <v>52.218592140401284</v>
      </c>
      <c r="H34" s="1">
        <f t="shared" ca="1" si="6"/>
        <v>9</v>
      </c>
      <c r="I34" s="1" cm="1">
        <f t="array" ref="I34">COUNT(_xlfn._xlws.FILTER($J$7:$J$10000,($L$7:$L$10000=B34)*($M$7:$M$10000&lt;&gt;"NULL")*($J$7:$J$10000 &gt;= ($G$1-4))))/5</f>
        <v>0.6</v>
      </c>
      <c r="J34" s="65">
        <v>1</v>
      </c>
      <c r="K34" t="s">
        <v>17</v>
      </c>
      <c r="L34" t="s">
        <v>458</v>
      </c>
      <c r="M34">
        <v>0.4</v>
      </c>
      <c r="N34" t="s">
        <v>9</v>
      </c>
      <c r="O34" t="s">
        <v>34</v>
      </c>
      <c r="P34">
        <f t="shared" si="1"/>
        <v>0.39487618011179293</v>
      </c>
      <c r="Q34">
        <f t="shared" si="2"/>
        <v>2.6253530246786546E-5</v>
      </c>
      <c r="R34" s="67" cm="1">
        <f t="array" ref="R34">SUMPRODUCT((J34=$J$7:$J$1000)*(P34&lt;$P$7:$P$1000))+1</f>
        <v>29</v>
      </c>
      <c r="S34" s="72"/>
      <c r="T34">
        <v>13</v>
      </c>
      <c r="U34" t="str">
        <v>LA</v>
      </c>
      <c r="V34" t="str">
        <v>Seth Purdey</v>
      </c>
      <c r="W34" t="str">
        <v>NULL</v>
      </c>
      <c r="X34" t="str">
        <v>Home</v>
      </c>
      <c r="Y34" t="str">
        <v>ARC</v>
      </c>
      <c r="Z34">
        <v>8.4464165008196517</v>
      </c>
      <c r="AA34" s="1" t="str">
        <v>Jade Stighling</v>
      </c>
      <c r="AB34" s="1" cm="1">
        <f t="array" ref="AB34">COUNT(_xlfn._xlws.FILTER($J$7:$J$10000,($L$7:$L$10000=AA34)*($M$7:$M$10000&lt;&gt;"NULL")*($J$7:$J$10000 &gt;= ($G$1-5))))/5</f>
        <v>0.4</v>
      </c>
    </row>
    <row r="35" spans="1:28" x14ac:dyDescent="0.35">
      <c r="A35">
        <f>VLOOKUP($B35, PlayerIDs!$A$1:$B$516, 2, FALSE)</f>
        <v>226</v>
      </c>
      <c r="B35" t="s">
        <v>477</v>
      </c>
      <c r="C35" s="1">
        <v>12.04727743776639</v>
      </c>
      <c r="D35" s="1">
        <f t="shared" si="3"/>
        <v>16</v>
      </c>
      <c r="E35" s="1" cm="1">
        <f t="array" ref="E35">IFERROR(VLOOKUP($B35,_xlfn._xlws.FILTER($L$7:$P$10000,$J$7:$J$10000=G$1+1),5, FALSE), 0)</f>
        <v>12.130477111180863</v>
      </c>
      <c r="F35" s="1">
        <f t="shared" si="4"/>
        <v>19</v>
      </c>
      <c r="G35" s="1">
        <f t="shared" ca="1" si="5"/>
        <v>49.153816091986386</v>
      </c>
      <c r="H35" s="1">
        <f t="shared" ca="1" si="6"/>
        <v>11</v>
      </c>
      <c r="I35" s="1" cm="1">
        <f t="array" ref="I35">COUNT(_xlfn._xlws.FILTER($J$7:$J$10000,($L$7:$L$10000=B35)*($M$7:$M$10000&lt;&gt;"NULL")*($J$7:$J$10000 &gt;= ($G$1-4))))/5</f>
        <v>0.8</v>
      </c>
      <c r="J35" s="65">
        <v>1</v>
      </c>
      <c r="K35" t="s">
        <v>2</v>
      </c>
      <c r="L35" t="s">
        <v>12</v>
      </c>
      <c r="M35">
        <v>0.3</v>
      </c>
      <c r="N35" t="s">
        <v>9</v>
      </c>
      <c r="O35" t="s">
        <v>36</v>
      </c>
      <c r="P35">
        <f t="shared" si="1"/>
        <v>2.7357364501379626</v>
      </c>
      <c r="Q35">
        <f t="shared" si="2"/>
        <v>5.9328120545306842</v>
      </c>
      <c r="R35" s="67" cm="1">
        <f t="array" ref="R35">SUMPRODUCT((J35=$J$7:$J$1000)*(P35&lt;$P$7:$P$1000))+1</f>
        <v>25</v>
      </c>
      <c r="S35" s="72"/>
      <c r="T35">
        <v>13</v>
      </c>
      <c r="U35" t="str">
        <v>LA</v>
      </c>
      <c r="V35" t="str">
        <v>Vaughen Isaacs</v>
      </c>
      <c r="W35" t="str">
        <v>NULL</v>
      </c>
      <c r="X35" t="str">
        <v>Home</v>
      </c>
      <c r="Y35" t="str">
        <v>ARC</v>
      </c>
      <c r="Z35">
        <v>15.543698688258619</v>
      </c>
      <c r="AA35" s="1" t="str">
        <v>James Vaifale</v>
      </c>
      <c r="AB35" s="1" cm="1">
        <f t="array" ref="AB35">COUNT(_xlfn._xlws.FILTER($J$7:$J$10000,($L$7:$L$10000=AA35)*($M$7:$M$10000&lt;&gt;"NULL")*($J$7:$J$10000 &gt;= ($G$1-5))))/5</f>
        <v>0</v>
      </c>
    </row>
    <row r="36" spans="1:28" x14ac:dyDescent="0.35">
      <c r="A36">
        <f>VLOOKUP($B36, PlayerIDs!$A$1:$B$516, 2, FALSE)</f>
        <v>735</v>
      </c>
      <c r="B36" t="s">
        <v>536</v>
      </c>
      <c r="C36" s="1">
        <v>11.912264286594638</v>
      </c>
      <c r="D36" s="1">
        <f t="shared" si="3"/>
        <v>17</v>
      </c>
      <c r="E36" s="1" cm="1">
        <f t="array" ref="E36">IFERROR(VLOOKUP($B36,_xlfn._xlws.FILTER($L$7:$P$10000,$J$7:$J$10000=G$1+1),5, FALSE), 0)</f>
        <v>11.041851879423222</v>
      </c>
      <c r="F36" s="1">
        <f t="shared" si="4"/>
        <v>23</v>
      </c>
      <c r="G36" s="1">
        <f t="shared" ca="1" si="5"/>
        <v>35.930112433107574</v>
      </c>
      <c r="H36" s="1">
        <f t="shared" ca="1" si="6"/>
        <v>27</v>
      </c>
      <c r="I36" s="1" cm="1">
        <f t="array" ref="I36">COUNT(_xlfn._xlws.FILTER($J$7:$J$10000,($L$7:$L$10000=B36)*($M$7:$M$10000&lt;&gt;"NULL")*($J$7:$J$10000 &gt;= ($G$1-4))))/5</f>
        <v>0.6</v>
      </c>
      <c r="J36" s="65">
        <v>1</v>
      </c>
      <c r="K36" t="s">
        <v>2</v>
      </c>
      <c r="L36" t="s">
        <v>90</v>
      </c>
      <c r="M36">
        <v>-9.8000000000000007</v>
      </c>
      <c r="N36" t="s">
        <v>9</v>
      </c>
      <c r="O36" t="s">
        <v>36</v>
      </c>
      <c r="P36">
        <f t="shared" si="1"/>
        <v>3.7506804463257861</v>
      </c>
      <c r="Q36">
        <f t="shared" si="2"/>
        <v>183.62094055843602</v>
      </c>
      <c r="R36" s="67" cm="1">
        <f t="array" ref="R36">SUMPRODUCT((J36=$J$7:$J$1000)*(P36&lt;$P$7:$P$1000))+1</f>
        <v>24</v>
      </c>
      <c r="S36" s="72"/>
      <c r="T36">
        <v>13</v>
      </c>
      <c r="U36" t="str">
        <v>LA</v>
      </c>
      <c r="V36" t="str">
        <v>Will Leonard</v>
      </c>
      <c r="W36" t="str">
        <v>NULL</v>
      </c>
      <c r="X36" t="str">
        <v>Home</v>
      </c>
      <c r="Y36" t="str">
        <v>ARC</v>
      </c>
      <c r="Z36">
        <v>16.590046326415873</v>
      </c>
      <c r="AA36" s="1" t="str">
        <v>Jason Robertson</v>
      </c>
      <c r="AB36" s="1" cm="1">
        <f t="array" ref="AB36">COUNT(_xlfn._xlws.FILTER($J$7:$J$10000,($L$7:$L$10000=AA36)*($M$7:$M$10000&lt;&gt;"NULL")*($J$7:$J$10000 &gt;= ($G$1-5))))/5</f>
        <v>0.2</v>
      </c>
    </row>
    <row r="37" spans="1:28" x14ac:dyDescent="0.35">
      <c r="A37">
        <f>VLOOKUP($B37, PlayerIDs!$A$1:$B$516, 2, FALSE)</f>
        <v>219</v>
      </c>
      <c r="B37" t="s">
        <v>80</v>
      </c>
      <c r="C37" s="1">
        <v>11.6311863879331</v>
      </c>
      <c r="D37" s="1">
        <f t="shared" si="3"/>
        <v>18</v>
      </c>
      <c r="E37" s="1" cm="1">
        <f t="array" ref="E37">IFERROR(VLOOKUP($B37,_xlfn._xlws.FILTER($L$7:$P$10000,$J$7:$J$10000=G$1+1),5, FALSE), 0)</f>
        <v>0</v>
      </c>
      <c r="F37" s="1">
        <f t="shared" si="4"/>
        <v>74</v>
      </c>
      <c r="G37" s="1">
        <f t="shared" ca="1" si="5"/>
        <v>32.250426809200164</v>
      </c>
      <c r="H37" s="1">
        <f t="shared" ca="1" si="6"/>
        <v>36</v>
      </c>
      <c r="I37" s="1" cm="1">
        <f t="array" ref="I37">COUNT(_xlfn._xlws.FILTER($J$7:$J$10000,($L$7:$L$10000=B37)*($M$7:$M$10000&lt;&gt;"NULL")*($J$7:$J$10000 &gt;= ($G$1-4))))/5</f>
        <v>0.8</v>
      </c>
      <c r="J37" s="65">
        <v>2</v>
      </c>
      <c r="K37" t="s">
        <v>4</v>
      </c>
      <c r="L37" t="s">
        <v>457</v>
      </c>
      <c r="M37">
        <v>24.2</v>
      </c>
      <c r="N37" t="s">
        <v>9</v>
      </c>
      <c r="O37" t="s">
        <v>24</v>
      </c>
      <c r="P37">
        <f t="shared" si="1"/>
        <v>13.139127423261398</v>
      </c>
      <c r="Q37">
        <f t="shared" si="2"/>
        <v>122.34290215884803</v>
      </c>
      <c r="R37" s="67" cm="1">
        <f t="array" ref="R37">SUMPRODUCT((J37=$J$7:$J$1000)*(P37&lt;$P$7:$P$1000))+1</f>
        <v>5</v>
      </c>
      <c r="S37" s="72"/>
      <c r="T37">
        <v>13</v>
      </c>
      <c r="U37" t="str">
        <v>MIA</v>
      </c>
      <c r="V37" t="str">
        <v>Connor Burns</v>
      </c>
      <c r="W37" t="str">
        <v>NULL</v>
      </c>
      <c r="X37" t="str">
        <v>Away</v>
      </c>
      <c r="Y37" t="str">
        <v>NOLA</v>
      </c>
      <c r="Z37">
        <v>0.92735738551764668</v>
      </c>
      <c r="AA37" s="1" t="str">
        <v>Jason Tidwell</v>
      </c>
      <c r="AB37" s="1" cm="1">
        <f t="array" ref="AB37">COUNT(_xlfn._xlws.FILTER($J$7:$J$10000,($L$7:$L$10000=AA37)*($M$7:$M$10000&lt;&gt;"NULL")*($J$7:$J$10000 &gt;= ($G$1-5))))/5</f>
        <v>0.6</v>
      </c>
    </row>
    <row r="38" spans="1:28" x14ac:dyDescent="0.35">
      <c r="A38">
        <f>VLOOKUP($B38, PlayerIDs!$A$1:$B$516, 2, FALSE)</f>
        <v>619</v>
      </c>
      <c r="B38" t="s">
        <v>96</v>
      </c>
      <c r="C38" s="1">
        <v>11.589462443870215</v>
      </c>
      <c r="D38" s="1">
        <f t="shared" si="3"/>
        <v>19</v>
      </c>
      <c r="E38" s="1" cm="1">
        <f t="array" ref="E38">IFERROR(VLOOKUP($B38,_xlfn._xlws.FILTER($L$7:$P$10000,$J$7:$J$10000=G$1+1),5, FALSE), 0)</f>
        <v>11.736633850581887</v>
      </c>
      <c r="F38" s="1">
        <f t="shared" si="4"/>
        <v>21</v>
      </c>
      <c r="G38" s="1">
        <f t="shared" ca="1" si="5"/>
        <v>42.6823260052617</v>
      </c>
      <c r="H38" s="1">
        <f t="shared" ca="1" si="6"/>
        <v>18</v>
      </c>
      <c r="I38" s="1" cm="1">
        <f t="array" ref="I38">COUNT(_xlfn._xlws.FILTER($J$7:$J$10000,($L$7:$L$10000=B38)*($M$7:$M$10000&lt;&gt;"NULL")*($J$7:$J$10000 &gt;= ($G$1-4))))/5</f>
        <v>0.4</v>
      </c>
      <c r="J38" s="65">
        <v>2</v>
      </c>
      <c r="K38" t="s">
        <v>34</v>
      </c>
      <c r="L38" t="s">
        <v>41</v>
      </c>
      <c r="M38">
        <v>21.2</v>
      </c>
      <c r="N38" t="s">
        <v>9</v>
      </c>
      <c r="O38" t="s">
        <v>14</v>
      </c>
      <c r="P38">
        <f t="shared" si="1"/>
        <v>13.088342142511889</v>
      </c>
      <c r="Q38">
        <f t="shared" si="2"/>
        <v>65.798993196948601</v>
      </c>
      <c r="R38" s="67" cm="1">
        <f t="array" ref="R38">SUMPRODUCT((J38=$J$7:$J$1000)*(P38&lt;$P$7:$P$1000))+1</f>
        <v>6</v>
      </c>
      <c r="S38" s="72"/>
      <c r="T38">
        <v>13</v>
      </c>
      <c r="U38" t="str">
        <v>MIA</v>
      </c>
      <c r="V38" t="str">
        <v>Guiseppe du Toit</v>
      </c>
      <c r="W38" t="str">
        <v>NULL</v>
      </c>
      <c r="X38" t="str">
        <v>Away</v>
      </c>
      <c r="Y38" t="str">
        <v>NOLA</v>
      </c>
      <c r="Z38">
        <v>9.1704222825997945</v>
      </c>
      <c r="AA38" s="1" t="str">
        <v>Jeremiah Sio</v>
      </c>
      <c r="AB38" s="1" cm="1">
        <f t="array" ref="AB38">COUNT(_xlfn._xlws.FILTER($J$7:$J$10000,($L$7:$L$10000=AA38)*($M$7:$M$10000&lt;&gt;"NULL")*($J$7:$J$10000 &gt;= ($G$1-5))))/5</f>
        <v>0</v>
      </c>
    </row>
    <row r="39" spans="1:28" x14ac:dyDescent="0.35">
      <c r="A39">
        <f>VLOOKUP($B39, PlayerIDs!$A$1:$B$516, 2, FALSE)</f>
        <v>664</v>
      </c>
      <c r="B39" t="s">
        <v>41</v>
      </c>
      <c r="C39" s="1">
        <v>11.483594474545786</v>
      </c>
      <c r="D39" s="1">
        <f t="shared" si="3"/>
        <v>20</v>
      </c>
      <c r="E39" s="1" cm="1">
        <f t="array" ref="E39">IFERROR(VLOOKUP($B39,_xlfn._xlws.FILTER($L$7:$P$10000,$J$7:$J$10000=G$1+1),5, FALSE), 0)</f>
        <v>10.613182067374369</v>
      </c>
      <c r="F39" s="1">
        <f t="shared" si="4"/>
        <v>26</v>
      </c>
      <c r="G39" s="1">
        <f t="shared" ca="1" si="5"/>
        <v>34.644102996961017</v>
      </c>
      <c r="H39" s="1">
        <f t="shared" ca="1" si="6"/>
        <v>29</v>
      </c>
      <c r="I39" s="1" cm="1">
        <f t="array" ref="I39">COUNT(_xlfn._xlws.FILTER($J$7:$J$10000,($L$7:$L$10000=B39)*($M$7:$M$10000&lt;&gt;"NULL")*($J$7:$J$10000 &gt;= ($G$1-4))))/5</f>
        <v>0.6</v>
      </c>
      <c r="J39" s="65">
        <v>2</v>
      </c>
      <c r="K39" t="s">
        <v>34</v>
      </c>
      <c r="L39" t="s">
        <v>95</v>
      </c>
      <c r="M39">
        <v>18.5</v>
      </c>
      <c r="N39" t="s">
        <v>9</v>
      </c>
      <c r="O39" t="s">
        <v>14</v>
      </c>
      <c r="P39">
        <f t="shared" si="1"/>
        <v>13.912590446779623</v>
      </c>
      <c r="Q39">
        <f t="shared" si="2"/>
        <v>21.044326408977579</v>
      </c>
      <c r="R39" s="67" cm="1">
        <f t="array" ref="R39">SUMPRODUCT((J39=$J$7:$J$1000)*(P39&lt;$P$7:$P$1000))+1</f>
        <v>2</v>
      </c>
      <c r="S39" s="72"/>
      <c r="T39">
        <v>13</v>
      </c>
      <c r="U39" t="str">
        <v>MIA</v>
      </c>
      <c r="V39" t="str">
        <v>Josiah Morra</v>
      </c>
      <c r="W39" t="str">
        <v>NULL</v>
      </c>
      <c r="X39" t="str">
        <v>Away</v>
      </c>
      <c r="Y39" t="str">
        <v>NOLA</v>
      </c>
      <c r="Z39">
        <v>6.1791844994749114</v>
      </c>
      <c r="AA39" s="1" t="str">
        <v>Jeremy Misailegalu</v>
      </c>
      <c r="AB39" s="1" cm="1">
        <f t="array" ref="AB39">COUNT(_xlfn._xlws.FILTER($J$7:$J$10000,($L$7:$L$10000=AA39)*($M$7:$M$10000&lt;&gt;"NULL")*($J$7:$J$10000 &gt;= ($G$1-5))))/5</f>
        <v>0.4</v>
      </c>
    </row>
    <row r="40" spans="1:28" x14ac:dyDescent="0.35">
      <c r="A40">
        <f>VLOOKUP($B40, PlayerIDs!$A$1:$B$516, 2, FALSE)</f>
        <v>639</v>
      </c>
      <c r="B40" t="s">
        <v>286</v>
      </c>
      <c r="C40" s="1">
        <v>11.222064019690704</v>
      </c>
      <c r="D40" s="1">
        <f t="shared" si="3"/>
        <v>21</v>
      </c>
      <c r="E40" s="1" cm="1">
        <f t="array" ref="E40">IFERROR(VLOOKUP($B40,_xlfn._xlws.FILTER($L$7:$P$10000,$J$7:$J$10000=G$1+1),5, FALSE), 0)</f>
        <v>14.465221273147927</v>
      </c>
      <c r="F40" s="1">
        <f t="shared" si="4"/>
        <v>12</v>
      </c>
      <c r="G40" s="1">
        <f t="shared" ca="1" si="5"/>
        <v>38.422703015244309</v>
      </c>
      <c r="H40" s="1">
        <f t="shared" ca="1" si="6"/>
        <v>21</v>
      </c>
      <c r="I40" s="1" cm="1">
        <f t="array" ref="I40">COUNT(_xlfn._xlws.FILTER($J$7:$J$10000,($L$7:$L$10000=B40)*($M$7:$M$10000&lt;&gt;"NULL")*($J$7:$J$10000 &gt;= ($G$1-4))))/5</f>
        <v>0.8</v>
      </c>
      <c r="J40" s="65">
        <v>2</v>
      </c>
      <c r="K40" t="s">
        <v>6</v>
      </c>
      <c r="L40" t="s">
        <v>94</v>
      </c>
      <c r="M40">
        <v>18</v>
      </c>
      <c r="N40" t="s">
        <v>3</v>
      </c>
      <c r="O40" t="s">
        <v>36</v>
      </c>
      <c r="P40">
        <f t="shared" si="1"/>
        <v>11.770074359915517</v>
      </c>
      <c r="Q40">
        <f t="shared" si="2"/>
        <v>38.811973480982054</v>
      </c>
      <c r="R40" s="67" cm="1">
        <f t="array" ref="R40">SUMPRODUCT((J40=$J$7:$J$1000)*(P40&lt;$P$7:$P$1000))+1</f>
        <v>7</v>
      </c>
      <c r="S40" s="72"/>
      <c r="T40">
        <v>13</v>
      </c>
      <c r="U40" t="str">
        <v>MIA</v>
      </c>
      <c r="V40" t="str">
        <v>Marcos Elisagaray</v>
      </c>
      <c r="W40" t="str">
        <v>NULL</v>
      </c>
      <c r="X40" t="str">
        <v>Away</v>
      </c>
      <c r="Y40" t="str">
        <v>NOLA</v>
      </c>
      <c r="Z40">
        <v>1.9322689788394056</v>
      </c>
      <c r="AA40" s="1" t="str">
        <v>Joe Mano</v>
      </c>
      <c r="AB40" s="1" cm="1">
        <f t="array" ref="AB40">COUNT(_xlfn._xlws.FILTER($J$7:$J$10000,($L$7:$L$10000=AA40)*($M$7:$M$10000&lt;&gt;"NULL")*($J$7:$J$10000 &gt;= ($G$1-5))))/5</f>
        <v>0.8</v>
      </c>
    </row>
    <row r="41" spans="1:28" x14ac:dyDescent="0.35">
      <c r="A41">
        <f>VLOOKUP($B41, PlayerIDs!$A$1:$B$516, 2, FALSE)</f>
        <v>647</v>
      </c>
      <c r="B41" t="s">
        <v>77</v>
      </c>
      <c r="C41" s="1">
        <v>11.217803105426807</v>
      </c>
      <c r="D41" s="1">
        <f t="shared" si="3"/>
        <v>22</v>
      </c>
      <c r="E41" s="1" cm="1">
        <f t="array" ref="E41">IFERROR(VLOOKUP($B41,_xlfn._xlws.FILTER($L$7:$P$10000,$J$7:$J$10000=G$1+1),5, FALSE), 0)</f>
        <v>0</v>
      </c>
      <c r="F41" s="1">
        <f t="shared" si="4"/>
        <v>74</v>
      </c>
      <c r="G41" s="1">
        <f t="shared" ca="1" si="5"/>
        <v>31.010276961681285</v>
      </c>
      <c r="H41" s="1">
        <f t="shared" ca="1" si="6"/>
        <v>40</v>
      </c>
      <c r="I41" s="1" cm="1">
        <f t="array" ref="I41">COUNT(_xlfn._xlws.FILTER($J$7:$J$10000,($L$7:$L$10000=B41)*($M$7:$M$10000&lt;&gt;"NULL")*($J$7:$J$10000 &gt;= ($G$1-4))))/5</f>
        <v>0.2</v>
      </c>
      <c r="J41" s="65">
        <v>2</v>
      </c>
      <c r="K41" t="s">
        <v>4</v>
      </c>
      <c r="L41" t="s">
        <v>453</v>
      </c>
      <c r="M41">
        <v>15</v>
      </c>
      <c r="N41" t="s">
        <v>9</v>
      </c>
      <c r="O41" t="s">
        <v>24</v>
      </c>
      <c r="P41">
        <f t="shared" si="1"/>
        <v>14.705451855948008</v>
      </c>
      <c r="Q41">
        <f t="shared" si="2"/>
        <v>8.6758609164473241E-2</v>
      </c>
      <c r="R41" s="67" cm="1">
        <f t="array" ref="R41">SUMPRODUCT((J41=$J$7:$J$1000)*(P41&lt;$P$7:$P$1000))+1</f>
        <v>1</v>
      </c>
      <c r="S41" s="72"/>
      <c r="T41">
        <v>13</v>
      </c>
      <c r="U41" t="str">
        <v>MIA</v>
      </c>
      <c r="V41" t="str">
        <v>Marcos Young</v>
      </c>
      <c r="W41" t="str">
        <v>NULL</v>
      </c>
      <c r="X41" t="str">
        <v>Away</v>
      </c>
      <c r="Y41" t="str">
        <v>NOLA</v>
      </c>
      <c r="Z41">
        <v>7.2778613556799669</v>
      </c>
      <c r="AA41" s="1" t="str">
        <v>John Rizzo</v>
      </c>
      <c r="AB41" s="1" cm="1">
        <f t="array" ref="AB41">COUNT(_xlfn._xlws.FILTER($J$7:$J$10000,($L$7:$L$10000=AA41)*($M$7:$M$10000&lt;&gt;"NULL")*($J$7:$J$10000 &gt;= ($G$1-5))))/5</f>
        <v>1</v>
      </c>
    </row>
    <row r="42" spans="1:28" x14ac:dyDescent="0.35">
      <c r="A42">
        <f>VLOOKUP($B42, PlayerIDs!$A$1:$B$516, 2, FALSE)</f>
        <v>772</v>
      </c>
      <c r="B42" t="s">
        <v>457</v>
      </c>
      <c r="C42" s="1">
        <v>11.027282642992484</v>
      </c>
      <c r="D42" s="1">
        <f t="shared" si="3"/>
        <v>23</v>
      </c>
      <c r="E42" s="1" cm="1">
        <f t="array" ref="E42">IFERROR(VLOOKUP($B42,_xlfn._xlws.FILTER($L$7:$P$10000,$J$7:$J$10000=G$1+1),5, FALSE), 0)</f>
        <v>14.270439896449707</v>
      </c>
      <c r="F42" s="1">
        <f t="shared" si="4"/>
        <v>14</v>
      </c>
      <c r="G42" s="1">
        <f t="shared" ca="1" si="5"/>
        <v>37.838358885149646</v>
      </c>
      <c r="H42" s="1">
        <f t="shared" ca="1" si="6"/>
        <v>22</v>
      </c>
      <c r="I42" s="1" cm="1">
        <f t="array" ref="I42">COUNT(_xlfn._xlws.FILTER($J$7:$J$10000,($L$7:$L$10000=B42)*($M$7:$M$10000&lt;&gt;"NULL")*($J$7:$J$10000 &gt;= ($G$1-4))))/5</f>
        <v>0.2</v>
      </c>
      <c r="J42" s="65">
        <v>2</v>
      </c>
      <c r="K42" t="s">
        <v>2</v>
      </c>
      <c r="L42" t="s">
        <v>88</v>
      </c>
      <c r="M42">
        <v>14.9</v>
      </c>
      <c r="N42" t="s">
        <v>3</v>
      </c>
      <c r="O42" t="s">
        <v>13</v>
      </c>
      <c r="P42">
        <f t="shared" si="1"/>
        <v>5.0586999081473483</v>
      </c>
      <c r="Q42">
        <f t="shared" si="2"/>
        <v>96.851187497899019</v>
      </c>
      <c r="R42" s="67" cm="1">
        <f t="array" ref="R42">SUMPRODUCT((J42=$J$7:$J$1000)*(P42&lt;$P$7:$P$1000))+1</f>
        <v>21</v>
      </c>
      <c r="S42" s="72"/>
      <c r="T42">
        <v>13</v>
      </c>
      <c r="U42" t="str">
        <v>MIA</v>
      </c>
      <c r="V42" t="str">
        <v>Martin Elias</v>
      </c>
      <c r="W42" t="str">
        <v>NULL</v>
      </c>
      <c r="X42" t="str">
        <v>Away</v>
      </c>
      <c r="Y42" t="str">
        <v>NOLA</v>
      </c>
      <c r="Z42">
        <v>9.5694676872588893</v>
      </c>
      <c r="AA42" s="1" t="str">
        <v>Jordan Trainor</v>
      </c>
      <c r="AB42" s="1" cm="1">
        <f t="array" ref="AB42">COUNT(_xlfn._xlws.FILTER($J$7:$J$10000,($L$7:$L$10000=AA42)*($M$7:$M$10000&lt;&gt;"NULL")*($J$7:$J$10000 &gt;= ($G$1-5))))/5</f>
        <v>1</v>
      </c>
    </row>
    <row r="43" spans="1:28" x14ac:dyDescent="0.35">
      <c r="A43">
        <f>VLOOKUP($B43, PlayerIDs!$A$1:$B$516, 2, FALSE)</f>
        <v>326</v>
      </c>
      <c r="B43" t="s">
        <v>494</v>
      </c>
      <c r="C43" s="1">
        <v>10.956952811558125</v>
      </c>
      <c r="D43" s="1">
        <f t="shared" si="3"/>
        <v>24</v>
      </c>
      <c r="E43" s="1" cm="1">
        <f t="array" ref="E43">IFERROR(VLOOKUP($B43,_xlfn._xlws.FILTER($L$7:$P$10000,$J$7:$J$10000=G$1+1),5, FALSE), 0)</f>
        <v>11.040152484972598</v>
      </c>
      <c r="F43" s="1">
        <f t="shared" si="4"/>
        <v>24</v>
      </c>
      <c r="G43" s="1">
        <f t="shared" ca="1" si="5"/>
        <v>44.792517587153327</v>
      </c>
      <c r="H43" s="1">
        <f t="shared" ca="1" si="6"/>
        <v>16</v>
      </c>
      <c r="I43" s="1" cm="1">
        <f t="array" ref="I43">COUNT(_xlfn._xlws.FILTER($J$7:$J$10000,($L$7:$L$10000=B43)*($M$7:$M$10000&lt;&gt;"NULL")*($J$7:$J$10000 &gt;= ($G$1-4))))/5</f>
        <v>0.8</v>
      </c>
      <c r="J43" s="65">
        <v>2</v>
      </c>
      <c r="K43" t="s">
        <v>13</v>
      </c>
      <c r="L43" t="s">
        <v>79</v>
      </c>
      <c r="M43">
        <v>14.6</v>
      </c>
      <c r="N43" t="s">
        <v>9</v>
      </c>
      <c r="O43" t="s">
        <v>2</v>
      </c>
      <c r="P43">
        <f t="shared" si="1"/>
        <v>13.803245902684612</v>
      </c>
      <c r="Q43">
        <f t="shared" si="2"/>
        <v>0.63481709158885835</v>
      </c>
      <c r="R43" s="67" cm="1">
        <f t="array" ref="R43">SUMPRODUCT((J43=$J$7:$J$1000)*(P43&lt;$P$7:$P$1000))+1</f>
        <v>3</v>
      </c>
      <c r="S43" s="72"/>
      <c r="T43">
        <v>13</v>
      </c>
      <c r="U43" t="str">
        <v>MIA</v>
      </c>
      <c r="V43" t="str">
        <v>Santiago Videla</v>
      </c>
      <c r="W43" t="str">
        <v>NULL</v>
      </c>
      <c r="X43" t="str">
        <v>Away</v>
      </c>
      <c r="Y43" t="str">
        <v>NOLA</v>
      </c>
      <c r="Z43">
        <v>11.736633850581887</v>
      </c>
      <c r="AA43" s="1" t="str">
        <v>Josiah Morra</v>
      </c>
      <c r="AB43" s="1" cm="1">
        <f t="array" ref="AB43">COUNT(_xlfn._xlws.FILTER($J$7:$J$10000,($L$7:$L$10000=AA43)*($M$7:$M$10000&lt;&gt;"NULL")*($J$7:$J$10000 &gt;= ($G$1-5))))/5</f>
        <v>0.8</v>
      </c>
    </row>
    <row r="44" spans="1:28" x14ac:dyDescent="0.35">
      <c r="A44">
        <f>VLOOKUP($B44, PlayerIDs!$A$1:$B$516, 2, FALSE)</f>
        <v>791</v>
      </c>
      <c r="B44" t="s">
        <v>565</v>
      </c>
      <c r="C44" s="1">
        <v>10.532945688074665</v>
      </c>
      <c r="D44" s="1">
        <f t="shared" si="3"/>
        <v>25</v>
      </c>
      <c r="E44" s="1" cm="1">
        <f t="array" ref="E44">IFERROR(VLOOKUP($B44,_xlfn._xlws.FILTER($L$7:$P$10000,$J$7:$J$10000=G$1+1),5, FALSE), 0)</f>
        <v>10.904036224589094</v>
      </c>
      <c r="F44" s="1">
        <f t="shared" si="4"/>
        <v>25</v>
      </c>
      <c r="G44" s="1">
        <f t="shared" ca="1" si="5"/>
        <v>44.496363322059885</v>
      </c>
      <c r="H44" s="1">
        <f t="shared" ca="1" si="6"/>
        <v>17</v>
      </c>
      <c r="I44" s="1" cm="1">
        <f t="array" ref="I44">COUNT(_xlfn._xlws.FILTER($J$7:$J$10000,($L$7:$L$10000=B44)*($M$7:$M$10000&lt;&gt;"NULL")*($J$7:$J$10000 &gt;= ($G$1-4))))/5</f>
        <v>0.4</v>
      </c>
      <c r="J44" s="65">
        <v>2</v>
      </c>
      <c r="K44" t="s">
        <v>4</v>
      </c>
      <c r="L44" t="s">
        <v>286</v>
      </c>
      <c r="M44">
        <v>12.3</v>
      </c>
      <c r="N44" t="s">
        <v>9</v>
      </c>
      <c r="O44" t="s">
        <v>24</v>
      </c>
      <c r="P44">
        <f t="shared" si="1"/>
        <v>13.333908799959618</v>
      </c>
      <c r="Q44">
        <f t="shared" si="2"/>
        <v>1.0689674066339354</v>
      </c>
      <c r="R44" s="67" cm="1">
        <f t="array" ref="R44">SUMPRODUCT((J44=$J$7:$J$1000)*(P44&lt;$P$7:$P$1000))+1</f>
        <v>4</v>
      </c>
      <c r="S44" s="72"/>
      <c r="T44">
        <v>13</v>
      </c>
      <c r="U44" t="str">
        <v>MIA</v>
      </c>
      <c r="V44" t="str">
        <v>Shane O'Leary</v>
      </c>
      <c r="W44" t="str">
        <v>NULL</v>
      </c>
      <c r="X44" t="str">
        <v>Away</v>
      </c>
      <c r="Y44" t="str">
        <v>NOLA</v>
      </c>
      <c r="Z44">
        <v>14.998861769633587</v>
      </c>
      <c r="AA44" s="1" t="str">
        <v>Juan Dee Oliver</v>
      </c>
      <c r="AB44" s="1" cm="1">
        <f t="array" ref="AB44">COUNT(_xlfn._xlws.FILTER($J$7:$J$10000,($L$7:$L$10000=AA44)*($M$7:$M$10000&lt;&gt;"NULL")*($J$7:$J$10000 &gt;= ($G$1-5))))/5</f>
        <v>0.2</v>
      </c>
    </row>
    <row r="45" spans="1:28" x14ac:dyDescent="0.35">
      <c r="A45">
        <f>VLOOKUP($B45, PlayerIDs!$A$1:$B$516, 2, FALSE)</f>
        <v>120</v>
      </c>
      <c r="B45" t="s">
        <v>73</v>
      </c>
      <c r="C45" s="1">
        <v>10.474127859393269</v>
      </c>
      <c r="D45" s="1">
        <f t="shared" si="3"/>
        <v>26</v>
      </c>
      <c r="E45" s="1" cm="1">
        <f t="array" ref="E45">IFERROR(VLOOKUP($B45,_xlfn._xlws.FILTER($L$7:$P$10000,$J$7:$J$10000=G$1+1),5, FALSE), 0)</f>
        <v>9.7680002318393662</v>
      </c>
      <c r="F45" s="1">
        <f t="shared" si="4"/>
        <v>28</v>
      </c>
      <c r="G45" s="1">
        <f t="shared" ca="1" si="5"/>
        <v>31.94171879024092</v>
      </c>
      <c r="H45" s="1">
        <f t="shared" ca="1" si="6"/>
        <v>37</v>
      </c>
      <c r="I45" s="1" cm="1">
        <f t="array" ref="I45">COUNT(_xlfn._xlws.FILTER($J$7:$J$10000,($L$7:$L$10000=B45)*($M$7:$M$10000&lt;&gt;"NULL")*($J$7:$J$10000 &gt;= ($G$1-4))))/5</f>
        <v>0.8</v>
      </c>
      <c r="J45" s="65">
        <v>2</v>
      </c>
      <c r="K45" t="s">
        <v>14</v>
      </c>
      <c r="L45" t="s">
        <v>87</v>
      </c>
      <c r="M45">
        <v>12.1</v>
      </c>
      <c r="N45" t="s">
        <v>3</v>
      </c>
      <c r="O45" t="s">
        <v>34</v>
      </c>
      <c r="P45">
        <f t="shared" si="1"/>
        <v>9.8459790031790764</v>
      </c>
      <c r="Q45">
        <f t="shared" si="2"/>
        <v>5.0806106541095888</v>
      </c>
      <c r="R45" s="67" cm="1">
        <f t="array" ref="R45">SUMPRODUCT((J45=$J$7:$J$1000)*(P45&lt;$P$7:$P$1000))+1</f>
        <v>10</v>
      </c>
      <c r="S45" s="72"/>
      <c r="T45">
        <v>13</v>
      </c>
      <c r="U45" t="str">
        <v>MIA</v>
      </c>
      <c r="V45" t="str">
        <v>Tomás Cubilla</v>
      </c>
      <c r="W45" t="str">
        <v>NULL</v>
      </c>
      <c r="X45" t="str">
        <v>Away</v>
      </c>
      <c r="Y45" t="str">
        <v>NOLA</v>
      </c>
      <c r="Z45">
        <v>8.1099733739193347</v>
      </c>
      <c r="AA45" s="1" t="str">
        <v>Julian Dominguez</v>
      </c>
      <c r="AB45" s="1" cm="1">
        <f t="array" ref="AB45">COUNT(_xlfn._xlws.FILTER($J$7:$J$10000,($L$7:$L$10000=AA45)*($M$7:$M$10000&lt;&gt;"NULL")*($J$7:$J$10000 &gt;= ($G$1-5))))/5</f>
        <v>0.2</v>
      </c>
    </row>
    <row r="46" spans="1:28" x14ac:dyDescent="0.35">
      <c r="A46">
        <f>VLOOKUP($B46, PlayerIDs!$A$1:$B$516, 2, FALSE)</f>
        <v>851</v>
      </c>
      <c r="B46" t="s">
        <v>454</v>
      </c>
      <c r="C46" s="1">
        <v>10.290907441415387</v>
      </c>
      <c r="D46" s="1">
        <f t="shared" si="3"/>
        <v>27</v>
      </c>
      <c r="E46" s="1" cm="1">
        <f t="array" ref="E46">IFERROR(VLOOKUP($B46,_xlfn._xlws.FILTER($L$7:$P$10000,$J$7:$J$10000=G$1+1),5, FALSE), 0)</f>
        <v>13.026967582569799</v>
      </c>
      <c r="F46" s="1">
        <f t="shared" si="4"/>
        <v>16</v>
      </c>
      <c r="G46" s="1">
        <f t="shared" ca="1" si="5"/>
        <v>45.049758329974402</v>
      </c>
      <c r="H46" s="1">
        <f t="shared" ca="1" si="6"/>
        <v>14</v>
      </c>
      <c r="I46" s="1" cm="1">
        <f t="array" ref="I46">COUNT(_xlfn._xlws.FILTER($J$7:$J$10000,($L$7:$L$10000=B46)*($M$7:$M$10000&lt;&gt;"NULL")*($J$7:$J$10000 &gt;= ($G$1-4))))/5</f>
        <v>0</v>
      </c>
      <c r="J46" s="65">
        <v>2</v>
      </c>
      <c r="K46" t="s">
        <v>2</v>
      </c>
      <c r="L46" t="s">
        <v>90</v>
      </c>
      <c r="M46">
        <v>11.1</v>
      </c>
      <c r="N46" t="s">
        <v>3</v>
      </c>
      <c r="O46" t="s">
        <v>13</v>
      </c>
      <c r="P46">
        <f t="shared" si="1"/>
        <v>8.025980966074366</v>
      </c>
      <c r="Q46">
        <f t="shared" si="2"/>
        <v>9.4495930209370869</v>
      </c>
      <c r="R46" s="67" cm="1">
        <f t="array" ref="R46">SUMPRODUCT((J46=$J$7:$J$1000)*(P46&lt;$P$7:$P$1000))+1</f>
        <v>13</v>
      </c>
      <c r="S46" s="72"/>
      <c r="T46">
        <v>13</v>
      </c>
      <c r="U46" t="str">
        <v>MIA</v>
      </c>
      <c r="V46" t="str">
        <v>Tomas Malanos</v>
      </c>
      <c r="W46" t="str">
        <v>NULL</v>
      </c>
      <c r="X46" t="str">
        <v>Away</v>
      </c>
      <c r="Y46" t="str">
        <v>NOLA</v>
      </c>
      <c r="Z46">
        <v>6.5370674495119703</v>
      </c>
      <c r="AA46" s="1" t="str">
        <v>Julian Roberts</v>
      </c>
      <c r="AB46" s="1" cm="1">
        <f t="array" ref="AB46">COUNT(_xlfn._xlws.FILTER($J$7:$J$10000,($L$7:$L$10000=AA46)*($M$7:$M$10000&lt;&gt;"NULL")*($J$7:$J$10000 &gt;= ($G$1-5))))/5</f>
        <v>1</v>
      </c>
    </row>
    <row r="47" spans="1:28" x14ac:dyDescent="0.35">
      <c r="A47">
        <f>VLOOKUP($B47, PlayerIDs!$A$1:$B$516, 2, FALSE)</f>
        <v>16</v>
      </c>
      <c r="B47" t="s">
        <v>64</v>
      </c>
      <c r="C47" s="1">
        <v>10.246449806044089</v>
      </c>
      <c r="D47" s="1">
        <f t="shared" si="3"/>
        <v>28</v>
      </c>
      <c r="E47" s="1" cm="1">
        <f t="array" ref="E47">IFERROR(VLOOKUP($B47,_xlfn._xlws.FILTER($L$7:$P$10000,$J$7:$J$10000=G$1+1),5, FALSE), 0)</f>
        <v>12.982509947198501</v>
      </c>
      <c r="F47" s="1">
        <f t="shared" si="4"/>
        <v>17</v>
      </c>
      <c r="G47" s="1">
        <f t="shared" ca="1" si="5"/>
        <v>44.871927788489209</v>
      </c>
      <c r="H47" s="1">
        <f t="shared" ca="1" si="6"/>
        <v>15</v>
      </c>
      <c r="I47" s="1" cm="1">
        <f t="array" ref="I47">COUNT(_xlfn._xlws.FILTER($J$7:$J$10000,($L$7:$L$10000=B47)*($M$7:$M$10000&lt;&gt;"NULL")*($J$7:$J$10000 &gt;= ($G$1-4))))/5</f>
        <v>0.8</v>
      </c>
      <c r="J47" s="65">
        <v>2</v>
      </c>
      <c r="K47" t="s">
        <v>6</v>
      </c>
      <c r="L47" t="s">
        <v>75</v>
      </c>
      <c r="M47">
        <v>10.9</v>
      </c>
      <c r="N47" t="s">
        <v>3</v>
      </c>
      <c r="O47" t="s">
        <v>36</v>
      </c>
      <c r="P47">
        <f t="shared" si="1"/>
        <v>6.015126244801495</v>
      </c>
      <c r="Q47">
        <f t="shared" si="2"/>
        <v>23.861991604227146</v>
      </c>
      <c r="R47" s="67" cm="1">
        <f t="array" ref="R47">SUMPRODUCT((J47=$J$7:$J$1000)*(P47&lt;$P$7:$P$1000))+1</f>
        <v>20</v>
      </c>
      <c r="S47" s="72"/>
      <c r="T47">
        <v>13</v>
      </c>
      <c r="U47" t="str">
        <v>NEFJ</v>
      </c>
      <c r="V47" t="str">
        <v>Brock Webster</v>
      </c>
      <c r="W47" t="str">
        <v>NULL</v>
      </c>
      <c r="X47" t="str">
        <v>Home</v>
      </c>
      <c r="Y47" t="str">
        <v>CHI</v>
      </c>
      <c r="Z47">
        <v>5.5045927344585985</v>
      </c>
      <c r="AA47" s="1" t="str">
        <v>Killian Coghlan</v>
      </c>
      <c r="AB47" s="1" cm="1">
        <f t="array" ref="AB47">COUNT(_xlfn._xlws.FILTER($J$7:$J$10000,($L$7:$L$10000=AA47)*($M$7:$M$10000&lt;&gt;"NULL")*($J$7:$J$10000 &gt;= ($G$1-5))))/5</f>
        <v>0.2</v>
      </c>
    </row>
    <row r="48" spans="1:28" x14ac:dyDescent="0.35">
      <c r="A48">
        <f>VLOOKUP($B48, PlayerIDs!$A$1:$B$516, 2, FALSE)</f>
        <v>587</v>
      </c>
      <c r="B48" t="s">
        <v>78</v>
      </c>
      <c r="C48" s="1">
        <v>9.9409466305771232</v>
      </c>
      <c r="D48" s="1">
        <f t="shared" si="3"/>
        <v>29</v>
      </c>
      <c r="E48" s="1" cm="1">
        <f t="array" ref="E48">IFERROR(VLOOKUP($B48,_xlfn._xlws.FILTER($L$7:$P$10000,$J$7:$J$10000=G$1+1),5, FALSE), 0)</f>
        <v>9.2348190030232207</v>
      </c>
      <c r="F48" s="1">
        <f t="shared" si="4"/>
        <v>31</v>
      </c>
      <c r="G48" s="1">
        <f t="shared" ca="1" si="5"/>
        <v>30.342175103792485</v>
      </c>
      <c r="H48" s="1">
        <f t="shared" ca="1" si="6"/>
        <v>42</v>
      </c>
      <c r="I48" s="1" cm="1">
        <f t="array" ref="I48">COUNT(_xlfn._xlws.FILTER($J$7:$J$10000,($L$7:$L$10000=B48)*($M$7:$M$10000&lt;&gt;"NULL")*($J$7:$J$10000 &gt;= ($G$1-4))))/5</f>
        <v>0.4</v>
      </c>
      <c r="J48" s="65">
        <v>2</v>
      </c>
      <c r="K48" t="s">
        <v>34</v>
      </c>
      <c r="L48" t="s">
        <v>100</v>
      </c>
      <c r="M48">
        <v>10.7</v>
      </c>
      <c r="N48" t="s">
        <v>9</v>
      </c>
      <c r="O48" t="s">
        <v>14</v>
      </c>
      <c r="P48">
        <f t="shared" si="1"/>
        <v>9.9624777101001403</v>
      </c>
      <c r="Q48">
        <f t="shared" si="2"/>
        <v>0.5439391280991317</v>
      </c>
      <c r="R48" s="67" cm="1">
        <f t="array" ref="R48">SUMPRODUCT((J48=$J$7:$J$1000)*(P48&lt;$P$7:$P$1000))+1</f>
        <v>9</v>
      </c>
      <c r="S48" s="72"/>
      <c r="T48">
        <v>13</v>
      </c>
      <c r="U48" t="str">
        <v>NEFJ</v>
      </c>
      <c r="V48" t="str">
        <v>Harrison Boyle</v>
      </c>
      <c r="W48" t="str">
        <v>NULL</v>
      </c>
      <c r="X48" t="str">
        <v>Home</v>
      </c>
      <c r="Y48" t="str">
        <v>CHI</v>
      </c>
      <c r="Z48">
        <v>6.3650529530531772</v>
      </c>
      <c r="AA48" s="1" t="str">
        <v>Lauina Futi</v>
      </c>
      <c r="AB48" s="1" cm="1">
        <f t="array" ref="AB48">COUNT(_xlfn._xlws.FILTER($J$7:$J$10000,($L$7:$L$10000=AA48)*($M$7:$M$10000&lt;&gt;"NULL")*($J$7:$J$10000 &gt;= ($G$1-5))))/5</f>
        <v>1</v>
      </c>
    </row>
    <row r="49" spans="1:28" x14ac:dyDescent="0.35">
      <c r="A49">
        <f>VLOOKUP($B49, PlayerIDs!$A$1:$B$516, 2, FALSE)</f>
        <v>651</v>
      </c>
      <c r="B49" t="s">
        <v>67</v>
      </c>
      <c r="C49" s="1">
        <v>9.9087566587233962</v>
      </c>
      <c r="D49" s="1">
        <f t="shared" si="3"/>
        <v>30</v>
      </c>
      <c r="E49" s="1" cm="1">
        <f t="array" ref="E49">IFERROR(VLOOKUP($B49,_xlfn._xlws.FILTER($L$7:$P$10000,$J$7:$J$10000=G$1+1),5, FALSE), 0)</f>
        <v>0</v>
      </c>
      <c r="F49" s="1">
        <f t="shared" si="4"/>
        <v>74</v>
      </c>
      <c r="G49" s="1">
        <f t="shared" ca="1" si="5"/>
        <v>27.083137621571055</v>
      </c>
      <c r="H49" s="1">
        <f t="shared" ca="1" si="6"/>
        <v>49</v>
      </c>
      <c r="I49" s="1" cm="1">
        <f t="array" ref="I49">COUNT(_xlfn._xlws.FILTER($J$7:$J$10000,($L$7:$L$10000=B49)*($M$7:$M$10000&lt;&gt;"NULL")*($J$7:$J$10000 &gt;= ($G$1-4))))/5</f>
        <v>0.2</v>
      </c>
      <c r="J49" s="65">
        <v>2</v>
      </c>
      <c r="K49" t="s">
        <v>24</v>
      </c>
      <c r="L49" t="s">
        <v>101</v>
      </c>
      <c r="M49">
        <v>10.4</v>
      </c>
      <c r="N49" t="s">
        <v>3</v>
      </c>
      <c r="O49" t="s">
        <v>4</v>
      </c>
      <c r="P49">
        <f t="shared" si="1"/>
        <v>7.6683799227002796</v>
      </c>
      <c r="Q49">
        <f t="shared" si="2"/>
        <v>7.4617482467069323</v>
      </c>
      <c r="R49" s="67" cm="1">
        <f t="array" ref="R49">SUMPRODUCT((J49=$J$7:$J$1000)*(P49&lt;$P$7:$P$1000))+1</f>
        <v>14</v>
      </c>
      <c r="S49" s="72"/>
      <c r="T49">
        <v>13</v>
      </c>
      <c r="U49" t="str">
        <v>NEFJ</v>
      </c>
      <c r="V49" t="str">
        <v>Isaac Olson</v>
      </c>
      <c r="W49" t="str">
        <v>NULL</v>
      </c>
      <c r="X49" t="str">
        <v>Home</v>
      </c>
      <c r="Y49" t="str">
        <v>CHI</v>
      </c>
      <c r="Z49">
        <v>7.9891819776063215</v>
      </c>
      <c r="AA49" s="1" t="str">
        <v>Line Latu</v>
      </c>
      <c r="AB49" s="1" cm="1">
        <f t="array" ref="AB49">COUNT(_xlfn._xlws.FILTER($J$7:$J$10000,($L$7:$L$10000=AA49)*($M$7:$M$10000&lt;&gt;"NULL")*($J$7:$J$10000 &gt;= ($G$1-5))))/5</f>
        <v>0.2</v>
      </c>
    </row>
    <row r="50" spans="1:28" x14ac:dyDescent="0.35">
      <c r="A50">
        <f>VLOOKUP($B50, PlayerIDs!$A$1:$B$516, 2, FALSE)</f>
        <v>650</v>
      </c>
      <c r="B50" t="s">
        <v>65</v>
      </c>
      <c r="C50" s="1">
        <v>9.8253991996089862</v>
      </c>
      <c r="D50" s="1">
        <f t="shared" si="3"/>
        <v>31</v>
      </c>
      <c r="E50" s="1" cm="1">
        <f t="array" ref="E50">IFERROR(VLOOKUP($B50,_xlfn._xlws.FILTER($L$7:$P$10000,$J$7:$J$10000=G$1+1),5, FALSE), 0)</f>
        <v>0</v>
      </c>
      <c r="F50" s="1">
        <f t="shared" si="4"/>
        <v>74</v>
      </c>
      <c r="G50" s="1">
        <f t="shared" ca="1" si="5"/>
        <v>26.833065244227825</v>
      </c>
      <c r="H50" s="1">
        <f t="shared" ca="1" si="6"/>
        <v>51</v>
      </c>
      <c r="I50" s="1" cm="1">
        <f t="array" ref="I50">COUNT(_xlfn._xlws.FILTER($J$7:$J$10000,($L$7:$L$10000=B50)*($M$7:$M$10000&lt;&gt;"NULL")*($J$7:$J$10000 &gt;= ($G$1-4))))/5</f>
        <v>0.6</v>
      </c>
      <c r="J50" s="65">
        <v>2</v>
      </c>
      <c r="K50" t="s">
        <v>36</v>
      </c>
      <c r="L50" t="s">
        <v>78</v>
      </c>
      <c r="M50">
        <v>10.199999999999999</v>
      </c>
      <c r="N50" t="s">
        <v>9</v>
      </c>
      <c r="O50" t="s">
        <v>6</v>
      </c>
      <c r="P50">
        <f t="shared" si="1"/>
        <v>7.4827249398461166</v>
      </c>
      <c r="Q50">
        <f t="shared" si="2"/>
        <v>7.3835837525342862</v>
      </c>
      <c r="R50" s="67" cm="1">
        <f t="array" ref="R50">SUMPRODUCT((J50=$J$7:$J$1000)*(P50&lt;$P$7:$P$1000))+1</f>
        <v>15</v>
      </c>
      <c r="S50" s="72"/>
      <c r="T50">
        <v>13</v>
      </c>
      <c r="U50" t="str">
        <v>NEFJ</v>
      </c>
      <c r="V50" t="str">
        <v>Jack Reeves</v>
      </c>
      <c r="W50" t="str">
        <v>NULL</v>
      </c>
      <c r="X50" t="str">
        <v>Home</v>
      </c>
      <c r="Y50" t="str">
        <v>CHI</v>
      </c>
      <c r="Z50">
        <v>10.904036224589094</v>
      </c>
      <c r="AA50" s="1" t="str">
        <v>Malacchi Esdale</v>
      </c>
      <c r="AB50" s="1" cm="1">
        <f t="array" ref="AB50">COUNT(_xlfn._xlws.FILTER($J$7:$J$10000,($L$7:$L$10000=AA50)*($M$7:$M$10000&lt;&gt;"NULL")*($J$7:$J$10000 &gt;= ($G$1-5))))/5</f>
        <v>0.2</v>
      </c>
    </row>
    <row r="51" spans="1:28" x14ac:dyDescent="0.35">
      <c r="A51">
        <f>VLOOKUP($B51, PlayerIDs!$A$1:$B$516, 2, FALSE)</f>
        <v>286</v>
      </c>
      <c r="B51" t="s">
        <v>194</v>
      </c>
      <c r="C51" s="1">
        <v>9.4222962805472168</v>
      </c>
      <c r="D51" s="1">
        <f t="shared" si="3"/>
        <v>32</v>
      </c>
      <c r="E51" s="1" cm="1">
        <f t="array" ref="E51">IFERROR(VLOOKUP($B51,_xlfn._xlws.FILTER($L$7:$P$10000,$J$7:$J$10000=G$1+1),5, FALSE), 0)</f>
        <v>9.5694676872588893</v>
      </c>
      <c r="F51" s="1">
        <f t="shared" si="4"/>
        <v>30</v>
      </c>
      <c r="G51" s="1">
        <f t="shared" ca="1" si="5"/>
        <v>34.013661351969709</v>
      </c>
      <c r="H51" s="1">
        <f t="shared" ca="1" si="6"/>
        <v>32</v>
      </c>
      <c r="I51" s="1" cm="1">
        <f t="array" ref="I51">COUNT(_xlfn._xlws.FILTER($J$7:$J$10000,($L$7:$L$10000=B51)*($M$7:$M$10000&lt;&gt;"NULL")*($J$7:$J$10000 &gt;= ($G$1-4))))/5</f>
        <v>0.2</v>
      </c>
      <c r="J51" s="65">
        <v>2</v>
      </c>
      <c r="K51" t="s">
        <v>36</v>
      </c>
      <c r="L51" t="s">
        <v>476</v>
      </c>
      <c r="M51">
        <v>10.199999999999999</v>
      </c>
      <c r="N51" t="s">
        <v>9</v>
      </c>
      <c r="O51" t="s">
        <v>6</v>
      </c>
      <c r="P51">
        <f t="shared" si="1"/>
        <v>4.3604536940240957</v>
      </c>
      <c r="Q51">
        <f t="shared" si="2"/>
        <v>34.10030105963682</v>
      </c>
      <c r="R51" s="67" cm="1">
        <f t="array" ref="R51">SUMPRODUCT((J51=$J$7:$J$1000)*(P51&lt;$P$7:$P$1000))+1</f>
        <v>23</v>
      </c>
      <c r="S51" s="72"/>
      <c r="T51">
        <v>13</v>
      </c>
      <c r="U51" t="str">
        <v>NEFJ</v>
      </c>
      <c r="V51" t="str">
        <v>Killian Coghlan</v>
      </c>
      <c r="W51" t="str">
        <v>NULL</v>
      </c>
      <c r="X51" t="str">
        <v>Home</v>
      </c>
      <c r="Y51" t="str">
        <v>CHI</v>
      </c>
      <c r="Z51">
        <v>4.1835393095261226</v>
      </c>
      <c r="AA51" s="1" t="str">
        <v>Marcos Elisagaray</v>
      </c>
      <c r="AB51" s="1" cm="1">
        <f t="array" ref="AB51">COUNT(_xlfn._xlws.FILTER($J$7:$J$10000,($L$7:$L$10000=AA51)*($M$7:$M$10000&lt;&gt;"NULL")*($J$7:$J$10000 &gt;= ($G$1-5))))/5</f>
        <v>0</v>
      </c>
    </row>
    <row r="52" spans="1:28" x14ac:dyDescent="0.35">
      <c r="A52">
        <f>VLOOKUP($B52, PlayerIDs!$A$1:$B$516, 2, FALSE)</f>
        <v>313</v>
      </c>
      <c r="B52" t="s">
        <v>87</v>
      </c>
      <c r="C52" s="1">
        <v>9.4207941575446696</v>
      </c>
      <c r="D52" s="1">
        <f t="shared" ref="D52:D83" si="7">RANK($C52,$C$20:$C$106)</f>
        <v>33</v>
      </c>
      <c r="E52" s="1" cm="1">
        <f t="array" ref="E52">IFERROR(VLOOKUP($B52,_xlfn._xlws.FILTER($L$7:$P$10000,$J$7:$J$10000=G$1+1),5, FALSE), 0)</f>
        <v>6.962572466813663</v>
      </c>
      <c r="F52" s="1">
        <f t="shared" ref="F52:F83" si="8">RANK(E52,$E$20:$E$150)</f>
        <v>49</v>
      </c>
      <c r="G52" s="1">
        <f t="shared" ref="G52:G83" ca="1" si="9">SUMIF(V:Z,$B52,Z:Z)</f>
        <v>36.536754221726056</v>
      </c>
      <c r="H52" s="1">
        <f t="shared" ref="H52:H83" ca="1" si="10">RANK($G52,$G$20:$G$150)</f>
        <v>26</v>
      </c>
      <c r="I52" s="1" cm="1">
        <f t="array" ref="I52">COUNT(_xlfn._xlws.FILTER($J$7:$J$10000,($L$7:$L$10000=B52)*($M$7:$M$10000&lt;&gt;"NULL")*($J$7:$J$10000 &gt;= ($G$1-4))))/5</f>
        <v>0.6</v>
      </c>
      <c r="J52" s="65">
        <v>2</v>
      </c>
      <c r="K52" t="s">
        <v>13</v>
      </c>
      <c r="L52" t="s">
        <v>477</v>
      </c>
      <c r="M52">
        <v>9.6999999999999993</v>
      </c>
      <c r="N52" t="s">
        <v>9</v>
      </c>
      <c r="O52" t="s">
        <v>2</v>
      </c>
      <c r="P52">
        <f t="shared" si="1"/>
        <v>11.287055501092508</v>
      </c>
      <c r="Q52">
        <f t="shared" si="2"/>
        <v>2.5187451635479952</v>
      </c>
      <c r="R52" s="67" cm="1">
        <f t="array" ref="R52">SUMPRODUCT((J52=$J$7:$J$1000)*(P52&lt;$P$7:$P$1000))+1</f>
        <v>8</v>
      </c>
      <c r="S52" s="72"/>
      <c r="T52">
        <v>13</v>
      </c>
      <c r="U52" t="str">
        <v>NEFJ</v>
      </c>
      <c r="V52" t="str">
        <v>Paula Balekana</v>
      </c>
      <c r="W52" t="str">
        <v>NULL</v>
      </c>
      <c r="X52" t="str">
        <v>Home</v>
      </c>
      <c r="Y52" t="str">
        <v>CHI</v>
      </c>
      <c r="Z52">
        <v>14.020878038653024</v>
      </c>
      <c r="AA52" s="1" t="str">
        <v>Marcos Young</v>
      </c>
      <c r="AB52" s="1" cm="1">
        <f t="array" ref="AB52">COUNT(_xlfn._xlws.FILTER($J$7:$J$10000,($L$7:$L$10000=AA52)*($M$7:$M$10000&lt;&gt;"NULL")*($J$7:$J$10000 &gt;= ($G$1-5))))/5</f>
        <v>0.6</v>
      </c>
    </row>
    <row r="53" spans="1:28" x14ac:dyDescent="0.35">
      <c r="A53">
        <f>VLOOKUP($B53, PlayerIDs!$A$1:$B$516, 2, FALSE)</f>
        <v>586</v>
      </c>
      <c r="B53" t="s">
        <v>83</v>
      </c>
      <c r="C53" s="1">
        <v>9.215477025517977</v>
      </c>
      <c r="D53" s="1">
        <f t="shared" si="7"/>
        <v>34</v>
      </c>
      <c r="E53" s="1" cm="1">
        <f t="array" ref="E53">IFERROR(VLOOKUP($B53,_xlfn._xlws.FILTER($L$7:$P$10000,$J$7:$J$10000=G$1+1),5, FALSE), 0)</f>
        <v>6.7572553347869704</v>
      </c>
      <c r="F53" s="1">
        <f t="shared" si="8"/>
        <v>50</v>
      </c>
      <c r="G53" s="1">
        <f t="shared" ca="1" si="9"/>
        <v>35.715485693619286</v>
      </c>
      <c r="H53" s="1">
        <f t="shared" ca="1" si="10"/>
        <v>28</v>
      </c>
      <c r="I53" s="1" cm="1">
        <f t="array" ref="I53">COUNT(_xlfn._xlws.FILTER($J$7:$J$10000,($L$7:$L$10000=B53)*($M$7:$M$10000&lt;&gt;"NULL")*($J$7:$J$10000 &gt;= ($G$1-4))))/5</f>
        <v>0.2</v>
      </c>
      <c r="J53" s="65">
        <v>2</v>
      </c>
      <c r="K53" t="s">
        <v>6</v>
      </c>
      <c r="L53" t="s">
        <v>43</v>
      </c>
      <c r="M53">
        <v>9.4</v>
      </c>
      <c r="N53" t="s">
        <v>3</v>
      </c>
      <c r="O53" t="s">
        <v>36</v>
      </c>
      <c r="P53">
        <f t="shared" si="1"/>
        <v>4.8399439524938224</v>
      </c>
      <c r="Q53">
        <f t="shared" si="2"/>
        <v>20.794111156397665</v>
      </c>
      <c r="R53" s="67" cm="1">
        <f t="array" ref="R53">SUMPRODUCT((J53=$J$7:$J$1000)*(P53&lt;$P$7:$P$1000))+1</f>
        <v>22</v>
      </c>
      <c r="S53" s="72"/>
      <c r="T53">
        <v>13</v>
      </c>
      <c r="U53" t="str">
        <v>NEFJ</v>
      </c>
      <c r="V53" t="str">
        <v>Simon-Peter Toleafoa</v>
      </c>
      <c r="W53" t="str">
        <v>NULL</v>
      </c>
      <c r="X53" t="str">
        <v>Home</v>
      </c>
      <c r="Y53" t="str">
        <v>CHI</v>
      </c>
      <c r="Z53">
        <v>6.6746818057493957</v>
      </c>
      <c r="AA53" s="1" t="str">
        <v>Mark O'Keeffe</v>
      </c>
      <c r="AB53" s="1" cm="1">
        <f t="array" ref="AB53">COUNT(_xlfn._xlws.FILTER($J$7:$J$10000,($L$7:$L$10000=AA53)*($M$7:$M$10000&lt;&gt;"NULL")*($J$7:$J$10000 &gt;= ($G$1-5))))/5</f>
        <v>1</v>
      </c>
    </row>
    <row r="54" spans="1:28" x14ac:dyDescent="0.35">
      <c r="A54">
        <f>VLOOKUP($B54, PlayerIDs!$A$1:$B$516, 2, FALSE)</f>
        <v>649</v>
      </c>
      <c r="B54" t="s">
        <v>92</v>
      </c>
      <c r="C54" s="1">
        <v>9.1898687272649635</v>
      </c>
      <c r="D54" s="1">
        <f t="shared" si="7"/>
        <v>35</v>
      </c>
      <c r="E54" s="1" cm="1">
        <f t="array" ref="E54">IFERROR(VLOOKUP($B54,_xlfn._xlws.FILTER($L$7:$P$10000,$J$7:$J$10000=G$1+1),5, FALSE), 0)</f>
        <v>0</v>
      </c>
      <c r="F54" s="1">
        <f t="shared" si="8"/>
        <v>74</v>
      </c>
      <c r="G54" s="1">
        <f t="shared" ca="1" si="9"/>
        <v>24.926473827195757</v>
      </c>
      <c r="H54" s="1">
        <f t="shared" ca="1" si="10"/>
        <v>57</v>
      </c>
      <c r="I54" s="1" cm="1">
        <f t="array" ref="I54">COUNT(_xlfn._xlws.FILTER($J$7:$J$10000,($L$7:$L$10000=B54)*($M$7:$M$10000&lt;&gt;"NULL")*($J$7:$J$10000 &gt;= ($G$1-4))))/5</f>
        <v>0.8</v>
      </c>
      <c r="J54" s="65">
        <v>2</v>
      </c>
      <c r="K54" t="s">
        <v>24</v>
      </c>
      <c r="L54" t="s">
        <v>84</v>
      </c>
      <c r="M54">
        <v>9.1</v>
      </c>
      <c r="N54" t="s">
        <v>3</v>
      </c>
      <c r="O54" t="s">
        <v>4</v>
      </c>
      <c r="P54">
        <f t="shared" si="1"/>
        <v>8.4091738288682762</v>
      </c>
      <c r="Q54">
        <f t="shared" si="2"/>
        <v>0.47724079872051717</v>
      </c>
      <c r="R54" s="67" cm="1">
        <f t="array" ref="R54">SUMPRODUCT((J54=$J$7:$J$1000)*(P54&lt;$P$7:$P$1000))+1</f>
        <v>11</v>
      </c>
      <c r="S54" s="72"/>
      <c r="T54">
        <v>13</v>
      </c>
      <c r="U54" t="str">
        <v>NOLA</v>
      </c>
      <c r="V54" t="str">
        <v>Cooper Coats</v>
      </c>
      <c r="W54" t="str">
        <v>NULL</v>
      </c>
      <c r="X54" t="str">
        <v>Home</v>
      </c>
      <c r="Y54" t="str">
        <v>MIA</v>
      </c>
      <c r="Z54">
        <v>14.270439896449707</v>
      </c>
      <c r="AA54" s="1" t="str">
        <v>Martin Elias</v>
      </c>
      <c r="AB54" s="1" cm="1">
        <f t="array" ref="AB54">COUNT(_xlfn._xlws.FILTER($J$7:$J$10000,($L$7:$L$10000=AA54)*($M$7:$M$10000&lt;&gt;"NULL")*($J$7:$J$10000 &gt;= ($G$1-5))))/5</f>
        <v>0.2</v>
      </c>
    </row>
    <row r="55" spans="1:28" x14ac:dyDescent="0.35">
      <c r="A55">
        <f>VLOOKUP($B55, PlayerIDs!$A$1:$B$516, 2, FALSE)</f>
        <v>874</v>
      </c>
      <c r="B55" t="s">
        <v>687</v>
      </c>
      <c r="C55" s="1">
        <v>9.134970840801973</v>
      </c>
      <c r="D55" s="1">
        <f t="shared" si="7"/>
        <v>36</v>
      </c>
      <c r="E55" s="1" cm="1">
        <f t="array" ref="E55">IFERROR(VLOOKUP($B55,_xlfn._xlws.FILTER($L$7:$P$10000,$J$7:$J$10000=G$1+1),5, FALSE), 0)</f>
        <v>9.2181705142164461</v>
      </c>
      <c r="F55" s="1">
        <f t="shared" si="8"/>
        <v>32</v>
      </c>
      <c r="G55" s="1">
        <f t="shared" ca="1" si="9"/>
        <v>37.504589704128726</v>
      </c>
      <c r="H55" s="1">
        <f t="shared" ca="1" si="10"/>
        <v>23</v>
      </c>
      <c r="I55" s="1" cm="1">
        <f t="array" ref="I55">COUNT(_xlfn._xlws.FILTER($J$7:$J$10000,($L$7:$L$10000=B55)*($M$7:$M$10000&lt;&gt;"NULL")*($J$7:$J$10000 &gt;= ($G$1-4))))/5</f>
        <v>0.2</v>
      </c>
      <c r="J55" s="65">
        <v>2</v>
      </c>
      <c r="K55" t="s">
        <v>13</v>
      </c>
      <c r="L55" t="s">
        <v>478</v>
      </c>
      <c r="M55">
        <v>8.3000000000000007</v>
      </c>
      <c r="N55" t="s">
        <v>9</v>
      </c>
      <c r="O55" t="s">
        <v>2</v>
      </c>
      <c r="P55">
        <f t="shared" si="1"/>
        <v>8.2989359204260182</v>
      </c>
      <c r="Q55">
        <f t="shared" si="2"/>
        <v>1.132265339766711E-6</v>
      </c>
      <c r="R55" s="67" cm="1">
        <f t="array" ref="R55">SUMPRODUCT((J55=$J$7:$J$1000)*(P55&lt;$P$7:$P$1000))+1</f>
        <v>12</v>
      </c>
      <c r="S55" s="72"/>
      <c r="T55">
        <v>13</v>
      </c>
      <c r="U55" t="str">
        <v>NOLA</v>
      </c>
      <c r="V55" t="str">
        <v>Ed Fidow</v>
      </c>
      <c r="W55" t="str">
        <v>NULL</v>
      </c>
      <c r="X55" t="str">
        <v>Home</v>
      </c>
      <c r="Y55" t="str">
        <v>MIA</v>
      </c>
      <c r="Z55">
        <v>11.895728291987194</v>
      </c>
      <c r="AA55" s="1" t="str">
        <v>Max Schumacher</v>
      </c>
      <c r="AB55" s="1" cm="1">
        <f t="array" ref="AB55">COUNT(_xlfn._xlws.FILTER($J$7:$J$10000,($L$7:$L$10000=AA55)*($M$7:$M$10000&lt;&gt;"NULL")*($J$7:$J$10000 &gt;= ($G$1-5))))/5</f>
        <v>0.6</v>
      </c>
    </row>
    <row r="56" spans="1:28" x14ac:dyDescent="0.35">
      <c r="A56">
        <f>VLOOKUP($B56, PlayerIDs!$A$1:$B$516, 2, FALSE)</f>
        <v>257</v>
      </c>
      <c r="B56" t="s">
        <v>82</v>
      </c>
      <c r="C56" s="1">
        <v>9.0968558618053201</v>
      </c>
      <c r="D56" s="1">
        <f t="shared" si="7"/>
        <v>37</v>
      </c>
      <c r="E56" s="1" cm="1">
        <f t="array" ref="E56">IFERROR(VLOOKUP($B56,_xlfn._xlws.FILTER($L$7:$P$10000,$J$7:$J$10000=G$1+1),5, FALSE), 0)</f>
        <v>10.239119028005865</v>
      </c>
      <c r="F56" s="1">
        <f t="shared" si="8"/>
        <v>27</v>
      </c>
      <c r="G56" s="1">
        <f t="shared" ca="1" si="9"/>
        <v>34.163488246862279</v>
      </c>
      <c r="H56" s="1">
        <f t="shared" ca="1" si="10"/>
        <v>31</v>
      </c>
      <c r="I56" s="1" cm="1">
        <f t="array" ref="I56">COUNT(_xlfn._xlws.FILTER($J$7:$J$10000,($L$7:$L$10000=B56)*($M$7:$M$10000&lt;&gt;"NULL")*($J$7:$J$10000 &gt;= ($G$1-4))))/5</f>
        <v>0.8</v>
      </c>
      <c r="J56" s="65">
        <v>2</v>
      </c>
      <c r="K56" t="s">
        <v>14</v>
      </c>
      <c r="L56" t="s">
        <v>285</v>
      </c>
      <c r="M56">
        <v>7.3</v>
      </c>
      <c r="N56" t="s">
        <v>3</v>
      </c>
      <c r="O56" t="s">
        <v>34</v>
      </c>
      <c r="P56">
        <f t="shared" si="1"/>
        <v>7.1193132985466123</v>
      </c>
      <c r="Q56">
        <f t="shared" si="2"/>
        <v>3.2647684082105582E-2</v>
      </c>
      <c r="R56" s="67" cm="1">
        <f t="array" ref="R56">SUMPRODUCT((J56=$J$7:$J$1000)*(P56&lt;$P$7:$P$1000))+1</f>
        <v>16</v>
      </c>
      <c r="S56" s="72"/>
      <c r="T56">
        <v>13</v>
      </c>
      <c r="U56" t="str">
        <v>NOLA</v>
      </c>
      <c r="V56" t="str">
        <v>Harley Wheeler</v>
      </c>
      <c r="W56" t="str">
        <v>NULL</v>
      </c>
      <c r="X56" t="str">
        <v>Home</v>
      </c>
      <c r="Y56" t="str">
        <v>MIA</v>
      </c>
      <c r="Z56">
        <v>17.460668575094736</v>
      </c>
      <c r="AA56" s="1" t="str">
        <v>Michael Hand</v>
      </c>
      <c r="AB56" s="1" cm="1">
        <f t="array" ref="AB56">COUNT(_xlfn._xlws.FILTER($J$7:$J$10000,($L$7:$L$10000=AA56)*($M$7:$M$10000&lt;&gt;"NULL")*($J$7:$J$10000 &gt;= ($G$1-5))))/5</f>
        <v>0.8</v>
      </c>
    </row>
    <row r="57" spans="1:28" x14ac:dyDescent="0.35">
      <c r="A57">
        <f>VLOOKUP($B57, PlayerIDs!$A$1:$B$516, 2, FALSE)</f>
        <v>818</v>
      </c>
      <c r="B57" t="s">
        <v>478</v>
      </c>
      <c r="C57" s="1">
        <v>9.0591578570998994</v>
      </c>
      <c r="D57" s="1">
        <f t="shared" si="7"/>
        <v>38</v>
      </c>
      <c r="E57" s="1" cm="1">
        <f t="array" ref="E57">IFERROR(VLOOKUP($B57,_xlfn._xlws.FILTER($L$7:$P$10000,$J$7:$J$10000=G$1+1),5, FALSE), 0)</f>
        <v>9.1423575305143725</v>
      </c>
      <c r="F57" s="1">
        <f t="shared" si="8"/>
        <v>34</v>
      </c>
      <c r="G57" s="1">
        <f t="shared" ca="1" si="9"/>
        <v>37.201337769320432</v>
      </c>
      <c r="H57" s="1">
        <f t="shared" ca="1" si="10"/>
        <v>24</v>
      </c>
      <c r="I57" s="1" cm="1">
        <f t="array" ref="I57">COUNT(_xlfn._xlws.FILTER($J$7:$J$10000,($L$7:$L$10000=B57)*($M$7:$M$10000&lt;&gt;"NULL")*($J$7:$J$10000 &gt;= ($G$1-4))))/5</f>
        <v>0</v>
      </c>
      <c r="J57" s="65">
        <v>2</v>
      </c>
      <c r="K57" t="s">
        <v>2</v>
      </c>
      <c r="L57" t="s">
        <v>455</v>
      </c>
      <c r="M57">
        <v>6.6</v>
      </c>
      <c r="N57" t="s">
        <v>3</v>
      </c>
      <c r="O57" t="s">
        <v>13</v>
      </c>
      <c r="P57">
        <f t="shared" si="1"/>
        <v>6.210153341564725</v>
      </c>
      <c r="Q57">
        <f t="shared" si="2"/>
        <v>0.15198041709314972</v>
      </c>
      <c r="R57" s="67" cm="1">
        <f t="array" ref="R57">SUMPRODUCT((J57=$J$7:$J$1000)*(P57&lt;$P$7:$P$1000))+1</f>
        <v>19</v>
      </c>
      <c r="S57" s="72"/>
      <c r="T57">
        <v>13</v>
      </c>
      <c r="U57" t="str">
        <v>NOLA</v>
      </c>
      <c r="V57" t="str">
        <v>Jack Webster</v>
      </c>
      <c r="W57" t="str">
        <v>NULL</v>
      </c>
      <c r="X57" t="str">
        <v>Home</v>
      </c>
      <c r="Y57" t="str">
        <v>MIA</v>
      </c>
      <c r="Z57">
        <v>7.1495530251818096</v>
      </c>
      <c r="AA57" s="1" t="str">
        <v>Mikaela Kruse</v>
      </c>
      <c r="AB57" s="1" cm="1">
        <f t="array" ref="AB57">COUNT(_xlfn._xlws.FILTER($J$7:$J$10000,($L$7:$L$10000=AA57)*($M$7:$M$10000&lt;&gt;"NULL")*($J$7:$J$10000 &gt;= ($G$1-5))))/5</f>
        <v>0</v>
      </c>
    </row>
    <row r="58" spans="1:28" x14ac:dyDescent="0.35">
      <c r="A58">
        <f>VLOOKUP($B58, PlayerIDs!$A$1:$B$516, 2, FALSE)</f>
        <v>615</v>
      </c>
      <c r="B58" t="s">
        <v>35</v>
      </c>
      <c r="C58" s="1">
        <v>9.023250875888122</v>
      </c>
      <c r="D58" s="1">
        <f t="shared" si="7"/>
        <v>39</v>
      </c>
      <c r="E58" s="1" cm="1">
        <f t="array" ref="E58">IFERROR(VLOOKUP($B58,_xlfn._xlws.FILTER($L$7:$P$10000,$J$7:$J$10000=G$1+1),5, FALSE), 0)</f>
        <v>9.1704222825997945</v>
      </c>
      <c r="F58" s="1">
        <f t="shared" si="8"/>
        <v>33</v>
      </c>
      <c r="G58" s="1">
        <f t="shared" ca="1" si="9"/>
        <v>32.41747973333333</v>
      </c>
      <c r="H58" s="1">
        <f t="shared" ca="1" si="10"/>
        <v>35</v>
      </c>
      <c r="I58" s="1" cm="1">
        <f t="array" ref="I58">COUNT(_xlfn._xlws.FILTER($J$7:$J$10000,($L$7:$L$10000=B58)*($M$7:$M$10000&lt;&gt;"NULL")*($J$7:$J$10000 &gt;= ($G$1-4))))/5</f>
        <v>0.2</v>
      </c>
      <c r="J58" s="65">
        <v>2</v>
      </c>
      <c r="K58" t="s">
        <v>14</v>
      </c>
      <c r="L58" t="s">
        <v>278</v>
      </c>
      <c r="M58">
        <v>6.4</v>
      </c>
      <c r="N58" t="s">
        <v>3</v>
      </c>
      <c r="O58" t="s">
        <v>34</v>
      </c>
      <c r="P58">
        <f t="shared" si="1"/>
        <v>7.0714797218801877</v>
      </c>
      <c r="Q58">
        <f t="shared" si="2"/>
        <v>0.45088501689629373</v>
      </c>
      <c r="R58" s="67" cm="1">
        <f t="array" ref="R58">SUMPRODUCT((J58=$J$7:$J$1000)*(P58&lt;$P$7:$P$1000))+1</f>
        <v>17</v>
      </c>
      <c r="S58" s="72"/>
      <c r="T58">
        <v>13</v>
      </c>
      <c r="U58" t="str">
        <v>NOLA</v>
      </c>
      <c r="V58" t="str">
        <v>Julian Roberts</v>
      </c>
      <c r="W58" t="str">
        <v>NULL</v>
      </c>
      <c r="X58" t="str">
        <v>Home</v>
      </c>
      <c r="Y58" t="str">
        <v>MIA</v>
      </c>
      <c r="Z58">
        <v>14.465221273147927</v>
      </c>
      <c r="AA58" s="1" t="str">
        <v>Mitch Wilson</v>
      </c>
      <c r="AB58" s="1" cm="1">
        <f t="array" ref="AB58">COUNT(_xlfn._xlws.FILTER($J$7:$J$10000,($L$7:$L$10000=AA58)*($M$7:$M$10000&lt;&gt;"NULL")*($J$7:$J$10000 &gt;= ($G$1-5))))/5</f>
        <v>0.8</v>
      </c>
    </row>
    <row r="59" spans="1:28" x14ac:dyDescent="0.35">
      <c r="A59">
        <f>VLOOKUP($B59, PlayerIDs!$A$1:$B$516, 2, FALSE)</f>
        <v>738</v>
      </c>
      <c r="B59" t="s">
        <v>639</v>
      </c>
      <c r="C59" s="1">
        <v>8.9015344898663269</v>
      </c>
      <c r="D59" s="1">
        <f t="shared" si="7"/>
        <v>40</v>
      </c>
      <c r="E59" s="1" cm="1">
        <f t="array" ref="E59">IFERROR(VLOOKUP($B59,_xlfn._xlws.FILTER($L$7:$P$10000,$J$7:$J$10000=G$1+1),5, FALSE), 0)</f>
        <v>6.4433127991353203</v>
      </c>
      <c r="F59" s="1">
        <f t="shared" si="8"/>
        <v>53</v>
      </c>
      <c r="G59" s="1">
        <f t="shared" ca="1" si="9"/>
        <v>34.459715551012685</v>
      </c>
      <c r="H59" s="1">
        <f t="shared" ca="1" si="10"/>
        <v>30</v>
      </c>
      <c r="I59" s="1" cm="1">
        <f t="array" ref="I59">COUNT(_xlfn._xlws.FILTER($J$7:$J$10000,($L$7:$L$10000=B59)*($M$7:$M$10000&lt;&gt;"NULL")*($J$7:$J$10000 &gt;= ($G$1-4))))/5</f>
        <v>0.8</v>
      </c>
      <c r="J59" s="66">
        <v>2</v>
      </c>
      <c r="K59" t="s">
        <v>36</v>
      </c>
      <c r="L59" t="s">
        <v>479</v>
      </c>
      <c r="M59">
        <v>5.5</v>
      </c>
      <c r="N59" t="s">
        <v>9</v>
      </c>
      <c r="O59" t="s">
        <v>6</v>
      </c>
      <c r="P59">
        <f t="shared" si="1"/>
        <v>6.3602714150003319</v>
      </c>
      <c r="Q59">
        <f t="shared" si="2"/>
        <v>0.74006690746667325</v>
      </c>
      <c r="R59" s="67" cm="1">
        <f t="array" ref="R59">SUMPRODUCT((J59=$J$7:$J$1000)*(P59&lt;$P$7:$P$1000))+1</f>
        <v>18</v>
      </c>
      <c r="S59" s="72"/>
      <c r="T59">
        <v>13</v>
      </c>
      <c r="U59" t="str">
        <v>NOLA</v>
      </c>
      <c r="V59" t="str">
        <v>Nikolai Foliaki</v>
      </c>
      <c r="W59" t="str">
        <v>NULL</v>
      </c>
      <c r="X59" t="str">
        <v>Home</v>
      </c>
      <c r="Y59" t="str">
        <v>MIA</v>
      </c>
      <c r="Z59">
        <v>7.7997999149213069</v>
      </c>
      <c r="AA59" s="1" t="str">
        <v>Nate Augspurger</v>
      </c>
      <c r="AB59" s="1" cm="1">
        <f t="array" ref="AB59">COUNT(_xlfn._xlws.FILTER($J$7:$J$10000,($L$7:$L$10000=AA59)*($M$7:$M$10000&lt;&gt;"NULL")*($J$7:$J$10000 &gt;= ($G$1-5))))/5</f>
        <v>0.4</v>
      </c>
    </row>
    <row r="60" spans="1:28" x14ac:dyDescent="0.35">
      <c r="A60">
        <f>VLOOKUP($B60, PlayerIDs!$A$1:$B$516, 2, FALSE)</f>
        <v>850</v>
      </c>
      <c r="B60" t="s">
        <v>479</v>
      </c>
      <c r="C60" s="1">
        <v>8.8184931057313385</v>
      </c>
      <c r="D60" s="1">
        <f t="shared" si="7"/>
        <v>41</v>
      </c>
      <c r="E60" s="1" cm="1">
        <f t="array" ref="E60">IFERROR(VLOOKUP($B60,_xlfn._xlws.FILTER($L$7:$P$10000,$J$7:$J$10000=G$1+1),5, FALSE), 0)</f>
        <v>8.1123654781774359</v>
      </c>
      <c r="F60" s="1">
        <f t="shared" si="8"/>
        <v>40</v>
      </c>
      <c r="G60" s="1">
        <f t="shared" ca="1" si="9"/>
        <v>26.974814529255131</v>
      </c>
      <c r="H60" s="1">
        <f t="shared" ca="1" si="10"/>
        <v>50</v>
      </c>
      <c r="I60" s="1" cm="1">
        <f t="array" ref="I60">COUNT(_xlfn._xlws.FILTER($J$7:$J$10000,($L$7:$L$10000=B60)*($M$7:$M$10000&lt;&gt;"NULL")*($J$7:$J$10000 &gt;= ($G$1-4))))/5</f>
        <v>1</v>
      </c>
      <c r="J60" s="65">
        <v>2</v>
      </c>
      <c r="K60" t="s">
        <v>24</v>
      </c>
      <c r="L60" t="s">
        <v>459</v>
      </c>
      <c r="M60">
        <v>1</v>
      </c>
      <c r="N60" t="s">
        <v>3</v>
      </c>
      <c r="O60" t="s">
        <v>4</v>
      </c>
      <c r="P60">
        <f t="shared" si="1"/>
        <v>2.0586698587059558</v>
      </c>
      <c r="Q60">
        <f t="shared" si="2"/>
        <v>1.1207818697324883</v>
      </c>
      <c r="R60" s="67" cm="1">
        <f t="array" ref="R60">SUMPRODUCT((J60=$J$7:$J$1000)*(P60&lt;$P$7:$P$1000))+1</f>
        <v>24</v>
      </c>
      <c r="S60" s="72"/>
      <c r="T60">
        <v>13</v>
      </c>
      <c r="U60" t="str">
        <v>NOLA</v>
      </c>
      <c r="V60" t="str">
        <v>Xavier Mignot</v>
      </c>
      <c r="W60" t="str">
        <v>NULL</v>
      </c>
      <c r="X60" t="str">
        <v>Home</v>
      </c>
      <c r="Y60" t="str">
        <v>MIA</v>
      </c>
      <c r="Z60">
        <v>15.836764329136317</v>
      </c>
      <c r="AA60" s="1" t="str">
        <v>Nic Benn</v>
      </c>
      <c r="AB60" s="1" cm="1">
        <f t="array" ref="AB60">COUNT(_xlfn._xlws.FILTER($J$7:$J$10000,($L$7:$L$10000=AA60)*($M$7:$M$10000&lt;&gt;"NULL")*($J$7:$J$10000 &gt;= ($G$1-5))))/5</f>
        <v>1</v>
      </c>
    </row>
    <row r="61" spans="1:28" x14ac:dyDescent="0.35">
      <c r="A61">
        <f>VLOOKUP($B61, PlayerIDs!$A$1:$B$516, 2, FALSE)</f>
        <v>126</v>
      </c>
      <c r="B61" t="s">
        <v>74</v>
      </c>
      <c r="C61" s="1">
        <v>8.6525710385299703</v>
      </c>
      <c r="D61" s="1">
        <f t="shared" si="7"/>
        <v>42</v>
      </c>
      <c r="E61" s="1" cm="1">
        <f t="array" ref="E61">IFERROR(VLOOKUP($B61,_xlfn._xlws.FILTER($L$7:$P$10000,$J$7:$J$10000=G$1+1),5, FALSE), 0)</f>
        <v>11.895728291987194</v>
      </c>
      <c r="F61" s="1">
        <f t="shared" si="8"/>
        <v>20</v>
      </c>
      <c r="G61" s="1">
        <f t="shared" ca="1" si="9"/>
        <v>30.714224071762111</v>
      </c>
      <c r="H61" s="1">
        <f t="shared" ca="1" si="10"/>
        <v>41</v>
      </c>
      <c r="I61" s="1" cm="1">
        <f t="array" ref="I61">COUNT(_xlfn._xlws.FILTER($J$7:$J$10000,($L$7:$L$10000=B61)*($M$7:$M$10000&lt;&gt;"NULL")*($J$7:$J$10000 &gt;= ($G$1-4))))/5</f>
        <v>0.6</v>
      </c>
      <c r="J61" s="65">
        <v>3</v>
      </c>
      <c r="K61" t="s">
        <v>13</v>
      </c>
      <c r="L61" t="s">
        <v>79</v>
      </c>
      <c r="M61">
        <v>24.3</v>
      </c>
      <c r="N61" t="s">
        <v>3</v>
      </c>
      <c r="O61" t="s">
        <v>4</v>
      </c>
      <c r="P61">
        <f t="shared" si="1"/>
        <v>15.841951719258475</v>
      </c>
      <c r="Q61">
        <f t="shared" si="2"/>
        <v>71.538580719354684</v>
      </c>
      <c r="R61" s="67" cm="1">
        <f t="array" ref="R61">SUMPRODUCT((J61=$J$7:$J$1000)*(P61&lt;$P$7:$P$1000))+1</f>
        <v>1</v>
      </c>
      <c r="S61" s="72"/>
      <c r="T61">
        <v>13</v>
      </c>
      <c r="U61" t="str">
        <v>SDL</v>
      </c>
      <c r="V61" t="str">
        <v>Ethan Grayson</v>
      </c>
      <c r="W61" t="str">
        <v>NULL</v>
      </c>
      <c r="X61" t="str">
        <v>Home</v>
      </c>
      <c r="Y61" t="str">
        <v>HOU</v>
      </c>
      <c r="Z61">
        <v>10.613182067374369</v>
      </c>
      <c r="AA61" s="1" t="str">
        <v>Nikolai Foliaki</v>
      </c>
      <c r="AB61" s="1" cm="1">
        <f t="array" ref="AB61">COUNT(_xlfn._xlws.FILTER($J$7:$J$10000,($L$7:$L$10000=AA61)*($M$7:$M$10000&lt;&gt;"NULL")*($J$7:$J$10000 &gt;= ($G$1-5))))/5</f>
        <v>0.4</v>
      </c>
    </row>
    <row r="62" spans="1:28" x14ac:dyDescent="0.35">
      <c r="A62">
        <f>VLOOKUP($B62, PlayerIDs!$A$1:$B$516, 2, FALSE)</f>
        <v>417</v>
      </c>
      <c r="B62" t="s">
        <v>100</v>
      </c>
      <c r="C62" s="1">
        <v>8.3577300421340368</v>
      </c>
      <c r="D62" s="1">
        <f t="shared" si="7"/>
        <v>43</v>
      </c>
      <c r="E62" s="1" cm="1">
        <f t="array" ref="E62">IFERROR(VLOOKUP($B62,_xlfn._xlws.FILTER($L$7:$P$10000,$J$7:$J$10000=G$1+1),5, FALSE), 0)</f>
        <v>7.4873176349626203</v>
      </c>
      <c r="F62" s="1">
        <f t="shared" si="8"/>
        <v>44</v>
      </c>
      <c r="G62" s="1">
        <f t="shared" ca="1" si="9"/>
        <v>25.266509699725773</v>
      </c>
      <c r="H62" s="1">
        <f t="shared" ca="1" si="10"/>
        <v>55</v>
      </c>
      <c r="I62" s="1" cm="1">
        <f t="array" ref="I62">COUNT(_xlfn._xlws.FILTER($J$7:$J$10000,($L$7:$L$10000=B62)*($M$7:$M$10000&lt;&gt;"NULL")*($J$7:$J$10000 &gt;= ($G$1-4))))/5</f>
        <v>1</v>
      </c>
      <c r="J62" s="65">
        <v>3</v>
      </c>
      <c r="K62" t="s">
        <v>14</v>
      </c>
      <c r="L62" t="s">
        <v>83</v>
      </c>
      <c r="M62">
        <v>17.600000000000001</v>
      </c>
      <c r="N62" t="s">
        <v>3</v>
      </c>
      <c r="O62" t="s">
        <v>24</v>
      </c>
      <c r="P62">
        <f t="shared" si="1"/>
        <v>12.4586342789752</v>
      </c>
      <c r="Q62">
        <f t="shared" si="2"/>
        <v>26.433641477328873</v>
      </c>
      <c r="R62" s="67" cm="1">
        <f t="array" ref="R62">SUMPRODUCT((J62=$J$7:$J$1000)*(P62&lt;$P$7:$P$1000))+1</f>
        <v>6</v>
      </c>
      <c r="S62" s="72"/>
      <c r="T62">
        <v>13</v>
      </c>
      <c r="U62" t="str">
        <v>SDL</v>
      </c>
      <c r="V62" t="str">
        <v>James Vaifale</v>
      </c>
      <c r="W62" t="str">
        <v>NULL</v>
      </c>
      <c r="X62" t="str">
        <v>Home</v>
      </c>
      <c r="Y62" t="str">
        <v>HOU</v>
      </c>
      <c r="Z62">
        <v>7.4643851082412311</v>
      </c>
      <c r="AA62" s="1" t="str">
        <v>Noah Brown</v>
      </c>
      <c r="AB62" s="1" cm="1">
        <f t="array" ref="AB62">COUNT(_xlfn._xlws.FILTER($J$7:$J$10000,($L$7:$L$10000=AA62)*($M$7:$M$10000&lt;&gt;"NULL")*($J$7:$J$10000 &gt;= ($G$1-5))))/5</f>
        <v>0.8</v>
      </c>
    </row>
    <row r="63" spans="1:28" x14ac:dyDescent="0.35">
      <c r="A63">
        <f>VLOOKUP($B63, PlayerIDs!$A$1:$B$516, 2, FALSE)</f>
        <v>195</v>
      </c>
      <c r="B63" t="s">
        <v>496</v>
      </c>
      <c r="C63" s="1">
        <v>8.3347975154126477</v>
      </c>
      <c r="D63" s="1">
        <f t="shared" si="7"/>
        <v>44</v>
      </c>
      <c r="E63" s="1" cm="1">
        <f t="array" ref="E63">IFERROR(VLOOKUP($B63,_xlfn._xlws.FILTER($L$7:$P$10000,$J$7:$J$10000=G$1+1),5, FALSE), 0)</f>
        <v>7.4643851082412311</v>
      </c>
      <c r="F63" s="1">
        <f t="shared" si="8"/>
        <v>45</v>
      </c>
      <c r="G63" s="1">
        <f t="shared" ca="1" si="9"/>
        <v>25.197712119561604</v>
      </c>
      <c r="H63" s="1">
        <f t="shared" ca="1" si="10"/>
        <v>56</v>
      </c>
      <c r="I63" s="1" cm="1">
        <f t="array" ref="I63">COUNT(_xlfn._xlws.FILTER($J$7:$J$10000,($L$7:$L$10000=B63)*($M$7:$M$10000&lt;&gt;"NULL")*($J$7:$J$10000 &gt;= ($G$1-4))))/5</f>
        <v>0</v>
      </c>
      <c r="J63" s="65">
        <v>3</v>
      </c>
      <c r="K63" t="s">
        <v>24</v>
      </c>
      <c r="L63" t="s">
        <v>96</v>
      </c>
      <c r="M63">
        <v>16.2</v>
      </c>
      <c r="N63" t="s">
        <v>9</v>
      </c>
      <c r="O63" t="s">
        <v>14</v>
      </c>
      <c r="P63">
        <f t="shared" si="1"/>
        <v>13.194210111836318</v>
      </c>
      <c r="Q63">
        <f t="shared" si="2"/>
        <v>9.0347728517870358</v>
      </c>
      <c r="R63" s="67" cm="1">
        <f t="array" ref="R63">SUMPRODUCT((J63=$J$7:$J$1000)*(P63&lt;$P$7:$P$1000))+1</f>
        <v>4</v>
      </c>
      <c r="S63" s="72"/>
      <c r="T63">
        <v>13</v>
      </c>
      <c r="U63" t="str">
        <v>SDL</v>
      </c>
      <c r="V63" t="str">
        <v>Rhian Stowers</v>
      </c>
      <c r="W63" t="str">
        <v>NULL</v>
      </c>
      <c r="X63" t="str">
        <v>Home</v>
      </c>
      <c r="Y63" t="str">
        <v>HOU</v>
      </c>
      <c r="Z63">
        <v>11.041851879423222</v>
      </c>
      <c r="AA63" s="1" t="str">
        <v>Nolan Tuamoheloa</v>
      </c>
      <c r="AB63" s="1" cm="1">
        <f t="array" ref="AB63">COUNT(_xlfn._xlws.FILTER($J$7:$J$10000,($L$7:$L$10000=AA63)*($M$7:$M$10000&lt;&gt;"NULL")*($J$7:$J$10000 &gt;= ($G$1-5))))/5</f>
        <v>0.2</v>
      </c>
    </row>
    <row r="64" spans="1:28" x14ac:dyDescent="0.35">
      <c r="A64">
        <f>VLOOKUP($B64, PlayerIDs!$A$1:$B$516, 2, FALSE)</f>
        <v>458</v>
      </c>
      <c r="B64" t="s">
        <v>49</v>
      </c>
      <c r="C64" s="1">
        <v>8.0320993827689833</v>
      </c>
      <c r="D64" s="1">
        <f t="shared" si="7"/>
        <v>45</v>
      </c>
      <c r="E64" s="1" cm="1">
        <f t="array" ref="E64">IFERROR(VLOOKUP($B64,_xlfn._xlws.FILTER($L$7:$P$10000,$J$7:$J$10000=G$1+1),5, FALSE), 0)</f>
        <v>8.1152990561834564</v>
      </c>
      <c r="F64" s="1">
        <f t="shared" si="8"/>
        <v>39</v>
      </c>
      <c r="G64" s="1">
        <f t="shared" ca="1" si="9"/>
        <v>33.093103871996767</v>
      </c>
      <c r="H64" s="1">
        <f t="shared" ca="1" si="10"/>
        <v>33</v>
      </c>
      <c r="I64" s="1" cm="1">
        <f t="array" ref="I64">COUNT(_xlfn._xlws.FILTER($J$7:$J$10000,($L$7:$L$10000=B64)*($M$7:$M$10000&lt;&gt;"NULL")*($J$7:$J$10000 &gt;= ($G$1-4))))/5</f>
        <v>0.2</v>
      </c>
      <c r="J64" s="65">
        <v>3</v>
      </c>
      <c r="K64" t="s">
        <v>36</v>
      </c>
      <c r="L64" t="s">
        <v>71</v>
      </c>
      <c r="M64">
        <v>15.2</v>
      </c>
      <c r="N64" t="s">
        <v>3</v>
      </c>
      <c r="O64" t="s">
        <v>17</v>
      </c>
      <c r="P64">
        <f t="shared" si="1"/>
        <v>15.200085391331832</v>
      </c>
      <c r="Q64">
        <f t="shared" si="2"/>
        <v>7.2916795522222725E-9</v>
      </c>
      <c r="R64" s="67" cm="1">
        <f t="array" ref="R64">SUMPRODUCT((J64=$J$7:$J$1000)*(P64&lt;$P$7:$P$1000))+1</f>
        <v>2</v>
      </c>
      <c r="S64" s="72"/>
      <c r="T64">
        <v>13</v>
      </c>
      <c r="U64" t="str">
        <v>SDL</v>
      </c>
      <c r="V64" t="str">
        <v>Ryan James</v>
      </c>
      <c r="W64" t="str">
        <v>NULL</v>
      </c>
      <c r="X64" t="str">
        <v>Home</v>
      </c>
      <c r="Y64" t="str">
        <v>HOU</v>
      </c>
      <c r="Z64">
        <v>11.437430371642103</v>
      </c>
      <c r="AA64" s="1" t="str">
        <v>Owen Sheehy</v>
      </c>
      <c r="AB64" s="1" cm="1">
        <f t="array" ref="AB64">COUNT(_xlfn._xlws.FILTER($J$7:$J$10000,($L$7:$L$10000=AA64)*($M$7:$M$10000&lt;&gt;"NULL")*($J$7:$J$10000 &gt;= ($G$1-5))))/5</f>
        <v>0.4</v>
      </c>
    </row>
    <row r="65" spans="1:28" x14ac:dyDescent="0.35">
      <c r="A65">
        <f>VLOOKUP($B65, PlayerIDs!$A$1:$B$516, 2, FALSE)</f>
        <v>489</v>
      </c>
      <c r="B65" t="s">
        <v>446</v>
      </c>
      <c r="C65" s="1">
        <v>7.9628019672076631</v>
      </c>
      <c r="D65" s="1">
        <f t="shared" si="7"/>
        <v>46</v>
      </c>
      <c r="E65" s="1" cm="1">
        <f t="array" ref="E65">IFERROR(VLOOKUP($B65,_xlfn._xlws.FILTER($L$7:$P$10000,$J$7:$J$10000=G$1+1),5, FALSE), 0)</f>
        <v>8.1099733739193347</v>
      </c>
      <c r="F65" s="1">
        <f t="shared" si="8"/>
        <v>41</v>
      </c>
      <c r="G65" s="1">
        <f t="shared" ca="1" si="9"/>
        <v>28.175684098611491</v>
      </c>
      <c r="H65" s="1">
        <f t="shared" ca="1" si="10"/>
        <v>47</v>
      </c>
      <c r="I65" s="1" cm="1">
        <f t="array" ref="I65">COUNT(_xlfn._xlws.FILTER($J$7:$J$10000,($L$7:$L$10000=B65)*($M$7:$M$10000&lt;&gt;"NULL")*($J$7:$J$10000 &gt;= ($G$1-4))))/5</f>
        <v>0</v>
      </c>
      <c r="J65" s="65">
        <v>3</v>
      </c>
      <c r="K65" t="s">
        <v>13</v>
      </c>
      <c r="L65" t="s">
        <v>494</v>
      </c>
      <c r="M65">
        <v>15</v>
      </c>
      <c r="N65" t="s">
        <v>3</v>
      </c>
      <c r="O65" t="s">
        <v>4</v>
      </c>
      <c r="P65">
        <f t="shared" si="1"/>
        <v>12.235436691458107</v>
      </c>
      <c r="Q65">
        <f t="shared" si="2"/>
        <v>7.6428102869360997</v>
      </c>
      <c r="R65" s="67" cm="1">
        <f t="array" ref="R65">SUMPRODUCT((J65=$J$7:$J$1000)*(P65&lt;$P$7:$P$1000))+1</f>
        <v>7</v>
      </c>
      <c r="S65" s="72"/>
      <c r="T65">
        <v>13</v>
      </c>
      <c r="U65" t="str">
        <v>SDL</v>
      </c>
      <c r="V65" t="str">
        <v>Steffan Crimp</v>
      </c>
      <c r="W65" t="str">
        <v>NULL</v>
      </c>
      <c r="X65" t="str">
        <v>Home</v>
      </c>
      <c r="Y65" t="str">
        <v>HOU</v>
      </c>
      <c r="Z65">
        <v>12.766751034739091</v>
      </c>
      <c r="AA65" s="1" t="str">
        <v>Paula Balekana</v>
      </c>
      <c r="AB65" s="1" cm="1">
        <f t="array" ref="AB65">COUNT(_xlfn._xlws.FILTER($J$7:$J$10000,($L$7:$L$10000=AA65)*($M$7:$M$10000&lt;&gt;"NULL")*($J$7:$J$10000 &gt;= ($G$1-5))))/5</f>
        <v>0.8</v>
      </c>
    </row>
    <row r="66" spans="1:28" x14ac:dyDescent="0.35">
      <c r="A66">
        <f>VLOOKUP($B66, PlayerIDs!$A$1:$B$516, 2, FALSE)</f>
        <v>675</v>
      </c>
      <c r="B66" t="s">
        <v>537</v>
      </c>
      <c r="C66" s="1">
        <v>7.9557543876015266</v>
      </c>
      <c r="D66" s="1">
        <f t="shared" si="7"/>
        <v>47</v>
      </c>
      <c r="E66" s="1" cm="1">
        <f t="array" ref="E66">IFERROR(VLOOKUP($B66,_xlfn._xlws.FILTER($L$7:$P$10000,$J$7:$J$10000=G$1+1),5, FALSE), 0)</f>
        <v>9.0980175538020713</v>
      </c>
      <c r="F66" s="1">
        <f t="shared" si="8"/>
        <v>35</v>
      </c>
      <c r="G66" s="1">
        <f t="shared" ca="1" si="9"/>
        <v>29.599082350047105</v>
      </c>
      <c r="H66" s="1">
        <f t="shared" ca="1" si="10"/>
        <v>43</v>
      </c>
      <c r="I66" s="1" cm="1">
        <f t="array" ref="I66">COUNT(_xlfn._xlws.FILTER($J$7:$J$10000,($L$7:$L$10000=B66)*($M$7:$M$10000&lt;&gt;"NULL")*($J$7:$J$10000 &gt;= ($G$1-4))))/5</f>
        <v>0.6</v>
      </c>
      <c r="J66" s="65">
        <v>3</v>
      </c>
      <c r="K66" t="s">
        <v>2</v>
      </c>
      <c r="L66" t="s">
        <v>495</v>
      </c>
      <c r="M66">
        <v>13.4</v>
      </c>
      <c r="N66" t="s">
        <v>3</v>
      </c>
      <c r="O66" t="s">
        <v>23</v>
      </c>
      <c r="P66">
        <f t="shared" si="1"/>
        <v>4.2737535907355539</v>
      </c>
      <c r="Q66">
        <f t="shared" si="2"/>
        <v>83.288373522612204</v>
      </c>
      <c r="R66" s="67" cm="1">
        <f t="array" ref="R66">SUMPRODUCT((J66=$J$7:$J$1000)*(P66&lt;$P$7:$P$1000))+1</f>
        <v>27</v>
      </c>
      <c r="S66" s="72"/>
      <c r="T66">
        <v>13</v>
      </c>
      <c r="U66" t="str">
        <v>SDL</v>
      </c>
      <c r="V66" t="str">
        <v>Tomas Aoake</v>
      </c>
      <c r="W66" t="str">
        <v>NULL</v>
      </c>
      <c r="X66" t="str">
        <v>Home</v>
      </c>
      <c r="Y66" t="str">
        <v>HOU</v>
      </c>
      <c r="Z66">
        <v>7.4873176349626203</v>
      </c>
      <c r="AA66" s="1" t="str">
        <v>Perry Humphreys</v>
      </c>
      <c r="AB66" s="1" cm="1">
        <f t="array" ref="AB66">COUNT(_xlfn._xlws.FILTER($J$7:$J$10000,($L$7:$L$10000=AA66)*($M$7:$M$10000&lt;&gt;"NULL")*($J$7:$J$10000 &gt;= ($G$1-5))))/5</f>
        <v>1</v>
      </c>
    </row>
    <row r="67" spans="1:28" x14ac:dyDescent="0.35">
      <c r="A67">
        <f>VLOOKUP($B67, PlayerIDs!$A$1:$B$516, 2, FALSE)</f>
        <v>676</v>
      </c>
      <c r="B67" t="s">
        <v>76</v>
      </c>
      <c r="C67" s="1">
        <v>7.8304825757868013</v>
      </c>
      <c r="D67" s="1">
        <f t="shared" si="7"/>
        <v>48</v>
      </c>
      <c r="E67" s="1" cm="1">
        <f t="array" ref="E67">IFERROR(VLOOKUP($B67,_xlfn._xlws.FILTER($L$7:$P$10000,$J$7:$J$10000=G$1+1),5, FALSE), 0)</f>
        <v>8.972745741987346</v>
      </c>
      <c r="F67" s="1">
        <f t="shared" si="8"/>
        <v>36</v>
      </c>
      <c r="G67" s="1">
        <f t="shared" ca="1" si="9"/>
        <v>29.0979951027882</v>
      </c>
      <c r="H67" s="1">
        <f t="shared" ca="1" si="10"/>
        <v>45</v>
      </c>
      <c r="I67" s="1" cm="1">
        <f t="array" ref="I67">COUNT(_xlfn._xlws.FILTER($J$7:$J$10000,($L$7:$L$10000=B67)*($M$7:$M$10000&lt;&gt;"NULL")*($J$7:$J$10000 &gt;= ($G$1-4))))/5</f>
        <v>0.4</v>
      </c>
      <c r="J67" s="66">
        <v>3</v>
      </c>
      <c r="K67" t="s">
        <v>24</v>
      </c>
      <c r="L67" t="s">
        <v>446</v>
      </c>
      <c r="M67">
        <v>13.3</v>
      </c>
      <c r="N67" t="s">
        <v>9</v>
      </c>
      <c r="O67" t="s">
        <v>14</v>
      </c>
      <c r="P67">
        <f t="shared" si="1"/>
        <v>9.5675496351737674</v>
      </c>
      <c r="Q67">
        <f t="shared" si="2"/>
        <v>13.931185725891481</v>
      </c>
      <c r="R67" s="67" cm="1">
        <f t="array" ref="R67">SUMPRODUCT((J67=$J$7:$J$1000)*(P67&lt;$P$7:$P$1000))+1</f>
        <v>18</v>
      </c>
      <c r="S67" s="72"/>
      <c r="T67">
        <v>13</v>
      </c>
      <c r="U67" t="str">
        <v>SEA</v>
      </c>
      <c r="V67" t="str">
        <v>Divan Rossouw</v>
      </c>
      <c r="W67" t="str">
        <v>NULL</v>
      </c>
      <c r="X67" t="str">
        <v>Away</v>
      </c>
      <c r="Y67" t="str">
        <v>UTAH</v>
      </c>
      <c r="Z67">
        <v>17.409884514499858</v>
      </c>
      <c r="AA67" s="1" t="str">
        <v>Reece Macdonald</v>
      </c>
      <c r="AB67" s="1" cm="1">
        <f t="array" ref="AB67">COUNT(_xlfn._xlws.FILTER($J$7:$J$10000,($L$7:$L$10000=AA67)*($M$7:$M$10000&lt;&gt;"NULL")*($J$7:$J$10000 &gt;= ($G$1-5))))/5</f>
        <v>0.6</v>
      </c>
    </row>
    <row r="68" spans="1:28" x14ac:dyDescent="0.35">
      <c r="A68">
        <f>VLOOKUP($B68, PlayerIDs!$A$1:$B$516, 2, FALSE)</f>
        <v>302</v>
      </c>
      <c r="B68" t="s">
        <v>450</v>
      </c>
      <c r="C68" s="1">
        <v>7.8059460052556702</v>
      </c>
      <c r="D68" s="1">
        <f t="shared" si="7"/>
        <v>49</v>
      </c>
      <c r="E68" s="1" cm="1">
        <f t="array" ref="E68">IFERROR(VLOOKUP($B68,_xlfn._xlws.FILTER($L$7:$P$10000,$J$7:$J$10000=G$1+1),5, FALSE), 0)</f>
        <v>8.9482091714562149</v>
      </c>
      <c r="F68" s="1">
        <f t="shared" si="8"/>
        <v>37</v>
      </c>
      <c r="G68" s="1">
        <f t="shared" ca="1" si="9"/>
        <v>28.999848820663672</v>
      </c>
      <c r="H68" s="1">
        <f t="shared" ca="1" si="10"/>
        <v>46</v>
      </c>
      <c r="I68" s="1" cm="1">
        <f t="array" ref="I68">COUNT(_xlfn._xlws.FILTER($J$7:$J$10000,($L$7:$L$10000=B68)*($M$7:$M$10000&lt;&gt;"NULL")*($J$7:$J$10000 &gt;= ($G$1-4))))/5</f>
        <v>0</v>
      </c>
      <c r="J68" s="65">
        <v>3</v>
      </c>
      <c r="K68" t="s">
        <v>36</v>
      </c>
      <c r="L68" t="s">
        <v>479</v>
      </c>
      <c r="M68">
        <v>13.2</v>
      </c>
      <c r="N68" t="s">
        <v>3</v>
      </c>
      <c r="O68" t="s">
        <v>17</v>
      </c>
      <c r="P68">
        <f t="shared" si="1"/>
        <v>8.9016927791458116</v>
      </c>
      <c r="Q68">
        <f t="shared" si="2"/>
        <v>18.475444964847252</v>
      </c>
      <c r="R68" s="67" cm="1">
        <f t="array" ref="R68">SUMPRODUCT((J68=$J$7:$J$1000)*(P68&lt;$P$7:$P$1000))+1</f>
        <v>19</v>
      </c>
      <c r="S68" s="72"/>
      <c r="T68">
        <v>13</v>
      </c>
      <c r="U68" t="str">
        <v>SEA</v>
      </c>
      <c r="V68" t="str">
        <v>Duncan Matthews</v>
      </c>
      <c r="W68" t="str">
        <v>NULL</v>
      </c>
      <c r="X68" t="str">
        <v>Away</v>
      </c>
      <c r="Y68" t="str">
        <v>UTAH</v>
      </c>
      <c r="Z68">
        <v>14.74693420631966</v>
      </c>
      <c r="AA68" s="1" t="str">
        <v>Rhian Stowers</v>
      </c>
      <c r="AB68" s="1" cm="1">
        <f t="array" ref="AB68">COUNT(_xlfn._xlws.FILTER($J$7:$J$10000,($L$7:$L$10000=AA68)*($M$7:$M$10000&lt;&gt;"NULL")*($J$7:$J$10000 &gt;= ($G$1-5))))/5</f>
        <v>0.8</v>
      </c>
    </row>
    <row r="69" spans="1:28" x14ac:dyDescent="0.35">
      <c r="A69">
        <f>VLOOKUP($B69, PlayerIDs!$A$1:$B$516, 2, FALSE)</f>
        <v>175</v>
      </c>
      <c r="B69" t="s">
        <v>340</v>
      </c>
      <c r="C69" s="1">
        <v>7.6180914410918934</v>
      </c>
      <c r="D69" s="1">
        <f t="shared" si="7"/>
        <v>50</v>
      </c>
      <c r="E69" s="1" cm="1">
        <f t="array" ref="E69">IFERROR(VLOOKUP($B69,_xlfn._xlws.FILTER($L$7:$P$10000,$J$7:$J$10000=G$1+1),5, FALSE), 0)</f>
        <v>7.9891819776063215</v>
      </c>
      <c r="F69" s="1">
        <f t="shared" si="8"/>
        <v>42</v>
      </c>
      <c r="G69" s="1">
        <f t="shared" ca="1" si="9"/>
        <v>32.836946334128797</v>
      </c>
      <c r="H69" s="1">
        <f t="shared" ca="1" si="10"/>
        <v>34</v>
      </c>
      <c r="I69" s="1" cm="1">
        <f t="array" ref="I69">COUNT(_xlfn._xlws.FILTER($J$7:$J$10000,($L$7:$L$10000=B69)*($M$7:$M$10000&lt;&gt;"NULL")*($J$7:$J$10000 &gt;= ($G$1-4))))/5</f>
        <v>0</v>
      </c>
      <c r="J69" s="66">
        <v>3</v>
      </c>
      <c r="K69" t="s">
        <v>34</v>
      </c>
      <c r="L69" t="s">
        <v>95</v>
      </c>
      <c r="M69">
        <v>11.8</v>
      </c>
      <c r="N69" t="s">
        <v>9</v>
      </c>
      <c r="O69" t="s">
        <v>7</v>
      </c>
      <c r="P69">
        <f t="shared" si="1"/>
        <v>10.97497588518862</v>
      </c>
      <c r="Q69">
        <f t="shared" si="2"/>
        <v>0.68066479002030245</v>
      </c>
      <c r="R69" s="67" cm="1">
        <f t="array" ref="R69">SUMPRODUCT((J69=$J$7:$J$1000)*(P69&lt;$P$7:$P$1000))+1</f>
        <v>10</v>
      </c>
      <c r="S69" s="72"/>
      <c r="T69">
        <v>13</v>
      </c>
      <c r="U69" t="str">
        <v>SEA</v>
      </c>
      <c r="V69" t="str">
        <v>Jade Stighling</v>
      </c>
      <c r="W69" t="str">
        <v>NULL</v>
      </c>
      <c r="X69" t="str">
        <v>Away</v>
      </c>
      <c r="Y69" t="str">
        <v>UTAH</v>
      </c>
      <c r="Z69">
        <v>8.972745741987346</v>
      </c>
      <c r="AA69" s="1" t="str">
        <v>Rory van Vugt</v>
      </c>
      <c r="AB69" s="1" cm="1">
        <f t="array" ref="AB69">COUNT(_xlfn._xlws.FILTER($J$7:$J$10000,($L$7:$L$10000=AA69)*($M$7:$M$10000&lt;&gt;"NULL")*($J$7:$J$10000 &gt;= ($G$1-5))))/5</f>
        <v>1.2</v>
      </c>
    </row>
    <row r="70" spans="1:28" x14ac:dyDescent="0.35">
      <c r="A70">
        <f>VLOOKUP($B70, PlayerIDs!$A$1:$B$516, 2, FALSE)</f>
        <v>748</v>
      </c>
      <c r="B70" t="s">
        <v>691</v>
      </c>
      <c r="C70" s="1">
        <v>7.1320186533682479</v>
      </c>
      <c r="D70" s="1">
        <f t="shared" si="7"/>
        <v>51</v>
      </c>
      <c r="E70" s="1" cm="1">
        <f t="array" ref="E70">IFERROR(VLOOKUP($B70,_xlfn._xlws.FILTER($L$7:$P$10000,$J$7:$J$10000=G$1+1),5, FALSE), 0)</f>
        <v>7.215218326782721</v>
      </c>
      <c r="F70" s="1">
        <f t="shared" si="8"/>
        <v>47</v>
      </c>
      <c r="G70" s="1">
        <f t="shared" ca="1" si="9"/>
        <v>29.492780954393822</v>
      </c>
      <c r="H70" s="1">
        <f t="shared" ca="1" si="10"/>
        <v>44</v>
      </c>
      <c r="I70" s="1" cm="1">
        <f t="array" ref="I70">COUNT(_xlfn._xlws.FILTER($J$7:$J$10000,($L$7:$L$10000=B70)*($M$7:$M$10000&lt;&gt;"NULL")*($J$7:$J$10000 &gt;= ($G$1-4))))/5</f>
        <v>0.2</v>
      </c>
      <c r="J70" s="66">
        <v>3</v>
      </c>
      <c r="K70" t="s">
        <v>4</v>
      </c>
      <c r="L70" t="s">
        <v>457</v>
      </c>
      <c r="M70">
        <v>11.7</v>
      </c>
      <c r="N70" t="s">
        <v>9</v>
      </c>
      <c r="O70" t="s">
        <v>13</v>
      </c>
      <c r="P70">
        <f t="shared" si="1"/>
        <v>12.169545809193028</v>
      </c>
      <c r="Q70">
        <f t="shared" si="2"/>
        <v>0.22047326693073652</v>
      </c>
      <c r="R70" s="67" cm="1">
        <f t="array" ref="R70">SUMPRODUCT((J70=$J$7:$J$1000)*(P70&lt;$P$7:$P$1000))+1</f>
        <v>8</v>
      </c>
      <c r="S70" s="72"/>
      <c r="T70">
        <v>13</v>
      </c>
      <c r="U70" t="str">
        <v>SEA</v>
      </c>
      <c r="V70" t="str">
        <v>Jeremiah Sio</v>
      </c>
      <c r="W70" t="str">
        <v>NULL</v>
      </c>
      <c r="X70" t="str">
        <v>Away</v>
      </c>
      <c r="Y70" t="str">
        <v>UTAH</v>
      </c>
      <c r="Z70">
        <v>2.243266973866239</v>
      </c>
      <c r="AA70" s="1" t="str">
        <v>Rufus McLean</v>
      </c>
      <c r="AB70" s="1" cm="1">
        <f t="array" ref="AB70">COUNT(_xlfn._xlws.FILTER($J$7:$J$10000,($L$7:$L$10000=AA70)*($M$7:$M$10000&lt;&gt;"NULL")*($J$7:$J$10000 &gt;= ($G$1-5))))/5</f>
        <v>1.2</v>
      </c>
    </row>
    <row r="71" spans="1:28" x14ac:dyDescent="0.35">
      <c r="A71">
        <f>VLOOKUP($B71, PlayerIDs!$A$1:$B$516, 2, FALSE)</f>
        <v>283</v>
      </c>
      <c r="B71" t="s">
        <v>84</v>
      </c>
      <c r="C71" s="1">
        <v>7.1306899489682953</v>
      </c>
      <c r="D71" s="1">
        <f t="shared" si="7"/>
        <v>52</v>
      </c>
      <c r="E71" s="1" cm="1">
        <f t="array" ref="E71">IFERROR(VLOOKUP($B71,_xlfn._xlws.FILTER($L$7:$P$10000,$J$7:$J$10000=G$1+1),5, FALSE), 0)</f>
        <v>7.2778613556799669</v>
      </c>
      <c r="F71" s="1">
        <f t="shared" si="8"/>
        <v>46</v>
      </c>
      <c r="G71" s="1">
        <f t="shared" ca="1" si="9"/>
        <v>24.84723602565402</v>
      </c>
      <c r="H71" s="1">
        <f t="shared" ca="1" si="10"/>
        <v>58</v>
      </c>
      <c r="I71" s="1" cm="1">
        <f t="array" ref="I71">COUNT(_xlfn._xlws.FILTER($J$7:$J$10000,($L$7:$L$10000=B71)*($M$7:$M$10000&lt;&gt;"NULL")*($J$7:$J$10000 &gt;= ($G$1-4))))/5</f>
        <v>0.6</v>
      </c>
      <c r="J71" s="66">
        <v>3</v>
      </c>
      <c r="K71" t="s">
        <v>13</v>
      </c>
      <c r="L71" t="s">
        <v>477</v>
      </c>
      <c r="M71">
        <v>11.3</v>
      </c>
      <c r="N71" t="s">
        <v>3</v>
      </c>
      <c r="O71" t="s">
        <v>4</v>
      </c>
      <c r="P71">
        <f t="shared" si="1"/>
        <v>13.325761317666371</v>
      </c>
      <c r="Q71">
        <f t="shared" si="2"/>
        <v>4.1037089161533906</v>
      </c>
      <c r="R71" s="67" cm="1">
        <f t="array" ref="R71">SUMPRODUCT((J71=$J$7:$J$1000)*(P71&lt;$P$7:$P$1000))+1</f>
        <v>3</v>
      </c>
      <c r="S71" s="72"/>
      <c r="T71">
        <v>13</v>
      </c>
      <c r="U71" t="str">
        <v>SEA</v>
      </c>
      <c r="V71" t="str">
        <v>Lauina Futi</v>
      </c>
      <c r="W71" t="str">
        <v>NULL</v>
      </c>
      <c r="X71" t="str">
        <v>Away</v>
      </c>
      <c r="Y71" t="str">
        <v>UTAH</v>
      </c>
      <c r="Z71">
        <v>10.239119028005865</v>
      </c>
      <c r="AA71" s="1" t="str">
        <v>Ryan James</v>
      </c>
      <c r="AB71" s="1" cm="1">
        <f t="array" ref="AB71">COUNT(_xlfn._xlws.FILTER($J$7:$J$10000,($L$7:$L$10000=AA71)*($M$7:$M$10000&lt;&gt;"NULL")*($J$7:$J$10000 &gt;= ($G$1-5))))/5</f>
        <v>1.2</v>
      </c>
    </row>
    <row r="72" spans="1:28" x14ac:dyDescent="0.35">
      <c r="A72">
        <f>VLOOKUP($B72, PlayerIDs!$A$1:$B$516, 2, FALSE)</f>
        <v>184</v>
      </c>
      <c r="B72" t="s">
        <v>75</v>
      </c>
      <c r="C72" s="1">
        <v>6.8855386519729116</v>
      </c>
      <c r="D72" s="1">
        <f t="shared" si="7"/>
        <v>53</v>
      </c>
      <c r="E72" s="1" cm="1">
        <f t="array" ref="E72">IFERROR(VLOOKUP($B72,_xlfn._xlws.FILTER($L$7:$P$10000,$J$7:$J$10000=G$1+1),5, FALSE), 0)</f>
        <v>9.6215987931273244</v>
      </c>
      <c r="F72" s="1">
        <f t="shared" si="8"/>
        <v>29</v>
      </c>
      <c r="G72" s="1">
        <f t="shared" ca="1" si="9"/>
        <v>31.428283172204502</v>
      </c>
      <c r="H72" s="1">
        <f t="shared" ca="1" si="10"/>
        <v>38</v>
      </c>
      <c r="I72" s="1" cm="1">
        <f t="array" ref="I72">COUNT(_xlfn._xlws.FILTER($J$7:$J$10000,($L$7:$L$10000=B72)*($M$7:$M$10000&lt;&gt;"NULL")*($J$7:$J$10000 &gt;= ($G$1-4))))/5</f>
        <v>0</v>
      </c>
      <c r="J72" s="66">
        <v>3</v>
      </c>
      <c r="K72" t="s">
        <v>2</v>
      </c>
      <c r="L72" t="s">
        <v>90</v>
      </c>
      <c r="M72">
        <v>10.199999999999999</v>
      </c>
      <c r="N72" t="s">
        <v>3</v>
      </c>
      <c r="O72" t="s">
        <v>23</v>
      </c>
      <c r="P72">
        <f t="shared" ref="P72:P135" si="11">VLOOKUP($N72,$F$3:$G$4,2,FALSE)+VLOOKUP($L72,$B$20:$C$150,2,FALSE)+VLOOKUP($O72,$A$6:$B$16,2,FALSE)</f>
        <v>3.962746994851281</v>
      </c>
      <c r="Q72">
        <f t="shared" ref="Q72:Q120" si="12">IFERROR(($M72-$P72)^2,"")</f>
        <v>38.90332505023671</v>
      </c>
      <c r="R72" s="67" cm="1">
        <f t="array" ref="R72">SUMPRODUCT((J72=$J$7:$J$1000)*(P72&lt;$P$7:$P$1000))+1</f>
        <v>28</v>
      </c>
      <c r="S72" s="72"/>
      <c r="T72">
        <v>13</v>
      </c>
      <c r="U72" t="str">
        <v>SEA</v>
      </c>
      <c r="V72" t="str">
        <v>Malacchi Esdale</v>
      </c>
      <c r="W72" t="str">
        <v>NULL</v>
      </c>
      <c r="X72" t="str">
        <v>Away</v>
      </c>
      <c r="Y72" t="str">
        <v>UTAH</v>
      </c>
      <c r="Z72">
        <v>15.147669109267508</v>
      </c>
      <c r="AA72" s="1" t="str">
        <v>Santiago Videla</v>
      </c>
      <c r="AB72" s="1" cm="1">
        <f t="array" ref="AB72">COUNT(_xlfn._xlws.FILTER($J$7:$J$10000,($L$7:$L$10000=AA72)*($M$7:$M$10000&lt;&gt;"NULL")*($J$7:$J$10000 &gt;= ($G$1-5))))/5</f>
        <v>0.4</v>
      </c>
    </row>
    <row r="73" spans="1:28" x14ac:dyDescent="0.35">
      <c r="A73">
        <f>VLOOKUP($B73, PlayerIDs!$A$1:$B$516, 2, FALSE)</f>
        <v>582</v>
      </c>
      <c r="B73" t="s">
        <v>476</v>
      </c>
      <c r="C73" s="1">
        <v>6.8186753847551023</v>
      </c>
      <c r="D73" s="1">
        <f t="shared" si="7"/>
        <v>54</v>
      </c>
      <c r="E73" s="1" cm="1">
        <f t="array" ref="E73">IFERROR(VLOOKUP($B73,_xlfn._xlws.FILTER($L$7:$P$10000,$J$7:$J$10000=G$1+1),5, FALSE), 0)</f>
        <v>6.1125477572012006</v>
      </c>
      <c r="F73" s="1">
        <f t="shared" si="8"/>
        <v>56</v>
      </c>
      <c r="G73" s="1">
        <f t="shared" ca="1" si="9"/>
        <v>20.975361366326421</v>
      </c>
      <c r="H73" s="1">
        <f t="shared" ca="1" si="10"/>
        <v>65</v>
      </c>
      <c r="I73" s="1" cm="1">
        <f t="array" ref="I73">COUNT(_xlfn._xlws.FILTER($J$7:$J$10000,($L$7:$L$10000=B73)*($M$7:$M$10000&lt;&gt;"NULL")*($J$7:$J$10000 &gt;= ($G$1-4))))/5</f>
        <v>0.4</v>
      </c>
      <c r="J73" s="66">
        <v>3</v>
      </c>
      <c r="K73" t="s">
        <v>4</v>
      </c>
      <c r="L73" t="s">
        <v>74</v>
      </c>
      <c r="M73">
        <v>9.9</v>
      </c>
      <c r="N73" t="s">
        <v>9</v>
      </c>
      <c r="O73" t="s">
        <v>13</v>
      </c>
      <c r="P73">
        <f t="shared" si="11"/>
        <v>9.794834204730515</v>
      </c>
      <c r="Q73">
        <f t="shared" si="12"/>
        <v>1.1059844494663303E-2</v>
      </c>
      <c r="R73" s="67" cm="1">
        <f t="array" ref="R73">SUMPRODUCT((J73=$J$7:$J$1000)*(P73&lt;$P$7:$P$1000))+1</f>
        <v>16</v>
      </c>
      <c r="S73" s="72"/>
      <c r="T73">
        <v>13</v>
      </c>
      <c r="U73" t="str">
        <v>SEA</v>
      </c>
      <c r="V73" t="str">
        <v>Mikaela Kruse</v>
      </c>
      <c r="W73" t="str">
        <v>NULL</v>
      </c>
      <c r="X73" t="str">
        <v>Away</v>
      </c>
      <c r="Y73" t="str">
        <v>UTAH</v>
      </c>
      <c r="Z73">
        <v>8.9482091714562149</v>
      </c>
      <c r="AA73" s="1" t="str">
        <v>Seimou Smith</v>
      </c>
      <c r="AB73" s="1" cm="1">
        <f t="array" ref="AB73">COUNT(_xlfn._xlws.FILTER($J$7:$J$10000,($L$7:$L$10000=AA73)*($M$7:$M$10000&lt;&gt;"NULL")*($J$7:$J$10000 &gt;= ($G$1-5))))/5</f>
        <v>0.2</v>
      </c>
    </row>
    <row r="74" spans="1:28" x14ac:dyDescent="0.35">
      <c r="A74">
        <f>VLOOKUP($B74, PlayerIDs!$A$1:$B$516, 2, FALSE)</f>
        <v>202</v>
      </c>
      <c r="B74" t="s">
        <v>285</v>
      </c>
      <c r="C74" s="1">
        <v>6.6941284529122047</v>
      </c>
      <c r="D74" s="1">
        <f t="shared" si="7"/>
        <v>55</v>
      </c>
      <c r="E74" s="1" cm="1">
        <f t="array" ref="E74">IFERROR(VLOOKUP($B74,_xlfn._xlws.FILTER($L$7:$P$10000,$J$7:$J$10000=G$1+1),5, FALSE), 0)</f>
        <v>4.2359067621811981</v>
      </c>
      <c r="F74" s="1">
        <f t="shared" si="8"/>
        <v>59</v>
      </c>
      <c r="G74" s="1">
        <f t="shared" ca="1" si="9"/>
        <v>25.630091403196193</v>
      </c>
      <c r="H74" s="1">
        <f t="shared" ca="1" si="10"/>
        <v>53</v>
      </c>
      <c r="I74" s="1" cm="1">
        <f t="array" ref="I74">COUNT(_xlfn._xlws.FILTER($J$7:$J$10000,($L$7:$L$10000=B74)*($M$7:$M$10000&lt;&gt;"NULL")*($J$7:$J$10000 &gt;= ($G$1-4))))/5</f>
        <v>0.4</v>
      </c>
      <c r="J74" s="66">
        <v>3</v>
      </c>
      <c r="K74" t="s">
        <v>24</v>
      </c>
      <c r="L74" t="s">
        <v>84</v>
      </c>
      <c r="M74">
        <v>9.1</v>
      </c>
      <c r="N74" t="s">
        <v>9</v>
      </c>
      <c r="O74" t="s">
        <v>14</v>
      </c>
      <c r="P74">
        <f t="shared" si="11"/>
        <v>8.7354376169343997</v>
      </c>
      <c r="Q74">
        <f t="shared" si="12"/>
        <v>0.13290573114646925</v>
      </c>
      <c r="R74" s="67" cm="1">
        <f t="array" ref="R74">SUMPRODUCT((J74=$J$7:$J$1000)*(P74&lt;$P$7:$P$1000))+1</f>
        <v>20</v>
      </c>
      <c r="S74" s="72"/>
      <c r="T74">
        <v>13</v>
      </c>
      <c r="U74" t="str">
        <v>SEA</v>
      </c>
      <c r="V74" t="str">
        <v>Toni Pulu</v>
      </c>
      <c r="W74" t="str">
        <v>NULL</v>
      </c>
      <c r="X74" t="str">
        <v>Away</v>
      </c>
      <c r="Y74" t="str">
        <v>UTAH</v>
      </c>
      <c r="Z74">
        <v>9.0980175538020713</v>
      </c>
      <c r="AA74" s="1" t="str">
        <v>Seth Purdey</v>
      </c>
      <c r="AB74" s="1" cm="1">
        <f t="array" ref="AB74">COUNT(_xlfn._xlws.FILTER($J$7:$J$10000,($L$7:$L$10000=AA74)*($M$7:$M$10000&lt;&gt;"NULL")*($J$7:$J$10000 &gt;= ($G$1-5))))/5</f>
        <v>0</v>
      </c>
    </row>
    <row r="75" spans="1:28" x14ac:dyDescent="0.35">
      <c r="A75">
        <f>VLOOKUP($B75, PlayerIDs!$A$1:$B$516, 2, FALSE)</f>
        <v>79</v>
      </c>
      <c r="B75" t="s">
        <v>278</v>
      </c>
      <c r="C75" s="1">
        <v>6.6462948762457801</v>
      </c>
      <c r="D75" s="1">
        <f t="shared" si="7"/>
        <v>56</v>
      </c>
      <c r="E75" s="1" cm="1">
        <f t="array" ref="E75">IFERROR(VLOOKUP($B75,_xlfn._xlws.FILTER($L$7:$P$10000,$J$7:$J$10000=G$1+1),5, FALSE), 0)</f>
        <v>4.1880731855147735</v>
      </c>
      <c r="F75" s="1">
        <f t="shared" si="8"/>
        <v>60</v>
      </c>
      <c r="G75" s="1">
        <f t="shared" ca="1" si="9"/>
        <v>25.438757096530495</v>
      </c>
      <c r="H75" s="1">
        <f t="shared" ca="1" si="10"/>
        <v>54</v>
      </c>
      <c r="I75" s="1" cm="1">
        <f t="array" ref="I75">COUNT(_xlfn._xlws.FILTER($J$7:$J$10000,($L$7:$L$10000=B75)*($M$7:$M$10000&lt;&gt;"NULL")*($J$7:$J$10000 &gt;= ($G$1-4))))/5</f>
        <v>0.8</v>
      </c>
      <c r="J75" s="66">
        <v>3</v>
      </c>
      <c r="K75" t="s">
        <v>4</v>
      </c>
      <c r="L75" t="s">
        <v>475</v>
      </c>
      <c r="M75">
        <v>8.3000000000000007</v>
      </c>
      <c r="N75" t="s">
        <v>9</v>
      </c>
      <c r="O75" t="s">
        <v>13</v>
      </c>
      <c r="P75">
        <f t="shared" si="11"/>
        <v>5.6989058276646265</v>
      </c>
      <c r="Q75">
        <f t="shared" si="12"/>
        <v>6.7656908933570454</v>
      </c>
      <c r="R75" s="67" cm="1">
        <f t="array" ref="R75">SUMPRODUCT((J75=$J$7:$J$1000)*(P75&lt;$P$7:$P$1000))+1</f>
        <v>26</v>
      </c>
      <c r="S75" s="72"/>
      <c r="T75">
        <v>13</v>
      </c>
      <c r="U75" t="str">
        <v>UTAH</v>
      </c>
      <c r="V75" t="str">
        <v>Blake Makiri</v>
      </c>
      <c r="W75" t="str">
        <v>NULL</v>
      </c>
      <c r="X75" t="str">
        <v>Home</v>
      </c>
      <c r="Y75" t="str">
        <v>SEA</v>
      </c>
      <c r="Z75">
        <v>9.1423575305143725</v>
      </c>
      <c r="AA75" s="1" t="str">
        <v>Shane O'Leary</v>
      </c>
      <c r="AB75" s="1" cm="1">
        <f t="array" ref="AB75">COUNT(_xlfn._xlws.FILTER($J$7:$J$10000,($L$7:$L$10000=AA75)*($M$7:$M$10000&lt;&gt;"NULL")*($J$7:$J$10000 &gt;= ($G$1-5))))/5</f>
        <v>0.4</v>
      </c>
    </row>
    <row r="76" spans="1:28" x14ac:dyDescent="0.35">
      <c r="A76">
        <f>VLOOKUP($B76, PlayerIDs!$A$1:$B$516, 2, FALSE)</f>
        <v>816</v>
      </c>
      <c r="B76" t="s">
        <v>521</v>
      </c>
      <c r="C76" s="1">
        <v>6.5072955187810599</v>
      </c>
      <c r="D76" s="1">
        <f t="shared" si="7"/>
        <v>57</v>
      </c>
      <c r="E76" s="1" cm="1">
        <f t="array" ref="E76">IFERROR(VLOOKUP($B76,_xlfn._xlws.FILTER($L$7:$P$10000,$J$7:$J$10000=G$1+1),5, FALSE), 0)</f>
        <v>0</v>
      </c>
      <c r="F76" s="1">
        <f t="shared" si="8"/>
        <v>74</v>
      </c>
      <c r="G76" s="1">
        <f t="shared" ca="1" si="9"/>
        <v>16.878754201744044</v>
      </c>
      <c r="H76" s="1">
        <f t="shared" ca="1" si="10"/>
        <v>71</v>
      </c>
      <c r="I76" s="1" cm="1">
        <f t="array" ref="I76">COUNT(_xlfn._xlws.FILTER($J$7:$J$10000,($L$7:$L$10000=B76)*($M$7:$M$10000&lt;&gt;"NULL")*($J$7:$J$10000 &gt;= ($G$1-4))))/5</f>
        <v>0.4</v>
      </c>
      <c r="J76" s="65">
        <v>3</v>
      </c>
      <c r="K76" t="s">
        <v>7</v>
      </c>
      <c r="L76" t="s">
        <v>67</v>
      </c>
      <c r="M76">
        <v>7.8</v>
      </c>
      <c r="N76" t="s">
        <v>3</v>
      </c>
      <c r="O76" t="s">
        <v>34</v>
      </c>
      <c r="P76">
        <f t="shared" si="11"/>
        <v>10.333941504357803</v>
      </c>
      <c r="Q76">
        <f t="shared" si="12"/>
        <v>6.420859547507086</v>
      </c>
      <c r="R76" s="67" cm="1">
        <f t="array" ref="R76">SUMPRODUCT((J76=$J$7:$J$1000)*(P76&lt;$P$7:$P$1000))+1</f>
        <v>11</v>
      </c>
      <c r="S76" s="72"/>
      <c r="T76">
        <v>13</v>
      </c>
      <c r="U76" t="str">
        <v>UTAH</v>
      </c>
      <c r="V76" t="str">
        <v>Joe Mano</v>
      </c>
      <c r="W76" t="str">
        <v>NULL</v>
      </c>
      <c r="X76" t="str">
        <v>Home</v>
      </c>
      <c r="Y76" t="str">
        <v>SEA</v>
      </c>
      <c r="Z76">
        <v>14.646667512772966</v>
      </c>
      <c r="AA76" s="1" t="str">
        <v>Simon-Peter Toleafoa</v>
      </c>
      <c r="AB76" s="1" cm="1">
        <f t="array" ref="AB76">COUNT(_xlfn._xlws.FILTER($J$7:$J$10000,($L$7:$L$10000=AA76)*($M$7:$M$10000&lt;&gt;"NULL")*($J$7:$J$10000 &gt;= ($G$1-5))))/5</f>
        <v>0.2</v>
      </c>
    </row>
    <row r="77" spans="1:28" x14ac:dyDescent="0.35">
      <c r="A77">
        <f>VLOOKUP($B77, PlayerIDs!$A$1:$B$516, 2, FALSE)</f>
        <v>429</v>
      </c>
      <c r="B77" t="s">
        <v>101</v>
      </c>
      <c r="C77" s="1">
        <v>6.3898960428002987</v>
      </c>
      <c r="D77" s="1">
        <f t="shared" si="7"/>
        <v>58</v>
      </c>
      <c r="E77" s="1" cm="1">
        <f t="array" ref="E77">IFERROR(VLOOKUP($B77,_xlfn._xlws.FILTER($L$7:$P$10000,$J$7:$J$10000=G$1+1),5, FALSE), 0)</f>
        <v>6.5370674495119703</v>
      </c>
      <c r="F77" s="1">
        <f t="shared" si="8"/>
        <v>52</v>
      </c>
      <c r="G77" s="1">
        <f t="shared" ca="1" si="9"/>
        <v>21.884060400982037</v>
      </c>
      <c r="H77" s="1">
        <f t="shared" ca="1" si="10"/>
        <v>62</v>
      </c>
      <c r="I77" s="1" cm="1">
        <f t="array" ref="I77">COUNT(_xlfn._xlws.FILTER($J$7:$J$10000,($L$7:$L$10000=B77)*($M$7:$M$10000&lt;&gt;"NULL")*($J$7:$J$10000 &gt;= ($G$1-4))))/5</f>
        <v>0.4</v>
      </c>
      <c r="J77" s="65">
        <v>3</v>
      </c>
      <c r="K77" t="s">
        <v>7</v>
      </c>
      <c r="L77" t="s">
        <v>65</v>
      </c>
      <c r="M77">
        <v>7.5</v>
      </c>
      <c r="N77" t="s">
        <v>3</v>
      </c>
      <c r="O77" t="s">
        <v>34</v>
      </c>
      <c r="P77">
        <f t="shared" si="11"/>
        <v>10.250584045243393</v>
      </c>
      <c r="Q77">
        <f t="shared" si="12"/>
        <v>7.5657125899475073</v>
      </c>
      <c r="R77" s="67" cm="1">
        <f t="array" ref="R77">SUMPRODUCT((J77=$J$7:$J$1000)*(P77&lt;$P$7:$P$1000))+1</f>
        <v>12</v>
      </c>
      <c r="S77" s="72"/>
      <c r="T77">
        <v>13</v>
      </c>
      <c r="U77" t="str">
        <v>UTAH</v>
      </c>
      <c r="V77" t="str">
        <v>Jordan Trainor</v>
      </c>
      <c r="W77" t="str">
        <v>NULL</v>
      </c>
      <c r="X77" t="str">
        <v>Home</v>
      </c>
      <c r="Y77" t="str">
        <v>SEA</v>
      </c>
      <c r="Z77">
        <v>12.130477111180863</v>
      </c>
      <c r="AA77" s="1" t="str">
        <v>Sione Mahe</v>
      </c>
      <c r="AB77" s="1" cm="1">
        <f t="array" ref="AB77">COUNT(_xlfn._xlws.FILTER($J$7:$J$10000,($L$7:$L$10000=AA77)*($M$7:$M$10000&lt;&gt;"NULL")*($J$7:$J$10000 &gt;= ($G$1-5))))/5</f>
        <v>0.2</v>
      </c>
    </row>
    <row r="78" spans="1:28" x14ac:dyDescent="0.35">
      <c r="A78">
        <f>VLOOKUP($B78, PlayerIDs!$A$1:$B$516, 2, FALSE)</f>
        <v>794</v>
      </c>
      <c r="B78" t="s">
        <v>456</v>
      </c>
      <c r="C78" s="1">
        <v>6.3035912692349676</v>
      </c>
      <c r="D78" s="1">
        <f t="shared" si="7"/>
        <v>59</v>
      </c>
      <c r="E78" s="1" cm="1">
        <f t="array" ref="E78">IFERROR(VLOOKUP($B78,_xlfn._xlws.FILTER($L$7:$P$10000,$J$7:$J$10000=G$1+1),5, FALSE), 0)</f>
        <v>6.6746818057493957</v>
      </c>
      <c r="F78" s="1">
        <f t="shared" si="8"/>
        <v>51</v>
      </c>
      <c r="G78" s="1">
        <f t="shared" ca="1" si="9"/>
        <v>27.578945646701094</v>
      </c>
      <c r="H78" s="1">
        <f t="shared" ca="1" si="10"/>
        <v>48</v>
      </c>
      <c r="I78" s="1" cm="1">
        <f t="array" ref="I78">COUNT(_xlfn._xlws.FILTER($J$7:$J$10000,($L$7:$L$10000=B78)*($M$7:$M$10000&lt;&gt;"NULL")*($J$7:$J$10000 &gt;= ($G$1-4))))/5</f>
        <v>0</v>
      </c>
      <c r="J78" s="66">
        <v>3</v>
      </c>
      <c r="K78" t="s">
        <v>34</v>
      </c>
      <c r="L78" t="s">
        <v>496</v>
      </c>
      <c r="M78">
        <v>7</v>
      </c>
      <c r="N78" t="s">
        <v>9</v>
      </c>
      <c r="O78" t="s">
        <v>7</v>
      </c>
      <c r="P78">
        <f t="shared" si="11"/>
        <v>7.0019306217877473</v>
      </c>
      <c r="Q78">
        <f t="shared" si="12"/>
        <v>3.7273004873244941E-6</v>
      </c>
      <c r="R78" s="67" cm="1">
        <f t="array" ref="R78">SUMPRODUCT((J78=$J$7:$J$1000)*(P78&lt;$P$7:$P$1000))+1</f>
        <v>22</v>
      </c>
      <c r="S78" s="72"/>
      <c r="T78">
        <v>13</v>
      </c>
      <c r="U78" t="str">
        <v>UTAH</v>
      </c>
      <c r="V78" t="str">
        <v>Nic Benn</v>
      </c>
      <c r="W78" t="str">
        <v>NULL</v>
      </c>
      <c r="X78" t="str">
        <v>Home</v>
      </c>
      <c r="Y78" t="str">
        <v>SEA</v>
      </c>
      <c r="Z78">
        <v>11.040152484972598</v>
      </c>
      <c r="AA78" s="1" t="str">
        <v>Steffan Crimp</v>
      </c>
      <c r="AB78" s="1" cm="1">
        <f t="array" ref="AB78">COUNT(_xlfn._xlws.FILTER($J$7:$J$10000,($L$7:$L$10000=AA78)*($M$7:$M$10000&lt;&gt;"NULL")*($J$7:$J$10000 &gt;= ($G$1-5))))/5</f>
        <v>0.4</v>
      </c>
    </row>
    <row r="79" spans="1:28" x14ac:dyDescent="0.35">
      <c r="A79">
        <f>VLOOKUP($B79, PlayerIDs!$A$1:$B$516, 2, FALSE)</f>
        <v>558</v>
      </c>
      <c r="B79" t="s">
        <v>495</v>
      </c>
      <c r="C79" s="1">
        <v>6.0634119225697845</v>
      </c>
      <c r="D79" s="1">
        <f t="shared" si="7"/>
        <v>60</v>
      </c>
      <c r="E79" s="1" cm="1">
        <f t="array" ref="E79">IFERROR(VLOOKUP($B79,_xlfn._xlws.FILTER($L$7:$P$10000,$J$7:$J$10000=G$1+1),5, FALSE), 0)</f>
        <v>3.1424411175472442</v>
      </c>
      <c r="F79" s="1">
        <f t="shared" si="8"/>
        <v>64</v>
      </c>
      <c r="G79" s="1">
        <f t="shared" ca="1" si="9"/>
        <v>22.888999215579986</v>
      </c>
      <c r="H79" s="1">
        <f t="shared" ca="1" si="10"/>
        <v>60</v>
      </c>
      <c r="I79" s="1" cm="1">
        <f t="array" ref="I79">COUNT(_xlfn._xlws.FILTER($J$7:$J$10000,($L$7:$L$10000=B79)*($M$7:$M$10000&lt;&gt;"NULL")*($J$7:$J$10000 &gt;= ($G$1-4))))/5</f>
        <v>0.8</v>
      </c>
      <c r="J79" s="66">
        <v>3</v>
      </c>
      <c r="K79" t="s">
        <v>17</v>
      </c>
      <c r="L79" t="s">
        <v>497</v>
      </c>
      <c r="M79">
        <v>6.5</v>
      </c>
      <c r="N79" t="s">
        <v>9</v>
      </c>
      <c r="O79" t="s">
        <v>36</v>
      </c>
      <c r="P79">
        <f t="shared" si="11"/>
        <v>11.602946159759389</v>
      </c>
      <c r="Q79">
        <f t="shared" si="12"/>
        <v>26.040059509403097</v>
      </c>
      <c r="R79" s="67" cm="1">
        <f t="array" ref="R79">SUMPRODUCT((J79=$J$7:$J$1000)*(P79&lt;$P$7:$P$1000))+1</f>
        <v>9</v>
      </c>
      <c r="S79" s="72"/>
      <c r="T79">
        <v>13</v>
      </c>
      <c r="U79" t="str">
        <v>UTAH</v>
      </c>
      <c r="V79" t="str">
        <v>Nolan Tuamoheloa</v>
      </c>
      <c r="W79" t="str">
        <v>NULL</v>
      </c>
      <c r="X79" t="str">
        <v>Home</v>
      </c>
      <c r="Y79" t="str">
        <v>SEA</v>
      </c>
      <c r="Z79">
        <v>9.2181705142164461</v>
      </c>
      <c r="AA79" s="1" t="str">
        <v>Tielu Sagala</v>
      </c>
      <c r="AB79" s="1" cm="1">
        <f t="array" ref="AB79">COUNT(_xlfn._xlws.FILTER($J$7:$J$10000,($L$7:$L$10000=AA79)*($M$7:$M$10000&lt;&gt;"NULL")*($J$7:$J$10000 &gt;= ($G$1-5))))/5</f>
        <v>0.2</v>
      </c>
    </row>
    <row r="80" spans="1:28" x14ac:dyDescent="0.35">
      <c r="A80">
        <f>VLOOKUP($B80, PlayerIDs!$A$1:$B$516, 2, FALSE)</f>
        <v>792</v>
      </c>
      <c r="B80" t="s">
        <v>572</v>
      </c>
      <c r="C80" s="1">
        <v>6.0320130927632398</v>
      </c>
      <c r="D80" s="1">
        <f t="shared" si="7"/>
        <v>61</v>
      </c>
      <c r="E80" s="1" cm="1">
        <f t="array" ref="E80">IFERROR(VLOOKUP($B80,_xlfn._xlws.FILTER($L$7:$P$10000,$J$7:$J$10000=G$1+1),5, FALSE), 0)</f>
        <v>6.1791844994749114</v>
      </c>
      <c r="F80" s="1">
        <f t="shared" si="8"/>
        <v>55</v>
      </c>
      <c r="G80" s="1">
        <f t="shared" ca="1" si="9"/>
        <v>20.452528600833801</v>
      </c>
      <c r="H80" s="1">
        <f t="shared" ca="1" si="10"/>
        <v>66</v>
      </c>
      <c r="I80" s="1" cm="1">
        <f t="array" ref="I80">COUNT(_xlfn._xlws.FILTER($J$7:$J$10000,($L$7:$L$10000=B80)*($M$7:$M$10000&lt;&gt;"NULL")*($J$7:$J$10000 &gt;= ($G$1-4))))/5</f>
        <v>0.8</v>
      </c>
      <c r="J80" s="66">
        <v>3</v>
      </c>
      <c r="K80" t="s">
        <v>23</v>
      </c>
      <c r="L80" t="s">
        <v>340</v>
      </c>
      <c r="M80">
        <v>5.9</v>
      </c>
      <c r="N80" t="s">
        <v>9</v>
      </c>
      <c r="O80" t="s">
        <v>2</v>
      </c>
      <c r="P80">
        <f t="shared" si="11"/>
        <v>6.8578695044180122</v>
      </c>
      <c r="Q80">
        <f t="shared" si="12"/>
        <v>0.9175139874940077</v>
      </c>
      <c r="R80" s="67" cm="1">
        <f t="array" ref="R80">SUMPRODUCT((J80=$J$7:$J$1000)*(P80&lt;$P$7:$P$1000))+1</f>
        <v>24</v>
      </c>
      <c r="S80" s="72"/>
      <c r="T80">
        <v>13</v>
      </c>
      <c r="U80" t="str">
        <v>UTAH</v>
      </c>
      <c r="V80" t="str">
        <v>Sione Mahe</v>
      </c>
      <c r="W80" t="str">
        <v>NULL</v>
      </c>
      <c r="X80" t="str">
        <v>Home</v>
      </c>
      <c r="Y80" t="str">
        <v>SEA</v>
      </c>
      <c r="Z80">
        <v>2.9849835934184448</v>
      </c>
      <c r="AA80" s="1" t="str">
        <v>Toby Fricker</v>
      </c>
      <c r="AB80" s="1" cm="1">
        <f t="array" ref="AB80">COUNT(_xlfn._xlws.FILTER($J$7:$J$10000,($L$7:$L$10000=AA80)*($M$7:$M$10000&lt;&gt;"NULL")*($J$7:$J$10000 &gt;= ($G$1-5))))/5</f>
        <v>1</v>
      </c>
    </row>
    <row r="81" spans="1:28" x14ac:dyDescent="0.35">
      <c r="A81">
        <f>VLOOKUP($B81, PlayerIDs!$A$1:$B$516, 2, FALSE)</f>
        <v>846</v>
      </c>
      <c r="B81" t="s">
        <v>443</v>
      </c>
      <c r="C81" s="1">
        <v>5.9939624165387491</v>
      </c>
      <c r="D81" s="1">
        <f t="shared" si="7"/>
        <v>62</v>
      </c>
      <c r="E81" s="1" cm="1">
        <f t="array" ref="E81">IFERROR(VLOOKUP($B81,_xlfn._xlws.FILTER($L$7:$P$10000,$J$7:$J$10000=G$1+1),5, FALSE), 0)</f>
        <v>6.3650529530531772</v>
      </c>
      <c r="F81" s="1">
        <f t="shared" si="8"/>
        <v>54</v>
      </c>
      <c r="G81" s="1">
        <f t="shared" ca="1" si="9"/>
        <v>26.340430235916219</v>
      </c>
      <c r="H81" s="1">
        <f t="shared" ca="1" si="10"/>
        <v>52</v>
      </c>
      <c r="I81" s="1" cm="1">
        <f t="array" ref="I81">COUNT(_xlfn._xlws.FILTER($J$7:$J$10000,($L$7:$L$10000=B81)*($M$7:$M$10000&lt;&gt;"NULL")*($J$7:$J$10000 &gt;= ($G$1-4))))/5</f>
        <v>0.4</v>
      </c>
      <c r="J81" s="65">
        <v>3</v>
      </c>
      <c r="K81" t="s">
        <v>36</v>
      </c>
      <c r="L81" t="s">
        <v>476</v>
      </c>
      <c r="M81">
        <v>5.4</v>
      </c>
      <c r="N81" t="s">
        <v>3</v>
      </c>
      <c r="O81" t="s">
        <v>17</v>
      </c>
      <c r="P81">
        <f t="shared" si="11"/>
        <v>6.9018750581695754</v>
      </c>
      <c r="Q81">
        <f t="shared" si="12"/>
        <v>2.2556286903518643</v>
      </c>
      <c r="R81" s="67" cm="1">
        <f t="array" ref="R81">SUMPRODUCT((J81=$J$7:$J$1000)*(P81&lt;$P$7:$P$1000))+1</f>
        <v>23</v>
      </c>
      <c r="S81" s="72"/>
      <c r="T81">
        <v>13</v>
      </c>
      <c r="U81" t="str">
        <v>UTAH</v>
      </c>
      <c r="V81" t="str">
        <v>Tielu Sagala</v>
      </c>
      <c r="W81" t="str">
        <v>NULL</v>
      </c>
      <c r="X81" t="str">
        <v>Home</v>
      </c>
      <c r="Y81" t="str">
        <v>SEA</v>
      </c>
      <c r="Z81">
        <v>7.215218326782721</v>
      </c>
      <c r="AA81" s="1" t="str">
        <v>Tomas Aoake</v>
      </c>
      <c r="AB81" s="1" cm="1">
        <f t="array" ref="AB81">COUNT(_xlfn._xlws.FILTER($J$7:$J$10000,($L$7:$L$10000=AA81)*($M$7:$M$10000&lt;&gt;"NULL")*($J$7:$J$10000 &gt;= ($G$1-5))))/5</f>
        <v>1.2</v>
      </c>
    </row>
    <row r="82" spans="1:28" x14ac:dyDescent="0.35">
      <c r="A82">
        <f>VLOOKUP($B82, PlayerIDs!$A$1:$B$516, 2, FALSE)</f>
        <v>557</v>
      </c>
      <c r="B82" t="s">
        <v>90</v>
      </c>
      <c r="C82" s="1">
        <v>5.752405326685512</v>
      </c>
      <c r="D82" s="1">
        <f t="shared" si="7"/>
        <v>63</v>
      </c>
      <c r="E82" s="1" cm="1">
        <f t="array" ref="E82">IFERROR(VLOOKUP($B82,_xlfn._xlws.FILTER($L$7:$P$10000,$J$7:$J$10000=G$1+1),5, FALSE), 0)</f>
        <v>2.8314345216629717</v>
      </c>
      <c r="F82" s="1">
        <f t="shared" si="8"/>
        <v>66</v>
      </c>
      <c r="G82" s="1">
        <f t="shared" ca="1" si="9"/>
        <v>21.644972832042896</v>
      </c>
      <c r="H82" s="1">
        <f t="shared" ca="1" si="10"/>
        <v>63</v>
      </c>
      <c r="I82" s="1" cm="1">
        <f t="array" ref="I82">COUNT(_xlfn._xlws.FILTER($J$7:$J$10000,($L$7:$L$10000=B82)*($M$7:$M$10000&lt;&gt;"NULL")*($J$7:$J$10000 &gt;= ($G$1-4))))/5</f>
        <v>0.6</v>
      </c>
      <c r="J82" s="65">
        <v>3</v>
      </c>
      <c r="K82" t="s">
        <v>23</v>
      </c>
      <c r="L82" t="s">
        <v>498</v>
      </c>
      <c r="M82">
        <v>5.4</v>
      </c>
      <c r="N82" t="s">
        <v>9</v>
      </c>
      <c r="O82" t="s">
        <v>2</v>
      </c>
      <c r="P82">
        <f t="shared" si="11"/>
        <v>3.0522268363378133</v>
      </c>
      <c r="Q82">
        <f t="shared" si="12"/>
        <v>5.5120388280123542</v>
      </c>
      <c r="R82" s="67" cm="1">
        <f t="array" ref="R82">SUMPRODUCT((J82=$J$7:$J$1000)*(P82&lt;$P$7:$P$1000))+1</f>
        <v>29</v>
      </c>
      <c r="S82" s="72"/>
      <c r="T82">
        <v>13</v>
      </c>
      <c r="U82" t="str">
        <v>UTAH</v>
      </c>
      <c r="V82" t="str">
        <v>Zion Going</v>
      </c>
      <c r="W82" t="str">
        <v>NULL</v>
      </c>
      <c r="X82" t="str">
        <v>Home</v>
      </c>
      <c r="Y82" t="str">
        <v>SEA</v>
      </c>
      <c r="Z82">
        <v>8.1152990561834564</v>
      </c>
      <c r="AA82" s="1" t="str">
        <v>Tomás Cubilla</v>
      </c>
      <c r="AB82" s="1" cm="1">
        <f t="array" ref="AB82">COUNT(_xlfn._xlws.FILTER($J$7:$J$10000,($L$7:$L$10000=AA82)*($M$7:$M$10000&lt;&gt;"NULL")*($J$7:$J$10000 &gt;= ($G$1-5))))/5</f>
        <v>0</v>
      </c>
    </row>
    <row r="83" spans="1:28" x14ac:dyDescent="0.35">
      <c r="A83">
        <f>VLOOKUP($B83, PlayerIDs!$A$1:$B$516, 2, FALSE)</f>
        <v>398</v>
      </c>
      <c r="B83" t="s">
        <v>43</v>
      </c>
      <c r="C83" s="1">
        <v>5.7103563596652389</v>
      </c>
      <c r="D83" s="1">
        <f t="shared" si="7"/>
        <v>64</v>
      </c>
      <c r="E83" s="1" cm="1">
        <f t="array" ref="E83">IFERROR(VLOOKUP($B83,_xlfn._xlws.FILTER($L$7:$P$10000,$J$7:$J$10000=G$1+1),5, FALSE), 0)</f>
        <v>8.4464165008196517</v>
      </c>
      <c r="F83" s="1">
        <f t="shared" si="8"/>
        <v>38</v>
      </c>
      <c r="G83" s="1">
        <f t="shared" ca="1" si="9"/>
        <v>31.105043469014149</v>
      </c>
      <c r="H83" s="1">
        <f t="shared" ca="1" si="10"/>
        <v>39</v>
      </c>
      <c r="I83" s="1" cm="1">
        <f t="array" ref="I83">COUNT(_xlfn._xlws.FILTER($J$7:$J$10000,($L$7:$L$10000=B83)*($M$7:$M$10000&lt;&gt;"NULL")*($J$7:$J$10000 &gt;= ($G$1-4))))/5</f>
        <v>0</v>
      </c>
      <c r="J83" s="65">
        <v>3</v>
      </c>
      <c r="K83" t="s">
        <v>14</v>
      </c>
      <c r="L83" t="s">
        <v>285</v>
      </c>
      <c r="M83">
        <v>4.0999999999999996</v>
      </c>
      <c r="N83" t="s">
        <v>3</v>
      </c>
      <c r="O83" t="s">
        <v>24</v>
      </c>
      <c r="P83">
        <f t="shared" si="11"/>
        <v>9.937285706369428</v>
      </c>
      <c r="Q83">
        <f t="shared" si="12"/>
        <v>34.073904417784838</v>
      </c>
      <c r="R83" s="67" cm="1">
        <f t="array" ref="R83">SUMPRODUCT((J83=$J$7:$J$1000)*(P83&lt;$P$7:$P$1000))+1</f>
        <v>14</v>
      </c>
      <c r="S83" s="72"/>
      <c r="T83">
        <v>14</v>
      </c>
      <c r="U83" t="str">
        <v>ARC</v>
      </c>
      <c r="V83" t="str">
        <v>Ashawnty Staples Flowers</v>
      </c>
      <c r="W83" t="str">
        <v>NULL</v>
      </c>
      <c r="X83" t="str">
        <v>Home</v>
      </c>
      <c r="Y83" t="str">
        <v>OGDC</v>
      </c>
      <c r="Z83">
        <v>-0.74071044050126866</v>
      </c>
      <c r="AA83" s="1" t="str">
        <v>Tomas Malanos</v>
      </c>
      <c r="AB83" s="1" cm="1">
        <f t="array" ref="AB83">COUNT(_xlfn._xlws.FILTER($J$7:$J$10000,($L$7:$L$10000=AA83)*($M$7:$M$10000&lt;&gt;"NULL")*($J$7:$J$10000 &gt;= ($G$1-5))))/5</f>
        <v>0.4</v>
      </c>
    </row>
    <row r="84" spans="1:28" x14ac:dyDescent="0.35">
      <c r="A84">
        <f>VLOOKUP($B84, PlayerIDs!$A$1:$B$516, 2, FALSE)</f>
        <v>793</v>
      </c>
      <c r="B84" t="s">
        <v>522</v>
      </c>
      <c r="C84" s="1">
        <v>5.1335021979441704</v>
      </c>
      <c r="D84" s="1">
        <f t="shared" ref="D84:D101" si="13">RANK($C84,$C$20:$C$106)</f>
        <v>65</v>
      </c>
      <c r="E84" s="1" cm="1">
        <f t="array" ref="E84">IFERROR(VLOOKUP($B84,_xlfn._xlws.FILTER($L$7:$P$10000,$J$7:$J$10000=G$1+1),5, FALSE), 0)</f>
        <v>5.5045927344585985</v>
      </c>
      <c r="F84" s="1">
        <f t="shared" ref="F84:F101" si="14">RANK(E84,$E$20:$E$150)</f>
        <v>58</v>
      </c>
      <c r="G84" s="1">
        <f t="shared" ref="G84:G101" ca="1" si="15">SUMIF(V:Z,$B84,Z:Z)</f>
        <v>22.898589361537908</v>
      </c>
      <c r="H84" s="1">
        <f t="shared" ref="H84:H101" ca="1" si="16">RANK($G84,$G$20:$G$150)</f>
        <v>59</v>
      </c>
      <c r="I84" s="1" cm="1">
        <f t="array" ref="I84">COUNT(_xlfn._xlws.FILTER($J$7:$J$10000,($L$7:$L$10000=B84)*($M$7:$M$10000&lt;&gt;"NULL")*($J$7:$J$10000 &gt;= ($G$1-4))))/5</f>
        <v>0.8</v>
      </c>
      <c r="J84" s="66">
        <v>3</v>
      </c>
      <c r="K84" t="s">
        <v>2</v>
      </c>
      <c r="L84" t="s">
        <v>499</v>
      </c>
      <c r="M84">
        <v>3.9</v>
      </c>
      <c r="N84" t="s">
        <v>3</v>
      </c>
      <c r="O84" t="s">
        <v>23</v>
      </c>
      <c r="P84">
        <f t="shared" si="11"/>
        <v>3.3898075375581094E-2</v>
      </c>
      <c r="Q84">
        <f t="shared" si="12"/>
        <v>14.946744091584636</v>
      </c>
      <c r="R84" s="67" cm="1">
        <f t="array" ref="R84">SUMPRODUCT((J84=$J$7:$J$1000)*(P84&lt;$P$7:$P$1000))+1</f>
        <v>30</v>
      </c>
      <c r="S84" s="72"/>
      <c r="T84">
        <v>14</v>
      </c>
      <c r="U84" t="str">
        <v>ARC</v>
      </c>
      <c r="V84" t="str">
        <v>Cameron Gerlach</v>
      </c>
      <c r="W84" t="str">
        <v>NULL</v>
      </c>
      <c r="X84" t="str">
        <v>Away</v>
      </c>
      <c r="Y84" t="str">
        <v>CHI</v>
      </c>
      <c r="Z84">
        <v>9.5306855047415056</v>
      </c>
      <c r="AA84" s="1" t="str">
        <v>Toni Pulu</v>
      </c>
      <c r="AB84" s="1" cm="1">
        <f t="array" ref="AB84">COUNT(_xlfn._xlws.FILTER($J$7:$J$10000,($L$7:$L$10000=AA84)*($M$7:$M$10000&lt;&gt;"NULL")*($J$7:$J$10000 &gt;= ($G$1-5))))/5</f>
        <v>0.8</v>
      </c>
    </row>
    <row r="85" spans="1:28" x14ac:dyDescent="0.35">
      <c r="A85">
        <f>VLOOKUP($B85, PlayerIDs!$A$1:$B$516, 2, FALSE)</f>
        <v>284</v>
      </c>
      <c r="B85" t="s">
        <v>12</v>
      </c>
      <c r="C85" s="1">
        <v>4.7374613304976885</v>
      </c>
      <c r="D85" s="1">
        <f t="shared" si="13"/>
        <v>66</v>
      </c>
      <c r="E85" s="1" cm="1">
        <f t="array" ref="E85">IFERROR(VLOOKUP($B85,_xlfn._xlws.FILTER($L$7:$P$10000,$J$7:$J$10000=G$1+1),5, FALSE), 0)</f>
        <v>1.8164905254751482</v>
      </c>
      <c r="F85" s="1">
        <f t="shared" si="14"/>
        <v>69</v>
      </c>
      <c r="G85" s="1">
        <f t="shared" ca="1" si="15"/>
        <v>17.585196847291602</v>
      </c>
      <c r="H85" s="1">
        <f t="shared" ca="1" si="16"/>
        <v>69</v>
      </c>
      <c r="I85" s="1" cm="1">
        <f t="array" ref="I85">COUNT(_xlfn._xlws.FILTER($J$7:$J$10000,($L$7:$L$10000=B85)*($M$7:$M$10000&lt;&gt;"NULL")*($J$7:$J$10000 &gt;= ($G$1-4))))/5</f>
        <v>1</v>
      </c>
      <c r="J85" s="65">
        <v>3</v>
      </c>
      <c r="K85" t="s">
        <v>14</v>
      </c>
      <c r="L85" t="s">
        <v>278</v>
      </c>
      <c r="M85">
        <v>3.5</v>
      </c>
      <c r="N85" t="s">
        <v>3</v>
      </c>
      <c r="O85" t="s">
        <v>24</v>
      </c>
      <c r="P85">
        <f t="shared" si="11"/>
        <v>9.8894521297030042</v>
      </c>
      <c r="Q85">
        <f t="shared" si="12"/>
        <v>40.825098517766257</v>
      </c>
      <c r="R85" s="67" cm="1">
        <f t="array" ref="R85">SUMPRODUCT((J85=$J$7:$J$1000)*(P85&lt;$P$7:$P$1000))+1</f>
        <v>15</v>
      </c>
      <c r="S85" s="72"/>
      <c r="T85">
        <v>14</v>
      </c>
      <c r="U85" t="str">
        <v>ARC</v>
      </c>
      <c r="V85" t="str">
        <v>Conner Mooneyham</v>
      </c>
      <c r="W85" t="str">
        <v>NULL</v>
      </c>
      <c r="X85" t="str">
        <v>Home</v>
      </c>
      <c r="Y85" t="str">
        <v>OGDC</v>
      </c>
      <c r="Z85">
        <v>6.444740455809189</v>
      </c>
      <c r="AA85" s="1" t="str">
        <v>Vaughen Isaacs</v>
      </c>
      <c r="AB85" s="1" cm="1">
        <f t="array" ref="AB85">COUNT(_xlfn._xlws.FILTER($J$7:$J$10000,($L$7:$L$10000=AA85)*($M$7:$M$10000&lt;&gt;"NULL")*($J$7:$J$10000 &gt;= ($G$1-5))))/5</f>
        <v>0.2</v>
      </c>
    </row>
    <row r="86" spans="1:28" x14ac:dyDescent="0.35">
      <c r="A86">
        <f>VLOOKUP($B86, PlayerIDs!$A$1:$B$516, 2, FALSE)</f>
        <v>4</v>
      </c>
      <c r="B86" t="s">
        <v>63</v>
      </c>
      <c r="C86" s="1">
        <v>4.5856223075807243</v>
      </c>
      <c r="D86" s="1">
        <f t="shared" si="13"/>
        <v>67</v>
      </c>
      <c r="E86" s="1" cm="1">
        <f t="array" ref="E86">IFERROR(VLOOKUP($B86,_xlfn._xlws.FILTER($L$7:$P$10000,$J$7:$J$10000=G$1+1),5, FALSE), 0)</f>
        <v>1.6646515025581841</v>
      </c>
      <c r="F86" s="1">
        <f t="shared" si="14"/>
        <v>70</v>
      </c>
      <c r="G86" s="1">
        <f t="shared" ca="1" si="15"/>
        <v>16.977840755623745</v>
      </c>
      <c r="H86" s="1">
        <f t="shared" ca="1" si="16"/>
        <v>70</v>
      </c>
      <c r="I86" s="1" cm="1">
        <f t="array" ref="I86">COUNT(_xlfn._xlws.FILTER($J$7:$J$10000,($L$7:$L$10000=B86)*($M$7:$M$10000&lt;&gt;"NULL")*($J$7:$J$10000 &gt;= ($G$1-4))))/5</f>
        <v>0.2</v>
      </c>
      <c r="J86" s="65">
        <v>3</v>
      </c>
      <c r="K86" t="s">
        <v>17</v>
      </c>
      <c r="L86" t="s">
        <v>82</v>
      </c>
      <c r="M86">
        <v>3.5</v>
      </c>
      <c r="N86" t="s">
        <v>9</v>
      </c>
      <c r="O86" t="s">
        <v>36</v>
      </c>
      <c r="P86">
        <f t="shared" si="11"/>
        <v>7.0951309814455943</v>
      </c>
      <c r="Q86">
        <f t="shared" si="12"/>
        <v>12.924966773749961</v>
      </c>
      <c r="R86" s="67" cm="1">
        <f t="array" ref="R86">SUMPRODUCT((J86=$J$7:$J$1000)*(P86&lt;$P$7:$P$1000))+1</f>
        <v>21</v>
      </c>
      <c r="S86" s="72"/>
      <c r="T86">
        <v>14</v>
      </c>
      <c r="U86" t="str">
        <v>ARC</v>
      </c>
      <c r="V86" t="str">
        <v>EJ Freeman</v>
      </c>
      <c r="W86" t="str">
        <v>NULL</v>
      </c>
      <c r="X86" t="str">
        <v>Home</v>
      </c>
      <c r="Y86" t="str">
        <v>OGDC</v>
      </c>
      <c r="Z86">
        <v>3.7703193889393951</v>
      </c>
      <c r="AA86" s="1" t="str">
        <v>Will Leonard</v>
      </c>
      <c r="AB86" s="1" cm="1">
        <f t="array" ref="AB86">COUNT(_xlfn._xlws.FILTER($J$7:$J$10000,($L$7:$L$10000=AA86)*($M$7:$M$10000&lt;&gt;"NULL")*($J$7:$J$10000 &gt;= ($G$1-5))))/5</f>
        <v>0.4</v>
      </c>
    </row>
    <row r="87" spans="1:28" x14ac:dyDescent="0.35">
      <c r="A87">
        <f>VLOOKUP($B87, PlayerIDs!$A$1:$B$516, 2, FALSE)</f>
        <v>770</v>
      </c>
      <c r="B87" t="s">
        <v>475</v>
      </c>
      <c r="C87" s="1">
        <v>4.5566426614640827</v>
      </c>
      <c r="D87" s="1">
        <f t="shared" si="13"/>
        <v>68</v>
      </c>
      <c r="E87" s="1" cm="1">
        <f t="array" ref="E87">IFERROR(VLOOKUP($B87,_xlfn._xlws.FILTER($L$7:$P$10000,$J$7:$J$10000=G$1+1),5, FALSE), 0)</f>
        <v>7.7997999149213069</v>
      </c>
      <c r="F87" s="1">
        <f t="shared" si="14"/>
        <v>43</v>
      </c>
      <c r="G87" s="1">
        <f t="shared" ca="1" si="15"/>
        <v>22.222859665354648</v>
      </c>
      <c r="H87" s="1">
        <f t="shared" ca="1" si="16"/>
        <v>61</v>
      </c>
      <c r="I87" s="1" cm="1">
        <f t="array" ref="I87">COUNT(_xlfn._xlws.FILTER($J$7:$J$10000,($L$7:$L$10000=B87)*($M$7:$M$10000&lt;&gt;"NULL")*($J$7:$J$10000 &gt;= ($G$1-4))))/5</f>
        <v>0.4</v>
      </c>
      <c r="J87" s="65">
        <v>3</v>
      </c>
      <c r="K87" t="s">
        <v>34</v>
      </c>
      <c r="L87" t="s">
        <v>41</v>
      </c>
      <c r="M87">
        <v>2.2000000000000002</v>
      </c>
      <c r="N87" t="s">
        <v>9</v>
      </c>
      <c r="O87" t="s">
        <v>7</v>
      </c>
      <c r="P87">
        <f t="shared" si="11"/>
        <v>10.150727580920886</v>
      </c>
      <c r="Q87">
        <f t="shared" si="12"/>
        <v>63.214069066016087</v>
      </c>
      <c r="R87" s="67" cm="1">
        <f t="array" ref="R87">SUMPRODUCT((J87=$J$7:$J$1000)*(P87&lt;$P$7:$P$1000))+1</f>
        <v>13</v>
      </c>
      <c r="S87" s="72"/>
      <c r="T87">
        <v>14</v>
      </c>
      <c r="U87" t="str">
        <v>ARC</v>
      </c>
      <c r="V87" t="str">
        <v>Jason Tidwell</v>
      </c>
      <c r="W87" t="str">
        <v>NULL</v>
      </c>
      <c r="X87" t="str">
        <v>Home</v>
      </c>
      <c r="Y87" t="str">
        <v>OGDC</v>
      </c>
      <c r="Z87">
        <v>6.4925740324756136</v>
      </c>
      <c r="AA87" s="1" t="str">
        <v>Xavier Mignot</v>
      </c>
      <c r="AB87" s="1" cm="1">
        <f t="array" ref="AB87">COUNT(_xlfn._xlws.FILTER($J$7:$J$10000,($L$7:$L$10000=AA87)*($M$7:$M$10000&lt;&gt;"NULL")*($J$7:$J$10000 &gt;= ($G$1-5))))/5</f>
        <v>0.8</v>
      </c>
    </row>
    <row r="88" spans="1:28" x14ac:dyDescent="0.35">
      <c r="A88">
        <f>VLOOKUP($B88, PlayerIDs!$A$1:$B$516, 2, FALSE)</f>
        <v>568</v>
      </c>
      <c r="B88" t="s">
        <v>573</v>
      </c>
      <c r="C88" s="1">
        <v>4.4893015108189926</v>
      </c>
      <c r="D88" s="1">
        <f t="shared" si="13"/>
        <v>69</v>
      </c>
      <c r="E88" s="1" cm="1">
        <f t="array" ref="E88">IFERROR(VLOOKUP($B88,_xlfn._xlws.FILTER($L$7:$P$10000,$J$7:$J$10000=G$1+1),5, FALSE), 0)</f>
        <v>3.7831738832650905</v>
      </c>
      <c r="F88" s="1">
        <f t="shared" si="14"/>
        <v>62</v>
      </c>
      <c r="G88" s="1">
        <f t="shared" ca="1" si="15"/>
        <v>13.987239744518092</v>
      </c>
      <c r="H88" s="1">
        <f t="shared" ca="1" si="16"/>
        <v>74</v>
      </c>
      <c r="I88" s="1" cm="1">
        <f t="array" ref="I88">COUNT(_xlfn._xlws.FILTER($J$7:$J$10000,($L$7:$L$10000=B88)*($M$7:$M$10000&lt;&gt;"NULL")*($J$7:$J$10000 &gt;= ($G$1-4))))/5</f>
        <v>0.2</v>
      </c>
      <c r="J88" s="65">
        <v>3</v>
      </c>
      <c r="K88" t="s">
        <v>17</v>
      </c>
      <c r="L88" t="s">
        <v>450</v>
      </c>
      <c r="M88">
        <v>1.4</v>
      </c>
      <c r="N88" t="s">
        <v>9</v>
      </c>
      <c r="O88" t="s">
        <v>36</v>
      </c>
      <c r="P88">
        <f t="shared" si="11"/>
        <v>5.8042211248959443</v>
      </c>
      <c r="Q88">
        <f t="shared" si="12"/>
        <v>19.397163716979694</v>
      </c>
      <c r="R88" s="67" cm="1">
        <f t="array" ref="R88">SUMPRODUCT((J88=$J$7:$J$1000)*(P88&lt;$P$7:$P$1000))+1</f>
        <v>25</v>
      </c>
      <c r="S88" s="72"/>
      <c r="T88">
        <v>14</v>
      </c>
      <c r="U88" t="str">
        <v>ARC</v>
      </c>
      <c r="V88" t="str">
        <v>Line Latu</v>
      </c>
      <c r="W88" t="str">
        <v>NULL</v>
      </c>
      <c r="X88" t="str">
        <v>Home</v>
      </c>
      <c r="Y88" t="str">
        <v>OGDC</v>
      </c>
      <c r="Z88">
        <v>9.0139226050813868</v>
      </c>
      <c r="AA88" s="1" t="str">
        <v>Zion Going</v>
      </c>
      <c r="AB88" s="1" cm="1">
        <f t="array" ref="AB88">COUNT(_xlfn._xlws.FILTER($J$7:$J$10000,($L$7:$L$10000=AA88)*($M$7:$M$10000&lt;&gt;"NULL")*($J$7:$J$10000 &gt;= ($G$1-5))))/5</f>
        <v>0.2</v>
      </c>
    </row>
    <row r="89" spans="1:28" x14ac:dyDescent="0.35">
      <c r="A89">
        <f>VLOOKUP($B89, PlayerIDs!$A$1:$B$516, 2, FALSE)</f>
        <v>584</v>
      </c>
      <c r="B89" t="s">
        <v>334</v>
      </c>
      <c r="C89" s="1">
        <v>4.346586367363491</v>
      </c>
      <c r="D89" s="1">
        <f t="shared" si="13"/>
        <v>70</v>
      </c>
      <c r="E89" s="1" cm="1">
        <f t="array" ref="E89">IFERROR(VLOOKUP($B89,_xlfn._xlws.FILTER($L$7:$P$10000,$J$7:$J$10000=G$1+1),5, FALSE), 0)</f>
        <v>3.6404587398095889</v>
      </c>
      <c r="F89" s="1">
        <f t="shared" si="14"/>
        <v>63</v>
      </c>
      <c r="G89" s="1">
        <f t="shared" ca="1" si="15"/>
        <v>13.559094314151588</v>
      </c>
      <c r="H89" s="1">
        <f t="shared" ca="1" si="16"/>
        <v>76</v>
      </c>
      <c r="I89" s="1" cm="1">
        <f t="array" ref="I89">COUNT(_xlfn._xlws.FILTER($J$7:$J$10000,($L$7:$L$10000=B89)*($M$7:$M$10000&lt;&gt;"NULL")*($J$7:$J$10000 &gt;= ($G$1-4))))/5</f>
        <v>0.2</v>
      </c>
      <c r="J89" s="65">
        <v>3</v>
      </c>
      <c r="K89" t="s">
        <v>23</v>
      </c>
      <c r="L89" t="s">
        <v>91</v>
      </c>
      <c r="M89">
        <v>0.4</v>
      </c>
      <c r="N89" t="s">
        <v>9</v>
      </c>
      <c r="O89" t="s">
        <v>2</v>
      </c>
      <c r="P89">
        <f t="shared" si="11"/>
        <v>12.889565565464714</v>
      </c>
      <c r="Q89">
        <f t="shared" si="12"/>
        <v>155.98924801404192</v>
      </c>
      <c r="R89" s="67" cm="1">
        <f t="array" ref="R89">SUMPRODUCT((J89=$J$7:$J$1000)*(P89&lt;$P$7:$P$1000))+1</f>
        <v>5</v>
      </c>
      <c r="S89" s="72"/>
      <c r="T89">
        <v>14</v>
      </c>
      <c r="U89" t="str">
        <v>ARC</v>
      </c>
      <c r="V89" t="str">
        <v>Mitch Wilson</v>
      </c>
      <c r="W89" t="str">
        <v>NULL</v>
      </c>
      <c r="X89" t="str">
        <v>Home</v>
      </c>
      <c r="Y89" t="str">
        <v>OGDC</v>
      </c>
      <c r="Z89">
        <v>9.2192397371080794</v>
      </c>
      <c r="AA89" s="1">
        <v>0</v>
      </c>
      <c r="AB89" s="1" cm="1">
        <f t="array" ref="AB89">COUNT(_xlfn._xlws.FILTER($J$7:$J$10000,($L$7:$L$10000=AA89)*($M$7:$M$10000&lt;&gt;"NULL")*($J$7:$J$10000 &gt;= ($G$1-5))))/5</f>
        <v>0</v>
      </c>
    </row>
    <row r="90" spans="1:28" x14ac:dyDescent="0.35">
      <c r="A90">
        <f>VLOOKUP($B90, PlayerIDs!$A$1:$B$516, 2, FALSE)</f>
        <v>834</v>
      </c>
      <c r="B90" t="s">
        <v>534</v>
      </c>
      <c r="C90" s="1">
        <v>3.9718738093759867</v>
      </c>
      <c r="D90" s="1">
        <f t="shared" si="13"/>
        <v>71</v>
      </c>
      <c r="E90" s="1" cm="1">
        <f t="array" ref="E90">IFERROR(VLOOKUP($B90,_xlfn._xlws.FILTER($L$7:$P$10000,$J$7:$J$10000=G$1+1),5, FALSE), 0)</f>
        <v>1.5136521186449803</v>
      </c>
      <c r="F90" s="1">
        <f t="shared" si="14"/>
        <v>71</v>
      </c>
      <c r="G90" s="1">
        <f t="shared" ca="1" si="15"/>
        <v>19.855209804627854</v>
      </c>
      <c r="H90" s="1">
        <f t="shared" ca="1" si="16"/>
        <v>67</v>
      </c>
      <c r="I90" s="1" cm="1">
        <f t="array" ref="I90">COUNT(_xlfn._xlws.FILTER($J$7:$J$10000,($L$7:$L$10000=B90)*($M$7:$M$10000&lt;&gt;"NULL")*($J$7:$J$10000 &gt;= ($G$1-4))))/5</f>
        <v>0</v>
      </c>
      <c r="J90" s="65">
        <v>3</v>
      </c>
      <c r="K90" t="s">
        <v>7</v>
      </c>
      <c r="L90" t="s">
        <v>92</v>
      </c>
      <c r="M90">
        <v>0.3</v>
      </c>
      <c r="N90" t="s">
        <v>3</v>
      </c>
      <c r="O90" t="s">
        <v>34</v>
      </c>
      <c r="P90">
        <f t="shared" si="11"/>
        <v>9.6150535728993702</v>
      </c>
      <c r="Q90">
        <f t="shared" si="12"/>
        <v>86.770223065985306</v>
      </c>
      <c r="R90" s="67" cm="1">
        <f t="array" ref="R90">SUMPRODUCT((J90=$J$7:$J$1000)*(P90&lt;$P$7:$P$1000))+1</f>
        <v>17</v>
      </c>
      <c r="S90" s="72"/>
      <c r="T90">
        <v>14</v>
      </c>
      <c r="U90" t="str">
        <v>ARC</v>
      </c>
      <c r="V90" t="str">
        <v>Toby Fricker</v>
      </c>
      <c r="W90" t="str">
        <v>NULL</v>
      </c>
      <c r="X90" t="str">
        <v>Home</v>
      </c>
      <c r="Y90" t="str">
        <v>OGDC</v>
      </c>
      <c r="Z90">
        <v>8.6999800694297367</v>
      </c>
      <c r="AA90" s="1"/>
      <c r="AB90" s="1" cm="1">
        <f t="array" ref="AB90">COUNT(_xlfn._xlws.FILTER($J$7:$J$10000,($L$7:$L$10000=AA90)*($M$7:$M$10000&lt;&gt;"NULL")*($J$7:$J$10000 &gt;= ($G$1-5))))/5</f>
        <v>0</v>
      </c>
    </row>
    <row r="91" spans="1:28" x14ac:dyDescent="0.35">
      <c r="A91">
        <f>VLOOKUP($B91, PlayerIDs!$A$1:$B$516, 2, FALSE)</f>
        <v>785</v>
      </c>
      <c r="B91" t="s">
        <v>455</v>
      </c>
      <c r="C91" s="1">
        <v>3.9365777021758723</v>
      </c>
      <c r="D91" s="1">
        <f t="shared" si="13"/>
        <v>72</v>
      </c>
      <c r="E91" s="1" cm="1">
        <f t="array" ref="E91">IFERROR(VLOOKUP($B91,_xlfn._xlws.FILTER($L$7:$P$10000,$J$7:$J$10000=G$1+1),5, FALSE), 0)</f>
        <v>1.0156068971533321</v>
      </c>
      <c r="F91" s="1">
        <f t="shared" si="14"/>
        <v>72</v>
      </c>
      <c r="G91" s="1">
        <f t="shared" ca="1" si="15"/>
        <v>14.381662334004336</v>
      </c>
      <c r="H91" s="1">
        <f t="shared" ca="1" si="16"/>
        <v>73</v>
      </c>
      <c r="I91" s="1" cm="1">
        <f t="array" ref="I91">COUNT(_xlfn._xlws.FILTER($J$7:$J$10000,($L$7:$L$10000=B91)*($M$7:$M$10000&lt;&gt;"NULL")*($J$7:$J$10000 &gt;= ($G$1-4))))/5</f>
        <v>0</v>
      </c>
      <c r="J91" s="66">
        <v>4</v>
      </c>
      <c r="K91" t="s">
        <v>36</v>
      </c>
      <c r="L91" t="s">
        <v>73</v>
      </c>
      <c r="M91">
        <v>28</v>
      </c>
      <c r="N91" t="s">
        <v>9</v>
      </c>
      <c r="O91" t="s">
        <v>13</v>
      </c>
      <c r="P91">
        <f t="shared" si="11"/>
        <v>11.616391025593813</v>
      </c>
      <c r="Q91">
        <f t="shared" si="12"/>
        <v>268.42264302624295</v>
      </c>
      <c r="R91" s="67" cm="1">
        <f t="array" ref="R91">SUMPRODUCT((J91=$J$7:$J$1000)*(P91&lt;$P$7:$P$1000))+1</f>
        <v>6</v>
      </c>
      <c r="S91" s="72"/>
      <c r="T91">
        <v>14</v>
      </c>
      <c r="U91" t="str">
        <v>CHI</v>
      </c>
      <c r="V91" t="str">
        <v>Adriaan Carelse</v>
      </c>
      <c r="W91" t="str">
        <v>NULL</v>
      </c>
      <c r="X91" t="str">
        <v>Home</v>
      </c>
      <c r="Y91" t="str">
        <v>LA</v>
      </c>
      <c r="Z91">
        <v>3.258713090038027</v>
      </c>
      <c r="AA91" s="1"/>
      <c r="AB91" s="1" cm="1">
        <f t="array" ref="AB91">COUNT(_xlfn._xlws.FILTER($J$7:$J$10000,($L$7:$L$10000=AA91)*($M$7:$M$10000&lt;&gt;"NULL")*($J$7:$J$10000 &gt;= ($G$1-5))))/5</f>
        <v>0</v>
      </c>
    </row>
    <row r="92" spans="1:28" x14ac:dyDescent="0.35">
      <c r="A92">
        <f>VLOOKUP($B92, PlayerIDs!$A$1:$B$516, 2, FALSE)</f>
        <v>185</v>
      </c>
      <c r="B92" t="s">
        <v>683</v>
      </c>
      <c r="C92" s="1">
        <v>3.9063957717245863</v>
      </c>
      <c r="D92" s="1">
        <f t="shared" si="13"/>
        <v>73</v>
      </c>
      <c r="E92" s="1" cm="1">
        <f t="array" ref="E92">IFERROR(VLOOKUP($B92,_xlfn._xlws.FILTER($L$7:$P$10000,$J$7:$J$10000=G$1+1),5, FALSE), 0)</f>
        <v>7.1495530251818096</v>
      </c>
      <c r="F92" s="1">
        <f t="shared" si="14"/>
        <v>48</v>
      </c>
      <c r="G92" s="1">
        <f t="shared" ca="1" si="15"/>
        <v>16.475698271345955</v>
      </c>
      <c r="H92" s="1">
        <f t="shared" ca="1" si="16"/>
        <v>72</v>
      </c>
      <c r="I92" s="1" cm="1">
        <f t="array" ref="I92">COUNT(_xlfn._xlws.FILTER($J$7:$J$10000,($L$7:$L$10000=B92)*($M$7:$M$10000&lt;&gt;"NULL")*($J$7:$J$10000 &gt;= ($G$1-4))))/5</f>
        <v>0.2</v>
      </c>
      <c r="J92" s="66">
        <v>4</v>
      </c>
      <c r="K92" t="s">
        <v>23</v>
      </c>
      <c r="L92" t="s">
        <v>456</v>
      </c>
      <c r="M92">
        <v>17.7</v>
      </c>
      <c r="N92" t="s">
        <v>9</v>
      </c>
      <c r="O92" t="s">
        <v>17</v>
      </c>
      <c r="P92">
        <f t="shared" si="11"/>
        <v>5.2554784694611314</v>
      </c>
      <c r="Q92">
        <f t="shared" si="12"/>
        <v>154.86611612404545</v>
      </c>
      <c r="R92" s="67" cm="1">
        <f t="array" ref="R92">SUMPRODUCT((J92=$J$7:$J$1000)*(P92&lt;$P$7:$P$1000))+1</f>
        <v>26</v>
      </c>
      <c r="S92" s="72"/>
      <c r="T92">
        <v>14</v>
      </c>
      <c r="U92" t="str">
        <v>CHI</v>
      </c>
      <c r="V92" t="str">
        <v>Ben Pollack</v>
      </c>
      <c r="W92" t="str">
        <v>NULL</v>
      </c>
      <c r="X92" t="str">
        <v>Home</v>
      </c>
      <c r="Y92" t="str">
        <v>LA</v>
      </c>
      <c r="Z92">
        <v>2.6096684846331746</v>
      </c>
      <c r="AA92" s="1"/>
      <c r="AB92" s="1"/>
    </row>
    <row r="93" spans="1:28" x14ac:dyDescent="0.35">
      <c r="A93">
        <f>VLOOKUP($B93, PlayerIDs!$A$1:$B$516, 2, FALSE)</f>
        <v>631</v>
      </c>
      <c r="B93" t="s">
        <v>498</v>
      </c>
      <c r="C93" s="1">
        <v>3.8124487730116945</v>
      </c>
      <c r="D93" s="1">
        <f t="shared" si="13"/>
        <v>74</v>
      </c>
      <c r="E93" s="1" cm="1">
        <f t="array" ref="E93">IFERROR(VLOOKUP($B93,_xlfn._xlws.FILTER($L$7:$P$10000,$J$7:$J$10000=G$1+1),5, FALSE), 0)</f>
        <v>4.1835393095261226</v>
      </c>
      <c r="F93" s="1">
        <f t="shared" si="14"/>
        <v>61</v>
      </c>
      <c r="G93" s="1">
        <f t="shared" ca="1" si="15"/>
        <v>21.51002410823417</v>
      </c>
      <c r="H93" s="1">
        <f t="shared" ca="1" si="16"/>
        <v>64</v>
      </c>
      <c r="I93" s="1" cm="1">
        <f t="array" ref="I93">COUNT(_xlfn._xlws.FILTER($J$7:$J$10000,($L$7:$L$10000=B93)*($M$7:$M$10000&lt;&gt;"NULL")*($J$7:$J$10000 &gt;= ($G$1-4))))/5</f>
        <v>0</v>
      </c>
      <c r="J93" s="66">
        <v>4</v>
      </c>
      <c r="K93" t="s">
        <v>2</v>
      </c>
      <c r="L93" t="s">
        <v>88</v>
      </c>
      <c r="M93">
        <v>15.6</v>
      </c>
      <c r="N93" t="s">
        <v>9</v>
      </c>
      <c r="O93" t="s">
        <v>24</v>
      </c>
      <c r="P93">
        <f t="shared" si="11"/>
        <v>4.8969690490274091</v>
      </c>
      <c r="Q93">
        <f t="shared" si="12"/>
        <v>114.55487153747721</v>
      </c>
      <c r="R93" s="67" cm="1">
        <f t="array" ref="R93">SUMPRODUCT((J93=$J$7:$J$1000)*(P93&lt;$P$7:$P$1000))+1</f>
        <v>28</v>
      </c>
      <c r="S93" s="72"/>
      <c r="T93">
        <v>14</v>
      </c>
      <c r="U93" t="str">
        <v>CHI</v>
      </c>
      <c r="V93" t="str">
        <v>Julian Dominguez</v>
      </c>
      <c r="W93" t="str">
        <v>NULL</v>
      </c>
      <c r="X93" t="str">
        <v>Home</v>
      </c>
      <c r="Y93" t="str">
        <v>LA</v>
      </c>
      <c r="Z93">
        <v>0.49664718966711496</v>
      </c>
    </row>
    <row r="94" spans="1:28" x14ac:dyDescent="0.35">
      <c r="A94">
        <f>VLOOKUP($B94, PlayerIDs!$A$1:$B$516, 2, FALSE)</f>
        <v>66</v>
      </c>
      <c r="B94" t="s">
        <v>66</v>
      </c>
      <c r="C94" s="1">
        <v>3.3033644688962847</v>
      </c>
      <c r="D94" s="1">
        <f t="shared" si="13"/>
        <v>75</v>
      </c>
      <c r="E94" s="1" cm="1">
        <f t="array" ref="E94">IFERROR(VLOOKUP($B94,_xlfn._xlws.FILTER($L$7:$P$10000,$J$7:$J$10000=G$1+1),5, FALSE), 0)</f>
        <v>6.0394246100506983</v>
      </c>
      <c r="F94" s="1">
        <f t="shared" si="14"/>
        <v>57</v>
      </c>
      <c r="G94" s="1">
        <f t="shared" ca="1" si="15"/>
        <v>19.070084015169382</v>
      </c>
      <c r="H94" s="1">
        <f t="shared" ca="1" si="16"/>
        <v>68</v>
      </c>
      <c r="I94" s="1" cm="1">
        <f t="array" ref="I94">COUNT(_xlfn._xlws.FILTER($J$7:$J$10000,($L$7:$L$10000=B94)*($M$7:$M$10000&lt;&gt;"NULL")*($J$7:$J$10000 &gt;= ($G$1-4))))/5</f>
        <v>0</v>
      </c>
      <c r="J94" s="66">
        <v>4</v>
      </c>
      <c r="K94" t="s">
        <v>6</v>
      </c>
      <c r="L94" t="s">
        <v>94</v>
      </c>
      <c r="M94">
        <v>15.1</v>
      </c>
      <c r="N94" t="s">
        <v>9</v>
      </c>
      <c r="O94" t="s">
        <v>34</v>
      </c>
      <c r="P94">
        <f t="shared" si="11"/>
        <v>11.934359139533031</v>
      </c>
      <c r="Q94">
        <f t="shared" si="12"/>
        <v>10.021282057458048</v>
      </c>
      <c r="R94" s="67" cm="1">
        <f t="array" ref="R94">SUMPRODUCT((J94=$J$7:$J$1000)*(P94&lt;$P$7:$P$1000))+1</f>
        <v>4</v>
      </c>
      <c r="S94" s="72"/>
      <c r="T94">
        <v>14</v>
      </c>
      <c r="U94" t="str">
        <v>CHI</v>
      </c>
      <c r="V94" t="str">
        <v>Mark O'Keeffe</v>
      </c>
      <c r="W94" t="str">
        <v>NULL</v>
      </c>
      <c r="X94" t="str">
        <v>Home</v>
      </c>
      <c r="Y94" t="str">
        <v>LA</v>
      </c>
      <c r="Z94">
        <v>3.4105521129549912</v>
      </c>
    </row>
    <row r="95" spans="1:28" x14ac:dyDescent="0.35">
      <c r="A95">
        <f>VLOOKUP($B95, PlayerIDs!$A$1:$B$516, 2, FALSE)</f>
        <v>686</v>
      </c>
      <c r="B95" t="s">
        <v>98</v>
      </c>
      <c r="C95" s="1">
        <v>2.9017839200039717</v>
      </c>
      <c r="D95" s="1">
        <f t="shared" si="13"/>
        <v>76</v>
      </c>
      <c r="E95" s="1" cm="1">
        <f t="array" ref="E95">IFERROR(VLOOKUP($B95,_xlfn._xlws.FILTER($L$7:$P$10000,$J$7:$J$10000=G$1+1),5, FALSE), 0)</f>
        <v>2.9849835934184448</v>
      </c>
      <c r="F95" s="1">
        <f t="shared" si="14"/>
        <v>65</v>
      </c>
      <c r="G95" s="1">
        <f t="shared" ca="1" si="15"/>
        <v>12.571842020936717</v>
      </c>
      <c r="H95" s="1">
        <f t="shared" ca="1" si="16"/>
        <v>77</v>
      </c>
      <c r="I95" s="1" cm="1">
        <f t="array" ref="I95">COUNT(_xlfn._xlws.FILTER($J$7:$J$10000,($L$7:$L$10000=B95)*($M$7:$M$10000&lt;&gt;"NULL")*($J$7:$J$10000 &gt;= ($G$1-4))))/5</f>
        <v>0.2</v>
      </c>
      <c r="J95" s="66">
        <v>4</v>
      </c>
      <c r="K95" t="s">
        <v>13</v>
      </c>
      <c r="L95" t="s">
        <v>494</v>
      </c>
      <c r="M95">
        <v>13.5</v>
      </c>
      <c r="N95" t="s">
        <v>3</v>
      </c>
      <c r="O95" t="s">
        <v>36</v>
      </c>
      <c r="P95">
        <f t="shared" si="11"/>
        <v>10.086540404386708</v>
      </c>
      <c r="Q95">
        <f t="shared" si="12"/>
        <v>11.651706410884456</v>
      </c>
      <c r="R95" s="67" cm="1">
        <f t="array" ref="R95">SUMPRODUCT((J95=$J$7:$J$1000)*(P95&lt;$P$7:$P$1000))+1</f>
        <v>10</v>
      </c>
      <c r="S95" s="72"/>
      <c r="T95">
        <v>14</v>
      </c>
      <c r="U95" t="str">
        <v>CHI</v>
      </c>
      <c r="V95" t="str">
        <v>Michael Hand</v>
      </c>
      <c r="W95" t="str">
        <v>NULL</v>
      </c>
      <c r="X95" t="str">
        <v>Home</v>
      </c>
      <c r="Y95" t="str">
        <v>LA</v>
      </c>
      <c r="Z95">
        <v>4.7365027050270871</v>
      </c>
    </row>
    <row r="96" spans="1:28" x14ac:dyDescent="0.35">
      <c r="A96">
        <f>VLOOKUP($B96, PlayerIDs!$A$1:$B$516, 2, FALSE)</f>
        <v>319</v>
      </c>
      <c r="B96" t="s">
        <v>88</v>
      </c>
      <c r="C96" s="1">
        <v>2.7851242687584947</v>
      </c>
      <c r="D96" s="1">
        <f t="shared" si="13"/>
        <v>77</v>
      </c>
      <c r="E96" s="1" cm="1">
        <f t="array" ref="E96">IFERROR(VLOOKUP($B96,_xlfn._xlws.FILTER($L$7:$P$10000,$J$7:$J$10000=G$1+1),5, FALSE), 0)</f>
        <v>-0.13584653626404553</v>
      </c>
      <c r="F96" s="1">
        <f t="shared" si="14"/>
        <v>80</v>
      </c>
      <c r="G96" s="1">
        <f t="shared" ca="1" si="15"/>
        <v>13.839456748993303</v>
      </c>
      <c r="H96" s="1">
        <f t="shared" ca="1" si="16"/>
        <v>75</v>
      </c>
      <c r="I96" s="1" cm="1">
        <f t="array" ref="I96">COUNT(_xlfn._xlws.FILTER($J$7:$J$10000,($L$7:$L$10000=B96)*($M$7:$M$10000&lt;&gt;"NULL")*($J$7:$J$10000 &gt;= ($G$1-4))))/5</f>
        <v>0.2</v>
      </c>
      <c r="J96" s="66">
        <v>4</v>
      </c>
      <c r="K96" t="s">
        <v>17</v>
      </c>
      <c r="L96" t="s">
        <v>82</v>
      </c>
      <c r="M96">
        <v>12.4</v>
      </c>
      <c r="N96" t="s">
        <v>3</v>
      </c>
      <c r="O96" t="s">
        <v>23</v>
      </c>
      <c r="P96">
        <f t="shared" si="11"/>
        <v>7.3071975299710896</v>
      </c>
      <c r="Q96">
        <f t="shared" si="12"/>
        <v>25.936636998732574</v>
      </c>
      <c r="R96" s="67" cm="1">
        <f t="array" ref="R96">SUMPRODUCT((J96=$J$7:$J$1000)*(P96&lt;$P$7:$P$1000))+1</f>
        <v>19</v>
      </c>
      <c r="S96" s="72"/>
      <c r="T96">
        <v>14</v>
      </c>
      <c r="U96" t="str">
        <v>CHI</v>
      </c>
      <c r="V96" t="str">
        <v>Nate Augspurger</v>
      </c>
      <c r="W96" t="str">
        <v>NULL</v>
      </c>
      <c r="X96" t="str">
        <v>Home</v>
      </c>
      <c r="Y96" t="str">
        <v>LA</v>
      </c>
      <c r="Z96">
        <v>1.4582150512157976</v>
      </c>
    </row>
    <row r="97" spans="1:26" x14ac:dyDescent="0.35">
      <c r="A97">
        <f>VLOOKUP($B97, PlayerIDs!$A$1:$B$516, 2, FALSE)</f>
        <v>461</v>
      </c>
      <c r="B97" t="s">
        <v>499</v>
      </c>
      <c r="C97" s="1">
        <v>1.8235564072098123</v>
      </c>
      <c r="D97" s="1">
        <f t="shared" si="13"/>
        <v>78</v>
      </c>
      <c r="E97" s="1" cm="1">
        <f t="array" ref="E97">IFERROR(VLOOKUP($B97,_xlfn._xlws.FILTER($L$7:$P$10000,$J$7:$J$10000=G$1+1),5, FALSE), 0)</f>
        <v>-1.0974143978127278</v>
      </c>
      <c r="F97" s="1">
        <f t="shared" si="14"/>
        <v>81</v>
      </c>
      <c r="G97" s="1">
        <f t="shared" ca="1" si="15"/>
        <v>9.0316174412498889</v>
      </c>
      <c r="H97" s="1">
        <f t="shared" ca="1" si="16"/>
        <v>78</v>
      </c>
      <c r="I97" s="1" cm="1">
        <f t="array" ref="I97">COUNT(_xlfn._xlws.FILTER($J$7:$J$10000,($L$7:$L$10000=B97)*($M$7:$M$10000&lt;&gt;"NULL")*($J$7:$J$10000 &gt;= ($G$1-4))))/5</f>
        <v>0.2</v>
      </c>
      <c r="J97" s="66">
        <v>4</v>
      </c>
      <c r="K97" t="s">
        <v>34</v>
      </c>
      <c r="L97" t="s">
        <v>41</v>
      </c>
      <c r="M97">
        <v>12.1</v>
      </c>
      <c r="N97" t="s">
        <v>3</v>
      </c>
      <c r="O97" t="s">
        <v>6</v>
      </c>
      <c r="P97">
        <f t="shared" si="11"/>
        <v>10.156685257003089</v>
      </c>
      <c r="Q97">
        <f t="shared" si="12"/>
        <v>3.7764721903491507</v>
      </c>
      <c r="R97" s="67" cm="1">
        <f t="array" ref="R97">SUMPRODUCT((J97=$J$7:$J$1000)*(P97&lt;$P$7:$P$1000))+1</f>
        <v>9</v>
      </c>
      <c r="S97" s="72"/>
      <c r="T97">
        <v>14</v>
      </c>
      <c r="U97" t="str">
        <v>CHI</v>
      </c>
      <c r="V97" t="str">
        <v>Noah Brown</v>
      </c>
      <c r="W97" t="str">
        <v>NULL</v>
      </c>
      <c r="X97" t="str">
        <v>Home</v>
      </c>
      <c r="Y97" t="str">
        <v>LA</v>
      </c>
      <c r="Z97">
        <v>4.4254961091428147</v>
      </c>
    </row>
    <row r="98" spans="1:26" x14ac:dyDescent="0.35">
      <c r="A98">
        <f>VLOOKUP($B98, PlayerIDs!$A$1:$B$516, 2, FALSE)</f>
        <v>778</v>
      </c>
      <c r="B98" t="s">
        <v>535</v>
      </c>
      <c r="C98" s="1">
        <v>1.785097572127734</v>
      </c>
      <c r="D98" s="1">
        <f t="shared" si="13"/>
        <v>79</v>
      </c>
      <c r="E98" s="1" cm="1">
        <f t="array" ref="E98">IFERROR(VLOOKUP($B98,_xlfn._xlws.FILTER($L$7:$P$10000,$J$7:$J$10000=G$1+1),5, FALSE), 0)</f>
        <v>1.9322689788394056</v>
      </c>
      <c r="F98" s="1">
        <f t="shared" si="14"/>
        <v>68</v>
      </c>
      <c r="G98" s="1">
        <f t="shared" ca="1" si="15"/>
        <v>5.6751489360539189</v>
      </c>
      <c r="H98" s="1">
        <f t="shared" ca="1" si="16"/>
        <v>79</v>
      </c>
      <c r="I98" s="1" cm="1">
        <f t="array" ref="I98">COUNT(_xlfn._xlws.FILTER($J$7:$J$10000,($L$7:$L$10000=B98)*($M$7:$M$10000&lt;&gt;"NULL")*($J$7:$J$10000 &gt;= ($G$1-4))))/5</f>
        <v>0</v>
      </c>
      <c r="J98" s="66">
        <v>4</v>
      </c>
      <c r="K98" t="s">
        <v>7</v>
      </c>
      <c r="L98" t="s">
        <v>521</v>
      </c>
      <c r="M98">
        <v>11.6</v>
      </c>
      <c r="N98" t="s">
        <v>3</v>
      </c>
      <c r="O98" t="s">
        <v>14</v>
      </c>
      <c r="P98">
        <f t="shared" si="11"/>
        <v>9.2433556599354727</v>
      </c>
      <c r="Q98">
        <f t="shared" si="12"/>
        <v>5.5537725455581697</v>
      </c>
      <c r="R98" s="67" cm="1">
        <f t="array" ref="R98">SUMPRODUCT((J98=$J$7:$J$1000)*(P98&lt;$P$7:$P$1000))+1</f>
        <v>13</v>
      </c>
      <c r="S98" s="72"/>
      <c r="T98">
        <v>14</v>
      </c>
      <c r="U98" t="str">
        <v>HOU</v>
      </c>
      <c r="V98" t="str">
        <v>Davy Coetzer</v>
      </c>
      <c r="W98" t="str">
        <v>NULL</v>
      </c>
      <c r="X98" t="str">
        <v>Home</v>
      </c>
      <c r="Y98" t="str">
        <v>UTAH</v>
      </c>
      <c r="Z98">
        <v>17.390461357306211</v>
      </c>
    </row>
    <row r="99" spans="1:26" x14ac:dyDescent="0.35">
      <c r="A99">
        <f>VLOOKUP($B99, PlayerIDs!$A$1:$B$516, 2, FALSE)</f>
        <v>206</v>
      </c>
      <c r="B99" t="s">
        <v>458</v>
      </c>
      <c r="C99" s="1">
        <v>1.1010038076656949</v>
      </c>
      <c r="D99" s="1">
        <f t="shared" si="13"/>
        <v>80</v>
      </c>
      <c r="E99" s="1" cm="1">
        <f t="array" ref="E99">IFERROR(VLOOKUP($B99,_xlfn._xlws.FILTER($L$7:$P$10000,$J$7:$J$10000=G$1+1),5, FALSE), 0)</f>
        <v>2.243266973866239</v>
      </c>
      <c r="F99" s="1">
        <f t="shared" si="14"/>
        <v>67</v>
      </c>
      <c r="G99" s="1">
        <f t="shared" ca="1" si="15"/>
        <v>0.36011303294692887</v>
      </c>
      <c r="H99" s="1">
        <f t="shared" ca="1" si="16"/>
        <v>81</v>
      </c>
      <c r="I99" s="1" cm="1">
        <f t="array" ref="I99">COUNT(_xlfn._xlws.FILTER($J$7:$J$10000,($L$7:$L$10000=B99)*($M$7:$M$10000&lt;&gt;"NULL")*($J$7:$J$10000 &gt;= ($G$1-4))))/5</f>
        <v>0</v>
      </c>
      <c r="J99" s="66">
        <v>4</v>
      </c>
      <c r="K99" t="s">
        <v>36</v>
      </c>
      <c r="L99" t="s">
        <v>479</v>
      </c>
      <c r="M99">
        <v>11.3</v>
      </c>
      <c r="N99" t="s">
        <v>9</v>
      </c>
      <c r="O99" t="s">
        <v>13</v>
      </c>
      <c r="P99">
        <f t="shared" si="11"/>
        <v>9.9607562719318832</v>
      </c>
      <c r="Q99">
        <f t="shared" si="12"/>
        <v>1.7935737631697899</v>
      </c>
      <c r="R99" s="67" cm="1">
        <f t="array" ref="R99">SUMPRODUCT((J99=$J$7:$J$1000)*(P99&lt;$P$7:$P$1000))+1</f>
        <v>11</v>
      </c>
      <c r="S99" s="72"/>
      <c r="T99">
        <v>14</v>
      </c>
      <c r="U99" t="str">
        <v>HOU</v>
      </c>
      <c r="V99" t="str">
        <v>Drew Wild</v>
      </c>
      <c r="W99" t="str">
        <v>NULL</v>
      </c>
      <c r="X99" t="str">
        <v>Home</v>
      </c>
      <c r="Y99" t="str">
        <v>UTAH</v>
      </c>
      <c r="Z99">
        <v>12.747703498782123</v>
      </c>
    </row>
    <row r="100" spans="1:26" x14ac:dyDescent="0.35">
      <c r="A100">
        <f>VLOOKUP($B100, PlayerIDs!$A$1:$B$516, 2, FALSE)</f>
        <v>81</v>
      </c>
      <c r="B100" t="s">
        <v>459</v>
      </c>
      <c r="C100" s="1">
        <v>0.78018597880597484</v>
      </c>
      <c r="D100" s="1">
        <f t="shared" si="13"/>
        <v>81</v>
      </c>
      <c r="E100" s="1" cm="1">
        <f t="array" ref="E100">IFERROR(VLOOKUP($B100,_xlfn._xlws.FILTER($L$7:$P$10000,$J$7:$J$10000=G$1+1),5, FALSE), 0)</f>
        <v>0.92735738551764668</v>
      </c>
      <c r="F100" s="1">
        <f t="shared" si="14"/>
        <v>73</v>
      </c>
      <c r="G100" s="1">
        <f t="shared" ca="1" si="15"/>
        <v>0.65059096944512329</v>
      </c>
      <c r="H100" s="1">
        <f t="shared" ca="1" si="16"/>
        <v>80</v>
      </c>
      <c r="I100" s="1" cm="1">
        <f t="array" ref="I100">COUNT(_xlfn._xlws.FILTER($J$7:$J$10000,($L$7:$L$10000=B100)*($M$7:$M$10000&lt;&gt;"NULL")*($J$7:$J$10000 &gt;= ($G$1-4))))/5</f>
        <v>0</v>
      </c>
      <c r="J100" s="66">
        <v>4</v>
      </c>
      <c r="K100" t="s">
        <v>14</v>
      </c>
      <c r="L100" t="s">
        <v>278</v>
      </c>
      <c r="M100">
        <v>11.2</v>
      </c>
      <c r="N100" t="s">
        <v>9</v>
      </c>
      <c r="O100" t="s">
        <v>7</v>
      </c>
      <c r="P100">
        <f t="shared" si="11"/>
        <v>5.3134279826208797</v>
      </c>
      <c r="Q100">
        <f t="shared" si="12"/>
        <v>34.651730115790876</v>
      </c>
      <c r="R100" s="67" cm="1">
        <f t="array" ref="R100">SUMPRODUCT((J100=$J$7:$J$1000)*(P100&lt;$P$7:$P$1000))+1</f>
        <v>25</v>
      </c>
      <c r="S100" s="72"/>
      <c r="T100">
        <v>14</v>
      </c>
      <c r="U100" t="str">
        <v>HOU</v>
      </c>
      <c r="V100" t="str">
        <v>Jeremy Misailegalu</v>
      </c>
      <c r="W100" t="str">
        <v>NULL</v>
      </c>
      <c r="X100" t="str">
        <v>Home</v>
      </c>
      <c r="Y100" t="str">
        <v>UTAH</v>
      </c>
      <c r="Z100">
        <v>12.214522269965977</v>
      </c>
    </row>
    <row r="101" spans="1:26" x14ac:dyDescent="0.35">
      <c r="A101">
        <f>VLOOKUP($B101, PlayerIDs!$A$1:$B$516, 2, FALSE)</f>
        <v>835</v>
      </c>
      <c r="B101" t="s">
        <v>460</v>
      </c>
      <c r="C101" s="1">
        <v>-0.53915602006467767</v>
      </c>
      <c r="D101" s="1">
        <f t="shared" si="13"/>
        <v>82</v>
      </c>
      <c r="E101" s="1" cm="1">
        <f t="array" ref="E101">IFERROR(VLOOKUP($B101,_xlfn._xlws.FILTER($L$7:$P$10000,$J$7:$J$10000=G$1+1),5, FALSE), 0)</f>
        <v>-2.9973777107956838</v>
      </c>
      <c r="F101" s="1">
        <f t="shared" si="14"/>
        <v>82</v>
      </c>
      <c r="G101" s="1">
        <f t="shared" ca="1" si="15"/>
        <v>-2.6999393425754699</v>
      </c>
      <c r="H101" s="1">
        <f t="shared" ca="1" si="16"/>
        <v>82</v>
      </c>
      <c r="I101" s="1" cm="1">
        <f t="array" ref="I101">COUNT(_xlfn._xlws.FILTER($J$7:$J$10000,($L$7:$L$10000=B101)*($M$7:$M$10000&lt;&gt;"NULL")*($J$7:$J$10000 &gt;= ($G$1-4))))/5</f>
        <v>0.2</v>
      </c>
      <c r="J101" s="66">
        <v>4</v>
      </c>
      <c r="K101" t="s">
        <v>7</v>
      </c>
      <c r="L101" t="s">
        <v>67</v>
      </c>
      <c r="M101">
        <v>11.1</v>
      </c>
      <c r="N101" t="s">
        <v>3</v>
      </c>
      <c r="O101" t="s">
        <v>14</v>
      </c>
      <c r="P101">
        <f t="shared" si="11"/>
        <v>12.644816799877809</v>
      </c>
      <c r="Q101">
        <f t="shared" si="12"/>
        <v>2.3864589451847156</v>
      </c>
      <c r="R101" s="67" cm="1">
        <f t="array" ref="R101">SUMPRODUCT((J101=$J$7:$J$1000)*(P101&lt;$P$7:$P$1000))+1</f>
        <v>2</v>
      </c>
      <c r="S101" s="72"/>
      <c r="T101">
        <v>14</v>
      </c>
      <c r="U101" t="str">
        <v>HOU</v>
      </c>
      <c r="V101" t="str">
        <v>Juan Dee Oliver</v>
      </c>
      <c r="W101" t="str">
        <v>NULL</v>
      </c>
      <c r="X101" t="str">
        <v>Home</v>
      </c>
      <c r="Y101" t="str">
        <v>UTAH</v>
      </c>
      <c r="Z101">
        <v>6.7628771502078457</v>
      </c>
    </row>
    <row r="102" spans="1:26" x14ac:dyDescent="0.35">
      <c r="J102" s="66">
        <v>4</v>
      </c>
      <c r="K102" t="s">
        <v>13</v>
      </c>
      <c r="L102" t="s">
        <v>477</v>
      </c>
      <c r="M102">
        <v>10.8</v>
      </c>
      <c r="N102" t="s">
        <v>3</v>
      </c>
      <c r="O102" t="s">
        <v>36</v>
      </c>
      <c r="P102">
        <f t="shared" si="11"/>
        <v>11.176865030594973</v>
      </c>
      <c r="Q102">
        <f t="shared" si="12"/>
        <v>0.14202725128534943</v>
      </c>
      <c r="R102" s="67" cm="1">
        <f t="array" ref="R102">SUMPRODUCT((J102=$J$7:$J$1000)*(P102&lt;$P$7:$P$1000))+1</f>
        <v>7</v>
      </c>
      <c r="S102" s="72"/>
      <c r="T102">
        <v>14</v>
      </c>
      <c r="U102" t="str">
        <v>HOU</v>
      </c>
      <c r="V102" t="str">
        <v>Max Schumacher</v>
      </c>
      <c r="W102" t="str">
        <v>NULL</v>
      </c>
      <c r="X102" t="str">
        <v>Home</v>
      </c>
      <c r="Y102" t="str">
        <v>UTAH</v>
      </c>
      <c r="Z102">
        <v>9.0922510241439554</v>
      </c>
    </row>
    <row r="103" spans="1:26" x14ac:dyDescent="0.35">
      <c r="J103" s="66">
        <v>4</v>
      </c>
      <c r="K103" t="s">
        <v>34</v>
      </c>
      <c r="L103" t="s">
        <v>95</v>
      </c>
      <c r="M103">
        <v>10.3</v>
      </c>
      <c r="N103" t="s">
        <v>3</v>
      </c>
      <c r="O103" t="s">
        <v>6</v>
      </c>
      <c r="P103">
        <f t="shared" si="11"/>
        <v>10.980933561270822</v>
      </c>
      <c r="Q103">
        <f t="shared" si="12"/>
        <v>0.46367051486496347</v>
      </c>
      <c r="R103" s="67" cm="1">
        <f t="array" ref="R103">SUMPRODUCT((J103=$J$7:$J$1000)*(P103&lt;$P$7:$P$1000))+1</f>
        <v>8</v>
      </c>
      <c r="S103" s="72"/>
      <c r="T103">
        <v>14</v>
      </c>
      <c r="U103" t="str">
        <v>HOU</v>
      </c>
      <c r="V103" t="str">
        <v>Rufus McLean</v>
      </c>
      <c r="W103" t="str">
        <v>NULL</v>
      </c>
      <c r="X103" t="str">
        <v>Home</v>
      </c>
      <c r="Y103" t="str">
        <v>UTAH</v>
      </c>
      <c r="Z103">
        <v>11.092068745120192</v>
      </c>
    </row>
    <row r="104" spans="1:26" x14ac:dyDescent="0.35">
      <c r="J104" s="66">
        <v>4</v>
      </c>
      <c r="K104" t="s">
        <v>6</v>
      </c>
      <c r="L104" t="s">
        <v>64</v>
      </c>
      <c r="M104">
        <v>10</v>
      </c>
      <c r="N104" t="s">
        <v>9</v>
      </c>
      <c r="O104" t="s">
        <v>34</v>
      </c>
      <c r="P104">
        <f t="shared" si="11"/>
        <v>9.5403221784901859</v>
      </c>
      <c r="Q104">
        <f t="shared" si="12"/>
        <v>0.21130369958800849</v>
      </c>
      <c r="R104" s="67" cm="1">
        <f t="array" ref="R104">SUMPRODUCT((J104=$J$7:$J$1000)*(P104&lt;$P$7:$P$1000))+1</f>
        <v>12</v>
      </c>
      <c r="S104" s="72"/>
      <c r="T104">
        <v>14</v>
      </c>
      <c r="U104" t="str">
        <v>HOU</v>
      </c>
      <c r="V104" t="str">
        <v>Seimou Smith</v>
      </c>
      <c r="W104" t="str">
        <v>NULL</v>
      </c>
      <c r="X104" t="str">
        <v>Home</v>
      </c>
      <c r="Y104" t="str">
        <v>UTAH</v>
      </c>
      <c r="Z104">
        <v>6.6201620067523441</v>
      </c>
    </row>
    <row r="105" spans="1:26" x14ac:dyDescent="0.35">
      <c r="J105" s="66">
        <v>4</v>
      </c>
      <c r="K105" t="s">
        <v>13</v>
      </c>
      <c r="L105" t="s">
        <v>79</v>
      </c>
      <c r="M105">
        <v>9.5</v>
      </c>
      <c r="N105" t="s">
        <v>3</v>
      </c>
      <c r="O105" t="s">
        <v>36</v>
      </c>
      <c r="P105">
        <f t="shared" si="11"/>
        <v>13.693055432187077</v>
      </c>
      <c r="Q105">
        <f t="shared" si="12"/>
        <v>17.581713857393552</v>
      </c>
      <c r="R105" s="67" cm="1">
        <f t="array" ref="R105">SUMPRODUCT((J105=$J$7:$J$1000)*(P105&lt;$P$7:$P$1000))+1</f>
        <v>1</v>
      </c>
      <c r="S105" s="72"/>
      <c r="T105">
        <v>14</v>
      </c>
      <c r="U105" t="str">
        <v>LA</v>
      </c>
      <c r="V105" t="str">
        <v>Andrew Coe</v>
      </c>
      <c r="W105" t="str">
        <v>NULL</v>
      </c>
      <c r="X105" t="str">
        <v>Away</v>
      </c>
      <c r="Y105" t="str">
        <v>CHI</v>
      </c>
      <c r="Z105">
        <v>9.4862278693702073</v>
      </c>
    </row>
    <row r="106" spans="1:26" x14ac:dyDescent="0.35">
      <c r="J106" s="66">
        <v>4</v>
      </c>
      <c r="K106" t="s">
        <v>17</v>
      </c>
      <c r="L106" t="s">
        <v>450</v>
      </c>
      <c r="M106">
        <v>8</v>
      </c>
      <c r="N106" t="s">
        <v>3</v>
      </c>
      <c r="O106" t="s">
        <v>23</v>
      </c>
      <c r="P106">
        <f t="shared" si="11"/>
        <v>6.0162876734214397</v>
      </c>
      <c r="Q106">
        <f t="shared" si="12"/>
        <v>3.935114594619725</v>
      </c>
      <c r="R106" s="67" cm="1">
        <f t="array" ref="R106">SUMPRODUCT((J106=$J$7:$J$1000)*(P106&lt;$P$7:$P$1000))+1</f>
        <v>23</v>
      </c>
      <c r="S106" s="72"/>
      <c r="T106">
        <v>14</v>
      </c>
      <c r="U106" t="str">
        <v>LA</v>
      </c>
      <c r="V106" t="str">
        <v>Christian Dyer</v>
      </c>
      <c r="W106" t="str">
        <v>NULL</v>
      </c>
      <c r="X106" t="str">
        <v>Away</v>
      </c>
      <c r="Y106" t="str">
        <v>CHI</v>
      </c>
      <c r="Z106">
        <v>2.5431425322224035</v>
      </c>
    </row>
    <row r="107" spans="1:26" x14ac:dyDescent="0.35">
      <c r="J107" s="66">
        <v>4</v>
      </c>
      <c r="K107" t="s">
        <v>24</v>
      </c>
      <c r="L107" t="s">
        <v>84</v>
      </c>
      <c r="M107">
        <v>6.6</v>
      </c>
      <c r="N107" t="s">
        <v>3</v>
      </c>
      <c r="O107" t="s">
        <v>2</v>
      </c>
      <c r="P107">
        <f t="shared" si="11"/>
        <v>7.5017804854827235</v>
      </c>
      <c r="Q107">
        <f t="shared" si="12"/>
        <v>0.81320804399745705</v>
      </c>
      <c r="R107" s="67" cm="1">
        <f t="array" ref="R107">SUMPRODUCT((J107=$J$7:$J$1000)*(P107&lt;$P$7:$P$1000))+1</f>
        <v>18</v>
      </c>
      <c r="S107" s="72"/>
      <c r="T107">
        <v>14</v>
      </c>
      <c r="U107" t="str">
        <v>LA</v>
      </c>
      <c r="V107" t="str">
        <v>Jack Shaw</v>
      </c>
      <c r="W107" t="str">
        <v>NULL</v>
      </c>
      <c r="X107" t="str">
        <v>Away</v>
      </c>
      <c r="Y107" t="str">
        <v>CHI</v>
      </c>
      <c r="Z107">
        <v>6.1253167152990304</v>
      </c>
    </row>
    <row r="108" spans="1:26" x14ac:dyDescent="0.35">
      <c r="J108" s="66">
        <v>4</v>
      </c>
      <c r="K108" t="s">
        <v>14</v>
      </c>
      <c r="L108" t="s">
        <v>83</v>
      </c>
      <c r="M108">
        <v>6.5</v>
      </c>
      <c r="N108" t="s">
        <v>9</v>
      </c>
      <c r="O108" t="s">
        <v>7</v>
      </c>
      <c r="P108">
        <f t="shared" si="11"/>
        <v>7.8826101318930766</v>
      </c>
      <c r="Q108">
        <f t="shared" si="12"/>
        <v>1.9116107768133905</v>
      </c>
      <c r="R108" s="67" cm="1">
        <f t="array" ref="R108">SUMPRODUCT((J108=$J$7:$J$1000)*(P108&lt;$P$7:$P$1000))+1</f>
        <v>16</v>
      </c>
      <c r="S108" s="72"/>
      <c r="T108">
        <v>14</v>
      </c>
      <c r="U108" t="str">
        <v>LA</v>
      </c>
      <c r="V108" t="str">
        <v>Reece Macdonald</v>
      </c>
      <c r="W108" t="str">
        <v>NULL</v>
      </c>
      <c r="X108" t="str">
        <v>Away</v>
      </c>
      <c r="Y108" t="str">
        <v>CHI</v>
      </c>
      <c r="Z108">
        <v>11.322893957348226</v>
      </c>
    </row>
    <row r="109" spans="1:26" x14ac:dyDescent="0.35">
      <c r="J109" s="66">
        <v>4</v>
      </c>
      <c r="K109" t="s">
        <v>2</v>
      </c>
      <c r="L109" t="s">
        <v>90</v>
      </c>
      <c r="M109">
        <v>6.4</v>
      </c>
      <c r="N109" t="s">
        <v>9</v>
      </c>
      <c r="O109" t="s">
        <v>24</v>
      </c>
      <c r="P109">
        <f t="shared" si="11"/>
        <v>7.8642501069544259</v>
      </c>
      <c r="Q109">
        <f t="shared" si="12"/>
        <v>2.1440283757160468</v>
      </c>
      <c r="R109" s="67" cm="1">
        <f t="array" ref="R109">SUMPRODUCT((J109=$J$7:$J$1000)*(P109&lt;$P$7:$P$1000))+1</f>
        <v>17</v>
      </c>
      <c r="S109" s="72"/>
      <c r="T109">
        <v>14</v>
      </c>
      <c r="U109" t="str">
        <v>LA</v>
      </c>
      <c r="V109" t="str">
        <v>Rory van Vugt</v>
      </c>
      <c r="W109" t="str">
        <v>NULL</v>
      </c>
      <c r="X109" t="str">
        <v>Away</v>
      </c>
      <c r="Y109" t="str">
        <v>CHI</v>
      </c>
      <c r="Z109">
        <v>11.880264830413052</v>
      </c>
    </row>
    <row r="110" spans="1:26" x14ac:dyDescent="0.35">
      <c r="J110" s="66">
        <v>4</v>
      </c>
      <c r="K110" t="s">
        <v>14</v>
      </c>
      <c r="L110" t="s">
        <v>285</v>
      </c>
      <c r="M110">
        <v>5.8</v>
      </c>
      <c r="N110" t="s">
        <v>9</v>
      </c>
      <c r="O110" t="s">
        <v>7</v>
      </c>
      <c r="P110">
        <f t="shared" si="11"/>
        <v>5.3612615592873043</v>
      </c>
      <c r="Q110">
        <f t="shared" si="12"/>
        <v>0.19249141935900743</v>
      </c>
      <c r="R110" s="67" cm="1">
        <f t="array" ref="R110">SUMPRODUCT((J110=$J$7:$J$1000)*(P110&lt;$P$7:$P$1000))+1</f>
        <v>24</v>
      </c>
      <c r="S110" s="72"/>
      <c r="T110">
        <v>14</v>
      </c>
      <c r="U110" t="str">
        <v>LA</v>
      </c>
      <c r="V110" t="str">
        <v>Seth Purdey</v>
      </c>
      <c r="W110" t="str">
        <v>NULL</v>
      </c>
      <c r="X110" t="str">
        <v>Away</v>
      </c>
      <c r="Y110" t="str">
        <v>CHI</v>
      </c>
      <c r="Z110">
        <v>4.9501344229913578</v>
      </c>
    </row>
    <row r="111" spans="1:26" x14ac:dyDescent="0.35">
      <c r="J111" s="66">
        <v>4</v>
      </c>
      <c r="K111" t="s">
        <v>36</v>
      </c>
      <c r="L111" t="s">
        <v>476</v>
      </c>
      <c r="M111">
        <v>5.6</v>
      </c>
      <c r="N111" t="s">
        <v>9</v>
      </c>
      <c r="O111" t="s">
        <v>13</v>
      </c>
      <c r="P111">
        <f t="shared" si="11"/>
        <v>7.9609385509556461</v>
      </c>
      <c r="Q111">
        <f t="shared" si="12"/>
        <v>5.5740308413885478</v>
      </c>
      <c r="R111" s="67" cm="1">
        <f t="array" ref="R111">SUMPRODUCT((J111=$J$7:$J$1000)*(P111&lt;$P$7:$P$1000))+1</f>
        <v>15</v>
      </c>
      <c r="S111" s="72"/>
      <c r="T111">
        <v>14</v>
      </c>
      <c r="U111" t="str">
        <v>LA</v>
      </c>
      <c r="V111" t="str">
        <v>Vaughen Isaacs</v>
      </c>
      <c r="W111" t="str">
        <v>NULL</v>
      </c>
      <c r="X111" t="str">
        <v>Away</v>
      </c>
      <c r="Y111" t="str">
        <v>CHI</v>
      </c>
      <c r="Z111">
        <v>12.047416610430325</v>
      </c>
    </row>
    <row r="112" spans="1:26" x14ac:dyDescent="0.35">
      <c r="J112" s="66">
        <v>4</v>
      </c>
      <c r="K112" t="s">
        <v>24</v>
      </c>
      <c r="L112" t="s">
        <v>446</v>
      </c>
      <c r="M112">
        <v>4.5999999999999996</v>
      </c>
      <c r="N112" t="s">
        <v>3</v>
      </c>
      <c r="O112" t="s">
        <v>2</v>
      </c>
      <c r="P112">
        <f t="shared" si="11"/>
        <v>8.3338925037220903</v>
      </c>
      <c r="Q112">
        <f t="shared" si="12"/>
        <v>13.941953229352023</v>
      </c>
      <c r="R112" s="67" cm="1">
        <f t="array" ref="R112">SUMPRODUCT((J112=$J$7:$J$1000)*(P112&lt;$P$7:$P$1000))+1</f>
        <v>14</v>
      </c>
      <c r="S112" s="72"/>
      <c r="T112">
        <v>14</v>
      </c>
      <c r="U112" t="str">
        <v>LA</v>
      </c>
      <c r="V112" t="str">
        <v>Will Leonard</v>
      </c>
      <c r="W112" t="str">
        <v>NULL</v>
      </c>
      <c r="X112" t="str">
        <v>Away</v>
      </c>
      <c r="Y112" t="str">
        <v>CHI</v>
      </c>
      <c r="Z112">
        <v>13.093764248587577</v>
      </c>
    </row>
    <row r="113" spans="10:26" x14ac:dyDescent="0.35">
      <c r="J113" s="66">
        <v>4</v>
      </c>
      <c r="K113" t="s">
        <v>24</v>
      </c>
      <c r="L113" t="s">
        <v>101</v>
      </c>
      <c r="M113">
        <v>3.6</v>
      </c>
      <c r="N113" t="s">
        <v>3</v>
      </c>
      <c r="O113" t="s">
        <v>2</v>
      </c>
      <c r="P113">
        <f t="shared" si="11"/>
        <v>6.7609865793147268</v>
      </c>
      <c r="Q113">
        <f t="shared" si="12"/>
        <v>9.9918361546078174</v>
      </c>
      <c r="R113" s="67" cm="1">
        <f t="array" ref="R113">SUMPRODUCT((J113=$J$7:$J$1000)*(P113&lt;$P$7:$P$1000))+1</f>
        <v>21</v>
      </c>
      <c r="S113" s="72"/>
      <c r="T113">
        <v>14</v>
      </c>
      <c r="U113" t="str">
        <v>MIA</v>
      </c>
      <c r="V113" t="str">
        <v>Connor Burns</v>
      </c>
      <c r="W113" t="str">
        <v>NULL</v>
      </c>
      <c r="X113" t="str">
        <v>Home</v>
      </c>
      <c r="Y113" t="str">
        <v>NEFJ</v>
      </c>
      <c r="Z113">
        <v>-1.0094723530282561</v>
      </c>
    </row>
    <row r="114" spans="10:26" x14ac:dyDescent="0.35">
      <c r="J114" s="66">
        <v>4</v>
      </c>
      <c r="K114" t="s">
        <v>2</v>
      </c>
      <c r="L114" t="s">
        <v>455</v>
      </c>
      <c r="M114">
        <v>3.2</v>
      </c>
      <c r="N114" t="s">
        <v>9</v>
      </c>
      <c r="O114" t="s">
        <v>24</v>
      </c>
      <c r="P114">
        <f t="shared" si="11"/>
        <v>6.0484224824447868</v>
      </c>
      <c r="Q114">
        <f t="shared" si="12"/>
        <v>8.1135106384969209</v>
      </c>
      <c r="R114" s="67" cm="1">
        <f t="array" ref="R114">SUMPRODUCT((J114=$J$7:$J$1000)*(P114&lt;$P$7:$P$1000))+1</f>
        <v>22</v>
      </c>
      <c r="S114" s="72"/>
      <c r="T114">
        <v>14</v>
      </c>
      <c r="U114" t="str">
        <v>MIA</v>
      </c>
      <c r="V114" t="str">
        <v>Guiseppe du Toit</v>
      </c>
      <c r="W114" t="str">
        <v>NULL</v>
      </c>
      <c r="X114" t="str">
        <v>Home</v>
      </c>
      <c r="Y114" t="str">
        <v>NEFJ</v>
      </c>
      <c r="Z114">
        <v>7.2335925440538915</v>
      </c>
    </row>
    <row r="115" spans="10:26" x14ac:dyDescent="0.35">
      <c r="J115" s="66">
        <v>4</v>
      </c>
      <c r="K115" t="s">
        <v>17</v>
      </c>
      <c r="L115" t="s">
        <v>497</v>
      </c>
      <c r="M115">
        <v>3.2</v>
      </c>
      <c r="N115" t="s">
        <v>3</v>
      </c>
      <c r="O115" t="s">
        <v>23</v>
      </c>
      <c r="P115">
        <f t="shared" si="11"/>
        <v>11.815012708284884</v>
      </c>
      <c r="Q115">
        <f t="shared" si="12"/>
        <v>74.218443963910033</v>
      </c>
      <c r="R115" s="67" cm="1">
        <f t="array" ref="R115">SUMPRODUCT((J115=$J$7:$J$1000)*(P115&lt;$P$7:$P$1000))+1</f>
        <v>5</v>
      </c>
      <c r="S115" s="72"/>
      <c r="T115">
        <v>14</v>
      </c>
      <c r="U115" t="str">
        <v>MIA</v>
      </c>
      <c r="V115" t="str">
        <v>Josiah Morra</v>
      </c>
      <c r="W115" t="str">
        <v>NULL</v>
      </c>
      <c r="X115" t="str">
        <v>Home</v>
      </c>
      <c r="Y115" t="str">
        <v>NEFJ</v>
      </c>
      <c r="Z115">
        <v>4.2423547609290093</v>
      </c>
    </row>
    <row r="116" spans="10:26" x14ac:dyDescent="0.35">
      <c r="J116" s="66">
        <v>4</v>
      </c>
      <c r="K116" t="s">
        <v>7</v>
      </c>
      <c r="L116" t="s">
        <v>65</v>
      </c>
      <c r="M116">
        <v>2.9</v>
      </c>
      <c r="N116" t="s">
        <v>3</v>
      </c>
      <c r="O116" t="s">
        <v>14</v>
      </c>
      <c r="P116">
        <f t="shared" si="11"/>
        <v>12.561459340763399</v>
      </c>
      <c r="Q116">
        <f t="shared" si="12"/>
        <v>93.343796593224326</v>
      </c>
      <c r="R116" s="67" cm="1">
        <f t="array" ref="R116">SUMPRODUCT((J116=$J$7:$J$1000)*(P116&lt;$P$7:$P$1000))+1</f>
        <v>3</v>
      </c>
      <c r="S116" s="72"/>
      <c r="T116">
        <v>14</v>
      </c>
      <c r="U116" t="str">
        <v>MIA</v>
      </c>
      <c r="V116" t="str">
        <v>Marcos Elisagaray</v>
      </c>
      <c r="W116" t="str">
        <v>NULL</v>
      </c>
      <c r="X116" t="str">
        <v>Home</v>
      </c>
      <c r="Y116" t="str">
        <v>NEFJ</v>
      </c>
      <c r="Z116">
        <v>-4.5607597064969418E-3</v>
      </c>
    </row>
    <row r="117" spans="10:26" x14ac:dyDescent="0.35">
      <c r="J117" s="66">
        <v>4</v>
      </c>
      <c r="K117" t="s">
        <v>34</v>
      </c>
      <c r="L117" t="s">
        <v>100</v>
      </c>
      <c r="M117">
        <v>2.5</v>
      </c>
      <c r="N117" t="s">
        <v>3</v>
      </c>
      <c r="O117" t="s">
        <v>6</v>
      </c>
      <c r="P117">
        <f t="shared" si="11"/>
        <v>7.0308208245913395</v>
      </c>
      <c r="Q117">
        <f t="shared" si="12"/>
        <v>20.528337344550547</v>
      </c>
      <c r="R117" s="67" cm="1">
        <f t="array" ref="R117">SUMPRODUCT((J117=$J$7:$J$1000)*(P117&lt;$P$7:$P$1000))+1</f>
        <v>20</v>
      </c>
      <c r="S117" s="72"/>
      <c r="T117">
        <v>14</v>
      </c>
      <c r="U117" t="str">
        <v>MIA</v>
      </c>
      <c r="V117" t="str">
        <v>Marcos Young</v>
      </c>
      <c r="W117" t="str">
        <v>NULL</v>
      </c>
      <c r="X117" t="str">
        <v>Home</v>
      </c>
      <c r="Y117" t="str">
        <v>NEFJ</v>
      </c>
      <c r="Z117">
        <v>5.3410316171340639</v>
      </c>
    </row>
    <row r="118" spans="10:26" x14ac:dyDescent="0.35">
      <c r="J118" s="66">
        <v>4</v>
      </c>
      <c r="K118" t="s">
        <v>6</v>
      </c>
      <c r="L118" t="s">
        <v>66</v>
      </c>
      <c r="M118">
        <v>2.2000000000000002</v>
      </c>
      <c r="N118" t="s">
        <v>9</v>
      </c>
      <c r="O118" t="s">
        <v>34</v>
      </c>
      <c r="P118">
        <f t="shared" si="11"/>
        <v>2.5972368413423825</v>
      </c>
      <c r="Q118">
        <f t="shared" si="12"/>
        <v>0.15779710811967304</v>
      </c>
      <c r="R118" s="67" cm="1">
        <f t="array" ref="R118">SUMPRODUCT((J118=$J$7:$J$1000)*(P118&lt;$P$7:$P$1000))+1</f>
        <v>30</v>
      </c>
      <c r="S118" s="72"/>
      <c r="T118">
        <v>14</v>
      </c>
      <c r="U118" t="str">
        <v>MIA</v>
      </c>
      <c r="V118" t="str">
        <v>Martin Elias</v>
      </c>
      <c r="W118" t="str">
        <v>NULL</v>
      </c>
      <c r="X118" t="str">
        <v>Home</v>
      </c>
      <c r="Y118" t="str">
        <v>NEFJ</v>
      </c>
      <c r="Z118">
        <v>7.6326379487129863</v>
      </c>
    </row>
    <row r="119" spans="10:26" x14ac:dyDescent="0.35">
      <c r="J119" s="66">
        <v>4</v>
      </c>
      <c r="K119" t="s">
        <v>23</v>
      </c>
      <c r="L119" t="s">
        <v>522</v>
      </c>
      <c r="M119">
        <v>0.6</v>
      </c>
      <c r="N119" t="s">
        <v>9</v>
      </c>
      <c r="O119" t="s">
        <v>17</v>
      </c>
      <c r="P119">
        <f t="shared" si="11"/>
        <v>4.0853893981703342</v>
      </c>
      <c r="Q119">
        <f t="shared" si="12"/>
        <v>12.147939256878164</v>
      </c>
      <c r="R119" s="67" cm="1">
        <f t="array" ref="R119">SUMPRODUCT((J119=$J$7:$J$1000)*(P119&lt;$P$7:$P$1000))+1</f>
        <v>29</v>
      </c>
      <c r="S119" s="72"/>
      <c r="T119">
        <v>14</v>
      </c>
      <c r="U119" t="str">
        <v>MIA</v>
      </c>
      <c r="V119" t="str">
        <v>Santiago Videla</v>
      </c>
      <c r="W119" t="str">
        <v>NULL</v>
      </c>
      <c r="X119" t="str">
        <v>Home</v>
      </c>
      <c r="Y119" t="str">
        <v>NEFJ</v>
      </c>
      <c r="Z119">
        <v>9.799804112035984</v>
      </c>
    </row>
    <row r="120" spans="10:26" x14ac:dyDescent="0.35">
      <c r="J120" s="66">
        <v>4</v>
      </c>
      <c r="K120" t="s">
        <v>23</v>
      </c>
      <c r="L120" t="s">
        <v>443</v>
      </c>
      <c r="M120">
        <v>-1</v>
      </c>
      <c r="N120" t="s">
        <v>9</v>
      </c>
      <c r="O120" t="s">
        <v>17</v>
      </c>
      <c r="P120">
        <f t="shared" si="11"/>
        <v>4.9458496167649129</v>
      </c>
      <c r="Q120">
        <f t="shared" si="12"/>
        <v>35.353127665183465</v>
      </c>
      <c r="R120" s="67" cm="1">
        <f t="array" ref="R120">SUMPRODUCT((J120=$J$7:$J$1000)*(P120&lt;$P$7:$P$1000))+1</f>
        <v>27</v>
      </c>
      <c r="S120" s="72"/>
      <c r="T120">
        <v>14</v>
      </c>
      <c r="U120" t="str">
        <v>MIA</v>
      </c>
      <c r="V120" t="str">
        <v>Shane O'Leary</v>
      </c>
      <c r="W120" t="str">
        <v>NULL</v>
      </c>
      <c r="X120" t="str">
        <v>Home</v>
      </c>
      <c r="Y120" t="str">
        <v>NEFJ</v>
      </c>
      <c r="Z120">
        <v>13.062032031087684</v>
      </c>
    </row>
    <row r="121" spans="10:26" x14ac:dyDescent="0.35">
      <c r="J121" s="66">
        <v>5</v>
      </c>
      <c r="K121" t="s">
        <v>7</v>
      </c>
      <c r="L121" t="s">
        <v>92</v>
      </c>
      <c r="M121">
        <v>26.7</v>
      </c>
      <c r="N121" t="s">
        <v>9</v>
      </c>
      <c r="O121" t="s">
        <v>2</v>
      </c>
      <c r="P121">
        <f t="shared" si="11"/>
        <v>8.4296467905910824</v>
      </c>
      <c r="Q121">
        <f t="shared" ref="Q121:Q184" si="17">IFERROR(($M121-$P121)^2,"")</f>
        <v>333.80580639655869</v>
      </c>
      <c r="R121" s="67" cm="1">
        <f t="array" ref="R121">SUMPRODUCT((J121=$J$7:$J$1000)*(P121&lt;$P$7:$P$1000))+1</f>
        <v>14</v>
      </c>
      <c r="S121" s="72"/>
      <c r="T121">
        <v>14</v>
      </c>
      <c r="U121" t="str">
        <v>MIA</v>
      </c>
      <c r="V121" t="str">
        <v>Tomás Cubilla</v>
      </c>
      <c r="W121" t="str">
        <v>NULL</v>
      </c>
      <c r="X121" t="str">
        <v>Home</v>
      </c>
      <c r="Y121" t="str">
        <v>NEFJ</v>
      </c>
      <c r="Z121">
        <v>6.1731436353734317</v>
      </c>
    </row>
    <row r="122" spans="10:26" x14ac:dyDescent="0.35">
      <c r="J122" s="66">
        <v>5</v>
      </c>
      <c r="K122" t="s">
        <v>6</v>
      </c>
      <c r="L122" t="s">
        <v>64</v>
      </c>
      <c r="M122">
        <v>23.2</v>
      </c>
      <c r="N122" t="s">
        <v>3</v>
      </c>
      <c r="O122" t="s">
        <v>17</v>
      </c>
      <c r="P122">
        <f t="shared" si="11"/>
        <v>10.329649479458562</v>
      </c>
      <c r="Q122">
        <f t="shared" si="17"/>
        <v>165.64592252160125</v>
      </c>
      <c r="R122" s="67" cm="1">
        <f t="array" ref="R122">SUMPRODUCT((J122=$J$7:$J$1000)*(P122&lt;$P$7:$P$1000))+1</f>
        <v>8</v>
      </c>
      <c r="S122" s="72"/>
      <c r="T122">
        <v>14</v>
      </c>
      <c r="U122" t="str">
        <v>MIA</v>
      </c>
      <c r="V122" t="str">
        <v>Tomas Malanos</v>
      </c>
      <c r="W122" t="str">
        <v>NULL</v>
      </c>
      <c r="X122" t="str">
        <v>Home</v>
      </c>
      <c r="Y122" t="str">
        <v>NEFJ</v>
      </c>
      <c r="Z122">
        <v>4.6002377109660681</v>
      </c>
    </row>
    <row r="123" spans="10:26" x14ac:dyDescent="0.35">
      <c r="J123" s="66">
        <v>5</v>
      </c>
      <c r="K123" t="s">
        <v>13</v>
      </c>
      <c r="L123" t="s">
        <v>477</v>
      </c>
      <c r="M123">
        <v>15.6</v>
      </c>
      <c r="N123" t="s">
        <v>9</v>
      </c>
      <c r="O123" t="s">
        <v>24</v>
      </c>
      <c r="P123">
        <f t="shared" si="11"/>
        <v>14.159122218035304</v>
      </c>
      <c r="Q123">
        <f t="shared" si="17"/>
        <v>2.0761287825595023</v>
      </c>
      <c r="R123" s="67" cm="1">
        <f t="array" ref="R123">SUMPRODUCT((J123=$J$7:$J$1000)*(P123&lt;$P$7:$P$1000))+1</f>
        <v>2</v>
      </c>
      <c r="S123" s="72"/>
      <c r="T123">
        <v>14</v>
      </c>
      <c r="U123" t="str">
        <v>NEFJ</v>
      </c>
      <c r="V123" t="str">
        <v>Brock Webster</v>
      </c>
      <c r="W123" t="str">
        <v>NULL</v>
      </c>
      <c r="X123" t="str">
        <v>Away</v>
      </c>
      <c r="Y123" t="str">
        <v>MIA</v>
      </c>
      <c r="Z123">
        <v>7.2453469782130853</v>
      </c>
    </row>
    <row r="124" spans="10:26" x14ac:dyDescent="0.35">
      <c r="J124" s="66">
        <v>5</v>
      </c>
      <c r="K124" t="s">
        <v>24</v>
      </c>
      <c r="L124" t="s">
        <v>96</v>
      </c>
      <c r="M124">
        <v>14.1</v>
      </c>
      <c r="N124" t="s">
        <v>3</v>
      </c>
      <c r="O124" t="s">
        <v>13</v>
      </c>
      <c r="P124">
        <f t="shared" si="11"/>
        <v>13.863038083259069</v>
      </c>
      <c r="Q124">
        <f t="shared" si="17"/>
        <v>5.6150949985535985E-2</v>
      </c>
      <c r="R124" s="67" cm="1">
        <f t="array" ref="R124">SUMPRODUCT((J124=$J$7:$J$1000)*(P124&lt;$P$7:$P$1000))+1</f>
        <v>3</v>
      </c>
      <c r="S124" s="72"/>
      <c r="T124">
        <v>14</v>
      </c>
      <c r="U124" t="str">
        <v>NEFJ</v>
      </c>
      <c r="V124" t="str">
        <v>Harrison Boyle</v>
      </c>
      <c r="W124" t="str">
        <v>NULL</v>
      </c>
      <c r="X124" t="str">
        <v>Away</v>
      </c>
      <c r="Y124" t="str">
        <v>MIA</v>
      </c>
      <c r="Z124">
        <v>8.1058071968076639</v>
      </c>
    </row>
    <row r="125" spans="10:26" x14ac:dyDescent="0.35">
      <c r="J125" s="66">
        <v>5</v>
      </c>
      <c r="K125" t="s">
        <v>17</v>
      </c>
      <c r="L125" t="s">
        <v>497</v>
      </c>
      <c r="M125">
        <v>14</v>
      </c>
      <c r="N125" t="s">
        <v>9</v>
      </c>
      <c r="O125" t="s">
        <v>6</v>
      </c>
      <c r="P125">
        <f t="shared" si="11"/>
        <v>11.146449349388108</v>
      </c>
      <c r="Q125">
        <f t="shared" si="17"/>
        <v>8.1427513156075513</v>
      </c>
      <c r="R125" s="67" cm="1">
        <f t="array" ref="R125">SUMPRODUCT((J125=$J$7:$J$1000)*(P125&lt;$P$7:$P$1000))+1</f>
        <v>7</v>
      </c>
      <c r="S125" s="72"/>
      <c r="T125">
        <v>14</v>
      </c>
      <c r="U125" t="str">
        <v>NEFJ</v>
      </c>
      <c r="V125" t="str">
        <v>Isaac Olson</v>
      </c>
      <c r="W125" t="str">
        <v>NULL</v>
      </c>
      <c r="X125" t="str">
        <v>Away</v>
      </c>
      <c r="Y125" t="str">
        <v>MIA</v>
      </c>
      <c r="Z125">
        <v>9.7299362213608074</v>
      </c>
    </row>
    <row r="126" spans="10:26" x14ac:dyDescent="0.35">
      <c r="J126" s="66">
        <v>5</v>
      </c>
      <c r="K126" t="s">
        <v>6</v>
      </c>
      <c r="L126" t="s">
        <v>94</v>
      </c>
      <c r="M126">
        <v>12.7</v>
      </c>
      <c r="N126" t="s">
        <v>3</v>
      </c>
      <c r="O126" t="s">
        <v>17</v>
      </c>
      <c r="P126">
        <f t="shared" si="11"/>
        <v>12.723686440501407</v>
      </c>
      <c r="Q126">
        <f t="shared" si="17"/>
        <v>5.6104746362671499E-4</v>
      </c>
      <c r="R126" s="67" cm="1">
        <f t="array" ref="R126">SUMPRODUCT((J126=$J$7:$J$1000)*(P126&lt;$P$7:$P$1000))+1</f>
        <v>5</v>
      </c>
      <c r="S126" s="72"/>
      <c r="T126">
        <v>14</v>
      </c>
      <c r="U126" t="str">
        <v>NEFJ</v>
      </c>
      <c r="V126" t="str">
        <v>Jack Reeves</v>
      </c>
      <c r="W126" t="str">
        <v>NULL</v>
      </c>
      <c r="X126" t="str">
        <v>Away</v>
      </c>
      <c r="Y126" t="str">
        <v>MIA</v>
      </c>
      <c r="Z126">
        <v>12.644790468343579</v>
      </c>
    </row>
    <row r="127" spans="10:26" x14ac:dyDescent="0.35">
      <c r="J127" s="66">
        <v>5</v>
      </c>
      <c r="K127" t="s">
        <v>13</v>
      </c>
      <c r="L127" t="s">
        <v>494</v>
      </c>
      <c r="M127">
        <v>12.6</v>
      </c>
      <c r="N127" t="s">
        <v>9</v>
      </c>
      <c r="O127" t="s">
        <v>24</v>
      </c>
      <c r="P127">
        <f t="shared" si="11"/>
        <v>13.068797591827039</v>
      </c>
      <c r="Q127">
        <f t="shared" si="17"/>
        <v>0.21977118210283134</v>
      </c>
      <c r="R127" s="67" cm="1">
        <f t="array" ref="R127">SUMPRODUCT((J127=$J$7:$J$1000)*(P127&lt;$P$7:$P$1000))+1</f>
        <v>4</v>
      </c>
      <c r="S127" s="72"/>
      <c r="T127">
        <v>14</v>
      </c>
      <c r="U127" t="str">
        <v>NEFJ</v>
      </c>
      <c r="V127" t="str">
        <v>Killian Coghlan</v>
      </c>
      <c r="W127" t="str">
        <v>NULL</v>
      </c>
      <c r="X127" t="str">
        <v>Away</v>
      </c>
      <c r="Y127" t="str">
        <v>MIA</v>
      </c>
      <c r="Z127">
        <v>5.9242935532806094</v>
      </c>
    </row>
    <row r="128" spans="10:26" x14ac:dyDescent="0.35">
      <c r="J128" s="66">
        <v>5</v>
      </c>
      <c r="K128" t="s">
        <v>23</v>
      </c>
      <c r="L128" t="s">
        <v>340</v>
      </c>
      <c r="M128">
        <v>12.5</v>
      </c>
      <c r="N128" t="s">
        <v>3</v>
      </c>
      <c r="O128" t="s">
        <v>4</v>
      </c>
      <c r="P128">
        <f t="shared" si="11"/>
        <v>8.8965753209918752</v>
      </c>
      <c r="Q128">
        <f t="shared" si="17"/>
        <v>12.984669417284808</v>
      </c>
      <c r="R128" s="67" cm="1">
        <f t="array" ref="R128">SUMPRODUCT((J128=$J$7:$J$1000)*(P128&lt;$P$7:$P$1000))+1</f>
        <v>13</v>
      </c>
      <c r="S128" s="72"/>
      <c r="T128">
        <v>14</v>
      </c>
      <c r="U128" t="str">
        <v>NEFJ</v>
      </c>
      <c r="V128" t="str">
        <v>Paula Balekana</v>
      </c>
      <c r="W128" t="str">
        <v>NULL</v>
      </c>
      <c r="X128" t="str">
        <v>Away</v>
      </c>
      <c r="Y128" t="str">
        <v>MIA</v>
      </c>
      <c r="Z128">
        <v>15.761632282407509</v>
      </c>
    </row>
    <row r="129" spans="10:26" x14ac:dyDescent="0.35">
      <c r="J129" s="66">
        <v>5</v>
      </c>
      <c r="K129" t="s">
        <v>17</v>
      </c>
      <c r="L129" t="s">
        <v>531</v>
      </c>
      <c r="M129">
        <v>12.5</v>
      </c>
      <c r="N129" t="s">
        <v>9</v>
      </c>
      <c r="O129" t="s">
        <v>6</v>
      </c>
      <c r="P129">
        <f t="shared" si="11"/>
        <v>11.547184252335956</v>
      </c>
      <c r="Q129">
        <f t="shared" si="17"/>
        <v>0.90785784899659072</v>
      </c>
      <c r="R129" s="67" cm="1">
        <f t="array" ref="R129">SUMPRODUCT((J129=$J$7:$J$1000)*(P129&lt;$P$7:$P$1000))+1</f>
        <v>6</v>
      </c>
      <c r="S129" s="72"/>
      <c r="T129">
        <v>14</v>
      </c>
      <c r="U129" t="str">
        <v>NEFJ</v>
      </c>
      <c r="V129" t="str">
        <v>Simon-Peter Toleafoa</v>
      </c>
      <c r="W129" t="str">
        <v>NULL</v>
      </c>
      <c r="X129" t="str">
        <v>Away</v>
      </c>
      <c r="Y129" t="str">
        <v>MIA</v>
      </c>
      <c r="Z129">
        <v>8.4154360495038816</v>
      </c>
    </row>
    <row r="130" spans="10:26" x14ac:dyDescent="0.35">
      <c r="J130" s="66">
        <v>5</v>
      </c>
      <c r="K130" t="s">
        <v>13</v>
      </c>
      <c r="L130" t="s">
        <v>79</v>
      </c>
      <c r="M130">
        <v>8.6999999999999993</v>
      </c>
      <c r="N130" t="s">
        <v>9</v>
      </c>
      <c r="O130" t="s">
        <v>24</v>
      </c>
      <c r="P130">
        <f t="shared" si="11"/>
        <v>16.675312619627409</v>
      </c>
      <c r="Q130">
        <f t="shared" si="17"/>
        <v>63.605611380788211</v>
      </c>
      <c r="R130" s="67" cm="1">
        <f t="array" ref="R130">SUMPRODUCT((J130=$J$7:$J$1000)*(P130&lt;$P$7:$P$1000))+1</f>
        <v>1</v>
      </c>
      <c r="S130" s="72"/>
      <c r="T130">
        <v>14</v>
      </c>
      <c r="U130" t="str">
        <v>OGDC</v>
      </c>
      <c r="V130" t="str">
        <v>Axel Muller</v>
      </c>
      <c r="W130" t="str">
        <v>NULL</v>
      </c>
      <c r="X130" t="str">
        <v>Away</v>
      </c>
      <c r="Y130" t="str">
        <v>ARC</v>
      </c>
      <c r="Z130">
        <v>11.43014686757509</v>
      </c>
    </row>
    <row r="131" spans="10:26" x14ac:dyDescent="0.35">
      <c r="J131" s="65">
        <v>5</v>
      </c>
      <c r="K131" t="s">
        <v>7</v>
      </c>
      <c r="L131" t="s">
        <v>67</v>
      </c>
      <c r="M131">
        <v>8.1999999999999993</v>
      </c>
      <c r="N131" t="s">
        <v>9</v>
      </c>
      <c r="O131" t="s">
        <v>2</v>
      </c>
      <c r="P131">
        <f t="shared" si="11"/>
        <v>9.148534722049515</v>
      </c>
      <c r="Q131">
        <f t="shared" si="17"/>
        <v>0.89971811893355202</v>
      </c>
      <c r="R131" s="67" cm="1">
        <f t="array" ref="R131">SUMPRODUCT((J131=$J$7:$J$1000)*(P131&lt;$P$7:$P$1000))+1</f>
        <v>11</v>
      </c>
      <c r="S131" s="72"/>
      <c r="T131">
        <v>14</v>
      </c>
      <c r="U131" t="str">
        <v>OGDC</v>
      </c>
      <c r="V131" t="str">
        <v>Damien Hoyland</v>
      </c>
      <c r="W131" t="str">
        <v>NULL</v>
      </c>
      <c r="X131" t="str">
        <v>Away</v>
      </c>
      <c r="Y131" t="str">
        <v>ARC</v>
      </c>
      <c r="Z131">
        <v>11.5135043266895</v>
      </c>
    </row>
    <row r="132" spans="10:26" x14ac:dyDescent="0.35">
      <c r="J132" s="66">
        <v>5</v>
      </c>
      <c r="K132" t="s">
        <v>7</v>
      </c>
      <c r="L132" t="s">
        <v>65</v>
      </c>
      <c r="M132">
        <v>7.7</v>
      </c>
      <c r="N132" t="s">
        <v>9</v>
      </c>
      <c r="O132" t="s">
        <v>2</v>
      </c>
      <c r="P132">
        <f t="shared" si="11"/>
        <v>9.0651772629351051</v>
      </c>
      <c r="Q132">
        <f t="shared" si="17"/>
        <v>1.8637089592349845</v>
      </c>
      <c r="R132" s="67" cm="1">
        <f t="array" ref="R132">SUMPRODUCT((J132=$J$7:$J$1000)*(P132&lt;$P$7:$P$1000))+1</f>
        <v>12</v>
      </c>
      <c r="S132" s="72"/>
      <c r="T132">
        <v>14</v>
      </c>
      <c r="U132" t="str">
        <v>OGDC</v>
      </c>
      <c r="V132" t="str">
        <v>Jason Robertson</v>
      </c>
      <c r="W132" t="str">
        <v>NULL</v>
      </c>
      <c r="X132" t="str">
        <v>Away</v>
      </c>
      <c r="Y132" t="str">
        <v>ARC</v>
      </c>
      <c r="Z132">
        <v>12.82255077339291</v>
      </c>
    </row>
    <row r="133" spans="10:26" x14ac:dyDescent="0.35">
      <c r="J133" s="66">
        <v>5</v>
      </c>
      <c r="K133" t="s">
        <v>2</v>
      </c>
      <c r="L133" t="s">
        <v>63</v>
      </c>
      <c r="M133">
        <v>5.6</v>
      </c>
      <c r="N133" t="s">
        <v>3</v>
      </c>
      <c r="O133" t="s">
        <v>7</v>
      </c>
      <c r="P133">
        <f t="shared" si="11"/>
        <v>4.3840678871441332</v>
      </c>
      <c r="Q133">
        <f t="shared" si="17"/>
        <v>1.4784909030741316</v>
      </c>
      <c r="R133" s="67" cm="1">
        <f t="array" ref="R133">SUMPRODUCT((J133=$J$7:$J$1000)*(P133&lt;$P$7:$P$1000))+1</f>
        <v>21</v>
      </c>
      <c r="S133" s="72"/>
      <c r="T133">
        <v>14</v>
      </c>
      <c r="U133" t="str">
        <v>OGDC</v>
      </c>
      <c r="V133" t="str">
        <v>John Rizzo</v>
      </c>
      <c r="W133" t="str">
        <v>NULL</v>
      </c>
      <c r="X133" t="str">
        <v>Away</v>
      </c>
      <c r="Y133" t="str">
        <v>ARC</v>
      </c>
      <c r="Z133">
        <v>13.235934055899204</v>
      </c>
    </row>
    <row r="134" spans="10:26" x14ac:dyDescent="0.35">
      <c r="J134" s="66">
        <v>5</v>
      </c>
      <c r="K134" t="s">
        <v>4</v>
      </c>
      <c r="L134" t="s">
        <v>457</v>
      </c>
      <c r="M134">
        <v>5.3</v>
      </c>
      <c r="N134" t="s">
        <v>9</v>
      </c>
      <c r="O134" t="s">
        <v>23</v>
      </c>
      <c r="P134">
        <f t="shared" si="11"/>
        <v>8.1063118379699439</v>
      </c>
      <c r="Q134">
        <f t="shared" si="17"/>
        <v>7.8753861319302461</v>
      </c>
      <c r="R134" s="67" cm="1">
        <f t="array" ref="R134">SUMPRODUCT((J134=$J$7:$J$1000)*(P134&lt;$P$7:$P$1000))+1</f>
        <v>15</v>
      </c>
      <c r="S134" s="72"/>
      <c r="T134">
        <v>14</v>
      </c>
      <c r="U134" t="str">
        <v>OGDC</v>
      </c>
      <c r="V134" t="str">
        <v>Owen Sheehy</v>
      </c>
      <c r="W134" t="str">
        <v>NULL</v>
      </c>
      <c r="X134" t="str">
        <v>Away</v>
      </c>
      <c r="Y134" t="str">
        <v>ARC</v>
      </c>
      <c r="Z134">
        <v>8.1120431867471634</v>
      </c>
    </row>
    <row r="135" spans="10:26" x14ac:dyDescent="0.35">
      <c r="J135" s="66">
        <v>5</v>
      </c>
      <c r="K135" t="s">
        <v>23</v>
      </c>
      <c r="L135" t="s">
        <v>456</v>
      </c>
      <c r="M135">
        <v>4.4000000000000004</v>
      </c>
      <c r="N135" t="s">
        <v>3</v>
      </c>
      <c r="O135" t="s">
        <v>4</v>
      </c>
      <c r="P135">
        <f t="shared" si="11"/>
        <v>7.5820751491349485</v>
      </c>
      <c r="Q135">
        <f t="shared" si="17"/>
        <v>10.125602254742203</v>
      </c>
      <c r="R135" s="67" cm="1">
        <f t="array" ref="R135">SUMPRODUCT((J135=$J$7:$J$1000)*(P135&lt;$P$7:$P$1000))+1</f>
        <v>16</v>
      </c>
      <c r="S135" s="72"/>
      <c r="T135">
        <v>14</v>
      </c>
      <c r="U135" t="str">
        <v>OGDC</v>
      </c>
      <c r="V135" t="str">
        <v>Perry Humphreys</v>
      </c>
      <c r="W135" t="str">
        <v>NULL</v>
      </c>
      <c r="X135" t="str">
        <v>Away</v>
      </c>
      <c r="Y135" t="str">
        <v>ARC</v>
      </c>
      <c r="Z135">
        <v>10.794616395231067</v>
      </c>
    </row>
    <row r="136" spans="10:26" x14ac:dyDescent="0.35">
      <c r="J136" s="66">
        <v>5</v>
      </c>
      <c r="K136" t="s">
        <v>4</v>
      </c>
      <c r="L136" t="s">
        <v>453</v>
      </c>
      <c r="M136">
        <v>4.3</v>
      </c>
      <c r="N136" t="s">
        <v>9</v>
      </c>
      <c r="O136" t="s">
        <v>23</v>
      </c>
      <c r="P136">
        <f t="shared" ref="P136:P199" si="18">VLOOKUP($N136,$F$3:$G$4,2,FALSE)+VLOOKUP($L136,$B$20:$C$150,2,FALSE)+VLOOKUP($O136,$A$6:$B$16,2,FALSE)</f>
        <v>9.6726362706565538</v>
      </c>
      <c r="Q136">
        <f t="shared" si="17"/>
        <v>28.865220496774366</v>
      </c>
      <c r="R136" s="67" cm="1">
        <f t="array" ref="R136">SUMPRODUCT((J136=$J$7:$J$1000)*(P136&lt;$P$7:$P$1000))+1</f>
        <v>9</v>
      </c>
      <c r="S136" s="72"/>
      <c r="T136">
        <v>14</v>
      </c>
      <c r="U136" t="str">
        <v>SDL</v>
      </c>
      <c r="V136" t="str">
        <v>Ethan Grayson</v>
      </c>
      <c r="W136" t="str">
        <v>NULL</v>
      </c>
      <c r="X136" t="str">
        <v>Away</v>
      </c>
      <c r="Y136" t="str">
        <v>SEA</v>
      </c>
      <c r="Z136">
        <v>10.43548167477195</v>
      </c>
    </row>
    <row r="137" spans="10:26" x14ac:dyDescent="0.35">
      <c r="J137" s="66">
        <v>5</v>
      </c>
      <c r="K137" t="s">
        <v>17</v>
      </c>
      <c r="L137" t="s">
        <v>82</v>
      </c>
      <c r="M137">
        <v>4</v>
      </c>
      <c r="N137" t="s">
        <v>9</v>
      </c>
      <c r="O137" t="s">
        <v>6</v>
      </c>
      <c r="P137">
        <f t="shared" si="18"/>
        <v>6.6386341710743135</v>
      </c>
      <c r="Q137">
        <f t="shared" si="17"/>
        <v>6.9623902887610294</v>
      </c>
      <c r="R137" s="67" cm="1">
        <f t="array" ref="R137">SUMPRODUCT((J137=$J$7:$J$1000)*(P137&lt;$P$7:$P$1000))+1</f>
        <v>17</v>
      </c>
      <c r="S137" s="72"/>
      <c r="T137">
        <v>14</v>
      </c>
      <c r="U137" t="str">
        <v>SDL</v>
      </c>
      <c r="V137" t="str">
        <v>James Vaifale</v>
      </c>
      <c r="W137" t="str">
        <v>NULL</v>
      </c>
      <c r="X137" t="str">
        <v>Away</v>
      </c>
      <c r="Y137" t="str">
        <v>SEA</v>
      </c>
      <c r="Z137">
        <v>7.2866847156388115</v>
      </c>
    </row>
    <row r="138" spans="10:26" x14ac:dyDescent="0.35">
      <c r="J138" s="66">
        <v>5</v>
      </c>
      <c r="K138" t="s">
        <v>24</v>
      </c>
      <c r="L138" t="s">
        <v>84</v>
      </c>
      <c r="M138">
        <v>3.8</v>
      </c>
      <c r="N138" t="s">
        <v>3</v>
      </c>
      <c r="O138" t="s">
        <v>13</v>
      </c>
      <c r="P138">
        <f t="shared" si="18"/>
        <v>9.4042655883571484</v>
      </c>
      <c r="Q138">
        <f t="shared" si="17"/>
        <v>31.407792784844098</v>
      </c>
      <c r="R138" s="67" cm="1">
        <f t="array" ref="R138">SUMPRODUCT((J138=$J$7:$J$1000)*(P138&lt;$P$7:$P$1000))+1</f>
        <v>10</v>
      </c>
      <c r="S138" s="72"/>
      <c r="T138">
        <v>14</v>
      </c>
      <c r="U138" t="str">
        <v>SDL</v>
      </c>
      <c r="V138" t="str">
        <v>Rhian Stowers</v>
      </c>
      <c r="W138" t="str">
        <v>NULL</v>
      </c>
      <c r="X138" t="str">
        <v>Away</v>
      </c>
      <c r="Y138" t="str">
        <v>SEA</v>
      </c>
      <c r="Z138">
        <v>10.864151486820802</v>
      </c>
    </row>
    <row r="139" spans="10:26" x14ac:dyDescent="0.35">
      <c r="J139" s="66">
        <v>5</v>
      </c>
      <c r="K139" t="s">
        <v>2</v>
      </c>
      <c r="L139" t="s">
        <v>90</v>
      </c>
      <c r="M139">
        <v>3.5</v>
      </c>
      <c r="N139" t="s">
        <v>3</v>
      </c>
      <c r="O139" t="s">
        <v>7</v>
      </c>
      <c r="P139">
        <f t="shared" si="18"/>
        <v>5.5508509062489209</v>
      </c>
      <c r="Q139">
        <f t="shared" si="17"/>
        <v>4.2059894396620203</v>
      </c>
      <c r="R139" s="67" cm="1">
        <f t="array" ref="R139">SUMPRODUCT((J139=$J$7:$J$1000)*(P139&lt;$P$7:$P$1000))+1</f>
        <v>19</v>
      </c>
      <c r="S139" s="72"/>
      <c r="T139">
        <v>14</v>
      </c>
      <c r="U139" t="str">
        <v>SDL</v>
      </c>
      <c r="V139" t="str">
        <v>Ryan James</v>
      </c>
      <c r="W139" t="str">
        <v>NULL</v>
      </c>
      <c r="X139" t="str">
        <v>Away</v>
      </c>
      <c r="Y139" t="str">
        <v>SEA</v>
      </c>
      <c r="Z139">
        <v>11.259729979039683</v>
      </c>
    </row>
    <row r="140" spans="10:26" x14ac:dyDescent="0.35">
      <c r="J140" s="65">
        <v>5</v>
      </c>
      <c r="K140" t="s">
        <v>4</v>
      </c>
      <c r="L140" t="s">
        <v>74</v>
      </c>
      <c r="M140">
        <v>2.9</v>
      </c>
      <c r="N140" t="s">
        <v>9</v>
      </c>
      <c r="O140" t="s">
        <v>23</v>
      </c>
      <c r="P140">
        <f t="shared" si="18"/>
        <v>5.7316002335074305</v>
      </c>
      <c r="Q140">
        <f t="shared" si="17"/>
        <v>8.0179598823993352</v>
      </c>
      <c r="R140" s="67" cm="1">
        <f t="array" ref="R140">SUMPRODUCT((J140=$J$7:$J$1000)*(P140&lt;$P$7:$P$1000))+1</f>
        <v>18</v>
      </c>
      <c r="S140" s="72"/>
      <c r="T140">
        <v>14</v>
      </c>
      <c r="U140" t="str">
        <v>SDL</v>
      </c>
      <c r="V140" t="str">
        <v>Steffan Crimp</v>
      </c>
      <c r="W140" t="str">
        <v>NULL</v>
      </c>
      <c r="X140" t="str">
        <v>Away</v>
      </c>
      <c r="Y140" t="str">
        <v>SEA</v>
      </c>
      <c r="Z140">
        <v>12.589050642136671</v>
      </c>
    </row>
    <row r="141" spans="10:26" x14ac:dyDescent="0.35">
      <c r="J141" s="66">
        <v>5</v>
      </c>
      <c r="K141" t="s">
        <v>24</v>
      </c>
      <c r="L141" t="s">
        <v>459</v>
      </c>
      <c r="M141">
        <v>2.5</v>
      </c>
      <c r="N141" t="s">
        <v>3</v>
      </c>
      <c r="O141" t="s">
        <v>13</v>
      </c>
      <c r="P141">
        <f t="shared" si="18"/>
        <v>3.0537616181948284</v>
      </c>
      <c r="Q141">
        <f t="shared" si="17"/>
        <v>0.3066519297857549</v>
      </c>
      <c r="R141" s="67" cm="1">
        <f t="array" ref="R141">SUMPRODUCT((J141=$J$7:$J$1000)*(P141&lt;$P$7:$P$1000))+1</f>
        <v>23</v>
      </c>
      <c r="S141" s="72"/>
      <c r="T141">
        <v>14</v>
      </c>
      <c r="U141" t="str">
        <v>SDL</v>
      </c>
      <c r="V141" t="str">
        <v>Tomas Aoake</v>
      </c>
      <c r="W141" t="str">
        <v>NULL</v>
      </c>
      <c r="X141" t="str">
        <v>Away</v>
      </c>
      <c r="Y141" t="str">
        <v>SEA</v>
      </c>
      <c r="Z141">
        <v>7.3096172423602006</v>
      </c>
    </row>
    <row r="142" spans="10:26" x14ac:dyDescent="0.35">
      <c r="J142" s="66">
        <v>5</v>
      </c>
      <c r="K142" t="s">
        <v>23</v>
      </c>
      <c r="L142" t="s">
        <v>498</v>
      </c>
      <c r="M142">
        <v>1.8</v>
      </c>
      <c r="N142" t="s">
        <v>3</v>
      </c>
      <c r="O142" t="s">
        <v>4</v>
      </c>
      <c r="P142">
        <f t="shared" si="18"/>
        <v>5.0909326529116754</v>
      </c>
      <c r="Q142">
        <f t="shared" si="17"/>
        <v>10.830237726000279</v>
      </c>
      <c r="R142" s="67" cm="1">
        <f t="array" ref="R142">SUMPRODUCT((J142=$J$7:$J$1000)*(P142&lt;$P$7:$P$1000))+1</f>
        <v>20</v>
      </c>
      <c r="S142" s="72"/>
      <c r="T142">
        <v>14</v>
      </c>
      <c r="U142" t="str">
        <v>SEA</v>
      </c>
      <c r="V142" t="str">
        <v>Divan Rossouw</v>
      </c>
      <c r="W142" t="str">
        <v>NULL</v>
      </c>
      <c r="X142" t="str">
        <v>Home</v>
      </c>
      <c r="Y142" t="str">
        <v>SDL</v>
      </c>
      <c r="Z142">
        <v>16.692806193933723</v>
      </c>
    </row>
    <row r="143" spans="10:26" x14ac:dyDescent="0.35">
      <c r="J143" s="66">
        <v>5</v>
      </c>
      <c r="K143" t="s">
        <v>6</v>
      </c>
      <c r="L143" t="s">
        <v>66</v>
      </c>
      <c r="M143">
        <v>1.6</v>
      </c>
      <c r="N143" t="s">
        <v>3</v>
      </c>
      <c r="O143" t="s">
        <v>17</v>
      </c>
      <c r="P143">
        <f t="shared" si="18"/>
        <v>3.3865641423107578</v>
      </c>
      <c r="Q143">
        <f t="shared" si="17"/>
        <v>3.1918114345905733</v>
      </c>
      <c r="R143" s="67" cm="1">
        <f t="array" ref="R143">SUMPRODUCT((J143=$J$7:$J$1000)*(P143&lt;$P$7:$P$1000))+1</f>
        <v>22</v>
      </c>
      <c r="S143" s="72"/>
      <c r="T143">
        <v>14</v>
      </c>
      <c r="U143" t="str">
        <v>SEA</v>
      </c>
      <c r="V143" t="str">
        <v>Duncan Matthews</v>
      </c>
      <c r="W143" t="str">
        <v>NULL</v>
      </c>
      <c r="X143" t="str">
        <v>Home</v>
      </c>
      <c r="Y143" t="str">
        <v>SDL</v>
      </c>
      <c r="Z143">
        <v>14.029855885753522</v>
      </c>
    </row>
    <row r="144" spans="10:26" x14ac:dyDescent="0.35">
      <c r="J144" s="66">
        <v>5</v>
      </c>
      <c r="K144" t="s">
        <v>2</v>
      </c>
      <c r="L144" t="s">
        <v>88</v>
      </c>
      <c r="M144">
        <v>0.8</v>
      </c>
      <c r="N144" t="s">
        <v>3</v>
      </c>
      <c r="O144" t="s">
        <v>7</v>
      </c>
      <c r="P144">
        <f t="shared" si="18"/>
        <v>2.5835698483219041</v>
      </c>
      <c r="Q144">
        <f t="shared" si="17"/>
        <v>3.1811214038430196</v>
      </c>
      <c r="R144" s="67" cm="1">
        <f t="array" ref="R144">SUMPRODUCT((J144=$J$7:$J$1000)*(P144&lt;$P$7:$P$1000))+1</f>
        <v>24</v>
      </c>
      <c r="S144" s="72"/>
      <c r="T144">
        <v>14</v>
      </c>
      <c r="U144" t="str">
        <v>SEA</v>
      </c>
      <c r="V144" t="str">
        <v>Jade Stighling</v>
      </c>
      <c r="W144" t="str">
        <v>NULL</v>
      </c>
      <c r="X144" t="str">
        <v>Home</v>
      </c>
      <c r="Y144" t="str">
        <v>SDL</v>
      </c>
      <c r="Z144">
        <v>8.255667421421208</v>
      </c>
    </row>
    <row r="145" spans="10:26" x14ac:dyDescent="0.35">
      <c r="J145" s="66">
        <v>6</v>
      </c>
      <c r="K145" t="s">
        <v>34</v>
      </c>
      <c r="L145" t="s">
        <v>536</v>
      </c>
      <c r="M145">
        <v>18.2</v>
      </c>
      <c r="N145" t="s">
        <v>3</v>
      </c>
      <c r="O145" t="s">
        <v>24</v>
      </c>
      <c r="P145">
        <f t="shared" si="18"/>
        <v>15.155421540051861</v>
      </c>
      <c r="Q145">
        <f t="shared" si="17"/>
        <v>9.2694579987801742</v>
      </c>
      <c r="R145" s="67" cm="1">
        <f t="array" ref="R145">SUMPRODUCT((J145=$J$7:$J$1000)*(P145&lt;$P$7:$P$1000))+1</f>
        <v>3</v>
      </c>
      <c r="S145" s="72"/>
      <c r="T145">
        <v>14</v>
      </c>
      <c r="U145" t="str">
        <v>SEA</v>
      </c>
      <c r="V145" t="str">
        <v>Jeremiah Sio</v>
      </c>
      <c r="W145" t="str">
        <v>NULL</v>
      </c>
      <c r="X145" t="str">
        <v>Home</v>
      </c>
      <c r="Y145" t="str">
        <v>SDL</v>
      </c>
      <c r="Z145">
        <v>1.5261886533001019</v>
      </c>
    </row>
    <row r="146" spans="10:26" x14ac:dyDescent="0.35">
      <c r="J146" s="66">
        <v>6</v>
      </c>
      <c r="K146" t="s">
        <v>4</v>
      </c>
      <c r="L146" t="s">
        <v>453</v>
      </c>
      <c r="M146">
        <v>16.7</v>
      </c>
      <c r="N146" t="s">
        <v>3</v>
      </c>
      <c r="O146" t="s">
        <v>6</v>
      </c>
      <c r="P146">
        <f t="shared" si="18"/>
        <v>11.266697858136396</v>
      </c>
      <c r="Q146">
        <f t="shared" si="17"/>
        <v>29.520772164779615</v>
      </c>
      <c r="R146" s="67" cm="1">
        <f t="array" ref="R146">SUMPRODUCT((J146=$J$7:$J$1000)*(P146&lt;$P$7:$P$1000))+1</f>
        <v>9</v>
      </c>
      <c r="S146" s="72"/>
      <c r="T146">
        <v>14</v>
      </c>
      <c r="U146" t="str">
        <v>SEA</v>
      </c>
      <c r="V146" t="str">
        <v>Lauina Futi</v>
      </c>
      <c r="W146" t="str">
        <v>NULL</v>
      </c>
      <c r="X146" t="str">
        <v>Home</v>
      </c>
      <c r="Y146" t="str">
        <v>SDL</v>
      </c>
      <c r="Z146">
        <v>9.5220407074397269</v>
      </c>
    </row>
    <row r="147" spans="10:26" x14ac:dyDescent="0.35">
      <c r="J147" s="66">
        <v>6</v>
      </c>
      <c r="K147" t="s">
        <v>6</v>
      </c>
      <c r="L147" t="s">
        <v>94</v>
      </c>
      <c r="M147">
        <v>12.8</v>
      </c>
      <c r="N147" t="s">
        <v>9</v>
      </c>
      <c r="O147" t="s">
        <v>4</v>
      </c>
      <c r="P147">
        <f t="shared" si="18"/>
        <v>12.787658173798606</v>
      </c>
      <c r="Q147">
        <f t="shared" si="17"/>
        <v>1.5232067398542946E-4</v>
      </c>
      <c r="R147" s="67" cm="1">
        <f t="array" ref="R147">SUMPRODUCT((J147=$J$7:$J$1000)*(P147&lt;$P$7:$P$1000))+1</f>
        <v>5</v>
      </c>
      <c r="S147" s="72"/>
      <c r="T147">
        <v>14</v>
      </c>
      <c r="U147" t="str">
        <v>SEA</v>
      </c>
      <c r="V147" t="str">
        <v>Malacchi Esdale</v>
      </c>
      <c r="W147" t="str">
        <v>NULL</v>
      </c>
      <c r="X147" t="str">
        <v>Home</v>
      </c>
      <c r="Y147" t="str">
        <v>SDL</v>
      </c>
      <c r="Z147">
        <v>14.43059078870137</v>
      </c>
    </row>
    <row r="148" spans="10:26" x14ac:dyDescent="0.35">
      <c r="J148" s="66">
        <v>6</v>
      </c>
      <c r="K148" t="s">
        <v>17</v>
      </c>
      <c r="L148" t="s">
        <v>450</v>
      </c>
      <c r="M148">
        <v>12.5</v>
      </c>
      <c r="N148" t="s">
        <v>3</v>
      </c>
      <c r="O148" t="s">
        <v>13</v>
      </c>
      <c r="P148">
        <f t="shared" si="18"/>
        <v>10.079521644644524</v>
      </c>
      <c r="Q148">
        <f t="shared" si="17"/>
        <v>5.8587154687443492</v>
      </c>
      <c r="R148" s="67" cm="1">
        <f t="array" ref="R148">SUMPRODUCT((J148=$J$7:$J$1000)*(P148&lt;$P$7:$P$1000))+1</f>
        <v>13</v>
      </c>
      <c r="S148" s="72"/>
      <c r="T148">
        <v>14</v>
      </c>
      <c r="U148" t="str">
        <v>SEA</v>
      </c>
      <c r="V148" t="str">
        <v>Mikaela Kruse</v>
      </c>
      <c r="W148" t="str">
        <v>NULL</v>
      </c>
      <c r="X148" t="str">
        <v>Home</v>
      </c>
      <c r="Y148" t="str">
        <v>SDL</v>
      </c>
      <c r="Z148">
        <v>8.2311308508900769</v>
      </c>
    </row>
    <row r="149" spans="10:26" x14ac:dyDescent="0.35">
      <c r="J149" s="66">
        <v>6</v>
      </c>
      <c r="K149" t="s">
        <v>7</v>
      </c>
      <c r="L149" t="s">
        <v>65</v>
      </c>
      <c r="M149">
        <v>11.6</v>
      </c>
      <c r="N149" t="s">
        <v>3</v>
      </c>
      <c r="O149" t="s">
        <v>23</v>
      </c>
      <c r="P149">
        <f t="shared" si="18"/>
        <v>8.0357408677747557</v>
      </c>
      <c r="Q149">
        <f t="shared" si="17"/>
        <v>12.703943161651049</v>
      </c>
      <c r="R149" s="67" cm="1">
        <f t="array" ref="R149">SUMPRODUCT((J149=$J$7:$J$1000)*(P149&lt;$P$7:$P$1000))+1</f>
        <v>19</v>
      </c>
      <c r="S149" s="72"/>
      <c r="T149">
        <v>14</v>
      </c>
      <c r="U149" t="str">
        <v>SEA</v>
      </c>
      <c r="V149" t="str">
        <v>Toni Pulu</v>
      </c>
      <c r="W149" t="str">
        <v>NULL</v>
      </c>
      <c r="X149" t="str">
        <v>Home</v>
      </c>
      <c r="Y149" t="str">
        <v>SDL</v>
      </c>
      <c r="Z149">
        <v>8.3809392332359334</v>
      </c>
    </row>
    <row r="150" spans="10:26" x14ac:dyDescent="0.35">
      <c r="J150" s="66">
        <v>6</v>
      </c>
      <c r="K150" t="s">
        <v>7</v>
      </c>
      <c r="L150" t="s">
        <v>67</v>
      </c>
      <c r="M150">
        <v>11.3</v>
      </c>
      <c r="N150" t="s">
        <v>3</v>
      </c>
      <c r="O150" t="s">
        <v>23</v>
      </c>
      <c r="P150">
        <f t="shared" si="18"/>
        <v>8.1190983268891657</v>
      </c>
      <c r="Q150">
        <f t="shared" si="17"/>
        <v>10.11813545399931</v>
      </c>
      <c r="R150" s="67" cm="1">
        <f t="array" ref="R150">SUMPRODUCT((J150=$J$7:$J$1000)*(P150&lt;$P$7:$P$1000))+1</f>
        <v>18</v>
      </c>
      <c r="S150" s="72"/>
      <c r="T150">
        <v>14</v>
      </c>
      <c r="U150" t="str">
        <v>UTAH</v>
      </c>
      <c r="V150" t="str">
        <v>Blake Makiri</v>
      </c>
      <c r="W150" t="str">
        <v>NULL</v>
      </c>
      <c r="X150" t="str">
        <v>Away</v>
      </c>
      <c r="Y150" t="str">
        <v>HOU</v>
      </c>
      <c r="Z150">
        <v>7.0574329767401736</v>
      </c>
    </row>
    <row r="151" spans="10:26" x14ac:dyDescent="0.35">
      <c r="J151" s="66">
        <v>6</v>
      </c>
      <c r="K151" t="s">
        <v>14</v>
      </c>
      <c r="L151" t="s">
        <v>285</v>
      </c>
      <c r="M151">
        <v>10.9</v>
      </c>
      <c r="N151" t="s">
        <v>3</v>
      </c>
      <c r="O151" t="s">
        <v>36</v>
      </c>
      <c r="P151">
        <f t="shared" si="18"/>
        <v>5.8237160457407882</v>
      </c>
      <c r="Q151">
        <f t="shared" si="17"/>
        <v>25.768658784269544</v>
      </c>
      <c r="R151" s="67" cm="1">
        <f t="array" ref="R151">SUMPRODUCT((J151=$J$7:$J$1000)*(P151&lt;$P$7:$P$1000))+1</f>
        <v>26</v>
      </c>
      <c r="S151" s="72"/>
      <c r="T151">
        <v>14</v>
      </c>
      <c r="U151" t="str">
        <v>UTAH</v>
      </c>
      <c r="V151" t="str">
        <v>Joe Mano</v>
      </c>
      <c r="W151" t="str">
        <v>NULL</v>
      </c>
      <c r="X151" t="str">
        <v>Away</v>
      </c>
      <c r="Y151" t="str">
        <v>HOU</v>
      </c>
      <c r="Z151">
        <v>12.561742958998767</v>
      </c>
    </row>
    <row r="152" spans="10:26" x14ac:dyDescent="0.35">
      <c r="J152" s="66">
        <v>6</v>
      </c>
      <c r="K152" t="s">
        <v>36</v>
      </c>
      <c r="L152" t="s">
        <v>334</v>
      </c>
      <c r="M152">
        <v>10.7</v>
      </c>
      <c r="N152" t="s">
        <v>9</v>
      </c>
      <c r="O152" t="s">
        <v>14</v>
      </c>
      <c r="P152">
        <f t="shared" si="18"/>
        <v>5.9513340353295945</v>
      </c>
      <c r="Q152">
        <f t="shared" si="17"/>
        <v>22.549828444019106</v>
      </c>
      <c r="R152" s="67" cm="1">
        <f t="array" ref="R152">SUMPRODUCT((J152=$J$7:$J$1000)*(P152&lt;$P$7:$P$1000))+1</f>
        <v>24</v>
      </c>
      <c r="S152" s="72"/>
      <c r="T152">
        <v>14</v>
      </c>
      <c r="U152" t="str">
        <v>UTAH</v>
      </c>
      <c r="V152" t="str">
        <v>Jordan Trainor</v>
      </c>
      <c r="W152" t="str">
        <v>NULL</v>
      </c>
      <c r="X152" t="str">
        <v>Away</v>
      </c>
      <c r="Y152" t="str">
        <v>HOU</v>
      </c>
      <c r="Z152">
        <v>10.045552557406664</v>
      </c>
    </row>
    <row r="153" spans="10:26" x14ac:dyDescent="0.35">
      <c r="J153" s="66">
        <v>6</v>
      </c>
      <c r="K153" t="s">
        <v>17</v>
      </c>
      <c r="L153" t="s">
        <v>497</v>
      </c>
      <c r="M153">
        <v>10.4</v>
      </c>
      <c r="N153" t="s">
        <v>3</v>
      </c>
      <c r="O153" t="s">
        <v>13</v>
      </c>
      <c r="P153">
        <f t="shared" si="18"/>
        <v>15.878246679507969</v>
      </c>
      <c r="Q153">
        <f t="shared" si="17"/>
        <v>30.011186681540082</v>
      </c>
      <c r="R153" s="67" cm="1">
        <f t="array" ref="R153">SUMPRODUCT((J153=$J$7:$J$1000)*(P153&lt;$P$7:$P$1000))+1</f>
        <v>1</v>
      </c>
      <c r="S153" s="72"/>
      <c r="T153">
        <v>14</v>
      </c>
      <c r="U153" t="str">
        <v>UTAH</v>
      </c>
      <c r="V153" t="str">
        <v>Nic Benn</v>
      </c>
      <c r="W153" t="str">
        <v>NULL</v>
      </c>
      <c r="X153" t="str">
        <v>Away</v>
      </c>
      <c r="Y153" t="str">
        <v>HOU</v>
      </c>
      <c r="Z153">
        <v>8.9552279311983991</v>
      </c>
    </row>
    <row r="154" spans="10:26" x14ac:dyDescent="0.35">
      <c r="J154" s="66">
        <v>6</v>
      </c>
      <c r="K154" t="s">
        <v>14</v>
      </c>
      <c r="L154" t="s">
        <v>87</v>
      </c>
      <c r="M154">
        <v>10.3</v>
      </c>
      <c r="N154" t="s">
        <v>3</v>
      </c>
      <c r="O154" t="s">
        <v>36</v>
      </c>
      <c r="P154">
        <f t="shared" si="18"/>
        <v>8.5503817503732531</v>
      </c>
      <c r="Q154">
        <f t="shared" si="17"/>
        <v>3.0611640194269643</v>
      </c>
      <c r="R154" s="67" cm="1">
        <f t="array" ref="R154">SUMPRODUCT((J154=$J$7:$J$1000)*(P154&lt;$P$7:$P$1000))+1</f>
        <v>16</v>
      </c>
      <c r="S154" s="72"/>
      <c r="T154">
        <v>14</v>
      </c>
      <c r="U154" t="str">
        <v>UTAH</v>
      </c>
      <c r="V154" t="str">
        <v>Nolan Tuamoheloa</v>
      </c>
      <c r="W154" t="str">
        <v>NULL</v>
      </c>
      <c r="X154" t="str">
        <v>Away</v>
      </c>
      <c r="Y154" t="str">
        <v>HOU</v>
      </c>
      <c r="Z154">
        <v>7.1332459604422471</v>
      </c>
    </row>
    <row r="155" spans="10:26" x14ac:dyDescent="0.35">
      <c r="J155" s="66">
        <v>6</v>
      </c>
      <c r="K155" t="s">
        <v>34</v>
      </c>
      <c r="L155" t="s">
        <v>95</v>
      </c>
      <c r="M155">
        <v>9.4</v>
      </c>
      <c r="N155" t="s">
        <v>3</v>
      </c>
      <c r="O155" t="s">
        <v>24</v>
      </c>
      <c r="P155">
        <f t="shared" si="18"/>
        <v>15.551000032270743</v>
      </c>
      <c r="Q155">
        <f t="shared" si="17"/>
        <v>37.834801396994671</v>
      </c>
      <c r="R155" s="67" cm="1">
        <f t="array" ref="R155">SUMPRODUCT((J155=$J$7:$J$1000)*(P155&lt;$P$7:$P$1000))+1</f>
        <v>2</v>
      </c>
      <c r="S155" s="72"/>
      <c r="T155">
        <v>14</v>
      </c>
      <c r="U155" t="str">
        <v>UTAH</v>
      </c>
      <c r="V155" t="str">
        <v>Sione Mahe</v>
      </c>
      <c r="W155" t="str">
        <v>NULL</v>
      </c>
      <c r="X155" t="str">
        <v>Away</v>
      </c>
      <c r="Y155" t="str">
        <v>HOU</v>
      </c>
      <c r="Z155">
        <v>0.90005903964424605</v>
      </c>
    </row>
    <row r="156" spans="10:26" x14ac:dyDescent="0.35">
      <c r="J156" s="66">
        <v>6</v>
      </c>
      <c r="K156" t="s">
        <v>13</v>
      </c>
      <c r="L156" t="s">
        <v>477</v>
      </c>
      <c r="M156">
        <v>9.4</v>
      </c>
      <c r="N156" t="s">
        <v>9</v>
      </c>
      <c r="O156" t="s">
        <v>17</v>
      </c>
      <c r="P156">
        <f t="shared" si="18"/>
        <v>10.999164637992553</v>
      </c>
      <c r="Q156">
        <f t="shared" si="17"/>
        <v>2.5573275394058532</v>
      </c>
      <c r="R156" s="67" cm="1">
        <f t="array" ref="R156">SUMPRODUCT((J156=$J$7:$J$1000)*(P156&lt;$P$7:$P$1000))+1</f>
        <v>10</v>
      </c>
      <c r="S156" s="72"/>
      <c r="T156">
        <v>14</v>
      </c>
      <c r="U156" t="str">
        <v>UTAH</v>
      </c>
      <c r="V156" t="str">
        <v>Tielu Sagala</v>
      </c>
      <c r="W156" t="str">
        <v>NULL</v>
      </c>
      <c r="X156" t="str">
        <v>Away</v>
      </c>
      <c r="Y156" t="str">
        <v>HOU</v>
      </c>
      <c r="Z156">
        <v>5.1302937730085221</v>
      </c>
    </row>
    <row r="157" spans="10:26" x14ac:dyDescent="0.35">
      <c r="J157" s="66">
        <v>6</v>
      </c>
      <c r="K157" t="s">
        <v>4</v>
      </c>
      <c r="L157" t="s">
        <v>74</v>
      </c>
      <c r="M157">
        <v>9</v>
      </c>
      <c r="N157" t="s">
        <v>3</v>
      </c>
      <c r="O157" t="s">
        <v>6</v>
      </c>
      <c r="P157">
        <f t="shared" si="18"/>
        <v>7.325661820987273</v>
      </c>
      <c r="Q157">
        <f t="shared" si="17"/>
        <v>2.8034083376996546</v>
      </c>
      <c r="R157" s="67" cm="1">
        <f t="array" ref="R157">SUMPRODUCT((J157=$J$7:$J$1000)*(P157&lt;$P$7:$P$1000))+1</f>
        <v>21</v>
      </c>
      <c r="S157" s="72"/>
      <c r="T157">
        <v>14</v>
      </c>
      <c r="U157" t="str">
        <v>UTAH</v>
      </c>
      <c r="V157" t="str">
        <v>Zion Going</v>
      </c>
      <c r="W157" t="str">
        <v>NULL</v>
      </c>
      <c r="X157" t="str">
        <v>Away</v>
      </c>
      <c r="Y157" t="str">
        <v>HOU</v>
      </c>
      <c r="Z157">
        <v>6.0303745024092574</v>
      </c>
    </row>
    <row r="158" spans="10:26" x14ac:dyDescent="0.35">
      <c r="J158" s="65">
        <v>6</v>
      </c>
      <c r="K158" t="s">
        <v>6</v>
      </c>
      <c r="L158" t="s">
        <v>64</v>
      </c>
      <c r="M158">
        <v>8.1</v>
      </c>
      <c r="N158" t="s">
        <v>9</v>
      </c>
      <c r="O158" t="s">
        <v>4</v>
      </c>
      <c r="P158">
        <f t="shared" si="18"/>
        <v>10.393621212755761</v>
      </c>
      <c r="Q158">
        <f t="shared" si="17"/>
        <v>5.2606982676032095</v>
      </c>
      <c r="R158" s="67" cm="1">
        <f t="array" ref="R158">SUMPRODUCT((J158=$J$7:$J$1000)*(P158&lt;$P$7:$P$1000))+1</f>
        <v>11</v>
      </c>
      <c r="S158" s="72"/>
      <c r="T158">
        <v>15</v>
      </c>
      <c r="U158" t="str">
        <v>ARC</v>
      </c>
      <c r="V158" t="str">
        <v>Ashawnty Staples Flowers</v>
      </c>
      <c r="W158" t="str">
        <v>NULL</v>
      </c>
      <c r="X158" t="str">
        <v>Home</v>
      </c>
      <c r="Y158" t="str">
        <v>CHI</v>
      </c>
      <c r="Z158">
        <v>-0.16806548355024986</v>
      </c>
    </row>
    <row r="159" spans="10:26" x14ac:dyDescent="0.35">
      <c r="J159" s="66">
        <v>6</v>
      </c>
      <c r="K159" t="s">
        <v>17</v>
      </c>
      <c r="L159" t="s">
        <v>537</v>
      </c>
      <c r="M159">
        <v>7.9</v>
      </c>
      <c r="N159" t="s">
        <v>3</v>
      </c>
      <c r="O159" t="s">
        <v>13</v>
      </c>
      <c r="P159">
        <f t="shared" si="18"/>
        <v>10.229330026990381</v>
      </c>
      <c r="Q159">
        <f t="shared" si="17"/>
        <v>5.4257783746390054</v>
      </c>
      <c r="R159" s="67" cm="1">
        <f t="array" ref="R159">SUMPRODUCT((J159=$J$7:$J$1000)*(P159&lt;$P$7:$P$1000))+1</f>
        <v>12</v>
      </c>
      <c r="S159" s="72"/>
      <c r="T159">
        <v>15</v>
      </c>
      <c r="U159" t="str">
        <v>ARC</v>
      </c>
      <c r="V159" t="str">
        <v>Cameron Gerlach</v>
      </c>
      <c r="W159" t="str">
        <v>NULL</v>
      </c>
      <c r="X159" t="str">
        <v>Home</v>
      </c>
      <c r="Y159" t="str">
        <v>MIA</v>
      </c>
      <c r="Z159">
        <v>13.53406469487261</v>
      </c>
    </row>
    <row r="160" spans="10:26" x14ac:dyDescent="0.35">
      <c r="J160" s="66">
        <v>6</v>
      </c>
      <c r="K160" t="s">
        <v>13</v>
      </c>
      <c r="L160" t="s">
        <v>79</v>
      </c>
      <c r="M160">
        <v>7.9</v>
      </c>
      <c r="N160" t="s">
        <v>9</v>
      </c>
      <c r="O160" t="s">
        <v>17</v>
      </c>
      <c r="P160">
        <f t="shared" si="18"/>
        <v>13.515355039584657</v>
      </c>
      <c r="Q160">
        <f t="shared" si="17"/>
        <v>31.5322122205888</v>
      </c>
      <c r="R160" s="67" cm="1">
        <f t="array" ref="R160">SUMPRODUCT((J160=$J$7:$J$1000)*(P160&lt;$P$7:$P$1000))+1</f>
        <v>4</v>
      </c>
      <c r="S160" s="72"/>
      <c r="T160">
        <v>15</v>
      </c>
      <c r="U160" t="str">
        <v>ARC</v>
      </c>
      <c r="V160" t="str">
        <v>Conner Mooneyham</v>
      </c>
      <c r="W160" t="str">
        <v>NULL</v>
      </c>
      <c r="X160" t="str">
        <v>Home</v>
      </c>
      <c r="Y160" t="str">
        <v>CHI</v>
      </c>
      <c r="Z160">
        <v>7.0173854127602082</v>
      </c>
    </row>
    <row r="161" spans="10:26" x14ac:dyDescent="0.35">
      <c r="J161" s="65">
        <v>6</v>
      </c>
      <c r="K161" t="s">
        <v>36</v>
      </c>
      <c r="L161" t="s">
        <v>476</v>
      </c>
      <c r="M161">
        <v>7.2</v>
      </c>
      <c r="N161" t="s">
        <v>9</v>
      </c>
      <c r="O161" t="s">
        <v>14</v>
      </c>
      <c r="P161">
        <f t="shared" si="18"/>
        <v>8.4234230527212066</v>
      </c>
      <c r="Q161">
        <f t="shared" si="17"/>
        <v>1.4967639659296759</v>
      </c>
      <c r="R161" s="67" cm="1">
        <f t="array" ref="R161">SUMPRODUCT((J161=$J$7:$J$1000)*(P161&lt;$P$7:$P$1000))+1</f>
        <v>17</v>
      </c>
      <c r="S161" s="72"/>
      <c r="T161">
        <v>15</v>
      </c>
      <c r="U161" t="str">
        <v>ARC</v>
      </c>
      <c r="V161" t="str">
        <v>EJ Freeman</v>
      </c>
      <c r="W161" t="str">
        <v>NULL</v>
      </c>
      <c r="X161" t="str">
        <v>Home</v>
      </c>
      <c r="Y161" t="str">
        <v>CHI</v>
      </c>
      <c r="Z161">
        <v>4.3429643458904144</v>
      </c>
    </row>
    <row r="162" spans="10:26" x14ac:dyDescent="0.35">
      <c r="J162" s="66">
        <v>6</v>
      </c>
      <c r="K162" t="s">
        <v>36</v>
      </c>
      <c r="L162" t="s">
        <v>78</v>
      </c>
      <c r="M162">
        <v>7</v>
      </c>
      <c r="N162" t="s">
        <v>9</v>
      </c>
      <c r="O162" t="s">
        <v>14</v>
      </c>
      <c r="P162">
        <f t="shared" si="18"/>
        <v>11.545694298543227</v>
      </c>
      <c r="Q162">
        <f t="shared" si="17"/>
        <v>20.663336655808397</v>
      </c>
      <c r="R162" s="67" cm="1">
        <f t="array" ref="R162">SUMPRODUCT((J162=$J$7:$J$1000)*(P162&lt;$P$7:$P$1000))+1</f>
        <v>8</v>
      </c>
      <c r="S162" s="72"/>
      <c r="T162">
        <v>15</v>
      </c>
      <c r="U162" t="str">
        <v>ARC</v>
      </c>
      <c r="V162" t="str">
        <v>Jason Tidwell</v>
      </c>
      <c r="W162" t="str">
        <v>NULL</v>
      </c>
      <c r="X162" t="str">
        <v>Home</v>
      </c>
      <c r="Y162" t="str">
        <v>CHI</v>
      </c>
      <c r="Z162">
        <v>7.0652189894266328</v>
      </c>
    </row>
    <row r="163" spans="10:26" x14ac:dyDescent="0.35">
      <c r="J163" s="66">
        <v>6</v>
      </c>
      <c r="K163" t="s">
        <v>24</v>
      </c>
      <c r="L163" t="s">
        <v>84</v>
      </c>
      <c r="M163">
        <v>6.9</v>
      </c>
      <c r="N163" t="s">
        <v>9</v>
      </c>
      <c r="O163" t="s">
        <v>34</v>
      </c>
      <c r="P163">
        <f t="shared" si="18"/>
        <v>6.4245623214143937</v>
      </c>
      <c r="Q163">
        <f t="shared" si="17"/>
        <v>0.22604098621887067</v>
      </c>
      <c r="R163" s="67" cm="1">
        <f t="array" ref="R163">SUMPRODUCT((J163=$J$7:$J$1000)*(P163&lt;$P$7:$P$1000))+1</f>
        <v>22</v>
      </c>
      <c r="S163" s="72"/>
      <c r="T163">
        <v>15</v>
      </c>
      <c r="U163" t="str">
        <v>ARC</v>
      </c>
      <c r="V163" t="str">
        <v>Line Latu</v>
      </c>
      <c r="W163" t="str">
        <v>NULL</v>
      </c>
      <c r="X163" t="str">
        <v>Home</v>
      </c>
      <c r="Y163" t="str">
        <v>CHI</v>
      </c>
      <c r="Z163">
        <v>9.5865675620324051</v>
      </c>
    </row>
    <row r="164" spans="10:26" x14ac:dyDescent="0.35">
      <c r="J164" s="66">
        <v>6</v>
      </c>
      <c r="K164" t="s">
        <v>24</v>
      </c>
      <c r="L164" t="s">
        <v>101</v>
      </c>
      <c r="M164">
        <v>6.7</v>
      </c>
      <c r="N164" t="s">
        <v>9</v>
      </c>
      <c r="O164" t="s">
        <v>34</v>
      </c>
      <c r="P164">
        <f t="shared" si="18"/>
        <v>5.683768415246397</v>
      </c>
      <c r="Q164">
        <f t="shared" si="17"/>
        <v>1.0327266338508199</v>
      </c>
      <c r="R164" s="67" cm="1">
        <f t="array" ref="R164">SUMPRODUCT((J164=$J$7:$J$1000)*(P164&lt;$P$7:$P$1000))+1</f>
        <v>27</v>
      </c>
      <c r="S164" s="72"/>
      <c r="T164">
        <v>15</v>
      </c>
      <c r="U164" t="str">
        <v>ARC</v>
      </c>
      <c r="V164" t="str">
        <v>Mitch Wilson</v>
      </c>
      <c r="W164" t="str">
        <v>NULL</v>
      </c>
      <c r="X164" t="str">
        <v>Home</v>
      </c>
      <c r="Y164" t="str">
        <v>CHI</v>
      </c>
      <c r="Z164">
        <v>9.7918846940590978</v>
      </c>
    </row>
    <row r="165" spans="10:26" x14ac:dyDescent="0.35">
      <c r="J165" s="66">
        <v>6</v>
      </c>
      <c r="K165" t="s">
        <v>13</v>
      </c>
      <c r="L165" t="s">
        <v>494</v>
      </c>
      <c r="M165">
        <v>6.1</v>
      </c>
      <c r="N165" t="s">
        <v>9</v>
      </c>
      <c r="O165" t="s">
        <v>17</v>
      </c>
      <c r="P165">
        <f t="shared" si="18"/>
        <v>9.9088400117842887</v>
      </c>
      <c r="Q165">
        <f t="shared" si="17"/>
        <v>14.507262235368943</v>
      </c>
      <c r="R165" s="67" cm="1">
        <f t="array" ref="R165">SUMPRODUCT((J165=$J$7:$J$1000)*(P165&lt;$P$7:$P$1000))+1</f>
        <v>14</v>
      </c>
      <c r="S165" s="72"/>
      <c r="T165">
        <v>15</v>
      </c>
      <c r="U165" t="str">
        <v>ARC</v>
      </c>
      <c r="V165" t="str">
        <v>Toby Fricker</v>
      </c>
      <c r="W165" t="str">
        <v>NULL</v>
      </c>
      <c r="X165" t="str">
        <v>Home</v>
      </c>
      <c r="Y165" t="str">
        <v>CHI</v>
      </c>
      <c r="Z165">
        <v>9.272625026380755</v>
      </c>
    </row>
    <row r="166" spans="10:26" x14ac:dyDescent="0.35">
      <c r="J166" s="66">
        <v>6</v>
      </c>
      <c r="K166" t="s">
        <v>4</v>
      </c>
      <c r="L166" t="s">
        <v>457</v>
      </c>
      <c r="M166">
        <v>5.8</v>
      </c>
      <c r="N166" t="s">
        <v>3</v>
      </c>
      <c r="O166" t="s">
        <v>6</v>
      </c>
      <c r="P166">
        <f t="shared" si="18"/>
        <v>9.7003734254497864</v>
      </c>
      <c r="Q166">
        <f t="shared" si="17"/>
        <v>15.212912857954903</v>
      </c>
      <c r="R166" s="67" cm="1">
        <f t="array" ref="R166">SUMPRODUCT((J166=$J$7:$J$1000)*(P166&lt;$P$7:$P$1000))+1</f>
        <v>15</v>
      </c>
      <c r="S166" s="72"/>
      <c r="T166">
        <v>15</v>
      </c>
      <c r="U166" t="str">
        <v>CHI</v>
      </c>
      <c r="V166" t="str">
        <v>Adriaan Carelse</v>
      </c>
      <c r="W166" t="str">
        <v>NULL</v>
      </c>
      <c r="X166" t="str">
        <v>Away</v>
      </c>
      <c r="Y166" t="str">
        <v>ARC</v>
      </c>
      <c r="Z166">
        <v>6.1903699755468278</v>
      </c>
    </row>
    <row r="167" spans="10:26" x14ac:dyDescent="0.35">
      <c r="J167" s="66">
        <v>6</v>
      </c>
      <c r="K167" t="s">
        <v>34</v>
      </c>
      <c r="L167" t="s">
        <v>100</v>
      </c>
      <c r="M167">
        <v>5.4</v>
      </c>
      <c r="N167" t="s">
        <v>3</v>
      </c>
      <c r="O167" t="s">
        <v>24</v>
      </c>
      <c r="P167">
        <f t="shared" si="18"/>
        <v>11.60088729559126</v>
      </c>
      <c r="Q167">
        <f t="shared" si="17"/>
        <v>38.451003252625085</v>
      </c>
      <c r="R167" s="67" cm="1">
        <f t="array" ref="R167">SUMPRODUCT((J167=$J$7:$J$1000)*(P167&lt;$P$7:$P$1000))+1</f>
        <v>7</v>
      </c>
      <c r="S167" s="72"/>
      <c r="T167">
        <v>15</v>
      </c>
      <c r="U167" t="str">
        <v>CHI</v>
      </c>
      <c r="V167" t="str">
        <v>Ben Pollack</v>
      </c>
      <c r="W167" t="str">
        <v>NULL</v>
      </c>
      <c r="X167" t="str">
        <v>Away</v>
      </c>
      <c r="Y167" t="str">
        <v>ARC</v>
      </c>
      <c r="Z167">
        <v>5.5413253701419762</v>
      </c>
    </row>
    <row r="168" spans="10:26" x14ac:dyDescent="0.35">
      <c r="J168" s="66">
        <v>6</v>
      </c>
      <c r="K168" t="s">
        <v>23</v>
      </c>
      <c r="L168" t="s">
        <v>340</v>
      </c>
      <c r="M168">
        <v>5</v>
      </c>
      <c r="N168" t="s">
        <v>9</v>
      </c>
      <c r="O168" t="s">
        <v>7</v>
      </c>
      <c r="P168">
        <f t="shared" si="18"/>
        <v>6.285224547466993</v>
      </c>
      <c r="Q168">
        <f t="shared" si="17"/>
        <v>1.6518021374117369</v>
      </c>
      <c r="R168" s="67" cm="1">
        <f t="array" ref="R168">SUMPRODUCT((J168=$J$7:$J$1000)*(P168&lt;$P$7:$P$1000))+1</f>
        <v>23</v>
      </c>
      <c r="S168" s="72"/>
      <c r="T168">
        <v>15</v>
      </c>
      <c r="U168" t="str">
        <v>CHI</v>
      </c>
      <c r="V168" t="str">
        <v>Julian Dominguez</v>
      </c>
      <c r="W168" t="str">
        <v>NULL</v>
      </c>
      <c r="X168" t="str">
        <v>Away</v>
      </c>
      <c r="Y168" t="str">
        <v>ARC</v>
      </c>
      <c r="Z168">
        <v>3.4283040751759164</v>
      </c>
    </row>
    <row r="169" spans="10:26" x14ac:dyDescent="0.35">
      <c r="J169" s="66">
        <v>6</v>
      </c>
      <c r="K169" t="s">
        <v>7</v>
      </c>
      <c r="L169" t="s">
        <v>92</v>
      </c>
      <c r="M169">
        <v>4.7</v>
      </c>
      <c r="N169" t="s">
        <v>3</v>
      </c>
      <c r="O169" t="s">
        <v>23</v>
      </c>
      <c r="P169">
        <f t="shared" si="18"/>
        <v>7.400210395430733</v>
      </c>
      <c r="Q169">
        <f t="shared" si="17"/>
        <v>7.2911361795921943</v>
      </c>
      <c r="R169" s="67" cm="1">
        <f t="array" ref="R169">SUMPRODUCT((J169=$J$7:$J$1000)*(P169&lt;$P$7:$P$1000))+1</f>
        <v>20</v>
      </c>
      <c r="S169" s="72"/>
      <c r="T169">
        <v>15</v>
      </c>
      <c r="U169" t="str">
        <v>CHI</v>
      </c>
      <c r="V169" t="str">
        <v>Mark O'Keeffe</v>
      </c>
      <c r="W169" t="str">
        <v>NULL</v>
      </c>
      <c r="X169" t="str">
        <v>Away</v>
      </c>
      <c r="Y169" t="str">
        <v>ARC</v>
      </c>
      <c r="Z169">
        <v>6.3422089984637928</v>
      </c>
    </row>
    <row r="170" spans="10:26" x14ac:dyDescent="0.35">
      <c r="J170" s="66">
        <v>6</v>
      </c>
      <c r="K170" t="s">
        <v>23</v>
      </c>
      <c r="L170" t="s">
        <v>91</v>
      </c>
      <c r="M170">
        <v>3.3</v>
      </c>
      <c r="N170" t="s">
        <v>9</v>
      </c>
      <c r="O170" t="s">
        <v>7</v>
      </c>
      <c r="P170">
        <f t="shared" si="18"/>
        <v>12.316920608513696</v>
      </c>
      <c r="Q170">
        <f t="shared" si="17"/>
        <v>81.304857260239018</v>
      </c>
      <c r="R170" s="67" cm="1">
        <f t="array" ref="R170">SUMPRODUCT((J170=$J$7:$J$1000)*(P170&lt;$P$7:$P$1000))+1</f>
        <v>6</v>
      </c>
      <c r="S170" s="72"/>
      <c r="T170">
        <v>15</v>
      </c>
      <c r="U170" t="str">
        <v>CHI</v>
      </c>
      <c r="V170" t="str">
        <v>Michael Hand</v>
      </c>
      <c r="W170" t="str">
        <v>NULL</v>
      </c>
      <c r="X170" t="str">
        <v>Away</v>
      </c>
      <c r="Y170" t="str">
        <v>ARC</v>
      </c>
      <c r="Z170">
        <v>7.6681595905358879</v>
      </c>
    </row>
    <row r="171" spans="10:26" x14ac:dyDescent="0.35">
      <c r="J171" s="66">
        <v>6</v>
      </c>
      <c r="K171" t="s">
        <v>14</v>
      </c>
      <c r="L171" t="s">
        <v>534</v>
      </c>
      <c r="M171">
        <v>3.1</v>
      </c>
      <c r="N171" t="s">
        <v>3</v>
      </c>
      <c r="O171" t="s">
        <v>36</v>
      </c>
      <c r="P171">
        <f t="shared" si="18"/>
        <v>3.1014614022045697</v>
      </c>
      <c r="Q171">
        <f t="shared" si="17"/>
        <v>2.1356964035208405E-6</v>
      </c>
      <c r="R171" s="67" cm="1">
        <f t="array" ref="R171">SUMPRODUCT((J171=$J$7:$J$1000)*(P171&lt;$P$7:$P$1000))+1</f>
        <v>29</v>
      </c>
      <c r="S171" s="72"/>
      <c r="T171">
        <v>15</v>
      </c>
      <c r="U171" t="str">
        <v>CHI</v>
      </c>
      <c r="V171" t="str">
        <v>Nate Augspurger</v>
      </c>
      <c r="W171" t="str">
        <v>NULL</v>
      </c>
      <c r="X171" t="str">
        <v>Away</v>
      </c>
      <c r="Y171" t="str">
        <v>ARC</v>
      </c>
      <c r="Z171">
        <v>4.3898719367245986</v>
      </c>
    </row>
    <row r="172" spans="10:26" x14ac:dyDescent="0.35">
      <c r="J172" s="66">
        <v>6</v>
      </c>
      <c r="K172" t="s">
        <v>6</v>
      </c>
      <c r="L172" t="s">
        <v>43</v>
      </c>
      <c r="M172">
        <v>1.3</v>
      </c>
      <c r="N172" t="s">
        <v>9</v>
      </c>
      <c r="O172" t="s">
        <v>4</v>
      </c>
      <c r="P172">
        <f t="shared" si="18"/>
        <v>5.8575277663769105</v>
      </c>
      <c r="Q172">
        <f t="shared" si="17"/>
        <v>20.771059341296514</v>
      </c>
      <c r="R172" s="67" cm="1">
        <f t="array" ref="R172">SUMPRODUCT((J172=$J$7:$J$1000)*(P172&lt;$P$7:$P$1000))+1</f>
        <v>25</v>
      </c>
      <c r="S172" s="72"/>
      <c r="T172">
        <v>15</v>
      </c>
      <c r="U172" t="str">
        <v>CHI</v>
      </c>
      <c r="V172" t="str">
        <v>Noah Brown</v>
      </c>
      <c r="W172" t="str">
        <v>NULL</v>
      </c>
      <c r="X172" t="str">
        <v>Away</v>
      </c>
      <c r="Y172" t="str">
        <v>ARC</v>
      </c>
      <c r="Z172">
        <v>7.3571529946516154</v>
      </c>
    </row>
    <row r="173" spans="10:26" x14ac:dyDescent="0.35">
      <c r="J173" s="66">
        <v>6</v>
      </c>
      <c r="K173" t="s">
        <v>24</v>
      </c>
      <c r="L173" t="s">
        <v>535</v>
      </c>
      <c r="M173">
        <v>1.1000000000000001</v>
      </c>
      <c r="N173" t="s">
        <v>9</v>
      </c>
      <c r="O173" t="s">
        <v>34</v>
      </c>
      <c r="P173">
        <f t="shared" si="18"/>
        <v>1.0789699445738319</v>
      </c>
      <c r="Q173">
        <f t="shared" si="17"/>
        <v>4.4226323122770672E-4</v>
      </c>
      <c r="R173" s="67" cm="1">
        <f t="array" ref="R173">SUMPRODUCT((J173=$J$7:$J$1000)*(P173&lt;$P$7:$P$1000))+1</f>
        <v>30</v>
      </c>
      <c r="S173" s="72"/>
      <c r="T173">
        <v>15</v>
      </c>
      <c r="U173" t="str">
        <v>HOU</v>
      </c>
      <c r="V173" t="str">
        <v>Davy Coetzer</v>
      </c>
      <c r="W173" t="str">
        <v>NULL</v>
      </c>
      <c r="X173" t="str">
        <v>Away</v>
      </c>
      <c r="Y173" t="str">
        <v>SEA</v>
      </c>
      <c r="Z173">
        <v>14.068772918143523</v>
      </c>
    </row>
    <row r="174" spans="10:26" x14ac:dyDescent="0.35">
      <c r="J174" s="66">
        <v>6</v>
      </c>
      <c r="K174" t="s">
        <v>23</v>
      </c>
      <c r="L174" t="s">
        <v>456</v>
      </c>
      <c r="M174">
        <v>0.4</v>
      </c>
      <c r="N174" t="s">
        <v>9</v>
      </c>
      <c r="O174" t="s">
        <v>7</v>
      </c>
      <c r="P174">
        <f t="shared" si="18"/>
        <v>4.9707243756100672</v>
      </c>
      <c r="Q174">
        <f t="shared" si="17"/>
        <v>20.891521317796034</v>
      </c>
      <c r="R174" s="67" cm="1">
        <f t="array" ref="R174">SUMPRODUCT((J174=$J$7:$J$1000)*(P174&lt;$P$7:$P$1000))+1</f>
        <v>28</v>
      </c>
      <c r="S174" s="72"/>
      <c r="T174">
        <v>15</v>
      </c>
      <c r="U174" t="str">
        <v>HOU</v>
      </c>
      <c r="V174" t="str">
        <v>Drew Wild</v>
      </c>
      <c r="W174" t="str">
        <v>NULL</v>
      </c>
      <c r="X174" t="str">
        <v>Away</v>
      </c>
      <c r="Y174" t="str">
        <v>SEA</v>
      </c>
      <c r="Z174">
        <v>9.4260150596194325</v>
      </c>
    </row>
    <row r="175" spans="10:26" x14ac:dyDescent="0.35">
      <c r="J175" s="66">
        <v>7</v>
      </c>
      <c r="K175" t="s">
        <v>17</v>
      </c>
      <c r="L175" t="s">
        <v>37</v>
      </c>
      <c r="M175">
        <v>30.4</v>
      </c>
      <c r="N175" t="s">
        <v>3</v>
      </c>
      <c r="O175" t="s">
        <v>14</v>
      </c>
      <c r="P175">
        <f t="shared" si="18"/>
        <v>19.003681489453729</v>
      </c>
      <c r="Q175">
        <f t="shared" si="17"/>
        <v>129.87607559381954</v>
      </c>
      <c r="R175" s="67" cm="1">
        <f t="array" ref="R175">SUMPRODUCT((J175=$J$7:$J$1000)*(P175&lt;$P$7:$P$1000))+1</f>
        <v>1</v>
      </c>
      <c r="S175" s="72"/>
      <c r="T175">
        <v>15</v>
      </c>
      <c r="U175" t="str">
        <v>HOU</v>
      </c>
      <c r="V175" t="str">
        <v>Jeremy Misailegalu</v>
      </c>
      <c r="W175" t="str">
        <v>NULL</v>
      </c>
      <c r="X175" t="str">
        <v>Away</v>
      </c>
      <c r="Y175" t="str">
        <v>SEA</v>
      </c>
      <c r="Z175">
        <v>8.892833830803287</v>
      </c>
    </row>
    <row r="176" spans="10:26" x14ac:dyDescent="0.35">
      <c r="J176" s="66">
        <v>7</v>
      </c>
      <c r="K176" t="s">
        <v>4</v>
      </c>
      <c r="L176" t="s">
        <v>286</v>
      </c>
      <c r="M176">
        <v>14.8</v>
      </c>
      <c r="N176" t="s">
        <v>3</v>
      </c>
      <c r="O176" t="s">
        <v>2</v>
      </c>
      <c r="P176">
        <f t="shared" si="18"/>
        <v>11.593154556205132</v>
      </c>
      <c r="Q176">
        <f t="shared" si="17"/>
        <v>10.283857700387909</v>
      </c>
      <c r="R176" s="67" cm="1">
        <f t="array" ref="R176">SUMPRODUCT((J176=$J$7:$J$1000)*(P176&lt;$P$7:$P$1000))+1</f>
        <v>7</v>
      </c>
      <c r="S176" s="72"/>
      <c r="T176">
        <v>15</v>
      </c>
      <c r="U176" t="str">
        <v>HOU</v>
      </c>
      <c r="V176" t="str">
        <v>Juan Dee Oliver</v>
      </c>
      <c r="W176" t="str">
        <v>NULL</v>
      </c>
      <c r="X176" t="str">
        <v>Away</v>
      </c>
      <c r="Y176" t="str">
        <v>SEA</v>
      </c>
      <c r="Z176">
        <v>3.4411887110451564</v>
      </c>
    </row>
    <row r="177" spans="10:26" x14ac:dyDescent="0.35">
      <c r="J177" s="66">
        <v>7</v>
      </c>
      <c r="K177" t="s">
        <v>4</v>
      </c>
      <c r="L177" t="s">
        <v>633</v>
      </c>
      <c r="M177">
        <v>13.2</v>
      </c>
      <c r="N177" t="s">
        <v>3</v>
      </c>
      <c r="O177" t="s">
        <v>2</v>
      </c>
      <c r="P177">
        <f t="shared" si="18"/>
        <v>14.588601858151941</v>
      </c>
      <c r="Q177">
        <f t="shared" si="17"/>
        <v>1.9282151204630258</v>
      </c>
      <c r="R177" s="67" cm="1">
        <f t="array" ref="R177">SUMPRODUCT((J177=$J$7:$J$1000)*(P177&lt;$P$7:$P$1000))+1</f>
        <v>2</v>
      </c>
      <c r="S177" s="72"/>
      <c r="T177">
        <v>15</v>
      </c>
      <c r="U177" t="str">
        <v>HOU</v>
      </c>
      <c r="V177" t="str">
        <v>Max Schumacher</v>
      </c>
      <c r="W177" t="str">
        <v>NULL</v>
      </c>
      <c r="X177" t="str">
        <v>Away</v>
      </c>
      <c r="Y177" t="str">
        <v>SEA</v>
      </c>
      <c r="Z177">
        <v>5.7705625849812661</v>
      </c>
    </row>
    <row r="178" spans="10:26" x14ac:dyDescent="0.35">
      <c r="J178" s="66">
        <v>7</v>
      </c>
      <c r="K178" t="s">
        <v>13</v>
      </c>
      <c r="L178" t="s">
        <v>494</v>
      </c>
      <c r="M178">
        <v>12.4</v>
      </c>
      <c r="N178" t="s">
        <v>3</v>
      </c>
      <c r="O178" t="s">
        <v>23</v>
      </c>
      <c r="P178">
        <f t="shared" si="18"/>
        <v>9.1672944797238944</v>
      </c>
      <c r="Q178">
        <f t="shared" si="17"/>
        <v>10.450384980823609</v>
      </c>
      <c r="R178" s="67" cm="1">
        <f t="array" ref="R178">SUMPRODUCT((J178=$J$7:$J$1000)*(P178&lt;$P$7:$P$1000))+1</f>
        <v>16</v>
      </c>
      <c r="S178" s="72"/>
      <c r="T178">
        <v>15</v>
      </c>
      <c r="U178" t="str">
        <v>HOU</v>
      </c>
      <c r="V178" t="str">
        <v>Rufus McLean</v>
      </c>
      <c r="W178" t="str">
        <v>NULL</v>
      </c>
      <c r="X178" t="str">
        <v>Away</v>
      </c>
      <c r="Y178" t="str">
        <v>SEA</v>
      </c>
      <c r="Z178">
        <v>7.7703803059575023</v>
      </c>
    </row>
    <row r="179" spans="10:26" x14ac:dyDescent="0.35">
      <c r="J179" s="66">
        <v>7</v>
      </c>
      <c r="K179" t="s">
        <v>34</v>
      </c>
      <c r="L179" t="s">
        <v>536</v>
      </c>
      <c r="M179">
        <v>10.4</v>
      </c>
      <c r="N179" t="s">
        <v>9</v>
      </c>
      <c r="O179" t="s">
        <v>36</v>
      </c>
      <c r="P179">
        <f t="shared" si="18"/>
        <v>9.9105394062349124</v>
      </c>
      <c r="Q179">
        <f t="shared" si="17"/>
        <v>0.23957167284887249</v>
      </c>
      <c r="R179" s="67" cm="1">
        <f t="array" ref="R179">SUMPRODUCT((J179=$J$7:$J$1000)*(P179&lt;$P$7:$P$1000))+1</f>
        <v>13</v>
      </c>
      <c r="S179" s="72"/>
      <c r="T179">
        <v>15</v>
      </c>
      <c r="U179" t="str">
        <v>HOU</v>
      </c>
      <c r="V179" t="str">
        <v>Seimou Smith</v>
      </c>
      <c r="W179" t="str">
        <v>NULL</v>
      </c>
      <c r="X179" t="str">
        <v>Away</v>
      </c>
      <c r="Y179" t="str">
        <v>SEA</v>
      </c>
      <c r="Z179">
        <v>3.2984735675896548</v>
      </c>
    </row>
    <row r="180" spans="10:26" x14ac:dyDescent="0.35">
      <c r="J180" s="66">
        <v>7</v>
      </c>
      <c r="K180" t="s">
        <v>17</v>
      </c>
      <c r="L180" t="s">
        <v>537</v>
      </c>
      <c r="M180">
        <v>10</v>
      </c>
      <c r="N180" t="s">
        <v>3</v>
      </c>
      <c r="O180" t="s">
        <v>14</v>
      </c>
      <c r="P180">
        <f t="shared" si="18"/>
        <v>10.691814528755939</v>
      </c>
      <c r="Q180">
        <f t="shared" si="17"/>
        <v>0.47860734219780249</v>
      </c>
      <c r="R180" s="67" cm="1">
        <f t="array" ref="R180">SUMPRODUCT((J180=$J$7:$J$1000)*(P180&lt;$P$7:$P$1000))+1</f>
        <v>9</v>
      </c>
      <c r="S180" s="72"/>
      <c r="T180">
        <v>15</v>
      </c>
      <c r="U180" t="str">
        <v>LA</v>
      </c>
      <c r="V180" t="str">
        <v>Andrew Coe</v>
      </c>
      <c r="W180" t="str">
        <v>NULL</v>
      </c>
      <c r="X180" t="str">
        <v>Home</v>
      </c>
      <c r="Y180" t="str">
        <v>MIA</v>
      </c>
      <c r="Z180">
        <v>13.489607059501312</v>
      </c>
    </row>
    <row r="181" spans="10:26" x14ac:dyDescent="0.35">
      <c r="J181" s="66">
        <v>7</v>
      </c>
      <c r="K181" t="s">
        <v>36</v>
      </c>
      <c r="L181" t="s">
        <v>479</v>
      </c>
      <c r="M181">
        <v>9.6</v>
      </c>
      <c r="N181" t="s">
        <v>3</v>
      </c>
      <c r="O181" t="s">
        <v>34</v>
      </c>
      <c r="P181">
        <f t="shared" si="18"/>
        <v>9.2436779513657452</v>
      </c>
      <c r="Q181">
        <f t="shared" si="17"/>
        <v>0.12696540234291198</v>
      </c>
      <c r="R181" s="67" cm="1">
        <f t="array" ref="R181">SUMPRODUCT((J181=$J$7:$J$1000)*(P181&lt;$P$7:$P$1000))+1</f>
        <v>14</v>
      </c>
      <c r="S181" s="72"/>
      <c r="T181">
        <v>15</v>
      </c>
      <c r="U181" t="str">
        <v>LA</v>
      </c>
      <c r="V181" t="str">
        <v>Christian Dyer</v>
      </c>
      <c r="W181" t="str">
        <v>NULL</v>
      </c>
      <c r="X181" t="str">
        <v>Home</v>
      </c>
      <c r="Y181" t="str">
        <v>MIA</v>
      </c>
      <c r="Z181">
        <v>6.5465217223535088</v>
      </c>
    </row>
    <row r="182" spans="10:26" x14ac:dyDescent="0.35">
      <c r="J182" s="66">
        <v>7</v>
      </c>
      <c r="K182" t="s">
        <v>34</v>
      </c>
      <c r="L182" t="s">
        <v>95</v>
      </c>
      <c r="M182">
        <v>9.4</v>
      </c>
      <c r="N182" t="s">
        <v>9</v>
      </c>
      <c r="O182" t="s">
        <v>36</v>
      </c>
      <c r="P182">
        <f t="shared" si="18"/>
        <v>10.306117898453794</v>
      </c>
      <c r="Q182">
        <f t="shared" si="17"/>
        <v>0.82104964589831864</v>
      </c>
      <c r="R182" s="67" cm="1">
        <f t="array" ref="R182">SUMPRODUCT((J182=$J$7:$J$1000)*(P182&lt;$P$7:$P$1000))+1</f>
        <v>10</v>
      </c>
      <c r="S182" s="72"/>
      <c r="T182">
        <v>15</v>
      </c>
      <c r="U182" t="str">
        <v>LA</v>
      </c>
      <c r="V182" t="str">
        <v>Jack Shaw</v>
      </c>
      <c r="W182" t="str">
        <v>NULL</v>
      </c>
      <c r="X182" t="str">
        <v>Home</v>
      </c>
      <c r="Y182" t="str">
        <v>MIA</v>
      </c>
      <c r="Z182">
        <v>10.128695905430135</v>
      </c>
    </row>
    <row r="183" spans="10:26" x14ac:dyDescent="0.35">
      <c r="J183" s="66">
        <v>7</v>
      </c>
      <c r="K183" t="s">
        <v>6</v>
      </c>
      <c r="L183" t="s">
        <v>94</v>
      </c>
      <c r="M183">
        <v>9.3000000000000007</v>
      </c>
      <c r="N183" t="s">
        <v>3</v>
      </c>
      <c r="O183" t="s">
        <v>7</v>
      </c>
      <c r="P183">
        <f t="shared" si="18"/>
        <v>12.438932346650343</v>
      </c>
      <c r="Q183">
        <f t="shared" si="17"/>
        <v>9.8528962768478277</v>
      </c>
      <c r="R183" s="67" cm="1">
        <f t="array" ref="R183">SUMPRODUCT((J183=$J$7:$J$1000)*(P183&lt;$P$7:$P$1000))+1</f>
        <v>5</v>
      </c>
      <c r="S183" s="72"/>
      <c r="T183">
        <v>15</v>
      </c>
      <c r="U183" t="str">
        <v>LA</v>
      </c>
      <c r="V183" t="str">
        <v>Reece Macdonald</v>
      </c>
      <c r="W183" t="str">
        <v>NULL</v>
      </c>
      <c r="X183" t="str">
        <v>Home</v>
      </c>
      <c r="Y183" t="str">
        <v>MIA</v>
      </c>
      <c r="Z183">
        <v>15.326273147479331</v>
      </c>
    </row>
    <row r="184" spans="10:26" x14ac:dyDescent="0.35">
      <c r="J184" s="66">
        <v>7</v>
      </c>
      <c r="K184" t="s">
        <v>13</v>
      </c>
      <c r="L184" t="s">
        <v>477</v>
      </c>
      <c r="M184">
        <v>9.3000000000000007</v>
      </c>
      <c r="N184" t="s">
        <v>3</v>
      </c>
      <c r="O184" t="s">
        <v>23</v>
      </c>
      <c r="P184">
        <f t="shared" si="18"/>
        <v>10.257619105932159</v>
      </c>
      <c r="Q184">
        <f t="shared" si="17"/>
        <v>0.91703435204630634</v>
      </c>
      <c r="R184" s="67" cm="1">
        <f t="array" ref="R184">SUMPRODUCT((J184=$J$7:$J$1000)*(P184&lt;$P$7:$P$1000))+1</f>
        <v>11</v>
      </c>
      <c r="S184" s="72"/>
      <c r="T184">
        <v>15</v>
      </c>
      <c r="U184" t="str">
        <v>LA</v>
      </c>
      <c r="V184" t="str">
        <v>Rory van Vugt</v>
      </c>
      <c r="W184" t="str">
        <v>NULL</v>
      </c>
      <c r="X184" t="str">
        <v>Home</v>
      </c>
      <c r="Y184" t="str">
        <v>MIA</v>
      </c>
      <c r="Z184">
        <v>15.883644020544157</v>
      </c>
    </row>
    <row r="185" spans="10:26" x14ac:dyDescent="0.35">
      <c r="J185" s="66">
        <v>7</v>
      </c>
      <c r="K185" t="s">
        <v>14</v>
      </c>
      <c r="L185" t="s">
        <v>87</v>
      </c>
      <c r="M185">
        <v>8.5</v>
      </c>
      <c r="N185" t="s">
        <v>9</v>
      </c>
      <c r="O185" t="s">
        <v>17</v>
      </c>
      <c r="P185">
        <f t="shared" si="18"/>
        <v>8.3726813577708334</v>
      </c>
      <c r="Q185">
        <f t="shared" ref="Q185:Q234" si="19">IFERROR(($M185-$P185)^2,"")</f>
        <v>1.6210036659078515E-2</v>
      </c>
      <c r="R185" s="67" cm="1">
        <f t="array" ref="R185">SUMPRODUCT((J185=$J$7:$J$1000)*(P185&lt;$P$7:$P$1000))+1</f>
        <v>17</v>
      </c>
      <c r="S185" s="72"/>
      <c r="T185">
        <v>15</v>
      </c>
      <c r="U185" t="str">
        <v>LA</v>
      </c>
      <c r="V185" t="str">
        <v>Seth Purdey</v>
      </c>
      <c r="W185" t="str">
        <v>NULL</v>
      </c>
      <c r="X185" t="str">
        <v>Home</v>
      </c>
      <c r="Y185" t="str">
        <v>MIA</v>
      </c>
      <c r="Z185">
        <v>8.9535136131224622</v>
      </c>
    </row>
    <row r="186" spans="10:26" x14ac:dyDescent="0.35">
      <c r="J186" s="66">
        <v>7</v>
      </c>
      <c r="K186" t="s">
        <v>23</v>
      </c>
      <c r="L186" t="s">
        <v>522</v>
      </c>
      <c r="M186">
        <v>7.2</v>
      </c>
      <c r="N186" t="s">
        <v>9</v>
      </c>
      <c r="O186" t="s">
        <v>13</v>
      </c>
      <c r="P186">
        <f t="shared" si="18"/>
        <v>6.2757653641447142</v>
      </c>
      <c r="Q186">
        <f t="shared" si="19"/>
        <v>0.85420966211455307</v>
      </c>
      <c r="R186" s="67" cm="1">
        <f t="array" ref="R186">SUMPRODUCT((J186=$J$7:$J$1000)*(P186&lt;$P$7:$P$1000))+1</f>
        <v>25</v>
      </c>
      <c r="S186" s="72"/>
      <c r="T186">
        <v>15</v>
      </c>
      <c r="U186" t="str">
        <v>LA</v>
      </c>
      <c r="V186" t="str">
        <v>Vaughen Isaacs</v>
      </c>
      <c r="W186" t="str">
        <v>NULL</v>
      </c>
      <c r="X186" t="str">
        <v>Home</v>
      </c>
      <c r="Y186" t="str">
        <v>MIA</v>
      </c>
      <c r="Z186">
        <v>16.050795800561431</v>
      </c>
    </row>
    <row r="187" spans="10:26" x14ac:dyDescent="0.35">
      <c r="J187" s="66">
        <v>7</v>
      </c>
      <c r="K187" t="s">
        <v>17</v>
      </c>
      <c r="L187" t="s">
        <v>82</v>
      </c>
      <c r="M187">
        <v>7</v>
      </c>
      <c r="N187" t="s">
        <v>3</v>
      </c>
      <c r="O187" t="s">
        <v>14</v>
      </c>
      <c r="P187">
        <f t="shared" si="18"/>
        <v>11.832916002959733</v>
      </c>
      <c r="Q187">
        <f t="shared" si="19"/>
        <v>23.35707709166428</v>
      </c>
      <c r="R187" s="67" cm="1">
        <f t="array" ref="R187">SUMPRODUCT((J187=$J$7:$J$1000)*(P187&lt;$P$7:$P$1000))+1</f>
        <v>6</v>
      </c>
      <c r="S187" s="72"/>
      <c r="T187">
        <v>15</v>
      </c>
      <c r="U187" t="str">
        <v>LA</v>
      </c>
      <c r="V187" t="str">
        <v>Will Leonard</v>
      </c>
      <c r="W187" t="str">
        <v>NULL</v>
      </c>
      <c r="X187" t="str">
        <v>Home</v>
      </c>
      <c r="Y187" t="str">
        <v>MIA</v>
      </c>
      <c r="Z187">
        <v>17.097143438718682</v>
      </c>
    </row>
    <row r="188" spans="10:26" x14ac:dyDescent="0.35">
      <c r="J188" s="66">
        <v>7</v>
      </c>
      <c r="K188" t="s">
        <v>7</v>
      </c>
      <c r="L188" t="s">
        <v>67</v>
      </c>
      <c r="M188">
        <v>6.4</v>
      </c>
      <c r="N188" t="s">
        <v>9</v>
      </c>
      <c r="O188" t="s">
        <v>6</v>
      </c>
      <c r="P188">
        <f t="shared" si="18"/>
        <v>7.4505349679923896</v>
      </c>
      <c r="Q188">
        <f t="shared" si="19"/>
        <v>1.1036237189747702</v>
      </c>
      <c r="R188" s="67" cm="1">
        <f t="array" ref="R188">SUMPRODUCT((J188=$J$7:$J$1000)*(P188&lt;$P$7:$P$1000))+1</f>
        <v>19</v>
      </c>
      <c r="S188" s="72"/>
      <c r="T188">
        <v>15</v>
      </c>
      <c r="U188" t="str">
        <v>MIA</v>
      </c>
      <c r="V188" t="str">
        <v>Connor Burns</v>
      </c>
      <c r="W188" t="str">
        <v>NULL</v>
      </c>
      <c r="X188" t="str">
        <v>Away</v>
      </c>
      <c r="Y188" t="str">
        <v>LA</v>
      </c>
      <c r="Z188">
        <v>-1.6780357119250313</v>
      </c>
    </row>
    <row r="189" spans="10:26" x14ac:dyDescent="0.35">
      <c r="J189" s="66">
        <v>7</v>
      </c>
      <c r="K189" t="s">
        <v>14</v>
      </c>
      <c r="L189" t="s">
        <v>285</v>
      </c>
      <c r="M189">
        <v>5.9</v>
      </c>
      <c r="N189" t="s">
        <v>9</v>
      </c>
      <c r="O189" t="s">
        <v>17</v>
      </c>
      <c r="P189">
        <f t="shared" si="18"/>
        <v>5.6460156531383685</v>
      </c>
      <c r="Q189">
        <f t="shared" si="19"/>
        <v>6.4508048450729716E-2</v>
      </c>
      <c r="R189" s="67" cm="1">
        <f t="array" ref="R189">SUMPRODUCT((J189=$J$7:$J$1000)*(P189&lt;$P$7:$P$1000))+1</f>
        <v>27</v>
      </c>
      <c r="S189" s="72"/>
      <c r="T189">
        <v>15</v>
      </c>
      <c r="U189" t="str">
        <v>MIA</v>
      </c>
      <c r="V189" t="str">
        <v>Guiseppe du Toit</v>
      </c>
      <c r="W189" t="str">
        <v>NULL</v>
      </c>
      <c r="X189" t="str">
        <v>Away</v>
      </c>
      <c r="Y189" t="str">
        <v>LA</v>
      </c>
      <c r="Z189">
        <v>6.5650291851571154</v>
      </c>
    </row>
    <row r="190" spans="10:26" x14ac:dyDescent="0.35">
      <c r="J190" s="66">
        <v>7</v>
      </c>
      <c r="K190" t="s">
        <v>23</v>
      </c>
      <c r="L190" t="s">
        <v>498</v>
      </c>
      <c r="M190">
        <v>5.9</v>
      </c>
      <c r="N190" t="s">
        <v>9</v>
      </c>
      <c r="O190" t="s">
        <v>13</v>
      </c>
      <c r="P190">
        <f t="shared" si="18"/>
        <v>4.9547119392122383</v>
      </c>
      <c r="Q190">
        <f t="shared" si="19"/>
        <v>0.89356951786788774</v>
      </c>
      <c r="R190" s="67" cm="1">
        <f t="array" ref="R190">SUMPRODUCT((J190=$J$7:$J$1000)*(P190&lt;$P$7:$P$1000))+1</f>
        <v>28</v>
      </c>
      <c r="S190" s="72"/>
      <c r="T190">
        <v>15</v>
      </c>
      <c r="U190" t="str">
        <v>MIA</v>
      </c>
      <c r="V190" t="str">
        <v>Josiah Morra</v>
      </c>
      <c r="W190" t="str">
        <v>NULL</v>
      </c>
      <c r="X190" t="str">
        <v>Away</v>
      </c>
      <c r="Y190" t="str">
        <v>LA</v>
      </c>
      <c r="Z190">
        <v>3.5737914020322332</v>
      </c>
    </row>
    <row r="191" spans="10:26" x14ac:dyDescent="0.35">
      <c r="J191" s="66">
        <v>7</v>
      </c>
      <c r="K191" t="s">
        <v>7</v>
      </c>
      <c r="L191" t="s">
        <v>80</v>
      </c>
      <c r="M191">
        <v>5.8</v>
      </c>
      <c r="N191" t="s">
        <v>9</v>
      </c>
      <c r="O191" t="s">
        <v>6</v>
      </c>
      <c r="P191">
        <f t="shared" si="18"/>
        <v>9.1729646972020937</v>
      </c>
      <c r="Q191">
        <f t="shared" si="19"/>
        <v>11.376890848571612</v>
      </c>
      <c r="R191" s="67" cm="1">
        <f t="array" ref="R191">SUMPRODUCT((J191=$J$7:$J$1000)*(P191&lt;$P$7:$P$1000))+1</f>
        <v>15</v>
      </c>
      <c r="S191" s="72"/>
      <c r="T191">
        <v>15</v>
      </c>
      <c r="U191" t="str">
        <v>MIA</v>
      </c>
      <c r="V191" t="str">
        <v>Marcos Elisagaray</v>
      </c>
      <c r="W191" t="str">
        <v>NULL</v>
      </c>
      <c r="X191" t="str">
        <v>Away</v>
      </c>
      <c r="Y191" t="str">
        <v>LA</v>
      </c>
      <c r="Z191">
        <v>-0.67312411860327237</v>
      </c>
    </row>
    <row r="192" spans="10:26" x14ac:dyDescent="0.35">
      <c r="J192" s="66">
        <v>7</v>
      </c>
      <c r="K192" t="s">
        <v>14</v>
      </c>
      <c r="L192" t="s">
        <v>639</v>
      </c>
      <c r="M192">
        <v>5.5</v>
      </c>
      <c r="N192" t="s">
        <v>9</v>
      </c>
      <c r="O192" t="s">
        <v>17</v>
      </c>
      <c r="P192">
        <f t="shared" si="18"/>
        <v>7.8534216900924907</v>
      </c>
      <c r="Q192">
        <f t="shared" si="19"/>
        <v>5.5385936513977949</v>
      </c>
      <c r="R192" s="67" cm="1">
        <f t="array" ref="R192">SUMPRODUCT((J192=$J$7:$J$1000)*(P192&lt;$P$7:$P$1000))+1</f>
        <v>18</v>
      </c>
      <c r="S192" s="72"/>
      <c r="T192">
        <v>15</v>
      </c>
      <c r="U192" t="str">
        <v>MIA</v>
      </c>
      <c r="V192" t="str">
        <v>Marcos Young</v>
      </c>
      <c r="W192" t="str">
        <v>NULL</v>
      </c>
      <c r="X192" t="str">
        <v>Away</v>
      </c>
      <c r="Y192" t="str">
        <v>LA</v>
      </c>
      <c r="Z192">
        <v>4.6724682582372887</v>
      </c>
    </row>
    <row r="193" spans="10:26" x14ac:dyDescent="0.35">
      <c r="J193" s="66">
        <v>7</v>
      </c>
      <c r="K193" t="s">
        <v>2</v>
      </c>
      <c r="L193" t="s">
        <v>90</v>
      </c>
      <c r="M193">
        <v>5.5</v>
      </c>
      <c r="N193" t="s">
        <v>9</v>
      </c>
      <c r="O193" t="s">
        <v>4</v>
      </c>
      <c r="P193">
        <f t="shared" si="18"/>
        <v>5.8995767333971836</v>
      </c>
      <c r="Q193">
        <f t="shared" si="19"/>
        <v>0.15966156587236394</v>
      </c>
      <c r="R193" s="67" cm="1">
        <f t="array" ref="R193">SUMPRODUCT((J193=$J$7:$J$1000)*(P193&lt;$P$7:$P$1000))+1</f>
        <v>26</v>
      </c>
      <c r="S193" s="72"/>
      <c r="T193">
        <v>15</v>
      </c>
      <c r="U193" t="str">
        <v>MIA</v>
      </c>
      <c r="V193" t="str">
        <v>Martin Elias</v>
      </c>
      <c r="W193" t="str">
        <v>NULL</v>
      </c>
      <c r="X193" t="str">
        <v>Away</v>
      </c>
      <c r="Y193" t="str">
        <v>LA</v>
      </c>
      <c r="Z193">
        <v>6.9640745898162102</v>
      </c>
    </row>
    <row r="194" spans="10:26" x14ac:dyDescent="0.35">
      <c r="J194" s="66">
        <v>7</v>
      </c>
      <c r="K194" t="s">
        <v>34</v>
      </c>
      <c r="L194" t="s">
        <v>100</v>
      </c>
      <c r="M194">
        <v>4.9000000000000004</v>
      </c>
      <c r="N194" t="s">
        <v>9</v>
      </c>
      <c r="O194" t="s">
        <v>36</v>
      </c>
      <c r="P194">
        <f t="shared" si="18"/>
        <v>6.356005161774311</v>
      </c>
      <c r="Q194">
        <f t="shared" si="19"/>
        <v>2.1199510311134362</v>
      </c>
      <c r="R194" s="67" cm="1">
        <f t="array" ref="R194">SUMPRODUCT((J194=$J$7:$J$1000)*(P194&lt;$P$7:$P$1000))+1</f>
        <v>24</v>
      </c>
      <c r="S194" s="72"/>
      <c r="T194">
        <v>15</v>
      </c>
      <c r="U194" t="str">
        <v>MIA</v>
      </c>
      <c r="V194" t="str">
        <v>Santiago Videla</v>
      </c>
      <c r="W194" t="str">
        <v>NULL</v>
      </c>
      <c r="X194" t="str">
        <v>Away</v>
      </c>
      <c r="Y194" t="str">
        <v>LA</v>
      </c>
      <c r="Z194">
        <v>9.1312407531392079</v>
      </c>
    </row>
    <row r="195" spans="10:26" x14ac:dyDescent="0.35">
      <c r="J195" s="66">
        <v>7</v>
      </c>
      <c r="K195" t="s">
        <v>2</v>
      </c>
      <c r="L195" t="s">
        <v>63</v>
      </c>
      <c r="M195">
        <v>4.7</v>
      </c>
      <c r="N195" t="s">
        <v>9</v>
      </c>
      <c r="O195" t="s">
        <v>4</v>
      </c>
      <c r="P195">
        <f t="shared" si="18"/>
        <v>4.7327937142923959</v>
      </c>
      <c r="Q195">
        <f t="shared" si="19"/>
        <v>1.0754276970912811E-3</v>
      </c>
      <c r="R195" s="67" cm="1">
        <f t="array" ref="R195">SUMPRODUCT((J195=$J$7:$J$1000)*(P195&lt;$P$7:$P$1000))+1</f>
        <v>29</v>
      </c>
      <c r="S195" s="72"/>
      <c r="T195">
        <v>15</v>
      </c>
      <c r="U195" t="str">
        <v>MIA</v>
      </c>
      <c r="V195" t="str">
        <v>Shane O'Leary</v>
      </c>
      <c r="W195" t="str">
        <v>NULL</v>
      </c>
      <c r="X195" t="str">
        <v>Away</v>
      </c>
      <c r="Y195" t="str">
        <v>LA</v>
      </c>
      <c r="Z195">
        <v>12.393468672190908</v>
      </c>
    </row>
    <row r="196" spans="10:26" x14ac:dyDescent="0.35">
      <c r="J196" s="66">
        <v>7</v>
      </c>
      <c r="K196" t="s">
        <v>13</v>
      </c>
      <c r="L196" t="s">
        <v>79</v>
      </c>
      <c r="M196">
        <v>4.5999999999999996</v>
      </c>
      <c r="N196" t="s">
        <v>3</v>
      </c>
      <c r="O196" t="s">
        <v>23</v>
      </c>
      <c r="P196">
        <f t="shared" si="18"/>
        <v>12.773809507524263</v>
      </c>
      <c r="Q196">
        <f t="shared" si="19"/>
        <v>66.811161865294039</v>
      </c>
      <c r="R196" s="67" cm="1">
        <f t="array" ref="R196">SUMPRODUCT((J196=$J$7:$J$1000)*(P196&lt;$P$7:$P$1000))+1</f>
        <v>4</v>
      </c>
      <c r="S196" s="72"/>
      <c r="T196">
        <v>15</v>
      </c>
      <c r="U196" t="str">
        <v>MIA</v>
      </c>
      <c r="V196" t="str">
        <v>Tomás Cubilla</v>
      </c>
      <c r="W196" t="str">
        <v>NULL</v>
      </c>
      <c r="X196" t="str">
        <v>Away</v>
      </c>
      <c r="Y196" t="str">
        <v>LA</v>
      </c>
      <c r="Z196">
        <v>5.5045802764766565</v>
      </c>
    </row>
    <row r="197" spans="10:26" x14ac:dyDescent="0.35">
      <c r="J197" s="66">
        <v>7</v>
      </c>
      <c r="K197" t="s">
        <v>36</v>
      </c>
      <c r="L197" t="s">
        <v>476</v>
      </c>
      <c r="M197">
        <v>4.4000000000000004</v>
      </c>
      <c r="N197" t="s">
        <v>3</v>
      </c>
      <c r="O197" t="s">
        <v>34</v>
      </c>
      <c r="P197">
        <f t="shared" si="18"/>
        <v>7.2438602303895099</v>
      </c>
      <c r="Q197">
        <f t="shared" si="19"/>
        <v>8.0875410099910745</v>
      </c>
      <c r="R197" s="67" cm="1">
        <f t="array" ref="R197">SUMPRODUCT((J197=$J$7:$J$1000)*(P197&lt;$P$7:$P$1000))+1</f>
        <v>21</v>
      </c>
      <c r="S197" s="72"/>
      <c r="T197">
        <v>15</v>
      </c>
      <c r="U197" t="str">
        <v>MIA</v>
      </c>
      <c r="V197" t="str">
        <v>Tomas Malanos</v>
      </c>
      <c r="W197" t="str">
        <v>NULL</v>
      </c>
      <c r="X197" t="str">
        <v>Away</v>
      </c>
      <c r="Y197" t="str">
        <v>LA</v>
      </c>
      <c r="Z197">
        <v>3.9316743520692921</v>
      </c>
    </row>
    <row r="198" spans="10:26" x14ac:dyDescent="0.35">
      <c r="J198" s="66">
        <v>7</v>
      </c>
      <c r="K198" t="s">
        <v>7</v>
      </c>
      <c r="L198" t="s">
        <v>92</v>
      </c>
      <c r="M198">
        <v>4.4000000000000004</v>
      </c>
      <c r="N198" t="s">
        <v>9</v>
      </c>
      <c r="O198" t="s">
        <v>6</v>
      </c>
      <c r="P198">
        <f t="shared" si="18"/>
        <v>6.7316470365339569</v>
      </c>
      <c r="Q198">
        <f t="shared" si="19"/>
        <v>5.4365779029775814</v>
      </c>
      <c r="R198" s="67" cm="1">
        <f t="array" ref="R198">SUMPRODUCT((J198=$J$7:$J$1000)*(P198&lt;$P$7:$P$1000))+1</f>
        <v>22</v>
      </c>
      <c r="S198" s="72"/>
      <c r="T198">
        <v>15</v>
      </c>
      <c r="U198" t="str">
        <v>NEFJ</v>
      </c>
      <c r="V198" t="str">
        <v>Brock Webster</v>
      </c>
      <c r="W198" t="str">
        <v>NULL</v>
      </c>
      <c r="X198" t="str">
        <v>Home</v>
      </c>
      <c r="Y198" t="str">
        <v>OGDC</v>
      </c>
      <c r="Z198">
        <v>4.9319477775075793</v>
      </c>
    </row>
    <row r="199" spans="10:26" x14ac:dyDescent="0.35">
      <c r="J199" s="66">
        <v>7</v>
      </c>
      <c r="K199" t="s">
        <v>36</v>
      </c>
      <c r="L199" t="s">
        <v>73</v>
      </c>
      <c r="M199">
        <v>2.9</v>
      </c>
      <c r="N199" t="s">
        <v>3</v>
      </c>
      <c r="O199" t="s">
        <v>34</v>
      </c>
      <c r="P199">
        <f t="shared" si="18"/>
        <v>10.899312705027675</v>
      </c>
      <c r="Q199">
        <f t="shared" si="19"/>
        <v>63.989003752817183</v>
      </c>
      <c r="R199" s="67" cm="1">
        <f t="array" ref="R199">SUMPRODUCT((J199=$J$7:$J$1000)*(P199&lt;$P$7:$P$1000))+1</f>
        <v>8</v>
      </c>
      <c r="S199" s="72"/>
      <c r="T199">
        <v>15</v>
      </c>
      <c r="U199" t="str">
        <v>NEFJ</v>
      </c>
      <c r="V199" t="str">
        <v>Harrison Boyle</v>
      </c>
      <c r="W199" t="str">
        <v>NULL</v>
      </c>
      <c r="X199" t="str">
        <v>Home</v>
      </c>
      <c r="Y199" t="str">
        <v>OGDC</v>
      </c>
      <c r="Z199">
        <v>5.792407996102158</v>
      </c>
    </row>
    <row r="200" spans="10:26" x14ac:dyDescent="0.35">
      <c r="J200" s="66">
        <v>7</v>
      </c>
      <c r="K200" t="s">
        <v>4</v>
      </c>
      <c r="L200" t="s">
        <v>453</v>
      </c>
      <c r="M200">
        <v>2.9</v>
      </c>
      <c r="N200" t="s">
        <v>3</v>
      </c>
      <c r="O200" t="s">
        <v>2</v>
      </c>
      <c r="P200">
        <f t="shared" ref="P200:P263" si="20">VLOOKUP($N200,$F$3:$G$4,2,FALSE)+VLOOKUP($L200,$B$20:$C$150,2,FALSE)+VLOOKUP($O200,$A$6:$B$16,2,FALSE)</f>
        <v>12.964697612193522</v>
      </c>
      <c r="Q200">
        <f t="shared" si="19"/>
        <v>101.29813802489397</v>
      </c>
      <c r="R200" s="67" cm="1">
        <f t="array" ref="R200">SUMPRODUCT((J200=$J$7:$J$1000)*(P200&lt;$P$7:$P$1000))+1</f>
        <v>3</v>
      </c>
      <c r="S200" s="72"/>
      <c r="T200">
        <v>15</v>
      </c>
      <c r="U200" t="str">
        <v>NEFJ</v>
      </c>
      <c r="V200" t="str">
        <v>Isaac Olson</v>
      </c>
      <c r="W200" t="str">
        <v>NULL</v>
      </c>
      <c r="X200" t="str">
        <v>Home</v>
      </c>
      <c r="Y200" t="str">
        <v>OGDC</v>
      </c>
      <c r="Z200">
        <v>7.4165370206553023</v>
      </c>
    </row>
    <row r="201" spans="10:26" x14ac:dyDescent="0.35">
      <c r="J201" s="66">
        <v>7</v>
      </c>
      <c r="K201" t="s">
        <v>23</v>
      </c>
      <c r="L201" t="s">
        <v>456</v>
      </c>
      <c r="M201">
        <v>2.2999999999999998</v>
      </c>
      <c r="N201" t="s">
        <v>9</v>
      </c>
      <c r="O201" t="s">
        <v>13</v>
      </c>
      <c r="P201">
        <f t="shared" si="20"/>
        <v>7.4458544354355114</v>
      </c>
      <c r="Q201">
        <f t="shared" si="19"/>
        <v>26.479817870691328</v>
      </c>
      <c r="R201" s="67" cm="1">
        <f t="array" ref="R201">SUMPRODUCT((J201=$J$7:$J$1000)*(P201&lt;$P$7:$P$1000))+1</f>
        <v>20</v>
      </c>
      <c r="S201" s="72"/>
      <c r="T201">
        <v>15</v>
      </c>
      <c r="U201" t="str">
        <v>NEFJ</v>
      </c>
      <c r="V201" t="str">
        <v>Jack Reeves</v>
      </c>
      <c r="W201" t="str">
        <v>NULL</v>
      </c>
      <c r="X201" t="str">
        <v>Home</v>
      </c>
      <c r="Y201" t="str">
        <v>OGDC</v>
      </c>
      <c r="Z201">
        <v>10.331391267638075</v>
      </c>
    </row>
    <row r="202" spans="10:26" x14ac:dyDescent="0.35">
      <c r="J202" s="66">
        <v>7</v>
      </c>
      <c r="K202" t="s">
        <v>6</v>
      </c>
      <c r="L202" t="s">
        <v>75</v>
      </c>
      <c r="M202">
        <v>1.8</v>
      </c>
      <c r="N202" t="s">
        <v>3</v>
      </c>
      <c r="O202" t="s">
        <v>7</v>
      </c>
      <c r="P202">
        <f t="shared" si="20"/>
        <v>6.6839842315363205</v>
      </c>
      <c r="Q202">
        <f t="shared" si="19"/>
        <v>23.853301973895423</v>
      </c>
      <c r="R202" s="67" cm="1">
        <f t="array" ref="R202">SUMPRODUCT((J202=$J$7:$J$1000)*(P202&lt;$P$7:$P$1000))+1</f>
        <v>23</v>
      </c>
      <c r="S202" s="72"/>
      <c r="T202">
        <v>15</v>
      </c>
      <c r="U202" t="str">
        <v>NEFJ</v>
      </c>
      <c r="V202" t="str">
        <v>Killian Coghlan</v>
      </c>
      <c r="W202" t="str">
        <v>NULL</v>
      </c>
      <c r="X202" t="str">
        <v>Home</v>
      </c>
      <c r="Y202" t="str">
        <v>OGDC</v>
      </c>
      <c r="Z202">
        <v>3.6108943525751034</v>
      </c>
    </row>
    <row r="203" spans="10:26" x14ac:dyDescent="0.35">
      <c r="J203" s="66">
        <v>7</v>
      </c>
      <c r="K203" t="s">
        <v>6</v>
      </c>
      <c r="L203" t="s">
        <v>64</v>
      </c>
      <c r="M203">
        <v>1.5</v>
      </c>
      <c r="N203" t="s">
        <v>3</v>
      </c>
      <c r="O203" t="s">
        <v>7</v>
      </c>
      <c r="P203">
        <f t="shared" si="20"/>
        <v>10.044895385607498</v>
      </c>
      <c r="Q203">
        <f t="shared" si="19"/>
        <v>73.015237150976319</v>
      </c>
      <c r="R203" s="67" cm="1">
        <f t="array" ref="R203">SUMPRODUCT((J203=$J$7:$J$1000)*(P203&lt;$P$7:$P$1000))+1</f>
        <v>12</v>
      </c>
      <c r="S203" s="72"/>
      <c r="T203">
        <v>15</v>
      </c>
      <c r="U203" t="str">
        <v>NEFJ</v>
      </c>
      <c r="V203" t="str">
        <v>Paula Balekana</v>
      </c>
      <c r="W203" t="str">
        <v>NULL</v>
      </c>
      <c r="X203" t="str">
        <v>Home</v>
      </c>
      <c r="Y203" t="str">
        <v>OGDC</v>
      </c>
      <c r="Z203">
        <v>13.448233081702005</v>
      </c>
    </row>
    <row r="204" spans="10:26" x14ac:dyDescent="0.35">
      <c r="J204" s="66">
        <v>7</v>
      </c>
      <c r="K204" t="s">
        <v>2</v>
      </c>
      <c r="L204" t="s">
        <v>88</v>
      </c>
      <c r="M204">
        <v>-0.4</v>
      </c>
      <c r="N204" t="s">
        <v>9</v>
      </c>
      <c r="O204" t="s">
        <v>4</v>
      </c>
      <c r="P204">
        <f t="shared" si="20"/>
        <v>2.9322956754701663</v>
      </c>
      <c r="Q204">
        <f t="shared" si="19"/>
        <v>11.104194468757171</v>
      </c>
      <c r="R204" s="67" cm="1">
        <f t="array" ref="R204">SUMPRODUCT((J204=$J$7:$J$1000)*(P204&lt;$P$7:$P$1000))+1</f>
        <v>30</v>
      </c>
      <c r="S204" s="72"/>
      <c r="T204">
        <v>15</v>
      </c>
      <c r="U204" t="str">
        <v>NEFJ</v>
      </c>
      <c r="V204" t="str">
        <v>Simon-Peter Toleafoa</v>
      </c>
      <c r="W204" t="str">
        <v>NULL</v>
      </c>
      <c r="X204" t="str">
        <v>Home</v>
      </c>
      <c r="Y204" t="str">
        <v>OGDC</v>
      </c>
      <c r="Z204">
        <v>6.1020368487983765</v>
      </c>
    </row>
    <row r="205" spans="10:26" x14ac:dyDescent="0.35">
      <c r="J205" s="66">
        <v>8</v>
      </c>
      <c r="K205" t="s">
        <v>23</v>
      </c>
      <c r="L205" t="s">
        <v>91</v>
      </c>
      <c r="M205">
        <v>27.5</v>
      </c>
      <c r="N205" t="s">
        <v>3</v>
      </c>
      <c r="O205" t="s">
        <v>24</v>
      </c>
      <c r="P205">
        <f t="shared" si="20"/>
        <v>16.892944755595821</v>
      </c>
      <c r="Q205">
        <f t="shared" si="19"/>
        <v>112.5096209578422</v>
      </c>
      <c r="R205" s="67" cm="1">
        <f t="array" ref="R205">SUMPRODUCT((J205=$J$7:$J$1000)*(P205&lt;$P$7:$P$1000))+1</f>
        <v>1</v>
      </c>
      <c r="S205" s="72"/>
      <c r="T205">
        <v>15</v>
      </c>
      <c r="U205" t="str">
        <v>NOLA</v>
      </c>
      <c r="V205" t="str">
        <v>Cooper Coats</v>
      </c>
      <c r="W205" t="str">
        <v>NULL</v>
      </c>
      <c r="X205" t="str">
        <v>Home</v>
      </c>
      <c r="Y205" t="str">
        <v>UTAH</v>
      </c>
      <c r="Z205">
        <v>13.300858282381338</v>
      </c>
    </row>
    <row r="206" spans="10:26" x14ac:dyDescent="0.35">
      <c r="J206" s="66">
        <v>8</v>
      </c>
      <c r="K206" t="s">
        <v>14</v>
      </c>
      <c r="L206" t="s">
        <v>639</v>
      </c>
      <c r="M206">
        <v>15.3</v>
      </c>
      <c r="N206" t="s">
        <v>3</v>
      </c>
      <c r="O206" t="s">
        <v>4</v>
      </c>
      <c r="P206">
        <f t="shared" si="20"/>
        <v>10.180018369766309</v>
      </c>
      <c r="Q206">
        <f t="shared" si="19"/>
        <v>26.214211893930454</v>
      </c>
      <c r="R206" s="67" cm="1">
        <f t="array" ref="R206">SUMPRODUCT((J206=$J$7:$J$1000)*(P206&lt;$P$7:$P$1000))+1</f>
        <v>13</v>
      </c>
      <c r="S206" s="72"/>
      <c r="T206">
        <v>15</v>
      </c>
      <c r="U206" t="str">
        <v>NOLA</v>
      </c>
      <c r="V206" t="str">
        <v>Ed Fidow</v>
      </c>
      <c r="W206" t="str">
        <v>NULL</v>
      </c>
      <c r="X206" t="str">
        <v>Home</v>
      </c>
      <c r="Y206" t="str">
        <v>UTAH</v>
      </c>
      <c r="Z206">
        <v>10.926146677918824</v>
      </c>
    </row>
    <row r="207" spans="10:26" x14ac:dyDescent="0.35">
      <c r="J207" s="66">
        <v>8</v>
      </c>
      <c r="K207" t="s">
        <v>6</v>
      </c>
      <c r="L207" t="s">
        <v>5</v>
      </c>
      <c r="M207">
        <v>14.6</v>
      </c>
      <c r="N207" t="s">
        <v>9</v>
      </c>
      <c r="O207" t="s">
        <v>36</v>
      </c>
      <c r="P207">
        <f t="shared" si="20"/>
        <v>11.852261304901733</v>
      </c>
      <c r="Q207">
        <f t="shared" si="19"/>
        <v>7.5500679365403265</v>
      </c>
      <c r="R207" s="67" cm="1">
        <f t="array" ref="R207">SUMPRODUCT((J207=$J$7:$J$1000)*(P207&lt;$P$7:$P$1000))+1</f>
        <v>7</v>
      </c>
      <c r="S207" s="72"/>
      <c r="T207">
        <v>15</v>
      </c>
      <c r="U207" t="str">
        <v>NOLA</v>
      </c>
      <c r="V207" t="str">
        <v>Harley Wheeler</v>
      </c>
      <c r="W207" t="str">
        <v>NULL</v>
      </c>
      <c r="X207" t="str">
        <v>Home</v>
      </c>
      <c r="Y207" t="str">
        <v>UTAH</v>
      </c>
      <c r="Z207">
        <v>16.491086961026365</v>
      </c>
    </row>
    <row r="208" spans="10:26" x14ac:dyDescent="0.35">
      <c r="J208" s="66">
        <v>8</v>
      </c>
      <c r="K208" t="s">
        <v>34</v>
      </c>
      <c r="L208" t="s">
        <v>95</v>
      </c>
      <c r="M208">
        <v>14.1</v>
      </c>
      <c r="N208" t="s">
        <v>3</v>
      </c>
      <c r="O208" t="s">
        <v>2</v>
      </c>
      <c r="P208">
        <f t="shared" si="20"/>
        <v>12.678933315327948</v>
      </c>
      <c r="Q208">
        <f t="shared" si="19"/>
        <v>2.0194305222848175</v>
      </c>
      <c r="R208" s="67" cm="1">
        <f t="array" ref="R208">SUMPRODUCT((J208=$J$7:$J$1000)*(P208&lt;$P$7:$P$1000))+1</f>
        <v>4</v>
      </c>
      <c r="S208" s="72"/>
      <c r="T208">
        <v>15</v>
      </c>
      <c r="U208" t="str">
        <v>NOLA</v>
      </c>
      <c r="V208" t="str">
        <v>Jack Webster</v>
      </c>
      <c r="W208" t="str">
        <v>NULL</v>
      </c>
      <c r="X208" t="str">
        <v>Home</v>
      </c>
      <c r="Y208" t="str">
        <v>UTAH</v>
      </c>
      <c r="Z208">
        <v>6.1799714111134394</v>
      </c>
    </row>
    <row r="209" spans="10:26" x14ac:dyDescent="0.35">
      <c r="J209" s="66">
        <v>8</v>
      </c>
      <c r="K209" t="s">
        <v>34</v>
      </c>
      <c r="L209" t="s">
        <v>536</v>
      </c>
      <c r="M209">
        <v>11.5</v>
      </c>
      <c r="N209" t="s">
        <v>3</v>
      </c>
      <c r="O209" t="s">
        <v>2</v>
      </c>
      <c r="P209">
        <f t="shared" si="20"/>
        <v>12.283354823109066</v>
      </c>
      <c r="Q209">
        <f t="shared" si="19"/>
        <v>0.61364477888823665</v>
      </c>
      <c r="R209" s="67" cm="1">
        <f t="array" ref="R209">SUMPRODUCT((J209=$J$7:$J$1000)*(P209&lt;$P$7:$P$1000))+1</f>
        <v>5</v>
      </c>
      <c r="S209" s="72"/>
      <c r="T209">
        <v>15</v>
      </c>
      <c r="U209" t="str">
        <v>NOLA</v>
      </c>
      <c r="V209" t="str">
        <v>Julian Roberts</v>
      </c>
      <c r="W209" t="str">
        <v>NULL</v>
      </c>
      <c r="X209" t="str">
        <v>Home</v>
      </c>
      <c r="Y209" t="str">
        <v>UTAH</v>
      </c>
      <c r="Z209">
        <v>13.495639659079558</v>
      </c>
    </row>
    <row r="210" spans="10:26" x14ac:dyDescent="0.35">
      <c r="J210" s="66">
        <v>8</v>
      </c>
      <c r="K210" t="s">
        <v>7</v>
      </c>
      <c r="L210" t="s">
        <v>80</v>
      </c>
      <c r="M210">
        <v>11.4</v>
      </c>
      <c r="N210" t="s">
        <v>3</v>
      </c>
      <c r="O210" t="s">
        <v>17</v>
      </c>
      <c r="P210">
        <f t="shared" si="20"/>
        <v>11.714386061347573</v>
      </c>
      <c r="Q210">
        <f t="shared" si="19"/>
        <v>9.8838595569639975E-2</v>
      </c>
      <c r="R210" s="67" cm="1">
        <f t="array" ref="R210">SUMPRODUCT((J210=$J$7:$J$1000)*(P210&lt;$P$7:$P$1000))+1</f>
        <v>8</v>
      </c>
      <c r="S210" s="72"/>
      <c r="T210">
        <v>15</v>
      </c>
      <c r="U210" t="str">
        <v>NOLA</v>
      </c>
      <c r="V210" t="str">
        <v>Nikolai Foliaki</v>
      </c>
      <c r="W210" t="str">
        <v>NULL</v>
      </c>
      <c r="X210" t="str">
        <v>Home</v>
      </c>
      <c r="Y210" t="str">
        <v>UTAH</v>
      </c>
      <c r="Z210">
        <v>6.8302183008529358</v>
      </c>
    </row>
    <row r="211" spans="10:26" x14ac:dyDescent="0.35">
      <c r="J211" s="66">
        <v>8</v>
      </c>
      <c r="K211" t="s">
        <v>7</v>
      </c>
      <c r="L211" t="s">
        <v>77</v>
      </c>
      <c r="M211">
        <v>11.3</v>
      </c>
      <c r="N211" t="s">
        <v>3</v>
      </c>
      <c r="O211" t="s">
        <v>17</v>
      </c>
      <c r="P211">
        <f t="shared" si="20"/>
        <v>11.30100277884128</v>
      </c>
      <c r="Q211">
        <f t="shared" si="19"/>
        <v>1.0055654045172447E-6</v>
      </c>
      <c r="R211" s="67" cm="1">
        <f t="array" ref="R211">SUMPRODUCT((J211=$J$7:$J$1000)*(P211&lt;$P$7:$P$1000))+1</f>
        <v>9</v>
      </c>
      <c r="S211" s="72"/>
      <c r="T211">
        <v>15</v>
      </c>
      <c r="U211" t="str">
        <v>NOLA</v>
      </c>
      <c r="V211" t="str">
        <v>Xavier Mignot</v>
      </c>
      <c r="W211" t="str">
        <v>NULL</v>
      </c>
      <c r="X211" t="str">
        <v>Home</v>
      </c>
      <c r="Y211" t="str">
        <v>UTAH</v>
      </c>
      <c r="Z211">
        <v>14.867182715067948</v>
      </c>
    </row>
    <row r="212" spans="10:26" x14ac:dyDescent="0.35">
      <c r="J212" s="66">
        <v>8</v>
      </c>
      <c r="K212" t="s">
        <v>17</v>
      </c>
      <c r="L212" t="s">
        <v>537</v>
      </c>
      <c r="M212">
        <v>11.3</v>
      </c>
      <c r="N212" t="s">
        <v>9</v>
      </c>
      <c r="O212" t="s">
        <v>7</v>
      </c>
      <c r="P212">
        <f t="shared" si="20"/>
        <v>6.6228874939766262</v>
      </c>
      <c r="Q212">
        <f t="shared" si="19"/>
        <v>21.87538139400025</v>
      </c>
      <c r="R212" s="67" cm="1">
        <f t="array" ref="R212">SUMPRODUCT((J212=$J$7:$J$1000)*(P212&lt;$P$7:$P$1000))+1</f>
        <v>21</v>
      </c>
      <c r="S212" s="72"/>
      <c r="T212">
        <v>15</v>
      </c>
      <c r="U212" t="str">
        <v>OGDC</v>
      </c>
      <c r="V212" t="str">
        <v>Axel Muller</v>
      </c>
      <c r="W212" t="str">
        <v>NULL</v>
      </c>
      <c r="X212" t="str">
        <v>Away</v>
      </c>
      <c r="Y212" t="str">
        <v>NEFJ</v>
      </c>
      <c r="Z212">
        <v>6.9044283945864464</v>
      </c>
    </row>
    <row r="213" spans="10:26" x14ac:dyDescent="0.35">
      <c r="J213" s="66">
        <v>8</v>
      </c>
      <c r="K213" t="s">
        <v>6</v>
      </c>
      <c r="L213" t="s">
        <v>64</v>
      </c>
      <c r="M213">
        <v>11.1</v>
      </c>
      <c r="N213" t="s">
        <v>9</v>
      </c>
      <c r="O213" t="s">
        <v>36</v>
      </c>
      <c r="P213">
        <f t="shared" si="20"/>
        <v>8.2447249256843627</v>
      </c>
      <c r="Q213">
        <f t="shared" si="19"/>
        <v>8.1525957500081656</v>
      </c>
      <c r="R213" s="67" cm="1">
        <f t="array" ref="R213">SUMPRODUCT((J213=$J$7:$J$1000)*(P213&lt;$P$7:$P$1000))+1</f>
        <v>18</v>
      </c>
      <c r="S213" s="72"/>
      <c r="T213">
        <v>15</v>
      </c>
      <c r="U213" t="str">
        <v>OGDC</v>
      </c>
      <c r="V213" t="str">
        <v>Damien Hoyland</v>
      </c>
      <c r="W213" t="str">
        <v>NULL</v>
      </c>
      <c r="X213" t="str">
        <v>Away</v>
      </c>
      <c r="Y213" t="str">
        <v>NEFJ</v>
      </c>
      <c r="Z213">
        <v>6.9877858537008564</v>
      </c>
    </row>
    <row r="214" spans="10:26" x14ac:dyDescent="0.35">
      <c r="J214" s="66">
        <v>8</v>
      </c>
      <c r="K214" t="s">
        <v>6</v>
      </c>
      <c r="L214" t="s">
        <v>94</v>
      </c>
      <c r="M214">
        <v>11</v>
      </c>
      <c r="N214" t="s">
        <v>9</v>
      </c>
      <c r="O214" t="s">
        <v>36</v>
      </c>
      <c r="P214">
        <f t="shared" si="20"/>
        <v>10.638761886727208</v>
      </c>
      <c r="Q214">
        <f t="shared" si="19"/>
        <v>0.13049297448088665</v>
      </c>
      <c r="R214" s="67" cm="1">
        <f t="array" ref="R214">SUMPRODUCT((J214=$J$7:$J$1000)*(P214&lt;$P$7:$P$1000))+1</f>
        <v>11</v>
      </c>
      <c r="S214" s="72"/>
      <c r="T214">
        <v>15</v>
      </c>
      <c r="U214" t="str">
        <v>OGDC</v>
      </c>
      <c r="V214" t="str">
        <v>Jason Robertson</v>
      </c>
      <c r="W214" t="str">
        <v>NULL</v>
      </c>
      <c r="X214" t="str">
        <v>Away</v>
      </c>
      <c r="Y214" t="str">
        <v>NEFJ</v>
      </c>
      <c r="Z214">
        <v>8.296832300404267</v>
      </c>
    </row>
    <row r="215" spans="10:26" x14ac:dyDescent="0.35">
      <c r="J215" s="66">
        <v>8</v>
      </c>
      <c r="K215" t="s">
        <v>2</v>
      </c>
      <c r="L215" t="s">
        <v>90</v>
      </c>
      <c r="M215">
        <v>9.1999999999999993</v>
      </c>
      <c r="N215" t="s">
        <v>9</v>
      </c>
      <c r="O215" t="s">
        <v>34</v>
      </c>
      <c r="P215">
        <f t="shared" si="20"/>
        <v>5.0462776991316103</v>
      </c>
      <c r="Q215">
        <f t="shared" si="19"/>
        <v>17.253408952731384</v>
      </c>
      <c r="R215" s="67" cm="1">
        <f t="array" ref="R215">SUMPRODUCT((J215=$J$7:$J$1000)*(P215&lt;$P$7:$P$1000))+1</f>
        <v>27</v>
      </c>
      <c r="S215" s="72"/>
      <c r="T215">
        <v>15</v>
      </c>
      <c r="U215" t="str">
        <v>OGDC</v>
      </c>
      <c r="V215" t="str">
        <v>John Rizzo</v>
      </c>
      <c r="W215" t="str">
        <v>NULL</v>
      </c>
      <c r="X215" t="str">
        <v>Away</v>
      </c>
      <c r="Y215" t="str">
        <v>NEFJ</v>
      </c>
      <c r="Z215">
        <v>8.7102155829105605</v>
      </c>
    </row>
    <row r="216" spans="10:26" x14ac:dyDescent="0.35">
      <c r="J216" s="66">
        <v>8</v>
      </c>
      <c r="K216" t="s">
        <v>7</v>
      </c>
      <c r="L216" t="s">
        <v>65</v>
      </c>
      <c r="M216">
        <v>9.1999999999999993</v>
      </c>
      <c r="N216" t="s">
        <v>3</v>
      </c>
      <c r="O216" t="s">
        <v>17</v>
      </c>
      <c r="P216">
        <f t="shared" si="20"/>
        <v>9.9085988730234593</v>
      </c>
      <c r="Q216">
        <f t="shared" si="19"/>
        <v>0.50211236285011762</v>
      </c>
      <c r="R216" s="67" cm="1">
        <f t="array" ref="R216">SUMPRODUCT((J216=$J$7:$J$1000)*(P216&lt;$P$7:$P$1000))+1</f>
        <v>14</v>
      </c>
      <c r="S216" s="72"/>
      <c r="T216">
        <v>15</v>
      </c>
      <c r="U216" t="str">
        <v>OGDC</v>
      </c>
      <c r="V216" t="str">
        <v>Owen Sheehy</v>
      </c>
      <c r="W216" t="str">
        <v>NULL</v>
      </c>
      <c r="X216" t="str">
        <v>Away</v>
      </c>
      <c r="Y216" t="str">
        <v>NEFJ</v>
      </c>
      <c r="Z216">
        <v>3.5863247137585197</v>
      </c>
    </row>
    <row r="217" spans="10:26" x14ac:dyDescent="0.35">
      <c r="J217" s="66">
        <v>8</v>
      </c>
      <c r="K217" t="s">
        <v>14</v>
      </c>
      <c r="L217" t="s">
        <v>87</v>
      </c>
      <c r="M217">
        <v>8.4</v>
      </c>
      <c r="N217" t="s">
        <v>3</v>
      </c>
      <c r="O217" t="s">
        <v>4</v>
      </c>
      <c r="P217">
        <f t="shared" si="20"/>
        <v>10.699278037444651</v>
      </c>
      <c r="Q217">
        <f t="shared" si="19"/>
        <v>5.2866794934753267</v>
      </c>
      <c r="R217" s="67" cm="1">
        <f t="array" ref="R217">SUMPRODUCT((J217=$J$7:$J$1000)*(P217&lt;$P$7:$P$1000))+1</f>
        <v>10</v>
      </c>
      <c r="S217" s="72"/>
      <c r="T217">
        <v>15</v>
      </c>
      <c r="U217" t="str">
        <v>OGDC</v>
      </c>
      <c r="V217" t="str">
        <v>Perry Humphreys</v>
      </c>
      <c r="W217" t="str">
        <v>NULL</v>
      </c>
      <c r="X217" t="str">
        <v>Away</v>
      </c>
      <c r="Y217" t="str">
        <v>NEFJ</v>
      </c>
      <c r="Z217">
        <v>6.2688979222424237</v>
      </c>
    </row>
    <row r="218" spans="10:26" x14ac:dyDescent="0.35">
      <c r="J218" s="66">
        <v>8</v>
      </c>
      <c r="K218" t="s">
        <v>34</v>
      </c>
      <c r="L218" t="s">
        <v>41</v>
      </c>
      <c r="M218">
        <v>7.7</v>
      </c>
      <c r="N218" t="s">
        <v>3</v>
      </c>
      <c r="O218" t="s">
        <v>2</v>
      </c>
      <c r="P218">
        <f t="shared" si="20"/>
        <v>11.854685011060214</v>
      </c>
      <c r="Q218">
        <f t="shared" si="19"/>
        <v>17.26140754112841</v>
      </c>
      <c r="R218" s="67" cm="1">
        <f t="array" ref="R218">SUMPRODUCT((J218=$J$7:$J$1000)*(P218&lt;$P$7:$P$1000))+1</f>
        <v>6</v>
      </c>
      <c r="S218" s="72"/>
      <c r="T218">
        <v>15</v>
      </c>
      <c r="U218" t="str">
        <v>SEA</v>
      </c>
      <c r="V218" t="str">
        <v>Divan Rossouw</v>
      </c>
      <c r="W218" t="str">
        <v>NULL</v>
      </c>
      <c r="X218" t="str">
        <v>Home</v>
      </c>
      <c r="Y218" t="str">
        <v>HOU</v>
      </c>
      <c r="Z218">
        <v>15.397208941127898</v>
      </c>
    </row>
    <row r="219" spans="10:26" x14ac:dyDescent="0.35">
      <c r="J219" s="66">
        <v>8</v>
      </c>
      <c r="K219" t="s">
        <v>4</v>
      </c>
      <c r="L219" t="s">
        <v>286</v>
      </c>
      <c r="M219">
        <v>7.6</v>
      </c>
      <c r="N219" t="s">
        <v>9</v>
      </c>
      <c r="O219" t="s">
        <v>14</v>
      </c>
      <c r="P219">
        <f t="shared" si="20"/>
        <v>12.826811687656807</v>
      </c>
      <c r="Q219">
        <f t="shared" si="19"/>
        <v>27.319560418225805</v>
      </c>
      <c r="R219" s="67" cm="1">
        <f t="array" ref="R219">SUMPRODUCT((J219=$J$7:$J$1000)*(P219&lt;$P$7:$P$1000))+1</f>
        <v>3</v>
      </c>
      <c r="S219" s="72"/>
      <c r="T219">
        <v>15</v>
      </c>
      <c r="U219" t="str">
        <v>SEA</v>
      </c>
      <c r="V219" t="str">
        <v>Duncan Matthews</v>
      </c>
      <c r="W219" t="str">
        <v>NULL</v>
      </c>
      <c r="X219" t="str">
        <v>Home</v>
      </c>
      <c r="Y219" t="str">
        <v>HOU</v>
      </c>
      <c r="Z219">
        <v>12.734258632947698</v>
      </c>
    </row>
    <row r="220" spans="10:26" x14ac:dyDescent="0.35">
      <c r="J220" s="66">
        <v>8</v>
      </c>
      <c r="K220" t="s">
        <v>36</v>
      </c>
      <c r="L220" t="s">
        <v>479</v>
      </c>
      <c r="M220">
        <v>7.2</v>
      </c>
      <c r="N220" t="s">
        <v>3</v>
      </c>
      <c r="O220" t="s">
        <v>6</v>
      </c>
      <c r="P220">
        <f t="shared" si="20"/>
        <v>7.4915838881886412</v>
      </c>
      <c r="Q220">
        <f t="shared" si="19"/>
        <v>8.5021163851205894E-2</v>
      </c>
      <c r="R220" s="67" cm="1">
        <f t="array" ref="R220">SUMPRODUCT((J220=$J$7:$J$1000)*(P220&lt;$P$7:$P$1000))+1</f>
        <v>20</v>
      </c>
      <c r="S220" s="72"/>
      <c r="T220">
        <v>15</v>
      </c>
      <c r="U220" t="str">
        <v>SEA</v>
      </c>
      <c r="V220" t="str">
        <v>Jade Stighling</v>
      </c>
      <c r="W220" t="str">
        <v>NULL</v>
      </c>
      <c r="X220" t="str">
        <v>Home</v>
      </c>
      <c r="Y220" t="str">
        <v>HOU</v>
      </c>
      <c r="Z220">
        <v>6.9600701686153847</v>
      </c>
    </row>
    <row r="221" spans="10:26" x14ac:dyDescent="0.35">
      <c r="J221" s="66">
        <v>8</v>
      </c>
      <c r="K221" t="s">
        <v>2</v>
      </c>
      <c r="L221" t="s">
        <v>12</v>
      </c>
      <c r="M221">
        <v>7.1</v>
      </c>
      <c r="N221" t="s">
        <v>9</v>
      </c>
      <c r="O221" t="s">
        <v>34</v>
      </c>
      <c r="P221">
        <f t="shared" si="20"/>
        <v>4.0313337029437868</v>
      </c>
      <c r="Q221">
        <f t="shared" si="19"/>
        <v>9.416712842688689</v>
      </c>
      <c r="R221" s="67" cm="1">
        <f t="array" ref="R221">SUMPRODUCT((J221=$J$7:$J$1000)*(P221&lt;$P$7:$P$1000))+1</f>
        <v>28</v>
      </c>
      <c r="S221" s="72"/>
      <c r="T221">
        <v>15</v>
      </c>
      <c r="U221" t="str">
        <v>SEA</v>
      </c>
      <c r="V221" t="str">
        <v>Jeremiah Sio</v>
      </c>
      <c r="W221" t="str">
        <v>NULL</v>
      </c>
      <c r="X221" t="str">
        <v>Home</v>
      </c>
      <c r="Y221" t="str">
        <v>HOU</v>
      </c>
      <c r="Z221">
        <v>0.2305914004942784</v>
      </c>
    </row>
    <row r="222" spans="10:26" x14ac:dyDescent="0.35">
      <c r="J222" s="66">
        <v>8</v>
      </c>
      <c r="K222" t="s">
        <v>23</v>
      </c>
      <c r="L222" t="s">
        <v>522</v>
      </c>
      <c r="M222">
        <v>7</v>
      </c>
      <c r="N222" t="s">
        <v>3</v>
      </c>
      <c r="O222" t="s">
        <v>24</v>
      </c>
      <c r="P222">
        <f t="shared" si="20"/>
        <v>8.3766594514013946</v>
      </c>
      <c r="Q222">
        <f t="shared" si="19"/>
        <v>1.8951912451327886</v>
      </c>
      <c r="R222" s="67" cm="1">
        <f t="array" ref="R222">SUMPRODUCT((J222=$J$7:$J$1000)*(P222&lt;$P$7:$P$1000))+1</f>
        <v>17</v>
      </c>
      <c r="S222" s="72"/>
      <c r="T222">
        <v>15</v>
      </c>
      <c r="U222" t="str">
        <v>SEA</v>
      </c>
      <c r="V222" t="str">
        <v>Lauina Futi</v>
      </c>
      <c r="W222" t="str">
        <v>NULL</v>
      </c>
      <c r="X222" t="str">
        <v>Home</v>
      </c>
      <c r="Y222" t="str">
        <v>HOU</v>
      </c>
      <c r="Z222">
        <v>8.2264434546339036</v>
      </c>
    </row>
    <row r="223" spans="10:26" x14ac:dyDescent="0.35">
      <c r="J223" s="66">
        <v>8</v>
      </c>
      <c r="K223" t="s">
        <v>17</v>
      </c>
      <c r="L223" t="s">
        <v>37</v>
      </c>
      <c r="M223">
        <v>6.9</v>
      </c>
      <c r="N223" t="s">
        <v>9</v>
      </c>
      <c r="O223" t="s">
        <v>7</v>
      </c>
      <c r="P223">
        <f t="shared" si="20"/>
        <v>14.934754454674415</v>
      </c>
      <c r="Q223">
        <f t="shared" si="19"/>
        <v>64.557279146910361</v>
      </c>
      <c r="R223" s="67" cm="1">
        <f t="array" ref="R223">SUMPRODUCT((J223=$J$7:$J$1000)*(P223&lt;$P$7:$P$1000))+1</f>
        <v>2</v>
      </c>
      <c r="S223" s="72"/>
      <c r="T223">
        <v>15</v>
      </c>
      <c r="U223" t="str">
        <v>SEA</v>
      </c>
      <c r="V223" t="str">
        <v>Malacchi Esdale</v>
      </c>
      <c r="W223" t="str">
        <v>NULL</v>
      </c>
      <c r="X223" t="str">
        <v>Home</v>
      </c>
      <c r="Y223" t="str">
        <v>HOU</v>
      </c>
      <c r="Z223">
        <v>13.134993535895546</v>
      </c>
    </row>
    <row r="224" spans="10:26" x14ac:dyDescent="0.35">
      <c r="J224" s="66">
        <v>8</v>
      </c>
      <c r="K224" t="s">
        <v>36</v>
      </c>
      <c r="L224" t="s">
        <v>73</v>
      </c>
      <c r="M224">
        <v>6.5</v>
      </c>
      <c r="N224" t="s">
        <v>3</v>
      </c>
      <c r="O224" t="s">
        <v>6</v>
      </c>
      <c r="P224">
        <f t="shared" si="20"/>
        <v>9.1472186418505714</v>
      </c>
      <c r="Q224">
        <f t="shared" si="19"/>
        <v>7.0077665377611842</v>
      </c>
      <c r="R224" s="67" cm="1">
        <f t="array" ref="R224">SUMPRODUCT((J224=$J$7:$J$1000)*(P224&lt;$P$7:$P$1000))+1</f>
        <v>16</v>
      </c>
      <c r="S224" s="72"/>
      <c r="T224">
        <v>15</v>
      </c>
      <c r="U224" t="str">
        <v>SEA</v>
      </c>
      <c r="V224" t="str">
        <v>Mikaela Kruse</v>
      </c>
      <c r="W224" t="str">
        <v>NULL</v>
      </c>
      <c r="X224" t="str">
        <v>Home</v>
      </c>
      <c r="Y224" t="str">
        <v>HOU</v>
      </c>
      <c r="Z224">
        <v>6.9355335980842536</v>
      </c>
    </row>
    <row r="225" spans="10:26" x14ac:dyDescent="0.35">
      <c r="J225" s="66">
        <v>8</v>
      </c>
      <c r="K225" t="s">
        <v>24</v>
      </c>
      <c r="L225" t="s">
        <v>194</v>
      </c>
      <c r="M225">
        <v>6.5</v>
      </c>
      <c r="N225" t="s">
        <v>9</v>
      </c>
      <c r="O225" t="s">
        <v>23</v>
      </c>
      <c r="P225">
        <f t="shared" si="20"/>
        <v>6.501325475524677</v>
      </c>
      <c r="Q225">
        <f t="shared" si="19"/>
        <v>1.7568853665177391E-6</v>
      </c>
      <c r="R225" s="67" cm="1">
        <f t="array" ref="R225">SUMPRODUCT((J225=$J$7:$J$1000)*(P225&lt;$P$7:$P$1000))+1</f>
        <v>22</v>
      </c>
      <c r="S225" s="72"/>
      <c r="T225">
        <v>15</v>
      </c>
      <c r="U225" t="str">
        <v>SEA</v>
      </c>
      <c r="V225" t="str">
        <v>Toni Pulu</v>
      </c>
      <c r="W225" t="str">
        <v>NULL</v>
      </c>
      <c r="X225" t="str">
        <v>Home</v>
      </c>
      <c r="Y225" t="str">
        <v>HOU</v>
      </c>
      <c r="Z225">
        <v>7.0853419804301101</v>
      </c>
    </row>
    <row r="226" spans="10:26" x14ac:dyDescent="0.35">
      <c r="J226" s="66">
        <v>8</v>
      </c>
      <c r="K226" t="s">
        <v>17</v>
      </c>
      <c r="L226" t="s">
        <v>76</v>
      </c>
      <c r="M226">
        <v>6.5</v>
      </c>
      <c r="N226" t="s">
        <v>9</v>
      </c>
      <c r="O226" t="s">
        <v>7</v>
      </c>
      <c r="P226">
        <f t="shared" si="20"/>
        <v>6.4976156821619009</v>
      </c>
      <c r="Q226">
        <f t="shared" si="19"/>
        <v>5.6849715530776367E-6</v>
      </c>
      <c r="R226" s="67" cm="1">
        <f t="array" ref="R226">SUMPRODUCT((J226=$J$7:$J$1000)*(P226&lt;$P$7:$P$1000))+1</f>
        <v>23</v>
      </c>
      <c r="S226" s="72"/>
      <c r="T226">
        <v>15</v>
      </c>
      <c r="U226" t="str">
        <v>UTAH</v>
      </c>
      <c r="V226" t="str">
        <v>Blake Makiri</v>
      </c>
      <c r="W226" t="str">
        <v>NULL</v>
      </c>
      <c r="X226" t="str">
        <v>Away</v>
      </c>
      <c r="Y226" t="str">
        <v>NOLA</v>
      </c>
      <c r="Z226">
        <v>9.2063292638115719</v>
      </c>
    </row>
    <row r="227" spans="10:26" x14ac:dyDescent="0.35">
      <c r="J227" s="66">
        <v>8</v>
      </c>
      <c r="K227" t="s">
        <v>24</v>
      </c>
      <c r="L227" t="s">
        <v>35</v>
      </c>
      <c r="M227">
        <v>6.1</v>
      </c>
      <c r="N227" t="s">
        <v>9</v>
      </c>
      <c r="O227" t="s">
        <v>23</v>
      </c>
      <c r="P227">
        <f t="shared" si="20"/>
        <v>6.1022800708655822</v>
      </c>
      <c r="Q227">
        <f t="shared" si="19"/>
        <v>5.1987231520784641E-6</v>
      </c>
      <c r="R227" s="67" cm="1">
        <f t="array" ref="R227">SUMPRODUCT((J227=$J$7:$J$1000)*(P227&lt;$P$7:$P$1000))+1</f>
        <v>25</v>
      </c>
      <c r="S227" s="72"/>
      <c r="T227">
        <v>15</v>
      </c>
      <c r="U227" t="str">
        <v>UTAH</v>
      </c>
      <c r="V227" t="str">
        <v>Joe Mano</v>
      </c>
      <c r="W227" t="str">
        <v>NULL</v>
      </c>
      <c r="X227" t="str">
        <v>Away</v>
      </c>
      <c r="Y227" t="str">
        <v>NOLA</v>
      </c>
      <c r="Z227">
        <v>14.710639246070166</v>
      </c>
    </row>
    <row r="228" spans="10:26" x14ac:dyDescent="0.35">
      <c r="J228" s="66">
        <v>8</v>
      </c>
      <c r="K228" t="s">
        <v>24</v>
      </c>
      <c r="L228" t="s">
        <v>101</v>
      </c>
      <c r="M228">
        <v>5.2</v>
      </c>
      <c r="N228" t="s">
        <v>9</v>
      </c>
      <c r="O228" t="s">
        <v>23</v>
      </c>
      <c r="P228">
        <f t="shared" si="20"/>
        <v>3.4689252377777584</v>
      </c>
      <c r="Q228">
        <f t="shared" si="19"/>
        <v>2.9966198324027911</v>
      </c>
      <c r="R228" s="67" cm="1">
        <f t="array" ref="R228">SUMPRODUCT((J228=$J$7:$J$1000)*(P228&lt;$P$7:$P$1000))+1</f>
        <v>30</v>
      </c>
      <c r="S228" s="72"/>
      <c r="T228">
        <v>15</v>
      </c>
      <c r="U228" t="str">
        <v>UTAH</v>
      </c>
      <c r="V228" t="str">
        <v>Jordan Trainor</v>
      </c>
      <c r="W228" t="str">
        <v>NULL</v>
      </c>
      <c r="X228" t="str">
        <v>Away</v>
      </c>
      <c r="Y228" t="str">
        <v>NOLA</v>
      </c>
      <c r="Z228">
        <v>12.194448844478062</v>
      </c>
    </row>
    <row r="229" spans="10:26" x14ac:dyDescent="0.35">
      <c r="J229" s="66">
        <v>8</v>
      </c>
      <c r="K229" t="s">
        <v>4</v>
      </c>
      <c r="L229" t="s">
        <v>475</v>
      </c>
      <c r="M229">
        <v>5.2</v>
      </c>
      <c r="N229" t="s">
        <v>9</v>
      </c>
      <c r="O229" t="s">
        <v>14</v>
      </c>
      <c r="P229">
        <f t="shared" si="20"/>
        <v>6.1613903294301871</v>
      </c>
      <c r="Q229">
        <f t="shared" si="19"/>
        <v>0.92427136552188327</v>
      </c>
      <c r="R229" s="67" cm="1">
        <f t="array" ref="R229">SUMPRODUCT((J229=$J$7:$J$1000)*(P229&lt;$P$7:$P$1000))+1</f>
        <v>24</v>
      </c>
      <c r="S229" s="72"/>
      <c r="T229">
        <v>15</v>
      </c>
      <c r="U229" t="str">
        <v>UTAH</v>
      </c>
      <c r="V229" t="str">
        <v>Nic Benn</v>
      </c>
      <c r="W229" t="str">
        <v>NULL</v>
      </c>
      <c r="X229" t="str">
        <v>Away</v>
      </c>
      <c r="Y229" t="str">
        <v>NOLA</v>
      </c>
      <c r="Z229">
        <v>11.104124218269797</v>
      </c>
    </row>
    <row r="230" spans="10:26" x14ac:dyDescent="0.35">
      <c r="J230" s="66">
        <v>8</v>
      </c>
      <c r="K230" t="s">
        <v>4</v>
      </c>
      <c r="L230" t="s">
        <v>74</v>
      </c>
      <c r="M230">
        <v>4.2</v>
      </c>
      <c r="N230" t="s">
        <v>9</v>
      </c>
      <c r="O230" t="s">
        <v>14</v>
      </c>
      <c r="P230">
        <f t="shared" si="20"/>
        <v>10.257318706496074</v>
      </c>
      <c r="Q230">
        <f t="shared" si="19"/>
        <v>36.691109912067269</v>
      </c>
      <c r="R230" s="67" cm="1">
        <f t="array" ref="R230">SUMPRODUCT((J230=$J$7:$J$1000)*(P230&lt;$P$7:$P$1000))+1</f>
        <v>12</v>
      </c>
      <c r="S230" s="72"/>
      <c r="T230">
        <v>15</v>
      </c>
      <c r="U230" t="str">
        <v>UTAH</v>
      </c>
      <c r="V230" t="str">
        <v>Nolan Tuamoheloa</v>
      </c>
      <c r="W230" t="str">
        <v>NULL</v>
      </c>
      <c r="X230" t="str">
        <v>Away</v>
      </c>
      <c r="Y230" t="str">
        <v>NOLA</v>
      </c>
      <c r="Z230">
        <v>9.2821422475136455</v>
      </c>
    </row>
    <row r="231" spans="10:26" x14ac:dyDescent="0.35">
      <c r="J231" s="66">
        <v>8</v>
      </c>
      <c r="K231" t="s">
        <v>23</v>
      </c>
      <c r="L231" t="s">
        <v>443</v>
      </c>
      <c r="M231">
        <v>4.0999999999999996</v>
      </c>
      <c r="N231" t="s">
        <v>3</v>
      </c>
      <c r="O231" t="s">
        <v>24</v>
      </c>
      <c r="P231">
        <f t="shared" si="20"/>
        <v>9.2371196699959732</v>
      </c>
      <c r="Q231">
        <f t="shared" si="19"/>
        <v>26.389998503859541</v>
      </c>
      <c r="R231" s="67" cm="1">
        <f t="array" ref="R231">SUMPRODUCT((J231=$J$7:$J$1000)*(P231&lt;$P$7:$P$1000))+1</f>
        <v>15</v>
      </c>
      <c r="S231" s="72"/>
      <c r="T231">
        <v>15</v>
      </c>
      <c r="U231" t="str">
        <v>UTAH</v>
      </c>
      <c r="V231" t="str">
        <v>Sione Mahe</v>
      </c>
      <c r="W231" t="str">
        <v>NULL</v>
      </c>
      <c r="X231" t="str">
        <v>Away</v>
      </c>
      <c r="Y231" t="str">
        <v>NOLA</v>
      </c>
      <c r="Z231">
        <v>3.0489553267156433</v>
      </c>
    </row>
    <row r="232" spans="10:26" x14ac:dyDescent="0.35">
      <c r="J232" s="66">
        <v>8</v>
      </c>
      <c r="K232" t="s">
        <v>14</v>
      </c>
      <c r="L232" t="s">
        <v>278</v>
      </c>
      <c r="M232">
        <v>3.9</v>
      </c>
      <c r="N232" t="s">
        <v>3</v>
      </c>
      <c r="O232" t="s">
        <v>4</v>
      </c>
      <c r="P232">
        <f t="shared" si="20"/>
        <v>7.924778756145761</v>
      </c>
      <c r="Q232">
        <f t="shared" si="19"/>
        <v>16.198844035922217</v>
      </c>
      <c r="R232" s="67" cm="1">
        <f t="array" ref="R232">SUMPRODUCT((J232=$J$7:$J$1000)*(P232&lt;$P$7:$P$1000))+1</f>
        <v>19</v>
      </c>
      <c r="S232" s="72"/>
      <c r="T232">
        <v>15</v>
      </c>
      <c r="U232" t="str">
        <v>UTAH</v>
      </c>
      <c r="V232" t="str">
        <v>Tielu Sagala</v>
      </c>
      <c r="W232" t="str">
        <v>NULL</v>
      </c>
      <c r="X232" t="str">
        <v>Away</v>
      </c>
      <c r="Y232" t="str">
        <v>NOLA</v>
      </c>
      <c r="Z232">
        <v>7.2791900600799195</v>
      </c>
    </row>
    <row r="233" spans="10:26" x14ac:dyDescent="0.35">
      <c r="J233" s="66">
        <v>8</v>
      </c>
      <c r="K233" t="s">
        <v>2</v>
      </c>
      <c r="L233" t="s">
        <v>63</v>
      </c>
      <c r="M233">
        <v>2.7</v>
      </c>
      <c r="N233" t="s">
        <v>9</v>
      </c>
      <c r="O233" t="s">
        <v>34</v>
      </c>
      <c r="P233">
        <f t="shared" si="20"/>
        <v>3.8794946800268222</v>
      </c>
      <c r="Q233">
        <f t="shared" si="19"/>
        <v>1.3912077002115752</v>
      </c>
      <c r="R233" s="67" cm="1">
        <f t="array" ref="R233">SUMPRODUCT((J233=$J$7:$J$1000)*(P233&lt;$P$7:$P$1000))+1</f>
        <v>29</v>
      </c>
      <c r="S233" s="72"/>
      <c r="T233">
        <v>15</v>
      </c>
      <c r="U233" t="str">
        <v>UTAH</v>
      </c>
      <c r="V233" t="str">
        <v>Zion Going</v>
      </c>
      <c r="W233" t="str">
        <v>NULL</v>
      </c>
      <c r="X233" t="str">
        <v>Away</v>
      </c>
      <c r="Y233" t="str">
        <v>NOLA</v>
      </c>
      <c r="Z233">
        <v>8.1792707894806558</v>
      </c>
    </row>
    <row r="234" spans="10:26" x14ac:dyDescent="0.35">
      <c r="J234" s="66">
        <v>8</v>
      </c>
      <c r="K234" t="s">
        <v>36</v>
      </c>
      <c r="L234" t="s">
        <v>476</v>
      </c>
      <c r="M234">
        <v>2.5</v>
      </c>
      <c r="N234" t="s">
        <v>3</v>
      </c>
      <c r="O234" t="s">
        <v>6</v>
      </c>
      <c r="P234">
        <f t="shared" si="20"/>
        <v>5.491766167212405</v>
      </c>
      <c r="Q234">
        <f t="shared" si="19"/>
        <v>8.9506647992768045</v>
      </c>
      <c r="R234" s="67" cm="1">
        <f t="array" ref="R234">SUMPRODUCT((J234=$J$7:$J$1000)*(P234&lt;$P$7:$P$1000))+1</f>
        <v>26</v>
      </c>
      <c r="S234" s="72"/>
      <c r="T234">
        <v>16</v>
      </c>
      <c r="U234" t="str">
        <v>ARC</v>
      </c>
      <c r="V234" t="str">
        <v>Ashawnty Staples Flowers</v>
      </c>
      <c r="W234" t="str">
        <v>NULL</v>
      </c>
      <c r="X234" t="str">
        <v>Away</v>
      </c>
      <c r="Y234" t="str">
        <v>UTAH</v>
      </c>
      <c r="Z234">
        <v>0.60310714613586636</v>
      </c>
    </row>
    <row r="235" spans="10:26" x14ac:dyDescent="0.35">
      <c r="J235" s="66">
        <v>9</v>
      </c>
      <c r="K235" t="s">
        <v>4</v>
      </c>
      <c r="L235" t="s">
        <v>453</v>
      </c>
      <c r="M235">
        <v>33.5</v>
      </c>
      <c r="N235" t="s">
        <v>3</v>
      </c>
      <c r="O235" t="s">
        <v>7</v>
      </c>
      <c r="P235">
        <f t="shared" si="20"/>
        <v>12.392052655242503</v>
      </c>
      <c r="Q235">
        <f t="shared" ref="Q235:Q298" si="21">IFERROR(($M235-$P235)^2,"")</f>
        <v>445.5454411090551</v>
      </c>
      <c r="R235" s="67" cm="1">
        <f t="array" ref="R235">SUMPRODUCT((J235=$J$7:$J$1000)*(P235&lt;$P$7:$P$1000))+1</f>
        <v>7</v>
      </c>
      <c r="S235" s="72"/>
      <c r="T235">
        <v>16</v>
      </c>
      <c r="U235" t="str">
        <v>ARC</v>
      </c>
      <c r="V235" t="str">
        <v>Cameron Gerlach</v>
      </c>
      <c r="W235" t="str">
        <v>NULL</v>
      </c>
      <c r="X235" t="str">
        <v>Away</v>
      </c>
      <c r="Y235" t="str">
        <v>OGDC</v>
      </c>
      <c r="Z235">
        <v>8.9580405477904872</v>
      </c>
    </row>
    <row r="236" spans="10:26" x14ac:dyDescent="0.35">
      <c r="J236" s="66">
        <v>9</v>
      </c>
      <c r="K236" t="s">
        <v>6</v>
      </c>
      <c r="L236" t="s">
        <v>93</v>
      </c>
      <c r="M236">
        <v>24.2</v>
      </c>
      <c r="N236" t="s">
        <v>3</v>
      </c>
      <c r="O236" t="s">
        <v>13</v>
      </c>
      <c r="P236">
        <f t="shared" si="20"/>
        <v>14.356691533410961</v>
      </c>
      <c r="Q236">
        <f t="shared" si="21"/>
        <v>96.890721568423444</v>
      </c>
      <c r="R236" s="67" cm="1">
        <f t="array" ref="R236">SUMPRODUCT((J236=$J$7:$J$1000)*(P236&lt;$P$7:$P$1000))+1</f>
        <v>2</v>
      </c>
      <c r="S236" s="72"/>
      <c r="T236">
        <v>16</v>
      </c>
      <c r="U236" t="str">
        <v>ARC</v>
      </c>
      <c r="V236" t="str">
        <v>Conner Mooneyham</v>
      </c>
      <c r="W236" t="str">
        <v>NULL</v>
      </c>
      <c r="X236" t="str">
        <v>Away</v>
      </c>
      <c r="Y236" t="str">
        <v>UTAH</v>
      </c>
      <c r="Z236">
        <v>7.7885580424463239</v>
      </c>
    </row>
    <row r="237" spans="10:26" x14ac:dyDescent="0.35">
      <c r="J237" s="66">
        <v>9</v>
      </c>
      <c r="K237" t="s">
        <v>36</v>
      </c>
      <c r="L237" t="s">
        <v>73</v>
      </c>
      <c r="M237">
        <v>19.7</v>
      </c>
      <c r="N237" t="s">
        <v>9</v>
      </c>
      <c r="O237" t="s">
        <v>24</v>
      </c>
      <c r="P237">
        <f t="shared" si="20"/>
        <v>12.585972639662183</v>
      </c>
      <c r="Q237">
        <f t="shared" si="21"/>
        <v>50.609385283635042</v>
      </c>
      <c r="R237" s="67" cm="1">
        <f t="array" ref="R237">SUMPRODUCT((J237=$J$7:$J$1000)*(P237&lt;$P$7:$P$1000))+1</f>
        <v>5</v>
      </c>
      <c r="S237" s="72"/>
      <c r="T237">
        <v>16</v>
      </c>
      <c r="U237" t="str">
        <v>ARC</v>
      </c>
      <c r="V237" t="str">
        <v>EJ Freeman</v>
      </c>
      <c r="W237" t="str">
        <v>NULL</v>
      </c>
      <c r="X237" t="str">
        <v>Away</v>
      </c>
      <c r="Y237" t="str">
        <v>UTAH</v>
      </c>
      <c r="Z237">
        <v>5.1141369755765309</v>
      </c>
    </row>
    <row r="238" spans="10:26" x14ac:dyDescent="0.35">
      <c r="J238" s="66">
        <v>9</v>
      </c>
      <c r="K238" t="s">
        <v>4</v>
      </c>
      <c r="L238" t="s">
        <v>286</v>
      </c>
      <c r="M238">
        <v>18.5</v>
      </c>
      <c r="N238" t="s">
        <v>3</v>
      </c>
      <c r="O238" t="s">
        <v>7</v>
      </c>
      <c r="P238">
        <f t="shared" si="20"/>
        <v>11.020509599254114</v>
      </c>
      <c r="Q238">
        <f t="shared" si="21"/>
        <v>55.942776654849858</v>
      </c>
      <c r="R238" s="67" cm="1">
        <f t="array" ref="R238">SUMPRODUCT((J238=$J$7:$J$1000)*(P238&lt;$P$7:$P$1000))+1</f>
        <v>10</v>
      </c>
      <c r="S238" s="72"/>
      <c r="T238">
        <v>16</v>
      </c>
      <c r="U238" t="str">
        <v>ARC</v>
      </c>
      <c r="V238" t="str">
        <v>Jason Tidwell</v>
      </c>
      <c r="W238" t="str">
        <v>NULL</v>
      </c>
      <c r="X238" t="str">
        <v>Away</v>
      </c>
      <c r="Y238" t="str">
        <v>UTAH</v>
      </c>
      <c r="Z238">
        <v>7.8363916191127485</v>
      </c>
    </row>
    <row r="239" spans="10:26" x14ac:dyDescent="0.35">
      <c r="J239" s="66">
        <v>9</v>
      </c>
      <c r="K239" t="s">
        <v>23</v>
      </c>
      <c r="L239" t="s">
        <v>443</v>
      </c>
      <c r="M239">
        <v>17.5</v>
      </c>
      <c r="N239" t="s">
        <v>3</v>
      </c>
      <c r="O239" t="s">
        <v>34</v>
      </c>
      <c r="P239">
        <f t="shared" si="20"/>
        <v>6.4191472621731567</v>
      </c>
      <c r="Q239">
        <f t="shared" si="21"/>
        <v>122.78529739740465</v>
      </c>
      <c r="R239" s="67" cm="1">
        <f t="array" ref="R239">SUMPRODUCT((J239=$J$7:$J$1000)*(P239&lt;$P$7:$P$1000))+1</f>
        <v>23</v>
      </c>
      <c r="S239" s="72"/>
      <c r="T239">
        <v>16</v>
      </c>
      <c r="U239" t="str">
        <v>ARC</v>
      </c>
      <c r="V239" t="str">
        <v>Line Latu</v>
      </c>
      <c r="W239" t="str">
        <v>NULL</v>
      </c>
      <c r="X239" t="str">
        <v>Away</v>
      </c>
      <c r="Y239" t="str">
        <v>UTAH</v>
      </c>
      <c r="Z239">
        <v>10.357740191718522</v>
      </c>
    </row>
    <row r="240" spans="10:26" x14ac:dyDescent="0.35">
      <c r="J240" s="66">
        <v>9</v>
      </c>
      <c r="K240" t="s">
        <v>13</v>
      </c>
      <c r="L240" t="s">
        <v>79</v>
      </c>
      <c r="M240">
        <v>15.7</v>
      </c>
      <c r="N240" t="s">
        <v>9</v>
      </c>
      <c r="O240" t="s">
        <v>6</v>
      </c>
      <c r="P240">
        <f t="shared" si="20"/>
        <v>12.105246148627486</v>
      </c>
      <c r="Q240">
        <f t="shared" si="21"/>
        <v>12.922255251957514</v>
      </c>
      <c r="R240" s="67" cm="1">
        <f t="array" ref="R240">SUMPRODUCT((J240=$J$7:$J$1000)*(P240&lt;$P$7:$P$1000))+1</f>
        <v>8</v>
      </c>
      <c r="S240" s="72"/>
      <c r="T240">
        <v>16</v>
      </c>
      <c r="U240" t="str">
        <v>ARC</v>
      </c>
      <c r="V240" t="str">
        <v>Mitch Wilson</v>
      </c>
      <c r="W240" t="str">
        <v>NULL</v>
      </c>
      <c r="X240" t="str">
        <v>Away</v>
      </c>
      <c r="Y240" t="str">
        <v>UTAH</v>
      </c>
      <c r="Z240">
        <v>10.563057323745214</v>
      </c>
    </row>
    <row r="241" spans="10:26" x14ac:dyDescent="0.35">
      <c r="J241" s="66">
        <v>9</v>
      </c>
      <c r="K241" t="s">
        <v>6</v>
      </c>
      <c r="L241" t="s">
        <v>64</v>
      </c>
      <c r="M241">
        <v>15.1</v>
      </c>
      <c r="N241" t="s">
        <v>3</v>
      </c>
      <c r="O241" t="s">
        <v>13</v>
      </c>
      <c r="P241">
        <f t="shared" si="20"/>
        <v>12.520025445432942</v>
      </c>
      <c r="Q241">
        <f t="shared" si="21"/>
        <v>6.6562687022134845</v>
      </c>
      <c r="R241" s="67" cm="1">
        <f t="array" ref="R241">SUMPRODUCT((J241=$J$7:$J$1000)*(P241&lt;$P$7:$P$1000))+1</f>
        <v>6</v>
      </c>
      <c r="S241" s="72"/>
      <c r="T241">
        <v>16</v>
      </c>
      <c r="U241" t="str">
        <v>ARC</v>
      </c>
      <c r="V241" t="str">
        <v>Toby Fricker</v>
      </c>
      <c r="W241" t="str">
        <v>NULL</v>
      </c>
      <c r="X241" t="str">
        <v>Away</v>
      </c>
      <c r="Y241" t="str">
        <v>UTAH</v>
      </c>
      <c r="Z241">
        <v>10.043797656066872</v>
      </c>
    </row>
    <row r="242" spans="10:26" x14ac:dyDescent="0.35">
      <c r="J242" s="66">
        <v>9</v>
      </c>
      <c r="K242" t="s">
        <v>4</v>
      </c>
      <c r="L242" t="s">
        <v>74</v>
      </c>
      <c r="M242">
        <v>14.3</v>
      </c>
      <c r="N242" t="s">
        <v>3</v>
      </c>
      <c r="O242" t="s">
        <v>7</v>
      </c>
      <c r="P242">
        <f t="shared" si="20"/>
        <v>8.4510166180933801</v>
      </c>
      <c r="Q242">
        <f t="shared" si="21"/>
        <v>34.210606601819812</v>
      </c>
      <c r="R242" s="67" cm="1">
        <f t="array" ref="R242">SUMPRODUCT((J242=$J$7:$J$1000)*(P242&lt;$P$7:$P$1000))+1</f>
        <v>19</v>
      </c>
      <c r="S242" s="72"/>
      <c r="T242">
        <v>16</v>
      </c>
      <c r="U242" t="str">
        <v>CHI</v>
      </c>
      <c r="V242" t="str">
        <v>Adriaan Carelse</v>
      </c>
      <c r="W242" t="str">
        <v>NULL</v>
      </c>
      <c r="X242" t="str">
        <v>Home</v>
      </c>
      <c r="Y242" t="str">
        <v>NOLA</v>
      </c>
      <c r="Z242">
        <v>5.8641061874807052</v>
      </c>
    </row>
    <row r="243" spans="10:26" x14ac:dyDescent="0.35">
      <c r="J243" s="66">
        <v>9</v>
      </c>
      <c r="K243" t="s">
        <v>7</v>
      </c>
      <c r="L243" t="s">
        <v>80</v>
      </c>
      <c r="M243">
        <v>13.5</v>
      </c>
      <c r="N243" t="s">
        <v>9</v>
      </c>
      <c r="O243" t="s">
        <v>4</v>
      </c>
      <c r="P243">
        <f t="shared" si="20"/>
        <v>11.778357794644773</v>
      </c>
      <c r="Q243">
        <f t="shared" si="21"/>
        <v>2.9640518832604101</v>
      </c>
      <c r="R243" s="67" cm="1">
        <f t="array" ref="R243">SUMPRODUCT((J243=$J$7:$J$1000)*(P243&lt;$P$7:$P$1000))+1</f>
        <v>9</v>
      </c>
      <c r="S243" s="72"/>
      <c r="T243">
        <v>16</v>
      </c>
      <c r="U243" t="str">
        <v>CHI</v>
      </c>
      <c r="V243" t="str">
        <v>Ben Pollack</v>
      </c>
      <c r="W243" t="str">
        <v>NULL</v>
      </c>
      <c r="X243" t="str">
        <v>Home</v>
      </c>
      <c r="Y243" t="str">
        <v>NOLA</v>
      </c>
      <c r="Z243">
        <v>5.2150615820758528</v>
      </c>
    </row>
    <row r="244" spans="10:26" x14ac:dyDescent="0.35">
      <c r="J244" s="66">
        <v>9</v>
      </c>
      <c r="K244" t="s">
        <v>36</v>
      </c>
      <c r="L244" t="s">
        <v>479</v>
      </c>
      <c r="M244">
        <v>13</v>
      </c>
      <c r="N244" t="s">
        <v>9</v>
      </c>
      <c r="O244" t="s">
        <v>24</v>
      </c>
      <c r="P244">
        <f t="shared" si="20"/>
        <v>10.930337886000252</v>
      </c>
      <c r="Q244">
        <f t="shared" si="21"/>
        <v>4.2835012661259038</v>
      </c>
      <c r="R244" s="67" cm="1">
        <f t="array" ref="R244">SUMPRODUCT((J244=$J$7:$J$1000)*(P244&lt;$P$7:$P$1000))+1</f>
        <v>11</v>
      </c>
      <c r="S244" s="72"/>
      <c r="T244">
        <v>16</v>
      </c>
      <c r="U244" t="str">
        <v>CHI</v>
      </c>
      <c r="V244" t="str">
        <v>Julian Dominguez</v>
      </c>
      <c r="W244" t="str">
        <v>NULL</v>
      </c>
      <c r="X244" t="str">
        <v>Home</v>
      </c>
      <c r="Y244" t="str">
        <v>NOLA</v>
      </c>
      <c r="Z244">
        <v>3.102040287109793</v>
      </c>
    </row>
    <row r="245" spans="10:26" x14ac:dyDescent="0.35">
      <c r="J245" s="66">
        <v>9</v>
      </c>
      <c r="K245" t="s">
        <v>24</v>
      </c>
      <c r="L245" t="s">
        <v>533</v>
      </c>
      <c r="M245">
        <v>12.7</v>
      </c>
      <c r="N245" t="s">
        <v>3</v>
      </c>
      <c r="O245" t="s">
        <v>36</v>
      </c>
      <c r="P245">
        <f t="shared" si="20"/>
        <v>13.981277955750498</v>
      </c>
      <c r="Q245">
        <f t="shared" si="21"/>
        <v>1.6416731998921765</v>
      </c>
      <c r="R245" s="67" cm="1">
        <f t="array" ref="R245">SUMPRODUCT((J245=$J$7:$J$1000)*(P245&lt;$P$7:$P$1000))+1</f>
        <v>4</v>
      </c>
      <c r="S245" s="72"/>
      <c r="T245">
        <v>16</v>
      </c>
      <c r="U245" t="str">
        <v>CHI</v>
      </c>
      <c r="V245" t="str">
        <v>Mark O'Keeffe</v>
      </c>
      <c r="W245" t="str">
        <v>NULL</v>
      </c>
      <c r="X245" t="str">
        <v>Home</v>
      </c>
      <c r="Y245" t="str">
        <v>NOLA</v>
      </c>
      <c r="Z245">
        <v>6.0159452103976694</v>
      </c>
    </row>
    <row r="246" spans="10:26" x14ac:dyDescent="0.35">
      <c r="J246" s="66">
        <v>9</v>
      </c>
      <c r="K246" t="s">
        <v>13</v>
      </c>
      <c r="L246" t="s">
        <v>477</v>
      </c>
      <c r="M246">
        <v>12.5</v>
      </c>
      <c r="N246" t="s">
        <v>9</v>
      </c>
      <c r="O246" t="s">
        <v>6</v>
      </c>
      <c r="P246">
        <f t="shared" si="20"/>
        <v>9.589055747035383</v>
      </c>
      <c r="Q246">
        <f t="shared" si="21"/>
        <v>8.4735964438677325</v>
      </c>
      <c r="R246" s="67" cm="1">
        <f t="array" ref="R246">SUMPRODUCT((J246=$J$7:$J$1000)*(P246&lt;$P$7:$P$1000))+1</f>
        <v>13</v>
      </c>
      <c r="S246" s="72"/>
      <c r="T246">
        <v>16</v>
      </c>
      <c r="U246" t="str">
        <v>CHI</v>
      </c>
      <c r="V246" t="str">
        <v>Michael Hand</v>
      </c>
      <c r="W246" t="str">
        <v>NULL</v>
      </c>
      <c r="X246" t="str">
        <v>Home</v>
      </c>
      <c r="Y246" t="str">
        <v>NOLA</v>
      </c>
      <c r="Z246">
        <v>7.3418958024697654</v>
      </c>
    </row>
    <row r="247" spans="10:26" x14ac:dyDescent="0.35">
      <c r="J247" s="66">
        <v>9</v>
      </c>
      <c r="K247" t="s">
        <v>2</v>
      </c>
      <c r="L247" t="s">
        <v>495</v>
      </c>
      <c r="M247">
        <v>12.2</v>
      </c>
      <c r="N247" t="s">
        <v>3</v>
      </c>
      <c r="O247" t="s">
        <v>14</v>
      </c>
      <c r="P247">
        <f t="shared" si="20"/>
        <v>8.7994720637241972</v>
      </c>
      <c r="Q247">
        <f t="shared" si="21"/>
        <v>11.563590245392165</v>
      </c>
      <c r="R247" s="67" cm="1">
        <f t="array" ref="R247">SUMPRODUCT((J247=$J$7:$J$1000)*(P247&lt;$P$7:$P$1000))+1</f>
        <v>17</v>
      </c>
      <c r="S247" s="72"/>
      <c r="T247">
        <v>16</v>
      </c>
      <c r="U247" t="str">
        <v>CHI</v>
      </c>
      <c r="V247" t="str">
        <v>Nate Augspurger</v>
      </c>
      <c r="W247" t="str">
        <v>NULL</v>
      </c>
      <c r="X247" t="str">
        <v>Home</v>
      </c>
      <c r="Y247" t="str">
        <v>NOLA</v>
      </c>
      <c r="Z247">
        <v>4.0636081486584761</v>
      </c>
    </row>
    <row r="248" spans="10:26" x14ac:dyDescent="0.35">
      <c r="J248" s="66">
        <v>9</v>
      </c>
      <c r="K248" t="s">
        <v>14</v>
      </c>
      <c r="L248" t="s">
        <v>639</v>
      </c>
      <c r="M248">
        <v>10.8</v>
      </c>
      <c r="N248" t="s">
        <v>9</v>
      </c>
      <c r="O248" t="s">
        <v>2</v>
      </c>
      <c r="P248">
        <f t="shared" si="20"/>
        <v>8.1413125531924457</v>
      </c>
      <c r="Q248">
        <f t="shared" si="21"/>
        <v>7.0686189398120751</v>
      </c>
      <c r="R248" s="67" cm="1">
        <f t="array" ref="R248">SUMPRODUCT((J248=$J$7:$J$1000)*(P248&lt;$P$7:$P$1000))+1</f>
        <v>20</v>
      </c>
      <c r="S248" s="72"/>
      <c r="T248">
        <v>16</v>
      </c>
      <c r="U248" t="str">
        <v>CHI</v>
      </c>
      <c r="V248" t="str">
        <v>Noah Brown</v>
      </c>
      <c r="W248" t="str">
        <v>NULL</v>
      </c>
      <c r="X248" t="str">
        <v>Home</v>
      </c>
      <c r="Y248" t="str">
        <v>NOLA</v>
      </c>
      <c r="Z248">
        <v>7.0308892065854929</v>
      </c>
    </row>
    <row r="249" spans="10:26" x14ac:dyDescent="0.35">
      <c r="J249" s="66">
        <v>9</v>
      </c>
      <c r="K249" t="s">
        <v>24</v>
      </c>
      <c r="L249" t="s">
        <v>572</v>
      </c>
      <c r="M249">
        <v>9.8000000000000007</v>
      </c>
      <c r="N249" t="s">
        <v>3</v>
      </c>
      <c r="O249" t="s">
        <v>36</v>
      </c>
      <c r="P249">
        <f t="shared" si="20"/>
        <v>5.1616006855918233</v>
      </c>
      <c r="Q249">
        <f t="shared" si="21"/>
        <v>21.51474819990225</v>
      </c>
      <c r="R249" s="67" cm="1">
        <f t="array" ref="R249">SUMPRODUCT((J249=$J$7:$J$1000)*(P249&lt;$P$7:$P$1000))+1</f>
        <v>29</v>
      </c>
      <c r="S249" s="72"/>
      <c r="T249">
        <v>16</v>
      </c>
      <c r="U249" t="str">
        <v>LA</v>
      </c>
      <c r="V249" t="str">
        <v>Andrew Coe</v>
      </c>
      <c r="W249" t="str">
        <v>NULL</v>
      </c>
      <c r="X249" t="str">
        <v>Away</v>
      </c>
      <c r="Y249" t="str">
        <v>OGDC</v>
      </c>
      <c r="Z249">
        <v>8.913582912419189</v>
      </c>
    </row>
    <row r="250" spans="10:26" x14ac:dyDescent="0.35">
      <c r="J250" s="66">
        <v>9</v>
      </c>
      <c r="K250" t="s">
        <v>24</v>
      </c>
      <c r="L250" t="s">
        <v>84</v>
      </c>
      <c r="M250">
        <v>9.6</v>
      </c>
      <c r="N250" t="s">
        <v>3</v>
      </c>
      <c r="O250" t="s">
        <v>36</v>
      </c>
      <c r="P250">
        <f t="shared" si="20"/>
        <v>6.2602775417968788</v>
      </c>
      <c r="Q250">
        <f t="shared" si="21"/>
        <v>11.153746097826296</v>
      </c>
      <c r="R250" s="67" cm="1">
        <f t="array" ref="R250">SUMPRODUCT((J250=$J$7:$J$1000)*(P250&lt;$P$7:$P$1000))+1</f>
        <v>24</v>
      </c>
      <c r="S250" s="72"/>
      <c r="T250">
        <v>16</v>
      </c>
      <c r="U250" t="str">
        <v>LA</v>
      </c>
      <c r="V250" t="str">
        <v>Christian Dyer</v>
      </c>
      <c r="W250" t="str">
        <v>NULL</v>
      </c>
      <c r="X250" t="str">
        <v>Away</v>
      </c>
      <c r="Y250" t="str">
        <v>OGDC</v>
      </c>
      <c r="Z250">
        <v>1.9704975752713845</v>
      </c>
    </row>
    <row r="251" spans="10:26" x14ac:dyDescent="0.35">
      <c r="J251" s="66">
        <v>9</v>
      </c>
      <c r="K251" t="s">
        <v>2</v>
      </c>
      <c r="L251" t="s">
        <v>12</v>
      </c>
      <c r="M251">
        <v>9.4</v>
      </c>
      <c r="N251" t="s">
        <v>3</v>
      </c>
      <c r="O251" t="s">
        <v>14</v>
      </c>
      <c r="P251">
        <f t="shared" si="20"/>
        <v>7.4735214716521021</v>
      </c>
      <c r="Q251">
        <f t="shared" si="21"/>
        <v>3.7113195201854836</v>
      </c>
      <c r="R251" s="67" cm="1">
        <f t="array" ref="R251">SUMPRODUCT((J251=$J$7:$J$1000)*(P251&lt;$P$7:$P$1000))+1</f>
        <v>21</v>
      </c>
      <c r="S251" s="72"/>
      <c r="T251">
        <v>16</v>
      </c>
      <c r="U251" t="str">
        <v>LA</v>
      </c>
      <c r="V251" t="str">
        <v>Jack Shaw</v>
      </c>
      <c r="W251" t="str">
        <v>NULL</v>
      </c>
      <c r="X251" t="str">
        <v>Away</v>
      </c>
      <c r="Y251" t="str">
        <v>OGDC</v>
      </c>
      <c r="Z251">
        <v>5.5526717583480112</v>
      </c>
    </row>
    <row r="252" spans="10:26" x14ac:dyDescent="0.35">
      <c r="J252" s="66">
        <v>9</v>
      </c>
      <c r="K252" t="s">
        <v>6</v>
      </c>
      <c r="L252" t="s">
        <v>94</v>
      </c>
      <c r="M252">
        <v>9.3000000000000007</v>
      </c>
      <c r="N252" t="s">
        <v>3</v>
      </c>
      <c r="O252" t="s">
        <v>13</v>
      </c>
      <c r="P252">
        <f t="shared" si="20"/>
        <v>14.914062406475788</v>
      </c>
      <c r="Q252">
        <f t="shared" si="21"/>
        <v>31.517696703804702</v>
      </c>
      <c r="R252" s="67" cm="1">
        <f t="array" ref="R252">SUMPRODUCT((J252=$J$7:$J$1000)*(P252&lt;$P$7:$P$1000))+1</f>
        <v>1</v>
      </c>
      <c r="S252" s="72"/>
      <c r="T252">
        <v>16</v>
      </c>
      <c r="U252" t="str">
        <v>LA</v>
      </c>
      <c r="V252" t="str">
        <v>Reece Macdonald</v>
      </c>
      <c r="W252" t="str">
        <v>NULL</v>
      </c>
      <c r="X252" t="str">
        <v>Away</v>
      </c>
      <c r="Y252" t="str">
        <v>OGDC</v>
      </c>
      <c r="Z252">
        <v>10.750249000397208</v>
      </c>
    </row>
    <row r="253" spans="10:26" x14ac:dyDescent="0.35">
      <c r="J253" s="66">
        <v>9</v>
      </c>
      <c r="K253" t="s">
        <v>23</v>
      </c>
      <c r="L253" t="s">
        <v>522</v>
      </c>
      <c r="M253">
        <v>9.1</v>
      </c>
      <c r="N253" t="s">
        <v>3</v>
      </c>
      <c r="O253" t="s">
        <v>34</v>
      </c>
      <c r="P253">
        <f t="shared" si="20"/>
        <v>5.558687043578578</v>
      </c>
      <c r="Q253">
        <f t="shared" si="21"/>
        <v>12.54089745531823</v>
      </c>
      <c r="R253" s="67" cm="1">
        <f t="array" ref="R253">SUMPRODUCT((J253=$J$7:$J$1000)*(P253&lt;$P$7:$P$1000))+1</f>
        <v>27</v>
      </c>
      <c r="S253" s="72"/>
      <c r="T253">
        <v>16</v>
      </c>
      <c r="U253" t="str">
        <v>LA</v>
      </c>
      <c r="V253" t="str">
        <v>Rory van Vugt</v>
      </c>
      <c r="W253" t="str">
        <v>NULL</v>
      </c>
      <c r="X253" t="str">
        <v>Away</v>
      </c>
      <c r="Y253" t="str">
        <v>OGDC</v>
      </c>
      <c r="Z253">
        <v>11.307619873462034</v>
      </c>
    </row>
    <row r="254" spans="10:26" x14ac:dyDescent="0.35">
      <c r="J254" s="66">
        <v>9</v>
      </c>
      <c r="K254" t="s">
        <v>7</v>
      </c>
      <c r="L254" t="s">
        <v>65</v>
      </c>
      <c r="M254">
        <v>8.6999999999999993</v>
      </c>
      <c r="N254" t="s">
        <v>9</v>
      </c>
      <c r="O254" t="s">
        <v>4</v>
      </c>
      <c r="P254">
        <f t="shared" si="20"/>
        <v>9.9725706063206587</v>
      </c>
      <c r="Q254">
        <f t="shared" si="21"/>
        <v>1.6194359480713307</v>
      </c>
      <c r="R254" s="67" cm="1">
        <f t="array" ref="R254">SUMPRODUCT((J254=$J$7:$J$1000)*(P254&lt;$P$7:$P$1000))+1</f>
        <v>12</v>
      </c>
      <c r="S254" s="72"/>
      <c r="T254">
        <v>16</v>
      </c>
      <c r="U254" t="str">
        <v>LA</v>
      </c>
      <c r="V254" t="str">
        <v>Seth Purdey</v>
      </c>
      <c r="W254" t="str">
        <v>NULL</v>
      </c>
      <c r="X254" t="str">
        <v>Away</v>
      </c>
      <c r="Y254" t="str">
        <v>OGDC</v>
      </c>
      <c r="Z254">
        <v>4.3774894660403385</v>
      </c>
    </row>
    <row r="255" spans="10:26" x14ac:dyDescent="0.35">
      <c r="J255" s="66">
        <v>9</v>
      </c>
      <c r="K255" t="s">
        <v>34</v>
      </c>
      <c r="L255" t="s">
        <v>100</v>
      </c>
      <c r="M255">
        <v>8.6999999999999993</v>
      </c>
      <c r="N255" t="s">
        <v>9</v>
      </c>
      <c r="O255" t="s">
        <v>23</v>
      </c>
      <c r="P255">
        <f t="shared" si="20"/>
        <v>5.436759237111497</v>
      </c>
      <c r="Q255">
        <f t="shared" si="21"/>
        <v>10.648740276577135</v>
      </c>
      <c r="R255" s="67" cm="1">
        <f t="array" ref="R255">SUMPRODUCT((J255=$J$7:$J$1000)*(P255&lt;$P$7:$P$1000))+1</f>
        <v>28</v>
      </c>
      <c r="S255" s="72"/>
      <c r="T255">
        <v>16</v>
      </c>
      <c r="U255" t="str">
        <v>LA</v>
      </c>
      <c r="V255" t="str">
        <v>Vaughen Isaacs</v>
      </c>
      <c r="W255" t="str">
        <v>NULL</v>
      </c>
      <c r="X255" t="str">
        <v>Away</v>
      </c>
      <c r="Y255" t="str">
        <v>OGDC</v>
      </c>
      <c r="Z255">
        <v>11.474771653479307</v>
      </c>
    </row>
    <row r="256" spans="10:26" x14ac:dyDescent="0.35">
      <c r="J256" s="66">
        <v>9</v>
      </c>
      <c r="K256" t="s">
        <v>14</v>
      </c>
      <c r="L256" t="s">
        <v>285</v>
      </c>
      <c r="M256">
        <v>8.1999999999999993</v>
      </c>
      <c r="N256" t="s">
        <v>9</v>
      </c>
      <c r="O256" t="s">
        <v>2</v>
      </c>
      <c r="P256">
        <f t="shared" si="20"/>
        <v>5.9339065162383235</v>
      </c>
      <c r="Q256">
        <f t="shared" si="21"/>
        <v>5.1351796771471285</v>
      </c>
      <c r="R256" s="67" cm="1">
        <f t="array" ref="R256">SUMPRODUCT((J256=$J$7:$J$1000)*(P256&lt;$P$7:$P$1000))+1</f>
        <v>25</v>
      </c>
      <c r="S256" s="72"/>
      <c r="T256">
        <v>16</v>
      </c>
      <c r="U256" t="str">
        <v>LA</v>
      </c>
      <c r="V256" t="str">
        <v>Will Leonard</v>
      </c>
      <c r="W256" t="str">
        <v>NULL</v>
      </c>
      <c r="X256" t="str">
        <v>Away</v>
      </c>
      <c r="Y256" t="str">
        <v>OGDC</v>
      </c>
      <c r="Z256">
        <v>12.521119291636559</v>
      </c>
    </row>
    <row r="257" spans="10:26" x14ac:dyDescent="0.35">
      <c r="J257" s="66">
        <v>9</v>
      </c>
      <c r="K257" t="s">
        <v>14</v>
      </c>
      <c r="L257" t="s">
        <v>278</v>
      </c>
      <c r="M257">
        <v>8</v>
      </c>
      <c r="N257" t="s">
        <v>9</v>
      </c>
      <c r="O257" t="s">
        <v>2</v>
      </c>
      <c r="P257">
        <f t="shared" si="20"/>
        <v>5.8860729395718989</v>
      </c>
      <c r="Q257">
        <f t="shared" si="21"/>
        <v>4.4686876168101923</v>
      </c>
      <c r="R257" s="67" cm="1">
        <f t="array" ref="R257">SUMPRODUCT((J257=$J$7:$J$1000)*(P257&lt;$P$7:$P$1000))+1</f>
        <v>26</v>
      </c>
      <c r="S257" s="72"/>
      <c r="T257">
        <v>16</v>
      </c>
      <c r="U257" t="str">
        <v>MIA</v>
      </c>
      <c r="V257" t="str">
        <v>Connor Burns</v>
      </c>
      <c r="W257" t="str">
        <v>NULL</v>
      </c>
      <c r="X257" t="str">
        <v>Home</v>
      </c>
      <c r="Y257" t="str">
        <v>SDL</v>
      </c>
      <c r="Z257">
        <v>1.205370824440382</v>
      </c>
    </row>
    <row r="258" spans="10:26" x14ac:dyDescent="0.35">
      <c r="J258" s="66">
        <v>9</v>
      </c>
      <c r="K258" t="s">
        <v>36</v>
      </c>
      <c r="L258" t="s">
        <v>573</v>
      </c>
      <c r="M258">
        <v>6.6</v>
      </c>
      <c r="N258" t="s">
        <v>9</v>
      </c>
      <c r="O258" t="s">
        <v>24</v>
      </c>
      <c r="P258">
        <f t="shared" si="20"/>
        <v>6.6011462910879075</v>
      </c>
      <c r="Q258">
        <f t="shared" si="21"/>
        <v>1.3139832582170061E-6</v>
      </c>
      <c r="R258" s="67" cm="1">
        <f t="array" ref="R258">SUMPRODUCT((J258=$J$7:$J$1000)*(P258&lt;$P$7:$P$1000))+1</f>
        <v>22</v>
      </c>
      <c r="S258" s="72"/>
      <c r="T258">
        <v>16</v>
      </c>
      <c r="U258" t="str">
        <v>MIA</v>
      </c>
      <c r="V258" t="str">
        <v>Guiseppe du Toit</v>
      </c>
      <c r="W258" t="str">
        <v>NULL</v>
      </c>
      <c r="X258" t="str">
        <v>Home</v>
      </c>
      <c r="Y258" t="str">
        <v>SDL</v>
      </c>
      <c r="Z258">
        <v>9.4484357215225288</v>
      </c>
    </row>
    <row r="259" spans="10:26" x14ac:dyDescent="0.35">
      <c r="J259" s="66">
        <v>9</v>
      </c>
      <c r="K259" t="s">
        <v>23</v>
      </c>
      <c r="L259" t="s">
        <v>91</v>
      </c>
      <c r="M259">
        <v>6.6</v>
      </c>
      <c r="N259" t="s">
        <v>3</v>
      </c>
      <c r="O259" t="s">
        <v>34</v>
      </c>
      <c r="P259">
        <f t="shared" si="20"/>
        <v>14.074972347773002</v>
      </c>
      <c r="Q259">
        <f t="shared" si="21"/>
        <v>55.875211599971031</v>
      </c>
      <c r="R259" s="67" cm="1">
        <f t="array" ref="R259">SUMPRODUCT((J259=$J$7:$J$1000)*(P259&lt;$P$7:$P$1000))+1</f>
        <v>3</v>
      </c>
      <c r="S259" s="72"/>
      <c r="T259">
        <v>16</v>
      </c>
      <c r="U259" t="str">
        <v>MIA</v>
      </c>
      <c r="V259" t="str">
        <v>Josiah Morra</v>
      </c>
      <c r="W259" t="str">
        <v>NULL</v>
      </c>
      <c r="X259" t="str">
        <v>Home</v>
      </c>
      <c r="Y259" t="str">
        <v>SDL</v>
      </c>
      <c r="Z259">
        <v>6.4571979383976474</v>
      </c>
    </row>
    <row r="260" spans="10:26" x14ac:dyDescent="0.35">
      <c r="J260" s="66">
        <v>9</v>
      </c>
      <c r="K260" t="s">
        <v>13</v>
      </c>
      <c r="L260" t="s">
        <v>494</v>
      </c>
      <c r="M260">
        <v>3.3</v>
      </c>
      <c r="N260" t="s">
        <v>9</v>
      </c>
      <c r="O260" t="s">
        <v>6</v>
      </c>
      <c r="P260">
        <f t="shared" si="20"/>
        <v>8.4987311208271183</v>
      </c>
      <c r="Q260">
        <f t="shared" si="21"/>
        <v>27.026805266656389</v>
      </c>
      <c r="R260" s="67" cm="1">
        <f t="array" ref="R260">SUMPRODUCT((J260=$J$7:$J$1000)*(P260&lt;$P$7:$P$1000))+1</f>
        <v>18</v>
      </c>
      <c r="S260" s="72"/>
      <c r="T260">
        <v>16</v>
      </c>
      <c r="U260" t="str">
        <v>MIA</v>
      </c>
      <c r="V260" t="str">
        <v>Marcos Elisagaray</v>
      </c>
      <c r="W260" t="str">
        <v>NULL</v>
      </c>
      <c r="X260" t="str">
        <v>Home</v>
      </c>
      <c r="Y260" t="str">
        <v>SDL</v>
      </c>
      <c r="Z260">
        <v>2.2102824177621412</v>
      </c>
    </row>
    <row r="261" spans="10:26" x14ac:dyDescent="0.35">
      <c r="J261" s="66">
        <v>9</v>
      </c>
      <c r="K261" t="s">
        <v>34</v>
      </c>
      <c r="L261" t="s">
        <v>95</v>
      </c>
      <c r="M261">
        <v>2.8</v>
      </c>
      <c r="N261" t="s">
        <v>9</v>
      </c>
      <c r="O261" t="s">
        <v>23</v>
      </c>
      <c r="P261">
        <f t="shared" si="20"/>
        <v>9.3868719737909796</v>
      </c>
      <c r="Q261">
        <f t="shared" si="21"/>
        <v>43.386882399113077</v>
      </c>
      <c r="R261" s="67" cm="1">
        <f t="array" ref="R261">SUMPRODUCT((J261=$J$7:$J$1000)*(P261&lt;$P$7:$P$1000))+1</f>
        <v>14</v>
      </c>
      <c r="S261" s="72"/>
      <c r="T261">
        <v>16</v>
      </c>
      <c r="U261" t="str">
        <v>MIA</v>
      </c>
      <c r="V261" t="str">
        <v>Marcos Young</v>
      </c>
      <c r="W261" t="str">
        <v>NULL</v>
      </c>
      <c r="X261" t="str">
        <v>Home</v>
      </c>
      <c r="Y261" t="str">
        <v>SDL</v>
      </c>
      <c r="Z261">
        <v>7.5558747946027029</v>
      </c>
    </row>
    <row r="262" spans="10:26" x14ac:dyDescent="0.35">
      <c r="J262" s="66">
        <v>9</v>
      </c>
      <c r="K262" t="s">
        <v>7</v>
      </c>
      <c r="L262" t="s">
        <v>92</v>
      </c>
      <c r="M262">
        <v>1.5</v>
      </c>
      <c r="N262" t="s">
        <v>9</v>
      </c>
      <c r="O262" t="s">
        <v>4</v>
      </c>
      <c r="P262">
        <f t="shared" si="20"/>
        <v>9.337040133976636</v>
      </c>
      <c r="Q262">
        <f t="shared" si="21"/>
        <v>61.419198061560529</v>
      </c>
      <c r="R262" s="67" cm="1">
        <f t="array" ref="R262">SUMPRODUCT((J262=$J$7:$J$1000)*(P262&lt;$P$7:$P$1000))+1</f>
        <v>15</v>
      </c>
      <c r="S262" s="72"/>
      <c r="T262">
        <v>16</v>
      </c>
      <c r="U262" t="str">
        <v>MIA</v>
      </c>
      <c r="V262" t="str">
        <v>Martin Elias</v>
      </c>
      <c r="W262" t="str">
        <v>NULL</v>
      </c>
      <c r="X262" t="str">
        <v>Home</v>
      </c>
      <c r="Y262" t="str">
        <v>SDL</v>
      </c>
      <c r="Z262">
        <v>9.8474811261816235</v>
      </c>
    </row>
    <row r="263" spans="10:26" x14ac:dyDescent="0.35">
      <c r="J263" s="66">
        <v>9</v>
      </c>
      <c r="K263" t="s">
        <v>34</v>
      </c>
      <c r="L263" t="s">
        <v>536</v>
      </c>
      <c r="M263">
        <v>1.1000000000000001</v>
      </c>
      <c r="N263" t="s">
        <v>9</v>
      </c>
      <c r="O263" t="s">
        <v>23</v>
      </c>
      <c r="P263">
        <f t="shared" si="20"/>
        <v>8.9912934815720984</v>
      </c>
      <c r="Q263">
        <f t="shared" si="21"/>
        <v>62.272512812302296</v>
      </c>
      <c r="R263" s="67" cm="1">
        <f t="array" ref="R263">SUMPRODUCT((J263=$J$7:$J$1000)*(P263&lt;$P$7:$P$1000))+1</f>
        <v>16</v>
      </c>
      <c r="S263" s="72"/>
      <c r="T263">
        <v>16</v>
      </c>
      <c r="U263" t="str">
        <v>MIA</v>
      </c>
      <c r="V263" t="str">
        <v>Santiago Videla</v>
      </c>
      <c r="W263" t="str">
        <v>NULL</v>
      </c>
      <c r="X263" t="str">
        <v>Home</v>
      </c>
      <c r="Y263" t="str">
        <v>SDL</v>
      </c>
      <c r="Z263">
        <v>12.014647289504621</v>
      </c>
    </row>
    <row r="264" spans="10:26" x14ac:dyDescent="0.35">
      <c r="J264" s="66">
        <v>9</v>
      </c>
      <c r="K264" t="s">
        <v>2</v>
      </c>
      <c r="L264" t="s">
        <v>499</v>
      </c>
      <c r="M264">
        <v>0.7</v>
      </c>
      <c r="N264" t="s">
        <v>3</v>
      </c>
      <c r="O264" t="s">
        <v>14</v>
      </c>
      <c r="P264">
        <f t="shared" ref="P264:P327" si="22">VLOOKUP($N264,$F$3:$G$4,2,FALSE)+VLOOKUP($L264,$B$20:$C$150,2,FALSE)+VLOOKUP($O264,$A$6:$B$16,2,FALSE)</f>
        <v>4.5596165483642253</v>
      </c>
      <c r="Q264">
        <f t="shared" si="21"/>
        <v>14.896639900406974</v>
      </c>
      <c r="R264" s="67" cm="1">
        <f t="array" ref="R264">SUMPRODUCT((J264=$J$7:$J$1000)*(P264&lt;$P$7:$P$1000))+1</f>
        <v>30</v>
      </c>
      <c r="S264" s="72"/>
      <c r="T264">
        <v>16</v>
      </c>
      <c r="U264" t="str">
        <v>MIA</v>
      </c>
      <c r="V264" t="str">
        <v>Shane O'Leary</v>
      </c>
      <c r="W264" t="str">
        <v>NULL</v>
      </c>
      <c r="X264" t="str">
        <v>Home</v>
      </c>
      <c r="Y264" t="str">
        <v>SDL</v>
      </c>
      <c r="Z264">
        <v>15.276875208556321</v>
      </c>
    </row>
    <row r="265" spans="10:26" x14ac:dyDescent="0.35">
      <c r="J265" s="66">
        <v>10</v>
      </c>
      <c r="K265" t="s">
        <v>23</v>
      </c>
      <c r="L265" t="s">
        <v>91</v>
      </c>
      <c r="M265">
        <v>28.9</v>
      </c>
      <c r="N265" t="s">
        <v>9</v>
      </c>
      <c r="O265" t="s">
        <v>14</v>
      </c>
      <c r="P265">
        <f t="shared" si="22"/>
        <v>15.254535170104699</v>
      </c>
      <c r="Q265">
        <f t="shared" si="21"/>
        <v>186.19871042390955</v>
      </c>
      <c r="R265" s="67" cm="1">
        <f t="array" ref="R265">SUMPRODUCT((J265=$J$7:$J$1000)*(P265&lt;$P$7:$P$1000))+1</f>
        <v>1</v>
      </c>
      <c r="S265" s="72"/>
      <c r="T265">
        <v>16</v>
      </c>
      <c r="U265" t="str">
        <v>MIA</v>
      </c>
      <c r="V265" t="str">
        <v>Tomás Cubilla</v>
      </c>
      <c r="W265" t="str">
        <v>NULL</v>
      </c>
      <c r="X265" t="str">
        <v>Home</v>
      </c>
      <c r="Y265" t="str">
        <v>SDL</v>
      </c>
      <c r="Z265">
        <v>8.3879868128420689</v>
      </c>
    </row>
    <row r="266" spans="10:26" x14ac:dyDescent="0.35">
      <c r="J266" s="66">
        <v>10</v>
      </c>
      <c r="K266" t="s">
        <v>17</v>
      </c>
      <c r="L266" t="s">
        <v>82</v>
      </c>
      <c r="M266">
        <v>20.5</v>
      </c>
      <c r="N266" t="s">
        <v>3</v>
      </c>
      <c r="O266" t="s">
        <v>2</v>
      </c>
      <c r="P266">
        <f t="shared" si="22"/>
        <v>9.4679463983197483</v>
      </c>
      <c r="Q266">
        <f t="shared" si="21"/>
        <v>121.70620667034622</v>
      </c>
      <c r="R266" s="67" cm="1">
        <f t="array" ref="R266">SUMPRODUCT((J266=$J$7:$J$1000)*(P266&lt;$P$7:$P$1000))+1</f>
        <v>17</v>
      </c>
      <c r="S266" s="72"/>
      <c r="T266">
        <v>16</v>
      </c>
      <c r="U266" t="str">
        <v>MIA</v>
      </c>
      <c r="V266" t="str">
        <v>Tomas Malanos</v>
      </c>
      <c r="W266" t="str">
        <v>NULL</v>
      </c>
      <c r="X266" t="str">
        <v>Home</v>
      </c>
      <c r="Y266" t="str">
        <v>SDL</v>
      </c>
      <c r="Z266">
        <v>6.8150808884347063</v>
      </c>
    </row>
    <row r="267" spans="10:26" x14ac:dyDescent="0.35">
      <c r="J267" s="66">
        <v>10</v>
      </c>
      <c r="K267" t="s">
        <v>13</v>
      </c>
      <c r="L267" t="s">
        <v>477</v>
      </c>
      <c r="M267">
        <v>18</v>
      </c>
      <c r="N267" t="s">
        <v>9</v>
      </c>
      <c r="O267" t="s">
        <v>34</v>
      </c>
      <c r="P267">
        <f t="shared" si="22"/>
        <v>11.341149810212487</v>
      </c>
      <c r="Q267">
        <f t="shared" si="21"/>
        <v>44.340285850033197</v>
      </c>
      <c r="R267" s="67" cm="1">
        <f t="array" ref="R267">SUMPRODUCT((J267=$J$7:$J$1000)*(P267&lt;$P$7:$P$1000))+1</f>
        <v>11</v>
      </c>
      <c r="S267" s="72"/>
      <c r="T267">
        <v>16</v>
      </c>
      <c r="U267" t="str">
        <v>NEFJ</v>
      </c>
      <c r="V267" t="str">
        <v>Brock Webster</v>
      </c>
      <c r="W267" t="str">
        <v>NULL</v>
      </c>
      <c r="X267" t="str">
        <v>Home</v>
      </c>
      <c r="Y267" t="str">
        <v>SEA</v>
      </c>
      <c r="Z267">
        <v>5.2167018713586435</v>
      </c>
    </row>
    <row r="268" spans="10:26" x14ac:dyDescent="0.35">
      <c r="J268" s="66">
        <v>10</v>
      </c>
      <c r="K268" t="s">
        <v>34</v>
      </c>
      <c r="L268" t="s">
        <v>41</v>
      </c>
      <c r="M268">
        <v>17.100000000000001</v>
      </c>
      <c r="N268" t="s">
        <v>3</v>
      </c>
      <c r="O268" t="s">
        <v>13</v>
      </c>
      <c r="P268">
        <f t="shared" si="22"/>
        <v>13.75717011393464</v>
      </c>
      <c r="Q268">
        <f t="shared" si="21"/>
        <v>11.174511647171759</v>
      </c>
      <c r="R268" s="67" cm="1">
        <f t="array" ref="R268">SUMPRODUCT((J268=$J$7:$J$1000)*(P268&lt;$P$7:$P$1000))+1</f>
        <v>5</v>
      </c>
      <c r="S268" s="72"/>
      <c r="T268">
        <v>16</v>
      </c>
      <c r="U268" t="str">
        <v>NEFJ</v>
      </c>
      <c r="V268" t="str">
        <v>Harrison Boyle</v>
      </c>
      <c r="W268" t="str">
        <v>NULL</v>
      </c>
      <c r="X268" t="str">
        <v>Home</v>
      </c>
      <c r="Y268" t="str">
        <v>SEA</v>
      </c>
      <c r="Z268">
        <v>6.0771620899532222</v>
      </c>
    </row>
    <row r="269" spans="10:26" x14ac:dyDescent="0.35">
      <c r="J269" s="66">
        <v>10</v>
      </c>
      <c r="K269" t="s">
        <v>24</v>
      </c>
      <c r="L269" t="s">
        <v>533</v>
      </c>
      <c r="M269">
        <v>14.8</v>
      </c>
      <c r="N269" t="s">
        <v>9</v>
      </c>
      <c r="O269" t="s">
        <v>7</v>
      </c>
      <c r="P269">
        <f t="shared" si="22"/>
        <v>13.518823469297015</v>
      </c>
      <c r="Q269">
        <f t="shared" si="21"/>
        <v>1.6414133028241389</v>
      </c>
      <c r="R269" s="67" cm="1">
        <f t="array" ref="R269">SUMPRODUCT((J269=$J$7:$J$1000)*(P269&lt;$P$7:$P$1000))+1</f>
        <v>6</v>
      </c>
      <c r="S269" s="72"/>
      <c r="T269">
        <v>16</v>
      </c>
      <c r="U269" t="str">
        <v>NEFJ</v>
      </c>
      <c r="V269" t="str">
        <v>Isaac Olson</v>
      </c>
      <c r="W269" t="str">
        <v>NULL</v>
      </c>
      <c r="X269" t="str">
        <v>Home</v>
      </c>
      <c r="Y269" t="str">
        <v>SEA</v>
      </c>
      <c r="Z269">
        <v>7.7012911145063665</v>
      </c>
    </row>
    <row r="270" spans="10:26" x14ac:dyDescent="0.35">
      <c r="J270" s="66">
        <v>10</v>
      </c>
      <c r="K270" t="s">
        <v>13</v>
      </c>
      <c r="L270" t="s">
        <v>79</v>
      </c>
      <c r="M270">
        <v>14.7</v>
      </c>
      <c r="N270" t="s">
        <v>9</v>
      </c>
      <c r="O270" t="s">
        <v>34</v>
      </c>
      <c r="P270">
        <f t="shared" si="22"/>
        <v>13.857340211804591</v>
      </c>
      <c r="Q270">
        <f t="shared" si="21"/>
        <v>0.71007551864153118</v>
      </c>
      <c r="R270" s="67" cm="1">
        <f t="array" ref="R270">SUMPRODUCT((J270=$J$7:$J$1000)*(P270&lt;$P$7:$P$1000))+1</f>
        <v>4</v>
      </c>
      <c r="S270" s="72"/>
      <c r="T270">
        <v>16</v>
      </c>
      <c r="U270" t="str">
        <v>NEFJ</v>
      </c>
      <c r="V270" t="str">
        <v>Jack Reeves</v>
      </c>
      <c r="W270" t="str">
        <v>NULL</v>
      </c>
      <c r="X270" t="str">
        <v>Home</v>
      </c>
      <c r="Y270" t="str">
        <v>SEA</v>
      </c>
      <c r="Z270">
        <v>10.616145361489139</v>
      </c>
    </row>
    <row r="271" spans="10:26" x14ac:dyDescent="0.35">
      <c r="J271" s="66">
        <v>10</v>
      </c>
      <c r="K271" t="s">
        <v>7</v>
      </c>
      <c r="L271" t="s">
        <v>92</v>
      </c>
      <c r="M271">
        <v>14.6</v>
      </c>
      <c r="N271" t="s">
        <v>3</v>
      </c>
      <c r="O271" t="s">
        <v>24</v>
      </c>
      <c r="P271">
        <f t="shared" si="22"/>
        <v>12.433025980722187</v>
      </c>
      <c r="Q271">
        <f t="shared" si="21"/>
        <v>4.6957764002250393</v>
      </c>
      <c r="R271" s="67" cm="1">
        <f t="array" ref="R271">SUMPRODUCT((J271=$J$7:$J$1000)*(P271&lt;$P$7:$P$1000))+1</f>
        <v>8</v>
      </c>
      <c r="S271" s="72"/>
      <c r="T271">
        <v>16</v>
      </c>
      <c r="U271" t="str">
        <v>NEFJ</v>
      </c>
      <c r="V271" t="str">
        <v>Killian Coghlan</v>
      </c>
      <c r="W271" t="str">
        <v>NULL</v>
      </c>
      <c r="X271" t="str">
        <v>Home</v>
      </c>
      <c r="Y271" t="str">
        <v>SEA</v>
      </c>
      <c r="Z271">
        <v>3.8956484464261676</v>
      </c>
    </row>
    <row r="272" spans="10:26" x14ac:dyDescent="0.35">
      <c r="J272" s="66">
        <v>10</v>
      </c>
      <c r="K272" t="s">
        <v>36</v>
      </c>
      <c r="L272" t="s">
        <v>479</v>
      </c>
      <c r="M272">
        <v>13.2</v>
      </c>
      <c r="N272" t="s">
        <v>3</v>
      </c>
      <c r="O272" t="s">
        <v>4</v>
      </c>
      <c r="P272">
        <f t="shared" si="22"/>
        <v>10.09697698563132</v>
      </c>
      <c r="Q272">
        <f t="shared" si="21"/>
        <v>9.6287518277016826</v>
      </c>
      <c r="R272" s="67" cm="1">
        <f t="array" ref="R272">SUMPRODUCT((J272=$J$7:$J$1000)*(P272&lt;$P$7:$P$1000))+1</f>
        <v>15</v>
      </c>
      <c r="S272" s="72"/>
      <c r="T272">
        <v>16</v>
      </c>
      <c r="U272" t="str">
        <v>NEFJ</v>
      </c>
      <c r="V272" t="str">
        <v>Paula Balekana</v>
      </c>
      <c r="W272" t="str">
        <v>NULL</v>
      </c>
      <c r="X272" t="str">
        <v>Home</v>
      </c>
      <c r="Y272" t="str">
        <v>SEA</v>
      </c>
      <c r="Z272">
        <v>13.732987175553069</v>
      </c>
    </row>
    <row r="273" spans="10:26" x14ac:dyDescent="0.35">
      <c r="J273" s="66">
        <v>10</v>
      </c>
      <c r="K273" t="s">
        <v>17</v>
      </c>
      <c r="L273" t="s">
        <v>497</v>
      </c>
      <c r="M273">
        <v>12.7</v>
      </c>
      <c r="N273" t="s">
        <v>3</v>
      </c>
      <c r="O273" t="s">
        <v>2</v>
      </c>
      <c r="P273">
        <f t="shared" si="22"/>
        <v>13.975761576633543</v>
      </c>
      <c r="Q273">
        <f t="shared" si="21"/>
        <v>1.6275676004145052</v>
      </c>
      <c r="R273" s="67" cm="1">
        <f t="array" ref="R273">SUMPRODUCT((J273=$J$7:$J$1000)*(P273&lt;$P$7:$P$1000))+1</f>
        <v>3</v>
      </c>
      <c r="S273" s="72"/>
      <c r="T273">
        <v>16</v>
      </c>
      <c r="U273" t="str">
        <v>NEFJ</v>
      </c>
      <c r="V273" t="str">
        <v>Simon-Peter Toleafoa</v>
      </c>
      <c r="W273" t="str">
        <v>NULL</v>
      </c>
      <c r="X273" t="str">
        <v>Home</v>
      </c>
      <c r="Y273" t="str">
        <v>SEA</v>
      </c>
      <c r="Z273">
        <v>6.3867909426494407</v>
      </c>
    </row>
    <row r="274" spans="10:26" x14ac:dyDescent="0.35">
      <c r="J274" s="66">
        <v>10</v>
      </c>
      <c r="K274" t="s">
        <v>23</v>
      </c>
      <c r="L274" t="s">
        <v>565</v>
      </c>
      <c r="M274">
        <v>12.5</v>
      </c>
      <c r="N274" t="s">
        <v>9</v>
      </c>
      <c r="O274" t="s">
        <v>14</v>
      </c>
      <c r="P274">
        <f t="shared" si="22"/>
        <v>12.137693356040769</v>
      </c>
      <c r="Q274">
        <f t="shared" si="21"/>
        <v>0.13126610425700103</v>
      </c>
      <c r="R274" s="67" cm="1">
        <f t="array" ref="R274">SUMPRODUCT((J274=$J$7:$J$1000)*(P274&lt;$P$7:$P$1000))+1</f>
        <v>9</v>
      </c>
      <c r="S274" s="72"/>
      <c r="T274">
        <v>16</v>
      </c>
      <c r="U274" t="str">
        <v>NOLA</v>
      </c>
      <c r="V274" t="str">
        <v>Cooper Coats</v>
      </c>
      <c r="W274" t="str">
        <v>NULL</v>
      </c>
      <c r="X274" t="str">
        <v>Away</v>
      </c>
      <c r="Y274" t="str">
        <v>CHI</v>
      </c>
      <c r="Z274">
        <v>10.267060706318603</v>
      </c>
    </row>
    <row r="275" spans="10:26" x14ac:dyDescent="0.35">
      <c r="J275" s="66">
        <v>10</v>
      </c>
      <c r="K275" t="s">
        <v>14</v>
      </c>
      <c r="L275" t="s">
        <v>87</v>
      </c>
      <c r="M275">
        <v>12.1</v>
      </c>
      <c r="N275" t="s">
        <v>3</v>
      </c>
      <c r="O275" t="s">
        <v>23</v>
      </c>
      <c r="P275">
        <f t="shared" si="22"/>
        <v>7.6311358257104391</v>
      </c>
      <c r="Q275">
        <f t="shared" si="21"/>
        <v>19.970747008248715</v>
      </c>
      <c r="R275" s="67" cm="1">
        <f t="array" ref="R275">SUMPRODUCT((J275=$J$7:$J$1000)*(P275&lt;$P$7:$P$1000))+1</f>
        <v>20</v>
      </c>
      <c r="S275" s="72"/>
      <c r="T275">
        <v>16</v>
      </c>
      <c r="U275" t="str">
        <v>NOLA</v>
      </c>
      <c r="V275" t="str">
        <v>Ed Fidow</v>
      </c>
      <c r="W275" t="str">
        <v>NULL</v>
      </c>
      <c r="X275" t="str">
        <v>Away</v>
      </c>
      <c r="Y275" t="str">
        <v>CHI</v>
      </c>
      <c r="Z275">
        <v>7.8923491018560892</v>
      </c>
    </row>
    <row r="276" spans="10:26" x14ac:dyDescent="0.35">
      <c r="J276" s="66">
        <v>10</v>
      </c>
      <c r="K276" t="s">
        <v>34</v>
      </c>
      <c r="L276" t="s">
        <v>100</v>
      </c>
      <c r="M276">
        <v>10.7</v>
      </c>
      <c r="N276" t="s">
        <v>3</v>
      </c>
      <c r="O276" t="s">
        <v>13</v>
      </c>
      <c r="P276">
        <f t="shared" si="22"/>
        <v>10.631305681522891</v>
      </c>
      <c r="Q276">
        <f t="shared" si="21"/>
        <v>4.71890939103441E-3</v>
      </c>
      <c r="R276" s="67" cm="1">
        <f t="array" ref="R276">SUMPRODUCT((J276=$J$7:$J$1000)*(P276&lt;$P$7:$P$1000))+1</f>
        <v>12</v>
      </c>
      <c r="S276" s="72"/>
      <c r="T276">
        <v>16</v>
      </c>
      <c r="U276" t="str">
        <v>NOLA</v>
      </c>
      <c r="V276" t="str">
        <v>Harley Wheeler</v>
      </c>
      <c r="W276" t="str">
        <v>NULL</v>
      </c>
      <c r="X276" t="str">
        <v>Away</v>
      </c>
      <c r="Y276" t="str">
        <v>CHI</v>
      </c>
      <c r="Z276">
        <v>13.457289384963632</v>
      </c>
    </row>
    <row r="277" spans="10:26" x14ac:dyDescent="0.35">
      <c r="J277" s="66">
        <v>10</v>
      </c>
      <c r="K277" t="s">
        <v>13</v>
      </c>
      <c r="L277" t="s">
        <v>494</v>
      </c>
      <c r="M277">
        <v>10.4</v>
      </c>
      <c r="N277" t="s">
        <v>9</v>
      </c>
      <c r="O277" t="s">
        <v>34</v>
      </c>
      <c r="P277">
        <f t="shared" si="22"/>
        <v>10.250825184004222</v>
      </c>
      <c r="Q277">
        <f t="shared" si="21"/>
        <v>2.2253125727374218E-2</v>
      </c>
      <c r="R277" s="67" cm="1">
        <f t="array" ref="R277">SUMPRODUCT((J277=$J$7:$J$1000)*(P277&lt;$P$7:$P$1000))+1</f>
        <v>14</v>
      </c>
      <c r="S277" s="72"/>
      <c r="T277">
        <v>16</v>
      </c>
      <c r="U277" t="str">
        <v>NOLA</v>
      </c>
      <c r="V277" t="str">
        <v>Jack Webster</v>
      </c>
      <c r="W277" t="str">
        <v>NULL</v>
      </c>
      <c r="X277" t="str">
        <v>Away</v>
      </c>
      <c r="Y277" t="str">
        <v>CHI</v>
      </c>
      <c r="Z277">
        <v>3.1461738350507051</v>
      </c>
    </row>
    <row r="278" spans="10:26" x14ac:dyDescent="0.35">
      <c r="J278" s="66">
        <v>10</v>
      </c>
      <c r="K278" t="s">
        <v>2</v>
      </c>
      <c r="L278" t="s">
        <v>90</v>
      </c>
      <c r="M278">
        <v>10.1</v>
      </c>
      <c r="N278" t="s">
        <v>9</v>
      </c>
      <c r="O278" t="s">
        <v>17</v>
      </c>
      <c r="P278">
        <f t="shared" si="22"/>
        <v>4.7042925269116758</v>
      </c>
      <c r="Q278">
        <f t="shared" si="21"/>
        <v>29.113659135141184</v>
      </c>
      <c r="R278" s="67" cm="1">
        <f t="array" ref="R278">SUMPRODUCT((J278=$J$7:$J$1000)*(P278&lt;$P$7:$P$1000))+1</f>
        <v>28</v>
      </c>
      <c r="S278" s="72"/>
      <c r="T278">
        <v>16</v>
      </c>
      <c r="U278" t="str">
        <v>NOLA</v>
      </c>
      <c r="V278" t="str">
        <v>Julian Roberts</v>
      </c>
      <c r="W278" t="str">
        <v>NULL</v>
      </c>
      <c r="X278" t="str">
        <v>Away</v>
      </c>
      <c r="Y278" t="str">
        <v>CHI</v>
      </c>
      <c r="Z278">
        <v>10.461842083016823</v>
      </c>
    </row>
    <row r="279" spans="10:26" x14ac:dyDescent="0.35">
      <c r="J279" s="66">
        <v>10</v>
      </c>
      <c r="K279" t="s">
        <v>4</v>
      </c>
      <c r="L279" t="s">
        <v>74</v>
      </c>
      <c r="M279">
        <v>9.8000000000000007</v>
      </c>
      <c r="N279" t="s">
        <v>9</v>
      </c>
      <c r="O279" t="s">
        <v>36</v>
      </c>
      <c r="P279">
        <f t="shared" si="22"/>
        <v>6.6508461581702445</v>
      </c>
      <c r="Q279">
        <f t="shared" si="21"/>
        <v>9.9171699195111138</v>
      </c>
      <c r="R279" s="67" cm="1">
        <f t="array" ref="R279">SUMPRODUCT((J279=$J$7:$J$1000)*(P279&lt;$P$7:$P$1000))+1</f>
        <v>23</v>
      </c>
      <c r="S279" s="72"/>
      <c r="T279">
        <v>16</v>
      </c>
      <c r="U279" t="str">
        <v>NOLA</v>
      </c>
      <c r="V279" t="str">
        <v>Nikolai Foliaki</v>
      </c>
      <c r="W279" t="str">
        <v>NULL</v>
      </c>
      <c r="X279" t="str">
        <v>Away</v>
      </c>
      <c r="Y279" t="str">
        <v>CHI</v>
      </c>
      <c r="Z279">
        <v>3.7964207247902015</v>
      </c>
    </row>
    <row r="280" spans="10:26" x14ac:dyDescent="0.35">
      <c r="J280" s="66">
        <v>10</v>
      </c>
      <c r="K280" t="s">
        <v>17</v>
      </c>
      <c r="L280" t="s">
        <v>537</v>
      </c>
      <c r="M280">
        <v>9.1999999999999993</v>
      </c>
      <c r="N280" t="s">
        <v>3</v>
      </c>
      <c r="O280" t="s">
        <v>2</v>
      </c>
      <c r="P280">
        <f t="shared" si="22"/>
        <v>8.3268449241159548</v>
      </c>
      <c r="Q280">
        <f t="shared" si="21"/>
        <v>0.76239978654207152</v>
      </c>
      <c r="R280" s="67" cm="1">
        <f t="array" ref="R280">SUMPRODUCT((J280=$J$7:$J$1000)*(P280&lt;$P$7:$P$1000))+1</f>
        <v>19</v>
      </c>
      <c r="S280" s="72"/>
      <c r="T280">
        <v>16</v>
      </c>
      <c r="U280" t="str">
        <v>NOLA</v>
      </c>
      <c r="V280" t="str">
        <v>Xavier Mignot</v>
      </c>
      <c r="W280" t="str">
        <v>NULL</v>
      </c>
      <c r="X280" t="str">
        <v>Away</v>
      </c>
      <c r="Y280" t="str">
        <v>CHI</v>
      </c>
      <c r="Z280">
        <v>11.833385139005212</v>
      </c>
    </row>
    <row r="281" spans="10:26" x14ac:dyDescent="0.35">
      <c r="J281" s="66">
        <v>10</v>
      </c>
      <c r="K281" t="s">
        <v>14</v>
      </c>
      <c r="L281" t="s">
        <v>639</v>
      </c>
      <c r="M281">
        <v>8.8000000000000007</v>
      </c>
      <c r="N281" t="s">
        <v>3</v>
      </c>
      <c r="O281" t="s">
        <v>23</v>
      </c>
      <c r="P281">
        <f t="shared" si="22"/>
        <v>7.1118761580320964</v>
      </c>
      <c r="Q281">
        <f t="shared" si="21"/>
        <v>2.8497621058204778</v>
      </c>
      <c r="R281" s="67" cm="1">
        <f t="array" ref="R281">SUMPRODUCT((J281=$J$7:$J$1000)*(P281&lt;$P$7:$P$1000))+1</f>
        <v>21</v>
      </c>
      <c r="S281" s="72"/>
      <c r="T281">
        <v>16</v>
      </c>
      <c r="U281" t="str">
        <v>OGDC</v>
      </c>
      <c r="V281" t="str">
        <v>Axel Muller</v>
      </c>
      <c r="W281" t="str">
        <v>NULL</v>
      </c>
      <c r="X281" t="str">
        <v>Home</v>
      </c>
      <c r="Y281" t="str">
        <v>LA</v>
      </c>
      <c r="Z281">
        <v>8.4984899820662889</v>
      </c>
    </row>
    <row r="282" spans="10:26" x14ac:dyDescent="0.35">
      <c r="J282" s="66">
        <v>10</v>
      </c>
      <c r="K282" t="s">
        <v>24</v>
      </c>
      <c r="L282" t="s">
        <v>572</v>
      </c>
      <c r="M282">
        <v>7.8</v>
      </c>
      <c r="N282" t="s">
        <v>9</v>
      </c>
      <c r="O282" t="s">
        <v>7</v>
      </c>
      <c r="P282">
        <f t="shared" si="22"/>
        <v>4.6991461991383394</v>
      </c>
      <c r="Q282">
        <f t="shared" si="21"/>
        <v>9.6152942943182058</v>
      </c>
      <c r="R282" s="67" cm="1">
        <f t="array" ref="R282">SUMPRODUCT((J282=$J$7:$J$1000)*(P282&lt;$P$7:$P$1000))+1</f>
        <v>29</v>
      </c>
      <c r="S282" s="72"/>
      <c r="T282">
        <v>16</v>
      </c>
      <c r="U282" t="str">
        <v>OGDC</v>
      </c>
      <c r="V282" t="str">
        <v>Damien Hoyland</v>
      </c>
      <c r="W282" t="str">
        <v>NULL</v>
      </c>
      <c r="X282" t="str">
        <v>Home</v>
      </c>
      <c r="Y282" t="str">
        <v>LA</v>
      </c>
      <c r="Z282">
        <v>8.5818474411806989</v>
      </c>
    </row>
    <row r="283" spans="10:26" x14ac:dyDescent="0.35">
      <c r="J283" s="66">
        <v>10</v>
      </c>
      <c r="K283" t="s">
        <v>4</v>
      </c>
      <c r="L283" t="s">
        <v>286</v>
      </c>
      <c r="M283">
        <v>7.8</v>
      </c>
      <c r="N283" t="s">
        <v>9</v>
      </c>
      <c r="O283" t="s">
        <v>36</v>
      </c>
      <c r="P283">
        <f t="shared" si="22"/>
        <v>9.2203391393309779</v>
      </c>
      <c r="Q283">
        <f t="shared" si="21"/>
        <v>2.0173632707154638</v>
      </c>
      <c r="R283" s="67" cm="1">
        <f t="array" ref="R283">SUMPRODUCT((J283=$J$7:$J$1000)*(P283&lt;$P$7:$P$1000))+1</f>
        <v>18</v>
      </c>
      <c r="S283" s="72"/>
      <c r="T283">
        <v>16</v>
      </c>
      <c r="U283" t="str">
        <v>OGDC</v>
      </c>
      <c r="V283" t="str">
        <v>Jason Robertson</v>
      </c>
      <c r="W283" t="str">
        <v>NULL</v>
      </c>
      <c r="X283" t="str">
        <v>Home</v>
      </c>
      <c r="Y283" t="str">
        <v>LA</v>
      </c>
      <c r="Z283">
        <v>9.8908938878841095</v>
      </c>
    </row>
    <row r="284" spans="10:26" x14ac:dyDescent="0.35">
      <c r="J284" s="66">
        <v>10</v>
      </c>
      <c r="K284" t="s">
        <v>7</v>
      </c>
      <c r="L284" t="s">
        <v>521</v>
      </c>
      <c r="M284">
        <v>7.6</v>
      </c>
      <c r="N284" t="s">
        <v>3</v>
      </c>
      <c r="O284" t="s">
        <v>24</v>
      </c>
      <c r="P284">
        <f t="shared" si="22"/>
        <v>9.7504527722382832</v>
      </c>
      <c r="Q284">
        <f t="shared" si="21"/>
        <v>4.6244471256273192</v>
      </c>
      <c r="R284" s="67" cm="1">
        <f t="array" ref="R284">SUMPRODUCT((J284=$J$7:$J$1000)*(P284&lt;$P$7:$P$1000))+1</f>
        <v>16</v>
      </c>
      <c r="S284" s="72"/>
      <c r="T284">
        <v>16</v>
      </c>
      <c r="U284" t="str">
        <v>OGDC</v>
      </c>
      <c r="V284" t="str">
        <v>John Rizzo</v>
      </c>
      <c r="W284" t="str">
        <v>NULL</v>
      </c>
      <c r="X284" t="str">
        <v>Home</v>
      </c>
      <c r="Y284" t="str">
        <v>LA</v>
      </c>
      <c r="Z284">
        <v>10.304277170390403</v>
      </c>
    </row>
    <row r="285" spans="10:26" x14ac:dyDescent="0.35">
      <c r="J285" s="66">
        <v>10</v>
      </c>
      <c r="K285" t="s">
        <v>34</v>
      </c>
      <c r="L285" t="s">
        <v>95</v>
      </c>
      <c r="M285">
        <v>6.7</v>
      </c>
      <c r="N285" t="s">
        <v>3</v>
      </c>
      <c r="O285" t="s">
        <v>13</v>
      </c>
      <c r="P285">
        <f t="shared" si="22"/>
        <v>14.581418418202373</v>
      </c>
      <c r="Q285">
        <f t="shared" si="21"/>
        <v>62.116756282779598</v>
      </c>
      <c r="R285" s="67" cm="1">
        <f t="array" ref="R285">SUMPRODUCT((J285=$J$7:$J$1000)*(P285&lt;$P$7:$P$1000))+1</f>
        <v>2</v>
      </c>
      <c r="S285" s="72"/>
      <c r="T285">
        <v>16</v>
      </c>
      <c r="U285" t="str">
        <v>OGDC</v>
      </c>
      <c r="V285" t="str">
        <v>Owen Sheehy</v>
      </c>
      <c r="W285" t="str">
        <v>NULL</v>
      </c>
      <c r="X285" t="str">
        <v>Home</v>
      </c>
      <c r="Y285" t="str">
        <v>LA</v>
      </c>
      <c r="Z285">
        <v>5.1803863012383626</v>
      </c>
    </row>
    <row r="286" spans="10:26" x14ac:dyDescent="0.35">
      <c r="J286">
        <v>10</v>
      </c>
      <c r="K286" t="s">
        <v>23</v>
      </c>
      <c r="L286" t="s">
        <v>522</v>
      </c>
      <c r="M286">
        <v>6.3</v>
      </c>
      <c r="N286" t="s">
        <v>9</v>
      </c>
      <c r="O286" t="s">
        <v>14</v>
      </c>
      <c r="P286">
        <f t="shared" si="22"/>
        <v>6.7382498659102747</v>
      </c>
      <c r="Q286">
        <f t="shared" si="21"/>
        <v>0.19206294497037396</v>
      </c>
      <c r="R286" s="67" cm="1">
        <f t="array" ref="R286">SUMPRODUCT((J286=$J$7:$J$1000)*(P286&lt;$P$7:$P$1000))+1</f>
        <v>22</v>
      </c>
      <c r="S286" s="72"/>
      <c r="T286">
        <v>16</v>
      </c>
      <c r="U286" t="str">
        <v>OGDC</v>
      </c>
      <c r="V286" t="str">
        <v>Perry Humphreys</v>
      </c>
      <c r="W286" t="str">
        <v>NULL</v>
      </c>
      <c r="X286" t="str">
        <v>Home</v>
      </c>
      <c r="Y286" t="str">
        <v>LA</v>
      </c>
      <c r="Z286">
        <v>7.8629595097222662</v>
      </c>
    </row>
    <row r="287" spans="10:26" x14ac:dyDescent="0.35">
      <c r="J287" s="66">
        <v>10</v>
      </c>
      <c r="K287" t="s">
        <v>2</v>
      </c>
      <c r="L287" t="s">
        <v>12</v>
      </c>
      <c r="M287">
        <v>6.1</v>
      </c>
      <c r="N287" t="s">
        <v>9</v>
      </c>
      <c r="O287" t="s">
        <v>17</v>
      </c>
      <c r="P287">
        <f t="shared" si="22"/>
        <v>3.6893485307238523</v>
      </c>
      <c r="Q287">
        <f t="shared" si="21"/>
        <v>5.811240506323248</v>
      </c>
      <c r="R287" s="67" cm="1">
        <f t="array" ref="R287">SUMPRODUCT((J287=$J$7:$J$1000)*(P287&lt;$P$7:$P$1000))+1</f>
        <v>30</v>
      </c>
      <c r="S287" s="72"/>
      <c r="T287">
        <v>16</v>
      </c>
      <c r="U287" t="str">
        <v>SDL</v>
      </c>
      <c r="V287" t="str">
        <v>Ethan Grayson</v>
      </c>
      <c r="W287" t="str">
        <v>NULL</v>
      </c>
      <c r="X287" t="str">
        <v>Away</v>
      </c>
      <c r="Y287" t="str">
        <v>MIA</v>
      </c>
      <c r="Z287">
        <v>13.5954392548147</v>
      </c>
    </row>
    <row r="288" spans="10:26" x14ac:dyDescent="0.35">
      <c r="J288" s="66">
        <v>10</v>
      </c>
      <c r="K288" t="s">
        <v>14</v>
      </c>
      <c r="L288" t="s">
        <v>278</v>
      </c>
      <c r="M288">
        <v>5.8</v>
      </c>
      <c r="N288" t="s">
        <v>3</v>
      </c>
      <c r="O288" t="s">
        <v>23</v>
      </c>
      <c r="P288">
        <f t="shared" si="22"/>
        <v>4.8566365444115487</v>
      </c>
      <c r="Q288">
        <f t="shared" si="21"/>
        <v>0.88993460933978363</v>
      </c>
      <c r="R288" s="67" cm="1">
        <f t="array" ref="R288">SUMPRODUCT((J288=$J$7:$J$1000)*(P288&lt;$P$7:$P$1000))+1</f>
        <v>27</v>
      </c>
      <c r="S288" s="72"/>
      <c r="T288">
        <v>16</v>
      </c>
      <c r="U288" t="str">
        <v>SDL</v>
      </c>
      <c r="V288" t="str">
        <v>James Vaifale</v>
      </c>
      <c r="W288" t="str">
        <v>NULL</v>
      </c>
      <c r="X288" t="str">
        <v>Away</v>
      </c>
      <c r="Y288" t="str">
        <v>MIA</v>
      </c>
      <c r="Z288">
        <v>10.446642295681562</v>
      </c>
    </row>
    <row r="289" spans="10:26" x14ac:dyDescent="0.35">
      <c r="J289" s="66">
        <v>10</v>
      </c>
      <c r="K289" t="s">
        <v>2</v>
      </c>
      <c r="L289" t="s">
        <v>495</v>
      </c>
      <c r="M289">
        <v>5.0999999999999996</v>
      </c>
      <c r="N289" t="s">
        <v>9</v>
      </c>
      <c r="O289" t="s">
        <v>17</v>
      </c>
      <c r="P289">
        <f t="shared" si="22"/>
        <v>5.0152991227959483</v>
      </c>
      <c r="Q289">
        <f t="shared" si="21"/>
        <v>7.1742385991357934E-3</v>
      </c>
      <c r="R289" s="67" cm="1">
        <f t="array" ref="R289">SUMPRODUCT((J289=$J$7:$J$1000)*(P289&lt;$P$7:$P$1000))+1</f>
        <v>26</v>
      </c>
      <c r="S289" s="72"/>
      <c r="T289">
        <v>16</v>
      </c>
      <c r="U289" t="str">
        <v>SDL</v>
      </c>
      <c r="V289" t="str">
        <v>Rhian Stowers</v>
      </c>
      <c r="W289" t="str">
        <v>NULL</v>
      </c>
      <c r="X289" t="str">
        <v>Away</v>
      </c>
      <c r="Y289" t="str">
        <v>MIA</v>
      </c>
      <c r="Z289">
        <v>14.024109066863552</v>
      </c>
    </row>
    <row r="290" spans="10:26" x14ac:dyDescent="0.35">
      <c r="J290" s="66">
        <v>10</v>
      </c>
      <c r="K290" t="s">
        <v>24</v>
      </c>
      <c r="L290" t="s">
        <v>84</v>
      </c>
      <c r="M290">
        <v>5.0999999999999996</v>
      </c>
      <c r="N290" t="s">
        <v>9</v>
      </c>
      <c r="O290" t="s">
        <v>7</v>
      </c>
      <c r="P290">
        <f t="shared" si="22"/>
        <v>5.7978230553433949</v>
      </c>
      <c r="Q290">
        <f t="shared" si="21"/>
        <v>0.48695701656879131</v>
      </c>
      <c r="R290" s="67" cm="1">
        <f t="array" ref="R290">SUMPRODUCT((J290=$J$7:$J$1000)*(P290&lt;$P$7:$P$1000))+1</f>
        <v>24</v>
      </c>
      <c r="S290" s="72"/>
      <c r="T290">
        <v>16</v>
      </c>
      <c r="U290" t="str">
        <v>SDL</v>
      </c>
      <c r="V290" t="str">
        <v>Ryan James</v>
      </c>
      <c r="W290" t="str">
        <v>NULL</v>
      </c>
      <c r="X290" t="str">
        <v>Away</v>
      </c>
      <c r="Y290" t="str">
        <v>MIA</v>
      </c>
      <c r="Z290">
        <v>14.419687559082433</v>
      </c>
    </row>
    <row r="291" spans="10:26" x14ac:dyDescent="0.35">
      <c r="J291" s="66">
        <v>10</v>
      </c>
      <c r="K291" t="s">
        <v>36</v>
      </c>
      <c r="L291" t="s">
        <v>73</v>
      </c>
      <c r="M291">
        <v>4.5999999999999996</v>
      </c>
      <c r="N291" t="s">
        <v>3</v>
      </c>
      <c r="O291" t="s">
        <v>4</v>
      </c>
      <c r="P291">
        <f t="shared" si="22"/>
        <v>11.752611739293251</v>
      </c>
      <c r="Q291">
        <f t="shared" si="21"/>
        <v>51.159854693075623</v>
      </c>
      <c r="R291" s="67" cm="1">
        <f t="array" ref="R291">SUMPRODUCT((J291=$J$7:$J$1000)*(P291&lt;$P$7:$P$1000))+1</f>
        <v>10</v>
      </c>
      <c r="S291" s="72"/>
      <c r="T291">
        <v>16</v>
      </c>
      <c r="U291" t="str">
        <v>SDL</v>
      </c>
      <c r="V291" t="str">
        <v>Steffan Crimp</v>
      </c>
      <c r="W291" t="str">
        <v>NULL</v>
      </c>
      <c r="X291" t="str">
        <v>Away</v>
      </c>
      <c r="Y291" t="str">
        <v>MIA</v>
      </c>
      <c r="Z291">
        <v>15.749008222179421</v>
      </c>
    </row>
    <row r="292" spans="10:26" x14ac:dyDescent="0.35">
      <c r="J292" s="66">
        <v>10</v>
      </c>
      <c r="K292" t="s">
        <v>7</v>
      </c>
      <c r="L292" t="s">
        <v>65</v>
      </c>
      <c r="M292">
        <v>4.3</v>
      </c>
      <c r="N292" t="s">
        <v>3</v>
      </c>
      <c r="O292" t="s">
        <v>24</v>
      </c>
      <c r="P292">
        <f t="shared" si="22"/>
        <v>13.068556453066209</v>
      </c>
      <c r="Q292">
        <f t="shared" si="21"/>
        <v>76.887582270609087</v>
      </c>
      <c r="R292" s="67" cm="1">
        <f t="array" ref="R292">SUMPRODUCT((J292=$J$7:$J$1000)*(P292&lt;$P$7:$P$1000))+1</f>
        <v>7</v>
      </c>
      <c r="S292" s="72"/>
      <c r="T292">
        <v>16</v>
      </c>
      <c r="U292" t="str">
        <v>SDL</v>
      </c>
      <c r="V292" t="str">
        <v>Tomas Aoake</v>
      </c>
      <c r="W292" t="str">
        <v>NULL</v>
      </c>
      <c r="X292" t="str">
        <v>Away</v>
      </c>
      <c r="Y292" t="str">
        <v>MIA</v>
      </c>
      <c r="Z292">
        <v>10.469574822402951</v>
      </c>
    </row>
    <row r="293" spans="10:26" x14ac:dyDescent="0.35">
      <c r="J293" s="66">
        <v>10</v>
      </c>
      <c r="K293" t="s">
        <v>4</v>
      </c>
      <c r="L293" t="s">
        <v>453</v>
      </c>
      <c r="M293">
        <v>2.9</v>
      </c>
      <c r="N293" t="s">
        <v>9</v>
      </c>
      <c r="O293" t="s">
        <v>36</v>
      </c>
      <c r="P293">
        <f t="shared" si="22"/>
        <v>10.591882195319368</v>
      </c>
      <c r="Q293">
        <f t="shared" si="21"/>
        <v>59.165051706671093</v>
      </c>
      <c r="R293" s="67" cm="1">
        <f t="array" ref="R293">SUMPRODUCT((J293=$J$7:$J$1000)*(P293&lt;$P$7:$P$1000))+1</f>
        <v>13</v>
      </c>
      <c r="S293" s="72"/>
      <c r="T293">
        <v>16</v>
      </c>
      <c r="U293" t="str">
        <v>SEA</v>
      </c>
      <c r="V293" t="str">
        <v>Divan Rossouw</v>
      </c>
      <c r="W293" t="str">
        <v>NULL</v>
      </c>
      <c r="X293" t="str">
        <v>Away</v>
      </c>
      <c r="Y293" t="str">
        <v>NEFJ</v>
      </c>
      <c r="Z293">
        <v>13.346650543276775</v>
      </c>
    </row>
    <row r="294" spans="10:26" x14ac:dyDescent="0.35">
      <c r="J294" s="66">
        <v>10</v>
      </c>
      <c r="K294" t="s">
        <v>36</v>
      </c>
      <c r="L294" t="s">
        <v>334</v>
      </c>
      <c r="M294">
        <v>1.3</v>
      </c>
      <c r="N294" t="s">
        <v>3</v>
      </c>
      <c r="O294" t="s">
        <v>4</v>
      </c>
      <c r="P294">
        <f t="shared" si="22"/>
        <v>5.6250702472634719</v>
      </c>
      <c r="Q294">
        <f t="shared" si="21"/>
        <v>18.706232643763713</v>
      </c>
      <c r="R294" s="67" cm="1">
        <f t="array" ref="R294">SUMPRODUCT((J294=$J$7:$J$1000)*(P294&lt;$P$7:$P$1000))+1</f>
        <v>25</v>
      </c>
      <c r="S294" s="72"/>
      <c r="T294">
        <v>16</v>
      </c>
      <c r="U294" t="str">
        <v>SEA</v>
      </c>
      <c r="V294" t="str">
        <v>Duncan Matthews</v>
      </c>
      <c r="W294" t="str">
        <v>NULL</v>
      </c>
      <c r="X294" t="str">
        <v>Away</v>
      </c>
      <c r="Y294" t="str">
        <v>NEFJ</v>
      </c>
      <c r="Z294">
        <v>10.683700235096575</v>
      </c>
    </row>
    <row r="295" spans="10:26" x14ac:dyDescent="0.35">
      <c r="J295" s="66">
        <v>11</v>
      </c>
      <c r="K295" t="s">
        <v>13</v>
      </c>
      <c r="L295" t="s">
        <v>79</v>
      </c>
      <c r="M295">
        <v>27.2</v>
      </c>
      <c r="N295" t="s">
        <v>3</v>
      </c>
      <c r="O295" t="s">
        <v>2</v>
      </c>
      <c r="P295">
        <f t="shared" si="22"/>
        <v>14.934558375872921</v>
      </c>
      <c r="Q295">
        <f t="shared" si="21"/>
        <v>150.4410582348691</v>
      </c>
      <c r="R295" s="67" cm="1">
        <f t="array" ref="R295">SUMPRODUCT((J295=$J$7:$J$1000)*(P295&lt;$P$7:$P$1000))+1</f>
        <v>1</v>
      </c>
      <c r="S295" s="72"/>
      <c r="T295">
        <v>16</v>
      </c>
      <c r="U295" t="str">
        <v>SEA</v>
      </c>
      <c r="V295" t="str">
        <v>Jade Stighling</v>
      </c>
      <c r="W295" t="str">
        <v>NULL</v>
      </c>
      <c r="X295" t="str">
        <v>Away</v>
      </c>
      <c r="Y295" t="str">
        <v>NEFJ</v>
      </c>
      <c r="Z295">
        <v>4.9095117707642615</v>
      </c>
    </row>
    <row r="296" spans="10:26" x14ac:dyDescent="0.35">
      <c r="J296" s="66">
        <v>11</v>
      </c>
      <c r="K296" t="s">
        <v>17</v>
      </c>
      <c r="L296" t="s">
        <v>497</v>
      </c>
      <c r="M296">
        <v>25.2</v>
      </c>
      <c r="N296" t="s">
        <v>9</v>
      </c>
      <c r="O296" t="s">
        <v>4</v>
      </c>
      <c r="P296">
        <f t="shared" si="22"/>
        <v>13.751842446830787</v>
      </c>
      <c r="Q296">
        <f t="shared" si="21"/>
        <v>131.06031136218527</v>
      </c>
      <c r="R296" s="67" cm="1">
        <f t="array" ref="R296">SUMPRODUCT((J296=$J$7:$J$1000)*(P296&lt;$P$7:$P$1000))+1</f>
        <v>4</v>
      </c>
      <c r="S296" s="72"/>
      <c r="T296">
        <v>16</v>
      </c>
      <c r="U296" t="str">
        <v>SEA</v>
      </c>
      <c r="V296" t="str">
        <v>Jeremiah Sio</v>
      </c>
      <c r="W296" t="str">
        <v>NULL</v>
      </c>
      <c r="X296" t="str">
        <v>Away</v>
      </c>
      <c r="Y296" t="str">
        <v>NEFJ</v>
      </c>
      <c r="Z296">
        <v>-1.8199669973568451</v>
      </c>
    </row>
    <row r="297" spans="10:26" x14ac:dyDescent="0.35">
      <c r="J297" s="66">
        <v>11</v>
      </c>
      <c r="K297" t="s">
        <v>6</v>
      </c>
      <c r="L297" t="s">
        <v>94</v>
      </c>
      <c r="M297">
        <v>18.7</v>
      </c>
      <c r="N297" t="s">
        <v>9</v>
      </c>
      <c r="O297" t="s">
        <v>34</v>
      </c>
      <c r="P297">
        <f t="shared" si="22"/>
        <v>11.934359139533031</v>
      </c>
      <c r="Q297">
        <f t="shared" si="21"/>
        <v>45.773896252820215</v>
      </c>
      <c r="R297" s="67" cm="1">
        <f t="array" ref="R297">SUMPRODUCT((J297=$J$7:$J$1000)*(P297&lt;$P$7:$P$1000))+1</f>
        <v>13</v>
      </c>
      <c r="S297" s="72"/>
      <c r="T297">
        <v>16</v>
      </c>
      <c r="U297" t="str">
        <v>SEA</v>
      </c>
      <c r="V297" t="str">
        <v>Lauina Futi</v>
      </c>
      <c r="W297" t="str">
        <v>NULL</v>
      </c>
      <c r="X297" t="str">
        <v>Away</v>
      </c>
      <c r="Y297" t="str">
        <v>NEFJ</v>
      </c>
      <c r="Z297">
        <v>6.1758850567827803</v>
      </c>
    </row>
    <row r="298" spans="10:26" x14ac:dyDescent="0.35">
      <c r="J298" s="66">
        <v>11</v>
      </c>
      <c r="K298" t="s">
        <v>17</v>
      </c>
      <c r="L298" t="s">
        <v>497</v>
      </c>
      <c r="M298">
        <v>18.2</v>
      </c>
      <c r="N298" t="s">
        <v>9</v>
      </c>
      <c r="O298" t="s">
        <v>4</v>
      </c>
      <c r="P298">
        <f t="shared" si="22"/>
        <v>13.751842446830787</v>
      </c>
      <c r="Q298">
        <f t="shared" si="21"/>
        <v>19.786105617816311</v>
      </c>
      <c r="R298" s="67" cm="1">
        <f t="array" ref="R298">SUMPRODUCT((J298=$J$7:$J$1000)*(P298&lt;$P$7:$P$1000))+1</f>
        <v>4</v>
      </c>
      <c r="S298" s="72"/>
      <c r="T298">
        <v>16</v>
      </c>
      <c r="U298" t="str">
        <v>SEA</v>
      </c>
      <c r="V298" t="str">
        <v>Malacchi Esdale</v>
      </c>
      <c r="W298" t="str">
        <v>NULL</v>
      </c>
      <c r="X298" t="str">
        <v>Away</v>
      </c>
      <c r="Y298" t="str">
        <v>NEFJ</v>
      </c>
      <c r="Z298">
        <v>11.084435138044423</v>
      </c>
    </row>
    <row r="299" spans="10:26" x14ac:dyDescent="0.35">
      <c r="J299" s="66">
        <v>11</v>
      </c>
      <c r="K299" t="s">
        <v>36</v>
      </c>
      <c r="L299" t="s">
        <v>78</v>
      </c>
      <c r="M299">
        <v>15.4</v>
      </c>
      <c r="N299" t="s">
        <v>3</v>
      </c>
      <c r="O299" t="s">
        <v>7</v>
      </c>
      <c r="P299">
        <f t="shared" si="22"/>
        <v>9.739392210140533</v>
      </c>
      <c r="Q299">
        <f t="shared" ref="Q299:Q333" si="23">IFERROR(($M299-$P299)^2,"")</f>
        <v>32.042480550617682</v>
      </c>
      <c r="R299" s="67" cm="1">
        <f t="array" ref="R299">SUMPRODUCT((J299=$J$7:$J$1000)*(P299&lt;$P$7:$P$1000))+1</f>
        <v>22</v>
      </c>
      <c r="S299" s="72"/>
      <c r="T299">
        <v>16</v>
      </c>
      <c r="U299" t="str">
        <v>SEA</v>
      </c>
      <c r="V299" t="str">
        <v>Mikaela Kruse</v>
      </c>
      <c r="W299" t="str">
        <v>NULL</v>
      </c>
      <c r="X299" t="str">
        <v>Away</v>
      </c>
      <c r="Y299" t="str">
        <v>NEFJ</v>
      </c>
      <c r="Z299">
        <v>4.8849752002331304</v>
      </c>
    </row>
    <row r="300" spans="10:26" x14ac:dyDescent="0.35">
      <c r="J300" s="66">
        <v>11</v>
      </c>
      <c r="K300" t="s">
        <v>24</v>
      </c>
      <c r="L300" t="s">
        <v>96</v>
      </c>
      <c r="M300">
        <v>14.7</v>
      </c>
      <c r="N300" t="s">
        <v>3</v>
      </c>
      <c r="O300" t="s">
        <v>14</v>
      </c>
      <c r="P300">
        <f t="shared" si="22"/>
        <v>14.325522585024627</v>
      </c>
      <c r="Q300">
        <f t="shared" si="23"/>
        <v>0.14023333432663698</v>
      </c>
      <c r="R300" s="67" cm="1">
        <f t="array" ref="R300">SUMPRODUCT((J300=$J$7:$J$1000)*(P300&lt;$P$7:$P$1000))+1</f>
        <v>2</v>
      </c>
      <c r="S300" s="72"/>
      <c r="T300">
        <v>16</v>
      </c>
      <c r="U300" t="str">
        <v>SEA</v>
      </c>
      <c r="V300" t="str">
        <v>Toni Pulu</v>
      </c>
      <c r="W300" t="str">
        <v>NULL</v>
      </c>
      <c r="X300" t="str">
        <v>Away</v>
      </c>
      <c r="Y300" t="str">
        <v>NEFJ</v>
      </c>
      <c r="Z300">
        <v>5.0347835825789868</v>
      </c>
    </row>
    <row r="301" spans="10:26" x14ac:dyDescent="0.35">
      <c r="J301" s="66">
        <v>11</v>
      </c>
      <c r="K301" t="s">
        <v>13</v>
      </c>
      <c r="L301" t="s">
        <v>477</v>
      </c>
      <c r="M301">
        <v>13.9</v>
      </c>
      <c r="N301" t="s">
        <v>3</v>
      </c>
      <c r="O301" t="s">
        <v>2</v>
      </c>
      <c r="P301">
        <f t="shared" si="22"/>
        <v>12.418367974280818</v>
      </c>
      <c r="Q301">
        <f t="shared" si="23"/>
        <v>2.1952334596367287</v>
      </c>
      <c r="R301" s="67" cm="1">
        <f t="array" ref="R301">SUMPRODUCT((J301=$J$7:$J$1000)*(P301&lt;$P$7:$P$1000))+1</f>
        <v>11</v>
      </c>
      <c r="S301" s="72"/>
      <c r="T301">
        <v>16</v>
      </c>
      <c r="U301" t="str">
        <v>UTAH</v>
      </c>
      <c r="V301" t="str">
        <v>Blake Makiri</v>
      </c>
      <c r="W301" t="str">
        <v>NULL</v>
      </c>
      <c r="X301" t="str">
        <v>Home</v>
      </c>
      <c r="Y301" t="str">
        <v>ARC</v>
      </c>
      <c r="Z301">
        <v>11.795217998254312</v>
      </c>
    </row>
    <row r="302" spans="10:26" x14ac:dyDescent="0.35">
      <c r="J302" s="66">
        <v>11</v>
      </c>
      <c r="K302" t="s">
        <v>17</v>
      </c>
      <c r="L302" t="s">
        <v>531</v>
      </c>
      <c r="M302">
        <v>13.2</v>
      </c>
      <c r="N302" t="s">
        <v>9</v>
      </c>
      <c r="O302" t="s">
        <v>4</v>
      </c>
      <c r="P302">
        <f t="shared" si="22"/>
        <v>14.152577349778635</v>
      </c>
      <c r="Q302">
        <f t="shared" si="23"/>
        <v>0.90740360731128999</v>
      </c>
      <c r="R302" s="67" cm="1">
        <f t="array" ref="R302">SUMPRODUCT((J302=$J$7:$J$1000)*(P302&lt;$P$7:$P$1000))+1</f>
        <v>3</v>
      </c>
      <c r="S302" s="72"/>
      <c r="T302">
        <v>16</v>
      </c>
      <c r="U302" t="str">
        <v>UTAH</v>
      </c>
      <c r="V302" t="str">
        <v>Joe Mano</v>
      </c>
      <c r="W302" t="str">
        <v>NULL</v>
      </c>
      <c r="X302" t="str">
        <v>Home</v>
      </c>
      <c r="Y302" t="str">
        <v>ARC</v>
      </c>
      <c r="Z302">
        <v>17.299527980512906</v>
      </c>
    </row>
    <row r="303" spans="10:26" x14ac:dyDescent="0.35">
      <c r="J303" s="66">
        <v>11</v>
      </c>
      <c r="K303" t="s">
        <v>24</v>
      </c>
      <c r="L303" t="s">
        <v>84</v>
      </c>
      <c r="M303">
        <v>12.2</v>
      </c>
      <c r="N303" t="s">
        <v>3</v>
      </c>
      <c r="O303" t="s">
        <v>14</v>
      </c>
      <c r="P303">
        <f t="shared" si="22"/>
        <v>9.866750090122709</v>
      </c>
      <c r="Q303">
        <f t="shared" si="23"/>
        <v>5.4440551419423837</v>
      </c>
      <c r="R303" s="67" cm="1">
        <f t="array" ref="R303">SUMPRODUCT((J303=$J$7:$J$1000)*(P303&lt;$P$7:$P$1000))+1</f>
        <v>20</v>
      </c>
      <c r="S303" s="72"/>
      <c r="T303">
        <v>16</v>
      </c>
      <c r="U303" t="str">
        <v>UTAH</v>
      </c>
      <c r="V303" t="str">
        <v>Jordan Trainor</v>
      </c>
      <c r="W303" t="str">
        <v>NULL</v>
      </c>
      <c r="X303" t="str">
        <v>Home</v>
      </c>
      <c r="Y303" t="str">
        <v>ARC</v>
      </c>
      <c r="Z303">
        <v>14.783337578920802</v>
      </c>
    </row>
    <row r="304" spans="10:26" x14ac:dyDescent="0.35">
      <c r="J304" s="66">
        <v>11</v>
      </c>
      <c r="K304" t="s">
        <v>34</v>
      </c>
      <c r="L304" t="s">
        <v>100</v>
      </c>
      <c r="M304">
        <v>12.2</v>
      </c>
      <c r="N304" t="s">
        <v>9</v>
      </c>
      <c r="O304" t="s">
        <v>6</v>
      </c>
      <c r="P304">
        <f t="shared" si="22"/>
        <v>5.8995083514030302</v>
      </c>
      <c r="Q304">
        <f t="shared" si="23"/>
        <v>39.69619501404015</v>
      </c>
      <c r="R304" s="67" cm="1">
        <f t="array" ref="R304">SUMPRODUCT((J304=$J$7:$J$1000)*(P304&lt;$P$7:$P$1000))+1</f>
        <v>34</v>
      </c>
      <c r="S304" s="72"/>
      <c r="T304">
        <v>16</v>
      </c>
      <c r="U304" t="str">
        <v>UTAH</v>
      </c>
      <c r="V304" t="str">
        <v>Nic Benn</v>
      </c>
      <c r="W304" t="str">
        <v>NULL</v>
      </c>
      <c r="X304" t="str">
        <v>Home</v>
      </c>
      <c r="Y304" t="str">
        <v>ARC</v>
      </c>
      <c r="Z304">
        <v>13.693012952712538</v>
      </c>
    </row>
    <row r="305" spans="10:26" x14ac:dyDescent="0.35">
      <c r="J305" s="66">
        <v>11</v>
      </c>
      <c r="K305" t="s">
        <v>6</v>
      </c>
      <c r="L305" t="s">
        <v>675</v>
      </c>
      <c r="M305">
        <v>12.1</v>
      </c>
      <c r="N305" t="s">
        <v>9</v>
      </c>
      <c r="O305" t="s">
        <v>34</v>
      </c>
      <c r="P305">
        <f t="shared" si="22"/>
        <v>12.101510919550304</v>
      </c>
      <c r="Q305">
        <f t="shared" si="23"/>
        <v>2.2828778874909142E-6</v>
      </c>
      <c r="R305" s="67" cm="1">
        <f t="array" ref="R305">SUMPRODUCT((J305=$J$7:$J$1000)*(P305&lt;$P$7:$P$1000))+1</f>
        <v>12</v>
      </c>
      <c r="S305" s="72"/>
      <c r="T305">
        <v>16</v>
      </c>
      <c r="U305" t="str">
        <v>UTAH</v>
      </c>
      <c r="V305" t="str">
        <v>Nolan Tuamoheloa</v>
      </c>
      <c r="W305" t="str">
        <v>NULL</v>
      </c>
      <c r="X305" t="str">
        <v>Home</v>
      </c>
      <c r="Y305" t="str">
        <v>ARC</v>
      </c>
      <c r="Z305">
        <v>11.871030981956386</v>
      </c>
    </row>
    <row r="306" spans="10:26" x14ac:dyDescent="0.35">
      <c r="J306" s="66">
        <v>11</v>
      </c>
      <c r="K306" t="s">
        <v>36</v>
      </c>
      <c r="L306" t="s">
        <v>476</v>
      </c>
      <c r="M306">
        <v>11.7</v>
      </c>
      <c r="N306" t="s">
        <v>3</v>
      </c>
      <c r="O306" t="s">
        <v>7</v>
      </c>
      <c r="P306">
        <f t="shared" si="22"/>
        <v>6.6171209643185112</v>
      </c>
      <c r="Q306">
        <f t="shared" si="23"/>
        <v>25.835659291370376</v>
      </c>
      <c r="R306" s="67" cm="1">
        <f t="array" ref="R306">SUMPRODUCT((J306=$J$7:$J$1000)*(P306&lt;$P$7:$P$1000))+1</f>
        <v>33</v>
      </c>
      <c r="S306" s="72"/>
      <c r="T306">
        <v>16</v>
      </c>
      <c r="U306" t="str">
        <v>UTAH</v>
      </c>
      <c r="V306" t="str">
        <v>Sione Mahe</v>
      </c>
      <c r="W306" t="str">
        <v>NULL</v>
      </c>
      <c r="X306" t="str">
        <v>Home</v>
      </c>
      <c r="Y306" t="str">
        <v>ARC</v>
      </c>
      <c r="Z306">
        <v>5.6378440611583844</v>
      </c>
    </row>
    <row r="307" spans="10:26" x14ac:dyDescent="0.35">
      <c r="J307" s="66">
        <v>11</v>
      </c>
      <c r="K307" t="s">
        <v>6</v>
      </c>
      <c r="L307" t="s">
        <v>93</v>
      </c>
      <c r="M307">
        <v>11.6</v>
      </c>
      <c r="N307" t="s">
        <v>3</v>
      </c>
      <c r="O307" t="s">
        <v>34</v>
      </c>
      <c r="P307">
        <f t="shared" si="22"/>
        <v>12.508300739656514</v>
      </c>
      <c r="Q307">
        <f t="shared" si="23"/>
        <v>0.82501023366057114</v>
      </c>
      <c r="R307" s="67" cm="1">
        <f t="array" ref="R307">SUMPRODUCT((J307=$J$7:$J$1000)*(P307&lt;$P$7:$P$1000))+1</f>
        <v>9</v>
      </c>
      <c r="S307" s="72"/>
      <c r="T307">
        <v>16</v>
      </c>
      <c r="U307" t="str">
        <v>UTAH</v>
      </c>
      <c r="V307" t="str">
        <v>Tielu Sagala</v>
      </c>
      <c r="W307" t="str">
        <v>NULL</v>
      </c>
      <c r="X307" t="str">
        <v>Home</v>
      </c>
      <c r="Y307" t="str">
        <v>ARC</v>
      </c>
      <c r="Z307">
        <v>9.8680787945226616</v>
      </c>
    </row>
    <row r="308" spans="10:26" x14ac:dyDescent="0.35">
      <c r="J308" s="66">
        <v>11</v>
      </c>
      <c r="K308" t="s">
        <v>34</v>
      </c>
      <c r="L308" t="s">
        <v>95</v>
      </c>
      <c r="M308">
        <v>11.3</v>
      </c>
      <c r="N308" t="s">
        <v>9</v>
      </c>
      <c r="O308" t="s">
        <v>6</v>
      </c>
      <c r="P308">
        <f t="shared" si="22"/>
        <v>9.8496210880825128</v>
      </c>
      <c r="Q308">
        <f t="shared" si="23"/>
        <v>2.1035989881349559</v>
      </c>
      <c r="R308" s="67" cm="1">
        <f t="array" ref="R308">SUMPRODUCT((J308=$J$7:$J$1000)*(P308&lt;$P$7:$P$1000))+1</f>
        <v>21</v>
      </c>
      <c r="S308" s="72"/>
      <c r="T308">
        <v>16</v>
      </c>
      <c r="U308" t="str">
        <v>UTAH</v>
      </c>
      <c r="V308" t="str">
        <v>Zion Going</v>
      </c>
      <c r="W308" t="str">
        <v>NULL</v>
      </c>
      <c r="X308" t="str">
        <v>Home</v>
      </c>
      <c r="Y308" t="str">
        <v>ARC</v>
      </c>
      <c r="Z308">
        <v>10.768159523923396</v>
      </c>
    </row>
    <row r="309" spans="10:26" x14ac:dyDescent="0.35">
      <c r="J309">
        <v>11</v>
      </c>
      <c r="K309" t="s">
        <v>4</v>
      </c>
      <c r="L309" t="s">
        <v>453</v>
      </c>
      <c r="M309">
        <v>11.1</v>
      </c>
      <c r="N309" t="s">
        <v>3</v>
      </c>
      <c r="O309" t="s">
        <v>17</v>
      </c>
      <c r="P309">
        <f t="shared" si="22"/>
        <v>12.676806749093567</v>
      </c>
      <c r="Q309">
        <f t="shared" si="23"/>
        <v>2.4863195239870235</v>
      </c>
      <c r="R309" s="67" cm="1">
        <f t="array" ref="R309">SUMPRODUCT((J309=$J$7:$J$1000)*(P309&lt;$P$7:$P$1000))+1</f>
        <v>8</v>
      </c>
      <c r="S309" s="72"/>
      <c r="T309">
        <v>16</v>
      </c>
      <c r="U309" t="str">
        <v>ARC</v>
      </c>
      <c r="V309" t="str">
        <v>EJ Freeman</v>
      </c>
      <c r="W309" t="str">
        <v>NULL</v>
      </c>
      <c r="X309" t="str">
        <v>Away</v>
      </c>
      <c r="Y309" t="str">
        <v>UTAH</v>
      </c>
      <c r="Z309">
        <v>5.1141369755765309</v>
      </c>
    </row>
    <row r="310" spans="10:26" x14ac:dyDescent="0.35">
      <c r="J310" s="66">
        <v>11</v>
      </c>
      <c r="K310" t="s">
        <v>13</v>
      </c>
      <c r="L310" t="s">
        <v>494</v>
      </c>
      <c r="M310">
        <v>11.1</v>
      </c>
      <c r="N310" t="s">
        <v>3</v>
      </c>
      <c r="O310" t="s">
        <v>2</v>
      </c>
      <c r="P310">
        <f t="shared" si="22"/>
        <v>11.328043348072553</v>
      </c>
      <c r="Q310">
        <f t="shared" si="23"/>
        <v>5.2003768600139763E-2</v>
      </c>
      <c r="R310" s="67" cm="1">
        <f t="array" ref="R310">SUMPRODUCT((J310=$J$7:$J$1000)*(P310&lt;$P$7:$P$1000))+1</f>
        <v>15</v>
      </c>
      <c r="S310" s="72"/>
      <c r="T310">
        <v>16</v>
      </c>
      <c r="U310" t="str">
        <v>LA</v>
      </c>
      <c r="V310" t="str">
        <v>Seth Purdey</v>
      </c>
      <c r="W310" t="str">
        <v>NULL</v>
      </c>
      <c r="X310" t="str">
        <v>Away</v>
      </c>
      <c r="Y310" t="str">
        <v>OGDC</v>
      </c>
      <c r="Z310">
        <v>4.3774894660403385</v>
      </c>
    </row>
    <row r="311" spans="10:26" x14ac:dyDescent="0.35">
      <c r="J311" s="66">
        <v>11</v>
      </c>
      <c r="K311" t="s">
        <v>14</v>
      </c>
      <c r="L311" t="s">
        <v>278</v>
      </c>
      <c r="M311">
        <v>10.9</v>
      </c>
      <c r="N311" t="s">
        <v>9</v>
      </c>
      <c r="O311" t="s">
        <v>24</v>
      </c>
      <c r="P311">
        <f t="shared" si="22"/>
        <v>8.7581396565146949</v>
      </c>
      <c r="Q311">
        <f t="shared" si="23"/>
        <v>4.5875657309949904</v>
      </c>
      <c r="R311" s="67" cm="1">
        <f t="array" ref="R311">SUMPRODUCT((J311=$J$7:$J$1000)*(P311&lt;$P$7:$P$1000))+1</f>
        <v>28</v>
      </c>
      <c r="S311" s="72"/>
      <c r="T311">
        <v>16</v>
      </c>
      <c r="U311" t="str">
        <v>NEFJ</v>
      </c>
      <c r="V311" t="str">
        <v>Killian Coghlan</v>
      </c>
      <c r="W311" t="str">
        <v>NULL</v>
      </c>
      <c r="X311" t="str">
        <v>Home</v>
      </c>
      <c r="Y311" t="str">
        <v>SEA</v>
      </c>
      <c r="Z311">
        <v>3.8956484464261676</v>
      </c>
    </row>
    <row r="312" spans="10:26" x14ac:dyDescent="0.35">
      <c r="J312" s="66">
        <v>11</v>
      </c>
      <c r="K312" t="s">
        <v>6</v>
      </c>
      <c r="L312" t="s">
        <v>5</v>
      </c>
      <c r="M312">
        <v>10.4</v>
      </c>
      <c r="N312" t="s">
        <v>9</v>
      </c>
      <c r="O312" t="s">
        <v>34</v>
      </c>
      <c r="P312">
        <f t="shared" si="22"/>
        <v>13.147858557707556</v>
      </c>
      <c r="Q312">
        <f t="shared" si="23"/>
        <v>7.5507266531666479</v>
      </c>
      <c r="R312" s="67" cm="1">
        <f t="array" ref="R312">SUMPRODUCT((J312=$J$7:$J$1000)*(P312&lt;$P$7:$P$1000))+1</f>
        <v>6</v>
      </c>
      <c r="S312" s="72"/>
      <c r="T312">
        <v>16</v>
      </c>
      <c r="U312" t="str">
        <v>NOLA</v>
      </c>
      <c r="V312" t="str">
        <v>Nikolai Foliaki</v>
      </c>
      <c r="W312" t="str">
        <v>NULL</v>
      </c>
      <c r="X312" t="str">
        <v>Away</v>
      </c>
      <c r="Y312" t="str">
        <v>CHI</v>
      </c>
      <c r="Z312">
        <v>3.7964207247902015</v>
      </c>
    </row>
    <row r="313" spans="10:26" x14ac:dyDescent="0.35">
      <c r="J313" s="66">
        <v>11</v>
      </c>
      <c r="K313" t="s">
        <v>6</v>
      </c>
      <c r="L313" t="s">
        <v>64</v>
      </c>
      <c r="M313">
        <v>10.3</v>
      </c>
      <c r="N313" t="s">
        <v>3</v>
      </c>
      <c r="O313" t="s">
        <v>34</v>
      </c>
      <c r="P313">
        <f t="shared" si="22"/>
        <v>10.671634651678495</v>
      </c>
      <c r="Q313">
        <f t="shared" si="23"/>
        <v>0.13811231432819596</v>
      </c>
      <c r="R313" s="67" cm="1">
        <f t="array" ref="R313">SUMPRODUCT((J313=$J$7:$J$1000)*(P313&lt;$P$7:$P$1000))+1</f>
        <v>18</v>
      </c>
      <c r="S313" s="72"/>
      <c r="T313">
        <v>16</v>
      </c>
      <c r="U313" t="str">
        <v>CHI</v>
      </c>
      <c r="V313" t="str">
        <v>Nate Augspurger</v>
      </c>
      <c r="W313" t="str">
        <v>NULL</v>
      </c>
      <c r="X313" t="str">
        <v>Home</v>
      </c>
      <c r="Y313" t="str">
        <v>NOLA</v>
      </c>
      <c r="Z313">
        <v>4.0636081486584761</v>
      </c>
    </row>
    <row r="314" spans="10:26" x14ac:dyDescent="0.35">
      <c r="J314" s="66">
        <v>11</v>
      </c>
      <c r="K314" t="s">
        <v>17</v>
      </c>
      <c r="L314" t="s">
        <v>76</v>
      </c>
      <c r="M314">
        <v>9.3000000000000007</v>
      </c>
      <c r="N314" t="s">
        <v>9</v>
      </c>
      <c r="O314" t="s">
        <v>4</v>
      </c>
      <c r="P314">
        <f t="shared" si="22"/>
        <v>7.9776539824984729</v>
      </c>
      <c r="Q314">
        <f t="shared" si="23"/>
        <v>1.7485989900021508</v>
      </c>
      <c r="R314" s="67" cm="1">
        <f t="array" ref="R314">SUMPRODUCT((J314=$J$7:$J$1000)*(P314&lt;$P$7:$P$1000))+1</f>
        <v>30</v>
      </c>
      <c r="S314" s="72"/>
      <c r="T314">
        <v>16</v>
      </c>
      <c r="U314" t="str">
        <v>CHI</v>
      </c>
      <c r="V314" t="str">
        <v>Julian Dominguez</v>
      </c>
      <c r="W314" t="str">
        <v>NULL</v>
      </c>
      <c r="X314" t="str">
        <v>Home</v>
      </c>
      <c r="Y314" t="str">
        <v>NOLA</v>
      </c>
      <c r="Z314">
        <v>3.102040287109793</v>
      </c>
    </row>
    <row r="315" spans="10:26" x14ac:dyDescent="0.35">
      <c r="J315" s="66">
        <v>11</v>
      </c>
      <c r="K315" t="s">
        <v>14</v>
      </c>
      <c r="L315" t="s">
        <v>285</v>
      </c>
      <c r="M315">
        <v>8.6999999999999993</v>
      </c>
      <c r="N315" t="s">
        <v>3</v>
      </c>
      <c r="O315" t="s">
        <v>24</v>
      </c>
      <c r="P315">
        <f t="shared" si="22"/>
        <v>9.937285706369428</v>
      </c>
      <c r="Q315">
        <f t="shared" si="23"/>
        <v>1.5308759191860961</v>
      </c>
      <c r="R315" s="67" cm="1">
        <f t="array" ref="R315">SUMPRODUCT((J315=$J$7:$J$1000)*(P315&lt;$P$7:$P$1000))+1</f>
        <v>19</v>
      </c>
      <c r="S315" s="72"/>
      <c r="T315">
        <v>16</v>
      </c>
      <c r="U315" t="str">
        <v>MIA</v>
      </c>
      <c r="V315" t="str">
        <v>Marcos Elisagaray</v>
      </c>
      <c r="W315" t="str">
        <v>NULL</v>
      </c>
      <c r="X315" t="str">
        <v>Home</v>
      </c>
      <c r="Y315" t="str">
        <v>SDL</v>
      </c>
      <c r="Z315">
        <v>2.2102824177621412</v>
      </c>
    </row>
    <row r="316" spans="10:26" x14ac:dyDescent="0.35">
      <c r="J316" s="66">
        <v>11</v>
      </c>
      <c r="K316" t="s">
        <v>14</v>
      </c>
      <c r="L316" t="s">
        <v>83</v>
      </c>
      <c r="M316">
        <v>8.6999999999999993</v>
      </c>
      <c r="N316" t="s">
        <v>3</v>
      </c>
      <c r="O316" t="s">
        <v>24</v>
      </c>
      <c r="P316">
        <f t="shared" si="22"/>
        <v>12.4586342789752</v>
      </c>
      <c r="Q316">
        <f t="shared" si="23"/>
        <v>14.127331643087429</v>
      </c>
      <c r="R316" s="67" cm="1">
        <f t="array" ref="R316">SUMPRODUCT((J316=$J$7:$J$1000)*(P316&lt;$P$7:$P$1000))+1</f>
        <v>10</v>
      </c>
      <c r="S316" s="72"/>
      <c r="T316">
        <v>16</v>
      </c>
      <c r="U316" t="str">
        <v>LA</v>
      </c>
      <c r="V316" t="str">
        <v>Christian Dyer</v>
      </c>
      <c r="W316" t="str">
        <v>NULL</v>
      </c>
      <c r="X316" t="str">
        <v>Away</v>
      </c>
      <c r="Y316" t="str">
        <v>OGDC</v>
      </c>
      <c r="Z316">
        <v>1.9704975752713845</v>
      </c>
    </row>
    <row r="317" spans="10:26" x14ac:dyDescent="0.35">
      <c r="J317" s="66">
        <v>11</v>
      </c>
      <c r="K317" t="s">
        <v>14</v>
      </c>
      <c r="L317" t="s">
        <v>87</v>
      </c>
      <c r="M317">
        <v>8.6</v>
      </c>
      <c r="N317" t="s">
        <v>9</v>
      </c>
      <c r="O317" t="s">
        <v>24</v>
      </c>
      <c r="P317">
        <f t="shared" si="22"/>
        <v>11.532638937813584</v>
      </c>
      <c r="Q317">
        <f t="shared" si="23"/>
        <v>8.6003711395803855</v>
      </c>
      <c r="R317" s="67" cm="1">
        <f t="array" ref="R317">SUMPRODUCT((J317=$J$7:$J$1000)*(P317&lt;$P$7:$P$1000))+1</f>
        <v>14</v>
      </c>
      <c r="S317" s="72"/>
      <c r="T317">
        <v>16</v>
      </c>
      <c r="U317" t="str">
        <v>MIA</v>
      </c>
      <c r="V317" t="str">
        <v>Connor Burns</v>
      </c>
      <c r="W317" t="str">
        <v>NULL</v>
      </c>
      <c r="X317" t="str">
        <v>Home</v>
      </c>
      <c r="Y317" t="str">
        <v>SDL</v>
      </c>
      <c r="Z317">
        <v>1.205370824440382</v>
      </c>
    </row>
    <row r="318" spans="10:26" x14ac:dyDescent="0.35">
      <c r="J318" s="66">
        <v>11</v>
      </c>
      <c r="K318" t="s">
        <v>4</v>
      </c>
      <c r="L318" t="s">
        <v>286</v>
      </c>
      <c r="M318">
        <v>8.3000000000000007</v>
      </c>
      <c r="N318" t="s">
        <v>3</v>
      </c>
      <c r="O318" t="s">
        <v>17</v>
      </c>
      <c r="P318">
        <f t="shared" si="22"/>
        <v>11.305263693105177</v>
      </c>
      <c r="Q318">
        <f t="shared" si="23"/>
        <v>9.0316098650961631</v>
      </c>
      <c r="R318" s="67" cm="1">
        <f t="array" ref="R318">SUMPRODUCT((J318=$J$7:$J$1000)*(P318&lt;$P$7:$P$1000))+1</f>
        <v>16</v>
      </c>
      <c r="S318" s="72"/>
      <c r="T318">
        <v>16</v>
      </c>
      <c r="U318" t="str">
        <v>ARC</v>
      </c>
      <c r="V318" t="str">
        <v>Ashawnty Staples Flowers</v>
      </c>
      <c r="W318" t="str">
        <v>NULL</v>
      </c>
      <c r="X318" t="str">
        <v>Away</v>
      </c>
      <c r="Y318" t="str">
        <v>UTAH</v>
      </c>
      <c r="Z318">
        <v>0.60310714613586636</v>
      </c>
    </row>
    <row r="319" spans="10:26" x14ac:dyDescent="0.35">
      <c r="J319" s="66">
        <v>11</v>
      </c>
      <c r="K319" t="s">
        <v>7</v>
      </c>
      <c r="L319" t="s">
        <v>80</v>
      </c>
      <c r="M319">
        <v>8</v>
      </c>
      <c r="N319" t="s">
        <v>9</v>
      </c>
      <c r="O319" t="s">
        <v>36</v>
      </c>
      <c r="P319">
        <f t="shared" si="22"/>
        <v>9.6294615075733745</v>
      </c>
      <c r="Q319">
        <f t="shared" si="23"/>
        <v>2.6551448046632942</v>
      </c>
      <c r="R319" s="67" cm="1">
        <f t="array" ref="R319">SUMPRODUCT((J319=$J$7:$J$1000)*(P319&lt;$P$7:$P$1000))+1</f>
        <v>23</v>
      </c>
      <c r="S319" s="72"/>
      <c r="T319">
        <v>16</v>
      </c>
      <c r="U319" t="str">
        <v>SEA</v>
      </c>
      <c r="V319" t="str">
        <v>Jeremiah Sio</v>
      </c>
      <c r="W319" t="str">
        <v>NULL</v>
      </c>
      <c r="X319" t="str">
        <v>Away</v>
      </c>
      <c r="Y319" t="str">
        <v>NEFJ</v>
      </c>
      <c r="Z319">
        <v>-1.8199669973568451</v>
      </c>
    </row>
    <row r="320" spans="10:26" x14ac:dyDescent="0.35">
      <c r="J320" s="66">
        <v>11</v>
      </c>
      <c r="K320" t="s">
        <v>17</v>
      </c>
      <c r="L320" t="s">
        <v>82</v>
      </c>
      <c r="M320">
        <v>7.7</v>
      </c>
      <c r="N320" t="s">
        <v>9</v>
      </c>
      <c r="O320" t="s">
        <v>4</v>
      </c>
      <c r="P320">
        <f t="shared" si="22"/>
        <v>9.2440272685169926</v>
      </c>
      <c r="Q320">
        <f t="shared" si="23"/>
        <v>2.3840202059240445</v>
      </c>
      <c r="R320" s="67" cm="1">
        <f t="array" ref="R320">SUMPRODUCT((J320=$J$7:$J$1000)*(P320&lt;$P$7:$P$1000))+1</f>
        <v>24</v>
      </c>
      <c r="S320" s="72"/>
    </row>
    <row r="321" spans="10:19" x14ac:dyDescent="0.35">
      <c r="J321" s="66">
        <v>11</v>
      </c>
      <c r="K321" t="s">
        <v>17</v>
      </c>
      <c r="L321" t="s">
        <v>82</v>
      </c>
      <c r="M321">
        <v>7.6</v>
      </c>
      <c r="N321" t="s">
        <v>9</v>
      </c>
      <c r="O321" t="s">
        <v>4</v>
      </c>
      <c r="P321">
        <f t="shared" si="22"/>
        <v>9.2440272685169926</v>
      </c>
      <c r="Q321">
        <f t="shared" si="23"/>
        <v>2.7028256596274449</v>
      </c>
      <c r="R321" s="67" cm="1">
        <f t="array" ref="R321">SUMPRODUCT((J321=$J$7:$J$1000)*(P321&lt;$P$7:$P$1000))+1</f>
        <v>24</v>
      </c>
      <c r="S321" s="72"/>
    </row>
    <row r="322" spans="10:19" x14ac:dyDescent="0.35">
      <c r="J322" s="66">
        <v>11</v>
      </c>
      <c r="K322" t="s">
        <v>34</v>
      </c>
      <c r="L322" t="s">
        <v>41</v>
      </c>
      <c r="M322">
        <v>7.2</v>
      </c>
      <c r="N322" t="s">
        <v>9</v>
      </c>
      <c r="O322" t="s">
        <v>6</v>
      </c>
      <c r="P322">
        <f t="shared" si="22"/>
        <v>9.0253727838147793</v>
      </c>
      <c r="Q322">
        <f t="shared" si="23"/>
        <v>3.3319857998917164</v>
      </c>
      <c r="R322" s="67" cm="1">
        <f t="array" ref="R322">SUMPRODUCT((J322=$J$7:$J$1000)*(P322&lt;$P$7:$P$1000))+1</f>
        <v>26</v>
      </c>
      <c r="S322" s="72"/>
    </row>
    <row r="323" spans="10:19" x14ac:dyDescent="0.35">
      <c r="J323" s="66">
        <v>11</v>
      </c>
      <c r="K323" t="s">
        <v>6</v>
      </c>
      <c r="L323" t="s">
        <v>94</v>
      </c>
      <c r="M323">
        <v>5</v>
      </c>
      <c r="N323" t="s">
        <v>3</v>
      </c>
      <c r="O323" t="s">
        <v>34</v>
      </c>
      <c r="P323">
        <f t="shared" si="22"/>
        <v>13.06567161272134</v>
      </c>
      <c r="Q323">
        <f t="shared" si="23"/>
        <v>65.055058564258871</v>
      </c>
      <c r="R323" s="67" cm="1">
        <f t="array" ref="R323">SUMPRODUCT((J323=$J$7:$J$1000)*(P323&lt;$P$7:$P$1000))+1</f>
        <v>7</v>
      </c>
      <c r="S323" s="72"/>
    </row>
    <row r="324" spans="10:19" x14ac:dyDescent="0.35">
      <c r="J324" s="66">
        <v>11</v>
      </c>
      <c r="K324" t="s">
        <v>36</v>
      </c>
      <c r="L324" t="s">
        <v>479</v>
      </c>
      <c r="M324">
        <v>4.5</v>
      </c>
      <c r="N324" t="s">
        <v>3</v>
      </c>
      <c r="O324" t="s">
        <v>7</v>
      </c>
      <c r="P324">
        <f t="shared" si="22"/>
        <v>8.6169386852947483</v>
      </c>
      <c r="Q324">
        <f t="shared" si="23"/>
        <v>16.949184138476451</v>
      </c>
      <c r="R324" s="67" cm="1">
        <f t="array" ref="R324">SUMPRODUCT((J324=$J$7:$J$1000)*(P324&lt;$P$7:$P$1000))+1</f>
        <v>29</v>
      </c>
      <c r="S324" s="72"/>
    </row>
    <row r="325" spans="10:19" x14ac:dyDescent="0.35">
      <c r="J325" s="66">
        <v>11</v>
      </c>
      <c r="K325" t="s">
        <v>7</v>
      </c>
      <c r="L325" t="s">
        <v>92</v>
      </c>
      <c r="M325">
        <v>4.5</v>
      </c>
      <c r="N325" t="s">
        <v>9</v>
      </c>
      <c r="O325" t="s">
        <v>36</v>
      </c>
      <c r="P325">
        <f t="shared" si="22"/>
        <v>7.1881438469052377</v>
      </c>
      <c r="Q325">
        <f t="shared" si="23"/>
        <v>7.2261173416544899</v>
      </c>
      <c r="R325" s="67" cm="1">
        <f t="array" ref="R325">SUMPRODUCT((J325=$J$7:$J$1000)*(P325&lt;$P$7:$P$1000))+1</f>
        <v>32</v>
      </c>
      <c r="S325" s="72"/>
    </row>
    <row r="326" spans="10:19" x14ac:dyDescent="0.35">
      <c r="J326">
        <v>11</v>
      </c>
      <c r="K326" t="s">
        <v>7</v>
      </c>
      <c r="L326" t="s">
        <v>521</v>
      </c>
      <c r="M326">
        <v>4.3</v>
      </c>
      <c r="N326" t="s">
        <v>9</v>
      </c>
      <c r="O326" t="s">
        <v>36</v>
      </c>
      <c r="P326">
        <f t="shared" si="22"/>
        <v>4.5055706384213341</v>
      </c>
      <c r="Q326">
        <f t="shared" si="23"/>
        <v>4.2259287380954955E-2</v>
      </c>
      <c r="R326" s="67" cm="1">
        <f t="array" ref="R326">SUMPRODUCT((J326=$J$7:$J$1000)*(P326&lt;$P$7:$P$1000))+1</f>
        <v>37</v>
      </c>
      <c r="S326" s="72"/>
    </row>
    <row r="327" spans="10:19" x14ac:dyDescent="0.35">
      <c r="J327" s="66">
        <v>11</v>
      </c>
      <c r="K327" t="s">
        <v>14</v>
      </c>
      <c r="L327" t="s">
        <v>639</v>
      </c>
      <c r="M327">
        <v>3.9</v>
      </c>
      <c r="N327" t="s">
        <v>9</v>
      </c>
      <c r="O327" t="s">
        <v>24</v>
      </c>
      <c r="P327">
        <f t="shared" si="22"/>
        <v>11.013379270135241</v>
      </c>
      <c r="Q327">
        <f t="shared" si="23"/>
        <v>50.600164640789764</v>
      </c>
      <c r="R327" s="67" cm="1">
        <f t="array" ref="R327">SUMPRODUCT((J327=$J$7:$J$1000)*(P327&lt;$P$7:$P$1000))+1</f>
        <v>17</v>
      </c>
      <c r="S327" s="72"/>
    </row>
    <row r="328" spans="10:19" x14ac:dyDescent="0.35">
      <c r="J328" s="66">
        <v>11</v>
      </c>
      <c r="K328" t="s">
        <v>2</v>
      </c>
      <c r="L328" t="s">
        <v>12</v>
      </c>
      <c r="M328">
        <v>3.2</v>
      </c>
      <c r="N328" t="s">
        <v>9</v>
      </c>
      <c r="O328" t="s">
        <v>13</v>
      </c>
      <c r="P328">
        <f t="shared" ref="P328:P391" si="24">VLOOKUP($N328,$F$3:$G$4,2,FALSE)+VLOOKUP($L328,$B$20:$C$150,2,FALSE)+VLOOKUP($O328,$A$6:$B$16,2,FALSE)</f>
        <v>5.8797244966982323</v>
      </c>
      <c r="Q328">
        <f t="shared" si="23"/>
        <v>7.1809233782045929</v>
      </c>
      <c r="R328" s="67" cm="1">
        <f t="array" ref="R328">SUMPRODUCT((J328=$J$7:$J$1000)*(P328&lt;$P$7:$P$1000))+1</f>
        <v>35</v>
      </c>
      <c r="S328" s="72"/>
    </row>
    <row r="329" spans="10:19" x14ac:dyDescent="0.35">
      <c r="J329" s="66">
        <v>11</v>
      </c>
      <c r="K329" t="s">
        <v>4</v>
      </c>
      <c r="L329" t="s">
        <v>475</v>
      </c>
      <c r="M329">
        <v>3</v>
      </c>
      <c r="N329" t="s">
        <v>3</v>
      </c>
      <c r="O329" t="s">
        <v>17</v>
      </c>
      <c r="P329">
        <f t="shared" si="24"/>
        <v>4.6398423348785558</v>
      </c>
      <c r="Q329">
        <f t="shared" si="23"/>
        <v>2.6890828832599536</v>
      </c>
      <c r="R329" s="67" cm="1">
        <f t="array" ref="R329">SUMPRODUCT((J329=$J$7:$J$1000)*(P329&lt;$P$7:$P$1000))+1</f>
        <v>36</v>
      </c>
      <c r="S329" s="72"/>
    </row>
    <row r="330" spans="10:19" x14ac:dyDescent="0.35">
      <c r="J330" s="66">
        <v>11</v>
      </c>
      <c r="K330" t="s">
        <v>14</v>
      </c>
      <c r="L330" t="s">
        <v>460</v>
      </c>
      <c r="M330">
        <v>1.6</v>
      </c>
      <c r="N330" t="s">
        <v>3</v>
      </c>
      <c r="O330" t="s">
        <v>24</v>
      </c>
      <c r="P330">
        <f t="shared" si="24"/>
        <v>2.7040012333925461</v>
      </c>
      <c r="Q330">
        <f t="shared" si="23"/>
        <v>1.2188187233322627</v>
      </c>
      <c r="R330" s="67" cm="1">
        <f t="array" ref="R330">SUMPRODUCT((J330=$J$7:$J$1000)*(P330&lt;$P$7:$P$1000))+1</f>
        <v>39</v>
      </c>
      <c r="S330" s="72"/>
    </row>
    <row r="331" spans="10:19" x14ac:dyDescent="0.35">
      <c r="J331">
        <v>11</v>
      </c>
      <c r="K331" t="s">
        <v>2</v>
      </c>
      <c r="L331" t="s">
        <v>495</v>
      </c>
      <c r="M331">
        <v>1</v>
      </c>
      <c r="N331" t="s">
        <v>9</v>
      </c>
      <c r="O331" t="s">
        <v>13</v>
      </c>
      <c r="P331">
        <f t="shared" si="24"/>
        <v>7.2056750887703283</v>
      </c>
      <c r="Q331">
        <f t="shared" si="23"/>
        <v>38.510403307384621</v>
      </c>
      <c r="R331" s="67" cm="1">
        <f t="array" ref="R331">SUMPRODUCT((J331=$J$7:$J$1000)*(P331&lt;$P$7:$P$1000))+1</f>
        <v>31</v>
      </c>
      <c r="S331" s="72"/>
    </row>
    <row r="332" spans="10:19" x14ac:dyDescent="0.35">
      <c r="J332" s="66">
        <v>11</v>
      </c>
      <c r="K332" t="s">
        <v>24</v>
      </c>
      <c r="L332" t="s">
        <v>572</v>
      </c>
      <c r="M332">
        <v>1</v>
      </c>
      <c r="N332" t="s">
        <v>3</v>
      </c>
      <c r="O332" t="s">
        <v>14</v>
      </c>
      <c r="P332">
        <f t="shared" si="24"/>
        <v>8.7680732339176526</v>
      </c>
      <c r="Q332">
        <f t="shared" si="23"/>
        <v>60.342961767507859</v>
      </c>
      <c r="R332" s="67" cm="1">
        <f t="array" ref="R332">SUMPRODUCT((J332=$J$7:$J$1000)*(P332&lt;$P$7:$P$1000))+1</f>
        <v>27</v>
      </c>
      <c r="S332" s="72"/>
    </row>
    <row r="333" spans="10:19" x14ac:dyDescent="0.35">
      <c r="J333" s="66">
        <v>11</v>
      </c>
      <c r="K333" t="s">
        <v>2</v>
      </c>
      <c r="L333" t="s">
        <v>88</v>
      </c>
      <c r="M333">
        <v>-11.5</v>
      </c>
      <c r="N333" t="s">
        <v>9</v>
      </c>
      <c r="O333" t="s">
        <v>13</v>
      </c>
      <c r="P333">
        <f t="shared" si="24"/>
        <v>3.927387434959039</v>
      </c>
      <c r="Q333">
        <f t="shared" si="23"/>
        <v>238.00428306833203</v>
      </c>
      <c r="R333" s="67" cm="1">
        <f t="array" ref="R333">SUMPRODUCT((J333=$J$7:$J$1000)*(P333&lt;$P$7:$P$1000))+1</f>
        <v>38</v>
      </c>
      <c r="S333" s="72"/>
    </row>
    <row r="334" spans="10:19" x14ac:dyDescent="0.35">
      <c r="J334" s="66">
        <v>12</v>
      </c>
      <c r="K334" t="s">
        <v>34</v>
      </c>
      <c r="L334" t="s">
        <v>674</v>
      </c>
      <c r="M334">
        <v>24.3</v>
      </c>
      <c r="N334" t="s">
        <v>9</v>
      </c>
      <c r="O334" t="s">
        <v>4</v>
      </c>
      <c r="P334">
        <f t="shared" si="24"/>
        <v>13.78433484862218</v>
      </c>
      <c r="Q334">
        <f t="shared" ref="Q334:Q397" si="25">IFERROR(($M334-$P334)^2,"")</f>
        <v>110.57921357590193</v>
      </c>
      <c r="R334" s="67" cm="1">
        <f t="array" ref="R334">SUMPRODUCT((J334=$J$7:$J$1000)*(P334&lt;$P$7:$P$1000))+1</f>
        <v>3</v>
      </c>
      <c r="S334" s="72"/>
    </row>
    <row r="335" spans="10:19" x14ac:dyDescent="0.35">
      <c r="J335" s="66">
        <v>12</v>
      </c>
      <c r="K335" t="s">
        <v>34</v>
      </c>
      <c r="L335" t="s">
        <v>95</v>
      </c>
      <c r="M335">
        <v>20.2</v>
      </c>
      <c r="N335" t="s">
        <v>3</v>
      </c>
      <c r="O335" t="s">
        <v>4</v>
      </c>
      <c r="P335">
        <f t="shared" si="24"/>
        <v>13.586326658713501</v>
      </c>
      <c r="Q335">
        <f t="shared" si="25"/>
        <v>43.740675065243714</v>
      </c>
      <c r="R335" s="67" cm="1">
        <f t="array" ref="R335">SUMPRODUCT((J335=$J$7:$J$1000)*(P335&lt;$P$7:$P$1000))+1</f>
        <v>4</v>
      </c>
      <c r="S335" s="72"/>
    </row>
    <row r="336" spans="10:19" x14ac:dyDescent="0.35">
      <c r="J336" s="66">
        <v>12</v>
      </c>
      <c r="K336" t="s">
        <v>7</v>
      </c>
      <c r="L336" t="s">
        <v>92</v>
      </c>
      <c r="M336">
        <v>18.7</v>
      </c>
      <c r="N336" t="s">
        <v>3</v>
      </c>
      <c r="O336" t="s">
        <v>13</v>
      </c>
      <c r="P336">
        <f t="shared" si="24"/>
        <v>11.463444366653817</v>
      </c>
      <c r="Q336">
        <f t="shared" si="25"/>
        <v>52.36773743451436</v>
      </c>
      <c r="R336" s="67" cm="1">
        <f t="array" ref="R336">SUMPRODUCT((J336=$J$7:$J$1000)*(P336&lt;$P$7:$P$1000))+1</f>
        <v>12</v>
      </c>
      <c r="S336" s="72"/>
    </row>
    <row r="337" spans="10:19" x14ac:dyDescent="0.35">
      <c r="J337" s="66">
        <v>12</v>
      </c>
      <c r="K337" t="s">
        <v>7</v>
      </c>
      <c r="L337" t="s">
        <v>80</v>
      </c>
      <c r="M337">
        <v>17.5</v>
      </c>
      <c r="N337" t="s">
        <v>3</v>
      </c>
      <c r="O337" t="s">
        <v>13</v>
      </c>
      <c r="P337">
        <f t="shared" si="24"/>
        <v>13.904762027321954</v>
      </c>
      <c r="Q337">
        <f t="shared" si="25"/>
        <v>12.925736080186145</v>
      </c>
      <c r="R337" s="67" cm="1">
        <f t="array" ref="R337">SUMPRODUCT((J337=$J$7:$J$1000)*(P337&lt;$P$7:$P$1000))+1</f>
        <v>2</v>
      </c>
      <c r="S337" s="72"/>
    </row>
    <row r="338" spans="10:19" x14ac:dyDescent="0.35">
      <c r="J338" s="66">
        <v>12</v>
      </c>
      <c r="K338" t="s">
        <v>23</v>
      </c>
      <c r="L338" t="s">
        <v>91</v>
      </c>
      <c r="M338">
        <v>17.3</v>
      </c>
      <c r="N338" t="s">
        <v>3</v>
      </c>
      <c r="O338" t="s">
        <v>36</v>
      </c>
      <c r="P338">
        <f t="shared" si="24"/>
        <v>12.779375094967179</v>
      </c>
      <c r="Q338">
        <f t="shared" si="25"/>
        <v>20.436049532003008</v>
      </c>
      <c r="R338" s="67" cm="1">
        <f t="array" ref="R338">SUMPRODUCT((J338=$J$7:$J$1000)*(P338&lt;$P$7:$P$1000))+1</f>
        <v>6</v>
      </c>
      <c r="S338" s="72"/>
    </row>
    <row r="339" spans="10:19" x14ac:dyDescent="0.35">
      <c r="J339" s="66">
        <v>12</v>
      </c>
      <c r="K339" t="s">
        <v>34</v>
      </c>
      <c r="L339" t="s">
        <v>536</v>
      </c>
      <c r="M339">
        <v>17.2</v>
      </c>
      <c r="N339" t="s">
        <v>9</v>
      </c>
      <c r="O339" t="s">
        <v>4</v>
      </c>
      <c r="P339">
        <f t="shared" si="24"/>
        <v>12.059435693306311</v>
      </c>
      <c r="Q339">
        <f t="shared" si="25"/>
        <v>26.425401391253164</v>
      </c>
      <c r="R339" s="67" cm="1">
        <f t="array" ref="R339">SUMPRODUCT((J339=$J$7:$J$1000)*(P339&lt;$P$7:$P$1000))+1</f>
        <v>9</v>
      </c>
      <c r="S339" s="72"/>
    </row>
    <row r="340" spans="10:19" x14ac:dyDescent="0.35">
      <c r="J340" s="66">
        <v>12</v>
      </c>
      <c r="K340" t="s">
        <v>4</v>
      </c>
      <c r="L340" t="s">
        <v>457</v>
      </c>
      <c r="M340">
        <v>16.7</v>
      </c>
      <c r="N340" t="s">
        <v>9</v>
      </c>
      <c r="O340" t="s">
        <v>34</v>
      </c>
      <c r="P340">
        <f t="shared" si="24"/>
        <v>10.321155015438581</v>
      </c>
      <c r="Q340">
        <f t="shared" si="25"/>
        <v>40.68966333706436</v>
      </c>
      <c r="R340" s="67" cm="1">
        <f t="array" ref="R340">SUMPRODUCT((J340=$J$7:$J$1000)*(P340&lt;$P$7:$P$1000))+1</f>
        <v>16</v>
      </c>
      <c r="S340" s="72"/>
    </row>
    <row r="341" spans="10:19" x14ac:dyDescent="0.35">
      <c r="J341" s="66">
        <v>12</v>
      </c>
      <c r="K341" t="s">
        <v>4</v>
      </c>
      <c r="L341" t="s">
        <v>633</v>
      </c>
      <c r="M341">
        <v>14.9</v>
      </c>
      <c r="N341" t="s">
        <v>9</v>
      </c>
      <c r="O341" t="s">
        <v>34</v>
      </c>
      <c r="P341">
        <f t="shared" si="24"/>
        <v>13.511383694083611</v>
      </c>
      <c r="Q341">
        <f t="shared" si="25"/>
        <v>1.9282552450568808</v>
      </c>
      <c r="R341" s="67" cm="1">
        <f t="array" ref="R341">SUMPRODUCT((J341=$J$7:$J$1000)*(P341&lt;$P$7:$P$1000))+1</f>
        <v>5</v>
      </c>
      <c r="S341" s="72"/>
    </row>
    <row r="342" spans="10:19" x14ac:dyDescent="0.35">
      <c r="J342" s="66">
        <v>12</v>
      </c>
      <c r="K342" t="s">
        <v>17</v>
      </c>
      <c r="L342" t="s">
        <v>497</v>
      </c>
      <c r="M342">
        <v>14</v>
      </c>
      <c r="N342" t="s">
        <v>3</v>
      </c>
      <c r="O342" t="s">
        <v>6</v>
      </c>
      <c r="P342">
        <f t="shared" si="24"/>
        <v>12.277761822576418</v>
      </c>
      <c r="Q342">
        <f t="shared" si="25"/>
        <v>2.9661043397753031</v>
      </c>
      <c r="R342" s="67" cm="1">
        <f t="array" ref="R342">SUMPRODUCT((J342=$J$7:$J$1000)*(P342&lt;$P$7:$P$1000))+1</f>
        <v>7</v>
      </c>
      <c r="S342" s="72"/>
    </row>
    <row r="343" spans="10:19" x14ac:dyDescent="0.35">
      <c r="J343" s="66">
        <v>12</v>
      </c>
      <c r="K343" t="s">
        <v>6</v>
      </c>
      <c r="L343" t="s">
        <v>94</v>
      </c>
      <c r="M343">
        <v>11.9</v>
      </c>
      <c r="N343" t="s">
        <v>9</v>
      </c>
      <c r="O343" t="s">
        <v>17</v>
      </c>
      <c r="P343">
        <f t="shared" si="24"/>
        <v>11.592373967313097</v>
      </c>
      <c r="Q343">
        <f t="shared" si="25"/>
        <v>9.463377598668346E-2</v>
      </c>
      <c r="R343" s="67" cm="1">
        <f t="array" ref="R343">SUMPRODUCT((J343=$J$7:$J$1000)*(P343&lt;$P$7:$P$1000))+1</f>
        <v>11</v>
      </c>
      <c r="S343" s="72"/>
    </row>
    <row r="344" spans="10:19" x14ac:dyDescent="0.35">
      <c r="J344">
        <v>12</v>
      </c>
      <c r="K344" t="s">
        <v>36</v>
      </c>
      <c r="L344" t="s">
        <v>73</v>
      </c>
      <c r="M344">
        <v>11.8</v>
      </c>
      <c r="N344" t="s">
        <v>9</v>
      </c>
      <c r="O344" t="s">
        <v>23</v>
      </c>
      <c r="P344">
        <f t="shared" si="24"/>
        <v>7.5531570543707289</v>
      </c>
      <c r="Q344">
        <f t="shared" si="25"/>
        <v>18.03567500484111</v>
      </c>
      <c r="R344" s="67" cm="1">
        <f t="array" ref="R344">SUMPRODUCT((J344=$J$7:$J$1000)*(P344&lt;$P$7:$P$1000))+1</f>
        <v>26</v>
      </c>
      <c r="S344" s="72"/>
    </row>
    <row r="345" spans="10:19" x14ac:dyDescent="0.35">
      <c r="J345" s="66">
        <v>12</v>
      </c>
      <c r="K345" t="s">
        <v>13</v>
      </c>
      <c r="L345" t="s">
        <v>494</v>
      </c>
      <c r="M345">
        <v>10.9</v>
      </c>
      <c r="N345" t="s">
        <v>3</v>
      </c>
      <c r="O345" t="s">
        <v>7</v>
      </c>
      <c r="P345">
        <f t="shared" si="24"/>
        <v>10.755398391121535</v>
      </c>
      <c r="Q345">
        <f t="shared" si="25"/>
        <v>2.0909625290240749E-2</v>
      </c>
      <c r="R345" s="67" cm="1">
        <f t="array" ref="R345">SUMPRODUCT((J345=$J$7:$J$1000)*(P345&lt;$P$7:$P$1000))+1</f>
        <v>15</v>
      </c>
      <c r="S345" s="72"/>
    </row>
    <row r="346" spans="10:19" x14ac:dyDescent="0.35">
      <c r="J346">
        <v>12</v>
      </c>
      <c r="K346" t="s">
        <v>23</v>
      </c>
      <c r="L346" t="s">
        <v>565</v>
      </c>
      <c r="M346">
        <v>9.3000000000000007</v>
      </c>
      <c r="N346" t="s">
        <v>3</v>
      </c>
      <c r="O346" t="s">
        <v>36</v>
      </c>
      <c r="P346">
        <f t="shared" si="24"/>
        <v>9.6625332809032489</v>
      </c>
      <c r="Q346">
        <f t="shared" si="25"/>
        <v>0.13143037976247349</v>
      </c>
      <c r="R346" s="67" cm="1">
        <f t="array" ref="R346">SUMPRODUCT((J346=$J$7:$J$1000)*(P346&lt;$P$7:$P$1000))+1</f>
        <v>17</v>
      </c>
      <c r="S346" s="72"/>
    </row>
    <row r="347" spans="10:19" x14ac:dyDescent="0.35">
      <c r="J347">
        <v>12</v>
      </c>
      <c r="K347" t="s">
        <v>24</v>
      </c>
      <c r="L347" t="s">
        <v>96</v>
      </c>
      <c r="M347">
        <v>9</v>
      </c>
      <c r="N347" t="s">
        <v>9</v>
      </c>
      <c r="O347" t="s">
        <v>2</v>
      </c>
      <c r="P347">
        <f t="shared" si="24"/>
        <v>10.829240507196333</v>
      </c>
      <c r="Q347">
        <f t="shared" si="25"/>
        <v>3.3461208331678991</v>
      </c>
      <c r="R347" s="67" cm="1">
        <f t="array" ref="R347">SUMPRODUCT((J347=$J$7:$J$1000)*(P347&lt;$P$7:$P$1000))+1</f>
        <v>14</v>
      </c>
      <c r="S347" s="72"/>
    </row>
    <row r="348" spans="10:19" x14ac:dyDescent="0.35">
      <c r="J348" s="66">
        <v>12</v>
      </c>
      <c r="K348" t="s">
        <v>34</v>
      </c>
      <c r="L348" t="s">
        <v>100</v>
      </c>
      <c r="M348">
        <v>8.6</v>
      </c>
      <c r="N348" t="s">
        <v>3</v>
      </c>
      <c r="O348" t="s">
        <v>4</v>
      </c>
      <c r="P348">
        <f t="shared" si="24"/>
        <v>9.6362139220340186</v>
      </c>
      <c r="Q348">
        <f t="shared" si="25"/>
        <v>1.0737392922171238</v>
      </c>
      <c r="R348" s="67" cm="1">
        <f t="array" ref="R348">SUMPRODUCT((J348=$J$7:$J$1000)*(P348&lt;$P$7:$P$1000))+1</f>
        <v>18</v>
      </c>
      <c r="S348" s="72"/>
    </row>
    <row r="349" spans="10:19" x14ac:dyDescent="0.35">
      <c r="J349" s="66">
        <v>12</v>
      </c>
      <c r="K349" t="s">
        <v>13</v>
      </c>
      <c r="L349" t="s">
        <v>687</v>
      </c>
      <c r="M349">
        <v>7.8</v>
      </c>
      <c r="N349" t="s">
        <v>9</v>
      </c>
      <c r="O349" t="s">
        <v>7</v>
      </c>
      <c r="P349">
        <f t="shared" si="24"/>
        <v>7.8021039471770726</v>
      </c>
      <c r="Q349">
        <f t="shared" si="25"/>
        <v>4.4265937239123531E-6</v>
      </c>
      <c r="R349" s="67" cm="1">
        <f t="array" ref="R349">SUMPRODUCT((J349=$J$7:$J$1000)*(P349&lt;$P$7:$P$1000))+1</f>
        <v>24</v>
      </c>
      <c r="S349" s="72"/>
    </row>
    <row r="350" spans="10:19" x14ac:dyDescent="0.35">
      <c r="J350" s="66">
        <v>12</v>
      </c>
      <c r="K350" t="s">
        <v>2</v>
      </c>
      <c r="L350" t="s">
        <v>90</v>
      </c>
      <c r="M350">
        <v>7.6</v>
      </c>
      <c r="N350" t="s">
        <v>3</v>
      </c>
      <c r="O350" t="s">
        <v>24</v>
      </c>
      <c r="P350">
        <f t="shared" si="24"/>
        <v>8.9955625801427352</v>
      </c>
      <c r="Q350">
        <f t="shared" si="25"/>
        <v>1.9475949150946492</v>
      </c>
      <c r="R350" s="67" cm="1">
        <f t="array" ref="R350">SUMPRODUCT((J350=$J$7:$J$1000)*(P350&lt;$P$7:$P$1000))+1</f>
        <v>21</v>
      </c>
      <c r="S350" s="72"/>
    </row>
    <row r="351" spans="10:19" x14ac:dyDescent="0.35">
      <c r="J351" s="66">
        <v>12</v>
      </c>
      <c r="K351" t="s">
        <v>7</v>
      </c>
      <c r="L351" t="s">
        <v>67</v>
      </c>
      <c r="M351">
        <v>7</v>
      </c>
      <c r="N351" t="s">
        <v>3</v>
      </c>
      <c r="O351" t="s">
        <v>13</v>
      </c>
      <c r="P351">
        <f t="shared" si="24"/>
        <v>12.18233229811225</v>
      </c>
      <c r="Q351">
        <f t="shared" si="25"/>
        <v>26.856568048057397</v>
      </c>
      <c r="R351" s="67" cm="1">
        <f t="array" ref="R351">SUMPRODUCT((J351=$J$7:$J$1000)*(P351&lt;$P$7:$P$1000))+1</f>
        <v>8</v>
      </c>
      <c r="S351" s="72"/>
    </row>
    <row r="352" spans="10:19" x14ac:dyDescent="0.35">
      <c r="J352" s="66">
        <v>12</v>
      </c>
      <c r="K352" t="s">
        <v>34</v>
      </c>
      <c r="L352" t="s">
        <v>100</v>
      </c>
      <c r="M352">
        <v>7</v>
      </c>
      <c r="N352" t="s">
        <v>9</v>
      </c>
      <c r="O352" t="s">
        <v>4</v>
      </c>
      <c r="P352">
        <f t="shared" si="24"/>
        <v>8.5049014488457093</v>
      </c>
      <c r="Q352">
        <f t="shared" si="25"/>
        <v>2.2647283707379149</v>
      </c>
      <c r="R352" s="67" cm="1">
        <f t="array" ref="R352">SUMPRODUCT((J352=$J$7:$J$1000)*(P352&lt;$P$7:$P$1000))+1</f>
        <v>22</v>
      </c>
      <c r="S352" s="72"/>
    </row>
    <row r="353" spans="10:19" x14ac:dyDescent="0.35">
      <c r="J353" s="66">
        <v>12</v>
      </c>
      <c r="K353" t="s">
        <v>13</v>
      </c>
      <c r="L353" t="s">
        <v>49</v>
      </c>
      <c r="M353">
        <v>6.7</v>
      </c>
      <c r="N353" t="s">
        <v>9</v>
      </c>
      <c r="O353" t="s">
        <v>7</v>
      </c>
      <c r="P353">
        <f t="shared" si="24"/>
        <v>6.6992324891440829</v>
      </c>
      <c r="Q353">
        <f t="shared" si="25"/>
        <v>5.890729139509191E-7</v>
      </c>
      <c r="R353" s="67" cm="1">
        <f t="array" ref="R353">SUMPRODUCT((J353=$J$7:$J$1000)*(P353&lt;$P$7:$P$1000))+1</f>
        <v>28</v>
      </c>
      <c r="S353" s="72"/>
    </row>
    <row r="354" spans="10:19" x14ac:dyDescent="0.35">
      <c r="J354" s="66">
        <v>12</v>
      </c>
      <c r="K354" t="s">
        <v>17</v>
      </c>
      <c r="L354" t="s">
        <v>82</v>
      </c>
      <c r="M354">
        <v>5.9</v>
      </c>
      <c r="N354" t="s">
        <v>3</v>
      </c>
      <c r="O354" t="s">
        <v>6</v>
      </c>
      <c r="P354">
        <f t="shared" si="24"/>
        <v>7.7699466442626228</v>
      </c>
      <c r="Q354">
        <f t="shared" si="25"/>
        <v>3.4967004523890428</v>
      </c>
      <c r="R354" s="67" cm="1">
        <f t="array" ref="R354">SUMPRODUCT((J354=$J$7:$J$1000)*(P354&lt;$P$7:$P$1000))+1</f>
        <v>25</v>
      </c>
      <c r="S354" s="72"/>
    </row>
    <row r="355" spans="10:19" x14ac:dyDescent="0.35">
      <c r="J355" s="66">
        <v>12</v>
      </c>
      <c r="K355" t="s">
        <v>13</v>
      </c>
      <c r="L355" t="s">
        <v>477</v>
      </c>
      <c r="M355">
        <v>5.9</v>
      </c>
      <c r="N355" t="s">
        <v>3</v>
      </c>
      <c r="O355" t="s">
        <v>7</v>
      </c>
      <c r="P355">
        <f t="shared" si="24"/>
        <v>11.845723017329799</v>
      </c>
      <c r="Q355">
        <f t="shared" si="25"/>
        <v>35.351622198805373</v>
      </c>
      <c r="R355" s="67" cm="1">
        <f t="array" ref="R355">SUMPRODUCT((J355=$J$7:$J$1000)*(P355&lt;$P$7:$P$1000))+1</f>
        <v>10</v>
      </c>
      <c r="S355" s="72"/>
    </row>
    <row r="356" spans="10:19" x14ac:dyDescent="0.35">
      <c r="J356">
        <v>12</v>
      </c>
      <c r="K356" t="s">
        <v>13</v>
      </c>
      <c r="L356" t="s">
        <v>691</v>
      </c>
      <c r="M356">
        <v>5.8</v>
      </c>
      <c r="N356" t="s">
        <v>9</v>
      </c>
      <c r="O356" t="s">
        <v>7</v>
      </c>
      <c r="P356">
        <f t="shared" si="24"/>
        <v>5.7991517597433475</v>
      </c>
      <c r="Q356">
        <f t="shared" si="25"/>
        <v>7.1951153300557778E-7</v>
      </c>
      <c r="R356" s="67" cm="1">
        <f t="array" ref="R356">SUMPRODUCT((J356=$J$7:$J$1000)*(P356&lt;$P$7:$P$1000))+1</f>
        <v>31</v>
      </c>
      <c r="S356" s="72"/>
    </row>
    <row r="357" spans="10:19" x14ac:dyDescent="0.35">
      <c r="J357" s="66">
        <v>12</v>
      </c>
      <c r="K357" t="s">
        <v>2</v>
      </c>
      <c r="L357" t="s">
        <v>12</v>
      </c>
      <c r="M357">
        <v>5.7</v>
      </c>
      <c r="N357" t="s">
        <v>3</v>
      </c>
      <c r="O357" t="s">
        <v>24</v>
      </c>
      <c r="P357">
        <f t="shared" si="24"/>
        <v>7.9806185839549126</v>
      </c>
      <c r="Q357">
        <f t="shared" si="25"/>
        <v>5.2012211254805099</v>
      </c>
      <c r="R357" s="67" cm="1">
        <f t="array" ref="R357">SUMPRODUCT((J357=$J$7:$J$1000)*(P357&lt;$P$7:$P$1000))+1</f>
        <v>23</v>
      </c>
      <c r="S357" s="72"/>
    </row>
    <row r="358" spans="10:19" x14ac:dyDescent="0.35">
      <c r="J358" s="66">
        <v>12</v>
      </c>
      <c r="K358" t="s">
        <v>24</v>
      </c>
      <c r="L358" t="s">
        <v>572</v>
      </c>
      <c r="M358">
        <v>5.3</v>
      </c>
      <c r="N358" t="s">
        <v>9</v>
      </c>
      <c r="O358" t="s">
        <v>2</v>
      </c>
      <c r="P358">
        <f t="shared" si="24"/>
        <v>5.2717911560893587</v>
      </c>
      <c r="Q358">
        <f t="shared" si="25"/>
        <v>7.9573887477491672E-4</v>
      </c>
      <c r="R358" s="67" cm="1">
        <f t="array" ref="R358">SUMPRODUCT((J358=$J$7:$J$1000)*(P358&lt;$P$7:$P$1000))+1</f>
        <v>33</v>
      </c>
      <c r="S358" s="72"/>
    </row>
    <row r="359" spans="10:19" x14ac:dyDescent="0.35">
      <c r="J359">
        <v>12</v>
      </c>
      <c r="K359" t="s">
        <v>23</v>
      </c>
      <c r="L359" t="s">
        <v>522</v>
      </c>
      <c r="M359">
        <v>5.0999999999999996</v>
      </c>
      <c r="N359" t="s">
        <v>3</v>
      </c>
      <c r="O359" t="s">
        <v>36</v>
      </c>
      <c r="P359">
        <f t="shared" si="24"/>
        <v>4.2630897907727539</v>
      </c>
      <c r="Q359">
        <f t="shared" si="25"/>
        <v>0.70041869830879233</v>
      </c>
      <c r="R359" s="67" cm="1">
        <f t="array" ref="R359">SUMPRODUCT((J359=$J$7:$J$1000)*(P359&lt;$P$7:$P$1000))+1</f>
        <v>34</v>
      </c>
      <c r="S359" s="72"/>
    </row>
    <row r="360" spans="10:19" x14ac:dyDescent="0.35">
      <c r="J360" s="66">
        <v>12</v>
      </c>
      <c r="K360" t="s">
        <v>34</v>
      </c>
      <c r="L360" t="s">
        <v>674</v>
      </c>
      <c r="M360">
        <v>4.4000000000000004</v>
      </c>
      <c r="N360" t="s">
        <v>3</v>
      </c>
      <c r="O360" t="s">
        <v>4</v>
      </c>
      <c r="P360">
        <f t="shared" si="24"/>
        <v>14.915647321810489</v>
      </c>
      <c r="Q360">
        <f t="shared" si="25"/>
        <v>110.57883859670011</v>
      </c>
      <c r="R360" s="67" cm="1">
        <f t="array" ref="R360">SUMPRODUCT((J360=$J$7:$J$1000)*(P360&lt;$P$7:$P$1000))+1</f>
        <v>1</v>
      </c>
      <c r="S360" s="72"/>
    </row>
    <row r="361" spans="10:19" x14ac:dyDescent="0.35">
      <c r="J361" s="66">
        <v>12</v>
      </c>
      <c r="K361" t="s">
        <v>17</v>
      </c>
      <c r="L361" t="s">
        <v>537</v>
      </c>
      <c r="M361">
        <v>4.0999999999999996</v>
      </c>
      <c r="N361" t="s">
        <v>3</v>
      </c>
      <c r="O361" t="s">
        <v>6</v>
      </c>
      <c r="P361">
        <f t="shared" si="24"/>
        <v>6.6288451700588293</v>
      </c>
      <c r="Q361">
        <f t="shared" si="25"/>
        <v>6.395057894129871</v>
      </c>
      <c r="R361" s="67" cm="1">
        <f t="array" ref="R361">SUMPRODUCT((J361=$J$7:$J$1000)*(P361&lt;$P$7:$P$1000))+1</f>
        <v>29</v>
      </c>
      <c r="S361" s="72"/>
    </row>
    <row r="362" spans="10:19" x14ac:dyDescent="0.35">
      <c r="J362" s="66">
        <v>12</v>
      </c>
      <c r="K362" t="s">
        <v>36</v>
      </c>
      <c r="L362" t="s">
        <v>78</v>
      </c>
      <c r="M362">
        <v>3.5</v>
      </c>
      <c r="N362" t="s">
        <v>9</v>
      </c>
      <c r="O362" t="s">
        <v>23</v>
      </c>
      <c r="P362">
        <f t="shared" si="24"/>
        <v>7.0199758255545834</v>
      </c>
      <c r="Q362">
        <f t="shared" si="25"/>
        <v>12.390229812488672</v>
      </c>
      <c r="R362" s="67" cm="1">
        <f t="array" ref="R362">SUMPRODUCT((J362=$J$7:$J$1000)*(P362&lt;$P$7:$P$1000))+1</f>
        <v>27</v>
      </c>
      <c r="S362" s="72"/>
    </row>
    <row r="363" spans="10:19" x14ac:dyDescent="0.35">
      <c r="J363">
        <v>12</v>
      </c>
      <c r="K363" t="s">
        <v>4</v>
      </c>
      <c r="L363" t="s">
        <v>683</v>
      </c>
      <c r="M363">
        <v>3.2</v>
      </c>
      <c r="N363" t="s">
        <v>9</v>
      </c>
      <c r="O363" t="s">
        <v>34</v>
      </c>
      <c r="P363">
        <f t="shared" si="24"/>
        <v>3.2002681441706842</v>
      </c>
      <c r="Q363">
        <f t="shared" si="25"/>
        <v>7.1901296271806181E-8</v>
      </c>
      <c r="R363" s="67" cm="1">
        <f t="array" ref="R363">SUMPRODUCT((J363=$J$7:$J$1000)*(P363&lt;$P$7:$P$1000))+1</f>
        <v>35</v>
      </c>
      <c r="S363" s="72"/>
    </row>
    <row r="364" spans="10:19" x14ac:dyDescent="0.35">
      <c r="J364">
        <v>12</v>
      </c>
      <c r="K364" t="s">
        <v>2</v>
      </c>
      <c r="L364" t="s">
        <v>495</v>
      </c>
      <c r="M364">
        <v>2.9</v>
      </c>
      <c r="N364" t="s">
        <v>3</v>
      </c>
      <c r="O364" t="s">
        <v>24</v>
      </c>
      <c r="P364">
        <f t="shared" si="24"/>
        <v>9.3065691760270077</v>
      </c>
      <c r="Q364">
        <f t="shared" si="25"/>
        <v>41.044128607219371</v>
      </c>
      <c r="R364" s="67" cm="1">
        <f t="array" ref="R364">SUMPRODUCT((J364=$J$7:$J$1000)*(P364&lt;$P$7:$P$1000))+1</f>
        <v>19</v>
      </c>
      <c r="S364" s="72"/>
    </row>
    <row r="365" spans="10:19" x14ac:dyDescent="0.35">
      <c r="J365">
        <v>12</v>
      </c>
      <c r="K365" t="s">
        <v>13</v>
      </c>
      <c r="L365" t="s">
        <v>98</v>
      </c>
      <c r="M365">
        <v>2.7</v>
      </c>
      <c r="N365" t="s">
        <v>3</v>
      </c>
      <c r="O365" t="s">
        <v>7</v>
      </c>
      <c r="P365">
        <f t="shared" si="24"/>
        <v>2.7002294995673806</v>
      </c>
      <c r="Q365">
        <f t="shared" si="25"/>
        <v>5.26700514277847E-8</v>
      </c>
      <c r="R365" s="67" cm="1">
        <f t="array" ref="R365">SUMPRODUCT((J365=$J$7:$J$1000)*(P365&lt;$P$7:$P$1000))+1</f>
        <v>36</v>
      </c>
      <c r="S365" s="72"/>
    </row>
    <row r="366" spans="10:19" x14ac:dyDescent="0.35">
      <c r="J366" s="66">
        <v>12</v>
      </c>
      <c r="K366" t="s">
        <v>24</v>
      </c>
      <c r="L366" t="s">
        <v>101</v>
      </c>
      <c r="M366">
        <v>2.5</v>
      </c>
      <c r="N366" t="s">
        <v>9</v>
      </c>
      <c r="O366" t="s">
        <v>2</v>
      </c>
      <c r="P366">
        <f t="shared" si="24"/>
        <v>5.6296741061264175</v>
      </c>
      <c r="Q366">
        <f t="shared" si="25"/>
        <v>9.7948600105581907</v>
      </c>
      <c r="R366" s="67" cm="1">
        <f t="array" ref="R366">SUMPRODUCT((J366=$J$7:$J$1000)*(P366&lt;$P$7:$P$1000))+1</f>
        <v>32</v>
      </c>
      <c r="S366" s="72"/>
    </row>
    <row r="367" spans="10:19" x14ac:dyDescent="0.35">
      <c r="J367">
        <v>12</v>
      </c>
      <c r="K367" t="s">
        <v>6</v>
      </c>
      <c r="L367" t="s">
        <v>93</v>
      </c>
      <c r="M367">
        <v>2.1</v>
      </c>
      <c r="N367" t="s">
        <v>9</v>
      </c>
      <c r="O367" t="s">
        <v>17</v>
      </c>
      <c r="P367">
        <f t="shared" si="24"/>
        <v>11.035003094248271</v>
      </c>
      <c r="Q367">
        <f t="shared" si="25"/>
        <v>79.83428029422619</v>
      </c>
      <c r="R367" s="67" cm="1">
        <f t="array" ref="R367">SUMPRODUCT((J367=$J$7:$J$1000)*(P367&lt;$P$7:$P$1000))+1</f>
        <v>13</v>
      </c>
      <c r="S367" s="72"/>
    </row>
    <row r="368" spans="10:19" x14ac:dyDescent="0.35">
      <c r="J368" s="66">
        <v>12</v>
      </c>
      <c r="K368" t="s">
        <v>6</v>
      </c>
      <c r="L368" t="s">
        <v>64</v>
      </c>
      <c r="M368">
        <v>1.1000000000000001</v>
      </c>
      <c r="N368" t="s">
        <v>9</v>
      </c>
      <c r="O368" t="s">
        <v>17</v>
      </c>
      <c r="P368">
        <f t="shared" si="24"/>
        <v>9.1983370062702523</v>
      </c>
      <c r="Q368">
        <f t="shared" si="25"/>
        <v>65.583062267126238</v>
      </c>
      <c r="R368" s="67" cm="1">
        <f t="array" ref="R368">SUMPRODUCT((J368=$J$7:$J$1000)*(P368&lt;$P$7:$P$1000))+1</f>
        <v>20</v>
      </c>
      <c r="S368" s="72"/>
    </row>
    <row r="369" spans="10:19" x14ac:dyDescent="0.35">
      <c r="J369">
        <v>12</v>
      </c>
      <c r="K369" t="s">
        <v>36</v>
      </c>
      <c r="L369" t="s">
        <v>479</v>
      </c>
      <c r="M369">
        <v>0</v>
      </c>
      <c r="N369" t="s">
        <v>9</v>
      </c>
      <c r="O369" t="s">
        <v>23</v>
      </c>
      <c r="P369">
        <f t="shared" si="24"/>
        <v>5.8975223007087987</v>
      </c>
      <c r="Q369">
        <f t="shared" si="25"/>
        <v>34.7807692873576</v>
      </c>
      <c r="R369" s="67" cm="1">
        <f t="array" ref="R369">SUMPRODUCT((J369=$J$7:$J$1000)*(P369&lt;$P$7:$P$1000))+1</f>
        <v>30</v>
      </c>
      <c r="S369" s="72"/>
    </row>
    <row r="370" spans="10:19" x14ac:dyDescent="0.35">
      <c r="J370" s="66">
        <v>13</v>
      </c>
      <c r="K370" t="s">
        <v>14</v>
      </c>
      <c r="L370" t="s">
        <v>460</v>
      </c>
      <c r="M370" t="s">
        <v>256</v>
      </c>
      <c r="N370" t="s">
        <v>9</v>
      </c>
      <c r="O370" t="s">
        <v>6</v>
      </c>
      <c r="P370">
        <f t="shared" si="24"/>
        <v>-2.9973777107956838</v>
      </c>
      <c r="Q370" t="str">
        <f t="shared" si="25"/>
        <v/>
      </c>
      <c r="R370" s="67" cm="1">
        <f t="array" ref="R370">SUMPRODUCT((J370=$J$7:$J$1000)*(P370&lt;$P$7:$P$1000))+1</f>
        <v>76</v>
      </c>
      <c r="S370" s="72"/>
    </row>
    <row r="371" spans="10:19" x14ac:dyDescent="0.35">
      <c r="J371" s="66">
        <v>13</v>
      </c>
      <c r="K371" t="s">
        <v>14</v>
      </c>
      <c r="L371" t="s">
        <v>454</v>
      </c>
      <c r="M371" t="s">
        <v>256</v>
      </c>
      <c r="N371" t="s">
        <v>3</v>
      </c>
      <c r="O371" t="s">
        <v>14</v>
      </c>
      <c r="P371">
        <f t="shared" si="24"/>
        <v>13.026967582569799</v>
      </c>
      <c r="Q371" t="str">
        <f t="shared" si="25"/>
        <v/>
      </c>
      <c r="R371" s="67" cm="1">
        <f t="array" ref="R371">SUMPRODUCT((J371=$J$7:$J$1000)*(P371&lt;$P$7:$P$1000))+1</f>
        <v>16</v>
      </c>
      <c r="S371" s="72"/>
    </row>
    <row r="372" spans="10:19" x14ac:dyDescent="0.35">
      <c r="J372">
        <v>13</v>
      </c>
      <c r="K372" t="s">
        <v>14</v>
      </c>
      <c r="L372" t="s">
        <v>278</v>
      </c>
      <c r="M372" t="s">
        <v>256</v>
      </c>
      <c r="N372" t="s">
        <v>9</v>
      </c>
      <c r="O372" t="s">
        <v>6</v>
      </c>
      <c r="P372">
        <f t="shared" si="24"/>
        <v>4.1880731855147735</v>
      </c>
      <c r="Q372" t="str">
        <f t="shared" si="25"/>
        <v/>
      </c>
      <c r="R372" s="67" cm="1">
        <f t="array" ref="R372">SUMPRODUCT((J372=$J$7:$J$1000)*(P372&lt;$P$7:$P$1000))+1</f>
        <v>60</v>
      </c>
      <c r="S372" s="72"/>
    </row>
    <row r="373" spans="10:19" x14ac:dyDescent="0.35">
      <c r="J373" s="66">
        <v>13</v>
      </c>
      <c r="K373" t="s">
        <v>14</v>
      </c>
      <c r="L373" t="s">
        <v>534</v>
      </c>
      <c r="M373" t="s">
        <v>256</v>
      </c>
      <c r="N373" t="s">
        <v>9</v>
      </c>
      <c r="O373" t="s">
        <v>6</v>
      </c>
      <c r="P373">
        <f t="shared" si="24"/>
        <v>1.5136521186449803</v>
      </c>
      <c r="Q373" t="str">
        <f t="shared" si="25"/>
        <v/>
      </c>
      <c r="R373" s="67" cm="1">
        <f t="array" ref="R373">SUMPRODUCT((J373=$J$7:$J$1000)*(P373&lt;$P$7:$P$1000))+1</f>
        <v>71</v>
      </c>
      <c r="S373" s="72"/>
    </row>
    <row r="374" spans="10:19" x14ac:dyDescent="0.35">
      <c r="J374">
        <v>13</v>
      </c>
      <c r="K374" t="s">
        <v>14</v>
      </c>
      <c r="L374" t="s">
        <v>285</v>
      </c>
      <c r="M374" t="s">
        <v>256</v>
      </c>
      <c r="N374" t="s">
        <v>9</v>
      </c>
      <c r="O374" t="s">
        <v>6</v>
      </c>
      <c r="P374">
        <f t="shared" si="24"/>
        <v>4.2359067621811981</v>
      </c>
      <c r="Q374" t="str">
        <f t="shared" si="25"/>
        <v/>
      </c>
      <c r="R374" s="67" cm="1">
        <f t="array" ref="R374">SUMPRODUCT((J374=$J$7:$J$1000)*(P374&lt;$P$7:$P$1000))+1</f>
        <v>59</v>
      </c>
      <c r="S374" s="72"/>
    </row>
    <row r="375" spans="10:19" x14ac:dyDescent="0.35">
      <c r="J375">
        <v>13</v>
      </c>
      <c r="K375" t="s">
        <v>14</v>
      </c>
      <c r="L375" t="s">
        <v>83</v>
      </c>
      <c r="M375" t="s">
        <v>256</v>
      </c>
      <c r="N375" t="s">
        <v>9</v>
      </c>
      <c r="O375" t="s">
        <v>6</v>
      </c>
      <c r="P375">
        <f t="shared" si="24"/>
        <v>6.7572553347869704</v>
      </c>
      <c r="Q375" t="str">
        <f t="shared" si="25"/>
        <v/>
      </c>
      <c r="R375" s="67" cm="1">
        <f t="array" ref="R375">SUMPRODUCT((J375=$J$7:$J$1000)*(P375&lt;$P$7:$P$1000))+1</f>
        <v>50</v>
      </c>
      <c r="S375" s="72"/>
    </row>
    <row r="376" spans="10:19" x14ac:dyDescent="0.35">
      <c r="J376" s="66">
        <v>13</v>
      </c>
      <c r="K376" t="s">
        <v>14</v>
      </c>
      <c r="L376" t="s">
        <v>87</v>
      </c>
      <c r="M376" t="s">
        <v>256</v>
      </c>
      <c r="N376" t="s">
        <v>9</v>
      </c>
      <c r="O376" t="s">
        <v>6</v>
      </c>
      <c r="P376">
        <f t="shared" si="24"/>
        <v>6.962572466813663</v>
      </c>
      <c r="Q376" t="str">
        <f t="shared" si="25"/>
        <v/>
      </c>
      <c r="R376" s="67" cm="1">
        <f t="array" ref="R376">SUMPRODUCT((J376=$J$7:$J$1000)*(P376&lt;$P$7:$P$1000))+1</f>
        <v>49</v>
      </c>
      <c r="S376" s="72"/>
    </row>
    <row r="377" spans="10:19" x14ac:dyDescent="0.35">
      <c r="J377">
        <v>13</v>
      </c>
      <c r="K377" t="s">
        <v>14</v>
      </c>
      <c r="L377" t="s">
        <v>639</v>
      </c>
      <c r="M377" t="s">
        <v>256</v>
      </c>
      <c r="N377" t="s">
        <v>9</v>
      </c>
      <c r="O377" t="s">
        <v>6</v>
      </c>
      <c r="P377">
        <f t="shared" si="24"/>
        <v>6.4433127991353203</v>
      </c>
      <c r="Q377" t="str">
        <f t="shared" si="25"/>
        <v/>
      </c>
      <c r="R377" s="67" cm="1">
        <f t="array" ref="R377">SUMPRODUCT((J377=$J$7:$J$1000)*(P377&lt;$P$7:$P$1000))+1</f>
        <v>53</v>
      </c>
      <c r="S377" s="72"/>
    </row>
    <row r="378" spans="10:19" x14ac:dyDescent="0.35">
      <c r="J378" s="66">
        <v>13</v>
      </c>
      <c r="K378" t="s">
        <v>2</v>
      </c>
      <c r="L378" t="s">
        <v>63</v>
      </c>
      <c r="M378" t="s">
        <v>256</v>
      </c>
      <c r="N378" t="s">
        <v>9</v>
      </c>
      <c r="O378" t="s">
        <v>23</v>
      </c>
      <c r="P378">
        <f t="shared" si="24"/>
        <v>1.6646515025581841</v>
      </c>
      <c r="Q378" t="str">
        <f t="shared" si="25"/>
        <v/>
      </c>
      <c r="R378" s="67" cm="1">
        <f t="array" ref="R378">SUMPRODUCT((J378=$J$7:$J$1000)*(P378&lt;$P$7:$P$1000))+1</f>
        <v>70</v>
      </c>
      <c r="S378" s="72"/>
    </row>
    <row r="379" spans="10:19" x14ac:dyDescent="0.35">
      <c r="J379" s="66">
        <v>13</v>
      </c>
      <c r="K379" t="s">
        <v>2</v>
      </c>
      <c r="L379" t="s">
        <v>455</v>
      </c>
      <c r="M379" t="s">
        <v>256</v>
      </c>
      <c r="N379" t="s">
        <v>9</v>
      </c>
      <c r="O379" t="s">
        <v>23</v>
      </c>
      <c r="P379">
        <f t="shared" si="24"/>
        <v>1.0156068971533321</v>
      </c>
      <c r="Q379" t="str">
        <f t="shared" si="25"/>
        <v/>
      </c>
      <c r="R379" s="67" cm="1">
        <f t="array" ref="R379">SUMPRODUCT((J379=$J$7:$J$1000)*(P379&lt;$P$7:$P$1000))+1</f>
        <v>72</v>
      </c>
      <c r="S379" s="72"/>
    </row>
    <row r="380" spans="10:19" x14ac:dyDescent="0.35">
      <c r="J380" s="66">
        <v>13</v>
      </c>
      <c r="K380" t="s">
        <v>2</v>
      </c>
      <c r="L380" t="s">
        <v>499</v>
      </c>
      <c r="M380" t="s">
        <v>256</v>
      </c>
      <c r="N380" t="s">
        <v>9</v>
      </c>
      <c r="O380" t="s">
        <v>23</v>
      </c>
      <c r="P380">
        <f t="shared" si="24"/>
        <v>-1.0974143978127278</v>
      </c>
      <c r="Q380" t="str">
        <f t="shared" si="25"/>
        <v/>
      </c>
      <c r="R380" s="67" cm="1">
        <f t="array" ref="R380">SUMPRODUCT((J380=$J$7:$J$1000)*(P380&lt;$P$7:$P$1000))+1</f>
        <v>75</v>
      </c>
      <c r="S380" s="72"/>
    </row>
    <row r="381" spans="10:19" x14ac:dyDescent="0.35">
      <c r="J381" s="66">
        <v>13</v>
      </c>
      <c r="K381" t="s">
        <v>2</v>
      </c>
      <c r="L381" t="s">
        <v>12</v>
      </c>
      <c r="M381" t="s">
        <v>256</v>
      </c>
      <c r="N381" t="s">
        <v>9</v>
      </c>
      <c r="O381" t="s">
        <v>23</v>
      </c>
      <c r="P381">
        <f t="shared" si="24"/>
        <v>1.8164905254751482</v>
      </c>
      <c r="Q381" t="str">
        <f t="shared" si="25"/>
        <v/>
      </c>
      <c r="R381" s="67" cm="1">
        <f t="array" ref="R381">SUMPRODUCT((J381=$J$7:$J$1000)*(P381&lt;$P$7:$P$1000))+1</f>
        <v>69</v>
      </c>
      <c r="S381" s="72"/>
    </row>
    <row r="382" spans="10:19" x14ac:dyDescent="0.35">
      <c r="J382" s="66">
        <v>13</v>
      </c>
      <c r="K382" t="s">
        <v>2</v>
      </c>
      <c r="L382" t="s">
        <v>495</v>
      </c>
      <c r="M382" t="s">
        <v>256</v>
      </c>
      <c r="N382" t="s">
        <v>9</v>
      </c>
      <c r="O382" t="s">
        <v>23</v>
      </c>
      <c r="P382">
        <f t="shared" si="24"/>
        <v>3.1424411175472442</v>
      </c>
      <c r="Q382" t="str">
        <f t="shared" si="25"/>
        <v/>
      </c>
      <c r="R382" s="67" cm="1">
        <f t="array" ref="R382">SUMPRODUCT((J382=$J$7:$J$1000)*(P382&lt;$P$7:$P$1000))+1</f>
        <v>64</v>
      </c>
      <c r="S382" s="72"/>
    </row>
    <row r="383" spans="10:19" x14ac:dyDescent="0.35">
      <c r="J383">
        <v>13</v>
      </c>
      <c r="K383" t="s">
        <v>2</v>
      </c>
      <c r="L383" t="s">
        <v>88</v>
      </c>
      <c r="M383" t="s">
        <v>256</v>
      </c>
      <c r="N383" t="s">
        <v>9</v>
      </c>
      <c r="O383" t="s">
        <v>23</v>
      </c>
      <c r="P383">
        <f t="shared" si="24"/>
        <v>-0.13584653626404553</v>
      </c>
      <c r="Q383" t="str">
        <f t="shared" si="25"/>
        <v/>
      </c>
      <c r="R383" s="67" cm="1">
        <f t="array" ref="R383">SUMPRODUCT((J383=$J$7:$J$1000)*(P383&lt;$P$7:$P$1000))+1</f>
        <v>74</v>
      </c>
      <c r="S383" s="72"/>
    </row>
    <row r="384" spans="10:19" x14ac:dyDescent="0.35">
      <c r="J384" s="66">
        <v>13</v>
      </c>
      <c r="K384" t="s">
        <v>2</v>
      </c>
      <c r="L384" t="s">
        <v>90</v>
      </c>
      <c r="M384" t="s">
        <v>256</v>
      </c>
      <c r="N384" t="s">
        <v>9</v>
      </c>
      <c r="O384" t="s">
        <v>23</v>
      </c>
      <c r="P384">
        <f t="shared" si="24"/>
        <v>2.8314345216629717</v>
      </c>
      <c r="Q384" t="str">
        <f t="shared" si="25"/>
        <v/>
      </c>
      <c r="R384" s="67" cm="1">
        <f t="array" ref="R384">SUMPRODUCT((J384=$J$7:$J$1000)*(P384&lt;$P$7:$P$1000))+1</f>
        <v>66</v>
      </c>
      <c r="S384" s="72"/>
    </row>
    <row r="385" spans="10:19" x14ac:dyDescent="0.35">
      <c r="J385">
        <v>13</v>
      </c>
      <c r="K385" t="s">
        <v>36</v>
      </c>
      <c r="L385" t="s">
        <v>71</v>
      </c>
      <c r="M385" t="s">
        <v>256</v>
      </c>
      <c r="N385" t="s">
        <v>9</v>
      </c>
      <c r="O385" t="s">
        <v>34</v>
      </c>
      <c r="P385">
        <f t="shared" si="24"/>
        <v>14.410758090363457</v>
      </c>
      <c r="Q385" t="str">
        <f t="shared" si="25"/>
        <v/>
      </c>
      <c r="R385" s="67" cm="1">
        <f t="array" ref="R385">SUMPRODUCT((J385=$J$7:$J$1000)*(P385&lt;$P$7:$P$1000))+1</f>
        <v>13</v>
      </c>
      <c r="S385" s="72"/>
    </row>
    <row r="386" spans="10:19" x14ac:dyDescent="0.35">
      <c r="J386" s="66">
        <v>13</v>
      </c>
      <c r="K386" t="s">
        <v>36</v>
      </c>
      <c r="L386" t="s">
        <v>73</v>
      </c>
      <c r="M386" t="s">
        <v>256</v>
      </c>
      <c r="N386" t="s">
        <v>9</v>
      </c>
      <c r="O386" t="s">
        <v>34</v>
      </c>
      <c r="P386">
        <f t="shared" si="24"/>
        <v>9.7680002318393662</v>
      </c>
      <c r="Q386" t="str">
        <f t="shared" si="25"/>
        <v/>
      </c>
      <c r="R386" s="67" cm="1">
        <f t="array" ref="R386">SUMPRODUCT((J386=$J$7:$J$1000)*(P386&lt;$P$7:$P$1000))+1</f>
        <v>28</v>
      </c>
      <c r="S386" s="72"/>
    </row>
    <row r="387" spans="10:19" x14ac:dyDescent="0.35">
      <c r="J387">
        <v>13</v>
      </c>
      <c r="K387" t="s">
        <v>36</v>
      </c>
      <c r="L387" t="s">
        <v>78</v>
      </c>
      <c r="M387" t="s">
        <v>256</v>
      </c>
      <c r="N387" t="s">
        <v>9</v>
      </c>
      <c r="O387" t="s">
        <v>34</v>
      </c>
      <c r="P387">
        <f t="shared" si="24"/>
        <v>9.2348190030232207</v>
      </c>
      <c r="Q387" t="str">
        <f t="shared" si="25"/>
        <v/>
      </c>
      <c r="R387" s="67" cm="1">
        <f t="array" ref="R387">SUMPRODUCT((J387=$J$7:$J$1000)*(P387&lt;$P$7:$P$1000))+1</f>
        <v>31</v>
      </c>
      <c r="S387" s="72"/>
    </row>
    <row r="388" spans="10:19" x14ac:dyDescent="0.35">
      <c r="J388" s="66">
        <v>13</v>
      </c>
      <c r="K388" t="s">
        <v>36</v>
      </c>
      <c r="L388" t="s">
        <v>573</v>
      </c>
      <c r="M388" t="s">
        <v>256</v>
      </c>
      <c r="N388" t="s">
        <v>9</v>
      </c>
      <c r="O388" t="s">
        <v>34</v>
      </c>
      <c r="P388">
        <f t="shared" si="24"/>
        <v>3.7831738832650905</v>
      </c>
      <c r="Q388" t="str">
        <f t="shared" si="25"/>
        <v/>
      </c>
      <c r="R388" s="67" cm="1">
        <f t="array" ref="R388">SUMPRODUCT((J388=$J$7:$J$1000)*(P388&lt;$P$7:$P$1000))+1</f>
        <v>62</v>
      </c>
      <c r="S388" s="72"/>
    </row>
    <row r="389" spans="10:19" x14ac:dyDescent="0.35">
      <c r="J389" s="66">
        <v>13</v>
      </c>
      <c r="K389" t="s">
        <v>36</v>
      </c>
      <c r="L389" t="s">
        <v>476</v>
      </c>
      <c r="M389" t="s">
        <v>256</v>
      </c>
      <c r="N389" t="s">
        <v>9</v>
      </c>
      <c r="O389" t="s">
        <v>34</v>
      </c>
      <c r="P389">
        <f t="shared" si="24"/>
        <v>6.1125477572012006</v>
      </c>
      <c r="Q389" t="str">
        <f t="shared" si="25"/>
        <v/>
      </c>
      <c r="R389" s="67" cm="1">
        <f t="array" ref="R389">SUMPRODUCT((J389=$J$7:$J$1000)*(P389&lt;$P$7:$P$1000))+1</f>
        <v>56</v>
      </c>
      <c r="S389" s="72"/>
    </row>
    <row r="390" spans="10:19" x14ac:dyDescent="0.35">
      <c r="J390" s="66">
        <v>13</v>
      </c>
      <c r="K390" t="s">
        <v>36</v>
      </c>
      <c r="L390" t="s">
        <v>479</v>
      </c>
      <c r="M390" t="s">
        <v>256</v>
      </c>
      <c r="N390" t="s">
        <v>9</v>
      </c>
      <c r="O390" t="s">
        <v>34</v>
      </c>
      <c r="P390">
        <f t="shared" si="24"/>
        <v>8.1123654781774359</v>
      </c>
      <c r="Q390" t="str">
        <f t="shared" si="25"/>
        <v/>
      </c>
      <c r="R390" s="67" cm="1">
        <f t="array" ref="R390">SUMPRODUCT((J390=$J$7:$J$1000)*(P390&lt;$P$7:$P$1000))+1</f>
        <v>40</v>
      </c>
      <c r="S390" s="72"/>
    </row>
    <row r="391" spans="10:19" x14ac:dyDescent="0.35">
      <c r="J391">
        <v>13</v>
      </c>
      <c r="K391" t="s">
        <v>36</v>
      </c>
      <c r="L391" t="s">
        <v>334</v>
      </c>
      <c r="M391" t="s">
        <v>256</v>
      </c>
      <c r="N391" t="s">
        <v>9</v>
      </c>
      <c r="O391" t="s">
        <v>34</v>
      </c>
      <c r="P391">
        <f t="shared" si="24"/>
        <v>3.6404587398095889</v>
      </c>
      <c r="Q391" t="str">
        <f t="shared" si="25"/>
        <v/>
      </c>
      <c r="R391" s="67" cm="1">
        <f t="array" ref="R391">SUMPRODUCT((J391=$J$7:$J$1000)*(P391&lt;$P$7:$P$1000))+1</f>
        <v>63</v>
      </c>
      <c r="S391" s="72"/>
    </row>
    <row r="392" spans="10:19" x14ac:dyDescent="0.35">
      <c r="J392">
        <v>13</v>
      </c>
      <c r="K392" t="s">
        <v>6</v>
      </c>
      <c r="L392" t="s">
        <v>64</v>
      </c>
      <c r="M392" t="s">
        <v>256</v>
      </c>
      <c r="N392" t="s">
        <v>3</v>
      </c>
      <c r="O392" t="s">
        <v>14</v>
      </c>
      <c r="P392">
        <f t="shared" ref="P392:P455" si="26">VLOOKUP($N392,$F$3:$G$4,2,FALSE)+VLOOKUP($L392,$B$20:$C$150,2,FALSE)+VLOOKUP($O392,$A$6:$B$16,2,FALSE)</f>
        <v>12.982509947198501</v>
      </c>
      <c r="Q392" t="str">
        <f t="shared" si="25"/>
        <v/>
      </c>
      <c r="R392" s="67" cm="1">
        <f t="array" ref="R392">SUMPRODUCT((J392=$J$7:$J$1000)*(P392&lt;$P$7:$P$1000))+1</f>
        <v>17</v>
      </c>
      <c r="S392" s="72"/>
    </row>
    <row r="393" spans="10:19" x14ac:dyDescent="0.35">
      <c r="J393" s="66">
        <v>13</v>
      </c>
      <c r="K393" t="s">
        <v>6</v>
      </c>
      <c r="L393" t="s">
        <v>66</v>
      </c>
      <c r="M393" t="s">
        <v>256</v>
      </c>
      <c r="N393" t="s">
        <v>3</v>
      </c>
      <c r="O393" t="s">
        <v>14</v>
      </c>
      <c r="P393">
        <f t="shared" si="26"/>
        <v>6.0394246100506983</v>
      </c>
      <c r="Q393" t="str">
        <f t="shared" si="25"/>
        <v/>
      </c>
      <c r="R393" s="67" cm="1">
        <f t="array" ref="R393">SUMPRODUCT((J393=$J$7:$J$1000)*(P393&lt;$P$7:$P$1000))+1</f>
        <v>57</v>
      </c>
      <c r="S393" s="72"/>
    </row>
    <row r="394" spans="10:19" x14ac:dyDescent="0.35">
      <c r="J394" s="66">
        <v>13</v>
      </c>
      <c r="K394" t="s">
        <v>6</v>
      </c>
      <c r="L394" t="s">
        <v>75</v>
      </c>
      <c r="M394" t="s">
        <v>256</v>
      </c>
      <c r="N394" t="s">
        <v>3</v>
      </c>
      <c r="O394" t="s">
        <v>14</v>
      </c>
      <c r="P394">
        <f t="shared" si="26"/>
        <v>9.6215987931273244</v>
      </c>
      <c r="Q394" t="str">
        <f t="shared" si="25"/>
        <v/>
      </c>
      <c r="R394" s="67" cm="1">
        <f t="array" ref="R394">SUMPRODUCT((J394=$J$7:$J$1000)*(P394&lt;$P$7:$P$1000))+1</f>
        <v>29</v>
      </c>
      <c r="S394" s="72"/>
    </row>
    <row r="395" spans="10:19" x14ac:dyDescent="0.35">
      <c r="J395">
        <v>13</v>
      </c>
      <c r="K395" t="s">
        <v>6</v>
      </c>
      <c r="L395" t="s">
        <v>93</v>
      </c>
      <c r="M395" t="s">
        <v>256</v>
      </c>
      <c r="N395" t="s">
        <v>3</v>
      </c>
      <c r="O395" t="s">
        <v>14</v>
      </c>
      <c r="P395">
        <f t="shared" si="26"/>
        <v>14.81917603517652</v>
      </c>
      <c r="Q395" t="str">
        <f t="shared" si="25"/>
        <v/>
      </c>
      <c r="R395" s="67" cm="1">
        <f t="array" ref="R395">SUMPRODUCT((J395=$J$7:$J$1000)*(P395&lt;$P$7:$P$1000))+1</f>
        <v>9</v>
      </c>
      <c r="S395" s="72"/>
    </row>
    <row r="396" spans="10:19" x14ac:dyDescent="0.35">
      <c r="J396">
        <v>13</v>
      </c>
      <c r="K396" t="s">
        <v>6</v>
      </c>
      <c r="L396" t="s">
        <v>94</v>
      </c>
      <c r="M396" t="s">
        <v>256</v>
      </c>
      <c r="N396" t="s">
        <v>3</v>
      </c>
      <c r="O396" t="s">
        <v>14</v>
      </c>
      <c r="P396">
        <f t="shared" si="26"/>
        <v>15.376546908241346</v>
      </c>
      <c r="Q396" t="str">
        <f t="shared" si="25"/>
        <v/>
      </c>
      <c r="R396" s="67" cm="1">
        <f t="array" ref="R396">SUMPRODUCT((J396=$J$7:$J$1000)*(P396&lt;$P$7:$P$1000))+1</f>
        <v>6</v>
      </c>
      <c r="S396" s="72"/>
    </row>
    <row r="397" spans="10:19" x14ac:dyDescent="0.35">
      <c r="J397" s="66">
        <v>13</v>
      </c>
      <c r="K397" t="s">
        <v>6</v>
      </c>
      <c r="L397" t="s">
        <v>43</v>
      </c>
      <c r="M397" t="s">
        <v>256</v>
      </c>
      <c r="N397" t="s">
        <v>3</v>
      </c>
      <c r="O397" t="s">
        <v>14</v>
      </c>
      <c r="P397">
        <f t="shared" si="26"/>
        <v>8.4464165008196517</v>
      </c>
      <c r="Q397" t="str">
        <f t="shared" si="25"/>
        <v/>
      </c>
      <c r="R397" s="67" cm="1">
        <f t="array" ref="R397">SUMPRODUCT((J397=$J$7:$J$1000)*(P397&lt;$P$7:$P$1000))+1</f>
        <v>38</v>
      </c>
      <c r="S397" s="72"/>
    </row>
    <row r="398" spans="10:19" x14ac:dyDescent="0.35">
      <c r="J398" s="66">
        <v>13</v>
      </c>
      <c r="K398" t="s">
        <v>6</v>
      </c>
      <c r="L398" t="s">
        <v>675</v>
      </c>
      <c r="M398" t="s">
        <v>256</v>
      </c>
      <c r="N398" t="s">
        <v>3</v>
      </c>
      <c r="O398" t="s">
        <v>14</v>
      </c>
      <c r="P398">
        <f t="shared" si="26"/>
        <v>15.543698688258619</v>
      </c>
      <c r="Q398" t="str">
        <f t="shared" ref="Q398:Q461" si="27">IFERROR(($M398-$P398)^2,"")</f>
        <v/>
      </c>
      <c r="R398" s="67" cm="1">
        <f t="array" ref="R398">SUMPRODUCT((J398=$J$7:$J$1000)*(P398&lt;$P$7:$P$1000))+1</f>
        <v>5</v>
      </c>
      <c r="S398" s="72"/>
    </row>
    <row r="399" spans="10:19" x14ac:dyDescent="0.35">
      <c r="J399">
        <v>13</v>
      </c>
      <c r="K399" t="s">
        <v>6</v>
      </c>
      <c r="L399" t="s">
        <v>5</v>
      </c>
      <c r="M399" t="s">
        <v>256</v>
      </c>
      <c r="N399" t="s">
        <v>3</v>
      </c>
      <c r="O399" t="s">
        <v>14</v>
      </c>
      <c r="P399">
        <f t="shared" si="26"/>
        <v>16.590046326415873</v>
      </c>
      <c r="Q399" t="str">
        <f t="shared" si="27"/>
        <v/>
      </c>
      <c r="R399" s="67" cm="1">
        <f t="array" ref="R399">SUMPRODUCT((J399=$J$7:$J$1000)*(P399&lt;$P$7:$P$1000))+1</f>
        <v>3</v>
      </c>
      <c r="S399" s="72"/>
    </row>
    <row r="400" spans="10:19" x14ac:dyDescent="0.35">
      <c r="J400" s="66">
        <v>13</v>
      </c>
      <c r="K400" t="s">
        <v>24</v>
      </c>
      <c r="L400" t="s">
        <v>459</v>
      </c>
      <c r="M400" t="s">
        <v>256</v>
      </c>
      <c r="N400" t="s">
        <v>9</v>
      </c>
      <c r="O400" t="s">
        <v>4</v>
      </c>
      <c r="P400">
        <f t="shared" si="26"/>
        <v>0.92735738551764668</v>
      </c>
      <c r="Q400" t="str">
        <f t="shared" si="27"/>
        <v/>
      </c>
      <c r="R400" s="67" cm="1">
        <f t="array" ref="R400">SUMPRODUCT((J400=$J$7:$J$1000)*(P400&lt;$P$7:$P$1000))+1</f>
        <v>73</v>
      </c>
      <c r="S400" s="72"/>
    </row>
    <row r="401" spans="10:19" x14ac:dyDescent="0.35">
      <c r="J401" s="66">
        <v>13</v>
      </c>
      <c r="K401" t="s">
        <v>24</v>
      </c>
      <c r="L401" t="s">
        <v>35</v>
      </c>
      <c r="M401" t="s">
        <v>256</v>
      </c>
      <c r="N401" t="s">
        <v>9</v>
      </c>
      <c r="O401" t="s">
        <v>4</v>
      </c>
      <c r="P401">
        <f t="shared" si="26"/>
        <v>9.1704222825997945</v>
      </c>
      <c r="Q401" t="str">
        <f t="shared" si="27"/>
        <v/>
      </c>
      <c r="R401" s="67" cm="1">
        <f t="array" ref="R401">SUMPRODUCT((J401=$J$7:$J$1000)*(P401&lt;$P$7:$P$1000))+1</f>
        <v>33</v>
      </c>
      <c r="S401" s="72"/>
    </row>
    <row r="402" spans="10:19" x14ac:dyDescent="0.35">
      <c r="J402" s="66">
        <v>13</v>
      </c>
      <c r="K402" t="s">
        <v>24</v>
      </c>
      <c r="L402" t="s">
        <v>572</v>
      </c>
      <c r="M402" t="s">
        <v>256</v>
      </c>
      <c r="N402" t="s">
        <v>9</v>
      </c>
      <c r="O402" t="s">
        <v>4</v>
      </c>
      <c r="P402">
        <f t="shared" si="26"/>
        <v>6.1791844994749114</v>
      </c>
      <c r="Q402" t="str">
        <f t="shared" si="27"/>
        <v/>
      </c>
      <c r="R402" s="67" cm="1">
        <f t="array" ref="R402">SUMPRODUCT((J402=$J$7:$J$1000)*(P402&lt;$P$7:$P$1000))+1</f>
        <v>55</v>
      </c>
      <c r="S402" s="72"/>
    </row>
    <row r="403" spans="10:19" x14ac:dyDescent="0.35">
      <c r="J403" s="66">
        <v>13</v>
      </c>
      <c r="K403" t="s">
        <v>24</v>
      </c>
      <c r="L403" t="s">
        <v>535</v>
      </c>
      <c r="M403" t="s">
        <v>256</v>
      </c>
      <c r="N403" t="s">
        <v>9</v>
      </c>
      <c r="O403" t="s">
        <v>4</v>
      </c>
      <c r="P403">
        <f t="shared" si="26"/>
        <v>1.9322689788394056</v>
      </c>
      <c r="Q403" t="str">
        <f t="shared" si="27"/>
        <v/>
      </c>
      <c r="R403" s="67" cm="1">
        <f t="array" ref="R403">SUMPRODUCT((J403=$J$7:$J$1000)*(P403&lt;$P$7:$P$1000))+1</f>
        <v>68</v>
      </c>
      <c r="S403" s="72"/>
    </row>
    <row r="404" spans="10:19" x14ac:dyDescent="0.35">
      <c r="J404">
        <v>13</v>
      </c>
      <c r="K404" t="s">
        <v>24</v>
      </c>
      <c r="L404" t="s">
        <v>84</v>
      </c>
      <c r="M404" t="s">
        <v>256</v>
      </c>
      <c r="N404" t="s">
        <v>9</v>
      </c>
      <c r="O404" t="s">
        <v>4</v>
      </c>
      <c r="P404">
        <f t="shared" si="26"/>
        <v>7.2778613556799669</v>
      </c>
      <c r="Q404" t="str">
        <f t="shared" si="27"/>
        <v/>
      </c>
      <c r="R404" s="67" cm="1">
        <f t="array" ref="R404">SUMPRODUCT((J404=$J$7:$J$1000)*(P404&lt;$P$7:$P$1000))+1</f>
        <v>46</v>
      </c>
      <c r="S404" s="72"/>
    </row>
    <row r="405" spans="10:19" x14ac:dyDescent="0.35">
      <c r="J405" s="66">
        <v>13</v>
      </c>
      <c r="K405" t="s">
        <v>24</v>
      </c>
      <c r="L405" t="s">
        <v>194</v>
      </c>
      <c r="M405" t="s">
        <v>256</v>
      </c>
      <c r="N405" t="s">
        <v>9</v>
      </c>
      <c r="O405" t="s">
        <v>4</v>
      </c>
      <c r="P405">
        <f t="shared" si="26"/>
        <v>9.5694676872588893</v>
      </c>
      <c r="Q405" t="str">
        <f t="shared" si="27"/>
        <v/>
      </c>
      <c r="R405" s="67" cm="1">
        <f t="array" ref="R405">SUMPRODUCT((J405=$J$7:$J$1000)*(P405&lt;$P$7:$P$1000))+1</f>
        <v>30</v>
      </c>
      <c r="S405" s="72"/>
    </row>
    <row r="406" spans="10:19" x14ac:dyDescent="0.35">
      <c r="J406">
        <v>13</v>
      </c>
      <c r="K406" t="s">
        <v>24</v>
      </c>
      <c r="L406" t="s">
        <v>96</v>
      </c>
      <c r="M406" t="s">
        <v>256</v>
      </c>
      <c r="N406" t="s">
        <v>9</v>
      </c>
      <c r="O406" t="s">
        <v>4</v>
      </c>
      <c r="P406">
        <f t="shared" si="26"/>
        <v>11.736633850581887</v>
      </c>
      <c r="Q406" t="str">
        <f t="shared" si="27"/>
        <v/>
      </c>
      <c r="R406" s="67" cm="1">
        <f t="array" ref="R406">SUMPRODUCT((J406=$J$7:$J$1000)*(P406&lt;$P$7:$P$1000))+1</f>
        <v>21</v>
      </c>
      <c r="S406" s="72"/>
    </row>
    <row r="407" spans="10:19" x14ac:dyDescent="0.35">
      <c r="J407">
        <v>13</v>
      </c>
      <c r="K407" t="s">
        <v>24</v>
      </c>
      <c r="L407" t="s">
        <v>533</v>
      </c>
      <c r="M407" t="s">
        <v>256</v>
      </c>
      <c r="N407" t="s">
        <v>9</v>
      </c>
      <c r="O407" t="s">
        <v>4</v>
      </c>
      <c r="P407">
        <f t="shared" si="26"/>
        <v>14.998861769633587</v>
      </c>
      <c r="Q407" t="str">
        <f t="shared" si="27"/>
        <v/>
      </c>
      <c r="R407" s="67" cm="1">
        <f t="array" ref="R407">SUMPRODUCT((J407=$J$7:$J$1000)*(P407&lt;$P$7:$P$1000))+1</f>
        <v>8</v>
      </c>
      <c r="S407" s="72"/>
    </row>
    <row r="408" spans="10:19" x14ac:dyDescent="0.35">
      <c r="J408">
        <v>13</v>
      </c>
      <c r="K408" t="s">
        <v>24</v>
      </c>
      <c r="L408" t="s">
        <v>446</v>
      </c>
      <c r="M408" t="s">
        <v>256</v>
      </c>
      <c r="N408" t="s">
        <v>9</v>
      </c>
      <c r="O408" t="s">
        <v>4</v>
      </c>
      <c r="P408">
        <f t="shared" si="26"/>
        <v>8.1099733739193347</v>
      </c>
      <c r="Q408" t="str">
        <f t="shared" si="27"/>
        <v/>
      </c>
      <c r="R408" s="67" cm="1">
        <f t="array" ref="R408">SUMPRODUCT((J408=$J$7:$J$1000)*(P408&lt;$P$7:$P$1000))+1</f>
        <v>41</v>
      </c>
      <c r="S408" s="72"/>
    </row>
    <row r="409" spans="10:19" x14ac:dyDescent="0.35">
      <c r="J409">
        <v>13</v>
      </c>
      <c r="K409" t="s">
        <v>24</v>
      </c>
      <c r="L409" t="s">
        <v>101</v>
      </c>
      <c r="M409" t="s">
        <v>256</v>
      </c>
      <c r="N409" t="s">
        <v>9</v>
      </c>
      <c r="O409" t="s">
        <v>4</v>
      </c>
      <c r="P409">
        <f t="shared" si="26"/>
        <v>6.5370674495119703</v>
      </c>
      <c r="Q409" t="str">
        <f t="shared" si="27"/>
        <v/>
      </c>
      <c r="R409" s="67" cm="1">
        <f t="array" ref="R409">SUMPRODUCT((J409=$J$7:$J$1000)*(P409&lt;$P$7:$P$1000))+1</f>
        <v>52</v>
      </c>
      <c r="S409" s="72"/>
    </row>
    <row r="410" spans="10:19" x14ac:dyDescent="0.35">
      <c r="J410">
        <v>13</v>
      </c>
      <c r="K410" t="s">
        <v>23</v>
      </c>
      <c r="L410" t="s">
        <v>522</v>
      </c>
      <c r="M410" t="s">
        <v>256</v>
      </c>
      <c r="N410" t="s">
        <v>3</v>
      </c>
      <c r="O410" t="s">
        <v>2</v>
      </c>
      <c r="P410">
        <f t="shared" si="26"/>
        <v>5.5045927344585985</v>
      </c>
      <c r="Q410" t="str">
        <f t="shared" si="27"/>
        <v/>
      </c>
      <c r="R410" s="67" cm="1">
        <f t="array" ref="R410">SUMPRODUCT((J410=$J$7:$J$1000)*(P410&lt;$P$7:$P$1000))+1</f>
        <v>58</v>
      </c>
      <c r="S410" s="72"/>
    </row>
    <row r="411" spans="10:19" x14ac:dyDescent="0.35">
      <c r="J411">
        <v>13</v>
      </c>
      <c r="K411" t="s">
        <v>23</v>
      </c>
      <c r="L411" t="s">
        <v>443</v>
      </c>
      <c r="M411" t="s">
        <v>256</v>
      </c>
      <c r="N411" t="s">
        <v>3</v>
      </c>
      <c r="O411" t="s">
        <v>2</v>
      </c>
      <c r="P411">
        <f t="shared" si="26"/>
        <v>6.3650529530531772</v>
      </c>
      <c r="Q411" t="str">
        <f t="shared" si="27"/>
        <v/>
      </c>
      <c r="R411" s="67" cm="1">
        <f t="array" ref="R411">SUMPRODUCT((J411=$J$7:$J$1000)*(P411&lt;$P$7:$P$1000))+1</f>
        <v>54</v>
      </c>
      <c r="S411" s="72"/>
    </row>
    <row r="412" spans="10:19" x14ac:dyDescent="0.35">
      <c r="J412">
        <v>13</v>
      </c>
      <c r="K412" t="s">
        <v>23</v>
      </c>
      <c r="L412" t="s">
        <v>340</v>
      </c>
      <c r="M412" t="s">
        <v>256</v>
      </c>
      <c r="N412" t="s">
        <v>3</v>
      </c>
      <c r="O412" t="s">
        <v>2</v>
      </c>
      <c r="P412">
        <f t="shared" si="26"/>
        <v>7.9891819776063215</v>
      </c>
      <c r="Q412" t="str">
        <f t="shared" si="27"/>
        <v/>
      </c>
      <c r="R412" s="67" cm="1">
        <f t="array" ref="R412">SUMPRODUCT((J412=$J$7:$J$1000)*(P412&lt;$P$7:$P$1000))+1</f>
        <v>42</v>
      </c>
      <c r="S412" s="72"/>
    </row>
    <row r="413" spans="10:19" x14ac:dyDescent="0.35">
      <c r="J413" s="66">
        <v>13</v>
      </c>
      <c r="K413" t="s">
        <v>23</v>
      </c>
      <c r="L413" t="s">
        <v>565</v>
      </c>
      <c r="M413" t="s">
        <v>256</v>
      </c>
      <c r="N413" t="s">
        <v>3</v>
      </c>
      <c r="O413" t="s">
        <v>2</v>
      </c>
      <c r="P413">
        <f t="shared" si="26"/>
        <v>10.904036224589094</v>
      </c>
      <c r="Q413" t="str">
        <f t="shared" si="27"/>
        <v/>
      </c>
      <c r="R413" s="67" cm="1">
        <f t="array" ref="R413">SUMPRODUCT((J413=$J$7:$J$1000)*(P413&lt;$P$7:$P$1000))+1</f>
        <v>25</v>
      </c>
      <c r="S413" s="72"/>
    </row>
    <row r="414" spans="10:19" x14ac:dyDescent="0.35">
      <c r="J414">
        <v>13</v>
      </c>
      <c r="K414" t="s">
        <v>23</v>
      </c>
      <c r="L414" t="s">
        <v>498</v>
      </c>
      <c r="M414" t="s">
        <v>256</v>
      </c>
      <c r="N414" t="s">
        <v>3</v>
      </c>
      <c r="O414" t="s">
        <v>2</v>
      </c>
      <c r="P414">
        <f t="shared" si="26"/>
        <v>4.1835393095261226</v>
      </c>
      <c r="Q414" t="str">
        <f t="shared" si="27"/>
        <v/>
      </c>
      <c r="R414" s="67" cm="1">
        <f t="array" ref="R414">SUMPRODUCT((J414=$J$7:$J$1000)*(P414&lt;$P$7:$P$1000))+1</f>
        <v>61</v>
      </c>
      <c r="S414" s="72"/>
    </row>
    <row r="415" spans="10:19" x14ac:dyDescent="0.35">
      <c r="J415" s="66">
        <v>13</v>
      </c>
      <c r="K415" t="s">
        <v>23</v>
      </c>
      <c r="L415" t="s">
        <v>91</v>
      </c>
      <c r="M415" t="s">
        <v>256</v>
      </c>
      <c r="N415" t="s">
        <v>3</v>
      </c>
      <c r="O415" t="s">
        <v>2</v>
      </c>
      <c r="P415">
        <f t="shared" si="26"/>
        <v>14.020878038653024</v>
      </c>
      <c r="Q415" t="str">
        <f t="shared" si="27"/>
        <v/>
      </c>
      <c r="R415" s="67" cm="1">
        <f t="array" ref="R415">SUMPRODUCT((J415=$J$7:$J$1000)*(P415&lt;$P$7:$P$1000))+1</f>
        <v>15</v>
      </c>
      <c r="S415" s="72"/>
    </row>
    <row r="416" spans="10:19" x14ac:dyDescent="0.35">
      <c r="J416" s="66">
        <v>13</v>
      </c>
      <c r="K416" t="s">
        <v>23</v>
      </c>
      <c r="L416" t="s">
        <v>456</v>
      </c>
      <c r="M416" t="s">
        <v>256</v>
      </c>
      <c r="N416" t="s">
        <v>3</v>
      </c>
      <c r="O416" t="s">
        <v>2</v>
      </c>
      <c r="P416">
        <f t="shared" si="26"/>
        <v>6.6746818057493957</v>
      </c>
      <c r="Q416" t="str">
        <f t="shared" si="27"/>
        <v/>
      </c>
      <c r="R416" s="67" cm="1">
        <f t="array" ref="R416">SUMPRODUCT((J416=$J$7:$J$1000)*(P416&lt;$P$7:$P$1000))+1</f>
        <v>51</v>
      </c>
      <c r="S416" s="72"/>
    </row>
    <row r="417" spans="10:19" x14ac:dyDescent="0.35">
      <c r="J417">
        <v>13</v>
      </c>
      <c r="K417" t="s">
        <v>4</v>
      </c>
      <c r="L417" t="s">
        <v>457</v>
      </c>
      <c r="M417" t="s">
        <v>256</v>
      </c>
      <c r="N417" t="s">
        <v>3</v>
      </c>
      <c r="O417" t="s">
        <v>24</v>
      </c>
      <c r="P417">
        <f t="shared" si="26"/>
        <v>14.270439896449707</v>
      </c>
      <c r="Q417" t="str">
        <f t="shared" si="27"/>
        <v/>
      </c>
      <c r="R417" s="67" cm="1">
        <f t="array" ref="R417">SUMPRODUCT((J417=$J$7:$J$1000)*(P417&lt;$P$7:$P$1000))+1</f>
        <v>14</v>
      </c>
      <c r="S417" s="72"/>
    </row>
    <row r="418" spans="10:19" x14ac:dyDescent="0.35">
      <c r="J418">
        <v>13</v>
      </c>
      <c r="K418" t="s">
        <v>4</v>
      </c>
      <c r="L418" t="s">
        <v>74</v>
      </c>
      <c r="M418" t="s">
        <v>256</v>
      </c>
      <c r="N418" t="s">
        <v>3</v>
      </c>
      <c r="O418" t="s">
        <v>24</v>
      </c>
      <c r="P418">
        <f t="shared" si="26"/>
        <v>11.895728291987194</v>
      </c>
      <c r="Q418" t="str">
        <f t="shared" si="27"/>
        <v/>
      </c>
      <c r="R418" s="67" cm="1">
        <f t="array" ref="R418">SUMPRODUCT((J418=$J$7:$J$1000)*(P418&lt;$P$7:$P$1000))+1</f>
        <v>20</v>
      </c>
      <c r="S418" s="72"/>
    </row>
    <row r="419" spans="10:19" x14ac:dyDescent="0.35">
      <c r="J419">
        <v>13</v>
      </c>
      <c r="K419" t="s">
        <v>4</v>
      </c>
      <c r="L419" t="s">
        <v>633</v>
      </c>
      <c r="M419" t="s">
        <v>256</v>
      </c>
      <c r="N419" t="s">
        <v>3</v>
      </c>
      <c r="O419" t="s">
        <v>24</v>
      </c>
      <c r="P419">
        <f t="shared" si="26"/>
        <v>17.460668575094736</v>
      </c>
      <c r="Q419" t="str">
        <f t="shared" si="27"/>
        <v/>
      </c>
      <c r="R419" s="67" cm="1">
        <f t="array" ref="R419">SUMPRODUCT((J419=$J$7:$J$1000)*(P419&lt;$P$7:$P$1000))+1</f>
        <v>1</v>
      </c>
      <c r="S419" s="72"/>
    </row>
    <row r="420" spans="10:19" x14ac:dyDescent="0.35">
      <c r="J420" s="66">
        <v>13</v>
      </c>
      <c r="K420" t="s">
        <v>4</v>
      </c>
      <c r="L420" t="s">
        <v>683</v>
      </c>
      <c r="M420" t="s">
        <v>256</v>
      </c>
      <c r="N420" t="s">
        <v>3</v>
      </c>
      <c r="O420" t="s">
        <v>24</v>
      </c>
      <c r="P420">
        <f t="shared" si="26"/>
        <v>7.1495530251818096</v>
      </c>
      <c r="Q420" t="str">
        <f t="shared" si="27"/>
        <v/>
      </c>
      <c r="R420" s="67" cm="1">
        <f t="array" ref="R420">SUMPRODUCT((J420=$J$7:$J$1000)*(P420&lt;$P$7:$P$1000))+1</f>
        <v>48</v>
      </c>
      <c r="S420" s="72"/>
    </row>
    <row r="421" spans="10:19" x14ac:dyDescent="0.35">
      <c r="J421">
        <v>13</v>
      </c>
      <c r="K421" t="s">
        <v>4</v>
      </c>
      <c r="L421" t="s">
        <v>286</v>
      </c>
      <c r="M421" t="s">
        <v>256</v>
      </c>
      <c r="N421" t="s">
        <v>3</v>
      </c>
      <c r="O421" t="s">
        <v>24</v>
      </c>
      <c r="P421">
        <f t="shared" si="26"/>
        <v>14.465221273147927</v>
      </c>
      <c r="Q421" t="str">
        <f t="shared" si="27"/>
        <v/>
      </c>
      <c r="R421" s="67" cm="1">
        <f t="array" ref="R421">SUMPRODUCT((J421=$J$7:$J$1000)*(P421&lt;$P$7:$P$1000))+1</f>
        <v>12</v>
      </c>
      <c r="S421" s="72"/>
    </row>
    <row r="422" spans="10:19" x14ac:dyDescent="0.35">
      <c r="J422">
        <v>13</v>
      </c>
      <c r="K422" t="s">
        <v>4</v>
      </c>
      <c r="L422" t="s">
        <v>475</v>
      </c>
      <c r="M422" t="s">
        <v>256</v>
      </c>
      <c r="N422" t="s">
        <v>3</v>
      </c>
      <c r="O422" t="s">
        <v>24</v>
      </c>
      <c r="P422">
        <f t="shared" si="26"/>
        <v>7.7997999149213069</v>
      </c>
      <c r="Q422" t="str">
        <f t="shared" si="27"/>
        <v/>
      </c>
      <c r="R422" s="67" cm="1">
        <f t="array" ref="R422">SUMPRODUCT((J422=$J$7:$J$1000)*(P422&lt;$P$7:$P$1000))+1</f>
        <v>43</v>
      </c>
      <c r="S422" s="72"/>
    </row>
    <row r="423" spans="10:19" x14ac:dyDescent="0.35">
      <c r="J423">
        <v>13</v>
      </c>
      <c r="K423" t="s">
        <v>4</v>
      </c>
      <c r="L423" t="s">
        <v>453</v>
      </c>
      <c r="M423" t="s">
        <v>256</v>
      </c>
      <c r="N423" t="s">
        <v>3</v>
      </c>
      <c r="O423" t="s">
        <v>24</v>
      </c>
      <c r="P423">
        <f t="shared" si="26"/>
        <v>15.836764329136317</v>
      </c>
      <c r="Q423" t="str">
        <f t="shared" si="27"/>
        <v/>
      </c>
      <c r="R423" s="67" cm="1">
        <f t="array" ref="R423">SUMPRODUCT((J423=$J$7:$J$1000)*(P423&lt;$P$7:$P$1000))+1</f>
        <v>4</v>
      </c>
      <c r="S423" s="72"/>
    </row>
    <row r="424" spans="10:19" x14ac:dyDescent="0.35">
      <c r="J424">
        <v>13</v>
      </c>
      <c r="K424" t="s">
        <v>34</v>
      </c>
      <c r="L424" t="s">
        <v>41</v>
      </c>
      <c r="M424" t="s">
        <v>256</v>
      </c>
      <c r="N424" t="s">
        <v>3</v>
      </c>
      <c r="O424" t="s">
        <v>36</v>
      </c>
      <c r="P424">
        <f t="shared" si="26"/>
        <v>10.613182067374369</v>
      </c>
      <c r="Q424" t="str">
        <f t="shared" si="27"/>
        <v/>
      </c>
      <c r="R424" s="67" cm="1">
        <f t="array" ref="R424">SUMPRODUCT((J424=$J$7:$J$1000)*(P424&lt;$P$7:$P$1000))+1</f>
        <v>26</v>
      </c>
      <c r="S424" s="72"/>
    </row>
    <row r="425" spans="10:19" x14ac:dyDescent="0.35">
      <c r="J425">
        <v>13</v>
      </c>
      <c r="K425" t="s">
        <v>34</v>
      </c>
      <c r="L425" t="s">
        <v>496</v>
      </c>
      <c r="M425" t="s">
        <v>256</v>
      </c>
      <c r="N425" t="s">
        <v>3</v>
      </c>
      <c r="O425" t="s">
        <v>36</v>
      </c>
      <c r="P425">
        <f t="shared" si="26"/>
        <v>7.4643851082412311</v>
      </c>
      <c r="Q425" t="str">
        <f t="shared" si="27"/>
        <v/>
      </c>
      <c r="R425" s="67" cm="1">
        <f t="array" ref="R425">SUMPRODUCT((J425=$J$7:$J$1000)*(P425&lt;$P$7:$P$1000))+1</f>
        <v>45</v>
      </c>
      <c r="S425" s="72"/>
    </row>
    <row r="426" spans="10:19" x14ac:dyDescent="0.35">
      <c r="J426">
        <v>13</v>
      </c>
      <c r="K426" t="s">
        <v>34</v>
      </c>
      <c r="L426" t="s">
        <v>536</v>
      </c>
      <c r="M426" t="s">
        <v>256</v>
      </c>
      <c r="N426" t="s">
        <v>3</v>
      </c>
      <c r="O426" t="s">
        <v>36</v>
      </c>
      <c r="P426">
        <f t="shared" si="26"/>
        <v>11.041851879423222</v>
      </c>
      <c r="Q426" t="str">
        <f t="shared" si="27"/>
        <v/>
      </c>
      <c r="R426" s="67" cm="1">
        <f t="array" ref="R426">SUMPRODUCT((J426=$J$7:$J$1000)*(P426&lt;$P$7:$P$1000))+1</f>
        <v>23</v>
      </c>
      <c r="S426" s="72"/>
    </row>
    <row r="427" spans="10:19" x14ac:dyDescent="0.35">
      <c r="J427">
        <v>13</v>
      </c>
      <c r="K427" t="s">
        <v>34</v>
      </c>
      <c r="L427" t="s">
        <v>95</v>
      </c>
      <c r="M427" t="s">
        <v>256</v>
      </c>
      <c r="N427" t="s">
        <v>3</v>
      </c>
      <c r="O427" t="s">
        <v>36</v>
      </c>
      <c r="P427">
        <f t="shared" si="26"/>
        <v>11.437430371642103</v>
      </c>
      <c r="Q427" t="str">
        <f t="shared" si="27"/>
        <v/>
      </c>
      <c r="R427" s="67" cm="1">
        <f t="array" ref="R427">SUMPRODUCT((J427=$J$7:$J$1000)*(P427&lt;$P$7:$P$1000))+1</f>
        <v>22</v>
      </c>
      <c r="S427" s="72"/>
    </row>
    <row r="428" spans="10:19" x14ac:dyDescent="0.35">
      <c r="J428" s="66">
        <v>13</v>
      </c>
      <c r="K428" t="s">
        <v>34</v>
      </c>
      <c r="L428" t="s">
        <v>674</v>
      </c>
      <c r="M428" t="s">
        <v>256</v>
      </c>
      <c r="N428" t="s">
        <v>3</v>
      </c>
      <c r="O428" t="s">
        <v>36</v>
      </c>
      <c r="P428">
        <f t="shared" si="26"/>
        <v>12.766751034739091</v>
      </c>
      <c r="Q428" t="str">
        <f t="shared" si="27"/>
        <v/>
      </c>
      <c r="R428" s="67" cm="1">
        <f t="array" ref="R428">SUMPRODUCT((J428=$J$7:$J$1000)*(P428&lt;$P$7:$P$1000))+1</f>
        <v>18</v>
      </c>
      <c r="S428" s="72"/>
    </row>
    <row r="429" spans="10:19" x14ac:dyDescent="0.35">
      <c r="J429">
        <v>13</v>
      </c>
      <c r="K429" t="s">
        <v>34</v>
      </c>
      <c r="L429" t="s">
        <v>100</v>
      </c>
      <c r="M429" t="s">
        <v>256</v>
      </c>
      <c r="N429" t="s">
        <v>3</v>
      </c>
      <c r="O429" t="s">
        <v>36</v>
      </c>
      <c r="P429">
        <f t="shared" si="26"/>
        <v>7.4873176349626203</v>
      </c>
      <c r="Q429" t="str">
        <f t="shared" si="27"/>
        <v/>
      </c>
      <c r="R429" s="67" cm="1">
        <f t="array" ref="R429">SUMPRODUCT((J429=$J$7:$J$1000)*(P429&lt;$P$7:$P$1000))+1</f>
        <v>44</v>
      </c>
      <c r="S429" s="72"/>
    </row>
    <row r="430" spans="10:19" x14ac:dyDescent="0.35">
      <c r="J430">
        <v>13</v>
      </c>
      <c r="K430" t="s">
        <v>17</v>
      </c>
      <c r="L430" t="s">
        <v>37</v>
      </c>
      <c r="M430" t="s">
        <v>256</v>
      </c>
      <c r="N430" t="s">
        <v>9</v>
      </c>
      <c r="O430" t="s">
        <v>13</v>
      </c>
      <c r="P430">
        <f t="shared" si="26"/>
        <v>17.409884514499858</v>
      </c>
      <c r="Q430" t="str">
        <f t="shared" si="27"/>
        <v/>
      </c>
      <c r="R430" s="67" cm="1">
        <f t="array" ref="R430">SUMPRODUCT((J430=$J$7:$J$1000)*(P430&lt;$P$7:$P$1000))+1</f>
        <v>2</v>
      </c>
      <c r="S430" s="72"/>
    </row>
    <row r="431" spans="10:19" x14ac:dyDescent="0.35">
      <c r="J431">
        <v>13</v>
      </c>
      <c r="K431" t="s">
        <v>17</v>
      </c>
      <c r="L431" t="s">
        <v>497</v>
      </c>
      <c r="M431" t="s">
        <v>256</v>
      </c>
      <c r="N431" t="s">
        <v>9</v>
      </c>
      <c r="O431" t="s">
        <v>13</v>
      </c>
      <c r="P431">
        <f t="shared" si="26"/>
        <v>14.74693420631966</v>
      </c>
      <c r="Q431" t="str">
        <f t="shared" si="27"/>
        <v/>
      </c>
      <c r="R431" s="67" cm="1">
        <f t="array" ref="R431">SUMPRODUCT((J431=$J$7:$J$1000)*(P431&lt;$P$7:$P$1000))+1</f>
        <v>10</v>
      </c>
      <c r="S431" s="72"/>
    </row>
    <row r="432" spans="10:19" x14ac:dyDescent="0.35">
      <c r="J432" s="66">
        <v>13</v>
      </c>
      <c r="K432" t="s">
        <v>17</v>
      </c>
      <c r="L432" t="s">
        <v>76</v>
      </c>
      <c r="M432" t="s">
        <v>256</v>
      </c>
      <c r="N432" t="s">
        <v>9</v>
      </c>
      <c r="O432" t="s">
        <v>13</v>
      </c>
      <c r="P432">
        <f t="shared" si="26"/>
        <v>8.972745741987346</v>
      </c>
      <c r="Q432" t="str">
        <f t="shared" si="27"/>
        <v/>
      </c>
      <c r="R432" s="67" cm="1">
        <f t="array" ref="R432">SUMPRODUCT((J432=$J$7:$J$1000)*(P432&lt;$P$7:$P$1000))+1</f>
        <v>36</v>
      </c>
      <c r="S432" s="72"/>
    </row>
    <row r="433" spans="10:19" x14ac:dyDescent="0.35">
      <c r="J433">
        <v>13</v>
      </c>
      <c r="K433" t="s">
        <v>17</v>
      </c>
      <c r="L433" t="s">
        <v>458</v>
      </c>
      <c r="M433" t="s">
        <v>256</v>
      </c>
      <c r="N433" t="s">
        <v>9</v>
      </c>
      <c r="O433" t="s">
        <v>13</v>
      </c>
      <c r="P433">
        <f t="shared" si="26"/>
        <v>2.243266973866239</v>
      </c>
      <c r="Q433" t="str">
        <f t="shared" si="27"/>
        <v/>
      </c>
      <c r="R433" s="67" cm="1">
        <f t="array" ref="R433">SUMPRODUCT((J433=$J$7:$J$1000)*(P433&lt;$P$7:$P$1000))+1</f>
        <v>67</v>
      </c>
      <c r="S433" s="72"/>
    </row>
    <row r="434" spans="10:19" x14ac:dyDescent="0.35">
      <c r="J434">
        <v>13</v>
      </c>
      <c r="K434" t="s">
        <v>17</v>
      </c>
      <c r="L434" t="s">
        <v>82</v>
      </c>
      <c r="M434" t="s">
        <v>256</v>
      </c>
      <c r="N434" t="s">
        <v>9</v>
      </c>
      <c r="O434" t="s">
        <v>13</v>
      </c>
      <c r="P434">
        <f t="shared" si="26"/>
        <v>10.239119028005865</v>
      </c>
      <c r="Q434" t="str">
        <f t="shared" si="27"/>
        <v/>
      </c>
      <c r="R434" s="67" cm="1">
        <f t="array" ref="R434">SUMPRODUCT((J434=$J$7:$J$1000)*(P434&lt;$P$7:$P$1000))+1</f>
        <v>27</v>
      </c>
      <c r="S434" s="72"/>
    </row>
    <row r="435" spans="10:19" x14ac:dyDescent="0.35">
      <c r="J435">
        <v>13</v>
      </c>
      <c r="K435" t="s">
        <v>17</v>
      </c>
      <c r="L435" t="s">
        <v>531</v>
      </c>
      <c r="M435" t="s">
        <v>256</v>
      </c>
      <c r="N435" t="s">
        <v>9</v>
      </c>
      <c r="O435" t="s">
        <v>13</v>
      </c>
      <c r="P435">
        <f t="shared" si="26"/>
        <v>15.147669109267508</v>
      </c>
      <c r="Q435" t="str">
        <f t="shared" si="27"/>
        <v/>
      </c>
      <c r="R435" s="67" cm="1">
        <f t="array" ref="R435">SUMPRODUCT((J435=$J$7:$J$1000)*(P435&lt;$P$7:$P$1000))+1</f>
        <v>7</v>
      </c>
      <c r="S435" s="72"/>
    </row>
    <row r="436" spans="10:19" x14ac:dyDescent="0.35">
      <c r="J436">
        <v>13</v>
      </c>
      <c r="K436" t="s">
        <v>17</v>
      </c>
      <c r="L436" t="s">
        <v>450</v>
      </c>
      <c r="M436" t="s">
        <v>256</v>
      </c>
      <c r="N436" t="s">
        <v>9</v>
      </c>
      <c r="O436" t="s">
        <v>13</v>
      </c>
      <c r="P436">
        <f t="shared" si="26"/>
        <v>8.9482091714562149</v>
      </c>
      <c r="Q436" t="str">
        <f t="shared" si="27"/>
        <v/>
      </c>
      <c r="R436" s="67" cm="1">
        <f t="array" ref="R436">SUMPRODUCT((J436=$J$7:$J$1000)*(P436&lt;$P$7:$P$1000))+1</f>
        <v>37</v>
      </c>
      <c r="S436" s="72"/>
    </row>
    <row r="437" spans="10:19" x14ac:dyDescent="0.35">
      <c r="J437">
        <v>13</v>
      </c>
      <c r="K437" t="s">
        <v>17</v>
      </c>
      <c r="L437" t="s">
        <v>537</v>
      </c>
      <c r="M437" t="s">
        <v>256</v>
      </c>
      <c r="N437" t="s">
        <v>9</v>
      </c>
      <c r="O437" t="s">
        <v>13</v>
      </c>
      <c r="P437">
        <f t="shared" si="26"/>
        <v>9.0980175538020713</v>
      </c>
      <c r="Q437" t="str">
        <f t="shared" si="27"/>
        <v/>
      </c>
      <c r="R437" s="67" cm="1">
        <f t="array" ref="R437">SUMPRODUCT((J437=$J$7:$J$1000)*(P437&lt;$P$7:$P$1000))+1</f>
        <v>35</v>
      </c>
      <c r="S437" s="72"/>
    </row>
    <row r="438" spans="10:19" x14ac:dyDescent="0.35">
      <c r="J438">
        <v>13</v>
      </c>
      <c r="K438" t="s">
        <v>13</v>
      </c>
      <c r="L438" t="s">
        <v>478</v>
      </c>
      <c r="M438" t="s">
        <v>256</v>
      </c>
      <c r="N438" t="s">
        <v>3</v>
      </c>
      <c r="O438" t="s">
        <v>17</v>
      </c>
      <c r="P438">
        <f t="shared" si="26"/>
        <v>9.1423575305143725</v>
      </c>
      <c r="Q438" t="str">
        <f t="shared" si="27"/>
        <v/>
      </c>
      <c r="R438" s="67" cm="1">
        <f t="array" ref="R438">SUMPRODUCT((J438=$J$7:$J$1000)*(P438&lt;$P$7:$P$1000))+1</f>
        <v>34</v>
      </c>
      <c r="S438" s="72"/>
    </row>
    <row r="439" spans="10:19" x14ac:dyDescent="0.35">
      <c r="J439">
        <v>13</v>
      </c>
      <c r="K439" t="s">
        <v>13</v>
      </c>
      <c r="L439" t="s">
        <v>79</v>
      </c>
      <c r="M439" t="s">
        <v>256</v>
      </c>
      <c r="N439" t="s">
        <v>3</v>
      </c>
      <c r="O439" t="s">
        <v>17</v>
      </c>
      <c r="P439">
        <f t="shared" si="26"/>
        <v>14.646667512772966</v>
      </c>
      <c r="Q439" t="str">
        <f t="shared" si="27"/>
        <v/>
      </c>
      <c r="R439" s="67" cm="1">
        <f t="array" ref="R439">SUMPRODUCT((J439=$J$7:$J$1000)*(P439&lt;$P$7:$P$1000))+1</f>
        <v>11</v>
      </c>
      <c r="S439" s="72"/>
    </row>
    <row r="440" spans="10:19" x14ac:dyDescent="0.35">
      <c r="J440" s="66">
        <v>13</v>
      </c>
      <c r="K440" t="s">
        <v>13</v>
      </c>
      <c r="L440" t="s">
        <v>477</v>
      </c>
      <c r="M440" t="s">
        <v>256</v>
      </c>
      <c r="N440" t="s">
        <v>3</v>
      </c>
      <c r="O440" t="s">
        <v>17</v>
      </c>
      <c r="P440">
        <f t="shared" si="26"/>
        <v>12.130477111180863</v>
      </c>
      <c r="Q440" t="str">
        <f t="shared" si="27"/>
        <v/>
      </c>
      <c r="R440" s="67" cm="1">
        <f t="array" ref="R440">SUMPRODUCT((J440=$J$7:$J$1000)*(P440&lt;$P$7:$P$1000))+1</f>
        <v>19</v>
      </c>
      <c r="S440" s="72"/>
    </row>
    <row r="441" spans="10:19" x14ac:dyDescent="0.35">
      <c r="J441">
        <v>13</v>
      </c>
      <c r="K441" t="s">
        <v>13</v>
      </c>
      <c r="L441" t="s">
        <v>494</v>
      </c>
      <c r="M441" t="s">
        <v>256</v>
      </c>
      <c r="N441" t="s">
        <v>3</v>
      </c>
      <c r="O441" t="s">
        <v>17</v>
      </c>
      <c r="P441">
        <f t="shared" si="26"/>
        <v>11.040152484972598</v>
      </c>
      <c r="Q441" t="str">
        <f t="shared" si="27"/>
        <v/>
      </c>
      <c r="R441" s="67" cm="1">
        <f t="array" ref="R441">SUMPRODUCT((J441=$J$7:$J$1000)*(P441&lt;$P$7:$P$1000))+1</f>
        <v>24</v>
      </c>
      <c r="S441" s="72"/>
    </row>
    <row r="442" spans="10:19" x14ac:dyDescent="0.35">
      <c r="J442">
        <v>13</v>
      </c>
      <c r="K442" t="s">
        <v>13</v>
      </c>
      <c r="L442" t="s">
        <v>687</v>
      </c>
      <c r="M442" t="s">
        <v>256</v>
      </c>
      <c r="N442" t="s">
        <v>3</v>
      </c>
      <c r="O442" t="s">
        <v>17</v>
      </c>
      <c r="P442">
        <f t="shared" si="26"/>
        <v>9.2181705142164461</v>
      </c>
      <c r="Q442" t="str">
        <f t="shared" si="27"/>
        <v/>
      </c>
      <c r="R442" s="67" cm="1">
        <f t="array" ref="R442">SUMPRODUCT((J442=$J$7:$J$1000)*(P442&lt;$P$7:$P$1000))+1</f>
        <v>32</v>
      </c>
      <c r="S442" s="72"/>
    </row>
    <row r="443" spans="10:19" x14ac:dyDescent="0.35">
      <c r="J443">
        <v>13</v>
      </c>
      <c r="K443" t="s">
        <v>13</v>
      </c>
      <c r="L443" t="s">
        <v>98</v>
      </c>
      <c r="M443" t="s">
        <v>256</v>
      </c>
      <c r="N443" t="s">
        <v>3</v>
      </c>
      <c r="O443" t="s">
        <v>17</v>
      </c>
      <c r="P443">
        <f t="shared" si="26"/>
        <v>2.9849835934184448</v>
      </c>
      <c r="Q443" t="str">
        <f t="shared" si="27"/>
        <v/>
      </c>
      <c r="R443" s="67" cm="1">
        <f t="array" ref="R443">SUMPRODUCT((J443=$J$7:$J$1000)*(P443&lt;$P$7:$P$1000))+1</f>
        <v>65</v>
      </c>
      <c r="S443" s="72"/>
    </row>
    <row r="444" spans="10:19" x14ac:dyDescent="0.35">
      <c r="J444" s="66">
        <v>13</v>
      </c>
      <c r="K444" t="s">
        <v>13</v>
      </c>
      <c r="L444" t="s">
        <v>691</v>
      </c>
      <c r="M444" t="s">
        <v>256</v>
      </c>
      <c r="N444" t="s">
        <v>3</v>
      </c>
      <c r="O444" t="s">
        <v>17</v>
      </c>
      <c r="P444">
        <f t="shared" si="26"/>
        <v>7.215218326782721</v>
      </c>
      <c r="Q444" t="str">
        <f t="shared" si="27"/>
        <v/>
      </c>
      <c r="R444" s="67" cm="1">
        <f t="array" ref="R444">SUMPRODUCT((J444=$J$7:$J$1000)*(P444&lt;$P$7:$P$1000))+1</f>
        <v>47</v>
      </c>
      <c r="S444" s="72"/>
    </row>
    <row r="445" spans="10:19" x14ac:dyDescent="0.35">
      <c r="J445" s="66">
        <v>13</v>
      </c>
      <c r="K445" t="s">
        <v>13</v>
      </c>
      <c r="L445" t="s">
        <v>49</v>
      </c>
      <c r="M445" t="s">
        <v>256</v>
      </c>
      <c r="N445" t="s">
        <v>3</v>
      </c>
      <c r="O445" t="s">
        <v>17</v>
      </c>
      <c r="P445">
        <f t="shared" si="26"/>
        <v>8.1152990561834564</v>
      </c>
      <c r="Q445" t="str">
        <f t="shared" si="27"/>
        <v/>
      </c>
      <c r="R445" s="67" cm="1">
        <f t="array" ref="R445">SUMPRODUCT((J445=$J$7:$J$1000)*(P445&lt;$P$7:$P$1000))+1</f>
        <v>39</v>
      </c>
      <c r="S445" s="72"/>
    </row>
    <row r="446" spans="10:19" x14ac:dyDescent="0.35">
      <c r="J446">
        <v>14</v>
      </c>
      <c r="K446" t="s">
        <v>14</v>
      </c>
      <c r="L446" t="s">
        <v>460</v>
      </c>
      <c r="M446" t="s">
        <v>256</v>
      </c>
      <c r="N446" t="s">
        <v>3</v>
      </c>
      <c r="O446" t="s">
        <v>7</v>
      </c>
      <c r="P446">
        <f t="shared" si="26"/>
        <v>-0.74071044050126866</v>
      </c>
      <c r="Q446" t="str">
        <f t="shared" si="27"/>
        <v/>
      </c>
      <c r="R446" s="67" cm="1">
        <f t="array" ref="R446">SUMPRODUCT((J446=$J$7:$J$1000)*(P446&lt;$P$7:$P$1000))+1</f>
        <v>74</v>
      </c>
      <c r="S446" s="72"/>
    </row>
    <row r="447" spans="10:19" x14ac:dyDescent="0.35">
      <c r="J447">
        <v>14</v>
      </c>
      <c r="K447" t="s">
        <v>14</v>
      </c>
      <c r="L447" t="s">
        <v>454</v>
      </c>
      <c r="M447" t="s">
        <v>256</v>
      </c>
      <c r="N447" t="s">
        <v>9</v>
      </c>
      <c r="O447" t="s">
        <v>2</v>
      </c>
      <c r="P447">
        <f t="shared" si="26"/>
        <v>9.5306855047415056</v>
      </c>
      <c r="Q447" t="str">
        <f t="shared" si="27"/>
        <v/>
      </c>
      <c r="R447" s="67" cm="1">
        <f t="array" ref="R447">SUMPRODUCT((J447=$J$7:$J$1000)*(P447&lt;$P$7:$P$1000))+1</f>
        <v>28</v>
      </c>
      <c r="S447" s="72"/>
    </row>
    <row r="448" spans="10:19" x14ac:dyDescent="0.35">
      <c r="J448">
        <v>14</v>
      </c>
      <c r="K448" t="s">
        <v>14</v>
      </c>
      <c r="L448" t="s">
        <v>278</v>
      </c>
      <c r="M448" t="s">
        <v>256</v>
      </c>
      <c r="N448" t="s">
        <v>3</v>
      </c>
      <c r="O448" t="s">
        <v>7</v>
      </c>
      <c r="P448">
        <f t="shared" si="26"/>
        <v>6.444740455809189</v>
      </c>
      <c r="Q448" t="str">
        <f t="shared" si="27"/>
        <v/>
      </c>
      <c r="R448" s="67" cm="1">
        <f t="array" ref="R448">SUMPRODUCT((J448=$J$7:$J$1000)*(P448&lt;$P$7:$P$1000))+1</f>
        <v>52</v>
      </c>
      <c r="S448" s="72"/>
    </row>
    <row r="449" spans="10:19" x14ac:dyDescent="0.35">
      <c r="J449" s="66">
        <v>14</v>
      </c>
      <c r="K449" t="s">
        <v>14</v>
      </c>
      <c r="L449" t="s">
        <v>534</v>
      </c>
      <c r="M449" t="s">
        <v>256</v>
      </c>
      <c r="N449" t="s">
        <v>3</v>
      </c>
      <c r="O449" t="s">
        <v>7</v>
      </c>
      <c r="P449">
        <f t="shared" si="26"/>
        <v>3.7703193889393951</v>
      </c>
      <c r="Q449" t="str">
        <f t="shared" si="27"/>
        <v/>
      </c>
      <c r="R449" s="67" cm="1">
        <f t="array" ref="R449">SUMPRODUCT((J449=$J$7:$J$1000)*(P449&lt;$P$7:$P$1000))+1</f>
        <v>64</v>
      </c>
      <c r="S449" s="72"/>
    </row>
    <row r="450" spans="10:19" x14ac:dyDescent="0.35">
      <c r="J450">
        <v>14</v>
      </c>
      <c r="K450" t="s">
        <v>14</v>
      </c>
      <c r="L450" t="s">
        <v>285</v>
      </c>
      <c r="M450" t="s">
        <v>256</v>
      </c>
      <c r="N450" t="s">
        <v>3</v>
      </c>
      <c r="O450" t="s">
        <v>7</v>
      </c>
      <c r="P450">
        <f t="shared" si="26"/>
        <v>6.4925740324756136</v>
      </c>
      <c r="Q450" t="str">
        <f t="shared" si="27"/>
        <v/>
      </c>
      <c r="R450" s="67" cm="1">
        <f t="array" ref="R450">SUMPRODUCT((J450=$J$7:$J$1000)*(P450&lt;$P$7:$P$1000))+1</f>
        <v>51</v>
      </c>
      <c r="S450" s="72"/>
    </row>
    <row r="451" spans="10:19" x14ac:dyDescent="0.35">
      <c r="J451" s="66">
        <v>14</v>
      </c>
      <c r="K451" t="s">
        <v>14</v>
      </c>
      <c r="L451" t="s">
        <v>83</v>
      </c>
      <c r="M451" t="s">
        <v>256</v>
      </c>
      <c r="N451" t="s">
        <v>3</v>
      </c>
      <c r="O451" t="s">
        <v>7</v>
      </c>
      <c r="P451">
        <f t="shared" si="26"/>
        <v>9.0139226050813868</v>
      </c>
      <c r="Q451" t="str">
        <f t="shared" si="27"/>
        <v/>
      </c>
      <c r="R451" s="67" cm="1">
        <f t="array" ref="R451">SUMPRODUCT((J451=$J$7:$J$1000)*(P451&lt;$P$7:$P$1000))+1</f>
        <v>33</v>
      </c>
      <c r="S451" s="72"/>
    </row>
    <row r="452" spans="10:19" x14ac:dyDescent="0.35">
      <c r="J452">
        <v>14</v>
      </c>
      <c r="K452" t="s">
        <v>14</v>
      </c>
      <c r="L452" t="s">
        <v>87</v>
      </c>
      <c r="M452" t="s">
        <v>256</v>
      </c>
      <c r="N452" t="s">
        <v>3</v>
      </c>
      <c r="O452" t="s">
        <v>7</v>
      </c>
      <c r="P452">
        <f t="shared" si="26"/>
        <v>9.2192397371080794</v>
      </c>
      <c r="Q452" t="str">
        <f t="shared" si="27"/>
        <v/>
      </c>
      <c r="R452" s="67" cm="1">
        <f t="array" ref="R452">SUMPRODUCT((J452=$J$7:$J$1000)*(P452&lt;$P$7:$P$1000))+1</f>
        <v>31</v>
      </c>
      <c r="S452" s="72"/>
    </row>
    <row r="453" spans="10:19" x14ac:dyDescent="0.35">
      <c r="J453" s="66">
        <v>14</v>
      </c>
      <c r="K453" t="s">
        <v>14</v>
      </c>
      <c r="L453" t="s">
        <v>639</v>
      </c>
      <c r="M453" t="s">
        <v>256</v>
      </c>
      <c r="N453" t="s">
        <v>3</v>
      </c>
      <c r="O453" t="s">
        <v>7</v>
      </c>
      <c r="P453">
        <f t="shared" si="26"/>
        <v>8.6999800694297367</v>
      </c>
      <c r="Q453" t="str">
        <f t="shared" si="27"/>
        <v/>
      </c>
      <c r="R453" s="67" cm="1">
        <f t="array" ref="R453">SUMPRODUCT((J453=$J$7:$J$1000)*(P453&lt;$P$7:$P$1000))+1</f>
        <v>35</v>
      </c>
      <c r="S453" s="72"/>
    </row>
    <row r="454" spans="10:19" x14ac:dyDescent="0.35">
      <c r="J454">
        <v>14</v>
      </c>
      <c r="K454" t="s">
        <v>2</v>
      </c>
      <c r="L454" t="s">
        <v>63</v>
      </c>
      <c r="M454" t="s">
        <v>256</v>
      </c>
      <c r="N454" t="s">
        <v>3</v>
      </c>
      <c r="O454" t="s">
        <v>6</v>
      </c>
      <c r="P454">
        <f t="shared" si="26"/>
        <v>3.258713090038027</v>
      </c>
      <c r="Q454" t="str">
        <f t="shared" si="27"/>
        <v/>
      </c>
      <c r="R454" s="67" cm="1">
        <f t="array" ref="R454">SUMPRODUCT((J454=$J$7:$J$1000)*(P454&lt;$P$7:$P$1000))+1</f>
        <v>66</v>
      </c>
      <c r="S454" s="72"/>
    </row>
    <row r="455" spans="10:19" x14ac:dyDescent="0.35">
      <c r="J455" s="66">
        <v>14</v>
      </c>
      <c r="K455" t="s">
        <v>2</v>
      </c>
      <c r="L455" t="s">
        <v>455</v>
      </c>
      <c r="M455" t="s">
        <v>256</v>
      </c>
      <c r="N455" t="s">
        <v>3</v>
      </c>
      <c r="O455" t="s">
        <v>6</v>
      </c>
      <c r="P455">
        <f t="shared" si="26"/>
        <v>2.6096684846331746</v>
      </c>
      <c r="Q455" t="str">
        <f t="shared" si="27"/>
        <v/>
      </c>
      <c r="R455" s="67" cm="1">
        <f t="array" ref="R455">SUMPRODUCT((J455=$J$7:$J$1000)*(P455&lt;$P$7:$P$1000))+1</f>
        <v>67</v>
      </c>
      <c r="S455" s="72"/>
    </row>
    <row r="456" spans="10:19" x14ac:dyDescent="0.35">
      <c r="J456">
        <v>14</v>
      </c>
      <c r="K456" t="s">
        <v>2</v>
      </c>
      <c r="L456" t="s">
        <v>499</v>
      </c>
      <c r="M456" t="s">
        <v>256</v>
      </c>
      <c r="N456" t="s">
        <v>3</v>
      </c>
      <c r="O456" t="s">
        <v>6</v>
      </c>
      <c r="P456">
        <f t="shared" ref="P456:P519" si="28">VLOOKUP($N456,$F$3:$G$4,2,FALSE)+VLOOKUP($L456,$B$20:$C$150,2,FALSE)+VLOOKUP($O456,$A$6:$B$16,2,FALSE)</f>
        <v>0.49664718966711496</v>
      </c>
      <c r="Q456" t="str">
        <f t="shared" si="27"/>
        <v/>
      </c>
      <c r="R456" s="67" cm="1">
        <f t="array" ref="R456">SUMPRODUCT((J456=$J$7:$J$1000)*(P456&lt;$P$7:$P$1000))+1</f>
        <v>72</v>
      </c>
      <c r="S456" s="72"/>
    </row>
    <row r="457" spans="10:19" x14ac:dyDescent="0.35">
      <c r="J457">
        <v>14</v>
      </c>
      <c r="K457" t="s">
        <v>2</v>
      </c>
      <c r="L457" t="s">
        <v>12</v>
      </c>
      <c r="M457" t="s">
        <v>256</v>
      </c>
      <c r="N457" t="s">
        <v>3</v>
      </c>
      <c r="O457" t="s">
        <v>6</v>
      </c>
      <c r="P457">
        <f t="shared" si="28"/>
        <v>3.4105521129549912</v>
      </c>
      <c r="Q457" t="str">
        <f t="shared" si="27"/>
        <v/>
      </c>
      <c r="R457" s="67" cm="1">
        <f t="array" ref="R457">SUMPRODUCT((J457=$J$7:$J$1000)*(P457&lt;$P$7:$P$1000))+1</f>
        <v>65</v>
      </c>
      <c r="S457" s="72"/>
    </row>
    <row r="458" spans="10:19" x14ac:dyDescent="0.35">
      <c r="J458">
        <v>14</v>
      </c>
      <c r="K458" t="s">
        <v>2</v>
      </c>
      <c r="L458" t="s">
        <v>495</v>
      </c>
      <c r="M458" t="s">
        <v>256</v>
      </c>
      <c r="N458" t="s">
        <v>3</v>
      </c>
      <c r="O458" t="s">
        <v>6</v>
      </c>
      <c r="P458">
        <f t="shared" si="28"/>
        <v>4.7365027050270871</v>
      </c>
      <c r="Q458" t="str">
        <f t="shared" si="27"/>
        <v/>
      </c>
      <c r="R458" s="67" cm="1">
        <f t="array" ref="R458">SUMPRODUCT((J458=$J$7:$J$1000)*(P458&lt;$P$7:$P$1000))+1</f>
        <v>60</v>
      </c>
      <c r="S458" s="72"/>
    </row>
    <row r="459" spans="10:19" x14ac:dyDescent="0.35">
      <c r="J459" s="66">
        <v>14</v>
      </c>
      <c r="K459" t="s">
        <v>2</v>
      </c>
      <c r="L459" t="s">
        <v>88</v>
      </c>
      <c r="M459" t="s">
        <v>256</v>
      </c>
      <c r="N459" t="s">
        <v>3</v>
      </c>
      <c r="O459" t="s">
        <v>6</v>
      </c>
      <c r="P459">
        <f t="shared" si="28"/>
        <v>1.4582150512157976</v>
      </c>
      <c r="Q459" t="str">
        <f t="shared" si="27"/>
        <v/>
      </c>
      <c r="R459" s="67" cm="1">
        <f t="array" ref="R459">SUMPRODUCT((J459=$J$7:$J$1000)*(P459&lt;$P$7:$P$1000))+1</f>
        <v>70</v>
      </c>
      <c r="S459" s="72"/>
    </row>
    <row r="460" spans="10:19" x14ac:dyDescent="0.35">
      <c r="J460" s="66">
        <v>14</v>
      </c>
      <c r="K460" t="s">
        <v>2</v>
      </c>
      <c r="L460" t="s">
        <v>90</v>
      </c>
      <c r="M460" t="s">
        <v>256</v>
      </c>
      <c r="N460" t="s">
        <v>3</v>
      </c>
      <c r="O460" t="s">
        <v>6</v>
      </c>
      <c r="P460">
        <f t="shared" si="28"/>
        <v>4.4254961091428147</v>
      </c>
      <c r="Q460" t="str">
        <f t="shared" si="27"/>
        <v/>
      </c>
      <c r="R460" s="67" cm="1">
        <f t="array" ref="R460">SUMPRODUCT((J460=$J$7:$J$1000)*(P460&lt;$P$7:$P$1000))+1</f>
        <v>62</v>
      </c>
      <c r="S460" s="72"/>
    </row>
    <row r="461" spans="10:19" x14ac:dyDescent="0.35">
      <c r="J461">
        <v>14</v>
      </c>
      <c r="K461" t="s">
        <v>36</v>
      </c>
      <c r="L461" t="s">
        <v>71</v>
      </c>
      <c r="M461" t="s">
        <v>256</v>
      </c>
      <c r="N461" t="s">
        <v>3</v>
      </c>
      <c r="O461" t="s">
        <v>13</v>
      </c>
      <c r="P461">
        <f t="shared" si="28"/>
        <v>17.390461357306211</v>
      </c>
      <c r="Q461" t="str">
        <f t="shared" si="27"/>
        <v/>
      </c>
      <c r="R461" s="67" cm="1">
        <f t="array" ref="R461">SUMPRODUCT((J461=$J$7:$J$1000)*(P461&lt;$P$7:$P$1000))+1</f>
        <v>1</v>
      </c>
      <c r="S461" s="72"/>
    </row>
    <row r="462" spans="10:19" x14ac:dyDescent="0.35">
      <c r="J462" s="66">
        <v>14</v>
      </c>
      <c r="K462" t="s">
        <v>36</v>
      </c>
      <c r="L462" t="s">
        <v>73</v>
      </c>
      <c r="M462" t="s">
        <v>256</v>
      </c>
      <c r="N462" t="s">
        <v>3</v>
      </c>
      <c r="O462" t="s">
        <v>13</v>
      </c>
      <c r="P462">
        <f t="shared" si="28"/>
        <v>12.747703498782123</v>
      </c>
      <c r="Q462" t="str">
        <f t="shared" ref="Q462:Q525" si="29">IFERROR(($M462-$P462)^2,"")</f>
        <v/>
      </c>
      <c r="R462" s="67" cm="1">
        <f t="array" ref="R462">SUMPRODUCT((J462=$J$7:$J$1000)*(P462&lt;$P$7:$P$1000))+1</f>
        <v>10</v>
      </c>
      <c r="S462" s="72"/>
    </row>
    <row r="463" spans="10:19" x14ac:dyDescent="0.35">
      <c r="J463" s="66">
        <v>14</v>
      </c>
      <c r="K463" t="s">
        <v>36</v>
      </c>
      <c r="L463" t="s">
        <v>78</v>
      </c>
      <c r="M463" t="s">
        <v>256</v>
      </c>
      <c r="N463" t="s">
        <v>3</v>
      </c>
      <c r="O463" t="s">
        <v>13</v>
      </c>
      <c r="P463">
        <f t="shared" si="28"/>
        <v>12.214522269965977</v>
      </c>
      <c r="Q463" t="str">
        <f t="shared" si="29"/>
        <v/>
      </c>
      <c r="R463" s="67" cm="1">
        <f t="array" ref="R463">SUMPRODUCT((J463=$J$7:$J$1000)*(P463&lt;$P$7:$P$1000))+1</f>
        <v>14</v>
      </c>
      <c r="S463" s="72"/>
    </row>
    <row r="464" spans="10:19" x14ac:dyDescent="0.35">
      <c r="J464" s="66">
        <v>14</v>
      </c>
      <c r="K464" t="s">
        <v>36</v>
      </c>
      <c r="L464" t="s">
        <v>573</v>
      </c>
      <c r="M464" t="s">
        <v>256</v>
      </c>
      <c r="N464" t="s">
        <v>3</v>
      </c>
      <c r="O464" t="s">
        <v>13</v>
      </c>
      <c r="P464">
        <f t="shared" si="28"/>
        <v>6.7628771502078457</v>
      </c>
      <c r="Q464" t="str">
        <f t="shared" si="29"/>
        <v/>
      </c>
      <c r="R464" s="67" cm="1">
        <f t="array" ref="R464">SUMPRODUCT((J464=$J$7:$J$1000)*(P464&lt;$P$7:$P$1000))+1</f>
        <v>49</v>
      </c>
      <c r="S464" s="72"/>
    </row>
    <row r="465" spans="10:19" x14ac:dyDescent="0.35">
      <c r="J465" s="66">
        <v>14</v>
      </c>
      <c r="K465" t="s">
        <v>36</v>
      </c>
      <c r="L465" t="s">
        <v>476</v>
      </c>
      <c r="M465" t="s">
        <v>256</v>
      </c>
      <c r="N465" t="s">
        <v>3</v>
      </c>
      <c r="O465" t="s">
        <v>13</v>
      </c>
      <c r="P465">
        <f t="shared" si="28"/>
        <v>9.0922510241439554</v>
      </c>
      <c r="Q465" t="str">
        <f t="shared" si="29"/>
        <v/>
      </c>
      <c r="R465" s="67" cm="1">
        <f t="array" ref="R465">SUMPRODUCT((J465=$J$7:$J$1000)*(P465&lt;$P$7:$P$1000))+1</f>
        <v>32</v>
      </c>
      <c r="S465" s="72"/>
    </row>
    <row r="466" spans="10:19" x14ac:dyDescent="0.35">
      <c r="J466">
        <v>14</v>
      </c>
      <c r="K466" t="s">
        <v>36</v>
      </c>
      <c r="L466" t="s">
        <v>479</v>
      </c>
      <c r="M466" t="s">
        <v>256</v>
      </c>
      <c r="N466" t="s">
        <v>3</v>
      </c>
      <c r="O466" t="s">
        <v>13</v>
      </c>
      <c r="P466">
        <f t="shared" si="28"/>
        <v>11.092068745120192</v>
      </c>
      <c r="Q466" t="str">
        <f t="shared" si="29"/>
        <v/>
      </c>
      <c r="R466" s="67" cm="1">
        <f t="array" ref="R466">SUMPRODUCT((J466=$J$7:$J$1000)*(P466&lt;$P$7:$P$1000))+1</f>
        <v>21</v>
      </c>
      <c r="S466" s="72"/>
    </row>
    <row r="467" spans="10:19" x14ac:dyDescent="0.35">
      <c r="J467">
        <v>14</v>
      </c>
      <c r="K467" t="s">
        <v>36</v>
      </c>
      <c r="L467" t="s">
        <v>334</v>
      </c>
      <c r="M467" t="s">
        <v>256</v>
      </c>
      <c r="N467" t="s">
        <v>3</v>
      </c>
      <c r="O467" t="s">
        <v>13</v>
      </c>
      <c r="P467">
        <f t="shared" si="28"/>
        <v>6.6201620067523441</v>
      </c>
      <c r="Q467" t="str">
        <f t="shared" si="29"/>
        <v/>
      </c>
      <c r="R467" s="67" cm="1">
        <f t="array" ref="R467">SUMPRODUCT((J467=$J$7:$J$1000)*(P467&lt;$P$7:$P$1000))+1</f>
        <v>50</v>
      </c>
      <c r="S467" s="72"/>
    </row>
    <row r="468" spans="10:19" x14ac:dyDescent="0.35">
      <c r="J468">
        <v>14</v>
      </c>
      <c r="K468" t="s">
        <v>6</v>
      </c>
      <c r="L468" t="s">
        <v>64</v>
      </c>
      <c r="M468" t="s">
        <v>256</v>
      </c>
      <c r="N468" t="s">
        <v>9</v>
      </c>
      <c r="O468" t="s">
        <v>2</v>
      </c>
      <c r="P468">
        <f t="shared" si="28"/>
        <v>9.4862278693702073</v>
      </c>
      <c r="Q468" t="str">
        <f t="shared" si="29"/>
        <v/>
      </c>
      <c r="R468" s="67" cm="1">
        <f t="array" ref="R468">SUMPRODUCT((J468=$J$7:$J$1000)*(P468&lt;$P$7:$P$1000))+1</f>
        <v>30</v>
      </c>
      <c r="S468" s="72"/>
    </row>
    <row r="469" spans="10:19" x14ac:dyDescent="0.35">
      <c r="J469">
        <v>14</v>
      </c>
      <c r="K469" t="s">
        <v>6</v>
      </c>
      <c r="L469" t="s">
        <v>66</v>
      </c>
      <c r="M469" t="s">
        <v>256</v>
      </c>
      <c r="N469" t="s">
        <v>9</v>
      </c>
      <c r="O469" t="s">
        <v>2</v>
      </c>
      <c r="P469">
        <f t="shared" si="28"/>
        <v>2.5431425322224035</v>
      </c>
      <c r="Q469" t="str">
        <f t="shared" si="29"/>
        <v/>
      </c>
      <c r="R469" s="67" cm="1">
        <f t="array" ref="R469">SUMPRODUCT((J469=$J$7:$J$1000)*(P469&lt;$P$7:$P$1000))+1</f>
        <v>68</v>
      </c>
      <c r="S469" s="72"/>
    </row>
    <row r="470" spans="10:19" x14ac:dyDescent="0.35">
      <c r="J470" s="66">
        <v>14</v>
      </c>
      <c r="K470" t="s">
        <v>6</v>
      </c>
      <c r="L470" t="s">
        <v>75</v>
      </c>
      <c r="M470" t="s">
        <v>256</v>
      </c>
      <c r="N470" t="s">
        <v>9</v>
      </c>
      <c r="O470" t="s">
        <v>2</v>
      </c>
      <c r="P470">
        <f t="shared" si="28"/>
        <v>6.1253167152990304</v>
      </c>
      <c r="Q470" t="str">
        <f t="shared" si="29"/>
        <v/>
      </c>
      <c r="R470" s="67" cm="1">
        <f t="array" ref="R470">SUMPRODUCT((J470=$J$7:$J$1000)*(P470&lt;$P$7:$P$1000))+1</f>
        <v>54</v>
      </c>
      <c r="S470" s="72"/>
    </row>
    <row r="471" spans="10:19" x14ac:dyDescent="0.35">
      <c r="J471" s="66">
        <v>14</v>
      </c>
      <c r="K471" t="s">
        <v>6</v>
      </c>
      <c r="L471" t="s">
        <v>93</v>
      </c>
      <c r="M471" t="s">
        <v>256</v>
      </c>
      <c r="N471" t="s">
        <v>9</v>
      </c>
      <c r="O471" t="s">
        <v>2</v>
      </c>
      <c r="P471">
        <f t="shared" si="28"/>
        <v>11.322893957348226</v>
      </c>
      <c r="Q471" t="str">
        <f t="shared" si="29"/>
        <v/>
      </c>
      <c r="R471" s="67" cm="1">
        <f t="array" ref="R471">SUMPRODUCT((J471=$J$7:$J$1000)*(P471&lt;$P$7:$P$1000))+1</f>
        <v>19</v>
      </c>
      <c r="S471" s="72"/>
    </row>
    <row r="472" spans="10:19" x14ac:dyDescent="0.35">
      <c r="J472">
        <v>14</v>
      </c>
      <c r="K472" t="s">
        <v>6</v>
      </c>
      <c r="L472" t="s">
        <v>94</v>
      </c>
      <c r="M472" t="s">
        <v>256</v>
      </c>
      <c r="N472" t="s">
        <v>9</v>
      </c>
      <c r="O472" t="s">
        <v>2</v>
      </c>
      <c r="P472">
        <f t="shared" si="28"/>
        <v>11.880264830413052</v>
      </c>
      <c r="Q472" t="str">
        <f t="shared" si="29"/>
        <v/>
      </c>
      <c r="R472" s="67" cm="1">
        <f t="array" ref="R472">SUMPRODUCT((J472=$J$7:$J$1000)*(P472&lt;$P$7:$P$1000))+1</f>
        <v>16</v>
      </c>
      <c r="S472" s="72"/>
    </row>
    <row r="473" spans="10:19" x14ac:dyDescent="0.35">
      <c r="J473">
        <v>14</v>
      </c>
      <c r="K473" t="s">
        <v>6</v>
      </c>
      <c r="L473" t="s">
        <v>43</v>
      </c>
      <c r="M473" t="s">
        <v>256</v>
      </c>
      <c r="N473" t="s">
        <v>9</v>
      </c>
      <c r="O473" t="s">
        <v>2</v>
      </c>
      <c r="P473">
        <f t="shared" si="28"/>
        <v>4.9501344229913578</v>
      </c>
      <c r="Q473" t="str">
        <f t="shared" si="29"/>
        <v/>
      </c>
      <c r="R473" s="67" cm="1">
        <f t="array" ref="R473">SUMPRODUCT((J473=$J$7:$J$1000)*(P473&lt;$P$7:$P$1000))+1</f>
        <v>59</v>
      </c>
      <c r="S473" s="72"/>
    </row>
    <row r="474" spans="10:19" x14ac:dyDescent="0.35">
      <c r="J474" s="66">
        <v>14</v>
      </c>
      <c r="K474" t="s">
        <v>6</v>
      </c>
      <c r="L474" t="s">
        <v>675</v>
      </c>
      <c r="M474" t="s">
        <v>256</v>
      </c>
      <c r="N474" t="s">
        <v>9</v>
      </c>
      <c r="O474" t="s">
        <v>2</v>
      </c>
      <c r="P474">
        <f t="shared" si="28"/>
        <v>12.047416610430325</v>
      </c>
      <c r="Q474" t="str">
        <f t="shared" si="29"/>
        <v/>
      </c>
      <c r="R474" s="67" cm="1">
        <f t="array" ref="R474">SUMPRODUCT((J474=$J$7:$J$1000)*(P474&lt;$P$7:$P$1000))+1</f>
        <v>15</v>
      </c>
      <c r="S474" s="72"/>
    </row>
    <row r="475" spans="10:19" x14ac:dyDescent="0.35">
      <c r="J475">
        <v>14</v>
      </c>
      <c r="K475" t="s">
        <v>6</v>
      </c>
      <c r="L475" t="s">
        <v>5</v>
      </c>
      <c r="M475" t="s">
        <v>256</v>
      </c>
      <c r="N475" t="s">
        <v>9</v>
      </c>
      <c r="O475" t="s">
        <v>2</v>
      </c>
      <c r="P475">
        <f t="shared" si="28"/>
        <v>13.093764248587577</v>
      </c>
      <c r="Q475" t="str">
        <f t="shared" si="29"/>
        <v/>
      </c>
      <c r="R475" s="67" cm="1">
        <f t="array" ref="R475">SUMPRODUCT((J475=$J$7:$J$1000)*(P475&lt;$P$7:$P$1000))+1</f>
        <v>7</v>
      </c>
      <c r="S475" s="72"/>
    </row>
    <row r="476" spans="10:19" x14ac:dyDescent="0.35">
      <c r="J476">
        <v>14</v>
      </c>
      <c r="K476" t="s">
        <v>24</v>
      </c>
      <c r="L476" t="s">
        <v>459</v>
      </c>
      <c r="M476" t="s">
        <v>256</v>
      </c>
      <c r="N476" t="s">
        <v>3</v>
      </c>
      <c r="O476" t="s">
        <v>23</v>
      </c>
      <c r="P476">
        <f t="shared" si="28"/>
        <v>-1.0094723530282561</v>
      </c>
      <c r="Q476" t="str">
        <f t="shared" si="29"/>
        <v/>
      </c>
      <c r="R476" s="67" cm="1">
        <f t="array" ref="R476">SUMPRODUCT((J476=$J$7:$J$1000)*(P476&lt;$P$7:$P$1000))+1</f>
        <v>75</v>
      </c>
      <c r="S476" s="72"/>
    </row>
    <row r="477" spans="10:19" x14ac:dyDescent="0.35">
      <c r="J477">
        <v>14</v>
      </c>
      <c r="K477" t="s">
        <v>24</v>
      </c>
      <c r="L477" t="s">
        <v>35</v>
      </c>
      <c r="M477" t="s">
        <v>256</v>
      </c>
      <c r="N477" t="s">
        <v>3</v>
      </c>
      <c r="O477" t="s">
        <v>23</v>
      </c>
      <c r="P477">
        <f t="shared" si="28"/>
        <v>7.2335925440538915</v>
      </c>
      <c r="Q477" t="str">
        <f t="shared" si="29"/>
        <v/>
      </c>
      <c r="R477" s="67" cm="1">
        <f t="array" ref="R477">SUMPRODUCT((J477=$J$7:$J$1000)*(P477&lt;$P$7:$P$1000))+1</f>
        <v>46</v>
      </c>
      <c r="S477" s="72"/>
    </row>
    <row r="478" spans="10:19" x14ac:dyDescent="0.35">
      <c r="J478">
        <v>14</v>
      </c>
      <c r="K478" t="s">
        <v>24</v>
      </c>
      <c r="L478" t="s">
        <v>572</v>
      </c>
      <c r="M478" t="s">
        <v>256</v>
      </c>
      <c r="N478" t="s">
        <v>3</v>
      </c>
      <c r="O478" t="s">
        <v>23</v>
      </c>
      <c r="P478">
        <f t="shared" si="28"/>
        <v>4.2423547609290093</v>
      </c>
      <c r="Q478" t="str">
        <f t="shared" si="29"/>
        <v/>
      </c>
      <c r="R478" s="67" cm="1">
        <f t="array" ref="R478">SUMPRODUCT((J478=$J$7:$J$1000)*(P478&lt;$P$7:$P$1000))+1</f>
        <v>63</v>
      </c>
      <c r="S478" s="72"/>
    </row>
    <row r="479" spans="10:19" x14ac:dyDescent="0.35">
      <c r="J479">
        <v>14</v>
      </c>
      <c r="K479" t="s">
        <v>24</v>
      </c>
      <c r="L479" t="s">
        <v>535</v>
      </c>
      <c r="M479" t="s">
        <v>256</v>
      </c>
      <c r="N479" t="s">
        <v>3</v>
      </c>
      <c r="O479" t="s">
        <v>23</v>
      </c>
      <c r="P479">
        <f t="shared" si="28"/>
        <v>-4.5607597064969418E-3</v>
      </c>
      <c r="Q479" t="str">
        <f t="shared" si="29"/>
        <v/>
      </c>
      <c r="R479" s="67" cm="1">
        <f t="array" ref="R479">SUMPRODUCT((J479=$J$7:$J$1000)*(P479&lt;$P$7:$P$1000))+1</f>
        <v>73</v>
      </c>
      <c r="S479" s="72"/>
    </row>
    <row r="480" spans="10:19" x14ac:dyDescent="0.35">
      <c r="J480">
        <v>14</v>
      </c>
      <c r="K480" t="s">
        <v>24</v>
      </c>
      <c r="L480" t="s">
        <v>84</v>
      </c>
      <c r="M480" t="s">
        <v>256</v>
      </c>
      <c r="N480" t="s">
        <v>3</v>
      </c>
      <c r="O480" t="s">
        <v>23</v>
      </c>
      <c r="P480">
        <f t="shared" si="28"/>
        <v>5.3410316171340639</v>
      </c>
      <c r="Q480" t="str">
        <f t="shared" si="29"/>
        <v/>
      </c>
      <c r="R480" s="67" cm="1">
        <f t="array" ref="R480">SUMPRODUCT((J480=$J$7:$J$1000)*(P480&lt;$P$7:$P$1000))+1</f>
        <v>57</v>
      </c>
      <c r="S480" s="72"/>
    </row>
    <row r="481" spans="10:19" x14ac:dyDescent="0.35">
      <c r="J481">
        <v>14</v>
      </c>
      <c r="K481" t="s">
        <v>24</v>
      </c>
      <c r="L481" t="s">
        <v>194</v>
      </c>
      <c r="M481" t="s">
        <v>256</v>
      </c>
      <c r="N481" t="s">
        <v>3</v>
      </c>
      <c r="O481" t="s">
        <v>23</v>
      </c>
      <c r="P481">
        <f t="shared" si="28"/>
        <v>7.6326379487129863</v>
      </c>
      <c r="Q481" t="str">
        <f t="shared" si="29"/>
        <v/>
      </c>
      <c r="R481" s="67" cm="1">
        <f t="array" ref="R481">SUMPRODUCT((J481=$J$7:$J$1000)*(P481&lt;$P$7:$P$1000))+1</f>
        <v>42</v>
      </c>
      <c r="S481" s="72"/>
    </row>
    <row r="482" spans="10:19" x14ac:dyDescent="0.35">
      <c r="J482">
        <v>14</v>
      </c>
      <c r="K482" t="s">
        <v>24</v>
      </c>
      <c r="L482" t="s">
        <v>96</v>
      </c>
      <c r="M482" t="s">
        <v>256</v>
      </c>
      <c r="N482" t="s">
        <v>3</v>
      </c>
      <c r="O482" t="s">
        <v>23</v>
      </c>
      <c r="P482">
        <f t="shared" si="28"/>
        <v>9.799804112035984</v>
      </c>
      <c r="Q482" t="str">
        <f t="shared" si="29"/>
        <v/>
      </c>
      <c r="R482" s="67" cm="1">
        <f t="array" ref="R482">SUMPRODUCT((J482=$J$7:$J$1000)*(P482&lt;$P$7:$P$1000))+1</f>
        <v>26</v>
      </c>
      <c r="S482" s="72"/>
    </row>
    <row r="483" spans="10:19" x14ac:dyDescent="0.35">
      <c r="J483" s="66">
        <v>14</v>
      </c>
      <c r="K483" t="s">
        <v>24</v>
      </c>
      <c r="L483" t="s">
        <v>533</v>
      </c>
      <c r="M483" t="s">
        <v>256</v>
      </c>
      <c r="N483" t="s">
        <v>3</v>
      </c>
      <c r="O483" t="s">
        <v>23</v>
      </c>
      <c r="P483">
        <f t="shared" si="28"/>
        <v>13.062032031087684</v>
      </c>
      <c r="Q483" t="str">
        <f t="shared" si="29"/>
        <v/>
      </c>
      <c r="R483" s="67" cm="1">
        <f t="array" ref="R483">SUMPRODUCT((J483=$J$7:$J$1000)*(P483&lt;$P$7:$P$1000))+1</f>
        <v>8</v>
      </c>
      <c r="S483" s="72"/>
    </row>
    <row r="484" spans="10:19" x14ac:dyDescent="0.35">
      <c r="J484" s="66">
        <v>14</v>
      </c>
      <c r="K484" t="s">
        <v>24</v>
      </c>
      <c r="L484" t="s">
        <v>446</v>
      </c>
      <c r="M484" t="s">
        <v>256</v>
      </c>
      <c r="N484" t="s">
        <v>3</v>
      </c>
      <c r="O484" t="s">
        <v>23</v>
      </c>
      <c r="P484">
        <f t="shared" si="28"/>
        <v>6.1731436353734317</v>
      </c>
      <c r="Q484" t="str">
        <f t="shared" si="29"/>
        <v/>
      </c>
      <c r="R484" s="67" cm="1">
        <f t="array" ref="R484">SUMPRODUCT((J484=$J$7:$J$1000)*(P484&lt;$P$7:$P$1000))+1</f>
        <v>53</v>
      </c>
      <c r="S484" s="72"/>
    </row>
    <row r="485" spans="10:19" x14ac:dyDescent="0.35">
      <c r="J485">
        <v>14</v>
      </c>
      <c r="K485" t="s">
        <v>24</v>
      </c>
      <c r="L485" t="s">
        <v>101</v>
      </c>
      <c r="M485" t="s">
        <v>256</v>
      </c>
      <c r="N485" t="s">
        <v>3</v>
      </c>
      <c r="O485" t="s">
        <v>23</v>
      </c>
      <c r="P485">
        <f t="shared" si="28"/>
        <v>4.6002377109660681</v>
      </c>
      <c r="Q485" t="str">
        <f t="shared" si="29"/>
        <v/>
      </c>
      <c r="R485" s="67" cm="1">
        <f t="array" ref="R485">SUMPRODUCT((J485=$J$7:$J$1000)*(P485&lt;$P$7:$P$1000))+1</f>
        <v>61</v>
      </c>
      <c r="S485" s="72"/>
    </row>
    <row r="486" spans="10:19" x14ac:dyDescent="0.35">
      <c r="J486">
        <v>14</v>
      </c>
      <c r="K486" t="s">
        <v>23</v>
      </c>
      <c r="L486" t="s">
        <v>522</v>
      </c>
      <c r="M486" t="s">
        <v>256</v>
      </c>
      <c r="N486" t="s">
        <v>9</v>
      </c>
      <c r="O486" t="s">
        <v>24</v>
      </c>
      <c r="P486">
        <f t="shared" si="28"/>
        <v>7.2453469782130853</v>
      </c>
      <c r="Q486" t="str">
        <f t="shared" si="29"/>
        <v/>
      </c>
      <c r="R486" s="67" cm="1">
        <f t="array" ref="R486">SUMPRODUCT((J486=$J$7:$J$1000)*(P486&lt;$P$7:$P$1000))+1</f>
        <v>45</v>
      </c>
      <c r="S486" s="72"/>
    </row>
    <row r="487" spans="10:19" x14ac:dyDescent="0.35">
      <c r="J487">
        <v>14</v>
      </c>
      <c r="K487" t="s">
        <v>23</v>
      </c>
      <c r="L487" t="s">
        <v>443</v>
      </c>
      <c r="M487" t="s">
        <v>256</v>
      </c>
      <c r="N487" t="s">
        <v>9</v>
      </c>
      <c r="O487" t="s">
        <v>24</v>
      </c>
      <c r="P487">
        <f t="shared" si="28"/>
        <v>8.1058071968076639</v>
      </c>
      <c r="Q487" t="str">
        <f t="shared" si="29"/>
        <v/>
      </c>
      <c r="R487" s="67" cm="1">
        <f t="array" ref="R487">SUMPRODUCT((J487=$J$7:$J$1000)*(P487&lt;$P$7:$P$1000))+1</f>
        <v>41</v>
      </c>
      <c r="S487" s="72"/>
    </row>
    <row r="488" spans="10:19" x14ac:dyDescent="0.35">
      <c r="J488">
        <v>14</v>
      </c>
      <c r="K488" t="s">
        <v>23</v>
      </c>
      <c r="L488" t="s">
        <v>340</v>
      </c>
      <c r="M488" t="s">
        <v>256</v>
      </c>
      <c r="N488" t="s">
        <v>9</v>
      </c>
      <c r="O488" t="s">
        <v>24</v>
      </c>
      <c r="P488">
        <f t="shared" si="28"/>
        <v>9.7299362213608074</v>
      </c>
      <c r="Q488" t="str">
        <f t="shared" si="29"/>
        <v/>
      </c>
      <c r="R488" s="67" cm="1">
        <f t="array" ref="R488">SUMPRODUCT((J488=$J$7:$J$1000)*(P488&lt;$P$7:$P$1000))+1</f>
        <v>27</v>
      </c>
      <c r="S488" s="72"/>
    </row>
    <row r="489" spans="10:19" x14ac:dyDescent="0.35">
      <c r="J489">
        <v>14</v>
      </c>
      <c r="K489" t="s">
        <v>23</v>
      </c>
      <c r="L489" t="s">
        <v>565</v>
      </c>
      <c r="M489" t="s">
        <v>256</v>
      </c>
      <c r="N489" t="s">
        <v>9</v>
      </c>
      <c r="O489" t="s">
        <v>24</v>
      </c>
      <c r="P489">
        <f t="shared" si="28"/>
        <v>12.644790468343579</v>
      </c>
      <c r="Q489" t="str">
        <f t="shared" si="29"/>
        <v/>
      </c>
      <c r="R489" s="67" cm="1">
        <f t="array" ref="R489">SUMPRODUCT((J489=$J$7:$J$1000)*(P489&lt;$P$7:$P$1000))+1</f>
        <v>11</v>
      </c>
      <c r="S489" s="72"/>
    </row>
    <row r="490" spans="10:19" x14ac:dyDescent="0.35">
      <c r="J490">
        <v>14</v>
      </c>
      <c r="K490" t="s">
        <v>23</v>
      </c>
      <c r="L490" t="s">
        <v>498</v>
      </c>
      <c r="M490" t="s">
        <v>256</v>
      </c>
      <c r="N490" t="s">
        <v>9</v>
      </c>
      <c r="O490" t="s">
        <v>24</v>
      </c>
      <c r="P490">
        <f t="shared" si="28"/>
        <v>5.9242935532806094</v>
      </c>
      <c r="Q490" t="str">
        <f t="shared" si="29"/>
        <v/>
      </c>
      <c r="R490" s="67" cm="1">
        <f t="array" ref="R490">SUMPRODUCT((J490=$J$7:$J$1000)*(P490&lt;$P$7:$P$1000))+1</f>
        <v>56</v>
      </c>
      <c r="S490" s="72"/>
    </row>
    <row r="491" spans="10:19" x14ac:dyDescent="0.35">
      <c r="J491">
        <v>14</v>
      </c>
      <c r="K491" t="s">
        <v>23</v>
      </c>
      <c r="L491" t="s">
        <v>91</v>
      </c>
      <c r="M491" t="s">
        <v>256</v>
      </c>
      <c r="N491" t="s">
        <v>9</v>
      </c>
      <c r="O491" t="s">
        <v>24</v>
      </c>
      <c r="P491">
        <f t="shared" si="28"/>
        <v>15.761632282407509</v>
      </c>
      <c r="Q491" t="str">
        <f t="shared" si="29"/>
        <v/>
      </c>
      <c r="R491" s="67" cm="1">
        <f t="array" ref="R491">SUMPRODUCT((J491=$J$7:$J$1000)*(P491&lt;$P$7:$P$1000))+1</f>
        <v>3</v>
      </c>
      <c r="S491" s="72"/>
    </row>
    <row r="492" spans="10:19" x14ac:dyDescent="0.35">
      <c r="J492">
        <v>14</v>
      </c>
      <c r="K492" t="s">
        <v>23</v>
      </c>
      <c r="L492" t="s">
        <v>456</v>
      </c>
      <c r="M492" t="s">
        <v>256</v>
      </c>
      <c r="N492" t="s">
        <v>9</v>
      </c>
      <c r="O492" t="s">
        <v>24</v>
      </c>
      <c r="P492">
        <f t="shared" si="28"/>
        <v>8.4154360495038816</v>
      </c>
      <c r="Q492" t="str">
        <f t="shared" si="29"/>
        <v/>
      </c>
      <c r="R492" s="67" cm="1">
        <f t="array" ref="R492">SUMPRODUCT((J492=$J$7:$J$1000)*(P492&lt;$P$7:$P$1000))+1</f>
        <v>36</v>
      </c>
      <c r="S492" s="72"/>
    </row>
    <row r="493" spans="10:19" x14ac:dyDescent="0.35">
      <c r="J493" s="66">
        <v>14</v>
      </c>
      <c r="K493" t="s">
        <v>7</v>
      </c>
      <c r="L493" t="s">
        <v>65</v>
      </c>
      <c r="M493" t="s">
        <v>256</v>
      </c>
      <c r="N493" t="s">
        <v>9</v>
      </c>
      <c r="O493" t="s">
        <v>14</v>
      </c>
      <c r="P493">
        <f t="shared" si="28"/>
        <v>11.43014686757509</v>
      </c>
      <c r="Q493" t="str">
        <f t="shared" si="29"/>
        <v/>
      </c>
      <c r="R493" s="67" cm="1">
        <f t="array" ref="R493">SUMPRODUCT((J493=$J$7:$J$1000)*(P493&lt;$P$7:$P$1000))+1</f>
        <v>18</v>
      </c>
      <c r="S493" s="72"/>
    </row>
    <row r="494" spans="10:19" x14ac:dyDescent="0.35">
      <c r="J494">
        <v>14</v>
      </c>
      <c r="K494" t="s">
        <v>7</v>
      </c>
      <c r="L494" t="s">
        <v>67</v>
      </c>
      <c r="M494" t="s">
        <v>256</v>
      </c>
      <c r="N494" t="s">
        <v>9</v>
      </c>
      <c r="O494" t="s">
        <v>14</v>
      </c>
      <c r="P494">
        <f t="shared" si="28"/>
        <v>11.5135043266895</v>
      </c>
      <c r="Q494" t="str">
        <f t="shared" si="29"/>
        <v/>
      </c>
      <c r="R494" s="67" cm="1">
        <f t="array" ref="R494">SUMPRODUCT((J494=$J$7:$J$1000)*(P494&lt;$P$7:$P$1000))+1</f>
        <v>17</v>
      </c>
      <c r="S494" s="72"/>
    </row>
    <row r="495" spans="10:19" x14ac:dyDescent="0.35">
      <c r="J495">
        <v>14</v>
      </c>
      <c r="K495" t="s">
        <v>7</v>
      </c>
      <c r="L495" t="s">
        <v>77</v>
      </c>
      <c r="M495" t="s">
        <v>256</v>
      </c>
      <c r="N495" t="s">
        <v>9</v>
      </c>
      <c r="O495" t="s">
        <v>14</v>
      </c>
      <c r="P495">
        <f t="shared" si="28"/>
        <v>12.82255077339291</v>
      </c>
      <c r="Q495" t="str">
        <f t="shared" si="29"/>
        <v/>
      </c>
      <c r="R495" s="67" cm="1">
        <f t="array" ref="R495">SUMPRODUCT((J495=$J$7:$J$1000)*(P495&lt;$P$7:$P$1000))+1</f>
        <v>9</v>
      </c>
      <c r="S495" s="72"/>
    </row>
    <row r="496" spans="10:19" x14ac:dyDescent="0.35">
      <c r="J496">
        <v>14</v>
      </c>
      <c r="K496" t="s">
        <v>7</v>
      </c>
      <c r="L496" t="s">
        <v>80</v>
      </c>
      <c r="M496" t="s">
        <v>256</v>
      </c>
      <c r="N496" t="s">
        <v>9</v>
      </c>
      <c r="O496" t="s">
        <v>14</v>
      </c>
      <c r="P496">
        <f t="shared" si="28"/>
        <v>13.235934055899204</v>
      </c>
      <c r="Q496" t="str">
        <f t="shared" si="29"/>
        <v/>
      </c>
      <c r="R496" s="67" cm="1">
        <f t="array" ref="R496">SUMPRODUCT((J496=$J$7:$J$1000)*(P496&lt;$P$7:$P$1000))+1</f>
        <v>6</v>
      </c>
      <c r="S496" s="72"/>
    </row>
    <row r="497" spans="10:19" x14ac:dyDescent="0.35">
      <c r="J497">
        <v>14</v>
      </c>
      <c r="K497" t="s">
        <v>7</v>
      </c>
      <c r="L497" t="s">
        <v>521</v>
      </c>
      <c r="M497" t="s">
        <v>256</v>
      </c>
      <c r="N497" t="s">
        <v>9</v>
      </c>
      <c r="O497" t="s">
        <v>14</v>
      </c>
      <c r="P497">
        <f t="shared" si="28"/>
        <v>8.1120431867471634</v>
      </c>
      <c r="Q497" t="str">
        <f t="shared" si="29"/>
        <v/>
      </c>
      <c r="R497" s="67" cm="1">
        <f t="array" ref="R497">SUMPRODUCT((J497=$J$7:$J$1000)*(P497&lt;$P$7:$P$1000))+1</f>
        <v>40</v>
      </c>
      <c r="S497" s="72"/>
    </row>
    <row r="498" spans="10:19" x14ac:dyDescent="0.35">
      <c r="J498">
        <v>14</v>
      </c>
      <c r="K498" t="s">
        <v>7</v>
      </c>
      <c r="L498" t="s">
        <v>92</v>
      </c>
      <c r="M498" t="s">
        <v>256</v>
      </c>
      <c r="N498" t="s">
        <v>9</v>
      </c>
      <c r="O498" t="s">
        <v>14</v>
      </c>
      <c r="P498">
        <f t="shared" si="28"/>
        <v>10.794616395231067</v>
      </c>
      <c r="Q498" t="str">
        <f t="shared" si="29"/>
        <v/>
      </c>
      <c r="R498" s="67" cm="1">
        <f t="array" ref="R498">SUMPRODUCT((J498=$J$7:$J$1000)*(P498&lt;$P$7:$P$1000))+1</f>
        <v>23</v>
      </c>
      <c r="S498" s="72"/>
    </row>
    <row r="499" spans="10:19" x14ac:dyDescent="0.35">
      <c r="J499">
        <v>14</v>
      </c>
      <c r="K499" t="s">
        <v>34</v>
      </c>
      <c r="L499" t="s">
        <v>41</v>
      </c>
      <c r="M499" t="s">
        <v>256</v>
      </c>
      <c r="N499" t="s">
        <v>9</v>
      </c>
      <c r="O499" t="s">
        <v>17</v>
      </c>
      <c r="P499">
        <f t="shared" si="28"/>
        <v>10.43548167477195</v>
      </c>
      <c r="Q499" t="str">
        <f t="shared" si="29"/>
        <v/>
      </c>
      <c r="R499" s="67" cm="1">
        <f t="array" ref="R499">SUMPRODUCT((J499=$J$7:$J$1000)*(P499&lt;$P$7:$P$1000))+1</f>
        <v>24</v>
      </c>
      <c r="S499" s="72"/>
    </row>
    <row r="500" spans="10:19" x14ac:dyDescent="0.35">
      <c r="J500">
        <v>14</v>
      </c>
      <c r="K500" t="s">
        <v>34</v>
      </c>
      <c r="L500" t="s">
        <v>496</v>
      </c>
      <c r="M500" t="s">
        <v>256</v>
      </c>
      <c r="N500" t="s">
        <v>9</v>
      </c>
      <c r="O500" t="s">
        <v>17</v>
      </c>
      <c r="P500">
        <f t="shared" si="28"/>
        <v>7.2866847156388115</v>
      </c>
      <c r="Q500" t="str">
        <f t="shared" si="29"/>
        <v/>
      </c>
      <c r="R500" s="67" cm="1">
        <f t="array" ref="R500">SUMPRODUCT((J500=$J$7:$J$1000)*(P500&lt;$P$7:$P$1000))+1</f>
        <v>44</v>
      </c>
      <c r="S500" s="72"/>
    </row>
    <row r="501" spans="10:19" x14ac:dyDescent="0.35">
      <c r="J501" s="66">
        <v>14</v>
      </c>
      <c r="K501" t="s">
        <v>34</v>
      </c>
      <c r="L501" t="s">
        <v>536</v>
      </c>
      <c r="M501" t="s">
        <v>256</v>
      </c>
      <c r="N501" t="s">
        <v>9</v>
      </c>
      <c r="O501" t="s">
        <v>17</v>
      </c>
      <c r="P501">
        <f t="shared" si="28"/>
        <v>10.864151486820802</v>
      </c>
      <c r="Q501" t="str">
        <f t="shared" si="29"/>
        <v/>
      </c>
      <c r="R501" s="67" cm="1">
        <f t="array" ref="R501">SUMPRODUCT((J501=$J$7:$J$1000)*(P501&lt;$P$7:$P$1000))+1</f>
        <v>22</v>
      </c>
      <c r="S501" s="72"/>
    </row>
    <row r="502" spans="10:19" x14ac:dyDescent="0.35">
      <c r="J502">
        <v>14</v>
      </c>
      <c r="K502" t="s">
        <v>34</v>
      </c>
      <c r="L502" t="s">
        <v>95</v>
      </c>
      <c r="M502" t="s">
        <v>256</v>
      </c>
      <c r="N502" t="s">
        <v>9</v>
      </c>
      <c r="O502" t="s">
        <v>17</v>
      </c>
      <c r="P502">
        <f t="shared" si="28"/>
        <v>11.259729979039683</v>
      </c>
      <c r="Q502" t="str">
        <f t="shared" si="29"/>
        <v/>
      </c>
      <c r="R502" s="67" cm="1">
        <f t="array" ref="R502">SUMPRODUCT((J502=$J$7:$J$1000)*(P502&lt;$P$7:$P$1000))+1</f>
        <v>20</v>
      </c>
      <c r="S502" s="72"/>
    </row>
    <row r="503" spans="10:19" x14ac:dyDescent="0.35">
      <c r="J503">
        <v>14</v>
      </c>
      <c r="K503" t="s">
        <v>34</v>
      </c>
      <c r="L503" t="s">
        <v>674</v>
      </c>
      <c r="M503" t="s">
        <v>256</v>
      </c>
      <c r="N503" t="s">
        <v>9</v>
      </c>
      <c r="O503" t="s">
        <v>17</v>
      </c>
      <c r="P503">
        <f t="shared" si="28"/>
        <v>12.589050642136671</v>
      </c>
      <c r="Q503" t="str">
        <f t="shared" si="29"/>
        <v/>
      </c>
      <c r="R503" s="67" cm="1">
        <f t="array" ref="R503">SUMPRODUCT((J503=$J$7:$J$1000)*(P503&lt;$P$7:$P$1000))+1</f>
        <v>12</v>
      </c>
      <c r="S503" s="72"/>
    </row>
    <row r="504" spans="10:19" x14ac:dyDescent="0.35">
      <c r="J504">
        <v>14</v>
      </c>
      <c r="K504" t="s">
        <v>34</v>
      </c>
      <c r="L504" t="s">
        <v>100</v>
      </c>
      <c r="M504" t="s">
        <v>256</v>
      </c>
      <c r="N504" t="s">
        <v>9</v>
      </c>
      <c r="O504" t="s">
        <v>17</v>
      </c>
      <c r="P504">
        <f t="shared" si="28"/>
        <v>7.3096172423602006</v>
      </c>
      <c r="Q504" t="str">
        <f t="shared" si="29"/>
        <v/>
      </c>
      <c r="R504" s="67" cm="1">
        <f t="array" ref="R504">SUMPRODUCT((J504=$J$7:$J$1000)*(P504&lt;$P$7:$P$1000))+1</f>
        <v>43</v>
      </c>
      <c r="S504" s="72"/>
    </row>
    <row r="505" spans="10:19" x14ac:dyDescent="0.35">
      <c r="J505">
        <v>14</v>
      </c>
      <c r="K505" t="s">
        <v>17</v>
      </c>
      <c r="L505" t="s">
        <v>37</v>
      </c>
      <c r="M505" t="s">
        <v>256</v>
      </c>
      <c r="N505" t="s">
        <v>3</v>
      </c>
      <c r="O505" t="s">
        <v>34</v>
      </c>
      <c r="P505">
        <f t="shared" si="28"/>
        <v>16.692806193933723</v>
      </c>
      <c r="Q505" t="str">
        <f t="shared" si="29"/>
        <v/>
      </c>
      <c r="R505" s="67" cm="1">
        <f t="array" ref="R505">SUMPRODUCT((J505=$J$7:$J$1000)*(P505&lt;$P$7:$P$1000))+1</f>
        <v>2</v>
      </c>
      <c r="S505" s="72"/>
    </row>
    <row r="506" spans="10:19" x14ac:dyDescent="0.35">
      <c r="J506" s="66">
        <v>14</v>
      </c>
      <c r="K506" t="s">
        <v>17</v>
      </c>
      <c r="L506" t="s">
        <v>497</v>
      </c>
      <c r="M506" t="s">
        <v>256</v>
      </c>
      <c r="N506" t="s">
        <v>3</v>
      </c>
      <c r="O506" t="s">
        <v>34</v>
      </c>
      <c r="P506">
        <f t="shared" si="28"/>
        <v>14.029855885753522</v>
      </c>
      <c r="Q506" t="str">
        <f t="shared" si="29"/>
        <v/>
      </c>
      <c r="R506" s="67" cm="1">
        <f t="array" ref="R506">SUMPRODUCT((J506=$J$7:$J$1000)*(P506&lt;$P$7:$P$1000))+1</f>
        <v>5</v>
      </c>
      <c r="S506" s="72"/>
    </row>
    <row r="507" spans="10:19" x14ac:dyDescent="0.35">
      <c r="J507">
        <v>14</v>
      </c>
      <c r="K507" t="s">
        <v>17</v>
      </c>
      <c r="L507" t="s">
        <v>76</v>
      </c>
      <c r="M507" t="s">
        <v>256</v>
      </c>
      <c r="N507" t="s">
        <v>3</v>
      </c>
      <c r="O507" t="s">
        <v>34</v>
      </c>
      <c r="P507">
        <f t="shared" si="28"/>
        <v>8.255667421421208</v>
      </c>
      <c r="Q507" t="str">
        <f t="shared" si="29"/>
        <v/>
      </c>
      <c r="R507" s="67" cm="1">
        <f t="array" ref="R507">SUMPRODUCT((J507=$J$7:$J$1000)*(P507&lt;$P$7:$P$1000))+1</f>
        <v>38</v>
      </c>
      <c r="S507" s="72"/>
    </row>
    <row r="508" spans="10:19" x14ac:dyDescent="0.35">
      <c r="J508">
        <v>14</v>
      </c>
      <c r="K508" t="s">
        <v>17</v>
      </c>
      <c r="L508" t="s">
        <v>458</v>
      </c>
      <c r="M508" t="s">
        <v>256</v>
      </c>
      <c r="N508" t="s">
        <v>3</v>
      </c>
      <c r="O508" t="s">
        <v>34</v>
      </c>
      <c r="P508">
        <f t="shared" si="28"/>
        <v>1.5261886533001019</v>
      </c>
      <c r="Q508" t="str">
        <f t="shared" si="29"/>
        <v/>
      </c>
      <c r="R508" s="67" cm="1">
        <f t="array" ref="R508">SUMPRODUCT((J508=$J$7:$J$1000)*(P508&lt;$P$7:$P$1000))+1</f>
        <v>69</v>
      </c>
      <c r="S508" s="72"/>
    </row>
    <row r="509" spans="10:19" x14ac:dyDescent="0.35">
      <c r="J509" s="66">
        <v>14</v>
      </c>
      <c r="K509" t="s">
        <v>17</v>
      </c>
      <c r="L509" t="s">
        <v>82</v>
      </c>
      <c r="M509" t="s">
        <v>256</v>
      </c>
      <c r="N509" t="s">
        <v>3</v>
      </c>
      <c r="O509" t="s">
        <v>34</v>
      </c>
      <c r="P509">
        <f t="shared" si="28"/>
        <v>9.5220407074397269</v>
      </c>
      <c r="Q509" t="str">
        <f t="shared" si="29"/>
        <v/>
      </c>
      <c r="R509" s="67" cm="1">
        <f t="array" ref="R509">SUMPRODUCT((J509=$J$7:$J$1000)*(P509&lt;$P$7:$P$1000))+1</f>
        <v>29</v>
      </c>
      <c r="S509" s="72"/>
    </row>
    <row r="510" spans="10:19" x14ac:dyDescent="0.35">
      <c r="J510">
        <v>14</v>
      </c>
      <c r="K510" t="s">
        <v>17</v>
      </c>
      <c r="L510" t="s">
        <v>531</v>
      </c>
      <c r="M510" t="s">
        <v>256</v>
      </c>
      <c r="N510" t="s">
        <v>3</v>
      </c>
      <c r="O510" t="s">
        <v>34</v>
      </c>
      <c r="P510">
        <f t="shared" si="28"/>
        <v>14.43059078870137</v>
      </c>
      <c r="Q510" t="str">
        <f t="shared" si="29"/>
        <v/>
      </c>
      <c r="R510" s="67" cm="1">
        <f t="array" ref="R510">SUMPRODUCT((J510=$J$7:$J$1000)*(P510&lt;$P$7:$P$1000))+1</f>
        <v>4</v>
      </c>
      <c r="S510" s="72"/>
    </row>
    <row r="511" spans="10:19" x14ac:dyDescent="0.35">
      <c r="J511">
        <v>14</v>
      </c>
      <c r="K511" t="s">
        <v>17</v>
      </c>
      <c r="L511" t="s">
        <v>450</v>
      </c>
      <c r="M511" t="s">
        <v>256</v>
      </c>
      <c r="N511" t="s">
        <v>3</v>
      </c>
      <c r="O511" t="s">
        <v>34</v>
      </c>
      <c r="P511">
        <f t="shared" si="28"/>
        <v>8.2311308508900769</v>
      </c>
      <c r="Q511" t="str">
        <f t="shared" si="29"/>
        <v/>
      </c>
      <c r="R511" s="67" cm="1">
        <f t="array" ref="R511">SUMPRODUCT((J511=$J$7:$J$1000)*(P511&lt;$P$7:$P$1000))+1</f>
        <v>39</v>
      </c>
      <c r="S511" s="72"/>
    </row>
    <row r="512" spans="10:19" x14ac:dyDescent="0.35">
      <c r="J512">
        <v>14</v>
      </c>
      <c r="K512" t="s">
        <v>17</v>
      </c>
      <c r="L512" t="s">
        <v>537</v>
      </c>
      <c r="M512" t="s">
        <v>256</v>
      </c>
      <c r="N512" t="s">
        <v>3</v>
      </c>
      <c r="O512" t="s">
        <v>34</v>
      </c>
      <c r="P512">
        <f t="shared" si="28"/>
        <v>8.3809392332359334</v>
      </c>
      <c r="Q512" t="str">
        <f t="shared" si="29"/>
        <v/>
      </c>
      <c r="R512" s="67" cm="1">
        <f t="array" ref="R512">SUMPRODUCT((J512=$J$7:$J$1000)*(P512&lt;$P$7:$P$1000))+1</f>
        <v>37</v>
      </c>
      <c r="S512" s="72"/>
    </row>
    <row r="513" spans="10:19" x14ac:dyDescent="0.35">
      <c r="J513">
        <v>14</v>
      </c>
      <c r="K513" t="s">
        <v>13</v>
      </c>
      <c r="L513" t="s">
        <v>478</v>
      </c>
      <c r="M513" t="s">
        <v>256</v>
      </c>
      <c r="N513" t="s">
        <v>9</v>
      </c>
      <c r="O513" t="s">
        <v>36</v>
      </c>
      <c r="P513">
        <f t="shared" si="28"/>
        <v>7.0574329767401736</v>
      </c>
      <c r="Q513" t="str">
        <f t="shared" si="29"/>
        <v/>
      </c>
      <c r="R513" s="67" cm="1">
        <f t="array" ref="R513">SUMPRODUCT((J513=$J$7:$J$1000)*(P513&lt;$P$7:$P$1000))+1</f>
        <v>48</v>
      </c>
      <c r="S513" s="72"/>
    </row>
    <row r="514" spans="10:19" x14ac:dyDescent="0.35">
      <c r="J514">
        <v>14</v>
      </c>
      <c r="K514" t="s">
        <v>13</v>
      </c>
      <c r="L514" t="s">
        <v>79</v>
      </c>
      <c r="M514" t="s">
        <v>256</v>
      </c>
      <c r="N514" t="s">
        <v>9</v>
      </c>
      <c r="O514" t="s">
        <v>36</v>
      </c>
      <c r="P514">
        <f t="shared" si="28"/>
        <v>12.561742958998767</v>
      </c>
      <c r="Q514" t="str">
        <f t="shared" si="29"/>
        <v/>
      </c>
      <c r="R514" s="67" cm="1">
        <f t="array" ref="R514">SUMPRODUCT((J514=$J$7:$J$1000)*(P514&lt;$P$7:$P$1000))+1</f>
        <v>13</v>
      </c>
      <c r="S514" s="72"/>
    </row>
    <row r="515" spans="10:19" x14ac:dyDescent="0.35">
      <c r="J515">
        <v>14</v>
      </c>
      <c r="K515" t="s">
        <v>13</v>
      </c>
      <c r="L515" t="s">
        <v>477</v>
      </c>
      <c r="M515" t="s">
        <v>256</v>
      </c>
      <c r="N515" t="s">
        <v>9</v>
      </c>
      <c r="O515" t="s">
        <v>36</v>
      </c>
      <c r="P515">
        <f t="shared" si="28"/>
        <v>10.045552557406664</v>
      </c>
      <c r="Q515" t="str">
        <f t="shared" si="29"/>
        <v/>
      </c>
      <c r="R515" s="67" cm="1">
        <f t="array" ref="R515">SUMPRODUCT((J515=$J$7:$J$1000)*(P515&lt;$P$7:$P$1000))+1</f>
        <v>25</v>
      </c>
      <c r="S515" s="72"/>
    </row>
    <row r="516" spans="10:19" x14ac:dyDescent="0.35">
      <c r="J516">
        <v>14</v>
      </c>
      <c r="K516" t="s">
        <v>13</v>
      </c>
      <c r="L516" t="s">
        <v>494</v>
      </c>
      <c r="M516" t="s">
        <v>256</v>
      </c>
      <c r="N516" t="s">
        <v>9</v>
      </c>
      <c r="O516" t="s">
        <v>36</v>
      </c>
      <c r="P516">
        <f t="shared" si="28"/>
        <v>8.9552279311983991</v>
      </c>
      <c r="Q516" t="str">
        <f t="shared" si="29"/>
        <v/>
      </c>
      <c r="R516" s="67" cm="1">
        <f t="array" ref="R516">SUMPRODUCT((J516=$J$7:$J$1000)*(P516&lt;$P$7:$P$1000))+1</f>
        <v>34</v>
      </c>
      <c r="S516" s="72"/>
    </row>
    <row r="517" spans="10:19" x14ac:dyDescent="0.35">
      <c r="J517">
        <v>14</v>
      </c>
      <c r="K517" t="s">
        <v>13</v>
      </c>
      <c r="L517" t="s">
        <v>687</v>
      </c>
      <c r="M517" t="s">
        <v>256</v>
      </c>
      <c r="N517" t="s">
        <v>9</v>
      </c>
      <c r="O517" t="s">
        <v>36</v>
      </c>
      <c r="P517">
        <f t="shared" si="28"/>
        <v>7.1332459604422471</v>
      </c>
      <c r="Q517" t="str">
        <f t="shared" si="29"/>
        <v/>
      </c>
      <c r="R517" s="67" cm="1">
        <f t="array" ref="R517">SUMPRODUCT((J517=$J$7:$J$1000)*(P517&lt;$P$7:$P$1000))+1</f>
        <v>47</v>
      </c>
      <c r="S517" s="72"/>
    </row>
    <row r="518" spans="10:19" x14ac:dyDescent="0.35">
      <c r="J518">
        <v>14</v>
      </c>
      <c r="K518" t="s">
        <v>13</v>
      </c>
      <c r="L518" t="s">
        <v>98</v>
      </c>
      <c r="M518" t="s">
        <v>256</v>
      </c>
      <c r="N518" t="s">
        <v>9</v>
      </c>
      <c r="O518" t="s">
        <v>36</v>
      </c>
      <c r="P518">
        <f t="shared" si="28"/>
        <v>0.90005903964424605</v>
      </c>
      <c r="Q518" t="str">
        <f t="shared" si="29"/>
        <v/>
      </c>
      <c r="R518" s="67" cm="1">
        <f t="array" ref="R518">SUMPRODUCT((J518=$J$7:$J$1000)*(P518&lt;$P$7:$P$1000))+1</f>
        <v>71</v>
      </c>
      <c r="S518" s="72"/>
    </row>
    <row r="519" spans="10:19" x14ac:dyDescent="0.35">
      <c r="J519">
        <v>14</v>
      </c>
      <c r="K519" t="s">
        <v>13</v>
      </c>
      <c r="L519" t="s">
        <v>691</v>
      </c>
      <c r="M519" t="s">
        <v>256</v>
      </c>
      <c r="N519" t="s">
        <v>9</v>
      </c>
      <c r="O519" t="s">
        <v>36</v>
      </c>
      <c r="P519">
        <f t="shared" si="28"/>
        <v>5.1302937730085221</v>
      </c>
      <c r="Q519" t="str">
        <f t="shared" si="29"/>
        <v/>
      </c>
      <c r="R519" s="67" cm="1">
        <f t="array" ref="R519">SUMPRODUCT((J519=$J$7:$J$1000)*(P519&lt;$P$7:$P$1000))+1</f>
        <v>58</v>
      </c>
      <c r="S519" s="72"/>
    </row>
    <row r="520" spans="10:19" x14ac:dyDescent="0.35">
      <c r="J520">
        <v>14</v>
      </c>
      <c r="K520" t="s">
        <v>13</v>
      </c>
      <c r="L520" t="s">
        <v>49</v>
      </c>
      <c r="M520" t="s">
        <v>256</v>
      </c>
      <c r="N520" t="s">
        <v>9</v>
      </c>
      <c r="O520" t="s">
        <v>36</v>
      </c>
      <c r="P520">
        <f t="shared" ref="P520:P583" si="30">VLOOKUP($N520,$F$3:$G$4,2,FALSE)+VLOOKUP($L520,$B$20:$C$150,2,FALSE)+VLOOKUP($O520,$A$6:$B$16,2,FALSE)</f>
        <v>6.0303745024092574</v>
      </c>
      <c r="Q520" t="str">
        <f t="shared" si="29"/>
        <v/>
      </c>
      <c r="R520" s="67" cm="1">
        <f t="array" ref="R520">SUMPRODUCT((J520=$J$7:$J$1000)*(P520&lt;$P$7:$P$1000))+1</f>
        <v>55</v>
      </c>
      <c r="S520" s="72"/>
    </row>
    <row r="521" spans="10:19" x14ac:dyDescent="0.35">
      <c r="J521">
        <v>15</v>
      </c>
      <c r="K521" t="s">
        <v>14</v>
      </c>
      <c r="L521" t="s">
        <v>460</v>
      </c>
      <c r="M521" t="s">
        <v>256</v>
      </c>
      <c r="N521" t="s">
        <v>3</v>
      </c>
      <c r="O521" t="s">
        <v>2</v>
      </c>
      <c r="P521">
        <f t="shared" si="30"/>
        <v>-0.16806548355024986</v>
      </c>
      <c r="Q521" t="str">
        <f t="shared" si="29"/>
        <v/>
      </c>
      <c r="R521" s="67" cm="1">
        <f t="array" ref="R521">SUMPRODUCT((J521=$J$7:$J$1000)*(P521&lt;$P$7:$P$1000))+1</f>
        <v>74</v>
      </c>
      <c r="S521" s="72"/>
    </row>
    <row r="522" spans="10:19" x14ac:dyDescent="0.35">
      <c r="J522">
        <v>15</v>
      </c>
      <c r="K522" t="s">
        <v>14</v>
      </c>
      <c r="L522" t="s">
        <v>454</v>
      </c>
      <c r="M522" t="s">
        <v>256</v>
      </c>
      <c r="N522" t="s">
        <v>3</v>
      </c>
      <c r="O522" t="s">
        <v>24</v>
      </c>
      <c r="P522">
        <f t="shared" si="30"/>
        <v>13.53406469487261</v>
      </c>
      <c r="Q522" t="str">
        <f t="shared" si="29"/>
        <v/>
      </c>
      <c r="R522" s="67" cm="1">
        <f t="array" ref="R522">SUMPRODUCT((J522=$J$7:$J$1000)*(P522&lt;$P$7:$P$1000))+1</f>
        <v>10</v>
      </c>
      <c r="S522" s="72"/>
    </row>
    <row r="523" spans="10:19" x14ac:dyDescent="0.35">
      <c r="J523">
        <v>15</v>
      </c>
      <c r="K523" t="s">
        <v>14</v>
      </c>
      <c r="L523" t="s">
        <v>278</v>
      </c>
      <c r="M523" t="s">
        <v>256</v>
      </c>
      <c r="N523" t="s">
        <v>3</v>
      </c>
      <c r="O523" t="s">
        <v>2</v>
      </c>
      <c r="P523">
        <f t="shared" si="30"/>
        <v>7.0173854127602082</v>
      </c>
      <c r="Q523" t="str">
        <f t="shared" si="29"/>
        <v/>
      </c>
      <c r="R523" s="67" cm="1">
        <f t="array" ref="R523">SUMPRODUCT((J523=$J$7:$J$1000)*(P523&lt;$P$7:$P$1000))+1</f>
        <v>43</v>
      </c>
      <c r="S523" s="72"/>
    </row>
    <row r="524" spans="10:19" x14ac:dyDescent="0.35">
      <c r="J524">
        <v>15</v>
      </c>
      <c r="K524" t="s">
        <v>14</v>
      </c>
      <c r="L524" t="s">
        <v>534</v>
      </c>
      <c r="M524" t="s">
        <v>256</v>
      </c>
      <c r="N524" t="s">
        <v>3</v>
      </c>
      <c r="O524" t="s">
        <v>2</v>
      </c>
      <c r="P524">
        <f t="shared" si="30"/>
        <v>4.3429643458904144</v>
      </c>
      <c r="Q524" t="str">
        <f t="shared" si="29"/>
        <v/>
      </c>
      <c r="R524" s="67" cm="1">
        <f t="array" ref="R524">SUMPRODUCT((J524=$J$7:$J$1000)*(P524&lt;$P$7:$P$1000))+1</f>
        <v>64</v>
      </c>
      <c r="S524" s="72"/>
    </row>
    <row r="525" spans="10:19" x14ac:dyDescent="0.35">
      <c r="J525" s="66">
        <v>15</v>
      </c>
      <c r="K525" t="s">
        <v>14</v>
      </c>
      <c r="L525" t="s">
        <v>285</v>
      </c>
      <c r="M525" t="s">
        <v>256</v>
      </c>
      <c r="N525" t="s">
        <v>3</v>
      </c>
      <c r="O525" t="s">
        <v>2</v>
      </c>
      <c r="P525">
        <f t="shared" si="30"/>
        <v>7.0652189894266328</v>
      </c>
      <c r="Q525" t="str">
        <f t="shared" si="29"/>
        <v/>
      </c>
      <c r="R525" s="67" cm="1">
        <f t="array" ref="R525">SUMPRODUCT((J525=$J$7:$J$1000)*(P525&lt;$P$7:$P$1000))+1</f>
        <v>42</v>
      </c>
      <c r="S525" s="72"/>
    </row>
    <row r="526" spans="10:19" x14ac:dyDescent="0.35">
      <c r="J526">
        <v>15</v>
      </c>
      <c r="K526" t="s">
        <v>14</v>
      </c>
      <c r="L526" t="s">
        <v>83</v>
      </c>
      <c r="M526" t="s">
        <v>256</v>
      </c>
      <c r="N526" t="s">
        <v>3</v>
      </c>
      <c r="O526" t="s">
        <v>2</v>
      </c>
      <c r="P526">
        <f t="shared" si="30"/>
        <v>9.5865675620324051</v>
      </c>
      <c r="Q526" t="str">
        <f t="shared" ref="Q526:Q589" si="31">IFERROR(($M526-$P526)^2,"")</f>
        <v/>
      </c>
      <c r="R526" s="67" cm="1">
        <f t="array" ref="R526">SUMPRODUCT((J526=$J$7:$J$1000)*(P526&lt;$P$7:$P$1000))+1</f>
        <v>24</v>
      </c>
      <c r="S526" s="72"/>
    </row>
    <row r="527" spans="10:19" x14ac:dyDescent="0.35">
      <c r="J527">
        <v>15</v>
      </c>
      <c r="K527" t="s">
        <v>14</v>
      </c>
      <c r="L527" t="s">
        <v>87</v>
      </c>
      <c r="M527" t="s">
        <v>256</v>
      </c>
      <c r="N527" t="s">
        <v>3</v>
      </c>
      <c r="O527" t="s">
        <v>2</v>
      </c>
      <c r="P527">
        <f t="shared" si="30"/>
        <v>9.7918846940590978</v>
      </c>
      <c r="Q527" t="str">
        <f t="shared" si="31"/>
        <v/>
      </c>
      <c r="R527" s="67" cm="1">
        <f t="array" ref="R527">SUMPRODUCT((J527=$J$7:$J$1000)*(P527&lt;$P$7:$P$1000))+1</f>
        <v>23</v>
      </c>
      <c r="S527" s="72"/>
    </row>
    <row r="528" spans="10:19" x14ac:dyDescent="0.35">
      <c r="J528">
        <v>15</v>
      </c>
      <c r="K528" t="s">
        <v>14</v>
      </c>
      <c r="L528" t="s">
        <v>639</v>
      </c>
      <c r="M528" t="s">
        <v>256</v>
      </c>
      <c r="N528" t="s">
        <v>3</v>
      </c>
      <c r="O528" t="s">
        <v>2</v>
      </c>
      <c r="P528">
        <f t="shared" si="30"/>
        <v>9.272625026380755</v>
      </c>
      <c r="Q528" t="str">
        <f t="shared" si="31"/>
        <v/>
      </c>
      <c r="R528" s="67" cm="1">
        <f t="array" ref="R528">SUMPRODUCT((J528=$J$7:$J$1000)*(P528&lt;$P$7:$P$1000))+1</f>
        <v>27</v>
      </c>
      <c r="S528" s="72"/>
    </row>
    <row r="529" spans="10:19" x14ac:dyDescent="0.35">
      <c r="J529">
        <v>15</v>
      </c>
      <c r="K529" t="s">
        <v>2</v>
      </c>
      <c r="L529" t="s">
        <v>63</v>
      </c>
      <c r="M529" t="s">
        <v>256</v>
      </c>
      <c r="N529" t="s">
        <v>9</v>
      </c>
      <c r="O529" t="s">
        <v>14</v>
      </c>
      <c r="P529">
        <f t="shared" si="30"/>
        <v>6.1903699755468278</v>
      </c>
      <c r="Q529" t="str">
        <f t="shared" si="31"/>
        <v/>
      </c>
      <c r="R529" s="67" cm="1">
        <f t="array" ref="R529">SUMPRODUCT((J529=$J$7:$J$1000)*(P529&lt;$P$7:$P$1000))+1</f>
        <v>54</v>
      </c>
      <c r="S529" s="72"/>
    </row>
    <row r="530" spans="10:19" x14ac:dyDescent="0.35">
      <c r="J530">
        <v>15</v>
      </c>
      <c r="K530" t="s">
        <v>2</v>
      </c>
      <c r="L530" t="s">
        <v>455</v>
      </c>
      <c r="M530" t="s">
        <v>256</v>
      </c>
      <c r="N530" t="s">
        <v>9</v>
      </c>
      <c r="O530" t="s">
        <v>14</v>
      </c>
      <c r="P530">
        <f t="shared" si="30"/>
        <v>5.5413253701419762</v>
      </c>
      <c r="Q530" t="str">
        <f t="shared" si="31"/>
        <v/>
      </c>
      <c r="R530" s="67" cm="1">
        <f t="array" ref="R530">SUMPRODUCT((J530=$J$7:$J$1000)*(P530&lt;$P$7:$P$1000))+1</f>
        <v>59</v>
      </c>
      <c r="S530" s="72"/>
    </row>
    <row r="531" spans="10:19" x14ac:dyDescent="0.35">
      <c r="J531">
        <v>15</v>
      </c>
      <c r="K531" t="s">
        <v>2</v>
      </c>
      <c r="L531" t="s">
        <v>499</v>
      </c>
      <c r="M531" t="s">
        <v>256</v>
      </c>
      <c r="N531" t="s">
        <v>9</v>
      </c>
      <c r="O531" t="s">
        <v>14</v>
      </c>
      <c r="P531">
        <f t="shared" si="30"/>
        <v>3.4283040751759164</v>
      </c>
      <c r="Q531" t="str">
        <f t="shared" si="31"/>
        <v/>
      </c>
      <c r="R531" s="67" cm="1">
        <f t="array" ref="R531">SUMPRODUCT((J531=$J$7:$J$1000)*(P531&lt;$P$7:$P$1000))+1</f>
        <v>70</v>
      </c>
      <c r="S531" s="72"/>
    </row>
    <row r="532" spans="10:19" x14ac:dyDescent="0.35">
      <c r="J532">
        <v>15</v>
      </c>
      <c r="K532" t="s">
        <v>2</v>
      </c>
      <c r="L532" t="s">
        <v>12</v>
      </c>
      <c r="M532" t="s">
        <v>256</v>
      </c>
      <c r="N532" t="s">
        <v>9</v>
      </c>
      <c r="O532" t="s">
        <v>14</v>
      </c>
      <c r="P532">
        <f t="shared" si="30"/>
        <v>6.3422089984637928</v>
      </c>
      <c r="Q532" t="str">
        <f t="shared" si="31"/>
        <v/>
      </c>
      <c r="R532" s="67" cm="1">
        <f t="array" ref="R532">SUMPRODUCT((J532=$J$7:$J$1000)*(P532&lt;$P$7:$P$1000))+1</f>
        <v>52</v>
      </c>
      <c r="S532" s="72"/>
    </row>
    <row r="533" spans="10:19" x14ac:dyDescent="0.35">
      <c r="J533">
        <v>15</v>
      </c>
      <c r="K533" t="s">
        <v>2</v>
      </c>
      <c r="L533" t="s">
        <v>495</v>
      </c>
      <c r="M533" t="s">
        <v>256</v>
      </c>
      <c r="N533" t="s">
        <v>9</v>
      </c>
      <c r="O533" t="s">
        <v>14</v>
      </c>
      <c r="P533">
        <f t="shared" si="30"/>
        <v>7.6681595905358879</v>
      </c>
      <c r="Q533" t="str">
        <f t="shared" si="31"/>
        <v/>
      </c>
      <c r="R533" s="67" cm="1">
        <f t="array" ref="R533">SUMPRODUCT((J533=$J$7:$J$1000)*(P533&lt;$P$7:$P$1000))+1</f>
        <v>37</v>
      </c>
      <c r="S533" s="72"/>
    </row>
    <row r="534" spans="10:19" x14ac:dyDescent="0.35">
      <c r="J534">
        <v>15</v>
      </c>
      <c r="K534" t="s">
        <v>2</v>
      </c>
      <c r="L534" t="s">
        <v>88</v>
      </c>
      <c r="M534" t="s">
        <v>256</v>
      </c>
      <c r="N534" t="s">
        <v>9</v>
      </c>
      <c r="O534" t="s">
        <v>14</v>
      </c>
      <c r="P534">
        <f t="shared" si="30"/>
        <v>4.3898719367245986</v>
      </c>
      <c r="Q534" t="str">
        <f t="shared" si="31"/>
        <v/>
      </c>
      <c r="R534" s="67" cm="1">
        <f t="array" ref="R534">SUMPRODUCT((J534=$J$7:$J$1000)*(P534&lt;$P$7:$P$1000))+1</f>
        <v>63</v>
      </c>
      <c r="S534" s="72"/>
    </row>
    <row r="535" spans="10:19" x14ac:dyDescent="0.35">
      <c r="J535" s="66">
        <v>15</v>
      </c>
      <c r="K535" t="s">
        <v>2</v>
      </c>
      <c r="L535" t="s">
        <v>90</v>
      </c>
      <c r="M535" t="s">
        <v>256</v>
      </c>
      <c r="N535" t="s">
        <v>9</v>
      </c>
      <c r="O535" t="s">
        <v>14</v>
      </c>
      <c r="P535">
        <f t="shared" si="30"/>
        <v>7.3571529946516154</v>
      </c>
      <c r="Q535" t="str">
        <f t="shared" si="31"/>
        <v/>
      </c>
      <c r="R535" s="67" cm="1">
        <f t="array" ref="R535">SUMPRODUCT((J535=$J$7:$J$1000)*(P535&lt;$P$7:$P$1000))+1</f>
        <v>39</v>
      </c>
      <c r="S535" s="72"/>
    </row>
    <row r="536" spans="10:19" x14ac:dyDescent="0.35">
      <c r="J536" s="66">
        <v>15</v>
      </c>
      <c r="K536" t="s">
        <v>36</v>
      </c>
      <c r="L536" t="s">
        <v>71</v>
      </c>
      <c r="M536" t="s">
        <v>256</v>
      </c>
      <c r="N536" t="s">
        <v>9</v>
      </c>
      <c r="O536" t="s">
        <v>17</v>
      </c>
      <c r="P536">
        <f t="shared" si="30"/>
        <v>14.068772918143523</v>
      </c>
      <c r="Q536" t="str">
        <f t="shared" si="31"/>
        <v/>
      </c>
      <c r="R536" s="67" cm="1">
        <f t="array" ref="R536">SUMPRODUCT((J536=$J$7:$J$1000)*(P536&lt;$P$7:$P$1000))+1</f>
        <v>9</v>
      </c>
      <c r="S536" s="72"/>
    </row>
    <row r="537" spans="10:19" x14ac:dyDescent="0.35">
      <c r="J537">
        <v>15</v>
      </c>
      <c r="K537" t="s">
        <v>36</v>
      </c>
      <c r="L537" t="s">
        <v>73</v>
      </c>
      <c r="M537" t="s">
        <v>256</v>
      </c>
      <c r="N537" t="s">
        <v>9</v>
      </c>
      <c r="O537" t="s">
        <v>17</v>
      </c>
      <c r="P537">
        <f t="shared" si="30"/>
        <v>9.4260150596194325</v>
      </c>
      <c r="Q537" t="str">
        <f t="shared" si="31"/>
        <v/>
      </c>
      <c r="R537" s="67" cm="1">
        <f t="array" ref="R537">SUMPRODUCT((J537=$J$7:$J$1000)*(P537&lt;$P$7:$P$1000))+1</f>
        <v>25</v>
      </c>
      <c r="S537" s="72"/>
    </row>
    <row r="538" spans="10:19" x14ac:dyDescent="0.35">
      <c r="J538">
        <v>15</v>
      </c>
      <c r="K538" t="s">
        <v>36</v>
      </c>
      <c r="L538" t="s">
        <v>78</v>
      </c>
      <c r="M538" t="s">
        <v>256</v>
      </c>
      <c r="N538" t="s">
        <v>9</v>
      </c>
      <c r="O538" t="s">
        <v>17</v>
      </c>
      <c r="P538">
        <f t="shared" si="30"/>
        <v>8.892833830803287</v>
      </c>
      <c r="Q538" t="str">
        <f t="shared" si="31"/>
        <v/>
      </c>
      <c r="R538" s="67" cm="1">
        <f t="array" ref="R538">SUMPRODUCT((J538=$J$7:$J$1000)*(P538&lt;$P$7:$P$1000))+1</f>
        <v>31</v>
      </c>
      <c r="S538" s="72"/>
    </row>
    <row r="539" spans="10:19" x14ac:dyDescent="0.35">
      <c r="J539">
        <v>15</v>
      </c>
      <c r="K539" t="s">
        <v>36</v>
      </c>
      <c r="L539" t="s">
        <v>573</v>
      </c>
      <c r="M539" t="s">
        <v>256</v>
      </c>
      <c r="N539" t="s">
        <v>9</v>
      </c>
      <c r="O539" t="s">
        <v>17</v>
      </c>
      <c r="P539">
        <f t="shared" si="30"/>
        <v>3.4411887110451564</v>
      </c>
      <c r="Q539" t="str">
        <f t="shared" si="31"/>
        <v/>
      </c>
      <c r="R539" s="67" cm="1">
        <f t="array" ref="R539">SUMPRODUCT((J539=$J$7:$J$1000)*(P539&lt;$P$7:$P$1000))+1</f>
        <v>69</v>
      </c>
      <c r="S539" s="72"/>
    </row>
    <row r="540" spans="10:19" x14ac:dyDescent="0.35">
      <c r="J540">
        <v>15</v>
      </c>
      <c r="K540" t="s">
        <v>36</v>
      </c>
      <c r="L540" t="s">
        <v>476</v>
      </c>
      <c r="M540" t="s">
        <v>256</v>
      </c>
      <c r="N540" t="s">
        <v>9</v>
      </c>
      <c r="O540" t="s">
        <v>17</v>
      </c>
      <c r="P540">
        <f t="shared" si="30"/>
        <v>5.7705625849812661</v>
      </c>
      <c r="Q540" t="str">
        <f t="shared" si="31"/>
        <v/>
      </c>
      <c r="R540" s="67" cm="1">
        <f t="array" ref="R540">SUMPRODUCT((J540=$J$7:$J$1000)*(P540&lt;$P$7:$P$1000))+1</f>
        <v>58</v>
      </c>
      <c r="S540" s="72"/>
    </row>
    <row r="541" spans="10:19" x14ac:dyDescent="0.35">
      <c r="J541">
        <v>15</v>
      </c>
      <c r="K541" t="s">
        <v>36</v>
      </c>
      <c r="L541" t="s">
        <v>479</v>
      </c>
      <c r="M541" t="s">
        <v>256</v>
      </c>
      <c r="N541" t="s">
        <v>9</v>
      </c>
      <c r="O541" t="s">
        <v>17</v>
      </c>
      <c r="P541">
        <f t="shared" si="30"/>
        <v>7.7703803059575023</v>
      </c>
      <c r="Q541" t="str">
        <f t="shared" si="31"/>
        <v/>
      </c>
      <c r="R541" s="67" cm="1">
        <f t="array" ref="R541">SUMPRODUCT((J541=$J$7:$J$1000)*(P541&lt;$P$7:$P$1000))+1</f>
        <v>36</v>
      </c>
      <c r="S541" s="72"/>
    </row>
    <row r="542" spans="10:19" x14ac:dyDescent="0.35">
      <c r="J542">
        <v>15</v>
      </c>
      <c r="K542" t="s">
        <v>36</v>
      </c>
      <c r="L542" t="s">
        <v>334</v>
      </c>
      <c r="M542" t="s">
        <v>256</v>
      </c>
      <c r="N542" t="s">
        <v>9</v>
      </c>
      <c r="O542" t="s">
        <v>17</v>
      </c>
      <c r="P542">
        <f t="shared" si="30"/>
        <v>3.2984735675896548</v>
      </c>
      <c r="Q542" t="str">
        <f t="shared" si="31"/>
        <v/>
      </c>
      <c r="R542" s="67" cm="1">
        <f t="array" ref="R542">SUMPRODUCT((J542=$J$7:$J$1000)*(P542&lt;$P$7:$P$1000))+1</f>
        <v>71</v>
      </c>
      <c r="S542" s="72"/>
    </row>
    <row r="543" spans="10:19" x14ac:dyDescent="0.35">
      <c r="J543">
        <v>15</v>
      </c>
      <c r="K543" t="s">
        <v>6</v>
      </c>
      <c r="L543" t="s">
        <v>64</v>
      </c>
      <c r="M543" t="s">
        <v>256</v>
      </c>
      <c r="N543" t="s">
        <v>3</v>
      </c>
      <c r="O543" t="s">
        <v>24</v>
      </c>
      <c r="P543">
        <f t="shared" si="30"/>
        <v>13.489607059501312</v>
      </c>
      <c r="Q543" t="str">
        <f t="shared" si="31"/>
        <v/>
      </c>
      <c r="R543" s="67" cm="1">
        <f t="array" ref="R543">SUMPRODUCT((J543=$J$7:$J$1000)*(P543&lt;$P$7:$P$1000))+1</f>
        <v>12</v>
      </c>
      <c r="S543" s="72"/>
    </row>
    <row r="544" spans="10:19" x14ac:dyDescent="0.35">
      <c r="J544">
        <v>15</v>
      </c>
      <c r="K544" t="s">
        <v>6</v>
      </c>
      <c r="L544" t="s">
        <v>66</v>
      </c>
      <c r="M544" t="s">
        <v>256</v>
      </c>
      <c r="N544" t="s">
        <v>3</v>
      </c>
      <c r="O544" t="s">
        <v>24</v>
      </c>
      <c r="P544">
        <f t="shared" si="30"/>
        <v>6.5465217223535088</v>
      </c>
      <c r="Q544" t="str">
        <f t="shared" si="31"/>
        <v/>
      </c>
      <c r="R544" s="67" cm="1">
        <f t="array" ref="R544">SUMPRODUCT((J544=$J$7:$J$1000)*(P544&lt;$P$7:$P$1000))+1</f>
        <v>51</v>
      </c>
      <c r="S544" s="72"/>
    </row>
    <row r="545" spans="10:19" x14ac:dyDescent="0.35">
      <c r="J545">
        <v>15</v>
      </c>
      <c r="K545" t="s">
        <v>6</v>
      </c>
      <c r="L545" t="s">
        <v>75</v>
      </c>
      <c r="M545" t="s">
        <v>256</v>
      </c>
      <c r="N545" t="s">
        <v>3</v>
      </c>
      <c r="O545" t="s">
        <v>24</v>
      </c>
      <c r="P545">
        <f t="shared" si="30"/>
        <v>10.128695905430135</v>
      </c>
      <c r="Q545" t="str">
        <f t="shared" si="31"/>
        <v/>
      </c>
      <c r="R545" s="67" cm="1">
        <f t="array" ref="R545">SUMPRODUCT((J545=$J$7:$J$1000)*(P545&lt;$P$7:$P$1000))+1</f>
        <v>22</v>
      </c>
      <c r="S545" s="72"/>
    </row>
    <row r="546" spans="10:19" x14ac:dyDescent="0.35">
      <c r="J546">
        <v>15</v>
      </c>
      <c r="K546" t="s">
        <v>6</v>
      </c>
      <c r="L546" t="s">
        <v>93</v>
      </c>
      <c r="M546" t="s">
        <v>256</v>
      </c>
      <c r="N546" t="s">
        <v>3</v>
      </c>
      <c r="O546" t="s">
        <v>24</v>
      </c>
      <c r="P546">
        <f t="shared" si="30"/>
        <v>15.326273147479331</v>
      </c>
      <c r="Q546" t="str">
        <f t="shared" si="31"/>
        <v/>
      </c>
      <c r="R546" s="67" cm="1">
        <f t="array" ref="R546">SUMPRODUCT((J546=$J$7:$J$1000)*(P546&lt;$P$7:$P$1000))+1</f>
        <v>6</v>
      </c>
      <c r="S546" s="72"/>
    </row>
    <row r="547" spans="10:19" x14ac:dyDescent="0.35">
      <c r="J547">
        <v>15</v>
      </c>
      <c r="K547" t="s">
        <v>6</v>
      </c>
      <c r="L547" t="s">
        <v>94</v>
      </c>
      <c r="M547" t="s">
        <v>256</v>
      </c>
      <c r="N547" t="s">
        <v>3</v>
      </c>
      <c r="O547" t="s">
        <v>24</v>
      </c>
      <c r="P547">
        <f t="shared" si="30"/>
        <v>15.883644020544157</v>
      </c>
      <c r="Q547" t="str">
        <f t="shared" si="31"/>
        <v/>
      </c>
      <c r="R547" s="67" cm="1">
        <f t="array" ref="R547">SUMPRODUCT((J547=$J$7:$J$1000)*(P547&lt;$P$7:$P$1000))+1</f>
        <v>4</v>
      </c>
      <c r="S547" s="72"/>
    </row>
    <row r="548" spans="10:19" x14ac:dyDescent="0.35">
      <c r="J548">
        <v>15</v>
      </c>
      <c r="K548" t="s">
        <v>6</v>
      </c>
      <c r="L548" t="s">
        <v>43</v>
      </c>
      <c r="M548" t="s">
        <v>256</v>
      </c>
      <c r="N548" t="s">
        <v>3</v>
      </c>
      <c r="O548" t="s">
        <v>24</v>
      </c>
      <c r="P548">
        <f t="shared" si="30"/>
        <v>8.9535136131224622</v>
      </c>
      <c r="Q548" t="str">
        <f t="shared" si="31"/>
        <v/>
      </c>
      <c r="R548" s="67" cm="1">
        <f t="array" ref="R548">SUMPRODUCT((J548=$J$7:$J$1000)*(P548&lt;$P$7:$P$1000))+1</f>
        <v>30</v>
      </c>
      <c r="S548" s="72"/>
    </row>
    <row r="549" spans="10:19" x14ac:dyDescent="0.35">
      <c r="J549">
        <v>15</v>
      </c>
      <c r="K549" t="s">
        <v>6</v>
      </c>
      <c r="L549" t="s">
        <v>675</v>
      </c>
      <c r="M549" t="s">
        <v>256</v>
      </c>
      <c r="N549" t="s">
        <v>3</v>
      </c>
      <c r="O549" t="s">
        <v>24</v>
      </c>
      <c r="P549">
        <f t="shared" si="30"/>
        <v>16.050795800561431</v>
      </c>
      <c r="Q549" t="str">
        <f t="shared" si="31"/>
        <v/>
      </c>
      <c r="R549" s="67" cm="1">
        <f t="array" ref="R549">SUMPRODUCT((J549=$J$7:$J$1000)*(P549&lt;$P$7:$P$1000))+1</f>
        <v>3</v>
      </c>
      <c r="S549" s="72"/>
    </row>
    <row r="550" spans="10:19" x14ac:dyDescent="0.35">
      <c r="J550">
        <v>15</v>
      </c>
      <c r="K550" t="s">
        <v>6</v>
      </c>
      <c r="L550" t="s">
        <v>5</v>
      </c>
      <c r="M550" t="s">
        <v>256</v>
      </c>
      <c r="N550" t="s">
        <v>3</v>
      </c>
      <c r="O550" t="s">
        <v>24</v>
      </c>
      <c r="P550">
        <f t="shared" si="30"/>
        <v>17.097143438718682</v>
      </c>
      <c r="Q550" t="str">
        <f t="shared" si="31"/>
        <v/>
      </c>
      <c r="R550" s="67" cm="1">
        <f t="array" ref="R550">SUMPRODUCT((J550=$J$7:$J$1000)*(P550&lt;$P$7:$P$1000))+1</f>
        <v>1</v>
      </c>
      <c r="S550" s="72"/>
    </row>
    <row r="551" spans="10:19" x14ac:dyDescent="0.35">
      <c r="J551">
        <v>15</v>
      </c>
      <c r="K551" t="s">
        <v>24</v>
      </c>
      <c r="L551" t="s">
        <v>459</v>
      </c>
      <c r="M551" t="s">
        <v>256</v>
      </c>
      <c r="N551" t="s">
        <v>9</v>
      </c>
      <c r="O551" t="s">
        <v>6</v>
      </c>
      <c r="P551">
        <f t="shared" si="30"/>
        <v>-1.6780357119250313</v>
      </c>
      <c r="Q551" t="str">
        <f t="shared" si="31"/>
        <v/>
      </c>
      <c r="R551" s="67" cm="1">
        <f t="array" ref="R551">SUMPRODUCT((J551=$J$7:$J$1000)*(P551&lt;$P$7:$P$1000))+1</f>
        <v>76</v>
      </c>
      <c r="S551" s="72"/>
    </row>
    <row r="552" spans="10:19" x14ac:dyDescent="0.35">
      <c r="J552">
        <v>15</v>
      </c>
      <c r="K552" t="s">
        <v>24</v>
      </c>
      <c r="L552" t="s">
        <v>35</v>
      </c>
      <c r="M552" t="s">
        <v>256</v>
      </c>
      <c r="N552" t="s">
        <v>9</v>
      </c>
      <c r="O552" t="s">
        <v>6</v>
      </c>
      <c r="P552">
        <f t="shared" si="30"/>
        <v>6.5650291851571154</v>
      </c>
      <c r="Q552" t="str">
        <f t="shared" si="31"/>
        <v/>
      </c>
      <c r="R552" s="67" cm="1">
        <f t="array" ref="R552">SUMPRODUCT((J552=$J$7:$J$1000)*(P552&lt;$P$7:$P$1000))+1</f>
        <v>50</v>
      </c>
      <c r="S552" s="72"/>
    </row>
    <row r="553" spans="10:19" x14ac:dyDescent="0.35">
      <c r="J553">
        <v>15</v>
      </c>
      <c r="K553" t="s">
        <v>24</v>
      </c>
      <c r="L553" t="s">
        <v>572</v>
      </c>
      <c r="M553" t="s">
        <v>256</v>
      </c>
      <c r="N553" t="s">
        <v>9</v>
      </c>
      <c r="O553" t="s">
        <v>6</v>
      </c>
      <c r="P553">
        <f t="shared" si="30"/>
        <v>3.5737914020322332</v>
      </c>
      <c r="Q553" t="str">
        <f t="shared" si="31"/>
        <v/>
      </c>
      <c r="R553" s="67" cm="1">
        <f t="array" ref="R553">SUMPRODUCT((J553=$J$7:$J$1000)*(P553&lt;$P$7:$P$1000))+1</f>
        <v>68</v>
      </c>
      <c r="S553" s="72"/>
    </row>
    <row r="554" spans="10:19" x14ac:dyDescent="0.35">
      <c r="J554">
        <v>15</v>
      </c>
      <c r="K554" t="s">
        <v>24</v>
      </c>
      <c r="L554" t="s">
        <v>535</v>
      </c>
      <c r="M554" t="s">
        <v>256</v>
      </c>
      <c r="N554" t="s">
        <v>9</v>
      </c>
      <c r="O554" t="s">
        <v>6</v>
      </c>
      <c r="P554">
        <f t="shared" si="30"/>
        <v>-0.67312411860327237</v>
      </c>
      <c r="Q554" t="str">
        <f t="shared" si="31"/>
        <v/>
      </c>
      <c r="R554" s="67" cm="1">
        <f t="array" ref="R554">SUMPRODUCT((J554=$J$7:$J$1000)*(P554&lt;$P$7:$P$1000))+1</f>
        <v>75</v>
      </c>
      <c r="S554" s="72"/>
    </row>
    <row r="555" spans="10:19" x14ac:dyDescent="0.35">
      <c r="J555">
        <v>15</v>
      </c>
      <c r="K555" t="s">
        <v>24</v>
      </c>
      <c r="L555" t="s">
        <v>84</v>
      </c>
      <c r="M555" t="s">
        <v>256</v>
      </c>
      <c r="N555" t="s">
        <v>9</v>
      </c>
      <c r="O555" t="s">
        <v>6</v>
      </c>
      <c r="P555">
        <f t="shared" si="30"/>
        <v>4.6724682582372887</v>
      </c>
      <c r="Q555" t="str">
        <f t="shared" si="31"/>
        <v/>
      </c>
      <c r="R555" s="67" cm="1">
        <f t="array" ref="R555">SUMPRODUCT((J555=$J$7:$J$1000)*(P555&lt;$P$7:$P$1000))+1</f>
        <v>62</v>
      </c>
      <c r="S555" s="72"/>
    </row>
    <row r="556" spans="10:19" x14ac:dyDescent="0.35">
      <c r="J556">
        <v>15</v>
      </c>
      <c r="K556" t="s">
        <v>24</v>
      </c>
      <c r="L556" t="s">
        <v>194</v>
      </c>
      <c r="M556" t="s">
        <v>256</v>
      </c>
      <c r="N556" t="s">
        <v>9</v>
      </c>
      <c r="O556" t="s">
        <v>6</v>
      </c>
      <c r="P556">
        <f t="shared" si="30"/>
        <v>6.9640745898162102</v>
      </c>
      <c r="Q556" t="str">
        <f t="shared" si="31"/>
        <v/>
      </c>
      <c r="R556" s="67" cm="1">
        <f t="array" ref="R556">SUMPRODUCT((J556=$J$7:$J$1000)*(P556&lt;$P$7:$P$1000))+1</f>
        <v>45</v>
      </c>
      <c r="S556" s="72"/>
    </row>
    <row r="557" spans="10:19" x14ac:dyDescent="0.35">
      <c r="J557">
        <v>15</v>
      </c>
      <c r="K557" t="s">
        <v>24</v>
      </c>
      <c r="L557" t="s">
        <v>96</v>
      </c>
      <c r="M557" t="s">
        <v>256</v>
      </c>
      <c r="N557" t="s">
        <v>9</v>
      </c>
      <c r="O557" t="s">
        <v>6</v>
      </c>
      <c r="P557">
        <f t="shared" si="30"/>
        <v>9.1312407531392079</v>
      </c>
      <c r="Q557" t="str">
        <f t="shared" si="31"/>
        <v/>
      </c>
      <c r="R557" s="67" cm="1">
        <f t="array" ref="R557">SUMPRODUCT((J557=$J$7:$J$1000)*(P557&lt;$P$7:$P$1000))+1</f>
        <v>29</v>
      </c>
      <c r="S557" s="72"/>
    </row>
    <row r="558" spans="10:19" x14ac:dyDescent="0.35">
      <c r="J558">
        <v>15</v>
      </c>
      <c r="K558" t="s">
        <v>24</v>
      </c>
      <c r="L558" t="s">
        <v>533</v>
      </c>
      <c r="M558" t="s">
        <v>256</v>
      </c>
      <c r="N558" t="s">
        <v>9</v>
      </c>
      <c r="O558" t="s">
        <v>6</v>
      </c>
      <c r="P558">
        <f t="shared" si="30"/>
        <v>12.393468672190908</v>
      </c>
      <c r="Q558" t="str">
        <f t="shared" si="31"/>
        <v/>
      </c>
      <c r="R558" s="67" cm="1">
        <f t="array" ref="R558">SUMPRODUCT((J558=$J$7:$J$1000)*(P558&lt;$P$7:$P$1000))+1</f>
        <v>17</v>
      </c>
      <c r="S558" s="72"/>
    </row>
    <row r="559" spans="10:19" x14ac:dyDescent="0.35">
      <c r="J559">
        <v>15</v>
      </c>
      <c r="K559" t="s">
        <v>24</v>
      </c>
      <c r="L559" t="s">
        <v>446</v>
      </c>
      <c r="M559" t="s">
        <v>256</v>
      </c>
      <c r="N559" t="s">
        <v>9</v>
      </c>
      <c r="O559" t="s">
        <v>6</v>
      </c>
      <c r="P559">
        <f t="shared" si="30"/>
        <v>5.5045802764766565</v>
      </c>
      <c r="Q559" t="str">
        <f t="shared" si="31"/>
        <v/>
      </c>
      <c r="R559" s="67" cm="1">
        <f t="array" ref="R559">SUMPRODUCT((J559=$J$7:$J$1000)*(P559&lt;$P$7:$P$1000))+1</f>
        <v>60</v>
      </c>
      <c r="S559" s="72"/>
    </row>
    <row r="560" spans="10:19" x14ac:dyDescent="0.35">
      <c r="J560">
        <v>15</v>
      </c>
      <c r="K560" t="s">
        <v>24</v>
      </c>
      <c r="L560" t="s">
        <v>101</v>
      </c>
      <c r="M560" t="s">
        <v>256</v>
      </c>
      <c r="N560" t="s">
        <v>9</v>
      </c>
      <c r="O560" t="s">
        <v>6</v>
      </c>
      <c r="P560">
        <f t="shared" si="30"/>
        <v>3.9316743520692921</v>
      </c>
      <c r="Q560" t="str">
        <f t="shared" si="31"/>
        <v/>
      </c>
      <c r="R560" s="67" cm="1">
        <f t="array" ref="R560">SUMPRODUCT((J560=$J$7:$J$1000)*(P560&lt;$P$7:$P$1000))+1</f>
        <v>65</v>
      </c>
      <c r="S560" s="72"/>
    </row>
    <row r="561" spans="10:19" x14ac:dyDescent="0.35">
      <c r="J561">
        <v>15</v>
      </c>
      <c r="K561" t="s">
        <v>23</v>
      </c>
      <c r="L561" t="s">
        <v>522</v>
      </c>
      <c r="M561" t="s">
        <v>256</v>
      </c>
      <c r="N561" t="s">
        <v>3</v>
      </c>
      <c r="O561" t="s">
        <v>7</v>
      </c>
      <c r="P561">
        <f t="shared" si="30"/>
        <v>4.9319477775075793</v>
      </c>
      <c r="Q561" t="str">
        <f t="shared" si="31"/>
        <v/>
      </c>
      <c r="R561" s="67" cm="1">
        <f t="array" ref="R561">SUMPRODUCT((J561=$J$7:$J$1000)*(P561&lt;$P$7:$P$1000))+1</f>
        <v>61</v>
      </c>
      <c r="S561" s="72"/>
    </row>
    <row r="562" spans="10:19" x14ac:dyDescent="0.35">
      <c r="J562">
        <v>15</v>
      </c>
      <c r="K562" t="s">
        <v>23</v>
      </c>
      <c r="L562" t="s">
        <v>443</v>
      </c>
      <c r="M562" t="s">
        <v>256</v>
      </c>
      <c r="N562" t="s">
        <v>3</v>
      </c>
      <c r="O562" t="s">
        <v>7</v>
      </c>
      <c r="P562">
        <f t="shared" si="30"/>
        <v>5.792407996102158</v>
      </c>
      <c r="Q562" t="str">
        <f t="shared" si="31"/>
        <v/>
      </c>
      <c r="R562" s="67" cm="1">
        <f t="array" ref="R562">SUMPRODUCT((J562=$J$7:$J$1000)*(P562&lt;$P$7:$P$1000))+1</f>
        <v>57</v>
      </c>
      <c r="S562" s="72"/>
    </row>
    <row r="563" spans="10:19" x14ac:dyDescent="0.35">
      <c r="J563">
        <v>15</v>
      </c>
      <c r="K563" t="s">
        <v>23</v>
      </c>
      <c r="L563" t="s">
        <v>340</v>
      </c>
      <c r="M563" t="s">
        <v>256</v>
      </c>
      <c r="N563" t="s">
        <v>3</v>
      </c>
      <c r="O563" t="s">
        <v>7</v>
      </c>
      <c r="P563">
        <f t="shared" si="30"/>
        <v>7.4165370206553023</v>
      </c>
      <c r="Q563" t="str">
        <f t="shared" si="31"/>
        <v/>
      </c>
      <c r="R563" s="67" cm="1">
        <f t="array" ref="R563">SUMPRODUCT((J563=$J$7:$J$1000)*(P563&lt;$P$7:$P$1000))+1</f>
        <v>38</v>
      </c>
      <c r="S563" s="72"/>
    </row>
    <row r="564" spans="10:19" x14ac:dyDescent="0.35">
      <c r="J564">
        <v>15</v>
      </c>
      <c r="K564" t="s">
        <v>23</v>
      </c>
      <c r="L564" t="s">
        <v>565</v>
      </c>
      <c r="M564" t="s">
        <v>256</v>
      </c>
      <c r="N564" t="s">
        <v>3</v>
      </c>
      <c r="O564" t="s">
        <v>7</v>
      </c>
      <c r="P564">
        <f t="shared" si="30"/>
        <v>10.331391267638075</v>
      </c>
      <c r="Q564" t="str">
        <f t="shared" si="31"/>
        <v/>
      </c>
      <c r="R564" s="67" cm="1">
        <f t="array" ref="R564">SUMPRODUCT((J564=$J$7:$J$1000)*(P564&lt;$P$7:$P$1000))+1</f>
        <v>21</v>
      </c>
      <c r="S564" s="72"/>
    </row>
    <row r="565" spans="10:19" x14ac:dyDescent="0.35">
      <c r="J565">
        <v>15</v>
      </c>
      <c r="K565" t="s">
        <v>23</v>
      </c>
      <c r="L565" t="s">
        <v>498</v>
      </c>
      <c r="M565" t="s">
        <v>256</v>
      </c>
      <c r="N565" t="s">
        <v>3</v>
      </c>
      <c r="O565" t="s">
        <v>7</v>
      </c>
      <c r="P565">
        <f t="shared" si="30"/>
        <v>3.6108943525751034</v>
      </c>
      <c r="Q565" t="str">
        <f t="shared" si="31"/>
        <v/>
      </c>
      <c r="R565" s="67" cm="1">
        <f t="array" ref="R565">SUMPRODUCT((J565=$J$7:$J$1000)*(P565&lt;$P$7:$P$1000))+1</f>
        <v>66</v>
      </c>
      <c r="S565" s="72"/>
    </row>
    <row r="566" spans="10:19" x14ac:dyDescent="0.35">
      <c r="J566">
        <v>15</v>
      </c>
      <c r="K566" t="s">
        <v>23</v>
      </c>
      <c r="L566" t="s">
        <v>91</v>
      </c>
      <c r="M566" t="s">
        <v>256</v>
      </c>
      <c r="N566" t="s">
        <v>3</v>
      </c>
      <c r="O566" t="s">
        <v>7</v>
      </c>
      <c r="P566">
        <f t="shared" si="30"/>
        <v>13.448233081702005</v>
      </c>
      <c r="Q566" t="str">
        <f t="shared" si="31"/>
        <v/>
      </c>
      <c r="R566" s="67" cm="1">
        <f t="array" ref="R566">SUMPRODUCT((J566=$J$7:$J$1000)*(P566&lt;$P$7:$P$1000))+1</f>
        <v>13</v>
      </c>
      <c r="S566" s="72"/>
    </row>
    <row r="567" spans="10:19" x14ac:dyDescent="0.35">
      <c r="J567">
        <v>15</v>
      </c>
      <c r="K567" t="s">
        <v>23</v>
      </c>
      <c r="L567" t="s">
        <v>456</v>
      </c>
      <c r="M567" t="s">
        <v>256</v>
      </c>
      <c r="N567" t="s">
        <v>3</v>
      </c>
      <c r="O567" t="s">
        <v>7</v>
      </c>
      <c r="P567">
        <f t="shared" si="30"/>
        <v>6.1020368487983765</v>
      </c>
      <c r="Q567" t="str">
        <f t="shared" si="31"/>
        <v/>
      </c>
      <c r="R567" s="67" cm="1">
        <f t="array" ref="R567">SUMPRODUCT((J567=$J$7:$J$1000)*(P567&lt;$P$7:$P$1000))+1</f>
        <v>56</v>
      </c>
      <c r="S567" s="72"/>
    </row>
    <row r="568" spans="10:19" x14ac:dyDescent="0.35">
      <c r="J568">
        <v>15</v>
      </c>
      <c r="K568" t="s">
        <v>4</v>
      </c>
      <c r="L568" t="s">
        <v>457</v>
      </c>
      <c r="M568" t="s">
        <v>256</v>
      </c>
      <c r="N568" t="s">
        <v>3</v>
      </c>
      <c r="O568" t="s">
        <v>13</v>
      </c>
      <c r="P568">
        <f t="shared" si="30"/>
        <v>13.300858282381338</v>
      </c>
      <c r="Q568" t="str">
        <f t="shared" si="31"/>
        <v/>
      </c>
      <c r="R568" s="67" cm="1">
        <f t="array" ref="R568">SUMPRODUCT((J568=$J$7:$J$1000)*(P568&lt;$P$7:$P$1000))+1</f>
        <v>14</v>
      </c>
      <c r="S568" s="72"/>
    </row>
    <row r="569" spans="10:19" x14ac:dyDescent="0.35">
      <c r="J569">
        <v>15</v>
      </c>
      <c r="K569" t="s">
        <v>4</v>
      </c>
      <c r="L569" t="s">
        <v>74</v>
      </c>
      <c r="M569" t="s">
        <v>256</v>
      </c>
      <c r="N569" t="s">
        <v>3</v>
      </c>
      <c r="O569" t="s">
        <v>13</v>
      </c>
      <c r="P569">
        <f t="shared" si="30"/>
        <v>10.926146677918824</v>
      </c>
      <c r="Q569" t="str">
        <f t="shared" si="31"/>
        <v/>
      </c>
      <c r="R569" s="67" cm="1">
        <f t="array" ref="R569">SUMPRODUCT((J569=$J$7:$J$1000)*(P569&lt;$P$7:$P$1000))+1</f>
        <v>20</v>
      </c>
      <c r="S569" s="72"/>
    </row>
    <row r="570" spans="10:19" x14ac:dyDescent="0.35">
      <c r="J570">
        <v>15</v>
      </c>
      <c r="K570" t="s">
        <v>4</v>
      </c>
      <c r="L570" t="s">
        <v>633</v>
      </c>
      <c r="M570" t="s">
        <v>256</v>
      </c>
      <c r="N570" t="s">
        <v>3</v>
      </c>
      <c r="O570" t="s">
        <v>13</v>
      </c>
      <c r="P570">
        <f t="shared" si="30"/>
        <v>16.491086961026365</v>
      </c>
      <c r="Q570" t="str">
        <f t="shared" si="31"/>
        <v/>
      </c>
      <c r="R570" s="67" cm="1">
        <f t="array" ref="R570">SUMPRODUCT((J570=$J$7:$J$1000)*(P570&lt;$P$7:$P$1000))+1</f>
        <v>2</v>
      </c>
      <c r="S570" s="72"/>
    </row>
    <row r="571" spans="10:19" x14ac:dyDescent="0.35">
      <c r="J571">
        <v>15</v>
      </c>
      <c r="K571" t="s">
        <v>4</v>
      </c>
      <c r="L571" t="s">
        <v>683</v>
      </c>
      <c r="M571" t="s">
        <v>256</v>
      </c>
      <c r="N571" t="s">
        <v>3</v>
      </c>
      <c r="O571" t="s">
        <v>13</v>
      </c>
      <c r="P571">
        <f t="shared" si="30"/>
        <v>6.1799714111134394</v>
      </c>
      <c r="Q571" t="str">
        <f t="shared" si="31"/>
        <v/>
      </c>
      <c r="R571" s="67" cm="1">
        <f t="array" ref="R571">SUMPRODUCT((J571=$J$7:$J$1000)*(P571&lt;$P$7:$P$1000))+1</f>
        <v>55</v>
      </c>
      <c r="S571" s="72"/>
    </row>
    <row r="572" spans="10:19" x14ac:dyDescent="0.35">
      <c r="J572">
        <v>15</v>
      </c>
      <c r="K572" t="s">
        <v>4</v>
      </c>
      <c r="L572" t="s">
        <v>286</v>
      </c>
      <c r="M572" t="s">
        <v>256</v>
      </c>
      <c r="N572" t="s">
        <v>3</v>
      </c>
      <c r="O572" t="s">
        <v>13</v>
      </c>
      <c r="P572">
        <f t="shared" si="30"/>
        <v>13.495639659079558</v>
      </c>
      <c r="Q572" t="str">
        <f t="shared" si="31"/>
        <v/>
      </c>
      <c r="R572" s="67" cm="1">
        <f t="array" ref="R572">SUMPRODUCT((J572=$J$7:$J$1000)*(P572&lt;$P$7:$P$1000))+1</f>
        <v>11</v>
      </c>
      <c r="S572" s="72"/>
    </row>
    <row r="573" spans="10:19" x14ac:dyDescent="0.35">
      <c r="J573">
        <v>15</v>
      </c>
      <c r="K573" t="s">
        <v>4</v>
      </c>
      <c r="L573" t="s">
        <v>475</v>
      </c>
      <c r="M573" t="s">
        <v>256</v>
      </c>
      <c r="N573" t="s">
        <v>3</v>
      </c>
      <c r="O573" t="s">
        <v>13</v>
      </c>
      <c r="P573">
        <f t="shared" si="30"/>
        <v>6.8302183008529358</v>
      </c>
      <c r="Q573" t="str">
        <f t="shared" si="31"/>
        <v/>
      </c>
      <c r="R573" s="67" cm="1">
        <f t="array" ref="R573">SUMPRODUCT((J573=$J$7:$J$1000)*(P573&lt;$P$7:$P$1000))+1</f>
        <v>49</v>
      </c>
      <c r="S573" s="72"/>
    </row>
    <row r="574" spans="10:19" x14ac:dyDescent="0.35">
      <c r="J574">
        <v>15</v>
      </c>
      <c r="K574" t="s">
        <v>4</v>
      </c>
      <c r="L574" t="s">
        <v>453</v>
      </c>
      <c r="M574" t="s">
        <v>256</v>
      </c>
      <c r="N574" t="s">
        <v>3</v>
      </c>
      <c r="O574" t="s">
        <v>13</v>
      </c>
      <c r="P574">
        <f t="shared" si="30"/>
        <v>14.867182715067948</v>
      </c>
      <c r="Q574" t="str">
        <f t="shared" si="31"/>
        <v/>
      </c>
      <c r="R574" s="67" cm="1">
        <f t="array" ref="R574">SUMPRODUCT((J574=$J$7:$J$1000)*(P574&lt;$P$7:$P$1000))+1</f>
        <v>7</v>
      </c>
      <c r="S574" s="72"/>
    </row>
    <row r="575" spans="10:19" x14ac:dyDescent="0.35">
      <c r="J575">
        <v>15</v>
      </c>
      <c r="K575" t="s">
        <v>7</v>
      </c>
      <c r="L575" t="s">
        <v>65</v>
      </c>
      <c r="M575" t="s">
        <v>256</v>
      </c>
      <c r="N575" t="s">
        <v>9</v>
      </c>
      <c r="O575" t="s">
        <v>23</v>
      </c>
      <c r="P575">
        <f t="shared" si="30"/>
        <v>6.9044283945864464</v>
      </c>
      <c r="Q575" t="str">
        <f t="shared" si="31"/>
        <v/>
      </c>
      <c r="R575" s="67" cm="1">
        <f t="array" ref="R575">SUMPRODUCT((J575=$J$7:$J$1000)*(P575&lt;$P$7:$P$1000))+1</f>
        <v>48</v>
      </c>
      <c r="S575" s="72"/>
    </row>
    <row r="576" spans="10:19" x14ac:dyDescent="0.35">
      <c r="J576">
        <v>15</v>
      </c>
      <c r="K576" t="s">
        <v>7</v>
      </c>
      <c r="L576" t="s">
        <v>67</v>
      </c>
      <c r="M576" t="s">
        <v>256</v>
      </c>
      <c r="N576" t="s">
        <v>9</v>
      </c>
      <c r="O576" t="s">
        <v>23</v>
      </c>
      <c r="P576">
        <f t="shared" si="30"/>
        <v>6.9877858537008564</v>
      </c>
      <c r="Q576" t="str">
        <f t="shared" si="31"/>
        <v/>
      </c>
      <c r="R576" s="67" cm="1">
        <f t="array" ref="R576">SUMPRODUCT((J576=$J$7:$J$1000)*(P576&lt;$P$7:$P$1000))+1</f>
        <v>44</v>
      </c>
      <c r="S576" s="72"/>
    </row>
    <row r="577" spans="10:19" x14ac:dyDescent="0.35">
      <c r="J577">
        <v>15</v>
      </c>
      <c r="K577" t="s">
        <v>7</v>
      </c>
      <c r="L577" t="s">
        <v>77</v>
      </c>
      <c r="M577" t="s">
        <v>256</v>
      </c>
      <c r="N577" t="s">
        <v>9</v>
      </c>
      <c r="O577" t="s">
        <v>23</v>
      </c>
      <c r="P577">
        <f t="shared" si="30"/>
        <v>8.296832300404267</v>
      </c>
      <c r="Q577" t="str">
        <f t="shared" si="31"/>
        <v/>
      </c>
      <c r="R577" s="67" cm="1">
        <f t="array" ref="R577">SUMPRODUCT((J577=$J$7:$J$1000)*(P577&lt;$P$7:$P$1000))+1</f>
        <v>33</v>
      </c>
      <c r="S577" s="72"/>
    </row>
    <row r="578" spans="10:19" x14ac:dyDescent="0.35">
      <c r="J578">
        <v>15</v>
      </c>
      <c r="K578" t="s">
        <v>7</v>
      </c>
      <c r="L578" t="s">
        <v>80</v>
      </c>
      <c r="M578" t="s">
        <v>256</v>
      </c>
      <c r="N578" t="s">
        <v>9</v>
      </c>
      <c r="O578" t="s">
        <v>23</v>
      </c>
      <c r="P578">
        <f t="shared" si="30"/>
        <v>8.7102155829105605</v>
      </c>
      <c r="Q578" t="str">
        <f t="shared" si="31"/>
        <v/>
      </c>
      <c r="R578" s="67" cm="1">
        <f t="array" ref="R578">SUMPRODUCT((J578=$J$7:$J$1000)*(P578&lt;$P$7:$P$1000))+1</f>
        <v>32</v>
      </c>
      <c r="S578" s="72"/>
    </row>
    <row r="579" spans="10:19" x14ac:dyDescent="0.35">
      <c r="J579">
        <v>15</v>
      </c>
      <c r="K579" t="s">
        <v>7</v>
      </c>
      <c r="L579" t="s">
        <v>521</v>
      </c>
      <c r="M579" t="s">
        <v>256</v>
      </c>
      <c r="N579" t="s">
        <v>9</v>
      </c>
      <c r="O579" t="s">
        <v>23</v>
      </c>
      <c r="P579">
        <f t="shared" si="30"/>
        <v>3.5863247137585197</v>
      </c>
      <c r="Q579" t="str">
        <f t="shared" si="31"/>
        <v/>
      </c>
      <c r="R579" s="67" cm="1">
        <f t="array" ref="R579">SUMPRODUCT((J579=$J$7:$J$1000)*(P579&lt;$P$7:$P$1000))+1</f>
        <v>67</v>
      </c>
      <c r="S579" s="72"/>
    </row>
    <row r="580" spans="10:19" x14ac:dyDescent="0.35">
      <c r="J580" s="66">
        <v>15</v>
      </c>
      <c r="K580" t="s">
        <v>7</v>
      </c>
      <c r="L580" t="s">
        <v>92</v>
      </c>
      <c r="M580" t="s">
        <v>256</v>
      </c>
      <c r="N580" t="s">
        <v>9</v>
      </c>
      <c r="O580" t="s">
        <v>23</v>
      </c>
      <c r="P580">
        <f t="shared" si="30"/>
        <v>6.2688979222424237</v>
      </c>
      <c r="Q580" t="str">
        <f t="shared" si="31"/>
        <v/>
      </c>
      <c r="R580" s="67" cm="1">
        <f t="array" ref="R580">SUMPRODUCT((J580=$J$7:$J$1000)*(P580&lt;$P$7:$P$1000))+1</f>
        <v>53</v>
      </c>
      <c r="S580" s="72"/>
    </row>
    <row r="581" spans="10:19" x14ac:dyDescent="0.35">
      <c r="J581">
        <v>15</v>
      </c>
      <c r="K581" t="s">
        <v>17</v>
      </c>
      <c r="L581" t="s">
        <v>37</v>
      </c>
      <c r="M581" t="s">
        <v>256</v>
      </c>
      <c r="N581" t="s">
        <v>3</v>
      </c>
      <c r="O581" t="s">
        <v>36</v>
      </c>
      <c r="P581">
        <f t="shared" si="30"/>
        <v>15.397208941127898</v>
      </c>
      <c r="Q581" t="str">
        <f t="shared" si="31"/>
        <v/>
      </c>
      <c r="R581" s="67" cm="1">
        <f t="array" ref="R581">SUMPRODUCT((J581=$J$7:$J$1000)*(P581&lt;$P$7:$P$1000))+1</f>
        <v>5</v>
      </c>
      <c r="S581" s="72"/>
    </row>
    <row r="582" spans="10:19" x14ac:dyDescent="0.35">
      <c r="J582">
        <v>15</v>
      </c>
      <c r="K582" t="s">
        <v>17</v>
      </c>
      <c r="L582" t="s">
        <v>497</v>
      </c>
      <c r="M582" t="s">
        <v>256</v>
      </c>
      <c r="N582" t="s">
        <v>3</v>
      </c>
      <c r="O582" t="s">
        <v>36</v>
      </c>
      <c r="P582">
        <f t="shared" si="30"/>
        <v>12.734258632947698</v>
      </c>
      <c r="Q582" t="str">
        <f t="shared" si="31"/>
        <v/>
      </c>
      <c r="R582" s="67" cm="1">
        <f t="array" ref="R582">SUMPRODUCT((J582=$J$7:$J$1000)*(P582&lt;$P$7:$P$1000))+1</f>
        <v>16</v>
      </c>
      <c r="S582" s="72"/>
    </row>
    <row r="583" spans="10:19" x14ac:dyDescent="0.35">
      <c r="J583">
        <v>15</v>
      </c>
      <c r="K583" t="s">
        <v>17</v>
      </c>
      <c r="L583" t="s">
        <v>76</v>
      </c>
      <c r="M583" t="s">
        <v>256</v>
      </c>
      <c r="N583" t="s">
        <v>3</v>
      </c>
      <c r="O583" t="s">
        <v>36</v>
      </c>
      <c r="P583">
        <f t="shared" si="30"/>
        <v>6.9600701686153847</v>
      </c>
      <c r="Q583" t="str">
        <f t="shared" si="31"/>
        <v/>
      </c>
      <c r="R583" s="67" cm="1">
        <f t="array" ref="R583">SUMPRODUCT((J583=$J$7:$J$1000)*(P583&lt;$P$7:$P$1000))+1</f>
        <v>46</v>
      </c>
      <c r="S583" s="72"/>
    </row>
    <row r="584" spans="10:19" x14ac:dyDescent="0.35">
      <c r="J584">
        <v>15</v>
      </c>
      <c r="K584" t="s">
        <v>17</v>
      </c>
      <c r="L584" t="s">
        <v>458</v>
      </c>
      <c r="M584" t="s">
        <v>256</v>
      </c>
      <c r="N584" t="s">
        <v>3</v>
      </c>
      <c r="O584" t="s">
        <v>36</v>
      </c>
      <c r="P584">
        <f t="shared" ref="P584:P647" si="32">VLOOKUP($N584,$F$3:$G$4,2,FALSE)+VLOOKUP($L584,$B$20:$C$150,2,FALSE)+VLOOKUP($O584,$A$6:$B$16,2,FALSE)</f>
        <v>0.2305914004942784</v>
      </c>
      <c r="Q584" t="str">
        <f t="shared" si="31"/>
        <v/>
      </c>
      <c r="R584" s="67" cm="1">
        <f t="array" ref="R584">SUMPRODUCT((J584=$J$7:$J$1000)*(P584&lt;$P$7:$P$1000))+1</f>
        <v>73</v>
      </c>
      <c r="S584" s="72"/>
    </row>
    <row r="585" spans="10:19" x14ac:dyDescent="0.35">
      <c r="J585">
        <v>15</v>
      </c>
      <c r="K585" t="s">
        <v>17</v>
      </c>
      <c r="L585" t="s">
        <v>82</v>
      </c>
      <c r="M585" t="s">
        <v>256</v>
      </c>
      <c r="N585" t="s">
        <v>3</v>
      </c>
      <c r="O585" t="s">
        <v>36</v>
      </c>
      <c r="P585">
        <f t="shared" si="32"/>
        <v>8.2264434546339036</v>
      </c>
      <c r="Q585" t="str">
        <f t="shared" si="31"/>
        <v/>
      </c>
      <c r="R585" s="67" cm="1">
        <f t="array" ref="R585">SUMPRODUCT((J585=$J$7:$J$1000)*(P585&lt;$P$7:$P$1000))+1</f>
        <v>34</v>
      </c>
      <c r="S585" s="72"/>
    </row>
    <row r="586" spans="10:19" x14ac:dyDescent="0.35">
      <c r="J586">
        <v>15</v>
      </c>
      <c r="K586" t="s">
        <v>17</v>
      </c>
      <c r="L586" t="s">
        <v>531</v>
      </c>
      <c r="M586" t="s">
        <v>256</v>
      </c>
      <c r="N586" t="s">
        <v>3</v>
      </c>
      <c r="O586" t="s">
        <v>36</v>
      </c>
      <c r="P586">
        <f t="shared" si="32"/>
        <v>13.134993535895546</v>
      </c>
      <c r="Q586" t="str">
        <f t="shared" si="31"/>
        <v/>
      </c>
      <c r="R586" s="67" cm="1">
        <f t="array" ref="R586">SUMPRODUCT((J586=$J$7:$J$1000)*(P586&lt;$P$7:$P$1000))+1</f>
        <v>15</v>
      </c>
      <c r="S586" s="72"/>
    </row>
    <row r="587" spans="10:19" x14ac:dyDescent="0.35">
      <c r="J587">
        <v>15</v>
      </c>
      <c r="K587" t="s">
        <v>17</v>
      </c>
      <c r="L587" t="s">
        <v>450</v>
      </c>
      <c r="M587" t="s">
        <v>256</v>
      </c>
      <c r="N587" t="s">
        <v>3</v>
      </c>
      <c r="O587" t="s">
        <v>36</v>
      </c>
      <c r="P587">
        <f t="shared" si="32"/>
        <v>6.9355335980842536</v>
      </c>
      <c r="Q587" t="str">
        <f t="shared" si="31"/>
        <v/>
      </c>
      <c r="R587" s="67" cm="1">
        <f t="array" ref="R587">SUMPRODUCT((J587=$J$7:$J$1000)*(P587&lt;$P$7:$P$1000))+1</f>
        <v>47</v>
      </c>
      <c r="S587" s="72"/>
    </row>
    <row r="588" spans="10:19" x14ac:dyDescent="0.35">
      <c r="J588">
        <v>15</v>
      </c>
      <c r="K588" t="s">
        <v>17</v>
      </c>
      <c r="L588" t="s">
        <v>537</v>
      </c>
      <c r="M588" t="s">
        <v>256</v>
      </c>
      <c r="N588" t="s">
        <v>3</v>
      </c>
      <c r="O588" t="s">
        <v>36</v>
      </c>
      <c r="P588">
        <f t="shared" si="32"/>
        <v>7.0853419804301101</v>
      </c>
      <c r="Q588" t="str">
        <f t="shared" si="31"/>
        <v/>
      </c>
      <c r="R588" s="67" cm="1">
        <f t="array" ref="R588">SUMPRODUCT((J588=$J$7:$J$1000)*(P588&lt;$P$7:$P$1000))+1</f>
        <v>41</v>
      </c>
      <c r="S588" s="72"/>
    </row>
    <row r="589" spans="10:19" x14ac:dyDescent="0.35">
      <c r="J589">
        <v>15</v>
      </c>
      <c r="K589" t="s">
        <v>13</v>
      </c>
      <c r="L589" t="s">
        <v>478</v>
      </c>
      <c r="M589" t="s">
        <v>256</v>
      </c>
      <c r="N589" t="s">
        <v>9</v>
      </c>
      <c r="O589" t="s">
        <v>4</v>
      </c>
      <c r="P589">
        <f t="shared" si="32"/>
        <v>9.2063292638115719</v>
      </c>
      <c r="Q589" t="str">
        <f t="shared" si="31"/>
        <v/>
      </c>
      <c r="R589" s="67" cm="1">
        <f t="array" ref="R589">SUMPRODUCT((J589=$J$7:$J$1000)*(P589&lt;$P$7:$P$1000))+1</f>
        <v>28</v>
      </c>
      <c r="S589" s="72"/>
    </row>
    <row r="590" spans="10:19" x14ac:dyDescent="0.35">
      <c r="J590">
        <v>15</v>
      </c>
      <c r="K590" t="s">
        <v>13</v>
      </c>
      <c r="L590" t="s">
        <v>79</v>
      </c>
      <c r="M590" t="s">
        <v>256</v>
      </c>
      <c r="N590" t="s">
        <v>9</v>
      </c>
      <c r="O590" t="s">
        <v>4</v>
      </c>
      <c r="P590">
        <f t="shared" si="32"/>
        <v>14.710639246070166</v>
      </c>
      <c r="Q590" t="str">
        <f t="shared" ref="Q590:Q653" si="33">IFERROR(($M590-$P590)^2,"")</f>
        <v/>
      </c>
      <c r="R590" s="67" cm="1">
        <f t="array" ref="R590">SUMPRODUCT((J590=$J$7:$J$1000)*(P590&lt;$P$7:$P$1000))+1</f>
        <v>8</v>
      </c>
      <c r="S590" s="72"/>
    </row>
    <row r="591" spans="10:19" x14ac:dyDescent="0.35">
      <c r="J591">
        <v>15</v>
      </c>
      <c r="K591" t="s">
        <v>13</v>
      </c>
      <c r="L591" t="s">
        <v>477</v>
      </c>
      <c r="M591" t="s">
        <v>256</v>
      </c>
      <c r="N591" t="s">
        <v>9</v>
      </c>
      <c r="O591" t="s">
        <v>4</v>
      </c>
      <c r="P591">
        <f t="shared" si="32"/>
        <v>12.194448844478062</v>
      </c>
      <c r="Q591" t="str">
        <f t="shared" si="33"/>
        <v/>
      </c>
      <c r="R591" s="67" cm="1">
        <f t="array" ref="R591">SUMPRODUCT((J591=$J$7:$J$1000)*(P591&lt;$P$7:$P$1000))+1</f>
        <v>18</v>
      </c>
      <c r="S591" s="72"/>
    </row>
    <row r="592" spans="10:19" x14ac:dyDescent="0.35">
      <c r="J592" s="66">
        <v>15</v>
      </c>
      <c r="K592" t="s">
        <v>13</v>
      </c>
      <c r="L592" t="s">
        <v>494</v>
      </c>
      <c r="M592" t="s">
        <v>256</v>
      </c>
      <c r="N592" t="s">
        <v>9</v>
      </c>
      <c r="O592" t="s">
        <v>4</v>
      </c>
      <c r="P592">
        <f t="shared" si="32"/>
        <v>11.104124218269797</v>
      </c>
      <c r="Q592" t="str">
        <f t="shared" si="33"/>
        <v/>
      </c>
      <c r="R592" s="67" cm="1">
        <f t="array" ref="R592">SUMPRODUCT((J592=$J$7:$J$1000)*(P592&lt;$P$7:$P$1000))+1</f>
        <v>19</v>
      </c>
      <c r="S592" s="72"/>
    </row>
    <row r="593" spans="10:19" x14ac:dyDescent="0.35">
      <c r="J593">
        <v>15</v>
      </c>
      <c r="K593" t="s">
        <v>13</v>
      </c>
      <c r="L593" t="s">
        <v>687</v>
      </c>
      <c r="M593" t="s">
        <v>256</v>
      </c>
      <c r="N593" t="s">
        <v>9</v>
      </c>
      <c r="O593" t="s">
        <v>4</v>
      </c>
      <c r="P593">
        <f t="shared" si="32"/>
        <v>9.2821422475136455</v>
      </c>
      <c r="Q593" t="str">
        <f t="shared" si="33"/>
        <v/>
      </c>
      <c r="R593" s="67" cm="1">
        <f t="array" ref="R593">SUMPRODUCT((J593=$J$7:$J$1000)*(P593&lt;$P$7:$P$1000))+1</f>
        <v>26</v>
      </c>
      <c r="S593" s="72"/>
    </row>
    <row r="594" spans="10:19" x14ac:dyDescent="0.35">
      <c r="J594">
        <v>15</v>
      </c>
      <c r="K594" t="s">
        <v>13</v>
      </c>
      <c r="L594" t="s">
        <v>98</v>
      </c>
      <c r="M594" t="s">
        <v>256</v>
      </c>
      <c r="N594" t="s">
        <v>9</v>
      </c>
      <c r="O594" t="s">
        <v>4</v>
      </c>
      <c r="P594">
        <f t="shared" si="32"/>
        <v>3.0489553267156433</v>
      </c>
      <c r="Q594" t="str">
        <f t="shared" si="33"/>
        <v/>
      </c>
      <c r="R594" s="67" cm="1">
        <f t="array" ref="R594">SUMPRODUCT((J594=$J$7:$J$1000)*(P594&lt;$P$7:$P$1000))+1</f>
        <v>72</v>
      </c>
      <c r="S594" s="72"/>
    </row>
    <row r="595" spans="10:19" x14ac:dyDescent="0.35">
      <c r="J595">
        <v>15</v>
      </c>
      <c r="K595" t="s">
        <v>13</v>
      </c>
      <c r="L595" t="s">
        <v>691</v>
      </c>
      <c r="M595" t="s">
        <v>256</v>
      </c>
      <c r="N595" t="s">
        <v>9</v>
      </c>
      <c r="O595" t="s">
        <v>4</v>
      </c>
      <c r="P595">
        <f t="shared" si="32"/>
        <v>7.2791900600799195</v>
      </c>
      <c r="Q595" t="str">
        <f t="shared" si="33"/>
        <v/>
      </c>
      <c r="R595" s="67" cm="1">
        <f t="array" ref="R595">SUMPRODUCT((J595=$J$7:$J$1000)*(P595&lt;$P$7:$P$1000))+1</f>
        <v>40</v>
      </c>
      <c r="S595" s="72"/>
    </row>
    <row r="596" spans="10:19" x14ac:dyDescent="0.35">
      <c r="J596">
        <v>15</v>
      </c>
      <c r="K596" t="s">
        <v>13</v>
      </c>
      <c r="L596" t="s">
        <v>49</v>
      </c>
      <c r="M596" t="s">
        <v>256</v>
      </c>
      <c r="N596" t="s">
        <v>9</v>
      </c>
      <c r="O596" t="s">
        <v>4</v>
      </c>
      <c r="P596">
        <f t="shared" si="32"/>
        <v>8.1792707894806558</v>
      </c>
      <c r="Q596" t="str">
        <f t="shared" si="33"/>
        <v/>
      </c>
      <c r="R596" s="67" cm="1">
        <f t="array" ref="R596">SUMPRODUCT((J596=$J$7:$J$1000)*(P596&lt;$P$7:$P$1000))+1</f>
        <v>35</v>
      </c>
      <c r="S596" s="72"/>
    </row>
    <row r="597" spans="10:19" x14ac:dyDescent="0.35">
      <c r="J597">
        <v>16</v>
      </c>
      <c r="K597" t="s">
        <v>14</v>
      </c>
      <c r="L597" t="s">
        <v>460</v>
      </c>
      <c r="M597" t="s">
        <v>256</v>
      </c>
      <c r="N597" t="s">
        <v>9</v>
      </c>
      <c r="O597" t="s">
        <v>13</v>
      </c>
      <c r="P597">
        <f t="shared" si="32"/>
        <v>0.60310714613586636</v>
      </c>
      <c r="Q597" t="str">
        <f t="shared" si="33"/>
        <v/>
      </c>
      <c r="R597" s="67" cm="1">
        <f t="array" ref="R597">SUMPRODUCT((J597=$J$7:$J$1000)*(P597&lt;$P$7:$P$1000))+1</f>
        <v>83</v>
      </c>
      <c r="S597" s="72"/>
    </row>
    <row r="598" spans="10:19" x14ac:dyDescent="0.35">
      <c r="J598">
        <v>16</v>
      </c>
      <c r="K598" t="s">
        <v>14</v>
      </c>
      <c r="L598" t="s">
        <v>454</v>
      </c>
      <c r="M598" t="s">
        <v>256</v>
      </c>
      <c r="N598" t="s">
        <v>9</v>
      </c>
      <c r="O598" t="s">
        <v>7</v>
      </c>
      <c r="P598">
        <f t="shared" si="32"/>
        <v>8.9580405477904872</v>
      </c>
      <c r="Q598" t="str">
        <f t="shared" si="33"/>
        <v/>
      </c>
      <c r="R598" s="67" cm="1">
        <f t="array" ref="R598">SUMPRODUCT((J598=$J$7:$J$1000)*(P598&lt;$P$7:$P$1000))+1</f>
        <v>36</v>
      </c>
      <c r="S598" s="72"/>
    </row>
    <row r="599" spans="10:19" x14ac:dyDescent="0.35">
      <c r="J599">
        <v>16</v>
      </c>
      <c r="K599" t="s">
        <v>14</v>
      </c>
      <c r="L599" t="s">
        <v>278</v>
      </c>
      <c r="M599" t="s">
        <v>256</v>
      </c>
      <c r="N599" t="s">
        <v>9</v>
      </c>
      <c r="O599" t="s">
        <v>13</v>
      </c>
      <c r="P599">
        <f t="shared" si="32"/>
        <v>7.7885580424463239</v>
      </c>
      <c r="Q599" t="str">
        <f t="shared" si="33"/>
        <v/>
      </c>
      <c r="R599" s="67" cm="1">
        <f t="array" ref="R599">SUMPRODUCT((J599=$J$7:$J$1000)*(P599&lt;$P$7:$P$1000))+1</f>
        <v>44</v>
      </c>
      <c r="S599" s="72"/>
    </row>
    <row r="600" spans="10:19" x14ac:dyDescent="0.35">
      <c r="J600">
        <v>16</v>
      </c>
      <c r="K600" t="s">
        <v>14</v>
      </c>
      <c r="L600" t="s">
        <v>534</v>
      </c>
      <c r="M600" t="s">
        <v>256</v>
      </c>
      <c r="N600" t="s">
        <v>9</v>
      </c>
      <c r="O600" t="s">
        <v>13</v>
      </c>
      <c r="P600">
        <f t="shared" si="32"/>
        <v>5.1141369755765309</v>
      </c>
      <c r="Q600" t="str">
        <f t="shared" si="33"/>
        <v/>
      </c>
      <c r="R600" s="67" cm="1">
        <f t="array" ref="R600">SUMPRODUCT((J600=$J$7:$J$1000)*(P600&lt;$P$7:$P$1000))+1</f>
        <v>61</v>
      </c>
      <c r="S600" s="72"/>
    </row>
    <row r="601" spans="10:19" x14ac:dyDescent="0.35">
      <c r="J601">
        <v>16</v>
      </c>
      <c r="K601" t="s">
        <v>14</v>
      </c>
      <c r="L601" t="s">
        <v>285</v>
      </c>
      <c r="M601" t="s">
        <v>256</v>
      </c>
      <c r="N601" t="s">
        <v>9</v>
      </c>
      <c r="O601" t="s">
        <v>13</v>
      </c>
      <c r="P601">
        <f t="shared" si="32"/>
        <v>7.8363916191127485</v>
      </c>
      <c r="Q601" t="str">
        <f t="shared" si="33"/>
        <v/>
      </c>
      <c r="R601" s="67" cm="1">
        <f t="array" ref="R601">SUMPRODUCT((J601=$J$7:$J$1000)*(P601&lt;$P$7:$P$1000))+1</f>
        <v>43</v>
      </c>
    </row>
    <row r="602" spans="10:19" x14ac:dyDescent="0.35">
      <c r="J602">
        <v>16</v>
      </c>
      <c r="K602" t="s">
        <v>14</v>
      </c>
      <c r="L602" t="s">
        <v>83</v>
      </c>
      <c r="M602" t="s">
        <v>256</v>
      </c>
      <c r="N602" t="s">
        <v>9</v>
      </c>
      <c r="O602" t="s">
        <v>13</v>
      </c>
      <c r="P602">
        <f t="shared" si="32"/>
        <v>10.357740191718522</v>
      </c>
      <c r="Q602" t="str">
        <f t="shared" si="33"/>
        <v/>
      </c>
      <c r="R602" s="67" cm="1">
        <f t="array" ref="R602">SUMPRODUCT((J602=$J$7:$J$1000)*(P602&lt;$P$7:$P$1000))+1</f>
        <v>28</v>
      </c>
    </row>
    <row r="603" spans="10:19" x14ac:dyDescent="0.35">
      <c r="J603">
        <v>16</v>
      </c>
      <c r="K603" t="s">
        <v>14</v>
      </c>
      <c r="L603" t="s">
        <v>87</v>
      </c>
      <c r="M603" t="s">
        <v>256</v>
      </c>
      <c r="N603" t="s">
        <v>9</v>
      </c>
      <c r="O603" t="s">
        <v>13</v>
      </c>
      <c r="P603">
        <f t="shared" si="32"/>
        <v>10.563057323745214</v>
      </c>
      <c r="Q603" t="str">
        <f t="shared" si="33"/>
        <v/>
      </c>
      <c r="R603" s="67" cm="1">
        <f t="array" ref="R603">SUMPRODUCT((J603=$J$7:$J$1000)*(P603&lt;$P$7:$P$1000))+1</f>
        <v>24</v>
      </c>
    </row>
    <row r="604" spans="10:19" x14ac:dyDescent="0.35">
      <c r="J604">
        <v>16</v>
      </c>
      <c r="K604" t="s">
        <v>14</v>
      </c>
      <c r="L604" t="s">
        <v>639</v>
      </c>
      <c r="M604" t="s">
        <v>256</v>
      </c>
      <c r="N604" t="s">
        <v>9</v>
      </c>
      <c r="O604" t="s">
        <v>13</v>
      </c>
      <c r="P604">
        <f t="shared" si="32"/>
        <v>10.043797656066872</v>
      </c>
      <c r="Q604" t="str">
        <f t="shared" si="33"/>
        <v/>
      </c>
      <c r="R604" s="67" cm="1">
        <f t="array" ref="R604">SUMPRODUCT((J604=$J$7:$J$1000)*(P604&lt;$P$7:$P$1000))+1</f>
        <v>31</v>
      </c>
    </row>
    <row r="605" spans="10:19" x14ac:dyDescent="0.35">
      <c r="J605">
        <v>16</v>
      </c>
      <c r="K605" t="s">
        <v>2</v>
      </c>
      <c r="L605" t="s">
        <v>63</v>
      </c>
      <c r="M605" t="s">
        <v>256</v>
      </c>
      <c r="N605" t="s">
        <v>3</v>
      </c>
      <c r="O605" t="s">
        <v>4</v>
      </c>
      <c r="P605">
        <f t="shared" si="32"/>
        <v>5.8641061874807052</v>
      </c>
      <c r="Q605" t="str">
        <f t="shared" si="33"/>
        <v/>
      </c>
      <c r="R605" s="67" cm="1">
        <f t="array" ref="R605">SUMPRODUCT((J605=$J$7:$J$1000)*(P605&lt;$P$7:$P$1000))+1</f>
        <v>55</v>
      </c>
    </row>
    <row r="606" spans="10:19" x14ac:dyDescent="0.35">
      <c r="J606">
        <v>16</v>
      </c>
      <c r="K606" t="s">
        <v>2</v>
      </c>
      <c r="L606" t="s">
        <v>455</v>
      </c>
      <c r="M606" t="s">
        <v>256</v>
      </c>
      <c r="N606" t="s">
        <v>3</v>
      </c>
      <c r="O606" t="s">
        <v>4</v>
      </c>
      <c r="P606">
        <f t="shared" si="32"/>
        <v>5.2150615820758528</v>
      </c>
      <c r="Q606" t="str">
        <f t="shared" si="33"/>
        <v/>
      </c>
      <c r="R606" s="67" cm="1">
        <f t="array" ref="R606">SUMPRODUCT((J606=$J$7:$J$1000)*(P606&lt;$P$7:$P$1000))+1</f>
        <v>59</v>
      </c>
    </row>
    <row r="607" spans="10:19" x14ac:dyDescent="0.35">
      <c r="J607">
        <v>16</v>
      </c>
      <c r="K607" t="s">
        <v>2</v>
      </c>
      <c r="L607" t="s">
        <v>499</v>
      </c>
      <c r="M607" t="s">
        <v>256</v>
      </c>
      <c r="N607" t="s">
        <v>3</v>
      </c>
      <c r="O607" t="s">
        <v>4</v>
      </c>
      <c r="P607">
        <f t="shared" si="32"/>
        <v>3.102040287109793</v>
      </c>
      <c r="Q607" t="str">
        <f t="shared" si="33"/>
        <v/>
      </c>
      <c r="R607" s="67" cm="1">
        <f t="array" ref="R607">SUMPRODUCT((J607=$J$7:$J$1000)*(P607&lt;$P$7:$P$1000))+1</f>
        <v>75</v>
      </c>
    </row>
    <row r="608" spans="10:19" x14ac:dyDescent="0.35">
      <c r="J608">
        <v>16</v>
      </c>
      <c r="K608" t="s">
        <v>2</v>
      </c>
      <c r="L608" t="s">
        <v>12</v>
      </c>
      <c r="M608" t="s">
        <v>256</v>
      </c>
      <c r="N608" t="s">
        <v>3</v>
      </c>
      <c r="O608" t="s">
        <v>4</v>
      </c>
      <c r="P608">
        <f t="shared" si="32"/>
        <v>6.0159452103976694</v>
      </c>
      <c r="Q608" t="str">
        <f t="shared" si="33"/>
        <v/>
      </c>
      <c r="R608" s="67" cm="1">
        <f t="array" ref="R608">SUMPRODUCT((J608=$J$7:$J$1000)*(P608&lt;$P$7:$P$1000))+1</f>
        <v>54</v>
      </c>
    </row>
    <row r="609" spans="10:18" x14ac:dyDescent="0.35">
      <c r="J609">
        <v>16</v>
      </c>
      <c r="K609" t="s">
        <v>2</v>
      </c>
      <c r="L609" t="s">
        <v>495</v>
      </c>
      <c r="M609" t="s">
        <v>256</v>
      </c>
      <c r="N609" t="s">
        <v>3</v>
      </c>
      <c r="O609" t="s">
        <v>4</v>
      </c>
      <c r="P609">
        <f t="shared" si="32"/>
        <v>7.3418958024697654</v>
      </c>
      <c r="Q609" t="str">
        <f t="shared" si="33"/>
        <v/>
      </c>
      <c r="R609" s="67" cm="1">
        <f t="array" ref="R609">SUMPRODUCT((J609=$J$7:$J$1000)*(P609&lt;$P$7:$P$1000))+1</f>
        <v>47</v>
      </c>
    </row>
    <row r="610" spans="10:18" x14ac:dyDescent="0.35">
      <c r="J610">
        <v>16</v>
      </c>
      <c r="K610" t="s">
        <v>2</v>
      </c>
      <c r="L610" t="s">
        <v>88</v>
      </c>
      <c r="M610" t="s">
        <v>256</v>
      </c>
      <c r="N610" t="s">
        <v>3</v>
      </c>
      <c r="O610" t="s">
        <v>4</v>
      </c>
      <c r="P610">
        <f t="shared" si="32"/>
        <v>4.0636081486584761</v>
      </c>
      <c r="Q610" t="str">
        <f t="shared" si="33"/>
        <v/>
      </c>
      <c r="R610" s="67" cm="1">
        <f t="array" ref="R610">SUMPRODUCT((J610=$J$7:$J$1000)*(P610&lt;$P$7:$P$1000))+1</f>
        <v>68</v>
      </c>
    </row>
    <row r="611" spans="10:18" x14ac:dyDescent="0.35">
      <c r="J611">
        <v>16</v>
      </c>
      <c r="K611" t="s">
        <v>2</v>
      </c>
      <c r="L611" t="s">
        <v>90</v>
      </c>
      <c r="M611" t="s">
        <v>256</v>
      </c>
      <c r="N611" t="s">
        <v>3</v>
      </c>
      <c r="O611" t="s">
        <v>4</v>
      </c>
      <c r="P611">
        <f t="shared" si="32"/>
        <v>7.0308892065854929</v>
      </c>
      <c r="Q611" t="str">
        <f t="shared" si="33"/>
        <v/>
      </c>
      <c r="R611" s="67" cm="1">
        <f t="array" ref="R611">SUMPRODUCT((J611=$J$7:$J$1000)*(P611&lt;$P$7:$P$1000))+1</f>
        <v>48</v>
      </c>
    </row>
    <row r="612" spans="10:18" x14ac:dyDescent="0.35">
      <c r="J612">
        <v>16</v>
      </c>
      <c r="K612" t="s">
        <v>6</v>
      </c>
      <c r="L612" t="s">
        <v>64</v>
      </c>
      <c r="M612" t="s">
        <v>256</v>
      </c>
      <c r="N612" t="s">
        <v>9</v>
      </c>
      <c r="O612" t="s">
        <v>7</v>
      </c>
      <c r="P612">
        <f t="shared" si="32"/>
        <v>8.913582912419189</v>
      </c>
      <c r="Q612" t="str">
        <f t="shared" si="33"/>
        <v/>
      </c>
      <c r="R612" s="67" cm="1">
        <f t="array" ref="R612">SUMPRODUCT((J612=$J$7:$J$1000)*(P612&lt;$P$7:$P$1000))+1</f>
        <v>37</v>
      </c>
    </row>
    <row r="613" spans="10:18" x14ac:dyDescent="0.35">
      <c r="J613">
        <v>16</v>
      </c>
      <c r="K613" t="s">
        <v>6</v>
      </c>
      <c r="L613" t="s">
        <v>66</v>
      </c>
      <c r="M613" t="s">
        <v>256</v>
      </c>
      <c r="N613" t="s">
        <v>9</v>
      </c>
      <c r="O613" t="s">
        <v>7</v>
      </c>
      <c r="P613">
        <f t="shared" si="32"/>
        <v>1.9704975752713845</v>
      </c>
      <c r="Q613" t="str">
        <f t="shared" si="33"/>
        <v/>
      </c>
      <c r="R613" s="67" cm="1">
        <f t="array" ref="R613">SUMPRODUCT((J613=$J$7:$J$1000)*(P613&lt;$P$7:$P$1000))+1</f>
        <v>79</v>
      </c>
    </row>
    <row r="614" spans="10:18" x14ac:dyDescent="0.35">
      <c r="J614">
        <v>16</v>
      </c>
      <c r="K614" t="s">
        <v>6</v>
      </c>
      <c r="L614" t="s">
        <v>75</v>
      </c>
      <c r="M614" t="s">
        <v>256</v>
      </c>
      <c r="N614" t="s">
        <v>9</v>
      </c>
      <c r="O614" t="s">
        <v>7</v>
      </c>
      <c r="P614">
        <f t="shared" si="32"/>
        <v>5.5526717583480112</v>
      </c>
      <c r="Q614" t="str">
        <f t="shared" si="33"/>
        <v/>
      </c>
      <c r="R614" s="67" cm="1">
        <f t="array" ref="R614">SUMPRODUCT((J614=$J$7:$J$1000)*(P614&lt;$P$7:$P$1000))+1</f>
        <v>57</v>
      </c>
    </row>
    <row r="615" spans="10:18" x14ac:dyDescent="0.35">
      <c r="J615">
        <v>16</v>
      </c>
      <c r="K615" t="s">
        <v>6</v>
      </c>
      <c r="L615" t="s">
        <v>93</v>
      </c>
      <c r="M615" t="s">
        <v>256</v>
      </c>
      <c r="N615" t="s">
        <v>9</v>
      </c>
      <c r="O615" t="s">
        <v>7</v>
      </c>
      <c r="P615">
        <f t="shared" si="32"/>
        <v>10.750249000397208</v>
      </c>
      <c r="Q615" t="str">
        <f t="shared" si="33"/>
        <v/>
      </c>
      <c r="R615" s="67" cm="1">
        <f t="array" ref="R615">SUMPRODUCT((J615=$J$7:$J$1000)*(P615&lt;$P$7:$P$1000))+1</f>
        <v>21</v>
      </c>
    </row>
    <row r="616" spans="10:18" x14ac:dyDescent="0.35">
      <c r="J616">
        <v>16</v>
      </c>
      <c r="K616" t="s">
        <v>6</v>
      </c>
      <c r="L616" t="s">
        <v>94</v>
      </c>
      <c r="M616" t="s">
        <v>256</v>
      </c>
      <c r="N616" t="s">
        <v>9</v>
      </c>
      <c r="O616" t="s">
        <v>7</v>
      </c>
      <c r="P616">
        <f t="shared" si="32"/>
        <v>11.307619873462034</v>
      </c>
      <c r="Q616" t="str">
        <f t="shared" si="33"/>
        <v/>
      </c>
      <c r="R616" s="67" cm="1">
        <f t="array" ref="R616">SUMPRODUCT((J616=$J$7:$J$1000)*(P616&lt;$P$7:$P$1000))+1</f>
        <v>18</v>
      </c>
    </row>
    <row r="617" spans="10:18" x14ac:dyDescent="0.35">
      <c r="J617">
        <v>16</v>
      </c>
      <c r="K617" t="s">
        <v>6</v>
      </c>
      <c r="L617" t="s">
        <v>43</v>
      </c>
      <c r="M617" t="s">
        <v>256</v>
      </c>
      <c r="N617" t="s">
        <v>9</v>
      </c>
      <c r="O617" t="s">
        <v>7</v>
      </c>
      <c r="P617">
        <f t="shared" si="32"/>
        <v>4.3774894660403385</v>
      </c>
      <c r="Q617" t="str">
        <f t="shared" si="33"/>
        <v/>
      </c>
      <c r="R617" s="67" cm="1">
        <f t="array" ref="R617">SUMPRODUCT((J617=$J$7:$J$1000)*(P617&lt;$P$7:$P$1000))+1</f>
        <v>66</v>
      </c>
    </row>
    <row r="618" spans="10:18" x14ac:dyDescent="0.35">
      <c r="J618">
        <v>16</v>
      </c>
      <c r="K618" t="s">
        <v>6</v>
      </c>
      <c r="L618" t="s">
        <v>675</v>
      </c>
      <c r="M618" t="s">
        <v>256</v>
      </c>
      <c r="N618" t="s">
        <v>9</v>
      </c>
      <c r="O618" t="s">
        <v>7</v>
      </c>
      <c r="P618">
        <f t="shared" si="32"/>
        <v>11.474771653479307</v>
      </c>
      <c r="Q618" t="str">
        <f t="shared" si="33"/>
        <v/>
      </c>
      <c r="R618" s="67" cm="1">
        <f t="array" ref="R618">SUMPRODUCT((J618=$J$7:$J$1000)*(P618&lt;$P$7:$P$1000))+1</f>
        <v>17</v>
      </c>
    </row>
    <row r="619" spans="10:18" x14ac:dyDescent="0.35">
      <c r="J619">
        <v>16</v>
      </c>
      <c r="K619" t="s">
        <v>6</v>
      </c>
      <c r="L619" t="s">
        <v>5</v>
      </c>
      <c r="M619" t="s">
        <v>256</v>
      </c>
      <c r="N619" t="s">
        <v>9</v>
      </c>
      <c r="O619" t="s">
        <v>7</v>
      </c>
      <c r="P619">
        <f t="shared" si="32"/>
        <v>12.521119291636559</v>
      </c>
      <c r="Q619" t="str">
        <f t="shared" si="33"/>
        <v/>
      </c>
      <c r="R619" s="67" cm="1">
        <f t="array" ref="R619">SUMPRODUCT((J619=$J$7:$J$1000)*(P619&lt;$P$7:$P$1000))+1</f>
        <v>12</v>
      </c>
    </row>
    <row r="620" spans="10:18" x14ac:dyDescent="0.35">
      <c r="J620">
        <v>16</v>
      </c>
      <c r="K620" t="s">
        <v>24</v>
      </c>
      <c r="L620" t="s">
        <v>459</v>
      </c>
      <c r="M620" t="s">
        <v>256</v>
      </c>
      <c r="N620" t="s">
        <v>3</v>
      </c>
      <c r="O620" t="s">
        <v>34</v>
      </c>
      <c r="P620">
        <f t="shared" si="32"/>
        <v>1.205370824440382</v>
      </c>
      <c r="Q620" t="str">
        <f t="shared" si="33"/>
        <v/>
      </c>
      <c r="R620" s="67" cm="1">
        <f t="array" ref="R620">SUMPRODUCT((J620=$J$7:$J$1000)*(P620&lt;$P$7:$P$1000))+1</f>
        <v>81</v>
      </c>
    </row>
    <row r="621" spans="10:18" x14ac:dyDescent="0.35">
      <c r="J621">
        <v>16</v>
      </c>
      <c r="K621" t="s">
        <v>24</v>
      </c>
      <c r="L621" t="s">
        <v>35</v>
      </c>
      <c r="M621" t="s">
        <v>256</v>
      </c>
      <c r="N621" t="s">
        <v>3</v>
      </c>
      <c r="O621" t="s">
        <v>34</v>
      </c>
      <c r="P621">
        <f t="shared" si="32"/>
        <v>9.4484357215225288</v>
      </c>
      <c r="Q621" t="str">
        <f t="shared" si="33"/>
        <v/>
      </c>
      <c r="R621" s="67" cm="1">
        <f t="array" ref="R621">SUMPRODUCT((J621=$J$7:$J$1000)*(P621&lt;$P$7:$P$1000))+1</f>
        <v>35</v>
      </c>
    </row>
    <row r="622" spans="10:18" x14ac:dyDescent="0.35">
      <c r="J622">
        <v>16</v>
      </c>
      <c r="K622" t="s">
        <v>24</v>
      </c>
      <c r="L622" t="s">
        <v>572</v>
      </c>
      <c r="M622" t="s">
        <v>256</v>
      </c>
      <c r="N622" t="s">
        <v>3</v>
      </c>
      <c r="O622" t="s">
        <v>34</v>
      </c>
      <c r="P622">
        <f t="shared" si="32"/>
        <v>6.4571979383976474</v>
      </c>
      <c r="Q622" t="str">
        <f t="shared" si="33"/>
        <v/>
      </c>
      <c r="R622" s="67" cm="1">
        <f t="array" ref="R622">SUMPRODUCT((J622=$J$7:$J$1000)*(P622&lt;$P$7:$P$1000))+1</f>
        <v>50</v>
      </c>
    </row>
    <row r="623" spans="10:18" x14ac:dyDescent="0.35">
      <c r="J623">
        <v>16</v>
      </c>
      <c r="K623" t="s">
        <v>24</v>
      </c>
      <c r="L623" t="s">
        <v>535</v>
      </c>
      <c r="M623" t="s">
        <v>256</v>
      </c>
      <c r="N623" t="s">
        <v>3</v>
      </c>
      <c r="O623" t="s">
        <v>34</v>
      </c>
      <c r="P623">
        <f t="shared" si="32"/>
        <v>2.2102824177621412</v>
      </c>
      <c r="Q623" t="str">
        <f t="shared" si="33"/>
        <v/>
      </c>
      <c r="R623" s="67" cm="1">
        <f t="array" ref="R623">SUMPRODUCT((J623=$J$7:$J$1000)*(P623&lt;$P$7:$P$1000))+1</f>
        <v>77</v>
      </c>
    </row>
    <row r="624" spans="10:18" x14ac:dyDescent="0.35">
      <c r="J624">
        <v>16</v>
      </c>
      <c r="K624" t="s">
        <v>24</v>
      </c>
      <c r="L624" t="s">
        <v>84</v>
      </c>
      <c r="M624" t="s">
        <v>256</v>
      </c>
      <c r="N624" t="s">
        <v>3</v>
      </c>
      <c r="O624" t="s">
        <v>34</v>
      </c>
      <c r="P624">
        <f t="shared" si="32"/>
        <v>7.5558747946027029</v>
      </c>
      <c r="Q624" t="str">
        <f t="shared" si="33"/>
        <v/>
      </c>
      <c r="R624" s="67" cm="1">
        <f t="array" ref="R624">SUMPRODUCT((J624=$J$7:$J$1000)*(P624&lt;$P$7:$P$1000))+1</f>
        <v>46</v>
      </c>
    </row>
    <row r="625" spans="10:18" x14ac:dyDescent="0.35">
      <c r="J625">
        <v>16</v>
      </c>
      <c r="K625" t="s">
        <v>24</v>
      </c>
      <c r="L625" t="s">
        <v>194</v>
      </c>
      <c r="M625" t="s">
        <v>256</v>
      </c>
      <c r="N625" t="s">
        <v>3</v>
      </c>
      <c r="O625" t="s">
        <v>34</v>
      </c>
      <c r="P625">
        <f t="shared" si="32"/>
        <v>9.8474811261816235</v>
      </c>
      <c r="Q625" t="str">
        <f t="shared" si="33"/>
        <v/>
      </c>
      <c r="R625" s="67" cm="1">
        <f t="array" ref="R625">SUMPRODUCT((J625=$J$7:$J$1000)*(P625&lt;$P$7:$P$1000))+1</f>
        <v>34</v>
      </c>
    </row>
    <row r="626" spans="10:18" x14ac:dyDescent="0.35">
      <c r="J626">
        <v>16</v>
      </c>
      <c r="K626" t="s">
        <v>24</v>
      </c>
      <c r="L626" t="s">
        <v>96</v>
      </c>
      <c r="M626" t="s">
        <v>256</v>
      </c>
      <c r="N626" t="s">
        <v>3</v>
      </c>
      <c r="O626" t="s">
        <v>34</v>
      </c>
      <c r="P626">
        <f t="shared" si="32"/>
        <v>12.014647289504621</v>
      </c>
      <c r="Q626" t="str">
        <f t="shared" si="33"/>
        <v/>
      </c>
      <c r="R626" s="67" cm="1">
        <f t="array" ref="R626">SUMPRODUCT((J626=$J$7:$J$1000)*(P626&lt;$P$7:$P$1000))+1</f>
        <v>13</v>
      </c>
    </row>
    <row r="627" spans="10:18" x14ac:dyDescent="0.35">
      <c r="J627">
        <v>16</v>
      </c>
      <c r="K627" t="s">
        <v>24</v>
      </c>
      <c r="L627" t="s">
        <v>533</v>
      </c>
      <c r="M627" t="s">
        <v>256</v>
      </c>
      <c r="N627" t="s">
        <v>3</v>
      </c>
      <c r="O627" t="s">
        <v>34</v>
      </c>
      <c r="P627">
        <f t="shared" si="32"/>
        <v>15.276875208556321</v>
      </c>
      <c r="Q627" t="str">
        <f t="shared" si="33"/>
        <v/>
      </c>
      <c r="R627" s="67" cm="1">
        <f t="array" ref="R627">SUMPRODUCT((J627=$J$7:$J$1000)*(P627&lt;$P$7:$P$1000))+1</f>
        <v>3</v>
      </c>
    </row>
    <row r="628" spans="10:18" x14ac:dyDescent="0.35">
      <c r="J628">
        <v>16</v>
      </c>
      <c r="K628" t="s">
        <v>24</v>
      </c>
      <c r="L628" t="s">
        <v>446</v>
      </c>
      <c r="M628" t="s">
        <v>256</v>
      </c>
      <c r="N628" t="s">
        <v>3</v>
      </c>
      <c r="O628" t="s">
        <v>34</v>
      </c>
      <c r="P628">
        <f t="shared" si="32"/>
        <v>8.3879868128420689</v>
      </c>
      <c r="Q628" t="str">
        <f t="shared" si="33"/>
        <v/>
      </c>
      <c r="R628" s="67" cm="1">
        <f t="array" ref="R628">SUMPRODUCT((J628=$J$7:$J$1000)*(P628&lt;$P$7:$P$1000))+1</f>
        <v>40</v>
      </c>
    </row>
    <row r="629" spans="10:18" x14ac:dyDescent="0.35">
      <c r="J629">
        <v>16</v>
      </c>
      <c r="K629" t="s">
        <v>24</v>
      </c>
      <c r="L629" t="s">
        <v>101</v>
      </c>
      <c r="M629" t="s">
        <v>256</v>
      </c>
      <c r="N629" t="s">
        <v>3</v>
      </c>
      <c r="O629" t="s">
        <v>34</v>
      </c>
      <c r="P629">
        <f t="shared" si="32"/>
        <v>6.8150808884347063</v>
      </c>
      <c r="Q629" t="str">
        <f t="shared" si="33"/>
        <v/>
      </c>
      <c r="R629" s="67" cm="1">
        <f t="array" ref="R629">SUMPRODUCT((J629=$J$7:$J$1000)*(P629&lt;$P$7:$P$1000))+1</f>
        <v>49</v>
      </c>
    </row>
    <row r="630" spans="10:18" x14ac:dyDescent="0.35">
      <c r="J630">
        <v>16</v>
      </c>
      <c r="K630" t="s">
        <v>23</v>
      </c>
      <c r="L630" t="s">
        <v>522</v>
      </c>
      <c r="M630" t="s">
        <v>256</v>
      </c>
      <c r="N630" t="s">
        <v>3</v>
      </c>
      <c r="O630" t="s">
        <v>17</v>
      </c>
      <c r="P630">
        <f t="shared" si="32"/>
        <v>5.2167018713586435</v>
      </c>
      <c r="Q630" t="str">
        <f t="shared" si="33"/>
        <v/>
      </c>
      <c r="R630" s="67" cm="1">
        <f t="array" ref="R630">SUMPRODUCT((J630=$J$7:$J$1000)*(P630&lt;$P$7:$P$1000))+1</f>
        <v>58</v>
      </c>
    </row>
    <row r="631" spans="10:18" x14ac:dyDescent="0.35">
      <c r="J631">
        <v>16</v>
      </c>
      <c r="K631" t="s">
        <v>23</v>
      </c>
      <c r="L631" t="s">
        <v>443</v>
      </c>
      <c r="M631" t="s">
        <v>256</v>
      </c>
      <c r="N631" t="s">
        <v>3</v>
      </c>
      <c r="O631" t="s">
        <v>17</v>
      </c>
      <c r="P631">
        <f t="shared" si="32"/>
        <v>6.0771620899532222</v>
      </c>
      <c r="Q631" t="str">
        <f t="shared" si="33"/>
        <v/>
      </c>
      <c r="R631" s="67" cm="1">
        <f t="array" ref="R631">SUMPRODUCT((J631=$J$7:$J$1000)*(P631&lt;$P$7:$P$1000))+1</f>
        <v>53</v>
      </c>
    </row>
    <row r="632" spans="10:18" x14ac:dyDescent="0.35">
      <c r="J632">
        <v>16</v>
      </c>
      <c r="K632" t="s">
        <v>23</v>
      </c>
      <c r="L632" t="s">
        <v>340</v>
      </c>
      <c r="M632" t="s">
        <v>256</v>
      </c>
      <c r="N632" t="s">
        <v>3</v>
      </c>
      <c r="O632" t="s">
        <v>17</v>
      </c>
      <c r="P632">
        <f t="shared" si="32"/>
        <v>7.7012911145063665</v>
      </c>
      <c r="Q632" t="str">
        <f t="shared" si="33"/>
        <v/>
      </c>
      <c r="R632" s="67" cm="1">
        <f t="array" ref="R632">SUMPRODUCT((J632=$J$7:$J$1000)*(P632&lt;$P$7:$P$1000))+1</f>
        <v>45</v>
      </c>
    </row>
    <row r="633" spans="10:18" x14ac:dyDescent="0.35">
      <c r="J633">
        <v>16</v>
      </c>
      <c r="K633" t="s">
        <v>23</v>
      </c>
      <c r="L633" t="s">
        <v>565</v>
      </c>
      <c r="M633" t="s">
        <v>256</v>
      </c>
      <c r="N633" t="s">
        <v>3</v>
      </c>
      <c r="O633" t="s">
        <v>17</v>
      </c>
      <c r="P633">
        <f t="shared" si="32"/>
        <v>10.616145361489139</v>
      </c>
      <c r="Q633" t="str">
        <f t="shared" si="33"/>
        <v/>
      </c>
      <c r="R633" s="67" cm="1">
        <f t="array" ref="R633">SUMPRODUCT((J633=$J$7:$J$1000)*(P633&lt;$P$7:$P$1000))+1</f>
        <v>23</v>
      </c>
    </row>
    <row r="634" spans="10:18" x14ac:dyDescent="0.35">
      <c r="J634">
        <v>16</v>
      </c>
      <c r="K634" t="s">
        <v>23</v>
      </c>
      <c r="L634" t="s">
        <v>498</v>
      </c>
      <c r="M634" t="s">
        <v>256</v>
      </c>
      <c r="N634" t="s">
        <v>3</v>
      </c>
      <c r="O634" t="s">
        <v>17</v>
      </c>
      <c r="P634">
        <f t="shared" si="32"/>
        <v>3.8956484464261676</v>
      </c>
      <c r="Q634" t="str">
        <f t="shared" si="33"/>
        <v/>
      </c>
      <c r="R634" s="67" cm="1">
        <f t="array" ref="R634">SUMPRODUCT((J634=$J$7:$J$1000)*(P634&lt;$P$7:$P$1000))+1</f>
        <v>70</v>
      </c>
    </row>
    <row r="635" spans="10:18" x14ac:dyDescent="0.35">
      <c r="J635">
        <v>16</v>
      </c>
      <c r="K635" t="s">
        <v>23</v>
      </c>
      <c r="L635" t="s">
        <v>91</v>
      </c>
      <c r="M635" t="s">
        <v>256</v>
      </c>
      <c r="N635" t="s">
        <v>3</v>
      </c>
      <c r="O635" t="s">
        <v>17</v>
      </c>
      <c r="P635">
        <f t="shared" si="32"/>
        <v>13.732987175553069</v>
      </c>
      <c r="Q635" t="str">
        <f t="shared" si="33"/>
        <v/>
      </c>
      <c r="R635" s="67" cm="1">
        <f t="array" ref="R635">SUMPRODUCT((J635=$J$7:$J$1000)*(P635&lt;$P$7:$P$1000))+1</f>
        <v>7</v>
      </c>
    </row>
    <row r="636" spans="10:18" x14ac:dyDescent="0.35">
      <c r="J636">
        <v>16</v>
      </c>
      <c r="K636" t="s">
        <v>23</v>
      </c>
      <c r="L636" t="s">
        <v>456</v>
      </c>
      <c r="M636" t="s">
        <v>256</v>
      </c>
      <c r="N636" t="s">
        <v>3</v>
      </c>
      <c r="O636" t="s">
        <v>17</v>
      </c>
      <c r="P636">
        <f t="shared" si="32"/>
        <v>6.3867909426494407</v>
      </c>
      <c r="Q636" t="str">
        <f t="shared" si="33"/>
        <v/>
      </c>
      <c r="R636" s="67" cm="1">
        <f t="array" ref="R636">SUMPRODUCT((J636=$J$7:$J$1000)*(P636&lt;$P$7:$P$1000))+1</f>
        <v>51</v>
      </c>
    </row>
    <row r="637" spans="10:18" x14ac:dyDescent="0.35">
      <c r="J637">
        <v>16</v>
      </c>
      <c r="K637" t="s">
        <v>4</v>
      </c>
      <c r="L637" t="s">
        <v>457</v>
      </c>
      <c r="M637" t="s">
        <v>256</v>
      </c>
      <c r="N637" t="s">
        <v>9</v>
      </c>
      <c r="O637" t="s">
        <v>2</v>
      </c>
      <c r="P637">
        <f t="shared" si="32"/>
        <v>10.267060706318603</v>
      </c>
      <c r="Q637" t="str">
        <f t="shared" si="33"/>
        <v/>
      </c>
      <c r="R637" s="67" cm="1">
        <f t="array" ref="R637">SUMPRODUCT((J637=$J$7:$J$1000)*(P637&lt;$P$7:$P$1000))+1</f>
        <v>30</v>
      </c>
    </row>
    <row r="638" spans="10:18" x14ac:dyDescent="0.35">
      <c r="J638">
        <v>16</v>
      </c>
      <c r="K638" t="s">
        <v>4</v>
      </c>
      <c r="L638" t="s">
        <v>74</v>
      </c>
      <c r="M638" t="s">
        <v>256</v>
      </c>
      <c r="N638" t="s">
        <v>9</v>
      </c>
      <c r="O638" t="s">
        <v>2</v>
      </c>
      <c r="P638">
        <f t="shared" si="32"/>
        <v>7.8923491018560892</v>
      </c>
      <c r="Q638" t="str">
        <f t="shared" si="33"/>
        <v/>
      </c>
      <c r="R638" s="67" cm="1">
        <f t="array" ref="R638">SUMPRODUCT((J638=$J$7:$J$1000)*(P638&lt;$P$7:$P$1000))+1</f>
        <v>41</v>
      </c>
    </row>
    <row r="639" spans="10:18" x14ac:dyDescent="0.35">
      <c r="J639">
        <v>16</v>
      </c>
      <c r="K639" t="s">
        <v>4</v>
      </c>
      <c r="L639" t="s">
        <v>633</v>
      </c>
      <c r="M639" t="s">
        <v>256</v>
      </c>
      <c r="N639" t="s">
        <v>9</v>
      </c>
      <c r="O639" t="s">
        <v>2</v>
      </c>
      <c r="P639">
        <f t="shared" si="32"/>
        <v>13.457289384963632</v>
      </c>
      <c r="Q639" t="str">
        <f t="shared" si="33"/>
        <v/>
      </c>
      <c r="R639" s="67" cm="1">
        <f t="array" ref="R639">SUMPRODUCT((J639=$J$7:$J$1000)*(P639&lt;$P$7:$P$1000))+1</f>
        <v>10</v>
      </c>
    </row>
    <row r="640" spans="10:18" x14ac:dyDescent="0.35">
      <c r="J640">
        <v>16</v>
      </c>
      <c r="K640" t="s">
        <v>4</v>
      </c>
      <c r="L640" t="s">
        <v>683</v>
      </c>
      <c r="M640" t="s">
        <v>256</v>
      </c>
      <c r="N640" t="s">
        <v>9</v>
      </c>
      <c r="O640" t="s">
        <v>2</v>
      </c>
      <c r="P640">
        <f t="shared" si="32"/>
        <v>3.1461738350507051</v>
      </c>
      <c r="Q640" t="str">
        <f t="shared" si="33"/>
        <v/>
      </c>
      <c r="R640" s="67" cm="1">
        <f t="array" ref="R640">SUMPRODUCT((J640=$J$7:$J$1000)*(P640&lt;$P$7:$P$1000))+1</f>
        <v>74</v>
      </c>
    </row>
    <row r="641" spans="10:18" x14ac:dyDescent="0.35">
      <c r="J641">
        <v>16</v>
      </c>
      <c r="K641" t="s">
        <v>4</v>
      </c>
      <c r="L641" t="s">
        <v>286</v>
      </c>
      <c r="M641" t="s">
        <v>256</v>
      </c>
      <c r="N641" t="s">
        <v>9</v>
      </c>
      <c r="O641" t="s">
        <v>2</v>
      </c>
      <c r="P641">
        <f t="shared" si="32"/>
        <v>10.461842083016823</v>
      </c>
      <c r="Q641" t="str">
        <f t="shared" si="33"/>
        <v/>
      </c>
      <c r="R641" s="67" cm="1">
        <f t="array" ref="R641">SUMPRODUCT((J641=$J$7:$J$1000)*(P641&lt;$P$7:$P$1000))+1</f>
        <v>26</v>
      </c>
    </row>
    <row r="642" spans="10:18" x14ac:dyDescent="0.35">
      <c r="J642">
        <v>16</v>
      </c>
      <c r="K642" t="s">
        <v>4</v>
      </c>
      <c r="L642" t="s">
        <v>475</v>
      </c>
      <c r="M642" t="s">
        <v>256</v>
      </c>
      <c r="N642" t="s">
        <v>9</v>
      </c>
      <c r="O642" t="s">
        <v>2</v>
      </c>
      <c r="P642">
        <f t="shared" si="32"/>
        <v>3.7964207247902015</v>
      </c>
      <c r="Q642" t="str">
        <f t="shared" si="33"/>
        <v/>
      </c>
      <c r="R642" s="67" cm="1">
        <f t="array" ref="R642">SUMPRODUCT((J642=$J$7:$J$1000)*(P642&lt;$P$7:$P$1000))+1</f>
        <v>72</v>
      </c>
    </row>
    <row r="643" spans="10:18" x14ac:dyDescent="0.35">
      <c r="J643">
        <v>16</v>
      </c>
      <c r="K643" t="s">
        <v>4</v>
      </c>
      <c r="L643" t="s">
        <v>453</v>
      </c>
      <c r="M643" t="s">
        <v>256</v>
      </c>
      <c r="N643" t="s">
        <v>9</v>
      </c>
      <c r="O643" t="s">
        <v>2</v>
      </c>
      <c r="P643">
        <f t="shared" si="32"/>
        <v>11.833385139005212</v>
      </c>
      <c r="Q643" t="str">
        <f t="shared" si="33"/>
        <v/>
      </c>
      <c r="R643" s="67" cm="1">
        <f t="array" ref="R643">SUMPRODUCT((J643=$J$7:$J$1000)*(P643&lt;$P$7:$P$1000))+1</f>
        <v>15</v>
      </c>
    </row>
    <row r="644" spans="10:18" x14ac:dyDescent="0.35">
      <c r="J644">
        <v>16</v>
      </c>
      <c r="K644" t="s">
        <v>7</v>
      </c>
      <c r="L644" t="s">
        <v>65</v>
      </c>
      <c r="M644" t="s">
        <v>256</v>
      </c>
      <c r="N644" t="s">
        <v>3</v>
      </c>
      <c r="O644" t="s">
        <v>6</v>
      </c>
      <c r="P644">
        <f t="shared" si="32"/>
        <v>8.4984899820662889</v>
      </c>
      <c r="Q644" t="str">
        <f t="shared" si="33"/>
        <v/>
      </c>
      <c r="R644" s="67" cm="1">
        <f t="array" ref="R644">SUMPRODUCT((J644=$J$7:$J$1000)*(P644&lt;$P$7:$P$1000))+1</f>
        <v>39</v>
      </c>
    </row>
    <row r="645" spans="10:18" x14ac:dyDescent="0.35">
      <c r="J645">
        <v>16</v>
      </c>
      <c r="K645" t="s">
        <v>7</v>
      </c>
      <c r="L645" t="s">
        <v>67</v>
      </c>
      <c r="M645" t="s">
        <v>256</v>
      </c>
      <c r="N645" t="s">
        <v>3</v>
      </c>
      <c r="O645" t="s">
        <v>6</v>
      </c>
      <c r="P645">
        <f t="shared" si="32"/>
        <v>8.5818474411806989</v>
      </c>
      <c r="Q645" t="str">
        <f t="shared" si="33"/>
        <v/>
      </c>
      <c r="R645" s="67" cm="1">
        <f t="array" ref="R645">SUMPRODUCT((J645=$J$7:$J$1000)*(P645&lt;$P$7:$P$1000))+1</f>
        <v>38</v>
      </c>
    </row>
    <row r="646" spans="10:18" x14ac:dyDescent="0.35">
      <c r="J646">
        <v>16</v>
      </c>
      <c r="K646" t="s">
        <v>7</v>
      </c>
      <c r="L646" t="s">
        <v>77</v>
      </c>
      <c r="M646" t="s">
        <v>256</v>
      </c>
      <c r="N646" t="s">
        <v>3</v>
      </c>
      <c r="O646" t="s">
        <v>6</v>
      </c>
      <c r="P646">
        <f t="shared" si="32"/>
        <v>9.8908938878841095</v>
      </c>
      <c r="Q646" t="str">
        <f t="shared" si="33"/>
        <v/>
      </c>
      <c r="R646" s="67" cm="1">
        <f t="array" ref="R646">SUMPRODUCT((J646=$J$7:$J$1000)*(P646&lt;$P$7:$P$1000))+1</f>
        <v>32</v>
      </c>
    </row>
    <row r="647" spans="10:18" x14ac:dyDescent="0.35">
      <c r="J647">
        <v>16</v>
      </c>
      <c r="K647" t="s">
        <v>7</v>
      </c>
      <c r="L647" t="s">
        <v>80</v>
      </c>
      <c r="M647" t="s">
        <v>256</v>
      </c>
      <c r="N647" t="s">
        <v>3</v>
      </c>
      <c r="O647" t="s">
        <v>6</v>
      </c>
      <c r="P647">
        <f t="shared" si="32"/>
        <v>10.304277170390403</v>
      </c>
      <c r="Q647" t="str">
        <f t="shared" si="33"/>
        <v/>
      </c>
      <c r="R647" s="67" cm="1">
        <f t="array" ref="R647">SUMPRODUCT((J647=$J$7:$J$1000)*(P647&lt;$P$7:$P$1000))+1</f>
        <v>29</v>
      </c>
    </row>
    <row r="648" spans="10:18" x14ac:dyDescent="0.35">
      <c r="J648">
        <v>16</v>
      </c>
      <c r="K648" t="s">
        <v>7</v>
      </c>
      <c r="L648" t="s">
        <v>521</v>
      </c>
      <c r="M648" t="s">
        <v>256</v>
      </c>
      <c r="N648" t="s">
        <v>3</v>
      </c>
      <c r="O648" t="s">
        <v>6</v>
      </c>
      <c r="P648">
        <f t="shared" ref="P648:P682" si="34">VLOOKUP($N648,$F$3:$G$4,2,FALSE)+VLOOKUP($L648,$B$20:$C$150,2,FALSE)+VLOOKUP($O648,$A$6:$B$16,2,FALSE)</f>
        <v>5.1803863012383626</v>
      </c>
      <c r="Q648" t="str">
        <f t="shared" si="33"/>
        <v/>
      </c>
      <c r="R648" s="67" cm="1">
        <f t="array" ref="R648">SUMPRODUCT((J648=$J$7:$J$1000)*(P648&lt;$P$7:$P$1000))+1</f>
        <v>60</v>
      </c>
    </row>
    <row r="649" spans="10:18" x14ac:dyDescent="0.35">
      <c r="J649">
        <v>16</v>
      </c>
      <c r="K649" t="s">
        <v>7</v>
      </c>
      <c r="L649" t="s">
        <v>92</v>
      </c>
      <c r="M649" t="s">
        <v>256</v>
      </c>
      <c r="N649" t="s">
        <v>3</v>
      </c>
      <c r="O649" t="s">
        <v>6</v>
      </c>
      <c r="P649">
        <f t="shared" si="34"/>
        <v>7.8629595097222662</v>
      </c>
      <c r="Q649" t="str">
        <f t="shared" si="33"/>
        <v/>
      </c>
      <c r="R649" s="67" cm="1">
        <f t="array" ref="R649">SUMPRODUCT((J649=$J$7:$J$1000)*(P649&lt;$P$7:$P$1000))+1</f>
        <v>42</v>
      </c>
    </row>
    <row r="650" spans="10:18" x14ac:dyDescent="0.35">
      <c r="J650">
        <v>16</v>
      </c>
      <c r="K650" t="s">
        <v>34</v>
      </c>
      <c r="L650" t="s">
        <v>41</v>
      </c>
      <c r="M650" t="s">
        <v>256</v>
      </c>
      <c r="N650" t="s">
        <v>9</v>
      </c>
      <c r="O650" t="s">
        <v>24</v>
      </c>
      <c r="P650">
        <f t="shared" si="34"/>
        <v>13.5954392548147</v>
      </c>
      <c r="Q650" t="str">
        <f t="shared" si="33"/>
        <v/>
      </c>
      <c r="R650" s="67" cm="1">
        <f t="array" ref="R650">SUMPRODUCT((J650=$J$7:$J$1000)*(P650&lt;$P$7:$P$1000))+1</f>
        <v>9</v>
      </c>
    </row>
    <row r="651" spans="10:18" x14ac:dyDescent="0.35">
      <c r="J651">
        <v>16</v>
      </c>
      <c r="K651" t="s">
        <v>34</v>
      </c>
      <c r="L651" t="s">
        <v>496</v>
      </c>
      <c r="M651" t="s">
        <v>256</v>
      </c>
      <c r="N651" t="s">
        <v>9</v>
      </c>
      <c r="O651" t="s">
        <v>24</v>
      </c>
      <c r="P651">
        <f t="shared" si="34"/>
        <v>10.446642295681562</v>
      </c>
      <c r="Q651" t="str">
        <f t="shared" si="33"/>
        <v/>
      </c>
      <c r="R651" s="67" cm="1">
        <f t="array" ref="R651">SUMPRODUCT((J651=$J$7:$J$1000)*(P651&lt;$P$7:$P$1000))+1</f>
        <v>27</v>
      </c>
    </row>
    <row r="652" spans="10:18" x14ac:dyDescent="0.35">
      <c r="J652">
        <v>16</v>
      </c>
      <c r="K652" t="s">
        <v>34</v>
      </c>
      <c r="L652" t="s">
        <v>536</v>
      </c>
      <c r="M652" t="s">
        <v>256</v>
      </c>
      <c r="N652" t="s">
        <v>9</v>
      </c>
      <c r="O652" t="s">
        <v>24</v>
      </c>
      <c r="P652">
        <f t="shared" si="34"/>
        <v>14.024109066863552</v>
      </c>
      <c r="Q652" t="str">
        <f t="shared" si="33"/>
        <v/>
      </c>
      <c r="R652" s="67" cm="1">
        <f t="array" ref="R652">SUMPRODUCT((J652=$J$7:$J$1000)*(P652&lt;$P$7:$P$1000))+1</f>
        <v>6</v>
      </c>
    </row>
    <row r="653" spans="10:18" x14ac:dyDescent="0.35">
      <c r="J653">
        <v>16</v>
      </c>
      <c r="K653" t="s">
        <v>34</v>
      </c>
      <c r="L653" t="s">
        <v>95</v>
      </c>
      <c r="M653" t="s">
        <v>256</v>
      </c>
      <c r="N653" t="s">
        <v>9</v>
      </c>
      <c r="O653" t="s">
        <v>24</v>
      </c>
      <c r="P653">
        <f t="shared" si="34"/>
        <v>14.419687559082433</v>
      </c>
      <c r="Q653" t="str">
        <f t="shared" si="33"/>
        <v/>
      </c>
      <c r="R653" s="67" cm="1">
        <f t="array" ref="R653">SUMPRODUCT((J653=$J$7:$J$1000)*(P653&lt;$P$7:$P$1000))+1</f>
        <v>5</v>
      </c>
    </row>
    <row r="654" spans="10:18" x14ac:dyDescent="0.35">
      <c r="J654">
        <v>16</v>
      </c>
      <c r="K654" t="s">
        <v>34</v>
      </c>
      <c r="L654" t="s">
        <v>674</v>
      </c>
      <c r="M654" t="s">
        <v>256</v>
      </c>
      <c r="N654" t="s">
        <v>9</v>
      </c>
      <c r="O654" t="s">
        <v>24</v>
      </c>
      <c r="P654">
        <f t="shared" si="34"/>
        <v>15.749008222179421</v>
      </c>
      <c r="Q654" t="str">
        <f t="shared" ref="Q654:Q682" si="35">IFERROR(($M654-$P654)^2,"")</f>
        <v/>
      </c>
      <c r="R654" s="67" cm="1">
        <f t="array" ref="R654">SUMPRODUCT((J654=$J$7:$J$1000)*(P654&lt;$P$7:$P$1000))+1</f>
        <v>2</v>
      </c>
    </row>
    <row r="655" spans="10:18" x14ac:dyDescent="0.35">
      <c r="J655">
        <v>16</v>
      </c>
      <c r="K655" t="s">
        <v>34</v>
      </c>
      <c r="L655" t="s">
        <v>100</v>
      </c>
      <c r="M655" t="s">
        <v>256</v>
      </c>
      <c r="N655" t="s">
        <v>9</v>
      </c>
      <c r="O655" t="s">
        <v>24</v>
      </c>
      <c r="P655">
        <f t="shared" si="34"/>
        <v>10.469574822402951</v>
      </c>
      <c r="Q655" t="str">
        <f t="shared" si="35"/>
        <v/>
      </c>
      <c r="R655" s="67" cm="1">
        <f t="array" ref="R655">SUMPRODUCT((J655=$J$7:$J$1000)*(P655&lt;$P$7:$P$1000))+1</f>
        <v>25</v>
      </c>
    </row>
    <row r="656" spans="10:18" x14ac:dyDescent="0.35">
      <c r="J656">
        <v>16</v>
      </c>
      <c r="K656" t="s">
        <v>17</v>
      </c>
      <c r="L656" t="s">
        <v>37</v>
      </c>
      <c r="M656" t="s">
        <v>256</v>
      </c>
      <c r="N656" t="s">
        <v>9</v>
      </c>
      <c r="O656" t="s">
        <v>23</v>
      </c>
      <c r="P656">
        <f t="shared" si="34"/>
        <v>13.346650543276775</v>
      </c>
      <c r="Q656" t="str">
        <f t="shared" si="35"/>
        <v/>
      </c>
      <c r="R656" s="67" cm="1">
        <f t="array" ref="R656">SUMPRODUCT((J656=$J$7:$J$1000)*(P656&lt;$P$7:$P$1000))+1</f>
        <v>11</v>
      </c>
    </row>
    <row r="657" spans="10:18" x14ac:dyDescent="0.35">
      <c r="J657">
        <v>16</v>
      </c>
      <c r="K657" t="s">
        <v>17</v>
      </c>
      <c r="L657" t="s">
        <v>497</v>
      </c>
      <c r="M657" t="s">
        <v>256</v>
      </c>
      <c r="N657" t="s">
        <v>9</v>
      </c>
      <c r="O657" t="s">
        <v>23</v>
      </c>
      <c r="P657">
        <f t="shared" si="34"/>
        <v>10.683700235096575</v>
      </c>
      <c r="Q657" t="str">
        <f t="shared" si="35"/>
        <v/>
      </c>
      <c r="R657" s="67" cm="1">
        <f t="array" ref="R657">SUMPRODUCT((J657=$J$7:$J$1000)*(P657&lt;$P$7:$P$1000))+1</f>
        <v>22</v>
      </c>
    </row>
    <row r="658" spans="10:18" x14ac:dyDescent="0.35">
      <c r="J658">
        <v>16</v>
      </c>
      <c r="K658" t="s">
        <v>17</v>
      </c>
      <c r="L658" t="s">
        <v>76</v>
      </c>
      <c r="M658" t="s">
        <v>256</v>
      </c>
      <c r="N658" t="s">
        <v>9</v>
      </c>
      <c r="O658" t="s">
        <v>23</v>
      </c>
      <c r="P658">
        <f t="shared" si="34"/>
        <v>4.9095117707642615</v>
      </c>
      <c r="Q658" t="str">
        <f t="shared" si="35"/>
        <v/>
      </c>
      <c r="R658" s="67" cm="1">
        <f t="array" ref="R658">SUMPRODUCT((J658=$J$7:$J$1000)*(P658&lt;$P$7:$P$1000))+1</f>
        <v>64</v>
      </c>
    </row>
    <row r="659" spans="10:18" x14ac:dyDescent="0.35">
      <c r="J659">
        <v>16</v>
      </c>
      <c r="K659" t="s">
        <v>17</v>
      </c>
      <c r="L659" t="s">
        <v>458</v>
      </c>
      <c r="M659" t="s">
        <v>256</v>
      </c>
      <c r="N659" t="s">
        <v>9</v>
      </c>
      <c r="O659" t="s">
        <v>23</v>
      </c>
      <c r="P659">
        <f t="shared" si="34"/>
        <v>-1.8199669973568451</v>
      </c>
      <c r="Q659" t="str">
        <f t="shared" si="35"/>
        <v/>
      </c>
      <c r="R659" s="67" cm="1">
        <f t="array" ref="R659">SUMPRODUCT((J659=$J$7:$J$1000)*(P659&lt;$P$7:$P$1000))+1</f>
        <v>85</v>
      </c>
    </row>
    <row r="660" spans="10:18" x14ac:dyDescent="0.35">
      <c r="J660">
        <v>16</v>
      </c>
      <c r="K660" t="s">
        <v>17</v>
      </c>
      <c r="L660" t="s">
        <v>82</v>
      </c>
      <c r="M660" t="s">
        <v>256</v>
      </c>
      <c r="N660" t="s">
        <v>9</v>
      </c>
      <c r="O660" t="s">
        <v>23</v>
      </c>
      <c r="P660">
        <f t="shared" si="34"/>
        <v>6.1758850567827803</v>
      </c>
      <c r="Q660" t="str">
        <f t="shared" si="35"/>
        <v/>
      </c>
      <c r="R660" s="67" cm="1">
        <f t="array" ref="R660">SUMPRODUCT((J660=$J$7:$J$1000)*(P660&lt;$P$7:$P$1000))+1</f>
        <v>52</v>
      </c>
    </row>
    <row r="661" spans="10:18" x14ac:dyDescent="0.35">
      <c r="J661">
        <v>16</v>
      </c>
      <c r="K661" t="s">
        <v>17</v>
      </c>
      <c r="L661" t="s">
        <v>531</v>
      </c>
      <c r="M661" t="s">
        <v>256</v>
      </c>
      <c r="N661" t="s">
        <v>9</v>
      </c>
      <c r="O661" t="s">
        <v>23</v>
      </c>
      <c r="P661">
        <f t="shared" si="34"/>
        <v>11.084435138044423</v>
      </c>
      <c r="Q661" t="str">
        <f t="shared" si="35"/>
        <v/>
      </c>
      <c r="R661" s="67" cm="1">
        <f t="array" ref="R661">SUMPRODUCT((J661=$J$7:$J$1000)*(P661&lt;$P$7:$P$1000))+1</f>
        <v>19</v>
      </c>
    </row>
    <row r="662" spans="10:18" x14ac:dyDescent="0.35">
      <c r="J662">
        <v>16</v>
      </c>
      <c r="K662" t="s">
        <v>17</v>
      </c>
      <c r="L662" t="s">
        <v>450</v>
      </c>
      <c r="M662" t="s">
        <v>256</v>
      </c>
      <c r="N662" t="s">
        <v>9</v>
      </c>
      <c r="O662" t="s">
        <v>23</v>
      </c>
      <c r="P662">
        <f t="shared" si="34"/>
        <v>4.8849752002331304</v>
      </c>
      <c r="Q662" t="str">
        <f t="shared" si="35"/>
        <v/>
      </c>
      <c r="R662" s="67" cm="1">
        <f t="array" ref="R662">SUMPRODUCT((J662=$J$7:$J$1000)*(P662&lt;$P$7:$P$1000))+1</f>
        <v>65</v>
      </c>
    </row>
    <row r="663" spans="10:18" x14ac:dyDescent="0.35">
      <c r="J663">
        <v>16</v>
      </c>
      <c r="K663" t="s">
        <v>17</v>
      </c>
      <c r="L663" t="s">
        <v>537</v>
      </c>
      <c r="M663" t="s">
        <v>256</v>
      </c>
      <c r="N663" t="s">
        <v>9</v>
      </c>
      <c r="O663" t="s">
        <v>23</v>
      </c>
      <c r="P663">
        <f t="shared" si="34"/>
        <v>5.0347835825789868</v>
      </c>
      <c r="Q663" t="str">
        <f t="shared" si="35"/>
        <v/>
      </c>
      <c r="R663" s="67" cm="1">
        <f t="array" ref="R663">SUMPRODUCT((J663=$J$7:$J$1000)*(P663&lt;$P$7:$P$1000))+1</f>
        <v>63</v>
      </c>
    </row>
    <row r="664" spans="10:18" x14ac:dyDescent="0.35">
      <c r="J664">
        <v>16</v>
      </c>
      <c r="K664" t="s">
        <v>13</v>
      </c>
      <c r="L664" t="s">
        <v>478</v>
      </c>
      <c r="M664" t="s">
        <v>256</v>
      </c>
      <c r="N664" t="s">
        <v>3</v>
      </c>
      <c r="O664" t="s">
        <v>14</v>
      </c>
      <c r="P664">
        <f t="shared" si="34"/>
        <v>11.795217998254312</v>
      </c>
      <c r="Q664" t="str">
        <f t="shared" si="35"/>
        <v/>
      </c>
      <c r="R664" s="67" cm="1">
        <f t="array" ref="R664">SUMPRODUCT((J664=$J$7:$J$1000)*(P664&lt;$P$7:$P$1000))+1</f>
        <v>16</v>
      </c>
    </row>
    <row r="665" spans="10:18" x14ac:dyDescent="0.35">
      <c r="J665">
        <v>16</v>
      </c>
      <c r="K665" t="s">
        <v>13</v>
      </c>
      <c r="L665" t="s">
        <v>79</v>
      </c>
      <c r="M665" t="s">
        <v>256</v>
      </c>
      <c r="N665" t="s">
        <v>3</v>
      </c>
      <c r="O665" t="s">
        <v>14</v>
      </c>
      <c r="P665">
        <f t="shared" si="34"/>
        <v>17.299527980512906</v>
      </c>
      <c r="Q665" t="str">
        <f t="shared" si="35"/>
        <v/>
      </c>
      <c r="R665" s="67" cm="1">
        <f t="array" ref="R665">SUMPRODUCT((J665=$J$7:$J$1000)*(P665&lt;$P$7:$P$1000))+1</f>
        <v>1</v>
      </c>
    </row>
    <row r="666" spans="10:18" x14ac:dyDescent="0.35">
      <c r="J666">
        <v>16</v>
      </c>
      <c r="K666" t="s">
        <v>13</v>
      </c>
      <c r="L666" t="s">
        <v>477</v>
      </c>
      <c r="M666" t="s">
        <v>256</v>
      </c>
      <c r="N666" t="s">
        <v>3</v>
      </c>
      <c r="O666" t="s">
        <v>14</v>
      </c>
      <c r="P666">
        <f t="shared" si="34"/>
        <v>14.783337578920802</v>
      </c>
      <c r="Q666" t="str">
        <f t="shared" si="35"/>
        <v/>
      </c>
      <c r="R666" s="67" cm="1">
        <f t="array" ref="R666">SUMPRODUCT((J666=$J$7:$J$1000)*(P666&lt;$P$7:$P$1000))+1</f>
        <v>4</v>
      </c>
    </row>
    <row r="667" spans="10:18" x14ac:dyDescent="0.35">
      <c r="J667">
        <v>16</v>
      </c>
      <c r="K667" t="s">
        <v>13</v>
      </c>
      <c r="L667" t="s">
        <v>494</v>
      </c>
      <c r="M667" t="s">
        <v>256</v>
      </c>
      <c r="N667" t="s">
        <v>3</v>
      </c>
      <c r="O667" t="s">
        <v>14</v>
      </c>
      <c r="P667">
        <f t="shared" si="34"/>
        <v>13.693012952712538</v>
      </c>
      <c r="Q667" t="str">
        <f t="shared" si="35"/>
        <v/>
      </c>
      <c r="R667" s="67" cm="1">
        <f t="array" ref="R667">SUMPRODUCT((J667=$J$7:$J$1000)*(P667&lt;$P$7:$P$1000))+1</f>
        <v>8</v>
      </c>
    </row>
    <row r="668" spans="10:18" x14ac:dyDescent="0.35">
      <c r="J668">
        <v>16</v>
      </c>
      <c r="K668" t="s">
        <v>13</v>
      </c>
      <c r="L668" t="s">
        <v>687</v>
      </c>
      <c r="M668" t="s">
        <v>256</v>
      </c>
      <c r="N668" t="s">
        <v>3</v>
      </c>
      <c r="O668" t="s">
        <v>14</v>
      </c>
      <c r="P668">
        <f t="shared" si="34"/>
        <v>11.871030981956386</v>
      </c>
      <c r="Q668" t="str">
        <f t="shared" si="35"/>
        <v/>
      </c>
      <c r="R668" s="67" cm="1">
        <f t="array" ref="R668">SUMPRODUCT((J668=$J$7:$J$1000)*(P668&lt;$P$7:$P$1000))+1</f>
        <v>14</v>
      </c>
    </row>
    <row r="669" spans="10:18" x14ac:dyDescent="0.35">
      <c r="J669">
        <v>16</v>
      </c>
      <c r="K669" t="s">
        <v>13</v>
      </c>
      <c r="L669" t="s">
        <v>98</v>
      </c>
      <c r="M669" t="s">
        <v>256</v>
      </c>
      <c r="N669" t="s">
        <v>3</v>
      </c>
      <c r="O669" t="s">
        <v>14</v>
      </c>
      <c r="P669">
        <f t="shared" si="34"/>
        <v>5.6378440611583844</v>
      </c>
      <c r="Q669" t="str">
        <f t="shared" si="35"/>
        <v/>
      </c>
      <c r="R669" s="67" cm="1">
        <f t="array" ref="R669">SUMPRODUCT((J669=$J$7:$J$1000)*(P669&lt;$P$7:$P$1000))+1</f>
        <v>56</v>
      </c>
    </row>
    <row r="670" spans="10:18" x14ac:dyDescent="0.35">
      <c r="J670">
        <v>16</v>
      </c>
      <c r="K670" t="s">
        <v>13</v>
      </c>
      <c r="L670" t="s">
        <v>691</v>
      </c>
      <c r="M670" t="s">
        <v>256</v>
      </c>
      <c r="N670" t="s">
        <v>3</v>
      </c>
      <c r="O670" t="s">
        <v>14</v>
      </c>
      <c r="P670">
        <f t="shared" si="34"/>
        <v>9.8680787945226616</v>
      </c>
      <c r="Q670" t="str">
        <f t="shared" si="35"/>
        <v/>
      </c>
      <c r="R670" s="67" cm="1">
        <f t="array" ref="R670">SUMPRODUCT((J670=$J$7:$J$1000)*(P670&lt;$P$7:$P$1000))+1</f>
        <v>33</v>
      </c>
    </row>
    <row r="671" spans="10:18" x14ac:dyDescent="0.35">
      <c r="J671">
        <v>16</v>
      </c>
      <c r="K671" t="s">
        <v>13</v>
      </c>
      <c r="L671" t="s">
        <v>49</v>
      </c>
      <c r="M671" t="s">
        <v>256</v>
      </c>
      <c r="N671" t="s">
        <v>3</v>
      </c>
      <c r="O671" t="s">
        <v>14</v>
      </c>
      <c r="P671">
        <f t="shared" si="34"/>
        <v>10.768159523923396</v>
      </c>
      <c r="Q671" t="str">
        <f t="shared" si="35"/>
        <v/>
      </c>
      <c r="R671" s="67" cm="1">
        <f t="array" ref="R671">SUMPRODUCT((J671=$J$7:$J$1000)*(P671&lt;$P$7:$P$1000))+1</f>
        <v>20</v>
      </c>
    </row>
    <row r="672" spans="10:18" x14ac:dyDescent="0.35">
      <c r="J672">
        <v>16</v>
      </c>
      <c r="K672" t="s">
        <v>14</v>
      </c>
      <c r="L672" t="s">
        <v>534</v>
      </c>
      <c r="M672" t="s">
        <v>256</v>
      </c>
      <c r="N672" t="s">
        <v>9</v>
      </c>
      <c r="O672" t="s">
        <v>13</v>
      </c>
      <c r="P672">
        <f t="shared" si="34"/>
        <v>5.1141369755765309</v>
      </c>
      <c r="Q672" t="str">
        <f t="shared" si="35"/>
        <v/>
      </c>
      <c r="R672" s="67" cm="1">
        <f t="array" ref="R672">SUMPRODUCT((J672=$J$7:$J$1000)*(P672&lt;$P$7:$P$1000))+1</f>
        <v>61</v>
      </c>
    </row>
    <row r="673" spans="10:18" x14ac:dyDescent="0.35">
      <c r="J673">
        <v>16</v>
      </c>
      <c r="K673" t="s">
        <v>6</v>
      </c>
      <c r="L673" t="s">
        <v>43</v>
      </c>
      <c r="M673" t="s">
        <v>256</v>
      </c>
      <c r="N673" t="s">
        <v>9</v>
      </c>
      <c r="O673" t="s">
        <v>7</v>
      </c>
      <c r="P673">
        <f t="shared" si="34"/>
        <v>4.3774894660403385</v>
      </c>
      <c r="Q673" t="str">
        <f t="shared" si="35"/>
        <v/>
      </c>
      <c r="R673" s="67" cm="1">
        <f t="array" ref="R673">SUMPRODUCT((J673=$J$7:$J$1000)*(P673&lt;$P$7:$P$1000))+1</f>
        <v>66</v>
      </c>
    </row>
    <row r="674" spans="10:18" x14ac:dyDescent="0.35">
      <c r="J674">
        <v>16</v>
      </c>
      <c r="K674" t="s">
        <v>23</v>
      </c>
      <c r="L674" t="s">
        <v>498</v>
      </c>
      <c r="M674" t="s">
        <v>256</v>
      </c>
      <c r="N674" t="s">
        <v>3</v>
      </c>
      <c r="O674" t="s">
        <v>17</v>
      </c>
      <c r="P674">
        <f t="shared" si="34"/>
        <v>3.8956484464261676</v>
      </c>
      <c r="Q674" t="str">
        <f t="shared" si="35"/>
        <v/>
      </c>
      <c r="R674" s="67" cm="1">
        <f t="array" ref="R674">SUMPRODUCT((J674=$J$7:$J$1000)*(P674&lt;$P$7:$P$1000))+1</f>
        <v>70</v>
      </c>
    </row>
    <row r="675" spans="10:18" x14ac:dyDescent="0.35">
      <c r="J675">
        <v>16</v>
      </c>
      <c r="K675" t="s">
        <v>4</v>
      </c>
      <c r="L675" t="s">
        <v>475</v>
      </c>
      <c r="M675" t="s">
        <v>256</v>
      </c>
      <c r="N675" t="s">
        <v>9</v>
      </c>
      <c r="O675" t="s">
        <v>2</v>
      </c>
      <c r="P675">
        <f t="shared" si="34"/>
        <v>3.7964207247902015</v>
      </c>
      <c r="Q675" t="str">
        <f t="shared" si="35"/>
        <v/>
      </c>
      <c r="R675" s="67" cm="1">
        <f t="array" ref="R675">SUMPRODUCT((J675=$J$7:$J$1000)*(P675&lt;$P$7:$P$1000))+1</f>
        <v>72</v>
      </c>
    </row>
    <row r="676" spans="10:18" x14ac:dyDescent="0.35">
      <c r="J676">
        <v>16</v>
      </c>
      <c r="K676" t="s">
        <v>2</v>
      </c>
      <c r="L676" t="s">
        <v>88</v>
      </c>
      <c r="M676" t="s">
        <v>256</v>
      </c>
      <c r="N676" t="s">
        <v>3</v>
      </c>
      <c r="O676" t="s">
        <v>4</v>
      </c>
      <c r="P676">
        <f t="shared" si="34"/>
        <v>4.0636081486584761</v>
      </c>
      <c r="Q676" t="str">
        <f t="shared" si="35"/>
        <v/>
      </c>
      <c r="R676" s="67" cm="1">
        <f t="array" ref="R676">SUMPRODUCT((J676=$J$7:$J$1000)*(P676&lt;$P$7:$P$1000))+1</f>
        <v>68</v>
      </c>
    </row>
    <row r="677" spans="10:18" x14ac:dyDescent="0.35">
      <c r="J677">
        <v>16</v>
      </c>
      <c r="K677" t="s">
        <v>2</v>
      </c>
      <c r="L677" t="s">
        <v>499</v>
      </c>
      <c r="M677" t="s">
        <v>256</v>
      </c>
      <c r="N677" t="s">
        <v>3</v>
      </c>
      <c r="O677" t="s">
        <v>4</v>
      </c>
      <c r="P677">
        <f t="shared" si="34"/>
        <v>3.102040287109793</v>
      </c>
      <c r="Q677" t="str">
        <f t="shared" si="35"/>
        <v/>
      </c>
      <c r="R677" s="67" cm="1">
        <f t="array" ref="R677">SUMPRODUCT((J677=$J$7:$J$1000)*(P677&lt;$P$7:$P$1000))+1</f>
        <v>75</v>
      </c>
    </row>
    <row r="678" spans="10:18" x14ac:dyDescent="0.35">
      <c r="J678">
        <v>16</v>
      </c>
      <c r="K678" t="s">
        <v>24</v>
      </c>
      <c r="L678" t="s">
        <v>535</v>
      </c>
      <c r="M678" t="s">
        <v>256</v>
      </c>
      <c r="N678" t="s">
        <v>3</v>
      </c>
      <c r="O678" t="s">
        <v>34</v>
      </c>
      <c r="P678">
        <f t="shared" si="34"/>
        <v>2.2102824177621412</v>
      </c>
      <c r="Q678" t="str">
        <f t="shared" si="35"/>
        <v/>
      </c>
      <c r="R678" s="67" cm="1">
        <f t="array" ref="R678">SUMPRODUCT((J678=$J$7:$J$1000)*(P678&lt;$P$7:$P$1000))+1</f>
        <v>77</v>
      </c>
    </row>
    <row r="679" spans="10:18" x14ac:dyDescent="0.35">
      <c r="J679">
        <v>16</v>
      </c>
      <c r="K679" t="s">
        <v>6</v>
      </c>
      <c r="L679" t="s">
        <v>66</v>
      </c>
      <c r="M679" t="s">
        <v>256</v>
      </c>
      <c r="N679" t="s">
        <v>9</v>
      </c>
      <c r="O679" t="s">
        <v>7</v>
      </c>
      <c r="P679">
        <f t="shared" si="34"/>
        <v>1.9704975752713845</v>
      </c>
      <c r="Q679" t="str">
        <f t="shared" si="35"/>
        <v/>
      </c>
      <c r="R679" s="67" cm="1">
        <f t="array" ref="R679">SUMPRODUCT((J679=$J$7:$J$1000)*(P679&lt;$P$7:$P$1000))+1</f>
        <v>79</v>
      </c>
    </row>
    <row r="680" spans="10:18" x14ac:dyDescent="0.35">
      <c r="J680">
        <v>16</v>
      </c>
      <c r="K680" t="s">
        <v>24</v>
      </c>
      <c r="L680" t="s">
        <v>459</v>
      </c>
      <c r="M680" t="s">
        <v>256</v>
      </c>
      <c r="N680" t="s">
        <v>3</v>
      </c>
      <c r="O680" t="s">
        <v>34</v>
      </c>
      <c r="P680">
        <f t="shared" si="34"/>
        <v>1.205370824440382</v>
      </c>
      <c r="Q680" t="str">
        <f t="shared" si="35"/>
        <v/>
      </c>
      <c r="R680" s="67" cm="1">
        <f t="array" ref="R680">SUMPRODUCT((J680=$J$7:$J$1000)*(P680&lt;$P$7:$P$1000))+1</f>
        <v>81</v>
      </c>
    </row>
    <row r="681" spans="10:18" x14ac:dyDescent="0.35">
      <c r="J681">
        <v>16</v>
      </c>
      <c r="K681" t="s">
        <v>14</v>
      </c>
      <c r="L681" t="s">
        <v>460</v>
      </c>
      <c r="M681" t="s">
        <v>256</v>
      </c>
      <c r="N681" t="s">
        <v>9</v>
      </c>
      <c r="O681" t="s">
        <v>13</v>
      </c>
      <c r="P681">
        <f t="shared" si="34"/>
        <v>0.60310714613586636</v>
      </c>
      <c r="Q681" t="str">
        <f t="shared" si="35"/>
        <v/>
      </c>
      <c r="R681" s="67" cm="1">
        <f t="array" ref="R681">SUMPRODUCT((J681=$J$7:$J$1000)*(P681&lt;$P$7:$P$1000))+1</f>
        <v>83</v>
      </c>
    </row>
    <row r="682" spans="10:18" x14ac:dyDescent="0.35">
      <c r="J682">
        <v>16</v>
      </c>
      <c r="K682" t="s">
        <v>17</v>
      </c>
      <c r="L682" t="s">
        <v>458</v>
      </c>
      <c r="M682" t="s">
        <v>256</v>
      </c>
      <c r="N682" t="s">
        <v>9</v>
      </c>
      <c r="O682" t="s">
        <v>23</v>
      </c>
      <c r="P682">
        <f t="shared" si="34"/>
        <v>-1.8199669973568451</v>
      </c>
      <c r="Q682" t="str">
        <f t="shared" si="35"/>
        <v/>
      </c>
      <c r="R682" s="67" cm="1">
        <f t="array" ref="R682">SUMPRODUCT((J682=$J$7:$J$1000)*(P682&lt;$P$7:$P$1000))+1</f>
        <v>85</v>
      </c>
    </row>
    <row r="683" spans="10:18" x14ac:dyDescent="0.35">
      <c r="R683" s="67"/>
    </row>
    <row r="684" spans="10:18" x14ac:dyDescent="0.35">
      <c r="R684" s="67"/>
    </row>
    <row r="685" spans="10:18" x14ac:dyDescent="0.35">
      <c r="R685" s="67"/>
    </row>
    <row r="686" spans="10:18" x14ac:dyDescent="0.35">
      <c r="R686" s="67"/>
    </row>
    <row r="687" spans="10:18" x14ac:dyDescent="0.35">
      <c r="R687" s="67"/>
    </row>
    <row r="688" spans="10:18" x14ac:dyDescent="0.35">
      <c r="R688" s="67"/>
    </row>
    <row r="689" spans="18:18" x14ac:dyDescent="0.35">
      <c r="R689" s="67"/>
    </row>
    <row r="690" spans="18:18" x14ac:dyDescent="0.35">
      <c r="R690" s="67"/>
    </row>
    <row r="691" spans="18:18" x14ac:dyDescent="0.35">
      <c r="R691" s="67"/>
    </row>
    <row r="692" spans="18:18" x14ac:dyDescent="0.35">
      <c r="R692" s="67"/>
    </row>
    <row r="693" spans="18:18" x14ac:dyDescent="0.35">
      <c r="R693" s="67"/>
    </row>
    <row r="694" spans="18:18" x14ac:dyDescent="0.35">
      <c r="R694" s="67"/>
    </row>
    <row r="695" spans="18:18" x14ac:dyDescent="0.35">
      <c r="R695" s="67"/>
    </row>
    <row r="696" spans="18:18" x14ac:dyDescent="0.35">
      <c r="R696" s="67"/>
    </row>
    <row r="697" spans="18:18" x14ac:dyDescent="0.35">
      <c r="R697" s="67"/>
    </row>
    <row r="698" spans="18:18" x14ac:dyDescent="0.35">
      <c r="R698" s="67"/>
    </row>
    <row r="699" spans="18:18" x14ac:dyDescent="0.35">
      <c r="R699" s="67"/>
    </row>
    <row r="700" spans="18:18" x14ac:dyDescent="0.35">
      <c r="R700" s="67"/>
    </row>
    <row r="701" spans="18:18" x14ac:dyDescent="0.35">
      <c r="R701" s="67"/>
    </row>
    <row r="702" spans="18:18" x14ac:dyDescent="0.35">
      <c r="R702" s="67"/>
    </row>
    <row r="703" spans="18:18" x14ac:dyDescent="0.35">
      <c r="R703" s="67"/>
    </row>
    <row r="704" spans="18:18" x14ac:dyDescent="0.35">
      <c r="R704" s="67"/>
    </row>
    <row r="705" spans="18:18" x14ac:dyDescent="0.35">
      <c r="R705" s="67"/>
    </row>
    <row r="706" spans="18:18" x14ac:dyDescent="0.35">
      <c r="R706" s="67"/>
    </row>
    <row r="707" spans="18:18" x14ac:dyDescent="0.35">
      <c r="R707" s="67"/>
    </row>
    <row r="708" spans="18:18" x14ac:dyDescent="0.35">
      <c r="R708" s="67"/>
    </row>
    <row r="709" spans="18:18" x14ac:dyDescent="0.35">
      <c r="R709" s="67"/>
    </row>
    <row r="710" spans="18:18" x14ac:dyDescent="0.35">
      <c r="R710" s="67"/>
    </row>
    <row r="711" spans="18:18" x14ac:dyDescent="0.35">
      <c r="R711" s="67"/>
    </row>
    <row r="712" spans="18:18" x14ac:dyDescent="0.35">
      <c r="R712" s="67"/>
    </row>
    <row r="713" spans="18:18" x14ac:dyDescent="0.35">
      <c r="R713" s="67"/>
    </row>
    <row r="714" spans="18:18" x14ac:dyDescent="0.35">
      <c r="R714" s="67"/>
    </row>
    <row r="715" spans="18:18" x14ac:dyDescent="0.35">
      <c r="R715" s="67"/>
    </row>
    <row r="716" spans="18:18" x14ac:dyDescent="0.35">
      <c r="R716" s="67"/>
    </row>
    <row r="717" spans="18:18" x14ac:dyDescent="0.35">
      <c r="R717" s="67"/>
    </row>
    <row r="718" spans="18:18" x14ac:dyDescent="0.35">
      <c r="R718" s="67"/>
    </row>
    <row r="719" spans="18:18" x14ac:dyDescent="0.35">
      <c r="R719" s="67"/>
    </row>
    <row r="720" spans="18:18" x14ac:dyDescent="0.35">
      <c r="R720" s="67"/>
    </row>
    <row r="721" spans="18:18" x14ac:dyDescent="0.35">
      <c r="R721" s="67"/>
    </row>
    <row r="722" spans="18:18" x14ac:dyDescent="0.35">
      <c r="R722" s="67"/>
    </row>
    <row r="723" spans="18:18" x14ac:dyDescent="0.35">
      <c r="R723" s="67"/>
    </row>
    <row r="724" spans="18:18" x14ac:dyDescent="0.35">
      <c r="R724" s="67"/>
    </row>
    <row r="725" spans="18:18" x14ac:dyDescent="0.35">
      <c r="R725" s="67"/>
    </row>
    <row r="726" spans="18:18" x14ac:dyDescent="0.35">
      <c r="R726" s="67"/>
    </row>
    <row r="727" spans="18:18" x14ac:dyDescent="0.35">
      <c r="R727" s="67"/>
    </row>
    <row r="728" spans="18:18" x14ac:dyDescent="0.35">
      <c r="R728" s="67"/>
    </row>
    <row r="729" spans="18:18" x14ac:dyDescent="0.35">
      <c r="R729" s="67"/>
    </row>
    <row r="730" spans="18:18" x14ac:dyDescent="0.35">
      <c r="R730" s="67"/>
    </row>
    <row r="731" spans="18:18" x14ac:dyDescent="0.35">
      <c r="R731" s="67"/>
    </row>
    <row r="732" spans="18:18" x14ac:dyDescent="0.35">
      <c r="R732" s="67"/>
    </row>
    <row r="733" spans="18:18" x14ac:dyDescent="0.35">
      <c r="R733" s="67"/>
    </row>
    <row r="734" spans="18:18" x14ac:dyDescent="0.35">
      <c r="R734" s="67"/>
    </row>
    <row r="735" spans="18:18" x14ac:dyDescent="0.35">
      <c r="R735" s="67"/>
    </row>
    <row r="736" spans="18:18" x14ac:dyDescent="0.35">
      <c r="R736" s="67"/>
    </row>
    <row r="737" spans="18:18" x14ac:dyDescent="0.35">
      <c r="R737" s="67"/>
    </row>
    <row r="738" spans="18:18" x14ac:dyDescent="0.35">
      <c r="R738" s="67"/>
    </row>
    <row r="739" spans="18:18" x14ac:dyDescent="0.35">
      <c r="R739" s="67"/>
    </row>
    <row r="740" spans="18:18" x14ac:dyDescent="0.35">
      <c r="R740" s="67"/>
    </row>
    <row r="741" spans="18:18" x14ac:dyDescent="0.35">
      <c r="R741" s="67"/>
    </row>
    <row r="742" spans="18:18" x14ac:dyDescent="0.35">
      <c r="R742" s="67"/>
    </row>
    <row r="743" spans="18:18" x14ac:dyDescent="0.35">
      <c r="R743" s="67"/>
    </row>
    <row r="744" spans="18:18" x14ac:dyDescent="0.35">
      <c r="R744" s="67"/>
    </row>
    <row r="745" spans="18:18" x14ac:dyDescent="0.35">
      <c r="R745" s="67"/>
    </row>
    <row r="746" spans="18:18" x14ac:dyDescent="0.35">
      <c r="R746" s="67"/>
    </row>
    <row r="747" spans="18:18" x14ac:dyDescent="0.35">
      <c r="R747" s="67"/>
    </row>
    <row r="748" spans="18:18" x14ac:dyDescent="0.35">
      <c r="R748" s="67"/>
    </row>
  </sheetData>
  <autoFilter ref="A19:F798" xr:uid="{926F7DF6-5474-4443-8A09-7A99A294B49F}"/>
  <sortState xmlns:xlrd2="http://schemas.microsoft.com/office/spreadsheetml/2017/richdata2" ref="A20:I101">
    <sortCondition ref="D20:D101"/>
  </sortState>
  <conditionalFormatting sqref="A139:A146 A180:A204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B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5:B23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101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9:C14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0:C18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0:C204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05:C234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6:D1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101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80:D20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10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80:E204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0:F10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10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101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10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7:AB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E697-0517-44F6-872C-6B43E54FF528}">
  <dimension ref="A1:AB689"/>
  <sheetViews>
    <sheetView topLeftCell="A5" zoomScaleNormal="100" workbookViewId="0">
      <selection activeCell="D35" sqref="D35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8" x14ac:dyDescent="0.35">
      <c r="A1" s="3" t="s">
        <v>406</v>
      </c>
      <c r="F1" s="3" t="s">
        <v>352</v>
      </c>
      <c r="G1">
        <v>11</v>
      </c>
    </row>
    <row r="2" spans="1:28" x14ac:dyDescent="0.35">
      <c r="B2">
        <v>0</v>
      </c>
    </row>
    <row r="3" spans="1:28" x14ac:dyDescent="0.35">
      <c r="A3" s="3" t="s">
        <v>62</v>
      </c>
      <c r="B3" s="4">
        <f>AVERAGE(B6:B49)</f>
        <v>-8.1596239260244892E-9</v>
      </c>
      <c r="F3" s="3" t="s">
        <v>3</v>
      </c>
      <c r="G3" s="4">
        <v>0.20631343074182276</v>
      </c>
    </row>
    <row r="4" spans="1:28" x14ac:dyDescent="0.35">
      <c r="A4" s="3" t="s">
        <v>121</v>
      </c>
      <c r="F4" t="s">
        <v>9</v>
      </c>
      <c r="G4">
        <f>-G3</f>
        <v>-0.20631343074182276</v>
      </c>
    </row>
    <row r="5" spans="1:28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225.2903874124286</v>
      </c>
    </row>
    <row r="6" spans="1:28" x14ac:dyDescent="0.35">
      <c r="A6" s="1" t="s">
        <v>6</v>
      </c>
      <c r="B6" s="1">
        <v>2.641505157156566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  <c r="AA6" s="32" t="s">
        <v>357</v>
      </c>
      <c r="AB6" s="32" t="s">
        <v>61</v>
      </c>
    </row>
    <row r="7" spans="1:28" x14ac:dyDescent="0.35">
      <c r="A7" s="1" t="s">
        <v>14</v>
      </c>
      <c r="B7" s="1">
        <v>0.51692046514471823</v>
      </c>
      <c r="C7" s="1">
        <f t="shared" si="0"/>
        <v>2</v>
      </c>
      <c r="J7" s="65">
        <v>1</v>
      </c>
      <c r="K7" t="s">
        <v>4</v>
      </c>
      <c r="L7" t="s">
        <v>237</v>
      </c>
      <c r="M7">
        <v>5</v>
      </c>
      <c r="N7" t="s">
        <v>3</v>
      </c>
      <c r="O7" t="s">
        <v>14</v>
      </c>
      <c r="P7">
        <f>VLOOKUP($N7,$F$3:$G$4,2,FALSE)+VLOOKUP($L7,$B$20:$C$30,2,FALSE)+VLOOKUP($O7,$A$6:$B$16,2,FALSE)</f>
        <v>3.0109432768339071</v>
      </c>
      <c r="Q7">
        <f>IFERROR(($M7-$P7)^2,"")</f>
        <v>3.9563466479722353</v>
      </c>
      <c r="R7" s="67" cm="1">
        <f t="array" ref="R7">SUMPRODUCT((J7=$J$7:$J$1000)*(P7&lt;$P$7:$P$1000))+1</f>
        <v>2</v>
      </c>
      <c r="S7" s="72"/>
      <c r="T7" cm="1">
        <f t="array" ref="T7:Z58">_xlfn._xlws.FILTER($J$7:$P$10000,($J$7:$J$10000&gt;$G$1)*($J$7:$J$10000&lt;18))</f>
        <v>12</v>
      </c>
      <c r="U7" t="str">
        <v>SDL</v>
      </c>
      <c r="V7" t="str">
        <v>San Diego Legion</v>
      </c>
      <c r="W7">
        <v>7</v>
      </c>
      <c r="X7" t="str">
        <v>Home</v>
      </c>
      <c r="Y7" t="str">
        <v>NOLA</v>
      </c>
      <c r="Z7">
        <v>3.0611677385093548</v>
      </c>
      <c r="AA7" s="1" t="str" cm="1">
        <f t="array" ref="AA7:AA18">_xlfn._xlws.SORT(_xlfn.UNIQUE($L$7:$L$10000))</f>
        <v>Anthem Rugby Carolina</v>
      </c>
      <c r="AB7" s="1" cm="1">
        <f t="array" ref="AB7">COUNT(_xlfn._xlws.FILTER($J$7:$J$10000,($L$7:$L$10000=AA7)*($M$7:$M$10000&lt;&gt;"NULL")*($J$7:$J$10000 &gt;= ($G$1-5))))/5</f>
        <v>1.2</v>
      </c>
    </row>
    <row r="8" spans="1:28" x14ac:dyDescent="0.35">
      <c r="A8" s="1" t="s">
        <v>4</v>
      </c>
      <c r="B8" s="1">
        <v>0.47543585483863338</v>
      </c>
      <c r="C8" s="1">
        <f t="shared" si="0"/>
        <v>3</v>
      </c>
      <c r="J8" s="65">
        <v>1</v>
      </c>
      <c r="K8" t="s">
        <v>36</v>
      </c>
      <c r="L8" t="s">
        <v>234</v>
      </c>
      <c r="M8">
        <v>3</v>
      </c>
      <c r="N8" t="s">
        <v>3</v>
      </c>
      <c r="O8" t="s">
        <v>2</v>
      </c>
      <c r="P8">
        <f t="shared" ref="P8:P45" si="1">VLOOKUP($N8,$F$3:$G$4,2,FALSE)+VLOOKUP($L8,$B$20:$C$30,2,FALSE)+VLOOKUP($O8,$A$6:$B$16,2,FALSE)</f>
        <v>1.6911858590826943</v>
      </c>
      <c r="Q8">
        <f t="shared" ref="Q8:Q45" si="2">IFERROR(($M8-$P8)^2,"")</f>
        <v>1.7129944554651051</v>
      </c>
      <c r="R8" s="67" cm="1">
        <f t="array" ref="R8">SUMPRODUCT((J8=$J$7:$J$1000)*(P8&lt;$P$7:$P$1000))+1</f>
        <v>5</v>
      </c>
      <c r="S8" s="72"/>
      <c r="T8">
        <v>12</v>
      </c>
      <c r="U8" t="str">
        <v>UTAH</v>
      </c>
      <c r="V8" t="str">
        <v>Utah Warriors</v>
      </c>
      <c r="W8">
        <v>5</v>
      </c>
      <c r="X8" t="str">
        <v>Home</v>
      </c>
      <c r="Y8" t="str">
        <v>OGDC</v>
      </c>
      <c r="Z8">
        <v>3.1758575433544243</v>
      </c>
      <c r="AA8" s="1" t="str">
        <v>Chicago Hounds</v>
      </c>
      <c r="AB8" s="1" cm="1">
        <f t="array" ref="AB8">COUNT(_xlfn._xlws.FILTER($J$7:$J$10000,($L$7:$L$10000=AA8)*($M$7:$M$10000&lt;&gt;"NULL")*($J$7:$J$10000 &gt;= ($G$1-5))))/5</f>
        <v>1.2</v>
      </c>
    </row>
    <row r="9" spans="1:28" x14ac:dyDescent="0.35">
      <c r="A9" s="1" t="s">
        <v>24</v>
      </c>
      <c r="B9" s="1">
        <v>1.1161934460233346E-2</v>
      </c>
      <c r="C9" s="1">
        <f t="shared" si="0"/>
        <v>4</v>
      </c>
      <c r="J9" s="65">
        <v>1</v>
      </c>
      <c r="K9" t="s">
        <v>23</v>
      </c>
      <c r="L9" t="s">
        <v>236</v>
      </c>
      <c r="M9">
        <v>3</v>
      </c>
      <c r="N9" t="s">
        <v>9</v>
      </c>
      <c r="O9" t="s">
        <v>6</v>
      </c>
      <c r="P9">
        <f t="shared" si="1"/>
        <v>3.8666932793741786</v>
      </c>
      <c r="Q9">
        <f t="shared" si="2"/>
        <v>0.75115724051236799</v>
      </c>
      <c r="R9" s="67" cm="1">
        <f t="array" ref="R9">SUMPRODUCT((J9=$J$7:$J$1000)*(P9&lt;$P$7:$P$1000))+1</f>
        <v>1</v>
      </c>
      <c r="S9" s="72"/>
      <c r="T9">
        <v>12</v>
      </c>
      <c r="U9" t="str">
        <v>CHI</v>
      </c>
      <c r="V9" t="str">
        <v>Chicago Hounds</v>
      </c>
      <c r="W9">
        <v>4</v>
      </c>
      <c r="X9" t="str">
        <v>Home</v>
      </c>
      <c r="Y9" t="str">
        <v>MIA</v>
      </c>
      <c r="Z9">
        <v>2.8616100365546981</v>
      </c>
      <c r="AA9" s="1" t="str">
        <v>Houston SaberCats</v>
      </c>
      <c r="AB9" s="1" cm="1">
        <f t="array" ref="AB9">COUNT(_xlfn._xlws.FILTER($J$7:$J$10000,($L$7:$L$10000=AA9)*($M$7:$M$10000&lt;&gt;"NULL")*($J$7:$J$10000 &gt;= ($G$1-5))))/5</f>
        <v>1.4</v>
      </c>
    </row>
    <row r="10" spans="1:28" x14ac:dyDescent="0.35">
      <c r="A10" s="1" t="s">
        <v>23</v>
      </c>
      <c r="B10" s="1">
        <v>-9.7596696952848103E-2</v>
      </c>
      <c r="C10" s="1">
        <f t="shared" si="0"/>
        <v>5</v>
      </c>
      <c r="J10" s="65">
        <v>1</v>
      </c>
      <c r="K10" t="s">
        <v>17</v>
      </c>
      <c r="L10" t="s">
        <v>240</v>
      </c>
      <c r="M10">
        <v>3</v>
      </c>
      <c r="N10" t="s">
        <v>9</v>
      </c>
      <c r="O10" t="s">
        <v>34</v>
      </c>
      <c r="P10">
        <f t="shared" si="1"/>
        <v>1.1086581367174371</v>
      </c>
      <c r="Q10">
        <f t="shared" si="2"/>
        <v>3.5771740438051571</v>
      </c>
      <c r="R10" s="67" cm="1">
        <f t="array" ref="R10">SUMPRODUCT((J10=$J$7:$J$1000)*(P10&lt;$P$7:$P$1000))+1</f>
        <v>9</v>
      </c>
      <c r="S10" s="72"/>
      <c r="T10">
        <v>12</v>
      </c>
      <c r="U10" t="str">
        <v>SEA</v>
      </c>
      <c r="V10" t="str">
        <v>Seattle Seawolves</v>
      </c>
      <c r="W10">
        <v>3</v>
      </c>
      <c r="X10" t="str">
        <v>Home</v>
      </c>
      <c r="Y10" t="str">
        <v>LA</v>
      </c>
      <c r="Z10">
        <v>4.4928015294797978</v>
      </c>
      <c r="AA10" s="1" t="str">
        <v>Miami Sharks</v>
      </c>
      <c r="AB10" s="1" cm="1">
        <f t="array" ref="AB10">COUNT(_xlfn._xlws.FILTER($J$7:$J$10000,($L$7:$L$10000=AA10)*($M$7:$M$10000&lt;&gt;"NULL")*($J$7:$J$10000 &gt;= ($G$1-5))))/5</f>
        <v>1.2</v>
      </c>
    </row>
    <row r="11" spans="1:28" x14ac:dyDescent="0.35">
      <c r="A11" s="1" t="s">
        <v>34</v>
      </c>
      <c r="B11" s="1">
        <v>-0.33001137412214898</v>
      </c>
      <c r="C11" s="1">
        <f t="shared" si="0"/>
        <v>6</v>
      </c>
      <c r="J11" s="65">
        <v>1</v>
      </c>
      <c r="K11" t="s">
        <v>2</v>
      </c>
      <c r="L11" t="s">
        <v>232</v>
      </c>
      <c r="M11">
        <v>2</v>
      </c>
      <c r="N11" t="s">
        <v>9</v>
      </c>
      <c r="O11" t="s">
        <v>36</v>
      </c>
      <c r="P11">
        <f t="shared" si="1"/>
        <v>1.9195957344279218</v>
      </c>
      <c r="Q11">
        <f t="shared" si="2"/>
        <v>6.4648459221852876E-3</v>
      </c>
      <c r="R11" s="67" cm="1">
        <f t="array" ref="R11">SUMPRODUCT((J11=$J$7:$J$1000)*(P11&lt;$P$7:$P$1000))+1</f>
        <v>4</v>
      </c>
      <c r="S11" s="72"/>
      <c r="T11">
        <v>12</v>
      </c>
      <c r="U11" t="str">
        <v>SDL</v>
      </c>
      <c r="V11" t="str">
        <v>San Diego Legion</v>
      </c>
      <c r="W11">
        <v>2</v>
      </c>
      <c r="X11" t="str">
        <v>Away</v>
      </c>
      <c r="Y11" t="str">
        <v>NOLA</v>
      </c>
      <c r="Z11">
        <v>2.6485408770257091</v>
      </c>
      <c r="AA11" s="1" t="str">
        <v>New England Free Jacks</v>
      </c>
      <c r="AB11" s="1" cm="1">
        <f t="array" ref="AB11">COUNT(_xlfn._xlws.FILTER($J$7:$J$10000,($L$7:$L$10000=AA11)*($M$7:$M$10000&lt;&gt;"NULL")*($J$7:$J$10000 &gt;= ($G$1-5))))/5</f>
        <v>1.2</v>
      </c>
    </row>
    <row r="12" spans="1:28" x14ac:dyDescent="0.35">
      <c r="A12" s="1" t="s">
        <v>7</v>
      </c>
      <c r="B12" s="1">
        <v>-0.48093568535684561</v>
      </c>
      <c r="C12" s="1">
        <f t="shared" si="0"/>
        <v>7</v>
      </c>
      <c r="J12" s="65">
        <v>1</v>
      </c>
      <c r="K12" t="s">
        <v>24</v>
      </c>
      <c r="L12" t="s">
        <v>235</v>
      </c>
      <c r="M12">
        <v>2</v>
      </c>
      <c r="N12" t="s">
        <v>3</v>
      </c>
      <c r="O12" t="s">
        <v>7</v>
      </c>
      <c r="P12">
        <f t="shared" si="1"/>
        <v>0.89687789167978793</v>
      </c>
      <c r="Q12">
        <f t="shared" si="2"/>
        <v>1.2168783858648298</v>
      </c>
      <c r="R12" s="67" cm="1">
        <f t="array" ref="R12">SUMPRODUCT((J12=$J$7:$J$1000)*(P12&lt;$P$7:$P$1000))+1</f>
        <v>10</v>
      </c>
      <c r="S12" s="72"/>
      <c r="T12">
        <v>12</v>
      </c>
      <c r="U12" t="str">
        <v>LA</v>
      </c>
      <c r="V12" t="str">
        <v>RFC Los Angeles</v>
      </c>
      <c r="W12">
        <v>1</v>
      </c>
      <c r="X12" t="str">
        <v>Away</v>
      </c>
      <c r="Y12" t="str">
        <v>SEA</v>
      </c>
      <c r="Z12">
        <v>0.66665174435212049</v>
      </c>
      <c r="AA12" s="1" t="str">
        <v>NOLA Gold</v>
      </c>
      <c r="AB12" s="1" cm="1">
        <f t="array" ref="AB12">COUNT(_xlfn._xlws.FILTER($J$7:$J$10000,($L$7:$L$10000=AA12)*($M$7:$M$10000&lt;&gt;"NULL")*($J$7:$J$10000 &gt;= ($G$1-5))))/5</f>
        <v>1.4</v>
      </c>
    </row>
    <row r="13" spans="1:28" x14ac:dyDescent="0.35">
      <c r="A13" s="1" t="s">
        <v>2</v>
      </c>
      <c r="B13" s="1">
        <v>-0.48184883810369966</v>
      </c>
      <c r="C13" s="1">
        <f t="shared" si="0"/>
        <v>8</v>
      </c>
      <c r="J13" s="65">
        <v>1</v>
      </c>
      <c r="K13" t="s">
        <v>6</v>
      </c>
      <c r="L13" t="s">
        <v>461</v>
      </c>
      <c r="M13">
        <v>1</v>
      </c>
      <c r="N13" t="s">
        <v>3</v>
      </c>
      <c r="O13" t="s">
        <v>23</v>
      </c>
      <c r="P13">
        <f t="shared" si="1"/>
        <v>1.9873855619152536</v>
      </c>
      <c r="Q13">
        <f t="shared" si="2"/>
        <v>0.97493024787870108</v>
      </c>
      <c r="R13" s="67" cm="1">
        <f t="array" ref="R13">SUMPRODUCT((J13=$J$7:$J$1000)*(P13&lt;$P$7:$P$1000))+1</f>
        <v>3</v>
      </c>
      <c r="S13" s="72"/>
      <c r="T13">
        <v>12</v>
      </c>
      <c r="U13" t="str">
        <v>MIA</v>
      </c>
      <c r="V13" t="str">
        <v>Miami Sharks</v>
      </c>
      <c r="W13">
        <v>1</v>
      </c>
      <c r="X13" t="str">
        <v>Away</v>
      </c>
      <c r="Y13" t="str">
        <v>CHI</v>
      </c>
      <c r="Z13">
        <v>0.4833378774492883</v>
      </c>
      <c r="AA13" s="1" t="str">
        <v>Old Glory DC</v>
      </c>
      <c r="AB13" s="1" cm="1">
        <f t="array" ref="AB13">COUNT(_xlfn._xlws.FILTER($J$7:$J$10000,($L$7:$L$10000=AA13)*($M$7:$M$10000&lt;&gt;"NULL")*($J$7:$J$10000 &gt;= ($G$1-5))))/5</f>
        <v>1.4</v>
      </c>
    </row>
    <row r="14" spans="1:28" x14ac:dyDescent="0.35">
      <c r="A14" s="1" t="s">
        <v>36</v>
      </c>
      <c r="B14" s="1">
        <v>-0.51822550618289764</v>
      </c>
      <c r="C14" s="1">
        <f t="shared" si="0"/>
        <v>9</v>
      </c>
      <c r="J14" s="65">
        <v>1</v>
      </c>
      <c r="K14" t="s">
        <v>7</v>
      </c>
      <c r="L14" t="s">
        <v>238</v>
      </c>
      <c r="M14">
        <v>1</v>
      </c>
      <c r="N14" t="s">
        <v>9</v>
      </c>
      <c r="O14" t="s">
        <v>24</v>
      </c>
      <c r="P14">
        <f t="shared" si="1"/>
        <v>1.6504456224535309</v>
      </c>
      <c r="Q14">
        <f t="shared" si="2"/>
        <v>0.42307950776896125</v>
      </c>
      <c r="R14" s="67" cm="1">
        <f t="array" ref="R14">SUMPRODUCT((J14=$J$7:$J$1000)*(P14&lt;$P$7:$P$1000))+1</f>
        <v>6</v>
      </c>
      <c r="S14" s="72"/>
      <c r="T14">
        <v>12</v>
      </c>
      <c r="U14" t="str">
        <v>NEFJ</v>
      </c>
      <c r="V14" t="str">
        <v>New England Free Jacks</v>
      </c>
      <c r="W14">
        <v>1</v>
      </c>
      <c r="X14" t="str">
        <v>Home</v>
      </c>
      <c r="Y14" t="str">
        <v>HOU</v>
      </c>
      <c r="Z14">
        <v>1.1195894775183608</v>
      </c>
      <c r="AA14" s="1" t="str">
        <v>RFC Los Angeles</v>
      </c>
      <c r="AB14" s="1" cm="1">
        <f t="array" ref="AB14">COUNT(_xlfn._xlws.FILTER($J$7:$J$10000,($L$7:$L$10000=AA14)*($M$7:$M$10000&lt;&gt;"NULL")*($J$7:$J$10000 &gt;= ($G$1-5))))/5</f>
        <v>1.4</v>
      </c>
    </row>
    <row r="15" spans="1:28" x14ac:dyDescent="0.35">
      <c r="A15" s="1" t="s">
        <v>13</v>
      </c>
      <c r="B15" s="1">
        <v>-0.73070174760523821</v>
      </c>
      <c r="C15" s="1">
        <f t="shared" si="0"/>
        <v>10</v>
      </c>
      <c r="J15" s="65">
        <v>1</v>
      </c>
      <c r="K15" t="s">
        <v>34</v>
      </c>
      <c r="L15" t="s">
        <v>239</v>
      </c>
      <c r="M15">
        <v>1</v>
      </c>
      <c r="N15" t="s">
        <v>3</v>
      </c>
      <c r="O15" t="s">
        <v>17</v>
      </c>
      <c r="P15">
        <f t="shared" si="1"/>
        <v>1.5800282306383859</v>
      </c>
      <c r="Q15">
        <f t="shared" si="2"/>
        <v>0.33643274833749665</v>
      </c>
      <c r="R15" s="67" cm="1">
        <f t="array" ref="R15">SUMPRODUCT((J15=$J$7:$J$1000)*(P15&lt;$P$7:$P$1000))+1</f>
        <v>7</v>
      </c>
      <c r="S15" s="72"/>
      <c r="T15">
        <v>12</v>
      </c>
      <c r="U15" t="str">
        <v>NOLA</v>
      </c>
      <c r="V15" t="str">
        <v>NOLA Gold</v>
      </c>
      <c r="W15">
        <v>1</v>
      </c>
      <c r="X15" t="str">
        <v>Away</v>
      </c>
      <c r="Y15" t="str">
        <v>SDL</v>
      </c>
      <c r="Z15">
        <v>1.7513845760833942</v>
      </c>
      <c r="AA15" s="1" t="str">
        <v>San Diego Legion</v>
      </c>
      <c r="AB15" s="1" cm="1">
        <f t="array" ref="AB15">COUNT(_xlfn._xlws.FILTER($J$7:$J$10000,($L$7:$L$10000=AA15)*($M$7:$M$10000&lt;&gt;"NULL")*($J$7:$J$10000 &gt;= ($G$1-5))))/5</f>
        <v>1.6</v>
      </c>
    </row>
    <row r="16" spans="1:28" x14ac:dyDescent="0.35">
      <c r="A16" s="1" t="s">
        <v>17</v>
      </c>
      <c r="B16" s="1">
        <v>-1.0057036530323356</v>
      </c>
      <c r="C16" s="1">
        <f t="shared" si="0"/>
        <v>11</v>
      </c>
      <c r="D16" s="3"/>
      <c r="J16" s="65">
        <v>1</v>
      </c>
      <c r="K16" t="s">
        <v>14</v>
      </c>
      <c r="L16" t="s">
        <v>231</v>
      </c>
      <c r="M16">
        <v>0</v>
      </c>
      <c r="N16" t="s">
        <v>9</v>
      </c>
      <c r="O16" t="s">
        <v>4</v>
      </c>
      <c r="P16">
        <f t="shared" si="1"/>
        <v>1.5632336899377375</v>
      </c>
      <c r="Q16">
        <f t="shared" si="2"/>
        <v>2.4436995693563546</v>
      </c>
      <c r="R16" s="67" cm="1">
        <f t="array" ref="R16">SUMPRODUCT((J16=$J$7:$J$1000)*(P16&lt;$P$7:$P$1000))+1</f>
        <v>8</v>
      </c>
      <c r="S16" s="72"/>
      <c r="T16">
        <v>12</v>
      </c>
      <c r="U16" t="str">
        <v>OGDC</v>
      </c>
      <c r="V16" t="str">
        <v>Old Glory DC</v>
      </c>
      <c r="W16">
        <v>1</v>
      </c>
      <c r="X16" t="str">
        <v>Home</v>
      </c>
      <c r="Y16" t="str">
        <v>UTAH</v>
      </c>
      <c r="Z16">
        <v>1.3212088018717048</v>
      </c>
      <c r="AA16" s="1" t="str">
        <v>Seattle Seawolves</v>
      </c>
      <c r="AB16" s="1" cm="1">
        <f t="array" ref="AB16">COUNT(_xlfn._xlws.FILTER($J$7:$J$10000,($L$7:$L$10000=AA16)*($M$7:$M$10000&lt;&gt;"NULL")*($J$7:$J$10000 &gt;= ($G$1-5))))/5</f>
        <v>1.4</v>
      </c>
    </row>
    <row r="17" spans="1:28" x14ac:dyDescent="0.35">
      <c r="J17" s="65">
        <v>2</v>
      </c>
      <c r="K17" t="s">
        <v>2</v>
      </c>
      <c r="L17" t="s">
        <v>232</v>
      </c>
      <c r="M17">
        <v>3</v>
      </c>
      <c r="N17" t="s">
        <v>3</v>
      </c>
      <c r="O17" t="s">
        <v>13</v>
      </c>
      <c r="P17">
        <f t="shared" si="1"/>
        <v>2.1197463544892265</v>
      </c>
      <c r="Q17">
        <f t="shared" si="2"/>
        <v>0.77484648043500637</v>
      </c>
      <c r="R17" s="67" cm="1">
        <f t="array" ref="R17">SUMPRODUCT((J17=$J$7:$J$1000)*(P17&lt;$P$7:$P$1000))+1</f>
        <v>4</v>
      </c>
      <c r="S17" s="72"/>
      <c r="T17">
        <v>12</v>
      </c>
      <c r="U17" t="str">
        <v>HOU</v>
      </c>
      <c r="V17" t="str">
        <v>Houston SaberCats</v>
      </c>
      <c r="W17">
        <v>0</v>
      </c>
      <c r="X17" t="str">
        <v>Away</v>
      </c>
      <c r="Y17" t="str">
        <v>NEFJ</v>
      </c>
      <c r="Z17">
        <v>1.6628111387499001</v>
      </c>
      <c r="AA17" s="1" t="str">
        <v>Utah Warriors</v>
      </c>
      <c r="AB17" s="1" cm="1">
        <f t="array" ref="AB17">COUNT(_xlfn._xlws.FILTER($J$7:$J$10000,($L$7:$L$10000=AA17)*($M$7:$M$10000&lt;&gt;"NULL")*($J$7:$J$10000 &gt;= ($G$1-5))))/5</f>
        <v>1.4</v>
      </c>
    </row>
    <row r="18" spans="1:28" x14ac:dyDescent="0.35">
      <c r="J18" s="65">
        <v>2</v>
      </c>
      <c r="K18" t="s">
        <v>36</v>
      </c>
      <c r="L18" t="s">
        <v>234</v>
      </c>
      <c r="M18">
        <v>3</v>
      </c>
      <c r="N18" t="s">
        <v>9</v>
      </c>
      <c r="O18" t="s">
        <v>6</v>
      </c>
      <c r="P18">
        <f t="shared" si="1"/>
        <v>4.4019129928593141</v>
      </c>
      <c r="Q18">
        <f t="shared" si="2"/>
        <v>1.9653600395477593</v>
      </c>
      <c r="R18" s="67" cm="1">
        <f t="array" ref="R18">SUMPRODUCT((J18=$J$7:$J$1000)*(P18&lt;$P$7:$P$1000))+1</f>
        <v>1</v>
      </c>
      <c r="S18" s="72"/>
      <c r="T18">
        <v>12</v>
      </c>
      <c r="U18" t="str">
        <v>UTAH</v>
      </c>
      <c r="V18" t="str">
        <v>Utah Warriors</v>
      </c>
      <c r="W18">
        <v>0</v>
      </c>
      <c r="X18" t="str">
        <v>Away</v>
      </c>
      <c r="Y18" t="str">
        <v>OGDC</v>
      </c>
      <c r="Z18">
        <v>2.7632306818707786</v>
      </c>
      <c r="AA18" s="1">
        <v>0</v>
      </c>
      <c r="AB18" s="1" cm="1">
        <f t="array" ref="AB18">COUNT(_xlfn._xlws.FILTER($J$7:$J$10000,($L$7:$L$10000=AA18)*($M$7:$M$10000&lt;&gt;"NULL")*($J$7:$J$10000 &gt;= ($G$1-5))))/5</f>
        <v>0</v>
      </c>
    </row>
    <row r="19" spans="1:28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2</v>
      </c>
      <c r="K19" t="s">
        <v>13</v>
      </c>
      <c r="L19" t="s">
        <v>241</v>
      </c>
      <c r="M19">
        <v>3</v>
      </c>
      <c r="N19" t="s">
        <v>9</v>
      </c>
      <c r="O19" t="s">
        <v>2</v>
      </c>
      <c r="P19">
        <f t="shared" si="1"/>
        <v>2.7623175291239246</v>
      </c>
      <c r="Q19">
        <f t="shared" si="2"/>
        <v>5.6492956961756435E-2</v>
      </c>
      <c r="R19" s="67" cm="1">
        <f t="array" ref="R19">SUMPRODUCT((J19=$J$7:$J$1000)*(P19&lt;$P$7:$P$1000))+1</f>
        <v>2</v>
      </c>
      <c r="S19" s="72"/>
      <c r="T19">
        <v>13</v>
      </c>
      <c r="U19" t="str">
        <v>ARC</v>
      </c>
      <c r="V19" t="str">
        <v>Anthem Rugby Carolina</v>
      </c>
      <c r="W19" t="str">
        <v>NULL</v>
      </c>
      <c r="X19" t="str">
        <v>Away</v>
      </c>
      <c r="Y19" t="str">
        <v>LA</v>
      </c>
      <c r="Z19">
        <v>3.7293029922556702</v>
      </c>
      <c r="AA19" s="1"/>
      <c r="AB19" s="1" cm="1">
        <f t="array" ref="AB19">COUNT(_xlfn._xlws.FILTER($J$7:$J$10000,($L$7:$L$10000=AA19)*($M$7:$M$10000&lt;&gt;"NULL")*($J$7:$J$10000 &gt;= ($G$1-5))))/5</f>
        <v>0</v>
      </c>
    </row>
    <row r="20" spans="1:28" x14ac:dyDescent="0.35">
      <c r="A20">
        <f>VLOOKUP($B20, PlayerIDs!$A$1:$B$516, 2, FALSE)</f>
        <v>440</v>
      </c>
      <c r="B20" s="1" t="s">
        <v>241</v>
      </c>
      <c r="C20" s="1">
        <v>3.450479797969447</v>
      </c>
      <c r="D20" s="1">
        <f t="shared" ref="D20:D30" si="3">RANK($C20,$C$20:$C$106)</f>
        <v>1</v>
      </c>
      <c r="E20" s="1" cm="1">
        <f t="array" ref="E20">IFERROR(VLOOKUP($B20,_xlfn._xlws.FILTER($L$7:$P$10000,$J$7:$J$10000=G$1+1),5, FALSE), 0)</f>
        <v>3.1758575433544243</v>
      </c>
      <c r="F20" s="1">
        <f t="shared" ref="F20:F30" si="4">RANK(E20,$E$20:$E$72)</f>
        <v>2</v>
      </c>
      <c r="G20" s="1">
        <f t="shared" ref="G20:G30" ca="1" si="5">SUMIF(V:Z,$B20,Z:Z)</f>
        <v>19.209434577871107</v>
      </c>
      <c r="H20" s="1">
        <f t="shared" ref="H20:H30" ca="1" si="6">RANK($G20,$G$20:$G$106)</f>
        <v>1</v>
      </c>
      <c r="I20" s="1" cm="1">
        <f t="array" ref="I20">COUNT(_xlfn._xlws.FILTER($J$7:$J$10000,($L$7:$L$10000=B20)*($M$7:$M$10000&lt;&gt;"NULL")*($J$7:$J$10000 &gt;= ($G$1-4))))/5</f>
        <v>1.2</v>
      </c>
      <c r="J20" s="65">
        <v>2</v>
      </c>
      <c r="K20" t="s">
        <v>6</v>
      </c>
      <c r="L20" t="s">
        <v>461</v>
      </c>
      <c r="M20">
        <v>1</v>
      </c>
      <c r="N20" t="s">
        <v>3</v>
      </c>
      <c r="O20" t="s">
        <v>36</v>
      </c>
      <c r="P20">
        <f t="shared" si="1"/>
        <v>1.5667567526852042</v>
      </c>
      <c r="Q20">
        <f t="shared" si="2"/>
        <v>0.32121321671427772</v>
      </c>
      <c r="R20" s="67" cm="1">
        <f t="array" ref="R20">SUMPRODUCT((J20=$J$7:$J$1000)*(P20&lt;$P$7:$P$1000))+1</f>
        <v>7</v>
      </c>
      <c r="S20" s="72"/>
      <c r="T20">
        <v>13</v>
      </c>
      <c r="U20" t="str">
        <v>CHI</v>
      </c>
      <c r="V20" t="str">
        <v>Chicago Hounds</v>
      </c>
      <c r="W20" t="str">
        <v>NULL</v>
      </c>
      <c r="X20" t="str">
        <v>Away</v>
      </c>
      <c r="Y20" t="str">
        <v>NEFJ</v>
      </c>
      <c r="Z20">
        <v>2.3402245436579712</v>
      </c>
      <c r="AA20" s="1"/>
      <c r="AB20" s="1" cm="1">
        <f t="array" ref="AB20">COUNT(_xlfn._xlws.FILTER($J$7:$J$10000,($L$7:$L$10000=AA20)*($M$7:$M$10000&lt;&gt;"NULL")*($J$7:$J$10000 &gt;= ($G$1-5))))/5</f>
        <v>0</v>
      </c>
    </row>
    <row r="21" spans="1:28" x14ac:dyDescent="0.35">
      <c r="A21">
        <f>VLOOKUP($B21, PlayerIDs!$A$1:$B$516, 2, FALSE)</f>
        <v>63</v>
      </c>
      <c r="B21" s="1" t="s">
        <v>232</v>
      </c>
      <c r="C21" s="1">
        <v>2.6441346713526421</v>
      </c>
      <c r="D21" s="1">
        <f t="shared" si="3"/>
        <v>2</v>
      </c>
      <c r="E21" s="1" cm="1">
        <f t="array" ref="E21">IFERROR(VLOOKUP($B21,_xlfn._xlws.FILTER($L$7:$P$10000,$J$7:$J$10000=G$1+1),5, FALSE), 0)</f>
        <v>2.8616100365546981</v>
      </c>
      <c r="F21" s="1">
        <f t="shared" si="4"/>
        <v>4</v>
      </c>
      <c r="G21" s="1">
        <f t="shared" ca="1" si="5"/>
        <v>16.974413502152334</v>
      </c>
      <c r="H21" s="1">
        <f t="shared" ca="1" si="6"/>
        <v>2</v>
      </c>
      <c r="I21" s="1" cm="1">
        <f t="array" ref="I21">COUNT(_xlfn._xlws.FILTER($J$7:$J$10000,($L$7:$L$10000=B21)*($M$7:$M$10000&lt;&gt;"NULL")*($J$7:$J$10000 &gt;= ($G$1-4))))/5</f>
        <v>1.2</v>
      </c>
      <c r="J21" s="65">
        <v>2</v>
      </c>
      <c r="K21" t="s">
        <v>4</v>
      </c>
      <c r="L21" t="s">
        <v>237</v>
      </c>
      <c r="M21">
        <v>1</v>
      </c>
      <c r="N21" t="s">
        <v>9</v>
      </c>
      <c r="O21" t="s">
        <v>24</v>
      </c>
      <c r="P21">
        <f t="shared" si="1"/>
        <v>2.0925578846657764</v>
      </c>
      <c r="Q21">
        <f t="shared" si="2"/>
        <v>1.193682731345356</v>
      </c>
      <c r="R21" s="67" cm="1">
        <f t="array" ref="R21">SUMPRODUCT((J21=$J$7:$J$1000)*(P21&lt;$P$7:$P$1000))+1</f>
        <v>5</v>
      </c>
      <c r="S21" s="72"/>
      <c r="T21">
        <v>13</v>
      </c>
      <c r="U21" t="str">
        <v>HOU</v>
      </c>
      <c r="V21" t="str">
        <v>Houston SaberCats</v>
      </c>
      <c r="W21" t="str">
        <v>NULL</v>
      </c>
      <c r="X21" t="str">
        <v>Away</v>
      </c>
      <c r="Y21" t="str">
        <v>SDL</v>
      </c>
      <c r="Z21">
        <v>1.4303964615805991</v>
      </c>
      <c r="AA21" s="1"/>
      <c r="AB21" s="1" cm="1">
        <f t="array" ref="AB21">COUNT(_xlfn._xlws.FILTER($J$7:$J$10000,($L$7:$L$10000=AA21)*($M$7:$M$10000&lt;&gt;"NULL")*($J$7:$J$10000 &gt;= ($G$1-5))))/5</f>
        <v>0</v>
      </c>
    </row>
    <row r="22" spans="1:28" x14ac:dyDescent="0.35">
      <c r="A22">
        <f>VLOOKUP($B22, PlayerIDs!$A$1:$B$516, 2, FALSE)</f>
        <v>391</v>
      </c>
      <c r="B22" s="1" t="s">
        <v>239</v>
      </c>
      <c r="C22" s="1">
        <v>2.3794184529288986</v>
      </c>
      <c r="D22" s="1">
        <f t="shared" si="3"/>
        <v>3</v>
      </c>
      <c r="E22" s="1" cm="1">
        <f t="array" ref="E22">IFERROR(VLOOKUP($B22,_xlfn._xlws.FILTER($L$7:$P$10000,$J$7:$J$10000=G$1+1),5, FALSE), 0)</f>
        <v>3.0611677385093548</v>
      </c>
      <c r="F22" s="1">
        <f t="shared" si="4"/>
        <v>3</v>
      </c>
      <c r="G22" s="1">
        <f t="shared" ca="1" si="5"/>
        <v>11.128883318824936</v>
      </c>
      <c r="H22" s="1">
        <f t="shared" ca="1" si="6"/>
        <v>3</v>
      </c>
      <c r="I22" s="1" cm="1">
        <f t="array" ref="I22">COUNT(_xlfn._xlws.FILTER($J$7:$J$10000,($L$7:$L$10000=B22)*($M$7:$M$10000&lt;&gt;"NULL")*($J$7:$J$10000 &gt;= ($G$1-4))))/5</f>
        <v>1.4</v>
      </c>
      <c r="J22" s="65">
        <v>2</v>
      </c>
      <c r="K22" t="s">
        <v>34</v>
      </c>
      <c r="L22" t="s">
        <v>239</v>
      </c>
      <c r="M22">
        <v>1</v>
      </c>
      <c r="N22" t="s">
        <v>9</v>
      </c>
      <c r="O22" t="s">
        <v>14</v>
      </c>
      <c r="P22">
        <f t="shared" si="1"/>
        <v>2.6900254873317939</v>
      </c>
      <c r="Q22">
        <f t="shared" si="2"/>
        <v>2.8561861478310675</v>
      </c>
      <c r="R22" s="67" cm="1">
        <f t="array" ref="R22">SUMPRODUCT((J22=$J$7:$J$1000)*(P22&lt;$P$7:$P$1000))+1</f>
        <v>3</v>
      </c>
      <c r="S22" s="72"/>
      <c r="T22">
        <v>13</v>
      </c>
      <c r="U22" t="str">
        <v>LA</v>
      </c>
      <c r="V22" t="str">
        <v>RFC Los Angeles</v>
      </c>
      <c r="W22" t="str">
        <v>NULL</v>
      </c>
      <c r="X22" t="str">
        <v>Home</v>
      </c>
      <c r="Y22" t="str">
        <v>ARC</v>
      </c>
      <c r="Z22">
        <v>2.6019027240128199</v>
      </c>
      <c r="AA22" s="1"/>
      <c r="AB22" s="1" cm="1">
        <f t="array" ref="AB22">COUNT(_xlfn._xlws.FILTER($J$7:$J$10000,($L$7:$L$10000=AA22)*($M$7:$M$10000&lt;&gt;"NULL")*($J$7:$J$10000 &gt;= ($G$1-5))))/5</f>
        <v>0</v>
      </c>
    </row>
    <row r="23" spans="1:28" x14ac:dyDescent="0.35">
      <c r="A23">
        <f>VLOOKUP($B23, PlayerIDs!$A$1:$B$516, 2, FALSE)</f>
        <v>333</v>
      </c>
      <c r="B23" s="1" t="s">
        <v>237</v>
      </c>
      <c r="C23" s="1">
        <v>2.2877093809473661</v>
      </c>
      <c r="D23" s="1">
        <f t="shared" si="3"/>
        <v>4</v>
      </c>
      <c r="E23" s="1" cm="1">
        <f t="array" ref="E23">IFERROR(VLOOKUP($B23,_xlfn._xlws.FILTER($L$7:$P$10000,$J$7:$J$10000=G$1+1),5, FALSE), 0)</f>
        <v>1.7513845760833942</v>
      </c>
      <c r="F23" s="1">
        <f t="shared" si="4"/>
        <v>5</v>
      </c>
      <c r="G23" s="1">
        <f t="shared" ca="1" si="5"/>
        <v>7.6194374984186108</v>
      </c>
      <c r="H23" s="1">
        <f t="shared" ca="1" si="6"/>
        <v>8</v>
      </c>
      <c r="I23" s="1" cm="1">
        <f t="array" ref="I23">COUNT(_xlfn._xlws.FILTER($J$7:$J$10000,($L$7:$L$10000=B23)*($M$7:$M$10000&lt;&gt;"NULL")*($J$7:$J$10000 &gt;= ($G$1-4))))/5</f>
        <v>1.2</v>
      </c>
      <c r="J23" s="65">
        <v>2</v>
      </c>
      <c r="K23" t="s">
        <v>14</v>
      </c>
      <c r="L23" t="s">
        <v>231</v>
      </c>
      <c r="M23">
        <v>0</v>
      </c>
      <c r="N23" t="s">
        <v>3</v>
      </c>
      <c r="O23" t="s">
        <v>34</v>
      </c>
      <c r="P23">
        <f t="shared" si="1"/>
        <v>1.1704133224606008</v>
      </c>
      <c r="Q23">
        <f t="shared" si="2"/>
        <v>1.3698673453932624</v>
      </c>
      <c r="R23" s="67" cm="1">
        <f t="array" ref="R23">SUMPRODUCT((J23=$J$7:$J$1000)*(P23&lt;$P$7:$P$1000))+1</f>
        <v>8</v>
      </c>
      <c r="S23" s="72"/>
      <c r="T23">
        <v>13</v>
      </c>
      <c r="U23" t="str">
        <v>MIA</v>
      </c>
      <c r="V23" t="str">
        <v>Miami Sharks</v>
      </c>
      <c r="W23" t="str">
        <v>NULL</v>
      </c>
      <c r="X23" t="str">
        <v>Away</v>
      </c>
      <c r="Y23" t="str">
        <v>NOLA</v>
      </c>
      <c r="Z23">
        <v>1.4406225703916213</v>
      </c>
      <c r="AA23" s="1"/>
      <c r="AB23" s="1" cm="1">
        <f t="array" ref="AB23">COUNT(_xlfn._xlws.FILTER($J$7:$J$10000,($L$7:$L$10000=AA23)*($M$7:$M$10000&lt;&gt;"NULL")*($J$7:$J$10000 &gt;= ($G$1-5))))/5</f>
        <v>0</v>
      </c>
    </row>
    <row r="24" spans="1:28" x14ac:dyDescent="0.35">
      <c r="A24">
        <f>VLOOKUP($B24, PlayerIDs!$A$1:$B$516, 2, FALSE)</f>
        <v>170</v>
      </c>
      <c r="B24" s="1" t="s">
        <v>234</v>
      </c>
      <c r="C24" s="1">
        <v>1.966721266444571</v>
      </c>
      <c r="D24" s="1">
        <f t="shared" si="3"/>
        <v>5</v>
      </c>
      <c r="E24" s="1" cm="1">
        <f t="array" ref="E24">IFERROR(VLOOKUP($B24,_xlfn._xlws.FILTER($L$7:$P$10000,$J$7:$J$10000=G$1+1),5, FALSE), 0)</f>
        <v>1.6628111387499001</v>
      </c>
      <c r="F24" s="1">
        <f t="shared" si="4"/>
        <v>6</v>
      </c>
      <c r="G24" s="1">
        <f t="shared" ca="1" si="5"/>
        <v>5.2902447325820674</v>
      </c>
      <c r="H24" s="1">
        <f t="shared" ca="1" si="6"/>
        <v>11</v>
      </c>
      <c r="I24" s="1" cm="1">
        <f t="array" ref="I24">COUNT(_xlfn._xlws.FILTER($J$7:$J$10000,($L$7:$L$10000=B24)*($M$7:$M$10000&lt;&gt;"NULL")*($J$7:$J$10000 &gt;= ($G$1-4))))/5</f>
        <v>1.2</v>
      </c>
      <c r="J24" s="65">
        <v>2</v>
      </c>
      <c r="K24" t="s">
        <v>24</v>
      </c>
      <c r="L24" t="s">
        <v>235</v>
      </c>
      <c r="M24">
        <v>0</v>
      </c>
      <c r="N24" t="s">
        <v>3</v>
      </c>
      <c r="O24" t="s">
        <v>4</v>
      </c>
      <c r="P24">
        <f t="shared" si="1"/>
        <v>1.853249431875267</v>
      </c>
      <c r="Q24">
        <f t="shared" si="2"/>
        <v>3.4345334567460002</v>
      </c>
      <c r="R24" s="67" cm="1">
        <f t="array" ref="R24">SUMPRODUCT((J24=$J$7:$J$1000)*(P24&lt;$P$7:$P$1000))+1</f>
        <v>6</v>
      </c>
      <c r="S24" s="72"/>
      <c r="T24">
        <v>13</v>
      </c>
      <c r="U24" t="str">
        <v>NEFJ</v>
      </c>
      <c r="V24" t="str">
        <v>New England Free Jacks</v>
      </c>
      <c r="W24" t="str">
        <v>NULL</v>
      </c>
      <c r="X24" t="str">
        <v>Home</v>
      </c>
      <c r="Y24" t="str">
        <v>CHI</v>
      </c>
      <c r="Z24">
        <v>1.1559661455975589</v>
      </c>
      <c r="AA24" s="1"/>
      <c r="AB24" s="1" cm="1">
        <f t="array" ref="AB24">COUNT(_xlfn._xlws.FILTER($J$7:$J$10000,($L$7:$L$10000=AA24)*($M$7:$M$10000&lt;&gt;"NULL")*($J$7:$J$10000 &gt;= ($G$1-5))))/5</f>
        <v>0</v>
      </c>
    </row>
    <row r="25" spans="1:28" x14ac:dyDescent="0.35">
      <c r="A25">
        <f>VLOOKUP($B25, PlayerIDs!$A$1:$B$516, 2, FALSE)</f>
        <v>694</v>
      </c>
      <c r="B25" s="1" t="s">
        <v>461</v>
      </c>
      <c r="C25" s="1">
        <v>1.8786688281262789</v>
      </c>
      <c r="D25" s="1">
        <f t="shared" si="3"/>
        <v>6</v>
      </c>
      <c r="E25" s="1" cm="1">
        <f t="array" ref="E25">IFERROR(VLOOKUP($B25,_xlfn._xlws.FILTER($L$7:$P$10000,$J$7:$J$10000=G$1+1),5, FALSE), 0)</f>
        <v>0.66665174435212049</v>
      </c>
      <c r="F25" s="1">
        <f t="shared" si="4"/>
        <v>9</v>
      </c>
      <c r="G25" s="1">
        <f t="shared" ca="1" si="5"/>
        <v>7.7466249330016428</v>
      </c>
      <c r="H25" s="1">
        <f t="shared" ca="1" si="6"/>
        <v>7</v>
      </c>
      <c r="I25" s="1" cm="1">
        <f t="array" ref="I25">COUNT(_xlfn._xlws.FILTER($J$7:$J$10000,($L$7:$L$10000=B25)*($M$7:$M$10000&lt;&gt;"NULL")*($J$7:$J$10000 &gt;= ($G$1-4))))/5</f>
        <v>1.2</v>
      </c>
      <c r="J25" s="65">
        <v>3</v>
      </c>
      <c r="K25" t="s">
        <v>13</v>
      </c>
      <c r="L25" t="s">
        <v>241</v>
      </c>
      <c r="M25">
        <v>5</v>
      </c>
      <c r="N25" t="s">
        <v>3</v>
      </c>
      <c r="O25" t="s">
        <v>4</v>
      </c>
      <c r="P25">
        <f t="shared" si="1"/>
        <v>4.1322290835499036</v>
      </c>
      <c r="Q25">
        <f t="shared" si="2"/>
        <v>0.7530263634366402</v>
      </c>
      <c r="R25" s="67" cm="1">
        <f t="array" ref="R25">SUMPRODUCT((J25=$J$7:$J$1000)*(P25&lt;$P$7:$P$1000))+1</f>
        <v>1</v>
      </c>
      <c r="S25" s="72"/>
      <c r="T25">
        <v>13</v>
      </c>
      <c r="U25" t="str">
        <v>NOLA</v>
      </c>
      <c r="V25" t="str">
        <v>NOLA Gold</v>
      </c>
      <c r="W25" t="str">
        <v>NULL</v>
      </c>
      <c r="X25" t="str">
        <v>Home</v>
      </c>
      <c r="Y25" t="str">
        <v>MIA</v>
      </c>
      <c r="Z25">
        <v>2.5051847461494221</v>
      </c>
      <c r="AA25" s="1"/>
      <c r="AB25" s="1" cm="1">
        <f t="array" ref="AB25">COUNT(_xlfn._xlws.FILTER($J$7:$J$10000,($L$7:$L$10000=AA25)*($M$7:$M$10000&lt;&gt;"NULL")*($J$7:$J$10000 &gt;= ($G$1-5))))/5</f>
        <v>0</v>
      </c>
    </row>
    <row r="26" spans="1:28" x14ac:dyDescent="0.35">
      <c r="A26">
        <f>VLOOKUP($B26, PlayerIDs!$A$1:$B$516, 2, FALSE)</f>
        <v>336</v>
      </c>
      <c r="B26" s="1" t="s">
        <v>238</v>
      </c>
      <c r="C26" s="1">
        <v>1.8455971187351203</v>
      </c>
      <c r="D26" s="1">
        <f t="shared" si="3"/>
        <v>7</v>
      </c>
      <c r="E26" s="1" cm="1">
        <f t="array" ref="E26">IFERROR(VLOOKUP($B26,_xlfn._xlws.FILTER($L$7:$P$10000,$J$7:$J$10000=G$1+1),5, FALSE), 0)</f>
        <v>1.3212088018717048</v>
      </c>
      <c r="F26" s="1">
        <f t="shared" si="4"/>
        <v>7</v>
      </c>
      <c r="G26" s="1">
        <f t="shared" ca="1" si="5"/>
        <v>9.7125156526836776</v>
      </c>
      <c r="H26" s="1">
        <f t="shared" ca="1" si="6"/>
        <v>4</v>
      </c>
      <c r="I26" s="1" cm="1">
        <f t="array" ref="I26">COUNT(_xlfn._xlws.FILTER($J$7:$J$10000,($L$7:$L$10000=B26)*($M$7:$M$10000&lt;&gt;"NULL")*($J$7:$J$10000 &gt;= ($G$1-4))))/5</f>
        <v>1.2</v>
      </c>
      <c r="J26" s="65">
        <v>3</v>
      </c>
      <c r="K26" t="s">
        <v>14</v>
      </c>
      <c r="L26" t="s">
        <v>231</v>
      </c>
      <c r="M26">
        <v>4</v>
      </c>
      <c r="N26" t="s">
        <v>3</v>
      </c>
      <c r="O26" t="s">
        <v>24</v>
      </c>
      <c r="P26">
        <f t="shared" si="1"/>
        <v>1.5115866310429833</v>
      </c>
      <c r="Q26">
        <f t="shared" si="2"/>
        <v>6.1922010948040089</v>
      </c>
      <c r="R26" s="67" cm="1">
        <f t="array" ref="R26">SUMPRODUCT((J26=$J$7:$J$1000)*(P26&lt;$P$7:$P$1000))+1</f>
        <v>5</v>
      </c>
      <c r="S26" s="72"/>
      <c r="T26">
        <v>13</v>
      </c>
      <c r="U26" t="str">
        <v>SDL</v>
      </c>
      <c r="V26" t="str">
        <v>San Diego Legion</v>
      </c>
      <c r="W26" t="str">
        <v>NULL</v>
      </c>
      <c r="X26" t="str">
        <v>Home</v>
      </c>
      <c r="Y26" t="str">
        <v>HOU</v>
      </c>
      <c r="Z26">
        <v>2.067506377487824</v>
      </c>
      <c r="AA26" s="1"/>
      <c r="AB26" s="1" cm="1">
        <f t="array" ref="AB26">COUNT(_xlfn._xlws.FILTER($J$7:$J$10000,($L$7:$L$10000=AA26)*($M$7:$M$10000&lt;&gt;"NULL")*($J$7:$J$10000 &gt;= ($G$1-5))))/5</f>
        <v>0</v>
      </c>
    </row>
    <row r="27" spans="1:28" x14ac:dyDescent="0.35">
      <c r="A27">
        <f>VLOOKUP($B27, PlayerIDs!$A$1:$B$516, 2, FALSE)</f>
        <v>392</v>
      </c>
      <c r="B27" s="1" t="s">
        <v>240</v>
      </c>
      <c r="C27" s="1">
        <v>1.6449829415814088</v>
      </c>
      <c r="D27" s="1">
        <f t="shared" si="3"/>
        <v>8</v>
      </c>
      <c r="E27" s="1" cm="1">
        <f t="array" ref="E27">IFERROR(VLOOKUP($B27,_xlfn._xlws.FILTER($L$7:$P$10000,$J$7:$J$10000=G$1+1),5, FALSE), 0)</f>
        <v>4.4928015294797978</v>
      </c>
      <c r="F27" s="1">
        <f t="shared" si="4"/>
        <v>1</v>
      </c>
      <c r="G27" s="1">
        <f t="shared" ca="1" si="5"/>
        <v>9.3961979709422998</v>
      </c>
      <c r="H27" s="1">
        <f t="shared" ca="1" si="6"/>
        <v>5</v>
      </c>
      <c r="I27" s="1" cm="1">
        <f t="array" ref="I27">COUNT(_xlfn._xlws.FILTER($J$7:$J$10000,($L$7:$L$10000=B27)*($M$7:$M$10000&lt;&gt;"NULL")*($J$7:$J$10000 &gt;= ($G$1-4))))/5</f>
        <v>1.2</v>
      </c>
      <c r="J27" s="65">
        <v>3</v>
      </c>
      <c r="K27" t="s">
        <v>2</v>
      </c>
      <c r="L27" t="s">
        <v>232</v>
      </c>
      <c r="M27">
        <v>3</v>
      </c>
      <c r="N27" t="s">
        <v>3</v>
      </c>
      <c r="O27" t="s">
        <v>23</v>
      </c>
      <c r="P27">
        <f t="shared" si="1"/>
        <v>2.7528514051416169</v>
      </c>
      <c r="Q27">
        <f t="shared" si="2"/>
        <v>6.1082427940473208E-2</v>
      </c>
      <c r="R27" s="67" cm="1">
        <f t="array" ref="R27">SUMPRODUCT((J27=$J$7:$J$1000)*(P27&lt;$P$7:$P$1000))+1</f>
        <v>2</v>
      </c>
      <c r="S27" s="72"/>
      <c r="T27">
        <v>13</v>
      </c>
      <c r="U27" t="str">
        <v>SEA</v>
      </c>
      <c r="V27" t="str">
        <v>Seattle Seawolves</v>
      </c>
      <c r="W27" t="str">
        <v>NULL</v>
      </c>
      <c r="X27" t="str">
        <v>Away</v>
      </c>
      <c r="Y27" t="str">
        <v>UTAH</v>
      </c>
      <c r="Z27">
        <v>0.70796776323434774</v>
      </c>
      <c r="AA27" s="1"/>
      <c r="AB27" s="1" cm="1">
        <f t="array" ref="AB27">COUNT(_xlfn._xlws.FILTER($J$7:$J$10000,($L$7:$L$10000=AA27)*($M$7:$M$10000&lt;&gt;"NULL")*($J$7:$J$10000 &gt;= ($G$1-5))))/5</f>
        <v>0</v>
      </c>
    </row>
    <row r="28" spans="1:28" x14ac:dyDescent="0.35">
      <c r="A28">
        <f>VLOOKUP($B28, PlayerIDs!$A$1:$B$516, 2, FALSE)</f>
        <v>324</v>
      </c>
      <c r="B28" s="1" t="s">
        <v>236</v>
      </c>
      <c r="C28" s="1">
        <v>1.4315015529594357</v>
      </c>
      <c r="D28" s="1">
        <f t="shared" si="3"/>
        <v>9</v>
      </c>
      <c r="E28" s="1" cm="1">
        <f t="array" ref="E28">IFERROR(VLOOKUP($B28,_xlfn._xlws.FILTER($L$7:$P$10000,$J$7:$J$10000=G$1+1),5, FALSE), 0)</f>
        <v>1.1195894775183608</v>
      </c>
      <c r="F28" s="1">
        <f t="shared" si="4"/>
        <v>8</v>
      </c>
      <c r="G28" s="1">
        <f t="shared" ca="1" si="5"/>
        <v>5.3008963088071024</v>
      </c>
      <c r="H28" s="1">
        <f t="shared" ca="1" si="6"/>
        <v>10</v>
      </c>
      <c r="I28" s="1" cm="1">
        <f t="array" ref="I28">COUNT(_xlfn._xlws.FILTER($J$7:$J$10000,($L$7:$L$10000=B28)*($M$7:$M$10000&lt;&gt;"NULL")*($J$7:$J$10000 &gt;= ($G$1-4))))/5</f>
        <v>1</v>
      </c>
      <c r="J28" s="65">
        <v>3</v>
      </c>
      <c r="K28" t="s">
        <v>24</v>
      </c>
      <c r="L28" t="s">
        <v>235</v>
      </c>
      <c r="M28">
        <v>3</v>
      </c>
      <c r="N28" t="s">
        <v>9</v>
      </c>
      <c r="O28" t="s">
        <v>14</v>
      </c>
      <c r="P28">
        <f t="shared" si="1"/>
        <v>1.4821071806977062</v>
      </c>
      <c r="Q28">
        <f t="shared" si="2"/>
        <v>2.3039986108894661</v>
      </c>
      <c r="R28" s="67" cm="1">
        <f t="array" ref="R28">SUMPRODUCT((J28=$J$7:$J$1000)*(P28&lt;$P$7:$P$1000))+1</f>
        <v>6</v>
      </c>
      <c r="S28" s="72"/>
      <c r="T28">
        <v>13</v>
      </c>
      <c r="U28" t="str">
        <v>UTAH</v>
      </c>
      <c r="V28" t="str">
        <v>Utah Warriors</v>
      </c>
      <c r="W28" t="str">
        <v>NULL</v>
      </c>
      <c r="X28" t="str">
        <v>Home</v>
      </c>
      <c r="Y28" t="str">
        <v>SEA</v>
      </c>
      <c r="Z28">
        <v>2.6510895756789346</v>
      </c>
      <c r="AA28" s="1"/>
      <c r="AB28" s="1" cm="1">
        <f t="array" ref="AB28">COUNT(_xlfn._xlws.FILTER($J$7:$J$10000,($L$7:$L$10000=AA28)*($M$7:$M$10000&lt;&gt;"NULL")*($J$7:$J$10000 &gt;= ($G$1-5))))/5</f>
        <v>0</v>
      </c>
    </row>
    <row r="29" spans="1:28" x14ac:dyDescent="0.35">
      <c r="A29">
        <f>VLOOKUP($B29, PlayerIDs!$A$1:$B$516, 2, FALSE)</f>
        <v>693</v>
      </c>
      <c r="B29" s="1" t="s">
        <v>231</v>
      </c>
      <c r="C29" s="1">
        <v>1.2941112658409271</v>
      </c>
      <c r="D29" s="1">
        <f t="shared" si="3"/>
        <v>10</v>
      </c>
      <c r="E29" s="1" cm="1">
        <f t="array" ref="E29">IFERROR(VLOOKUP($B29,_xlfn._xlws.FILTER($L$7:$P$10000,$J$7:$J$10000=G$1+1),5, FALSE), 0)</f>
        <v>0</v>
      </c>
      <c r="F29" s="1">
        <f t="shared" si="4"/>
        <v>11</v>
      </c>
      <c r="G29" s="1">
        <f t="shared" ca="1" si="5"/>
        <v>6.1244639494544897</v>
      </c>
      <c r="H29" s="1">
        <f t="shared" ca="1" si="6"/>
        <v>9</v>
      </c>
      <c r="I29" s="1" cm="1">
        <f t="array" ref="I29">COUNT(_xlfn._xlws.FILTER($J$7:$J$10000,($L$7:$L$10000=B29)*($M$7:$M$10000&lt;&gt;"NULL")*($J$7:$J$10000 &gt;= ($G$1-4))))/5</f>
        <v>1</v>
      </c>
      <c r="J29" s="65">
        <v>3</v>
      </c>
      <c r="K29" t="s">
        <v>17</v>
      </c>
      <c r="L29" t="s">
        <v>240</v>
      </c>
      <c r="M29">
        <v>3</v>
      </c>
      <c r="N29" t="s">
        <v>9</v>
      </c>
      <c r="O29" t="s">
        <v>36</v>
      </c>
      <c r="P29">
        <f t="shared" si="1"/>
        <v>0.9204440046566883</v>
      </c>
      <c r="Q29">
        <f t="shared" si="2"/>
        <v>4.3245531377683122</v>
      </c>
      <c r="R29" s="67" cm="1">
        <f t="array" ref="R29">SUMPRODUCT((J29=$J$7:$J$1000)*(P29&lt;$P$7:$P$1000))+1</f>
        <v>9</v>
      </c>
      <c r="S29" s="72"/>
      <c r="T29">
        <v>14</v>
      </c>
      <c r="U29" t="str">
        <v>ARC</v>
      </c>
      <c r="V29" t="str">
        <v>Anthem Rugby Carolina</v>
      </c>
      <c r="W29" t="str">
        <v>NULL</v>
      </c>
      <c r="X29" t="str">
        <v>Home</v>
      </c>
      <c r="Y29" t="str">
        <v>OGDC</v>
      </c>
      <c r="Z29">
        <v>1.0194890112259043</v>
      </c>
      <c r="AA29" s="1"/>
      <c r="AB29" s="1" cm="1">
        <f t="array" ref="AB29">COUNT(_xlfn._xlws.FILTER($J$7:$J$10000,($L$7:$L$10000=AA29)*($M$7:$M$10000&lt;&gt;"NULL")*($J$7:$J$10000 &gt;= ($G$1-5))))/5</f>
        <v>0</v>
      </c>
    </row>
    <row r="30" spans="1:28" x14ac:dyDescent="0.35">
      <c r="A30">
        <f>VLOOKUP($B30, PlayerIDs!$A$1:$B$516, 2, FALSE)</f>
        <v>695</v>
      </c>
      <c r="B30" s="1" t="s">
        <v>235</v>
      </c>
      <c r="C30" s="1">
        <v>1.1715001462948107</v>
      </c>
      <c r="D30" s="1">
        <f t="shared" si="3"/>
        <v>11</v>
      </c>
      <c r="E30" s="1" cm="1">
        <f t="array" ref="E30">IFERROR(VLOOKUP($B30,_xlfn._xlws.FILTER($L$7:$P$10000,$J$7:$J$10000=G$1+1),5, FALSE), 0)</f>
        <v>0.4833378774492883</v>
      </c>
      <c r="F30" s="1">
        <f t="shared" si="4"/>
        <v>10</v>
      </c>
      <c r="G30" s="1">
        <f t="shared" ca="1" si="5"/>
        <v>7.8586714035487333</v>
      </c>
      <c r="H30" s="1">
        <f t="shared" ca="1" si="6"/>
        <v>6</v>
      </c>
      <c r="I30" s="1" cm="1">
        <f t="array" ref="I30">COUNT(_xlfn._xlws.FILTER($J$7:$J$10000,($L$7:$L$10000=B30)*($M$7:$M$10000&lt;&gt;"NULL")*($J$7:$J$10000 &gt;= ($G$1-4))))/5</f>
        <v>1</v>
      </c>
      <c r="J30" s="65">
        <v>3</v>
      </c>
      <c r="K30" t="s">
        <v>36</v>
      </c>
      <c r="L30" t="s">
        <v>234</v>
      </c>
      <c r="M30">
        <v>2</v>
      </c>
      <c r="N30" t="s">
        <v>3</v>
      </c>
      <c r="O30" t="s">
        <v>17</v>
      </c>
      <c r="P30">
        <f t="shared" si="1"/>
        <v>1.1673310441540583</v>
      </c>
      <c r="Q30">
        <f t="shared" si="2"/>
        <v>0.69333759002957085</v>
      </c>
      <c r="R30" s="67" cm="1">
        <f t="array" ref="R30">SUMPRODUCT((J30=$J$7:$J$1000)*(P30&lt;$P$7:$P$1000))+1</f>
        <v>8</v>
      </c>
      <c r="S30" s="72"/>
      <c r="T30">
        <v>14</v>
      </c>
      <c r="U30" t="str">
        <v>CHI</v>
      </c>
      <c r="V30" t="str">
        <v>Chicago Hounds</v>
      </c>
      <c r="W30" t="str">
        <v>NULL</v>
      </c>
      <c r="X30" t="str">
        <v>Home</v>
      </c>
      <c r="Y30" t="str">
        <v>LA</v>
      </c>
      <c r="Z30">
        <v>5.4919532592510309</v>
      </c>
      <c r="AA30" s="1"/>
      <c r="AB30" s="1" cm="1">
        <f t="array" ref="AB30">COUNT(_xlfn._xlws.FILTER($J$7:$J$10000,($L$7:$L$10000=AA30)*($M$7:$M$10000&lt;&gt;"NULL")*($J$7:$J$10000 &gt;= ($G$1-5))))/5</f>
        <v>0</v>
      </c>
    </row>
    <row r="31" spans="1:28" x14ac:dyDescent="0.35">
      <c r="J31" s="65">
        <v>3</v>
      </c>
      <c r="K31" t="s">
        <v>34</v>
      </c>
      <c r="L31" t="s">
        <v>239</v>
      </c>
      <c r="M31">
        <v>1</v>
      </c>
      <c r="N31" t="s">
        <v>9</v>
      </c>
      <c r="O31" t="s">
        <v>7</v>
      </c>
      <c r="P31">
        <f t="shared" si="1"/>
        <v>1.6921693368302302</v>
      </c>
      <c r="Q31">
        <f t="shared" si="2"/>
        <v>0.47909839084800065</v>
      </c>
      <c r="R31" s="67" cm="1">
        <f t="array" ref="R31">SUMPRODUCT((J31=$J$7:$J$1000)*(P31&lt;$P$7:$P$1000))+1</f>
        <v>4</v>
      </c>
      <c r="S31" s="72"/>
      <c r="T31">
        <v>14</v>
      </c>
      <c r="U31" t="str">
        <v>HOU</v>
      </c>
      <c r="V31" t="str">
        <v>Houston SaberCats</v>
      </c>
      <c r="W31" t="str">
        <v>NULL</v>
      </c>
      <c r="X31" t="str">
        <v>Home</v>
      </c>
      <c r="Y31" t="str">
        <v>UTAH</v>
      </c>
      <c r="Z31">
        <v>1.4423329495811557</v>
      </c>
      <c r="AA31" s="1"/>
      <c r="AB31" s="1" cm="1">
        <f t="array" ref="AB31">COUNT(_xlfn._xlws.FILTER($J$7:$J$10000,($L$7:$L$10000=AA31)*($M$7:$M$10000&lt;&gt;"NULL")*($J$7:$J$10000 &gt;= ($G$1-5))))/5</f>
        <v>0</v>
      </c>
    </row>
    <row r="32" spans="1:28" x14ac:dyDescent="0.35">
      <c r="J32" s="65">
        <v>3</v>
      </c>
      <c r="K32" t="s">
        <v>23</v>
      </c>
      <c r="L32" t="s">
        <v>236</v>
      </c>
      <c r="M32">
        <v>0</v>
      </c>
      <c r="N32" t="s">
        <v>9</v>
      </c>
      <c r="O32" t="s">
        <v>2</v>
      </c>
      <c r="P32">
        <f t="shared" si="1"/>
        <v>0.74333928411391326</v>
      </c>
      <c r="Q32">
        <f t="shared" si="2"/>
        <v>0.55255329130698505</v>
      </c>
      <c r="R32" s="67" cm="1">
        <f t="array" ref="R32">SUMPRODUCT((J32=$J$7:$J$1000)*(P32&lt;$P$7:$P$1000))+1</f>
        <v>10</v>
      </c>
      <c r="S32" s="72"/>
      <c r="T32">
        <v>14</v>
      </c>
      <c r="U32" t="str">
        <v>LA</v>
      </c>
      <c r="V32" t="str">
        <v>RFC Los Angeles</v>
      </c>
      <c r="W32" t="str">
        <v>NULL</v>
      </c>
      <c r="X32" t="str">
        <v>Away</v>
      </c>
      <c r="Y32" t="str">
        <v>CHI</v>
      </c>
      <c r="Z32">
        <v>1.1905065592807564</v>
      </c>
      <c r="AA32" s="1"/>
      <c r="AB32" s="1" cm="1">
        <f t="array" ref="AB32">COUNT(_xlfn._xlws.FILTER($J$7:$J$10000,($L$7:$L$10000=AA32)*($M$7:$M$10000&lt;&gt;"NULL")*($J$7:$J$10000 &gt;= ($G$1-5))))/5</f>
        <v>0</v>
      </c>
    </row>
    <row r="33" spans="10:28" x14ac:dyDescent="0.35">
      <c r="J33" s="65">
        <v>3</v>
      </c>
      <c r="K33" t="s">
        <v>4</v>
      </c>
      <c r="L33" t="s">
        <v>237</v>
      </c>
      <c r="M33">
        <v>0</v>
      </c>
      <c r="N33" t="s">
        <v>9</v>
      </c>
      <c r="O33" t="s">
        <v>13</v>
      </c>
      <c r="P33">
        <f t="shared" si="1"/>
        <v>1.350694202600305</v>
      </c>
      <c r="Q33">
        <f t="shared" si="2"/>
        <v>1.8243748289380739</v>
      </c>
      <c r="R33" s="67" cm="1">
        <f t="array" ref="R33">SUMPRODUCT((J33=$J$7:$J$1000)*(P33&lt;$P$7:$P$1000))+1</f>
        <v>7</v>
      </c>
      <c r="S33" s="72"/>
      <c r="T33">
        <v>14</v>
      </c>
      <c r="U33" t="str">
        <v>MIA</v>
      </c>
      <c r="V33" t="str">
        <v>Miami Sharks</v>
      </c>
      <c r="W33" t="str">
        <v>NULL</v>
      </c>
      <c r="X33" t="str">
        <v>Home</v>
      </c>
      <c r="Y33" t="str">
        <v>NEFJ</v>
      </c>
      <c r="Z33">
        <v>1.2802168800837854</v>
      </c>
      <c r="AA33" s="1"/>
      <c r="AB33" s="1" cm="1">
        <f t="array" ref="AB33">COUNT(_xlfn._xlws.FILTER($J$7:$J$10000,($L$7:$L$10000=AA33)*($M$7:$M$10000&lt;&gt;"NULL")*($J$7:$J$10000 &gt;= ($G$1-5))))/5</f>
        <v>0</v>
      </c>
    </row>
    <row r="34" spans="10:28" x14ac:dyDescent="0.35">
      <c r="J34" s="65">
        <v>3</v>
      </c>
      <c r="K34" t="s">
        <v>7</v>
      </c>
      <c r="L34" t="s">
        <v>238</v>
      </c>
      <c r="M34">
        <v>0</v>
      </c>
      <c r="N34" t="s">
        <v>3</v>
      </c>
      <c r="O34" t="s">
        <v>34</v>
      </c>
      <c r="P34">
        <f t="shared" si="1"/>
        <v>1.7218991753547939</v>
      </c>
      <c r="Q34">
        <f t="shared" si="2"/>
        <v>2.9649367700875193</v>
      </c>
      <c r="R34" s="67" cm="1">
        <f t="array" ref="R34">SUMPRODUCT((J34=$J$7:$J$1000)*(P34&lt;$P$7:$P$1000))+1</f>
        <v>3</v>
      </c>
      <c r="S34" s="72"/>
      <c r="T34">
        <v>14</v>
      </c>
      <c r="U34" t="str">
        <v>NEFJ</v>
      </c>
      <c r="V34" t="str">
        <v>New England Free Jacks</v>
      </c>
      <c r="W34" t="str">
        <v>NULL</v>
      </c>
      <c r="X34" t="str">
        <v>Away</v>
      </c>
      <c r="Y34" t="str">
        <v>MIA</v>
      </c>
      <c r="Z34">
        <v>1.2363500566778463</v>
      </c>
      <c r="AA34" s="1"/>
      <c r="AB34" s="1" cm="1">
        <f t="array" ref="AB34">COUNT(_xlfn._xlws.FILTER($J$7:$J$10000,($L$7:$L$10000=AA34)*($M$7:$M$10000&lt;&gt;"NULL")*($J$7:$J$10000 &gt;= ($G$1-5))))/5</f>
        <v>0</v>
      </c>
    </row>
    <row r="35" spans="10:28" x14ac:dyDescent="0.35">
      <c r="J35" s="65">
        <v>4</v>
      </c>
      <c r="K35" t="s">
        <v>34</v>
      </c>
      <c r="L35" t="s">
        <v>239</v>
      </c>
      <c r="M35">
        <v>9</v>
      </c>
      <c r="N35" t="s">
        <v>3</v>
      </c>
      <c r="O35" t="s">
        <v>6</v>
      </c>
      <c r="P35">
        <f t="shared" si="1"/>
        <v>5.227237040827287</v>
      </c>
      <c r="Q35">
        <f t="shared" si="2"/>
        <v>14.233740346105646</v>
      </c>
      <c r="R35" s="67" cm="1">
        <f t="array" ref="R35">SUMPRODUCT((J35=$J$7:$J$1000)*(P35&lt;$P$7:$P$1000))+1</f>
        <v>1</v>
      </c>
      <c r="S35" s="72"/>
      <c r="T35">
        <v>14</v>
      </c>
      <c r="U35" t="str">
        <v>OGDC</v>
      </c>
      <c r="V35" t="str">
        <v>Old Glory DC</v>
      </c>
      <c r="W35" t="str">
        <v>NULL</v>
      </c>
      <c r="X35" t="str">
        <v>Away</v>
      </c>
      <c r="Y35" t="str">
        <v>ARC</v>
      </c>
      <c r="Z35">
        <v>2.1562041531380158</v>
      </c>
      <c r="AA35" s="1"/>
      <c r="AB35" s="1" cm="1">
        <f t="array" ref="AB35">COUNT(_xlfn._xlws.FILTER($J$7:$J$10000,($L$7:$L$10000=AA35)*($M$7:$M$10000&lt;&gt;"NULL")*($J$7:$J$10000 &gt;= ($G$1-5))))/5</f>
        <v>0</v>
      </c>
    </row>
    <row r="36" spans="10:28" x14ac:dyDescent="0.35">
      <c r="J36" s="65">
        <v>4</v>
      </c>
      <c r="K36" t="s">
        <v>14</v>
      </c>
      <c r="L36" t="s">
        <v>231</v>
      </c>
      <c r="M36">
        <v>3</v>
      </c>
      <c r="N36" t="s">
        <v>9</v>
      </c>
      <c r="O36" t="s">
        <v>7</v>
      </c>
      <c r="P36">
        <f t="shared" si="1"/>
        <v>0.60686214974225861</v>
      </c>
      <c r="Q36">
        <f t="shared" si="2"/>
        <v>5.727108770336244</v>
      </c>
      <c r="R36" s="67" cm="1">
        <f t="array" ref="R36">SUMPRODUCT((J36=$J$7:$J$1000)*(P36&lt;$P$7:$P$1000))+1</f>
        <v>9</v>
      </c>
      <c r="S36" s="72"/>
      <c r="T36">
        <v>14</v>
      </c>
      <c r="U36" t="str">
        <v>SDL</v>
      </c>
      <c r="V36" t="str">
        <v>San Diego Legion</v>
      </c>
      <c r="W36" t="str">
        <v>NULL</v>
      </c>
      <c r="X36" t="str">
        <v>Away</v>
      </c>
      <c r="Y36" t="str">
        <v>SEA</v>
      </c>
      <c r="Z36">
        <v>1.1674013691547402</v>
      </c>
      <c r="AA36" s="1"/>
      <c r="AB36" s="1" cm="1">
        <f t="array" ref="AB36">COUNT(_xlfn._xlws.FILTER($J$7:$J$10000,($L$7:$L$10000=AA36)*($M$7:$M$10000&lt;&gt;"NULL")*($J$7:$J$10000 &gt;= ($G$1-5))))/5</f>
        <v>0</v>
      </c>
    </row>
    <row r="37" spans="10:28" x14ac:dyDescent="0.35">
      <c r="J37" s="65">
        <v>4</v>
      </c>
      <c r="K37" t="s">
        <v>6</v>
      </c>
      <c r="L37" t="s">
        <v>461</v>
      </c>
      <c r="M37">
        <v>3</v>
      </c>
      <c r="N37" t="s">
        <v>9</v>
      </c>
      <c r="O37" t="s">
        <v>34</v>
      </c>
      <c r="P37">
        <f t="shared" si="1"/>
        <v>1.342344023262307</v>
      </c>
      <c r="Q37">
        <f t="shared" si="2"/>
        <v>2.7478233372141951</v>
      </c>
      <c r="R37" s="67" cm="1">
        <f t="array" ref="R37">SUMPRODUCT((J37=$J$7:$J$1000)*(P37&lt;$P$7:$P$1000))+1</f>
        <v>6</v>
      </c>
      <c r="S37" s="72"/>
      <c r="T37">
        <v>14</v>
      </c>
      <c r="U37" t="str">
        <v>SEA</v>
      </c>
      <c r="V37" t="str">
        <v>Seattle Seawolves</v>
      </c>
      <c r="W37" t="str">
        <v>NULL</v>
      </c>
      <c r="X37" t="str">
        <v>Home</v>
      </c>
      <c r="Y37" t="str">
        <v>SDL</v>
      </c>
      <c r="Z37">
        <v>1.5212849982010828</v>
      </c>
      <c r="AA37" s="1"/>
      <c r="AB37" s="1" cm="1">
        <f t="array" ref="AB37">COUNT(_xlfn._xlws.FILTER($J$7:$J$10000,($L$7:$L$10000=AA37)*($M$7:$M$10000&lt;&gt;"NULL")*($J$7:$J$10000 &gt;= ($G$1-5))))/5</f>
        <v>0</v>
      </c>
    </row>
    <row r="38" spans="10:28" x14ac:dyDescent="0.35">
      <c r="J38" s="65">
        <v>4</v>
      </c>
      <c r="K38" t="s">
        <v>17</v>
      </c>
      <c r="L38" t="s">
        <v>240</v>
      </c>
      <c r="M38">
        <v>3</v>
      </c>
      <c r="N38" t="s">
        <v>3</v>
      </c>
      <c r="O38" t="s">
        <v>23</v>
      </c>
      <c r="P38">
        <f t="shared" si="1"/>
        <v>1.7536996753703835</v>
      </c>
      <c r="Q38">
        <f t="shared" si="2"/>
        <v>1.5532644991718874</v>
      </c>
      <c r="R38" s="67" cm="1">
        <f t="array" ref="R38">SUMPRODUCT((J38=$J$7:$J$1000)*(P38&lt;$P$7:$P$1000))+1</f>
        <v>5</v>
      </c>
      <c r="S38" s="72"/>
      <c r="T38">
        <v>14</v>
      </c>
      <c r="U38" t="str">
        <v>UTAH</v>
      </c>
      <c r="V38" t="str">
        <v>Utah Warriors</v>
      </c>
      <c r="W38" t="str">
        <v>NULL</v>
      </c>
      <c r="X38" t="str">
        <v>Away</v>
      </c>
      <c r="Y38" t="str">
        <v>HOU</v>
      </c>
      <c r="Z38">
        <v>2.7259408610447267</v>
      </c>
      <c r="AA38" s="1"/>
      <c r="AB38" s="1" cm="1">
        <f t="array" ref="AB38">COUNT(_xlfn._xlws.FILTER($J$7:$J$10000,($L$7:$L$10000=AA38)*($M$7:$M$10000&lt;&gt;"NULL")*($J$7:$J$10000 &gt;= ($G$1-5))))/5</f>
        <v>0</v>
      </c>
    </row>
    <row r="39" spans="10:28" x14ac:dyDescent="0.35">
      <c r="J39" s="65">
        <v>4</v>
      </c>
      <c r="K39" t="s">
        <v>24</v>
      </c>
      <c r="L39" t="s">
        <v>235</v>
      </c>
      <c r="M39">
        <v>2</v>
      </c>
      <c r="N39" t="s">
        <v>3</v>
      </c>
      <c r="O39" t="s">
        <v>2</v>
      </c>
      <c r="P39">
        <f t="shared" si="1"/>
        <v>0.89596473893293394</v>
      </c>
      <c r="Q39">
        <f t="shared" si="2"/>
        <v>1.2188938576794248</v>
      </c>
      <c r="R39" s="67" cm="1">
        <f t="array" ref="R39">SUMPRODUCT((J39=$J$7:$J$1000)*(P39&lt;$P$7:$P$1000))+1</f>
        <v>8</v>
      </c>
      <c r="S39" s="72"/>
      <c r="T39">
        <v>15</v>
      </c>
      <c r="U39" t="str">
        <v>ARC</v>
      </c>
      <c r="V39" t="str">
        <v>Anthem Rugby Carolina</v>
      </c>
      <c r="W39" t="str">
        <v>NULL</v>
      </c>
      <c r="X39" t="str">
        <v>Home</v>
      </c>
      <c r="Y39" t="str">
        <v>CHI</v>
      </c>
      <c r="Z39">
        <v>1.0185758584790503</v>
      </c>
      <c r="AA39" s="1"/>
      <c r="AB39" s="1" cm="1">
        <f t="array" ref="AB39">COUNT(_xlfn._xlws.FILTER($J$7:$J$10000,($L$7:$L$10000=AA39)*($M$7:$M$10000&lt;&gt;"NULL")*($J$7:$J$10000 &gt;= ($G$1-5))))/5</f>
        <v>0</v>
      </c>
    </row>
    <row r="40" spans="10:28" x14ac:dyDescent="0.35">
      <c r="J40" s="65">
        <v>4</v>
      </c>
      <c r="K40" t="s">
        <v>2</v>
      </c>
      <c r="L40" t="s">
        <v>232</v>
      </c>
      <c r="M40">
        <v>1</v>
      </c>
      <c r="N40" t="s">
        <v>9</v>
      </c>
      <c r="O40" t="s">
        <v>24</v>
      </c>
      <c r="P40">
        <f t="shared" si="1"/>
        <v>2.4489831750710525</v>
      </c>
      <c r="Q40">
        <f t="shared" si="2"/>
        <v>2.0995522416389885</v>
      </c>
      <c r="R40" s="67" cm="1">
        <f t="array" ref="R40">SUMPRODUCT((J40=$J$7:$J$1000)*(P40&lt;$P$7:$P$1000))+1</f>
        <v>4</v>
      </c>
      <c r="S40" s="72"/>
      <c r="T40">
        <v>15</v>
      </c>
      <c r="U40" t="str">
        <v>CHI</v>
      </c>
      <c r="V40" t="str">
        <v>Chicago Hounds</v>
      </c>
      <c r="W40" t="str">
        <v>NULL</v>
      </c>
      <c r="X40" t="str">
        <v>Away</v>
      </c>
      <c r="Y40" t="str">
        <v>ARC</v>
      </c>
      <c r="Z40">
        <v>2.9547417057555374</v>
      </c>
      <c r="AA40" s="1"/>
      <c r="AB40" s="1" cm="1">
        <f t="array" ref="AB40">COUNT(_xlfn._xlws.FILTER($J$7:$J$10000,($L$7:$L$10000=AA40)*($M$7:$M$10000&lt;&gt;"NULL")*($J$7:$J$10000 &gt;= ($G$1-5))))/5</f>
        <v>0</v>
      </c>
    </row>
    <row r="41" spans="10:28" x14ac:dyDescent="0.35">
      <c r="J41" s="65">
        <v>4</v>
      </c>
      <c r="K41" t="s">
        <v>36</v>
      </c>
      <c r="L41" t="s">
        <v>234</v>
      </c>
      <c r="M41">
        <v>1</v>
      </c>
      <c r="N41" t="s">
        <v>9</v>
      </c>
      <c r="O41" t="s">
        <v>13</v>
      </c>
      <c r="P41">
        <f t="shared" si="1"/>
        <v>1.02970608809751</v>
      </c>
      <c r="Q41">
        <f t="shared" si="2"/>
        <v>8.8245167005702313E-4</v>
      </c>
      <c r="R41" s="67" cm="1">
        <f t="array" ref="R41">SUMPRODUCT((J41=$J$7:$J$1000)*(P41&lt;$P$7:$P$1000))+1</f>
        <v>7</v>
      </c>
      <c r="S41" s="72"/>
      <c r="T41">
        <v>15</v>
      </c>
      <c r="U41" t="str">
        <v>HOU</v>
      </c>
      <c r="V41" t="str">
        <v>Houston SaberCats</v>
      </c>
      <c r="W41" t="str">
        <v>NULL</v>
      </c>
      <c r="X41" t="str">
        <v>Away</v>
      </c>
      <c r="Y41" t="str">
        <v>SEA</v>
      </c>
      <c r="Z41">
        <v>0.75470418267041262</v>
      </c>
      <c r="AA41" s="1"/>
      <c r="AB41" s="1" cm="1">
        <f t="array" ref="AB41">COUNT(_xlfn._xlws.FILTER($J$7:$J$10000,($L$7:$L$10000=AA41)*($M$7:$M$10000&lt;&gt;"NULL")*($J$7:$J$10000 &gt;= ($G$1-5))))/5</f>
        <v>0</v>
      </c>
    </row>
    <row r="42" spans="10:28" x14ac:dyDescent="0.35">
      <c r="J42" s="65">
        <v>4</v>
      </c>
      <c r="K42" t="s">
        <v>23</v>
      </c>
      <c r="L42" t="s">
        <v>236</v>
      </c>
      <c r="M42">
        <v>1</v>
      </c>
      <c r="N42" t="s">
        <v>9</v>
      </c>
      <c r="O42" t="s">
        <v>17</v>
      </c>
      <c r="P42">
        <f t="shared" si="1"/>
        <v>0.21948446918527731</v>
      </c>
      <c r="Q42">
        <f t="shared" si="2"/>
        <v>0.60920449384298836</v>
      </c>
      <c r="R42" s="67" cm="1">
        <f t="array" ref="R42">SUMPRODUCT((J42=$J$7:$J$1000)*(P42&lt;$P$7:$P$1000))+1</f>
        <v>10</v>
      </c>
      <c r="S42" s="72"/>
      <c r="T42">
        <v>15</v>
      </c>
      <c r="U42" t="str">
        <v>LA</v>
      </c>
      <c r="V42" t="str">
        <v>RFC Los Angeles</v>
      </c>
      <c r="W42" t="str">
        <v>NULL</v>
      </c>
      <c r="X42" t="str">
        <v>Home</v>
      </c>
      <c r="Y42" t="str">
        <v>MIA</v>
      </c>
      <c r="Z42">
        <v>2.0961441933283349</v>
      </c>
      <c r="AA42" s="1"/>
      <c r="AB42" s="1" cm="1">
        <f t="array" ref="AB42">COUNT(_xlfn._xlws.FILTER($J$7:$J$10000,($L$7:$L$10000=AA42)*($M$7:$M$10000&lt;&gt;"NULL")*($J$7:$J$10000 &gt;= ($G$1-5))))/5</f>
        <v>0</v>
      </c>
    </row>
    <row r="43" spans="10:28" x14ac:dyDescent="0.35">
      <c r="J43" s="65">
        <v>4</v>
      </c>
      <c r="K43" t="s">
        <v>7</v>
      </c>
      <c r="L43" t="s">
        <v>238</v>
      </c>
      <c r="M43">
        <v>1</v>
      </c>
      <c r="N43" t="s">
        <v>3</v>
      </c>
      <c r="O43" t="s">
        <v>14</v>
      </c>
      <c r="P43">
        <f t="shared" si="1"/>
        <v>2.5688310146216611</v>
      </c>
      <c r="Q43">
        <f t="shared" si="2"/>
        <v>2.4612307524388304</v>
      </c>
      <c r="R43" s="67" cm="1">
        <f t="array" ref="R43">SUMPRODUCT((J43=$J$7:$J$1000)*(P43&lt;$P$7:$P$1000))+1</f>
        <v>3</v>
      </c>
      <c r="S43" s="72"/>
      <c r="T43">
        <v>15</v>
      </c>
      <c r="U43" t="str">
        <v>MIA</v>
      </c>
      <c r="V43" t="str">
        <v>Miami Sharks</v>
      </c>
      <c r="W43" t="str">
        <v>NULL</v>
      </c>
      <c r="X43" t="str">
        <v>Away</v>
      </c>
      <c r="Y43" t="str">
        <v>LA</v>
      </c>
      <c r="Z43">
        <v>3.606691872709554</v>
      </c>
      <c r="AA43" s="1"/>
      <c r="AB43" s="1" cm="1">
        <f t="array" ref="AB43">COUNT(_xlfn._xlws.FILTER($J$7:$J$10000,($L$7:$L$10000=AA43)*($M$7:$M$10000&lt;&gt;"NULL")*($J$7:$J$10000 &gt;= ($G$1-5))))/5</f>
        <v>0</v>
      </c>
    </row>
    <row r="44" spans="10:28" x14ac:dyDescent="0.35">
      <c r="J44" s="65">
        <v>4</v>
      </c>
      <c r="K44" t="s">
        <v>13</v>
      </c>
      <c r="L44" t="s">
        <v>241</v>
      </c>
      <c r="M44">
        <v>0</v>
      </c>
      <c r="N44" t="s">
        <v>3</v>
      </c>
      <c r="O44" t="s">
        <v>36</v>
      </c>
      <c r="P44">
        <f t="shared" si="1"/>
        <v>3.1385677225283724</v>
      </c>
      <c r="Q44">
        <f t="shared" si="2"/>
        <v>9.8506073488969346</v>
      </c>
      <c r="R44" s="67" cm="1">
        <f t="array" ref="R44">SUMPRODUCT((J44=$J$7:$J$1000)*(P44&lt;$P$7:$P$1000))+1</f>
        <v>2</v>
      </c>
      <c r="S44" s="72"/>
      <c r="T44">
        <v>15</v>
      </c>
      <c r="U44" t="str">
        <v>NEFJ</v>
      </c>
      <c r="V44" t="str">
        <v>New England Free Jacks</v>
      </c>
      <c r="W44" t="str">
        <v>NULL</v>
      </c>
      <c r="X44" t="str">
        <v>Home</v>
      </c>
      <c r="Y44" t="str">
        <v>OGDC</v>
      </c>
      <c r="Z44">
        <v>1.1568792983444129</v>
      </c>
      <c r="AA44" s="1"/>
      <c r="AB44" s="1" cm="1">
        <f t="array" ref="AB44">COUNT(_xlfn._xlws.FILTER($J$7:$J$10000,($L$7:$L$10000=AA44)*($M$7:$M$10000&lt;&gt;"NULL")*($J$7:$J$10000 &gt;= ($G$1-5))))/5</f>
        <v>0</v>
      </c>
    </row>
    <row r="45" spans="10:28" x14ac:dyDescent="0.35">
      <c r="J45" s="65">
        <v>5</v>
      </c>
      <c r="K45" t="s">
        <v>4</v>
      </c>
      <c r="L45" t="s">
        <v>237</v>
      </c>
      <c r="M45">
        <v>5</v>
      </c>
      <c r="N45" t="s">
        <v>9</v>
      </c>
      <c r="O45" t="s">
        <v>23</v>
      </c>
      <c r="P45">
        <f t="shared" si="1"/>
        <v>1.9837992532526951</v>
      </c>
      <c r="Q45">
        <f t="shared" si="2"/>
        <v>9.0974669446789989</v>
      </c>
      <c r="R45" s="67" cm="1">
        <f t="array" ref="R45">SUMPRODUCT((J45=$J$7:$J$1000)*(P45&lt;$P$7:$P$1000))+1</f>
        <v>5</v>
      </c>
      <c r="S45" s="72"/>
      <c r="T45">
        <v>15</v>
      </c>
      <c r="U45" t="str">
        <v>NOLA</v>
      </c>
      <c r="V45" t="str">
        <v>NOLA Gold</v>
      </c>
      <c r="W45" t="str">
        <v>NULL</v>
      </c>
      <c r="X45" t="str">
        <v>Home</v>
      </c>
      <c r="Y45" t="str">
        <v>UTAH</v>
      </c>
      <c r="Z45">
        <v>1.7633210640839507</v>
      </c>
      <c r="AA45" s="1"/>
      <c r="AB45" s="1" cm="1">
        <f t="array" ref="AB45">COUNT(_xlfn._xlws.FILTER($J$7:$J$10000,($L$7:$L$10000=AA45)*($M$7:$M$10000&lt;&gt;"NULL")*($J$7:$J$10000 &gt;= ($G$1-5))))/5</f>
        <v>0</v>
      </c>
    </row>
    <row r="46" spans="10:28" x14ac:dyDescent="0.35">
      <c r="J46" s="65">
        <v>5</v>
      </c>
      <c r="K46" t="s">
        <v>23</v>
      </c>
      <c r="L46" t="s">
        <v>236</v>
      </c>
      <c r="M46">
        <v>3</v>
      </c>
      <c r="N46" t="s">
        <v>3</v>
      </c>
      <c r="O46" t="s">
        <v>4</v>
      </c>
      <c r="P46">
        <f t="shared" ref="P46:P62" si="7">VLOOKUP($N46,$F$3:$G$4,2,FALSE)+VLOOKUP($L46,$B$20:$C$30,2,FALSE)+VLOOKUP($O46,$A$6:$B$16,2,FALSE)</f>
        <v>2.113250838539892</v>
      </c>
      <c r="Q46">
        <f t="shared" ref="Q46:Q62" si="8">IFERROR(($M46-$P46)^2,"")</f>
        <v>0.78632407535020465</v>
      </c>
      <c r="R46" s="67" cm="1">
        <f t="array" ref="R46">SUMPRODUCT((J46=$J$7:$J$1000)*(P46&lt;$P$7:$P$1000))+1</f>
        <v>4</v>
      </c>
      <c r="S46" s="72"/>
      <c r="T46">
        <v>15</v>
      </c>
      <c r="U46" t="str">
        <v>OGDC</v>
      </c>
      <c r="V46" t="str">
        <v>Old Glory DC</v>
      </c>
      <c r="W46" t="str">
        <v>NULL</v>
      </c>
      <c r="X46" t="str">
        <v>Away</v>
      </c>
      <c r="Y46" t="str">
        <v>NEFJ</v>
      </c>
      <c r="Z46">
        <v>1.5416869910404494</v>
      </c>
      <c r="AA46" s="1"/>
      <c r="AB46" s="1" cm="1">
        <f t="array" ref="AB46">COUNT(_xlfn._xlws.FILTER($J$7:$J$10000,($L$7:$L$10000=AA46)*($M$7:$M$10000&lt;&gt;"NULL")*($J$7:$J$10000 &gt;= ($G$1-5))))/5</f>
        <v>0</v>
      </c>
    </row>
    <row r="47" spans="10:28" x14ac:dyDescent="0.35">
      <c r="J47" s="65">
        <v>5</v>
      </c>
      <c r="K47" t="s">
        <v>2</v>
      </c>
      <c r="L47" t="s">
        <v>232</v>
      </c>
      <c r="M47">
        <v>2</v>
      </c>
      <c r="N47" t="s">
        <v>3</v>
      </c>
      <c r="O47" t="s">
        <v>7</v>
      </c>
      <c r="P47">
        <f t="shared" si="7"/>
        <v>2.3695124167376194</v>
      </c>
      <c r="Q47">
        <f t="shared" si="8"/>
        <v>0.13653942612327608</v>
      </c>
      <c r="R47" s="67" cm="1">
        <f t="array" ref="R47">SUMPRODUCT((J47=$J$7:$J$1000)*(P47&lt;$P$7:$P$1000))+1</f>
        <v>3</v>
      </c>
      <c r="S47" s="72"/>
      <c r="T47">
        <v>15</v>
      </c>
      <c r="U47" t="str">
        <v>SEA</v>
      </c>
      <c r="V47" t="str">
        <v>Seattle Seawolves</v>
      </c>
      <c r="W47" t="str">
        <v>NULL</v>
      </c>
      <c r="X47" t="str">
        <v>Home</v>
      </c>
      <c r="Y47" t="str">
        <v>HOU</v>
      </c>
      <c r="Z47">
        <v>1.3330708661403339</v>
      </c>
      <c r="AA47" s="1"/>
      <c r="AB47" s="1" cm="1">
        <f t="array" ref="AB47">COUNT(_xlfn._xlws.FILTER($J$7:$J$10000,($L$7:$L$10000=AA47)*($M$7:$M$10000&lt;&gt;"NULL")*($J$7:$J$10000 &gt;= ($G$1-5))))/5</f>
        <v>0</v>
      </c>
    </row>
    <row r="48" spans="10:28" x14ac:dyDescent="0.35">
      <c r="J48" s="65">
        <v>5</v>
      </c>
      <c r="K48" t="s">
        <v>17</v>
      </c>
      <c r="L48" t="s">
        <v>240</v>
      </c>
      <c r="M48">
        <v>2</v>
      </c>
      <c r="N48" t="s">
        <v>9</v>
      </c>
      <c r="O48" t="s">
        <v>6</v>
      </c>
      <c r="P48">
        <f t="shared" si="7"/>
        <v>4.0801746679961521</v>
      </c>
      <c r="Q48">
        <f t="shared" si="8"/>
        <v>4.3271266493729019</v>
      </c>
      <c r="R48" s="67" cm="1">
        <f t="array" ref="R48">SUMPRODUCT((J48=$J$7:$J$1000)*(P48&lt;$P$7:$P$1000))+1</f>
        <v>1</v>
      </c>
      <c r="S48" s="72"/>
      <c r="T48">
        <v>15</v>
      </c>
      <c r="U48" t="str">
        <v>UTAH</v>
      </c>
      <c r="V48" t="str">
        <v>Utah Warriors</v>
      </c>
      <c r="W48" t="str">
        <v>NULL</v>
      </c>
      <c r="X48" t="str">
        <v>Away</v>
      </c>
      <c r="Y48" t="str">
        <v>NOLA</v>
      </c>
      <c r="Z48">
        <v>3.7196022220662575</v>
      </c>
      <c r="AA48" s="1"/>
      <c r="AB48" s="1" cm="1">
        <f t="array" ref="AB48">COUNT(_xlfn._xlws.FILTER($J$7:$J$10000,($L$7:$L$10000=AA48)*($M$7:$M$10000&lt;&gt;"NULL")*($J$7:$J$10000 &gt;= ($G$1-5))))/5</f>
        <v>0</v>
      </c>
    </row>
    <row r="49" spans="10:28" x14ac:dyDescent="0.35">
      <c r="J49" s="65">
        <v>5</v>
      </c>
      <c r="K49" t="s">
        <v>6</v>
      </c>
      <c r="L49" t="s">
        <v>461</v>
      </c>
      <c r="M49">
        <v>1</v>
      </c>
      <c r="N49" t="s">
        <v>3</v>
      </c>
      <c r="O49" t="s">
        <v>17</v>
      </c>
      <c r="P49">
        <f t="shared" si="7"/>
        <v>1.0792786058357662</v>
      </c>
      <c r="Q49">
        <f t="shared" si="8"/>
        <v>6.2850973432627792E-3</v>
      </c>
      <c r="R49" s="67" cm="1">
        <f t="array" ref="R49">SUMPRODUCT((J49=$J$7:$J$1000)*(P49&lt;$P$7:$P$1000))+1</f>
        <v>7</v>
      </c>
      <c r="S49" s="72"/>
      <c r="T49">
        <v>16</v>
      </c>
      <c r="U49" t="str">
        <v>ARC</v>
      </c>
      <c r="V49" t="str">
        <v>Anthem Rugby Carolina</v>
      </c>
      <c r="W49" t="str">
        <v>NULL</v>
      </c>
      <c r="X49" t="str">
        <v>Away</v>
      </c>
      <c r="Y49" t="str">
        <v>UTAH</v>
      </c>
      <c r="Z49">
        <v>0.35709608749386601</v>
      </c>
      <c r="AA49" s="1"/>
      <c r="AB49" s="1" cm="1">
        <f t="array" ref="AB49">COUNT(_xlfn._xlws.FILTER($J$7:$J$10000,($L$7:$L$10000=AA49)*($M$7:$M$10000&lt;&gt;"NULL")*($J$7:$J$10000 &gt;= ($G$1-5))))/5</f>
        <v>0</v>
      </c>
    </row>
    <row r="50" spans="10:28" x14ac:dyDescent="0.35">
      <c r="J50" s="65">
        <v>5</v>
      </c>
      <c r="K50" t="s">
        <v>7</v>
      </c>
      <c r="L50" t="s">
        <v>238</v>
      </c>
      <c r="M50">
        <v>1</v>
      </c>
      <c r="N50" t="s">
        <v>9</v>
      </c>
      <c r="O50" t="s">
        <v>2</v>
      </c>
      <c r="P50">
        <f t="shared" si="7"/>
        <v>1.1574348498895979</v>
      </c>
      <c r="Q50">
        <f t="shared" si="8"/>
        <v>2.4785731959760218E-2</v>
      </c>
      <c r="R50" s="67" cm="1">
        <f t="array" ref="R50">SUMPRODUCT((J50=$J$7:$J$1000)*(P50&lt;$P$7:$P$1000))+1</f>
        <v>6</v>
      </c>
      <c r="S50" s="72"/>
      <c r="T50">
        <v>16</v>
      </c>
      <c r="U50" t="str">
        <v>CHI</v>
      </c>
      <c r="V50" t="str">
        <v>Chicago Hounds</v>
      </c>
      <c r="W50" t="str">
        <v>NULL</v>
      </c>
      <c r="X50" t="str">
        <v>Home</v>
      </c>
      <c r="Y50" t="str">
        <v>NOLA</v>
      </c>
      <c r="Z50">
        <v>3.3258839569330982</v>
      </c>
      <c r="AA50" s="1"/>
      <c r="AB50" s="1" cm="1">
        <f t="array" ref="AB50">COUNT(_xlfn._xlws.FILTER($J$7:$J$10000,($L$7:$L$10000=AA50)*($M$7:$M$10000&lt;&gt;"NULL")*($J$7:$J$10000 &gt;= ($G$1-5))))/5</f>
        <v>0</v>
      </c>
    </row>
    <row r="51" spans="10:28" x14ac:dyDescent="0.35">
      <c r="J51" s="65">
        <v>5</v>
      </c>
      <c r="K51" t="s">
        <v>13</v>
      </c>
      <c r="L51" t="s">
        <v>241</v>
      </c>
      <c r="M51">
        <v>1</v>
      </c>
      <c r="N51" t="s">
        <v>9</v>
      </c>
      <c r="O51" t="s">
        <v>24</v>
      </c>
      <c r="P51">
        <f t="shared" si="7"/>
        <v>3.2553283016878574</v>
      </c>
      <c r="Q51">
        <f t="shared" si="8"/>
        <v>5.0865057483942353</v>
      </c>
      <c r="R51" s="67" cm="1">
        <f t="array" ref="R51">SUMPRODUCT((J51=$J$7:$J$1000)*(P51&lt;$P$7:$P$1000))+1</f>
        <v>2</v>
      </c>
      <c r="S51" s="72"/>
      <c r="T51">
        <v>16</v>
      </c>
      <c r="U51" t="str">
        <v>LA</v>
      </c>
      <c r="V51" t="str">
        <v>RFC Los Angeles</v>
      </c>
      <c r="W51" t="str">
        <v>NULL</v>
      </c>
      <c r="X51" t="str">
        <v>Away</v>
      </c>
      <c r="Y51" t="str">
        <v>OGDC</v>
      </c>
      <c r="Z51">
        <v>1.1914197120276104</v>
      </c>
      <c r="AA51" s="1"/>
      <c r="AB51" s="1" cm="1">
        <f t="array" ref="AB51">COUNT(_xlfn._xlws.FILTER($J$7:$J$10000,($L$7:$L$10000=AA51)*($M$7:$M$10000&lt;&gt;"NULL")*($J$7:$J$10000 &gt;= ($G$1-5))))/5</f>
        <v>0</v>
      </c>
    </row>
    <row r="52" spans="10:28" x14ac:dyDescent="0.35">
      <c r="J52" s="65">
        <v>5</v>
      </c>
      <c r="K52" t="s">
        <v>24</v>
      </c>
      <c r="L52" t="s">
        <v>235</v>
      </c>
      <c r="M52">
        <v>0</v>
      </c>
      <c r="N52" t="s">
        <v>3</v>
      </c>
      <c r="O52" t="s">
        <v>13</v>
      </c>
      <c r="P52">
        <f t="shared" si="7"/>
        <v>0.64711182943139534</v>
      </c>
      <c r="Q52">
        <f t="shared" si="8"/>
        <v>0.41875371979004727</v>
      </c>
      <c r="R52" s="67" cm="1">
        <f t="array" ref="R52">SUMPRODUCT((J52=$J$7:$J$1000)*(P52&lt;$P$7:$P$1000))+1</f>
        <v>8</v>
      </c>
      <c r="S52" s="72"/>
      <c r="T52">
        <v>16</v>
      </c>
      <c r="U52" t="str">
        <v>MIA</v>
      </c>
      <c r="V52" t="str">
        <v>Miami Sharks</v>
      </c>
      <c r="W52" t="str">
        <v>NULL</v>
      </c>
      <c r="X52" t="str">
        <v>Home</v>
      </c>
      <c r="Y52" t="str">
        <v>SDL</v>
      </c>
      <c r="Z52">
        <v>1.0478022029144847</v>
      </c>
      <c r="AA52" s="1"/>
      <c r="AB52" s="1" cm="1">
        <f t="array" ref="AB52">COUNT(_xlfn._xlws.FILTER($J$7:$J$10000,($L$7:$L$10000=AA52)*($M$7:$M$10000&lt;&gt;"NULL")*($J$7:$J$10000 &gt;= ($G$1-5))))/5</f>
        <v>0</v>
      </c>
    </row>
    <row r="53" spans="10:28" x14ac:dyDescent="0.35">
      <c r="J53" s="65">
        <v>6</v>
      </c>
      <c r="K53" t="s">
        <v>4</v>
      </c>
      <c r="L53" t="s">
        <v>237</v>
      </c>
      <c r="M53">
        <v>6</v>
      </c>
      <c r="N53" t="s">
        <v>3</v>
      </c>
      <c r="O53" t="s">
        <v>6</v>
      </c>
      <c r="P53">
        <f t="shared" si="7"/>
        <v>5.1355279688457554</v>
      </c>
      <c r="Q53">
        <f t="shared" si="8"/>
        <v>0.74731189264794529</v>
      </c>
      <c r="R53" s="67" cm="1">
        <f t="array" ref="R53">SUMPRODUCT((J53=$J$7:$J$1000)*(P53&lt;$P$7:$P$1000))+1</f>
        <v>1</v>
      </c>
      <c r="S53" s="72"/>
      <c r="T53">
        <v>16</v>
      </c>
      <c r="U53" t="str">
        <v>NEFJ</v>
      </c>
      <c r="V53" t="str">
        <v>New England Free Jacks</v>
      </c>
      <c r="W53" t="str">
        <v>NULL</v>
      </c>
      <c r="X53" t="str">
        <v>Home</v>
      </c>
      <c r="Y53" t="str">
        <v>SEA</v>
      </c>
      <c r="Z53">
        <v>0.632111330668923</v>
      </c>
      <c r="AA53" s="1"/>
      <c r="AB53" s="1" cm="1">
        <f t="array" ref="AB53">COUNT(_xlfn._xlws.FILTER($J$7:$J$10000,($L$7:$L$10000=AA53)*($M$7:$M$10000&lt;&gt;"NULL")*($J$7:$J$10000 &gt;= ($G$1-5))))/5</f>
        <v>0</v>
      </c>
    </row>
    <row r="54" spans="10:28" x14ac:dyDescent="0.35">
      <c r="J54" s="65">
        <v>6</v>
      </c>
      <c r="K54" t="s">
        <v>36</v>
      </c>
      <c r="L54" t="s">
        <v>234</v>
      </c>
      <c r="M54">
        <v>3</v>
      </c>
      <c r="N54" t="s">
        <v>9</v>
      </c>
      <c r="O54" t="s">
        <v>14</v>
      </c>
      <c r="P54">
        <f t="shared" si="7"/>
        <v>2.2773283008474663</v>
      </c>
      <c r="Q54">
        <f t="shared" si="8"/>
        <v>0.52225438475601016</v>
      </c>
      <c r="R54" s="67" cm="1">
        <f t="array" ref="R54">SUMPRODUCT((J54=$J$7:$J$1000)*(P54&lt;$P$7:$P$1000))+1</f>
        <v>3</v>
      </c>
      <c r="S54" s="72"/>
      <c r="T54">
        <v>16</v>
      </c>
      <c r="U54" t="str">
        <v>NOLA</v>
      </c>
      <c r="V54" t="str">
        <v>NOLA Gold</v>
      </c>
      <c r="W54" t="str">
        <v>NULL</v>
      </c>
      <c r="X54" t="str">
        <v>Away</v>
      </c>
      <c r="Y54" t="str">
        <v>CHI</v>
      </c>
      <c r="Z54">
        <v>1.5995471121018436</v>
      </c>
      <c r="AA54" s="1"/>
      <c r="AB54" s="1" cm="1">
        <f t="array" ref="AB54">COUNT(_xlfn._xlws.FILTER($J$7:$J$10000,($L$7:$L$10000=AA54)*($M$7:$M$10000&lt;&gt;"NULL")*($J$7:$J$10000 &gt;= ($G$1-5))))/5</f>
        <v>0</v>
      </c>
    </row>
    <row r="55" spans="10:28" x14ac:dyDescent="0.35">
      <c r="J55" s="65">
        <v>6</v>
      </c>
      <c r="K55" t="s">
        <v>34</v>
      </c>
      <c r="L55" t="s">
        <v>239</v>
      </c>
      <c r="M55">
        <v>3</v>
      </c>
      <c r="N55" t="s">
        <v>3</v>
      </c>
      <c r="O55" t="s">
        <v>24</v>
      </c>
      <c r="P55">
        <f t="shared" si="7"/>
        <v>2.5968938181309547</v>
      </c>
      <c r="Q55">
        <f t="shared" si="8"/>
        <v>0.16249459386103987</v>
      </c>
      <c r="R55" s="67" cm="1">
        <f t="array" ref="R55">SUMPRODUCT((J55=$J$7:$J$1000)*(P55&lt;$P$7:$P$1000))+1</f>
        <v>2</v>
      </c>
      <c r="S55" s="72"/>
      <c r="T55">
        <v>16</v>
      </c>
      <c r="U55" t="str">
        <v>OGDC</v>
      </c>
      <c r="V55" t="str">
        <v>Old Glory DC</v>
      </c>
      <c r="W55" t="str">
        <v>NULL</v>
      </c>
      <c r="X55" t="str">
        <v>Home</v>
      </c>
      <c r="Y55" t="str">
        <v>LA</v>
      </c>
      <c r="Z55">
        <v>4.6934157066335089</v>
      </c>
      <c r="AA55" s="1"/>
      <c r="AB55" s="1" cm="1">
        <f t="array" ref="AB55">COUNT(_xlfn._xlws.FILTER($J$7:$J$10000,($L$7:$L$10000=AA55)*($M$7:$M$10000&lt;&gt;"NULL")*($J$7:$J$10000 &gt;= ($G$1-5))))/5</f>
        <v>0</v>
      </c>
    </row>
    <row r="56" spans="10:28" x14ac:dyDescent="0.35">
      <c r="J56" s="65">
        <v>6</v>
      </c>
      <c r="K56" t="s">
        <v>14</v>
      </c>
      <c r="L56" t="s">
        <v>231</v>
      </c>
      <c r="M56">
        <v>2</v>
      </c>
      <c r="N56" t="s">
        <v>3</v>
      </c>
      <c r="O56" t="s">
        <v>36</v>
      </c>
      <c r="P56">
        <f t="shared" si="7"/>
        <v>0.98219919039985226</v>
      </c>
      <c r="Q56">
        <f t="shared" si="8"/>
        <v>1.0359184880227159</v>
      </c>
      <c r="R56" s="67" cm="1">
        <f t="array" ref="R56">SUMPRODUCT((J56=$J$7:$J$1000)*(P56&lt;$P$7:$P$1000))+1</f>
        <v>8</v>
      </c>
      <c r="S56" s="72"/>
      <c r="T56">
        <v>16</v>
      </c>
      <c r="U56" t="str">
        <v>SDL</v>
      </c>
      <c r="V56" t="str">
        <v>San Diego Legion</v>
      </c>
      <c r="W56" t="str">
        <v>NULL</v>
      </c>
      <c r="X56" t="str">
        <v>Away</v>
      </c>
      <c r="Y56" t="str">
        <v>MIA</v>
      </c>
      <c r="Z56">
        <v>2.184266956647309</v>
      </c>
      <c r="AA56" s="1"/>
      <c r="AB56" s="1" cm="1">
        <f t="array" ref="AB56">COUNT(_xlfn._xlws.FILTER($J$7:$J$10000,($L$7:$L$10000=AA56)*($M$7:$M$10000&lt;&gt;"NULL")*($J$7:$J$10000 &gt;= ($G$1-5))))/5</f>
        <v>0</v>
      </c>
    </row>
    <row r="57" spans="10:28" x14ac:dyDescent="0.35">
      <c r="J57" s="65">
        <v>6</v>
      </c>
      <c r="K57" t="s">
        <v>7</v>
      </c>
      <c r="L57" t="s">
        <v>238</v>
      </c>
      <c r="M57">
        <v>2</v>
      </c>
      <c r="N57" t="s">
        <v>3</v>
      </c>
      <c r="O57" t="s">
        <v>23</v>
      </c>
      <c r="P57">
        <f t="shared" si="7"/>
        <v>1.9543138525240948</v>
      </c>
      <c r="Q57">
        <f t="shared" si="8"/>
        <v>2.0872240711901553E-3</v>
      </c>
      <c r="R57" s="67" cm="1">
        <f t="array" ref="R57">SUMPRODUCT((J57=$J$7:$J$1000)*(P57&lt;$P$7:$P$1000))+1</f>
        <v>6</v>
      </c>
      <c r="S57" s="72"/>
      <c r="T57">
        <v>16</v>
      </c>
      <c r="U57" t="str">
        <v>SEA</v>
      </c>
      <c r="V57" t="str">
        <v>Seattle Seawolves</v>
      </c>
      <c r="W57" t="str">
        <v>NULL</v>
      </c>
      <c r="X57" t="str">
        <v>Away</v>
      </c>
      <c r="Y57" t="str">
        <v>NEFJ</v>
      </c>
      <c r="Z57">
        <v>1.3410728138867378</v>
      </c>
      <c r="AA57" s="1"/>
      <c r="AB57" s="1" cm="1">
        <f t="array" ref="AB57">COUNT(_xlfn._xlws.FILTER($J$7:$J$10000,($L$7:$L$10000=AA57)*($M$7:$M$10000&lt;&gt;"NULL")*($J$7:$J$10000 &gt;= ($G$1-5))))/5</f>
        <v>0</v>
      </c>
    </row>
    <row r="58" spans="10:28" x14ac:dyDescent="0.35">
      <c r="J58" s="65">
        <v>6</v>
      </c>
      <c r="K58" t="s">
        <v>13</v>
      </c>
      <c r="L58" t="s">
        <v>241</v>
      </c>
      <c r="M58">
        <v>2</v>
      </c>
      <c r="N58" t="s">
        <v>9</v>
      </c>
      <c r="O58" t="s">
        <v>17</v>
      </c>
      <c r="P58">
        <f t="shared" si="7"/>
        <v>2.2384627141952889</v>
      </c>
      <c r="Q58">
        <f t="shared" si="8"/>
        <v>5.6864466061384018E-2</v>
      </c>
      <c r="R58" s="67" cm="1">
        <f t="array" ref="R58">SUMPRODUCT((J58=$J$7:$J$1000)*(P58&lt;$P$7:$P$1000))+1</f>
        <v>4</v>
      </c>
      <c r="S58" s="72"/>
      <c r="T58">
        <v>16</v>
      </c>
      <c r="U58" t="str">
        <v>UTAH</v>
      </c>
      <c r="V58" t="str">
        <v>Utah Warriors</v>
      </c>
      <c r="W58" t="str">
        <v>NULL</v>
      </c>
      <c r="X58" t="str">
        <v>Home</v>
      </c>
      <c r="Y58" t="str">
        <v>ARC</v>
      </c>
      <c r="Z58">
        <v>4.173713693855988</v>
      </c>
      <c r="AA58" s="1"/>
      <c r="AB58" s="1" cm="1">
        <f t="array" ref="AB58">COUNT(_xlfn._xlws.FILTER($J$7:$J$10000,($L$7:$L$10000=AA58)*($M$7:$M$10000&lt;&gt;"NULL")*($J$7:$J$10000 &gt;= ($G$1-5))))/5</f>
        <v>0</v>
      </c>
    </row>
    <row r="59" spans="10:28" x14ac:dyDescent="0.35">
      <c r="J59" s="65">
        <v>6</v>
      </c>
      <c r="K59" t="s">
        <v>6</v>
      </c>
      <c r="L59" t="s">
        <v>461</v>
      </c>
      <c r="M59">
        <v>1</v>
      </c>
      <c r="N59" t="s">
        <v>9</v>
      </c>
      <c r="O59" t="s">
        <v>4</v>
      </c>
      <c r="P59">
        <f t="shared" si="7"/>
        <v>2.1477912522230893</v>
      </c>
      <c r="Q59">
        <f t="shared" si="8"/>
        <v>1.3174247586798473</v>
      </c>
      <c r="R59" s="67" cm="1">
        <f t="array" ref="R59">SUMPRODUCT((J59=$J$7:$J$1000)*(P59&lt;$P$7:$P$1000))+1</f>
        <v>5</v>
      </c>
      <c r="S59" s="72"/>
      <c r="AA59" s="1"/>
      <c r="AB59" s="1" cm="1">
        <f t="array" ref="AB59">COUNT(_xlfn._xlws.FILTER($J$7:$J$10000,($L$7:$L$10000=AA59)*($M$7:$M$10000&lt;&gt;"NULL")*($J$7:$J$10000 &gt;= ($G$1-5))))/5</f>
        <v>0</v>
      </c>
    </row>
    <row r="60" spans="10:28" x14ac:dyDescent="0.35">
      <c r="J60" s="65">
        <v>6</v>
      </c>
      <c r="K60" t="s">
        <v>17</v>
      </c>
      <c r="L60" t="s">
        <v>240</v>
      </c>
      <c r="M60">
        <v>1</v>
      </c>
      <c r="N60" t="s">
        <v>3</v>
      </c>
      <c r="O60" t="s">
        <v>13</v>
      </c>
      <c r="P60">
        <f t="shared" si="7"/>
        <v>1.1205946247179934</v>
      </c>
      <c r="Q60">
        <f t="shared" si="8"/>
        <v>1.4543063510873672E-2</v>
      </c>
      <c r="R60" s="67" cm="1">
        <f t="array" ref="R60">SUMPRODUCT((J60=$J$7:$J$1000)*(P60&lt;$P$7:$P$1000))+1</f>
        <v>7</v>
      </c>
      <c r="S60" s="72"/>
      <c r="AA60" s="1"/>
      <c r="AB60" s="1" cm="1">
        <f t="array" ref="AB60">COUNT(_xlfn._xlws.FILTER($J$7:$J$10000,($L$7:$L$10000=AA60)*($M$7:$M$10000&lt;&gt;"NULL")*($J$7:$J$10000 &gt;= ($G$1-5))))/5</f>
        <v>0</v>
      </c>
    </row>
    <row r="61" spans="10:28" x14ac:dyDescent="0.35">
      <c r="J61" s="65">
        <v>6</v>
      </c>
      <c r="K61" t="s">
        <v>24</v>
      </c>
      <c r="L61" t="s">
        <v>235</v>
      </c>
      <c r="M61">
        <v>0</v>
      </c>
      <c r="N61" t="s">
        <v>9</v>
      </c>
      <c r="O61" t="s">
        <v>34</v>
      </c>
      <c r="P61">
        <f t="shared" si="7"/>
        <v>0.63517534143083898</v>
      </c>
      <c r="Q61">
        <f t="shared" si="8"/>
        <v>0.40344771436178289</v>
      </c>
      <c r="R61" s="67" cm="1">
        <f t="array" ref="R61">SUMPRODUCT((J61=$J$7:$J$1000)*(P61&lt;$P$7:$P$1000))+1</f>
        <v>10</v>
      </c>
      <c r="S61" s="72"/>
      <c r="AA61" s="1"/>
      <c r="AB61" s="1" cm="1">
        <f t="array" ref="AB61">COUNT(_xlfn._xlws.FILTER($J$7:$J$10000,($L$7:$L$10000=AA61)*($M$7:$M$10000&lt;&gt;"NULL")*($J$7:$J$10000 &gt;= ($G$1-5))))/5</f>
        <v>0</v>
      </c>
    </row>
    <row r="62" spans="10:28" x14ac:dyDescent="0.35">
      <c r="J62" s="65">
        <v>6</v>
      </c>
      <c r="K62" t="s">
        <v>23</v>
      </c>
      <c r="L62" t="s">
        <v>236</v>
      </c>
      <c r="M62">
        <v>0</v>
      </c>
      <c r="N62" t="s">
        <v>9</v>
      </c>
      <c r="O62" t="s">
        <v>7</v>
      </c>
      <c r="P62">
        <f t="shared" si="7"/>
        <v>0.74425243686076725</v>
      </c>
      <c r="Q62">
        <f t="shared" si="8"/>
        <v>0.55391168977319039</v>
      </c>
      <c r="R62" s="67" cm="1">
        <f t="array" ref="R62">SUMPRODUCT((J62=$J$7:$J$1000)*(P62&lt;$P$7:$P$1000))+1</f>
        <v>9</v>
      </c>
      <c r="S62" s="72"/>
      <c r="AA62" s="1"/>
      <c r="AB62" s="1" cm="1">
        <f t="array" ref="AB62">COUNT(_xlfn._xlws.FILTER($J$7:$J$10000,($L$7:$L$10000=AA62)*($M$7:$M$10000&lt;&gt;"NULL")*($J$7:$J$10000 &gt;= ($G$1-5))))/5</f>
        <v>0</v>
      </c>
    </row>
    <row r="63" spans="10:28" x14ac:dyDescent="0.35">
      <c r="J63" s="65">
        <v>7</v>
      </c>
      <c r="K63" t="s">
        <v>7</v>
      </c>
      <c r="L63" t="s">
        <v>238</v>
      </c>
      <c r="M63">
        <v>5</v>
      </c>
      <c r="N63" t="s">
        <v>9</v>
      </c>
      <c r="O63" t="s">
        <v>6</v>
      </c>
      <c r="P63">
        <f t="shared" ref="P63:P82" si="9">VLOOKUP($N63,$F$3:$G$4,2,FALSE)+VLOOKUP($L63,$B$20:$C$30,2,FALSE)+VLOOKUP($O63,$A$6:$B$16,2,FALSE)</f>
        <v>4.2807888451498632</v>
      </c>
      <c r="Q63">
        <f t="shared" ref="Q63:Q82" si="10">IFERROR(($M63-$P63)^2,"")</f>
        <v>0.51726468526086744</v>
      </c>
      <c r="R63" s="67" cm="1">
        <f t="array" ref="R63">SUMPRODUCT((J63=$J$7:$J$1000)*(P63&lt;$P$7:$P$1000))+1</f>
        <v>1</v>
      </c>
      <c r="S63" s="72"/>
      <c r="AA63" s="1"/>
      <c r="AB63" s="1" cm="1">
        <f t="array" ref="AB63">COUNT(_xlfn._xlws.FILTER($J$7:$J$10000,($L$7:$L$10000=AA63)*($M$7:$M$10000&lt;&gt;"NULL")*($J$7:$J$10000 &gt;= ($G$1-5))))/5</f>
        <v>0</v>
      </c>
    </row>
    <row r="64" spans="10:28" x14ac:dyDescent="0.35">
      <c r="J64" s="65">
        <v>7</v>
      </c>
      <c r="K64" t="s">
        <v>13</v>
      </c>
      <c r="L64" t="s">
        <v>241</v>
      </c>
      <c r="M64">
        <v>4</v>
      </c>
      <c r="N64" t="s">
        <v>3</v>
      </c>
      <c r="O64" t="s">
        <v>23</v>
      </c>
      <c r="P64">
        <f t="shared" si="9"/>
        <v>3.5591965317584218</v>
      </c>
      <c r="Q64">
        <f t="shared" si="10"/>
        <v>0.19430769761380406</v>
      </c>
      <c r="R64" s="67" cm="1">
        <f t="array" ref="R64">SUMPRODUCT((J64=$J$7:$J$1000)*(P64&lt;$P$7:$P$1000))+1</f>
        <v>2</v>
      </c>
      <c r="S64" s="72"/>
      <c r="AA64" s="1"/>
      <c r="AB64" s="1" cm="1">
        <f t="array" ref="AB64">COUNT(_xlfn._xlws.FILTER($J$7:$J$10000,($L$7:$L$10000=AA64)*($M$7:$M$10000&lt;&gt;"NULL")*($J$7:$J$10000 &gt;= ($G$1-5))))/5</f>
        <v>0</v>
      </c>
    </row>
    <row r="65" spans="10:28" x14ac:dyDescent="0.35">
      <c r="J65" s="65">
        <v>7</v>
      </c>
      <c r="K65" t="s">
        <v>36</v>
      </c>
      <c r="L65" t="s">
        <v>234</v>
      </c>
      <c r="M65">
        <v>3</v>
      </c>
      <c r="N65" t="s">
        <v>3</v>
      </c>
      <c r="O65" t="s">
        <v>34</v>
      </c>
      <c r="P65">
        <f t="shared" si="9"/>
        <v>1.8430233230642448</v>
      </c>
      <c r="Q65">
        <f t="shared" si="10"/>
        <v>1.338595030973303</v>
      </c>
      <c r="R65" s="67" cm="1">
        <f t="array" ref="R65">SUMPRODUCT((J65=$J$7:$J$1000)*(P65&lt;$P$7:$P$1000))+1</f>
        <v>6</v>
      </c>
      <c r="S65" s="72"/>
      <c r="AA65" s="1"/>
      <c r="AB65" s="1" cm="1">
        <f t="array" ref="AB65">COUNT(_xlfn._xlws.FILTER($J$7:$J$10000,($L$7:$L$10000=AA65)*($M$7:$M$10000&lt;&gt;"NULL")*($J$7:$J$10000 &gt;= ($G$1-5))))/5</f>
        <v>0</v>
      </c>
    </row>
    <row r="66" spans="10:28" x14ac:dyDescent="0.35">
      <c r="J66" s="65">
        <v>7</v>
      </c>
      <c r="K66" t="s">
        <v>2</v>
      </c>
      <c r="L66" t="s">
        <v>232</v>
      </c>
      <c r="M66">
        <v>2</v>
      </c>
      <c r="N66" t="s">
        <v>9</v>
      </c>
      <c r="O66" t="s">
        <v>4</v>
      </c>
      <c r="P66">
        <f t="shared" si="9"/>
        <v>2.9132570954494525</v>
      </c>
      <c r="Q66">
        <f t="shared" si="10"/>
        <v>0.83403852238877052</v>
      </c>
      <c r="R66" s="67" cm="1">
        <f t="array" ref="R66">SUMPRODUCT((J66=$J$7:$J$1000)*(P66&lt;$P$7:$P$1000))+1</f>
        <v>3</v>
      </c>
      <c r="S66" s="72"/>
      <c r="AA66" s="1"/>
      <c r="AB66" s="1" cm="1">
        <f t="array" ref="AB66">COUNT(_xlfn._xlws.FILTER($J$7:$J$10000,($L$7:$L$10000=AA66)*($M$7:$M$10000&lt;&gt;"NULL")*($J$7:$J$10000 &gt;= ($G$1-5))))/5</f>
        <v>0</v>
      </c>
    </row>
    <row r="67" spans="10:28" x14ac:dyDescent="0.35">
      <c r="J67" s="65">
        <v>7</v>
      </c>
      <c r="K67" t="s">
        <v>34</v>
      </c>
      <c r="L67" t="s">
        <v>239</v>
      </c>
      <c r="M67">
        <v>2</v>
      </c>
      <c r="N67" t="s">
        <v>9</v>
      </c>
      <c r="O67" t="s">
        <v>36</v>
      </c>
      <c r="P67">
        <f t="shared" si="9"/>
        <v>1.6548795160041783</v>
      </c>
      <c r="Q67">
        <f t="shared" si="10"/>
        <v>0.11910814847351024</v>
      </c>
      <c r="R67" s="67" cm="1">
        <f t="array" ref="R67">SUMPRODUCT((J67=$J$7:$J$1000)*(P67&lt;$P$7:$P$1000))+1</f>
        <v>7</v>
      </c>
      <c r="S67" s="72"/>
      <c r="AA67" s="1"/>
      <c r="AB67" s="1" cm="1">
        <f t="array" ref="AB67">COUNT(_xlfn._xlws.FILTER($J$7:$J$10000,($L$7:$L$10000=AA67)*($M$7:$M$10000&lt;&gt;"NULL")*($J$7:$J$10000 &gt;= ($G$1-5))))/5</f>
        <v>0</v>
      </c>
    </row>
    <row r="68" spans="10:28" x14ac:dyDescent="0.35">
      <c r="J68" s="65">
        <v>7</v>
      </c>
      <c r="K68" t="s">
        <v>6</v>
      </c>
      <c r="L68" t="s">
        <v>461</v>
      </c>
      <c r="M68">
        <v>1</v>
      </c>
      <c r="N68" t="s">
        <v>3</v>
      </c>
      <c r="O68" t="s">
        <v>7</v>
      </c>
      <c r="P68">
        <f t="shared" si="9"/>
        <v>1.6040465735112561</v>
      </c>
      <c r="Q68">
        <f t="shared" si="10"/>
        <v>0.36487226297068936</v>
      </c>
      <c r="R68" s="67" cm="1">
        <f t="array" ref="R68">SUMPRODUCT((J68=$J$7:$J$1000)*(P68&lt;$P$7:$P$1000))+1</f>
        <v>8</v>
      </c>
      <c r="S68" s="72"/>
      <c r="AA68" s="1"/>
      <c r="AB68" s="1" cm="1">
        <f t="array" ref="AB68">COUNT(_xlfn._xlws.FILTER($J$7:$J$10000,($L$7:$L$10000=AA68)*($M$7:$M$10000&lt;&gt;"NULL")*($J$7:$J$10000 &gt;= ($G$1-5))))/5</f>
        <v>0</v>
      </c>
    </row>
    <row r="69" spans="10:28" x14ac:dyDescent="0.35">
      <c r="J69" s="65">
        <v>7</v>
      </c>
      <c r="K69" t="s">
        <v>23</v>
      </c>
      <c r="L69" t="s">
        <v>236</v>
      </c>
      <c r="M69">
        <v>1</v>
      </c>
      <c r="N69" t="s">
        <v>9</v>
      </c>
      <c r="O69" t="s">
        <v>13</v>
      </c>
      <c r="P69">
        <f t="shared" si="9"/>
        <v>0.49448637461237466</v>
      </c>
      <c r="Q69">
        <f t="shared" si="10"/>
        <v>0.2555440254525404</v>
      </c>
      <c r="R69" s="67" cm="1">
        <f t="array" ref="R69">SUMPRODUCT((J69=$J$7:$J$1000)*(P69&lt;$P$7:$P$1000))+1</f>
        <v>9</v>
      </c>
      <c r="S69" s="72"/>
      <c r="AA69" s="1"/>
      <c r="AB69" s="1" cm="1">
        <f t="array" ref="AB69">COUNT(_xlfn._xlws.FILTER($J$7:$J$10000,($L$7:$L$10000=AA69)*($M$7:$M$10000&lt;&gt;"NULL")*($J$7:$J$10000 &gt;= ($G$1-5))))/5</f>
        <v>0</v>
      </c>
    </row>
    <row r="70" spans="10:28" x14ac:dyDescent="0.35">
      <c r="J70" s="65">
        <v>7</v>
      </c>
      <c r="K70" t="s">
        <v>4</v>
      </c>
      <c r="L70" t="s">
        <v>237</v>
      </c>
      <c r="M70">
        <v>1</v>
      </c>
      <c r="N70" t="s">
        <v>3</v>
      </c>
      <c r="O70" t="s">
        <v>2</v>
      </c>
      <c r="P70">
        <f t="shared" si="9"/>
        <v>2.0121739735854893</v>
      </c>
      <c r="Q70">
        <f t="shared" si="10"/>
        <v>1.0244961528038388</v>
      </c>
      <c r="R70" s="67" cm="1">
        <f t="array" ref="R70">SUMPRODUCT((J70=$J$7:$J$1000)*(P70&lt;$P$7:$P$1000))+1</f>
        <v>5</v>
      </c>
      <c r="S70" s="72"/>
      <c r="AA70" s="1"/>
      <c r="AB70" s="1" cm="1">
        <f t="array" ref="AB70">COUNT(_xlfn._xlws.FILTER($J$7:$J$10000,($L$7:$L$10000=AA70)*($M$7:$M$10000&lt;&gt;"NULL")*($J$7:$J$10000 &gt;= ($G$1-5))))/5</f>
        <v>0</v>
      </c>
    </row>
    <row r="71" spans="10:28" x14ac:dyDescent="0.35">
      <c r="J71" s="65">
        <v>7</v>
      </c>
      <c r="K71" t="s">
        <v>17</v>
      </c>
      <c r="L71" t="s">
        <v>240</v>
      </c>
      <c r="M71">
        <v>1</v>
      </c>
      <c r="N71" t="s">
        <v>3</v>
      </c>
      <c r="O71" t="s">
        <v>14</v>
      </c>
      <c r="P71">
        <f t="shared" si="9"/>
        <v>2.36821683746795</v>
      </c>
      <c r="Q71">
        <f t="shared" si="10"/>
        <v>1.8720173143307985</v>
      </c>
      <c r="R71" s="67" cm="1">
        <f t="array" ref="R71">SUMPRODUCT((J71=$J$7:$J$1000)*(P71&lt;$P$7:$P$1000))+1</f>
        <v>4</v>
      </c>
      <c r="S71" s="72"/>
      <c r="AA71" s="1"/>
      <c r="AB71" s="1" cm="1">
        <f t="array" ref="AB71">COUNT(_xlfn._xlws.FILTER($J$7:$J$10000,($L$7:$L$10000=AA71)*($M$7:$M$10000&lt;&gt;"NULL")*($J$7:$J$10000 &gt;= ($G$1-5))))/5</f>
        <v>0</v>
      </c>
    </row>
    <row r="72" spans="10:28" x14ac:dyDescent="0.35">
      <c r="J72" s="65">
        <v>7</v>
      </c>
      <c r="K72" t="s">
        <v>14</v>
      </c>
      <c r="L72" t="s">
        <v>231</v>
      </c>
      <c r="M72">
        <v>0</v>
      </c>
      <c r="N72" t="s">
        <v>9</v>
      </c>
      <c r="O72" t="s">
        <v>17</v>
      </c>
      <c r="P72">
        <f t="shared" si="9"/>
        <v>8.2094182066768662E-2</v>
      </c>
      <c r="Q72">
        <f t="shared" si="10"/>
        <v>6.739454729211761E-3</v>
      </c>
      <c r="R72" s="67" cm="1">
        <f t="array" ref="R72">SUMPRODUCT((J72=$J$7:$J$1000)*(P72&lt;$P$7:$P$1000))+1</f>
        <v>10</v>
      </c>
      <c r="S72" s="72"/>
      <c r="AA72" s="1"/>
      <c r="AB72" s="1" cm="1">
        <f t="array" ref="AB72">COUNT(_xlfn._xlws.FILTER($J$7:$J$10000,($L$7:$L$10000=AA72)*($M$7:$M$10000&lt;&gt;"NULL")*($J$7:$J$10000 &gt;= ($G$1-5))))/5</f>
        <v>0</v>
      </c>
    </row>
    <row r="73" spans="10:28" x14ac:dyDescent="0.35">
      <c r="J73" s="65">
        <v>8</v>
      </c>
      <c r="K73" t="s">
        <v>36</v>
      </c>
      <c r="L73" t="s">
        <v>234</v>
      </c>
      <c r="M73">
        <v>4</v>
      </c>
      <c r="N73" t="s">
        <v>3</v>
      </c>
      <c r="O73" t="s">
        <v>6</v>
      </c>
      <c r="P73">
        <f t="shared" si="9"/>
        <v>4.8145398543429598</v>
      </c>
      <c r="Q73">
        <f t="shared" si="10"/>
        <v>0.66347517431305025</v>
      </c>
      <c r="R73" s="67" cm="1">
        <f t="array" ref="R73">SUMPRODUCT((J73=$J$7:$J$1000)*(P73&lt;$P$7:$P$1000))+1</f>
        <v>1</v>
      </c>
      <c r="S73" s="72"/>
      <c r="AA73" s="1"/>
      <c r="AB73" s="1" cm="1">
        <f t="array" ref="AB73">COUNT(_xlfn._xlws.FILTER($J$7:$J$10000,($L$7:$L$10000=AA73)*($M$7:$M$10000&lt;&gt;"NULL")*($J$7:$J$10000 &gt;= ($G$1-5))))/5</f>
        <v>0</v>
      </c>
    </row>
    <row r="74" spans="10:28" x14ac:dyDescent="0.35">
      <c r="J74" s="65">
        <v>8</v>
      </c>
      <c r="K74" t="s">
        <v>4</v>
      </c>
      <c r="L74" t="s">
        <v>237</v>
      </c>
      <c r="M74">
        <v>3</v>
      </c>
      <c r="N74" t="s">
        <v>9</v>
      </c>
      <c r="O74" t="s">
        <v>14</v>
      </c>
      <c r="P74">
        <f t="shared" si="9"/>
        <v>2.5983164153502614</v>
      </c>
      <c r="Q74">
        <f t="shared" si="10"/>
        <v>0.16134970217706374</v>
      </c>
      <c r="R74" s="67" cm="1">
        <f t="array" ref="R74">SUMPRODUCT((J74=$J$7:$J$1000)*(P74&lt;$P$7:$P$1000))+1</f>
        <v>2</v>
      </c>
      <c r="S74" s="72"/>
      <c r="AA74" s="1"/>
      <c r="AB74" s="1" cm="1">
        <f t="array" ref="AB74">COUNT(_xlfn._xlws.FILTER($J$7:$J$10000,($L$7:$L$10000=AA74)*($M$7:$M$10000&lt;&gt;"NULL")*($J$7:$J$10000 &gt;= ($G$1-5))))/5</f>
        <v>0</v>
      </c>
    </row>
    <row r="75" spans="10:28" x14ac:dyDescent="0.35">
      <c r="J75" s="65">
        <v>8</v>
      </c>
      <c r="K75" t="s">
        <v>17</v>
      </c>
      <c r="L75" t="s">
        <v>240</v>
      </c>
      <c r="M75">
        <v>2</v>
      </c>
      <c r="N75" t="s">
        <v>9</v>
      </c>
      <c r="O75" t="s">
        <v>7</v>
      </c>
      <c r="P75">
        <f t="shared" si="9"/>
        <v>0.95773382548274033</v>
      </c>
      <c r="Q75">
        <f t="shared" si="10"/>
        <v>1.0863187785428428</v>
      </c>
      <c r="R75" s="67" cm="1">
        <f t="array" ref="R75">SUMPRODUCT((J75=$J$7:$J$1000)*(P75&lt;$P$7:$P$1000))+1</f>
        <v>9</v>
      </c>
      <c r="S75" s="72"/>
      <c r="AA75" s="1"/>
      <c r="AB75" s="1" cm="1">
        <f t="array" ref="AB75">COUNT(_xlfn._xlws.FILTER($J$7:$J$10000,($L$7:$L$10000=AA75)*($M$7:$M$10000&lt;&gt;"NULL")*($J$7:$J$10000 &gt;= ($G$1-5))))/5</f>
        <v>0</v>
      </c>
    </row>
    <row r="76" spans="10:28" x14ac:dyDescent="0.35">
      <c r="J76" s="65">
        <v>8</v>
      </c>
      <c r="K76" t="s">
        <v>6</v>
      </c>
      <c r="L76" t="s">
        <v>461</v>
      </c>
      <c r="M76">
        <v>1</v>
      </c>
      <c r="N76" t="s">
        <v>9</v>
      </c>
      <c r="O76" t="s">
        <v>36</v>
      </c>
      <c r="P76">
        <f t="shared" si="9"/>
        <v>1.1541298912015585</v>
      </c>
      <c r="Q76">
        <f t="shared" si="10"/>
        <v>2.3756023361804265E-2</v>
      </c>
      <c r="R76" s="67" cm="1">
        <f t="array" ref="R76">SUMPRODUCT((J76=$J$7:$J$1000)*(P76&lt;$P$7:$P$1000))+1</f>
        <v>7</v>
      </c>
      <c r="S76" s="72"/>
      <c r="AA76" s="1"/>
      <c r="AB76" s="1" cm="1">
        <f t="array" ref="AB76">COUNT(_xlfn._xlws.FILTER($J$7:$J$10000,($L$7:$L$10000=AA76)*($M$7:$M$10000&lt;&gt;"NULL")*($J$7:$J$10000 &gt;= ($G$1-5))))/5</f>
        <v>0</v>
      </c>
    </row>
    <row r="77" spans="10:28" x14ac:dyDescent="0.35">
      <c r="J77" s="65">
        <v>8</v>
      </c>
      <c r="K77" t="s">
        <v>23</v>
      </c>
      <c r="L77" t="s">
        <v>236</v>
      </c>
      <c r="M77">
        <v>1</v>
      </c>
      <c r="N77" t="s">
        <v>3</v>
      </c>
      <c r="O77" t="s">
        <v>24</v>
      </c>
      <c r="P77">
        <f t="shared" si="9"/>
        <v>1.6489769181614919</v>
      </c>
      <c r="Q77">
        <f t="shared" si="10"/>
        <v>0.4211710403063878</v>
      </c>
      <c r="R77" s="67" cm="1">
        <f t="array" ref="R77">SUMPRODUCT((J77=$J$7:$J$1000)*(P77&lt;$P$7:$P$1000))+1</f>
        <v>6</v>
      </c>
      <c r="S77" s="72"/>
      <c r="AA77" s="1"/>
      <c r="AB77" s="1" cm="1">
        <f t="array" ref="AB77">COUNT(_xlfn._xlws.FILTER($J$7:$J$10000,($L$7:$L$10000=AA77)*($M$7:$M$10000&lt;&gt;"NULL")*($J$7:$J$10000 &gt;= ($G$1-5))))/5</f>
        <v>0</v>
      </c>
    </row>
    <row r="78" spans="10:28" x14ac:dyDescent="0.35">
      <c r="J78" s="65">
        <v>8</v>
      </c>
      <c r="K78" t="s">
        <v>7</v>
      </c>
      <c r="L78" t="s">
        <v>238</v>
      </c>
      <c r="M78">
        <v>1</v>
      </c>
      <c r="N78" t="s">
        <v>3</v>
      </c>
      <c r="O78" t="s">
        <v>17</v>
      </c>
      <c r="P78">
        <f t="shared" si="9"/>
        <v>1.0462068964446074</v>
      </c>
      <c r="Q78">
        <f t="shared" si="10"/>
        <v>2.1350772790426722E-3</v>
      </c>
      <c r="R78" s="67" cm="1">
        <f t="array" ref="R78">SUMPRODUCT((J78=$J$7:$J$1000)*(P78&lt;$P$7:$P$1000))+1</f>
        <v>8</v>
      </c>
      <c r="S78" s="72"/>
      <c r="AA78" s="1"/>
      <c r="AB78" s="1" cm="1">
        <f t="array" ref="AB78">COUNT(_xlfn._xlws.FILTER($J$7:$J$10000,($L$7:$L$10000=AA78)*($M$7:$M$10000&lt;&gt;"NULL")*($J$7:$J$10000 &gt;= ($G$1-5))))/5</f>
        <v>0</v>
      </c>
    </row>
    <row r="79" spans="10:28" x14ac:dyDescent="0.35">
      <c r="J79" s="65">
        <v>8</v>
      </c>
      <c r="K79" t="s">
        <v>34</v>
      </c>
      <c r="L79" t="s">
        <v>239</v>
      </c>
      <c r="M79">
        <v>1</v>
      </c>
      <c r="N79" t="s">
        <v>3</v>
      </c>
      <c r="O79" t="s">
        <v>2</v>
      </c>
      <c r="P79">
        <f t="shared" si="9"/>
        <v>2.1038830455670219</v>
      </c>
      <c r="Q79">
        <f t="shared" si="10"/>
        <v>1.2185577782903236</v>
      </c>
      <c r="R79" s="67" cm="1">
        <f t="array" ref="R79">SUMPRODUCT((J79=$J$7:$J$1000)*(P79&lt;$P$7:$P$1000))+1</f>
        <v>4</v>
      </c>
      <c r="S79" s="72"/>
      <c r="AA79" s="1"/>
      <c r="AB79" s="1" cm="1">
        <f t="array" ref="AB79">COUNT(_xlfn._xlws.FILTER($J$7:$J$10000,($L$7:$L$10000=AA79)*($M$7:$M$10000&lt;&gt;"NULL")*($J$7:$J$10000 &gt;= ($G$1-5))))/5</f>
        <v>0</v>
      </c>
    </row>
    <row r="80" spans="10:28" x14ac:dyDescent="0.35">
      <c r="J80" s="65">
        <v>8</v>
      </c>
      <c r="K80" t="s">
        <v>14</v>
      </c>
      <c r="L80" t="s">
        <v>231</v>
      </c>
      <c r="M80">
        <v>0</v>
      </c>
      <c r="N80" t="s">
        <v>3</v>
      </c>
      <c r="O80" t="s">
        <v>4</v>
      </c>
      <c r="P80">
        <f t="shared" si="9"/>
        <v>1.9758605514213832</v>
      </c>
      <c r="Q80">
        <f t="shared" si="10"/>
        <v>3.9040249186632123</v>
      </c>
      <c r="R80" s="67" cm="1">
        <f t="array" ref="R80">SUMPRODUCT((J80=$J$7:$J$1000)*(P80&lt;$P$7:$P$1000))+1</f>
        <v>5</v>
      </c>
      <c r="S80" s="72"/>
      <c r="AA80" s="1"/>
      <c r="AB80" s="1" cm="1">
        <f t="array" ref="AB80">COUNT(_xlfn._xlws.FILTER($J$7:$J$10000,($L$7:$L$10000=AA80)*($M$7:$M$10000&lt;&gt;"NULL")*($J$7:$J$10000 &gt;= ($G$1-5))))/5</f>
        <v>0</v>
      </c>
    </row>
    <row r="81" spans="10:28" x14ac:dyDescent="0.35">
      <c r="J81" s="65">
        <v>8</v>
      </c>
      <c r="K81" t="s">
        <v>2</v>
      </c>
      <c r="L81" t="s">
        <v>232</v>
      </c>
      <c r="M81">
        <v>0</v>
      </c>
      <c r="N81" t="s">
        <v>9</v>
      </c>
      <c r="O81" t="s">
        <v>34</v>
      </c>
      <c r="P81">
        <f t="shared" si="9"/>
        <v>2.1078098664886702</v>
      </c>
      <c r="Q81">
        <f t="shared" si="10"/>
        <v>4.4428624332669857</v>
      </c>
      <c r="R81" s="67" cm="1">
        <f t="array" ref="R81">SUMPRODUCT((J81=$J$7:$J$1000)*(P81&lt;$P$7:$P$1000))+1</f>
        <v>3</v>
      </c>
      <c r="S81" s="72"/>
      <c r="AA81" s="1"/>
      <c r="AB81" s="1" cm="1">
        <f t="array" ref="AB81">COUNT(_xlfn._xlws.FILTER($J$7:$J$10000,($L$7:$L$10000=AA81)*($M$7:$M$10000&lt;&gt;"NULL")*($J$7:$J$10000 &gt;= ($G$1-5))))/5</f>
        <v>0</v>
      </c>
    </row>
    <row r="82" spans="10:28" x14ac:dyDescent="0.35">
      <c r="J82" s="65">
        <v>8</v>
      </c>
      <c r="K82" t="s">
        <v>24</v>
      </c>
      <c r="L82" t="s">
        <v>235</v>
      </c>
      <c r="M82">
        <v>0</v>
      </c>
      <c r="N82" t="s">
        <v>9</v>
      </c>
      <c r="O82" t="s">
        <v>23</v>
      </c>
      <c r="P82">
        <f t="shared" si="9"/>
        <v>0.86759001860013985</v>
      </c>
      <c r="Q82">
        <f t="shared" si="10"/>
        <v>0.75271244037459095</v>
      </c>
      <c r="R82" s="67" cm="1">
        <f t="array" ref="R82">SUMPRODUCT((J82=$J$7:$J$1000)*(P82&lt;$P$7:$P$1000))+1</f>
        <v>10</v>
      </c>
      <c r="S82" s="72"/>
      <c r="AA82" s="1"/>
      <c r="AB82" s="1" cm="1">
        <f t="array" ref="AB82">COUNT(_xlfn._xlws.FILTER($J$7:$J$10000,($L$7:$L$10000=AA82)*($M$7:$M$10000&lt;&gt;"NULL")*($J$7:$J$10000 &gt;= ($G$1-5))))/5</f>
        <v>0</v>
      </c>
    </row>
    <row r="83" spans="10:28" x14ac:dyDescent="0.35">
      <c r="J83" s="65">
        <v>9</v>
      </c>
      <c r="K83" t="s">
        <v>13</v>
      </c>
      <c r="L83" t="s">
        <v>241</v>
      </c>
      <c r="M83">
        <v>9</v>
      </c>
      <c r="N83" t="s">
        <v>9</v>
      </c>
      <c r="O83" t="s">
        <v>6</v>
      </c>
      <c r="P83">
        <f t="shared" ref="P83:P114" si="11">VLOOKUP($N83,$F$3:$G$4,2,FALSE)+VLOOKUP($L83,$B$20:$C$30,2,FALSE)+VLOOKUP($O83,$A$6:$B$16,2,FALSE)</f>
        <v>5.8856715243841897</v>
      </c>
      <c r="Q83">
        <f t="shared" ref="Q83:Q114" si="12">IFERROR(($M83-$P83)^2,"")</f>
        <v>9.6990418540314973</v>
      </c>
      <c r="R83" s="67" cm="1">
        <f t="array" ref="R83">SUMPRODUCT((J83=$J$7:$J$1000)*(P83&lt;$P$7:$P$1000))+1</f>
        <v>1</v>
      </c>
      <c r="S83" s="72"/>
      <c r="AA83" s="1"/>
      <c r="AB83" s="1" cm="1">
        <f t="array" ref="AB83">COUNT(_xlfn._xlws.FILTER($J$7:$J$10000,($L$7:$L$10000=AA83)*($M$7:$M$10000&lt;&gt;"NULL")*($J$7:$J$10000 &gt;= ($G$1-5))))/5</f>
        <v>0</v>
      </c>
    </row>
    <row r="84" spans="10:28" x14ac:dyDescent="0.35">
      <c r="J84" s="65">
        <v>9</v>
      </c>
      <c r="K84" t="s">
        <v>7</v>
      </c>
      <c r="L84" t="s">
        <v>238</v>
      </c>
      <c r="M84">
        <v>5</v>
      </c>
      <c r="N84" t="s">
        <v>9</v>
      </c>
      <c r="O84" t="s">
        <v>4</v>
      </c>
      <c r="P84">
        <f t="shared" si="11"/>
        <v>2.114719542831931</v>
      </c>
      <c r="Q84">
        <f t="shared" si="12"/>
        <v>8.324843316515981</v>
      </c>
      <c r="R84" s="67" cm="1">
        <f t="array" ref="R84">SUMPRODUCT((J84=$J$7:$J$1000)*(P84&lt;$P$7:$P$1000))+1</f>
        <v>3</v>
      </c>
      <c r="S84" s="72"/>
      <c r="AA84" s="1"/>
      <c r="AB84" s="1" cm="1">
        <f t="array" ref="AB84">COUNT(_xlfn._xlws.FILTER($J$7:$J$10000,($L$7:$L$10000=AA84)*($M$7:$M$10000&lt;&gt;"NULL")*($J$7:$J$10000 &gt;= ($G$1-5))))/5</f>
        <v>0</v>
      </c>
    </row>
    <row r="85" spans="10:28" x14ac:dyDescent="0.35">
      <c r="J85" s="65">
        <v>9</v>
      </c>
      <c r="K85" t="s">
        <v>2</v>
      </c>
      <c r="L85" t="s">
        <v>232</v>
      </c>
      <c r="M85">
        <v>3</v>
      </c>
      <c r="N85" t="s">
        <v>3</v>
      </c>
      <c r="O85" t="s">
        <v>14</v>
      </c>
      <c r="P85">
        <f t="shared" si="11"/>
        <v>3.3673685672391831</v>
      </c>
      <c r="Q85">
        <f t="shared" si="12"/>
        <v>0.1349596641953702</v>
      </c>
      <c r="R85" s="67" cm="1">
        <f t="array" ref="R85">SUMPRODUCT((J85=$J$7:$J$1000)*(P85&lt;$P$7:$P$1000))+1</f>
        <v>2</v>
      </c>
      <c r="S85" s="72"/>
      <c r="AA85" s="1"/>
      <c r="AB85" s="1" cm="1">
        <f t="array" ref="AB85">COUNT(_xlfn._xlws.FILTER($J$7:$J$10000,($L$7:$L$10000=AA85)*($M$7:$M$10000&lt;&gt;"NULL")*($J$7:$J$10000 &gt;= ($G$1-5))))/5</f>
        <v>0</v>
      </c>
    </row>
    <row r="86" spans="10:28" x14ac:dyDescent="0.35">
      <c r="J86" s="65">
        <v>9</v>
      </c>
      <c r="K86" t="s">
        <v>36</v>
      </c>
      <c r="L86" t="s">
        <v>234</v>
      </c>
      <c r="M86">
        <v>3</v>
      </c>
      <c r="N86" t="s">
        <v>9</v>
      </c>
      <c r="O86" t="s">
        <v>24</v>
      </c>
      <c r="P86">
        <f t="shared" si="11"/>
        <v>1.7715697701629816</v>
      </c>
      <c r="Q86">
        <f t="shared" si="12"/>
        <v>1.50904082957743</v>
      </c>
      <c r="R86" s="67" cm="1">
        <f t="array" ref="R86">SUMPRODUCT((J86=$J$7:$J$1000)*(P86&lt;$P$7:$P$1000))+1</f>
        <v>6</v>
      </c>
      <c r="S86" s="72"/>
      <c r="AA86" s="1"/>
      <c r="AB86" s="1" cm="1">
        <f t="array" ref="AB86">COUNT(_xlfn._xlws.FILTER($J$7:$J$10000,($L$7:$L$10000=AA86)*($M$7:$M$10000&lt;&gt;"NULL")*($J$7:$J$10000 &gt;= ($G$1-5))))/5</f>
        <v>0</v>
      </c>
    </row>
    <row r="87" spans="10:28" x14ac:dyDescent="0.35">
      <c r="J87" s="65">
        <v>9</v>
      </c>
      <c r="K87" t="s">
        <v>34</v>
      </c>
      <c r="L87" t="s">
        <v>239</v>
      </c>
      <c r="M87">
        <v>2</v>
      </c>
      <c r="N87" t="s">
        <v>9</v>
      </c>
      <c r="O87" t="s">
        <v>23</v>
      </c>
      <c r="P87">
        <f t="shared" si="11"/>
        <v>2.0755083252342277</v>
      </c>
      <c r="Q87">
        <f t="shared" si="12"/>
        <v>5.7015071796779043E-3</v>
      </c>
      <c r="R87" s="67" cm="1">
        <f t="array" ref="R87">SUMPRODUCT((J87=$J$7:$J$1000)*(P87&lt;$P$7:$P$1000))+1</f>
        <v>4</v>
      </c>
      <c r="S87" s="72"/>
      <c r="AA87" s="1"/>
      <c r="AB87" s="1" cm="1">
        <f t="array" ref="AB87">COUNT(_xlfn._xlws.FILTER($J$7:$J$10000,($L$7:$L$10000=AA87)*($M$7:$M$10000&lt;&gt;"NULL")*($J$7:$J$10000 &gt;= ($G$1-5))))/5</f>
        <v>0</v>
      </c>
    </row>
    <row r="88" spans="10:28" x14ac:dyDescent="0.35">
      <c r="J88" s="65">
        <v>9</v>
      </c>
      <c r="K88" t="s">
        <v>6</v>
      </c>
      <c r="L88" t="s">
        <v>461</v>
      </c>
      <c r="M88">
        <v>1</v>
      </c>
      <c r="N88" t="s">
        <v>3</v>
      </c>
      <c r="O88" t="s">
        <v>13</v>
      </c>
      <c r="P88">
        <f t="shared" si="11"/>
        <v>1.3542805112628635</v>
      </c>
      <c r="Q88">
        <f t="shared" si="12"/>
        <v>0.12551468066067598</v>
      </c>
      <c r="R88" s="67" cm="1">
        <f t="array" ref="R88">SUMPRODUCT((J88=$J$7:$J$1000)*(P88&lt;$P$7:$P$1000))+1</f>
        <v>7</v>
      </c>
      <c r="S88" s="72"/>
      <c r="AA88" s="1"/>
      <c r="AB88" s="1" cm="1">
        <f t="array" ref="AB88">COUNT(_xlfn._xlws.FILTER($J$7:$J$10000,($L$7:$L$10000=AA88)*($M$7:$M$10000&lt;&gt;"NULL")*($J$7:$J$10000 &gt;= ($G$1-5))))/5</f>
        <v>0</v>
      </c>
    </row>
    <row r="89" spans="10:28" x14ac:dyDescent="0.35">
      <c r="J89" s="65">
        <v>9</v>
      </c>
      <c r="K89" t="s">
        <v>24</v>
      </c>
      <c r="L89" t="s">
        <v>235</v>
      </c>
      <c r="M89">
        <v>1</v>
      </c>
      <c r="N89" t="s">
        <v>3</v>
      </c>
      <c r="O89" t="s">
        <v>36</v>
      </c>
      <c r="P89">
        <f t="shared" si="11"/>
        <v>0.8595880708537359</v>
      </c>
      <c r="Q89">
        <f t="shared" si="12"/>
        <v>1.9715509846575489E-2</v>
      </c>
      <c r="R89" s="67" cm="1">
        <f t="array" ref="R89">SUMPRODUCT((J89=$J$7:$J$1000)*(P89&lt;$P$7:$P$1000))+1</f>
        <v>9</v>
      </c>
      <c r="S89" s="72"/>
      <c r="AA89" s="1"/>
      <c r="AB89" s="1" cm="1">
        <f t="array" ref="AB89">COUNT(_xlfn._xlws.FILTER($J$7:$J$10000,($L$7:$L$10000=AA89)*($M$7:$M$10000&lt;&gt;"NULL")*($J$7:$J$10000 &gt;= ($G$1-5))))/5</f>
        <v>0</v>
      </c>
    </row>
    <row r="90" spans="10:28" x14ac:dyDescent="0.35">
      <c r="J90" s="65">
        <v>9</v>
      </c>
      <c r="K90" t="s">
        <v>23</v>
      </c>
      <c r="L90" t="s">
        <v>236</v>
      </c>
      <c r="M90">
        <v>1</v>
      </c>
      <c r="N90" t="s">
        <v>3</v>
      </c>
      <c r="O90" t="s">
        <v>34</v>
      </c>
      <c r="P90">
        <f t="shared" si="11"/>
        <v>1.3078036095791097</v>
      </c>
      <c r="Q90">
        <f t="shared" si="12"/>
        <v>9.4743062069928982E-2</v>
      </c>
      <c r="R90" s="67" cm="1">
        <f t="array" ref="R90">SUMPRODUCT((J90=$J$7:$J$1000)*(P90&lt;$P$7:$P$1000))+1</f>
        <v>8</v>
      </c>
      <c r="S90" s="72"/>
      <c r="AA90" s="1"/>
      <c r="AB90" s="1" cm="1">
        <f t="array" ref="AB90">COUNT(_xlfn._xlws.FILTER($J$7:$J$10000,($L$7:$L$10000=AA90)*($M$7:$M$10000&lt;&gt;"NULL")*($J$7:$J$10000 &gt;= ($G$1-5))))/5</f>
        <v>0</v>
      </c>
    </row>
    <row r="91" spans="10:28" x14ac:dyDescent="0.35">
      <c r="J91" s="65">
        <v>9</v>
      </c>
      <c r="K91" t="s">
        <v>4</v>
      </c>
      <c r="L91" t="s">
        <v>237</v>
      </c>
      <c r="M91">
        <v>1</v>
      </c>
      <c r="N91" t="s">
        <v>3</v>
      </c>
      <c r="O91" t="s">
        <v>7</v>
      </c>
      <c r="P91">
        <f t="shared" si="11"/>
        <v>2.0130871263323433</v>
      </c>
      <c r="Q91">
        <f t="shared" si="12"/>
        <v>1.0263455255403253</v>
      </c>
      <c r="R91" s="67" cm="1">
        <f t="array" ref="R91">SUMPRODUCT((J91=$J$7:$J$1000)*(P91&lt;$P$7:$P$1000))+1</f>
        <v>5</v>
      </c>
      <c r="S91" s="72"/>
      <c r="AA91" s="1"/>
      <c r="AB91" s="1" cm="1">
        <f t="array" ref="AB91">COUNT(_xlfn._xlws.FILTER($J$7:$J$10000,($L$7:$L$10000=AA91)*($M$7:$M$10000&lt;&gt;"NULL")*($J$7:$J$10000 &gt;= ($G$1-5))))/5</f>
        <v>0</v>
      </c>
    </row>
    <row r="92" spans="10:28" x14ac:dyDescent="0.35">
      <c r="J92" s="65">
        <v>9</v>
      </c>
      <c r="K92" t="s">
        <v>14</v>
      </c>
      <c r="L92" t="s">
        <v>231</v>
      </c>
      <c r="M92">
        <v>0</v>
      </c>
      <c r="N92" t="s">
        <v>9</v>
      </c>
      <c r="O92" t="s">
        <v>2</v>
      </c>
      <c r="P92">
        <f t="shared" si="11"/>
        <v>0.60594899699540461</v>
      </c>
      <c r="Q92">
        <f t="shared" si="12"/>
        <v>0.36717418695973686</v>
      </c>
      <c r="R92" s="67" cm="1">
        <f t="array" ref="R92">SUMPRODUCT((J92=$J$7:$J$1000)*(P92&lt;$P$7:$P$1000))+1</f>
        <v>10</v>
      </c>
      <c r="S92" s="72"/>
      <c r="AA92" s="1"/>
      <c r="AB92" s="1"/>
    </row>
    <row r="93" spans="10:28" x14ac:dyDescent="0.35">
      <c r="J93" s="66">
        <v>10</v>
      </c>
      <c r="K93" t="s">
        <v>23</v>
      </c>
      <c r="L93" t="s">
        <v>236</v>
      </c>
      <c r="M93">
        <v>3</v>
      </c>
      <c r="N93" t="s">
        <v>9</v>
      </c>
      <c r="O93" t="s">
        <v>14</v>
      </c>
      <c r="P93">
        <f t="shared" si="11"/>
        <v>1.7421085873623312</v>
      </c>
      <c r="Q93">
        <f t="shared" si="12"/>
        <v>1.58229080598759</v>
      </c>
      <c r="R93" s="67" cm="1">
        <f t="array" ref="R93">SUMPRODUCT((J93=$J$7:$J$1000)*(P93&lt;$P$7:$P$1000))+1</f>
        <v>5</v>
      </c>
      <c r="S93" s="72"/>
    </row>
    <row r="94" spans="10:28" x14ac:dyDescent="0.35">
      <c r="J94" s="65">
        <v>10</v>
      </c>
      <c r="K94" t="s">
        <v>13</v>
      </c>
      <c r="L94" t="s">
        <v>241</v>
      </c>
      <c r="M94">
        <v>3</v>
      </c>
      <c r="N94" t="s">
        <v>9</v>
      </c>
      <c r="O94" t="s">
        <v>34</v>
      </c>
      <c r="P94">
        <f t="shared" si="11"/>
        <v>2.9141549931054751</v>
      </c>
      <c r="Q94">
        <f t="shared" si="12"/>
        <v>7.3693652087210276E-3</v>
      </c>
      <c r="R94" s="67" cm="1">
        <f t="array" ref="R94">SUMPRODUCT((J94=$J$7:$J$1000)*(P94&lt;$P$7:$P$1000))+1</f>
        <v>1</v>
      </c>
      <c r="S94" s="72"/>
    </row>
    <row r="95" spans="10:28" x14ac:dyDescent="0.35">
      <c r="J95" s="65">
        <v>10</v>
      </c>
      <c r="K95" t="s">
        <v>36</v>
      </c>
      <c r="L95" t="s">
        <v>234</v>
      </c>
      <c r="M95">
        <v>2</v>
      </c>
      <c r="N95" t="s">
        <v>3</v>
      </c>
      <c r="O95" t="s">
        <v>4</v>
      </c>
      <c r="P95">
        <f t="shared" si="11"/>
        <v>2.6484705520250271</v>
      </c>
      <c r="Q95">
        <f t="shared" si="12"/>
        <v>0.4205140568436434</v>
      </c>
      <c r="R95" s="67" cm="1">
        <f t="array" ref="R95">SUMPRODUCT((J95=$J$7:$J$1000)*(P95&lt;$P$7:$P$1000))+1</f>
        <v>2</v>
      </c>
      <c r="S95" s="72"/>
    </row>
    <row r="96" spans="10:28" x14ac:dyDescent="0.35">
      <c r="J96" s="65">
        <v>10</v>
      </c>
      <c r="K96" t="s">
        <v>7</v>
      </c>
      <c r="L96" t="s">
        <v>238</v>
      </c>
      <c r="M96">
        <v>2</v>
      </c>
      <c r="N96" t="s">
        <v>3</v>
      </c>
      <c r="O96" t="s">
        <v>24</v>
      </c>
      <c r="P96">
        <f t="shared" si="11"/>
        <v>2.0630724839371761</v>
      </c>
      <c r="Q96">
        <f t="shared" si="12"/>
        <v>3.9781382300053403E-3</v>
      </c>
      <c r="R96" s="67" cm="1">
        <f t="array" ref="R96">SUMPRODUCT((J96=$J$7:$J$1000)*(P96&lt;$P$7:$P$1000))+1</f>
        <v>3</v>
      </c>
      <c r="S96" s="72"/>
    </row>
    <row r="97" spans="10:19" x14ac:dyDescent="0.35">
      <c r="J97" s="65">
        <v>10</v>
      </c>
      <c r="K97" t="s">
        <v>2</v>
      </c>
      <c r="L97" t="s">
        <v>232</v>
      </c>
      <c r="M97">
        <v>1</v>
      </c>
      <c r="N97" t="s">
        <v>9</v>
      </c>
      <c r="O97" t="s">
        <v>17</v>
      </c>
      <c r="P97">
        <f t="shared" si="11"/>
        <v>1.4321175875784837</v>
      </c>
      <c r="Q97">
        <f t="shared" si="12"/>
        <v>0.18672560949464856</v>
      </c>
      <c r="R97" s="67" cm="1">
        <f t="array" ref="R97">SUMPRODUCT((J97=$J$7:$J$1000)*(P97&lt;$P$7:$P$1000))+1</f>
        <v>7</v>
      </c>
      <c r="S97" s="72"/>
    </row>
    <row r="98" spans="10:19" x14ac:dyDescent="0.35">
      <c r="J98" s="65">
        <v>10</v>
      </c>
      <c r="K98" t="s">
        <v>24</v>
      </c>
      <c r="L98" t="s">
        <v>235</v>
      </c>
      <c r="M98">
        <v>1</v>
      </c>
      <c r="N98" t="s">
        <v>9</v>
      </c>
      <c r="O98" t="s">
        <v>7</v>
      </c>
      <c r="P98">
        <f t="shared" si="11"/>
        <v>0.48425103019614235</v>
      </c>
      <c r="Q98">
        <f t="shared" si="12"/>
        <v>0.26599699985374048</v>
      </c>
      <c r="R98" s="67" cm="1">
        <f t="array" ref="R98">SUMPRODUCT((J98=$J$7:$J$1000)*(P98&lt;$P$7:$P$1000))+1</f>
        <v>10</v>
      </c>
      <c r="S98" s="72"/>
    </row>
    <row r="99" spans="10:19" x14ac:dyDescent="0.35">
      <c r="J99" s="65">
        <v>10</v>
      </c>
      <c r="K99" t="s">
        <v>4</v>
      </c>
      <c r="L99" t="s">
        <v>237</v>
      </c>
      <c r="M99">
        <v>1</v>
      </c>
      <c r="N99" t="s">
        <v>9</v>
      </c>
      <c r="O99" t="s">
        <v>36</v>
      </c>
      <c r="P99">
        <f t="shared" si="11"/>
        <v>1.5631704440226457</v>
      </c>
      <c r="Q99">
        <f t="shared" si="12"/>
        <v>0.31716094902066394</v>
      </c>
      <c r="R99" s="67" cm="1">
        <f t="array" ref="R99">SUMPRODUCT((J99=$J$7:$J$1000)*(P99&lt;$P$7:$P$1000))+1</f>
        <v>6</v>
      </c>
      <c r="S99" s="72"/>
    </row>
    <row r="100" spans="10:19" x14ac:dyDescent="0.35">
      <c r="J100" s="65">
        <v>10</v>
      </c>
      <c r="K100" t="s">
        <v>14</v>
      </c>
      <c r="L100" t="s">
        <v>231</v>
      </c>
      <c r="M100">
        <v>0</v>
      </c>
      <c r="N100" t="s">
        <v>3</v>
      </c>
      <c r="O100" t="s">
        <v>23</v>
      </c>
      <c r="P100">
        <f t="shared" si="11"/>
        <v>1.4028279996299018</v>
      </c>
      <c r="Q100">
        <f t="shared" si="12"/>
        <v>1.9679263965456317</v>
      </c>
      <c r="R100" s="67" cm="1">
        <f t="array" ref="R100">SUMPRODUCT((J100=$J$7:$J$1000)*(P100&lt;$P$7:$P$1000))+1</f>
        <v>8</v>
      </c>
      <c r="S100" s="72"/>
    </row>
    <row r="101" spans="10:19" x14ac:dyDescent="0.35">
      <c r="J101" s="65">
        <v>10</v>
      </c>
      <c r="K101" t="s">
        <v>34</v>
      </c>
      <c r="L101" t="s">
        <v>239</v>
      </c>
      <c r="M101">
        <v>0</v>
      </c>
      <c r="N101" t="s">
        <v>3</v>
      </c>
      <c r="O101" t="s">
        <v>13</v>
      </c>
      <c r="P101">
        <f t="shared" si="11"/>
        <v>1.8550301360654833</v>
      </c>
      <c r="Q101">
        <f t="shared" si="12"/>
        <v>3.4411368057111256</v>
      </c>
      <c r="R101" s="67" cm="1">
        <f t="array" ref="R101">SUMPRODUCT((J101=$J$7:$J$1000)*(P101&lt;$P$7:$P$1000))+1</f>
        <v>4</v>
      </c>
      <c r="S101" s="72"/>
    </row>
    <row r="102" spans="10:19" x14ac:dyDescent="0.35">
      <c r="J102" s="66">
        <v>10</v>
      </c>
      <c r="K102" t="s">
        <v>17</v>
      </c>
      <c r="L102" t="s">
        <v>240</v>
      </c>
      <c r="M102">
        <v>0</v>
      </c>
      <c r="N102" t="s">
        <v>3</v>
      </c>
      <c r="O102" t="s">
        <v>2</v>
      </c>
      <c r="P102">
        <f t="shared" si="11"/>
        <v>1.369447534219532</v>
      </c>
      <c r="Q102">
        <f t="shared" si="12"/>
        <v>1.8753865489799564</v>
      </c>
      <c r="R102" s="67" cm="1">
        <f t="array" ref="R102">SUMPRODUCT((J102=$J$7:$J$1000)*(P102&lt;$P$7:$P$1000))+1</f>
        <v>9</v>
      </c>
      <c r="S102" s="72"/>
    </row>
    <row r="103" spans="10:19" x14ac:dyDescent="0.35">
      <c r="J103" s="66">
        <v>11</v>
      </c>
      <c r="K103" t="s">
        <v>2</v>
      </c>
      <c r="L103" t="s">
        <v>232</v>
      </c>
      <c r="M103">
        <v>5</v>
      </c>
      <c r="N103" t="s">
        <v>9</v>
      </c>
      <c r="O103" t="s">
        <v>13</v>
      </c>
      <c r="P103">
        <f t="shared" si="11"/>
        <v>1.7071194930055811</v>
      </c>
      <c r="Q103">
        <f t="shared" si="12"/>
        <v>10.843062033343823</v>
      </c>
      <c r="R103" s="67" cm="1">
        <f t="array" ref="R103">SUMPRODUCT((J103=$J$7:$J$1000)*(P103&lt;$P$7:$P$1000))+1</f>
        <v>7</v>
      </c>
      <c r="S103" s="72"/>
    </row>
    <row r="104" spans="10:19" x14ac:dyDescent="0.35">
      <c r="J104" s="66">
        <v>11</v>
      </c>
      <c r="K104" t="s">
        <v>13</v>
      </c>
      <c r="L104" t="s">
        <v>241</v>
      </c>
      <c r="M104">
        <v>5</v>
      </c>
      <c r="N104" t="s">
        <v>3</v>
      </c>
      <c r="O104" t="s">
        <v>2</v>
      </c>
      <c r="P104">
        <f t="shared" si="11"/>
        <v>3.1749443906075703</v>
      </c>
      <c r="Q104">
        <f t="shared" si="12"/>
        <v>3.3308279773747729</v>
      </c>
      <c r="R104" s="67" cm="1">
        <f t="array" ref="R104">SUMPRODUCT((J104=$J$7:$J$1000)*(P104&lt;$P$7:$P$1000))+1</f>
        <v>2</v>
      </c>
      <c r="S104" s="72"/>
    </row>
    <row r="105" spans="10:19" x14ac:dyDescent="0.35">
      <c r="J105" s="66">
        <v>11</v>
      </c>
      <c r="K105" t="s">
        <v>6</v>
      </c>
      <c r="L105" t="s">
        <v>461</v>
      </c>
      <c r="M105">
        <v>4</v>
      </c>
      <c r="N105" t="s">
        <v>3</v>
      </c>
      <c r="O105" t="s">
        <v>34</v>
      </c>
      <c r="P105">
        <f t="shared" si="11"/>
        <v>1.7549708847459526</v>
      </c>
      <c r="Q105">
        <f t="shared" si="12"/>
        <v>5.0401557283383704</v>
      </c>
      <c r="R105" s="67" cm="1">
        <f t="array" ref="R105">SUMPRODUCT((J105=$J$7:$J$1000)*(P105&lt;$P$7:$P$1000))+1</f>
        <v>6</v>
      </c>
      <c r="S105" s="72"/>
    </row>
    <row r="106" spans="10:19" x14ac:dyDescent="0.35">
      <c r="J106" s="66">
        <v>11</v>
      </c>
      <c r="K106" t="s">
        <v>34</v>
      </c>
      <c r="L106" t="s">
        <v>239</v>
      </c>
      <c r="M106">
        <v>3</v>
      </c>
      <c r="N106" t="s">
        <v>9</v>
      </c>
      <c r="O106" t="s">
        <v>6</v>
      </c>
      <c r="P106">
        <f t="shared" si="11"/>
        <v>4.8146101793436422</v>
      </c>
      <c r="Q106">
        <f t="shared" si="12"/>
        <v>3.2928101029775654</v>
      </c>
      <c r="R106" s="67" cm="1">
        <f t="array" ref="R106">SUMPRODUCT((J106=$J$7:$J$1000)*(P106&lt;$P$7:$P$1000))+1</f>
        <v>1</v>
      </c>
      <c r="S106" s="72"/>
    </row>
    <row r="107" spans="10:19" x14ac:dyDescent="0.35">
      <c r="J107" s="66">
        <v>11</v>
      </c>
      <c r="K107" t="s">
        <v>17</v>
      </c>
      <c r="L107" t="s">
        <v>240</v>
      </c>
      <c r="M107">
        <v>3</v>
      </c>
      <c r="N107" t="s">
        <v>9</v>
      </c>
      <c r="O107" t="s">
        <v>4</v>
      </c>
      <c r="P107">
        <f t="shared" si="11"/>
        <v>1.9141053656782194</v>
      </c>
      <c r="Q107">
        <f t="shared" si="12"/>
        <v>1.1791671568488336</v>
      </c>
      <c r="R107" s="67" cm="1">
        <f t="array" ref="R107">SUMPRODUCT((J107=$J$7:$J$1000)*(P107&lt;$P$7:$P$1000))+1</f>
        <v>3</v>
      </c>
      <c r="S107" s="72"/>
    </row>
    <row r="108" spans="10:19" x14ac:dyDescent="0.35">
      <c r="J108" s="66">
        <v>11</v>
      </c>
      <c r="K108" t="s">
        <v>14</v>
      </c>
      <c r="L108" t="s">
        <v>231</v>
      </c>
      <c r="M108">
        <v>2</v>
      </c>
      <c r="N108" t="s">
        <v>9</v>
      </c>
      <c r="O108" t="s">
        <v>24</v>
      </c>
      <c r="P108">
        <f t="shared" si="11"/>
        <v>1.0989597695593376</v>
      </c>
      <c r="Q108">
        <f t="shared" si="12"/>
        <v>0.81187349687256194</v>
      </c>
      <c r="R108" s="67" cm="1">
        <f t="array" ref="R108">SUMPRODUCT((J108=$J$7:$J$1000)*(P108&lt;$P$7:$P$1000))+1</f>
        <v>12</v>
      </c>
      <c r="S108" s="72"/>
    </row>
    <row r="109" spans="10:19" x14ac:dyDescent="0.35">
      <c r="J109" s="65">
        <v>11</v>
      </c>
      <c r="K109" t="s">
        <v>7</v>
      </c>
      <c r="L109" t="s">
        <v>238</v>
      </c>
      <c r="M109">
        <v>2</v>
      </c>
      <c r="N109" t="s">
        <v>9</v>
      </c>
      <c r="O109" t="s">
        <v>36</v>
      </c>
      <c r="P109">
        <f t="shared" si="11"/>
        <v>1.1210581818103997</v>
      </c>
      <c r="Q109">
        <f t="shared" si="12"/>
        <v>0.77253871976244037</v>
      </c>
      <c r="R109" s="67" cm="1">
        <f t="array" ref="R109">SUMPRODUCT((J109=$J$7:$J$1000)*(P109&lt;$P$7:$P$1000))+1</f>
        <v>11</v>
      </c>
      <c r="S109" s="72"/>
    </row>
    <row r="110" spans="10:19" x14ac:dyDescent="0.35">
      <c r="J110" s="66">
        <v>11</v>
      </c>
      <c r="K110" t="s">
        <v>36</v>
      </c>
      <c r="L110" t="s">
        <v>234</v>
      </c>
      <c r="M110">
        <v>1</v>
      </c>
      <c r="N110" t="s">
        <v>3</v>
      </c>
      <c r="O110" t="s">
        <v>7</v>
      </c>
      <c r="P110">
        <f t="shared" si="11"/>
        <v>1.6920990118295482</v>
      </c>
      <c r="Q110">
        <f t="shared" si="12"/>
        <v>0.47900104217543715</v>
      </c>
      <c r="R110" s="67" cm="1">
        <f t="array" ref="R110">SUMPRODUCT((J110=$J$7:$J$1000)*(P110&lt;$P$7:$P$1000))+1</f>
        <v>8</v>
      </c>
      <c r="S110" s="72"/>
    </row>
    <row r="111" spans="10:19" x14ac:dyDescent="0.35">
      <c r="J111" s="66">
        <v>11</v>
      </c>
      <c r="K111" t="s">
        <v>6</v>
      </c>
      <c r="L111" t="s">
        <v>461</v>
      </c>
      <c r="M111">
        <v>1</v>
      </c>
      <c r="N111" t="s">
        <v>9</v>
      </c>
      <c r="O111" t="s">
        <v>34</v>
      </c>
      <c r="P111">
        <f t="shared" si="11"/>
        <v>1.342344023262307</v>
      </c>
      <c r="Q111">
        <f t="shared" si="12"/>
        <v>0.11719943026342296</v>
      </c>
      <c r="R111" s="67" cm="1">
        <f t="array" ref="R111">SUMPRODUCT((J111=$J$7:$J$1000)*(P111&lt;$P$7:$P$1000))+1</f>
        <v>10</v>
      </c>
      <c r="S111" s="72"/>
    </row>
    <row r="112" spans="10:19" x14ac:dyDescent="0.35">
      <c r="J112" s="66">
        <v>11</v>
      </c>
      <c r="K112" t="s">
        <v>24</v>
      </c>
      <c r="L112" t="s">
        <v>235</v>
      </c>
      <c r="M112">
        <v>1</v>
      </c>
      <c r="N112" t="s">
        <v>3</v>
      </c>
      <c r="O112" t="s">
        <v>14</v>
      </c>
      <c r="P112">
        <f t="shared" si="11"/>
        <v>1.8947340421813519</v>
      </c>
      <c r="Q112">
        <f t="shared" si="12"/>
        <v>0.80054900623818115</v>
      </c>
      <c r="R112" s="67" cm="1">
        <f t="array" ref="R112">SUMPRODUCT((J112=$J$7:$J$1000)*(P112&lt;$P$7:$P$1000))+1</f>
        <v>5</v>
      </c>
      <c r="S112" s="72"/>
    </row>
    <row r="113" spans="10:19" x14ac:dyDescent="0.35">
      <c r="J113" s="66">
        <v>11</v>
      </c>
      <c r="K113" t="s">
        <v>4</v>
      </c>
      <c r="L113" t="s">
        <v>237</v>
      </c>
      <c r="M113">
        <v>1</v>
      </c>
      <c r="N113" t="s">
        <v>3</v>
      </c>
      <c r="O113" t="s">
        <v>17</v>
      </c>
      <c r="P113">
        <f t="shared" si="11"/>
        <v>1.4883191586568534</v>
      </c>
      <c r="Q113">
        <f t="shared" si="12"/>
        <v>0.23845560071133715</v>
      </c>
      <c r="R113" s="67" cm="1">
        <f t="array" ref="R113">SUMPRODUCT((J113=$J$7:$J$1000)*(P113&lt;$P$7:$P$1000))+1</f>
        <v>9</v>
      </c>
      <c r="S113" s="72"/>
    </row>
    <row r="114" spans="10:19" x14ac:dyDescent="0.35">
      <c r="J114" s="66">
        <v>11</v>
      </c>
      <c r="K114" t="s">
        <v>17</v>
      </c>
      <c r="L114" t="s">
        <v>240</v>
      </c>
      <c r="M114">
        <v>1</v>
      </c>
      <c r="N114" t="s">
        <v>9</v>
      </c>
      <c r="O114" t="s">
        <v>4</v>
      </c>
      <c r="P114">
        <f t="shared" si="11"/>
        <v>1.9141053656782194</v>
      </c>
      <c r="Q114">
        <f t="shared" si="12"/>
        <v>0.83558861956171127</v>
      </c>
      <c r="R114" s="67" cm="1">
        <f t="array" ref="R114">SUMPRODUCT((J114=$J$7:$J$1000)*(P114&lt;$P$7:$P$1000))+1</f>
        <v>3</v>
      </c>
      <c r="S114" s="72"/>
    </row>
    <row r="115" spans="10:19" x14ac:dyDescent="0.35">
      <c r="J115" s="66">
        <v>12</v>
      </c>
      <c r="K115" t="s">
        <v>34</v>
      </c>
      <c r="L115" t="s">
        <v>239</v>
      </c>
      <c r="M115">
        <v>7</v>
      </c>
      <c r="N115" t="s">
        <v>3</v>
      </c>
      <c r="O115" t="s">
        <v>4</v>
      </c>
      <c r="P115">
        <f t="shared" ref="P115:P146" si="13">VLOOKUP($N115,$F$3:$G$4,2,FALSE)+VLOOKUP($L115,$B$20:$C$30,2,FALSE)+VLOOKUP($O115,$A$6:$B$16,2,FALSE)</f>
        <v>3.0611677385093548</v>
      </c>
      <c r="Q115">
        <f t="shared" ref="Q115:Q146" si="14">IFERROR(($M115-$P115)^2,"")</f>
        <v>15.514399584159511</v>
      </c>
      <c r="R115" s="67" cm="1">
        <f t="array" ref="R115">SUMPRODUCT((J115=$J$7:$J$1000)*(P115&lt;$P$7:$P$1000))+1</f>
        <v>3</v>
      </c>
      <c r="S115" s="72"/>
    </row>
    <row r="116" spans="10:19" x14ac:dyDescent="0.35">
      <c r="J116" s="66">
        <v>12</v>
      </c>
      <c r="K116" t="s">
        <v>13</v>
      </c>
      <c r="L116" t="s">
        <v>241</v>
      </c>
      <c r="M116">
        <v>5</v>
      </c>
      <c r="N116" t="s">
        <v>3</v>
      </c>
      <c r="O116" t="s">
        <v>7</v>
      </c>
      <c r="P116">
        <f t="shared" si="13"/>
        <v>3.1758575433544243</v>
      </c>
      <c r="Q116">
        <f t="shared" si="14"/>
        <v>3.327495702136956</v>
      </c>
      <c r="R116" s="67" cm="1">
        <f t="array" ref="R116">SUMPRODUCT((J116=$J$7:$J$1000)*(P116&lt;$P$7:$P$1000))+1</f>
        <v>2</v>
      </c>
      <c r="S116" s="72"/>
    </row>
    <row r="117" spans="10:19" x14ac:dyDescent="0.35">
      <c r="J117" s="66">
        <v>12</v>
      </c>
      <c r="K117" t="s">
        <v>2</v>
      </c>
      <c r="L117" t="s">
        <v>232</v>
      </c>
      <c r="M117">
        <v>4</v>
      </c>
      <c r="N117" t="s">
        <v>3</v>
      </c>
      <c r="O117" t="s">
        <v>24</v>
      </c>
      <c r="P117">
        <f t="shared" si="13"/>
        <v>2.8616100365546981</v>
      </c>
      <c r="Q117">
        <f t="shared" si="14"/>
        <v>1.2959317088729958</v>
      </c>
      <c r="R117" s="67" cm="1">
        <f t="array" ref="R117">SUMPRODUCT((J117=$J$7:$J$1000)*(P117&lt;$P$7:$P$1000))+1</f>
        <v>4</v>
      </c>
      <c r="S117" s="72"/>
    </row>
    <row r="118" spans="10:19" x14ac:dyDescent="0.35">
      <c r="J118" s="66">
        <v>12</v>
      </c>
      <c r="K118" t="s">
        <v>17</v>
      </c>
      <c r="L118" t="s">
        <v>240</v>
      </c>
      <c r="M118">
        <v>3</v>
      </c>
      <c r="N118" t="s">
        <v>3</v>
      </c>
      <c r="O118" t="s">
        <v>6</v>
      </c>
      <c r="P118">
        <f t="shared" si="13"/>
        <v>4.4928015294797978</v>
      </c>
      <c r="Q118">
        <f t="shared" si="14"/>
        <v>2.2284564064172239</v>
      </c>
      <c r="R118" s="67" cm="1">
        <f t="array" ref="R118">SUMPRODUCT((J118=$J$7:$J$1000)*(P118&lt;$P$7:$P$1000))+1</f>
        <v>1</v>
      </c>
      <c r="S118" s="72"/>
    </row>
    <row r="119" spans="10:19" x14ac:dyDescent="0.35">
      <c r="J119" s="66">
        <v>12</v>
      </c>
      <c r="K119" t="s">
        <v>34</v>
      </c>
      <c r="L119" t="s">
        <v>239</v>
      </c>
      <c r="M119">
        <v>2</v>
      </c>
      <c r="N119" t="s">
        <v>9</v>
      </c>
      <c r="O119" t="s">
        <v>4</v>
      </c>
      <c r="P119">
        <f t="shared" si="13"/>
        <v>2.6485408770257091</v>
      </c>
      <c r="Q119">
        <f t="shared" si="14"/>
        <v>0.4206052691732759</v>
      </c>
      <c r="R119" s="67" cm="1">
        <f t="array" ref="R119">SUMPRODUCT((J119=$J$7:$J$1000)*(P119&lt;$P$7:$P$1000))+1</f>
        <v>6</v>
      </c>
      <c r="S119" s="72"/>
    </row>
    <row r="120" spans="10:19" x14ac:dyDescent="0.35">
      <c r="J120" s="66">
        <v>12</v>
      </c>
      <c r="K120" t="s">
        <v>6</v>
      </c>
      <c r="L120" t="s">
        <v>461</v>
      </c>
      <c r="M120">
        <v>1</v>
      </c>
      <c r="N120" t="s">
        <v>9</v>
      </c>
      <c r="O120" t="s">
        <v>17</v>
      </c>
      <c r="P120">
        <f t="shared" si="13"/>
        <v>0.66665174435212049</v>
      </c>
      <c r="Q120">
        <f t="shared" si="14"/>
        <v>0.11112105954348403</v>
      </c>
      <c r="R120" s="67" cm="1">
        <f t="array" ref="R120">SUMPRODUCT((J120=$J$7:$J$1000)*(P120&lt;$P$7:$P$1000))+1</f>
        <v>11</v>
      </c>
      <c r="S120" s="72"/>
    </row>
    <row r="121" spans="10:19" x14ac:dyDescent="0.35">
      <c r="J121" s="66">
        <v>12</v>
      </c>
      <c r="K121" t="s">
        <v>24</v>
      </c>
      <c r="L121" t="s">
        <v>235</v>
      </c>
      <c r="M121">
        <v>1</v>
      </c>
      <c r="N121" t="s">
        <v>9</v>
      </c>
      <c r="O121" t="s">
        <v>2</v>
      </c>
      <c r="P121">
        <f t="shared" si="13"/>
        <v>0.4833378774492883</v>
      </c>
      <c r="Q121">
        <f t="shared" si="14"/>
        <v>0.26693974887860672</v>
      </c>
      <c r="R121" s="67" cm="1">
        <f t="array" ref="R121">SUMPRODUCT((J121=$J$7:$J$1000)*(P121&lt;$P$7:$P$1000))+1</f>
        <v>12</v>
      </c>
      <c r="S121" s="72"/>
    </row>
    <row r="122" spans="10:19" x14ac:dyDescent="0.35">
      <c r="J122" s="66">
        <v>12</v>
      </c>
      <c r="K122" t="s">
        <v>23</v>
      </c>
      <c r="L122" t="s">
        <v>236</v>
      </c>
      <c r="M122">
        <v>1</v>
      </c>
      <c r="N122" t="s">
        <v>3</v>
      </c>
      <c r="O122" t="s">
        <v>36</v>
      </c>
      <c r="P122">
        <f t="shared" si="13"/>
        <v>1.1195894775183608</v>
      </c>
      <c r="Q122">
        <f t="shared" si="14"/>
        <v>1.4301643133114522E-2</v>
      </c>
      <c r="R122" s="67" cm="1">
        <f t="array" ref="R122">SUMPRODUCT((J122=$J$7:$J$1000)*(P122&lt;$P$7:$P$1000))+1</f>
        <v>10</v>
      </c>
      <c r="S122" s="72"/>
    </row>
    <row r="123" spans="10:19" x14ac:dyDescent="0.35">
      <c r="J123" s="66">
        <v>12</v>
      </c>
      <c r="K123" t="s">
        <v>4</v>
      </c>
      <c r="L123" t="s">
        <v>237</v>
      </c>
      <c r="M123">
        <v>1</v>
      </c>
      <c r="N123" t="s">
        <v>9</v>
      </c>
      <c r="O123" t="s">
        <v>34</v>
      </c>
      <c r="P123">
        <f t="shared" si="13"/>
        <v>1.7513845760833942</v>
      </c>
      <c r="Q123">
        <f t="shared" si="14"/>
        <v>0.56457878117602189</v>
      </c>
      <c r="R123" s="67" cm="1">
        <f t="array" ref="R123">SUMPRODUCT((J123=$J$7:$J$1000)*(P123&lt;$P$7:$P$1000))+1</f>
        <v>7</v>
      </c>
      <c r="S123" s="72"/>
    </row>
    <row r="124" spans="10:19" x14ac:dyDescent="0.35">
      <c r="J124" s="66">
        <v>12</v>
      </c>
      <c r="K124" t="s">
        <v>7</v>
      </c>
      <c r="L124" t="s">
        <v>238</v>
      </c>
      <c r="M124">
        <v>1</v>
      </c>
      <c r="N124" t="s">
        <v>3</v>
      </c>
      <c r="O124" t="s">
        <v>13</v>
      </c>
      <c r="P124">
        <f t="shared" si="13"/>
        <v>1.3212088018717048</v>
      </c>
      <c r="Q124">
        <f t="shared" si="14"/>
        <v>0.10317509439985607</v>
      </c>
      <c r="R124" s="67" cm="1">
        <f t="array" ref="R124">SUMPRODUCT((J124=$J$7:$J$1000)*(P124&lt;$P$7:$P$1000))+1</f>
        <v>9</v>
      </c>
      <c r="S124" s="72"/>
    </row>
    <row r="125" spans="10:19" x14ac:dyDescent="0.35">
      <c r="J125" s="66">
        <v>12</v>
      </c>
      <c r="K125" t="s">
        <v>36</v>
      </c>
      <c r="L125" t="s">
        <v>234</v>
      </c>
      <c r="M125">
        <v>0</v>
      </c>
      <c r="N125" t="s">
        <v>9</v>
      </c>
      <c r="O125" t="s">
        <v>23</v>
      </c>
      <c r="P125">
        <f t="shared" si="13"/>
        <v>1.6628111387499001</v>
      </c>
      <c r="Q125">
        <f t="shared" si="14"/>
        <v>2.7649408831507394</v>
      </c>
      <c r="R125" s="67" cm="1">
        <f t="array" ref="R125">SUMPRODUCT((J125=$J$7:$J$1000)*(P125&lt;$P$7:$P$1000))+1</f>
        <v>8</v>
      </c>
      <c r="S125" s="72"/>
    </row>
    <row r="126" spans="10:19" x14ac:dyDescent="0.35">
      <c r="J126" s="66">
        <v>12</v>
      </c>
      <c r="K126" t="s">
        <v>13</v>
      </c>
      <c r="L126" t="s">
        <v>241</v>
      </c>
      <c r="M126">
        <v>0</v>
      </c>
      <c r="N126" t="s">
        <v>9</v>
      </c>
      <c r="O126" t="s">
        <v>7</v>
      </c>
      <c r="P126">
        <f t="shared" si="13"/>
        <v>2.7632306818707786</v>
      </c>
      <c r="Q126">
        <f t="shared" si="14"/>
        <v>7.6354438012320482</v>
      </c>
      <c r="R126" s="67" cm="1">
        <f t="array" ref="R126">SUMPRODUCT((J126=$J$7:$J$1000)*(P126&lt;$P$7:$P$1000))+1</f>
        <v>5</v>
      </c>
      <c r="S126" s="72"/>
    </row>
    <row r="127" spans="10:19" x14ac:dyDescent="0.35">
      <c r="J127" s="66">
        <v>13</v>
      </c>
      <c r="K127" t="s">
        <v>14</v>
      </c>
      <c r="L127" t="s">
        <v>231</v>
      </c>
      <c r="M127" t="s">
        <v>256</v>
      </c>
      <c r="N127" t="s">
        <v>9</v>
      </c>
      <c r="O127" t="s">
        <v>6</v>
      </c>
      <c r="P127">
        <f t="shared" si="13"/>
        <v>3.7293029922556702</v>
      </c>
      <c r="Q127" t="str">
        <f t="shared" si="14"/>
        <v/>
      </c>
      <c r="R127" s="67" cm="1">
        <f t="array" ref="R127">SUMPRODUCT((J127=$J$7:$J$1000)*(P127&lt;$P$7:$P$1000))+1</f>
        <v>1</v>
      </c>
      <c r="S127" s="72"/>
    </row>
    <row r="128" spans="10:19" x14ac:dyDescent="0.35">
      <c r="J128" s="66">
        <v>13</v>
      </c>
      <c r="K128" t="s">
        <v>2</v>
      </c>
      <c r="L128" t="s">
        <v>232</v>
      </c>
      <c r="M128" t="s">
        <v>256</v>
      </c>
      <c r="N128" t="s">
        <v>9</v>
      </c>
      <c r="O128" t="s">
        <v>23</v>
      </c>
      <c r="P128">
        <f t="shared" si="13"/>
        <v>2.3402245436579712</v>
      </c>
      <c r="Q128" t="str">
        <f t="shared" si="14"/>
        <v/>
      </c>
      <c r="R128" s="67" cm="1">
        <f t="array" ref="R128">SUMPRODUCT((J128=$J$7:$J$1000)*(P128&lt;$P$7:$P$1000))+1</f>
        <v>5</v>
      </c>
      <c r="S128" s="72"/>
    </row>
    <row r="129" spans="10:19" x14ac:dyDescent="0.35">
      <c r="J129" s="66">
        <v>13</v>
      </c>
      <c r="K129" t="s">
        <v>36</v>
      </c>
      <c r="L129" t="s">
        <v>234</v>
      </c>
      <c r="M129" t="s">
        <v>256</v>
      </c>
      <c r="N129" t="s">
        <v>9</v>
      </c>
      <c r="O129" t="s">
        <v>34</v>
      </c>
      <c r="P129">
        <f t="shared" si="13"/>
        <v>1.4303964615805991</v>
      </c>
      <c r="Q129" t="str">
        <f t="shared" si="14"/>
        <v/>
      </c>
      <c r="R129" s="67" cm="1">
        <f t="array" ref="R129">SUMPRODUCT((J129=$J$7:$J$1000)*(P129&lt;$P$7:$P$1000))+1</f>
        <v>8</v>
      </c>
      <c r="S129" s="72"/>
    </row>
    <row r="130" spans="10:19" x14ac:dyDescent="0.35">
      <c r="J130" s="66">
        <v>13</v>
      </c>
      <c r="K130" t="s">
        <v>6</v>
      </c>
      <c r="L130" t="s">
        <v>461</v>
      </c>
      <c r="M130" t="s">
        <v>256</v>
      </c>
      <c r="N130" t="s">
        <v>3</v>
      </c>
      <c r="O130" t="s">
        <v>14</v>
      </c>
      <c r="P130">
        <f t="shared" si="13"/>
        <v>2.6019027240128199</v>
      </c>
      <c r="Q130" t="str">
        <f t="shared" si="14"/>
        <v/>
      </c>
      <c r="R130" s="67" cm="1">
        <f t="array" ref="R130">SUMPRODUCT((J130=$J$7:$J$1000)*(P130&lt;$P$7:$P$1000))+1</f>
        <v>3</v>
      </c>
      <c r="S130" s="72"/>
    </row>
    <row r="131" spans="10:19" x14ac:dyDescent="0.35">
      <c r="J131" s="66">
        <v>13</v>
      </c>
      <c r="K131" t="s">
        <v>24</v>
      </c>
      <c r="L131" t="s">
        <v>235</v>
      </c>
      <c r="M131" t="s">
        <v>256</v>
      </c>
      <c r="N131" t="s">
        <v>9</v>
      </c>
      <c r="O131" t="s">
        <v>4</v>
      </c>
      <c r="P131">
        <f t="shared" si="13"/>
        <v>1.4406225703916213</v>
      </c>
      <c r="Q131" t="str">
        <f t="shared" si="14"/>
        <v/>
      </c>
      <c r="R131" s="67" cm="1">
        <f t="array" ref="R131">SUMPRODUCT((J131=$J$7:$J$1000)*(P131&lt;$P$7:$P$1000))+1</f>
        <v>7</v>
      </c>
      <c r="S131" s="72"/>
    </row>
    <row r="132" spans="10:19" x14ac:dyDescent="0.35">
      <c r="J132" s="66">
        <v>13</v>
      </c>
      <c r="K132" t="s">
        <v>23</v>
      </c>
      <c r="L132" t="s">
        <v>236</v>
      </c>
      <c r="M132" t="s">
        <v>256</v>
      </c>
      <c r="N132" t="s">
        <v>3</v>
      </c>
      <c r="O132" t="s">
        <v>2</v>
      </c>
      <c r="P132">
        <f t="shared" si="13"/>
        <v>1.1559661455975589</v>
      </c>
      <c r="Q132" t="str">
        <f t="shared" si="14"/>
        <v/>
      </c>
      <c r="R132" s="67" cm="1">
        <f t="array" ref="R132">SUMPRODUCT((J132=$J$7:$J$1000)*(P132&lt;$P$7:$P$1000))+1</f>
        <v>9</v>
      </c>
      <c r="S132" s="72"/>
    </row>
    <row r="133" spans="10:19" x14ac:dyDescent="0.35">
      <c r="J133" s="66">
        <v>13</v>
      </c>
      <c r="K133" t="s">
        <v>4</v>
      </c>
      <c r="L133" t="s">
        <v>237</v>
      </c>
      <c r="M133" t="s">
        <v>256</v>
      </c>
      <c r="N133" t="s">
        <v>3</v>
      </c>
      <c r="O133" t="s">
        <v>24</v>
      </c>
      <c r="P133">
        <f t="shared" si="13"/>
        <v>2.5051847461494221</v>
      </c>
      <c r="Q133" t="str">
        <f t="shared" si="14"/>
        <v/>
      </c>
      <c r="R133" s="67" cm="1">
        <f t="array" ref="R133">SUMPRODUCT((J133=$J$7:$J$1000)*(P133&lt;$P$7:$P$1000))+1</f>
        <v>4</v>
      </c>
      <c r="S133" s="72"/>
    </row>
    <row r="134" spans="10:19" x14ac:dyDescent="0.35">
      <c r="J134" s="66">
        <v>13</v>
      </c>
      <c r="K134" t="s">
        <v>34</v>
      </c>
      <c r="L134" t="s">
        <v>239</v>
      </c>
      <c r="M134" t="s">
        <v>256</v>
      </c>
      <c r="N134" t="s">
        <v>3</v>
      </c>
      <c r="O134" t="s">
        <v>36</v>
      </c>
      <c r="P134">
        <f t="shared" si="13"/>
        <v>2.067506377487824</v>
      </c>
      <c r="Q134" t="str">
        <f t="shared" si="14"/>
        <v/>
      </c>
      <c r="R134" s="67" cm="1">
        <f t="array" ref="R134">SUMPRODUCT((J134=$J$7:$J$1000)*(P134&lt;$P$7:$P$1000))+1</f>
        <v>6</v>
      </c>
      <c r="S134" s="72"/>
    </row>
    <row r="135" spans="10:19" x14ac:dyDescent="0.35">
      <c r="J135" s="66">
        <v>13</v>
      </c>
      <c r="K135" t="s">
        <v>17</v>
      </c>
      <c r="L135" t="s">
        <v>240</v>
      </c>
      <c r="M135" t="s">
        <v>256</v>
      </c>
      <c r="N135" t="s">
        <v>9</v>
      </c>
      <c r="O135" t="s">
        <v>13</v>
      </c>
      <c r="P135">
        <f t="shared" si="13"/>
        <v>0.70796776323434774</v>
      </c>
      <c r="Q135" t="str">
        <f t="shared" si="14"/>
        <v/>
      </c>
      <c r="R135" s="67" cm="1">
        <f t="array" ref="R135">SUMPRODUCT((J135=$J$7:$J$1000)*(P135&lt;$P$7:$P$1000))+1</f>
        <v>10</v>
      </c>
      <c r="S135" s="72"/>
    </row>
    <row r="136" spans="10:19" x14ac:dyDescent="0.35">
      <c r="J136" s="66">
        <v>13</v>
      </c>
      <c r="K136" t="s">
        <v>13</v>
      </c>
      <c r="L136" t="s">
        <v>241</v>
      </c>
      <c r="M136" t="s">
        <v>256</v>
      </c>
      <c r="N136" t="s">
        <v>3</v>
      </c>
      <c r="O136" t="s">
        <v>17</v>
      </c>
      <c r="P136">
        <f t="shared" si="13"/>
        <v>2.6510895756789346</v>
      </c>
      <c r="Q136" t="str">
        <f t="shared" si="14"/>
        <v/>
      </c>
      <c r="R136" s="67" cm="1">
        <f t="array" ref="R136">SUMPRODUCT((J136=$J$7:$J$1000)*(P136&lt;$P$7:$P$1000))+1</f>
        <v>2</v>
      </c>
      <c r="S136" s="72"/>
    </row>
    <row r="137" spans="10:19" x14ac:dyDescent="0.35">
      <c r="J137" s="66">
        <v>14</v>
      </c>
      <c r="K137" t="s">
        <v>14</v>
      </c>
      <c r="L137" t="s">
        <v>231</v>
      </c>
      <c r="M137" t="s">
        <v>256</v>
      </c>
      <c r="N137" t="s">
        <v>3</v>
      </c>
      <c r="O137" t="s">
        <v>7</v>
      </c>
      <c r="P137">
        <f t="shared" si="13"/>
        <v>1.0194890112259043</v>
      </c>
      <c r="Q137" t="str">
        <f t="shared" si="14"/>
        <v/>
      </c>
      <c r="R137" s="67" cm="1">
        <f t="array" ref="R137">SUMPRODUCT((J137=$J$7:$J$1000)*(P137&lt;$P$7:$P$1000))+1</f>
        <v>10</v>
      </c>
      <c r="S137" s="72"/>
    </row>
    <row r="138" spans="10:19" x14ac:dyDescent="0.35">
      <c r="J138" s="66">
        <v>14</v>
      </c>
      <c r="K138" t="s">
        <v>2</v>
      </c>
      <c r="L138" t="s">
        <v>232</v>
      </c>
      <c r="M138" t="s">
        <v>256</v>
      </c>
      <c r="N138" t="s">
        <v>3</v>
      </c>
      <c r="O138" t="s">
        <v>6</v>
      </c>
      <c r="P138">
        <f t="shared" si="13"/>
        <v>5.4919532592510309</v>
      </c>
      <c r="Q138" t="str">
        <f t="shared" si="14"/>
        <v/>
      </c>
      <c r="R138" s="67" cm="1">
        <f t="array" ref="R138">SUMPRODUCT((J138=$J$7:$J$1000)*(P138&lt;$P$7:$P$1000))+1</f>
        <v>1</v>
      </c>
      <c r="S138" s="72"/>
    </row>
    <row r="139" spans="10:19" x14ac:dyDescent="0.35">
      <c r="J139" s="66">
        <v>14</v>
      </c>
      <c r="K139" t="s">
        <v>36</v>
      </c>
      <c r="L139" t="s">
        <v>234</v>
      </c>
      <c r="M139" t="s">
        <v>256</v>
      </c>
      <c r="N139" t="s">
        <v>3</v>
      </c>
      <c r="O139" t="s">
        <v>13</v>
      </c>
      <c r="P139">
        <f t="shared" si="13"/>
        <v>1.4423329495811557</v>
      </c>
      <c r="Q139" t="str">
        <f t="shared" si="14"/>
        <v/>
      </c>
      <c r="R139" s="67" cm="1">
        <f t="array" ref="R139">SUMPRODUCT((J139=$J$7:$J$1000)*(P139&lt;$P$7:$P$1000))+1</f>
        <v>5</v>
      </c>
      <c r="S139" s="72"/>
    </row>
    <row r="140" spans="10:19" x14ac:dyDescent="0.35">
      <c r="J140" s="66">
        <v>14</v>
      </c>
      <c r="K140" t="s">
        <v>6</v>
      </c>
      <c r="L140" t="s">
        <v>461</v>
      </c>
      <c r="M140" t="s">
        <v>256</v>
      </c>
      <c r="N140" t="s">
        <v>9</v>
      </c>
      <c r="O140" t="s">
        <v>2</v>
      </c>
      <c r="P140">
        <f t="shared" si="13"/>
        <v>1.1905065592807564</v>
      </c>
      <c r="Q140" t="str">
        <f t="shared" si="14"/>
        <v/>
      </c>
      <c r="R140" s="67" cm="1">
        <f t="array" ref="R140">SUMPRODUCT((J140=$J$7:$J$1000)*(P140&lt;$P$7:$P$1000))+1</f>
        <v>8</v>
      </c>
      <c r="S140" s="72"/>
    </row>
    <row r="141" spans="10:19" x14ac:dyDescent="0.35">
      <c r="J141" s="66">
        <v>14</v>
      </c>
      <c r="K141" t="s">
        <v>24</v>
      </c>
      <c r="L141" t="s">
        <v>235</v>
      </c>
      <c r="M141" t="s">
        <v>256</v>
      </c>
      <c r="N141" t="s">
        <v>3</v>
      </c>
      <c r="O141" t="s">
        <v>23</v>
      </c>
      <c r="P141">
        <f t="shared" si="13"/>
        <v>1.2802168800837854</v>
      </c>
      <c r="Q141" t="str">
        <f t="shared" si="14"/>
        <v/>
      </c>
      <c r="R141" s="67" cm="1">
        <f t="array" ref="R141">SUMPRODUCT((J141=$J$7:$J$1000)*(P141&lt;$P$7:$P$1000))+1</f>
        <v>6</v>
      </c>
      <c r="S141" s="72"/>
    </row>
    <row r="142" spans="10:19" x14ac:dyDescent="0.35">
      <c r="J142" s="66">
        <v>14</v>
      </c>
      <c r="K142" t="s">
        <v>23</v>
      </c>
      <c r="L142" t="s">
        <v>236</v>
      </c>
      <c r="M142" t="s">
        <v>256</v>
      </c>
      <c r="N142" t="s">
        <v>9</v>
      </c>
      <c r="O142" t="s">
        <v>24</v>
      </c>
      <c r="P142">
        <f t="shared" si="13"/>
        <v>1.2363500566778463</v>
      </c>
      <c r="Q142" t="str">
        <f t="shared" si="14"/>
        <v/>
      </c>
      <c r="R142" s="67" cm="1">
        <f t="array" ref="R142">SUMPRODUCT((J142=$J$7:$J$1000)*(P142&lt;$P$7:$P$1000))+1</f>
        <v>7</v>
      </c>
      <c r="S142" s="72"/>
    </row>
    <row r="143" spans="10:19" x14ac:dyDescent="0.35">
      <c r="J143" s="66">
        <v>14</v>
      </c>
      <c r="K143" t="s">
        <v>7</v>
      </c>
      <c r="L143" t="s">
        <v>238</v>
      </c>
      <c r="M143" t="s">
        <v>256</v>
      </c>
      <c r="N143" t="s">
        <v>9</v>
      </c>
      <c r="O143" t="s">
        <v>14</v>
      </c>
      <c r="P143">
        <f t="shared" si="13"/>
        <v>2.1562041531380158</v>
      </c>
      <c r="Q143" t="str">
        <f t="shared" si="14"/>
        <v/>
      </c>
      <c r="R143" s="67" cm="1">
        <f t="array" ref="R143">SUMPRODUCT((J143=$J$7:$J$1000)*(P143&lt;$P$7:$P$1000))+1</f>
        <v>3</v>
      </c>
      <c r="S143" s="72"/>
    </row>
    <row r="144" spans="10:19" x14ac:dyDescent="0.35">
      <c r="J144" s="66">
        <v>14</v>
      </c>
      <c r="K144" t="s">
        <v>34</v>
      </c>
      <c r="L144" t="s">
        <v>239</v>
      </c>
      <c r="M144" t="s">
        <v>256</v>
      </c>
      <c r="N144" t="s">
        <v>9</v>
      </c>
      <c r="O144" t="s">
        <v>17</v>
      </c>
      <c r="P144">
        <f t="shared" si="13"/>
        <v>1.1674013691547402</v>
      </c>
      <c r="Q144" t="str">
        <f t="shared" si="14"/>
        <v/>
      </c>
      <c r="R144" s="67" cm="1">
        <f t="array" ref="R144">SUMPRODUCT((J144=$J$7:$J$1000)*(P144&lt;$P$7:$P$1000))+1</f>
        <v>9</v>
      </c>
      <c r="S144" s="72"/>
    </row>
    <row r="145" spans="10:19" x14ac:dyDescent="0.35">
      <c r="J145" s="66">
        <v>14</v>
      </c>
      <c r="K145" t="s">
        <v>17</v>
      </c>
      <c r="L145" t="s">
        <v>240</v>
      </c>
      <c r="M145" t="s">
        <v>256</v>
      </c>
      <c r="N145" t="s">
        <v>3</v>
      </c>
      <c r="O145" t="s">
        <v>34</v>
      </c>
      <c r="P145">
        <f t="shared" si="13"/>
        <v>1.5212849982010828</v>
      </c>
      <c r="Q145" t="str">
        <f t="shared" si="14"/>
        <v/>
      </c>
      <c r="R145" s="67" cm="1">
        <f t="array" ref="R145">SUMPRODUCT((J145=$J$7:$J$1000)*(P145&lt;$P$7:$P$1000))+1</f>
        <v>4</v>
      </c>
      <c r="S145" s="72"/>
    </row>
    <row r="146" spans="10:19" x14ac:dyDescent="0.35">
      <c r="J146" s="66">
        <v>14</v>
      </c>
      <c r="K146" t="s">
        <v>13</v>
      </c>
      <c r="L146" t="s">
        <v>241</v>
      </c>
      <c r="M146" t="s">
        <v>256</v>
      </c>
      <c r="N146" t="s">
        <v>9</v>
      </c>
      <c r="O146" t="s">
        <v>36</v>
      </c>
      <c r="P146">
        <f t="shared" si="13"/>
        <v>2.7259408610447267</v>
      </c>
      <c r="Q146" t="str">
        <f t="shared" si="14"/>
        <v/>
      </c>
      <c r="R146" s="67" cm="1">
        <f t="array" ref="R146">SUMPRODUCT((J146=$J$7:$J$1000)*(P146&lt;$P$7:$P$1000))+1</f>
        <v>2</v>
      </c>
      <c r="S146" s="72"/>
    </row>
    <row r="147" spans="10:19" x14ac:dyDescent="0.35">
      <c r="J147" s="66">
        <v>15</v>
      </c>
      <c r="K147" t="s">
        <v>14</v>
      </c>
      <c r="L147" t="s">
        <v>231</v>
      </c>
      <c r="M147" t="s">
        <v>256</v>
      </c>
      <c r="N147" t="s">
        <v>3</v>
      </c>
      <c r="O147" t="s">
        <v>2</v>
      </c>
      <c r="P147">
        <f t="shared" ref="P147:P166" si="15">VLOOKUP($N147,$F$3:$G$4,2,FALSE)+VLOOKUP($L147,$B$20:$C$30,2,FALSE)+VLOOKUP($O147,$A$6:$B$16,2,FALSE)</f>
        <v>1.0185758584790503</v>
      </c>
      <c r="Q147" t="str">
        <f t="shared" ref="Q147:Q166" si="16">IFERROR(($M147-$P147)^2,"")</f>
        <v/>
      </c>
      <c r="R147" s="67" cm="1">
        <f t="array" ref="R147">SUMPRODUCT((J147=$J$7:$J$1000)*(P147&lt;$P$7:$P$1000))+1</f>
        <v>9</v>
      </c>
      <c r="S147" s="72"/>
    </row>
    <row r="148" spans="10:19" x14ac:dyDescent="0.35">
      <c r="J148" s="66">
        <v>15</v>
      </c>
      <c r="K148" t="s">
        <v>2</v>
      </c>
      <c r="L148" t="s">
        <v>232</v>
      </c>
      <c r="M148" t="s">
        <v>256</v>
      </c>
      <c r="N148" t="s">
        <v>9</v>
      </c>
      <c r="O148" t="s">
        <v>14</v>
      </c>
      <c r="P148">
        <f t="shared" si="15"/>
        <v>2.9547417057555374</v>
      </c>
      <c r="Q148" t="str">
        <f t="shared" si="16"/>
        <v/>
      </c>
      <c r="R148" s="67" cm="1">
        <f t="array" ref="R148">SUMPRODUCT((J148=$J$7:$J$1000)*(P148&lt;$P$7:$P$1000))+1</f>
        <v>3</v>
      </c>
      <c r="S148" s="72"/>
    </row>
    <row r="149" spans="10:19" x14ac:dyDescent="0.35">
      <c r="J149" s="66">
        <v>15</v>
      </c>
      <c r="K149" t="s">
        <v>36</v>
      </c>
      <c r="L149" t="s">
        <v>234</v>
      </c>
      <c r="M149" t="s">
        <v>256</v>
      </c>
      <c r="N149" t="s">
        <v>9</v>
      </c>
      <c r="O149" t="s">
        <v>17</v>
      </c>
      <c r="P149">
        <f t="shared" si="15"/>
        <v>0.75470418267041262</v>
      </c>
      <c r="Q149" t="str">
        <f t="shared" si="16"/>
        <v/>
      </c>
      <c r="R149" s="67" cm="1">
        <f t="array" ref="R149">SUMPRODUCT((J149=$J$7:$J$1000)*(P149&lt;$P$7:$P$1000))+1</f>
        <v>10</v>
      </c>
      <c r="S149" s="72"/>
    </row>
    <row r="150" spans="10:19" x14ac:dyDescent="0.35">
      <c r="J150" s="66">
        <v>15</v>
      </c>
      <c r="K150" t="s">
        <v>6</v>
      </c>
      <c r="L150" t="s">
        <v>461</v>
      </c>
      <c r="M150" t="s">
        <v>256</v>
      </c>
      <c r="N150" t="s">
        <v>3</v>
      </c>
      <c r="O150" t="s">
        <v>24</v>
      </c>
      <c r="P150">
        <f t="shared" si="15"/>
        <v>2.0961441933283349</v>
      </c>
      <c r="Q150" t="str">
        <f t="shared" si="16"/>
        <v/>
      </c>
      <c r="R150" s="67" cm="1">
        <f t="array" ref="R150">SUMPRODUCT((J150=$J$7:$J$1000)*(P150&lt;$P$7:$P$1000))+1</f>
        <v>4</v>
      </c>
      <c r="S150" s="72"/>
    </row>
    <row r="151" spans="10:19" x14ac:dyDescent="0.35">
      <c r="J151" s="66">
        <v>15</v>
      </c>
      <c r="K151" t="s">
        <v>24</v>
      </c>
      <c r="L151" t="s">
        <v>235</v>
      </c>
      <c r="M151" t="s">
        <v>256</v>
      </c>
      <c r="N151" t="s">
        <v>9</v>
      </c>
      <c r="O151" t="s">
        <v>6</v>
      </c>
      <c r="P151">
        <f t="shared" si="15"/>
        <v>3.606691872709554</v>
      </c>
      <c r="Q151" t="str">
        <f t="shared" si="16"/>
        <v/>
      </c>
      <c r="R151" s="67" cm="1">
        <f t="array" ref="R151">SUMPRODUCT((J151=$J$7:$J$1000)*(P151&lt;$P$7:$P$1000))+1</f>
        <v>2</v>
      </c>
      <c r="S151" s="72"/>
    </row>
    <row r="152" spans="10:19" x14ac:dyDescent="0.35">
      <c r="J152" s="66">
        <v>15</v>
      </c>
      <c r="K152" t="s">
        <v>23</v>
      </c>
      <c r="L152" t="s">
        <v>236</v>
      </c>
      <c r="M152" t="s">
        <v>256</v>
      </c>
      <c r="N152" t="s">
        <v>3</v>
      </c>
      <c r="O152" t="s">
        <v>7</v>
      </c>
      <c r="P152">
        <f t="shared" si="15"/>
        <v>1.1568792983444129</v>
      </c>
      <c r="Q152" t="str">
        <f t="shared" si="16"/>
        <v/>
      </c>
      <c r="R152" s="67" cm="1">
        <f t="array" ref="R152">SUMPRODUCT((J152=$J$7:$J$1000)*(P152&lt;$P$7:$P$1000))+1</f>
        <v>8</v>
      </c>
      <c r="S152" s="72"/>
    </row>
    <row r="153" spans="10:19" x14ac:dyDescent="0.35">
      <c r="J153">
        <v>15</v>
      </c>
      <c r="K153" t="s">
        <v>4</v>
      </c>
      <c r="L153" t="s">
        <v>237</v>
      </c>
      <c r="M153" t="s">
        <v>256</v>
      </c>
      <c r="N153" t="s">
        <v>3</v>
      </c>
      <c r="O153" t="s">
        <v>13</v>
      </c>
      <c r="P153">
        <f t="shared" si="15"/>
        <v>1.7633210640839507</v>
      </c>
      <c r="Q153" t="str">
        <f t="shared" si="16"/>
        <v/>
      </c>
      <c r="R153" s="67" cm="1">
        <f t="array" ref="R153">SUMPRODUCT((J153=$J$7:$J$1000)*(P153&lt;$P$7:$P$1000))+1</f>
        <v>5</v>
      </c>
      <c r="S153" s="72"/>
    </row>
    <row r="154" spans="10:19" x14ac:dyDescent="0.35">
      <c r="J154" s="66">
        <v>15</v>
      </c>
      <c r="K154" t="s">
        <v>7</v>
      </c>
      <c r="L154" t="s">
        <v>238</v>
      </c>
      <c r="M154" t="s">
        <v>256</v>
      </c>
      <c r="N154" t="s">
        <v>9</v>
      </c>
      <c r="O154" t="s">
        <v>23</v>
      </c>
      <c r="P154">
        <f t="shared" si="15"/>
        <v>1.5416869910404494</v>
      </c>
      <c r="Q154" t="str">
        <f t="shared" si="16"/>
        <v/>
      </c>
      <c r="R154" s="67" cm="1">
        <f t="array" ref="R154">SUMPRODUCT((J154=$J$7:$J$1000)*(P154&lt;$P$7:$P$1000))+1</f>
        <v>6</v>
      </c>
      <c r="S154" s="72"/>
    </row>
    <row r="155" spans="10:19" x14ac:dyDescent="0.35">
      <c r="J155" s="66">
        <v>15</v>
      </c>
      <c r="K155" t="s">
        <v>17</v>
      </c>
      <c r="L155" t="s">
        <v>240</v>
      </c>
      <c r="M155" t="s">
        <v>256</v>
      </c>
      <c r="N155" t="s">
        <v>3</v>
      </c>
      <c r="O155" t="s">
        <v>36</v>
      </c>
      <c r="P155">
        <f t="shared" si="15"/>
        <v>1.3330708661403339</v>
      </c>
      <c r="Q155" t="str">
        <f t="shared" si="16"/>
        <v/>
      </c>
      <c r="R155" s="67" cm="1">
        <f t="array" ref="R155">SUMPRODUCT((J155=$J$7:$J$1000)*(P155&lt;$P$7:$P$1000))+1</f>
        <v>7</v>
      </c>
      <c r="S155" s="72"/>
    </row>
    <row r="156" spans="10:19" x14ac:dyDescent="0.35">
      <c r="J156" s="66">
        <v>15</v>
      </c>
      <c r="K156" t="s">
        <v>13</v>
      </c>
      <c r="L156" t="s">
        <v>241</v>
      </c>
      <c r="M156" t="s">
        <v>256</v>
      </c>
      <c r="N156" t="s">
        <v>9</v>
      </c>
      <c r="O156" t="s">
        <v>4</v>
      </c>
      <c r="P156">
        <f t="shared" si="15"/>
        <v>3.7196022220662575</v>
      </c>
      <c r="Q156" t="str">
        <f t="shared" si="16"/>
        <v/>
      </c>
      <c r="R156" s="67" cm="1">
        <f t="array" ref="R156">SUMPRODUCT((J156=$J$7:$J$1000)*(P156&lt;$P$7:$P$1000))+1</f>
        <v>1</v>
      </c>
      <c r="S156" s="72"/>
    </row>
    <row r="157" spans="10:19" x14ac:dyDescent="0.35">
      <c r="J157" s="66">
        <v>16</v>
      </c>
      <c r="K157" t="s">
        <v>14</v>
      </c>
      <c r="L157" t="s">
        <v>231</v>
      </c>
      <c r="M157" t="s">
        <v>256</v>
      </c>
      <c r="N157" t="s">
        <v>9</v>
      </c>
      <c r="O157" t="s">
        <v>13</v>
      </c>
      <c r="P157">
        <f t="shared" si="15"/>
        <v>0.35709608749386601</v>
      </c>
      <c r="Q157" t="str">
        <f t="shared" si="16"/>
        <v/>
      </c>
      <c r="R157" s="67" cm="1">
        <f t="array" ref="R157">SUMPRODUCT((J157=$J$7:$J$1000)*(P157&lt;$P$7:$P$1000))+1</f>
        <v>10</v>
      </c>
      <c r="S157" s="72"/>
    </row>
    <row r="158" spans="10:19" x14ac:dyDescent="0.35">
      <c r="J158" s="66">
        <v>16</v>
      </c>
      <c r="K158" t="s">
        <v>2</v>
      </c>
      <c r="L158" t="s">
        <v>232</v>
      </c>
      <c r="M158" t="s">
        <v>256</v>
      </c>
      <c r="N158" t="s">
        <v>3</v>
      </c>
      <c r="O158" t="s">
        <v>4</v>
      </c>
      <c r="P158">
        <f t="shared" si="15"/>
        <v>3.3258839569330982</v>
      </c>
      <c r="Q158" t="str">
        <f t="shared" si="16"/>
        <v/>
      </c>
      <c r="R158" s="67" cm="1">
        <f t="array" ref="R158">SUMPRODUCT((J158=$J$7:$J$1000)*(P158&lt;$P$7:$P$1000))+1</f>
        <v>3</v>
      </c>
      <c r="S158" s="72"/>
    </row>
    <row r="159" spans="10:19" x14ac:dyDescent="0.35">
      <c r="J159" s="66">
        <v>16</v>
      </c>
      <c r="K159" t="s">
        <v>6</v>
      </c>
      <c r="L159" t="s">
        <v>461</v>
      </c>
      <c r="M159" t="s">
        <v>256</v>
      </c>
      <c r="N159" t="s">
        <v>9</v>
      </c>
      <c r="O159" t="s">
        <v>7</v>
      </c>
      <c r="P159">
        <f t="shared" si="15"/>
        <v>1.1914197120276104</v>
      </c>
      <c r="Q159" t="str">
        <f t="shared" si="16"/>
        <v/>
      </c>
      <c r="R159" s="67" cm="1">
        <f t="array" ref="R159">SUMPRODUCT((J159=$J$7:$J$1000)*(P159&lt;$P$7:$P$1000))+1</f>
        <v>7</v>
      </c>
      <c r="S159" s="72"/>
    </row>
    <row r="160" spans="10:19" x14ac:dyDescent="0.35">
      <c r="J160" s="66">
        <v>16</v>
      </c>
      <c r="K160" t="s">
        <v>24</v>
      </c>
      <c r="L160" t="s">
        <v>235</v>
      </c>
      <c r="M160" t="s">
        <v>256</v>
      </c>
      <c r="N160" t="s">
        <v>3</v>
      </c>
      <c r="O160" t="s">
        <v>34</v>
      </c>
      <c r="P160">
        <f t="shared" si="15"/>
        <v>1.0478022029144847</v>
      </c>
      <c r="Q160" t="str">
        <f t="shared" si="16"/>
        <v/>
      </c>
      <c r="R160" s="67" cm="1">
        <f t="array" ref="R160">SUMPRODUCT((J160=$J$7:$J$1000)*(P160&lt;$P$7:$P$1000))+1</f>
        <v>8</v>
      </c>
      <c r="S160" s="72"/>
    </row>
    <row r="161" spans="10:19" x14ac:dyDescent="0.35">
      <c r="J161" s="66">
        <v>16</v>
      </c>
      <c r="K161" t="s">
        <v>23</v>
      </c>
      <c r="L161" t="s">
        <v>236</v>
      </c>
      <c r="M161" t="s">
        <v>256</v>
      </c>
      <c r="N161" t="s">
        <v>3</v>
      </c>
      <c r="O161" t="s">
        <v>17</v>
      </c>
      <c r="P161">
        <f t="shared" si="15"/>
        <v>0.632111330668923</v>
      </c>
      <c r="Q161" t="str">
        <f t="shared" si="16"/>
        <v/>
      </c>
      <c r="R161" s="67" cm="1">
        <f t="array" ref="R161">SUMPRODUCT((J161=$J$7:$J$1000)*(P161&lt;$P$7:$P$1000))+1</f>
        <v>9</v>
      </c>
      <c r="S161" s="72"/>
    </row>
    <row r="162" spans="10:19" x14ac:dyDescent="0.35">
      <c r="J162" s="66">
        <v>16</v>
      </c>
      <c r="K162" t="s">
        <v>4</v>
      </c>
      <c r="L162" t="s">
        <v>237</v>
      </c>
      <c r="M162" t="s">
        <v>256</v>
      </c>
      <c r="N162" t="s">
        <v>9</v>
      </c>
      <c r="O162" t="s">
        <v>2</v>
      </c>
      <c r="P162">
        <f t="shared" si="15"/>
        <v>1.5995471121018436</v>
      </c>
      <c r="Q162" t="str">
        <f t="shared" si="16"/>
        <v/>
      </c>
      <c r="R162" s="67" cm="1">
        <f t="array" ref="R162">SUMPRODUCT((J162=$J$7:$J$1000)*(P162&lt;$P$7:$P$1000))+1</f>
        <v>5</v>
      </c>
      <c r="S162" s="72"/>
    </row>
    <row r="163" spans="10:19" x14ac:dyDescent="0.35">
      <c r="J163">
        <v>16</v>
      </c>
      <c r="K163" t="s">
        <v>7</v>
      </c>
      <c r="L163" t="s">
        <v>238</v>
      </c>
      <c r="M163" t="s">
        <v>256</v>
      </c>
      <c r="N163" t="s">
        <v>3</v>
      </c>
      <c r="O163" t="s">
        <v>6</v>
      </c>
      <c r="P163">
        <f t="shared" si="15"/>
        <v>4.6934157066335089</v>
      </c>
      <c r="Q163" t="str">
        <f t="shared" si="16"/>
        <v/>
      </c>
      <c r="R163" s="67" cm="1">
        <f t="array" ref="R163">SUMPRODUCT((J163=$J$7:$J$1000)*(P163&lt;$P$7:$P$1000))+1</f>
        <v>1</v>
      </c>
      <c r="S163" s="72"/>
    </row>
    <row r="164" spans="10:19" x14ac:dyDescent="0.35">
      <c r="J164">
        <v>16</v>
      </c>
      <c r="K164" t="s">
        <v>34</v>
      </c>
      <c r="L164" t="s">
        <v>239</v>
      </c>
      <c r="M164" t="s">
        <v>256</v>
      </c>
      <c r="N164" t="s">
        <v>9</v>
      </c>
      <c r="O164" t="s">
        <v>24</v>
      </c>
      <c r="P164">
        <f t="shared" si="15"/>
        <v>2.184266956647309</v>
      </c>
      <c r="Q164" t="str">
        <f t="shared" si="16"/>
        <v/>
      </c>
      <c r="R164" s="67" cm="1">
        <f t="array" ref="R164">SUMPRODUCT((J164=$J$7:$J$1000)*(P164&lt;$P$7:$P$1000))+1</f>
        <v>4</v>
      </c>
      <c r="S164" s="72"/>
    </row>
    <row r="165" spans="10:19" x14ac:dyDescent="0.35">
      <c r="J165">
        <v>16</v>
      </c>
      <c r="K165" t="s">
        <v>17</v>
      </c>
      <c r="L165" t="s">
        <v>240</v>
      </c>
      <c r="M165" t="s">
        <v>256</v>
      </c>
      <c r="N165" t="s">
        <v>9</v>
      </c>
      <c r="O165" t="s">
        <v>23</v>
      </c>
      <c r="P165">
        <f t="shared" si="15"/>
        <v>1.3410728138867378</v>
      </c>
      <c r="Q165" t="str">
        <f t="shared" si="16"/>
        <v/>
      </c>
      <c r="R165" s="67" cm="1">
        <f t="array" ref="R165">SUMPRODUCT((J165=$J$7:$J$1000)*(P165&lt;$P$7:$P$1000))+1</f>
        <v>6</v>
      </c>
      <c r="S165" s="72"/>
    </row>
    <row r="166" spans="10:19" x14ac:dyDescent="0.35">
      <c r="J166">
        <v>16</v>
      </c>
      <c r="K166" t="s">
        <v>13</v>
      </c>
      <c r="L166" t="s">
        <v>241</v>
      </c>
      <c r="M166" t="s">
        <v>256</v>
      </c>
      <c r="N166" t="s">
        <v>3</v>
      </c>
      <c r="O166" t="s">
        <v>14</v>
      </c>
      <c r="P166">
        <f t="shared" si="15"/>
        <v>4.173713693855988</v>
      </c>
      <c r="Q166" t="str">
        <f t="shared" si="16"/>
        <v/>
      </c>
      <c r="R166" s="67" cm="1">
        <f t="array" ref="R166">SUMPRODUCT((J166=$J$7:$J$1000)*(P166&lt;$P$7:$P$1000))+1</f>
        <v>2</v>
      </c>
      <c r="S166" s="72"/>
    </row>
    <row r="167" spans="10:19" x14ac:dyDescent="0.35">
      <c r="R167" s="67"/>
      <c r="S167" s="72"/>
    </row>
    <row r="168" spans="10:19" x14ac:dyDescent="0.35">
      <c r="R168" s="67"/>
      <c r="S168" s="72"/>
    </row>
    <row r="169" spans="10:19" x14ac:dyDescent="0.35">
      <c r="R169" s="67"/>
      <c r="S169" s="72"/>
    </row>
    <row r="170" spans="10:19" x14ac:dyDescent="0.35">
      <c r="R170" s="67"/>
      <c r="S170" s="72"/>
    </row>
    <row r="171" spans="10:19" x14ac:dyDescent="0.35">
      <c r="R171" s="67"/>
      <c r="S171" s="72"/>
    </row>
    <row r="172" spans="10:19" x14ac:dyDescent="0.35">
      <c r="R172" s="67"/>
      <c r="S172" s="72"/>
    </row>
    <row r="173" spans="10:19" x14ac:dyDescent="0.35">
      <c r="S173" s="72"/>
    </row>
    <row r="174" spans="10:19" x14ac:dyDescent="0.35">
      <c r="S174" s="72"/>
    </row>
    <row r="175" spans="10:19" x14ac:dyDescent="0.35">
      <c r="S175" s="72"/>
    </row>
    <row r="176" spans="10:19" x14ac:dyDescent="0.35">
      <c r="S176" s="72"/>
    </row>
    <row r="177" spans="1:19" x14ac:dyDescent="0.35">
      <c r="B177" t="s">
        <v>247</v>
      </c>
      <c r="S177" s="72"/>
    </row>
    <row r="178" spans="1:19" ht="15" thickBot="1" x14ac:dyDescent="0.4">
      <c r="A178" t="s">
        <v>186</v>
      </c>
      <c r="S178" s="72"/>
    </row>
    <row r="179" spans="1:19" x14ac:dyDescent="0.35">
      <c r="A179" s="18" t="s">
        <v>31</v>
      </c>
      <c r="B179" s="19" t="s">
        <v>30</v>
      </c>
      <c r="C179" s="19" t="s">
        <v>29</v>
      </c>
      <c r="D179" s="19" t="s">
        <v>244</v>
      </c>
      <c r="E179" s="19" t="s">
        <v>245</v>
      </c>
      <c r="F179" s="20" t="s">
        <v>246</v>
      </c>
      <c r="S179" s="72"/>
    </row>
    <row r="180" spans="1:19" x14ac:dyDescent="0.35">
      <c r="A180" s="14">
        <v>1</v>
      </c>
      <c r="B180" s="1" t="s">
        <v>171</v>
      </c>
      <c r="C180" s="1">
        <v>16.032608782135235</v>
      </c>
      <c r="D180" s="1">
        <f>RANK($C180,$C$180:$C$204,0)</f>
        <v>1</v>
      </c>
      <c r="E180" s="1" t="e">
        <f>RANK($F180,$F$180:$F$204,0)</f>
        <v>#N/A</v>
      </c>
      <c r="F180" s="15" t="e">
        <f t="shared" ref="F180:F204" si="17">VLOOKUP($B180,$L$175:$M$204,2,FALSE)</f>
        <v>#N/A</v>
      </c>
      <c r="S180" s="72"/>
    </row>
    <row r="181" spans="1:19" x14ac:dyDescent="0.35">
      <c r="A181" s="14">
        <v>2</v>
      </c>
      <c r="B181" s="1" t="s">
        <v>165</v>
      </c>
      <c r="C181" s="1">
        <v>11.190164032619077</v>
      </c>
      <c r="D181" s="1">
        <f t="shared" ref="D181:D204" si="18">RANK($C181,$C$180:$C$204,0)</f>
        <v>2</v>
      </c>
      <c r="E181" s="1" t="e">
        <f t="shared" ref="E181:E204" si="19">RANK($F181,$F$180:$F$204,0)</f>
        <v>#N/A</v>
      </c>
      <c r="F181" s="15" t="e">
        <f t="shared" si="17"/>
        <v>#N/A</v>
      </c>
      <c r="S181" s="72"/>
    </row>
    <row r="182" spans="1:19" x14ac:dyDescent="0.35">
      <c r="A182" s="14">
        <v>3</v>
      </c>
      <c r="B182" s="1" t="s">
        <v>164</v>
      </c>
      <c r="C182" s="1">
        <v>9.8340344113048772</v>
      </c>
      <c r="D182" s="1">
        <f t="shared" si="18"/>
        <v>3</v>
      </c>
      <c r="E182" s="1" t="e">
        <f t="shared" si="19"/>
        <v>#N/A</v>
      </c>
      <c r="F182" s="15" t="e">
        <f t="shared" si="17"/>
        <v>#N/A</v>
      </c>
      <c r="S182" s="72"/>
    </row>
    <row r="183" spans="1:19" x14ac:dyDescent="0.35">
      <c r="A183" s="14">
        <v>4</v>
      </c>
      <c r="B183" s="1" t="s">
        <v>154</v>
      </c>
      <c r="C183" s="1">
        <v>9.8015265299252121</v>
      </c>
      <c r="D183" s="1">
        <f t="shared" si="18"/>
        <v>4</v>
      </c>
      <c r="E183" s="1" t="e">
        <f t="shared" si="19"/>
        <v>#N/A</v>
      </c>
      <c r="F183" s="15" t="e">
        <f t="shared" si="17"/>
        <v>#N/A</v>
      </c>
      <c r="S183" s="72"/>
    </row>
    <row r="184" spans="1:19" x14ac:dyDescent="0.35">
      <c r="A184" s="14">
        <v>5</v>
      </c>
      <c r="B184" s="1" t="s">
        <v>163</v>
      </c>
      <c r="C184" s="1">
        <v>9.4311846195048101</v>
      </c>
      <c r="D184" s="1">
        <f t="shared" si="18"/>
        <v>5</v>
      </c>
      <c r="E184" s="1" t="e">
        <f t="shared" si="19"/>
        <v>#N/A</v>
      </c>
      <c r="F184" s="15" t="e">
        <f t="shared" si="17"/>
        <v>#N/A</v>
      </c>
      <c r="S184" s="72"/>
    </row>
    <row r="185" spans="1:19" x14ac:dyDescent="0.35">
      <c r="A185" s="14">
        <v>6</v>
      </c>
      <c r="B185" s="1" t="s">
        <v>243</v>
      </c>
      <c r="C185" s="1">
        <v>8.517815589200449</v>
      </c>
      <c r="D185" s="1">
        <f t="shared" si="18"/>
        <v>6</v>
      </c>
      <c r="E185" s="1" t="e">
        <f t="shared" si="19"/>
        <v>#N/A</v>
      </c>
      <c r="F185" s="15" t="e">
        <f t="shared" si="17"/>
        <v>#N/A</v>
      </c>
      <c r="S185" s="72"/>
    </row>
    <row r="186" spans="1:19" x14ac:dyDescent="0.35">
      <c r="A186" s="14">
        <v>7</v>
      </c>
      <c r="B186" s="1" t="s">
        <v>147</v>
      </c>
      <c r="C186" s="1">
        <v>7.3567173537036776</v>
      </c>
      <c r="D186" s="1">
        <f t="shared" si="18"/>
        <v>7</v>
      </c>
      <c r="E186" s="1" t="e">
        <f t="shared" si="19"/>
        <v>#N/A</v>
      </c>
      <c r="F186" s="15" t="e">
        <f t="shared" si="17"/>
        <v>#N/A</v>
      </c>
      <c r="S186" s="72"/>
    </row>
    <row r="187" spans="1:19" x14ac:dyDescent="0.35">
      <c r="A187" s="14">
        <v>8</v>
      </c>
      <c r="B187" s="1" t="s">
        <v>152</v>
      </c>
      <c r="C187" s="1">
        <v>5.9171607330540485</v>
      </c>
      <c r="D187" s="1">
        <f t="shared" si="18"/>
        <v>8</v>
      </c>
      <c r="E187" s="1" t="e">
        <f t="shared" si="19"/>
        <v>#N/A</v>
      </c>
      <c r="F187" s="15" t="e">
        <f t="shared" si="17"/>
        <v>#N/A</v>
      </c>
      <c r="S187" s="72"/>
    </row>
    <row r="188" spans="1:19" x14ac:dyDescent="0.35">
      <c r="A188" s="14">
        <v>9</v>
      </c>
      <c r="B188" s="1" t="s">
        <v>144</v>
      </c>
      <c r="C188" s="1">
        <v>5.4492810447437927</v>
      </c>
      <c r="D188" s="1">
        <f t="shared" si="18"/>
        <v>9</v>
      </c>
      <c r="E188" s="1" t="e">
        <f t="shared" si="19"/>
        <v>#N/A</v>
      </c>
      <c r="F188" s="15" t="e">
        <f t="shared" si="17"/>
        <v>#N/A</v>
      </c>
      <c r="S188" s="72"/>
    </row>
    <row r="189" spans="1:19" x14ac:dyDescent="0.35">
      <c r="A189" s="14">
        <v>10</v>
      </c>
      <c r="B189" s="1" t="s">
        <v>168</v>
      </c>
      <c r="C189" s="1">
        <v>5.2196196314926535</v>
      </c>
      <c r="D189" s="1">
        <f t="shared" si="18"/>
        <v>10</v>
      </c>
      <c r="E189" s="1" t="e">
        <f t="shared" si="19"/>
        <v>#N/A</v>
      </c>
      <c r="F189" s="15" t="e">
        <f t="shared" si="17"/>
        <v>#N/A</v>
      </c>
      <c r="S189" s="72"/>
    </row>
    <row r="190" spans="1:19" x14ac:dyDescent="0.35">
      <c r="A190" s="14">
        <v>11</v>
      </c>
      <c r="B190" s="1" t="s">
        <v>173</v>
      </c>
      <c r="C190" s="1">
        <v>5.1595549802139846</v>
      </c>
      <c r="D190" s="1">
        <f t="shared" si="18"/>
        <v>11</v>
      </c>
      <c r="E190" s="1" t="e">
        <f t="shared" si="19"/>
        <v>#N/A</v>
      </c>
      <c r="F190" s="15" t="e">
        <f t="shared" si="17"/>
        <v>#N/A</v>
      </c>
      <c r="S190" s="72"/>
    </row>
    <row r="191" spans="1:19" x14ac:dyDescent="0.35">
      <c r="A191" s="14">
        <v>12</v>
      </c>
      <c r="B191" s="1" t="s">
        <v>148</v>
      </c>
      <c r="C191" s="1">
        <v>4.5417338077113225</v>
      </c>
      <c r="D191" s="1">
        <f t="shared" si="18"/>
        <v>12</v>
      </c>
      <c r="E191" s="1" t="e">
        <f t="shared" si="19"/>
        <v>#N/A</v>
      </c>
      <c r="F191" s="15" t="e">
        <f t="shared" si="17"/>
        <v>#N/A</v>
      </c>
      <c r="S191" s="72"/>
    </row>
    <row r="192" spans="1:19" x14ac:dyDescent="0.35">
      <c r="A192" s="14">
        <v>13</v>
      </c>
      <c r="B192" s="1" t="s">
        <v>142</v>
      </c>
      <c r="C192" s="1">
        <v>4.5154265563165321</v>
      </c>
      <c r="D192" s="1">
        <f t="shared" si="18"/>
        <v>13</v>
      </c>
      <c r="E192" s="1" t="e">
        <f t="shared" si="19"/>
        <v>#N/A</v>
      </c>
      <c r="F192" s="15" t="e">
        <f t="shared" si="17"/>
        <v>#N/A</v>
      </c>
      <c r="S192" s="72"/>
    </row>
    <row r="193" spans="1:19" x14ac:dyDescent="0.35">
      <c r="A193" s="14">
        <v>14</v>
      </c>
      <c r="B193" s="1" t="s">
        <v>167</v>
      </c>
      <c r="C193" s="1">
        <v>3.6424486544945274</v>
      </c>
      <c r="D193" s="1">
        <f t="shared" si="18"/>
        <v>14</v>
      </c>
      <c r="E193" s="1" t="e">
        <f t="shared" si="19"/>
        <v>#N/A</v>
      </c>
      <c r="F193" s="15" t="e">
        <f t="shared" si="17"/>
        <v>#N/A</v>
      </c>
      <c r="S193" s="72"/>
    </row>
    <row r="194" spans="1:19" x14ac:dyDescent="0.35">
      <c r="A194" s="14">
        <v>15</v>
      </c>
      <c r="B194" s="1" t="s">
        <v>166</v>
      </c>
      <c r="C194" s="1">
        <v>3.5404910818119117</v>
      </c>
      <c r="D194" s="1">
        <f t="shared" si="18"/>
        <v>15</v>
      </c>
      <c r="E194" s="1" t="e">
        <f t="shared" si="19"/>
        <v>#N/A</v>
      </c>
      <c r="F194" s="15" t="e">
        <f t="shared" si="17"/>
        <v>#N/A</v>
      </c>
      <c r="S194" s="72"/>
    </row>
    <row r="195" spans="1:19" x14ac:dyDescent="0.35">
      <c r="A195" s="14">
        <v>16</v>
      </c>
      <c r="B195" s="1" t="s">
        <v>176</v>
      </c>
      <c r="C195" s="1">
        <v>3.4826931033512665</v>
      </c>
      <c r="D195" s="1">
        <f t="shared" si="18"/>
        <v>16</v>
      </c>
      <c r="E195" s="1" t="e">
        <f t="shared" si="19"/>
        <v>#N/A</v>
      </c>
      <c r="F195" s="15" t="e">
        <f t="shared" si="17"/>
        <v>#N/A</v>
      </c>
      <c r="S195" s="72"/>
    </row>
    <row r="196" spans="1:19" x14ac:dyDescent="0.35">
      <c r="A196" s="14">
        <v>17</v>
      </c>
      <c r="B196" s="1" t="s">
        <v>145</v>
      </c>
      <c r="C196" s="1">
        <v>3.369717108134052</v>
      </c>
      <c r="D196" s="1">
        <f t="shared" si="18"/>
        <v>17</v>
      </c>
      <c r="E196" s="1" t="e">
        <f t="shared" si="19"/>
        <v>#N/A</v>
      </c>
      <c r="F196" s="15" t="e">
        <f t="shared" si="17"/>
        <v>#N/A</v>
      </c>
      <c r="S196" s="72"/>
    </row>
    <row r="197" spans="1:19" x14ac:dyDescent="0.35">
      <c r="A197" s="14">
        <v>18</v>
      </c>
      <c r="B197" s="1" t="s">
        <v>150</v>
      </c>
      <c r="C197" s="1">
        <v>2.4994855813240231</v>
      </c>
      <c r="D197" s="1">
        <f t="shared" si="18"/>
        <v>18</v>
      </c>
      <c r="E197" s="1" t="e">
        <f t="shared" si="19"/>
        <v>#N/A</v>
      </c>
      <c r="F197" s="15" t="e">
        <f t="shared" si="17"/>
        <v>#N/A</v>
      </c>
      <c r="S197" s="72"/>
    </row>
    <row r="198" spans="1:19" x14ac:dyDescent="0.35">
      <c r="A198" s="14">
        <v>19</v>
      </c>
      <c r="B198" s="1" t="s">
        <v>146</v>
      </c>
      <c r="C198" s="1">
        <v>2.0211118891905393</v>
      </c>
      <c r="D198" s="1">
        <f t="shared" si="18"/>
        <v>19</v>
      </c>
      <c r="E198" s="1" t="e">
        <f t="shared" si="19"/>
        <v>#N/A</v>
      </c>
      <c r="F198" s="15" t="e">
        <f t="shared" si="17"/>
        <v>#N/A</v>
      </c>
      <c r="S198" s="72"/>
    </row>
    <row r="199" spans="1:19" x14ac:dyDescent="0.35">
      <c r="A199" s="14">
        <v>20</v>
      </c>
      <c r="B199" s="1" t="s">
        <v>162</v>
      </c>
      <c r="C199" s="1">
        <v>1.3124727696946359</v>
      </c>
      <c r="D199" s="1">
        <f t="shared" si="18"/>
        <v>20</v>
      </c>
      <c r="E199" s="1" t="e">
        <f t="shared" si="19"/>
        <v>#N/A</v>
      </c>
      <c r="F199" s="15" t="e">
        <f t="shared" si="17"/>
        <v>#N/A</v>
      </c>
      <c r="S199" s="72"/>
    </row>
    <row r="200" spans="1:19" x14ac:dyDescent="0.35">
      <c r="A200" s="14">
        <v>21</v>
      </c>
      <c r="B200" s="1" t="s">
        <v>169</v>
      </c>
      <c r="C200" s="1">
        <v>1.0259611458634803</v>
      </c>
      <c r="D200" s="1">
        <f t="shared" si="18"/>
        <v>21</v>
      </c>
      <c r="E200" s="1" t="e">
        <f t="shared" si="19"/>
        <v>#N/A</v>
      </c>
      <c r="F200" s="15" t="e">
        <f t="shared" si="17"/>
        <v>#N/A</v>
      </c>
      <c r="S200" s="72"/>
    </row>
    <row r="201" spans="1:19" x14ac:dyDescent="0.35">
      <c r="A201" s="14">
        <v>22</v>
      </c>
      <c r="B201" s="1" t="s">
        <v>180</v>
      </c>
      <c r="C201" s="1">
        <v>0.79951825963541223</v>
      </c>
      <c r="D201" s="1">
        <f t="shared" si="18"/>
        <v>22</v>
      </c>
      <c r="E201" s="1" t="e">
        <f t="shared" si="19"/>
        <v>#N/A</v>
      </c>
      <c r="F201" s="15" t="e">
        <f t="shared" si="17"/>
        <v>#N/A</v>
      </c>
      <c r="S201" s="72"/>
    </row>
    <row r="202" spans="1:19" x14ac:dyDescent="0.35">
      <c r="A202" s="14">
        <v>23</v>
      </c>
      <c r="B202" s="1" t="s">
        <v>143</v>
      </c>
      <c r="C202" s="1">
        <v>0.36285118609737577</v>
      </c>
      <c r="D202" s="1">
        <f t="shared" si="18"/>
        <v>23</v>
      </c>
      <c r="E202" s="1" t="e">
        <f t="shared" si="19"/>
        <v>#N/A</v>
      </c>
      <c r="F202" s="15" t="e">
        <f t="shared" si="17"/>
        <v>#N/A</v>
      </c>
      <c r="S202" s="72"/>
    </row>
    <row r="203" spans="1:19" x14ac:dyDescent="0.35">
      <c r="A203" s="14">
        <v>24</v>
      </c>
      <c r="B203" s="1" t="s">
        <v>156</v>
      </c>
      <c r="C203" s="1">
        <v>-0.11324199403891022</v>
      </c>
      <c r="D203" s="1">
        <f t="shared" si="18"/>
        <v>24</v>
      </c>
      <c r="E203" s="1" t="e">
        <f t="shared" si="19"/>
        <v>#N/A</v>
      </c>
      <c r="F203" s="15" t="e">
        <f t="shared" si="17"/>
        <v>#N/A</v>
      </c>
      <c r="S203" s="72"/>
    </row>
    <row r="204" spans="1:19" ht="15" thickBot="1" x14ac:dyDescent="0.4">
      <c r="A204" s="21">
        <v>25</v>
      </c>
      <c r="B204" s="5" t="s">
        <v>172</v>
      </c>
      <c r="C204" s="5">
        <v>-0.78873365713115628</v>
      </c>
      <c r="D204" s="9">
        <f t="shared" si="18"/>
        <v>25</v>
      </c>
      <c r="E204" s="9" t="e">
        <f t="shared" si="19"/>
        <v>#N/A</v>
      </c>
      <c r="F204" s="17" t="e">
        <f t="shared" si="17"/>
        <v>#N/A</v>
      </c>
      <c r="S204" s="72"/>
    </row>
    <row r="205" spans="1:19" x14ac:dyDescent="0.35">
      <c r="A205" s="11" t="s">
        <v>155</v>
      </c>
      <c r="B205" s="12">
        <v>13.753267671176031</v>
      </c>
      <c r="C205" s="13">
        <f t="shared" ref="C205:C231" si="20">RANK($B205,$B$205:$B$234,0)</f>
        <v>1</v>
      </c>
      <c r="S205" s="72"/>
    </row>
    <row r="206" spans="1:19" x14ac:dyDescent="0.35">
      <c r="A206" s="14" t="s">
        <v>165</v>
      </c>
      <c r="B206" s="1">
        <v>11.194340353187126</v>
      </c>
      <c r="C206" s="15">
        <f t="shared" si="20"/>
        <v>2</v>
      </c>
      <c r="S206" s="72"/>
    </row>
    <row r="207" spans="1:19" x14ac:dyDescent="0.35">
      <c r="A207" s="14" t="s">
        <v>178</v>
      </c>
      <c r="B207" s="1">
        <v>10.350693234364442</v>
      </c>
      <c r="C207" s="15">
        <f t="shared" si="20"/>
        <v>3</v>
      </c>
      <c r="S207" s="72"/>
    </row>
    <row r="208" spans="1:19" x14ac:dyDescent="0.35">
      <c r="A208" s="14" t="s">
        <v>154</v>
      </c>
      <c r="B208" s="1">
        <v>9.6696967603795017</v>
      </c>
      <c r="C208" s="15">
        <f t="shared" si="20"/>
        <v>4</v>
      </c>
      <c r="S208" s="72"/>
    </row>
    <row r="209" spans="1:19" x14ac:dyDescent="0.35">
      <c r="A209" s="14" t="s">
        <v>161</v>
      </c>
      <c r="B209" s="1">
        <v>8.171039945359059</v>
      </c>
      <c r="C209" s="15">
        <f t="shared" si="20"/>
        <v>5</v>
      </c>
      <c r="J209" s="66"/>
      <c r="R209" s="67"/>
      <c r="S209" s="72"/>
    </row>
    <row r="210" spans="1:19" x14ac:dyDescent="0.35">
      <c r="A210" s="14" t="s">
        <v>164</v>
      </c>
      <c r="B210" s="1">
        <v>7.8216124110486884</v>
      </c>
      <c r="C210" s="15">
        <f t="shared" si="20"/>
        <v>6</v>
      </c>
      <c r="J210" s="66"/>
      <c r="R210" s="67"/>
      <c r="S210" s="72"/>
    </row>
    <row r="211" spans="1:19" x14ac:dyDescent="0.35">
      <c r="A211" s="14" t="s">
        <v>174</v>
      </c>
      <c r="B211" s="1">
        <v>6.4078402557050547</v>
      </c>
      <c r="C211" s="15">
        <f t="shared" si="20"/>
        <v>7</v>
      </c>
      <c r="J211" s="66"/>
      <c r="R211" s="67"/>
      <c r="S211" s="72"/>
    </row>
    <row r="212" spans="1:19" x14ac:dyDescent="0.35">
      <c r="A212" s="14" t="s">
        <v>185</v>
      </c>
      <c r="B212" s="1">
        <v>6.1615515814674966</v>
      </c>
      <c r="C212" s="15">
        <f t="shared" si="20"/>
        <v>8</v>
      </c>
      <c r="J212" s="66"/>
      <c r="R212" s="67"/>
      <c r="S212" s="72"/>
    </row>
    <row r="213" spans="1:19" x14ac:dyDescent="0.35">
      <c r="A213" s="14" t="s">
        <v>153</v>
      </c>
      <c r="B213" s="1">
        <v>6.123030742424362</v>
      </c>
      <c r="C213" s="15">
        <f t="shared" si="20"/>
        <v>9</v>
      </c>
      <c r="J213" s="66"/>
      <c r="R213" s="67"/>
      <c r="S213" s="72"/>
    </row>
    <row r="214" spans="1:19" x14ac:dyDescent="0.35">
      <c r="A214" s="14" t="s">
        <v>173</v>
      </c>
      <c r="B214" s="1">
        <v>5.782107237985965</v>
      </c>
      <c r="C214" s="15">
        <f t="shared" si="20"/>
        <v>10</v>
      </c>
      <c r="J214" s="66"/>
      <c r="R214" s="67"/>
      <c r="S214" s="72"/>
    </row>
    <row r="215" spans="1:19" x14ac:dyDescent="0.35">
      <c r="A215" s="14" t="s">
        <v>156</v>
      </c>
      <c r="B215" s="1">
        <v>5.7287403133288093</v>
      </c>
      <c r="C215" s="15">
        <f t="shared" si="20"/>
        <v>11</v>
      </c>
      <c r="J215" s="66"/>
      <c r="R215" s="67"/>
      <c r="S215" s="72"/>
    </row>
    <row r="216" spans="1:19" x14ac:dyDescent="0.35">
      <c r="A216" s="14" t="s">
        <v>150</v>
      </c>
      <c r="B216" s="1">
        <v>5.5246017597745034</v>
      </c>
      <c r="C216" s="15">
        <f t="shared" si="20"/>
        <v>12</v>
      </c>
      <c r="J216" s="66"/>
      <c r="R216" s="67"/>
      <c r="S216" s="72"/>
    </row>
    <row r="217" spans="1:19" x14ac:dyDescent="0.35">
      <c r="A217" s="14" t="s">
        <v>152</v>
      </c>
      <c r="B217" s="1">
        <v>5.3363095123022903</v>
      </c>
      <c r="C217" s="15">
        <f t="shared" si="20"/>
        <v>13</v>
      </c>
      <c r="J217" s="66"/>
      <c r="R217" s="67"/>
      <c r="S217" s="72"/>
    </row>
    <row r="218" spans="1:19" x14ac:dyDescent="0.35">
      <c r="A218" s="14" t="s">
        <v>167</v>
      </c>
      <c r="B218" s="1">
        <v>5.0261169404092438</v>
      </c>
      <c r="C218" s="15">
        <f t="shared" si="20"/>
        <v>14</v>
      </c>
      <c r="J218" s="66"/>
      <c r="R218" s="67"/>
      <c r="S218" s="72"/>
    </row>
    <row r="219" spans="1:19" x14ac:dyDescent="0.35">
      <c r="A219" s="14" t="s">
        <v>147</v>
      </c>
      <c r="B219" s="1">
        <v>4.8998012463965575</v>
      </c>
      <c r="C219" s="15">
        <f t="shared" si="20"/>
        <v>15</v>
      </c>
      <c r="J219" s="66"/>
      <c r="R219" s="67"/>
      <c r="S219" s="72"/>
    </row>
    <row r="220" spans="1:19" x14ac:dyDescent="0.35">
      <c r="A220" s="14" t="s">
        <v>146</v>
      </c>
      <c r="B220" s="1">
        <v>4.466747543618041</v>
      </c>
      <c r="C220" s="15">
        <f t="shared" si="20"/>
        <v>16</v>
      </c>
      <c r="J220" s="66"/>
      <c r="R220" s="67"/>
      <c r="S220" s="72"/>
    </row>
    <row r="221" spans="1:19" x14ac:dyDescent="0.35">
      <c r="A221" s="14" t="s">
        <v>182</v>
      </c>
      <c r="B221" s="1">
        <v>4.3412865954843642</v>
      </c>
      <c r="C221" s="15">
        <f t="shared" si="20"/>
        <v>17</v>
      </c>
      <c r="J221" s="66"/>
      <c r="R221" s="67"/>
      <c r="S221" s="72"/>
    </row>
    <row r="222" spans="1:19" x14ac:dyDescent="0.35">
      <c r="A222" s="14" t="s">
        <v>159</v>
      </c>
      <c r="B222" s="1">
        <v>4.058204803554986</v>
      </c>
      <c r="C222" s="15">
        <f t="shared" si="20"/>
        <v>18</v>
      </c>
      <c r="J222" s="66"/>
      <c r="R222" s="67"/>
      <c r="S222" s="72"/>
    </row>
    <row r="223" spans="1:19" x14ac:dyDescent="0.35">
      <c r="A223" s="14" t="s">
        <v>145</v>
      </c>
      <c r="B223" s="1">
        <v>3.7648315335367561</v>
      </c>
      <c r="C223" s="15">
        <f t="shared" si="20"/>
        <v>19</v>
      </c>
      <c r="J223" s="66"/>
      <c r="R223" s="67"/>
      <c r="S223" s="72"/>
    </row>
    <row r="224" spans="1:19" x14ac:dyDescent="0.35">
      <c r="A224" s="14" t="s">
        <v>160</v>
      </c>
      <c r="B224" s="1">
        <v>3.3762717956288495</v>
      </c>
      <c r="C224" s="15">
        <f t="shared" si="20"/>
        <v>20</v>
      </c>
      <c r="J224" s="66"/>
      <c r="R224" s="67"/>
      <c r="S224" s="72"/>
    </row>
    <row r="225" spans="1:19" x14ac:dyDescent="0.35">
      <c r="A225" s="14" t="s">
        <v>184</v>
      </c>
      <c r="B225" s="1">
        <v>2.7822265058987949</v>
      </c>
      <c r="C225" s="15">
        <f t="shared" si="20"/>
        <v>21</v>
      </c>
      <c r="J225" s="66"/>
      <c r="R225" s="67"/>
      <c r="S225" s="72"/>
    </row>
    <row r="226" spans="1:19" x14ac:dyDescent="0.35">
      <c r="A226" s="14" t="s">
        <v>183</v>
      </c>
      <c r="B226" s="1">
        <v>2.1384633355679563</v>
      </c>
      <c r="C226" s="15">
        <f t="shared" si="20"/>
        <v>22</v>
      </c>
      <c r="J226" s="66"/>
      <c r="R226" s="67"/>
      <c r="S226" s="72"/>
    </row>
    <row r="227" spans="1:19" x14ac:dyDescent="0.35">
      <c r="A227" s="14" t="s">
        <v>151</v>
      </c>
      <c r="B227" s="1">
        <v>1.6675779623008453</v>
      </c>
      <c r="C227" s="15">
        <f t="shared" si="20"/>
        <v>23</v>
      </c>
      <c r="J227" s="66"/>
      <c r="R227" s="67"/>
      <c r="S227" s="72"/>
    </row>
    <row r="228" spans="1:19" x14ac:dyDescent="0.35">
      <c r="A228" s="14" t="s">
        <v>157</v>
      </c>
      <c r="B228" s="1">
        <v>1.4316163730413942</v>
      </c>
      <c r="C228" s="15">
        <f t="shared" si="20"/>
        <v>24</v>
      </c>
      <c r="J228" s="66"/>
      <c r="R228" s="67"/>
      <c r="S228" s="72"/>
    </row>
    <row r="229" spans="1:19" x14ac:dyDescent="0.35">
      <c r="A229" s="14" t="s">
        <v>170</v>
      </c>
      <c r="B229" s="1">
        <v>1.4272771845471257</v>
      </c>
      <c r="C229" s="15">
        <f t="shared" si="20"/>
        <v>25</v>
      </c>
      <c r="J229" s="66"/>
      <c r="R229" s="67"/>
      <c r="S229" s="72"/>
    </row>
    <row r="230" spans="1:19" x14ac:dyDescent="0.35">
      <c r="A230" s="14" t="s">
        <v>181</v>
      </c>
      <c r="B230" s="1">
        <v>1.3977906606454029</v>
      </c>
      <c r="C230" s="15">
        <f t="shared" si="20"/>
        <v>26</v>
      </c>
      <c r="J230" s="66"/>
      <c r="R230" s="67"/>
      <c r="S230" s="72"/>
    </row>
    <row r="231" spans="1:19" x14ac:dyDescent="0.35">
      <c r="A231" t="s">
        <v>172</v>
      </c>
      <c r="B231" s="1">
        <v>1.3245733022226243</v>
      </c>
      <c r="C231" s="15">
        <f t="shared" si="20"/>
        <v>27</v>
      </c>
      <c r="J231" s="66"/>
      <c r="R231" s="67"/>
      <c r="S231" s="72"/>
    </row>
    <row r="232" spans="1:19" x14ac:dyDescent="0.35">
      <c r="A232" s="14" t="s">
        <v>252</v>
      </c>
      <c r="B232" s="1"/>
      <c r="C232" s="15"/>
      <c r="J232" s="66"/>
      <c r="R232" s="67"/>
      <c r="S232" s="72"/>
    </row>
    <row r="233" spans="1:19" x14ac:dyDescent="0.35">
      <c r="A233" s="14" t="s">
        <v>250</v>
      </c>
      <c r="B233" s="1"/>
      <c r="C233" s="15"/>
      <c r="J233" s="66"/>
      <c r="R233" s="67"/>
      <c r="S233" s="72"/>
    </row>
    <row r="234" spans="1:19" ht="15" thickBot="1" x14ac:dyDescent="0.4">
      <c r="A234" s="16" t="s">
        <v>251</v>
      </c>
      <c r="B234" s="9"/>
      <c r="C234" s="17"/>
      <c r="J234" s="66"/>
      <c r="R234" s="67"/>
      <c r="S234" s="72"/>
    </row>
    <row r="235" spans="1:19" x14ac:dyDescent="0.35">
      <c r="E235" t="s">
        <v>255</v>
      </c>
      <c r="J235" s="66"/>
      <c r="R235" s="67"/>
      <c r="S235" s="72"/>
    </row>
    <row r="236" spans="1:19" x14ac:dyDescent="0.35">
      <c r="J236" s="66"/>
      <c r="R236" s="67"/>
      <c r="S236" s="72"/>
    </row>
    <row r="237" spans="1:19" x14ac:dyDescent="0.35">
      <c r="J237" s="66"/>
      <c r="R237" s="67"/>
      <c r="S237" s="72"/>
    </row>
    <row r="238" spans="1:19" x14ac:dyDescent="0.35">
      <c r="J238" s="66"/>
      <c r="R238" s="67"/>
      <c r="S238" s="72"/>
    </row>
    <row r="239" spans="1:19" x14ac:dyDescent="0.35">
      <c r="J239" s="66"/>
      <c r="R239" s="67"/>
      <c r="S239" s="72"/>
    </row>
    <row r="240" spans="1:19" x14ac:dyDescent="0.35">
      <c r="J240" s="66"/>
      <c r="R240" s="67"/>
      <c r="S240" s="72"/>
    </row>
    <row r="241" spans="10:19" x14ac:dyDescent="0.35">
      <c r="J241" s="66"/>
      <c r="R241" s="67"/>
      <c r="S241" s="72"/>
    </row>
    <row r="242" spans="10:19" x14ac:dyDescent="0.35">
      <c r="J242" s="66"/>
      <c r="R242" s="67"/>
      <c r="S242" s="72"/>
    </row>
    <row r="243" spans="10:19" x14ac:dyDescent="0.35">
      <c r="J243" s="66"/>
      <c r="R243" s="67"/>
      <c r="S243" s="72"/>
    </row>
    <row r="244" spans="10:19" x14ac:dyDescent="0.35">
      <c r="J244" s="66"/>
      <c r="R244" s="67"/>
      <c r="S244" s="72"/>
    </row>
    <row r="245" spans="10:19" x14ac:dyDescent="0.35">
      <c r="J245" s="66"/>
      <c r="R245" s="67"/>
      <c r="S245" s="72"/>
    </row>
    <row r="246" spans="10:19" x14ac:dyDescent="0.35">
      <c r="J246" s="66"/>
      <c r="R246" s="67"/>
      <c r="S246" s="72"/>
    </row>
    <row r="247" spans="10:19" x14ac:dyDescent="0.35">
      <c r="J247" s="66"/>
      <c r="R247" s="67"/>
      <c r="S247" s="72"/>
    </row>
    <row r="248" spans="10:19" x14ac:dyDescent="0.35">
      <c r="J248" s="66"/>
      <c r="R248" s="67"/>
      <c r="S248" s="72"/>
    </row>
    <row r="249" spans="10:19" x14ac:dyDescent="0.35">
      <c r="J249" s="66"/>
      <c r="R249" s="67"/>
      <c r="S249" s="72"/>
    </row>
    <row r="250" spans="10:19" x14ac:dyDescent="0.35">
      <c r="J250" s="66"/>
      <c r="R250" s="67"/>
      <c r="S250" s="72"/>
    </row>
    <row r="251" spans="10:19" x14ac:dyDescent="0.35">
      <c r="J251" s="66"/>
      <c r="R251" s="67"/>
      <c r="S251" s="72"/>
    </row>
    <row r="252" spans="10:19" x14ac:dyDescent="0.35">
      <c r="J252" s="66"/>
      <c r="R252" s="67"/>
      <c r="S252" s="72"/>
    </row>
    <row r="253" spans="10:19" x14ac:dyDescent="0.35">
      <c r="J253" s="66"/>
      <c r="R253" s="67"/>
      <c r="S253" s="72"/>
    </row>
    <row r="254" spans="10:19" x14ac:dyDescent="0.35">
      <c r="J254" s="66"/>
      <c r="R254" s="67"/>
      <c r="S254" s="72"/>
    </row>
    <row r="255" spans="10:19" x14ac:dyDescent="0.35">
      <c r="J255" s="66"/>
      <c r="R255" s="67"/>
      <c r="S255" s="72"/>
    </row>
    <row r="256" spans="10:19" x14ac:dyDescent="0.35">
      <c r="J256" s="66"/>
      <c r="R256" s="67"/>
      <c r="S256" s="72"/>
    </row>
    <row r="257" spans="10:19" x14ac:dyDescent="0.35">
      <c r="J257" s="66"/>
      <c r="R257" s="67"/>
      <c r="S257" s="72"/>
    </row>
    <row r="258" spans="10:19" x14ac:dyDescent="0.35">
      <c r="J258" s="66"/>
      <c r="R258" s="67"/>
      <c r="S258" s="72"/>
    </row>
    <row r="259" spans="10:19" x14ac:dyDescent="0.35">
      <c r="J259" s="66"/>
      <c r="R259" s="67"/>
      <c r="S259" s="72"/>
    </row>
    <row r="260" spans="10:19" x14ac:dyDescent="0.35">
      <c r="J260" s="66"/>
      <c r="R260" s="67"/>
      <c r="S260" s="72"/>
    </row>
    <row r="261" spans="10:19" x14ac:dyDescent="0.35">
      <c r="J261" s="66"/>
      <c r="R261" s="67"/>
      <c r="S261" s="72"/>
    </row>
    <row r="262" spans="10:19" x14ac:dyDescent="0.35">
      <c r="J262" s="66"/>
      <c r="R262" s="67"/>
      <c r="S262" s="72"/>
    </row>
    <row r="263" spans="10:19" x14ac:dyDescent="0.35">
      <c r="J263" s="66"/>
      <c r="R263" s="67"/>
      <c r="S263" s="72"/>
    </row>
    <row r="264" spans="10:19" x14ac:dyDescent="0.35">
      <c r="J264" s="66"/>
      <c r="R264" s="67"/>
      <c r="S264" s="72"/>
    </row>
    <row r="265" spans="10:19" x14ac:dyDescent="0.35">
      <c r="J265" s="66"/>
      <c r="R265" s="67"/>
      <c r="S265" s="72"/>
    </row>
    <row r="266" spans="10:19" x14ac:dyDescent="0.35">
      <c r="J266" s="66"/>
      <c r="R266" s="67"/>
      <c r="S266" s="72"/>
    </row>
    <row r="267" spans="10:19" x14ac:dyDescent="0.35">
      <c r="J267" s="66"/>
      <c r="R267" s="67"/>
      <c r="S267" s="72"/>
    </row>
    <row r="268" spans="10:19" x14ac:dyDescent="0.35">
      <c r="J268" s="66"/>
      <c r="R268" s="67"/>
      <c r="S268" s="72"/>
    </row>
    <row r="269" spans="10:19" x14ac:dyDescent="0.35">
      <c r="J269" s="66"/>
      <c r="R269" s="67"/>
      <c r="S269" s="72"/>
    </row>
    <row r="270" spans="10:19" x14ac:dyDescent="0.35">
      <c r="J270" s="66"/>
      <c r="R270" s="67"/>
      <c r="S270" s="72"/>
    </row>
    <row r="271" spans="10:19" x14ac:dyDescent="0.35">
      <c r="J271" s="66"/>
      <c r="R271" s="67"/>
      <c r="S271" s="72"/>
    </row>
    <row r="272" spans="10:19" x14ac:dyDescent="0.35">
      <c r="J272" s="66"/>
      <c r="R272" s="67"/>
      <c r="S272" s="72"/>
    </row>
    <row r="273" spans="10:19" x14ac:dyDescent="0.35">
      <c r="J273" s="66"/>
      <c r="R273" s="67"/>
      <c r="S273" s="72"/>
    </row>
    <row r="274" spans="10:19" x14ac:dyDescent="0.35">
      <c r="J274" s="66"/>
      <c r="R274" s="67"/>
      <c r="S274" s="72"/>
    </row>
    <row r="275" spans="10:19" x14ac:dyDescent="0.35">
      <c r="J275" s="66"/>
      <c r="R275" s="67"/>
      <c r="S275" s="72"/>
    </row>
    <row r="276" spans="10:19" x14ac:dyDescent="0.35">
      <c r="J276" s="66"/>
      <c r="R276" s="67"/>
      <c r="S276" s="72"/>
    </row>
    <row r="277" spans="10:19" x14ac:dyDescent="0.35">
      <c r="J277" s="66"/>
      <c r="R277" s="67"/>
      <c r="S277" s="72"/>
    </row>
    <row r="278" spans="10:19" x14ac:dyDescent="0.35">
      <c r="J278" s="66"/>
      <c r="R278" s="67"/>
      <c r="S278" s="72"/>
    </row>
    <row r="279" spans="10:19" x14ac:dyDescent="0.35">
      <c r="J279" s="66"/>
      <c r="R279" s="67"/>
      <c r="S279" s="72"/>
    </row>
    <row r="280" spans="10:19" x14ac:dyDescent="0.35">
      <c r="J280" s="66"/>
      <c r="R280" s="67"/>
      <c r="S280" s="72"/>
    </row>
    <row r="281" spans="10:19" x14ac:dyDescent="0.35">
      <c r="J281" s="66"/>
      <c r="R281" s="67"/>
      <c r="S281" s="72"/>
    </row>
    <row r="282" spans="10:19" x14ac:dyDescent="0.35">
      <c r="J282" s="66"/>
      <c r="R282" s="67"/>
      <c r="S282" s="72"/>
    </row>
    <row r="283" spans="10:19" x14ac:dyDescent="0.35">
      <c r="J283" s="66"/>
      <c r="R283" s="67"/>
      <c r="S283" s="72"/>
    </row>
    <row r="284" spans="10:19" x14ac:dyDescent="0.35">
      <c r="J284" s="66"/>
      <c r="R284" s="67"/>
      <c r="S284" s="72"/>
    </row>
    <row r="285" spans="10:19" x14ac:dyDescent="0.35">
      <c r="J285" s="66"/>
      <c r="R285" s="67"/>
      <c r="S285" s="72"/>
    </row>
    <row r="286" spans="10:19" x14ac:dyDescent="0.35">
      <c r="J286" s="66"/>
      <c r="R286" s="67"/>
      <c r="S286" s="72"/>
    </row>
    <row r="287" spans="10:19" x14ac:dyDescent="0.35">
      <c r="J287" s="66"/>
      <c r="R287" s="67"/>
      <c r="S287" s="72"/>
    </row>
    <row r="288" spans="10:19" x14ac:dyDescent="0.35">
      <c r="J288" s="66"/>
      <c r="R288" s="67"/>
      <c r="S288" s="72"/>
    </row>
    <row r="289" spans="10:19" x14ac:dyDescent="0.35">
      <c r="J289" s="66"/>
      <c r="R289" s="67"/>
      <c r="S289" s="72"/>
    </row>
    <row r="290" spans="10:19" x14ac:dyDescent="0.35">
      <c r="J290" s="66"/>
      <c r="R290" s="67"/>
      <c r="S290" s="72"/>
    </row>
    <row r="291" spans="10:19" x14ac:dyDescent="0.35">
      <c r="J291" s="66"/>
      <c r="R291" s="67"/>
      <c r="S291" s="72"/>
    </row>
    <row r="292" spans="10:19" x14ac:dyDescent="0.35">
      <c r="J292" s="66"/>
      <c r="R292" s="67"/>
      <c r="S292" s="72"/>
    </row>
    <row r="293" spans="10:19" x14ac:dyDescent="0.35">
      <c r="J293" s="66"/>
      <c r="R293" s="67"/>
      <c r="S293" s="72"/>
    </row>
    <row r="294" spans="10:19" x14ac:dyDescent="0.35">
      <c r="J294" s="66"/>
      <c r="R294" s="67"/>
      <c r="S294" s="72"/>
    </row>
    <row r="295" spans="10:19" x14ac:dyDescent="0.35">
      <c r="J295" s="66"/>
      <c r="R295" s="67"/>
      <c r="S295" s="72"/>
    </row>
    <row r="296" spans="10:19" x14ac:dyDescent="0.35">
      <c r="J296" s="66"/>
      <c r="R296" s="67"/>
      <c r="S296" s="72"/>
    </row>
    <row r="297" spans="10:19" x14ac:dyDescent="0.35">
      <c r="J297" s="66"/>
      <c r="R297" s="67"/>
      <c r="S297" s="72"/>
    </row>
    <row r="298" spans="10:19" x14ac:dyDescent="0.35">
      <c r="J298" s="66"/>
      <c r="R298" s="67"/>
      <c r="S298" s="72"/>
    </row>
    <row r="299" spans="10:19" x14ac:dyDescent="0.35">
      <c r="J299" s="66"/>
      <c r="R299" s="67"/>
      <c r="S299" s="72"/>
    </row>
    <row r="300" spans="10:19" x14ac:dyDescent="0.35">
      <c r="J300" s="66"/>
      <c r="R300" s="67"/>
      <c r="S300" s="72"/>
    </row>
    <row r="301" spans="10:19" x14ac:dyDescent="0.35">
      <c r="J301" s="66"/>
      <c r="R301" s="67"/>
      <c r="S301" s="72"/>
    </row>
    <row r="302" spans="10:19" x14ac:dyDescent="0.35">
      <c r="J302" s="66"/>
      <c r="R302" s="67"/>
      <c r="S302" s="72"/>
    </row>
    <row r="303" spans="10:19" x14ac:dyDescent="0.35">
      <c r="J303" s="66"/>
      <c r="R303" s="67"/>
      <c r="S303" s="72"/>
    </row>
    <row r="304" spans="10:19" x14ac:dyDescent="0.35">
      <c r="J304" s="66"/>
      <c r="R304" s="67"/>
      <c r="S304" s="72"/>
    </row>
    <row r="305" spans="10:19" x14ac:dyDescent="0.35">
      <c r="J305" s="66"/>
      <c r="R305" s="67"/>
      <c r="S305" s="72"/>
    </row>
    <row r="306" spans="10:19" x14ac:dyDescent="0.35">
      <c r="J306" s="66"/>
      <c r="R306" s="67"/>
      <c r="S306" s="72"/>
    </row>
    <row r="307" spans="10:19" x14ac:dyDescent="0.35">
      <c r="J307" s="66"/>
      <c r="R307" s="67"/>
      <c r="S307" s="72"/>
    </row>
    <row r="308" spans="10:19" x14ac:dyDescent="0.35">
      <c r="J308" s="66"/>
      <c r="R308" s="67"/>
      <c r="S308" s="72"/>
    </row>
    <row r="309" spans="10:19" x14ac:dyDescent="0.35">
      <c r="J309" s="66"/>
      <c r="R309" s="67"/>
      <c r="S309" s="72"/>
    </row>
    <row r="310" spans="10:19" x14ac:dyDescent="0.35">
      <c r="J310" s="66"/>
      <c r="R310" s="67"/>
      <c r="S310" s="72"/>
    </row>
    <row r="311" spans="10:19" x14ac:dyDescent="0.35">
      <c r="J311" s="66"/>
      <c r="R311" s="67"/>
      <c r="S311" s="72"/>
    </row>
    <row r="312" spans="10:19" x14ac:dyDescent="0.35">
      <c r="J312" s="66"/>
      <c r="R312" s="67"/>
      <c r="S312" s="72"/>
    </row>
    <row r="313" spans="10:19" x14ac:dyDescent="0.35">
      <c r="J313" s="66"/>
      <c r="R313" s="67"/>
      <c r="S313" s="72"/>
    </row>
    <row r="314" spans="10:19" x14ac:dyDescent="0.35">
      <c r="J314" s="66"/>
      <c r="R314" s="67"/>
      <c r="S314" s="72"/>
    </row>
    <row r="315" spans="10:19" x14ac:dyDescent="0.35">
      <c r="J315" s="66"/>
      <c r="R315" s="67"/>
      <c r="S315" s="72"/>
    </row>
    <row r="316" spans="10:19" x14ac:dyDescent="0.35">
      <c r="J316" s="66"/>
      <c r="R316" s="67"/>
      <c r="S316" s="72"/>
    </row>
    <row r="317" spans="10:19" x14ac:dyDescent="0.35">
      <c r="J317" s="66"/>
      <c r="R317" s="67"/>
      <c r="S317" s="72"/>
    </row>
    <row r="318" spans="10:19" x14ac:dyDescent="0.35">
      <c r="J318" s="66"/>
      <c r="R318" s="67"/>
      <c r="S318" s="72"/>
    </row>
    <row r="319" spans="10:19" x14ac:dyDescent="0.35">
      <c r="J319" s="66"/>
      <c r="R319" s="67"/>
      <c r="S319" s="72"/>
    </row>
    <row r="320" spans="10:19" x14ac:dyDescent="0.35">
      <c r="J320" s="66"/>
      <c r="R320" s="67"/>
      <c r="S320" s="72"/>
    </row>
    <row r="321" spans="10:19" x14ac:dyDescent="0.35">
      <c r="J321" s="66"/>
      <c r="R321" s="67"/>
      <c r="S321" s="72"/>
    </row>
    <row r="322" spans="10:19" x14ac:dyDescent="0.35">
      <c r="J322" s="66"/>
      <c r="R322" s="67"/>
      <c r="S322" s="72"/>
    </row>
    <row r="323" spans="10:19" x14ac:dyDescent="0.35">
      <c r="J323" s="66"/>
      <c r="R323" s="67"/>
      <c r="S323" s="72"/>
    </row>
    <row r="324" spans="10:19" x14ac:dyDescent="0.35">
      <c r="J324" s="66"/>
      <c r="R324" s="67"/>
      <c r="S324" s="72"/>
    </row>
    <row r="325" spans="10:19" x14ac:dyDescent="0.35">
      <c r="J325" s="66"/>
      <c r="R325" s="67"/>
      <c r="S325" s="72"/>
    </row>
    <row r="326" spans="10:19" x14ac:dyDescent="0.35">
      <c r="J326" s="66"/>
      <c r="R326" s="67"/>
      <c r="S326" s="72"/>
    </row>
    <row r="327" spans="10:19" x14ac:dyDescent="0.35">
      <c r="J327" s="66"/>
      <c r="R327" s="67"/>
      <c r="S327" s="72"/>
    </row>
    <row r="328" spans="10:19" x14ac:dyDescent="0.35">
      <c r="J328" s="66"/>
      <c r="R328" s="67"/>
      <c r="S328" s="72"/>
    </row>
    <row r="329" spans="10:19" x14ac:dyDescent="0.35">
      <c r="J329" s="66"/>
      <c r="R329" s="67"/>
      <c r="S329" s="72"/>
    </row>
    <row r="330" spans="10:19" x14ac:dyDescent="0.35">
      <c r="J330" s="66"/>
      <c r="R330" s="67"/>
      <c r="S330" s="72"/>
    </row>
    <row r="331" spans="10:19" x14ac:dyDescent="0.35">
      <c r="J331" s="66"/>
      <c r="R331" s="67"/>
      <c r="S331" s="72"/>
    </row>
    <row r="332" spans="10:19" x14ac:dyDescent="0.35">
      <c r="J332" s="66"/>
      <c r="R332" s="67"/>
      <c r="S332" s="72"/>
    </row>
    <row r="333" spans="10:19" x14ac:dyDescent="0.35">
      <c r="J333" s="66"/>
      <c r="R333" s="67"/>
      <c r="S333" s="72"/>
    </row>
    <row r="334" spans="10:19" x14ac:dyDescent="0.35">
      <c r="J334" s="66"/>
      <c r="R334" s="67"/>
      <c r="S334" s="72"/>
    </row>
    <row r="335" spans="10:19" x14ac:dyDescent="0.35">
      <c r="J335" s="66"/>
      <c r="R335" s="67"/>
      <c r="S335" s="72"/>
    </row>
    <row r="336" spans="10:19" x14ac:dyDescent="0.35">
      <c r="J336" s="66"/>
      <c r="R336" s="67"/>
      <c r="S336" s="72"/>
    </row>
    <row r="337" spans="10:19" x14ac:dyDescent="0.35">
      <c r="J337" s="66"/>
      <c r="R337" s="67"/>
      <c r="S337" s="72"/>
    </row>
    <row r="338" spans="10:19" x14ac:dyDescent="0.35">
      <c r="J338" s="66"/>
      <c r="R338" s="67"/>
      <c r="S338" s="72"/>
    </row>
    <row r="339" spans="10:19" x14ac:dyDescent="0.35">
      <c r="J339" s="66"/>
      <c r="R339" s="67"/>
      <c r="S339" s="72"/>
    </row>
    <row r="340" spans="10:19" x14ac:dyDescent="0.35">
      <c r="J340" s="66"/>
      <c r="R340" s="67"/>
      <c r="S340" s="72"/>
    </row>
    <row r="341" spans="10:19" x14ac:dyDescent="0.35">
      <c r="J341" s="66"/>
      <c r="R341" s="67"/>
      <c r="S341" s="72"/>
    </row>
    <row r="342" spans="10:19" x14ac:dyDescent="0.35">
      <c r="J342" s="66"/>
      <c r="R342" s="67"/>
      <c r="S342" s="72"/>
    </row>
    <row r="343" spans="10:19" x14ac:dyDescent="0.35">
      <c r="J343" s="66"/>
      <c r="R343" s="67"/>
      <c r="S343" s="72"/>
    </row>
    <row r="344" spans="10:19" x14ac:dyDescent="0.35">
      <c r="J344" s="66"/>
      <c r="R344" s="67"/>
      <c r="S344" s="72"/>
    </row>
    <row r="345" spans="10:19" x14ac:dyDescent="0.35">
      <c r="J345" s="66"/>
      <c r="R345" s="67"/>
      <c r="S345" s="72"/>
    </row>
    <row r="346" spans="10:19" x14ac:dyDescent="0.35">
      <c r="J346" s="66"/>
      <c r="R346" s="67"/>
      <c r="S346" s="72"/>
    </row>
    <row r="347" spans="10:19" x14ac:dyDescent="0.35">
      <c r="J347" s="66"/>
      <c r="R347" s="67"/>
      <c r="S347" s="72"/>
    </row>
    <row r="348" spans="10:19" x14ac:dyDescent="0.35">
      <c r="J348" s="66"/>
      <c r="R348" s="67"/>
      <c r="S348" s="72"/>
    </row>
    <row r="349" spans="10:19" x14ac:dyDescent="0.35">
      <c r="J349" s="66"/>
      <c r="R349" s="67"/>
      <c r="S349" s="72"/>
    </row>
    <row r="350" spans="10:19" x14ac:dyDescent="0.35">
      <c r="J350" s="66"/>
      <c r="R350" s="67"/>
      <c r="S350" s="72"/>
    </row>
    <row r="351" spans="10:19" x14ac:dyDescent="0.35">
      <c r="J351" s="66"/>
      <c r="R351" s="67"/>
      <c r="S351" s="72"/>
    </row>
    <row r="352" spans="10:19" x14ac:dyDescent="0.35">
      <c r="J352" s="66"/>
      <c r="R352" s="67"/>
      <c r="S352" s="72"/>
    </row>
    <row r="353" spans="10:19" x14ac:dyDescent="0.35">
      <c r="J353" s="66"/>
      <c r="R353" s="67"/>
      <c r="S353" s="72"/>
    </row>
    <row r="354" spans="10:19" x14ac:dyDescent="0.35">
      <c r="J354" s="66"/>
      <c r="R354" s="67"/>
      <c r="S354" s="72"/>
    </row>
    <row r="355" spans="10:19" x14ac:dyDescent="0.35">
      <c r="J355" s="66"/>
      <c r="R355" s="67"/>
      <c r="S355" s="72"/>
    </row>
    <row r="356" spans="10:19" x14ac:dyDescent="0.35">
      <c r="J356" s="66"/>
      <c r="R356" s="67"/>
      <c r="S356" s="72"/>
    </row>
    <row r="357" spans="10:19" x14ac:dyDescent="0.35">
      <c r="J357" s="66"/>
      <c r="R357" s="67"/>
      <c r="S357" s="72"/>
    </row>
    <row r="358" spans="10:19" x14ac:dyDescent="0.35">
      <c r="J358" s="66"/>
      <c r="R358" s="67"/>
      <c r="S358" s="72"/>
    </row>
    <row r="359" spans="10:19" x14ac:dyDescent="0.35">
      <c r="J359" s="66"/>
      <c r="R359" s="67"/>
      <c r="S359" s="72"/>
    </row>
    <row r="360" spans="10:19" x14ac:dyDescent="0.35">
      <c r="J360" s="66"/>
      <c r="R360" s="67"/>
      <c r="S360" s="72"/>
    </row>
    <row r="361" spans="10:19" x14ac:dyDescent="0.35">
      <c r="J361" s="66"/>
      <c r="R361" s="67"/>
      <c r="S361" s="72"/>
    </row>
    <row r="362" spans="10:19" x14ac:dyDescent="0.35">
      <c r="J362" s="66"/>
      <c r="R362" s="67"/>
      <c r="S362" s="72"/>
    </row>
    <row r="363" spans="10:19" x14ac:dyDescent="0.35">
      <c r="J363" s="66"/>
      <c r="R363" s="67"/>
      <c r="S363" s="72"/>
    </row>
    <row r="364" spans="10:19" x14ac:dyDescent="0.35">
      <c r="J364" s="66"/>
      <c r="R364" s="67"/>
      <c r="S364" s="72"/>
    </row>
    <row r="365" spans="10:19" x14ac:dyDescent="0.35">
      <c r="J365" s="66"/>
      <c r="R365" s="67"/>
      <c r="S365" s="72"/>
    </row>
    <row r="366" spans="10:19" x14ac:dyDescent="0.35">
      <c r="J366" s="66"/>
      <c r="R366" s="67"/>
      <c r="S366" s="72"/>
    </row>
    <row r="367" spans="10:19" x14ac:dyDescent="0.35">
      <c r="J367" s="66"/>
      <c r="R367" s="67"/>
      <c r="S367" s="72"/>
    </row>
    <row r="368" spans="10:19" x14ac:dyDescent="0.35">
      <c r="J368" s="66"/>
      <c r="R368" s="67"/>
      <c r="S368" s="72"/>
    </row>
    <row r="369" spans="10:19" x14ac:dyDescent="0.35">
      <c r="J369" s="66"/>
      <c r="R369" s="67"/>
      <c r="S369" s="72"/>
    </row>
    <row r="370" spans="10:19" x14ac:dyDescent="0.35">
      <c r="J370" s="66"/>
      <c r="R370" s="67"/>
      <c r="S370" s="72"/>
    </row>
    <row r="371" spans="10:19" x14ac:dyDescent="0.35">
      <c r="J371" s="66"/>
      <c r="R371" s="67"/>
      <c r="S371" s="72"/>
    </row>
    <row r="372" spans="10:19" x14ac:dyDescent="0.35">
      <c r="J372" s="66"/>
      <c r="R372" s="67"/>
      <c r="S372" s="72"/>
    </row>
    <row r="373" spans="10:19" x14ac:dyDescent="0.35">
      <c r="J373" s="66"/>
      <c r="R373" s="67"/>
      <c r="S373" s="72"/>
    </row>
    <row r="374" spans="10:19" x14ac:dyDescent="0.35">
      <c r="J374" s="66"/>
      <c r="R374" s="67"/>
      <c r="S374" s="72"/>
    </row>
    <row r="375" spans="10:19" x14ac:dyDescent="0.35">
      <c r="J375" s="66"/>
      <c r="R375" s="67"/>
      <c r="S375" s="72"/>
    </row>
    <row r="376" spans="10:19" x14ac:dyDescent="0.35">
      <c r="J376" s="66"/>
      <c r="R376" s="67"/>
      <c r="S376" s="72"/>
    </row>
    <row r="377" spans="10:19" x14ac:dyDescent="0.35">
      <c r="J377" s="66"/>
      <c r="R377" s="67"/>
      <c r="S377" s="72"/>
    </row>
    <row r="378" spans="10:19" x14ac:dyDescent="0.35">
      <c r="J378" s="66"/>
      <c r="R378" s="67"/>
      <c r="S378" s="72"/>
    </row>
    <row r="379" spans="10:19" x14ac:dyDescent="0.35">
      <c r="J379" s="66"/>
      <c r="R379" s="67"/>
      <c r="S379" s="72"/>
    </row>
    <row r="380" spans="10:19" x14ac:dyDescent="0.35">
      <c r="J380" s="66"/>
      <c r="R380" s="67"/>
      <c r="S380" s="72"/>
    </row>
    <row r="381" spans="10:19" x14ac:dyDescent="0.35">
      <c r="J381" s="66"/>
      <c r="R381" s="67"/>
      <c r="S381" s="72"/>
    </row>
    <row r="382" spans="10:19" x14ac:dyDescent="0.35">
      <c r="J382" s="66"/>
      <c r="R382" s="67"/>
      <c r="S382" s="72"/>
    </row>
    <row r="383" spans="10:19" x14ac:dyDescent="0.35">
      <c r="J383" s="66"/>
      <c r="R383" s="67"/>
      <c r="S383" s="72"/>
    </row>
    <row r="384" spans="10:19" x14ac:dyDescent="0.35">
      <c r="J384" s="66"/>
      <c r="R384" s="67"/>
      <c r="S384" s="72"/>
    </row>
    <row r="385" spans="10:19" x14ac:dyDescent="0.35">
      <c r="J385" s="66"/>
      <c r="R385" s="67"/>
      <c r="S385" s="72"/>
    </row>
    <row r="386" spans="10:19" x14ac:dyDescent="0.35">
      <c r="J386" s="66"/>
      <c r="R386" s="67"/>
      <c r="S386" s="72"/>
    </row>
    <row r="387" spans="10:19" x14ac:dyDescent="0.35">
      <c r="J387" s="66"/>
      <c r="R387" s="67"/>
      <c r="S387" s="72"/>
    </row>
    <row r="388" spans="10:19" x14ac:dyDescent="0.35">
      <c r="J388" s="66"/>
      <c r="R388" s="67"/>
      <c r="S388" s="72"/>
    </row>
    <row r="389" spans="10:19" x14ac:dyDescent="0.35">
      <c r="J389" s="66"/>
      <c r="R389" s="67"/>
      <c r="S389" s="72"/>
    </row>
    <row r="390" spans="10:19" x14ac:dyDescent="0.35">
      <c r="J390" s="66"/>
      <c r="R390" s="67"/>
      <c r="S390" s="72"/>
    </row>
    <row r="391" spans="10:19" x14ac:dyDescent="0.35">
      <c r="J391" s="66"/>
      <c r="R391" s="67"/>
      <c r="S391" s="72"/>
    </row>
    <row r="392" spans="10:19" x14ac:dyDescent="0.35">
      <c r="J392" s="66"/>
      <c r="R392" s="67"/>
      <c r="S392" s="72"/>
    </row>
    <row r="393" spans="10:19" x14ac:dyDescent="0.35">
      <c r="J393" s="66"/>
      <c r="R393" s="67"/>
      <c r="S393" s="72"/>
    </row>
    <row r="394" spans="10:19" x14ac:dyDescent="0.35">
      <c r="J394" s="66"/>
      <c r="R394" s="67"/>
      <c r="S394" s="72"/>
    </row>
    <row r="395" spans="10:19" x14ac:dyDescent="0.35">
      <c r="J395" s="66"/>
      <c r="R395" s="67"/>
      <c r="S395" s="72"/>
    </row>
    <row r="396" spans="10:19" x14ac:dyDescent="0.35">
      <c r="J396" s="66"/>
      <c r="R396" s="67"/>
      <c r="S396" s="72"/>
    </row>
    <row r="397" spans="10:19" x14ac:dyDescent="0.35">
      <c r="J397" s="66"/>
      <c r="R397" s="67"/>
      <c r="S397" s="72"/>
    </row>
    <row r="398" spans="10:19" x14ac:dyDescent="0.35">
      <c r="J398" s="66"/>
      <c r="R398" s="67"/>
      <c r="S398" s="72"/>
    </row>
    <row r="399" spans="10:19" x14ac:dyDescent="0.35">
      <c r="J399" s="66"/>
      <c r="R399" s="67"/>
      <c r="S399" s="72"/>
    </row>
    <row r="400" spans="10:19" x14ac:dyDescent="0.35">
      <c r="J400" s="66"/>
      <c r="R400" s="67"/>
      <c r="S400" s="72"/>
    </row>
    <row r="401" spans="10:19" x14ac:dyDescent="0.35">
      <c r="J401" s="66"/>
      <c r="R401" s="67"/>
      <c r="S401" s="72"/>
    </row>
    <row r="402" spans="10:19" x14ac:dyDescent="0.35">
      <c r="J402" s="66"/>
      <c r="R402" s="67"/>
      <c r="S402" s="72"/>
    </row>
    <row r="403" spans="10:19" x14ac:dyDescent="0.35">
      <c r="J403" s="66"/>
      <c r="R403" s="67"/>
      <c r="S403" s="72"/>
    </row>
    <row r="404" spans="10:19" x14ac:dyDescent="0.35">
      <c r="J404" s="66"/>
      <c r="R404" s="67"/>
      <c r="S404" s="72"/>
    </row>
    <row r="405" spans="10:19" x14ac:dyDescent="0.35">
      <c r="J405" s="66"/>
      <c r="R405" s="67"/>
      <c r="S405" s="72"/>
    </row>
    <row r="406" spans="10:19" x14ac:dyDescent="0.35">
      <c r="J406" s="66"/>
      <c r="R406" s="67"/>
      <c r="S406" s="72"/>
    </row>
    <row r="407" spans="10:19" x14ac:dyDescent="0.35">
      <c r="J407" s="66"/>
      <c r="R407" s="67"/>
      <c r="S407" s="72"/>
    </row>
    <row r="408" spans="10:19" x14ac:dyDescent="0.35">
      <c r="J408" s="66"/>
      <c r="R408" s="67"/>
      <c r="S408" s="72"/>
    </row>
    <row r="409" spans="10:19" x14ac:dyDescent="0.35">
      <c r="J409" s="66"/>
      <c r="R409" s="67"/>
      <c r="S409" s="72"/>
    </row>
    <row r="410" spans="10:19" x14ac:dyDescent="0.35">
      <c r="J410" s="66"/>
      <c r="R410" s="67"/>
      <c r="S410" s="72"/>
    </row>
    <row r="411" spans="10:19" x14ac:dyDescent="0.35">
      <c r="J411" s="66"/>
      <c r="R411" s="67"/>
      <c r="S411" s="72"/>
    </row>
    <row r="412" spans="10:19" x14ac:dyDescent="0.35">
      <c r="J412" s="66"/>
      <c r="R412" s="67"/>
      <c r="S412" s="72"/>
    </row>
    <row r="413" spans="10:19" x14ac:dyDescent="0.35">
      <c r="R413" s="67"/>
      <c r="S413" s="72"/>
    </row>
    <row r="414" spans="10:19" x14ac:dyDescent="0.35">
      <c r="J414" s="66"/>
      <c r="R414" s="67"/>
      <c r="S414" s="72"/>
    </row>
    <row r="415" spans="10:19" x14ac:dyDescent="0.35">
      <c r="R415" s="67"/>
      <c r="S415" s="72"/>
    </row>
    <row r="416" spans="10:19" x14ac:dyDescent="0.35">
      <c r="J416" s="66"/>
      <c r="R416" s="67"/>
      <c r="S416" s="72"/>
    </row>
    <row r="417" spans="10:19" x14ac:dyDescent="0.35">
      <c r="J417" s="66"/>
      <c r="R417" s="67"/>
      <c r="S417" s="72"/>
    </row>
    <row r="418" spans="10:19" x14ac:dyDescent="0.35">
      <c r="R418" s="67"/>
      <c r="S418" s="72"/>
    </row>
    <row r="419" spans="10:19" x14ac:dyDescent="0.35">
      <c r="J419" s="66"/>
      <c r="R419" s="67"/>
      <c r="S419" s="72"/>
    </row>
    <row r="420" spans="10:19" x14ac:dyDescent="0.35">
      <c r="J420" s="66"/>
      <c r="R420" s="67"/>
      <c r="S420" s="72"/>
    </row>
    <row r="421" spans="10:19" x14ac:dyDescent="0.35">
      <c r="R421" s="67"/>
      <c r="S421" s="72"/>
    </row>
    <row r="422" spans="10:19" x14ac:dyDescent="0.35">
      <c r="J422" s="66"/>
      <c r="R422" s="67"/>
      <c r="S422" s="72"/>
    </row>
    <row r="423" spans="10:19" x14ac:dyDescent="0.35">
      <c r="R423" s="67"/>
      <c r="S423" s="72"/>
    </row>
    <row r="424" spans="10:19" x14ac:dyDescent="0.35">
      <c r="J424" s="66"/>
      <c r="R424" s="67"/>
      <c r="S424" s="72"/>
    </row>
    <row r="425" spans="10:19" x14ac:dyDescent="0.35">
      <c r="R425" s="67"/>
      <c r="S425" s="72"/>
    </row>
    <row r="426" spans="10:19" x14ac:dyDescent="0.35">
      <c r="J426" s="66"/>
      <c r="R426" s="67"/>
      <c r="S426" s="72"/>
    </row>
    <row r="427" spans="10:19" x14ac:dyDescent="0.35">
      <c r="R427" s="67"/>
      <c r="S427" s="72"/>
    </row>
    <row r="428" spans="10:19" x14ac:dyDescent="0.35">
      <c r="J428" s="66"/>
      <c r="R428" s="67"/>
      <c r="S428" s="72"/>
    </row>
    <row r="429" spans="10:19" x14ac:dyDescent="0.35">
      <c r="J429" s="66"/>
      <c r="R429" s="67"/>
      <c r="S429" s="72"/>
    </row>
    <row r="430" spans="10:19" x14ac:dyDescent="0.35">
      <c r="R430" s="67"/>
      <c r="S430" s="72"/>
    </row>
    <row r="431" spans="10:19" x14ac:dyDescent="0.35">
      <c r="J431" s="66"/>
      <c r="R431" s="67"/>
      <c r="S431" s="72"/>
    </row>
    <row r="432" spans="10:19" x14ac:dyDescent="0.35">
      <c r="R432" s="67"/>
      <c r="S432" s="72"/>
    </row>
    <row r="433" spans="10:19" x14ac:dyDescent="0.35">
      <c r="R433" s="67"/>
      <c r="S433" s="72"/>
    </row>
    <row r="434" spans="10:19" x14ac:dyDescent="0.35">
      <c r="J434" s="66"/>
      <c r="R434" s="67"/>
      <c r="S434" s="72"/>
    </row>
    <row r="435" spans="10:19" x14ac:dyDescent="0.35">
      <c r="J435" s="66"/>
      <c r="R435" s="67"/>
      <c r="S435" s="72"/>
    </row>
    <row r="436" spans="10:19" x14ac:dyDescent="0.35">
      <c r="R436" s="67"/>
      <c r="S436" s="72"/>
    </row>
    <row r="437" spans="10:19" x14ac:dyDescent="0.35">
      <c r="J437" s="66"/>
      <c r="R437" s="67"/>
      <c r="S437" s="72"/>
    </row>
    <row r="438" spans="10:19" x14ac:dyDescent="0.35">
      <c r="J438" s="66"/>
      <c r="R438" s="67"/>
      <c r="S438" s="72"/>
    </row>
    <row r="439" spans="10:19" x14ac:dyDescent="0.35">
      <c r="J439" s="66"/>
      <c r="R439" s="67"/>
      <c r="S439" s="72"/>
    </row>
    <row r="440" spans="10:19" x14ac:dyDescent="0.35">
      <c r="R440" s="67"/>
      <c r="S440" s="72"/>
    </row>
    <row r="441" spans="10:19" x14ac:dyDescent="0.35">
      <c r="R441" s="67"/>
      <c r="S441" s="72"/>
    </row>
    <row r="442" spans="10:19" x14ac:dyDescent="0.35">
      <c r="J442" s="66"/>
      <c r="R442" s="67"/>
      <c r="S442" s="72"/>
    </row>
    <row r="443" spans="10:19" x14ac:dyDescent="0.35">
      <c r="J443" s="66"/>
      <c r="R443" s="67"/>
      <c r="S443" s="72"/>
    </row>
    <row r="444" spans="10:19" x14ac:dyDescent="0.35">
      <c r="J444" s="66"/>
      <c r="R444" s="67"/>
      <c r="S444" s="72"/>
    </row>
    <row r="445" spans="10:19" x14ac:dyDescent="0.35">
      <c r="J445" s="66"/>
      <c r="R445" s="67"/>
      <c r="S445" s="72"/>
    </row>
    <row r="446" spans="10:19" x14ac:dyDescent="0.35">
      <c r="R446" s="67"/>
      <c r="S446" s="72"/>
    </row>
    <row r="447" spans="10:19" x14ac:dyDescent="0.35">
      <c r="R447" s="67"/>
      <c r="S447" s="72"/>
    </row>
    <row r="448" spans="10:19" x14ac:dyDescent="0.35">
      <c r="R448" s="67"/>
      <c r="S448" s="72"/>
    </row>
    <row r="449" spans="18:19" x14ac:dyDescent="0.35">
      <c r="R449" s="67"/>
      <c r="S449" s="72"/>
    </row>
    <row r="450" spans="18:19" x14ac:dyDescent="0.35">
      <c r="R450" s="67"/>
      <c r="S450" s="72"/>
    </row>
    <row r="451" spans="18:19" x14ac:dyDescent="0.35">
      <c r="R451" s="67"/>
      <c r="S451" s="72"/>
    </row>
    <row r="452" spans="18:19" x14ac:dyDescent="0.35">
      <c r="R452" s="67"/>
      <c r="S452" s="72"/>
    </row>
    <row r="453" spans="18:19" x14ac:dyDescent="0.35">
      <c r="R453" s="67"/>
      <c r="S453" s="72"/>
    </row>
    <row r="454" spans="18:19" x14ac:dyDescent="0.35">
      <c r="R454" s="67"/>
      <c r="S454" s="72"/>
    </row>
    <row r="455" spans="18:19" x14ac:dyDescent="0.35">
      <c r="R455" s="67"/>
      <c r="S455" s="72"/>
    </row>
    <row r="456" spans="18:19" x14ac:dyDescent="0.35">
      <c r="R456" s="67"/>
      <c r="S456" s="72"/>
    </row>
    <row r="457" spans="18:19" x14ac:dyDescent="0.35">
      <c r="R457" s="67"/>
      <c r="S457" s="72"/>
    </row>
    <row r="458" spans="18:19" x14ac:dyDescent="0.35">
      <c r="R458" s="67"/>
      <c r="S458" s="72"/>
    </row>
    <row r="459" spans="18:19" x14ac:dyDescent="0.35">
      <c r="R459" s="67"/>
      <c r="S459" s="72"/>
    </row>
    <row r="460" spans="18:19" x14ac:dyDescent="0.35">
      <c r="R460" s="67"/>
      <c r="S460" s="72"/>
    </row>
    <row r="461" spans="18:19" x14ac:dyDescent="0.35">
      <c r="R461" s="67"/>
      <c r="S461" s="72"/>
    </row>
    <row r="462" spans="18:19" x14ac:dyDescent="0.35">
      <c r="R462" s="67"/>
      <c r="S462" s="72"/>
    </row>
    <row r="463" spans="18:19" x14ac:dyDescent="0.35">
      <c r="R463" s="67"/>
      <c r="S463" s="72"/>
    </row>
    <row r="464" spans="18:19" x14ac:dyDescent="0.35">
      <c r="R464" s="67"/>
      <c r="S464" s="72"/>
    </row>
    <row r="465" spans="18:19" x14ac:dyDescent="0.35">
      <c r="R465" s="67"/>
      <c r="S465" s="72"/>
    </row>
    <row r="466" spans="18:19" x14ac:dyDescent="0.35">
      <c r="R466" s="67"/>
      <c r="S466" s="72"/>
    </row>
    <row r="467" spans="18:19" x14ac:dyDescent="0.35">
      <c r="R467" s="67"/>
      <c r="S467" s="72"/>
    </row>
    <row r="468" spans="18:19" x14ac:dyDescent="0.35">
      <c r="R468" s="67"/>
      <c r="S468" s="72"/>
    </row>
    <row r="469" spans="18:19" x14ac:dyDescent="0.35">
      <c r="R469" s="67"/>
      <c r="S469" s="72"/>
    </row>
    <row r="470" spans="18:19" x14ac:dyDescent="0.35">
      <c r="R470" s="67"/>
      <c r="S470" s="72"/>
    </row>
    <row r="471" spans="18:19" x14ac:dyDescent="0.35">
      <c r="R471" s="67"/>
      <c r="S471" s="72"/>
    </row>
    <row r="472" spans="18:19" x14ac:dyDescent="0.35">
      <c r="R472" s="67"/>
      <c r="S472" s="72"/>
    </row>
    <row r="473" spans="18:19" x14ac:dyDescent="0.35">
      <c r="R473" s="67"/>
      <c r="S473" s="72"/>
    </row>
    <row r="474" spans="18:19" x14ac:dyDescent="0.35">
      <c r="R474" s="67"/>
      <c r="S474" s="72"/>
    </row>
    <row r="475" spans="18:19" x14ac:dyDescent="0.35">
      <c r="R475" s="67"/>
      <c r="S475" s="72"/>
    </row>
    <row r="476" spans="18:19" x14ac:dyDescent="0.35">
      <c r="R476" s="67"/>
      <c r="S476" s="72"/>
    </row>
    <row r="477" spans="18:19" x14ac:dyDescent="0.35">
      <c r="R477" s="67"/>
      <c r="S477" s="72"/>
    </row>
    <row r="478" spans="18:19" x14ac:dyDescent="0.35">
      <c r="R478" s="67"/>
      <c r="S478" s="72"/>
    </row>
    <row r="479" spans="18:19" x14ac:dyDescent="0.35">
      <c r="R479" s="67"/>
      <c r="S479" s="72"/>
    </row>
    <row r="480" spans="18:19" x14ac:dyDescent="0.35">
      <c r="R480" s="67"/>
      <c r="S480" s="72"/>
    </row>
    <row r="481" spans="18:19" x14ac:dyDescent="0.35">
      <c r="R481" s="67"/>
      <c r="S481" s="72"/>
    </row>
    <row r="482" spans="18:19" x14ac:dyDescent="0.35">
      <c r="R482" s="67"/>
      <c r="S482" s="72"/>
    </row>
    <row r="483" spans="18:19" x14ac:dyDescent="0.35">
      <c r="R483" s="67"/>
      <c r="S483" s="72"/>
    </row>
    <row r="484" spans="18:19" x14ac:dyDescent="0.35">
      <c r="R484" s="67"/>
      <c r="S484" s="72"/>
    </row>
    <row r="485" spans="18:19" x14ac:dyDescent="0.35">
      <c r="R485" s="67"/>
      <c r="S485" s="72"/>
    </row>
    <row r="486" spans="18:19" x14ac:dyDescent="0.35">
      <c r="R486" s="67"/>
      <c r="S486" s="72"/>
    </row>
    <row r="487" spans="18:19" x14ac:dyDescent="0.35">
      <c r="R487" s="67"/>
      <c r="S487" s="72"/>
    </row>
    <row r="488" spans="18:19" x14ac:dyDescent="0.35">
      <c r="R488" s="67"/>
      <c r="S488" s="72"/>
    </row>
    <row r="489" spans="18:19" x14ac:dyDescent="0.35">
      <c r="R489" s="67"/>
      <c r="S489" s="72"/>
    </row>
    <row r="490" spans="18:19" x14ac:dyDescent="0.35">
      <c r="R490" s="67"/>
      <c r="S490" s="72"/>
    </row>
    <row r="491" spans="18:19" x14ac:dyDescent="0.35">
      <c r="R491" s="67"/>
      <c r="S491" s="72"/>
    </row>
    <row r="492" spans="18:19" x14ac:dyDescent="0.35">
      <c r="R492" s="67"/>
      <c r="S492" s="72"/>
    </row>
    <row r="493" spans="18:19" x14ac:dyDescent="0.35">
      <c r="R493" s="67"/>
      <c r="S493" s="72"/>
    </row>
    <row r="494" spans="18:19" x14ac:dyDescent="0.35">
      <c r="R494" s="67"/>
      <c r="S494" s="72"/>
    </row>
    <row r="495" spans="18:19" x14ac:dyDescent="0.35">
      <c r="R495" s="67"/>
      <c r="S495" s="72"/>
    </row>
    <row r="496" spans="18:19" x14ac:dyDescent="0.35">
      <c r="R496" s="67"/>
      <c r="S496" s="72"/>
    </row>
    <row r="497" spans="18:19" x14ac:dyDescent="0.35">
      <c r="R497" s="67"/>
      <c r="S497" s="72"/>
    </row>
    <row r="498" spans="18:19" x14ac:dyDescent="0.35">
      <c r="R498" s="67"/>
      <c r="S498" s="72"/>
    </row>
    <row r="499" spans="18:19" x14ac:dyDescent="0.35">
      <c r="R499" s="67"/>
      <c r="S499" s="72"/>
    </row>
    <row r="500" spans="18:19" x14ac:dyDescent="0.35">
      <c r="R500" s="67"/>
      <c r="S500" s="72"/>
    </row>
    <row r="501" spans="18:19" x14ac:dyDescent="0.35">
      <c r="R501" s="67"/>
      <c r="S501" s="72"/>
    </row>
    <row r="502" spans="18:19" x14ac:dyDescent="0.35">
      <c r="R502" s="67"/>
      <c r="S502" s="72"/>
    </row>
    <row r="503" spans="18:19" x14ac:dyDescent="0.35">
      <c r="R503" s="67"/>
      <c r="S503" s="72"/>
    </row>
    <row r="504" spans="18:19" x14ac:dyDescent="0.35">
      <c r="R504" s="67"/>
      <c r="S504" s="72"/>
    </row>
    <row r="505" spans="18:19" x14ac:dyDescent="0.35">
      <c r="R505" s="67"/>
      <c r="S505" s="72"/>
    </row>
    <row r="506" spans="18:19" x14ac:dyDescent="0.35">
      <c r="R506" s="67"/>
      <c r="S506" s="72"/>
    </row>
    <row r="507" spans="18:19" x14ac:dyDescent="0.35">
      <c r="R507" s="67"/>
      <c r="S507" s="72"/>
    </row>
    <row r="508" spans="18:19" x14ac:dyDescent="0.35">
      <c r="R508" s="67"/>
      <c r="S508" s="72"/>
    </row>
    <row r="509" spans="18:19" x14ac:dyDescent="0.35">
      <c r="R509" s="67"/>
      <c r="S509" s="72"/>
    </row>
    <row r="510" spans="18:19" x14ac:dyDescent="0.35">
      <c r="R510" s="67"/>
      <c r="S510" s="72"/>
    </row>
    <row r="511" spans="18:19" x14ac:dyDescent="0.35">
      <c r="R511" s="67"/>
      <c r="S511" s="72"/>
    </row>
    <row r="512" spans="18:19" x14ac:dyDescent="0.35">
      <c r="R512" s="67"/>
      <c r="S512" s="72"/>
    </row>
    <row r="513" spans="18:19" x14ac:dyDescent="0.35">
      <c r="R513" s="67"/>
      <c r="S513" s="72"/>
    </row>
    <row r="514" spans="18:19" x14ac:dyDescent="0.35">
      <c r="R514" s="67"/>
      <c r="S514" s="72"/>
    </row>
    <row r="515" spans="18:19" x14ac:dyDescent="0.35">
      <c r="R515" s="67"/>
      <c r="S515" s="72"/>
    </row>
    <row r="516" spans="18:19" x14ac:dyDescent="0.35">
      <c r="R516" s="67"/>
      <c r="S516" s="72"/>
    </row>
    <row r="517" spans="18:19" x14ac:dyDescent="0.35">
      <c r="R517" s="67"/>
      <c r="S517" s="72"/>
    </row>
    <row r="518" spans="18:19" x14ac:dyDescent="0.35">
      <c r="R518" s="67"/>
      <c r="S518" s="72"/>
    </row>
    <row r="519" spans="18:19" x14ac:dyDescent="0.35">
      <c r="R519" s="67"/>
      <c r="S519" s="72"/>
    </row>
    <row r="520" spans="18:19" x14ac:dyDescent="0.35">
      <c r="R520" s="67"/>
      <c r="S520" s="72"/>
    </row>
    <row r="521" spans="18:19" x14ac:dyDescent="0.35">
      <c r="R521" s="67"/>
      <c r="S521" s="72"/>
    </row>
    <row r="522" spans="18:19" x14ac:dyDescent="0.35">
      <c r="R522" s="67"/>
      <c r="S522" s="72"/>
    </row>
    <row r="523" spans="18:19" x14ac:dyDescent="0.35">
      <c r="R523" s="67"/>
      <c r="S523" s="72"/>
    </row>
    <row r="524" spans="18:19" x14ac:dyDescent="0.35">
      <c r="R524" s="67"/>
      <c r="S524" s="72"/>
    </row>
    <row r="525" spans="18:19" x14ac:dyDescent="0.35">
      <c r="R525" s="67"/>
      <c r="S525" s="72"/>
    </row>
    <row r="526" spans="18:19" x14ac:dyDescent="0.35">
      <c r="R526" s="67"/>
      <c r="S526" s="72"/>
    </row>
    <row r="527" spans="18:19" x14ac:dyDescent="0.35">
      <c r="R527" s="67"/>
      <c r="S527" s="72"/>
    </row>
    <row r="528" spans="18:19" x14ac:dyDescent="0.35">
      <c r="R528" s="67"/>
      <c r="S528" s="72"/>
    </row>
    <row r="529" spans="18:19" x14ac:dyDescent="0.35">
      <c r="R529" s="67"/>
      <c r="S529" s="72"/>
    </row>
    <row r="530" spans="18:19" x14ac:dyDescent="0.35">
      <c r="R530" s="67"/>
      <c r="S530" s="72"/>
    </row>
    <row r="531" spans="18:19" x14ac:dyDescent="0.35">
      <c r="R531" s="67"/>
      <c r="S531" s="72"/>
    </row>
    <row r="532" spans="18:19" x14ac:dyDescent="0.35">
      <c r="R532" s="67"/>
      <c r="S532" s="72"/>
    </row>
    <row r="533" spans="18:19" x14ac:dyDescent="0.35">
      <c r="R533" s="67"/>
      <c r="S533" s="72"/>
    </row>
    <row r="534" spans="18:19" x14ac:dyDescent="0.35">
      <c r="R534" s="67"/>
      <c r="S534" s="72"/>
    </row>
    <row r="535" spans="18:19" x14ac:dyDescent="0.35">
      <c r="R535" s="67"/>
      <c r="S535" s="72"/>
    </row>
    <row r="536" spans="18:19" x14ac:dyDescent="0.35">
      <c r="R536" s="67"/>
      <c r="S536" s="72"/>
    </row>
    <row r="537" spans="18:19" x14ac:dyDescent="0.35">
      <c r="R537" s="67"/>
      <c r="S537" s="72"/>
    </row>
    <row r="538" spans="18:19" x14ac:dyDescent="0.35">
      <c r="R538" s="67"/>
      <c r="S538" s="72"/>
    </row>
    <row r="539" spans="18:19" x14ac:dyDescent="0.35">
      <c r="R539" s="67"/>
      <c r="S539" s="72"/>
    </row>
    <row r="540" spans="18:19" x14ac:dyDescent="0.35">
      <c r="R540" s="67"/>
      <c r="S540" s="72"/>
    </row>
    <row r="541" spans="18:19" x14ac:dyDescent="0.35">
      <c r="R541" s="67"/>
      <c r="S541" s="72"/>
    </row>
    <row r="542" spans="18:19" x14ac:dyDescent="0.35">
      <c r="R542" s="67"/>
      <c r="S542" s="72"/>
    </row>
    <row r="543" spans="18:19" x14ac:dyDescent="0.35">
      <c r="R543" s="67"/>
      <c r="S543" s="72"/>
    </row>
    <row r="544" spans="18:19" x14ac:dyDescent="0.35">
      <c r="R544" s="67"/>
      <c r="S544" s="72"/>
    </row>
    <row r="545" spans="10:19" x14ac:dyDescent="0.35">
      <c r="R545" s="67"/>
      <c r="S545" s="72"/>
    </row>
    <row r="546" spans="10:19" x14ac:dyDescent="0.35">
      <c r="R546" s="67"/>
      <c r="S546" s="72"/>
    </row>
    <row r="547" spans="10:19" x14ac:dyDescent="0.35">
      <c r="R547" s="67"/>
      <c r="S547" s="72"/>
    </row>
    <row r="548" spans="10:19" x14ac:dyDescent="0.35">
      <c r="R548" s="67"/>
      <c r="S548" s="72"/>
    </row>
    <row r="549" spans="10:19" x14ac:dyDescent="0.35">
      <c r="R549" s="67"/>
      <c r="S549" s="72"/>
    </row>
    <row r="550" spans="10:19" x14ac:dyDescent="0.35">
      <c r="R550" s="67"/>
      <c r="S550" s="72"/>
    </row>
    <row r="551" spans="10:19" x14ac:dyDescent="0.35">
      <c r="R551" s="67"/>
      <c r="S551" s="72"/>
    </row>
    <row r="552" spans="10:19" x14ac:dyDescent="0.35">
      <c r="R552" s="67"/>
      <c r="S552" s="72"/>
    </row>
    <row r="553" spans="10:19" x14ac:dyDescent="0.35">
      <c r="R553" s="67"/>
      <c r="S553" s="72"/>
    </row>
    <row r="554" spans="10:19" x14ac:dyDescent="0.35">
      <c r="J554" s="66"/>
      <c r="R554" s="67"/>
      <c r="S554" s="72"/>
    </row>
    <row r="555" spans="10:19" x14ac:dyDescent="0.35">
      <c r="R555" s="67"/>
      <c r="S555" s="72"/>
    </row>
    <row r="556" spans="10:19" x14ac:dyDescent="0.35">
      <c r="R556" s="67"/>
      <c r="S556" s="72"/>
    </row>
    <row r="557" spans="10:19" x14ac:dyDescent="0.35">
      <c r="R557" s="67"/>
      <c r="S557" s="72"/>
    </row>
    <row r="558" spans="10:19" x14ac:dyDescent="0.35">
      <c r="R558" s="67"/>
      <c r="S558" s="72"/>
    </row>
    <row r="559" spans="10:19" x14ac:dyDescent="0.35">
      <c r="R559" s="67"/>
      <c r="S559" s="72"/>
    </row>
    <row r="560" spans="10:19" x14ac:dyDescent="0.35">
      <c r="J560" s="66"/>
      <c r="R560" s="67"/>
      <c r="S560" s="72"/>
    </row>
    <row r="561" spans="10:19" x14ac:dyDescent="0.35">
      <c r="J561" s="66"/>
      <c r="R561" s="67"/>
      <c r="S561" s="72"/>
    </row>
    <row r="562" spans="10:19" x14ac:dyDescent="0.35">
      <c r="J562" s="66"/>
      <c r="R562" s="67"/>
      <c r="S562" s="72"/>
    </row>
    <row r="563" spans="10:19" x14ac:dyDescent="0.35">
      <c r="R563" s="67"/>
      <c r="S563" s="72"/>
    </row>
    <row r="564" spans="10:19" x14ac:dyDescent="0.35">
      <c r="R564" s="67"/>
      <c r="S564" s="72"/>
    </row>
    <row r="565" spans="10:19" x14ac:dyDescent="0.35">
      <c r="J565" s="66"/>
      <c r="R565" s="67"/>
      <c r="S565" s="72"/>
    </row>
    <row r="566" spans="10:19" x14ac:dyDescent="0.35">
      <c r="R566" s="67"/>
      <c r="S566" s="72"/>
    </row>
    <row r="567" spans="10:19" x14ac:dyDescent="0.35">
      <c r="R567" s="67"/>
      <c r="S567" s="72"/>
    </row>
    <row r="568" spans="10:19" x14ac:dyDescent="0.35">
      <c r="R568" s="67"/>
      <c r="S568" s="72"/>
    </row>
    <row r="569" spans="10:19" x14ac:dyDescent="0.35">
      <c r="R569" s="67"/>
      <c r="S569" s="72"/>
    </row>
    <row r="570" spans="10:19" x14ac:dyDescent="0.35">
      <c r="R570" s="67"/>
      <c r="S570" s="72"/>
    </row>
    <row r="571" spans="10:19" x14ac:dyDescent="0.35">
      <c r="R571" s="67"/>
      <c r="S571" s="72"/>
    </row>
    <row r="572" spans="10:19" x14ac:dyDescent="0.35">
      <c r="R572" s="67"/>
      <c r="S572" s="72"/>
    </row>
    <row r="573" spans="10:19" x14ac:dyDescent="0.35">
      <c r="R573" s="67"/>
      <c r="S573" s="72"/>
    </row>
    <row r="574" spans="10:19" x14ac:dyDescent="0.35">
      <c r="R574" s="67"/>
      <c r="S574" s="72"/>
    </row>
    <row r="575" spans="10:19" x14ac:dyDescent="0.35">
      <c r="J575" s="66"/>
      <c r="R575" s="67"/>
      <c r="S575" s="72"/>
    </row>
    <row r="576" spans="10:19" x14ac:dyDescent="0.35">
      <c r="J576" s="66"/>
      <c r="R576" s="67"/>
      <c r="S576" s="72"/>
    </row>
    <row r="577" spans="10:19" x14ac:dyDescent="0.35">
      <c r="R577" s="67"/>
      <c r="S577" s="72"/>
    </row>
    <row r="578" spans="10:19" x14ac:dyDescent="0.35">
      <c r="R578" s="67"/>
      <c r="S578" s="72"/>
    </row>
    <row r="579" spans="10:19" x14ac:dyDescent="0.35">
      <c r="R579" s="67"/>
      <c r="S579" s="72"/>
    </row>
    <row r="580" spans="10:19" x14ac:dyDescent="0.35">
      <c r="J580" s="66"/>
      <c r="R580" s="67"/>
      <c r="S580" s="72"/>
    </row>
    <row r="581" spans="10:19" x14ac:dyDescent="0.35">
      <c r="R581" s="67"/>
      <c r="S581" s="72"/>
    </row>
    <row r="582" spans="10:19" x14ac:dyDescent="0.35">
      <c r="R582" s="67"/>
      <c r="S582" s="72"/>
    </row>
    <row r="583" spans="10:19" x14ac:dyDescent="0.35">
      <c r="R583" s="67"/>
      <c r="S583" s="72"/>
    </row>
    <row r="584" spans="10:19" x14ac:dyDescent="0.35">
      <c r="J584" s="66"/>
      <c r="R584" s="67"/>
      <c r="S584" s="72"/>
    </row>
    <row r="585" spans="10:19" x14ac:dyDescent="0.35">
      <c r="R585" s="67"/>
      <c r="S585" s="72"/>
    </row>
    <row r="586" spans="10:19" x14ac:dyDescent="0.35">
      <c r="R586" s="67"/>
      <c r="S586" s="72"/>
    </row>
    <row r="587" spans="10:19" x14ac:dyDescent="0.35">
      <c r="R587" s="67"/>
      <c r="S587" s="72"/>
    </row>
    <row r="588" spans="10:19" x14ac:dyDescent="0.35">
      <c r="J588" s="66"/>
      <c r="R588" s="67"/>
      <c r="S588" s="72"/>
    </row>
    <row r="589" spans="10:19" x14ac:dyDescent="0.35">
      <c r="R589" s="67"/>
      <c r="S589" s="72"/>
    </row>
    <row r="590" spans="10:19" x14ac:dyDescent="0.35">
      <c r="R590" s="67"/>
      <c r="S590" s="72"/>
    </row>
    <row r="591" spans="10:19" x14ac:dyDescent="0.35">
      <c r="R591" s="67"/>
      <c r="S591" s="72"/>
    </row>
    <row r="592" spans="10:19" x14ac:dyDescent="0.35">
      <c r="R592" s="67"/>
      <c r="S592" s="72"/>
    </row>
    <row r="593" spans="18:19" x14ac:dyDescent="0.35">
      <c r="R593" s="67"/>
      <c r="S593" s="72"/>
    </row>
    <row r="594" spans="18:19" x14ac:dyDescent="0.35">
      <c r="R594" s="67"/>
      <c r="S594" s="72"/>
    </row>
    <row r="595" spans="18:19" x14ac:dyDescent="0.35">
      <c r="R595" s="67"/>
      <c r="S595" s="72"/>
    </row>
    <row r="596" spans="18:19" x14ac:dyDescent="0.35">
      <c r="R596" s="67"/>
      <c r="S596" s="72"/>
    </row>
    <row r="597" spans="18:19" x14ac:dyDescent="0.35">
      <c r="R597" s="67"/>
      <c r="S597" s="72"/>
    </row>
    <row r="598" spans="18:19" x14ac:dyDescent="0.35">
      <c r="R598" s="67"/>
      <c r="S598" s="72"/>
    </row>
    <row r="599" spans="18:19" x14ac:dyDescent="0.35">
      <c r="R599" s="67"/>
      <c r="S599" s="72"/>
    </row>
    <row r="600" spans="18:19" x14ac:dyDescent="0.35">
      <c r="R600" s="67"/>
      <c r="S600" s="72"/>
    </row>
    <row r="601" spans="18:19" x14ac:dyDescent="0.35">
      <c r="R601" s="67"/>
    </row>
    <row r="602" spans="18:19" x14ac:dyDescent="0.35">
      <c r="R602" s="67"/>
    </row>
    <row r="603" spans="18:19" x14ac:dyDescent="0.35">
      <c r="R603" s="67"/>
    </row>
    <row r="604" spans="18:19" x14ac:dyDescent="0.35">
      <c r="R604" s="67"/>
    </row>
    <row r="605" spans="18:19" x14ac:dyDescent="0.35">
      <c r="R605" s="67"/>
    </row>
    <row r="606" spans="18:19" x14ac:dyDescent="0.35">
      <c r="R606" s="67"/>
    </row>
    <row r="607" spans="18:19" x14ac:dyDescent="0.35">
      <c r="R607" s="67"/>
    </row>
    <row r="608" spans="18:19" x14ac:dyDescent="0.35">
      <c r="R608" s="67"/>
    </row>
    <row r="609" spans="18:18" x14ac:dyDescent="0.35">
      <c r="R609" s="67"/>
    </row>
    <row r="610" spans="18:18" x14ac:dyDescent="0.35">
      <c r="R610" s="67"/>
    </row>
    <row r="611" spans="18:18" x14ac:dyDescent="0.35">
      <c r="R611" s="67"/>
    </row>
    <row r="612" spans="18:18" x14ac:dyDescent="0.35">
      <c r="R612" s="67"/>
    </row>
    <row r="613" spans="18:18" x14ac:dyDescent="0.35">
      <c r="R613" s="67"/>
    </row>
    <row r="614" spans="18:18" x14ac:dyDescent="0.35">
      <c r="R614" s="67"/>
    </row>
    <row r="615" spans="18:18" x14ac:dyDescent="0.35">
      <c r="R615" s="67"/>
    </row>
    <row r="616" spans="18:18" x14ac:dyDescent="0.35">
      <c r="R616" s="67"/>
    </row>
    <row r="617" spans="18:18" x14ac:dyDescent="0.35">
      <c r="R617" s="67"/>
    </row>
    <row r="618" spans="18:18" x14ac:dyDescent="0.35">
      <c r="R618" s="67"/>
    </row>
    <row r="619" spans="18:18" x14ac:dyDescent="0.35">
      <c r="R619" s="67"/>
    </row>
    <row r="620" spans="18:18" x14ac:dyDescent="0.35">
      <c r="R620" s="67"/>
    </row>
    <row r="621" spans="18:18" x14ac:dyDescent="0.35">
      <c r="R621" s="67"/>
    </row>
    <row r="622" spans="18:18" x14ac:dyDescent="0.35">
      <c r="R622" s="67"/>
    </row>
    <row r="623" spans="18:18" x14ac:dyDescent="0.35">
      <c r="R623" s="67"/>
    </row>
    <row r="624" spans="18:18" x14ac:dyDescent="0.35">
      <c r="R624" s="67"/>
    </row>
    <row r="625" spans="18:18" x14ac:dyDescent="0.35">
      <c r="R625" s="67"/>
    </row>
    <row r="626" spans="18:18" x14ac:dyDescent="0.35">
      <c r="R626" s="67"/>
    </row>
    <row r="627" spans="18:18" x14ac:dyDescent="0.35">
      <c r="R627" s="67"/>
    </row>
    <row r="628" spans="18:18" x14ac:dyDescent="0.35">
      <c r="R628" s="67"/>
    </row>
    <row r="629" spans="18:18" x14ac:dyDescent="0.35">
      <c r="R629" s="67"/>
    </row>
    <row r="630" spans="18:18" x14ac:dyDescent="0.35">
      <c r="R630" s="67"/>
    </row>
    <row r="631" spans="18:18" x14ac:dyDescent="0.35">
      <c r="R631" s="67"/>
    </row>
    <row r="632" spans="18:18" x14ac:dyDescent="0.35">
      <c r="R632" s="67"/>
    </row>
    <row r="633" spans="18:18" x14ac:dyDescent="0.35">
      <c r="R633" s="67"/>
    </row>
    <row r="634" spans="18:18" x14ac:dyDescent="0.35">
      <c r="R634" s="67"/>
    </row>
    <row r="635" spans="18:18" x14ac:dyDescent="0.35">
      <c r="R635" s="67"/>
    </row>
    <row r="636" spans="18:18" x14ac:dyDescent="0.35">
      <c r="R636" s="67"/>
    </row>
    <row r="637" spans="18:18" x14ac:dyDescent="0.35">
      <c r="R637" s="67"/>
    </row>
    <row r="638" spans="18:18" x14ac:dyDescent="0.35">
      <c r="R638" s="67"/>
    </row>
    <row r="639" spans="18:18" x14ac:dyDescent="0.35">
      <c r="R639" s="67"/>
    </row>
    <row r="640" spans="18:18" x14ac:dyDescent="0.35">
      <c r="R640" s="67"/>
    </row>
    <row r="641" spans="18:18" x14ac:dyDescent="0.35">
      <c r="R641" s="67"/>
    </row>
    <row r="642" spans="18:18" x14ac:dyDescent="0.35">
      <c r="R642" s="67"/>
    </row>
    <row r="643" spans="18:18" x14ac:dyDescent="0.35">
      <c r="R643" s="67"/>
    </row>
    <row r="644" spans="18:18" x14ac:dyDescent="0.35">
      <c r="R644" s="67"/>
    </row>
    <row r="645" spans="18:18" x14ac:dyDescent="0.35">
      <c r="R645" s="67"/>
    </row>
    <row r="646" spans="18:18" x14ac:dyDescent="0.35">
      <c r="R646" s="67"/>
    </row>
    <row r="647" spans="18:18" x14ac:dyDescent="0.35">
      <c r="R647" s="67"/>
    </row>
    <row r="648" spans="18:18" x14ac:dyDescent="0.35">
      <c r="R648" s="67"/>
    </row>
    <row r="649" spans="18:18" x14ac:dyDescent="0.35">
      <c r="R649" s="67"/>
    </row>
    <row r="650" spans="18:18" x14ac:dyDescent="0.35">
      <c r="R650" s="67"/>
    </row>
    <row r="651" spans="18:18" x14ac:dyDescent="0.35">
      <c r="R651" s="67"/>
    </row>
    <row r="652" spans="18:18" x14ac:dyDescent="0.35">
      <c r="R652" s="67"/>
    </row>
    <row r="653" spans="18:18" x14ac:dyDescent="0.35">
      <c r="R653" s="67"/>
    </row>
    <row r="654" spans="18:18" x14ac:dyDescent="0.35">
      <c r="R654" s="67"/>
    </row>
    <row r="655" spans="18:18" x14ac:dyDescent="0.35">
      <c r="R655" s="67"/>
    </row>
    <row r="656" spans="18:18" x14ac:dyDescent="0.35">
      <c r="R656" s="67"/>
    </row>
    <row r="657" spans="18:18" x14ac:dyDescent="0.35">
      <c r="R657" s="67"/>
    </row>
    <row r="658" spans="18:18" x14ac:dyDescent="0.35">
      <c r="R658" s="67"/>
    </row>
    <row r="659" spans="18:18" x14ac:dyDescent="0.35">
      <c r="R659" s="67"/>
    </row>
    <row r="660" spans="18:18" x14ac:dyDescent="0.35">
      <c r="R660" s="67"/>
    </row>
    <row r="661" spans="18:18" x14ac:dyDescent="0.35">
      <c r="R661" s="67"/>
    </row>
    <row r="662" spans="18:18" x14ac:dyDescent="0.35">
      <c r="R662" s="67"/>
    </row>
    <row r="663" spans="18:18" x14ac:dyDescent="0.35">
      <c r="R663" s="67"/>
    </row>
    <row r="664" spans="18:18" x14ac:dyDescent="0.35">
      <c r="R664" s="67"/>
    </row>
    <row r="665" spans="18:18" x14ac:dyDescent="0.35">
      <c r="R665" s="67"/>
    </row>
    <row r="666" spans="18:18" x14ac:dyDescent="0.35">
      <c r="R666" s="67"/>
    </row>
    <row r="667" spans="18:18" x14ac:dyDescent="0.35">
      <c r="R667" s="67"/>
    </row>
    <row r="668" spans="18:18" x14ac:dyDescent="0.35">
      <c r="R668" s="67"/>
    </row>
    <row r="669" spans="18:18" x14ac:dyDescent="0.35">
      <c r="R669" s="67"/>
    </row>
    <row r="670" spans="18:18" x14ac:dyDescent="0.35">
      <c r="R670" s="67"/>
    </row>
    <row r="671" spans="18:18" x14ac:dyDescent="0.35">
      <c r="R671" s="67"/>
    </row>
    <row r="672" spans="18:18" x14ac:dyDescent="0.35">
      <c r="R672" s="67"/>
    </row>
    <row r="673" spans="18:18" x14ac:dyDescent="0.35">
      <c r="R673" s="67"/>
    </row>
    <row r="674" spans="18:18" x14ac:dyDescent="0.35">
      <c r="R674" s="67"/>
    </row>
    <row r="675" spans="18:18" x14ac:dyDescent="0.35">
      <c r="R675" s="67"/>
    </row>
    <row r="676" spans="18:18" x14ac:dyDescent="0.35">
      <c r="R676" s="67"/>
    </row>
    <row r="677" spans="18:18" x14ac:dyDescent="0.35">
      <c r="R677" s="67"/>
    </row>
    <row r="678" spans="18:18" x14ac:dyDescent="0.35">
      <c r="R678" s="67"/>
    </row>
    <row r="679" spans="18:18" x14ac:dyDescent="0.35">
      <c r="R679" s="67"/>
    </row>
    <row r="680" spans="18:18" x14ac:dyDescent="0.35">
      <c r="R680" s="67"/>
    </row>
    <row r="681" spans="18:18" x14ac:dyDescent="0.35">
      <c r="R681" s="67"/>
    </row>
    <row r="682" spans="18:18" x14ac:dyDescent="0.35">
      <c r="R682" s="67"/>
    </row>
    <row r="683" spans="18:18" x14ac:dyDescent="0.35">
      <c r="R683" s="67"/>
    </row>
    <row r="684" spans="18:18" x14ac:dyDescent="0.35">
      <c r="R684" s="67"/>
    </row>
    <row r="685" spans="18:18" x14ac:dyDescent="0.35">
      <c r="R685" s="67"/>
    </row>
    <row r="686" spans="18:18" x14ac:dyDescent="0.35">
      <c r="R686" s="67"/>
    </row>
    <row r="687" spans="18:18" x14ac:dyDescent="0.35">
      <c r="R687" s="67"/>
    </row>
    <row r="688" spans="18:18" x14ac:dyDescent="0.35">
      <c r="R688" s="67"/>
    </row>
    <row r="689" spans="18:18" x14ac:dyDescent="0.35">
      <c r="R689" s="67"/>
    </row>
  </sheetData>
  <sortState xmlns:xlrd2="http://schemas.microsoft.com/office/spreadsheetml/2017/richdata2" ref="A6:C16">
    <sortCondition ref="C6:C16"/>
  </sortState>
  <conditionalFormatting sqref="A139:A146 A180:A204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B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5:B23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30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9:C14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0:C18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0:C204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05:C234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6:D1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30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80:D20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3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80:E204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0:F30 F76:F10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30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3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3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7:AB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9F6C-F7EE-4D76-B272-71740C9FA590}">
  <dimension ref="A1:Z52"/>
  <sheetViews>
    <sheetView topLeftCell="A35" zoomScaleNormal="100" workbookViewId="0">
      <selection activeCell="Q45" sqref="Q45"/>
    </sheetView>
  </sheetViews>
  <sheetFormatPr defaultRowHeight="14.5" x14ac:dyDescent="0.35"/>
  <cols>
    <col min="3" max="3" width="8.7265625" customWidth="1"/>
    <col min="5" max="5" width="9" bestFit="1" customWidth="1"/>
  </cols>
  <sheetData>
    <row r="1" spans="1:26" x14ac:dyDescent="0.35">
      <c r="A1" t="s">
        <v>408</v>
      </c>
      <c r="O1" t="s">
        <v>409</v>
      </c>
    </row>
    <row r="2" spans="1:26" x14ac:dyDescent="0.35">
      <c r="A2" s="6" t="s">
        <v>288</v>
      </c>
      <c r="B2" s="6" t="s">
        <v>14</v>
      </c>
      <c r="C2" s="6" t="s">
        <v>2</v>
      </c>
      <c r="D2" s="6" t="s">
        <v>36</v>
      </c>
      <c r="E2" s="6" t="s">
        <v>6</v>
      </c>
      <c r="F2" s="6" t="s">
        <v>24</v>
      </c>
      <c r="G2" s="6" t="s">
        <v>23</v>
      </c>
      <c r="H2" s="6" t="s">
        <v>4</v>
      </c>
      <c r="I2" s="6" t="s">
        <v>7</v>
      </c>
      <c r="J2" s="6" t="s">
        <v>34</v>
      </c>
      <c r="K2" s="6" t="s">
        <v>17</v>
      </c>
      <c r="L2" s="6" t="s">
        <v>13</v>
      </c>
      <c r="O2" s="6" t="s">
        <v>288</v>
      </c>
      <c r="P2" s="6" t="s">
        <v>14</v>
      </c>
      <c r="Q2" s="6" t="s">
        <v>2</v>
      </c>
      <c r="R2" s="6" t="s">
        <v>36</v>
      </c>
      <c r="S2" s="6" t="s">
        <v>6</v>
      </c>
      <c r="T2" s="6" t="s">
        <v>24</v>
      </c>
      <c r="U2" s="6" t="s">
        <v>23</v>
      </c>
      <c r="V2" s="6" t="s">
        <v>4</v>
      </c>
      <c r="W2" s="6" t="s">
        <v>7</v>
      </c>
      <c r="X2" s="6" t="s">
        <v>34</v>
      </c>
      <c r="Y2" s="6" t="s">
        <v>17</v>
      </c>
      <c r="Z2" s="6" t="s">
        <v>13</v>
      </c>
    </row>
    <row r="3" spans="1:26" x14ac:dyDescent="0.35">
      <c r="A3" s="6" t="s">
        <v>135</v>
      </c>
      <c r="B3" s="1">
        <v>4.97</v>
      </c>
      <c r="C3" s="1">
        <v>4.2169999999999996</v>
      </c>
      <c r="D3" s="1">
        <v>4.3470000000000004</v>
      </c>
      <c r="E3" s="1">
        <v>4.9180000000000001</v>
      </c>
      <c r="F3" s="1">
        <v>3.7410000000000001</v>
      </c>
      <c r="G3" s="1">
        <v>4.4580000000000002</v>
      </c>
      <c r="H3" s="1">
        <v>4.476</v>
      </c>
      <c r="I3" s="1">
        <v>3.2080000000000002</v>
      </c>
      <c r="J3" s="1">
        <v>5.1619999999999999</v>
      </c>
      <c r="K3" s="1">
        <v>3.53</v>
      </c>
      <c r="L3" s="1">
        <v>3.0910000000000002</v>
      </c>
      <c r="O3" s="6" t="s">
        <v>135</v>
      </c>
      <c r="P3" s="1">
        <v>4.0419999999999998</v>
      </c>
      <c r="Q3" s="1">
        <v>4.58</v>
      </c>
      <c r="R3" s="1">
        <v>4.6310000000000002</v>
      </c>
      <c r="S3" s="1">
        <v>3.9079999999999999</v>
      </c>
      <c r="T3" s="1">
        <v>2.633</v>
      </c>
      <c r="U3" s="1">
        <v>3.5</v>
      </c>
      <c r="V3" s="1">
        <v>3.6459999999999999</v>
      </c>
      <c r="W3" s="1">
        <v>3.694</v>
      </c>
      <c r="X3" s="1">
        <v>5.7</v>
      </c>
      <c r="Y3" s="1">
        <v>4.5220000000000002</v>
      </c>
      <c r="Z3" s="1">
        <v>5.2779999999999996</v>
      </c>
    </row>
    <row r="4" spans="1:26" x14ac:dyDescent="0.35">
      <c r="A4" s="6" t="s">
        <v>136</v>
      </c>
      <c r="B4" s="1">
        <v>5.7910000000000004</v>
      </c>
      <c r="C4" s="1">
        <v>5.0750000000000002</v>
      </c>
      <c r="D4" s="1">
        <v>4.6040000000000001</v>
      </c>
      <c r="E4" s="1">
        <v>5.6769999999999996</v>
      </c>
      <c r="F4" s="1">
        <v>4.2229999999999999</v>
      </c>
      <c r="G4" s="1">
        <v>5.0999999999999996</v>
      </c>
      <c r="H4" s="1">
        <v>3.8679999999999999</v>
      </c>
      <c r="I4" s="1">
        <v>5.0709999999999997</v>
      </c>
      <c r="J4" s="1">
        <v>5.5309999999999997</v>
      </c>
      <c r="K4" s="1">
        <v>5.0049999999999999</v>
      </c>
      <c r="L4" s="1">
        <v>4.6319999999999997</v>
      </c>
      <c r="O4" s="6" t="s">
        <v>136</v>
      </c>
      <c r="P4" s="1">
        <v>4.8789999999999996</v>
      </c>
      <c r="Q4" s="1">
        <v>5.0579999999999998</v>
      </c>
      <c r="R4" s="1">
        <v>4.3250000000000002</v>
      </c>
      <c r="S4" s="1">
        <v>6.258</v>
      </c>
      <c r="T4" s="1">
        <v>4.6390000000000002</v>
      </c>
      <c r="U4" s="1">
        <v>4.3090000000000002</v>
      </c>
      <c r="V4" s="1">
        <v>4.7370000000000001</v>
      </c>
      <c r="W4" s="1">
        <v>4.5819999999999999</v>
      </c>
      <c r="X4" s="1">
        <v>5.4729999999999999</v>
      </c>
      <c r="Y4" s="1">
        <v>4.7370000000000001</v>
      </c>
      <c r="Z4" s="1">
        <v>5.2290000000000001</v>
      </c>
    </row>
    <row r="5" spans="1:26" x14ac:dyDescent="0.35">
      <c r="A5" s="6" t="s">
        <v>137</v>
      </c>
      <c r="B5" s="1">
        <v>8.9879999999999995</v>
      </c>
      <c r="C5" s="1">
        <v>8.1920000000000002</v>
      </c>
      <c r="D5" s="1">
        <v>7.556</v>
      </c>
      <c r="E5" s="1">
        <v>7.9180000000000001</v>
      </c>
      <c r="F5" s="1">
        <v>7.3920000000000003</v>
      </c>
      <c r="G5" s="1">
        <v>6.0090000000000003</v>
      </c>
      <c r="H5" s="1">
        <v>8.4600000000000009</v>
      </c>
      <c r="I5" s="1">
        <v>7.4530000000000003</v>
      </c>
      <c r="J5" s="1">
        <v>8.6080000000000005</v>
      </c>
      <c r="K5" s="1">
        <v>8.4480000000000004</v>
      </c>
      <c r="L5" s="1">
        <v>6.7850000000000001</v>
      </c>
      <c r="O5" s="6" t="s">
        <v>137</v>
      </c>
      <c r="P5" s="1">
        <v>5.8330000000000002</v>
      </c>
      <c r="Q5" s="1">
        <v>8.0890000000000004</v>
      </c>
      <c r="R5" s="1">
        <v>7.3609999999999998</v>
      </c>
      <c r="S5" s="1">
        <v>8.7230000000000008</v>
      </c>
      <c r="T5" s="1">
        <v>7.8360000000000003</v>
      </c>
      <c r="U5" s="1">
        <v>10.106</v>
      </c>
      <c r="V5" s="1">
        <v>7.9939999999999998</v>
      </c>
      <c r="W5" s="1">
        <v>7.4909999999999997</v>
      </c>
      <c r="X5" s="1">
        <v>8.4710000000000001</v>
      </c>
      <c r="Y5" s="1">
        <v>7.375</v>
      </c>
      <c r="Z5" s="1">
        <v>6.758</v>
      </c>
    </row>
    <row r="6" spans="1:26" x14ac:dyDescent="0.35">
      <c r="A6" s="6" t="s">
        <v>138</v>
      </c>
      <c r="B6" s="1">
        <v>10.645</v>
      </c>
      <c r="C6" s="1">
        <v>6.05</v>
      </c>
      <c r="D6" s="1">
        <v>6.5170000000000003</v>
      </c>
      <c r="E6" s="1">
        <v>4.2450000000000001</v>
      </c>
      <c r="F6" s="1">
        <v>4.3620000000000001</v>
      </c>
      <c r="G6" s="1">
        <v>4.4820000000000002</v>
      </c>
      <c r="H6" s="1">
        <v>7.4569999999999999</v>
      </c>
      <c r="I6" s="1">
        <v>2.6080000000000001</v>
      </c>
      <c r="J6" s="1">
        <v>6.6689999999999996</v>
      </c>
      <c r="K6" s="1">
        <v>6.109</v>
      </c>
      <c r="L6" s="1">
        <v>5.7359999999999998</v>
      </c>
      <c r="O6" s="6" t="s">
        <v>138</v>
      </c>
      <c r="P6" s="1">
        <v>5.5579999999999998</v>
      </c>
      <c r="Q6" s="1">
        <v>5.0919999999999996</v>
      </c>
      <c r="R6" s="1">
        <v>6.5250000000000004</v>
      </c>
      <c r="S6" s="1">
        <v>8.1579999999999995</v>
      </c>
      <c r="T6" s="1">
        <v>8.1329999999999991</v>
      </c>
      <c r="U6" s="1">
        <v>4.6180000000000003</v>
      </c>
      <c r="V6" s="1">
        <v>5.1829999999999998</v>
      </c>
      <c r="W6" s="1">
        <v>2.718</v>
      </c>
      <c r="X6" s="1">
        <v>7.2919999999999998</v>
      </c>
      <c r="Y6" s="1">
        <v>4.0670000000000002</v>
      </c>
      <c r="Z6" s="1">
        <v>7.1</v>
      </c>
    </row>
    <row r="7" spans="1:26" x14ac:dyDescent="0.35">
      <c r="A7" s="6" t="s">
        <v>139</v>
      </c>
      <c r="B7" s="1">
        <v>6.2549999999999999</v>
      </c>
      <c r="C7" s="1">
        <v>9.9670000000000005</v>
      </c>
      <c r="D7" s="1">
        <v>6.2670000000000003</v>
      </c>
      <c r="E7" s="1">
        <v>9</v>
      </c>
      <c r="F7" s="1">
        <v>8.3849999999999998</v>
      </c>
      <c r="G7" s="1">
        <v>6.9</v>
      </c>
      <c r="H7" s="1">
        <v>7.5</v>
      </c>
      <c r="I7" s="1">
        <v>7.867</v>
      </c>
      <c r="J7" s="1">
        <v>9.3230000000000004</v>
      </c>
      <c r="K7" s="1">
        <v>9.718</v>
      </c>
      <c r="L7" s="1">
        <v>8.9640000000000004</v>
      </c>
      <c r="O7" s="6" t="s">
        <v>139</v>
      </c>
      <c r="P7" s="1">
        <v>8.0079999999999991</v>
      </c>
      <c r="Q7" s="1">
        <v>6.5330000000000004</v>
      </c>
      <c r="R7" s="1">
        <v>10.025</v>
      </c>
      <c r="S7" s="1">
        <v>6.5</v>
      </c>
      <c r="T7" s="1">
        <v>7.1920000000000002</v>
      </c>
      <c r="U7" s="1">
        <v>9.1910000000000007</v>
      </c>
      <c r="V7" s="1">
        <v>7.4749999999999996</v>
      </c>
      <c r="W7" s="1">
        <v>10.064</v>
      </c>
      <c r="X7" s="1">
        <v>6.923</v>
      </c>
      <c r="Y7" s="1">
        <v>7.5750000000000002</v>
      </c>
      <c r="Z7" s="1">
        <v>11.007999999999999</v>
      </c>
    </row>
    <row r="8" spans="1:26" x14ac:dyDescent="0.35">
      <c r="A8" s="6" t="s">
        <v>134</v>
      </c>
      <c r="B8" s="1">
        <v>8.6229999999999993</v>
      </c>
      <c r="C8" s="1">
        <v>6.367</v>
      </c>
      <c r="D8" s="1">
        <v>7.4539999999999997</v>
      </c>
      <c r="E8" s="1">
        <v>10.513999999999999</v>
      </c>
      <c r="F8" s="1">
        <v>6.8920000000000003</v>
      </c>
      <c r="G8" s="1">
        <v>7.4180000000000001</v>
      </c>
      <c r="H8" s="1">
        <v>6.6</v>
      </c>
      <c r="I8" s="1">
        <v>9.125</v>
      </c>
      <c r="J8" s="1">
        <v>8.1189999999999998</v>
      </c>
      <c r="K8" s="1">
        <v>7.95</v>
      </c>
      <c r="L8" s="1">
        <v>5.923</v>
      </c>
      <c r="O8" s="6" t="s">
        <v>134</v>
      </c>
      <c r="P8" s="1">
        <v>6.9089999999999998</v>
      </c>
      <c r="Q8" s="1">
        <v>7.3540000000000001</v>
      </c>
      <c r="R8" s="1">
        <v>7.7789999999999999</v>
      </c>
      <c r="S8" s="1">
        <v>10.765000000000001</v>
      </c>
      <c r="T8" s="1">
        <v>6.2</v>
      </c>
      <c r="U8" s="1">
        <v>7.2409999999999997</v>
      </c>
      <c r="V8" s="1">
        <v>7.7569999999999997</v>
      </c>
      <c r="W8" s="1">
        <v>7.4640000000000004</v>
      </c>
      <c r="X8" s="1">
        <v>6.0650000000000004</v>
      </c>
      <c r="Y8" s="1">
        <v>8.3290000000000006</v>
      </c>
      <c r="Z8" s="1">
        <v>8.7040000000000006</v>
      </c>
    </row>
    <row r="9" spans="1:26" x14ac:dyDescent="0.35">
      <c r="A9" s="6" t="s">
        <v>140</v>
      </c>
      <c r="B9" s="1">
        <v>10.945</v>
      </c>
      <c r="C9" s="1">
        <v>9.6890000000000001</v>
      </c>
      <c r="D9" s="1">
        <v>7.819</v>
      </c>
      <c r="E9" s="1">
        <v>8.3450000000000006</v>
      </c>
      <c r="F9" s="1">
        <v>10.372</v>
      </c>
      <c r="G9" s="1">
        <v>7.1420000000000003</v>
      </c>
      <c r="H9" s="1">
        <v>9.19</v>
      </c>
      <c r="I9" s="1">
        <v>7.9059999999999997</v>
      </c>
      <c r="J9" s="1">
        <v>8.8719999999999999</v>
      </c>
      <c r="K9" s="1">
        <v>9.2759999999999998</v>
      </c>
      <c r="L9" s="1">
        <v>9.8699999999999992</v>
      </c>
      <c r="O9" s="6" t="s">
        <v>140</v>
      </c>
      <c r="P9" s="1">
        <v>7.726</v>
      </c>
      <c r="Q9" s="1">
        <v>5.444</v>
      </c>
      <c r="R9" s="1">
        <v>8.6289999999999996</v>
      </c>
      <c r="S9" s="1">
        <v>10.022</v>
      </c>
      <c r="T9" s="1">
        <v>7.4560000000000004</v>
      </c>
      <c r="U9" s="1">
        <v>8.2360000000000007</v>
      </c>
      <c r="V9" s="1">
        <v>9.7690000000000001</v>
      </c>
      <c r="W9" s="1">
        <v>10.048</v>
      </c>
      <c r="X9" s="1">
        <v>10.454000000000001</v>
      </c>
      <c r="Y9" s="1">
        <v>10.196999999999999</v>
      </c>
      <c r="Z9" s="1">
        <v>11.364000000000001</v>
      </c>
    </row>
    <row r="10" spans="1:26" x14ac:dyDescent="0.35">
      <c r="A10" s="6" t="s">
        <v>141</v>
      </c>
      <c r="B10" s="1">
        <v>2.4550000000000001</v>
      </c>
      <c r="C10" s="1">
        <v>1.667</v>
      </c>
      <c r="D10" s="1">
        <v>2.0830000000000002</v>
      </c>
      <c r="E10" s="1">
        <v>4.2729999999999997</v>
      </c>
      <c r="F10" s="1">
        <v>2</v>
      </c>
      <c r="G10" s="1">
        <v>2</v>
      </c>
      <c r="H10" s="1">
        <v>2.3570000000000002</v>
      </c>
      <c r="I10" s="1">
        <v>1.583</v>
      </c>
      <c r="J10" s="1">
        <v>1.538</v>
      </c>
      <c r="K10" s="1">
        <v>1.3640000000000001</v>
      </c>
      <c r="L10" s="1">
        <v>1.2729999999999999</v>
      </c>
      <c r="O10" s="6" t="s">
        <v>141</v>
      </c>
      <c r="P10" s="1">
        <v>1</v>
      </c>
      <c r="Q10" s="1">
        <v>2.3330000000000002</v>
      </c>
      <c r="R10" s="1">
        <v>2.1669999999999998</v>
      </c>
      <c r="S10" s="1">
        <v>1.583</v>
      </c>
      <c r="T10" s="1">
        <v>1.083</v>
      </c>
      <c r="U10" s="1">
        <v>1.5449999999999999</v>
      </c>
      <c r="V10" s="1">
        <v>2.1669999999999998</v>
      </c>
      <c r="W10" s="1">
        <v>1.909</v>
      </c>
      <c r="X10" s="1">
        <v>3.1539999999999999</v>
      </c>
      <c r="Y10" s="1">
        <v>1.917</v>
      </c>
      <c r="Z10" s="1">
        <v>3.4169999999999998</v>
      </c>
    </row>
    <row r="11" spans="1:26" x14ac:dyDescent="0.35">
      <c r="A11" s="6" t="s">
        <v>287</v>
      </c>
      <c r="B11" s="1">
        <v>1.9530000000000001</v>
      </c>
      <c r="C11" s="1">
        <v>2.1840000000000002</v>
      </c>
      <c r="D11" s="1">
        <v>1.7989999999999999</v>
      </c>
      <c r="E11" s="1">
        <v>2.2909999999999999</v>
      </c>
      <c r="F11" s="1">
        <v>1.99</v>
      </c>
      <c r="G11" s="1">
        <v>1.839</v>
      </c>
      <c r="H11" s="1">
        <v>1.8620000000000001</v>
      </c>
      <c r="I11" s="1">
        <v>2.39</v>
      </c>
      <c r="J11" s="1">
        <v>2.0779999999999998</v>
      </c>
      <c r="K11" s="1">
        <v>1.911</v>
      </c>
      <c r="L11" s="1">
        <v>1.8089999999999999</v>
      </c>
      <c r="O11" s="6" t="s">
        <v>287</v>
      </c>
      <c r="P11" s="1">
        <v>2.3879999999999999</v>
      </c>
      <c r="Q11" s="1">
        <v>2.0819999999999999</v>
      </c>
      <c r="R11" s="1">
        <v>2.2869999999999999</v>
      </c>
      <c r="S11" s="1">
        <v>2.3149999999999999</v>
      </c>
      <c r="T11" s="1">
        <v>1.415</v>
      </c>
      <c r="U11" s="1">
        <v>2.5419999999999998</v>
      </c>
      <c r="V11" s="1">
        <v>2.1320000000000001</v>
      </c>
      <c r="W11" s="1">
        <v>1.9450000000000001</v>
      </c>
      <c r="X11" s="1">
        <v>2.234</v>
      </c>
      <c r="Y11" s="1">
        <v>2.0609999999999999</v>
      </c>
      <c r="Z11" s="1">
        <v>2.4940000000000002</v>
      </c>
    </row>
    <row r="12" spans="1:26" x14ac:dyDescent="0.35">
      <c r="A12" s="3"/>
      <c r="O12" s="3"/>
    </row>
    <row r="13" spans="1:26" x14ac:dyDescent="0.35">
      <c r="A13" s="25" t="s">
        <v>700</v>
      </c>
      <c r="B13" s="26"/>
      <c r="O13" s="25" t="s">
        <v>700</v>
      </c>
      <c r="P13" s="26"/>
    </row>
    <row r="14" spans="1:26" x14ac:dyDescent="0.35">
      <c r="A14" s="23" t="s">
        <v>254</v>
      </c>
      <c r="B14" s="27"/>
      <c r="C14" s="27"/>
      <c r="D14" s="27"/>
      <c r="E14" s="24"/>
      <c r="O14" s="23" t="s">
        <v>254</v>
      </c>
      <c r="P14" s="27"/>
      <c r="Q14" s="27"/>
      <c r="R14" s="27"/>
      <c r="S14" s="24"/>
    </row>
    <row r="19" spans="1:26" x14ac:dyDescent="0.35">
      <c r="A19" t="s">
        <v>500</v>
      </c>
      <c r="O19" t="s">
        <v>410</v>
      </c>
    </row>
    <row r="20" spans="1:26" x14ac:dyDescent="0.35">
      <c r="A20" s="6" t="s">
        <v>288</v>
      </c>
      <c r="B20" s="6" t="s">
        <v>14</v>
      </c>
      <c r="C20" s="6" t="s">
        <v>2</v>
      </c>
      <c r="D20" s="6" t="s">
        <v>36</v>
      </c>
      <c r="E20" s="6" t="s">
        <v>6</v>
      </c>
      <c r="F20" s="6" t="s">
        <v>24</v>
      </c>
      <c r="G20" s="6" t="s">
        <v>23</v>
      </c>
      <c r="H20" s="6" t="s">
        <v>4</v>
      </c>
      <c r="I20" s="6" t="s">
        <v>7</v>
      </c>
      <c r="J20" s="6" t="s">
        <v>34</v>
      </c>
      <c r="K20" s="6" t="s">
        <v>17</v>
      </c>
      <c r="L20" s="6" t="s">
        <v>13</v>
      </c>
      <c r="O20" s="6" t="s">
        <v>288</v>
      </c>
      <c r="P20" s="6" t="s">
        <v>14</v>
      </c>
      <c r="Q20" s="6" t="s">
        <v>2</v>
      </c>
      <c r="R20" s="6" t="s">
        <v>36</v>
      </c>
      <c r="S20" s="6" t="s">
        <v>6</v>
      </c>
      <c r="T20" s="6" t="s">
        <v>24</v>
      </c>
      <c r="U20" s="6" t="s">
        <v>23</v>
      </c>
      <c r="V20" s="6" t="s">
        <v>4</v>
      </c>
      <c r="W20" s="6" t="s">
        <v>7</v>
      </c>
      <c r="X20" s="6" t="s">
        <v>34</v>
      </c>
      <c r="Y20" s="6" t="s">
        <v>17</v>
      </c>
      <c r="Z20" s="6" t="s">
        <v>13</v>
      </c>
    </row>
    <row r="21" spans="1:26" x14ac:dyDescent="0.35">
      <c r="A21" s="6" t="s">
        <v>135</v>
      </c>
      <c r="B21" s="1">
        <f t="shared" ref="B21:L21" si="0">RANK(B3,$B$3:$L$3,0)</f>
        <v>2</v>
      </c>
      <c r="C21" s="1">
        <f t="shared" si="0"/>
        <v>7</v>
      </c>
      <c r="D21" s="1">
        <f t="shared" si="0"/>
        <v>6</v>
      </c>
      <c r="E21" s="1">
        <f t="shared" si="0"/>
        <v>3</v>
      </c>
      <c r="F21" s="1">
        <f t="shared" si="0"/>
        <v>8</v>
      </c>
      <c r="G21" s="1">
        <f t="shared" si="0"/>
        <v>5</v>
      </c>
      <c r="H21" s="1">
        <f t="shared" si="0"/>
        <v>4</v>
      </c>
      <c r="I21" s="1">
        <f t="shared" si="0"/>
        <v>10</v>
      </c>
      <c r="J21" s="1">
        <f t="shared" si="0"/>
        <v>1</v>
      </c>
      <c r="K21" s="1">
        <f t="shared" si="0"/>
        <v>9</v>
      </c>
      <c r="L21" s="1">
        <f t="shared" si="0"/>
        <v>11</v>
      </c>
      <c r="O21" s="6" t="s">
        <v>135</v>
      </c>
      <c r="P21" s="1">
        <f>RANK(P3,$P$3:$Z$3,0)</f>
        <v>6</v>
      </c>
      <c r="Q21" s="1">
        <f t="shared" ref="Q21:Z21" si="1">RANK(Q3,$P$3:$Z$3,0)</f>
        <v>4</v>
      </c>
      <c r="R21" s="1">
        <f t="shared" si="1"/>
        <v>3</v>
      </c>
      <c r="S21" s="1">
        <f t="shared" si="1"/>
        <v>7</v>
      </c>
      <c r="T21" s="1">
        <f t="shared" si="1"/>
        <v>11</v>
      </c>
      <c r="U21" s="1">
        <f t="shared" si="1"/>
        <v>10</v>
      </c>
      <c r="V21" s="1">
        <f t="shared" si="1"/>
        <v>9</v>
      </c>
      <c r="W21" s="1">
        <f t="shared" si="1"/>
        <v>8</v>
      </c>
      <c r="X21" s="1">
        <f t="shared" si="1"/>
        <v>1</v>
      </c>
      <c r="Y21" s="1">
        <f t="shared" si="1"/>
        <v>5</v>
      </c>
      <c r="Z21" s="1">
        <f t="shared" si="1"/>
        <v>2</v>
      </c>
    </row>
    <row r="22" spans="1:26" x14ac:dyDescent="0.35">
      <c r="A22" s="6" t="s">
        <v>136</v>
      </c>
      <c r="B22" s="1">
        <f t="shared" ref="B22:L22" si="2">RANK(B4,$B$4:$L$4,0)</f>
        <v>1</v>
      </c>
      <c r="C22" s="1">
        <f t="shared" si="2"/>
        <v>5</v>
      </c>
      <c r="D22" s="1">
        <f t="shared" si="2"/>
        <v>9</v>
      </c>
      <c r="E22" s="1">
        <f t="shared" si="2"/>
        <v>2</v>
      </c>
      <c r="F22" s="1">
        <f t="shared" si="2"/>
        <v>10</v>
      </c>
      <c r="G22" s="1">
        <f t="shared" si="2"/>
        <v>4</v>
      </c>
      <c r="H22" s="1">
        <f t="shared" si="2"/>
        <v>11</v>
      </c>
      <c r="I22" s="1">
        <f t="shared" si="2"/>
        <v>6</v>
      </c>
      <c r="J22" s="1">
        <f t="shared" si="2"/>
        <v>3</v>
      </c>
      <c r="K22" s="1">
        <f t="shared" si="2"/>
        <v>7</v>
      </c>
      <c r="L22" s="1">
        <f t="shared" si="2"/>
        <v>8</v>
      </c>
      <c r="O22" s="6" t="s">
        <v>136</v>
      </c>
      <c r="P22" s="1">
        <f>RANK(P4,$P4:$Z4,0)</f>
        <v>5</v>
      </c>
      <c r="Q22" s="1">
        <f t="shared" ref="Q22:Z22" si="3">RANK(Q4,$P4:$Z4,0)</f>
        <v>4</v>
      </c>
      <c r="R22" s="1">
        <f t="shared" si="3"/>
        <v>10</v>
      </c>
      <c r="S22" s="1">
        <f t="shared" si="3"/>
        <v>1</v>
      </c>
      <c r="T22" s="1">
        <f t="shared" si="3"/>
        <v>8</v>
      </c>
      <c r="U22" s="1">
        <f t="shared" si="3"/>
        <v>11</v>
      </c>
      <c r="V22" s="1">
        <f t="shared" si="3"/>
        <v>6</v>
      </c>
      <c r="W22" s="1">
        <f t="shared" si="3"/>
        <v>9</v>
      </c>
      <c r="X22" s="1">
        <f t="shared" si="3"/>
        <v>2</v>
      </c>
      <c r="Y22" s="1">
        <f t="shared" si="3"/>
        <v>6</v>
      </c>
      <c r="Z22" s="1">
        <f t="shared" si="3"/>
        <v>3</v>
      </c>
    </row>
    <row r="23" spans="1:26" x14ac:dyDescent="0.35">
      <c r="A23" s="6" t="s">
        <v>137</v>
      </c>
      <c r="B23" s="1">
        <f t="shared" ref="B23:L23" si="4">RANK(B5,$B$5:$L$5,0)</f>
        <v>1</v>
      </c>
      <c r="C23" s="1">
        <f t="shared" si="4"/>
        <v>5</v>
      </c>
      <c r="D23" s="1">
        <f t="shared" si="4"/>
        <v>7</v>
      </c>
      <c r="E23" s="1">
        <f t="shared" si="4"/>
        <v>6</v>
      </c>
      <c r="F23" s="1">
        <f t="shared" si="4"/>
        <v>9</v>
      </c>
      <c r="G23" s="1">
        <f t="shared" si="4"/>
        <v>11</v>
      </c>
      <c r="H23" s="1">
        <f t="shared" si="4"/>
        <v>3</v>
      </c>
      <c r="I23" s="1">
        <f t="shared" si="4"/>
        <v>8</v>
      </c>
      <c r="J23" s="1">
        <f t="shared" si="4"/>
        <v>2</v>
      </c>
      <c r="K23" s="1">
        <f t="shared" si="4"/>
        <v>4</v>
      </c>
      <c r="L23" s="1">
        <f t="shared" si="4"/>
        <v>10</v>
      </c>
      <c r="O23" s="6" t="s">
        <v>137</v>
      </c>
      <c r="P23" s="1">
        <f t="shared" ref="P23:Z23" si="5">RANK(P5,$P5:$Z5,0)</f>
        <v>11</v>
      </c>
      <c r="Q23" s="1">
        <f t="shared" si="5"/>
        <v>4</v>
      </c>
      <c r="R23" s="1">
        <f t="shared" si="5"/>
        <v>9</v>
      </c>
      <c r="S23" s="1">
        <f t="shared" si="5"/>
        <v>2</v>
      </c>
      <c r="T23" s="1">
        <f t="shared" si="5"/>
        <v>6</v>
      </c>
      <c r="U23" s="1">
        <f t="shared" si="5"/>
        <v>1</v>
      </c>
      <c r="V23" s="1">
        <f t="shared" si="5"/>
        <v>5</v>
      </c>
      <c r="W23" s="1">
        <f t="shared" si="5"/>
        <v>7</v>
      </c>
      <c r="X23" s="1">
        <f t="shared" si="5"/>
        <v>3</v>
      </c>
      <c r="Y23" s="1">
        <f t="shared" si="5"/>
        <v>8</v>
      </c>
      <c r="Z23" s="1">
        <f t="shared" si="5"/>
        <v>10</v>
      </c>
    </row>
    <row r="24" spans="1:26" x14ac:dyDescent="0.35">
      <c r="A24" s="6" t="s">
        <v>138</v>
      </c>
      <c r="B24" s="1">
        <f t="shared" ref="B24:L24" si="6">RANK(B6,$B$6:$L$6,0)</f>
        <v>1</v>
      </c>
      <c r="C24" s="1">
        <f t="shared" si="6"/>
        <v>6</v>
      </c>
      <c r="D24" s="1">
        <f t="shared" si="6"/>
        <v>4</v>
      </c>
      <c r="E24" s="1">
        <f t="shared" si="6"/>
        <v>10</v>
      </c>
      <c r="F24" s="1">
        <f t="shared" si="6"/>
        <v>9</v>
      </c>
      <c r="G24" s="1">
        <f t="shared" si="6"/>
        <v>8</v>
      </c>
      <c r="H24" s="1">
        <f t="shared" si="6"/>
        <v>2</v>
      </c>
      <c r="I24" s="1">
        <f t="shared" si="6"/>
        <v>11</v>
      </c>
      <c r="J24" s="1">
        <f t="shared" si="6"/>
        <v>3</v>
      </c>
      <c r="K24" s="1">
        <f t="shared" si="6"/>
        <v>5</v>
      </c>
      <c r="L24" s="1">
        <f t="shared" si="6"/>
        <v>7</v>
      </c>
      <c r="O24" s="6" t="s">
        <v>138</v>
      </c>
      <c r="P24" s="1">
        <f t="shared" ref="P24:Z24" si="7">RANK(P6,$P6:$Z6,0)</f>
        <v>6</v>
      </c>
      <c r="Q24" s="1">
        <f t="shared" si="7"/>
        <v>8</v>
      </c>
      <c r="R24" s="1">
        <f t="shared" si="7"/>
        <v>5</v>
      </c>
      <c r="S24" s="1">
        <f t="shared" si="7"/>
        <v>1</v>
      </c>
      <c r="T24" s="1">
        <f t="shared" si="7"/>
        <v>2</v>
      </c>
      <c r="U24" s="1">
        <f t="shared" si="7"/>
        <v>9</v>
      </c>
      <c r="V24" s="1">
        <f t="shared" si="7"/>
        <v>7</v>
      </c>
      <c r="W24" s="1">
        <f t="shared" si="7"/>
        <v>11</v>
      </c>
      <c r="X24" s="1">
        <f t="shared" si="7"/>
        <v>3</v>
      </c>
      <c r="Y24" s="1">
        <f t="shared" si="7"/>
        <v>10</v>
      </c>
      <c r="Z24" s="1">
        <f t="shared" si="7"/>
        <v>4</v>
      </c>
    </row>
    <row r="25" spans="1:26" x14ac:dyDescent="0.35">
      <c r="A25" s="6" t="s">
        <v>139</v>
      </c>
      <c r="B25" s="1">
        <f t="shared" ref="B25:L25" si="8">RANK(B7,$B$7:$L$7,0)</f>
        <v>11</v>
      </c>
      <c r="C25" s="1">
        <f t="shared" si="8"/>
        <v>1</v>
      </c>
      <c r="D25" s="1">
        <f t="shared" si="8"/>
        <v>10</v>
      </c>
      <c r="E25" s="1">
        <f t="shared" si="8"/>
        <v>4</v>
      </c>
      <c r="F25" s="1">
        <f t="shared" si="8"/>
        <v>6</v>
      </c>
      <c r="G25" s="1">
        <f t="shared" si="8"/>
        <v>9</v>
      </c>
      <c r="H25" s="1">
        <f t="shared" si="8"/>
        <v>8</v>
      </c>
      <c r="I25" s="1">
        <f t="shared" si="8"/>
        <v>7</v>
      </c>
      <c r="J25" s="1">
        <f t="shared" si="8"/>
        <v>3</v>
      </c>
      <c r="K25" s="1">
        <f t="shared" si="8"/>
        <v>2</v>
      </c>
      <c r="L25" s="1">
        <f t="shared" si="8"/>
        <v>5</v>
      </c>
      <c r="O25" s="6" t="s">
        <v>139</v>
      </c>
      <c r="P25" s="1">
        <f t="shared" ref="P25:Z25" si="9">RANK(P7,$P7:$Z7,0)</f>
        <v>5</v>
      </c>
      <c r="Q25" s="1">
        <f t="shared" si="9"/>
        <v>10</v>
      </c>
      <c r="R25" s="1">
        <f t="shared" si="9"/>
        <v>3</v>
      </c>
      <c r="S25" s="1">
        <f t="shared" si="9"/>
        <v>11</v>
      </c>
      <c r="T25" s="1">
        <f t="shared" si="9"/>
        <v>8</v>
      </c>
      <c r="U25" s="1">
        <f t="shared" si="9"/>
        <v>4</v>
      </c>
      <c r="V25" s="1">
        <f t="shared" si="9"/>
        <v>7</v>
      </c>
      <c r="W25" s="1">
        <f t="shared" si="9"/>
        <v>2</v>
      </c>
      <c r="X25" s="1">
        <f t="shared" si="9"/>
        <v>9</v>
      </c>
      <c r="Y25" s="1">
        <f t="shared" si="9"/>
        <v>6</v>
      </c>
      <c r="Z25" s="1">
        <f t="shared" si="9"/>
        <v>1</v>
      </c>
    </row>
    <row r="26" spans="1:26" x14ac:dyDescent="0.35">
      <c r="A26" s="6" t="s">
        <v>134</v>
      </c>
      <c r="B26" s="1">
        <f t="shared" ref="B26:L26" si="10">RANK(B8,$B$8:$L$8,0)</f>
        <v>3</v>
      </c>
      <c r="C26" s="1">
        <f t="shared" si="10"/>
        <v>10</v>
      </c>
      <c r="D26" s="1">
        <f t="shared" si="10"/>
        <v>6</v>
      </c>
      <c r="E26" s="1">
        <f t="shared" si="10"/>
        <v>1</v>
      </c>
      <c r="F26" s="1">
        <f t="shared" si="10"/>
        <v>8</v>
      </c>
      <c r="G26" s="1">
        <f t="shared" si="10"/>
        <v>7</v>
      </c>
      <c r="H26" s="1">
        <f t="shared" si="10"/>
        <v>9</v>
      </c>
      <c r="I26" s="1">
        <f t="shared" si="10"/>
        <v>2</v>
      </c>
      <c r="J26" s="1">
        <f t="shared" si="10"/>
        <v>4</v>
      </c>
      <c r="K26" s="1">
        <f t="shared" si="10"/>
        <v>5</v>
      </c>
      <c r="L26" s="1">
        <f t="shared" si="10"/>
        <v>11</v>
      </c>
      <c r="O26" s="6" t="s">
        <v>134</v>
      </c>
      <c r="P26" s="1">
        <f t="shared" ref="P26:Z26" si="11">RANK(P8,$P8:$Z8,0)</f>
        <v>9</v>
      </c>
      <c r="Q26" s="1">
        <f t="shared" si="11"/>
        <v>7</v>
      </c>
      <c r="R26" s="1">
        <f t="shared" si="11"/>
        <v>4</v>
      </c>
      <c r="S26" s="1">
        <f t="shared" si="11"/>
        <v>1</v>
      </c>
      <c r="T26" s="1">
        <f t="shared" si="11"/>
        <v>10</v>
      </c>
      <c r="U26" s="1">
        <f t="shared" si="11"/>
        <v>8</v>
      </c>
      <c r="V26" s="1">
        <f t="shared" si="11"/>
        <v>5</v>
      </c>
      <c r="W26" s="1">
        <f t="shared" si="11"/>
        <v>6</v>
      </c>
      <c r="X26" s="1">
        <f t="shared" si="11"/>
        <v>11</v>
      </c>
      <c r="Y26" s="1">
        <f t="shared" si="11"/>
        <v>3</v>
      </c>
      <c r="Z26" s="1">
        <f t="shared" si="11"/>
        <v>2</v>
      </c>
    </row>
    <row r="27" spans="1:26" x14ac:dyDescent="0.35">
      <c r="A27" s="6" t="s">
        <v>140</v>
      </c>
      <c r="B27" s="1">
        <f t="shared" ref="B27:L27" si="12">RANK(B9,$B$9:$L$9,0)</f>
        <v>1</v>
      </c>
      <c r="C27" s="1">
        <f t="shared" si="12"/>
        <v>4</v>
      </c>
      <c r="D27" s="1">
        <f t="shared" si="12"/>
        <v>10</v>
      </c>
      <c r="E27" s="1">
        <f t="shared" si="12"/>
        <v>8</v>
      </c>
      <c r="F27" s="1">
        <f t="shared" si="12"/>
        <v>2</v>
      </c>
      <c r="G27" s="1">
        <f t="shared" si="12"/>
        <v>11</v>
      </c>
      <c r="H27" s="1">
        <f t="shared" si="12"/>
        <v>6</v>
      </c>
      <c r="I27" s="1">
        <f t="shared" si="12"/>
        <v>9</v>
      </c>
      <c r="J27" s="1">
        <f t="shared" si="12"/>
        <v>7</v>
      </c>
      <c r="K27" s="1">
        <f t="shared" si="12"/>
        <v>5</v>
      </c>
      <c r="L27" s="1">
        <f t="shared" si="12"/>
        <v>3</v>
      </c>
      <c r="O27" s="6" t="s">
        <v>140</v>
      </c>
      <c r="P27" s="1">
        <f t="shared" ref="P27:Z27" si="13">RANK(P9,$P9:$Z9,0)</f>
        <v>9</v>
      </c>
      <c r="Q27" s="1">
        <f t="shared" si="13"/>
        <v>11</v>
      </c>
      <c r="R27" s="1">
        <f t="shared" si="13"/>
        <v>7</v>
      </c>
      <c r="S27" s="1">
        <f t="shared" si="13"/>
        <v>5</v>
      </c>
      <c r="T27" s="1">
        <f t="shared" si="13"/>
        <v>10</v>
      </c>
      <c r="U27" s="1">
        <f t="shared" si="13"/>
        <v>8</v>
      </c>
      <c r="V27" s="1">
        <f t="shared" si="13"/>
        <v>6</v>
      </c>
      <c r="W27" s="1">
        <f t="shared" si="13"/>
        <v>4</v>
      </c>
      <c r="X27" s="1">
        <f t="shared" si="13"/>
        <v>2</v>
      </c>
      <c r="Y27" s="1">
        <f t="shared" si="13"/>
        <v>3</v>
      </c>
      <c r="Z27" s="1">
        <f t="shared" si="13"/>
        <v>1</v>
      </c>
    </row>
    <row r="28" spans="1:26" x14ac:dyDescent="0.35">
      <c r="A28" s="6" t="s">
        <v>141</v>
      </c>
      <c r="B28" s="1">
        <f t="shared" ref="B28:L28" si="14">RANK(B10,$B$10:$L$10,0)</f>
        <v>2</v>
      </c>
      <c r="C28" s="1">
        <f t="shared" si="14"/>
        <v>7</v>
      </c>
      <c r="D28" s="1">
        <f t="shared" si="14"/>
        <v>4</v>
      </c>
      <c r="E28" s="1">
        <f t="shared" si="14"/>
        <v>1</v>
      </c>
      <c r="F28" s="1">
        <f t="shared" si="14"/>
        <v>5</v>
      </c>
      <c r="G28" s="1">
        <f t="shared" si="14"/>
        <v>5</v>
      </c>
      <c r="H28" s="1">
        <f t="shared" si="14"/>
        <v>3</v>
      </c>
      <c r="I28" s="1">
        <f t="shared" si="14"/>
        <v>8</v>
      </c>
      <c r="J28" s="1">
        <f t="shared" si="14"/>
        <v>9</v>
      </c>
      <c r="K28" s="1">
        <f t="shared" si="14"/>
        <v>10</v>
      </c>
      <c r="L28" s="1">
        <f t="shared" si="14"/>
        <v>11</v>
      </c>
      <c r="O28" s="6" t="s">
        <v>141</v>
      </c>
      <c r="P28" s="1">
        <f t="shared" ref="P28:Z28" si="15">RANK(P10,$P10:$Z10,0)</f>
        <v>11</v>
      </c>
      <c r="Q28" s="1">
        <f t="shared" si="15"/>
        <v>3</v>
      </c>
      <c r="R28" s="1">
        <f t="shared" si="15"/>
        <v>4</v>
      </c>
      <c r="S28" s="1">
        <f t="shared" si="15"/>
        <v>8</v>
      </c>
      <c r="T28" s="1">
        <f t="shared" si="15"/>
        <v>10</v>
      </c>
      <c r="U28" s="1">
        <f t="shared" si="15"/>
        <v>9</v>
      </c>
      <c r="V28" s="1">
        <f t="shared" si="15"/>
        <v>4</v>
      </c>
      <c r="W28" s="1">
        <f t="shared" si="15"/>
        <v>7</v>
      </c>
      <c r="X28" s="1">
        <f t="shared" si="15"/>
        <v>2</v>
      </c>
      <c r="Y28" s="1">
        <f t="shared" si="15"/>
        <v>6</v>
      </c>
      <c r="Z28" s="1">
        <f t="shared" si="15"/>
        <v>1</v>
      </c>
    </row>
    <row r="29" spans="1:26" x14ac:dyDescent="0.35">
      <c r="A29" s="6" t="s">
        <v>287</v>
      </c>
      <c r="B29" s="1">
        <f t="shared" ref="B29:L29" si="16">RANK(B11,$B$11:$L$11,0)</f>
        <v>6</v>
      </c>
      <c r="C29" s="1">
        <f t="shared" si="16"/>
        <v>3</v>
      </c>
      <c r="D29" s="1">
        <f t="shared" si="16"/>
        <v>11</v>
      </c>
      <c r="E29" s="1">
        <f t="shared" si="16"/>
        <v>2</v>
      </c>
      <c r="F29" s="1">
        <f t="shared" si="16"/>
        <v>5</v>
      </c>
      <c r="G29" s="1">
        <f t="shared" si="16"/>
        <v>9</v>
      </c>
      <c r="H29" s="1">
        <f t="shared" si="16"/>
        <v>8</v>
      </c>
      <c r="I29" s="1">
        <f t="shared" si="16"/>
        <v>1</v>
      </c>
      <c r="J29" s="1">
        <f t="shared" si="16"/>
        <v>4</v>
      </c>
      <c r="K29" s="1">
        <f t="shared" si="16"/>
        <v>7</v>
      </c>
      <c r="L29" s="1">
        <f t="shared" si="16"/>
        <v>10</v>
      </c>
      <c r="O29" s="6" t="s">
        <v>287</v>
      </c>
      <c r="P29" s="1">
        <f t="shared" ref="P29:Z29" si="17">RANK(P11,$P11:$Z11,0)</f>
        <v>3</v>
      </c>
      <c r="Q29" s="1">
        <f t="shared" si="17"/>
        <v>8</v>
      </c>
      <c r="R29" s="1">
        <f t="shared" si="17"/>
        <v>5</v>
      </c>
      <c r="S29" s="1">
        <f t="shared" si="17"/>
        <v>4</v>
      </c>
      <c r="T29" s="1">
        <f t="shared" si="17"/>
        <v>11</v>
      </c>
      <c r="U29" s="1">
        <f t="shared" si="17"/>
        <v>1</v>
      </c>
      <c r="V29" s="1">
        <f t="shared" si="17"/>
        <v>7</v>
      </c>
      <c r="W29" s="1">
        <f t="shared" si="17"/>
        <v>10</v>
      </c>
      <c r="X29" s="1">
        <f t="shared" si="17"/>
        <v>6</v>
      </c>
      <c r="Y29" s="1">
        <f t="shared" si="17"/>
        <v>9</v>
      </c>
      <c r="Z29" s="1">
        <f t="shared" si="17"/>
        <v>2</v>
      </c>
    </row>
    <row r="30" spans="1:26" x14ac:dyDescent="0.35">
      <c r="A30" s="3"/>
      <c r="O30" s="3"/>
    </row>
    <row r="31" spans="1:26" x14ac:dyDescent="0.35">
      <c r="A31" s="25" t="s">
        <v>700</v>
      </c>
      <c r="B31" s="26"/>
      <c r="O31" s="25" t="s">
        <v>700</v>
      </c>
      <c r="P31" s="26"/>
    </row>
    <row r="32" spans="1:26" x14ac:dyDescent="0.35">
      <c r="A32" s="23" t="s">
        <v>253</v>
      </c>
      <c r="B32" s="27"/>
      <c r="C32" s="27"/>
      <c r="D32" s="27"/>
      <c r="E32" s="24"/>
      <c r="O32" s="23" t="s">
        <v>253</v>
      </c>
      <c r="P32" s="27"/>
      <c r="Q32" s="27"/>
      <c r="R32" s="27"/>
      <c r="S32" s="24"/>
    </row>
    <row r="37" spans="1:13" x14ac:dyDescent="0.35">
      <c r="A37" t="s">
        <v>314</v>
      </c>
      <c r="K37" t="s">
        <v>315</v>
      </c>
    </row>
    <row r="38" spans="1:13" x14ac:dyDescent="0.35">
      <c r="A38" s="6" t="s">
        <v>60</v>
      </c>
      <c r="B38" s="6" t="s">
        <v>262</v>
      </c>
      <c r="C38" s="6" t="s">
        <v>263</v>
      </c>
      <c r="D38" s="6" t="s">
        <v>264</v>
      </c>
      <c r="E38" s="6" t="s">
        <v>265</v>
      </c>
      <c r="F38" s="6" t="s">
        <v>266</v>
      </c>
      <c r="J38" s="6" t="s">
        <v>60</v>
      </c>
      <c r="K38" s="6" t="s">
        <v>309</v>
      </c>
      <c r="L38" s="6" t="s">
        <v>31</v>
      </c>
      <c r="M38" s="6" t="s">
        <v>310</v>
      </c>
    </row>
    <row r="39" spans="1:13" x14ac:dyDescent="0.35">
      <c r="A39" s="6" t="s">
        <v>23</v>
      </c>
      <c r="B39" s="33">
        <v>5.8956979614994767</v>
      </c>
      <c r="C39" s="1">
        <v>7</v>
      </c>
      <c r="D39" s="34">
        <v>-1.2401006166483757</v>
      </c>
      <c r="E39" s="1">
        <v>1</v>
      </c>
      <c r="F39" s="34">
        <v>-7.1357985781478526</v>
      </c>
      <c r="J39" s="6" t="s">
        <v>13</v>
      </c>
      <c r="K39" s="32">
        <v>1</v>
      </c>
      <c r="L39" s="32">
        <v>2</v>
      </c>
      <c r="M39" s="32">
        <f t="shared" ref="M39:M49" si="18">K39-L39</f>
        <v>-1</v>
      </c>
    </row>
    <row r="40" spans="1:13" x14ac:dyDescent="0.35">
      <c r="A40" s="6" t="s">
        <v>13</v>
      </c>
      <c r="B40" s="33">
        <v>5.8640483533431471</v>
      </c>
      <c r="C40" s="1">
        <v>1</v>
      </c>
      <c r="D40" s="34">
        <v>6.6422702048487796</v>
      </c>
      <c r="E40" s="1">
        <v>7</v>
      </c>
      <c r="F40" s="34">
        <v>0.7782218515056325</v>
      </c>
      <c r="J40" s="6" t="s">
        <v>23</v>
      </c>
      <c r="K40" s="32">
        <v>2</v>
      </c>
      <c r="L40" s="32">
        <v>1</v>
      </c>
      <c r="M40" s="32">
        <f t="shared" si="18"/>
        <v>1</v>
      </c>
    </row>
    <row r="41" spans="1:13" x14ac:dyDescent="0.35">
      <c r="A41" s="6" t="s">
        <v>36</v>
      </c>
      <c r="B41" s="33">
        <v>3.6500819565110847</v>
      </c>
      <c r="C41" s="1">
        <v>3</v>
      </c>
      <c r="D41" s="34">
        <v>1.7800014338456502</v>
      </c>
      <c r="E41" s="1">
        <v>3</v>
      </c>
      <c r="F41" s="34">
        <v>-1.8700805226654345</v>
      </c>
      <c r="J41" s="6" t="s">
        <v>36</v>
      </c>
      <c r="K41" s="32">
        <v>4</v>
      </c>
      <c r="L41" s="32">
        <v>3</v>
      </c>
      <c r="M41" s="32">
        <f t="shared" si="18"/>
        <v>1</v>
      </c>
    </row>
    <row r="42" spans="1:13" x14ac:dyDescent="0.35">
      <c r="A42" s="6" t="s">
        <v>2</v>
      </c>
      <c r="B42" s="33">
        <v>2.1308852431028211</v>
      </c>
      <c r="C42" s="1">
        <v>9</v>
      </c>
      <c r="D42" s="34">
        <v>-1.7203880876193431</v>
      </c>
      <c r="E42" s="1">
        <v>2</v>
      </c>
      <c r="F42" s="34">
        <v>-3.8512733307221643</v>
      </c>
      <c r="J42" s="6" t="s">
        <v>2</v>
      </c>
      <c r="K42" s="32">
        <v>3</v>
      </c>
      <c r="L42" s="32">
        <v>4</v>
      </c>
      <c r="M42" s="32">
        <f t="shared" si="18"/>
        <v>-1</v>
      </c>
    </row>
    <row r="43" spans="1:13" x14ac:dyDescent="0.35">
      <c r="A43" s="6" t="s">
        <v>34</v>
      </c>
      <c r="B43" s="33">
        <v>0.14375864404021688</v>
      </c>
      <c r="C43" s="1">
        <v>4</v>
      </c>
      <c r="D43" s="34">
        <v>0.71406257620777869</v>
      </c>
      <c r="E43" s="1">
        <v>6</v>
      </c>
      <c r="F43" s="34">
        <v>0.57030393216756181</v>
      </c>
      <c r="J43" s="6" t="s">
        <v>34</v>
      </c>
      <c r="K43" s="32">
        <v>5</v>
      </c>
      <c r="L43" s="32">
        <v>5</v>
      </c>
      <c r="M43" s="32">
        <f t="shared" si="18"/>
        <v>0</v>
      </c>
    </row>
    <row r="44" spans="1:13" x14ac:dyDescent="0.35">
      <c r="A44" s="6" t="s">
        <v>17</v>
      </c>
      <c r="B44" s="33">
        <v>-1.2477587885146932</v>
      </c>
      <c r="C44" s="1">
        <v>8</v>
      </c>
      <c r="D44" s="34">
        <v>-1.4963762680713411</v>
      </c>
      <c r="E44" s="1">
        <v>4</v>
      </c>
      <c r="F44" s="34">
        <v>-0.24861747955664787</v>
      </c>
      <c r="J44" s="6" t="s">
        <v>4</v>
      </c>
      <c r="K44" s="32">
        <v>8</v>
      </c>
      <c r="L44" s="32">
        <v>8</v>
      </c>
      <c r="M44" s="32">
        <f t="shared" si="18"/>
        <v>0</v>
      </c>
    </row>
    <row r="45" spans="1:13" x14ac:dyDescent="0.35">
      <c r="A45" s="6" t="s">
        <v>275</v>
      </c>
      <c r="B45" s="33">
        <v>-1.5763830928576148</v>
      </c>
      <c r="C45" s="1">
        <v>2</v>
      </c>
      <c r="D45" s="34">
        <v>2.6609065405769279</v>
      </c>
      <c r="E45" s="1">
        <v>10</v>
      </c>
      <c r="F45" s="34">
        <v>4.2372896334345427</v>
      </c>
      <c r="J45" s="6" t="s">
        <v>275</v>
      </c>
      <c r="K45" s="32">
        <v>6</v>
      </c>
      <c r="L45" s="32">
        <v>7</v>
      </c>
      <c r="M45" s="32">
        <f t="shared" si="18"/>
        <v>-1</v>
      </c>
    </row>
    <row r="46" spans="1:13" x14ac:dyDescent="0.35">
      <c r="A46" s="6" t="s">
        <v>4</v>
      </c>
      <c r="B46" s="33">
        <v>-3.7659056097306212</v>
      </c>
      <c r="C46" s="1">
        <v>5</v>
      </c>
      <c r="D46" s="34">
        <v>-0.1803780586664093</v>
      </c>
      <c r="E46" s="1">
        <v>8</v>
      </c>
      <c r="F46" s="34">
        <v>3.5855275510642119</v>
      </c>
      <c r="J46" s="6" t="s">
        <v>17</v>
      </c>
      <c r="K46" s="32">
        <v>7</v>
      </c>
      <c r="L46" s="32">
        <v>6</v>
      </c>
      <c r="M46" s="32">
        <f t="shared" si="18"/>
        <v>1</v>
      </c>
    </row>
    <row r="47" spans="1:13" x14ac:dyDescent="0.35">
      <c r="A47" s="6" t="s">
        <v>7</v>
      </c>
      <c r="B47" s="33">
        <v>-4.3702798407324579</v>
      </c>
      <c r="C47" s="1">
        <v>6</v>
      </c>
      <c r="D47" s="34">
        <v>-0.46469648602725161</v>
      </c>
      <c r="E47" s="1">
        <v>9</v>
      </c>
      <c r="F47" s="34">
        <v>3.9055833547052061</v>
      </c>
      <c r="J47" s="6" t="s">
        <v>7</v>
      </c>
      <c r="K47" s="32">
        <v>9</v>
      </c>
      <c r="L47" s="32">
        <v>9</v>
      </c>
      <c r="M47" s="32">
        <f t="shared" si="18"/>
        <v>0</v>
      </c>
    </row>
    <row r="48" spans="1:13" x14ac:dyDescent="0.35">
      <c r="A48" s="6" t="s">
        <v>24</v>
      </c>
      <c r="B48" s="33">
        <v>-6.7241469122156134</v>
      </c>
      <c r="C48" s="1">
        <v>11</v>
      </c>
      <c r="D48" s="34">
        <v>-6.6953015662771476</v>
      </c>
      <c r="E48" s="1">
        <v>5</v>
      </c>
      <c r="F48" s="34">
        <v>2.8845345938466032E-2</v>
      </c>
      <c r="J48" s="6" t="s">
        <v>24</v>
      </c>
      <c r="K48" s="32">
        <v>10</v>
      </c>
      <c r="L48" s="32">
        <v>10</v>
      </c>
      <c r="M48" s="32">
        <f t="shared" si="18"/>
        <v>0</v>
      </c>
    </row>
    <row r="49" spans="1:14" x14ac:dyDescent="0.35">
      <c r="A49" s="6" t="s">
        <v>14</v>
      </c>
      <c r="B49" s="33">
        <v>-19.116326038782596</v>
      </c>
      <c r="C49" s="1">
        <v>10</v>
      </c>
      <c r="D49" s="34">
        <v>-4.3574241655820121</v>
      </c>
      <c r="E49" s="1">
        <v>11</v>
      </c>
      <c r="F49" s="34">
        <v>14.758901873200585</v>
      </c>
      <c r="J49" s="6" t="s">
        <v>14</v>
      </c>
      <c r="K49" s="32">
        <v>11</v>
      </c>
      <c r="L49" s="32">
        <v>11</v>
      </c>
      <c r="M49" s="32">
        <f t="shared" si="18"/>
        <v>0</v>
      </c>
    </row>
    <row r="51" spans="1:14" x14ac:dyDescent="0.35">
      <c r="A51" s="70" t="s">
        <v>700</v>
      </c>
      <c r="B51" s="26"/>
      <c r="J51" s="70" t="s">
        <v>700</v>
      </c>
      <c r="K51" s="26"/>
    </row>
    <row r="52" spans="1:14" x14ac:dyDescent="0.35">
      <c r="A52" s="23" t="s">
        <v>312</v>
      </c>
      <c r="B52" s="27"/>
      <c r="C52" s="27"/>
      <c r="D52" s="24"/>
      <c r="J52" s="23" t="s">
        <v>313</v>
      </c>
      <c r="K52" s="27"/>
      <c r="L52" s="27"/>
      <c r="M52" s="27"/>
      <c r="N52" s="24"/>
    </row>
  </sheetData>
  <sortState xmlns:xlrd2="http://schemas.microsoft.com/office/spreadsheetml/2017/richdata2" ref="K39:N50">
    <sortCondition ref="L39:L50"/>
  </sortState>
  <conditionalFormatting sqref="B3 B12">
    <cfRule type="colorScale" priority="19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">
    <cfRule type="colorScale" priority="19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">
    <cfRule type="colorScale" priority="18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">
    <cfRule type="colorScale" priority="18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1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">
    <cfRule type="colorScale" priority="1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">
    <cfRule type="colorScale" priority="1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">
    <cfRule type="colorScale" priority="14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0">
    <cfRule type="colorScale" priority="19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9:B49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0:B49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F3">
    <cfRule type="colorScale" priority="20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F4">
    <cfRule type="colorScale" priority="20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F5">
    <cfRule type="colorScale" priority="20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20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20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20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20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20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20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0:J30 F31:J32">
    <cfRule type="colorScale" priority="19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:L3"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L4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L5"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7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7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7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L21">
    <cfRule type="colorScale" priority="7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1:L29">
    <cfRule type="colorScale" priority="20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L22">
    <cfRule type="colorScale" priority="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3">
    <cfRule type="colorScale" priority="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L24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5"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9">
    <cfRule type="colorScale" priority="21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L26"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7:L27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8:L28"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9:L29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 C12">
    <cfRule type="colorScale" priority="19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">
    <cfRule type="colorScale" priority="19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">
    <cfRule type="colorScale" priority="18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">
    <cfRule type="colorScale" priority="18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17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">
    <cfRule type="colorScale" priority="16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">
    <cfRule type="colorScale" priority="16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">
    <cfRule type="colorScale" priority="1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">
    <cfRule type="colorScale" priority="14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">
    <cfRule type="colorScale" priority="1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1:C29">
    <cfRule type="colorScale" priority="1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9:C49 E39:E49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0:J30 F31:J32">
    <cfRule type="colorScale" priority="19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 E12">
    <cfRule type="colorScale" priority="19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">
    <cfRule type="colorScale" priority="19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">
    <cfRule type="colorScale" priority="18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">
    <cfRule type="colorScale" priority="1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7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">
    <cfRule type="colorScale" priority="16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">
    <cfRule type="colorScale" priority="1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15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">
    <cfRule type="colorScale" priority="1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">
    <cfRule type="colorScale" priority="1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20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1:D29">
    <cfRule type="colorScale" priority="1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9:D49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0:D49 F40:F49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0:D49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">
    <cfRule type="colorScale" priority="19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">
    <cfRule type="colorScale" priority="18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">
    <cfRule type="colorScale" priority="18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7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1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olorScale" priority="1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15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1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">
    <cfRule type="colorScale" priority="14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1:E29">
    <cfRule type="colorScale" priority="1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">
    <cfRule type="colorScale" priority="19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">
    <cfRule type="colorScale" priority="18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">
    <cfRule type="colorScale" priority="17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7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">
    <cfRule type="colorScale" priority="1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">
    <cfRule type="colorScale" priority="1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">
    <cfRule type="colorScale" priority="1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">
    <cfRule type="colorScale" priority="14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">
    <cfRule type="colorScale" priority="1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:F14 E3">
    <cfRule type="colorScale" priority="19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1:F29">
    <cfRule type="colorScale" priority="1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9:F49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40:F49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 H12">
    <cfRule type="colorScale" priority="19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">
    <cfRule type="colorScale" priority="18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">
    <cfRule type="colorScale" priority="17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">
    <cfRule type="colorScale" priority="17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">
    <cfRule type="colorScale" priority="16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">
    <cfRule type="colorScale" priority="1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olorScale" priority="1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">
    <cfRule type="colorScale" priority="1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1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:G14 F3">
    <cfRule type="colorScale" priority="19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1:G29">
    <cfRule type="colorScale" priority="13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">
    <cfRule type="colorScale" priority="19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">
    <cfRule type="colorScale" priority="18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5">
    <cfRule type="colorScale" priority="17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">
    <cfRule type="colorScale" priority="17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16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1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1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13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:H14">
    <cfRule type="colorScale" priority="19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1:H29">
    <cfRule type="colorScale" priority="1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">
    <cfRule type="colorScale" priority="19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">
    <cfRule type="colorScale" priority="18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">
    <cfRule type="colorScale" priority="17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">
    <cfRule type="colorScale" priority="17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">
    <cfRule type="colorScale" priority="16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">
    <cfRule type="colorScale" priority="1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">
    <cfRule type="colorScale" priority="15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">
    <cfRule type="colorScale" priority="14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1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:I14">
    <cfRule type="colorScale" priority="19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1:I29">
    <cfRule type="colorScale" priority="1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">
    <cfRule type="colorScale" priority="19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4">
    <cfRule type="colorScale" priority="18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">
    <cfRule type="colorScale" priority="17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17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">
    <cfRule type="colorScale" priority="16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">
    <cfRule type="colorScale" priority="15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olorScale" priority="1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">
    <cfRule type="colorScale" priority="14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">
    <cfRule type="colorScale" priority="13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:J14">
    <cfRule type="colorScale" priority="19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1:J29">
    <cfRule type="colorScale" priority="1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">
    <cfRule type="colorScale" priority="18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4">
    <cfRule type="colorScale" priority="18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5">
    <cfRule type="colorScale" priority="17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16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">
    <cfRule type="colorScale" priority="1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">
    <cfRule type="colorScale" priority="15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">
    <cfRule type="colorScale" priority="1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">
    <cfRule type="colorScale" priority="1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">
    <cfRule type="colorScale" priority="1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1:K29">
    <cfRule type="colorScale" priority="1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9:K4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3">
    <cfRule type="colorScale" priority="18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">
    <cfRule type="colorScale" priority="18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5">
    <cfRule type="colorScale" priority="1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16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">
    <cfRule type="colorScale" priority="1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">
    <cfRule type="colorScale" priority="1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">
    <cfRule type="colorScale" priority="1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0">
    <cfRule type="colorScale" priority="14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">
    <cfRule type="colorScale" priority="13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1:L29">
    <cfRule type="colorScale" priority="1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9:L49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39:M4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 P12"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"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"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"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"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"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0">
    <cfRule type="colorScale" priority="68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3:T3"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T4"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:T5"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T6"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T7"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T8"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T9"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11"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0:X30 T31:X32">
    <cfRule type="colorScale" priority="68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3:Z3"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Z4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:Z5"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Z6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Z7"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Z8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Z9"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Z10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Z11"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1:Z21"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1:Z29"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2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9">
    <cfRule type="colorScale" priority="7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3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Z24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5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9">
    <cfRule type="colorScale" priority="7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Z26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7:Z27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8:Z28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9:Z29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 Q12"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">
    <cfRule type="colorScale" priority="6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4">
    <cfRule type="colorScale" priority="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"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"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"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0"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1:Q29 V21"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0:X30 T31:X32">
    <cfRule type="colorScale" priority="6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 S12"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">
    <cfRule type="colorScale" priority="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"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5"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7"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"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"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0"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"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21:R29 W21"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"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"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"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"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"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"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"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1:S29 X21"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"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"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"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"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"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0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"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:T14 S3">
    <cfRule type="colorScale" priority="6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1:T29 Y21"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 V12"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">
    <cfRule type="colorScale" priority="6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"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">
    <cfRule type="colorScale" priority="4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"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"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"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"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"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:U14 T3">
    <cfRule type="colorScale" priority="6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1:U29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"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">
    <cfRule type="colorScale" priority="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5"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6"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7"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"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"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:V14"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1:V29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">
    <cfRule type="colorScale" priority="6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"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5"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6"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"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8"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9"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"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1"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2:W14">
    <cfRule type="colorScale" priority="6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21:W29"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">
    <cfRule type="colorScale" priority="6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4">
    <cfRule type="colorScale" priority="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5"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"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"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9"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"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"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:X14"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21:X29"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"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"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5"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"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8"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"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"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21:Y29"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"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4"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5"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"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8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"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"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"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21:Z29"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11BF-6FA0-4174-AD59-D01D56F51663}">
  <dimension ref="D4:N25"/>
  <sheetViews>
    <sheetView workbookViewId="0">
      <selection activeCell="K7" sqref="K7"/>
    </sheetView>
  </sheetViews>
  <sheetFormatPr defaultRowHeight="14.5" x14ac:dyDescent="0.35"/>
  <cols>
    <col min="4" max="4" width="25.08984375" customWidth="1"/>
    <col min="11" max="11" width="23.36328125" customWidth="1"/>
  </cols>
  <sheetData>
    <row r="4" spans="4:14" x14ac:dyDescent="0.35">
      <c r="D4" s="66" t="s">
        <v>135</v>
      </c>
      <c r="E4" s="66" t="s">
        <v>611</v>
      </c>
      <c r="F4" s="66" t="s">
        <v>279</v>
      </c>
      <c r="K4" s="66" t="s">
        <v>139</v>
      </c>
      <c r="L4" s="66" t="s">
        <v>611</v>
      </c>
      <c r="M4" s="66" t="s">
        <v>279</v>
      </c>
    </row>
    <row r="5" spans="4:14" x14ac:dyDescent="0.35">
      <c r="D5" s="74" t="s">
        <v>175</v>
      </c>
      <c r="E5" s="75">
        <f>VLOOKUP(D5, FRvsDef!B$20:E$100, 4, FALSE)</f>
        <v>0</v>
      </c>
      <c r="F5" s="76">
        <f ca="1">VLOOKUP(D5, FRvsDef!$B$20:$G$100, 6, FALSE)</f>
        <v>20.715189540490833</v>
      </c>
      <c r="K5" s="74" t="s">
        <v>519</v>
      </c>
      <c r="L5" s="75">
        <f>VLOOKUP(K5, FHvsDef!B$20:E$100, 4, FALSE)</f>
        <v>7.2960730773754463</v>
      </c>
      <c r="M5" s="76">
        <f ca="1">VLOOKUP(K5, FHvsDef!$B$20:$G$100, 6, FALSE)</f>
        <v>36.545500735965575</v>
      </c>
    </row>
    <row r="6" spans="4:14" x14ac:dyDescent="0.35">
      <c r="D6" s="77" t="s">
        <v>463</v>
      </c>
      <c r="E6" s="73">
        <f>VLOOKUP(D6, FRvsDef!B$20:E$100, 4, FALSE)</f>
        <v>9.2961851574427499</v>
      </c>
      <c r="F6" s="78">
        <f ca="1">VLOOKUP(D6, FRvsDef!$B$20:$G$100, 6, FALSE)</f>
        <v>28.382460835790674</v>
      </c>
      <c r="K6" s="77" t="s">
        <v>520</v>
      </c>
      <c r="L6" s="73">
        <f>VLOOKUP(K6, FHvsDef!B$20:E$100, 4, FALSE)</f>
        <v>7.0999881924184516</v>
      </c>
      <c r="M6" s="78">
        <f ca="1">VLOOKUP(K6, FHvsDef!$B$20:$G$100, 6, FALSE)</f>
        <v>31.904087196105131</v>
      </c>
    </row>
    <row r="7" spans="4:14" x14ac:dyDescent="0.35">
      <c r="D7" t="s">
        <v>612</v>
      </c>
      <c r="E7" t="str">
        <f>IF(E5&gt;E6, "No", "Yes")</f>
        <v>Yes</v>
      </c>
      <c r="F7" t="str">
        <f ca="1">IF(F5&gt;F6, "No", "Yes")</f>
        <v>Yes</v>
      </c>
      <c r="G7" t="str">
        <f ca="1">IF(AND(E7="Yes",F7="Yes"),"Trade! Better for ROS and Weekly",IF(AND(E7="No",F7="Yes"),"Better ROS but not Weekly",IF(AND(E7="Yes",F7="No"),"Better Weekly but not ROS","Nope! Worse for ROS and Weekly")))</f>
        <v>Trade! Better for ROS and Weekly</v>
      </c>
      <c r="K7" t="s">
        <v>612</v>
      </c>
      <c r="L7" t="str">
        <f>IF(L5&gt;L6, "No", "Yes")</f>
        <v>No</v>
      </c>
      <c r="M7" t="str">
        <f ca="1">IF(M5&gt;M6, "No", "Yes")</f>
        <v>No</v>
      </c>
      <c r="N7" t="str">
        <f ca="1">IF(AND(L7="Yes",M7="Yes"),"Trade! Better for ROS and Weekly",IF(AND(L7="No",M7="Yes"),"Better ROS but not Weekly",IF(AND(L7="Yes",M7="No"),"Better Weekly but not ROS","Nope! Worse for ROS and Weekly")))</f>
        <v>Nope! Worse for ROS and Weekly</v>
      </c>
    </row>
    <row r="10" spans="4:14" x14ac:dyDescent="0.35">
      <c r="D10" s="66" t="s">
        <v>136</v>
      </c>
      <c r="E10" s="66" t="s">
        <v>611</v>
      </c>
      <c r="F10" s="66" t="s">
        <v>279</v>
      </c>
      <c r="K10" s="66" t="s">
        <v>134</v>
      </c>
      <c r="L10" s="66" t="s">
        <v>611</v>
      </c>
      <c r="M10" s="66" t="s">
        <v>279</v>
      </c>
    </row>
    <row r="11" spans="4:14" x14ac:dyDescent="0.35">
      <c r="D11" s="74" t="s">
        <v>112</v>
      </c>
      <c r="E11" s="75">
        <f>VLOOKUP(D11, SRvsDef!B$20:E$100, 4, FALSE)</f>
        <v>6.1758771533088606</v>
      </c>
      <c r="F11" s="76">
        <f ca="1">VLOOKUP(D11, SRvsDef!$B$20:$G$100, 6, FALSE)</f>
        <v>16.792598929782699</v>
      </c>
      <c r="K11" s="74" t="s">
        <v>16</v>
      </c>
      <c r="L11" s="75">
        <f>VLOOKUP(K11, CvsDef!B$20:E$100, 4, FALSE)</f>
        <v>2.8769597894798205</v>
      </c>
      <c r="M11" s="76">
        <f ca="1">VLOOKUP(K11, CvsDef!$B$20:$G$100, 6, FALSE)</f>
        <v>18.552083445448176</v>
      </c>
    </row>
    <row r="12" spans="4:14" x14ac:dyDescent="0.35">
      <c r="D12" s="77" t="s">
        <v>613</v>
      </c>
      <c r="E12" s="73">
        <f>VLOOKUP(D12, SRvsDef!B$20:E$100, 4, FALSE)</f>
        <v>5.8510448332301301</v>
      </c>
      <c r="F12" s="78">
        <f ca="1">VLOOKUP(D12, SRvsDef!$B$20:$G$100, 6, FALSE)</f>
        <v>15.818101969546507</v>
      </c>
      <c r="K12" s="77" t="s">
        <v>447</v>
      </c>
      <c r="L12" s="73">
        <f>VLOOKUP(K12, CvsDef!B$20:E$100, 4, FALSE)</f>
        <v>0</v>
      </c>
      <c r="M12" s="78">
        <f ca="1">VLOOKUP(K12, CvsDef!$B$20:$G$100, 6, FALSE)</f>
        <v>24.531247698054614</v>
      </c>
    </row>
    <row r="13" spans="4:14" x14ac:dyDescent="0.35">
      <c r="D13" t="s">
        <v>612</v>
      </c>
      <c r="E13" t="str">
        <f>IF(E11&gt;E12, "No", "Yes")</f>
        <v>No</v>
      </c>
      <c r="F13" t="str">
        <f ca="1">IF(F11&gt;F12, "No", "Yes")</f>
        <v>No</v>
      </c>
      <c r="G13" t="str">
        <f ca="1">IF(AND(E13="Yes",F13="Yes"),"Trade! Better for ROS and Weekly",IF(AND(E13="No",F13="Yes"),"Better ROS but not Weekly",IF(AND(E13="Yes",F13="No"),"Better Weekly but not ROS","Nope! Worse for ROS and Weekly")))</f>
        <v>Nope! Worse for ROS and Weekly</v>
      </c>
      <c r="K13" t="s">
        <v>612</v>
      </c>
      <c r="L13" t="str">
        <f>IF(L11&gt;L12, "No", "Yes")</f>
        <v>No</v>
      </c>
      <c r="M13" t="str">
        <f ca="1">IF(M11&gt;M12, "No", "Yes")</f>
        <v>Yes</v>
      </c>
      <c r="N13" t="str">
        <f ca="1">IF(AND(L13="Yes",M13="Yes"),"Trade! Better for ROS and Weekly",IF(AND(L13="No",M13="Yes"),"Better ROS but not Weekly",IF(AND(L13="Yes",M13="No"),"Better Weekly but not ROS","Nope! Worse for ROS and Weekly")))</f>
        <v>Better ROS but not Weekly</v>
      </c>
    </row>
    <row r="16" spans="4:14" x14ac:dyDescent="0.35">
      <c r="D16" s="66" t="s">
        <v>137</v>
      </c>
      <c r="E16" s="66" t="s">
        <v>611</v>
      </c>
      <c r="F16" s="66" t="s">
        <v>279</v>
      </c>
      <c r="K16" s="66" t="s">
        <v>140</v>
      </c>
      <c r="L16" s="66" t="s">
        <v>611</v>
      </c>
      <c r="M16" s="66" t="s">
        <v>279</v>
      </c>
    </row>
    <row r="17" spans="4:14" x14ac:dyDescent="0.35">
      <c r="D17" s="74" t="s">
        <v>213</v>
      </c>
      <c r="E17" s="75">
        <f>VLOOKUP(D17, BRvsDef!B$20:E$100, 4, FALSE)</f>
        <v>8.4144577457094005</v>
      </c>
      <c r="F17" s="76">
        <f ca="1">VLOOKUP(D17, BRvsDef!$B$20:$G$100, 6, FALSE)</f>
        <v>39.228059643321167</v>
      </c>
      <c r="K17" s="74" t="s">
        <v>537</v>
      </c>
      <c r="L17" s="75">
        <f>VLOOKUP(K17, B3vsDef!B$20:E$100, 4, FALSE)</f>
        <v>9.0980175538020713</v>
      </c>
      <c r="M17" s="76">
        <f ca="1">VLOOKUP(K17, B3vsDef!$B$20:$G$100, 6, FALSE)</f>
        <v>29.599082350047105</v>
      </c>
    </row>
    <row r="18" spans="4:14" x14ac:dyDescent="0.35">
      <c r="D18" s="77" t="s">
        <v>107</v>
      </c>
      <c r="E18" s="73">
        <f>VLOOKUP(D18, BRvsDef!B$20:E$100, 4, FALSE)</f>
        <v>5.8808243371832027</v>
      </c>
      <c r="F18" s="78">
        <f ca="1">VLOOKUP(D18, BRvsDef!$B$20:$G$100, 6, FALSE)</f>
        <v>21.675431044763624</v>
      </c>
      <c r="K18" s="77" t="s">
        <v>457</v>
      </c>
      <c r="L18" s="73">
        <f>VLOOKUP(K18, B3vsDef!B$20:E$100, 4, FALSE)</f>
        <v>14.270439896449707</v>
      </c>
      <c r="M18" s="78">
        <f ca="1">VLOOKUP(K18, B3vsDef!$B$20:$G$100, 6, FALSE)</f>
        <v>37.838358885149646</v>
      </c>
    </row>
    <row r="19" spans="4:14" x14ac:dyDescent="0.35">
      <c r="D19" t="s">
        <v>612</v>
      </c>
      <c r="E19" t="str">
        <f>IF(E17&gt;E18, "No", "Yes")</f>
        <v>No</v>
      </c>
      <c r="F19" t="str">
        <f ca="1">IF(F17&gt;F18, "No", "Yes")</f>
        <v>No</v>
      </c>
      <c r="G19" t="str">
        <f ca="1">IF(AND(E19="Yes",F19="Yes"),"Trade! Better for ROS and Weekly",IF(AND(E19="No",F19="Yes"),"Better ROS but not Weekly",IF(AND(E19="Yes",F19="No"),"Better Weekly but not ROS","Nope! Worse for ROS and Weekly")))</f>
        <v>Nope! Worse for ROS and Weekly</v>
      </c>
      <c r="K19" t="s">
        <v>612</v>
      </c>
      <c r="L19" t="str">
        <f>IF(L17&gt;L18, "No", "Yes")</f>
        <v>Yes</v>
      </c>
      <c r="M19" t="str">
        <f ca="1">IF(M17&gt;M18, "No", "Yes")</f>
        <v>Yes</v>
      </c>
      <c r="N19" t="str">
        <f ca="1">IF(AND(L19="Yes",M19="Yes"),"Trade! Better for ROS and Weekly",IF(AND(L19="No",M19="Yes"),"Better ROS but not Weekly",IF(AND(L19="Yes",M19="No"),"Better Weekly but not ROS","Nope! Worse for ROS and Weekly")))</f>
        <v>Trade! Better for ROS and Weekly</v>
      </c>
    </row>
    <row r="22" spans="4:14" x14ac:dyDescent="0.35">
      <c r="D22" s="66" t="s">
        <v>138</v>
      </c>
      <c r="E22" s="66" t="s">
        <v>611</v>
      </c>
      <c r="F22" s="66" t="s">
        <v>279</v>
      </c>
      <c r="K22" s="66" t="s">
        <v>141</v>
      </c>
      <c r="L22" s="66" t="s">
        <v>611</v>
      </c>
      <c r="M22" s="66" t="s">
        <v>279</v>
      </c>
    </row>
    <row r="23" spans="4:14" x14ac:dyDescent="0.35">
      <c r="D23" s="74" t="s">
        <v>437</v>
      </c>
      <c r="E23" s="75">
        <f>VLOOKUP(D23, SHvsDef!B$20:E$100, 4, FALSE)</f>
        <v>13.029966290125646</v>
      </c>
      <c r="F23" s="76">
        <f ca="1">VLOOKUP(D23, SHvsDef!$B$20:$G$100, 6, FALSE)</f>
        <v>33.581109762133842</v>
      </c>
      <c r="K23" s="74" t="s">
        <v>231</v>
      </c>
      <c r="L23" s="75">
        <f>VLOOKUP(K23, DSPvsDef!B$20:E$100, 4, FALSE)</f>
        <v>0</v>
      </c>
      <c r="M23" s="76">
        <f ca="1">VLOOKUP(K23, DSPvsDef!$B$20:$G$100, 6, FALSE)</f>
        <v>6.1244639494544897</v>
      </c>
    </row>
    <row r="24" spans="4:14" x14ac:dyDescent="0.35">
      <c r="D24" s="77" t="s">
        <v>123</v>
      </c>
      <c r="E24" s="73">
        <f>VLOOKUP(D24, SHvsDef!B$20:E$100, 4, FALSE)</f>
        <v>7.8900817015392173</v>
      </c>
      <c r="F24" s="78">
        <f ca="1">VLOOKUP(D24, SHvsDef!$B$20:$G$100, 6, FALSE)</f>
        <v>21.572811840586958</v>
      </c>
      <c r="K24" s="77" t="s">
        <v>232</v>
      </c>
      <c r="L24" s="73">
        <f>VLOOKUP(K24, DSPvsDef!B$20:E$100, 4, FALSE)</f>
        <v>2.8616100365546981</v>
      </c>
      <c r="M24" s="78">
        <f ca="1">VLOOKUP(K24, DSPvsDef!$B$20:$G$100, 6, FALSE)</f>
        <v>16.974413502152334</v>
      </c>
    </row>
    <row r="25" spans="4:14" x14ac:dyDescent="0.35">
      <c r="D25" t="s">
        <v>612</v>
      </c>
      <c r="E25" t="str">
        <f>IF(E23&gt;E24, "No", "Yes")</f>
        <v>No</v>
      </c>
      <c r="F25" t="str">
        <f ca="1">IF(F23&gt;F24, "No", "Yes")</f>
        <v>No</v>
      </c>
      <c r="G25" t="str">
        <f ca="1">IF(AND(E25="Yes",F25="Yes"),"Trade! Better for ROS and Weekly",IF(AND(E25="No",F25="Yes"),"Better ROS but not Weekly",IF(AND(E25="Yes",F25="No"),"Better Weekly but not ROS","Nope! Worse for ROS and Weekly")))</f>
        <v>Nope! Worse for ROS and Weekly</v>
      </c>
      <c r="K25" t="s">
        <v>612</v>
      </c>
      <c r="L25" t="str">
        <f>IF(L23&gt;L24, "No", "Yes")</f>
        <v>Yes</v>
      </c>
      <c r="M25" t="str">
        <f ca="1">IF(M23&gt;M24, "No", "Yes")</f>
        <v>Yes</v>
      </c>
      <c r="N25" t="str">
        <f ca="1">IF(AND(L25="Yes",M25="Yes"),"Trade! Better for ROS and Weekly",IF(AND(L25="No",M25="Yes"),"Better ROS but not Weekly",IF(AND(L25="Yes",M25="No"),"Better Weekly but not ROS","Nope! Worse for ROS and Weekly")))</f>
        <v>Trade! Better for ROS and Weekly</v>
      </c>
    </row>
  </sheetData>
  <conditionalFormatting sqref="E7:F7">
    <cfRule type="containsText" dxfId="15" priority="15" operator="containsText" text="No">
      <formula>NOT(ISERROR(SEARCH("No",E7)))</formula>
    </cfRule>
    <cfRule type="containsText" dxfId="14" priority="16" operator="containsText" text="Yes">
      <formula>NOT(ISERROR(SEARCH("Yes",E7)))</formula>
    </cfRule>
  </conditionalFormatting>
  <conditionalFormatting sqref="E13:F13">
    <cfRule type="containsText" dxfId="13" priority="13" operator="containsText" text="No">
      <formula>NOT(ISERROR(SEARCH("No",E13)))</formula>
    </cfRule>
    <cfRule type="containsText" dxfId="12" priority="14" operator="containsText" text="Yes">
      <formula>NOT(ISERROR(SEARCH("Yes",E13)))</formula>
    </cfRule>
  </conditionalFormatting>
  <conditionalFormatting sqref="E19:F19">
    <cfRule type="containsText" dxfId="11" priority="11" operator="containsText" text="No">
      <formula>NOT(ISERROR(SEARCH("No",E19)))</formula>
    </cfRule>
    <cfRule type="containsText" dxfId="10" priority="12" operator="containsText" text="Yes">
      <formula>NOT(ISERROR(SEARCH("Yes",E19)))</formula>
    </cfRule>
  </conditionalFormatting>
  <conditionalFormatting sqref="E25:F25">
    <cfRule type="containsText" dxfId="9" priority="9" operator="containsText" text="No">
      <formula>NOT(ISERROR(SEARCH("No",E25)))</formula>
    </cfRule>
    <cfRule type="containsText" dxfId="8" priority="10" operator="containsText" text="Yes">
      <formula>NOT(ISERROR(SEARCH("Yes",E25)))</formula>
    </cfRule>
  </conditionalFormatting>
  <conditionalFormatting sqref="L7:M7">
    <cfRule type="containsText" dxfId="7" priority="7" operator="containsText" text="No">
      <formula>NOT(ISERROR(SEARCH("No",L7)))</formula>
    </cfRule>
    <cfRule type="containsText" dxfId="6" priority="8" operator="containsText" text="Yes">
      <formula>NOT(ISERROR(SEARCH("Yes",L7)))</formula>
    </cfRule>
  </conditionalFormatting>
  <conditionalFormatting sqref="L13:M13">
    <cfRule type="containsText" dxfId="5" priority="5" operator="containsText" text="No">
      <formula>NOT(ISERROR(SEARCH("No",L13)))</formula>
    </cfRule>
    <cfRule type="containsText" dxfId="4" priority="6" operator="containsText" text="Yes">
      <formula>NOT(ISERROR(SEARCH("Yes",L13)))</formula>
    </cfRule>
  </conditionalFormatting>
  <conditionalFormatting sqref="L19:M19">
    <cfRule type="containsText" dxfId="3" priority="3" operator="containsText" text="No">
      <formula>NOT(ISERROR(SEARCH("No",L19)))</formula>
    </cfRule>
    <cfRule type="containsText" dxfId="2" priority="4" operator="containsText" text="Yes">
      <formula>NOT(ISERROR(SEARCH("Yes",L19)))</formula>
    </cfRule>
  </conditionalFormatting>
  <conditionalFormatting sqref="L25:M25">
    <cfRule type="containsText" dxfId="1" priority="1" operator="containsText" text="No">
      <formula>NOT(ISERROR(SEARCH("No",L25)))</formula>
    </cfRule>
    <cfRule type="containsText" dxfId="0" priority="2" operator="containsText" text="Yes">
      <formula>NOT(ISERROR(SEARCH("Yes",L25)))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23B4-9743-46B8-A01C-AA07F27B0F96}">
  <dimension ref="A1:Y1537"/>
  <sheetViews>
    <sheetView zoomScaleNormal="100" workbookViewId="0">
      <selection activeCell="J5" sqref="J5"/>
    </sheetView>
  </sheetViews>
  <sheetFormatPr defaultRowHeight="14.5" x14ac:dyDescent="0.35"/>
  <cols>
    <col min="1" max="1" width="23.81640625" customWidth="1"/>
    <col min="2" max="2" width="23.08984375" bestFit="1" customWidth="1"/>
    <col min="3" max="3" width="12.90625" bestFit="1" customWidth="1"/>
    <col min="7" max="7" width="6.363281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54296875" customWidth="1"/>
    <col min="13" max="13" width="12.54296875" bestFit="1" customWidth="1"/>
    <col min="19" max="19" width="20.7265625" customWidth="1"/>
    <col min="21" max="21" width="11.453125" bestFit="1" customWidth="1"/>
    <col min="22" max="22" width="9.54296875" bestFit="1" customWidth="1"/>
    <col min="24" max="24" width="18.81640625" customWidth="1"/>
  </cols>
  <sheetData>
    <row r="1" spans="1:25" x14ac:dyDescent="0.35">
      <c r="A1" s="3" t="s">
        <v>399</v>
      </c>
      <c r="F1" s="3" t="s">
        <v>352</v>
      </c>
      <c r="G1">
        <v>3</v>
      </c>
    </row>
    <row r="2" spans="1:25" x14ac:dyDescent="0.35">
      <c r="B2">
        <v>0</v>
      </c>
    </row>
    <row r="3" spans="1:25" x14ac:dyDescent="0.35">
      <c r="A3" s="3" t="s">
        <v>62</v>
      </c>
      <c r="B3" s="4">
        <f>AVERAGE(B6:B98)</f>
        <v>0.5356754421056773</v>
      </c>
      <c r="F3" s="3" t="s">
        <v>3</v>
      </c>
      <c r="G3" s="4">
        <v>0.10425696553827481</v>
      </c>
    </row>
    <row r="4" spans="1:25" x14ac:dyDescent="0.35">
      <c r="F4" t="s">
        <v>9</v>
      </c>
      <c r="G4">
        <f>-G3</f>
        <v>-0.10425696553827481</v>
      </c>
      <c r="J4" s="121" t="s">
        <v>513</v>
      </c>
      <c r="K4" s="121"/>
      <c r="L4" s="121"/>
    </row>
    <row r="5" spans="1:25" x14ac:dyDescent="0.35">
      <c r="A5" s="3" t="s">
        <v>60</v>
      </c>
      <c r="B5" s="3" t="s">
        <v>29</v>
      </c>
      <c r="C5" s="3" t="s">
        <v>31</v>
      </c>
      <c r="D5" s="3"/>
      <c r="E5" s="3"/>
      <c r="F5" s="3"/>
      <c r="N5" s="4">
        <f>SUM($N$7:$N1000)</f>
        <v>1365.8443193110318</v>
      </c>
    </row>
    <row r="6" spans="1:25" x14ac:dyDescent="0.35">
      <c r="A6" s="1" t="s">
        <v>34</v>
      </c>
      <c r="B6" s="1">
        <v>9.1609595683289946</v>
      </c>
      <c r="C6" s="1">
        <f t="shared" ref="C6:C16" si="0">RANK($B6,$B$6:$B$16,0)</f>
        <v>1</v>
      </c>
      <c r="G6" s="64" t="s">
        <v>61</v>
      </c>
      <c r="H6" s="64" t="s">
        <v>60</v>
      </c>
      <c r="I6" s="64" t="s">
        <v>30</v>
      </c>
      <c r="J6" s="64" t="s">
        <v>59</v>
      </c>
      <c r="K6" s="64" t="s">
        <v>58</v>
      </c>
      <c r="L6" s="64" t="s">
        <v>57</v>
      </c>
      <c r="M6" s="64" t="s">
        <v>56</v>
      </c>
      <c r="N6" s="64" t="s">
        <v>55</v>
      </c>
      <c r="O6" s="64" t="s">
        <v>468</v>
      </c>
      <c r="P6" s="71"/>
      <c r="Q6" s="3" t="s">
        <v>353</v>
      </c>
      <c r="X6" s="32" t="s">
        <v>357</v>
      </c>
      <c r="Y6" s="32" t="s">
        <v>61</v>
      </c>
    </row>
    <row r="7" spans="1:25" x14ac:dyDescent="0.35">
      <c r="A7" s="1" t="s">
        <v>24</v>
      </c>
      <c r="B7" s="1">
        <v>8.1599412421229172</v>
      </c>
      <c r="C7" s="1">
        <f t="shared" si="0"/>
        <v>2</v>
      </c>
      <c r="G7" s="65">
        <v>1</v>
      </c>
      <c r="H7" t="s">
        <v>4</v>
      </c>
      <c r="I7" t="s">
        <v>175</v>
      </c>
      <c r="J7">
        <v>15.2</v>
      </c>
      <c r="K7" t="s">
        <v>3</v>
      </c>
      <c r="L7" t="s">
        <v>14</v>
      </c>
      <c r="M7">
        <f>VLOOKUP($K7,$F$3:$G$4,2,FALSE)+VLOOKUP($I7,$A$20:$B$321,2,FALSE)+VLOOKUP($L7,$A$6:$B$16,2,FALSE)</f>
        <v>10.232885137069042</v>
      </c>
      <c r="N7">
        <f>IFERROR(($J7-$M7)^2,"")</f>
        <v>24.672230061549623</v>
      </c>
      <c r="O7" s="67" cm="1">
        <f t="array" ref="O7">SUMPRODUCT((G7=$G$7:$G$10000)*(M7&lt;$M$7:$M$10000))+1</f>
        <v>6</v>
      </c>
      <c r="P7" s="72"/>
      <c r="Q7" cm="1">
        <f t="array" ref="Q7:W1313">_xlfn._xlws.FILTER($G$7:$M$10000,($G$7:$G$10000&gt;$G$1)*($G$7:$G$10000&lt;18))</f>
        <v>4</v>
      </c>
      <c r="R7" t="str">
        <v>SEA</v>
      </c>
      <c r="S7" t="str">
        <v>Devin Short</v>
      </c>
      <c r="T7" t="str">
        <v>NULL</v>
      </c>
      <c r="U7" t="str">
        <v>Home</v>
      </c>
      <c r="V7" t="str">
        <v>NEFJ</v>
      </c>
      <c r="W7">
        <v>17.178742283541727</v>
      </c>
      <c r="X7" s="1" t="str" cm="1">
        <f t="array" ref="X7:X119">_xlfn._xlws.SORT(_xlfn.UNIQUE($I$7:$I$10000))</f>
        <v>Aki Seiuli</v>
      </c>
      <c r="Y7" s="1" cm="1">
        <f t="array" ref="Y7">COUNT(_xlfn._xlws.FILTER($G$7:$G$10000,($I$7:$I$10000=X7)*($J$7:$J$10000&lt;&gt;"NULL")*($G$7:$G$10000 &gt;= ($G$1-5))))/5</f>
        <v>0.4</v>
      </c>
    </row>
    <row r="8" spans="1:25" x14ac:dyDescent="0.35">
      <c r="A8" s="1" t="s">
        <v>6</v>
      </c>
      <c r="B8" s="1">
        <v>7.9795827803278936</v>
      </c>
      <c r="C8" s="1">
        <f t="shared" si="0"/>
        <v>3</v>
      </c>
      <c r="D8" t="s">
        <v>54</v>
      </c>
      <c r="G8" s="65">
        <v>1</v>
      </c>
      <c r="H8" t="s">
        <v>24</v>
      </c>
      <c r="I8" t="s">
        <v>419</v>
      </c>
      <c r="J8">
        <v>13.3</v>
      </c>
      <c r="K8" t="s">
        <v>3</v>
      </c>
      <c r="L8" t="s">
        <v>7</v>
      </c>
      <c r="M8">
        <f t="shared" ref="M8:M71" si="1">VLOOKUP($K8,$F$3:$G$4,2,FALSE)+VLOOKUP($I8,$A$20:$B$321,2,FALSE)+VLOOKUP($L8,$A$6:$B$16,2,FALSE)</f>
        <v>6.7843381283351043</v>
      </c>
      <c r="N8">
        <f t="shared" ref="N8:N71" si="2">IFERROR(($J8-$M8)^2,"")</f>
        <v>42.453849625867704</v>
      </c>
      <c r="O8" s="67" cm="1">
        <f t="array" ref="O8">SUMPRODUCT((G8=$G$7:$G$10000)*(M8&lt;$M$7:$M$10000))+1</f>
        <v>23</v>
      </c>
      <c r="P8" s="72"/>
      <c r="Q8">
        <v>4</v>
      </c>
      <c r="R8" t="str">
        <v>SDL</v>
      </c>
      <c r="S8" t="str">
        <v>Vili Helu</v>
      </c>
      <c r="T8" t="str">
        <v>NULL</v>
      </c>
      <c r="U8" t="str">
        <v>Home</v>
      </c>
      <c r="V8" t="str">
        <v>LA</v>
      </c>
      <c r="W8">
        <v>15.658210182679181</v>
      </c>
      <c r="X8" t="str">
        <v>Albert O'Shannessey</v>
      </c>
      <c r="Y8" s="1" cm="1">
        <f t="array" ref="Y8">COUNT(_xlfn._xlws.FILTER($G$7:$G$10000,($I$7:$I$10000=X8)*($J$7:$J$10000&lt;&gt;"NULL")*($G$7:$G$10000 &gt;= ($G$1-5))))/5</f>
        <v>0.2</v>
      </c>
    </row>
    <row r="9" spans="1:25" x14ac:dyDescent="0.35">
      <c r="A9" s="1" t="s">
        <v>17</v>
      </c>
      <c r="B9" s="1">
        <v>7.6630832693521009</v>
      </c>
      <c r="C9" s="1">
        <f t="shared" si="0"/>
        <v>4</v>
      </c>
      <c r="G9" s="65">
        <v>1</v>
      </c>
      <c r="H9" t="s">
        <v>34</v>
      </c>
      <c r="I9" t="s">
        <v>420</v>
      </c>
      <c r="J9">
        <v>12.9</v>
      </c>
      <c r="K9" t="s">
        <v>3</v>
      </c>
      <c r="L9" t="s">
        <v>17</v>
      </c>
      <c r="M9">
        <f t="shared" si="1"/>
        <v>9.4514844796125104</v>
      </c>
      <c r="N9">
        <f t="shared" si="2"/>
        <v>11.892259294353401</v>
      </c>
      <c r="O9" s="67" cm="1">
        <f t="array" ref="O9">SUMPRODUCT((G9=$G$7:$G$10000)*(M9&lt;$M$7:$M$10000))+1</f>
        <v>9</v>
      </c>
      <c r="P9" s="72"/>
      <c r="Q9">
        <v>4</v>
      </c>
      <c r="R9" t="str">
        <v>SDL</v>
      </c>
      <c r="S9" t="str">
        <v>Shilo Klein</v>
      </c>
      <c r="T9" t="str">
        <v>NULL</v>
      </c>
      <c r="U9" t="str">
        <v>Home</v>
      </c>
      <c r="V9" t="str">
        <v>LA</v>
      </c>
      <c r="W9">
        <v>15.30057781046364</v>
      </c>
      <c r="X9" t="str">
        <v>Alec McDonnell</v>
      </c>
      <c r="Y9" s="1" cm="1">
        <f t="array" ref="Y9">COUNT(_xlfn._xlws.FILTER($G$7:$G$10000,($I$7:$I$10000=X9)*($J$7:$J$10000&lt;&gt;"NULL")*($G$7:$G$10000 &gt;= ($G$1-5))))/5</f>
        <v>0.2</v>
      </c>
    </row>
    <row r="10" spans="1:25" x14ac:dyDescent="0.35">
      <c r="A10" s="1" t="s">
        <v>2</v>
      </c>
      <c r="B10" s="1">
        <v>7.6457327599614358</v>
      </c>
      <c r="C10" s="1">
        <f t="shared" si="0"/>
        <v>5</v>
      </c>
      <c r="G10" s="65">
        <v>1</v>
      </c>
      <c r="H10" t="s">
        <v>34</v>
      </c>
      <c r="I10" t="s">
        <v>200</v>
      </c>
      <c r="J10">
        <v>12.7</v>
      </c>
      <c r="K10" t="s">
        <v>3</v>
      </c>
      <c r="L10" t="s">
        <v>17</v>
      </c>
      <c r="M10">
        <f t="shared" si="1"/>
        <v>13.122374606069883</v>
      </c>
      <c r="N10">
        <f t="shared" si="2"/>
        <v>0.1784003078526894</v>
      </c>
      <c r="O10" s="67" cm="1">
        <f t="array" ref="O10">SUMPRODUCT((G10=$G$7:$G$10000)*(M10&lt;$M$7:$M$10000))+1</f>
        <v>2</v>
      </c>
      <c r="P10" s="72"/>
      <c r="Q10" s="3">
        <v>4</v>
      </c>
      <c r="R10" t="str">
        <v>SDL</v>
      </c>
      <c r="S10" t="str">
        <v>Brad Wilkin</v>
      </c>
      <c r="T10" t="str">
        <v>NULL</v>
      </c>
      <c r="U10" t="str">
        <v>Home</v>
      </c>
      <c r="V10" t="str">
        <v>LA</v>
      </c>
      <c r="W10">
        <v>14.29011189665828</v>
      </c>
      <c r="X10" t="str">
        <v>Alessandro Heaney</v>
      </c>
      <c r="Y10" s="1" cm="1">
        <f t="array" ref="Y10">COUNT(_xlfn._xlws.FILTER($G$7:$G$10000,($I$7:$I$10000=X10)*($J$7:$J$10000&lt;&gt;"NULL")*($G$7:$G$10000 &gt;= ($G$1-5))))/5</f>
        <v>0.4</v>
      </c>
    </row>
    <row r="11" spans="1:25" x14ac:dyDescent="0.35">
      <c r="A11" s="1" t="s">
        <v>36</v>
      </c>
      <c r="B11" s="1">
        <v>7.4501989366487882</v>
      </c>
      <c r="C11" s="1">
        <f t="shared" si="0"/>
        <v>6</v>
      </c>
      <c r="G11" s="65">
        <v>1</v>
      </c>
      <c r="H11" t="s">
        <v>14</v>
      </c>
      <c r="I11" t="s">
        <v>396</v>
      </c>
      <c r="J11">
        <v>12.2</v>
      </c>
      <c r="K11" t="s">
        <v>9</v>
      </c>
      <c r="L11" t="s">
        <v>4</v>
      </c>
      <c r="M11">
        <f t="shared" si="1"/>
        <v>6.4321759146447741</v>
      </c>
      <c r="N11">
        <f t="shared" si="2"/>
        <v>33.267794679603838</v>
      </c>
      <c r="O11" s="67" cm="1">
        <f t="array" ref="O11">SUMPRODUCT((G11=$G$7:$G$10000)*(M11&lt;$M$7:$M$10000))+1</f>
        <v>26</v>
      </c>
      <c r="P11" s="72"/>
      <c r="Q11">
        <v>4</v>
      </c>
      <c r="R11" t="str">
        <v>SDL</v>
      </c>
      <c r="S11" t="str">
        <v>Christian Poidevin</v>
      </c>
      <c r="T11" t="str">
        <v>NULL</v>
      </c>
      <c r="U11" t="str">
        <v>Home</v>
      </c>
      <c r="V11" t="str">
        <v>LA</v>
      </c>
      <c r="W11">
        <v>13.438874117045676</v>
      </c>
      <c r="X11" t="str">
        <v>Alex Lopeti</v>
      </c>
      <c r="Y11" s="1" cm="1">
        <f t="array" ref="Y11">COUNT(_xlfn._xlws.FILTER($G$7:$G$10000,($I$7:$I$10000=X11)*($J$7:$J$10000&lt;&gt;"NULL")*($G$7:$G$10000 &gt;= ($G$1-5))))/5</f>
        <v>0.2</v>
      </c>
    </row>
    <row r="12" spans="1:25" x14ac:dyDescent="0.35">
      <c r="A12" s="1" t="s">
        <v>4</v>
      </c>
      <c r="B12" s="1">
        <v>7.3951805167369837</v>
      </c>
      <c r="C12" s="1">
        <f t="shared" si="0"/>
        <v>7</v>
      </c>
      <c r="G12" s="65">
        <v>1</v>
      </c>
      <c r="H12" t="s">
        <v>23</v>
      </c>
      <c r="I12" t="s">
        <v>389</v>
      </c>
      <c r="J12">
        <v>11.5</v>
      </c>
      <c r="K12" t="s">
        <v>9</v>
      </c>
      <c r="L12" t="s">
        <v>6</v>
      </c>
      <c r="M12">
        <f t="shared" si="1"/>
        <v>11.531051959451357</v>
      </c>
      <c r="N12">
        <f t="shared" si="2"/>
        <v>9.642241857687312E-4</v>
      </c>
      <c r="O12" s="67" cm="1">
        <f t="array" ref="O12">SUMPRODUCT((G12=$G$7:$G$10000)*(M12&lt;$M$7:$M$10000))+1</f>
        <v>4</v>
      </c>
      <c r="P12" s="72"/>
      <c r="Q12">
        <v>4</v>
      </c>
      <c r="R12" t="str">
        <v>SDL</v>
      </c>
      <c r="S12" t="str">
        <v>Djustice Sears-Duru</v>
      </c>
      <c r="T12" t="str">
        <v>NULL</v>
      </c>
      <c r="U12" t="str">
        <v>Home</v>
      </c>
      <c r="V12" t="str">
        <v>LA</v>
      </c>
      <c r="W12">
        <v>12.883096978379097</v>
      </c>
      <c r="X12" t="str">
        <v>Alex Maughan</v>
      </c>
      <c r="Y12" s="1" cm="1">
        <f t="array" ref="Y12">COUNT(_xlfn._xlws.FILTER($G$7:$G$10000,($I$7:$I$10000=X12)*($J$7:$J$10000&lt;&gt;"NULL")*($G$7:$G$10000 &gt;= ($G$1-5))))/5</f>
        <v>0.2</v>
      </c>
    </row>
    <row r="13" spans="1:25" x14ac:dyDescent="0.35">
      <c r="A13" s="1" t="s">
        <v>7</v>
      </c>
      <c r="B13" s="1">
        <v>7.1286642398647722</v>
      </c>
      <c r="C13" s="1">
        <f t="shared" si="0"/>
        <v>8</v>
      </c>
      <c r="G13" s="65">
        <v>1</v>
      </c>
      <c r="H13" t="s">
        <v>2</v>
      </c>
      <c r="I13" t="s">
        <v>213</v>
      </c>
      <c r="J13">
        <v>11.2</v>
      </c>
      <c r="K13" t="s">
        <v>9</v>
      </c>
      <c r="L13" t="s">
        <v>36</v>
      </c>
      <c r="M13">
        <f t="shared" si="1"/>
        <v>8.3588637109368555</v>
      </c>
      <c r="N13">
        <f t="shared" si="2"/>
        <v>8.0720554130314923</v>
      </c>
      <c r="O13" s="67" cm="1">
        <f t="array" ref="O13">SUMPRODUCT((G13=$G$7:$G$10000)*(M13&lt;$M$7:$M$10000))+1</f>
        <v>14</v>
      </c>
      <c r="P13" s="72"/>
      <c r="Q13">
        <v>4</v>
      </c>
      <c r="R13" t="str">
        <v>NEFJ</v>
      </c>
      <c r="S13" t="str">
        <v>Joe Johnston</v>
      </c>
      <c r="T13" t="str">
        <v>NULL</v>
      </c>
      <c r="U13" t="str">
        <v>Away</v>
      </c>
      <c r="V13" t="str">
        <v>SEA</v>
      </c>
      <c r="W13">
        <v>12.032040576862414</v>
      </c>
      <c r="X13" t="str">
        <v>Alex Tucci</v>
      </c>
      <c r="Y13" s="1" cm="1">
        <f t="array" ref="Y13">COUNT(_xlfn._xlws.FILTER($G$7:$G$10000,($I$7:$I$10000=X13)*($J$7:$J$10000&lt;&gt;"NULL")*($G$7:$G$10000 &gt;= ($G$1-5))))/5</f>
        <v>0.2</v>
      </c>
    </row>
    <row r="14" spans="1:25" x14ac:dyDescent="0.35">
      <c r="A14" s="1" t="s">
        <v>14</v>
      </c>
      <c r="B14" s="1">
        <v>6.0103371453302712</v>
      </c>
      <c r="C14" s="1">
        <f t="shared" si="0"/>
        <v>9</v>
      </c>
      <c r="G14" s="65">
        <v>1</v>
      </c>
      <c r="H14" t="s">
        <v>2</v>
      </c>
      <c r="I14" t="s">
        <v>108</v>
      </c>
      <c r="J14">
        <v>11</v>
      </c>
      <c r="K14" t="s">
        <v>9</v>
      </c>
      <c r="L14" t="s">
        <v>36</v>
      </c>
      <c r="M14">
        <f t="shared" si="1"/>
        <v>7.912220732351984</v>
      </c>
      <c r="N14">
        <f t="shared" si="2"/>
        <v>9.5343808057169177</v>
      </c>
      <c r="O14" s="67" cm="1">
        <f t="array" ref="O14">SUMPRODUCT((G14=$G$7:$G$10000)*(M14&lt;$M$7:$M$10000))+1</f>
        <v>16</v>
      </c>
      <c r="P14" s="72"/>
      <c r="Q14">
        <v>4</v>
      </c>
      <c r="R14" t="str">
        <v>LA</v>
      </c>
      <c r="S14" t="str">
        <v>Tim Anstee</v>
      </c>
      <c r="T14" t="str">
        <v>NULL</v>
      </c>
      <c r="U14" t="str">
        <v>Away</v>
      </c>
      <c r="V14" t="str">
        <v>SDL</v>
      </c>
      <c r="W14">
        <v>11.559075152017945</v>
      </c>
      <c r="X14" t="str">
        <v>Andrew Quattrin</v>
      </c>
      <c r="Y14" s="1" cm="1">
        <f t="array" ref="Y14">COUNT(_xlfn._xlws.FILTER($G$7:$G$10000,($I$7:$I$10000=X14)*($J$7:$J$10000&lt;&gt;"NULL")*($G$7:$G$10000 &gt;= ($G$1-5))))/5</f>
        <v>0.4</v>
      </c>
    </row>
    <row r="15" spans="1:25" x14ac:dyDescent="0.35">
      <c r="A15" s="1" t="s">
        <v>23</v>
      </c>
      <c r="B15" s="1">
        <v>5.5472689716265933</v>
      </c>
      <c r="C15" s="1">
        <f t="shared" si="0"/>
        <v>10</v>
      </c>
      <c r="G15" s="65">
        <v>1</v>
      </c>
      <c r="H15" t="s">
        <v>17</v>
      </c>
      <c r="I15" t="s">
        <v>427</v>
      </c>
      <c r="J15">
        <v>10.9</v>
      </c>
      <c r="K15" t="s">
        <v>9</v>
      </c>
      <c r="L15" t="s">
        <v>34</v>
      </c>
      <c r="M15">
        <f t="shared" si="1"/>
        <v>10.345619586631816</v>
      </c>
      <c r="N15">
        <f t="shared" si="2"/>
        <v>0.30733764272627884</v>
      </c>
      <c r="O15" s="67" cm="1">
        <f t="array" ref="O15">SUMPRODUCT((G15=$G$7:$G$10000)*(M15&lt;$M$7:$M$10000))+1</f>
        <v>5</v>
      </c>
      <c r="P15" s="72"/>
      <c r="Q15">
        <v>4</v>
      </c>
      <c r="R15" t="str">
        <v>NEFJ</v>
      </c>
      <c r="S15" t="str">
        <v>Jed Melvin</v>
      </c>
      <c r="T15" t="str">
        <v>NULL</v>
      </c>
      <c r="U15" t="str">
        <v>Away</v>
      </c>
      <c r="V15" t="str">
        <v>SEA</v>
      </c>
      <c r="W15">
        <v>11.214552448475564</v>
      </c>
      <c r="X15" t="str">
        <v>Ben Houston</v>
      </c>
      <c r="Y15" s="1" cm="1">
        <f t="array" ref="Y15">COUNT(_xlfn._xlws.FILTER($G$7:$G$10000,($I$7:$I$10000=X15)*($J$7:$J$10000&lt;&gt;"NULL")*($G$7:$G$10000 &gt;= ($G$1-5))))/5</f>
        <v>0.4</v>
      </c>
    </row>
    <row r="16" spans="1:25" x14ac:dyDescent="0.35">
      <c r="A16" s="1" t="s">
        <v>13</v>
      </c>
      <c r="B16" s="1">
        <v>4.5328438381614271</v>
      </c>
      <c r="C16" s="1">
        <f t="shared" si="0"/>
        <v>11</v>
      </c>
      <c r="D16" s="69"/>
      <c r="G16" s="65">
        <v>1</v>
      </c>
      <c r="H16" t="s">
        <v>23</v>
      </c>
      <c r="I16" t="s">
        <v>428</v>
      </c>
      <c r="J16">
        <v>10.8</v>
      </c>
      <c r="K16" t="s">
        <v>9</v>
      </c>
      <c r="L16" t="s">
        <v>6</v>
      </c>
      <c r="M16">
        <f t="shared" si="1"/>
        <v>12.348540087838208</v>
      </c>
      <c r="N16">
        <f t="shared" si="2"/>
        <v>2.3979764036419615</v>
      </c>
      <c r="O16" s="67" cm="1">
        <f t="array" ref="O16">SUMPRODUCT((G16=$G$7:$G$10000)*(M16&lt;$M$7:$M$10000))+1</f>
        <v>3</v>
      </c>
      <c r="P16" s="72"/>
      <c r="Q16">
        <v>4</v>
      </c>
      <c r="R16" t="str">
        <v>CHI</v>
      </c>
      <c r="S16" t="str">
        <v>Lucas Rumball</v>
      </c>
      <c r="T16" t="str">
        <v>NULL</v>
      </c>
      <c r="U16" t="str">
        <v>Away</v>
      </c>
      <c r="V16" t="str">
        <v>MIA</v>
      </c>
      <c r="W16">
        <v>10.43165690403443</v>
      </c>
      <c r="X16" t="str">
        <v>Ben Sugars</v>
      </c>
      <c r="Y16" s="1" cm="1">
        <f t="array" ref="Y16">COUNT(_xlfn._xlws.FILTER($G$7:$G$10000,($I$7:$I$10000=X16)*($J$7:$J$10000&lt;&gt;"NULL")*($G$7:$G$10000 &gt;= ($G$1-5))))/5</f>
        <v>0.4</v>
      </c>
    </row>
    <row r="17" spans="1:25" x14ac:dyDescent="0.35">
      <c r="G17" s="65">
        <v>1</v>
      </c>
      <c r="H17" t="s">
        <v>34</v>
      </c>
      <c r="I17" t="s">
        <v>429</v>
      </c>
      <c r="J17">
        <v>9.9</v>
      </c>
      <c r="K17" t="s">
        <v>3</v>
      </c>
      <c r="L17" t="s">
        <v>17</v>
      </c>
      <c r="M17">
        <f t="shared" si="1"/>
        <v>13.973612385682486</v>
      </c>
      <c r="N17">
        <f t="shared" si="2"/>
        <v>16.594317868785755</v>
      </c>
      <c r="O17" s="67" cm="1">
        <f t="array" ref="O17">SUMPRODUCT((G17=$G$7:$G$10000)*(M17&lt;$M$7:$M$10000))+1</f>
        <v>1</v>
      </c>
      <c r="P17" s="72"/>
      <c r="Q17">
        <v>4</v>
      </c>
      <c r="R17" t="str">
        <v>UTAH</v>
      </c>
      <c r="S17" t="str">
        <v>Liam Coltman</v>
      </c>
      <c r="T17" t="str">
        <v>NULL</v>
      </c>
      <c r="U17" t="str">
        <v>Home</v>
      </c>
      <c r="V17" t="str">
        <v>HOU</v>
      </c>
      <c r="W17">
        <v>10.401717994249919</v>
      </c>
      <c r="X17" t="str">
        <v>Benjamin Bonasso</v>
      </c>
      <c r="Y17" s="1" cm="1">
        <f t="array" ref="Y17">COUNT(_xlfn._xlws.FILTER($G$7:$G$10000,($I$7:$I$10000=X17)*($J$7:$J$10000&lt;&gt;"NULL")*($G$7:$G$10000 &gt;= ($G$1-5))))/5</f>
        <v>0.6</v>
      </c>
    </row>
    <row r="18" spans="1:25" x14ac:dyDescent="0.35">
      <c r="C18" s="3"/>
      <c r="G18" s="65">
        <v>1</v>
      </c>
      <c r="H18" t="s">
        <v>23</v>
      </c>
      <c r="I18" t="s">
        <v>144</v>
      </c>
      <c r="J18">
        <v>9.6</v>
      </c>
      <c r="K18" t="s">
        <v>9</v>
      </c>
      <c r="L18" t="s">
        <v>6</v>
      </c>
      <c r="M18">
        <f t="shared" si="1"/>
        <v>7.731619083963861</v>
      </c>
      <c r="N18">
        <f t="shared" si="2"/>
        <v>3.4908472474080408</v>
      </c>
      <c r="O18" s="67" cm="1">
        <f t="array" ref="O18">SUMPRODUCT((G18=$G$7:$G$10000)*(M18&lt;$M$7:$M$10000))+1</f>
        <v>18</v>
      </c>
      <c r="P18" s="72"/>
      <c r="Q18">
        <v>4</v>
      </c>
      <c r="R18" t="str">
        <v>MIA</v>
      </c>
      <c r="S18" t="str">
        <v>Benjamin Bonasso</v>
      </c>
      <c r="T18" t="str">
        <v>NULL</v>
      </c>
      <c r="U18" t="str">
        <v>Home</v>
      </c>
      <c r="V18" t="str">
        <v>CHI</v>
      </c>
      <c r="W18">
        <v>10.400887153422435</v>
      </c>
      <c r="X18" t="str">
        <v>Brad Wilkin</v>
      </c>
      <c r="Y18" s="1" cm="1">
        <f t="array" ref="Y18">COUNT(_xlfn._xlws.FILTER($G$7:$G$10000,($I$7:$I$10000=X18)*($J$7:$J$10000&lt;&gt;"NULL")*($G$7:$G$10000 &gt;= ($G$1-5))))/5</f>
        <v>0.4</v>
      </c>
    </row>
    <row r="19" spans="1:25" x14ac:dyDescent="0.35">
      <c r="A19" s="3" t="s">
        <v>30</v>
      </c>
      <c r="B19" s="3" t="s">
        <v>29</v>
      </c>
      <c r="C19" s="3" t="s">
        <v>281</v>
      </c>
      <c r="D19" s="32" t="s">
        <v>279</v>
      </c>
      <c r="E19" s="32" t="s">
        <v>280</v>
      </c>
      <c r="F19" s="3" t="s">
        <v>356</v>
      </c>
      <c r="G19" s="65">
        <v>1</v>
      </c>
      <c r="H19" t="s">
        <v>23</v>
      </c>
      <c r="I19" t="s">
        <v>421</v>
      </c>
      <c r="J19">
        <v>9.3000000000000007</v>
      </c>
      <c r="K19" t="s">
        <v>9</v>
      </c>
      <c r="L19" t="s">
        <v>6</v>
      </c>
      <c r="M19">
        <f t="shared" si="1"/>
        <v>7.4598407293728846</v>
      </c>
      <c r="N19">
        <f t="shared" si="2"/>
        <v>3.3861861412749201</v>
      </c>
      <c r="O19" s="67" cm="1">
        <f t="array" ref="O19">SUMPRODUCT((G19=$G$7:$G$10000)*(M19&lt;$M$7:$M$10000))+1</f>
        <v>21</v>
      </c>
      <c r="P19" s="72"/>
      <c r="Q19">
        <v>4</v>
      </c>
      <c r="R19" t="str">
        <v>CHI</v>
      </c>
      <c r="S19" t="str">
        <v>Dylan Fawsitt</v>
      </c>
      <c r="T19" t="str">
        <v>NULL</v>
      </c>
      <c r="U19" t="str">
        <v>Away</v>
      </c>
      <c r="V19" t="str">
        <v>MIA</v>
      </c>
      <c r="W19">
        <v>10.031499227680603</v>
      </c>
      <c r="X19" t="str">
        <v>Brandon Harvey</v>
      </c>
      <c r="Y19" s="1" cm="1">
        <f t="array" ref="Y19">COUNT(_xlfn._xlws.FILTER($G$7:$G$10000,($I$7:$I$10000=X19)*($J$7:$J$10000&lt;&gt;"NULL")*($G$7:$G$10000 &gt;= ($G$1-5))))/5</f>
        <v>0.4</v>
      </c>
    </row>
    <row r="20" spans="1:25" x14ac:dyDescent="0.35">
      <c r="A20" t="s">
        <v>485</v>
      </c>
      <c r="B20" s="1">
        <v>11.527216346376859</v>
      </c>
      <c r="C20" s="1">
        <f t="shared" ref="C20:C51" si="3">RANK($B20,$B$20:$B$212,0)</f>
        <v>1</v>
      </c>
      <c r="D20" s="1">
        <f t="shared" ref="D20:D51" si="4">SUMIF($I$934:$I$2300,$A20,$M$934:$M$2300)</f>
        <v>75.44096444005109</v>
      </c>
      <c r="E20" s="1">
        <f t="shared" ref="E20:E51" si="5">RANK($D20,$D$20:$D$212,0)</f>
        <v>1</v>
      </c>
      <c r="F20">
        <f t="shared" ref="F20:F51" si="6">VLOOKUP($A20,$X$7:$Y$108,2,FALSE)</f>
        <v>0.2</v>
      </c>
      <c r="G20" s="65">
        <v>1</v>
      </c>
      <c r="H20" t="s">
        <v>2</v>
      </c>
      <c r="I20" t="s">
        <v>156</v>
      </c>
      <c r="J20">
        <v>9.1999999999999993</v>
      </c>
      <c r="K20" t="s">
        <v>9</v>
      </c>
      <c r="L20" t="s">
        <v>36</v>
      </c>
      <c r="M20">
        <f t="shared" si="1"/>
        <v>9.3217569222064753</v>
      </c>
      <c r="N20">
        <f t="shared" si="2"/>
        <v>1.4824748105193861E-2</v>
      </c>
      <c r="O20" s="67" cm="1">
        <f t="array" ref="O20">SUMPRODUCT((G20=$G$7:$G$10000)*(M20&lt;$M$7:$M$10000))+1</f>
        <v>11</v>
      </c>
      <c r="P20" s="72"/>
      <c r="Q20">
        <v>4</v>
      </c>
      <c r="R20" t="str">
        <v>SDL</v>
      </c>
      <c r="S20" t="str">
        <v>Jed Holloway</v>
      </c>
      <c r="T20" t="str">
        <v>NULL</v>
      </c>
      <c r="U20" t="str">
        <v>Home</v>
      </c>
      <c r="V20" t="str">
        <v>LA</v>
      </c>
      <c r="W20">
        <v>9.7679839905883021</v>
      </c>
      <c r="X20" t="str">
        <v>Cali Martinez</v>
      </c>
      <c r="Y20" s="1" cm="1">
        <f t="array" ref="Y20">COUNT(_xlfn._xlws.FILTER($G$7:$G$10000,($I$7:$I$10000=X20)*($J$7:$J$10000&lt;&gt;"NULL")*($G$7:$G$10000 &gt;= ($G$1-5))))/5</f>
        <v>0.4</v>
      </c>
    </row>
    <row r="21" spans="1:25" x14ac:dyDescent="0.35">
      <c r="A21" t="s">
        <v>228</v>
      </c>
      <c r="B21" s="1">
        <v>7.5743704368130125</v>
      </c>
      <c r="C21" s="1">
        <f t="shared" si="3"/>
        <v>2</v>
      </c>
      <c r="D21" s="1">
        <f t="shared" si="4"/>
        <v>45.335830998715181</v>
      </c>
      <c r="E21" s="1">
        <f t="shared" si="5"/>
        <v>8</v>
      </c>
      <c r="F21" t="e">
        <f t="shared" si="6"/>
        <v>#N/A</v>
      </c>
      <c r="G21" s="65">
        <v>1</v>
      </c>
      <c r="H21" t="s">
        <v>6</v>
      </c>
      <c r="I21" t="s">
        <v>430</v>
      </c>
      <c r="J21">
        <v>8.8000000000000007</v>
      </c>
      <c r="K21" t="s">
        <v>3</v>
      </c>
      <c r="L21" t="s">
        <v>23</v>
      </c>
      <c r="M21">
        <f t="shared" si="1"/>
        <v>8.1538984863920945</v>
      </c>
      <c r="N21">
        <f t="shared" si="2"/>
        <v>0.41744716588642744</v>
      </c>
      <c r="O21" s="67" cm="1">
        <f t="array" ref="O21">SUMPRODUCT((G21=$G$7:$G$10000)*(M21&lt;$M$7:$M$10000))+1</f>
        <v>15</v>
      </c>
      <c r="P21" s="72"/>
      <c r="Q21">
        <v>4</v>
      </c>
      <c r="R21" t="str">
        <v>MIA</v>
      </c>
      <c r="S21" t="str">
        <v>Manuel Ardao</v>
      </c>
      <c r="T21" t="str">
        <v>NULL</v>
      </c>
      <c r="U21" t="str">
        <v>Home</v>
      </c>
      <c r="V21" t="str">
        <v>CHI</v>
      </c>
      <c r="W21">
        <v>9.6861667983326516</v>
      </c>
      <c r="X21" t="str">
        <v>Callum Botchar</v>
      </c>
      <c r="Y21" s="1" cm="1">
        <f t="array" ref="Y21">COUNT(_xlfn._xlws.FILTER($G$7:$G$10000,($I$7:$I$10000=X21)*($J$7:$J$10000&lt;&gt;"NULL")*($G$7:$G$10000 &gt;= ($G$1-5))))/5</f>
        <v>0.2</v>
      </c>
    </row>
    <row r="22" spans="1:25" x14ac:dyDescent="0.35">
      <c r="A22" t="s">
        <v>462</v>
      </c>
      <c r="B22" s="1">
        <v>7.2167380645974717</v>
      </c>
      <c r="C22" s="1">
        <f t="shared" si="3"/>
        <v>3</v>
      </c>
      <c r="D22" s="1">
        <f t="shared" si="4"/>
        <v>44.262933882068566</v>
      </c>
      <c r="E22" s="1">
        <f t="shared" si="5"/>
        <v>10</v>
      </c>
      <c r="F22">
        <f t="shared" si="6"/>
        <v>0.2</v>
      </c>
      <c r="G22" s="65">
        <v>1</v>
      </c>
      <c r="H22" t="s">
        <v>23</v>
      </c>
      <c r="I22" t="s">
        <v>431</v>
      </c>
      <c r="J22">
        <v>8.6</v>
      </c>
      <c r="K22" t="s">
        <v>9</v>
      </c>
      <c r="L22" t="s">
        <v>6</v>
      </c>
      <c r="M22">
        <f t="shared" si="1"/>
        <v>6.7850176539283433</v>
      </c>
      <c r="N22">
        <f t="shared" si="2"/>
        <v>3.2941609165517738</v>
      </c>
      <c r="O22" s="67" cm="1">
        <f t="array" ref="O22">SUMPRODUCT((G22=$G$7:$G$10000)*(M22&lt;$M$7:$M$10000))+1</f>
        <v>22</v>
      </c>
      <c r="P22" s="72"/>
      <c r="Q22">
        <v>4</v>
      </c>
      <c r="R22" t="str">
        <v>LA</v>
      </c>
      <c r="S22" t="str">
        <v>Ben Houston</v>
      </c>
      <c r="T22" t="str">
        <v>NULL</v>
      </c>
      <c r="U22" t="str">
        <v>Away</v>
      </c>
      <c r="V22" t="str">
        <v>SDL</v>
      </c>
      <c r="W22">
        <v>9.5824467024474824</v>
      </c>
      <c r="X22" t="str">
        <v>Cam Dolan</v>
      </c>
      <c r="Y22" s="1" cm="1">
        <f t="array" ref="Y22">COUNT(_xlfn._xlws.FILTER($G$7:$G$10000,($I$7:$I$10000=X22)*($J$7:$J$10000&lt;&gt;"NULL")*($G$7:$G$10000 &gt;= ($G$1-5))))/5</f>
        <v>0.4</v>
      </c>
    </row>
    <row r="23" spans="1:25" x14ac:dyDescent="0.35">
      <c r="A23" t="s">
        <v>429</v>
      </c>
      <c r="B23" s="1">
        <v>6.2062721507921115</v>
      </c>
      <c r="C23" s="1">
        <f t="shared" si="3"/>
        <v>4</v>
      </c>
      <c r="D23" s="1">
        <f t="shared" si="4"/>
        <v>41.23153614065248</v>
      </c>
      <c r="E23" s="1">
        <f t="shared" si="5"/>
        <v>18</v>
      </c>
      <c r="F23">
        <f t="shared" si="6"/>
        <v>0.4</v>
      </c>
      <c r="G23" s="65">
        <v>1</v>
      </c>
      <c r="H23" t="s">
        <v>6</v>
      </c>
      <c r="I23" t="s">
        <v>208</v>
      </c>
      <c r="J23">
        <v>8.4</v>
      </c>
      <c r="K23" t="s">
        <v>3</v>
      </c>
      <c r="L23" t="s">
        <v>23</v>
      </c>
      <c r="M23">
        <f t="shared" si="1"/>
        <v>5.304764120490189</v>
      </c>
      <c r="N23">
        <f t="shared" si="2"/>
        <v>9.5804851498048755</v>
      </c>
      <c r="O23" s="67" cm="1">
        <f t="array" ref="O23">SUMPRODUCT((G23=$G$7:$G$10000)*(M23&lt;$M$7:$M$10000))+1</f>
        <v>31</v>
      </c>
      <c r="P23" s="72"/>
      <c r="Q23">
        <v>4</v>
      </c>
      <c r="R23" t="str">
        <v>LA</v>
      </c>
      <c r="S23" t="str">
        <v>Ed Timpson</v>
      </c>
      <c r="T23" t="str">
        <v>NULL</v>
      </c>
      <c r="U23" t="str">
        <v>Away</v>
      </c>
      <c r="V23" t="str">
        <v>SDL</v>
      </c>
      <c r="W23">
        <v>9.2117937569861184</v>
      </c>
      <c r="X23" t="str">
        <v>Cameron Orr</v>
      </c>
      <c r="Y23" s="1" cm="1">
        <f t="array" ref="Y23">COUNT(_xlfn._xlws.FILTER($G$7:$G$10000,($I$7:$I$10000=X23)*($J$7:$J$10000&lt;&gt;"NULL")*($G$7:$G$10000 &gt;= ($G$1-5))))/5</f>
        <v>0.4</v>
      </c>
    </row>
    <row r="24" spans="1:25" x14ac:dyDescent="0.35">
      <c r="A24" t="s">
        <v>200</v>
      </c>
      <c r="B24" s="1">
        <v>5.3550343711795083</v>
      </c>
      <c r="C24" s="1">
        <f t="shared" si="3"/>
        <v>5</v>
      </c>
      <c r="D24" s="1">
        <f t="shared" si="4"/>
        <v>38.677822801814671</v>
      </c>
      <c r="E24" s="1">
        <f t="shared" si="5"/>
        <v>21</v>
      </c>
      <c r="F24">
        <f t="shared" si="6"/>
        <v>0.4</v>
      </c>
      <c r="G24" s="65">
        <v>1</v>
      </c>
      <c r="H24" t="s">
        <v>2</v>
      </c>
      <c r="I24" t="s">
        <v>115</v>
      </c>
      <c r="J24">
        <v>8.1999999999999993</v>
      </c>
      <c r="K24" t="s">
        <v>9</v>
      </c>
      <c r="L24" t="s">
        <v>36</v>
      </c>
      <c r="M24">
        <f t="shared" si="1"/>
        <v>7.7019135678133308</v>
      </c>
      <c r="N24">
        <f t="shared" si="2"/>
        <v>0.24809009392844469</v>
      </c>
      <c r="O24" s="67" cm="1">
        <f t="array" ref="O24">SUMPRODUCT((G24=$G$7:$G$10000)*(M24&lt;$M$7:$M$10000))+1</f>
        <v>19</v>
      </c>
      <c r="P24" s="72"/>
      <c r="Q24">
        <v>4</v>
      </c>
      <c r="R24" t="str">
        <v>CHI</v>
      </c>
      <c r="S24" t="str">
        <v>Maclean Jones</v>
      </c>
      <c r="T24" t="str">
        <v>NULL</v>
      </c>
      <c r="U24" t="str">
        <v>Away</v>
      </c>
      <c r="V24" t="str">
        <v>MIA</v>
      </c>
      <c r="W24">
        <v>9.0686060164109836</v>
      </c>
      <c r="X24" t="str">
        <v>Charlie Abel</v>
      </c>
      <c r="Y24" s="1" cm="1">
        <f t="array" ref="Y24">COUNT(_xlfn._xlws.FILTER($G$7:$G$10000,($I$7:$I$10000=X24)*($J$7:$J$10000&lt;&gt;"NULL")*($G$7:$G$10000 &gt;= ($G$1-5))))/5</f>
        <v>0.4</v>
      </c>
    </row>
    <row r="25" spans="1:25" x14ac:dyDescent="0.35">
      <c r="A25" t="s">
        <v>351</v>
      </c>
      <c r="B25" s="1">
        <v>4.7992572325129279</v>
      </c>
      <c r="C25" s="1">
        <f t="shared" si="3"/>
        <v>6</v>
      </c>
      <c r="D25" s="1">
        <f t="shared" si="4"/>
        <v>37.01049138581493</v>
      </c>
      <c r="E25" s="1">
        <f t="shared" si="5"/>
        <v>25</v>
      </c>
      <c r="F25">
        <f t="shared" si="6"/>
        <v>0.2</v>
      </c>
      <c r="G25" s="65">
        <v>1</v>
      </c>
      <c r="H25" t="s">
        <v>7</v>
      </c>
      <c r="I25" t="s">
        <v>207</v>
      </c>
      <c r="J25">
        <v>8.1</v>
      </c>
      <c r="K25" t="s">
        <v>9</v>
      </c>
      <c r="L25" t="s">
        <v>24</v>
      </c>
      <c r="M25">
        <f t="shared" si="1"/>
        <v>8.6620158702956278</v>
      </c>
      <c r="N25">
        <f t="shared" si="2"/>
        <v>0.31586183846415233</v>
      </c>
      <c r="O25" s="67" cm="1">
        <f t="array" ref="O25">SUMPRODUCT((G25=$G$7:$G$10000)*(M25&lt;$M$7:$M$10000))+1</f>
        <v>13</v>
      </c>
      <c r="P25" s="72"/>
      <c r="Q25">
        <v>4</v>
      </c>
      <c r="R25" t="str">
        <v>LA</v>
      </c>
      <c r="S25" t="str">
        <v>Jason Damm</v>
      </c>
      <c r="T25" t="str">
        <v>NULL</v>
      </c>
      <c r="U25" t="str">
        <v>Away</v>
      </c>
      <c r="V25" t="str">
        <v>SDL</v>
      </c>
      <c r="W25">
        <v>8.7099407861160412</v>
      </c>
      <c r="X25" t="str">
        <v>Chase Jones</v>
      </c>
      <c r="Y25" s="1" cm="1">
        <f t="array" ref="Y25">COUNT(_xlfn._xlws.FILTER($G$7:$G$10000,($I$7:$I$10000=X25)*($J$7:$J$10000&lt;&gt;"NULL")*($G$7:$G$10000 &gt;= ($G$1-5))))/5</f>
        <v>0.2</v>
      </c>
    </row>
    <row r="26" spans="1:25" x14ac:dyDescent="0.35">
      <c r="A26" t="s">
        <v>428</v>
      </c>
      <c r="B26" s="1">
        <v>4.4732142730485887</v>
      </c>
      <c r="C26" s="1">
        <f t="shared" si="3"/>
        <v>7</v>
      </c>
      <c r="D26" s="1">
        <f t="shared" si="4"/>
        <v>48.485908201868817</v>
      </c>
      <c r="E26" s="1">
        <f t="shared" si="5"/>
        <v>6</v>
      </c>
      <c r="F26">
        <f t="shared" si="6"/>
        <v>0.4</v>
      </c>
      <c r="G26" s="65">
        <v>1</v>
      </c>
      <c r="H26" t="s">
        <v>17</v>
      </c>
      <c r="I26" t="s">
        <v>149</v>
      </c>
      <c r="J26">
        <v>7.7</v>
      </c>
      <c r="K26" t="s">
        <v>9</v>
      </c>
      <c r="L26" t="s">
        <v>34</v>
      </c>
      <c r="M26">
        <f t="shared" si="1"/>
        <v>6.5448272090450246</v>
      </c>
      <c r="N26">
        <f t="shared" si="2"/>
        <v>1.3344241769627079</v>
      </c>
      <c r="O26" s="67" cm="1">
        <f t="array" ref="O26">SUMPRODUCT((G26=$G$7:$G$10000)*(M26&lt;$M$7:$M$10000))+1</f>
        <v>24</v>
      </c>
      <c r="P26" s="72"/>
      <c r="Q26">
        <v>4</v>
      </c>
      <c r="R26" t="str">
        <v>SEA</v>
      </c>
      <c r="S26" t="str">
        <v>Kerron van Vuuren</v>
      </c>
      <c r="T26" t="str">
        <v>NULL</v>
      </c>
      <c r="U26" t="str">
        <v>Home</v>
      </c>
      <c r="V26" t="str">
        <v>NEFJ</v>
      </c>
      <c r="W26">
        <v>8.6449600135039191</v>
      </c>
      <c r="X26" t="str">
        <v>Christian Poidevin</v>
      </c>
      <c r="Y26" s="1" cm="1">
        <f t="array" ref="Y26">COUNT(_xlfn._xlws.FILTER($G$7:$G$10000,($I$7:$I$10000=X26)*($J$7:$J$10000&lt;&gt;"NULL")*($G$7:$G$10000 &gt;= ($G$1-5))))/5</f>
        <v>0.4</v>
      </c>
    </row>
    <row r="27" spans="1:25" x14ac:dyDescent="0.35">
      <c r="A27" t="s">
        <v>175</v>
      </c>
      <c r="B27" s="1">
        <v>4.1182910262004961</v>
      </c>
      <c r="C27" s="1">
        <f t="shared" si="3"/>
        <v>8</v>
      </c>
      <c r="D27" s="1">
        <f t="shared" si="4"/>
        <v>34.312874692753098</v>
      </c>
      <c r="E27" s="1">
        <f t="shared" si="5"/>
        <v>27</v>
      </c>
      <c r="F27">
        <f t="shared" si="6"/>
        <v>0.4</v>
      </c>
      <c r="G27" s="65">
        <v>1</v>
      </c>
      <c r="H27" t="s">
        <v>6</v>
      </c>
      <c r="I27" t="s">
        <v>432</v>
      </c>
      <c r="J27">
        <v>7.3</v>
      </c>
      <c r="K27" t="s">
        <v>3</v>
      </c>
      <c r="L27" t="s">
        <v>23</v>
      </c>
      <c r="M27">
        <f t="shared" si="1"/>
        <v>6.1772700368216311</v>
      </c>
      <c r="N27">
        <f t="shared" si="2"/>
        <v>1.2605225702185012</v>
      </c>
      <c r="O27" s="67" cm="1">
        <f t="array" ref="O27">SUMPRODUCT((G27=$G$7:$G$10000)*(M27&lt;$M$7:$M$10000))+1</f>
        <v>27</v>
      </c>
      <c r="P27" s="72"/>
      <c r="Q27">
        <v>4</v>
      </c>
      <c r="R27" t="str">
        <v>CHI</v>
      </c>
      <c r="S27" t="str">
        <v>James Scott</v>
      </c>
      <c r="T27" t="str">
        <v>NULL</v>
      </c>
      <c r="U27" t="str">
        <v>Away</v>
      </c>
      <c r="V27" t="str">
        <v>MIA</v>
      </c>
      <c r="W27">
        <v>8.621963037826113</v>
      </c>
      <c r="X27" t="str">
        <v>Connor Robinson</v>
      </c>
      <c r="Y27" s="1" cm="1">
        <f t="array" ref="Y27">COUNT(_xlfn._xlws.FILTER($G$7:$G$10000,($I$7:$I$10000=X27)*($J$7:$J$10000&lt;&gt;"NULL")*($G$7:$G$10000 &gt;= ($G$1-5))))/5</f>
        <v>0.4</v>
      </c>
    </row>
    <row r="28" spans="1:25" x14ac:dyDescent="0.35">
      <c r="A28" t="s">
        <v>466</v>
      </c>
      <c r="B28" s="1">
        <v>4.004558581212498</v>
      </c>
      <c r="C28" s="1">
        <f t="shared" si="3"/>
        <v>9</v>
      </c>
      <c r="D28" s="1">
        <f t="shared" si="4"/>
        <v>53.951355827858109</v>
      </c>
      <c r="E28" s="1">
        <f t="shared" si="5"/>
        <v>3</v>
      </c>
      <c r="F28">
        <f t="shared" si="6"/>
        <v>0.4</v>
      </c>
      <c r="G28" s="65">
        <v>1</v>
      </c>
      <c r="H28" t="s">
        <v>23</v>
      </c>
      <c r="I28" t="s">
        <v>221</v>
      </c>
      <c r="J28">
        <v>7.2</v>
      </c>
      <c r="K28" t="s">
        <v>9</v>
      </c>
      <c r="L28" t="s">
        <v>6</v>
      </c>
      <c r="M28">
        <f t="shared" si="1"/>
        <v>7.8462531952700525</v>
      </c>
      <c r="N28">
        <f t="shared" si="2"/>
        <v>0.41764319239675235</v>
      </c>
      <c r="O28" s="67" cm="1">
        <f t="array" ref="O28">SUMPRODUCT((G28=$G$7:$G$10000)*(M28&lt;$M$7:$M$10000))+1</f>
        <v>17</v>
      </c>
      <c r="P28" s="72"/>
      <c r="Q28">
        <v>4</v>
      </c>
      <c r="R28" t="str">
        <v>HOU</v>
      </c>
      <c r="S28" t="str">
        <v>Pita Anae-Ah Sue</v>
      </c>
      <c r="T28" t="str">
        <v>NULL</v>
      </c>
      <c r="U28" t="str">
        <v>Away</v>
      </c>
      <c r="V28" t="str">
        <v>UTAH</v>
      </c>
      <c r="W28">
        <v>8.4331454538356496</v>
      </c>
      <c r="X28" t="str">
        <v>Cory Daniel</v>
      </c>
      <c r="Y28" s="1" cm="1">
        <f t="array" ref="Y28">COUNT(_xlfn._xlws.FILTER($G$7:$G$10000,($I$7:$I$10000=X28)*($J$7:$J$10000&lt;&gt;"NULL")*($G$7:$G$10000 &gt;= ($G$1-5))))/5</f>
        <v>0.4</v>
      </c>
    </row>
    <row r="29" spans="1:25" x14ac:dyDescent="0.35">
      <c r="A29" t="s">
        <v>389</v>
      </c>
      <c r="B29" s="1">
        <v>3.6557261446617377</v>
      </c>
      <c r="C29" s="1">
        <f t="shared" si="3"/>
        <v>10</v>
      </c>
      <c r="D29" s="1">
        <f t="shared" si="4"/>
        <v>45.215955688321415</v>
      </c>
      <c r="E29" s="1">
        <f t="shared" si="5"/>
        <v>9</v>
      </c>
      <c r="F29">
        <f t="shared" si="6"/>
        <v>0.2</v>
      </c>
      <c r="G29" s="65">
        <v>1</v>
      </c>
      <c r="H29" t="s">
        <v>6</v>
      </c>
      <c r="I29" t="s">
        <v>433</v>
      </c>
      <c r="J29">
        <v>7</v>
      </c>
      <c r="K29" t="s">
        <v>3</v>
      </c>
      <c r="L29" t="s">
        <v>23</v>
      </c>
      <c r="M29">
        <f t="shared" si="1"/>
        <v>5.806617091360267</v>
      </c>
      <c r="N29">
        <f t="shared" si="2"/>
        <v>1.4241627666334291</v>
      </c>
      <c r="O29" s="67" cm="1">
        <f t="array" ref="O29">SUMPRODUCT((G29=$G$7:$G$10000)*(M29&lt;$M$7:$M$10000))+1</f>
        <v>30</v>
      </c>
      <c r="P29" s="72"/>
      <c r="Q29">
        <v>4</v>
      </c>
      <c r="R29" t="str">
        <v>CHI</v>
      </c>
      <c r="S29" t="str">
        <v>Mason Flesch</v>
      </c>
      <c r="T29" t="str">
        <v>NULL</v>
      </c>
      <c r="U29" t="str">
        <v>Away</v>
      </c>
      <c r="V29" t="str">
        <v>MIA</v>
      </c>
      <c r="W29">
        <v>8.4116558732874598</v>
      </c>
      <c r="X29" t="str">
        <v>Cronan Gleeson</v>
      </c>
      <c r="Y29" s="1" cm="1">
        <f t="array" ref="Y29">COUNT(_xlfn._xlws.FILTER($G$7:$G$10000,($I$7:$I$10000=X29)*($J$7:$J$10000&lt;&gt;"NULL")*($G$7:$G$10000 &gt;= ($G$1-5))))/5</f>
        <v>0.4</v>
      </c>
    </row>
    <row r="30" spans="1:25" x14ac:dyDescent="0.35">
      <c r="A30" t="s">
        <v>225</v>
      </c>
      <c r="B30" s="1">
        <v>3.6448444772854276</v>
      </c>
      <c r="C30" s="1">
        <f t="shared" si="3"/>
        <v>11</v>
      </c>
      <c r="D30" s="1">
        <f t="shared" si="4"/>
        <v>52.152785308222754</v>
      </c>
      <c r="E30" s="1">
        <f t="shared" si="5"/>
        <v>4</v>
      </c>
      <c r="F30">
        <f t="shared" si="6"/>
        <v>0.4</v>
      </c>
      <c r="G30" s="65">
        <v>1</v>
      </c>
      <c r="H30" t="s">
        <v>4</v>
      </c>
      <c r="I30" t="s">
        <v>434</v>
      </c>
      <c r="J30">
        <v>7</v>
      </c>
      <c r="K30" t="s">
        <v>3</v>
      </c>
      <c r="L30" t="s">
        <v>14</v>
      </c>
      <c r="M30">
        <f t="shared" si="1"/>
        <v>3.7437714763739076</v>
      </c>
      <c r="N30">
        <f t="shared" si="2"/>
        <v>10.603024198076161</v>
      </c>
      <c r="O30" s="67" cm="1">
        <f t="array" ref="O30">SUMPRODUCT((G30=$G$7:$G$10000)*(M30&lt;$M$7:$M$10000))+1</f>
        <v>47</v>
      </c>
      <c r="P30" s="72"/>
      <c r="Q30">
        <v>4</v>
      </c>
      <c r="R30" t="str">
        <v>UTAH</v>
      </c>
      <c r="S30" t="str">
        <v>Dylan Nel</v>
      </c>
      <c r="T30" t="str">
        <v>NULL</v>
      </c>
      <c r="U30" t="str">
        <v>Home</v>
      </c>
      <c r="V30" t="str">
        <v>HOU</v>
      </c>
      <c r="W30">
        <v>8.1960247302539031</v>
      </c>
      <c r="X30" t="str">
        <v>Darcy Breen</v>
      </c>
      <c r="Y30" s="1" cm="1">
        <f t="array" ref="Y30">COUNT(_xlfn._xlws.FILTER($G$7:$G$10000,($I$7:$I$10000=X30)*($J$7:$J$10000&lt;&gt;"NULL")*($G$7:$G$10000 &gt;= ($G$1-5))))/5</f>
        <v>0.6</v>
      </c>
    </row>
    <row r="31" spans="1:25" x14ac:dyDescent="0.35">
      <c r="A31" t="s">
        <v>209</v>
      </c>
      <c r="B31" s="1">
        <v>3.2260034873818926</v>
      </c>
      <c r="C31" s="1">
        <f t="shared" si="3"/>
        <v>12</v>
      </c>
      <c r="D31" s="1">
        <f t="shared" si="4"/>
        <v>42.629355798569563</v>
      </c>
      <c r="E31" s="1">
        <f t="shared" si="5"/>
        <v>14</v>
      </c>
      <c r="F31">
        <f t="shared" si="6"/>
        <v>0.6</v>
      </c>
      <c r="G31" s="65">
        <v>1</v>
      </c>
      <c r="H31" t="s">
        <v>24</v>
      </c>
      <c r="I31" t="s">
        <v>411</v>
      </c>
      <c r="J31">
        <v>6.6</v>
      </c>
      <c r="K31" t="s">
        <v>3</v>
      </c>
      <c r="L31" t="s">
        <v>7</v>
      </c>
      <c r="M31">
        <f t="shared" si="1"/>
        <v>4.3892675433826742</v>
      </c>
      <c r="N31">
        <f t="shared" si="2"/>
        <v>4.8873379947412747</v>
      </c>
      <c r="O31" s="67" cm="1">
        <f t="array" ref="O31">SUMPRODUCT((G31=$G$7:$G$10000)*(M31&lt;$M$7:$M$10000))+1</f>
        <v>40</v>
      </c>
      <c r="P31" s="72"/>
      <c r="Q31">
        <v>4</v>
      </c>
      <c r="R31" t="str">
        <v>HOU</v>
      </c>
      <c r="S31" t="str">
        <v>Sam Tuifua</v>
      </c>
      <c r="T31" t="str">
        <v>NULL</v>
      </c>
      <c r="U31" t="str">
        <v>Away</v>
      </c>
      <c r="V31" t="str">
        <v>UTAH</v>
      </c>
      <c r="W31">
        <v>8.0734313499085797</v>
      </c>
      <c r="X31" t="str">
        <v>Devin Short</v>
      </c>
      <c r="Y31" s="1" cm="1">
        <f t="array" ref="Y31">COUNT(_xlfn._xlws.FILTER($G$7:$G$10000,($I$7:$I$10000=X31)*($J$7:$J$10000&lt;&gt;"NULL")*($G$7:$G$10000 &gt;= ($G$1-5))))/5</f>
        <v>0.2</v>
      </c>
    </row>
    <row r="32" spans="1:25" x14ac:dyDescent="0.35">
      <c r="A32" t="s">
        <v>480</v>
      </c>
      <c r="B32" s="1">
        <v>2.9934340763390503</v>
      </c>
      <c r="C32" s="1">
        <f t="shared" si="3"/>
        <v>13</v>
      </c>
      <c r="D32" s="1">
        <f t="shared" si="4"/>
        <v>51.590192987437618</v>
      </c>
      <c r="E32" s="1">
        <f t="shared" si="5"/>
        <v>5</v>
      </c>
      <c r="F32">
        <f t="shared" si="6"/>
        <v>0.2</v>
      </c>
      <c r="G32" s="65">
        <v>1</v>
      </c>
      <c r="H32" t="s">
        <v>23</v>
      </c>
      <c r="I32" t="s">
        <v>412</v>
      </c>
      <c r="J32">
        <v>6.6</v>
      </c>
      <c r="K32" t="s">
        <v>9</v>
      </c>
      <c r="L32" t="s">
        <v>6</v>
      </c>
      <c r="M32">
        <f t="shared" si="1"/>
        <v>6.5095766840195664</v>
      </c>
      <c r="N32">
        <f t="shared" si="2"/>
        <v>8.1763760728972828E-3</v>
      </c>
      <c r="O32" s="67" cm="1">
        <f t="array" ref="O32">SUMPRODUCT((G32=$G$7:$G$10000)*(M32&lt;$M$7:$M$10000))+1</f>
        <v>25</v>
      </c>
      <c r="P32" s="72"/>
      <c r="Q32">
        <v>4</v>
      </c>
      <c r="R32" t="str">
        <v>SDL</v>
      </c>
      <c r="S32" t="str">
        <v>Paddy Ryan</v>
      </c>
      <c r="T32" t="str">
        <v>NULL</v>
      </c>
      <c r="U32" t="str">
        <v>Home</v>
      </c>
      <c r="V32" t="str">
        <v>LA</v>
      </c>
      <c r="W32">
        <v>7.8847726077031037</v>
      </c>
      <c r="X32" t="str">
        <v>Dewald Kotze</v>
      </c>
      <c r="Y32" s="1" cm="1">
        <f t="array" ref="Y32">COUNT(_xlfn._xlws.FILTER($G$7:$G$10000,($I$7:$I$10000=X32)*($J$7:$J$10000&lt;&gt;"NULL")*($G$7:$G$10000 &gt;= ($G$1-5))))/5</f>
        <v>0.2</v>
      </c>
    </row>
    <row r="33" spans="1:25" x14ac:dyDescent="0.35">
      <c r="A33" t="s">
        <v>463</v>
      </c>
      <c r="B33" s="1">
        <v>2.8472620920628562</v>
      </c>
      <c r="C33" s="1">
        <f t="shared" si="3"/>
        <v>14</v>
      </c>
      <c r="D33" s="1">
        <f t="shared" si="4"/>
        <v>41.276727574078521</v>
      </c>
      <c r="E33" s="1">
        <f t="shared" si="5"/>
        <v>17</v>
      </c>
      <c r="F33">
        <f t="shared" si="6"/>
        <v>0.4</v>
      </c>
      <c r="G33" s="65">
        <v>1</v>
      </c>
      <c r="H33" t="s">
        <v>4</v>
      </c>
      <c r="I33" t="s">
        <v>209</v>
      </c>
      <c r="J33">
        <v>6</v>
      </c>
      <c r="K33" t="s">
        <v>3</v>
      </c>
      <c r="L33" t="s">
        <v>14</v>
      </c>
      <c r="M33">
        <f t="shared" si="1"/>
        <v>9.3405975982504383</v>
      </c>
      <c r="N33">
        <f t="shared" si="2"/>
        <v>11.159592313436598</v>
      </c>
      <c r="O33" s="67" cm="1">
        <f t="array" ref="O33">SUMPRODUCT((G33=$G$7:$G$10000)*(M33&lt;$M$7:$M$10000))+1</f>
        <v>10</v>
      </c>
      <c r="P33" s="72"/>
      <c r="Q33">
        <v>4</v>
      </c>
      <c r="R33" t="str">
        <v>CHI</v>
      </c>
      <c r="S33" t="str">
        <v>Paddy Ryan</v>
      </c>
      <c r="T33" t="str">
        <v>NULL</v>
      </c>
      <c r="U33" t="str">
        <v>Away</v>
      </c>
      <c r="V33" t="str">
        <v>MIA</v>
      </c>
      <c r="W33">
        <v>7.8566171384215773</v>
      </c>
      <c r="X33" t="str">
        <v>Djustice Sears-Duru</v>
      </c>
      <c r="Y33" s="1" cm="1">
        <f t="array" ref="Y33">COUNT(_xlfn._xlws.FILTER($G$7:$G$10000,($I$7:$I$10000=X33)*($J$7:$J$10000&lt;&gt;"NULL")*($G$7:$G$10000 &gt;= ($G$1-5))))/5</f>
        <v>0.2</v>
      </c>
    </row>
    <row r="34" spans="1:25" x14ac:dyDescent="0.35">
      <c r="A34" t="s">
        <v>199</v>
      </c>
      <c r="B34" s="1">
        <v>2.6508974279227231</v>
      </c>
      <c r="C34" s="1">
        <f t="shared" si="3"/>
        <v>15</v>
      </c>
      <c r="D34" s="1">
        <f t="shared" si="4"/>
        <v>47.728332348058515</v>
      </c>
      <c r="E34" s="1">
        <f t="shared" si="5"/>
        <v>7</v>
      </c>
      <c r="F34">
        <f t="shared" si="6"/>
        <v>0.6</v>
      </c>
      <c r="G34" s="65">
        <v>1</v>
      </c>
      <c r="H34" t="s">
        <v>7</v>
      </c>
      <c r="I34" t="s">
        <v>202</v>
      </c>
      <c r="J34">
        <v>5.9</v>
      </c>
      <c r="K34" t="s">
        <v>9</v>
      </c>
      <c r="L34" t="s">
        <v>24</v>
      </c>
      <c r="M34">
        <f t="shared" si="1"/>
        <v>6.1289079646372553</v>
      </c>
      <c r="N34">
        <f t="shared" si="2"/>
        <v>5.2398856274370756E-2</v>
      </c>
      <c r="O34" s="67" cm="1">
        <f t="array" ref="O34">SUMPRODUCT((G34=$G$7:$G$10000)*(M34&lt;$M$7:$M$10000))+1</f>
        <v>29</v>
      </c>
      <c r="P34" s="72"/>
      <c r="Q34">
        <v>4</v>
      </c>
      <c r="R34" t="str">
        <v>NEFJ</v>
      </c>
      <c r="S34" t="str">
        <v>Piers von Dadelszen</v>
      </c>
      <c r="T34" t="str">
        <v>NULL</v>
      </c>
      <c r="U34" t="str">
        <v>Away</v>
      </c>
      <c r="V34" t="str">
        <v>SEA</v>
      </c>
      <c r="W34">
        <v>7.5297536842942598</v>
      </c>
      <c r="X34" t="str">
        <v>Dylan Fawsitt</v>
      </c>
      <c r="Y34" s="1" cm="1">
        <f t="array" ref="Y34">COUNT(_xlfn._xlws.FILTER($G$7:$G$10000,($I$7:$I$10000=X34)*($J$7:$J$10000&lt;&gt;"NULL")*($G$7:$G$10000 &gt;= ($G$1-5))))/5</f>
        <v>0.6</v>
      </c>
    </row>
    <row r="35" spans="1:25" x14ac:dyDescent="0.35">
      <c r="A35" t="s">
        <v>430</v>
      </c>
      <c r="B35" s="1">
        <v>2.5023725492272257</v>
      </c>
      <c r="C35" s="1">
        <f t="shared" si="3"/>
        <v>16</v>
      </c>
      <c r="D35" s="1">
        <f t="shared" si="4"/>
        <v>39.488584613675634</v>
      </c>
      <c r="E35" s="1">
        <f t="shared" si="5"/>
        <v>20</v>
      </c>
      <c r="F35" t="e">
        <f t="shared" si="6"/>
        <v>#N/A</v>
      </c>
      <c r="G35" s="65">
        <v>1</v>
      </c>
      <c r="H35" t="s">
        <v>24</v>
      </c>
      <c r="I35" t="s">
        <v>199</v>
      </c>
      <c r="J35">
        <v>5.7</v>
      </c>
      <c r="K35" t="s">
        <v>3</v>
      </c>
      <c r="L35" t="s">
        <v>7</v>
      </c>
      <c r="M35">
        <f t="shared" si="1"/>
        <v>9.8838186333257703</v>
      </c>
      <c r="N35">
        <f t="shared" si="2"/>
        <v>17.504338356563913</v>
      </c>
      <c r="O35" s="67" cm="1">
        <f t="array" ref="O35">SUMPRODUCT((G35=$G$7:$G$10000)*(M35&lt;$M$7:$M$10000))+1</f>
        <v>7</v>
      </c>
      <c r="P35" s="72"/>
      <c r="Q35">
        <v>4</v>
      </c>
      <c r="R35" t="str">
        <v>NEFJ</v>
      </c>
      <c r="S35" t="str">
        <v>Andrew Quattrin</v>
      </c>
      <c r="T35" t="str">
        <v>NULL</v>
      </c>
      <c r="U35" t="str">
        <v>Away</v>
      </c>
      <c r="V35" t="str">
        <v>SEA</v>
      </c>
      <c r="W35">
        <v>7.4151195729880683</v>
      </c>
      <c r="X35" t="str">
        <v>Dylan Fortune</v>
      </c>
      <c r="Y35" s="1" cm="1">
        <f t="array" ref="Y35">COUNT(_xlfn._xlws.FILTER($G$7:$G$10000,($I$7:$I$10000=X35)*($J$7:$J$10000&lt;&gt;"NULL")*($G$7:$G$10000 &gt;= ($G$1-5))))/5</f>
        <v>0.6</v>
      </c>
    </row>
    <row r="36" spans="1:25" x14ac:dyDescent="0.35">
      <c r="A36" t="s">
        <v>212</v>
      </c>
      <c r="B36" s="1">
        <v>2.3759726274497881</v>
      </c>
      <c r="C36" s="1">
        <f t="shared" si="3"/>
        <v>17</v>
      </c>
      <c r="D36" s="1">
        <f t="shared" si="4"/>
        <v>44.005580149279766</v>
      </c>
      <c r="E36" s="1">
        <f t="shared" si="5"/>
        <v>12</v>
      </c>
      <c r="F36">
        <f t="shared" si="6"/>
        <v>0.6</v>
      </c>
      <c r="G36" s="65">
        <v>1</v>
      </c>
      <c r="H36" t="s">
        <v>2</v>
      </c>
      <c r="I36" t="s">
        <v>185</v>
      </c>
      <c r="J36">
        <v>5.3</v>
      </c>
      <c r="K36" t="s">
        <v>9</v>
      </c>
      <c r="L36" t="s">
        <v>36</v>
      </c>
      <c r="M36">
        <f t="shared" si="1"/>
        <v>0.99748193104850813</v>
      </c>
      <c r="N36">
        <f t="shared" si="2"/>
        <v>18.511661733654073</v>
      </c>
      <c r="O36" s="67" cm="1">
        <f t="array" ref="O36">SUMPRODUCT((G36=$G$7:$G$10000)*(M36&lt;$M$7:$M$10000))+1</f>
        <v>75</v>
      </c>
      <c r="P36" s="72"/>
      <c r="Q36">
        <v>4</v>
      </c>
      <c r="R36" t="str">
        <v>MIA</v>
      </c>
      <c r="S36" t="str">
        <v>Mauro Rebussone</v>
      </c>
      <c r="T36" t="str">
        <v>NULL</v>
      </c>
      <c r="U36" t="str">
        <v>Home</v>
      </c>
      <c r="V36" t="str">
        <v>CHI</v>
      </c>
      <c r="W36">
        <v>7.3014066484317679</v>
      </c>
      <c r="X36" t="str">
        <v>Dylan Nel</v>
      </c>
      <c r="Y36" s="1" cm="1">
        <f t="array" ref="Y36">COUNT(_xlfn._xlws.FILTER($G$7:$G$10000,($I$7:$I$10000=X36)*($J$7:$J$10000&lt;&gt;"NULL")*($G$7:$G$10000 &gt;= ($G$1-5))))/5</f>
        <v>0.4</v>
      </c>
    </row>
    <row r="37" spans="1:25" x14ac:dyDescent="0.35">
      <c r="A37" t="s">
        <v>156</v>
      </c>
      <c r="B37" s="1">
        <v>1.9758149510959615</v>
      </c>
      <c r="C37" s="1">
        <f t="shared" si="3"/>
        <v>18</v>
      </c>
      <c r="D37" s="1">
        <f t="shared" si="4"/>
        <v>42.004791767510639</v>
      </c>
      <c r="E37" s="1">
        <f t="shared" si="5"/>
        <v>15</v>
      </c>
      <c r="F37">
        <f t="shared" si="6"/>
        <v>0.6</v>
      </c>
      <c r="G37" s="65">
        <v>1</v>
      </c>
      <c r="H37" t="s">
        <v>17</v>
      </c>
      <c r="I37" t="s">
        <v>105</v>
      </c>
      <c r="J37">
        <v>5.3</v>
      </c>
      <c r="K37" t="s">
        <v>9</v>
      </c>
      <c r="L37" t="s">
        <v>34</v>
      </c>
      <c r="M37">
        <f t="shared" si="1"/>
        <v>6.1757555160964053</v>
      </c>
      <c r="N37">
        <f t="shared" si="2"/>
        <v>0.76694772397328148</v>
      </c>
      <c r="O37" s="67" cm="1">
        <f t="array" ref="O37">SUMPRODUCT((G37=$G$7:$G$10000)*(M37&lt;$M$7:$M$10000))+1</f>
        <v>28</v>
      </c>
      <c r="P37" s="72"/>
      <c r="Q37">
        <v>4</v>
      </c>
      <c r="R37" t="str">
        <v>SDL</v>
      </c>
      <c r="S37" t="str">
        <v>Tevita Tameilau</v>
      </c>
      <c r="T37" t="str">
        <v>NULL</v>
      </c>
      <c r="U37" t="str">
        <v>Home</v>
      </c>
      <c r="V37" t="str">
        <v>LA</v>
      </c>
      <c r="W37">
        <v>7.2277010673101092</v>
      </c>
      <c r="X37" t="str">
        <v>Ed Timpson</v>
      </c>
      <c r="Y37" s="1" cm="1">
        <f t="array" ref="Y37">COUNT(_xlfn._xlws.FILTER($G$7:$G$10000,($I$7:$I$10000=X37)*($J$7:$J$10000&lt;&gt;"NULL")*($G$7:$G$10000 &gt;= ($G$1-5))))/5</f>
        <v>0.4</v>
      </c>
    </row>
    <row r="38" spans="1:25" x14ac:dyDescent="0.35">
      <c r="A38" t="s">
        <v>215</v>
      </c>
      <c r="B38" s="1">
        <v>1.9361770728329415</v>
      </c>
      <c r="C38" s="1">
        <f t="shared" si="3"/>
        <v>19</v>
      </c>
      <c r="D38" s="1">
        <f t="shared" si="4"/>
        <v>44.154730572609608</v>
      </c>
      <c r="E38" s="1">
        <f t="shared" si="5"/>
        <v>11</v>
      </c>
      <c r="F38">
        <f t="shared" si="6"/>
        <v>0.6</v>
      </c>
      <c r="G38" s="65">
        <v>1</v>
      </c>
      <c r="H38" t="s">
        <v>4</v>
      </c>
      <c r="I38" t="s">
        <v>435</v>
      </c>
      <c r="J38">
        <v>5.0999999999999996</v>
      </c>
      <c r="K38" t="s">
        <v>3</v>
      </c>
      <c r="L38" t="s">
        <v>14</v>
      </c>
      <c r="M38">
        <f t="shared" si="1"/>
        <v>4.2851090689373006</v>
      </c>
      <c r="N38">
        <f t="shared" si="2"/>
        <v>0.66404722952823259</v>
      </c>
      <c r="O38" s="67" cm="1">
        <f t="array" ref="O38">SUMPRODUCT((G38=$G$7:$G$10000)*(M38&lt;$M$7:$M$10000))+1</f>
        <v>42</v>
      </c>
      <c r="P38" s="72"/>
      <c r="Q38">
        <v>4</v>
      </c>
      <c r="R38" t="str">
        <v>NEFJ</v>
      </c>
      <c r="S38" t="str">
        <v>Sam Caird</v>
      </c>
      <c r="T38" t="str">
        <v>NULL</v>
      </c>
      <c r="U38" t="str">
        <v>Away</v>
      </c>
      <c r="V38" t="str">
        <v>SEA</v>
      </c>
      <c r="W38">
        <v>7.1433412183970919</v>
      </c>
      <c r="X38" t="str">
        <v>Emmanuel Albert</v>
      </c>
      <c r="Y38" s="1" cm="1">
        <f t="array" ref="Y38">COUNT(_xlfn._xlws.FILTER($G$7:$G$10000,($I$7:$I$10000=X38)*($J$7:$J$10000&lt;&gt;"NULL")*($G$7:$G$10000 &gt;= ($G$1-5))))/5</f>
        <v>0.6</v>
      </c>
    </row>
    <row r="39" spans="1:25" x14ac:dyDescent="0.35">
      <c r="A39" t="s">
        <v>420</v>
      </c>
      <c r="B39" s="1">
        <v>1.6841442447221338</v>
      </c>
      <c r="C39" s="1">
        <f t="shared" si="3"/>
        <v>20</v>
      </c>
      <c r="D39" s="1">
        <f t="shared" si="4"/>
        <v>37.224622481954299</v>
      </c>
      <c r="E39" s="1">
        <f t="shared" si="5"/>
        <v>22</v>
      </c>
      <c r="F39">
        <f t="shared" si="6"/>
        <v>0.6</v>
      </c>
      <c r="G39" s="65">
        <v>1</v>
      </c>
      <c r="H39" t="s">
        <v>17</v>
      </c>
      <c r="I39" t="s">
        <v>284</v>
      </c>
      <c r="J39">
        <v>4.9000000000000004</v>
      </c>
      <c r="K39" t="s">
        <v>9</v>
      </c>
      <c r="L39" t="s">
        <v>34</v>
      </c>
      <c r="M39">
        <f t="shared" si="1"/>
        <v>4.9422589564042179</v>
      </c>
      <c r="N39">
        <f t="shared" si="2"/>
        <v>1.7858193963735558E-3</v>
      </c>
      <c r="O39" s="67" cm="1">
        <f t="array" ref="O39">SUMPRODUCT((G39=$G$7:$G$10000)*(M39&lt;$M$7:$M$10000))+1</f>
        <v>33</v>
      </c>
      <c r="P39" s="72"/>
      <c r="Q39">
        <v>4</v>
      </c>
      <c r="R39" t="str">
        <v>MIA</v>
      </c>
      <c r="S39" t="str">
        <v>Alex Tucci</v>
      </c>
      <c r="T39" t="str">
        <v>NULL</v>
      </c>
      <c r="U39" t="str">
        <v>Home</v>
      </c>
      <c r="V39" t="str">
        <v>CHI</v>
      </c>
      <c r="W39">
        <v>7.0657206445851628</v>
      </c>
      <c r="X39" t="str">
        <v>Ethan Howard</v>
      </c>
      <c r="Y39" s="1" cm="1">
        <f t="array" ref="Y39">COUNT(_xlfn._xlws.FILTER($G$7:$G$10000,($I$7:$I$10000=X39)*($J$7:$J$10000&lt;&gt;"NULL")*($G$7:$G$10000 &gt;= ($G$1-5))))/5</f>
        <v>0.2</v>
      </c>
    </row>
    <row r="40" spans="1:25" x14ac:dyDescent="0.35">
      <c r="A40" t="s">
        <v>427</v>
      </c>
      <c r="B40" s="1">
        <v>1.2889169838410972</v>
      </c>
      <c r="C40" s="1">
        <f t="shared" si="3"/>
        <v>21</v>
      </c>
      <c r="D40" s="1">
        <f t="shared" si="4"/>
        <v>43.067607524947846</v>
      </c>
      <c r="E40" s="1">
        <f t="shared" si="5"/>
        <v>13</v>
      </c>
      <c r="F40">
        <f t="shared" si="6"/>
        <v>0.4</v>
      </c>
      <c r="G40" s="65">
        <v>1</v>
      </c>
      <c r="H40" t="s">
        <v>24</v>
      </c>
      <c r="I40" t="s">
        <v>217</v>
      </c>
      <c r="J40">
        <v>4.7</v>
      </c>
      <c r="K40" t="s">
        <v>3</v>
      </c>
      <c r="L40" t="s">
        <v>7</v>
      </c>
      <c r="M40">
        <f t="shared" si="1"/>
        <v>4.5362912658105232</v>
      </c>
      <c r="N40">
        <f t="shared" si="2"/>
        <v>2.6800549649920822E-2</v>
      </c>
      <c r="O40" s="67" cm="1">
        <f t="array" ref="O40">SUMPRODUCT((G40=$G$7:$G$10000)*(M40&lt;$M$7:$M$10000))+1</f>
        <v>37</v>
      </c>
      <c r="P40" s="72"/>
      <c r="Q40">
        <v>4</v>
      </c>
      <c r="R40" t="str">
        <v>SEA</v>
      </c>
      <c r="S40" t="str">
        <v>OJ Noa</v>
      </c>
      <c r="T40" t="str">
        <v>NULL</v>
      </c>
      <c r="U40" t="str">
        <v>Home</v>
      </c>
      <c r="V40" t="str">
        <v>NEFJ</v>
      </c>
      <c r="W40">
        <v>6.9404429210059657</v>
      </c>
      <c r="X40" t="str">
        <v>Facundo Gattas</v>
      </c>
      <c r="Y40" s="1" cm="1">
        <f t="array" ref="Y40">COUNT(_xlfn._xlws.FILTER($G$7:$G$10000,($I$7:$I$10000=X40)*($J$7:$J$10000&lt;&gt;"NULL")*($G$7:$G$10000 &gt;= ($G$1-5))))/5</f>
        <v>0.4</v>
      </c>
    </row>
    <row r="41" spans="1:25" x14ac:dyDescent="0.35">
      <c r="A41" t="s">
        <v>213</v>
      </c>
      <c r="B41" s="1">
        <v>1.0129217398263419</v>
      </c>
      <c r="C41" s="1">
        <f t="shared" si="3"/>
        <v>22</v>
      </c>
      <c r="D41" s="1">
        <f t="shared" si="4"/>
        <v>37.190325711162544</v>
      </c>
      <c r="E41" s="1">
        <f t="shared" si="5"/>
        <v>23</v>
      </c>
      <c r="F41">
        <f t="shared" si="6"/>
        <v>0.6</v>
      </c>
      <c r="G41" s="65">
        <v>1</v>
      </c>
      <c r="H41" t="s">
        <v>7</v>
      </c>
      <c r="I41" t="s">
        <v>158</v>
      </c>
      <c r="J41">
        <v>4.7</v>
      </c>
      <c r="K41" t="s">
        <v>9</v>
      </c>
      <c r="L41" t="s">
        <v>24</v>
      </c>
      <c r="M41">
        <f t="shared" si="1"/>
        <v>4.0096490370232187</v>
      </c>
      <c r="N41">
        <f t="shared" si="2"/>
        <v>0.47658445208296946</v>
      </c>
      <c r="O41" s="67" cm="1">
        <f t="array" ref="O41">SUMPRODUCT((G41=$G$7:$G$10000)*(M41&lt;$M$7:$M$10000))+1</f>
        <v>43</v>
      </c>
      <c r="P41" s="72"/>
      <c r="Q41">
        <v>4</v>
      </c>
      <c r="R41" t="str">
        <v>UTAH</v>
      </c>
      <c r="S41" t="str">
        <v>Aki Seiuli</v>
      </c>
      <c r="T41" t="str">
        <v>NULL</v>
      </c>
      <c r="U41" t="str">
        <v>Home</v>
      </c>
      <c r="V41" t="str">
        <v>HOU</v>
      </c>
      <c r="W41">
        <v>6.9084474597940693</v>
      </c>
      <c r="X41" t="str">
        <v>Faka'osi Pifeleti</v>
      </c>
      <c r="Y41" s="1" cm="1">
        <f t="array" ref="Y41">COUNT(_xlfn._xlws.FILTER($G$7:$G$10000,($I$7:$I$10000=X41)*($J$7:$J$10000&lt;&gt;"NULL")*($G$7:$G$10000 &gt;= ($G$1-5))))/5</f>
        <v>0.6</v>
      </c>
    </row>
    <row r="42" spans="1:25" x14ac:dyDescent="0.35">
      <c r="A42" t="s">
        <v>204</v>
      </c>
      <c r="B42" s="1">
        <v>0.64156882806684001</v>
      </c>
      <c r="C42" s="1">
        <f t="shared" si="3"/>
        <v>23</v>
      </c>
      <c r="D42" s="1">
        <f t="shared" si="4"/>
        <v>32.453954518094456</v>
      </c>
      <c r="E42" s="1">
        <f t="shared" si="5"/>
        <v>29</v>
      </c>
      <c r="F42">
        <f t="shared" si="6"/>
        <v>0.4</v>
      </c>
      <c r="G42" s="65">
        <v>1</v>
      </c>
      <c r="H42" t="s">
        <v>14</v>
      </c>
      <c r="I42" t="s">
        <v>107</v>
      </c>
      <c r="J42">
        <v>4.5</v>
      </c>
      <c r="K42" t="s">
        <v>9</v>
      </c>
      <c r="L42" t="s">
        <v>4</v>
      </c>
      <c r="M42">
        <f t="shared" si="1"/>
        <v>4.3324510919573882</v>
      </c>
      <c r="N42">
        <f t="shared" si="2"/>
        <v>2.8072636586271585E-2</v>
      </c>
      <c r="O42" s="67" cm="1">
        <f t="array" ref="O42">SUMPRODUCT((G42=$G$7:$G$10000)*(M42&lt;$M$7:$M$10000))+1</f>
        <v>41</v>
      </c>
      <c r="P42" s="72"/>
      <c r="Q42">
        <v>4</v>
      </c>
      <c r="R42" t="str">
        <v>OGDC</v>
      </c>
      <c r="S42" t="str">
        <v>Jamason Fa'anana-Schultz</v>
      </c>
      <c r="T42" t="str">
        <v>NULL</v>
      </c>
      <c r="U42" t="str">
        <v>Home</v>
      </c>
      <c r="V42" t="str">
        <v>ARC</v>
      </c>
      <c r="W42">
        <v>6.720925704579531</v>
      </c>
      <c r="X42" t="str">
        <v>Federico Gutíerrez</v>
      </c>
      <c r="Y42" s="1" cm="1">
        <f t="array" ref="Y42">COUNT(_xlfn._xlws.FILTER($G$7:$G$10000,($I$7:$I$10000=X42)*($J$7:$J$10000&lt;&gt;"NULL")*($G$7:$G$10000 &gt;= ($G$1-5))))/5</f>
        <v>0.6</v>
      </c>
    </row>
    <row r="43" spans="1:25" x14ac:dyDescent="0.35">
      <c r="A43" t="s">
        <v>207</v>
      </c>
      <c r="B43" s="1">
        <v>0.60633159371098511</v>
      </c>
      <c r="C43" s="1">
        <f t="shared" si="3"/>
        <v>24</v>
      </c>
      <c r="D43" s="1">
        <f t="shared" si="4"/>
        <v>25.757461335534472</v>
      </c>
      <c r="E43" s="1">
        <f t="shared" si="5"/>
        <v>41</v>
      </c>
      <c r="F43">
        <f t="shared" si="6"/>
        <v>0.4</v>
      </c>
      <c r="G43" s="65">
        <v>1</v>
      </c>
      <c r="H43" t="s">
        <v>7</v>
      </c>
      <c r="I43" t="s">
        <v>211</v>
      </c>
      <c r="J43">
        <v>4.5</v>
      </c>
      <c r="K43" t="s">
        <v>9</v>
      </c>
      <c r="L43" t="s">
        <v>24</v>
      </c>
      <c r="M43">
        <f t="shared" si="1"/>
        <v>3.6410003914768634</v>
      </c>
      <c r="N43">
        <f t="shared" si="2"/>
        <v>0.737880327442902</v>
      </c>
      <c r="O43" s="67" cm="1">
        <f t="array" ref="O43">SUMPRODUCT((G43=$G$7:$G$10000)*(M43&lt;$M$7:$M$10000))+1</f>
        <v>48</v>
      </c>
      <c r="P43" s="72"/>
      <c r="Q43">
        <v>4</v>
      </c>
      <c r="R43" t="str">
        <v>UTAH</v>
      </c>
      <c r="S43" t="str">
        <v>Frank Lochore</v>
      </c>
      <c r="T43" t="str">
        <v>NULL</v>
      </c>
      <c r="U43" t="str">
        <v>Home</v>
      </c>
      <c r="V43" t="str">
        <v>HOU</v>
      </c>
      <c r="W43">
        <v>6.5048695577386173</v>
      </c>
      <c r="X43" t="str">
        <v>Frank Lochore</v>
      </c>
      <c r="Y43" s="1" cm="1">
        <f t="array" ref="Y43">COUNT(_xlfn._xlws.FILTER($G$7:$G$10000,($I$7:$I$10000=X43)*($J$7:$J$10000&lt;&gt;"NULL")*($G$7:$G$10000 &gt;= ($G$1-5))))/5</f>
        <v>0.4</v>
      </c>
    </row>
    <row r="44" spans="1:25" x14ac:dyDescent="0.35">
      <c r="A44" t="s">
        <v>108</v>
      </c>
      <c r="B44" s="1">
        <v>0.56627876124147092</v>
      </c>
      <c r="C44" s="1">
        <f t="shared" si="3"/>
        <v>25</v>
      </c>
      <c r="D44" s="1">
        <f t="shared" si="4"/>
        <v>34.957110818238178</v>
      </c>
      <c r="E44" s="1">
        <f t="shared" si="5"/>
        <v>26</v>
      </c>
      <c r="F44">
        <f t="shared" si="6"/>
        <v>0.6</v>
      </c>
      <c r="G44" s="65">
        <v>1</v>
      </c>
      <c r="H44" t="s">
        <v>36</v>
      </c>
      <c r="I44" t="s">
        <v>216</v>
      </c>
      <c r="J44">
        <v>4.3</v>
      </c>
      <c r="K44" t="s">
        <v>3</v>
      </c>
      <c r="L44" t="s">
        <v>2</v>
      </c>
      <c r="M44">
        <f t="shared" si="1"/>
        <v>3.5481630581491883</v>
      </c>
      <c r="N44">
        <f t="shared" si="2"/>
        <v>0.56525878713158051</v>
      </c>
      <c r="O44" s="67" cm="1">
        <f t="array" ref="O44">SUMPRODUCT((G44=$G$7:$G$10000)*(M44&lt;$M$7:$M$10000))+1</f>
        <v>49</v>
      </c>
      <c r="P44" s="72"/>
      <c r="Q44">
        <v>4</v>
      </c>
      <c r="R44" t="str">
        <v>NEFJ</v>
      </c>
      <c r="S44" t="str">
        <v>Jero Gomez Vara</v>
      </c>
      <c r="T44" t="str">
        <v>NULL</v>
      </c>
      <c r="U44" t="str">
        <v>Away</v>
      </c>
      <c r="V44" t="str">
        <v>SEA</v>
      </c>
      <c r="W44">
        <v>6.4685181429525507</v>
      </c>
      <c r="X44" t="str">
        <v>Gavin Thornbury</v>
      </c>
      <c r="Y44" s="1" cm="1">
        <f t="array" ref="Y44">COUNT(_xlfn._xlws.FILTER($G$7:$G$10000,($I$7:$I$10000=X44)*($J$7:$J$10000&lt;&gt;"NULL")*($G$7:$G$10000 &gt;= ($G$1-5))))/5</f>
        <v>0.4</v>
      </c>
    </row>
    <row r="45" spans="1:25" x14ac:dyDescent="0.35">
      <c r="A45" t="s">
        <v>432</v>
      </c>
      <c r="B45" s="1">
        <v>0.52574409965676316</v>
      </c>
      <c r="C45" s="1">
        <f t="shared" si="3"/>
        <v>26</v>
      </c>
      <c r="D45" s="1">
        <f t="shared" si="4"/>
        <v>41.373031448917814</v>
      </c>
      <c r="E45" s="1">
        <f t="shared" si="5"/>
        <v>16</v>
      </c>
      <c r="F45">
        <f t="shared" si="6"/>
        <v>0.4</v>
      </c>
      <c r="G45" s="65">
        <v>1</v>
      </c>
      <c r="H45" t="s">
        <v>14</v>
      </c>
      <c r="I45" t="s">
        <v>203</v>
      </c>
      <c r="J45">
        <v>4.0999999999999996</v>
      </c>
      <c r="K45" t="s">
        <v>9</v>
      </c>
      <c r="L45" t="s">
        <v>4</v>
      </c>
      <c r="M45">
        <f t="shared" si="1"/>
        <v>4.448830243133763</v>
      </c>
      <c r="N45">
        <f t="shared" si="2"/>
        <v>0.12168253852476044</v>
      </c>
      <c r="O45" s="67" cm="1">
        <f t="array" ref="O45">SUMPRODUCT((G45=$G$7:$G$10000)*(M45&lt;$M$7:$M$10000))+1</f>
        <v>39</v>
      </c>
      <c r="P45" s="72"/>
      <c r="Q45">
        <v>4</v>
      </c>
      <c r="R45" t="str">
        <v>NEFJ</v>
      </c>
      <c r="S45" t="str">
        <v>Kaleb Geiger</v>
      </c>
      <c r="T45" t="str">
        <v>NULL</v>
      </c>
      <c r="U45" t="str">
        <v>Away</v>
      </c>
      <c r="V45" t="str">
        <v>SEA</v>
      </c>
      <c r="W45">
        <v>6.1930771730437737</v>
      </c>
      <c r="X45" t="str">
        <v>Hamish Bain</v>
      </c>
      <c r="Y45" s="1" cm="1">
        <f t="array" ref="Y45">COUNT(_xlfn._xlws.FILTER($G$7:$G$10000,($I$7:$I$10000=X45)*($J$7:$J$10000&lt;&gt;"NULL")*($G$7:$G$10000 &gt;= ($G$1-5))))/5</f>
        <v>0.6</v>
      </c>
    </row>
    <row r="46" spans="1:25" x14ac:dyDescent="0.35">
      <c r="A46" t="s">
        <v>115</v>
      </c>
      <c r="B46" s="1">
        <v>0.35597159670281758</v>
      </c>
      <c r="C46" s="1">
        <f t="shared" si="3"/>
        <v>27</v>
      </c>
      <c r="D46" s="1">
        <f t="shared" si="4"/>
        <v>33.905574995544917</v>
      </c>
      <c r="E46" s="1">
        <f t="shared" si="5"/>
        <v>28</v>
      </c>
      <c r="F46">
        <f t="shared" si="6"/>
        <v>0.6</v>
      </c>
      <c r="G46" s="65">
        <v>1</v>
      </c>
      <c r="H46" t="s">
        <v>36</v>
      </c>
      <c r="I46" t="s">
        <v>117</v>
      </c>
      <c r="J46">
        <v>4</v>
      </c>
      <c r="K46" t="s">
        <v>3</v>
      </c>
      <c r="L46" t="s">
        <v>2</v>
      </c>
      <c r="M46">
        <f t="shared" si="1"/>
        <v>3.7707048692429281</v>
      </c>
      <c r="N46">
        <f t="shared" si="2"/>
        <v>5.2576256988902684E-2</v>
      </c>
      <c r="O46" s="67" cm="1">
        <f t="array" ref="O46">SUMPRODUCT((G46=$G$7:$G$10000)*(M46&lt;$M$7:$M$10000))+1</f>
        <v>46</v>
      </c>
      <c r="P46" s="72"/>
      <c r="Q46">
        <v>4</v>
      </c>
      <c r="R46" t="str">
        <v>ARC</v>
      </c>
      <c r="S46" t="str">
        <v>Makeen Alikhan</v>
      </c>
      <c r="T46" t="str">
        <v>NULL</v>
      </c>
      <c r="U46" t="str">
        <v>Away</v>
      </c>
      <c r="V46" t="str">
        <v>OGDC</v>
      </c>
      <c r="W46">
        <v>6.1656596377725625</v>
      </c>
      <c r="X46" t="str">
        <v>Hugh Roach</v>
      </c>
      <c r="Y46" s="1" cm="1">
        <f t="array" ref="Y46">COUNT(_xlfn._xlws.FILTER($G$7:$G$10000,($I$7:$I$10000=X46)*($J$7:$J$10000&lt;&gt;"NULL")*($G$7:$G$10000 &gt;= ($G$1-5))))/5</f>
        <v>0.4</v>
      </c>
    </row>
    <row r="47" spans="1:25" x14ac:dyDescent="0.35">
      <c r="A47" t="s">
        <v>433</v>
      </c>
      <c r="B47" s="1">
        <v>0.15509115419539929</v>
      </c>
      <c r="C47" s="1">
        <f t="shared" si="3"/>
        <v>28</v>
      </c>
      <c r="D47" s="1">
        <f t="shared" si="4"/>
        <v>39.519766721610992</v>
      </c>
      <c r="E47" s="1">
        <f t="shared" si="5"/>
        <v>19</v>
      </c>
      <c r="F47">
        <f t="shared" si="6"/>
        <v>0.4</v>
      </c>
      <c r="G47" s="65">
        <v>1</v>
      </c>
      <c r="H47" t="s">
        <v>24</v>
      </c>
      <c r="I47" t="s">
        <v>422</v>
      </c>
      <c r="J47">
        <v>3.9</v>
      </c>
      <c r="K47" t="s">
        <v>3</v>
      </c>
      <c r="L47" t="s">
        <v>7</v>
      </c>
      <c r="M47">
        <f t="shared" si="1"/>
        <v>5.2789053187426687</v>
      </c>
      <c r="N47">
        <f t="shared" si="2"/>
        <v>1.901379878056821</v>
      </c>
      <c r="O47" s="67" cm="1">
        <f t="array" ref="O47">SUMPRODUCT((G47=$G$7:$G$10000)*(M47&lt;$M$7:$M$10000))+1</f>
        <v>32</v>
      </c>
      <c r="P47" s="72"/>
      <c r="Q47">
        <v>4</v>
      </c>
      <c r="R47" t="str">
        <v>MIA</v>
      </c>
      <c r="S47" t="str">
        <v>Federico Gutíerrez</v>
      </c>
      <c r="T47" t="str">
        <v>NULL</v>
      </c>
      <c r="U47" t="str">
        <v>Home</v>
      </c>
      <c r="V47" t="str">
        <v>CHI</v>
      </c>
      <c r="W47">
        <v>5.7959738388393323</v>
      </c>
      <c r="X47" t="str">
        <v>Huw Taylor</v>
      </c>
      <c r="Y47" s="1" cm="1">
        <f t="array" ref="Y47">COUNT(_xlfn._xlws.FILTER($G$7:$G$10000,($I$7:$I$10000=X47)*($J$7:$J$10000&lt;&gt;"NULL")*($G$7:$G$10000 &gt;= ($G$1-5))))/5</f>
        <v>0.4</v>
      </c>
    </row>
    <row r="48" spans="1:25" x14ac:dyDescent="0.35">
      <c r="A48" t="s">
        <v>221</v>
      </c>
      <c r="B48" s="1">
        <v>-2.9072619519566016E-2</v>
      </c>
      <c r="C48" s="1">
        <f t="shared" si="3"/>
        <v>29</v>
      </c>
      <c r="D48" s="1">
        <f t="shared" si="4"/>
        <v>30.4767606315962</v>
      </c>
      <c r="E48" s="1">
        <f t="shared" si="5"/>
        <v>32</v>
      </c>
      <c r="F48">
        <f t="shared" si="6"/>
        <v>0.4</v>
      </c>
      <c r="G48" s="65">
        <v>1</v>
      </c>
      <c r="H48" t="s">
        <v>34</v>
      </c>
      <c r="I48" t="s">
        <v>161</v>
      </c>
      <c r="J48">
        <v>3.9</v>
      </c>
      <c r="K48" t="s">
        <v>3</v>
      </c>
      <c r="L48" t="s">
        <v>17</v>
      </c>
      <c r="M48">
        <f t="shared" si="1"/>
        <v>2.2897239066075814</v>
      </c>
      <c r="N48">
        <f t="shared" si="2"/>
        <v>2.5929890969511491</v>
      </c>
      <c r="O48" s="67" cm="1">
        <f t="array" ref="O48">SUMPRODUCT((G48=$G$7:$G$10000)*(M48&lt;$M$7:$M$10000))+1</f>
        <v>63</v>
      </c>
      <c r="P48" s="72"/>
      <c r="Q48">
        <v>4</v>
      </c>
      <c r="R48" t="str">
        <v>LA</v>
      </c>
      <c r="S48" t="str">
        <v>Ben Sugars</v>
      </c>
      <c r="T48" t="str">
        <v>NULL</v>
      </c>
      <c r="U48" t="str">
        <v>Away</v>
      </c>
      <c r="V48" t="str">
        <v>SDL</v>
      </c>
      <c r="W48">
        <v>5.2284520111811741</v>
      </c>
      <c r="X48" t="str">
        <v>Jack Iscaro</v>
      </c>
      <c r="Y48" s="1" cm="1">
        <f t="array" ref="Y48">COUNT(_xlfn._xlws.FILTER($G$7:$G$10000,($I$7:$I$10000=X48)*($J$7:$J$10000&lt;&gt;"NULL")*($G$7:$G$10000 &gt;= ($G$1-5))))/5</f>
        <v>0.4</v>
      </c>
    </row>
    <row r="49" spans="1:25" x14ac:dyDescent="0.35">
      <c r="A49" t="s">
        <v>144</v>
      </c>
      <c r="B49" s="1">
        <v>-0.14370673082575816</v>
      </c>
      <c r="C49" s="1">
        <f t="shared" si="3"/>
        <v>30</v>
      </c>
      <c r="D49" s="1">
        <f t="shared" si="4"/>
        <v>30.01822418637143</v>
      </c>
      <c r="E49" s="1">
        <f t="shared" si="5"/>
        <v>33</v>
      </c>
      <c r="F49">
        <f t="shared" si="6"/>
        <v>0.4</v>
      </c>
      <c r="G49" s="65">
        <v>1</v>
      </c>
      <c r="H49" t="s">
        <v>23</v>
      </c>
      <c r="I49" t="s">
        <v>252</v>
      </c>
      <c r="J49">
        <v>3.7</v>
      </c>
      <c r="K49" t="s">
        <v>9</v>
      </c>
      <c r="L49" t="s">
        <v>6</v>
      </c>
      <c r="M49">
        <f t="shared" si="1"/>
        <v>3.5160145354255858</v>
      </c>
      <c r="N49">
        <f t="shared" si="2"/>
        <v>3.3850651174663071E-2</v>
      </c>
      <c r="O49" s="67" cm="1">
        <f t="array" ref="O49">SUMPRODUCT((G49=$G$7:$G$10000)*(M49&lt;$M$7:$M$10000))+1</f>
        <v>50</v>
      </c>
      <c r="P49" s="72"/>
      <c r="Q49">
        <v>4</v>
      </c>
      <c r="R49" t="str">
        <v>SDL</v>
      </c>
      <c r="S49" t="str">
        <v>Jimmy Hokafonu</v>
      </c>
      <c r="T49" t="str">
        <v>NULL</v>
      </c>
      <c r="U49" t="str">
        <v>Home</v>
      </c>
      <c r="V49" t="str">
        <v>LA</v>
      </c>
      <c r="W49">
        <v>5.1704207724052944</v>
      </c>
      <c r="X49" t="str">
        <v>Jake Turnbull</v>
      </c>
      <c r="Y49" s="1" cm="1">
        <f t="array" ref="Y49">COUNT(_xlfn._xlws.FILTER($G$7:$G$10000,($I$7:$I$10000=X49)*($J$7:$J$10000&lt;&gt;"NULL")*($G$7:$G$10000 &gt;= ($G$1-5))))/5</f>
        <v>0.6</v>
      </c>
    </row>
    <row r="50" spans="1:25" x14ac:dyDescent="0.35">
      <c r="A50" t="s">
        <v>174</v>
      </c>
      <c r="B50" s="1">
        <v>-0.1990671381630649</v>
      </c>
      <c r="C50" s="1">
        <f t="shared" si="3"/>
        <v>31</v>
      </c>
      <c r="D50" s="1">
        <f t="shared" si="4"/>
        <v>60.822158271629014</v>
      </c>
      <c r="E50" s="1">
        <f t="shared" si="5"/>
        <v>2</v>
      </c>
      <c r="F50">
        <f t="shared" si="6"/>
        <v>0.6</v>
      </c>
      <c r="G50" s="65">
        <v>1</v>
      </c>
      <c r="H50" t="s">
        <v>17</v>
      </c>
      <c r="I50" t="s">
        <v>423</v>
      </c>
      <c r="J50">
        <v>3.7</v>
      </c>
      <c r="K50" t="s">
        <v>9</v>
      </c>
      <c r="L50" t="s">
        <v>34</v>
      </c>
      <c r="M50">
        <f t="shared" si="1"/>
        <v>3.3411160268843885</v>
      </c>
      <c r="N50">
        <f t="shared" si="2"/>
        <v>0.1287977061592471</v>
      </c>
      <c r="O50" s="67" cm="1">
        <f t="array" ref="O50">SUMPRODUCT((G50=$G$7:$G$10000)*(M50&lt;$M$7:$M$10000))+1</f>
        <v>52</v>
      </c>
      <c r="P50" s="72"/>
      <c r="Q50">
        <v>4</v>
      </c>
      <c r="R50" t="str">
        <v>UTAH</v>
      </c>
      <c r="S50" t="str">
        <v>Matt Jenson</v>
      </c>
      <c r="T50" t="str">
        <v>NULL</v>
      </c>
      <c r="U50" t="str">
        <v>Home</v>
      </c>
      <c r="V50" t="str">
        <v>HOU</v>
      </c>
      <c r="W50">
        <v>5.0550069520834997</v>
      </c>
      <c r="X50" t="str">
        <v>Jamason Fa'anana-Schultz</v>
      </c>
      <c r="Y50" s="1" cm="1">
        <f t="array" ref="Y50">COUNT(_xlfn._xlws.FILTER($G$7:$G$10000,($I$7:$I$10000=X50)*($J$7:$J$10000&lt;&gt;"NULL")*($G$7:$G$10000 &gt;= ($G$1-5))))/5</f>
        <v>0.4</v>
      </c>
    </row>
    <row r="51" spans="1:25" x14ac:dyDescent="0.35">
      <c r="A51" t="s">
        <v>208</v>
      </c>
      <c r="B51" s="1">
        <v>-0.34676181667467865</v>
      </c>
      <c r="C51" s="1">
        <f t="shared" si="3"/>
        <v>32</v>
      </c>
      <c r="D51" s="1">
        <f t="shared" si="4"/>
        <v>37.010501867260601</v>
      </c>
      <c r="E51" s="1">
        <f t="shared" si="5"/>
        <v>24</v>
      </c>
      <c r="F51">
        <f t="shared" si="6"/>
        <v>0.4</v>
      </c>
      <c r="G51" s="65">
        <v>1</v>
      </c>
      <c r="H51" t="s">
        <v>34</v>
      </c>
      <c r="I51" t="s">
        <v>153</v>
      </c>
      <c r="J51">
        <v>3.6</v>
      </c>
      <c r="K51" t="s">
        <v>3</v>
      </c>
      <c r="L51" t="s">
        <v>17</v>
      </c>
      <c r="M51">
        <f t="shared" si="1"/>
        <v>4.5321077859726673</v>
      </c>
      <c r="N51">
        <f t="shared" si="2"/>
        <v>0.86882492467086758</v>
      </c>
      <c r="O51" s="67" cm="1">
        <f t="array" ref="O51">SUMPRODUCT((G51=$G$7:$G$10000)*(M51&lt;$M$7:$M$10000))+1</f>
        <v>38</v>
      </c>
      <c r="P51" s="72"/>
      <c r="Q51">
        <v>4</v>
      </c>
      <c r="R51" t="str">
        <v>MIA</v>
      </c>
      <c r="S51" t="str">
        <v>Marques Fuala'au</v>
      </c>
      <c r="T51" t="str">
        <v>NULL</v>
      </c>
      <c r="U51" t="str">
        <v>Home</v>
      </c>
      <c r="V51" t="str">
        <v>CHI</v>
      </c>
      <c r="W51">
        <v>5.0533597859071868</v>
      </c>
      <c r="X51" t="str">
        <v>James Scott</v>
      </c>
      <c r="Y51" s="1" cm="1">
        <f t="array" ref="Y51">COUNT(_xlfn._xlws.FILTER($G$7:$G$10000,($I$7:$I$10000=X51)*($J$7:$J$10000&lt;&gt;"NULL")*($G$7:$G$10000 &gt;= ($G$1-5))))/5</f>
        <v>0.6</v>
      </c>
    </row>
    <row r="52" spans="1:25" x14ac:dyDescent="0.35">
      <c r="A52" t="s">
        <v>421</v>
      </c>
      <c r="B52" s="1">
        <v>-0.41548508541673435</v>
      </c>
      <c r="C52" s="1">
        <f t="shared" ref="C52:C83" si="7">RANK($B52,$B$20:$B$212,0)</f>
        <v>33</v>
      </c>
      <c r="D52" s="1">
        <f t="shared" ref="D52:D83" si="8">SUMIF($I$934:$I$2300,$A52,$M$934:$M$2300)</f>
        <v>28.931110768007525</v>
      </c>
      <c r="E52" s="1">
        <f t="shared" ref="E52:E83" si="9">RANK($D52,$D$20:$D$212,0)</f>
        <v>35</v>
      </c>
      <c r="F52">
        <f t="shared" ref="F52:F83" si="10">VLOOKUP($A52,$X$7:$Y$108,2,FALSE)</f>
        <v>0.4</v>
      </c>
      <c r="G52" s="65">
        <v>1</v>
      </c>
      <c r="H52" t="s">
        <v>34</v>
      </c>
      <c r="I52" t="s">
        <v>177</v>
      </c>
      <c r="J52">
        <v>3.6</v>
      </c>
      <c r="K52" t="s">
        <v>3</v>
      </c>
      <c r="L52" t="s">
        <v>17</v>
      </c>
      <c r="M52">
        <f t="shared" si="1"/>
        <v>4.6325167793144786</v>
      </c>
      <c r="N52">
        <f t="shared" si="2"/>
        <v>1.0660908995659435</v>
      </c>
      <c r="O52" s="67" cm="1">
        <f t="array" ref="O52">SUMPRODUCT((G52=$G$7:$G$10000)*(M52&lt;$M$7:$M$10000))+1</f>
        <v>36</v>
      </c>
      <c r="P52" s="72"/>
      <c r="Q52">
        <v>4</v>
      </c>
      <c r="R52" t="str">
        <v>ARC</v>
      </c>
      <c r="S52" t="str">
        <v>Connor Robinson</v>
      </c>
      <c r="T52" t="str">
        <v>NULL</v>
      </c>
      <c r="U52" t="str">
        <v>Away</v>
      </c>
      <c r="V52" t="str">
        <v>OGDC</v>
      </c>
      <c r="W52">
        <v>5.0367134320034941</v>
      </c>
      <c r="X52" t="str">
        <v>Jason Damm</v>
      </c>
      <c r="Y52" s="1" cm="1">
        <f t="array" ref="Y52">COUNT(_xlfn._xlws.FILTER($G$7:$G$10000,($I$7:$I$10000=X52)*($J$7:$J$10000&lt;&gt;"NULL")*($G$7:$G$10000 &gt;= ($G$1-5))))/5</f>
        <v>0.4</v>
      </c>
    </row>
    <row r="53" spans="1:25" x14ac:dyDescent="0.35">
      <c r="A53" t="s">
        <v>419</v>
      </c>
      <c r="B53" s="1">
        <v>-0.4485830770679427</v>
      </c>
      <c r="C53" s="1">
        <f t="shared" si="7"/>
        <v>34</v>
      </c>
      <c r="D53" s="1">
        <f t="shared" si="8"/>
        <v>32.230929823105186</v>
      </c>
      <c r="E53" s="1">
        <f t="shared" si="9"/>
        <v>30</v>
      </c>
      <c r="F53">
        <f t="shared" si="10"/>
        <v>0.6</v>
      </c>
      <c r="G53" s="65">
        <v>1</v>
      </c>
      <c r="H53" t="s">
        <v>17</v>
      </c>
      <c r="I53" t="s">
        <v>167</v>
      </c>
      <c r="J53">
        <v>3.6</v>
      </c>
      <c r="K53" t="s">
        <v>9</v>
      </c>
      <c r="L53" t="s">
        <v>34</v>
      </c>
      <c r="M53">
        <f t="shared" si="1"/>
        <v>3.9861699167288727</v>
      </c>
      <c r="N53">
        <f t="shared" si="2"/>
        <v>0.14912720458638437</v>
      </c>
      <c r="O53" s="67" cm="1">
        <f t="array" ref="O53">SUMPRODUCT((G53=$G$7:$G$10000)*(M53&lt;$M$7:$M$10000))+1</f>
        <v>44</v>
      </c>
      <c r="P53" s="72"/>
      <c r="Q53">
        <v>4</v>
      </c>
      <c r="R53" t="str">
        <v>SDL</v>
      </c>
      <c r="S53" t="str">
        <v>Payton Telea-Ilalio</v>
      </c>
      <c r="T53" t="str">
        <v>NULL</v>
      </c>
      <c r="U53" t="str">
        <v>Home</v>
      </c>
      <c r="V53" t="str">
        <v>LA</v>
      </c>
      <c r="W53">
        <v>4.9490162902902712</v>
      </c>
      <c r="X53" t="str">
        <v>Jed Holloway</v>
      </c>
      <c r="Y53" s="1" cm="1">
        <f t="array" ref="Y53">COUNT(_xlfn._xlws.FILTER($G$7:$G$10000,($I$7:$I$10000=X53)*($J$7:$J$10000&lt;&gt;"NULL")*($G$7:$G$10000 &gt;= ($G$1-5))))/5</f>
        <v>0.6</v>
      </c>
    </row>
    <row r="54" spans="1:25" x14ac:dyDescent="0.35">
      <c r="A54" t="s">
        <v>464</v>
      </c>
      <c r="B54" s="1">
        <v>-0.64600844239299349</v>
      </c>
      <c r="C54" s="1">
        <f t="shared" si="7"/>
        <v>35</v>
      </c>
      <c r="D54" s="1">
        <f t="shared" si="8"/>
        <v>27.303645436255124</v>
      </c>
      <c r="E54" s="1">
        <f t="shared" si="9"/>
        <v>37</v>
      </c>
      <c r="F54">
        <f t="shared" si="10"/>
        <v>0.4</v>
      </c>
      <c r="G54" s="65">
        <v>1</v>
      </c>
      <c r="H54" t="s">
        <v>14</v>
      </c>
      <c r="I54" t="s">
        <v>413</v>
      </c>
      <c r="J54">
        <v>3.5</v>
      </c>
      <c r="K54" t="s">
        <v>9</v>
      </c>
      <c r="L54" t="s">
        <v>4</v>
      </c>
      <c r="M54">
        <f t="shared" si="1"/>
        <v>3.177035570719954</v>
      </c>
      <c r="N54">
        <f t="shared" si="2"/>
        <v>0.10430602258018583</v>
      </c>
      <c r="O54" s="67" cm="1">
        <f t="array" ref="O54">SUMPRODUCT((G54=$G$7:$G$10000)*(M54&lt;$M$7:$M$10000))+1</f>
        <v>55</v>
      </c>
      <c r="P54" s="72"/>
      <c r="Q54">
        <v>4</v>
      </c>
      <c r="R54" t="str">
        <v>MIA</v>
      </c>
      <c r="S54" t="str">
        <v>Ma'ake Muti</v>
      </c>
      <c r="T54" t="str">
        <v>NULL</v>
      </c>
      <c r="U54" t="str">
        <v>Home</v>
      </c>
      <c r="V54" t="str">
        <v>CHI</v>
      </c>
      <c r="W54">
        <v>4.9063360634793369</v>
      </c>
      <c r="X54" t="str">
        <v>Jed Melvin</v>
      </c>
      <c r="Y54" s="1" cm="1">
        <f t="array" ref="Y54">COUNT(_xlfn._xlws.FILTER($G$7:$G$10000,($I$7:$I$10000=X54)*($J$7:$J$10000&lt;&gt;"NULL")*($G$7:$G$10000 &gt;= ($G$1-5))))/5</f>
        <v>0.2</v>
      </c>
    </row>
    <row r="55" spans="1:25" x14ac:dyDescent="0.35">
      <c r="A55" t="s">
        <v>465</v>
      </c>
      <c r="B55" s="1">
        <v>-0.68426908091454752</v>
      </c>
      <c r="C55" s="1">
        <f t="shared" si="7"/>
        <v>36</v>
      </c>
      <c r="D55" s="1">
        <f t="shared" si="8"/>
        <v>31.052499803872166</v>
      </c>
      <c r="E55" s="1">
        <f t="shared" si="9"/>
        <v>31</v>
      </c>
      <c r="F55">
        <f t="shared" si="10"/>
        <v>0.2</v>
      </c>
      <c r="G55" s="65">
        <v>1</v>
      </c>
      <c r="H55" t="s">
        <v>2</v>
      </c>
      <c r="I55" t="s">
        <v>212</v>
      </c>
      <c r="J55">
        <v>3.4</v>
      </c>
      <c r="K55" t="s">
        <v>9</v>
      </c>
      <c r="L55" t="s">
        <v>36</v>
      </c>
      <c r="M55">
        <f t="shared" si="1"/>
        <v>9.7219145985603017</v>
      </c>
      <c r="N55">
        <f t="shared" si="2"/>
        <v>39.966604191489857</v>
      </c>
      <c r="O55" s="67" cm="1">
        <f t="array" ref="O55">SUMPRODUCT((G55=$G$7:$G$10000)*(M55&lt;$M$7:$M$10000))+1</f>
        <v>8</v>
      </c>
      <c r="P55" s="72"/>
      <c r="Q55">
        <v>4</v>
      </c>
      <c r="R55" t="str">
        <v>SDL</v>
      </c>
      <c r="S55" t="str">
        <v>Darcy Breen</v>
      </c>
      <c r="T55" t="str">
        <v>NULL</v>
      </c>
      <c r="U55" t="str">
        <v>Home</v>
      </c>
      <c r="V55" t="str">
        <v>LA</v>
      </c>
      <c r="W55">
        <v>4.8486072969484599</v>
      </c>
      <c r="X55" t="str">
        <v>Jero Gomez Vara</v>
      </c>
      <c r="Y55" s="1" cm="1">
        <f t="array" ref="Y55">COUNT(_xlfn._xlws.FILTER($G$7:$G$10000,($I$7:$I$10000=X55)*($J$7:$J$10000&lt;&gt;"NULL")*($G$7:$G$10000 &gt;= ($G$1-5))))/5</f>
        <v>0.4</v>
      </c>
    </row>
    <row r="56" spans="1:25" x14ac:dyDescent="0.35">
      <c r="A56" t="s">
        <v>486</v>
      </c>
      <c r="B56" s="1">
        <v>-0.74445341084031436</v>
      </c>
      <c r="C56" s="1">
        <f t="shared" si="7"/>
        <v>37</v>
      </c>
      <c r="D56" s="1">
        <f t="shared" si="8"/>
        <v>26.747528205680734</v>
      </c>
      <c r="E56" s="1">
        <f t="shared" si="9"/>
        <v>39</v>
      </c>
      <c r="F56" t="e">
        <f t="shared" si="10"/>
        <v>#N/A</v>
      </c>
      <c r="G56" s="65">
        <v>1</v>
      </c>
      <c r="H56" t="s">
        <v>17</v>
      </c>
      <c r="I56" t="s">
        <v>206</v>
      </c>
      <c r="J56">
        <v>3.4</v>
      </c>
      <c r="K56" t="s">
        <v>9</v>
      </c>
      <c r="L56" t="s">
        <v>34</v>
      </c>
      <c r="M56">
        <f t="shared" si="1"/>
        <v>7.6438350127433132</v>
      </c>
      <c r="N56">
        <f t="shared" si="2"/>
        <v>18.010135615386034</v>
      </c>
      <c r="O56" s="67" cm="1">
        <f t="array" ref="O56">SUMPRODUCT((G56=$G$7:$G$10000)*(M56&lt;$M$7:$M$10000))+1</f>
        <v>20</v>
      </c>
      <c r="P56" s="72"/>
      <c r="Q56">
        <v>4</v>
      </c>
      <c r="R56" t="str">
        <v>MIA</v>
      </c>
      <c r="S56" t="str">
        <v>Kirby Myhill</v>
      </c>
      <c r="T56" t="str">
        <v>NULL</v>
      </c>
      <c r="U56" t="str">
        <v>Home</v>
      </c>
      <c r="V56" t="str">
        <v>CHI</v>
      </c>
      <c r="W56">
        <v>4.5789260252670205</v>
      </c>
      <c r="X56" t="str">
        <v>Jimmy Hokafonu</v>
      </c>
      <c r="Y56" s="1" cm="1">
        <f t="array" ref="Y56">COUNT(_xlfn._xlws.FILTER($G$7:$G$10000,($I$7:$I$10000=X56)*($J$7:$J$10000&lt;&gt;"NULL")*($G$7:$G$10000 &gt;= ($G$1-5))))/5</f>
        <v>0.4</v>
      </c>
    </row>
    <row r="57" spans="1:25" x14ac:dyDescent="0.35">
      <c r="A57" t="s">
        <v>227</v>
      </c>
      <c r="B57" s="1">
        <v>-0.85613867855605885</v>
      </c>
      <c r="C57" s="1">
        <f t="shared" si="7"/>
        <v>38</v>
      </c>
      <c r="D57" s="1">
        <f t="shared" si="8"/>
        <v>27.063490788841531</v>
      </c>
      <c r="E57" s="1">
        <f t="shared" si="9"/>
        <v>38</v>
      </c>
      <c r="F57" t="e">
        <f t="shared" si="10"/>
        <v>#N/A</v>
      </c>
      <c r="G57" s="65">
        <v>1</v>
      </c>
      <c r="H57" t="s">
        <v>36</v>
      </c>
      <c r="I57" t="s">
        <v>205</v>
      </c>
      <c r="J57">
        <v>3.3</v>
      </c>
      <c r="K57" t="s">
        <v>3</v>
      </c>
      <c r="L57" t="s">
        <v>2</v>
      </c>
      <c r="M57">
        <f t="shared" si="1"/>
        <v>4.6666602773719834</v>
      </c>
      <c r="N57">
        <f t="shared" si="2"/>
        <v>1.8677603137464671</v>
      </c>
      <c r="O57" s="67" cm="1">
        <f t="array" ref="O57">SUMPRODUCT((G57=$G$7:$G$10000)*(M57&lt;$M$7:$M$10000))+1</f>
        <v>35</v>
      </c>
      <c r="P57" s="72"/>
      <c r="Q57">
        <v>4</v>
      </c>
      <c r="R57" t="str">
        <v>UTAH</v>
      </c>
      <c r="S57" t="str">
        <v>Gavin Thornbury</v>
      </c>
      <c r="T57" t="str">
        <v>NULL</v>
      </c>
      <c r="U57" t="str">
        <v>Home</v>
      </c>
      <c r="V57" t="str">
        <v>HOU</v>
      </c>
      <c r="W57">
        <v>4.5647070062919113</v>
      </c>
      <c r="X57" t="str">
        <v>Joe Apikotoa</v>
      </c>
      <c r="Y57" s="1" cm="1">
        <f t="array" ref="Y57">COUNT(_xlfn._xlws.FILTER($G$7:$G$10000,($I$7:$I$10000=X57)*($J$7:$J$10000&lt;&gt;"NULL")*($G$7:$G$10000 &gt;= ($G$1-5))))/5</f>
        <v>0.4</v>
      </c>
    </row>
    <row r="58" spans="1:25" x14ac:dyDescent="0.35">
      <c r="A58" t="s">
        <v>396</v>
      </c>
      <c r="B58" s="1">
        <v>-0.85874763655393471</v>
      </c>
      <c r="C58" s="1">
        <f t="shared" si="7"/>
        <v>39</v>
      </c>
      <c r="D58" s="1">
        <f t="shared" si="8"/>
        <v>27.478930476061283</v>
      </c>
      <c r="E58" s="1">
        <f t="shared" si="9"/>
        <v>36</v>
      </c>
      <c r="F58">
        <f t="shared" si="10"/>
        <v>0.6</v>
      </c>
      <c r="G58" s="65">
        <v>1</v>
      </c>
      <c r="H58" t="s">
        <v>7</v>
      </c>
      <c r="I58" t="s">
        <v>163</v>
      </c>
      <c r="J58">
        <v>2.9</v>
      </c>
      <c r="K58" t="s">
        <v>9</v>
      </c>
      <c r="L58" t="s">
        <v>24</v>
      </c>
      <c r="M58">
        <f t="shared" si="1"/>
        <v>3.9571320073399185</v>
      </c>
      <c r="N58">
        <f t="shared" si="2"/>
        <v>1.1175280809425259</v>
      </c>
      <c r="O58" s="67" cm="1">
        <f t="array" ref="O58">SUMPRODUCT((G58=$G$7:$G$10000)*(M58&lt;$M$7:$M$10000))+1</f>
        <v>45</v>
      </c>
      <c r="P58" s="72"/>
      <c r="Q58">
        <v>4</v>
      </c>
      <c r="R58" t="str">
        <v>LA</v>
      </c>
      <c r="S58" t="str">
        <v>Alessandro Heaney</v>
      </c>
      <c r="T58" t="str">
        <v>NULL</v>
      </c>
      <c r="U58" t="str">
        <v>Away</v>
      </c>
      <c r="V58" t="str">
        <v>SDL</v>
      </c>
      <c r="W58">
        <v>4.5380503141039181</v>
      </c>
      <c r="X58" t="str">
        <v>Joe Johnston</v>
      </c>
      <c r="Y58" s="1" cm="1">
        <f t="array" ref="Y58">COUNT(_xlfn._xlws.FILTER($G$7:$G$10000,($I$7:$I$10000=X58)*($J$7:$J$10000&lt;&gt;"NULL")*($G$7:$G$10000 &gt;= ($G$1-5))))/5</f>
        <v>0.4</v>
      </c>
    </row>
    <row r="59" spans="1:25" x14ac:dyDescent="0.35">
      <c r="A59" t="s">
        <v>103</v>
      </c>
      <c r="B59" s="1">
        <v>-1.0495863444484457</v>
      </c>
      <c r="C59" s="1">
        <f t="shared" si="7"/>
        <v>40</v>
      </c>
      <c r="D59" s="1">
        <f t="shared" si="8"/>
        <v>25.689333828033313</v>
      </c>
      <c r="E59" s="1">
        <f t="shared" si="9"/>
        <v>42</v>
      </c>
      <c r="F59">
        <f t="shared" si="10"/>
        <v>0.4</v>
      </c>
      <c r="G59" s="65">
        <v>1</v>
      </c>
      <c r="H59" t="s">
        <v>34</v>
      </c>
      <c r="I59" t="s">
        <v>436</v>
      </c>
      <c r="J59">
        <v>2.9</v>
      </c>
      <c r="K59" t="s">
        <v>3</v>
      </c>
      <c r="L59" t="s">
        <v>17</v>
      </c>
      <c r="M59">
        <f t="shared" si="1"/>
        <v>4.8539212614295018</v>
      </c>
      <c r="N59">
        <f t="shared" si="2"/>
        <v>3.8178082958662558</v>
      </c>
      <c r="O59" s="67" cm="1">
        <f t="array" ref="O59">SUMPRODUCT((G59=$G$7:$G$10000)*(M59&lt;$M$7:$M$10000))+1</f>
        <v>34</v>
      </c>
      <c r="P59" s="72"/>
      <c r="Q59">
        <v>4</v>
      </c>
      <c r="R59" t="str">
        <v>SEA</v>
      </c>
      <c r="S59" t="str">
        <v>Huw Taylor</v>
      </c>
      <c r="T59" t="str">
        <v>NULL</v>
      </c>
      <c r="U59" t="str">
        <v>Home</v>
      </c>
      <c r="V59" t="str">
        <v>NEFJ</v>
      </c>
      <c r="W59">
        <v>4.2386583471174619</v>
      </c>
      <c r="X59" t="str">
        <v>Johan Momsen</v>
      </c>
      <c r="Y59" s="1" cm="1">
        <f t="array" ref="Y59">COUNT(_xlfn._xlws.FILTER($G$7:$G$10000,($I$7:$I$10000=X59)*($J$7:$J$10000&lt;&gt;"NULL")*($G$7:$G$10000 &gt;= ($G$1-5))))/5</f>
        <v>0.4</v>
      </c>
    </row>
    <row r="60" spans="1:25" x14ac:dyDescent="0.35">
      <c r="A60" t="s">
        <v>431</v>
      </c>
      <c r="B60" s="1">
        <v>-1.0903081608612752</v>
      </c>
      <c r="C60" s="1">
        <f t="shared" si="7"/>
        <v>41</v>
      </c>
      <c r="D60" s="1">
        <f t="shared" si="8"/>
        <v>26.231818466229363</v>
      </c>
      <c r="E60" s="1">
        <f t="shared" si="9"/>
        <v>40</v>
      </c>
      <c r="F60">
        <f t="shared" si="10"/>
        <v>0.4</v>
      </c>
      <c r="G60" s="65">
        <v>1</v>
      </c>
      <c r="H60" t="s">
        <v>14</v>
      </c>
      <c r="I60" t="s">
        <v>164</v>
      </c>
      <c r="J60">
        <v>2.8</v>
      </c>
      <c r="K60" t="s">
        <v>9</v>
      </c>
      <c r="L60" t="s">
        <v>4</v>
      </c>
      <c r="M60">
        <f t="shared" si="1"/>
        <v>3.1495634014139124</v>
      </c>
      <c r="N60">
        <f t="shared" si="2"/>
        <v>0.12219457160806421</v>
      </c>
      <c r="O60" s="67" cm="1">
        <f t="array" ref="O60">SUMPRODUCT((G60=$G$7:$G$10000)*(M60&lt;$M$7:$M$10000))+1</f>
        <v>56</v>
      </c>
      <c r="P60" s="72"/>
      <c r="Q60">
        <v>4</v>
      </c>
      <c r="R60" t="str">
        <v>OGDC</v>
      </c>
      <c r="S60" t="str">
        <v>Cory Daniel</v>
      </c>
      <c r="T60" t="str">
        <v>NULL</v>
      </c>
      <c r="U60" t="str">
        <v>Home</v>
      </c>
      <c r="V60" t="str">
        <v>ARC</v>
      </c>
      <c r="W60">
        <v>4.1878177989211585</v>
      </c>
      <c r="X60" t="str">
        <v>Jonah Mau'u</v>
      </c>
      <c r="Y60" s="1" cm="1">
        <f t="array" ref="Y60">COUNT(_xlfn._xlws.FILTER($G$7:$G$10000,($I$7:$I$10000=X60)*($J$7:$J$10000&lt;&gt;"NULL")*($G$7:$G$10000 &gt;= ($G$1-5))))/5</f>
        <v>0.6</v>
      </c>
    </row>
    <row r="61" spans="1:25" x14ac:dyDescent="0.35">
      <c r="A61" t="s">
        <v>114</v>
      </c>
      <c r="B61" s="1">
        <v>-1.148341975826624</v>
      </c>
      <c r="C61" s="1">
        <f t="shared" si="7"/>
        <v>42</v>
      </c>
      <c r="D61" s="1">
        <f t="shared" si="8"/>
        <v>25.131973945735496</v>
      </c>
      <c r="E61" s="1">
        <f t="shared" si="9"/>
        <v>43</v>
      </c>
      <c r="F61" t="e">
        <f t="shared" si="10"/>
        <v>#N/A</v>
      </c>
      <c r="G61" s="65">
        <v>1</v>
      </c>
      <c r="H61" t="s">
        <v>36</v>
      </c>
      <c r="I61" t="s">
        <v>414</v>
      </c>
      <c r="J61">
        <v>2.6</v>
      </c>
      <c r="K61" t="s">
        <v>3</v>
      </c>
      <c r="L61" t="s">
        <v>2</v>
      </c>
      <c r="M61">
        <f t="shared" si="1"/>
        <v>1.4265326966352001</v>
      </c>
      <c r="N61">
        <f t="shared" si="2"/>
        <v>1.3770255120662556</v>
      </c>
      <c r="O61" s="67" cm="1">
        <f t="array" ref="O61">SUMPRODUCT((G61=$G$7:$G$10000)*(M61&lt;$M$7:$M$10000))+1</f>
        <v>72</v>
      </c>
      <c r="P61" s="72"/>
      <c r="Q61">
        <v>4</v>
      </c>
      <c r="R61" t="str">
        <v>ARC</v>
      </c>
      <c r="S61" t="str">
        <v>Dylan Fortune</v>
      </c>
      <c r="T61" t="str">
        <v>NULL</v>
      </c>
      <c r="U61" t="str">
        <v>Away</v>
      </c>
      <c r="V61" t="str">
        <v>OGDC</v>
      </c>
      <c r="W61">
        <v>4.1823139662615514</v>
      </c>
      <c r="X61" t="str">
        <v>Juan Pablo Zeiss</v>
      </c>
      <c r="Y61" s="1" cm="1">
        <f t="array" ref="Y61">COUNT(_xlfn._xlws.FILTER($G$7:$G$10000,($I$7:$I$10000=X61)*($J$7:$J$10000&lt;&gt;"NULL")*($G$7:$G$10000 &gt;= ($G$1-5))))/5</f>
        <v>0.4</v>
      </c>
    </row>
    <row r="62" spans="1:25" x14ac:dyDescent="0.35">
      <c r="A62" t="s">
        <v>412</v>
      </c>
      <c r="B62" s="1">
        <v>-1.3657491307700524</v>
      </c>
      <c r="C62" s="1">
        <f t="shared" si="7"/>
        <v>43</v>
      </c>
      <c r="D62" s="1">
        <f t="shared" si="8"/>
        <v>25.130054586594255</v>
      </c>
      <c r="E62" s="1">
        <f t="shared" si="9"/>
        <v>44</v>
      </c>
      <c r="F62">
        <f t="shared" si="10"/>
        <v>0.4</v>
      </c>
      <c r="G62" s="65">
        <v>1</v>
      </c>
      <c r="H62" t="s">
        <v>7</v>
      </c>
      <c r="I62" t="s">
        <v>104</v>
      </c>
      <c r="J62">
        <v>2.5</v>
      </c>
      <c r="K62" t="s">
        <v>9</v>
      </c>
      <c r="L62" t="s">
        <v>24</v>
      </c>
      <c r="M62">
        <f t="shared" si="1"/>
        <v>3.4828927174031739</v>
      </c>
      <c r="N62">
        <f t="shared" si="2"/>
        <v>0.96607809392419541</v>
      </c>
      <c r="O62" s="67" cm="1">
        <f t="array" ref="O62">SUMPRODUCT((G62=$G$7:$G$10000)*(M62&lt;$M$7:$M$10000))+1</f>
        <v>51</v>
      </c>
      <c r="P62" s="72"/>
      <c r="Q62">
        <v>4</v>
      </c>
      <c r="R62" t="str">
        <v>ARC</v>
      </c>
      <c r="S62" t="str">
        <v>Sam Golla</v>
      </c>
      <c r="T62" t="str">
        <v>NULL</v>
      </c>
      <c r="U62" t="str">
        <v>Away</v>
      </c>
      <c r="V62" t="str">
        <v>OGDC</v>
      </c>
      <c r="W62">
        <v>4.0659348150851766</v>
      </c>
      <c r="X62" t="str">
        <v>Justin Basson</v>
      </c>
      <c r="Y62" s="1" cm="1">
        <f t="array" ref="Y62">COUNT(_xlfn._xlws.FILTER($G$7:$G$10000,($I$7:$I$10000=X62)*($J$7:$J$10000&lt;&gt;"NULL")*($G$7:$G$10000 &gt;= ($G$1-5))))/5</f>
        <v>0.2</v>
      </c>
    </row>
    <row r="63" spans="1:25" x14ac:dyDescent="0.35">
      <c r="A63" t="s">
        <v>206</v>
      </c>
      <c r="B63" s="1">
        <v>-1.4128675900474061</v>
      </c>
      <c r="C63" s="1">
        <f t="shared" si="7"/>
        <v>44</v>
      </c>
      <c r="D63" s="1">
        <f t="shared" si="8"/>
        <v>29.558684655505331</v>
      </c>
      <c r="E63" s="1">
        <f t="shared" si="9"/>
        <v>34</v>
      </c>
      <c r="F63">
        <f t="shared" si="10"/>
        <v>0.4</v>
      </c>
      <c r="G63" s="65">
        <v>1</v>
      </c>
      <c r="H63" t="s">
        <v>17</v>
      </c>
      <c r="I63" t="s">
        <v>155</v>
      </c>
      <c r="J63">
        <v>2.5</v>
      </c>
      <c r="K63" t="s">
        <v>9</v>
      </c>
      <c r="L63" t="s">
        <v>34</v>
      </c>
      <c r="M63">
        <f t="shared" si="1"/>
        <v>2.1646736290273134</v>
      </c>
      <c r="N63">
        <f t="shared" si="2"/>
        <v>0.11244377506971183</v>
      </c>
      <c r="O63" s="67" cm="1">
        <f t="array" ref="O63">SUMPRODUCT((G63=$G$7:$G$10000)*(M63&lt;$M$7:$M$10000))+1</f>
        <v>65</v>
      </c>
      <c r="P63" s="72"/>
      <c r="Q63">
        <v>4</v>
      </c>
      <c r="R63" t="str">
        <v>ARC</v>
      </c>
      <c r="S63" t="str">
        <v>Viliami Vuli</v>
      </c>
      <c r="T63" t="str">
        <v>NULL</v>
      </c>
      <c r="U63" t="str">
        <v>Away</v>
      </c>
      <c r="V63" t="str">
        <v>OGDC</v>
      </c>
      <c r="W63">
        <v>4.0078649804970059</v>
      </c>
      <c r="X63" t="str">
        <v>Kaleb Geiger</v>
      </c>
      <c r="Y63" s="1" cm="1">
        <f t="array" ref="Y63">COUNT(_xlfn._xlws.FILTER($G$7:$G$10000,($I$7:$I$10000=X63)*($J$7:$J$10000&lt;&gt;"NULL")*($G$7:$G$10000 &gt;= ($G$1-5))))/5</f>
        <v>0.4</v>
      </c>
    </row>
    <row r="64" spans="1:25" x14ac:dyDescent="0.35">
      <c r="A64" t="s">
        <v>484</v>
      </c>
      <c r="B64" s="1">
        <v>-1.7287087739102462</v>
      </c>
      <c r="C64" s="1">
        <f t="shared" si="7"/>
        <v>45</v>
      </c>
      <c r="D64" s="1">
        <f t="shared" si="8"/>
        <v>22.810506753401008</v>
      </c>
      <c r="E64" s="1">
        <f t="shared" si="9"/>
        <v>48</v>
      </c>
      <c r="F64">
        <f t="shared" si="10"/>
        <v>0.2</v>
      </c>
      <c r="G64" s="65">
        <v>1</v>
      </c>
      <c r="H64" t="s">
        <v>36</v>
      </c>
      <c r="I64" t="s">
        <v>224</v>
      </c>
      <c r="J64">
        <v>2.2999999999999998</v>
      </c>
      <c r="K64" t="s">
        <v>3</v>
      </c>
      <c r="L64" t="s">
        <v>2</v>
      </c>
      <c r="M64">
        <f t="shared" si="1"/>
        <v>2.3459408024648019</v>
      </c>
      <c r="N64">
        <f t="shared" si="2"/>
        <v>2.1105573311099605E-3</v>
      </c>
      <c r="O64" s="67" cm="1">
        <f t="array" ref="O64">SUMPRODUCT((G64=$G$7:$G$10000)*(M64&lt;$M$7:$M$10000))+1</f>
        <v>61</v>
      </c>
      <c r="P64" s="72"/>
      <c r="Q64">
        <v>4</v>
      </c>
      <c r="R64" t="str">
        <v>CHI</v>
      </c>
      <c r="S64" t="str">
        <v>Hamish Bain</v>
      </c>
      <c r="T64" t="str">
        <v>NULL</v>
      </c>
      <c r="U64" t="str">
        <v>Away</v>
      </c>
      <c r="V64" t="str">
        <v>MIA</v>
      </c>
      <c r="W64">
        <v>3.9492826731051061</v>
      </c>
      <c r="X64" t="str">
        <v>Kalisi Moli</v>
      </c>
      <c r="Y64" s="1" cm="1">
        <f t="array" ref="Y64">COUNT(_xlfn._xlws.FILTER($G$7:$G$10000,($I$7:$I$10000=X64)*($J$7:$J$10000&lt;&gt;"NULL")*($G$7:$G$10000 &gt;= ($G$1-5))))/5</f>
        <v>0.4</v>
      </c>
    </row>
    <row r="65" spans="1:25" x14ac:dyDescent="0.35">
      <c r="A65" t="s">
        <v>435</v>
      </c>
      <c r="B65" s="1">
        <v>-1.8294850419312456</v>
      </c>
      <c r="C65" s="1">
        <f t="shared" si="7"/>
        <v>46</v>
      </c>
      <c r="D65" s="1">
        <f t="shared" si="8"/>
        <v>22.407401681317008</v>
      </c>
      <c r="E65" s="1">
        <f t="shared" si="9"/>
        <v>49</v>
      </c>
      <c r="F65">
        <f t="shared" si="10"/>
        <v>0.6</v>
      </c>
      <c r="G65" s="65">
        <v>1</v>
      </c>
      <c r="H65" t="s">
        <v>7</v>
      </c>
      <c r="I65" t="s">
        <v>148</v>
      </c>
      <c r="J65">
        <v>2.2999999999999998</v>
      </c>
      <c r="K65" t="s">
        <v>9</v>
      </c>
      <c r="L65" t="s">
        <v>24</v>
      </c>
      <c r="M65">
        <f t="shared" si="1"/>
        <v>3.2829523070971902</v>
      </c>
      <c r="N65">
        <f t="shared" si="2"/>
        <v>0.96619523802768925</v>
      </c>
      <c r="O65" s="67" cm="1">
        <f t="array" ref="O65">SUMPRODUCT((G65=$G$7:$G$10000)*(M65&lt;$M$7:$M$10000))+1</f>
        <v>53</v>
      </c>
      <c r="P65" s="72"/>
      <c r="Q65">
        <v>4</v>
      </c>
      <c r="R65" t="str">
        <v>UTAH</v>
      </c>
      <c r="S65" t="str">
        <v>Kalisi Moli</v>
      </c>
      <c r="T65" t="str">
        <v>NULL</v>
      </c>
      <c r="U65" t="str">
        <v>Home</v>
      </c>
      <c r="V65" t="str">
        <v>HOU</v>
      </c>
      <c r="W65">
        <v>3.8792581683789868</v>
      </c>
      <c r="X65" t="str">
        <v>Kellen Galletier</v>
      </c>
      <c r="Y65" s="1" cm="1">
        <f t="array" ref="Y65">COUNT(_xlfn._xlws.FILTER($G$7:$G$10000,($I$7:$I$10000=X65)*($J$7:$J$10000&lt;&gt;"NULL")*($G$7:$G$10000 &gt;= ($G$1-5))))/5</f>
        <v>0.6</v>
      </c>
    </row>
    <row r="66" spans="1:25" x14ac:dyDescent="0.35">
      <c r="A66" t="s">
        <v>202</v>
      </c>
      <c r="B66" s="1">
        <v>-1.9267763119473875</v>
      </c>
      <c r="C66" s="1">
        <f t="shared" si="7"/>
        <v>47</v>
      </c>
      <c r="D66" s="1">
        <f t="shared" si="8"/>
        <v>15.625029712900981</v>
      </c>
      <c r="E66" s="1">
        <f t="shared" si="9"/>
        <v>71</v>
      </c>
      <c r="F66">
        <f t="shared" si="10"/>
        <v>0.4</v>
      </c>
      <c r="G66" s="65">
        <v>1</v>
      </c>
      <c r="H66" t="s">
        <v>34</v>
      </c>
      <c r="I66" t="s">
        <v>424</v>
      </c>
      <c r="J66">
        <v>2.2000000000000002</v>
      </c>
      <c r="K66" t="s">
        <v>3</v>
      </c>
      <c r="L66" t="s">
        <v>17</v>
      </c>
      <c r="M66">
        <f t="shared" si="1"/>
        <v>1.9107168203867637</v>
      </c>
      <c r="N66">
        <f t="shared" si="2"/>
        <v>8.3684758007144033E-2</v>
      </c>
      <c r="O66" s="67" cm="1">
        <f t="array" ref="O66">SUMPRODUCT((G66=$G$7:$G$10000)*(M66&lt;$M$7:$M$10000))+1</f>
        <v>68</v>
      </c>
      <c r="P66" s="72"/>
      <c r="Q66">
        <v>4</v>
      </c>
      <c r="R66" t="str">
        <v>CHI</v>
      </c>
      <c r="S66" t="str">
        <v>Faka'osi Pifeleti</v>
      </c>
      <c r="T66" t="str">
        <v>NULL</v>
      </c>
      <c r="U66" t="str">
        <v>Away</v>
      </c>
      <c r="V66" t="str">
        <v>MIA</v>
      </c>
      <c r="W66">
        <v>3.8111541983291346</v>
      </c>
      <c r="X66" t="str">
        <v>Kerron van Vuuren</v>
      </c>
      <c r="Y66" s="1" cm="1">
        <f t="array" ref="Y66">COUNT(_xlfn._xlws.FILTER($G$7:$G$10000,($I$7:$I$10000=X66)*($J$7:$J$10000&lt;&gt;"NULL")*($G$7:$G$10000 &gt;= ($G$1-5))))/5</f>
        <v>0.2</v>
      </c>
    </row>
    <row r="67" spans="1:25" x14ac:dyDescent="0.35">
      <c r="A67" t="s">
        <v>422</v>
      </c>
      <c r="B67" s="1">
        <v>-1.9540158866603785</v>
      </c>
      <c r="C67" s="1">
        <f t="shared" si="7"/>
        <v>48</v>
      </c>
      <c r="D67" s="1">
        <f t="shared" si="8"/>
        <v>24.703765775143012</v>
      </c>
      <c r="E67" s="1">
        <f t="shared" si="9"/>
        <v>45</v>
      </c>
      <c r="F67">
        <f t="shared" si="10"/>
        <v>0.6</v>
      </c>
      <c r="G67" s="65">
        <v>1</v>
      </c>
      <c r="H67" t="s">
        <v>14</v>
      </c>
      <c r="I67" t="s">
        <v>197</v>
      </c>
      <c r="J67">
        <v>2.1</v>
      </c>
      <c r="K67" t="s">
        <v>9</v>
      </c>
      <c r="L67" t="s">
        <v>4</v>
      </c>
      <c r="M67">
        <f t="shared" si="1"/>
        <v>2.205353075539608</v>
      </c>
      <c r="N67">
        <f t="shared" si="2"/>
        <v>1.1099270525654336E-2</v>
      </c>
      <c r="O67" s="67" cm="1">
        <f t="array" ref="O67">SUMPRODUCT((G67=$G$7:$G$10000)*(M67&lt;$M$7:$M$10000))+1</f>
        <v>64</v>
      </c>
      <c r="P67" s="72"/>
      <c r="Q67">
        <v>4</v>
      </c>
      <c r="R67" t="str">
        <v>LA</v>
      </c>
      <c r="S67" t="str">
        <v>Reegan O'Gorman</v>
      </c>
      <c r="T67" t="str">
        <v>NULL</v>
      </c>
      <c r="U67" t="str">
        <v>Away</v>
      </c>
      <c r="V67" t="str">
        <v>SDL</v>
      </c>
      <c r="W67">
        <v>3.7659934785192526</v>
      </c>
      <c r="X67" t="str">
        <v>Kirby Myhill</v>
      </c>
      <c r="Y67" s="1" cm="1">
        <f t="array" ref="Y67">COUNT(_xlfn._xlws.FILTER($G$7:$G$10000,($I$7:$I$10000=X67)*($J$7:$J$10000&lt;&gt;"NULL")*($G$7:$G$10000 &gt;= ($G$1-5))))/5</f>
        <v>0.4</v>
      </c>
    </row>
    <row r="68" spans="1:25" x14ac:dyDescent="0.35">
      <c r="A68" t="s">
        <v>248</v>
      </c>
      <c r="B68" s="1">
        <v>-1.9876938423230031</v>
      </c>
      <c r="C68" s="1">
        <f t="shared" si="7"/>
        <v>49</v>
      </c>
      <c r="D68" s="1">
        <f t="shared" si="8"/>
        <v>22.963145652985009</v>
      </c>
      <c r="E68" s="1">
        <f t="shared" si="9"/>
        <v>47</v>
      </c>
      <c r="F68">
        <f t="shared" si="10"/>
        <v>0.4</v>
      </c>
      <c r="G68" s="65">
        <v>1</v>
      </c>
      <c r="H68" t="s">
        <v>36</v>
      </c>
      <c r="I68" t="s">
        <v>415</v>
      </c>
      <c r="J68">
        <v>2.1</v>
      </c>
      <c r="K68" t="s">
        <v>3</v>
      </c>
      <c r="L68" t="s">
        <v>2</v>
      </c>
      <c r="M68">
        <f t="shared" si="1"/>
        <v>2.39696865083907</v>
      </c>
      <c r="N68">
        <f t="shared" si="2"/>
        <v>8.8190379581177397E-2</v>
      </c>
      <c r="O68" s="67" cm="1">
        <f t="array" ref="O68">SUMPRODUCT((G68=$G$7:$G$10000)*(M68&lt;$M$7:$M$10000))+1</f>
        <v>59</v>
      </c>
      <c r="P68" s="72"/>
      <c r="Q68">
        <v>4</v>
      </c>
      <c r="R68" t="str">
        <v>ARC</v>
      </c>
      <c r="S68" t="str">
        <v>Alex Maughan</v>
      </c>
      <c r="T68" t="str">
        <v>NULL</v>
      </c>
      <c r="U68" t="str">
        <v>Away</v>
      </c>
      <c r="V68" t="str">
        <v>OGDC</v>
      </c>
      <c r="W68">
        <v>3.2592791338199998</v>
      </c>
      <c r="X68" t="str">
        <v>Lautaro Bavaro</v>
      </c>
      <c r="Y68" s="1" cm="1">
        <f t="array" ref="Y68">COUNT(_xlfn._xlws.FILTER($G$7:$G$10000,($I$7:$I$10000=X68)*($J$7:$J$10000&lt;&gt;"NULL")*($G$7:$G$10000 &gt;= ($G$1-5))))/5</f>
        <v>0.4</v>
      </c>
    </row>
    <row r="69" spans="1:25" x14ac:dyDescent="0.35">
      <c r="A69" t="s">
        <v>434</v>
      </c>
      <c r="B69" s="1">
        <v>-2.3708226344946386</v>
      </c>
      <c r="C69" s="1">
        <f t="shared" si="7"/>
        <v>50</v>
      </c>
      <c r="D69" s="1">
        <f t="shared" si="8"/>
        <v>20.242051311063435</v>
      </c>
      <c r="E69" s="1">
        <f t="shared" si="9"/>
        <v>52</v>
      </c>
      <c r="F69">
        <f t="shared" si="10"/>
        <v>0.4</v>
      </c>
      <c r="G69" s="65">
        <v>1</v>
      </c>
      <c r="H69" t="s">
        <v>36</v>
      </c>
      <c r="I69" t="s">
        <v>283</v>
      </c>
      <c r="J69">
        <v>2</v>
      </c>
      <c r="K69" t="s">
        <v>3</v>
      </c>
      <c r="L69" t="s">
        <v>2</v>
      </c>
      <c r="M69">
        <f t="shared" si="1"/>
        <v>2.0529377231424055</v>
      </c>
      <c r="N69">
        <f t="shared" si="2"/>
        <v>2.8024025315019773E-3</v>
      </c>
      <c r="O69" s="67" cm="1">
        <f t="array" ref="O69">SUMPRODUCT((G69=$G$7:$G$10000)*(M69&lt;$M$7:$M$10000))+1</f>
        <v>67</v>
      </c>
      <c r="P69" s="72"/>
      <c r="Q69">
        <v>4</v>
      </c>
      <c r="R69" t="str">
        <v>NEFJ</v>
      </c>
      <c r="S69" t="str">
        <v>Malakai Hala-Ngatai</v>
      </c>
      <c r="T69" t="str">
        <v>NULL</v>
      </c>
      <c r="U69" t="str">
        <v>Away</v>
      </c>
      <c r="V69" t="str">
        <v>SEA</v>
      </c>
      <c r="W69">
        <v>3.1995150244497932</v>
      </c>
      <c r="X69" t="str">
        <v>Liam Coltman</v>
      </c>
      <c r="Y69" s="1" cm="1">
        <f t="array" ref="Y69">COUNT(_xlfn._xlws.FILTER($G$7:$G$10000,($I$7:$I$10000=X69)*($J$7:$J$10000&lt;&gt;"NULL")*($G$7:$G$10000 &gt;= ($G$1-5))))/5</f>
        <v>0.4</v>
      </c>
    </row>
    <row r="70" spans="1:25" x14ac:dyDescent="0.35">
      <c r="A70" t="s">
        <v>120</v>
      </c>
      <c r="B70" s="1">
        <v>-2.4994489501035635</v>
      </c>
      <c r="C70" s="1">
        <f t="shared" si="7"/>
        <v>51</v>
      </c>
      <c r="D70" s="1">
        <f t="shared" si="8"/>
        <v>19.889883405412842</v>
      </c>
      <c r="E70" s="1">
        <f t="shared" si="9"/>
        <v>53</v>
      </c>
      <c r="F70">
        <f t="shared" si="10"/>
        <v>0.4</v>
      </c>
      <c r="G70" s="65">
        <v>1</v>
      </c>
      <c r="H70" t="s">
        <v>6</v>
      </c>
      <c r="I70" t="s">
        <v>416</v>
      </c>
      <c r="J70">
        <v>2</v>
      </c>
      <c r="K70" t="s">
        <v>3</v>
      </c>
      <c r="L70" t="s">
        <v>23</v>
      </c>
      <c r="M70">
        <f t="shared" si="1"/>
        <v>1.1328736484780659</v>
      </c>
      <c r="N70">
        <f t="shared" si="2"/>
        <v>0.75190810950374076</v>
      </c>
      <c r="O70" s="67" cm="1">
        <f t="array" ref="O70">SUMPRODUCT((G70=$G$7:$G$10000)*(M70&lt;$M$7:$M$10000))+1</f>
        <v>74</v>
      </c>
      <c r="P70" s="72"/>
      <c r="Q70">
        <v>4</v>
      </c>
      <c r="R70" t="str">
        <v>SEA</v>
      </c>
      <c r="S70" t="str">
        <v>Cameron Orr</v>
      </c>
      <c r="T70" t="str">
        <v>NULL</v>
      </c>
      <c r="U70" t="str">
        <v>Home</v>
      </c>
      <c r="V70" t="str">
        <v>NEFJ</v>
      </c>
      <c r="W70">
        <v>3.1396505434191733</v>
      </c>
      <c r="X70" t="str">
        <v>Lucas Rumball</v>
      </c>
      <c r="Y70" s="1" cm="1">
        <f t="array" ref="Y70">COUNT(_xlfn._xlws.FILTER($G$7:$G$10000,($I$7:$I$10000=X70)*($J$7:$J$10000&lt;&gt;"NULL")*($G$7:$G$10000 &gt;= ($G$1-5))))/5</f>
        <v>0.6</v>
      </c>
    </row>
    <row r="71" spans="1:25" x14ac:dyDescent="0.35">
      <c r="A71" t="s">
        <v>149</v>
      </c>
      <c r="B71" s="1">
        <v>-2.511875393745695</v>
      </c>
      <c r="C71" s="1">
        <f t="shared" si="7"/>
        <v>52</v>
      </c>
      <c r="D71" s="1">
        <f t="shared" si="8"/>
        <v>24.063645637013884</v>
      </c>
      <c r="E71" s="1">
        <f t="shared" si="9"/>
        <v>46</v>
      </c>
      <c r="F71">
        <f t="shared" si="10"/>
        <v>0.4</v>
      </c>
      <c r="G71" s="65">
        <v>1</v>
      </c>
      <c r="H71" t="s">
        <v>6</v>
      </c>
      <c r="I71" t="s">
        <v>417</v>
      </c>
      <c r="J71">
        <v>1.9</v>
      </c>
      <c r="K71" t="s">
        <v>3</v>
      </c>
      <c r="L71" t="s">
        <v>23</v>
      </c>
      <c r="M71">
        <f t="shared" si="1"/>
        <v>1.8232753455553232</v>
      </c>
      <c r="N71">
        <f t="shared" si="2"/>
        <v>5.886672599655046E-3</v>
      </c>
      <c r="O71" s="67" cm="1">
        <f t="array" ref="O71">SUMPRODUCT((G71=$G$7:$G$10000)*(M71&lt;$M$7:$M$10000))+1</f>
        <v>69</v>
      </c>
      <c r="P71" s="72"/>
      <c r="Q71">
        <v>4</v>
      </c>
      <c r="R71" t="str">
        <v>LA</v>
      </c>
      <c r="S71" t="str">
        <v>Cronan Gleeson</v>
      </c>
      <c r="T71" t="str">
        <v>NULL</v>
      </c>
      <c r="U71" t="str">
        <v>Away</v>
      </c>
      <c r="V71" t="str">
        <v>SDL</v>
      </c>
      <c r="W71">
        <v>3.0906274117732861</v>
      </c>
      <c r="X71" t="str">
        <v>Ma'ake Muti</v>
      </c>
      <c r="Y71" s="1" cm="1">
        <f t="array" ref="Y71">COUNT(_xlfn._xlws.FILTER($G$7:$G$10000,($I$7:$I$10000=X71)*($J$7:$J$10000&lt;&gt;"NULL")*($G$7:$G$10000 &gt;= ($G$1-5))))/5</f>
        <v>0.6</v>
      </c>
    </row>
    <row r="72" spans="1:25" x14ac:dyDescent="0.35">
      <c r="A72" t="s">
        <v>217</v>
      </c>
      <c r="B72" s="1">
        <v>-2.696629939592524</v>
      </c>
      <c r="C72" s="1">
        <f t="shared" si="7"/>
        <v>53</v>
      </c>
      <c r="D72" s="1">
        <f t="shared" si="8"/>
        <v>20.990695510482283</v>
      </c>
      <c r="E72" s="1">
        <f t="shared" si="9"/>
        <v>50</v>
      </c>
      <c r="F72">
        <f t="shared" si="10"/>
        <v>0.6</v>
      </c>
      <c r="G72" s="65">
        <v>1</v>
      </c>
      <c r="H72" t="s">
        <v>14</v>
      </c>
      <c r="I72" t="s">
        <v>425</v>
      </c>
      <c r="J72">
        <v>1.8</v>
      </c>
      <c r="K72" t="s">
        <v>9</v>
      </c>
      <c r="L72" t="s">
        <v>4</v>
      </c>
      <c r="M72">
        <f t="shared" ref="M72:M135" si="11">VLOOKUP($K72,$F$3:$G$4,2,FALSE)+VLOOKUP($I72,$A$20:$B$321,2,FALSE)+VLOOKUP($L72,$A$6:$B$16,2,FALSE)</f>
        <v>2.3499673521290605</v>
      </c>
      <c r="N72">
        <f t="shared" ref="N72:N135" si="12">IFERROR(($J72-$M72)^2,"")</f>
        <v>0.30246408840785</v>
      </c>
      <c r="O72" s="67" cm="1">
        <f t="array" ref="O72">SUMPRODUCT((G72=$G$7:$G$10000)*(M72&lt;$M$7:$M$10000))+1</f>
        <v>60</v>
      </c>
      <c r="P72" s="72"/>
      <c r="Q72">
        <v>4</v>
      </c>
      <c r="R72" t="str">
        <v>MIA</v>
      </c>
      <c r="S72" t="str">
        <v>Tau Koloamatangi</v>
      </c>
      <c r="T72" t="str">
        <v>NULL</v>
      </c>
      <c r="U72" t="str">
        <v>Home</v>
      </c>
      <c r="V72" t="str">
        <v>CHI</v>
      </c>
      <c r="W72">
        <v>3.0461619279817258</v>
      </c>
      <c r="X72" t="str">
        <v>Maclean Jones</v>
      </c>
      <c r="Y72" s="1" cm="1">
        <f t="array" ref="Y72">COUNT(_xlfn._xlws.FILTER($G$7:$G$10000,($I$7:$I$10000=X72)*($J$7:$J$10000&lt;&gt;"NULL")*($G$7:$G$10000 &gt;= ($G$1-5))))/5</f>
        <v>0.6</v>
      </c>
    </row>
    <row r="73" spans="1:25" x14ac:dyDescent="0.35">
      <c r="A73" t="s">
        <v>481</v>
      </c>
      <c r="B73" s="1">
        <v>-2.7530759095467077</v>
      </c>
      <c r="C73" s="1">
        <f t="shared" si="7"/>
        <v>54</v>
      </c>
      <c r="D73" s="1">
        <f t="shared" si="8"/>
        <v>18.71303821085516</v>
      </c>
      <c r="E73" s="1">
        <f t="shared" si="9"/>
        <v>59</v>
      </c>
      <c r="F73">
        <f t="shared" si="10"/>
        <v>0.2</v>
      </c>
      <c r="G73" s="65">
        <v>1</v>
      </c>
      <c r="H73" t="s">
        <v>24</v>
      </c>
      <c r="I73" t="s">
        <v>179</v>
      </c>
      <c r="J73">
        <v>1.8</v>
      </c>
      <c r="K73" t="s">
        <v>3</v>
      </c>
      <c r="L73" t="s">
        <v>7</v>
      </c>
      <c r="M73">
        <f t="shared" si="11"/>
        <v>1.7963523097140888</v>
      </c>
      <c r="N73">
        <f t="shared" si="12"/>
        <v>1.3305644421931486E-5</v>
      </c>
      <c r="O73" s="67" cm="1">
        <f t="array" ref="O73">SUMPRODUCT((G73=$G$7:$G$10000)*(M73&lt;$M$7:$M$10000))+1</f>
        <v>70</v>
      </c>
      <c r="P73" s="72"/>
      <c r="Q73">
        <v>4</v>
      </c>
      <c r="R73" t="str">
        <v>NEFJ</v>
      </c>
      <c r="S73" t="str">
        <v>Wian Conradie</v>
      </c>
      <c r="T73" t="str">
        <v>NULL</v>
      </c>
      <c r="U73" t="str">
        <v>Away</v>
      </c>
      <c r="V73" t="str">
        <v>SEA</v>
      </c>
      <c r="W73">
        <v>2.960404171585699</v>
      </c>
      <c r="X73" t="str">
        <v>Makeen Alikhan</v>
      </c>
      <c r="Y73" s="1" cm="1">
        <f t="array" ref="Y73">COUNT(_xlfn._xlws.FILTER($G$7:$G$10000,($I$7:$I$10000=X73)*($J$7:$J$10000&lt;&gt;"NULL")*($G$7:$G$10000 &gt;= ($G$1-5))))/5</f>
        <v>0.6</v>
      </c>
    </row>
    <row r="74" spans="1:25" x14ac:dyDescent="0.35">
      <c r="A74" t="s">
        <v>203</v>
      </c>
      <c r="B74" s="1">
        <v>-2.8420933080649453</v>
      </c>
      <c r="C74" s="1">
        <f t="shared" si="7"/>
        <v>55</v>
      </c>
      <c r="D74" s="1">
        <f t="shared" si="8"/>
        <v>19.545547790017238</v>
      </c>
      <c r="E74" s="1">
        <f t="shared" si="9"/>
        <v>55</v>
      </c>
      <c r="F74">
        <f t="shared" si="10"/>
        <v>0.6</v>
      </c>
      <c r="G74" s="65">
        <v>1</v>
      </c>
      <c r="H74" t="s">
        <v>4</v>
      </c>
      <c r="I74" t="s">
        <v>172</v>
      </c>
      <c r="J74">
        <v>1.5</v>
      </c>
      <c r="K74" t="s">
        <v>3</v>
      </c>
      <c r="L74" t="s">
        <v>14</v>
      </c>
      <c r="M74">
        <f t="shared" si="11"/>
        <v>1.7055273537298339</v>
      </c>
      <c r="N74">
        <f t="shared" si="12"/>
        <v>4.224149313118826E-2</v>
      </c>
      <c r="O74" s="67" cm="1">
        <f t="array" ref="O74">SUMPRODUCT((G74=$G$7:$G$10000)*(M74&lt;$M$7:$M$10000))+1</f>
        <v>71</v>
      </c>
      <c r="P74" s="72"/>
      <c r="Q74">
        <v>4</v>
      </c>
      <c r="R74" t="str">
        <v>ARC</v>
      </c>
      <c r="S74" t="str">
        <v>Ethan Howard</v>
      </c>
      <c r="T74" t="str">
        <v>NULL</v>
      </c>
      <c r="U74" t="str">
        <v>Away</v>
      </c>
      <c r="V74" t="str">
        <v>OGDC</v>
      </c>
      <c r="W74">
        <v>2.9105192938477424</v>
      </c>
      <c r="X74" t="str">
        <v>Malakai Hala-Ngatai</v>
      </c>
      <c r="Y74" s="1" cm="1">
        <f t="array" ref="Y74">COUNT(_xlfn._xlws.FILTER($G$7:$G$10000,($I$7:$I$10000=X74)*($J$7:$J$10000&lt;&gt;"NULL")*($G$7:$G$10000 &gt;= ($G$1-5))))/5</f>
        <v>0.4</v>
      </c>
    </row>
    <row r="75" spans="1:25" x14ac:dyDescent="0.35">
      <c r="A75" t="s">
        <v>411</v>
      </c>
      <c r="B75" s="1">
        <v>-2.8436536620203734</v>
      </c>
      <c r="C75" s="1">
        <f t="shared" si="7"/>
        <v>56</v>
      </c>
      <c r="D75" s="1">
        <f t="shared" si="8"/>
        <v>20.255576898343037</v>
      </c>
      <c r="E75" s="1">
        <f t="shared" si="9"/>
        <v>51</v>
      </c>
      <c r="F75">
        <f t="shared" si="10"/>
        <v>0.6</v>
      </c>
      <c r="G75" s="65">
        <v>1</v>
      </c>
      <c r="H75" t="s">
        <v>2</v>
      </c>
      <c r="I75" t="s">
        <v>159</v>
      </c>
      <c r="J75">
        <v>1.3</v>
      </c>
      <c r="K75" t="s">
        <v>9</v>
      </c>
      <c r="L75" t="s">
        <v>36</v>
      </c>
      <c r="M75">
        <f t="shared" si="11"/>
        <v>3.1014118928550056</v>
      </c>
      <c r="N75">
        <f t="shared" si="12"/>
        <v>3.2450848077194543</v>
      </c>
      <c r="O75" s="67" cm="1">
        <f t="array" ref="O75">SUMPRODUCT((G75=$G$7:$G$10000)*(M75&lt;$M$7:$M$10000))+1</f>
        <v>57</v>
      </c>
      <c r="P75" s="72"/>
      <c r="Q75">
        <v>4</v>
      </c>
      <c r="R75" t="str">
        <v>ARC</v>
      </c>
      <c r="S75" t="str">
        <v>Mikey Grandy</v>
      </c>
      <c r="T75" t="str">
        <v>NULL</v>
      </c>
      <c r="U75" t="str">
        <v>Away</v>
      </c>
      <c r="V75" t="str">
        <v>OGDC</v>
      </c>
      <c r="W75">
        <v>2.8942972090148542</v>
      </c>
      <c r="X75" t="str">
        <v>Malcolm May</v>
      </c>
      <c r="Y75" s="1" cm="1">
        <f t="array" ref="Y75">COUNT(_xlfn._xlws.FILTER($G$7:$G$10000,($I$7:$I$10000=X75)*($J$7:$J$10000&lt;&gt;"NULL")*($G$7:$G$10000 &gt;= ($G$1-5))))/5</f>
        <v>0.2</v>
      </c>
    </row>
    <row r="76" spans="1:25" x14ac:dyDescent="0.35">
      <c r="A76" t="s">
        <v>105</v>
      </c>
      <c r="B76" s="1">
        <v>-2.8809470866943148</v>
      </c>
      <c r="C76" s="1">
        <f t="shared" si="7"/>
        <v>57</v>
      </c>
      <c r="D76" s="1">
        <f t="shared" si="8"/>
        <v>17.544778356778039</v>
      </c>
      <c r="E76" s="1">
        <f t="shared" si="9"/>
        <v>66</v>
      </c>
      <c r="F76">
        <f t="shared" si="10"/>
        <v>0.4</v>
      </c>
      <c r="G76" s="65">
        <v>1</v>
      </c>
      <c r="H76" t="s">
        <v>4</v>
      </c>
      <c r="I76" t="s">
        <v>118</v>
      </c>
      <c r="J76">
        <v>1.3</v>
      </c>
      <c r="K76" t="s">
        <v>3</v>
      </c>
      <c r="L76" t="s">
        <v>14</v>
      </c>
      <c r="M76">
        <f t="shared" si="11"/>
        <v>1.3014494288844602</v>
      </c>
      <c r="N76">
        <f t="shared" si="12"/>
        <v>2.1008440911075459E-6</v>
      </c>
      <c r="O76" s="67" cm="1">
        <f t="array" ref="O76">SUMPRODUCT((G76=$G$7:$G$10000)*(M76&lt;$M$7:$M$10000))+1</f>
        <v>73</v>
      </c>
      <c r="P76" s="72"/>
      <c r="Q76">
        <v>4</v>
      </c>
      <c r="R76" t="str">
        <v>ARC</v>
      </c>
      <c r="S76" t="str">
        <v>Jake Turnbull</v>
      </c>
      <c r="T76" t="str">
        <v>NULL</v>
      </c>
      <c r="U76" t="str">
        <v>Away</v>
      </c>
      <c r="V76" t="str">
        <v>OGDC</v>
      </c>
      <c r="W76">
        <v>2.8830471245417009</v>
      </c>
      <c r="X76" t="str">
        <v>Malembe Mpofu</v>
      </c>
      <c r="Y76" s="1" cm="1">
        <f t="array" ref="Y76">COUNT(_xlfn._xlws.FILTER($G$7:$G$10000,($I$7:$I$10000=X76)*($J$7:$J$10000&lt;&gt;"NULL")*($G$7:$G$10000 &gt;= ($G$1-5))))/5</f>
        <v>0.2</v>
      </c>
    </row>
    <row r="77" spans="1:25" x14ac:dyDescent="0.35">
      <c r="A77" t="s">
        <v>436</v>
      </c>
      <c r="B77" s="1">
        <v>-2.9134189734608742</v>
      </c>
      <c r="C77" s="1">
        <f t="shared" si="7"/>
        <v>58</v>
      </c>
      <c r="D77" s="1">
        <f t="shared" si="8"/>
        <v>18.834369609222268</v>
      </c>
      <c r="E77" s="1">
        <f t="shared" si="9"/>
        <v>58</v>
      </c>
      <c r="F77">
        <f t="shared" si="10"/>
        <v>0.4</v>
      </c>
      <c r="G77" s="65">
        <v>1</v>
      </c>
      <c r="H77" t="s">
        <v>7</v>
      </c>
      <c r="I77" t="s">
        <v>277</v>
      </c>
      <c r="J77">
        <v>1.3</v>
      </c>
      <c r="K77" t="s">
        <v>9</v>
      </c>
      <c r="L77" t="s">
        <v>24</v>
      </c>
      <c r="M77">
        <f t="shared" si="11"/>
        <v>2.8567071355671283</v>
      </c>
      <c r="N77">
        <f t="shared" si="12"/>
        <v>2.4233371059256132</v>
      </c>
      <c r="O77" s="67" cm="1">
        <f t="array" ref="O77">SUMPRODUCT((G77=$G$7:$G$10000)*(M77&lt;$M$7:$M$10000))+1</f>
        <v>58</v>
      </c>
      <c r="P77" s="72"/>
      <c r="Q77">
        <v>4</v>
      </c>
      <c r="R77" t="str">
        <v>SEA</v>
      </c>
      <c r="S77" t="str">
        <v>Rhyno Herbst</v>
      </c>
      <c r="T77" t="str">
        <v>NULL</v>
      </c>
      <c r="U77" t="str">
        <v>Home</v>
      </c>
      <c r="V77" t="str">
        <v>NEFJ</v>
      </c>
      <c r="W77">
        <v>2.7705788504705535</v>
      </c>
      <c r="X77" t="str">
        <v>Manuel Ardao</v>
      </c>
      <c r="Y77" s="1" cm="1">
        <f t="array" ref="Y77">COUNT(_xlfn._xlws.FILTER($G$7:$G$10000,($I$7:$I$10000=X77)*($J$7:$J$10000&lt;&gt;"NULL")*($G$7:$G$10000 &gt;= ($G$1-5))))/5</f>
        <v>0.6</v>
      </c>
    </row>
    <row r="78" spans="1:25" x14ac:dyDescent="0.35">
      <c r="A78" t="s">
        <v>109</v>
      </c>
      <c r="B78" s="1">
        <v>-2.9313018221036939</v>
      </c>
      <c r="C78" s="1">
        <f t="shared" si="7"/>
        <v>59</v>
      </c>
      <c r="D78" s="1">
        <f t="shared" si="8"/>
        <v>18.000134560627213</v>
      </c>
      <c r="E78" s="1">
        <f t="shared" si="9"/>
        <v>62</v>
      </c>
      <c r="F78">
        <f t="shared" si="10"/>
        <v>0.2</v>
      </c>
      <c r="G78" s="65">
        <v>1</v>
      </c>
      <c r="H78" t="s">
        <v>6</v>
      </c>
      <c r="I78" t="s">
        <v>116</v>
      </c>
      <c r="J78">
        <v>0.8</v>
      </c>
      <c r="K78" t="s">
        <v>3</v>
      </c>
      <c r="L78" t="s">
        <v>23</v>
      </c>
      <c r="M78">
        <f t="shared" si="11"/>
        <v>0.3608168128934004</v>
      </c>
      <c r="N78">
        <f t="shared" si="12"/>
        <v>0.1928818718371105</v>
      </c>
      <c r="O78" s="67" cm="1">
        <f t="array" ref="O78">SUMPRODUCT((G78=$G$7:$G$10000)*(M78&lt;$M$7:$M$10000))+1</f>
        <v>77</v>
      </c>
      <c r="P78" s="72"/>
      <c r="Q78">
        <v>4</v>
      </c>
      <c r="R78" t="str">
        <v>SDL</v>
      </c>
      <c r="S78" t="str">
        <v>Hugh Roach</v>
      </c>
      <c r="T78" t="str">
        <v>NULL</v>
      </c>
      <c r="U78" t="str">
        <v>Home</v>
      </c>
      <c r="V78" t="str">
        <v>LA</v>
      </c>
      <c r="W78">
        <v>2.6062234175833741</v>
      </c>
      <c r="X78" t="str">
        <v>Marno Redelinghuys</v>
      </c>
      <c r="Y78" s="1" cm="1">
        <f t="array" ref="Y78">COUNT(_xlfn._xlws.FILTER($G$7:$G$10000,($I$7:$I$10000=X78)*($J$7:$J$10000&lt;&gt;"NULL")*($G$7:$G$10000 &gt;= ($G$1-5))))/5</f>
        <v>0.6</v>
      </c>
    </row>
    <row r="79" spans="1:25" x14ac:dyDescent="0.35">
      <c r="A79" t="s">
        <v>107</v>
      </c>
      <c r="B79" s="1">
        <v>-2.958472459241321</v>
      </c>
      <c r="C79" s="1">
        <f t="shared" si="7"/>
        <v>60</v>
      </c>
      <c r="D79" s="1">
        <f t="shared" si="8"/>
        <v>19.080031185311736</v>
      </c>
      <c r="E79" s="1">
        <f t="shared" si="9"/>
        <v>56</v>
      </c>
      <c r="F79">
        <f t="shared" si="10"/>
        <v>0.6</v>
      </c>
      <c r="G79" s="65">
        <v>1</v>
      </c>
      <c r="H79" t="s">
        <v>4</v>
      </c>
      <c r="I79" t="s">
        <v>176</v>
      </c>
      <c r="J79">
        <v>0.6</v>
      </c>
      <c r="K79" t="s">
        <v>3</v>
      </c>
      <c r="L79" t="s">
        <v>14</v>
      </c>
      <c r="M79">
        <f t="shared" si="11"/>
        <v>2.0869707508285376</v>
      </c>
      <c r="N79">
        <f t="shared" si="12"/>
        <v>2.2110820138195844</v>
      </c>
      <c r="O79" s="67" cm="1">
        <f t="array" ref="O79">SUMPRODUCT((G79=$G$7:$G$10000)*(M79&lt;$M$7:$M$10000))+1</f>
        <v>66</v>
      </c>
      <c r="P79" s="72"/>
      <c r="Q79">
        <v>4</v>
      </c>
      <c r="R79" t="str">
        <v>SEA</v>
      </c>
      <c r="S79" t="str">
        <v>Siaosi Mahoni</v>
      </c>
      <c r="T79" t="str">
        <v>NULL</v>
      </c>
      <c r="U79" t="str">
        <v>Home</v>
      </c>
      <c r="V79" t="str">
        <v>NEFJ</v>
      </c>
      <c r="W79">
        <v>2.4998172384372741</v>
      </c>
      <c r="X79" t="str">
        <v>Marques Fuala'au</v>
      </c>
      <c r="Y79" s="1" cm="1">
        <f t="array" ref="Y79">COUNT(_xlfn._xlws.FILTER($G$7:$G$10000,($I$7:$I$10000=X79)*($J$7:$J$10000&lt;&gt;"NULL")*($G$7:$G$10000 &gt;= ($G$1-5))))/5</f>
        <v>0.6</v>
      </c>
    </row>
    <row r="80" spans="1:25" x14ac:dyDescent="0.35">
      <c r="A80" t="s">
        <v>469</v>
      </c>
      <c r="B80" s="1">
        <v>-2.9897488958951515</v>
      </c>
      <c r="C80" s="1">
        <f t="shared" si="7"/>
        <v>61</v>
      </c>
      <c r="D80" s="1">
        <f t="shared" si="8"/>
        <v>17.928683622246488</v>
      </c>
      <c r="E80" s="1">
        <f t="shared" si="9"/>
        <v>64</v>
      </c>
      <c r="F80">
        <f t="shared" si="10"/>
        <v>0.4</v>
      </c>
      <c r="G80" s="65">
        <v>1</v>
      </c>
      <c r="H80" t="s">
        <v>24</v>
      </c>
      <c r="I80" t="s">
        <v>215</v>
      </c>
      <c r="J80">
        <v>-0.3</v>
      </c>
      <c r="K80" t="s">
        <v>3</v>
      </c>
      <c r="L80" t="s">
        <v>7</v>
      </c>
      <c r="M80">
        <f t="shared" si="11"/>
        <v>9.1690982782359889</v>
      </c>
      <c r="N80">
        <f t="shared" si="12"/>
        <v>89.66382220289178</v>
      </c>
      <c r="O80" s="67" cm="1">
        <f t="array" ref="O80">SUMPRODUCT((G80=$G$7:$G$10000)*(M80&lt;$M$7:$M$10000))+1</f>
        <v>12</v>
      </c>
      <c r="P80" s="72"/>
      <c r="Q80">
        <v>4</v>
      </c>
      <c r="R80" t="str">
        <v>MIA</v>
      </c>
      <c r="S80" t="str">
        <v>Sean McNulty</v>
      </c>
      <c r="T80" t="str">
        <v>NULL</v>
      </c>
      <c r="U80" t="str">
        <v>Home</v>
      </c>
      <c r="V80" t="str">
        <v>CHI</v>
      </c>
      <c r="W80">
        <v>2.3134208298107524</v>
      </c>
      <c r="X80" t="str">
        <v>Mason Flesch</v>
      </c>
      <c r="Y80" s="1" cm="1">
        <f t="array" ref="Y80">COUNT(_xlfn._xlws.FILTER($G$7:$G$10000,($I$7:$I$10000=X80)*($J$7:$J$10000&lt;&gt;"NULL")*($G$7:$G$10000 &gt;= ($G$1-5))))/5</f>
        <v>0.6</v>
      </c>
    </row>
    <row r="81" spans="1:25" x14ac:dyDescent="0.35">
      <c r="A81" t="s">
        <v>471</v>
      </c>
      <c r="B81" s="1">
        <v>-3.0165422938294912</v>
      </c>
      <c r="C81" s="1">
        <f t="shared" si="7"/>
        <v>62</v>
      </c>
      <c r="D81" s="1">
        <f t="shared" si="8"/>
        <v>18.847751846959056</v>
      </c>
      <c r="E81" s="1">
        <f t="shared" si="9"/>
        <v>57</v>
      </c>
      <c r="F81" t="e">
        <f t="shared" si="10"/>
        <v>#N/A</v>
      </c>
      <c r="G81" s="65">
        <v>1</v>
      </c>
      <c r="H81" t="s">
        <v>14</v>
      </c>
      <c r="I81" t="s">
        <v>181</v>
      </c>
      <c r="J81">
        <v>-1.7</v>
      </c>
      <c r="K81" t="s">
        <v>9</v>
      </c>
      <c r="L81" t="s">
        <v>4</v>
      </c>
      <c r="M81">
        <f t="shared" si="11"/>
        <v>2.3332240616648479</v>
      </c>
      <c r="N81">
        <f t="shared" si="12"/>
        <v>16.266896331592292</v>
      </c>
      <c r="O81" s="67" cm="1">
        <f t="array" ref="O81">SUMPRODUCT((G81=$G$7:$G$10000)*(M81&lt;$M$7:$M$10000))+1</f>
        <v>62</v>
      </c>
      <c r="P81" s="72"/>
      <c r="Q81">
        <v>4</v>
      </c>
      <c r="R81" t="str">
        <v>SDL</v>
      </c>
      <c r="S81" t="str">
        <v>Brandon Harvey</v>
      </c>
      <c r="T81" t="str">
        <v>NULL</v>
      </c>
      <c r="U81" t="str">
        <v>Home</v>
      </c>
      <c r="V81" t="str">
        <v>LA</v>
      </c>
      <c r="W81">
        <v>2.2272163313625564</v>
      </c>
      <c r="X81" t="str">
        <v>Matt Harmon</v>
      </c>
      <c r="Y81" s="1" cm="1">
        <f t="array" ref="Y81">COUNT(_xlfn._xlws.FILTER($G$7:$G$10000,($I$7:$I$10000=X81)*($J$7:$J$10000&lt;&gt;"NULL")*($G$7:$G$10000 &gt;= ($G$1-5))))/5</f>
        <v>0.6</v>
      </c>
    </row>
    <row r="82" spans="1:25" x14ac:dyDescent="0.35">
      <c r="A82" t="s">
        <v>205</v>
      </c>
      <c r="B82" s="1">
        <v>-3.0833294481277269</v>
      </c>
      <c r="C82" s="1">
        <f t="shared" si="7"/>
        <v>63</v>
      </c>
      <c r="D82" s="1">
        <f t="shared" si="8"/>
        <v>18.511915681156978</v>
      </c>
      <c r="E82" s="1">
        <f t="shared" si="9"/>
        <v>61</v>
      </c>
      <c r="F82">
        <f t="shared" si="10"/>
        <v>0.6</v>
      </c>
      <c r="G82" s="65">
        <v>1</v>
      </c>
      <c r="H82" t="s">
        <v>2</v>
      </c>
      <c r="I82" t="s">
        <v>426</v>
      </c>
      <c r="J82">
        <v>-2.2999999999999998</v>
      </c>
      <c r="K82" t="s">
        <v>9</v>
      </c>
      <c r="L82" t="s">
        <v>36</v>
      </c>
      <c r="M82">
        <f t="shared" si="11"/>
        <v>3.2395403676309771</v>
      </c>
      <c r="N82">
        <f t="shared" si="12"/>
        <v>30.686507484613138</v>
      </c>
      <c r="O82" s="67" cm="1">
        <f t="array" ref="O82">SUMPRODUCT((G82=$G$7:$G$10000)*(M82&lt;$M$7:$M$10000))+1</f>
        <v>54</v>
      </c>
      <c r="P82" s="72"/>
      <c r="Q82">
        <v>4</v>
      </c>
      <c r="R82" t="str">
        <v>ARC</v>
      </c>
      <c r="S82" t="str">
        <v>Shawn Clark</v>
      </c>
      <c r="T82" t="str">
        <v>NULL</v>
      </c>
      <c r="U82" t="str">
        <v>Away</v>
      </c>
      <c r="V82" t="str">
        <v>OGDC</v>
      </c>
      <c r="W82">
        <v>2.0834510752568489</v>
      </c>
      <c r="X82" t="str">
        <v>Matt Jenson</v>
      </c>
      <c r="Y82" s="1" cm="1">
        <f t="array" ref="Y82">COUNT(_xlfn._xlws.FILTER($G$7:$G$10000,($I$7:$I$10000=X82)*($J$7:$J$10000&lt;&gt;"NULL")*($G$7:$G$10000 &gt;= ($G$1-5))))/5</f>
        <v>0.4</v>
      </c>
    </row>
    <row r="83" spans="1:25" x14ac:dyDescent="0.35">
      <c r="A83" t="s">
        <v>177</v>
      </c>
      <c r="B83" s="1">
        <v>-3.1348234555758974</v>
      </c>
      <c r="C83" s="1">
        <f t="shared" si="7"/>
        <v>64</v>
      </c>
      <c r="D83" s="1">
        <f t="shared" si="8"/>
        <v>17.948751680762175</v>
      </c>
      <c r="E83" s="1">
        <f t="shared" si="9"/>
        <v>63</v>
      </c>
      <c r="F83">
        <f t="shared" si="10"/>
        <v>0.4</v>
      </c>
      <c r="G83" s="65">
        <v>1</v>
      </c>
      <c r="H83" t="s">
        <v>6</v>
      </c>
      <c r="I83" t="s">
        <v>418</v>
      </c>
      <c r="J83">
        <v>-2.8</v>
      </c>
      <c r="K83" t="s">
        <v>3</v>
      </c>
      <c r="L83" t="s">
        <v>23</v>
      </c>
      <c r="M83">
        <f t="shared" si="11"/>
        <v>-0.31454925385256605</v>
      </c>
      <c r="N83">
        <f t="shared" si="12"/>
        <v>6.1774654115248353</v>
      </c>
      <c r="O83" s="67" cm="1">
        <f t="array" ref="O83">SUMPRODUCT((G83=$G$7:$G$10000)*(M83&lt;$M$7:$M$10000))+1</f>
        <v>78</v>
      </c>
      <c r="P83" s="72"/>
      <c r="Q83">
        <v>4</v>
      </c>
      <c r="R83" t="str">
        <v>OGDC</v>
      </c>
      <c r="S83" t="str">
        <v>Facundo Gattas</v>
      </c>
      <c r="T83" t="str">
        <v>NULL</v>
      </c>
      <c r="U83" t="str">
        <v>Home</v>
      </c>
      <c r="V83" t="str">
        <v>ARC</v>
      </c>
      <c r="W83">
        <v>2.0685588713071223</v>
      </c>
      <c r="X83" t="str">
        <v>Mauro Rebussone</v>
      </c>
      <c r="Y83" s="1" cm="1">
        <f t="array" ref="Y83">COUNT(_xlfn._xlws.FILTER($G$7:$G$10000,($I$7:$I$10000=X83)*($J$7:$J$10000&lt;&gt;"NULL")*($G$7:$G$10000 &gt;= ($G$1-5))))/5</f>
        <v>0.6</v>
      </c>
    </row>
    <row r="84" spans="1:25" x14ac:dyDescent="0.35">
      <c r="A84" t="s">
        <v>483</v>
      </c>
      <c r="B84" s="1">
        <v>-3.1517086987275942</v>
      </c>
      <c r="C84" s="1">
        <f t="shared" ref="C84:C115" si="13">RANK($B84,$B$20:$B$212,0)</f>
        <v>65</v>
      </c>
      <c r="D84" s="1">
        <f t="shared" ref="D84:D115" si="14">SUMIF($I$934:$I$2300,$A84,$M$934:$M$2300)</f>
        <v>16.461731908644921</v>
      </c>
      <c r="E84" s="1">
        <f t="shared" ref="E84:E115" si="15">RANK($D84,$D$20:$D$212,0)</f>
        <v>67</v>
      </c>
      <c r="F84">
        <f t="shared" ref="F84:F115" si="16">VLOOKUP($A84,$X$7:$Y$108,2,FALSE)</f>
        <v>0.2</v>
      </c>
      <c r="G84" s="65">
        <v>1</v>
      </c>
      <c r="H84" t="s">
        <v>4</v>
      </c>
      <c r="I84" t="s">
        <v>335</v>
      </c>
      <c r="J84">
        <v>-3</v>
      </c>
      <c r="K84" t="s">
        <v>3</v>
      </c>
      <c r="L84" t="s">
        <v>14</v>
      </c>
      <c r="M84">
        <f t="shared" si="11"/>
        <v>0.98070334502091328</v>
      </c>
      <c r="N84">
        <f t="shared" si="12"/>
        <v>15.845999121060688</v>
      </c>
      <c r="O84" s="67" cm="1">
        <f t="array" ref="O84">SUMPRODUCT((G84=$G$7:$G$10000)*(M84&lt;$M$7:$M$10000))+1</f>
        <v>76</v>
      </c>
      <c r="P84" s="72"/>
      <c r="Q84">
        <v>4</v>
      </c>
      <c r="R84" t="str">
        <v>ARC</v>
      </c>
      <c r="S84" t="str">
        <v>Joe Apikotoa</v>
      </c>
      <c r="T84" t="str">
        <v>NULL</v>
      </c>
      <c r="U84" t="str">
        <v>Away</v>
      </c>
      <c r="V84" t="str">
        <v>OGDC</v>
      </c>
      <c r="W84">
        <v>2.0667077847926363</v>
      </c>
      <c r="X84" t="str">
        <v>Mikey Grandy</v>
      </c>
      <c r="Y84" s="1" cm="1">
        <f t="array" ref="Y84">COUNT(_xlfn._xlws.FILTER($G$7:$G$10000,($I$7:$I$10000=X84)*($J$7:$J$10000&lt;&gt;"NULL")*($G$7:$G$10000 &gt;= ($G$1-5))))/5</f>
        <v>0.4</v>
      </c>
    </row>
    <row r="85" spans="1:25" x14ac:dyDescent="0.35">
      <c r="A85" t="s">
        <v>168</v>
      </c>
      <c r="B85" s="1">
        <v>-3.1710637002326902</v>
      </c>
      <c r="C85" s="1">
        <f t="shared" si="13"/>
        <v>66</v>
      </c>
      <c r="D85" s="1">
        <f t="shared" si="14"/>
        <v>18.61852670728145</v>
      </c>
      <c r="E85" s="1">
        <f t="shared" si="15"/>
        <v>60</v>
      </c>
      <c r="F85">
        <f t="shared" si="16"/>
        <v>0.4</v>
      </c>
      <c r="G85" s="65">
        <v>1</v>
      </c>
      <c r="H85" t="s">
        <v>36</v>
      </c>
      <c r="I85" t="s">
        <v>106</v>
      </c>
      <c r="J85">
        <v>-3.1</v>
      </c>
      <c r="K85" t="s">
        <v>3</v>
      </c>
      <c r="L85" t="s">
        <v>2</v>
      </c>
      <c r="M85">
        <f t="shared" si="11"/>
        <v>-3.1145828466791654</v>
      </c>
      <c r="N85">
        <f t="shared" si="12"/>
        <v>2.1265941726804292E-4</v>
      </c>
      <c r="O85" s="67" cm="1">
        <f t="array" ref="O85">SUMPRODUCT((G85=$G$7:$G$10000)*(M85&lt;$M$7:$M$10000))+1</f>
        <v>79</v>
      </c>
      <c r="P85" s="72"/>
      <c r="Q85">
        <v>4</v>
      </c>
      <c r="R85" t="str">
        <v>OGDC</v>
      </c>
      <c r="S85" t="str">
        <v>Jack Iscaro</v>
      </c>
      <c r="T85" t="str">
        <v>NULL</v>
      </c>
      <c r="U85" t="str">
        <v>Home</v>
      </c>
      <c r="V85" t="str">
        <v>ARC</v>
      </c>
      <c r="W85">
        <v>2.0160418416238222</v>
      </c>
      <c r="X85" t="str">
        <v>Nathan Den Hoedt</v>
      </c>
      <c r="Y85" s="1" cm="1">
        <f t="array" ref="Y85">COUNT(_xlfn._xlws.FILTER($G$7:$G$10000,($I$7:$I$10000=X85)*($J$7:$J$10000&lt;&gt;"NULL")*($G$7:$G$10000 &gt;= ($G$1-5))))/5</f>
        <v>0.6</v>
      </c>
    </row>
    <row r="86" spans="1:25" x14ac:dyDescent="0.35">
      <c r="A86" t="s">
        <v>153</v>
      </c>
      <c r="B86" s="1">
        <v>-3.2352324489177087</v>
      </c>
      <c r="C86" s="1">
        <f t="shared" si="13"/>
        <v>67</v>
      </c>
      <c r="D86" s="1">
        <f t="shared" si="14"/>
        <v>17.547115707394934</v>
      </c>
      <c r="E86" s="1">
        <f t="shared" si="15"/>
        <v>65</v>
      </c>
      <c r="F86">
        <f t="shared" si="16"/>
        <v>0.6</v>
      </c>
      <c r="G86" s="65">
        <v>1</v>
      </c>
      <c r="H86" t="s">
        <v>24</v>
      </c>
      <c r="I86" t="s">
        <v>142</v>
      </c>
      <c r="J86">
        <v>-7.7</v>
      </c>
      <c r="K86" t="s">
        <v>3</v>
      </c>
      <c r="L86" t="s">
        <v>7</v>
      </c>
      <c r="M86">
        <f t="shared" si="11"/>
        <v>-7.6667343414631173</v>
      </c>
      <c r="N86">
        <f t="shared" si="12"/>
        <v>1.1066040378924903E-3</v>
      </c>
      <c r="O86" s="67" cm="1">
        <f t="array" ref="O86">SUMPRODUCT((G86=$G$7:$G$10000)*(M86&lt;$M$7:$M$10000))+1</f>
        <v>80</v>
      </c>
      <c r="P86" s="72"/>
      <c r="Q86">
        <v>4</v>
      </c>
      <c r="R86" t="str">
        <v>ARC</v>
      </c>
      <c r="S86" t="str">
        <v>Albert O'Shannessey</v>
      </c>
      <c r="T86" t="str">
        <v>NULL</v>
      </c>
      <c r="U86" t="str">
        <v>Away</v>
      </c>
      <c r="V86" t="str">
        <v>OGDC</v>
      </c>
      <c r="W86">
        <v>1.9388367986673964</v>
      </c>
      <c r="X86" t="str">
        <v>OJ Noa</v>
      </c>
      <c r="Y86" s="1" cm="1">
        <f t="array" ref="Y86">COUNT(_xlfn._xlws.FILTER($G$7:$G$10000,($I$7:$I$10000=X86)*($J$7:$J$10000&lt;&gt;"NULL")*($G$7:$G$10000 &gt;= ($G$1-5))))/5</f>
        <v>0.4</v>
      </c>
    </row>
    <row r="87" spans="1:25" x14ac:dyDescent="0.35">
      <c r="A87" t="s">
        <v>112</v>
      </c>
      <c r="B87" s="1">
        <v>-3.6484985271981678</v>
      </c>
      <c r="C87" s="1">
        <f t="shared" si="13"/>
        <v>68</v>
      </c>
      <c r="D87" s="1">
        <f t="shared" si="14"/>
        <v>15.686070285804774</v>
      </c>
      <c r="E87" s="1">
        <f t="shared" si="15"/>
        <v>70</v>
      </c>
      <c r="F87">
        <f t="shared" si="16"/>
        <v>0.4</v>
      </c>
      <c r="G87" s="65">
        <v>2</v>
      </c>
      <c r="H87" t="s">
        <v>24</v>
      </c>
      <c r="I87" t="s">
        <v>215</v>
      </c>
      <c r="J87">
        <v>18.2</v>
      </c>
      <c r="K87" t="s">
        <v>3</v>
      </c>
      <c r="L87" t="s">
        <v>4</v>
      </c>
      <c r="M87">
        <f t="shared" si="11"/>
        <v>9.4356145551082005</v>
      </c>
      <c r="N87">
        <f t="shared" si="12"/>
        <v>76.814452226631218</v>
      </c>
      <c r="O87" s="67" cm="1">
        <f t="array" ref="O87">SUMPRODUCT((G87=$G$7:$G$10000)*(M87&lt;$M$7:$M$10000))+1</f>
        <v>12</v>
      </c>
      <c r="P87" s="72"/>
      <c r="Q87">
        <v>4</v>
      </c>
      <c r="R87" t="str">
        <v>CHI</v>
      </c>
      <c r="S87" t="str">
        <v>Charlie Abel</v>
      </c>
      <c r="T87" t="str">
        <v>NULL</v>
      </c>
      <c r="U87" t="str">
        <v>Away</v>
      </c>
      <c r="V87" t="str">
        <v>MIA</v>
      </c>
      <c r="W87">
        <v>1.7072242365226371</v>
      </c>
      <c r="X87" t="str">
        <v>Paddy Ryan</v>
      </c>
      <c r="Y87" s="1" cm="1">
        <f t="array" ref="Y87">COUNT(_xlfn._xlws.FILTER($G$7:$G$10000,($I$7:$I$10000=X87)*($J$7:$J$10000&lt;&gt;"NULL")*($G$7:$G$10000 &gt;= ($G$1-5))))/5</f>
        <v>0.6</v>
      </c>
    </row>
    <row r="88" spans="1:25" x14ac:dyDescent="0.35">
      <c r="A88" t="s">
        <v>210</v>
      </c>
      <c r="B88" s="1">
        <v>-3.6751977338080764</v>
      </c>
      <c r="C88" s="1">
        <f t="shared" si="13"/>
        <v>69</v>
      </c>
      <c r="D88" s="1">
        <f t="shared" si="14"/>
        <v>15.186888270594793</v>
      </c>
      <c r="E88" s="1">
        <f t="shared" si="15"/>
        <v>72</v>
      </c>
      <c r="F88">
        <f t="shared" si="16"/>
        <v>0.4</v>
      </c>
      <c r="G88" s="65">
        <v>2</v>
      </c>
      <c r="H88" t="s">
        <v>4</v>
      </c>
      <c r="I88" t="s">
        <v>209</v>
      </c>
      <c r="J88">
        <v>18.100000000000001</v>
      </c>
      <c r="K88" t="s">
        <v>9</v>
      </c>
      <c r="L88" t="s">
        <v>24</v>
      </c>
      <c r="M88">
        <f t="shared" si="11"/>
        <v>11.281687763966534</v>
      </c>
      <c r="N88">
        <f t="shared" si="12"/>
        <v>46.489381748043698</v>
      </c>
      <c r="O88" s="67" cm="1">
        <f t="array" ref="O88">SUMPRODUCT((G88=$G$7:$G$10000)*(M88&lt;$M$7:$M$10000))+1</f>
        <v>6</v>
      </c>
      <c r="P88" s="72"/>
      <c r="Q88">
        <v>4</v>
      </c>
      <c r="R88" t="str">
        <v>OGDC</v>
      </c>
      <c r="S88" t="str">
        <v>Lautaro Bavaro</v>
      </c>
      <c r="T88" t="str">
        <v>NULL</v>
      </c>
      <c r="U88" t="str">
        <v>Home</v>
      </c>
      <c r="V88" t="str">
        <v>ARC</v>
      </c>
      <c r="W88">
        <v>1.6999102257607666</v>
      </c>
      <c r="X88" t="str">
        <v>Pat O'Toole</v>
      </c>
      <c r="Y88" s="1" cm="1">
        <f t="array" ref="Y88">COUNT(_xlfn._xlws.FILTER($G$7:$G$10000,($I$7:$I$10000=X88)*($J$7:$J$10000&lt;&gt;"NULL")*($G$7:$G$10000 &gt;= ($G$1-5))))/5</f>
        <v>0.4</v>
      </c>
    </row>
    <row r="89" spans="1:25" x14ac:dyDescent="0.35">
      <c r="A89" t="s">
        <v>143</v>
      </c>
      <c r="B89" s="1">
        <v>-3.7651281405064974</v>
      </c>
      <c r="C89" s="1">
        <f t="shared" si="13"/>
        <v>70</v>
      </c>
      <c r="D89" s="1">
        <f t="shared" si="14"/>
        <v>15.85340846025103</v>
      </c>
      <c r="E89" s="1">
        <f t="shared" si="15"/>
        <v>69</v>
      </c>
      <c r="F89">
        <f t="shared" si="16"/>
        <v>0.2</v>
      </c>
      <c r="G89" s="65">
        <v>2</v>
      </c>
      <c r="H89" t="s">
        <v>36</v>
      </c>
      <c r="I89" t="s">
        <v>225</v>
      </c>
      <c r="J89">
        <v>17.2</v>
      </c>
      <c r="K89" t="s">
        <v>9</v>
      </c>
      <c r="L89" t="s">
        <v>6</v>
      </c>
      <c r="M89">
        <f t="shared" si="11"/>
        <v>11.520170292075047</v>
      </c>
      <c r="N89">
        <f t="shared" si="12"/>
        <v>32.260465511026851</v>
      </c>
      <c r="O89" s="67" cm="1">
        <f t="array" ref="O89">SUMPRODUCT((G89=$G$7:$G$10000)*(M89&lt;$M$7:$M$10000))+1</f>
        <v>5</v>
      </c>
      <c r="P89" s="72"/>
      <c r="Q89">
        <v>4</v>
      </c>
      <c r="R89" t="str">
        <v>OGDC</v>
      </c>
      <c r="S89" t="str">
        <v>Rob Harley</v>
      </c>
      <c r="T89" t="str">
        <v>NULL</v>
      </c>
      <c r="U89" t="str">
        <v>Home</v>
      </c>
      <c r="V89" t="str">
        <v>ARC</v>
      </c>
      <c r="W89">
        <v>1.541802551687077</v>
      </c>
      <c r="X89" t="str">
        <v>Paul Mullen</v>
      </c>
      <c r="Y89" s="1" cm="1">
        <f t="array" ref="Y89">COUNT(_xlfn._xlws.FILTER($G$7:$G$10000,($I$7:$I$10000=X89)*($J$7:$J$10000&lt;&gt;"NULL")*($G$7:$G$10000 &gt;= ($G$1-5))))/5</f>
        <v>0.6</v>
      </c>
    </row>
    <row r="90" spans="1:25" x14ac:dyDescent="0.35">
      <c r="A90" t="s">
        <v>417</v>
      </c>
      <c r="B90" s="1">
        <v>-3.8282505916095451</v>
      </c>
      <c r="C90" s="1">
        <f t="shared" si="13"/>
        <v>71</v>
      </c>
      <c r="D90" s="1">
        <f t="shared" si="14"/>
        <v>19.603057992586272</v>
      </c>
      <c r="E90" s="1">
        <f t="shared" si="15"/>
        <v>54</v>
      </c>
      <c r="F90">
        <f t="shared" si="16"/>
        <v>0.4</v>
      </c>
      <c r="G90" s="65">
        <v>2</v>
      </c>
      <c r="H90" t="s">
        <v>34</v>
      </c>
      <c r="I90" t="s">
        <v>228</v>
      </c>
      <c r="J90">
        <v>13.5</v>
      </c>
      <c r="K90" t="s">
        <v>9</v>
      </c>
      <c r="L90" t="s">
        <v>14</v>
      </c>
      <c r="M90">
        <f t="shared" si="11"/>
        <v>13.480450616605008</v>
      </c>
      <c r="N90">
        <f t="shared" si="12"/>
        <v>3.8217839112438082E-4</v>
      </c>
      <c r="O90" s="67" cm="1">
        <f t="array" ref="O90">SUMPRODUCT((G90=$G$7:$G$10000)*(M90&lt;$M$7:$M$10000))+1</f>
        <v>1</v>
      </c>
      <c r="P90" s="72"/>
      <c r="Q90">
        <v>4</v>
      </c>
      <c r="R90" t="str">
        <v>SEA</v>
      </c>
      <c r="S90" t="str">
        <v>Taylor Krumrei</v>
      </c>
      <c r="T90" t="str">
        <v>NULL</v>
      </c>
      <c r="U90" t="str">
        <v>Home</v>
      </c>
      <c r="V90" t="str">
        <v>NEFJ</v>
      </c>
      <c r="W90">
        <v>1.5370822907783657</v>
      </c>
      <c r="X90" t="str">
        <v>Payton Telea-Ilalio</v>
      </c>
      <c r="Y90" s="1" cm="1">
        <f t="array" ref="Y90">COUNT(_xlfn._xlws.FILTER($G$7:$G$10000,($I$7:$I$10000=X90)*($J$7:$J$10000&lt;&gt;"NULL")*($G$7:$G$10000 &gt;= ($G$1-5))))/5</f>
        <v>0.4</v>
      </c>
    </row>
    <row r="91" spans="1:25" x14ac:dyDescent="0.35">
      <c r="A91" t="s">
        <v>117</v>
      </c>
      <c r="B91" s="1">
        <v>-3.9792848562567826</v>
      </c>
      <c r="C91" s="1">
        <f t="shared" si="13"/>
        <v>72</v>
      </c>
      <c r="D91" s="1">
        <f t="shared" si="14"/>
        <v>14.0321386405117</v>
      </c>
      <c r="E91" s="1">
        <f t="shared" si="15"/>
        <v>76</v>
      </c>
      <c r="F91">
        <f t="shared" si="16"/>
        <v>0.6</v>
      </c>
      <c r="G91" s="65">
        <v>2</v>
      </c>
      <c r="H91" t="s">
        <v>34</v>
      </c>
      <c r="I91" t="s">
        <v>462</v>
      </c>
      <c r="J91">
        <v>13.1</v>
      </c>
      <c r="K91" t="s">
        <v>9</v>
      </c>
      <c r="L91" t="s">
        <v>14</v>
      </c>
      <c r="M91">
        <f t="shared" si="11"/>
        <v>13.122818244389467</v>
      </c>
      <c r="N91">
        <f t="shared" si="12"/>
        <v>5.2067227701747777E-4</v>
      </c>
      <c r="O91" s="67" cm="1">
        <f t="array" ref="O91">SUMPRODUCT((G91=$G$7:$G$10000)*(M91&lt;$M$7:$M$10000))+1</f>
        <v>2</v>
      </c>
      <c r="P91" s="72"/>
      <c r="Q91">
        <v>4</v>
      </c>
      <c r="R91" t="str">
        <v>HOU</v>
      </c>
      <c r="S91" t="str">
        <v>Emmanuel Albert</v>
      </c>
      <c r="T91" t="str">
        <v>NULL</v>
      </c>
      <c r="U91" t="str">
        <v>Away</v>
      </c>
      <c r="V91" t="str">
        <v>UTAH</v>
      </c>
      <c r="W91">
        <v>1.3452574244954252</v>
      </c>
      <c r="X91" t="str">
        <v>Piers von Dadelszen</v>
      </c>
      <c r="Y91" s="1" cm="1">
        <f t="array" ref="Y91">COUNT(_xlfn._xlws.FILTER($G$7:$G$10000,($I$7:$I$10000=X91)*($J$7:$J$10000&lt;&gt;"NULL")*($G$7:$G$10000 &gt;= ($G$1-5))))/5</f>
        <v>0.4</v>
      </c>
    </row>
    <row r="92" spans="1:25" x14ac:dyDescent="0.35">
      <c r="A92" t="s">
        <v>176</v>
      </c>
      <c r="B92" s="1">
        <v>-4.0276233600400086</v>
      </c>
      <c r="C92" s="1">
        <f t="shared" si="13"/>
        <v>73</v>
      </c>
      <c r="D92" s="1">
        <f t="shared" si="14"/>
        <v>13.614848408881956</v>
      </c>
      <c r="E92" s="1">
        <f t="shared" si="15"/>
        <v>77</v>
      </c>
      <c r="F92">
        <f t="shared" si="16"/>
        <v>0.6</v>
      </c>
      <c r="G92" s="65">
        <v>2</v>
      </c>
      <c r="H92" t="s">
        <v>2</v>
      </c>
      <c r="I92" t="s">
        <v>212</v>
      </c>
      <c r="J92">
        <v>12.7</v>
      </c>
      <c r="K92" t="s">
        <v>3</v>
      </c>
      <c r="L92" t="s">
        <v>13</v>
      </c>
      <c r="M92">
        <f t="shared" si="11"/>
        <v>7.0130734311494898</v>
      </c>
      <c r="N92">
        <f t="shared" si="12"/>
        <v>32.341133799497825</v>
      </c>
      <c r="O92" s="67" cm="1">
        <f t="array" ref="O92">SUMPRODUCT((G92=$G$7:$G$10000)*(M92&lt;$M$7:$M$10000))+1</f>
        <v>21</v>
      </c>
      <c r="P92" s="72"/>
      <c r="Q92">
        <v>4</v>
      </c>
      <c r="R92" t="str">
        <v>OGDC</v>
      </c>
      <c r="S92" t="str">
        <v>Cali Martinez</v>
      </c>
      <c r="T92" t="str">
        <v>NULL</v>
      </c>
      <c r="U92" t="str">
        <v>Home</v>
      </c>
      <c r="V92" t="str">
        <v>ARC</v>
      </c>
      <c r="W92">
        <v>1.3418621413810934</v>
      </c>
      <c r="X92" t="str">
        <v>Pita Anae-Ah Sue</v>
      </c>
      <c r="Y92" s="1" cm="1">
        <f t="array" ref="Y92">COUNT(_xlfn._xlws.FILTER($G$7:$G$10000,($I$7:$I$10000=X92)*($J$7:$J$10000&lt;&gt;"NULL")*($G$7:$G$10000 &gt;= ($G$1-5))))/5</f>
        <v>0.4</v>
      </c>
    </row>
    <row r="93" spans="1:25" x14ac:dyDescent="0.35">
      <c r="A93" t="s">
        <v>158</v>
      </c>
      <c r="B93" s="1">
        <v>-4.0460352395614239</v>
      </c>
      <c r="C93" s="1">
        <f t="shared" si="13"/>
        <v>74</v>
      </c>
      <c r="D93" s="1">
        <f t="shared" si="14"/>
        <v>7.1479940024448352</v>
      </c>
      <c r="E93" s="1">
        <f t="shared" si="15"/>
        <v>98</v>
      </c>
      <c r="F93">
        <f t="shared" si="16"/>
        <v>0.4</v>
      </c>
      <c r="G93" s="65">
        <v>2</v>
      </c>
      <c r="H93" t="s">
        <v>34</v>
      </c>
      <c r="I93" t="s">
        <v>200</v>
      </c>
      <c r="J93">
        <v>11.7</v>
      </c>
      <c r="K93" t="s">
        <v>9</v>
      </c>
      <c r="L93" t="s">
        <v>14</v>
      </c>
      <c r="M93">
        <f t="shared" si="11"/>
        <v>11.261114550971506</v>
      </c>
      <c r="N93">
        <f t="shared" si="12"/>
        <v>0.19262043736894233</v>
      </c>
      <c r="O93" s="67" cm="1">
        <f t="array" ref="O93">SUMPRODUCT((G93=$G$7:$G$10000)*(M93&lt;$M$7:$M$10000))+1</f>
        <v>7</v>
      </c>
      <c r="P93" s="72"/>
      <c r="Q93">
        <v>4</v>
      </c>
      <c r="R93" t="str">
        <v>UTAH</v>
      </c>
      <c r="S93" t="str">
        <v>Tonga Kofe</v>
      </c>
      <c r="T93" t="str">
        <v>NULL</v>
      </c>
      <c r="U93" t="str">
        <v>Home</v>
      </c>
      <c r="V93" t="str">
        <v>HOU</v>
      </c>
      <c r="W93">
        <v>0.95506744572161928</v>
      </c>
      <c r="X93" t="str">
        <v>Pono Davis</v>
      </c>
      <c r="Y93" s="1" cm="1">
        <f t="array" ref="Y93">COUNT(_xlfn._xlws.FILTER($G$7:$G$10000,($I$7:$I$10000=X93)*($J$7:$J$10000&lt;&gt;"NULL")*($G$7:$G$10000 &gt;= ($G$1-5))))/5</f>
        <v>0.6</v>
      </c>
    </row>
    <row r="94" spans="1:25" x14ac:dyDescent="0.35">
      <c r="A94" t="s">
        <v>163</v>
      </c>
      <c r="B94" s="1">
        <v>-4.098552269244724</v>
      </c>
      <c r="C94" s="1">
        <f t="shared" si="13"/>
        <v>75</v>
      </c>
      <c r="D94" s="1">
        <f t="shared" si="14"/>
        <v>6.9379258837116353</v>
      </c>
      <c r="E94" s="1">
        <f t="shared" si="15"/>
        <v>100</v>
      </c>
      <c r="F94">
        <f t="shared" si="16"/>
        <v>0.4</v>
      </c>
      <c r="G94" s="65">
        <v>2</v>
      </c>
      <c r="H94" t="s">
        <v>2</v>
      </c>
      <c r="I94" t="s">
        <v>156</v>
      </c>
      <c r="J94">
        <v>10.7</v>
      </c>
      <c r="K94" t="s">
        <v>3</v>
      </c>
      <c r="L94" t="s">
        <v>13</v>
      </c>
      <c r="M94">
        <f t="shared" si="11"/>
        <v>6.6129157547956634</v>
      </c>
      <c r="N94">
        <f t="shared" si="12"/>
        <v>16.704257627397496</v>
      </c>
      <c r="O94" s="67" cm="1">
        <f t="array" ref="O94">SUMPRODUCT((G94=$G$7:$G$10000)*(M94&lt;$M$7:$M$10000))+1</f>
        <v>24</v>
      </c>
      <c r="P94" s="72"/>
      <c r="Q94">
        <v>4</v>
      </c>
      <c r="R94" t="str">
        <v>OGDC</v>
      </c>
      <c r="S94" t="str">
        <v>Tevita Naqali</v>
      </c>
      <c r="T94" t="str">
        <v>NULL</v>
      </c>
      <c r="U94" t="str">
        <v>Home</v>
      </c>
      <c r="V94" t="str">
        <v>ARC</v>
      </c>
      <c r="W94">
        <v>0.91561696985103147</v>
      </c>
      <c r="X94" t="str">
        <v>Reegan O'Gorman</v>
      </c>
      <c r="Y94" s="1" cm="1">
        <f t="array" ref="Y94">COUNT(_xlfn._xlws.FILTER($G$7:$G$10000,($I$7:$I$10000=X94)*($J$7:$J$10000&lt;&gt;"NULL")*($G$7:$G$10000 &gt;= ($G$1-5))))/5</f>
        <v>0.4</v>
      </c>
    </row>
    <row r="95" spans="1:25" x14ac:dyDescent="0.35">
      <c r="A95" t="s">
        <v>426</v>
      </c>
      <c r="B95" s="1">
        <v>-4.1064016034795365</v>
      </c>
      <c r="C95" s="1">
        <f t="shared" si="13"/>
        <v>76</v>
      </c>
      <c r="D95" s="1">
        <f t="shared" si="14"/>
        <v>11.593708994633143</v>
      </c>
      <c r="E95" s="1">
        <f t="shared" si="15"/>
        <v>84</v>
      </c>
      <c r="F95">
        <f t="shared" si="16"/>
        <v>0.6</v>
      </c>
      <c r="G95" s="65">
        <v>2</v>
      </c>
      <c r="H95" t="s">
        <v>34</v>
      </c>
      <c r="I95" t="s">
        <v>351</v>
      </c>
      <c r="J95">
        <v>10.7</v>
      </c>
      <c r="K95" t="s">
        <v>9</v>
      </c>
      <c r="L95" t="s">
        <v>14</v>
      </c>
      <c r="M95">
        <f t="shared" si="11"/>
        <v>10.705337412304925</v>
      </c>
      <c r="N95">
        <f t="shared" si="12"/>
        <v>2.8487970112767336E-5</v>
      </c>
      <c r="O95" s="67" cm="1">
        <f t="array" ref="O95">SUMPRODUCT((G95=$G$7:$G$10000)*(M95&lt;$M$7:$M$10000))+1</f>
        <v>8</v>
      </c>
      <c r="P95" s="72"/>
      <c r="Q95">
        <v>4</v>
      </c>
      <c r="R95" t="str">
        <v>HOU</v>
      </c>
      <c r="S95" t="str">
        <v>Johan Momsen</v>
      </c>
      <c r="T95" t="str">
        <v>NULL</v>
      </c>
      <c r="U95" t="str">
        <v>Away</v>
      </c>
      <c r="V95" t="str">
        <v>UTAH</v>
      </c>
      <c r="W95">
        <v>0.78008834542498429</v>
      </c>
      <c r="X95" t="str">
        <v>Rhyno Herbst</v>
      </c>
      <c r="Y95" s="1" cm="1">
        <f t="array" ref="Y95">COUNT(_xlfn._xlws.FILTER($G$7:$G$10000,($I$7:$I$10000=X95)*($J$7:$J$10000&lt;&gt;"NULL")*($G$7:$G$10000 &gt;= ($G$1-5))))/5</f>
        <v>0.4</v>
      </c>
    </row>
    <row r="96" spans="1:25" x14ac:dyDescent="0.35">
      <c r="A96" t="s">
        <v>413</v>
      </c>
      <c r="B96" s="1">
        <v>-4.1138879804787551</v>
      </c>
      <c r="C96" s="1">
        <f t="shared" si="13"/>
        <v>77</v>
      </c>
      <c r="D96" s="1">
        <f t="shared" si="14"/>
        <v>14.458369100361999</v>
      </c>
      <c r="E96" s="1">
        <f t="shared" si="15"/>
        <v>73</v>
      </c>
      <c r="F96">
        <f t="shared" si="16"/>
        <v>0.2</v>
      </c>
      <c r="G96" s="65">
        <v>2</v>
      </c>
      <c r="H96" t="s">
        <v>6</v>
      </c>
      <c r="I96" t="s">
        <v>433</v>
      </c>
      <c r="J96">
        <v>10.4</v>
      </c>
      <c r="K96" t="s">
        <v>3</v>
      </c>
      <c r="L96" t="s">
        <v>36</v>
      </c>
      <c r="M96">
        <f t="shared" si="11"/>
        <v>7.709547056382462</v>
      </c>
      <c r="N96">
        <f t="shared" si="12"/>
        <v>7.238537041820277</v>
      </c>
      <c r="O96" s="67" cm="1">
        <f t="array" ref="O96">SUMPRODUCT((G96=$G$7:$G$10000)*(M96&lt;$M$7:$M$10000))+1</f>
        <v>16</v>
      </c>
      <c r="P96" s="72"/>
      <c r="Q96">
        <v>4</v>
      </c>
      <c r="R96" t="str">
        <v>SEA</v>
      </c>
      <c r="S96" t="str">
        <v>Juan Pablo Zeiss</v>
      </c>
      <c r="T96" t="str">
        <v>NULL</v>
      </c>
      <c r="U96" t="str">
        <v>Home</v>
      </c>
      <c r="V96" t="str">
        <v>NEFJ</v>
      </c>
      <c r="W96">
        <v>0.58099325110302047</v>
      </c>
      <c r="X96" t="str">
        <v>Rob Harley</v>
      </c>
      <c r="Y96" s="1" cm="1">
        <f t="array" ref="Y96">COUNT(_xlfn._xlws.FILTER($G$7:$G$10000,($I$7:$I$10000=X96)*($J$7:$J$10000&lt;&gt;"NULL")*($G$7:$G$10000 &gt;= ($G$1-5))))/5</f>
        <v>0.4</v>
      </c>
    </row>
    <row r="97" spans="1:25" x14ac:dyDescent="0.35">
      <c r="A97" t="s">
        <v>284</v>
      </c>
      <c r="B97" s="1">
        <v>-4.1144436463865022</v>
      </c>
      <c r="C97" s="1">
        <f t="shared" si="13"/>
        <v>78</v>
      </c>
      <c r="D97" s="1">
        <f t="shared" si="14"/>
        <v>12.610792118009289</v>
      </c>
      <c r="E97" s="1">
        <f t="shared" si="15"/>
        <v>80</v>
      </c>
      <c r="F97">
        <f t="shared" si="16"/>
        <v>0.2</v>
      </c>
      <c r="G97" s="65">
        <v>2</v>
      </c>
      <c r="H97" t="s">
        <v>13</v>
      </c>
      <c r="I97" t="s">
        <v>463</v>
      </c>
      <c r="J97">
        <v>10.3</v>
      </c>
      <c r="K97" t="s">
        <v>9</v>
      </c>
      <c r="L97" t="s">
        <v>2</v>
      </c>
      <c r="M97">
        <f t="shared" si="11"/>
        <v>10.388737886486016</v>
      </c>
      <c r="N97">
        <f t="shared" si="12"/>
        <v>7.8744124980049419E-3</v>
      </c>
      <c r="O97" s="67" cm="1">
        <f t="array" ref="O97">SUMPRODUCT((G97=$G$7:$G$10000)*(M97&lt;$M$7:$M$10000))+1</f>
        <v>9</v>
      </c>
      <c r="P97" s="72"/>
      <c r="Q97">
        <v>4</v>
      </c>
      <c r="R97" t="str">
        <v>HOU</v>
      </c>
      <c r="S97" t="str">
        <v>Nathan Den Hoedt</v>
      </c>
      <c r="T97" t="str">
        <v>NULL</v>
      </c>
      <c r="U97" t="str">
        <v>Away</v>
      </c>
      <c r="V97" t="str">
        <v>UTAH</v>
      </c>
      <c r="W97">
        <v>0.44930201636636991</v>
      </c>
      <c r="X97" t="str">
        <v>Ronan Murphy</v>
      </c>
      <c r="Y97" s="1" cm="1">
        <f t="array" ref="Y97">COUNT(_xlfn._xlws.FILTER($G$7:$G$10000,($I$7:$I$10000=X97)*($J$7:$J$10000&lt;&gt;"NULL")*($G$7:$G$10000 &gt;= ($G$1-5))))/5</f>
        <v>0.2</v>
      </c>
    </row>
    <row r="98" spans="1:25" x14ac:dyDescent="0.35">
      <c r="A98" t="s">
        <v>470</v>
      </c>
      <c r="B98" s="1">
        <v>-4.1301100653116434</v>
      </c>
      <c r="C98" s="1">
        <f t="shared" si="13"/>
        <v>79</v>
      </c>
      <c r="D98" s="1">
        <f t="shared" si="14"/>
        <v>14.393480761030444</v>
      </c>
      <c r="E98" s="1">
        <f t="shared" si="15"/>
        <v>74</v>
      </c>
      <c r="F98">
        <f t="shared" si="16"/>
        <v>0.4</v>
      </c>
      <c r="G98" s="65">
        <v>2</v>
      </c>
      <c r="H98" t="s">
        <v>24</v>
      </c>
      <c r="I98" t="s">
        <v>199</v>
      </c>
      <c r="J98">
        <v>10.1</v>
      </c>
      <c r="K98" t="s">
        <v>3</v>
      </c>
      <c r="L98" t="s">
        <v>4</v>
      </c>
      <c r="M98">
        <f t="shared" si="11"/>
        <v>10.150334910197982</v>
      </c>
      <c r="N98">
        <f t="shared" si="12"/>
        <v>2.5336031846389323E-3</v>
      </c>
      <c r="O98" s="67" cm="1">
        <f t="array" ref="O98">SUMPRODUCT((G98=$G$7:$G$10000)*(M98&lt;$M$7:$M$10000))+1</f>
        <v>10</v>
      </c>
      <c r="P98" s="72"/>
      <c r="Q98">
        <v>4</v>
      </c>
      <c r="R98" t="str">
        <v>HOU</v>
      </c>
      <c r="S98" t="str">
        <v>Marno Redelinghuys</v>
      </c>
      <c r="T98" t="str">
        <v>NULL</v>
      </c>
      <c r="U98" t="str">
        <v>Away</v>
      </c>
      <c r="V98" t="str">
        <v>UTAH</v>
      </c>
      <c r="W98">
        <v>0.22676020527263052</v>
      </c>
      <c r="X98" t="str">
        <v>Sam Caird</v>
      </c>
      <c r="Y98" s="1" cm="1">
        <f t="array" ref="Y98">COUNT(_xlfn._xlws.FILTER($G$7:$G$10000,($I$7:$I$10000=X98)*($J$7:$J$10000&lt;&gt;"NULL")*($G$7:$G$10000 &gt;= ($G$1-5))))/5</f>
        <v>0.4</v>
      </c>
    </row>
    <row r="99" spans="1:25" x14ac:dyDescent="0.35">
      <c r="A99" t="s">
        <v>164</v>
      </c>
      <c r="B99" s="1">
        <v>-4.1413601497847967</v>
      </c>
      <c r="C99" s="1">
        <f t="shared" si="13"/>
        <v>80</v>
      </c>
      <c r="D99" s="1">
        <f t="shared" si="14"/>
        <v>14.348480423137833</v>
      </c>
      <c r="E99" s="1">
        <f t="shared" si="15"/>
        <v>75</v>
      </c>
      <c r="F99">
        <f t="shared" si="16"/>
        <v>0.6</v>
      </c>
      <c r="G99" s="65">
        <v>2</v>
      </c>
      <c r="H99" t="s">
        <v>14</v>
      </c>
      <c r="I99" t="s">
        <v>203</v>
      </c>
      <c r="J99">
        <v>10</v>
      </c>
      <c r="K99" t="s">
        <v>3</v>
      </c>
      <c r="L99" t="s">
        <v>34</v>
      </c>
      <c r="M99">
        <f t="shared" si="11"/>
        <v>6.4231232258023248</v>
      </c>
      <c r="N99">
        <f t="shared" si="12"/>
        <v>12.794047457794766</v>
      </c>
      <c r="O99" s="67" cm="1">
        <f t="array" ref="O99">SUMPRODUCT((G99=$G$7:$G$10000)*(M99&lt;$M$7:$M$10000))+1</f>
        <v>26</v>
      </c>
      <c r="P99" s="72"/>
      <c r="Q99">
        <v>4</v>
      </c>
      <c r="R99" t="str">
        <v>SEA</v>
      </c>
      <c r="S99" t="str">
        <v>Malembe Mpofu</v>
      </c>
      <c r="T99" t="str">
        <v>NULL</v>
      </c>
      <c r="U99" t="str">
        <v>Home</v>
      </c>
      <c r="V99" t="str">
        <v>NEFJ</v>
      </c>
      <c r="W99">
        <v>-6.4060638741463727E-2</v>
      </c>
      <c r="X99" t="str">
        <v>Sam Golla</v>
      </c>
      <c r="Y99" s="1" cm="1">
        <f t="array" ref="Y99">COUNT(_xlfn._xlws.FILTER($G$7:$G$10000,($I$7:$I$10000=X99)*($J$7:$J$10000&lt;&gt;"NULL")*($G$7:$G$10000 &gt;= ($G$1-5))))/5</f>
        <v>0.6</v>
      </c>
    </row>
    <row r="100" spans="1:25" x14ac:dyDescent="0.35">
      <c r="A100" t="s">
        <v>216</v>
      </c>
      <c r="B100" s="1">
        <v>-4.201826667350522</v>
      </c>
      <c r="C100" s="1">
        <f t="shared" si="13"/>
        <v>81</v>
      </c>
      <c r="D100" s="1">
        <f t="shared" si="14"/>
        <v>12.919429585043002</v>
      </c>
      <c r="E100" s="1">
        <f t="shared" si="15"/>
        <v>79</v>
      </c>
      <c r="F100">
        <f t="shared" si="16"/>
        <v>0.6</v>
      </c>
      <c r="G100" s="65">
        <v>2</v>
      </c>
      <c r="H100" t="s">
        <v>6</v>
      </c>
      <c r="I100" t="s">
        <v>430</v>
      </c>
      <c r="J100">
        <v>9.4</v>
      </c>
      <c r="K100" t="s">
        <v>3</v>
      </c>
      <c r="L100" t="s">
        <v>36</v>
      </c>
      <c r="M100">
        <f t="shared" si="11"/>
        <v>10.056828451414288</v>
      </c>
      <c r="N100">
        <f t="shared" si="12"/>
        <v>0.43142361458729189</v>
      </c>
      <c r="O100" s="67" cm="1">
        <f t="array" ref="O100">SUMPRODUCT((G100=$G$7:$G$10000)*(M100&lt;$M$7:$M$10000))+1</f>
        <v>11</v>
      </c>
      <c r="P100" s="72"/>
      <c r="Q100">
        <v>4</v>
      </c>
      <c r="R100" t="str">
        <v>HOU</v>
      </c>
      <c r="S100" t="str">
        <v>Pono Davis</v>
      </c>
      <c r="T100" t="str">
        <v>NULL</v>
      </c>
      <c r="U100" t="str">
        <v>Away</v>
      </c>
      <c r="V100" t="str">
        <v>UTAH</v>
      </c>
      <c r="W100">
        <v>-0.92443420203748783</v>
      </c>
      <c r="X100" t="str">
        <v>Sam Tuifua</v>
      </c>
      <c r="Y100" s="1" cm="1">
        <f t="array" ref="Y100">COUNT(_xlfn._xlws.FILTER($G$7:$G$10000,($I$7:$I$10000=X100)*($J$7:$J$10000&lt;&gt;"NULL")*($G$7:$G$10000 &gt;= ($G$1-5))))/5</f>
        <v>0.4</v>
      </c>
    </row>
    <row r="101" spans="1:25" x14ac:dyDescent="0.35">
      <c r="A101" t="s">
        <v>159</v>
      </c>
      <c r="B101" s="1">
        <v>-4.244530078255508</v>
      </c>
      <c r="C101" s="1">
        <f t="shared" si="13"/>
        <v>82</v>
      </c>
      <c r="D101" s="1">
        <f t="shared" si="14"/>
        <v>10.903066620753286</v>
      </c>
      <c r="E101" s="1">
        <f t="shared" si="15"/>
        <v>89</v>
      </c>
      <c r="F101">
        <f t="shared" si="16"/>
        <v>0.6</v>
      </c>
      <c r="G101" s="65">
        <v>2</v>
      </c>
      <c r="H101" t="s">
        <v>13</v>
      </c>
      <c r="I101" t="s">
        <v>204</v>
      </c>
      <c r="J101">
        <v>9.3000000000000007</v>
      </c>
      <c r="K101" t="s">
        <v>9</v>
      </c>
      <c r="L101" t="s">
        <v>2</v>
      </c>
      <c r="M101">
        <f t="shared" si="11"/>
        <v>8.1830446224900015</v>
      </c>
      <c r="N101">
        <f t="shared" si="12"/>
        <v>1.2475893153485047</v>
      </c>
      <c r="O101" s="67" cm="1">
        <f t="array" ref="O101">SUMPRODUCT((G101=$G$7:$G$10000)*(M101&lt;$M$7:$M$10000))+1</f>
        <v>14</v>
      </c>
      <c r="P101" s="72"/>
      <c r="Q101">
        <v>4</v>
      </c>
      <c r="R101" t="str">
        <v>HOU</v>
      </c>
      <c r="S101" t="str">
        <v>Ronan Murphy</v>
      </c>
      <c r="T101" t="str">
        <v>NULL</v>
      </c>
      <c r="U101" t="str">
        <v>Away</v>
      </c>
      <c r="V101" t="str">
        <v>UTAH</v>
      </c>
      <c r="W101">
        <v>-0.97546205041175593</v>
      </c>
      <c r="X101" t="str">
        <v>Sean McNulty</v>
      </c>
      <c r="Y101" s="1" cm="1">
        <f t="array" ref="Y101">COUNT(_xlfn._xlws.FILTER($G$7:$G$10000,($I$7:$I$10000=X101)*($J$7:$J$10000&lt;&gt;"NULL")*($G$7:$G$10000 &gt;= ($G$1-5))))/5</f>
        <v>0.2</v>
      </c>
    </row>
    <row r="102" spans="1:25" x14ac:dyDescent="0.35">
      <c r="A102" t="s">
        <v>252</v>
      </c>
      <c r="B102" s="1">
        <v>-4.3593112793640332</v>
      </c>
      <c r="C102" s="1">
        <f t="shared" si="13"/>
        <v>83</v>
      </c>
      <c r="D102" s="1">
        <f t="shared" si="14"/>
        <v>13.15580599221833</v>
      </c>
      <c r="E102" s="1">
        <f t="shared" si="15"/>
        <v>78</v>
      </c>
      <c r="F102">
        <f t="shared" si="16"/>
        <v>0.4</v>
      </c>
      <c r="G102" s="65">
        <v>2</v>
      </c>
      <c r="H102" t="s">
        <v>14</v>
      </c>
      <c r="I102" t="s">
        <v>181</v>
      </c>
      <c r="J102">
        <v>8.9</v>
      </c>
      <c r="K102" t="s">
        <v>3</v>
      </c>
      <c r="L102" t="s">
        <v>34</v>
      </c>
      <c r="M102">
        <f t="shared" si="11"/>
        <v>4.3075170443334079</v>
      </c>
      <c r="N102">
        <f t="shared" si="12"/>
        <v>21.090899698088162</v>
      </c>
      <c r="O102" s="67" cm="1">
        <f t="array" ref="O102">SUMPRODUCT((G102=$G$7:$G$10000)*(M102&lt;$M$7:$M$10000))+1</f>
        <v>46</v>
      </c>
      <c r="P102" s="72"/>
      <c r="Q102">
        <v>4</v>
      </c>
      <c r="R102" t="str">
        <v>SEA</v>
      </c>
      <c r="S102" t="str">
        <v>Dewald Kotze</v>
      </c>
      <c r="T102" t="str">
        <v>NULL</v>
      </c>
      <c r="U102" t="str">
        <v>Home</v>
      </c>
      <c r="V102" t="str">
        <v>NEFJ</v>
      </c>
      <c r="W102">
        <v>-1.2405030365985388</v>
      </c>
      <c r="X102" t="str">
        <v>Seth Smith</v>
      </c>
      <c r="Y102" s="1" cm="1">
        <f t="array" ref="Y102">COUNT(_xlfn._xlws.FILTER($G$7:$G$10000,($I$7:$I$10000=X102)*($J$7:$J$10000&lt;&gt;"NULL")*($G$7:$G$10000 &gt;= ($G$1-5))))/5</f>
        <v>0.2</v>
      </c>
    </row>
    <row r="103" spans="1:25" x14ac:dyDescent="0.35">
      <c r="A103" t="s">
        <v>172</v>
      </c>
      <c r="B103" s="1">
        <v>-4.4090667571387119</v>
      </c>
      <c r="C103" s="1">
        <f t="shared" si="13"/>
        <v>84</v>
      </c>
      <c r="D103" s="1">
        <f t="shared" si="14"/>
        <v>12.089074820487141</v>
      </c>
      <c r="E103" s="1">
        <f t="shared" si="15"/>
        <v>83</v>
      </c>
      <c r="F103">
        <f t="shared" si="16"/>
        <v>0.6</v>
      </c>
      <c r="G103" s="66">
        <v>2</v>
      </c>
      <c r="H103" t="s">
        <v>34</v>
      </c>
      <c r="I103" t="s">
        <v>174</v>
      </c>
      <c r="J103">
        <v>8.9</v>
      </c>
      <c r="K103" t="s">
        <v>9</v>
      </c>
      <c r="L103" t="s">
        <v>14</v>
      </c>
      <c r="M103">
        <f t="shared" si="11"/>
        <v>5.7070130416289313</v>
      </c>
      <c r="N103">
        <f t="shared" si="12"/>
        <v>10.195165716327731</v>
      </c>
      <c r="O103" s="67" cm="1">
        <f t="array" ref="O103">SUMPRODUCT((G103=$G$7:$G$10000)*(M103&lt;$M$7:$M$10000))+1</f>
        <v>30</v>
      </c>
      <c r="P103" s="72"/>
      <c r="Q103">
        <v>4</v>
      </c>
      <c r="R103" t="str">
        <v>HOU</v>
      </c>
      <c r="S103" t="str">
        <v>Seth Smith</v>
      </c>
      <c r="T103" t="str">
        <v>NULL</v>
      </c>
      <c r="U103" t="str">
        <v>Away</v>
      </c>
      <c r="V103" t="str">
        <v>UTAH</v>
      </c>
      <c r="W103">
        <v>-1.2684651297341523</v>
      </c>
      <c r="X103" t="str">
        <v>Shawn Clark</v>
      </c>
      <c r="Y103" s="1" cm="1">
        <f t="array" ref="Y103">COUNT(_xlfn._xlws.FILTER($G$7:$G$10000,($I$7:$I$10000=X103)*($J$7:$J$10000&lt;&gt;"NULL")*($G$7:$G$10000 &gt;= ($G$1-5))))/5</f>
        <v>0.2</v>
      </c>
    </row>
    <row r="104" spans="1:25" x14ac:dyDescent="0.35">
      <c r="A104" t="s">
        <v>211</v>
      </c>
      <c r="B104" s="1">
        <v>-4.4146838851077792</v>
      </c>
      <c r="C104" s="1">
        <f t="shared" si="13"/>
        <v>85</v>
      </c>
      <c r="D104" s="1">
        <f t="shared" si="14"/>
        <v>5.6733994202594138</v>
      </c>
      <c r="E104" s="1">
        <f t="shared" si="15"/>
        <v>102</v>
      </c>
      <c r="F104">
        <f t="shared" si="16"/>
        <v>0.4</v>
      </c>
      <c r="G104" s="66">
        <v>2</v>
      </c>
      <c r="H104" t="s">
        <v>13</v>
      </c>
      <c r="I104" t="s">
        <v>464</v>
      </c>
      <c r="J104">
        <v>7.8</v>
      </c>
      <c r="K104" t="s">
        <v>9</v>
      </c>
      <c r="L104" t="s">
        <v>2</v>
      </c>
      <c r="M104">
        <f t="shared" si="11"/>
        <v>6.8954673520301677</v>
      </c>
      <c r="N104">
        <f t="shared" si="12"/>
        <v>0.81817931124331622</v>
      </c>
      <c r="O104" s="67" cm="1">
        <f t="array" ref="O104">SUMPRODUCT((G104=$G$7:$G$10000)*(M104&lt;$M$7:$M$10000))+1</f>
        <v>22</v>
      </c>
      <c r="P104" s="72"/>
      <c r="Q104">
        <v>4</v>
      </c>
      <c r="R104" t="str">
        <v>HOU</v>
      </c>
      <c r="S104" t="str">
        <v>Val Lee-Lo</v>
      </c>
      <c r="T104" t="str">
        <v>NULL</v>
      </c>
      <c r="U104" t="str">
        <v>Away</v>
      </c>
      <c r="V104" t="str">
        <v>UTAH</v>
      </c>
      <c r="W104">
        <v>-1.8948701562413577</v>
      </c>
      <c r="X104" t="str">
        <v>Shilo Klein</v>
      </c>
      <c r="Y104" s="1" cm="1">
        <f t="array" ref="Y104">COUNT(_xlfn._xlws.FILTER($G$7:$G$10000,($I$7:$I$10000=X104)*($J$7:$J$10000&lt;&gt;"NULL")*($G$7:$G$10000 &gt;= ($G$1-5))))/5</f>
        <v>0.2</v>
      </c>
    </row>
    <row r="105" spans="1:25" x14ac:dyDescent="0.35">
      <c r="A105" t="s">
        <v>416</v>
      </c>
      <c r="B105" s="1">
        <v>-4.5186522886868019</v>
      </c>
      <c r="C105" s="1">
        <f t="shared" si="13"/>
        <v>86</v>
      </c>
      <c r="D105" s="1">
        <f t="shared" si="14"/>
        <v>16.151049507199986</v>
      </c>
      <c r="E105" s="1">
        <f t="shared" si="15"/>
        <v>68</v>
      </c>
      <c r="F105">
        <f t="shared" si="16"/>
        <v>0.4</v>
      </c>
      <c r="G105" s="66">
        <v>2</v>
      </c>
      <c r="H105" t="s">
        <v>13</v>
      </c>
      <c r="I105" t="s">
        <v>120</v>
      </c>
      <c r="J105">
        <v>7.6</v>
      </c>
      <c r="K105" t="s">
        <v>9</v>
      </c>
      <c r="L105" t="s">
        <v>2</v>
      </c>
      <c r="M105">
        <f t="shared" si="11"/>
        <v>5.0420268443195972</v>
      </c>
      <c r="N105">
        <f t="shared" si="12"/>
        <v>6.5432266651815558</v>
      </c>
      <c r="O105" s="67" cm="1">
        <f t="array" ref="O105">SUMPRODUCT((G105=$G$7:$G$10000)*(M105&lt;$M$7:$M$10000))+1</f>
        <v>39</v>
      </c>
      <c r="P105" s="72"/>
      <c r="Q105">
        <v>4</v>
      </c>
      <c r="R105" t="str">
        <v>HOU</v>
      </c>
      <c r="S105" t="str">
        <v>Justin Basson</v>
      </c>
      <c r="T105" t="str">
        <v>NULL</v>
      </c>
      <c r="U105" t="str">
        <v>Away</v>
      </c>
      <c r="V105" t="str">
        <v>UTAH</v>
      </c>
      <c r="W105">
        <v>-6.4359856995557232</v>
      </c>
      <c r="X105" t="str">
        <v>Siaosi Mahoni</v>
      </c>
      <c r="Y105" s="1" cm="1">
        <f t="array" ref="Y105">COUNT(_xlfn._xlws.FILTER($G$7:$G$10000,($I$7:$I$10000=X105)*($J$7:$J$10000&lt;&gt;"NULL")*($G$7:$G$10000 &gt;= ($G$1-5))))/5</f>
        <v>0.2</v>
      </c>
    </row>
    <row r="106" spans="1:25" x14ac:dyDescent="0.35">
      <c r="A106" t="s">
        <v>104</v>
      </c>
      <c r="B106" s="1">
        <v>-4.5727915591814687</v>
      </c>
      <c r="C106" s="1">
        <f t="shared" si="13"/>
        <v>87</v>
      </c>
      <c r="D106" s="1">
        <f t="shared" si="14"/>
        <v>5.0409687239646557</v>
      </c>
      <c r="E106" s="1">
        <f t="shared" si="15"/>
        <v>104</v>
      </c>
      <c r="F106">
        <f t="shared" si="16"/>
        <v>0.4</v>
      </c>
      <c r="G106" s="66">
        <v>2</v>
      </c>
      <c r="H106" t="s">
        <v>6</v>
      </c>
      <c r="I106" t="s">
        <v>432</v>
      </c>
      <c r="J106">
        <v>7.2</v>
      </c>
      <c r="K106" t="s">
        <v>3</v>
      </c>
      <c r="L106" t="s">
        <v>36</v>
      </c>
      <c r="M106">
        <f t="shared" si="11"/>
        <v>8.080200001843826</v>
      </c>
      <c r="N106">
        <f t="shared" si="12"/>
        <v>0.77475204324587099</v>
      </c>
      <c r="O106" s="67" cm="1">
        <f t="array" ref="O106">SUMPRODUCT((G106=$G$7:$G$10000)*(M106&lt;$M$7:$M$10000))+1</f>
        <v>15</v>
      </c>
      <c r="P106" s="72"/>
      <c r="Q106">
        <v>4</v>
      </c>
      <c r="R106" t="str">
        <v>MIA</v>
      </c>
      <c r="S106" t="str">
        <v>Alec McDonnell</v>
      </c>
      <c r="T106" t="str">
        <v>NULL</v>
      </c>
      <c r="U106" t="str">
        <v>Home</v>
      </c>
      <c r="V106" t="str">
        <v>CHI</v>
      </c>
      <c r="W106">
        <v>-7.1496658213664537</v>
      </c>
      <c r="X106" t="str">
        <v>Tau Koloamatangi</v>
      </c>
      <c r="Y106" s="1" cm="1">
        <f t="array" ref="Y106">COUNT(_xlfn._xlws.FILTER($G$7:$G$10000,($I$7:$I$10000=X106)*($J$7:$J$10000&lt;&gt;"NULL")*($G$7:$G$10000 &gt;= ($G$1-5))))/5</f>
        <v>0.2</v>
      </c>
    </row>
    <row r="107" spans="1:25" x14ac:dyDescent="0.35">
      <c r="A107" t="s">
        <v>229</v>
      </c>
      <c r="B107" s="1">
        <v>-4.5984221322281273</v>
      </c>
      <c r="C107" s="1">
        <f t="shared" si="13"/>
        <v>88</v>
      </c>
      <c r="D107" s="1">
        <f t="shared" si="14"/>
        <v>12.199362580761953</v>
      </c>
      <c r="E107" s="1">
        <f t="shared" si="15"/>
        <v>82</v>
      </c>
      <c r="F107" t="e">
        <f t="shared" si="16"/>
        <v>#N/A</v>
      </c>
      <c r="G107" s="66">
        <v>2</v>
      </c>
      <c r="H107" t="s">
        <v>4</v>
      </c>
      <c r="I107" t="s">
        <v>175</v>
      </c>
      <c r="J107">
        <v>7.2</v>
      </c>
      <c r="K107" t="s">
        <v>9</v>
      </c>
      <c r="L107" t="s">
        <v>24</v>
      </c>
      <c r="M107">
        <f t="shared" si="11"/>
        <v>12.173975302785138</v>
      </c>
      <c r="N107">
        <f t="shared" si="12"/>
        <v>24.740430312716502</v>
      </c>
      <c r="O107" s="67" cm="1">
        <f t="array" ref="O107">SUMPRODUCT((G107=$G$7:$G$10000)*(M107&lt;$M$7:$M$10000))+1</f>
        <v>3</v>
      </c>
      <c r="P107" s="72"/>
      <c r="Q107">
        <v>5</v>
      </c>
      <c r="R107" t="str">
        <v>SEA</v>
      </c>
      <c r="S107" t="str">
        <v>Devin Short</v>
      </c>
      <c r="T107" t="str">
        <v>NULL</v>
      </c>
      <c r="U107" t="str">
        <v>Away</v>
      </c>
      <c r="V107" t="str">
        <v>LA</v>
      </c>
      <c r="W107">
        <v>19.40254216116648</v>
      </c>
      <c r="X107" t="str">
        <v>Taylor Krumrei</v>
      </c>
      <c r="Y107" s="1" cm="1">
        <f t="array" ref="Y107">COUNT(_xlfn._xlws.FILTER($G$7:$G$10000,($I$7:$I$10000=X107)*($J$7:$J$10000&lt;&gt;"NULL")*($G$7:$G$10000 &gt;= ($G$1-5))))/5</f>
        <v>0.2</v>
      </c>
    </row>
    <row r="108" spans="1:25" x14ac:dyDescent="0.35">
      <c r="A108" t="s">
        <v>482</v>
      </c>
      <c r="B108" s="1">
        <v>-4.7038277975179845</v>
      </c>
      <c r="C108" s="1">
        <f t="shared" si="13"/>
        <v>89</v>
      </c>
      <c r="D108" s="1">
        <f t="shared" si="14"/>
        <v>10.95470622085498</v>
      </c>
      <c r="E108" s="1">
        <f t="shared" si="15"/>
        <v>88</v>
      </c>
      <c r="F108">
        <f t="shared" si="16"/>
        <v>0.2</v>
      </c>
      <c r="G108" s="66">
        <v>2</v>
      </c>
      <c r="H108" t="s">
        <v>14</v>
      </c>
      <c r="I108" t="s">
        <v>107</v>
      </c>
      <c r="J108">
        <v>7.1</v>
      </c>
      <c r="K108" t="s">
        <v>3</v>
      </c>
      <c r="L108" t="s">
        <v>34</v>
      </c>
      <c r="M108">
        <f t="shared" si="11"/>
        <v>6.3067440746259482</v>
      </c>
      <c r="N108">
        <f t="shared" si="12"/>
        <v>0.62925496314104268</v>
      </c>
      <c r="O108" s="67" cm="1">
        <f t="array" ref="O108">SUMPRODUCT((G108=$G$7:$G$10000)*(M108&lt;$M$7:$M$10000))+1</f>
        <v>27</v>
      </c>
      <c r="P108" s="72"/>
      <c r="Q108">
        <v>5</v>
      </c>
      <c r="R108" t="str">
        <v>NEFJ</v>
      </c>
      <c r="S108" t="str">
        <v>Joe Johnston</v>
      </c>
      <c r="T108" t="str">
        <v>NULL</v>
      </c>
      <c r="U108" t="str">
        <v>Home</v>
      </c>
      <c r="V108" t="str">
        <v>NOLA</v>
      </c>
      <c r="W108">
        <v>11.972651755323847</v>
      </c>
      <c r="X108" t="str">
        <v>Tesimoni Tonga'uiha</v>
      </c>
      <c r="Y108" s="1" cm="1">
        <f t="array" ref="Y108">COUNT(_xlfn._xlws.FILTER($G$7:$G$10000,($I$7:$I$10000=X108)*($J$7:$J$10000&lt;&gt;"NULL")*($G$7:$G$10000 &gt;= ($G$1-5))))/5</f>
        <v>0.4</v>
      </c>
    </row>
    <row r="109" spans="1:25" x14ac:dyDescent="0.35">
      <c r="A109" t="s">
        <v>148</v>
      </c>
      <c r="B109" s="1">
        <v>-4.7727319694874524</v>
      </c>
      <c r="C109" s="1">
        <f t="shared" si="13"/>
        <v>90</v>
      </c>
      <c r="D109" s="1">
        <f t="shared" si="14"/>
        <v>4.2412070827407211</v>
      </c>
      <c r="E109" s="1">
        <f t="shared" si="15"/>
        <v>105</v>
      </c>
      <c r="F109">
        <f t="shared" si="16"/>
        <v>0.4</v>
      </c>
      <c r="G109" s="66">
        <v>2</v>
      </c>
      <c r="H109" t="s">
        <v>4</v>
      </c>
      <c r="I109" t="s">
        <v>335</v>
      </c>
      <c r="J109">
        <v>6.9</v>
      </c>
      <c r="K109" t="s">
        <v>9</v>
      </c>
      <c r="L109" t="s">
        <v>24</v>
      </c>
      <c r="M109">
        <f t="shared" si="11"/>
        <v>2.9217935107370101</v>
      </c>
      <c r="N109">
        <f t="shared" si="12"/>
        <v>15.826126871214166</v>
      </c>
      <c r="O109" s="67" cm="1">
        <f t="array" ref="O109">SUMPRODUCT((G109=$G$7:$G$10000)*(M109&lt;$M$7:$M$10000))+1</f>
        <v>55</v>
      </c>
      <c r="P109" s="72"/>
      <c r="Q109">
        <v>5</v>
      </c>
      <c r="R109" t="str">
        <v>NEFJ</v>
      </c>
      <c r="S109" t="str">
        <v>Jed Melvin</v>
      </c>
      <c r="T109" t="str">
        <v>NULL</v>
      </c>
      <c r="U109" t="str">
        <v>Home</v>
      </c>
      <c r="V109" t="str">
        <v>NOLA</v>
      </c>
      <c r="W109">
        <v>11.155163626936996</v>
      </c>
      <c r="X109" t="str">
        <v>Tevita Naqali</v>
      </c>
      <c r="Y109" s="1" cm="1">
        <f t="array" ref="Y109">COUNT(_xlfn._xlws.FILTER($G$7:$G$10000,($I$7:$I$10000=X109)*($J$7:$J$10000&lt;&gt;"NULL")*($G$7:$G$10000 &gt;= ($G$1-5))))/5</f>
        <v>0.4</v>
      </c>
    </row>
    <row r="110" spans="1:25" x14ac:dyDescent="0.35">
      <c r="A110" t="s">
        <v>118</v>
      </c>
      <c r="B110" s="1">
        <v>-4.8131446819840855</v>
      </c>
      <c r="C110" s="1">
        <f t="shared" si="13"/>
        <v>91</v>
      </c>
      <c r="D110" s="1">
        <f t="shared" si="14"/>
        <v>10.472763121105647</v>
      </c>
      <c r="E110" s="1">
        <f t="shared" si="15"/>
        <v>91</v>
      </c>
      <c r="F110">
        <f t="shared" si="16"/>
        <v>0.2</v>
      </c>
      <c r="G110" s="66">
        <v>2</v>
      </c>
      <c r="H110" t="s">
        <v>4</v>
      </c>
      <c r="I110" t="s">
        <v>435</v>
      </c>
      <c r="J110">
        <v>6.9</v>
      </c>
      <c r="K110" t="s">
        <v>9</v>
      </c>
      <c r="L110" t="s">
        <v>24</v>
      </c>
      <c r="M110">
        <f t="shared" si="11"/>
        <v>6.2261992346533965</v>
      </c>
      <c r="N110">
        <f t="shared" si="12"/>
        <v>0.45400747138166908</v>
      </c>
      <c r="O110" s="67" cm="1">
        <f t="array" ref="O110">SUMPRODUCT((G110=$G$7:$G$10000)*(M110&lt;$M$7:$M$10000))+1</f>
        <v>29</v>
      </c>
      <c r="P110" s="72"/>
      <c r="Q110">
        <v>5</v>
      </c>
      <c r="R110" t="str">
        <v>UTAH</v>
      </c>
      <c r="S110" t="str">
        <v>Liam Coltman</v>
      </c>
      <c r="T110" t="str">
        <v>NULL</v>
      </c>
      <c r="U110" t="str">
        <v>Away</v>
      </c>
      <c r="V110" t="str">
        <v>MIA</v>
      </c>
      <c r="W110">
        <v>10.902946368647498</v>
      </c>
      <c r="X110" t="str">
        <v>Tevita Tameilau</v>
      </c>
      <c r="Y110" s="1" cm="1">
        <f t="array" ref="Y110">COUNT(_xlfn._xlws.FILTER($G$7:$G$10000,($I$7:$I$10000=X110)*($J$7:$J$10000&lt;&gt;"NULL")*($G$7:$G$10000 &gt;= ($G$1-5))))/5</f>
        <v>0.2</v>
      </c>
    </row>
    <row r="111" spans="1:25" x14ac:dyDescent="0.35">
      <c r="A111" t="s">
        <v>425</v>
      </c>
      <c r="B111" s="1">
        <v>-4.9409561990696487</v>
      </c>
      <c r="C111" s="1">
        <f t="shared" si="13"/>
        <v>92</v>
      </c>
      <c r="D111" s="1">
        <f t="shared" si="14"/>
        <v>11.150096225998423</v>
      </c>
      <c r="E111" s="1">
        <f t="shared" si="15"/>
        <v>86</v>
      </c>
      <c r="F111">
        <f t="shared" si="16"/>
        <v>0.2</v>
      </c>
      <c r="G111" s="66">
        <v>2</v>
      </c>
      <c r="H111" t="s">
        <v>36</v>
      </c>
      <c r="I111" t="s">
        <v>205</v>
      </c>
      <c r="J111">
        <v>6.8</v>
      </c>
      <c r="K111" t="s">
        <v>9</v>
      </c>
      <c r="L111" t="s">
        <v>6</v>
      </c>
      <c r="M111">
        <f t="shared" si="11"/>
        <v>4.7919963666618912</v>
      </c>
      <c r="N111">
        <f t="shared" si="12"/>
        <v>4.0320785914990456</v>
      </c>
      <c r="O111" s="67" cm="1">
        <f t="array" ref="O111">SUMPRODUCT((G111=$G$7:$G$10000)*(M111&lt;$M$7:$M$10000))+1</f>
        <v>42</v>
      </c>
      <c r="P111" s="72"/>
      <c r="Q111">
        <v>5</v>
      </c>
      <c r="R111" t="str">
        <v>SEA</v>
      </c>
      <c r="S111" t="str">
        <v>Kerron van Vuuren</v>
      </c>
      <c r="T111" t="str">
        <v>NULL</v>
      </c>
      <c r="U111" t="str">
        <v>Away</v>
      </c>
      <c r="V111" t="str">
        <v>LA</v>
      </c>
      <c r="W111">
        <v>10.868759891128668</v>
      </c>
      <c r="X111" t="str">
        <v>Tim Anstee</v>
      </c>
      <c r="Y111" s="1" cm="1">
        <f t="array" ref="Y111">COUNT(_xlfn._xlws.FILTER($G$7:$G$10000,($I$7:$I$10000=X111)*($J$7:$J$10000&lt;&gt;"NULL")*($G$7:$G$10000 &gt;= ($G$1-5))))/5</f>
        <v>0.4</v>
      </c>
    </row>
    <row r="112" spans="1:25" x14ac:dyDescent="0.35">
      <c r="A112" t="s">
        <v>181</v>
      </c>
      <c r="B112" s="1">
        <v>-4.9576994895338613</v>
      </c>
      <c r="C112" s="1">
        <f t="shared" si="13"/>
        <v>93</v>
      </c>
      <c r="D112" s="1">
        <f t="shared" si="14"/>
        <v>11.083123064141573</v>
      </c>
      <c r="E112" s="1">
        <f t="shared" si="15"/>
        <v>87</v>
      </c>
      <c r="F112">
        <f t="shared" si="16"/>
        <v>0.4</v>
      </c>
      <c r="G112" s="66">
        <v>2</v>
      </c>
      <c r="H112" t="s">
        <v>24</v>
      </c>
      <c r="I112" t="s">
        <v>465</v>
      </c>
      <c r="J112">
        <v>6.8</v>
      </c>
      <c r="K112" t="s">
        <v>3</v>
      </c>
      <c r="L112" t="s">
        <v>4</v>
      </c>
      <c r="M112">
        <f t="shared" si="11"/>
        <v>6.8151684013607108</v>
      </c>
      <c r="N112">
        <f t="shared" si="12"/>
        <v>2.3008039983961809E-4</v>
      </c>
      <c r="O112" s="67" cm="1">
        <f t="array" ref="O112">SUMPRODUCT((G112=$G$7:$G$10000)*(M112&lt;$M$7:$M$10000))+1</f>
        <v>23</v>
      </c>
      <c r="P112" s="72"/>
      <c r="Q112">
        <v>5</v>
      </c>
      <c r="R112" t="str">
        <v>LA</v>
      </c>
      <c r="S112" t="str">
        <v>Tim Anstee</v>
      </c>
      <c r="T112" t="str">
        <v>NULL</v>
      </c>
      <c r="U112" t="str">
        <v>Home</v>
      </c>
      <c r="V112" t="str">
        <v>SEA</v>
      </c>
      <c r="W112">
        <v>10.269712784117601</v>
      </c>
      <c r="X112" t="str">
        <v>Tonga Kofe</v>
      </c>
      <c r="Y112" s="1" cm="1">
        <f t="array" ref="Y112">COUNT(_xlfn._xlws.FILTER($G$7:$G$10000,($I$7:$I$10000=X112)*($J$7:$J$10000&lt;&gt;"NULL")*($G$7:$G$10000 &gt;= ($G$1-5))))/5</f>
        <v>0.4</v>
      </c>
    </row>
    <row r="113" spans="1:25" x14ac:dyDescent="0.35">
      <c r="A113" t="s">
        <v>167</v>
      </c>
      <c r="B113" s="1">
        <v>-5.0705326860618474</v>
      </c>
      <c r="C113" s="1">
        <f t="shared" si="13"/>
        <v>94</v>
      </c>
      <c r="D113" s="1">
        <f t="shared" si="14"/>
        <v>11.270359175433125</v>
      </c>
      <c r="E113" s="1">
        <f t="shared" si="15"/>
        <v>85</v>
      </c>
      <c r="F113">
        <f t="shared" si="16"/>
        <v>0.4</v>
      </c>
      <c r="G113" s="66">
        <v>2</v>
      </c>
      <c r="H113" t="s">
        <v>13</v>
      </c>
      <c r="I113" t="s">
        <v>103</v>
      </c>
      <c r="J113">
        <v>6.6</v>
      </c>
      <c r="K113" t="s">
        <v>9</v>
      </c>
      <c r="L113" t="s">
        <v>2</v>
      </c>
      <c r="M113">
        <f t="shared" si="11"/>
        <v>6.4918894499747157</v>
      </c>
      <c r="N113">
        <f t="shared" si="12"/>
        <v>1.1687891026769415E-2</v>
      </c>
      <c r="O113" s="67" cm="1">
        <f t="array" ref="O113">SUMPRODUCT((G113=$G$7:$G$10000)*(M113&lt;$M$7:$M$10000))+1</f>
        <v>25</v>
      </c>
      <c r="P113" s="72"/>
      <c r="Q113">
        <v>5</v>
      </c>
      <c r="R113" t="str">
        <v>CHI</v>
      </c>
      <c r="S113" t="str">
        <v>Lucas Rumball</v>
      </c>
      <c r="T113" t="str">
        <v>NULL</v>
      </c>
      <c r="U113" t="str">
        <v>Home</v>
      </c>
      <c r="V113" t="str">
        <v>OGDC</v>
      </c>
      <c r="W113">
        <v>9.6088938328528357</v>
      </c>
      <c r="X113" t="str">
        <v>Tupou Ma'afu Afungia</v>
      </c>
      <c r="Y113" s="1" cm="1">
        <f t="array" ref="Y113">COUNT(_xlfn._xlws.FILTER($G$7:$G$10000,($I$7:$I$10000=X113)*($J$7:$J$10000&lt;&gt;"NULL")*($G$7:$G$10000 &gt;= ($G$1-5))))/5</f>
        <v>0.2</v>
      </c>
    </row>
    <row r="114" spans="1:25" x14ac:dyDescent="0.35">
      <c r="A114" t="s">
        <v>197</v>
      </c>
      <c r="B114" s="1">
        <v>-5.0855704756591011</v>
      </c>
      <c r="C114" s="1">
        <f t="shared" si="13"/>
        <v>95</v>
      </c>
      <c r="D114" s="1">
        <f t="shared" si="14"/>
        <v>10.571639119640615</v>
      </c>
      <c r="E114" s="1">
        <f t="shared" si="15"/>
        <v>90</v>
      </c>
      <c r="F114">
        <f t="shared" si="16"/>
        <v>0.2</v>
      </c>
      <c r="G114" s="66">
        <v>2</v>
      </c>
      <c r="H114" t="s">
        <v>24</v>
      </c>
      <c r="I114" t="s">
        <v>411</v>
      </c>
      <c r="J114">
        <v>6.2</v>
      </c>
      <c r="K114" t="s">
        <v>3</v>
      </c>
      <c r="L114" t="s">
        <v>4</v>
      </c>
      <c r="M114">
        <f t="shared" si="11"/>
        <v>4.6557838202548858</v>
      </c>
      <c r="N114">
        <f t="shared" si="12"/>
        <v>2.3846036097865952</v>
      </c>
      <c r="O114" s="67" cm="1">
        <f t="array" ref="O114">SUMPRODUCT((G114=$G$7:$G$10000)*(M114&lt;$M$7:$M$10000))+1</f>
        <v>43</v>
      </c>
      <c r="P114" s="72"/>
      <c r="Q114">
        <v>5</v>
      </c>
      <c r="R114" t="str">
        <v>NOLA</v>
      </c>
      <c r="S114" t="str">
        <v>Pat O'Toole</v>
      </c>
      <c r="T114" t="str">
        <v>NULL</v>
      </c>
      <c r="U114" t="str">
        <v>Away</v>
      </c>
      <c r="V114" t="str">
        <v>NEFJ</v>
      </c>
      <c r="W114">
        <v>9.5613030322888157</v>
      </c>
      <c r="X114" t="str">
        <v>Val Lee-Lo</v>
      </c>
      <c r="Y114" s="1" cm="1">
        <f t="array" ref="Y114">COUNT(_xlfn._xlws.FILTER($G$7:$G$10000,($I$7:$I$10000=X114)*($J$7:$J$10000&lt;&gt;"NULL")*($G$7:$G$10000 &gt;= ($G$1-5))))/5</f>
        <v>0.6</v>
      </c>
    </row>
    <row r="115" spans="1:25" x14ac:dyDescent="0.35">
      <c r="A115" t="s">
        <v>335</v>
      </c>
      <c r="B115" s="1">
        <v>-5.1338907658476325</v>
      </c>
      <c r="C115" s="1">
        <f t="shared" si="13"/>
        <v>96</v>
      </c>
      <c r="D115" s="1">
        <f t="shared" si="14"/>
        <v>9.189778785651459</v>
      </c>
      <c r="E115" s="1">
        <f t="shared" si="15"/>
        <v>92</v>
      </c>
      <c r="F115">
        <f t="shared" si="16"/>
        <v>0.4</v>
      </c>
      <c r="G115" s="66">
        <v>2</v>
      </c>
      <c r="H115" t="s">
        <v>2</v>
      </c>
      <c r="I115" t="s">
        <v>115</v>
      </c>
      <c r="J115">
        <v>6.1</v>
      </c>
      <c r="K115" t="s">
        <v>3</v>
      </c>
      <c r="L115" t="s">
        <v>13</v>
      </c>
      <c r="M115">
        <f t="shared" si="11"/>
        <v>4.9930724004025198</v>
      </c>
      <c r="N115">
        <f t="shared" si="12"/>
        <v>1.2252887107506387</v>
      </c>
      <c r="O115" s="67" cm="1">
        <f t="array" ref="O115">SUMPRODUCT((G115=$G$7:$G$10000)*(M115&lt;$M$7:$M$10000))+1</f>
        <v>40</v>
      </c>
      <c r="P115" s="72"/>
      <c r="Q115">
        <v>5</v>
      </c>
      <c r="R115" t="str">
        <v>CHI</v>
      </c>
      <c r="S115" t="str">
        <v>Dylan Fawsitt</v>
      </c>
      <c r="T115" t="str">
        <v>NULL</v>
      </c>
      <c r="U115" t="str">
        <v>Home</v>
      </c>
      <c r="V115" t="str">
        <v>OGDC</v>
      </c>
      <c r="W115">
        <v>9.2087361564990076</v>
      </c>
      <c r="X115" t="str">
        <v>Vili Helu</v>
      </c>
      <c r="Y115" s="1" cm="1">
        <f t="array" ref="Y115">COUNT(_xlfn._xlws.FILTER($G$7:$G$10000,($I$7:$I$10000=X115)*($J$7:$J$10000&lt;&gt;"NULL")*($G$7:$G$10000 &gt;= ($G$1-5))))/5</f>
        <v>0.2</v>
      </c>
    </row>
    <row r="116" spans="1:25" x14ac:dyDescent="0.35">
      <c r="A116" t="s">
        <v>277</v>
      </c>
      <c r="B116" s="1">
        <v>-5.1989771410175143</v>
      </c>
      <c r="C116" s="1">
        <f t="shared" ref="C116:C131" si="17">RANK($B116,$B$20:$B$212,0)</f>
        <v>97</v>
      </c>
      <c r="D116" s="1">
        <f t="shared" ref="D116:D131" si="18">SUMIF($I$934:$I$2300,$A116,$M$934:$M$2300)</f>
        <v>2.5362263966204734</v>
      </c>
      <c r="E116" s="1">
        <f t="shared" ref="E116:E131" si="19">RANK($D116,$D$20:$D$212,0)</f>
        <v>107</v>
      </c>
      <c r="F116" t="e">
        <f t="shared" ref="F116:F131" si="20">VLOOKUP($A116,$X$7:$Y$108,2,FALSE)</f>
        <v>#N/A</v>
      </c>
      <c r="G116" s="66">
        <v>2</v>
      </c>
      <c r="H116" t="s">
        <v>4</v>
      </c>
      <c r="I116" t="s">
        <v>176</v>
      </c>
      <c r="J116">
        <v>6.1</v>
      </c>
      <c r="K116" t="s">
        <v>9</v>
      </c>
      <c r="L116" t="s">
        <v>24</v>
      </c>
      <c r="M116">
        <f t="shared" si="11"/>
        <v>4.0280609165446339</v>
      </c>
      <c r="N116">
        <f t="shared" si="12"/>
        <v>4.2929315655498606</v>
      </c>
      <c r="O116" s="67" cm="1">
        <f t="array" ref="O116">SUMPRODUCT((G116=$G$7:$G$10000)*(M116&lt;$M$7:$M$10000))+1</f>
        <v>48</v>
      </c>
      <c r="P116" s="72"/>
      <c r="Q116">
        <v>5</v>
      </c>
      <c r="R116" t="str">
        <v>SEA</v>
      </c>
      <c r="S116" t="str">
        <v>OJ Noa</v>
      </c>
      <c r="T116" t="str">
        <v>NULL</v>
      </c>
      <c r="U116" t="str">
        <v>Away</v>
      </c>
      <c r="V116" t="str">
        <v>LA</v>
      </c>
      <c r="W116">
        <v>9.1642427986307169</v>
      </c>
      <c r="X116" t="str">
        <v>Viliami Vuli</v>
      </c>
      <c r="Y116" s="1" cm="1">
        <f t="array" ref="Y116">COUNT(_xlfn._xlws.FILTER($G$7:$G$10000,($I$7:$I$10000=X116)*($J$7:$J$10000&lt;&gt;"NULL")*($G$7:$G$10000 &gt;= ($G$1-5))))/5</f>
        <v>0.4</v>
      </c>
    </row>
    <row r="117" spans="1:25" x14ac:dyDescent="0.35">
      <c r="A117" t="s">
        <v>116</v>
      </c>
      <c r="B117" s="1">
        <v>-5.2907091242714674</v>
      </c>
      <c r="C117" s="1">
        <f t="shared" si="17"/>
        <v>98</v>
      </c>
      <c r="D117" s="1">
        <f t="shared" si="18"/>
        <v>12.290765329276658</v>
      </c>
      <c r="E117" s="1">
        <f t="shared" si="19"/>
        <v>81</v>
      </c>
      <c r="F117">
        <f t="shared" si="20"/>
        <v>0.4</v>
      </c>
      <c r="G117" s="66">
        <v>2</v>
      </c>
      <c r="H117" t="s">
        <v>13</v>
      </c>
      <c r="I117" t="s">
        <v>469</v>
      </c>
      <c r="J117">
        <v>5.8</v>
      </c>
      <c r="K117" t="s">
        <v>9</v>
      </c>
      <c r="L117" t="s">
        <v>2</v>
      </c>
      <c r="M117">
        <f t="shared" si="11"/>
        <v>4.5517268985280097</v>
      </c>
      <c r="N117">
        <f t="shared" si="12"/>
        <v>1.5581857358585014</v>
      </c>
      <c r="O117" s="67" cm="1">
        <f t="array" ref="O117">SUMPRODUCT((G117=$G$7:$G$10000)*(M117&lt;$M$7:$M$10000))+1</f>
        <v>44</v>
      </c>
      <c r="P117" s="72"/>
      <c r="Q117">
        <v>5</v>
      </c>
      <c r="R117" t="str">
        <v>UTAH</v>
      </c>
      <c r="S117" t="str">
        <v>Dylan Nel</v>
      </c>
      <c r="T117" t="str">
        <v>NULL</v>
      </c>
      <c r="U117" t="str">
        <v>Away</v>
      </c>
      <c r="V117" t="str">
        <v>MIA</v>
      </c>
      <c r="W117">
        <v>8.697253104651482</v>
      </c>
      <c r="X117" t="str">
        <v>Wian Conradie</v>
      </c>
      <c r="Y117" s="1" cm="1">
        <f t="array" ref="Y117">COUNT(_xlfn._xlws.FILTER($G$7:$G$10000,($I$7:$I$10000=X117)*($J$7:$J$10000&lt;&gt;"NULL")*($G$7:$G$10000 &gt;= ($G$1-5))))/5</f>
        <v>0.2</v>
      </c>
    </row>
    <row r="118" spans="1:25" x14ac:dyDescent="0.35">
      <c r="A118" t="s">
        <v>415</v>
      </c>
      <c r="B118" s="1">
        <v>-5.3530210746606404</v>
      </c>
      <c r="C118" s="1">
        <f t="shared" si="17"/>
        <v>99</v>
      </c>
      <c r="D118" s="1">
        <f t="shared" si="18"/>
        <v>7.1634575484924117</v>
      </c>
      <c r="E118" s="1">
        <f t="shared" si="19"/>
        <v>97</v>
      </c>
      <c r="F118">
        <f t="shared" si="20"/>
        <v>0.6</v>
      </c>
      <c r="G118" s="66">
        <v>2</v>
      </c>
      <c r="H118" t="s">
        <v>14</v>
      </c>
      <c r="I118" t="s">
        <v>396</v>
      </c>
      <c r="J118">
        <v>5.7</v>
      </c>
      <c r="K118" t="s">
        <v>3</v>
      </c>
      <c r="L118" t="s">
        <v>34</v>
      </c>
      <c r="M118">
        <f t="shared" si="11"/>
        <v>8.406468897313335</v>
      </c>
      <c r="N118">
        <f t="shared" si="12"/>
        <v>7.3249738921244587</v>
      </c>
      <c r="O118" s="67" cm="1">
        <f t="array" ref="O118">SUMPRODUCT((G118=$G$7:$G$10000)*(M118&lt;$M$7:$M$10000))+1</f>
        <v>13</v>
      </c>
      <c r="P118" s="72"/>
      <c r="Q118">
        <v>5</v>
      </c>
      <c r="R118" t="str">
        <v>NOLA</v>
      </c>
      <c r="S118" t="str">
        <v>Jonah Mau'u</v>
      </c>
      <c r="T118" t="str">
        <v>NULL</v>
      </c>
      <c r="U118" t="str">
        <v>Away</v>
      </c>
      <c r="V118" t="str">
        <v>NEFJ</v>
      </c>
      <c r="W118">
        <v>8.6690154934702104</v>
      </c>
      <c r="X118" t="str">
        <v>William Waguespack</v>
      </c>
      <c r="Y118" s="1" cm="1">
        <f t="array" ref="Y118">COUNT(_xlfn._xlws.FILTER($G$7:$G$10000,($I$7:$I$10000=X118)*($J$7:$J$10000&lt;&gt;"NULL")*($G$7:$G$10000 &gt;= ($G$1-5))))/5</f>
        <v>0.2</v>
      </c>
    </row>
    <row r="119" spans="1:25" x14ac:dyDescent="0.35">
      <c r="A119" t="s">
        <v>224</v>
      </c>
      <c r="B119" s="1">
        <v>-5.4040489230349085</v>
      </c>
      <c r="C119" s="1">
        <f t="shared" si="17"/>
        <v>100</v>
      </c>
      <c r="D119" s="1">
        <f t="shared" si="18"/>
        <v>6.9083183066210712</v>
      </c>
      <c r="E119" s="1">
        <f t="shared" si="19"/>
        <v>101</v>
      </c>
      <c r="F119">
        <f t="shared" si="20"/>
        <v>0.2</v>
      </c>
      <c r="G119" s="66">
        <v>2</v>
      </c>
      <c r="H119" t="s">
        <v>36</v>
      </c>
      <c r="I119" t="s">
        <v>117</v>
      </c>
      <c r="J119">
        <v>5.5</v>
      </c>
      <c r="K119" t="s">
        <v>9</v>
      </c>
      <c r="L119" t="s">
        <v>6</v>
      </c>
      <c r="M119">
        <f t="shared" si="11"/>
        <v>3.8960409585328364</v>
      </c>
      <c r="N119">
        <f t="shared" si="12"/>
        <v>2.5726846067042621</v>
      </c>
      <c r="O119" s="67" cm="1">
        <f t="array" ref="O119">SUMPRODUCT((G119=$G$7:$G$10000)*(M119&lt;$M$7:$M$10000))+1</f>
        <v>49</v>
      </c>
      <c r="P119" s="72"/>
      <c r="Q119">
        <v>5</v>
      </c>
      <c r="R119" t="str">
        <v>LA</v>
      </c>
      <c r="S119" t="str">
        <v>Ben Houston</v>
      </c>
      <c r="T119" t="str">
        <v>NULL</v>
      </c>
      <c r="U119" t="str">
        <v>Home</v>
      </c>
      <c r="V119" t="str">
        <v>SEA</v>
      </c>
      <c r="W119">
        <v>8.2930843345471388</v>
      </c>
      <c r="X119">
        <v>0</v>
      </c>
      <c r="Y119" s="1" cm="1">
        <f t="array" ref="Y119">COUNT(_xlfn._xlws.FILTER($G$7:$G$10000,($I$7:$I$10000=X119)*($J$7:$J$10000&lt;&gt;"NULL")*($G$7:$G$10000 &gt;= ($G$1-5))))/5</f>
        <v>0</v>
      </c>
    </row>
    <row r="120" spans="1:25" x14ac:dyDescent="0.35">
      <c r="A120" t="s">
        <v>179</v>
      </c>
      <c r="B120" s="1">
        <v>-5.436568895688958</v>
      </c>
      <c r="C120" s="1">
        <f t="shared" si="17"/>
        <v>101</v>
      </c>
      <c r="D120" s="1">
        <f t="shared" si="18"/>
        <v>7.2910007300001132</v>
      </c>
      <c r="E120" s="1">
        <f t="shared" si="19"/>
        <v>96</v>
      </c>
      <c r="F120">
        <f t="shared" si="20"/>
        <v>0.2</v>
      </c>
      <c r="G120" s="66">
        <v>2</v>
      </c>
      <c r="H120" t="s">
        <v>34</v>
      </c>
      <c r="I120" t="s">
        <v>153</v>
      </c>
      <c r="J120">
        <v>5.4</v>
      </c>
      <c r="K120" t="s">
        <v>9</v>
      </c>
      <c r="L120" t="s">
        <v>14</v>
      </c>
      <c r="M120">
        <f t="shared" si="11"/>
        <v>2.6708477308742875</v>
      </c>
      <c r="N120">
        <f t="shared" si="12"/>
        <v>7.4482721080740273</v>
      </c>
      <c r="O120" s="67" cm="1">
        <f t="array" ref="O120">SUMPRODUCT((G120=$G$7:$G$10000)*(M120&lt;$M$7:$M$10000))+1</f>
        <v>56</v>
      </c>
      <c r="P120" s="72"/>
      <c r="Q120">
        <v>5</v>
      </c>
      <c r="R120" t="str">
        <v>CHI</v>
      </c>
      <c r="S120" t="str">
        <v>Maclean Jones</v>
      </c>
      <c r="T120" t="str">
        <v>NULL</v>
      </c>
      <c r="U120" t="str">
        <v>Home</v>
      </c>
      <c r="V120" t="str">
        <v>OGDC</v>
      </c>
      <c r="W120">
        <v>8.2458429452293895</v>
      </c>
      <c r="Y120" s="1" cm="1">
        <f t="array" ref="Y120">COUNT(_xlfn._xlws.FILTER($G$7:$G$10000,($I$7:$I$10000=X120)*($J$7:$J$10000&lt;&gt;"NULL")*($G$7:$G$10000 &gt;= ($G$1-5))))/5</f>
        <v>0</v>
      </c>
    </row>
    <row r="121" spans="1:25" x14ac:dyDescent="0.35">
      <c r="A121" t="s">
        <v>161</v>
      </c>
      <c r="B121" s="1">
        <v>-5.4776163282827941</v>
      </c>
      <c r="C121" s="1">
        <f t="shared" si="17"/>
        <v>102</v>
      </c>
      <c r="D121" s="1">
        <f t="shared" si="18"/>
        <v>8.57758018993459</v>
      </c>
      <c r="E121" s="1">
        <f t="shared" si="19"/>
        <v>94</v>
      </c>
      <c r="F121">
        <f t="shared" si="20"/>
        <v>0.4</v>
      </c>
      <c r="G121" s="66">
        <v>2</v>
      </c>
      <c r="H121" t="s">
        <v>24</v>
      </c>
      <c r="I121" t="s">
        <v>422</v>
      </c>
      <c r="J121">
        <v>5.2</v>
      </c>
      <c r="K121" t="s">
        <v>3</v>
      </c>
      <c r="L121" t="s">
        <v>4</v>
      </c>
      <c r="M121">
        <f t="shared" si="11"/>
        <v>5.5454215956148802</v>
      </c>
      <c r="N121">
        <f t="shared" si="12"/>
        <v>0.11931607871712972</v>
      </c>
      <c r="O121" s="67" cm="1">
        <f t="array" ref="O121">SUMPRODUCT((G121=$G$7:$G$10000)*(M121&lt;$M$7:$M$10000))+1</f>
        <v>33</v>
      </c>
      <c r="P121" s="72"/>
      <c r="Q121">
        <v>5</v>
      </c>
      <c r="R121" t="str">
        <v>OGDC</v>
      </c>
      <c r="S121" t="str">
        <v>Jamason Fa'anana-Schultz</v>
      </c>
      <c r="T121" t="str">
        <v>NULL</v>
      </c>
      <c r="U121" t="str">
        <v>Away</v>
      </c>
      <c r="V121" t="str">
        <v>CHI</v>
      </c>
      <c r="W121">
        <v>8.1478073881341455</v>
      </c>
      <c r="Y121" s="1" cm="1">
        <f t="array" ref="Y121">COUNT(_xlfn._xlws.FILTER($G$7:$G$10000,($I$7:$I$10000=X121)*($J$7:$J$10000&lt;&gt;"NULL")*($G$7:$G$10000 &gt;= ($G$1-5))))/5</f>
        <v>0</v>
      </c>
    </row>
    <row r="122" spans="1:25" x14ac:dyDescent="0.35">
      <c r="A122" t="s">
        <v>283</v>
      </c>
      <c r="B122" s="1">
        <v>-5.6970520023573048</v>
      </c>
      <c r="C122" s="1">
        <f t="shared" si="17"/>
        <v>103</v>
      </c>
      <c r="D122" s="1">
        <f t="shared" si="18"/>
        <v>5.4433029100090895</v>
      </c>
      <c r="E122" s="1">
        <f t="shared" si="19"/>
        <v>103</v>
      </c>
      <c r="F122">
        <f t="shared" si="20"/>
        <v>0.2</v>
      </c>
      <c r="G122" s="66">
        <v>2</v>
      </c>
      <c r="H122" t="s">
        <v>4</v>
      </c>
      <c r="I122" t="s">
        <v>109</v>
      </c>
      <c r="J122">
        <v>5.2</v>
      </c>
      <c r="K122" t="s">
        <v>9</v>
      </c>
      <c r="L122" t="s">
        <v>24</v>
      </c>
      <c r="M122">
        <f t="shared" si="11"/>
        <v>5.1243824544809478</v>
      </c>
      <c r="N122">
        <f t="shared" si="12"/>
        <v>5.7180131903259651E-3</v>
      </c>
      <c r="O122" s="67" cm="1">
        <f t="array" ref="O122">SUMPRODUCT((G122=$G$7:$G$10000)*(M122&lt;$M$7:$M$10000))+1</f>
        <v>36</v>
      </c>
      <c r="P122" s="72"/>
      <c r="Q122">
        <v>5</v>
      </c>
      <c r="R122" t="str">
        <v>LA</v>
      </c>
      <c r="S122" t="str">
        <v>Ed Timpson</v>
      </c>
      <c r="T122" t="str">
        <v>NULL</v>
      </c>
      <c r="U122" t="str">
        <v>Home</v>
      </c>
      <c r="V122" t="str">
        <v>SEA</v>
      </c>
      <c r="W122">
        <v>7.9224313890857747</v>
      </c>
      <c r="Y122" s="1" cm="1">
        <f t="array" ref="Y122">COUNT(_xlfn._xlws.FILTER($G$7:$G$10000,($I$7:$I$10000=X122)*($J$7:$J$10000&lt;&gt;"NULL")*($G$7:$G$10000 &gt;= ($G$1-5))))/5</f>
        <v>0</v>
      </c>
    </row>
    <row r="123" spans="1:25" x14ac:dyDescent="0.35">
      <c r="A123" t="s">
        <v>423</v>
      </c>
      <c r="B123" s="1">
        <v>-5.7155865759063316</v>
      </c>
      <c r="C123" s="1">
        <f t="shared" si="17"/>
        <v>104</v>
      </c>
      <c r="D123" s="1">
        <f t="shared" si="18"/>
        <v>8.0450897262107048</v>
      </c>
      <c r="E123" s="1">
        <f t="shared" si="19"/>
        <v>95</v>
      </c>
      <c r="F123">
        <f t="shared" si="20"/>
        <v>0.2</v>
      </c>
      <c r="G123" s="66">
        <v>2</v>
      </c>
      <c r="H123" t="s">
        <v>24</v>
      </c>
      <c r="I123" t="s">
        <v>217</v>
      </c>
      <c r="J123">
        <v>5</v>
      </c>
      <c r="K123" t="s">
        <v>3</v>
      </c>
      <c r="L123" t="s">
        <v>4</v>
      </c>
      <c r="M123">
        <f t="shared" si="11"/>
        <v>4.8028075426827348</v>
      </c>
      <c r="N123">
        <f t="shared" si="12"/>
        <v>3.888486522282146E-2</v>
      </c>
      <c r="O123" s="67" cm="1">
        <f t="array" ref="O123">SUMPRODUCT((G123=$G$7:$G$10000)*(M123&lt;$M$7:$M$10000))+1</f>
        <v>41</v>
      </c>
      <c r="P123" s="72"/>
      <c r="Q123">
        <v>5</v>
      </c>
      <c r="R123" t="str">
        <v>CHI</v>
      </c>
      <c r="S123" t="str">
        <v>James Scott</v>
      </c>
      <c r="T123" t="str">
        <v>NULL</v>
      </c>
      <c r="U123" t="str">
        <v>Home</v>
      </c>
      <c r="V123" t="str">
        <v>OGDC</v>
      </c>
      <c r="W123">
        <v>7.799199966644518</v>
      </c>
      <c r="Y123" s="1" cm="1">
        <f t="array" ref="Y123">COUNT(_xlfn._xlws.FILTER($G$7:$G$10000,($I$7:$I$10000=X123)*($J$7:$J$10000&lt;&gt;"NULL")*($G$7:$G$10000 &gt;= ($G$1-5))))/5</f>
        <v>0</v>
      </c>
    </row>
    <row r="124" spans="1:25" x14ac:dyDescent="0.35">
      <c r="A124" t="s">
        <v>424</v>
      </c>
      <c r="B124" s="1">
        <v>-5.8566234145036118</v>
      </c>
      <c r="C124" s="1">
        <f t="shared" si="17"/>
        <v>105</v>
      </c>
      <c r="D124" s="1">
        <f t="shared" si="18"/>
        <v>7.0615518450513193</v>
      </c>
      <c r="E124" s="1">
        <f t="shared" si="19"/>
        <v>99</v>
      </c>
      <c r="F124">
        <f t="shared" si="20"/>
        <v>0.4</v>
      </c>
      <c r="G124" s="66">
        <v>2</v>
      </c>
      <c r="H124" t="s">
        <v>34</v>
      </c>
      <c r="I124" t="s">
        <v>227</v>
      </c>
      <c r="J124">
        <v>4.9000000000000004</v>
      </c>
      <c r="K124" t="s">
        <v>9</v>
      </c>
      <c r="L124" t="s">
        <v>14</v>
      </c>
      <c r="M124">
        <f t="shared" si="11"/>
        <v>5.0499415012359377</v>
      </c>
      <c r="N124">
        <f t="shared" si="12"/>
        <v>2.2482453792886589E-2</v>
      </c>
      <c r="O124" s="67" cm="1">
        <f t="array" ref="O124">SUMPRODUCT((G124=$G$7:$G$10000)*(M124&lt;$M$7:$M$10000))+1</f>
        <v>38</v>
      </c>
      <c r="P124" s="72"/>
      <c r="Q124">
        <v>5</v>
      </c>
      <c r="R124" t="str">
        <v>CHI</v>
      </c>
      <c r="S124" t="str">
        <v>Mason Flesch</v>
      </c>
      <c r="T124" t="str">
        <v>NULL</v>
      </c>
      <c r="U124" t="str">
        <v>Home</v>
      </c>
      <c r="V124" t="str">
        <v>OGDC</v>
      </c>
      <c r="W124">
        <v>7.5888928021058648</v>
      </c>
      <c r="Y124" s="1" cm="1">
        <f t="array" ref="Y124">COUNT(_xlfn._xlws.FILTER($G$7:$G$10000,($I$7:$I$10000=X124)*($J$7:$J$10000&lt;&gt;"NULL")*($G$7:$G$10000 &gt;= ($G$1-5))))/5</f>
        <v>0</v>
      </c>
    </row>
    <row r="125" spans="1:25" x14ac:dyDescent="0.35">
      <c r="A125" t="s">
        <v>418</v>
      </c>
      <c r="B125" s="1">
        <v>-5.9660751910174339</v>
      </c>
      <c r="C125" s="1">
        <f t="shared" si="17"/>
        <v>106</v>
      </c>
      <c r="D125" s="1">
        <f t="shared" si="18"/>
        <v>8.9139349955468248</v>
      </c>
      <c r="E125" s="1">
        <f t="shared" si="19"/>
        <v>93</v>
      </c>
      <c r="F125">
        <f t="shared" si="20"/>
        <v>0.4</v>
      </c>
      <c r="G125" s="66">
        <v>2</v>
      </c>
      <c r="H125" t="s">
        <v>14</v>
      </c>
      <c r="I125" t="s">
        <v>470</v>
      </c>
      <c r="J125">
        <v>4.8</v>
      </c>
      <c r="K125" t="s">
        <v>3</v>
      </c>
      <c r="L125" t="s">
        <v>34</v>
      </c>
      <c r="M125">
        <f t="shared" si="11"/>
        <v>5.1351064685556258</v>
      </c>
      <c r="N125">
        <f t="shared" si="12"/>
        <v>0.11229634526782274</v>
      </c>
      <c r="O125" s="67" cm="1">
        <f t="array" ref="O125">SUMPRODUCT((G125=$G$7:$G$10000)*(M125&lt;$M$7:$M$10000))+1</f>
        <v>35</v>
      </c>
      <c r="P125" s="72"/>
      <c r="Q125">
        <v>5</v>
      </c>
      <c r="R125" t="str">
        <v>NEFJ</v>
      </c>
      <c r="S125" t="str">
        <v>Piers von Dadelszen</v>
      </c>
      <c r="T125" t="str">
        <v>NULL</v>
      </c>
      <c r="U125" t="str">
        <v>Home</v>
      </c>
      <c r="V125" t="str">
        <v>NOLA</v>
      </c>
      <c r="W125">
        <v>7.4703648627556927</v>
      </c>
      <c r="Y125" s="1" cm="1">
        <f t="array" ref="Y125">COUNT(_xlfn._xlws.FILTER($G$7:$G$10000,($I$7:$I$10000=X125)*($J$7:$J$10000&lt;&gt;"NULL")*($G$7:$G$10000 &gt;= ($G$1-5))))/5</f>
        <v>0</v>
      </c>
    </row>
    <row r="126" spans="1:25" x14ac:dyDescent="0.35">
      <c r="A126" t="s">
        <v>414</v>
      </c>
      <c r="B126" s="1">
        <v>-6.3234570288645102</v>
      </c>
      <c r="C126" s="1">
        <f t="shared" si="17"/>
        <v>107</v>
      </c>
      <c r="D126" s="1">
        <f t="shared" si="18"/>
        <v>2.3112777774730624</v>
      </c>
      <c r="E126" s="1">
        <f t="shared" si="19"/>
        <v>108</v>
      </c>
      <c r="F126" t="e">
        <f t="shared" si="20"/>
        <v>#N/A</v>
      </c>
      <c r="G126" s="66">
        <v>2</v>
      </c>
      <c r="H126" t="s">
        <v>36</v>
      </c>
      <c r="I126" t="s">
        <v>466</v>
      </c>
      <c r="J126">
        <v>4.8</v>
      </c>
      <c r="K126" t="s">
        <v>9</v>
      </c>
      <c r="L126" t="s">
        <v>6</v>
      </c>
      <c r="M126">
        <f t="shared" si="11"/>
        <v>11.879884396002117</v>
      </c>
      <c r="N126">
        <f t="shared" si="12"/>
        <v>50.124763060754262</v>
      </c>
      <c r="O126" s="67" cm="1">
        <f t="array" ref="O126">SUMPRODUCT((G126=$G$7:$G$10000)*(M126&lt;$M$7:$M$10000))+1</f>
        <v>4</v>
      </c>
      <c r="P126" s="72"/>
      <c r="Q126">
        <v>5</v>
      </c>
      <c r="R126" t="str">
        <v>LA</v>
      </c>
      <c r="S126" t="str">
        <v>Jason Damm</v>
      </c>
      <c r="T126" t="str">
        <v>NULL</v>
      </c>
      <c r="U126" t="str">
        <v>Home</v>
      </c>
      <c r="V126" t="str">
        <v>SEA</v>
      </c>
      <c r="W126">
        <v>7.4205784182156975</v>
      </c>
      <c r="Y126" s="1" cm="1">
        <f t="array" ref="Y126">COUNT(_xlfn._xlws.FILTER($G$7:$G$10000,($I$7:$I$10000=X126)*($J$7:$J$10000&lt;&gt;"NULL")*($G$7:$G$10000 &gt;= ($G$1-5))))/5</f>
        <v>0</v>
      </c>
    </row>
    <row r="127" spans="1:25" x14ac:dyDescent="0.35">
      <c r="A127" t="s">
        <v>185</v>
      </c>
      <c r="B127" s="1">
        <v>-6.3484600400620055</v>
      </c>
      <c r="C127" s="1">
        <f t="shared" si="17"/>
        <v>108</v>
      </c>
      <c r="D127" s="1">
        <f t="shared" si="18"/>
        <v>0.38341681172080033</v>
      </c>
      <c r="E127" s="1">
        <f t="shared" si="19"/>
        <v>110</v>
      </c>
      <c r="F127">
        <f t="shared" si="20"/>
        <v>0.4</v>
      </c>
      <c r="G127" s="66">
        <v>2</v>
      </c>
      <c r="H127" t="s">
        <v>24</v>
      </c>
      <c r="I127" t="s">
        <v>168</v>
      </c>
      <c r="J127">
        <v>4.5</v>
      </c>
      <c r="K127" t="s">
        <v>3</v>
      </c>
      <c r="L127" t="s">
        <v>4</v>
      </c>
      <c r="M127">
        <f t="shared" si="11"/>
        <v>4.3283737820425685</v>
      </c>
      <c r="N127">
        <f t="shared" si="12"/>
        <v>2.945555869037178E-2</v>
      </c>
      <c r="O127" s="67" cm="1">
        <f t="array" ref="O127">SUMPRODUCT((G127=$G$7:$G$10000)*(M127&lt;$M$7:$M$10000))+1</f>
        <v>45</v>
      </c>
      <c r="P127" s="72"/>
      <c r="Q127">
        <v>5</v>
      </c>
      <c r="R127" t="str">
        <v>UTAH</v>
      </c>
      <c r="S127" t="str">
        <v>Aki Seiuli</v>
      </c>
      <c r="T127" t="str">
        <v>NULL</v>
      </c>
      <c r="U127" t="str">
        <v>Away</v>
      </c>
      <c r="V127" t="str">
        <v>MIA</v>
      </c>
      <c r="W127">
        <v>7.4096758341916491</v>
      </c>
      <c r="Y127" s="1" cm="1">
        <f t="array" ref="Y127">COUNT(_xlfn._xlws.FILTER($G$7:$G$10000,($I$7:$I$10000=X127)*($J$7:$J$10000&lt;&gt;"NULL")*($G$7:$G$10000 &gt;= ($G$1-5))))/5</f>
        <v>0</v>
      </c>
    </row>
    <row r="128" spans="1:25" x14ac:dyDescent="0.35">
      <c r="A128" t="s">
        <v>467</v>
      </c>
      <c r="B128" s="1">
        <v>-6.5993884564654435</v>
      </c>
      <c r="C128" s="1">
        <f t="shared" si="17"/>
        <v>109</v>
      </c>
      <c r="D128" s="1">
        <f t="shared" si="18"/>
        <v>3.4901253799653231</v>
      </c>
      <c r="E128" s="1">
        <f t="shared" si="19"/>
        <v>106</v>
      </c>
      <c r="F128" t="e">
        <f t="shared" si="20"/>
        <v>#N/A</v>
      </c>
      <c r="G128" s="66">
        <v>2</v>
      </c>
      <c r="H128" t="s">
        <v>14</v>
      </c>
      <c r="I128" t="s">
        <v>164</v>
      </c>
      <c r="J128">
        <v>4.4000000000000004</v>
      </c>
      <c r="K128" t="s">
        <v>3</v>
      </c>
      <c r="L128" t="s">
        <v>34</v>
      </c>
      <c r="M128">
        <f t="shared" si="11"/>
        <v>5.1238563840824725</v>
      </c>
      <c r="N128">
        <f t="shared" si="12"/>
        <v>0.52396806477695135</v>
      </c>
      <c r="O128" s="67" cm="1">
        <f t="array" ref="O128">SUMPRODUCT((G128=$G$7:$G$10000)*(M128&lt;$M$7:$M$10000))+1</f>
        <v>37</v>
      </c>
      <c r="P128" s="72"/>
      <c r="Q128">
        <v>5</v>
      </c>
      <c r="R128" t="str">
        <v>NEFJ</v>
      </c>
      <c r="S128" t="str">
        <v>Andrew Quattrin</v>
      </c>
      <c r="T128" t="str">
        <v>NULL</v>
      </c>
      <c r="U128" t="str">
        <v>Home</v>
      </c>
      <c r="V128" t="str">
        <v>NOLA</v>
      </c>
      <c r="W128">
        <v>7.3557307514495003</v>
      </c>
      <c r="Y128" s="1" cm="1">
        <f t="array" ref="Y128">COUNT(_xlfn._xlws.FILTER($G$7:$G$10000,($I$7:$I$10000=X128)*($J$7:$J$10000&lt;&gt;"NULL")*($G$7:$G$10000 &gt;= ($G$1-5))))/5</f>
        <v>0</v>
      </c>
    </row>
    <row r="129" spans="1:25" x14ac:dyDescent="0.35">
      <c r="A129" t="s">
        <v>155</v>
      </c>
      <c r="B129" s="1">
        <v>-6.8920289737634066</v>
      </c>
      <c r="C129" s="1">
        <f t="shared" si="17"/>
        <v>110</v>
      </c>
      <c r="D129" s="1">
        <f t="shared" si="18"/>
        <v>2.1628777369253287</v>
      </c>
      <c r="E129" s="1">
        <f t="shared" si="19"/>
        <v>109</v>
      </c>
      <c r="F129">
        <f t="shared" si="20"/>
        <v>0.2</v>
      </c>
      <c r="G129" s="66">
        <v>2</v>
      </c>
      <c r="H129" t="s">
        <v>6</v>
      </c>
      <c r="I129" t="s">
        <v>418</v>
      </c>
      <c r="J129">
        <v>4.0999999999999996</v>
      </c>
      <c r="K129" t="s">
        <v>3</v>
      </c>
      <c r="L129" t="s">
        <v>36</v>
      </c>
      <c r="M129">
        <f t="shared" si="11"/>
        <v>1.5883807111696289</v>
      </c>
      <c r="N129">
        <f t="shared" si="12"/>
        <v>6.3082314520247778</v>
      </c>
      <c r="O129" s="67" cm="1">
        <f t="array" ref="O129">SUMPRODUCT((G129=$G$7:$G$10000)*(M129&lt;$M$7:$M$10000))+1</f>
        <v>59</v>
      </c>
      <c r="P129" s="72"/>
      <c r="Q129">
        <v>5</v>
      </c>
      <c r="R129" t="str">
        <v>MIA</v>
      </c>
      <c r="S129" t="str">
        <v>Benjamin Bonasso</v>
      </c>
      <c r="T129" t="str">
        <v>NULL</v>
      </c>
      <c r="U129" t="str">
        <v>Home</v>
      </c>
      <c r="V129" t="str">
        <v>UTAH</v>
      </c>
      <c r="W129">
        <v>7.2879982316224252</v>
      </c>
      <c r="Y129" s="1" cm="1">
        <f t="array" ref="Y129">COUNT(_xlfn._xlws.FILTER($G$7:$G$10000,($I$7:$I$10000=X129)*($J$7:$J$10000&lt;&gt;"NULL")*($G$7:$G$10000 &gt;= ($G$1-5))))/5</f>
        <v>0</v>
      </c>
    </row>
    <row r="130" spans="1:25" x14ac:dyDescent="0.35">
      <c r="A130" t="s">
        <v>106</v>
      </c>
      <c r="B130" s="1">
        <v>-10.864572572178876</v>
      </c>
      <c r="C130" s="1">
        <f t="shared" si="17"/>
        <v>111</v>
      </c>
      <c r="D130" s="1">
        <f t="shared" si="18"/>
        <v>-20.394299939098765</v>
      </c>
      <c r="E130" s="1">
        <f t="shared" si="19"/>
        <v>111</v>
      </c>
      <c r="F130">
        <f t="shared" si="20"/>
        <v>0.2</v>
      </c>
      <c r="G130" s="66">
        <v>2</v>
      </c>
      <c r="H130" t="s">
        <v>6</v>
      </c>
      <c r="I130" t="s">
        <v>208</v>
      </c>
      <c r="J130">
        <v>4.0999999999999996</v>
      </c>
      <c r="K130" t="s">
        <v>3</v>
      </c>
      <c r="L130" t="s">
        <v>36</v>
      </c>
      <c r="M130">
        <f t="shared" si="11"/>
        <v>7.2076940855123848</v>
      </c>
      <c r="N130">
        <f t="shared" si="12"/>
        <v>9.6577625291286591</v>
      </c>
      <c r="O130" s="67" cm="1">
        <f t="array" ref="O130">SUMPRODUCT((G130=$G$7:$G$10000)*(M130&lt;$M$7:$M$10000))+1</f>
        <v>19</v>
      </c>
      <c r="P130" s="72"/>
      <c r="Q130">
        <v>5</v>
      </c>
      <c r="R130" t="str">
        <v>NEFJ</v>
      </c>
      <c r="S130" t="str">
        <v>Sam Caird</v>
      </c>
      <c r="T130" t="str">
        <v>NULL</v>
      </c>
      <c r="U130" t="str">
        <v>Home</v>
      </c>
      <c r="V130" t="str">
        <v>NOLA</v>
      </c>
      <c r="W130">
        <v>7.0839523968585238</v>
      </c>
      <c r="Y130" s="1" cm="1">
        <f t="array" ref="Y130">COUNT(_xlfn._xlws.FILTER($G$7:$G$10000,($I$7:$I$10000=X130)*($J$7:$J$10000&lt;&gt;"NULL")*($G$7:$G$10000 &gt;= ($G$1-5))))/5</f>
        <v>0</v>
      </c>
    </row>
    <row r="131" spans="1:25" x14ac:dyDescent="0.35">
      <c r="A131" t="s">
        <v>142</v>
      </c>
      <c r="B131" s="1">
        <v>-14.899655546866164</v>
      </c>
      <c r="C131" s="1">
        <f t="shared" si="17"/>
        <v>112</v>
      </c>
      <c r="D131" s="1">
        <f t="shared" si="18"/>
        <v>-40.024432525885921</v>
      </c>
      <c r="E131" s="1">
        <f t="shared" si="19"/>
        <v>112</v>
      </c>
      <c r="F131">
        <f t="shared" si="20"/>
        <v>0.2</v>
      </c>
      <c r="G131" s="66">
        <v>2</v>
      </c>
      <c r="H131" t="s">
        <v>14</v>
      </c>
      <c r="I131" t="s">
        <v>471</v>
      </c>
      <c r="J131">
        <v>4</v>
      </c>
      <c r="K131" t="s">
        <v>3</v>
      </c>
      <c r="L131" t="s">
        <v>34</v>
      </c>
      <c r="M131">
        <f t="shared" si="11"/>
        <v>6.2486742400377784</v>
      </c>
      <c r="N131">
        <f t="shared" si="12"/>
        <v>5.0565358378094798</v>
      </c>
      <c r="O131" s="67" cm="1">
        <f t="array" ref="O131">SUMPRODUCT((G131=$G$7:$G$10000)*(M131&lt;$M$7:$M$10000))+1</f>
        <v>28</v>
      </c>
      <c r="P131" s="72"/>
      <c r="Q131">
        <v>5</v>
      </c>
      <c r="R131" t="str">
        <v>CHI</v>
      </c>
      <c r="S131" t="str">
        <v>Paddy Ryan</v>
      </c>
      <c r="T131" t="str">
        <v>NULL</v>
      </c>
      <c r="U131" t="str">
        <v>Home</v>
      </c>
      <c r="V131" t="str">
        <v>OGDC</v>
      </c>
      <c r="W131">
        <v>7.0338540672399823</v>
      </c>
      <c r="Y131" s="1" cm="1">
        <f t="array" ref="Y131">COUNT(_xlfn._xlws.FILTER($G$7:$G$10000,($I$7:$I$10000=X131)*($J$7:$J$10000&lt;&gt;"NULL")*($G$7:$G$10000 &gt;= ($G$1-5))))/5</f>
        <v>0</v>
      </c>
    </row>
    <row r="132" spans="1:25" x14ac:dyDescent="0.35">
      <c r="G132" s="66">
        <v>2</v>
      </c>
      <c r="H132" t="s">
        <v>13</v>
      </c>
      <c r="I132" t="s">
        <v>210</v>
      </c>
      <c r="J132">
        <v>3.8</v>
      </c>
      <c r="K132" t="s">
        <v>9</v>
      </c>
      <c r="L132" t="s">
        <v>2</v>
      </c>
      <c r="M132">
        <f t="shared" si="11"/>
        <v>3.8662780606150844</v>
      </c>
      <c r="N132">
        <f t="shared" si="12"/>
        <v>4.392781318896824E-3</v>
      </c>
      <c r="O132" s="67" cm="1">
        <f t="array" ref="O132">SUMPRODUCT((G132=$G$7:$G$10000)*(M132&lt;$M$7:$M$10000))+1</f>
        <v>50</v>
      </c>
      <c r="P132" s="72"/>
      <c r="Q132">
        <v>5</v>
      </c>
      <c r="R132" t="str">
        <v>UTAH</v>
      </c>
      <c r="S132" t="str">
        <v>Frank Lochore</v>
      </c>
      <c r="T132" t="str">
        <v>NULL</v>
      </c>
      <c r="U132" t="str">
        <v>Away</v>
      </c>
      <c r="V132" t="str">
        <v>MIA</v>
      </c>
      <c r="W132">
        <v>7.0060979321361962</v>
      </c>
      <c r="Y132" s="1" cm="1">
        <f t="array" ref="Y132">COUNT(_xlfn._xlws.FILTER($G$7:$G$10000,($I$7:$I$10000=X132)*($J$7:$J$10000&lt;&gt;"NULL")*($G$7:$G$10000 &gt;= ($G$1-5))))/5</f>
        <v>0</v>
      </c>
    </row>
    <row r="133" spans="1:25" x14ac:dyDescent="0.35">
      <c r="G133" s="66">
        <v>2</v>
      </c>
      <c r="H133" t="s">
        <v>6</v>
      </c>
      <c r="I133" t="s">
        <v>417</v>
      </c>
      <c r="J133">
        <v>3.6</v>
      </c>
      <c r="K133" t="s">
        <v>3</v>
      </c>
      <c r="L133" t="s">
        <v>36</v>
      </c>
      <c r="M133">
        <f t="shared" si="11"/>
        <v>3.7262053105775181</v>
      </c>
      <c r="N133">
        <f t="shared" si="12"/>
        <v>1.5927780417967788E-2</v>
      </c>
      <c r="O133" s="67" cm="1">
        <f t="array" ref="O133">SUMPRODUCT((G133=$G$7:$G$10000)*(M133&lt;$M$7:$M$10000))+1</f>
        <v>51</v>
      </c>
      <c r="P133" s="72"/>
      <c r="Q133">
        <v>5</v>
      </c>
      <c r="R133" t="str">
        <v>MIA</v>
      </c>
      <c r="S133" t="str">
        <v>Manuel Ardao</v>
      </c>
      <c r="T133" t="str">
        <v>NULL</v>
      </c>
      <c r="U133" t="str">
        <v>Home</v>
      </c>
      <c r="V133" t="str">
        <v>UTAH</v>
      </c>
      <c r="W133">
        <v>6.5732778765326429</v>
      </c>
      <c r="Y133" s="1" cm="1">
        <f t="array" ref="Y133">COUNT(_xlfn._xlws.FILTER($G$7:$G$10000,($I$7:$I$10000=X133)*($J$7:$J$10000&lt;&gt;"NULL")*($G$7:$G$10000 &gt;= ($G$1-5))))/5</f>
        <v>0</v>
      </c>
    </row>
    <row r="134" spans="1:25" x14ac:dyDescent="0.35">
      <c r="G134" s="66">
        <v>2</v>
      </c>
      <c r="H134" t="s">
        <v>2</v>
      </c>
      <c r="I134" t="s">
        <v>108</v>
      </c>
      <c r="J134">
        <v>3.1</v>
      </c>
      <c r="K134" t="s">
        <v>3</v>
      </c>
      <c r="L134" t="s">
        <v>13</v>
      </c>
      <c r="M134">
        <f t="shared" si="11"/>
        <v>5.2033795649411729</v>
      </c>
      <c r="N134">
        <f t="shared" si="12"/>
        <v>4.4242055942121175</v>
      </c>
      <c r="O134" s="67" cm="1">
        <f t="array" ref="O134">SUMPRODUCT((G134=$G$7:$G$10000)*(M134&lt;$M$7:$M$10000))+1</f>
        <v>34</v>
      </c>
      <c r="P134" s="72"/>
      <c r="Q134">
        <v>5</v>
      </c>
      <c r="R134" t="str">
        <v>SEA</v>
      </c>
      <c r="S134" t="str">
        <v>Huw Taylor</v>
      </c>
      <c r="T134" t="str">
        <v>NULL</v>
      </c>
      <c r="U134" t="str">
        <v>Away</v>
      </c>
      <c r="V134" t="str">
        <v>LA</v>
      </c>
      <c r="W134">
        <v>6.4624582247422122</v>
      </c>
      <c r="Y134" s="1" cm="1">
        <f t="array" ref="Y134">COUNT(_xlfn._xlws.FILTER($G$7:$G$10000,($I$7:$I$10000=X134)*($J$7:$J$10000&lt;&gt;"NULL")*($G$7:$G$10000 &gt;= ($G$1-5))))/5</f>
        <v>0</v>
      </c>
    </row>
    <row r="135" spans="1:25" x14ac:dyDescent="0.35">
      <c r="G135" s="66">
        <v>2</v>
      </c>
      <c r="H135" t="s">
        <v>34</v>
      </c>
      <c r="I135" t="s">
        <v>420</v>
      </c>
      <c r="J135">
        <v>2.8</v>
      </c>
      <c r="K135" t="s">
        <v>9</v>
      </c>
      <c r="L135" t="s">
        <v>14</v>
      </c>
      <c r="M135">
        <f t="shared" si="11"/>
        <v>7.5902244245141297</v>
      </c>
      <c r="N135">
        <f t="shared" si="12"/>
        <v>22.946250037211726</v>
      </c>
      <c r="O135" s="67" cm="1">
        <f t="array" ref="O135">SUMPRODUCT((G135=$G$7:$G$10000)*(M135&lt;$M$7:$M$10000))+1</f>
        <v>17</v>
      </c>
      <c r="P135" s="72"/>
      <c r="Q135">
        <v>5</v>
      </c>
      <c r="R135" t="str">
        <v>NEFJ</v>
      </c>
      <c r="S135" t="str">
        <v>Jero Gomez Vara</v>
      </c>
      <c r="T135" t="str">
        <v>NULL</v>
      </c>
      <c r="U135" t="str">
        <v>Home</v>
      </c>
      <c r="V135" t="str">
        <v>NOLA</v>
      </c>
      <c r="W135">
        <v>6.4091293214139835</v>
      </c>
      <c r="Y135" s="1" cm="1">
        <f t="array" ref="Y135">COUNT(_xlfn._xlws.FILTER($G$7:$G$10000,($I$7:$I$10000=X135)*($J$7:$J$10000&lt;&gt;"NULL")*($G$7:$G$10000 &gt;= ($G$1-5))))/5</f>
        <v>0</v>
      </c>
    </row>
    <row r="136" spans="1:25" x14ac:dyDescent="0.35">
      <c r="G136" s="66">
        <v>2</v>
      </c>
      <c r="H136" t="s">
        <v>14</v>
      </c>
      <c r="I136" t="s">
        <v>248</v>
      </c>
      <c r="J136">
        <v>2.7</v>
      </c>
      <c r="K136" t="s">
        <v>3</v>
      </c>
      <c r="L136" t="s">
        <v>34</v>
      </c>
      <c r="M136">
        <f t="shared" ref="M136:M199" si="21">VLOOKUP($K136,$F$3:$G$4,2,FALSE)+VLOOKUP($I136,$A$20:$B$321,2,FALSE)+VLOOKUP($L136,$A$6:$B$16,2,FALSE)</f>
        <v>7.2775226915442666</v>
      </c>
      <c r="N136">
        <f t="shared" ref="N136:N150" si="22">IFERROR(($J136-$M136)^2,"")</f>
        <v>20.953713991602665</v>
      </c>
      <c r="O136" s="67" cm="1">
        <f t="array" ref="O136">SUMPRODUCT((G136=$G$7:$G$10000)*(M136&lt;$M$7:$M$10000))+1</f>
        <v>18</v>
      </c>
      <c r="P136" s="72"/>
      <c r="Q136">
        <v>5</v>
      </c>
      <c r="R136" t="str">
        <v>NEFJ</v>
      </c>
      <c r="S136" t="str">
        <v>Kaleb Geiger</v>
      </c>
      <c r="T136" t="str">
        <v>NULL</v>
      </c>
      <c r="U136" t="str">
        <v>Home</v>
      </c>
      <c r="V136" t="str">
        <v>NOLA</v>
      </c>
      <c r="W136">
        <v>6.1336883515052065</v>
      </c>
      <c r="Y136" s="1" cm="1">
        <f t="array" ref="Y136">COUNT(_xlfn._xlws.FILTER($G$7:$G$10000,($I$7:$I$10000=X136)*($J$7:$J$10000&lt;&gt;"NULL")*($G$7:$G$10000 &gt;= ($G$1-5))))/5</f>
        <v>0</v>
      </c>
    </row>
    <row r="137" spans="1:25" x14ac:dyDescent="0.35">
      <c r="G137" s="66">
        <v>2</v>
      </c>
      <c r="H137" t="s">
        <v>2</v>
      </c>
      <c r="I137" t="s">
        <v>213</v>
      </c>
      <c r="J137">
        <v>2.6</v>
      </c>
      <c r="K137" t="s">
        <v>3</v>
      </c>
      <c r="L137" t="s">
        <v>13</v>
      </c>
      <c r="M137">
        <f t="shared" si="21"/>
        <v>5.6500225435260436</v>
      </c>
      <c r="N137">
        <f t="shared" si="22"/>
        <v>9.3026375160170769</v>
      </c>
      <c r="O137" s="67" cm="1">
        <f t="array" ref="O137">SUMPRODUCT((G137=$G$7:$G$10000)*(M137&lt;$M$7:$M$10000))+1</f>
        <v>32</v>
      </c>
      <c r="P137" s="72"/>
      <c r="Q137">
        <v>5</v>
      </c>
      <c r="R137" t="str">
        <v>OGDC</v>
      </c>
      <c r="S137" t="str">
        <v>Cory Daniel</v>
      </c>
      <c r="T137" t="str">
        <v>NULL</v>
      </c>
      <c r="U137" t="str">
        <v>Away</v>
      </c>
      <c r="V137" t="str">
        <v>CHI</v>
      </c>
      <c r="W137">
        <v>5.614699482475773</v>
      </c>
      <c r="Y137" s="1" cm="1">
        <f t="array" ref="Y137">COUNT(_xlfn._xlws.FILTER($G$7:$G$10000,($I$7:$I$10000=X137)*($J$7:$J$10000&lt;&gt;"NULL")*($G$7:$G$10000 &gt;= ($G$1-5))))/5</f>
        <v>0</v>
      </c>
    </row>
    <row r="138" spans="1:25" x14ac:dyDescent="0.35">
      <c r="G138" s="66">
        <v>2</v>
      </c>
      <c r="H138" t="s">
        <v>4</v>
      </c>
      <c r="I138" t="s">
        <v>172</v>
      </c>
      <c r="J138">
        <v>2.6</v>
      </c>
      <c r="K138" t="s">
        <v>9</v>
      </c>
      <c r="L138" t="s">
        <v>24</v>
      </c>
      <c r="M138">
        <f t="shared" si="21"/>
        <v>3.6466175194459307</v>
      </c>
      <c r="N138">
        <f t="shared" si="22"/>
        <v>1.0954082320111529</v>
      </c>
      <c r="O138" s="67" cm="1">
        <f t="array" ref="O138">SUMPRODUCT((G138=$G$7:$G$10000)*(M138&lt;$M$7:$M$10000))+1</f>
        <v>53</v>
      </c>
      <c r="P138" s="72"/>
      <c r="Q138">
        <v>5</v>
      </c>
      <c r="R138" t="str">
        <v>UTAH</v>
      </c>
      <c r="S138" t="str">
        <v>Matt Jenson</v>
      </c>
      <c r="T138" t="str">
        <v>NULL</v>
      </c>
      <c r="U138" t="str">
        <v>Away</v>
      </c>
      <c r="V138" t="str">
        <v>MIA</v>
      </c>
      <c r="W138">
        <v>5.5562353264810787</v>
      </c>
      <c r="Y138" s="1" cm="1">
        <f t="array" ref="Y138">COUNT(_xlfn._xlws.FILTER($G$7:$G$10000,($I$7:$I$10000=X138)*($J$7:$J$10000&lt;&gt;"NULL")*($G$7:$G$10000 &gt;= ($G$1-5))))/5</f>
        <v>0</v>
      </c>
    </row>
    <row r="139" spans="1:25" x14ac:dyDescent="0.35">
      <c r="G139" s="66">
        <v>2</v>
      </c>
      <c r="H139" t="s">
        <v>2</v>
      </c>
      <c r="I139" t="s">
        <v>426</v>
      </c>
      <c r="J139">
        <v>2.4</v>
      </c>
      <c r="K139" t="s">
        <v>3</v>
      </c>
      <c r="L139" t="s">
        <v>13</v>
      </c>
      <c r="M139">
        <f t="shared" si="21"/>
        <v>0.53069920022016515</v>
      </c>
      <c r="N139">
        <f t="shared" si="22"/>
        <v>3.4942854800575298</v>
      </c>
      <c r="O139" s="67" cm="1">
        <f t="array" ref="O139">SUMPRODUCT((G139=$G$7:$G$10000)*(M139&lt;$M$7:$M$10000))+1</f>
        <v>62</v>
      </c>
      <c r="P139" s="72"/>
      <c r="Q139">
        <v>5</v>
      </c>
      <c r="R139" t="str">
        <v>SEA</v>
      </c>
      <c r="S139" t="str">
        <v>Cameron Orr</v>
      </c>
      <c r="T139" t="str">
        <v>NULL</v>
      </c>
      <c r="U139" t="str">
        <v>Away</v>
      </c>
      <c r="V139" t="str">
        <v>LA</v>
      </c>
      <c r="W139">
        <v>5.3634504210439236</v>
      </c>
      <c r="Y139" s="1" cm="1">
        <f t="array" ref="Y139">COUNT(_xlfn._xlws.FILTER($G$7:$G$10000,($I$7:$I$10000=X139)*($J$7:$J$10000&lt;&gt;"NULL")*($G$7:$G$10000 &gt;= ($G$1-5))))/5</f>
        <v>0</v>
      </c>
    </row>
    <row r="140" spans="1:25" x14ac:dyDescent="0.35">
      <c r="G140" s="66">
        <v>2</v>
      </c>
      <c r="H140" t="s">
        <v>36</v>
      </c>
      <c r="I140" t="s">
        <v>415</v>
      </c>
      <c r="J140">
        <v>2.4</v>
      </c>
      <c r="K140" t="s">
        <v>9</v>
      </c>
      <c r="L140" t="s">
        <v>6</v>
      </c>
      <c r="M140">
        <f t="shared" si="21"/>
        <v>2.5223047401289787</v>
      </c>
      <c r="N140">
        <f t="shared" si="22"/>
        <v>1.4958449458017022E-2</v>
      </c>
      <c r="O140" s="67" cm="1">
        <f t="array" ref="O140">SUMPRODUCT((G140=$G$7:$G$10000)*(M140&lt;$M$7:$M$10000))+1</f>
        <v>57</v>
      </c>
      <c r="P140" s="72"/>
      <c r="Q140">
        <v>5</v>
      </c>
      <c r="R140" t="str">
        <v>UTAH</v>
      </c>
      <c r="S140" t="str">
        <v>Gavin Thornbury</v>
      </c>
      <c r="T140" t="str">
        <v>NULL</v>
      </c>
      <c r="U140" t="str">
        <v>Away</v>
      </c>
      <c r="V140" t="str">
        <v>MIA</v>
      </c>
      <c r="W140">
        <v>5.0659353806894902</v>
      </c>
      <c r="Y140" s="1" cm="1">
        <f t="array" ref="Y140">COUNT(_xlfn._xlws.FILTER($G$7:$G$10000,($I$7:$I$10000=X140)*($J$7:$J$10000&lt;&gt;"NULL")*($G$7:$G$10000 &gt;= ($G$1-5))))/5</f>
        <v>0</v>
      </c>
    </row>
    <row r="141" spans="1:25" x14ac:dyDescent="0.35">
      <c r="G141" s="66">
        <v>2</v>
      </c>
      <c r="H141" t="s">
        <v>4</v>
      </c>
      <c r="I141" t="s">
        <v>434</v>
      </c>
      <c r="J141">
        <v>2.2999999999999998</v>
      </c>
      <c r="K141" t="s">
        <v>9</v>
      </c>
      <c r="L141" t="s">
        <v>24</v>
      </c>
      <c r="M141">
        <f t="shared" si="21"/>
        <v>5.684861642090004</v>
      </c>
      <c r="N141">
        <f t="shared" si="22"/>
        <v>11.45728833609224</v>
      </c>
      <c r="O141" s="67" cm="1">
        <f t="array" ref="O141">SUMPRODUCT((G141=$G$7:$G$10000)*(M141&lt;$M$7:$M$10000))+1</f>
        <v>31</v>
      </c>
      <c r="P141" s="72"/>
      <c r="Q141">
        <v>5</v>
      </c>
      <c r="R141" t="str">
        <v>SEA</v>
      </c>
      <c r="S141" t="str">
        <v>Rhyno Herbst</v>
      </c>
      <c r="T141" t="str">
        <v>NULL</v>
      </c>
      <c r="U141" t="str">
        <v>Away</v>
      </c>
      <c r="V141" t="str">
        <v>LA</v>
      </c>
      <c r="W141">
        <v>4.9943787280953043</v>
      </c>
      <c r="Y141" s="1" cm="1">
        <f t="array" ref="Y141">COUNT(_xlfn._xlws.FILTER($G$7:$G$10000,($I$7:$I$10000=X141)*($J$7:$J$10000&lt;&gt;"NULL")*($G$7:$G$10000 &gt;= ($G$1-5))))/5</f>
        <v>0</v>
      </c>
    </row>
    <row r="142" spans="1:25" x14ac:dyDescent="0.35">
      <c r="G142" s="66">
        <v>2</v>
      </c>
      <c r="H142" t="s">
        <v>6</v>
      </c>
      <c r="I142" t="s">
        <v>416</v>
      </c>
      <c r="J142">
        <v>2.2000000000000002</v>
      </c>
      <c r="K142" t="s">
        <v>3</v>
      </c>
      <c r="L142" t="s">
        <v>36</v>
      </c>
      <c r="M142">
        <f t="shared" si="21"/>
        <v>3.0358036135002608</v>
      </c>
      <c r="N142">
        <f t="shared" si="22"/>
        <v>0.69856768034009309</v>
      </c>
      <c r="O142" s="67" cm="1">
        <f t="array" ref="O142">SUMPRODUCT((G142=$G$7:$G$10000)*(M142&lt;$M$7:$M$10000))+1</f>
        <v>54</v>
      </c>
      <c r="P142" s="72"/>
      <c r="Q142">
        <v>5</v>
      </c>
      <c r="R142" t="str">
        <v>SEA</v>
      </c>
      <c r="S142" t="str">
        <v>Siaosi Mahoni</v>
      </c>
      <c r="T142" t="str">
        <v>NULL</v>
      </c>
      <c r="U142" t="str">
        <v>Away</v>
      </c>
      <c r="V142" t="str">
        <v>LA</v>
      </c>
      <c r="W142">
        <v>4.7236171160620248</v>
      </c>
      <c r="Y142" s="1" cm="1">
        <f t="array" ref="Y142">COUNT(_xlfn._xlws.FILTER($G$7:$G$10000,($I$7:$I$10000=X142)*($J$7:$J$10000&lt;&gt;"NULL")*($G$7:$G$10000 &gt;= ($G$1-5))))/5</f>
        <v>0</v>
      </c>
    </row>
    <row r="143" spans="1:25" x14ac:dyDescent="0.35">
      <c r="G143" s="66">
        <v>2</v>
      </c>
      <c r="H143" t="s">
        <v>24</v>
      </c>
      <c r="I143" t="s">
        <v>419</v>
      </c>
      <c r="J143">
        <v>2.1</v>
      </c>
      <c r="K143" t="s">
        <v>3</v>
      </c>
      <c r="L143" t="s">
        <v>4</v>
      </c>
      <c r="M143">
        <f t="shared" si="21"/>
        <v>7.0508544052073159</v>
      </c>
      <c r="N143">
        <f t="shared" si="22"/>
        <v>24.510959341560689</v>
      </c>
      <c r="O143" s="67" cm="1">
        <f t="array" ref="O143">SUMPRODUCT((G143=$G$7:$G$10000)*(M143&lt;$M$7:$M$10000))+1</f>
        <v>20</v>
      </c>
      <c r="P143" s="72"/>
      <c r="Q143">
        <v>5</v>
      </c>
      <c r="R143" t="str">
        <v>NOLA</v>
      </c>
      <c r="S143" t="str">
        <v>Tupou Ma'afu Afungia</v>
      </c>
      <c r="T143" t="str">
        <v>NULL</v>
      </c>
      <c r="U143" t="str">
        <v>Away</v>
      </c>
      <c r="V143" t="str">
        <v>NEFJ</v>
      </c>
      <c r="W143">
        <v>4.698558595248004</v>
      </c>
      <c r="Y143" s="1" cm="1">
        <f t="array" ref="Y143">COUNT(_xlfn._xlws.FILTER($G$7:$G$10000,($I$7:$I$10000=X143)*($J$7:$J$10000&lt;&gt;"NULL")*($G$7:$G$10000 &gt;= ($G$1-5))))/5</f>
        <v>0</v>
      </c>
    </row>
    <row r="144" spans="1:25" x14ac:dyDescent="0.35">
      <c r="G144" s="66">
        <v>2</v>
      </c>
      <c r="H144" t="s">
        <v>36</v>
      </c>
      <c r="I144" t="s">
        <v>216</v>
      </c>
      <c r="J144">
        <v>1.9</v>
      </c>
      <c r="K144" t="s">
        <v>9</v>
      </c>
      <c r="L144" t="s">
        <v>6</v>
      </c>
      <c r="M144">
        <f t="shared" si="21"/>
        <v>3.673499147439097</v>
      </c>
      <c r="N144">
        <f t="shared" si="22"/>
        <v>3.1452992259672041</v>
      </c>
      <c r="O144" s="67" cm="1">
        <f t="array" ref="O144">SUMPRODUCT((G144=$G$7:$G$10000)*(M144&lt;$M$7:$M$10000))+1</f>
        <v>52</v>
      </c>
      <c r="P144" s="72"/>
      <c r="Q144">
        <v>5</v>
      </c>
      <c r="R144" t="str">
        <v>UTAH</v>
      </c>
      <c r="S144" t="str">
        <v>Kalisi Moli</v>
      </c>
      <c r="T144" t="str">
        <v>NULL</v>
      </c>
      <c r="U144" t="str">
        <v>Away</v>
      </c>
      <c r="V144" t="str">
        <v>MIA</v>
      </c>
      <c r="W144">
        <v>4.3804865427765662</v>
      </c>
      <c r="Y144" s="1" cm="1">
        <f t="array" ref="Y144">COUNT(_xlfn._xlws.FILTER($G$7:$G$10000,($I$7:$I$10000=X144)*($J$7:$J$10000&lt;&gt;"NULL")*($G$7:$G$10000 &gt;= ($G$1-5))))/5</f>
        <v>0</v>
      </c>
    </row>
    <row r="145" spans="7:25" x14ac:dyDescent="0.35">
      <c r="G145" s="66">
        <v>2</v>
      </c>
      <c r="H145" t="s">
        <v>6</v>
      </c>
      <c r="I145" t="s">
        <v>116</v>
      </c>
      <c r="J145">
        <v>1.9</v>
      </c>
      <c r="K145" t="s">
        <v>3</v>
      </c>
      <c r="L145" t="s">
        <v>36</v>
      </c>
      <c r="M145">
        <f t="shared" si="21"/>
        <v>2.2637467779155953</v>
      </c>
      <c r="N145">
        <f t="shared" si="22"/>
        <v>0.13231171844397749</v>
      </c>
      <c r="O145" s="67" cm="1">
        <f t="array" ref="O145">SUMPRODUCT((G145=$G$7:$G$10000)*(M145&lt;$M$7:$M$10000))+1</f>
        <v>58</v>
      </c>
      <c r="P145" s="72"/>
      <c r="Q145">
        <v>5</v>
      </c>
      <c r="R145" t="str">
        <v>NOLA</v>
      </c>
      <c r="S145" t="str">
        <v>William Waguespack</v>
      </c>
      <c r="T145" t="str">
        <v>NULL</v>
      </c>
      <c r="U145" t="str">
        <v>Away</v>
      </c>
      <c r="V145" t="str">
        <v>NEFJ</v>
      </c>
      <c r="W145">
        <v>4.2946700302616945</v>
      </c>
      <c r="Y145" s="1" cm="1">
        <f t="array" ref="Y145">COUNT(_xlfn._xlws.FILTER($G$7:$G$10000,($I$7:$I$10000=X145)*($J$7:$J$10000&lt;&gt;"NULL")*($G$7:$G$10000 &gt;= ($G$1-5))))/5</f>
        <v>0</v>
      </c>
    </row>
    <row r="146" spans="7:25" x14ac:dyDescent="0.35">
      <c r="G146" s="66">
        <v>2</v>
      </c>
      <c r="H146" t="s">
        <v>2</v>
      </c>
      <c r="I146" t="s">
        <v>159</v>
      </c>
      <c r="J146">
        <v>1.5</v>
      </c>
      <c r="K146" t="s">
        <v>3</v>
      </c>
      <c r="L146" t="s">
        <v>13</v>
      </c>
      <c r="M146">
        <f t="shared" si="21"/>
        <v>0.39257072544419369</v>
      </c>
      <c r="N146">
        <f t="shared" si="22"/>
        <v>1.2263995981431994</v>
      </c>
      <c r="O146" s="67" cm="1">
        <f t="array" ref="O146">SUMPRODUCT((G146=$G$7:$G$10000)*(M146&lt;$M$7:$M$10000))+1</f>
        <v>63</v>
      </c>
      <c r="P146" s="72"/>
      <c r="Q146">
        <v>5</v>
      </c>
      <c r="R146" t="str">
        <v>MIA</v>
      </c>
      <c r="S146" t="str">
        <v>Mauro Rebussone</v>
      </c>
      <c r="T146" t="str">
        <v>NULL</v>
      </c>
      <c r="U146" t="str">
        <v>Home</v>
      </c>
      <c r="V146" t="str">
        <v>UTAH</v>
      </c>
      <c r="W146">
        <v>4.1885177266317593</v>
      </c>
      <c r="Y146" s="1" cm="1">
        <f t="array" ref="Y146">COUNT(_xlfn._xlws.FILTER($G$7:$G$10000,($I$7:$I$10000=X146)*($J$7:$J$10000&lt;&gt;"NULL")*($G$7:$G$10000 &gt;= ($G$1-5))))/5</f>
        <v>0</v>
      </c>
    </row>
    <row r="147" spans="7:25" x14ac:dyDescent="0.35">
      <c r="G147" s="66">
        <v>2</v>
      </c>
      <c r="H147" t="s">
        <v>36</v>
      </c>
      <c r="I147" t="s">
        <v>414</v>
      </c>
      <c r="J147">
        <v>1.2</v>
      </c>
      <c r="K147" t="s">
        <v>9</v>
      </c>
      <c r="L147" t="s">
        <v>6</v>
      </c>
      <c r="M147">
        <f t="shared" si="21"/>
        <v>1.5518687859251088</v>
      </c>
      <c r="N147">
        <f t="shared" si="22"/>
        <v>0.12381164250841008</v>
      </c>
      <c r="O147" s="67" cm="1">
        <f t="array" ref="O147">SUMPRODUCT((G147=$G$7:$G$10000)*(M147&lt;$M$7:$M$10000))+1</f>
        <v>60</v>
      </c>
      <c r="P147" s="72"/>
      <c r="Q147">
        <v>5</v>
      </c>
      <c r="R147" t="str">
        <v>MIA</v>
      </c>
      <c r="S147" t="str">
        <v>Alex Tucci</v>
      </c>
      <c r="T147" t="str">
        <v>NULL</v>
      </c>
      <c r="U147" t="str">
        <v>Home</v>
      </c>
      <c r="V147" t="str">
        <v>UTAH</v>
      </c>
      <c r="W147">
        <v>3.9528317227851542</v>
      </c>
      <c r="Y147" s="1" cm="1">
        <f t="array" ref="Y147">COUNT(_xlfn._xlws.FILTER($G$7:$G$10000,($I$7:$I$10000=X147)*($J$7:$J$10000&lt;&gt;"NULL")*($G$7:$G$10000 &gt;= ($G$1-5))))/5</f>
        <v>0</v>
      </c>
    </row>
    <row r="148" spans="7:25" x14ac:dyDescent="0.35">
      <c r="G148" s="66">
        <v>2</v>
      </c>
      <c r="H148" t="s">
        <v>13</v>
      </c>
      <c r="I148" t="s">
        <v>467</v>
      </c>
      <c r="J148">
        <v>0.9</v>
      </c>
      <c r="K148" t="s">
        <v>9</v>
      </c>
      <c r="L148" t="s">
        <v>2</v>
      </c>
      <c r="M148">
        <f t="shared" si="21"/>
        <v>0.94208733795771771</v>
      </c>
      <c r="N148">
        <f t="shared" si="22"/>
        <v>1.771344016367144E-3</v>
      </c>
      <c r="O148" s="67" cm="1">
        <f t="array" ref="O148">SUMPRODUCT((G148=$G$7:$G$10000)*(M148&lt;$M$7:$M$10000))+1</f>
        <v>61</v>
      </c>
      <c r="P148" s="72"/>
      <c r="Q148">
        <v>5</v>
      </c>
      <c r="R148" t="str">
        <v>LA</v>
      </c>
      <c r="S148" t="str">
        <v>Ben Sugars</v>
      </c>
      <c r="T148" t="str">
        <v>NULL</v>
      </c>
      <c r="U148" t="str">
        <v>Home</v>
      </c>
      <c r="V148" t="str">
        <v>SEA</v>
      </c>
      <c r="W148">
        <v>3.9390896432808309</v>
      </c>
      <c r="Y148" s="1" cm="1">
        <f t="array" ref="Y148">COUNT(_xlfn._xlws.FILTER($G$7:$G$10000,($I$7:$I$10000=X148)*($J$7:$J$10000&lt;&gt;"NULL")*($G$7:$G$10000 &gt;= ($G$1-5))))/5</f>
        <v>0</v>
      </c>
    </row>
    <row r="149" spans="7:25" x14ac:dyDescent="0.35">
      <c r="G149" s="66">
        <v>2</v>
      </c>
      <c r="H149" t="s">
        <v>36</v>
      </c>
      <c r="I149" t="s">
        <v>112</v>
      </c>
      <c r="J149">
        <v>0.3</v>
      </c>
      <c r="K149" t="s">
        <v>9</v>
      </c>
      <c r="L149" t="s">
        <v>6</v>
      </c>
      <c r="M149">
        <f t="shared" si="21"/>
        <v>4.2268272875914512</v>
      </c>
      <c r="N149">
        <f t="shared" si="22"/>
        <v>15.419972546572835</v>
      </c>
      <c r="O149" s="67" cm="1">
        <f t="array" ref="O149">SUMPRODUCT((G149=$G$7:$G$10000)*(M149&lt;$M$7:$M$10000))+1</f>
        <v>47</v>
      </c>
      <c r="P149" s="72"/>
      <c r="Q149">
        <v>5</v>
      </c>
      <c r="R149" t="str">
        <v>SEA</v>
      </c>
      <c r="S149" t="str">
        <v>Taylor Krumrei</v>
      </c>
      <c r="T149" t="str">
        <v>NULL</v>
      </c>
      <c r="U149" t="str">
        <v>Away</v>
      </c>
      <c r="V149" t="str">
        <v>LA</v>
      </c>
      <c r="W149">
        <v>3.7608821684031168</v>
      </c>
      <c r="Y149" s="1" cm="1">
        <f t="array" ref="Y149">COUNT(_xlfn._xlws.FILTER($G$7:$G$10000,($I$7:$I$10000=X149)*($J$7:$J$10000&lt;&gt;"NULL")*($G$7:$G$10000 &gt;= ($G$1-5))))/5</f>
        <v>0</v>
      </c>
    </row>
    <row r="150" spans="7:25" x14ac:dyDescent="0.35">
      <c r="G150" s="66">
        <v>2</v>
      </c>
      <c r="H150" t="s">
        <v>2</v>
      </c>
      <c r="I150" t="s">
        <v>185</v>
      </c>
      <c r="J150">
        <v>-6</v>
      </c>
      <c r="K150" t="s">
        <v>3</v>
      </c>
      <c r="L150" t="s">
        <v>13</v>
      </c>
      <c r="M150">
        <f t="shared" si="21"/>
        <v>-1.7113592363623038</v>
      </c>
      <c r="N150">
        <f t="shared" si="22"/>
        <v>18.392439599534921</v>
      </c>
      <c r="O150" s="67" cm="1">
        <f t="array" ref="O150">SUMPRODUCT((G150=$G$7:$G$10000)*(M150&lt;$M$7:$M$10000))+1</f>
        <v>64</v>
      </c>
      <c r="P150" s="72"/>
      <c r="Q150">
        <v>5</v>
      </c>
      <c r="R150" t="str">
        <v>NOLA</v>
      </c>
      <c r="S150" t="str">
        <v>Chase Jones</v>
      </c>
      <c r="T150" t="str">
        <v>NULL</v>
      </c>
      <c r="U150" t="str">
        <v>Away</v>
      </c>
      <c r="V150" t="str">
        <v>NEFJ</v>
      </c>
      <c r="W150">
        <v>3.7143032321780725</v>
      </c>
      <c r="Y150" s="1" cm="1">
        <f t="array" ref="Y150">COUNT(_xlfn._xlws.FILTER($G$7:$G$10000,($I$7:$I$10000=X150)*($J$7:$J$10000&lt;&gt;"NULL")*($G$7:$G$10000 &gt;= ($G$1-5))))/5</f>
        <v>0</v>
      </c>
    </row>
    <row r="151" spans="7:25" x14ac:dyDescent="0.35">
      <c r="G151" s="66">
        <v>3</v>
      </c>
      <c r="H151" t="s">
        <v>17</v>
      </c>
      <c r="I151" t="s">
        <v>485</v>
      </c>
      <c r="J151">
        <v>18.899999999999999</v>
      </c>
      <c r="K151" t="s">
        <v>9</v>
      </c>
      <c r="L151" t="s">
        <v>36</v>
      </c>
      <c r="M151">
        <f t="shared" si="21"/>
        <v>18.873158317487373</v>
      </c>
      <c r="N151">
        <f t="shared" ref="N151:N214" si="23">IFERROR(($J151-$M151)^2,"")</f>
        <v>7.2047592010856935E-4</v>
      </c>
      <c r="O151" s="67" cm="1">
        <f t="array" ref="O151">SUMPRODUCT((G151=$G$7:$G$10000)*(M151&lt;$M$7:$M$10000))+1</f>
        <v>1</v>
      </c>
      <c r="P151" s="72"/>
      <c r="Q151">
        <v>5</v>
      </c>
      <c r="R151" t="str">
        <v>NOLA</v>
      </c>
      <c r="S151" t="str">
        <v>Kellen Galletier</v>
      </c>
      <c r="T151" t="str">
        <v>NULL</v>
      </c>
      <c r="U151" t="str">
        <v>Away</v>
      </c>
      <c r="V151" t="str">
        <v>NEFJ</v>
      </c>
      <c r="W151">
        <v>3.6135269641570726</v>
      </c>
      <c r="Y151" s="1" cm="1">
        <f t="array" ref="Y151">COUNT(_xlfn._xlws.FILTER($G$7:$G$10000,($I$7:$I$10000=X151)*($J$7:$J$10000&lt;&gt;"NULL")*($G$7:$G$10000 &gt;= ($G$1-5))))/5</f>
        <v>0</v>
      </c>
    </row>
    <row r="152" spans="7:25" x14ac:dyDescent="0.35">
      <c r="G152" s="66">
        <v>3</v>
      </c>
      <c r="H152" t="s">
        <v>36</v>
      </c>
      <c r="I152" t="s">
        <v>466</v>
      </c>
      <c r="J152">
        <v>18.8</v>
      </c>
      <c r="K152" t="s">
        <v>3</v>
      </c>
      <c r="L152" t="s">
        <v>17</v>
      </c>
      <c r="M152">
        <f t="shared" si="21"/>
        <v>11.771898816102873</v>
      </c>
      <c r="N152">
        <f t="shared" si="23"/>
        <v>49.394206251096215</v>
      </c>
      <c r="O152" s="67" cm="1">
        <f t="array" ref="O152">SUMPRODUCT((G152=$G$7:$G$10000)*(M152&lt;$M$7:$M$10000))+1</f>
        <v>4</v>
      </c>
      <c r="P152" s="72"/>
      <c r="Q152">
        <v>5</v>
      </c>
      <c r="R152" t="str">
        <v>OGDC</v>
      </c>
      <c r="S152" t="str">
        <v>Facundo Gattas</v>
      </c>
      <c r="T152" t="str">
        <v>NULL</v>
      </c>
      <c r="U152" t="str">
        <v>Away</v>
      </c>
      <c r="V152" t="str">
        <v>CHI</v>
      </c>
      <c r="W152">
        <v>3.4954405548617373</v>
      </c>
      <c r="Y152" s="1" cm="1">
        <f t="array" ref="Y152">COUNT(_xlfn._xlws.FILTER($G$7:$G$10000,($I$7:$I$10000=X152)*($J$7:$J$10000&lt;&gt;"NULL")*($G$7:$G$10000 &gt;= ($G$1-5))))/5</f>
        <v>0</v>
      </c>
    </row>
    <row r="153" spans="7:25" x14ac:dyDescent="0.35">
      <c r="G153" s="66">
        <v>3</v>
      </c>
      <c r="H153" t="s">
        <v>34</v>
      </c>
      <c r="I153" t="s">
        <v>429</v>
      </c>
      <c r="J153">
        <v>17.3</v>
      </c>
      <c r="K153" t="s">
        <v>9</v>
      </c>
      <c r="L153" t="s">
        <v>7</v>
      </c>
      <c r="M153">
        <f t="shared" si="21"/>
        <v>13.230679425118609</v>
      </c>
      <c r="N153">
        <f t="shared" si="23"/>
        <v>16.559369941153019</v>
      </c>
      <c r="O153" s="67" cm="1">
        <f t="array" ref="O153">SUMPRODUCT((G153=$G$7:$G$10000)*(M153&lt;$M$7:$M$10000))+1</f>
        <v>2</v>
      </c>
      <c r="P153" s="72"/>
      <c r="Q153">
        <v>5</v>
      </c>
      <c r="R153" t="str">
        <v>OGDC</v>
      </c>
      <c r="S153" t="str">
        <v>Jack Iscaro</v>
      </c>
      <c r="T153" t="str">
        <v>NULL</v>
      </c>
      <c r="U153" t="str">
        <v>Away</v>
      </c>
      <c r="V153" t="str">
        <v>CHI</v>
      </c>
      <c r="W153">
        <v>3.4429235251784371</v>
      </c>
      <c r="Y153" s="1" cm="1">
        <f t="array" ref="Y153">COUNT(_xlfn._xlws.FILTER($G$7:$G$10000,($I$7:$I$10000=X153)*($J$7:$J$10000&lt;&gt;"NULL")*($G$7:$G$10000 &gt;= ($G$1-5))))/5</f>
        <v>0</v>
      </c>
    </row>
    <row r="154" spans="7:25" x14ac:dyDescent="0.35">
      <c r="G154" s="66">
        <v>3</v>
      </c>
      <c r="H154" t="s">
        <v>23</v>
      </c>
      <c r="I154" t="s">
        <v>428</v>
      </c>
      <c r="J154">
        <v>13.5</v>
      </c>
      <c r="K154" t="s">
        <v>9</v>
      </c>
      <c r="L154" t="s">
        <v>2</v>
      </c>
      <c r="M154">
        <f t="shared" si="21"/>
        <v>12.014690067471751</v>
      </c>
      <c r="N154">
        <f t="shared" si="23"/>
        <v>2.2061455956670724</v>
      </c>
      <c r="O154" s="67" cm="1">
        <f t="array" ref="O154">SUMPRODUCT((G154=$G$7:$G$10000)*(M154&lt;$M$7:$M$10000))+1</f>
        <v>3</v>
      </c>
      <c r="P154" s="72"/>
      <c r="Q154">
        <v>5</v>
      </c>
      <c r="R154" t="str">
        <v>LA</v>
      </c>
      <c r="S154" t="str">
        <v>Alessandro Heaney</v>
      </c>
      <c r="T154" t="str">
        <v>NULL</v>
      </c>
      <c r="U154" t="str">
        <v>Home</v>
      </c>
      <c r="V154" t="str">
        <v>SEA</v>
      </c>
      <c r="W154">
        <v>3.2486879462035736</v>
      </c>
      <c r="Y154" s="1" cm="1">
        <f t="array" ref="Y154">COUNT(_xlfn._xlws.FILTER($G$7:$G$10000,($I$7:$I$10000=X154)*($J$7:$J$10000&lt;&gt;"NULL")*($G$7:$G$10000 &gt;= ($G$1-5))))/5</f>
        <v>0</v>
      </c>
    </row>
    <row r="155" spans="7:25" x14ac:dyDescent="0.35">
      <c r="G155" s="66">
        <v>3</v>
      </c>
      <c r="H155" t="s">
        <v>24</v>
      </c>
      <c r="I155" t="s">
        <v>199</v>
      </c>
      <c r="J155">
        <v>12.8</v>
      </c>
      <c r="K155" t="s">
        <v>9</v>
      </c>
      <c r="L155" t="s">
        <v>14</v>
      </c>
      <c r="M155">
        <f t="shared" si="21"/>
        <v>8.5569776077147193</v>
      </c>
      <c r="N155">
        <f t="shared" si="23"/>
        <v>18.003239021434311</v>
      </c>
      <c r="O155" s="67" cm="1">
        <f t="array" ref="O155">SUMPRODUCT((G155=$G$7:$G$10000)*(M155&lt;$M$7:$M$10000))+1</f>
        <v>11</v>
      </c>
      <c r="P155" s="72"/>
      <c r="Q155">
        <v>5</v>
      </c>
      <c r="R155" t="str">
        <v>NEFJ</v>
      </c>
      <c r="S155" t="str">
        <v>Malakai Hala-Ngatai</v>
      </c>
      <c r="T155" t="str">
        <v>NULL</v>
      </c>
      <c r="U155" t="str">
        <v>Home</v>
      </c>
      <c r="V155" t="str">
        <v>NOLA</v>
      </c>
      <c r="W155">
        <v>3.1401262029112251</v>
      </c>
      <c r="Y155" s="1" cm="1">
        <f t="array" ref="Y155">COUNT(_xlfn._xlws.FILTER($G$7:$G$10000,($I$7:$I$10000=X155)*($J$7:$J$10000&lt;&gt;"NULL")*($G$7:$G$10000 &gt;= ($G$1-5))))/5</f>
        <v>0</v>
      </c>
    </row>
    <row r="156" spans="7:25" x14ac:dyDescent="0.35">
      <c r="G156" s="66">
        <v>3</v>
      </c>
      <c r="H156" t="s">
        <v>14</v>
      </c>
      <c r="I156" t="s">
        <v>248</v>
      </c>
      <c r="J156">
        <v>10.9</v>
      </c>
      <c r="K156" t="s">
        <v>3</v>
      </c>
      <c r="L156" t="s">
        <v>24</v>
      </c>
      <c r="M156">
        <f t="shared" si="21"/>
        <v>6.2765043653381891</v>
      </c>
      <c r="N156">
        <f t="shared" si="23"/>
        <v>21.376711883736824</v>
      </c>
      <c r="O156" s="67" cm="1">
        <f t="array" ref="O156">SUMPRODUCT((G156=$G$7:$G$10000)*(M156&lt;$M$7:$M$10000))+1</f>
        <v>27</v>
      </c>
      <c r="P156" s="72"/>
      <c r="Q156">
        <v>5</v>
      </c>
      <c r="R156" t="str">
        <v>OGDC</v>
      </c>
      <c r="S156" t="str">
        <v>Lautaro Bavaro</v>
      </c>
      <c r="T156" t="str">
        <v>NULL</v>
      </c>
      <c r="U156" t="str">
        <v>Away</v>
      </c>
      <c r="V156" t="str">
        <v>CHI</v>
      </c>
      <c r="W156">
        <v>3.126791909315382</v>
      </c>
      <c r="Y156" s="1" cm="1">
        <f t="array" ref="Y156">COUNT(_xlfn._xlws.FILTER($G$7:$G$10000,($I$7:$I$10000=X156)*($J$7:$J$10000&lt;&gt;"NULL")*($G$7:$G$10000 &gt;= ($G$1-5))))/5</f>
        <v>0</v>
      </c>
    </row>
    <row r="157" spans="7:25" x14ac:dyDescent="0.35">
      <c r="G157" s="66">
        <v>3</v>
      </c>
      <c r="H157" t="s">
        <v>7</v>
      </c>
      <c r="I157" t="s">
        <v>207</v>
      </c>
      <c r="J157">
        <v>10.8</v>
      </c>
      <c r="K157" t="s">
        <v>3</v>
      </c>
      <c r="L157" t="s">
        <v>34</v>
      </c>
      <c r="M157">
        <f t="shared" si="21"/>
        <v>9.8715481275782544</v>
      </c>
      <c r="N157">
        <f t="shared" si="23"/>
        <v>0.86202287940344668</v>
      </c>
      <c r="O157" s="67" cm="1">
        <f t="array" ref="O157">SUMPRODUCT((G157=$G$7:$G$10000)*(M157&lt;$M$7:$M$10000))+1</f>
        <v>8</v>
      </c>
      <c r="P157" s="72"/>
      <c r="Q157">
        <v>5</v>
      </c>
      <c r="R157" t="str">
        <v>CHI</v>
      </c>
      <c r="S157" t="str">
        <v>Hamish Bain</v>
      </c>
      <c r="T157" t="str">
        <v>NULL</v>
      </c>
      <c r="U157" t="str">
        <v>Home</v>
      </c>
      <c r="V157" t="str">
        <v>OGDC</v>
      </c>
      <c r="W157">
        <v>3.1265196019235102</v>
      </c>
      <c r="Y157" s="1" cm="1">
        <f t="array" ref="Y157">COUNT(_xlfn._xlws.FILTER($G$7:$G$10000,($I$7:$I$10000=X157)*($J$7:$J$10000&lt;&gt;"NULL")*($G$7:$G$10000 &gt;= ($G$1-5))))/5</f>
        <v>0</v>
      </c>
    </row>
    <row r="158" spans="7:25" x14ac:dyDescent="0.35">
      <c r="G158" s="66">
        <v>3</v>
      </c>
      <c r="H158" t="s">
        <v>13</v>
      </c>
      <c r="I158" t="s">
        <v>463</v>
      </c>
      <c r="J158">
        <v>10.4</v>
      </c>
      <c r="K158" t="s">
        <v>3</v>
      </c>
      <c r="L158" t="s">
        <v>4</v>
      </c>
      <c r="M158">
        <f t="shared" si="21"/>
        <v>10.346699574338114</v>
      </c>
      <c r="N158">
        <f t="shared" si="23"/>
        <v>2.8409353757382684E-3</v>
      </c>
      <c r="O158" s="67" cm="1">
        <f t="array" ref="O158">SUMPRODUCT((G158=$G$7:$G$10000)*(M158&lt;$M$7:$M$10000))+1</f>
        <v>6</v>
      </c>
      <c r="P158" s="72"/>
      <c r="Q158">
        <v>5</v>
      </c>
      <c r="R158" t="str">
        <v>NOLA</v>
      </c>
      <c r="S158" t="str">
        <v>Tesimoni Tonga'uiha</v>
      </c>
      <c r="T158" t="str">
        <v>NULL</v>
      </c>
      <c r="U158" t="str">
        <v>Away</v>
      </c>
      <c r="V158" t="str">
        <v>NEFJ</v>
      </c>
      <c r="W158">
        <v>3.0721893715936797</v>
      </c>
      <c r="Y158" s="1" cm="1">
        <f t="array" ref="Y158">COUNT(_xlfn._xlws.FILTER($G$7:$G$10000,($I$7:$I$10000=X158)*($J$7:$J$10000&lt;&gt;"NULL")*($G$7:$G$10000 &gt;= ($G$1-5))))/5</f>
        <v>0</v>
      </c>
    </row>
    <row r="159" spans="7:25" x14ac:dyDescent="0.35">
      <c r="G159" s="66">
        <v>3</v>
      </c>
      <c r="H159" t="s">
        <v>17</v>
      </c>
      <c r="I159" t="s">
        <v>480</v>
      </c>
      <c r="J159">
        <v>10.3</v>
      </c>
      <c r="K159" t="s">
        <v>9</v>
      </c>
      <c r="L159" t="s">
        <v>36</v>
      </c>
      <c r="M159">
        <f t="shared" si="21"/>
        <v>10.339376047449564</v>
      </c>
      <c r="N159">
        <f t="shared" si="23"/>
        <v>1.5504731127502561E-3</v>
      </c>
      <c r="O159" s="67" cm="1">
        <f t="array" ref="O159">SUMPRODUCT((G159=$G$7:$G$10000)*(M159&lt;$M$7:$M$10000))+1</f>
        <v>7</v>
      </c>
      <c r="P159" s="72"/>
      <c r="Q159">
        <v>5</v>
      </c>
      <c r="R159" t="str">
        <v>CHI</v>
      </c>
      <c r="S159" t="str">
        <v>Faka'osi Pifeleti</v>
      </c>
      <c r="T159" t="str">
        <v>NULL</v>
      </c>
      <c r="U159" t="str">
        <v>Home</v>
      </c>
      <c r="V159" t="str">
        <v>OGDC</v>
      </c>
      <c r="W159">
        <v>2.9883911271475387</v>
      </c>
      <c r="Y159" s="1" cm="1">
        <f t="array" ref="Y159">COUNT(_xlfn._xlws.FILTER($G$7:$G$10000,($I$7:$I$10000=X159)*($J$7:$J$10000&lt;&gt;"NULL")*($G$7:$G$10000 &gt;= ($G$1-5))))/5</f>
        <v>0</v>
      </c>
    </row>
    <row r="160" spans="7:25" x14ac:dyDescent="0.35">
      <c r="G160" s="66">
        <v>3</v>
      </c>
      <c r="H160" t="s">
        <v>34</v>
      </c>
      <c r="I160" t="s">
        <v>420</v>
      </c>
      <c r="J160">
        <v>10.1</v>
      </c>
      <c r="K160" t="s">
        <v>9</v>
      </c>
      <c r="L160" t="s">
        <v>7</v>
      </c>
      <c r="M160">
        <f t="shared" si="21"/>
        <v>8.7085515190486316</v>
      </c>
      <c r="N160">
        <f t="shared" si="23"/>
        <v>1.9361288751418697</v>
      </c>
      <c r="O160" s="67" cm="1">
        <f t="array" ref="O160">SUMPRODUCT((G160=$G$7:$G$10000)*(M160&lt;$M$7:$M$10000))+1</f>
        <v>9</v>
      </c>
      <c r="P160" s="72"/>
      <c r="Q160">
        <v>5</v>
      </c>
      <c r="R160" t="str">
        <v>OGDC</v>
      </c>
      <c r="S160" t="str">
        <v>Rob Harley</v>
      </c>
      <c r="T160" t="str">
        <v>NULL</v>
      </c>
      <c r="U160" t="str">
        <v>Away</v>
      </c>
      <c r="V160" t="str">
        <v>CHI</v>
      </c>
      <c r="W160">
        <v>2.9686842352416924</v>
      </c>
      <c r="Y160" s="1" cm="1">
        <f t="array" ref="Y160">COUNT(_xlfn._xlws.FILTER($G$7:$G$10000,($I$7:$I$10000=X160)*($J$7:$J$10000&lt;&gt;"NULL")*($G$7:$G$10000 &gt;= ($G$1-5))))/5</f>
        <v>0</v>
      </c>
    </row>
    <row r="161" spans="7:25" x14ac:dyDescent="0.35">
      <c r="G161" s="66">
        <v>3</v>
      </c>
      <c r="H161" t="s">
        <v>17</v>
      </c>
      <c r="I161" t="s">
        <v>206</v>
      </c>
      <c r="J161">
        <v>10</v>
      </c>
      <c r="K161" t="s">
        <v>9</v>
      </c>
      <c r="L161" t="s">
        <v>36</v>
      </c>
      <c r="M161">
        <f t="shared" si="21"/>
        <v>5.9330743810631077</v>
      </c>
      <c r="N161">
        <f t="shared" si="23"/>
        <v>16.539883989965226</v>
      </c>
      <c r="O161" s="67" cm="1">
        <f t="array" ref="O161">SUMPRODUCT((G161=$G$7:$G$10000)*(M161&lt;$M$7:$M$10000))+1</f>
        <v>31</v>
      </c>
      <c r="P161" s="72"/>
      <c r="Q161">
        <v>5</v>
      </c>
      <c r="R161" t="str">
        <v>NEFJ</v>
      </c>
      <c r="S161" t="str">
        <v>Wian Conradie</v>
      </c>
      <c r="T161" t="str">
        <v>NULL</v>
      </c>
      <c r="U161" t="str">
        <v>Home</v>
      </c>
      <c r="V161" t="str">
        <v>NOLA</v>
      </c>
      <c r="W161">
        <v>2.901015350047131</v>
      </c>
      <c r="Y161" s="1" cm="1">
        <f t="array" ref="Y161">COUNT(_xlfn._xlws.FILTER($G$7:$G$10000,($I$7:$I$10000=X161)*($J$7:$J$10000&lt;&gt;"NULL")*($G$7:$G$10000 &gt;= ($G$1-5))))/5</f>
        <v>0</v>
      </c>
    </row>
    <row r="162" spans="7:25" x14ac:dyDescent="0.35">
      <c r="G162" s="66">
        <v>3</v>
      </c>
      <c r="H162" t="s">
        <v>2</v>
      </c>
      <c r="I162" t="s">
        <v>212</v>
      </c>
      <c r="J162">
        <v>8.8000000000000007</v>
      </c>
      <c r="K162" t="s">
        <v>3</v>
      </c>
      <c r="L162" t="s">
        <v>23</v>
      </c>
      <c r="M162">
        <f t="shared" si="21"/>
        <v>8.0274985646146568</v>
      </c>
      <c r="N162">
        <f t="shared" si="23"/>
        <v>0.59675846767241658</v>
      </c>
      <c r="O162" s="67" cm="1">
        <f t="array" ref="O162">SUMPRODUCT((G162=$G$7:$G$10000)*(M162&lt;$M$7:$M$10000))+1</f>
        <v>13</v>
      </c>
      <c r="P162" s="72"/>
      <c r="Q162">
        <v>5</v>
      </c>
      <c r="R162" t="str">
        <v>SEA</v>
      </c>
      <c r="S162" t="str">
        <v>Juan Pablo Zeiss</v>
      </c>
      <c r="T162" t="str">
        <v>NULL</v>
      </c>
      <c r="U162" t="str">
        <v>Away</v>
      </c>
      <c r="V162" t="str">
        <v>LA</v>
      </c>
      <c r="W162">
        <v>2.8047931287277716</v>
      </c>
      <c r="Y162" s="1" cm="1">
        <f t="array" ref="Y162">COUNT(_xlfn._xlws.FILTER($G$7:$G$10000,($I$7:$I$10000=X162)*($J$7:$J$10000&lt;&gt;"NULL")*($G$7:$G$10000 &gt;= ($G$1-5))))/5</f>
        <v>0</v>
      </c>
    </row>
    <row r="163" spans="7:25" x14ac:dyDescent="0.35">
      <c r="G163" s="66">
        <v>3</v>
      </c>
      <c r="H163" t="s">
        <v>24</v>
      </c>
      <c r="I163" t="s">
        <v>215</v>
      </c>
      <c r="J163">
        <v>8.6</v>
      </c>
      <c r="K163" t="s">
        <v>9</v>
      </c>
      <c r="L163" t="s">
        <v>14</v>
      </c>
      <c r="M163">
        <f t="shared" si="21"/>
        <v>7.8422572526249379</v>
      </c>
      <c r="N163">
        <f t="shared" si="23"/>
        <v>0.5741740711995067</v>
      </c>
      <c r="O163" s="67" cm="1">
        <f t="array" ref="O163">SUMPRODUCT((G163=$G$7:$G$10000)*(M163&lt;$M$7:$M$10000))+1</f>
        <v>14</v>
      </c>
      <c r="P163" s="72"/>
      <c r="Q163">
        <v>5</v>
      </c>
      <c r="R163" t="str">
        <v>OGDC</v>
      </c>
      <c r="S163" t="str">
        <v>Cali Martinez</v>
      </c>
      <c r="T163" t="str">
        <v>NULL</v>
      </c>
      <c r="U163" t="str">
        <v>Away</v>
      </c>
      <c r="V163" t="str">
        <v>CHI</v>
      </c>
      <c r="W163">
        <v>2.7687438249357088</v>
      </c>
      <c r="Y163" s="1" cm="1">
        <f t="array" ref="Y163">COUNT(_xlfn._xlws.FILTER($G$7:$G$10000,($I$7:$I$10000=X163)*($J$7:$J$10000&lt;&gt;"NULL")*($G$7:$G$10000 &gt;= ($G$1-5))))/5</f>
        <v>0</v>
      </c>
    </row>
    <row r="164" spans="7:25" x14ac:dyDescent="0.35">
      <c r="G164" s="66">
        <v>3</v>
      </c>
      <c r="H164" t="s">
        <v>17</v>
      </c>
      <c r="I164" t="s">
        <v>427</v>
      </c>
      <c r="J164">
        <v>8.1</v>
      </c>
      <c r="K164" t="s">
        <v>9</v>
      </c>
      <c r="L164" t="s">
        <v>36</v>
      </c>
      <c r="M164">
        <f t="shared" si="21"/>
        <v>8.6348589549516106</v>
      </c>
      <c r="N164">
        <f t="shared" si="23"/>
        <v>0.28607410169192937</v>
      </c>
      <c r="O164" s="67" cm="1">
        <f t="array" ref="O164">SUMPRODUCT((G164=$G$7:$G$10000)*(M164&lt;$M$7:$M$10000))+1</f>
        <v>10</v>
      </c>
      <c r="P164" s="72"/>
      <c r="Q164">
        <v>5</v>
      </c>
      <c r="R164" t="str">
        <v>NOLA</v>
      </c>
      <c r="S164" t="str">
        <v>Alex Lopeti</v>
      </c>
      <c r="T164" t="str">
        <v>NULL</v>
      </c>
      <c r="U164" t="str">
        <v>Away</v>
      </c>
      <c r="V164" t="str">
        <v>NEFJ</v>
      </c>
      <c r="W164">
        <v>2.6899360965416106</v>
      </c>
      <c r="Y164" s="1" cm="1">
        <f t="array" ref="Y164">COUNT(_xlfn._xlws.FILTER($G$7:$G$10000,($I$7:$I$10000=X164)*($J$7:$J$10000&lt;&gt;"NULL")*($G$7:$G$10000 &gt;= ($G$1-5))))/5</f>
        <v>0</v>
      </c>
    </row>
    <row r="165" spans="7:25" x14ac:dyDescent="0.35">
      <c r="G165" s="66">
        <v>3</v>
      </c>
      <c r="H165" t="s">
        <v>36</v>
      </c>
      <c r="I165" t="s">
        <v>112</v>
      </c>
      <c r="J165">
        <v>7.9</v>
      </c>
      <c r="K165" t="s">
        <v>3</v>
      </c>
      <c r="L165" t="s">
        <v>17</v>
      </c>
      <c r="M165">
        <f t="shared" si="21"/>
        <v>4.1188417076922086</v>
      </c>
      <c r="N165">
        <f t="shared" si="23"/>
        <v>14.297158031487976</v>
      </c>
      <c r="O165" s="67" cm="1">
        <f t="array" ref="O165">SUMPRODUCT((G165=$G$7:$G$10000)*(M165&lt;$M$7:$M$10000))+1</f>
        <v>51</v>
      </c>
      <c r="P165" s="72"/>
      <c r="Q165">
        <v>5</v>
      </c>
      <c r="R165" t="str">
        <v>MIA</v>
      </c>
      <c r="S165" t="str">
        <v>Federico Gutíerrez</v>
      </c>
      <c r="T165" t="str">
        <v>NULL</v>
      </c>
      <c r="U165" t="str">
        <v>Home</v>
      </c>
      <c r="V165" t="str">
        <v>UTAH</v>
      </c>
      <c r="W165">
        <v>2.6830849170393236</v>
      </c>
      <c r="Y165" s="1" cm="1">
        <f t="array" ref="Y165">COUNT(_xlfn._xlws.FILTER($G$7:$G$10000,($I$7:$I$10000=X165)*($J$7:$J$10000&lt;&gt;"NULL")*($G$7:$G$10000 &gt;= ($G$1-5))))/5</f>
        <v>0</v>
      </c>
    </row>
    <row r="166" spans="7:25" x14ac:dyDescent="0.35">
      <c r="G166" s="66">
        <v>3</v>
      </c>
      <c r="H166" t="s">
        <v>7</v>
      </c>
      <c r="I166" t="s">
        <v>202</v>
      </c>
      <c r="J166">
        <v>7.6</v>
      </c>
      <c r="K166" t="s">
        <v>3</v>
      </c>
      <c r="L166" t="s">
        <v>34</v>
      </c>
      <c r="M166">
        <f t="shared" si="21"/>
        <v>7.3384402219198819</v>
      </c>
      <c r="N166">
        <f t="shared" si="23"/>
        <v>6.8413517509320454E-2</v>
      </c>
      <c r="O166" s="67" cm="1">
        <f t="array" ref="O166">SUMPRODUCT((G166=$G$7:$G$10000)*(M166&lt;$M$7:$M$10000))+1</f>
        <v>20</v>
      </c>
      <c r="P166" s="72"/>
      <c r="Q166">
        <v>5</v>
      </c>
      <c r="R166" t="str">
        <v>NOLA</v>
      </c>
      <c r="S166" t="str">
        <v>Malcolm May</v>
      </c>
      <c r="T166" t="str">
        <v>NULL</v>
      </c>
      <c r="U166" t="str">
        <v>Away</v>
      </c>
      <c r="V166" t="str">
        <v>NEFJ</v>
      </c>
      <c r="W166">
        <v>2.5117101839846243</v>
      </c>
      <c r="Y166" s="1" cm="1">
        <f t="array" ref="Y166">COUNT(_xlfn._xlws.FILTER($G$7:$G$10000,($I$7:$I$10000=X166)*($J$7:$J$10000&lt;&gt;"NULL")*($G$7:$G$10000 &gt;= ($G$1-5))))/5</f>
        <v>0</v>
      </c>
    </row>
    <row r="167" spans="7:25" x14ac:dyDescent="0.35">
      <c r="G167" s="66">
        <v>3</v>
      </c>
      <c r="H167" t="s">
        <v>14</v>
      </c>
      <c r="I167" t="s">
        <v>471</v>
      </c>
      <c r="J167">
        <v>7.4</v>
      </c>
      <c r="K167" t="s">
        <v>3</v>
      </c>
      <c r="L167" t="s">
        <v>24</v>
      </c>
      <c r="M167">
        <f t="shared" si="21"/>
        <v>5.2476559138317009</v>
      </c>
      <c r="N167">
        <f t="shared" si="23"/>
        <v>4.632585065263652</v>
      </c>
      <c r="O167" s="67" cm="1">
        <f t="array" ref="O167">SUMPRODUCT((G167=$G$7:$G$10000)*(M167&lt;$M$7:$M$10000))+1</f>
        <v>36</v>
      </c>
      <c r="P167" s="72"/>
      <c r="Q167">
        <v>5</v>
      </c>
      <c r="R167" t="str">
        <v>LA</v>
      </c>
      <c r="S167" t="str">
        <v>Reegan O'Gorman</v>
      </c>
      <c r="T167" t="str">
        <v>NULL</v>
      </c>
      <c r="U167" t="str">
        <v>Home</v>
      </c>
      <c r="V167" t="str">
        <v>SEA</v>
      </c>
      <c r="W167">
        <v>2.4766311106189081</v>
      </c>
      <c r="Y167" s="1" cm="1">
        <f t="array" ref="Y167">COUNT(_xlfn._xlws.FILTER($G$7:$G$10000,($I$7:$I$10000=X167)*($J$7:$J$10000&lt;&gt;"NULL")*($G$7:$G$10000 &gt;= ($G$1-5))))/5</f>
        <v>0</v>
      </c>
    </row>
    <row r="168" spans="7:25" x14ac:dyDescent="0.35">
      <c r="G168" s="66">
        <v>3</v>
      </c>
      <c r="H168" t="s">
        <v>34</v>
      </c>
      <c r="I168" t="s">
        <v>174</v>
      </c>
      <c r="J168">
        <v>7.4</v>
      </c>
      <c r="K168" t="s">
        <v>9</v>
      </c>
      <c r="L168" t="s">
        <v>7</v>
      </c>
      <c r="M168">
        <f t="shared" si="21"/>
        <v>6.8253401361634323</v>
      </c>
      <c r="N168">
        <f t="shared" si="23"/>
        <v>0.33023395910466297</v>
      </c>
      <c r="O168" s="67" cm="1">
        <f t="array" ref="O168">SUMPRODUCT((G168=$G$7:$G$10000)*(M168&lt;$M$7:$M$10000))+1</f>
        <v>23</v>
      </c>
      <c r="P168" s="72"/>
      <c r="Q168">
        <v>5</v>
      </c>
      <c r="R168" t="str">
        <v>OGDC</v>
      </c>
      <c r="S168" t="str">
        <v>Tevita Naqali</v>
      </c>
      <c r="T168" t="str">
        <v>NULL</v>
      </c>
      <c r="U168" t="str">
        <v>Away</v>
      </c>
      <c r="V168" t="str">
        <v>CHI</v>
      </c>
      <c r="W168">
        <v>2.3424986534056469</v>
      </c>
      <c r="Y168" s="1" cm="1">
        <f t="array" ref="Y168">COUNT(_xlfn._xlws.FILTER($G$7:$G$10000,($I$7:$I$10000=X168)*($J$7:$J$10000&lt;&gt;"NULL")*($G$7:$G$10000 &gt;= ($G$1-5))))/5</f>
        <v>0</v>
      </c>
    </row>
    <row r="169" spans="7:25" x14ac:dyDescent="0.35">
      <c r="G169" s="66">
        <v>3</v>
      </c>
      <c r="H169" t="s">
        <v>13</v>
      </c>
      <c r="I169" t="s">
        <v>204</v>
      </c>
      <c r="J169">
        <v>7</v>
      </c>
      <c r="K169" t="s">
        <v>3</v>
      </c>
      <c r="L169" t="s">
        <v>4</v>
      </c>
      <c r="M169">
        <f t="shared" si="21"/>
        <v>8.1410063103420978</v>
      </c>
      <c r="N169">
        <f t="shared" si="23"/>
        <v>1.3018954002404874</v>
      </c>
      <c r="O169" s="67" cm="1">
        <f t="array" ref="O169">SUMPRODUCT((G169=$G$7:$G$10000)*(M169&lt;$M$7:$M$10000))+1</f>
        <v>12</v>
      </c>
      <c r="P169" s="72"/>
      <c r="Q169">
        <v>5</v>
      </c>
      <c r="R169" t="str">
        <v>SEA</v>
      </c>
      <c r="S169" t="str">
        <v>Malembe Mpofu</v>
      </c>
      <c r="T169" t="str">
        <v>NULL</v>
      </c>
      <c r="U169" t="str">
        <v>Away</v>
      </c>
      <c r="V169" t="str">
        <v>LA</v>
      </c>
      <c r="W169">
        <v>2.1597392388832874</v>
      </c>
      <c r="Y169" s="1" cm="1">
        <f t="array" ref="Y169">COUNT(_xlfn._xlws.FILTER($G$7:$G$10000,($I$7:$I$10000=X169)*($J$7:$J$10000&lt;&gt;"NULL")*($G$7:$G$10000 &gt;= ($G$1-5))))/5</f>
        <v>0</v>
      </c>
    </row>
    <row r="170" spans="7:25" x14ac:dyDescent="0.35">
      <c r="G170" s="66">
        <v>3</v>
      </c>
      <c r="H170" t="s">
        <v>2</v>
      </c>
      <c r="I170" t="s">
        <v>213</v>
      </c>
      <c r="J170">
        <v>6.8</v>
      </c>
      <c r="K170" t="s">
        <v>3</v>
      </c>
      <c r="L170" t="s">
        <v>23</v>
      </c>
      <c r="M170">
        <f t="shared" si="21"/>
        <v>6.6644476769912098</v>
      </c>
      <c r="N170">
        <f t="shared" si="23"/>
        <v>1.8374432273079354E-2</v>
      </c>
      <c r="O170" s="67" cm="1">
        <f t="array" ref="O170">SUMPRODUCT((G170=$G$7:$G$10000)*(M170&lt;$M$7:$M$10000))+1</f>
        <v>24</v>
      </c>
      <c r="P170" s="72"/>
      <c r="Q170">
        <v>5</v>
      </c>
      <c r="R170" t="str">
        <v>MIA</v>
      </c>
      <c r="S170" t="str">
        <v>Marques Fuala'au</v>
      </c>
      <c r="T170" t="str">
        <v>NULL</v>
      </c>
      <c r="U170" t="str">
        <v>Home</v>
      </c>
      <c r="V170" t="str">
        <v>UTAH</v>
      </c>
      <c r="W170">
        <v>1.9404708641071782</v>
      </c>
      <c r="Y170" s="1" cm="1">
        <f t="array" ref="Y170">COUNT(_xlfn._xlws.FILTER($G$7:$G$10000,($I$7:$I$10000=X170)*($J$7:$J$10000&lt;&gt;"NULL")*($G$7:$G$10000 &gt;= ($G$1-5))))/5</f>
        <v>0</v>
      </c>
    </row>
    <row r="171" spans="7:25" x14ac:dyDescent="0.35">
      <c r="G171" s="66">
        <v>3</v>
      </c>
      <c r="H171" t="s">
        <v>13</v>
      </c>
      <c r="I171" t="s">
        <v>103</v>
      </c>
      <c r="J171">
        <v>6.4</v>
      </c>
      <c r="K171" t="s">
        <v>3</v>
      </c>
      <c r="L171" t="s">
        <v>4</v>
      </c>
      <c r="M171">
        <f t="shared" si="21"/>
        <v>6.4498511378268129</v>
      </c>
      <c r="N171">
        <f t="shared" si="23"/>
        <v>2.4851359426278558E-3</v>
      </c>
      <c r="O171" s="67" cm="1">
        <f t="array" ref="O171">SUMPRODUCT((G171=$G$7:$G$10000)*(M171&lt;$M$7:$M$10000))+1</f>
        <v>26</v>
      </c>
      <c r="P171" s="72"/>
      <c r="Q171">
        <v>5</v>
      </c>
      <c r="R171" t="str">
        <v>LA</v>
      </c>
      <c r="S171" t="str">
        <v>Cronan Gleeson</v>
      </c>
      <c r="T171" t="str">
        <v>NULL</v>
      </c>
      <c r="U171" t="str">
        <v>Home</v>
      </c>
      <c r="V171" t="str">
        <v>SEA</v>
      </c>
      <c r="W171">
        <v>1.8012650438729416</v>
      </c>
      <c r="Y171" s="1" cm="1">
        <f t="array" ref="Y171">COUNT(_xlfn._xlws.FILTER($G$7:$G$10000,($I$7:$I$10000=X171)*($J$7:$J$10000&lt;&gt;"NULL")*($G$7:$G$10000 &gt;= ($G$1-5))))/5</f>
        <v>0</v>
      </c>
    </row>
    <row r="172" spans="7:25" x14ac:dyDescent="0.35">
      <c r="G172" s="66">
        <v>3</v>
      </c>
      <c r="H172" t="s">
        <v>7</v>
      </c>
      <c r="I172" t="s">
        <v>104</v>
      </c>
      <c r="J172">
        <v>6.3</v>
      </c>
      <c r="K172" t="s">
        <v>3</v>
      </c>
      <c r="L172" t="s">
        <v>34</v>
      </c>
      <c r="M172">
        <f t="shared" si="21"/>
        <v>4.6924249746858004</v>
      </c>
      <c r="N172">
        <f t="shared" si="23"/>
        <v>2.5842974620139487</v>
      </c>
      <c r="O172" s="67" cm="1">
        <f t="array" ref="O172">SUMPRODUCT((G172=$G$7:$G$10000)*(M172&lt;$M$7:$M$10000))+1</f>
        <v>42</v>
      </c>
      <c r="P172" s="72"/>
      <c r="Q172">
        <v>5</v>
      </c>
      <c r="R172" t="str">
        <v>MIA</v>
      </c>
      <c r="S172" t="str">
        <v>Ma'ake Muti</v>
      </c>
      <c r="T172" t="str">
        <v>NULL</v>
      </c>
      <c r="U172" t="str">
        <v>Home</v>
      </c>
      <c r="V172" t="str">
        <v>UTAH</v>
      </c>
      <c r="W172">
        <v>1.7934471416793287</v>
      </c>
      <c r="Y172" s="1" cm="1">
        <f t="array" ref="Y172">COUNT(_xlfn._xlws.FILTER($G$7:$G$10000,($I$7:$I$10000=X172)*($J$7:$J$10000&lt;&gt;"NULL")*($G$7:$G$10000 &gt;= ($G$1-5))))/5</f>
        <v>0</v>
      </c>
    </row>
    <row r="173" spans="7:25" x14ac:dyDescent="0.35">
      <c r="G173" s="66">
        <v>3</v>
      </c>
      <c r="H173" t="s">
        <v>7</v>
      </c>
      <c r="I173" t="s">
        <v>163</v>
      </c>
      <c r="J173">
        <v>6.2</v>
      </c>
      <c r="K173" t="s">
        <v>3</v>
      </c>
      <c r="L173" t="s">
        <v>34</v>
      </c>
      <c r="M173">
        <f t="shared" si="21"/>
        <v>5.1666642646225451</v>
      </c>
      <c r="N173">
        <f t="shared" si="23"/>
        <v>1.0677827420080659</v>
      </c>
      <c r="O173" s="67" cm="1">
        <f t="array" ref="O173">SUMPRODUCT((G173=$G$7:$G$10000)*(M173&lt;$M$7:$M$10000))+1</f>
        <v>38</v>
      </c>
      <c r="P173" s="72"/>
      <c r="Q173">
        <v>5</v>
      </c>
      <c r="R173" t="str">
        <v>MIA</v>
      </c>
      <c r="S173" t="str">
        <v>Kirby Myhill</v>
      </c>
      <c r="T173" t="str">
        <v>NULL</v>
      </c>
      <c r="U173" t="str">
        <v>Home</v>
      </c>
      <c r="V173" t="str">
        <v>UTAH</v>
      </c>
      <c r="W173">
        <v>1.4660371034670119</v>
      </c>
      <c r="Y173" s="1" cm="1">
        <f t="array" ref="Y173">COUNT(_xlfn._xlws.FILTER($G$7:$G$10000,($I$7:$I$10000=X173)*($J$7:$J$10000&lt;&gt;"NULL")*($G$7:$G$10000 &gt;= ($G$1-5))))/5</f>
        <v>0</v>
      </c>
    </row>
    <row r="174" spans="7:25" x14ac:dyDescent="0.35">
      <c r="G174" s="66">
        <v>3</v>
      </c>
      <c r="H174" t="s">
        <v>34</v>
      </c>
      <c r="I174" t="s">
        <v>436</v>
      </c>
      <c r="J174">
        <v>6.1</v>
      </c>
      <c r="K174" t="s">
        <v>9</v>
      </c>
      <c r="L174" t="s">
        <v>7</v>
      </c>
      <c r="M174">
        <f t="shared" si="21"/>
        <v>4.1109883008656229</v>
      </c>
      <c r="N174">
        <f t="shared" si="23"/>
        <v>3.9561675392934204</v>
      </c>
      <c r="O174" s="67" cm="1">
        <f t="array" ref="O174">SUMPRODUCT((G174=$G$7:$G$10000)*(M174&lt;$M$7:$M$10000))+1</f>
        <v>52</v>
      </c>
      <c r="P174" s="72"/>
      <c r="Q174">
        <v>5</v>
      </c>
      <c r="R174" t="str">
        <v>UTAH</v>
      </c>
      <c r="S174" t="str">
        <v>Tonga Kofe</v>
      </c>
      <c r="T174" t="str">
        <v>NULL</v>
      </c>
      <c r="U174" t="str">
        <v>Away</v>
      </c>
      <c r="V174" t="str">
        <v>MIA</v>
      </c>
      <c r="W174">
        <v>1.4562958201191991</v>
      </c>
      <c r="Y174" s="1" cm="1">
        <f t="array" ref="Y174">COUNT(_xlfn._xlws.FILTER($G$7:$G$10000,($I$7:$I$10000=X174)*($J$7:$J$10000&lt;&gt;"NULL")*($G$7:$G$10000 &gt;= ($G$1-5))))/5</f>
        <v>0</v>
      </c>
    </row>
    <row r="175" spans="7:25" x14ac:dyDescent="0.35">
      <c r="G175" s="66">
        <v>3</v>
      </c>
      <c r="H175" t="s">
        <v>23</v>
      </c>
      <c r="I175" t="s">
        <v>412</v>
      </c>
      <c r="J175">
        <v>6</v>
      </c>
      <c r="K175" t="s">
        <v>9</v>
      </c>
      <c r="L175" t="s">
        <v>2</v>
      </c>
      <c r="M175">
        <f t="shared" si="21"/>
        <v>6.1757266636531085</v>
      </c>
      <c r="N175">
        <f t="shared" si="23"/>
        <v>3.0879860318652731E-2</v>
      </c>
      <c r="O175" s="67" cm="1">
        <f t="array" ref="O175">SUMPRODUCT((G175=$G$7:$G$10000)*(M175&lt;$M$7:$M$10000))+1</f>
        <v>29</v>
      </c>
      <c r="P175" s="72"/>
      <c r="Q175">
        <v>5</v>
      </c>
      <c r="R175" t="str">
        <v>NOLA</v>
      </c>
      <c r="S175" t="str">
        <v>Paul Mullen</v>
      </c>
      <c r="T175" t="str">
        <v>NULL</v>
      </c>
      <c r="U175" t="str">
        <v>Away</v>
      </c>
      <c r="V175" t="str">
        <v>NEFJ</v>
      </c>
      <c r="W175">
        <v>1.4153886460483101</v>
      </c>
      <c r="Y175" s="1" cm="1">
        <f t="array" ref="Y175">COUNT(_xlfn._xlws.FILTER($G$7:$G$10000,($I$7:$I$10000=X175)*($J$7:$J$10000&lt;&gt;"NULL")*($G$7:$G$10000 &gt;= ($G$1-5))))/5</f>
        <v>0</v>
      </c>
    </row>
    <row r="176" spans="7:25" x14ac:dyDescent="0.35">
      <c r="G176" s="66">
        <v>3</v>
      </c>
      <c r="H176" t="s">
        <v>13</v>
      </c>
      <c r="I176" t="s">
        <v>464</v>
      </c>
      <c r="J176">
        <v>5.9</v>
      </c>
      <c r="K176" t="s">
        <v>3</v>
      </c>
      <c r="L176" t="s">
        <v>4</v>
      </c>
      <c r="M176">
        <f t="shared" si="21"/>
        <v>6.8534290398822648</v>
      </c>
      <c r="N176">
        <f t="shared" si="23"/>
        <v>0.90902693409081659</v>
      </c>
      <c r="O176" s="67" cm="1">
        <f t="array" ref="O176">SUMPRODUCT((G176=$G$7:$G$10000)*(M176&lt;$M$7:$M$10000))+1</f>
        <v>22</v>
      </c>
      <c r="P176" s="72"/>
      <c r="Q176">
        <v>5</v>
      </c>
      <c r="R176" t="str">
        <v>NOLA</v>
      </c>
      <c r="S176" t="str">
        <v>Matt Harmon</v>
      </c>
      <c r="T176" t="str">
        <v>NULL</v>
      </c>
      <c r="U176" t="str">
        <v>Away</v>
      </c>
      <c r="V176" t="str">
        <v>NEFJ</v>
      </c>
      <c r="W176">
        <v>1.0339452489496068</v>
      </c>
      <c r="Y176" s="1" cm="1">
        <f t="array" ref="Y176">COUNT(_xlfn._xlws.FILTER($G$7:$G$10000,($I$7:$I$10000=X176)*($J$7:$J$10000&lt;&gt;"NULL")*($G$7:$G$10000 &gt;= ($G$1-5))))/5</f>
        <v>0</v>
      </c>
    </row>
    <row r="177" spans="7:25" x14ac:dyDescent="0.35">
      <c r="G177" s="66">
        <v>3</v>
      </c>
      <c r="H177" t="s">
        <v>36</v>
      </c>
      <c r="I177" t="s">
        <v>225</v>
      </c>
      <c r="J177">
        <v>5.8</v>
      </c>
      <c r="K177" t="s">
        <v>3</v>
      </c>
      <c r="L177" t="s">
        <v>17</v>
      </c>
      <c r="M177">
        <f t="shared" si="21"/>
        <v>11.412184712175804</v>
      </c>
      <c r="N177">
        <f t="shared" si="23"/>
        <v>31.49661724357982</v>
      </c>
      <c r="O177" s="67" cm="1">
        <f t="array" ref="O177">SUMPRODUCT((G177=$G$7:$G$10000)*(M177&lt;$M$7:$M$10000))+1</f>
        <v>5</v>
      </c>
      <c r="P177" s="72"/>
      <c r="Q177">
        <v>5</v>
      </c>
      <c r="R177" t="str">
        <v>SEA</v>
      </c>
      <c r="S177" t="str">
        <v>Dewald Kotze</v>
      </c>
      <c r="T177" t="str">
        <v>NULL</v>
      </c>
      <c r="U177" t="str">
        <v>Away</v>
      </c>
      <c r="V177" t="str">
        <v>LA</v>
      </c>
      <c r="W177">
        <v>0.9832968410262124</v>
      </c>
      <c r="Y177" s="1" cm="1">
        <f t="array" ref="Y177">COUNT(_xlfn._xlws.FILTER($G$7:$G$10000,($I$7:$I$10000=X177)*($J$7:$J$10000&lt;&gt;"NULL")*($G$7:$G$10000 &gt;= ($G$1-5))))/5</f>
        <v>0</v>
      </c>
    </row>
    <row r="178" spans="7:25" x14ac:dyDescent="0.35">
      <c r="G178" s="66">
        <v>3</v>
      </c>
      <c r="H178" t="s">
        <v>7</v>
      </c>
      <c r="I178" t="s">
        <v>277</v>
      </c>
      <c r="J178">
        <v>5.6</v>
      </c>
      <c r="K178" t="s">
        <v>3</v>
      </c>
      <c r="L178" t="s">
        <v>34</v>
      </c>
      <c r="M178">
        <f t="shared" si="21"/>
        <v>4.0662393928497549</v>
      </c>
      <c r="N178">
        <f t="shared" si="23"/>
        <v>2.3524216000458873</v>
      </c>
      <c r="O178" s="67" cm="1">
        <f t="array" ref="O178">SUMPRODUCT((G178=$G$7:$G$10000)*(M178&lt;$M$7:$M$10000))+1</f>
        <v>53</v>
      </c>
      <c r="P178" s="72"/>
      <c r="Q178">
        <v>5</v>
      </c>
      <c r="R178" t="str">
        <v>CHI</v>
      </c>
      <c r="S178" t="str">
        <v>Charlie Abel</v>
      </c>
      <c r="T178" t="str">
        <v>NULL</v>
      </c>
      <c r="U178" t="str">
        <v>Home</v>
      </c>
      <c r="V178" t="str">
        <v>OGDC</v>
      </c>
      <c r="W178">
        <v>0.88446116534104124</v>
      </c>
      <c r="Y178" s="1" cm="1">
        <f t="array" ref="Y178">COUNT(_xlfn._xlws.FILTER($G$7:$G$10000,($I$7:$I$10000=X178)*($J$7:$J$10000&lt;&gt;"NULL")*($G$7:$G$10000 &gt;= ($G$1-5))))/5</f>
        <v>0</v>
      </c>
    </row>
    <row r="179" spans="7:25" x14ac:dyDescent="0.35">
      <c r="G179" s="66">
        <v>3</v>
      </c>
      <c r="H179" t="s">
        <v>23</v>
      </c>
      <c r="I179" t="s">
        <v>144</v>
      </c>
      <c r="J179">
        <v>5.5</v>
      </c>
      <c r="K179" t="s">
        <v>9</v>
      </c>
      <c r="L179" t="s">
        <v>2</v>
      </c>
      <c r="M179">
        <f t="shared" si="21"/>
        <v>7.3977690635974032</v>
      </c>
      <c r="N179">
        <f t="shared" si="23"/>
        <v>3.6015274187473643</v>
      </c>
      <c r="O179" s="67" cm="1">
        <f t="array" ref="O179">SUMPRODUCT((G179=$G$7:$G$10000)*(M179&lt;$M$7:$M$10000))+1</f>
        <v>19</v>
      </c>
      <c r="P179" s="72"/>
      <c r="Q179">
        <v>5</v>
      </c>
      <c r="R179" t="str">
        <v>NOLA</v>
      </c>
      <c r="S179" t="str">
        <v>Callum Botchar</v>
      </c>
      <c r="T179" t="str">
        <v>NULL</v>
      </c>
      <c r="U179" t="str">
        <v>Away</v>
      </c>
      <c r="V179" t="str">
        <v>NEFJ</v>
      </c>
      <c r="W179">
        <v>0.62986732410423318</v>
      </c>
      <c r="Y179" s="1" cm="1">
        <f t="array" ref="Y179">COUNT(_xlfn._xlws.FILTER($G$7:$G$10000,($I$7:$I$10000=X179)*($J$7:$J$10000&lt;&gt;"NULL")*($G$7:$G$10000 &gt;= ($G$1-5))))/5</f>
        <v>0</v>
      </c>
    </row>
    <row r="180" spans="7:25" x14ac:dyDescent="0.35">
      <c r="G180" s="66">
        <v>3</v>
      </c>
      <c r="H180" t="s">
        <v>7</v>
      </c>
      <c r="I180" t="s">
        <v>148</v>
      </c>
      <c r="J180">
        <v>5.5</v>
      </c>
      <c r="K180" t="s">
        <v>3</v>
      </c>
      <c r="L180" t="s">
        <v>34</v>
      </c>
      <c r="M180">
        <f t="shared" si="21"/>
        <v>4.4924845643798168</v>
      </c>
      <c r="N180">
        <f t="shared" si="23"/>
        <v>1.0150873530129274</v>
      </c>
      <c r="O180" s="67" cm="1">
        <f t="array" ref="O180">SUMPRODUCT((G180=$G$7:$G$10000)*(M180&lt;$M$7:$M$10000))+1</f>
        <v>46</v>
      </c>
      <c r="P180" s="72"/>
      <c r="Q180">
        <v>5</v>
      </c>
      <c r="R180" t="str">
        <v>NOLA</v>
      </c>
      <c r="S180" t="str">
        <v>Cam Dolan</v>
      </c>
      <c r="T180" t="str">
        <v>NULL</v>
      </c>
      <c r="U180" t="str">
        <v>Away</v>
      </c>
      <c r="V180" t="str">
        <v>NEFJ</v>
      </c>
      <c r="W180">
        <v>0.30912124024068621</v>
      </c>
      <c r="Y180" s="1" cm="1">
        <f t="array" ref="Y180">COUNT(_xlfn._xlws.FILTER($G$7:$G$10000,($I$7:$I$10000=X180)*($J$7:$J$10000&lt;&gt;"NULL")*($G$7:$G$10000 &gt;= ($G$1-5))))/5</f>
        <v>0</v>
      </c>
    </row>
    <row r="181" spans="7:25" x14ac:dyDescent="0.35">
      <c r="G181" s="66">
        <v>3</v>
      </c>
      <c r="H181" t="s">
        <v>17</v>
      </c>
      <c r="I181" t="s">
        <v>105</v>
      </c>
      <c r="J181">
        <v>5.5</v>
      </c>
      <c r="K181" t="s">
        <v>9</v>
      </c>
      <c r="L181" t="s">
        <v>36</v>
      </c>
      <c r="M181">
        <f t="shared" si="21"/>
        <v>4.464994884416198</v>
      </c>
      <c r="N181">
        <f t="shared" si="23"/>
        <v>1.0712355892846395</v>
      </c>
      <c r="O181" s="67" cm="1">
        <f t="array" ref="O181">SUMPRODUCT((G181=$G$7:$G$10000)*(M181&lt;$M$7:$M$10000))+1</f>
        <v>47</v>
      </c>
      <c r="P181" s="72"/>
      <c r="Q181">
        <v>5</v>
      </c>
      <c r="R181" t="str">
        <v>MIA</v>
      </c>
      <c r="S181" t="str">
        <v>Tau Koloamatangi</v>
      </c>
      <c r="T181" t="str">
        <v>NULL</v>
      </c>
      <c r="U181" t="str">
        <v>Home</v>
      </c>
      <c r="V181" t="str">
        <v>UTAH</v>
      </c>
      <c r="W181">
        <v>-6.6726993818282843E-2</v>
      </c>
      <c r="Y181" s="1" cm="1">
        <f t="array" ref="Y181">COUNT(_xlfn._xlws.FILTER($G$7:$G$10000,($I$7:$I$10000=X181)*($J$7:$J$10000&lt;&gt;"NULL")*($G$7:$G$10000 &gt;= ($G$1-5))))/5</f>
        <v>0</v>
      </c>
    </row>
    <row r="182" spans="7:25" x14ac:dyDescent="0.35">
      <c r="G182" s="66">
        <v>3</v>
      </c>
      <c r="H182" t="s">
        <v>2</v>
      </c>
      <c r="I182" t="s">
        <v>108</v>
      </c>
      <c r="J182">
        <v>5.4</v>
      </c>
      <c r="K182" t="s">
        <v>3</v>
      </c>
      <c r="L182" t="s">
        <v>23</v>
      </c>
      <c r="M182">
        <f t="shared" si="21"/>
        <v>6.2178046984063391</v>
      </c>
      <c r="N182">
        <f t="shared" si="23"/>
        <v>0.66880452473548269</v>
      </c>
      <c r="O182" s="67" cm="1">
        <f t="array" ref="O182">SUMPRODUCT((G182=$G$7:$G$10000)*(M182&lt;$M$7:$M$10000))+1</f>
        <v>28</v>
      </c>
      <c r="P182" s="72"/>
      <c r="Q182">
        <v>5</v>
      </c>
      <c r="R182" t="str">
        <v>MIA</v>
      </c>
      <c r="S182" t="str">
        <v>Sean McNulty</v>
      </c>
      <c r="T182" t="str">
        <v>NULL</v>
      </c>
      <c r="U182" t="str">
        <v>Home</v>
      </c>
      <c r="V182" t="str">
        <v>UTAH</v>
      </c>
      <c r="W182">
        <v>-0.79946809198925628</v>
      </c>
      <c r="Y182" s="1" cm="1">
        <f t="array" ref="Y182">COUNT(_xlfn._xlws.FILTER($G$7:$G$10000,($I$7:$I$10000=X182)*($J$7:$J$10000&lt;&gt;"NULL")*($G$7:$G$10000 &gt;= ($G$1-5))))/5</f>
        <v>0</v>
      </c>
    </row>
    <row r="183" spans="7:25" x14ac:dyDescent="0.35">
      <c r="G183" s="66">
        <v>3</v>
      </c>
      <c r="H183" t="s">
        <v>23</v>
      </c>
      <c r="I183" t="s">
        <v>421</v>
      </c>
      <c r="J183">
        <v>5.4</v>
      </c>
      <c r="K183" t="s">
        <v>9</v>
      </c>
      <c r="L183" t="s">
        <v>2</v>
      </c>
      <c r="M183">
        <f t="shared" si="21"/>
        <v>7.1259907090064267</v>
      </c>
      <c r="N183">
        <f t="shared" si="23"/>
        <v>2.9790439275765066</v>
      </c>
      <c r="O183" s="67" cm="1">
        <f t="array" ref="O183">SUMPRODUCT((G183=$G$7:$G$10000)*(M183&lt;$M$7:$M$10000))+1</f>
        <v>21</v>
      </c>
      <c r="P183" s="72"/>
      <c r="Q183">
        <v>5</v>
      </c>
      <c r="R183" t="str">
        <v>MIA</v>
      </c>
      <c r="S183" t="str">
        <v>Alec McDonnell</v>
      </c>
      <c r="T183" t="str">
        <v>NULL</v>
      </c>
      <c r="U183" t="str">
        <v>Home</v>
      </c>
      <c r="V183" t="str">
        <v>UTAH</v>
      </c>
      <c r="W183">
        <v>-10.262554743166461</v>
      </c>
      <c r="Y183" s="1" cm="1">
        <f t="array" ref="Y183">COUNT(_xlfn._xlws.FILTER($G$7:$G$10000,($I$7:$I$10000=X183)*($J$7:$J$10000&lt;&gt;"NULL")*($G$7:$G$10000 &gt;= ($G$1-5))))/5</f>
        <v>0</v>
      </c>
    </row>
    <row r="184" spans="7:25" x14ac:dyDescent="0.35">
      <c r="G184" s="66">
        <v>3</v>
      </c>
      <c r="H184" t="s">
        <v>23</v>
      </c>
      <c r="I184" t="s">
        <v>221</v>
      </c>
      <c r="J184">
        <v>5.3</v>
      </c>
      <c r="K184" t="s">
        <v>9</v>
      </c>
      <c r="L184" t="s">
        <v>2</v>
      </c>
      <c r="M184">
        <f t="shared" si="21"/>
        <v>7.5124031749035947</v>
      </c>
      <c r="N184">
        <f t="shared" si="23"/>
        <v>4.8947278083235064</v>
      </c>
      <c r="O184" s="67" cm="1">
        <f t="array" ref="O184">SUMPRODUCT((G184=$G$7:$G$10000)*(M184&lt;$M$7:$M$10000))+1</f>
        <v>17</v>
      </c>
      <c r="P184" s="72"/>
      <c r="Q184">
        <v>6</v>
      </c>
      <c r="R184" t="str">
        <v>SEA</v>
      </c>
      <c r="S184" t="str">
        <v>Devin Short</v>
      </c>
      <c r="T184" t="str">
        <v>NULL</v>
      </c>
      <c r="U184" t="str">
        <v>Home</v>
      </c>
      <c r="V184" t="str">
        <v>UTAH</v>
      </c>
      <c r="W184">
        <v>16.16431715007656</v>
      </c>
      <c r="Y184" s="1" cm="1">
        <f t="array" ref="Y184">COUNT(_xlfn._xlws.FILTER($G$7:$G$10000,($I$7:$I$10000=X184)*($J$7:$J$10000&lt;&gt;"NULL")*($G$7:$G$10000 &gt;= ($G$1-5))))/5</f>
        <v>0</v>
      </c>
    </row>
    <row r="185" spans="7:25" x14ac:dyDescent="0.35">
      <c r="G185" s="66">
        <v>3</v>
      </c>
      <c r="H185" t="s">
        <v>2</v>
      </c>
      <c r="I185" t="s">
        <v>426</v>
      </c>
      <c r="J185">
        <v>5.2</v>
      </c>
      <c r="K185" t="s">
        <v>3</v>
      </c>
      <c r="L185" t="s">
        <v>23</v>
      </c>
      <c r="M185">
        <f t="shared" si="21"/>
        <v>1.5451243336853313</v>
      </c>
      <c r="N185">
        <f t="shared" si="23"/>
        <v>13.358116136219095</v>
      </c>
      <c r="O185" s="67" cm="1">
        <f t="array" ref="O185">SUMPRODUCT((G185=$G$7:$G$10000)*(M185&lt;$M$7:$M$10000))+1</f>
        <v>73</v>
      </c>
      <c r="P185" s="72"/>
      <c r="Q185">
        <v>6</v>
      </c>
      <c r="R185" t="str">
        <v>SDL</v>
      </c>
      <c r="S185" t="str">
        <v>Vili Helu</v>
      </c>
      <c r="T185" t="str">
        <v>NULL</v>
      </c>
      <c r="U185" t="str">
        <v>Home</v>
      </c>
      <c r="V185" t="str">
        <v>MIA</v>
      </c>
      <c r="W185">
        <v>15.838568644474204</v>
      </c>
      <c r="Y185" s="1" cm="1">
        <f t="array" ref="Y185">COUNT(_xlfn._xlws.FILTER($G$7:$G$10000,($I$7:$I$10000=X185)*($J$7:$J$10000&lt;&gt;"NULL")*($G$7:$G$10000 &gt;= ($G$1-5))))/5</f>
        <v>0</v>
      </c>
    </row>
    <row r="186" spans="7:25" x14ac:dyDescent="0.35">
      <c r="G186" s="66">
        <v>3</v>
      </c>
      <c r="H186" t="s">
        <v>34</v>
      </c>
      <c r="I186" t="s">
        <v>177</v>
      </c>
      <c r="J186">
        <v>5</v>
      </c>
      <c r="K186" t="s">
        <v>9</v>
      </c>
      <c r="L186" t="s">
        <v>7</v>
      </c>
      <c r="M186">
        <f t="shared" si="21"/>
        <v>3.8895838187505998</v>
      </c>
      <c r="N186">
        <f t="shared" si="23"/>
        <v>1.2330240955805007</v>
      </c>
      <c r="O186" s="67" cm="1">
        <f t="array" ref="O186">SUMPRODUCT((G186=$G$7:$G$10000)*(M186&lt;$M$7:$M$10000))+1</f>
        <v>55</v>
      </c>
      <c r="P186" s="72"/>
      <c r="Q186">
        <v>6</v>
      </c>
      <c r="R186" t="str">
        <v>SDL</v>
      </c>
      <c r="S186" t="str">
        <v>Shilo Klein</v>
      </c>
      <c r="T186" t="str">
        <v>NULL</v>
      </c>
      <c r="U186" t="str">
        <v>Home</v>
      </c>
      <c r="V186" t="str">
        <v>MIA</v>
      </c>
      <c r="W186">
        <v>15.480936272258663</v>
      </c>
      <c r="Y186" s="1" cm="1">
        <f t="array" ref="Y186">COUNT(_xlfn._xlws.FILTER($G$7:$G$10000,($I$7:$I$10000=X186)*($J$7:$J$10000&lt;&gt;"NULL")*($G$7:$G$10000 &gt;= ($G$1-5))))/5</f>
        <v>0</v>
      </c>
    </row>
    <row r="187" spans="7:25" x14ac:dyDescent="0.35">
      <c r="G187" s="66">
        <v>3</v>
      </c>
      <c r="H187" t="s">
        <v>14</v>
      </c>
      <c r="I187" t="s">
        <v>164</v>
      </c>
      <c r="J187">
        <v>4.9000000000000004</v>
      </c>
      <c r="K187" t="s">
        <v>3</v>
      </c>
      <c r="L187" t="s">
        <v>24</v>
      </c>
      <c r="M187">
        <f t="shared" si="21"/>
        <v>4.122838057876395</v>
      </c>
      <c r="N187">
        <f t="shared" si="23"/>
        <v>0.60398068428533414</v>
      </c>
      <c r="O187" s="67" cm="1">
        <f t="array" ref="O187">SUMPRODUCT((G187=$G$7:$G$10000)*(M187&lt;$M$7:$M$10000))+1</f>
        <v>50</v>
      </c>
      <c r="P187" s="72"/>
      <c r="Q187">
        <v>6</v>
      </c>
      <c r="R187" t="str">
        <v>SDL</v>
      </c>
      <c r="S187" t="str">
        <v>Brad Wilkin</v>
      </c>
      <c r="T187" t="str">
        <v>NULL</v>
      </c>
      <c r="U187" t="str">
        <v>Home</v>
      </c>
      <c r="V187" t="str">
        <v>MIA</v>
      </c>
      <c r="W187">
        <v>14.470470358453303</v>
      </c>
      <c r="Y187" s="1" cm="1">
        <f t="array" ref="Y187">COUNT(_xlfn._xlws.FILTER($G$7:$G$10000,($I$7:$I$10000=X187)*($J$7:$J$10000&lt;&gt;"NULL")*($G$7:$G$10000 &gt;= ($G$1-5))))/5</f>
        <v>0</v>
      </c>
    </row>
    <row r="188" spans="7:25" x14ac:dyDescent="0.35">
      <c r="G188" s="66">
        <v>3</v>
      </c>
      <c r="H188" t="s">
        <v>14</v>
      </c>
      <c r="I188" t="s">
        <v>143</v>
      </c>
      <c r="J188">
        <v>4.5</v>
      </c>
      <c r="K188" t="s">
        <v>3</v>
      </c>
      <c r="L188" t="s">
        <v>24</v>
      </c>
      <c r="M188">
        <f t="shared" si="21"/>
        <v>4.4990700671546948</v>
      </c>
      <c r="N188">
        <f t="shared" si="23"/>
        <v>8.6477509677739037E-7</v>
      </c>
      <c r="O188" s="67" cm="1">
        <f t="array" ref="O188">SUMPRODUCT((G188=$G$7:$G$10000)*(M188&lt;$M$7:$M$10000))+1</f>
        <v>45</v>
      </c>
      <c r="P188" s="72"/>
      <c r="Q188">
        <v>6</v>
      </c>
      <c r="R188" t="str">
        <v>SDL</v>
      </c>
      <c r="S188" t="str">
        <v>Christian Poidevin</v>
      </c>
      <c r="T188" t="str">
        <v>NULL</v>
      </c>
      <c r="U188" t="str">
        <v>Home</v>
      </c>
      <c r="V188" t="str">
        <v>MIA</v>
      </c>
      <c r="W188">
        <v>13.6192325788407</v>
      </c>
      <c r="Y188" s="1" cm="1">
        <f t="array" ref="Y188">COUNT(_xlfn._xlws.FILTER($G$7:$G$10000,($I$7:$I$10000=X188)*($J$7:$J$10000&lt;&gt;"NULL")*($G$7:$G$10000 &gt;= ($G$1-5))))/5</f>
        <v>0</v>
      </c>
    </row>
    <row r="189" spans="7:25" x14ac:dyDescent="0.35">
      <c r="G189" s="66">
        <v>3</v>
      </c>
      <c r="H189" t="s">
        <v>36</v>
      </c>
      <c r="I189" t="s">
        <v>216</v>
      </c>
      <c r="J189">
        <v>4.5</v>
      </c>
      <c r="K189" t="s">
        <v>3</v>
      </c>
      <c r="L189" t="s">
        <v>17</v>
      </c>
      <c r="M189">
        <f t="shared" si="21"/>
        <v>3.5655135675398535</v>
      </c>
      <c r="N189">
        <f t="shared" si="23"/>
        <v>0.87326489245209193</v>
      </c>
      <c r="O189" s="67" cm="1">
        <f t="array" ref="O189">SUMPRODUCT((G189=$G$7:$G$10000)*(M189&lt;$M$7:$M$10000))+1</f>
        <v>60</v>
      </c>
      <c r="P189" s="72"/>
      <c r="Q189">
        <v>6</v>
      </c>
      <c r="R189" t="str">
        <v>SDL</v>
      </c>
      <c r="S189" t="str">
        <v>Djustice Sears-Duru</v>
      </c>
      <c r="T189" t="str">
        <v>NULL</v>
      </c>
      <c r="U189" t="str">
        <v>Home</v>
      </c>
      <c r="V189" t="str">
        <v>MIA</v>
      </c>
      <c r="W189">
        <v>13.063455440174121</v>
      </c>
      <c r="Y189" s="1" cm="1">
        <f t="array" ref="Y189">COUNT(_xlfn._xlws.FILTER($G$7:$G$10000,($I$7:$I$10000=X189)*($J$7:$J$10000&lt;&gt;"NULL")*($G$7:$G$10000 &gt;= ($G$1-5))))/5</f>
        <v>0</v>
      </c>
    </row>
    <row r="190" spans="7:25" x14ac:dyDescent="0.35">
      <c r="G190" s="66">
        <v>3</v>
      </c>
      <c r="H190" t="s">
        <v>23</v>
      </c>
      <c r="I190" t="s">
        <v>431</v>
      </c>
      <c r="J190">
        <v>4.5</v>
      </c>
      <c r="K190" t="s">
        <v>9</v>
      </c>
      <c r="L190" t="s">
        <v>2</v>
      </c>
      <c r="M190">
        <f t="shared" si="21"/>
        <v>6.4511676335618855</v>
      </c>
      <c r="N190">
        <f t="shared" si="23"/>
        <v>3.8070551342594885</v>
      </c>
      <c r="O190" s="67" cm="1">
        <f t="array" ref="O190">SUMPRODUCT((G190=$G$7:$G$10000)*(M190&lt;$M$7:$M$10000))+1</f>
        <v>25</v>
      </c>
      <c r="P190" s="72"/>
      <c r="Q190">
        <v>6</v>
      </c>
      <c r="R190" t="str">
        <v>NOLA</v>
      </c>
      <c r="S190" t="str">
        <v>Pat O'Toole</v>
      </c>
      <c r="T190" t="str">
        <v>NULL</v>
      </c>
      <c r="U190" t="str">
        <v>Home</v>
      </c>
      <c r="V190" t="str">
        <v>LA</v>
      </c>
      <c r="W190">
        <v>12.202130772066663</v>
      </c>
      <c r="Y190" s="1" cm="1">
        <f t="array" ref="Y190">COUNT(_xlfn._xlws.FILTER($G$7:$G$10000,($I$7:$I$10000=X190)*($J$7:$J$10000&lt;&gt;"NULL")*($G$7:$G$10000 &gt;= ($G$1-5))))/5</f>
        <v>0</v>
      </c>
    </row>
    <row r="191" spans="7:25" x14ac:dyDescent="0.35">
      <c r="G191" s="66">
        <v>3</v>
      </c>
      <c r="H191" t="s">
        <v>7</v>
      </c>
      <c r="I191" t="s">
        <v>158</v>
      </c>
      <c r="J191">
        <v>4.5</v>
      </c>
      <c r="K191" t="s">
        <v>3</v>
      </c>
      <c r="L191" t="s">
        <v>34</v>
      </c>
      <c r="M191">
        <f t="shared" si="21"/>
        <v>5.2191812943058462</v>
      </c>
      <c r="N191">
        <f t="shared" si="23"/>
        <v>0.51722173407943217</v>
      </c>
      <c r="O191" s="67" cm="1">
        <f t="array" ref="O191">SUMPRODUCT((G191=$G$7:$G$10000)*(M191&lt;$M$7:$M$10000))+1</f>
        <v>37</v>
      </c>
      <c r="P191" s="72"/>
      <c r="Q191">
        <v>6</v>
      </c>
      <c r="R191" t="str">
        <v>MIA</v>
      </c>
      <c r="S191" t="str">
        <v>Benjamin Bonasso</v>
      </c>
      <c r="T191" t="str">
        <v>NULL</v>
      </c>
      <c r="U191" t="str">
        <v>Away</v>
      </c>
      <c r="V191" t="str">
        <v>SDL</v>
      </c>
      <c r="W191">
        <v>11.707600030713444</v>
      </c>
      <c r="Y191" s="1" cm="1">
        <f t="array" ref="Y191">COUNT(_xlfn._xlws.FILTER($G$7:$G$10000,($I$7:$I$10000=X191)*($J$7:$J$10000&lt;&gt;"NULL")*($G$7:$G$10000 &gt;= ($G$1-5))))/5</f>
        <v>0</v>
      </c>
    </row>
    <row r="192" spans="7:25" x14ac:dyDescent="0.35">
      <c r="G192" s="66">
        <v>3</v>
      </c>
      <c r="H192" t="s">
        <v>14</v>
      </c>
      <c r="I192" t="s">
        <v>396</v>
      </c>
      <c r="J192">
        <v>4.4000000000000004</v>
      </c>
      <c r="K192" t="s">
        <v>3</v>
      </c>
      <c r="L192" t="s">
        <v>24</v>
      </c>
      <c r="M192">
        <f t="shared" si="21"/>
        <v>7.4054505711072576</v>
      </c>
      <c r="N192">
        <f t="shared" si="23"/>
        <v>9.0327331353689377</v>
      </c>
      <c r="O192" s="67" cm="1">
        <f t="array" ref="O192">SUMPRODUCT((G192=$G$7:$G$10000)*(M192&lt;$M$7:$M$10000))+1</f>
        <v>18</v>
      </c>
      <c r="P192" s="72"/>
      <c r="Q192">
        <v>6</v>
      </c>
      <c r="R192" t="str">
        <v>NEFJ</v>
      </c>
      <c r="S192" t="str">
        <v>Joe Johnston</v>
      </c>
      <c r="T192" t="str">
        <v>NULL</v>
      </c>
      <c r="U192" t="str">
        <v>Away</v>
      </c>
      <c r="V192" t="str">
        <v>OGDC</v>
      </c>
      <c r="W192">
        <v>11.497621547375086</v>
      </c>
      <c r="Y192" s="1" cm="1">
        <f t="array" ref="Y192">COUNT(_xlfn._xlws.FILTER($G$7:$G$10000,($I$7:$I$10000=X192)*($J$7:$J$10000&lt;&gt;"NULL")*($G$7:$G$10000 &gt;= ($G$1-5))))/5</f>
        <v>0</v>
      </c>
    </row>
    <row r="193" spans="7:25" x14ac:dyDescent="0.35">
      <c r="G193" s="66">
        <v>3</v>
      </c>
      <c r="H193" t="s">
        <v>2</v>
      </c>
      <c r="I193" t="s">
        <v>115</v>
      </c>
      <c r="J193">
        <v>4.3</v>
      </c>
      <c r="K193" t="s">
        <v>3</v>
      </c>
      <c r="L193" t="s">
        <v>23</v>
      </c>
      <c r="M193">
        <f t="shared" si="21"/>
        <v>6.0074975338676859</v>
      </c>
      <c r="N193">
        <f t="shared" si="23"/>
        <v>2.9155478281642297</v>
      </c>
      <c r="O193" s="67" cm="1">
        <f t="array" ref="O193">SUMPRODUCT((G193=$G$7:$G$10000)*(M193&lt;$M$7:$M$10000))+1</f>
        <v>30</v>
      </c>
      <c r="P193" s="72"/>
      <c r="Q193">
        <v>6</v>
      </c>
      <c r="R193" t="str">
        <v>NOLA</v>
      </c>
      <c r="S193" t="str">
        <v>Jonah Mau'u</v>
      </c>
      <c r="T193" t="str">
        <v>NULL</v>
      </c>
      <c r="U193" t="str">
        <v>Home</v>
      </c>
      <c r="V193" t="str">
        <v>LA</v>
      </c>
      <c r="W193">
        <v>11.309843233248062</v>
      </c>
      <c r="Y193" s="1" cm="1">
        <f t="array" ref="Y193">COUNT(_xlfn._xlws.FILTER($G$7:$G$10000,($I$7:$I$10000=X193)*($J$7:$J$10000&lt;&gt;"NULL")*($G$7:$G$10000 &gt;= ($G$1-5))))/5</f>
        <v>0</v>
      </c>
    </row>
    <row r="194" spans="7:25" x14ac:dyDescent="0.35">
      <c r="G194" s="66">
        <v>3</v>
      </c>
      <c r="H194" t="s">
        <v>4</v>
      </c>
      <c r="I194" t="s">
        <v>209</v>
      </c>
      <c r="J194">
        <v>4.2</v>
      </c>
      <c r="K194" t="s">
        <v>9</v>
      </c>
      <c r="L194" t="s">
        <v>13</v>
      </c>
      <c r="M194">
        <f t="shared" si="21"/>
        <v>7.6545903600050451</v>
      </c>
      <c r="N194">
        <f t="shared" si="23"/>
        <v>11.934194555439786</v>
      </c>
      <c r="O194" s="67" cm="1">
        <f t="array" ref="O194">SUMPRODUCT((G194=$G$7:$G$10000)*(M194&lt;$M$7:$M$10000))+1</f>
        <v>15</v>
      </c>
      <c r="P194" s="72"/>
      <c r="Q194">
        <v>6</v>
      </c>
      <c r="R194" t="str">
        <v>MIA</v>
      </c>
      <c r="S194" t="str">
        <v>Manuel Ardao</v>
      </c>
      <c r="T194" t="str">
        <v>NULL</v>
      </c>
      <c r="U194" t="str">
        <v>Away</v>
      </c>
      <c r="V194" t="str">
        <v>SDL</v>
      </c>
      <c r="W194">
        <v>10.992879675623662</v>
      </c>
      <c r="Y194" s="1" cm="1">
        <f t="array" ref="Y194">COUNT(_xlfn._xlws.FILTER($G$7:$G$10000,($I$7:$I$10000=X194)*($J$7:$J$10000&lt;&gt;"NULL")*($G$7:$G$10000 &gt;= ($G$1-5))))/5</f>
        <v>0</v>
      </c>
    </row>
    <row r="195" spans="7:25" x14ac:dyDescent="0.35">
      <c r="G195" s="66">
        <v>3</v>
      </c>
      <c r="H195" t="s">
        <v>17</v>
      </c>
      <c r="I195" t="s">
        <v>483</v>
      </c>
      <c r="J195">
        <v>4.2</v>
      </c>
      <c r="K195" t="s">
        <v>9</v>
      </c>
      <c r="L195" t="s">
        <v>36</v>
      </c>
      <c r="M195">
        <f t="shared" si="21"/>
        <v>4.1942332723829185</v>
      </c>
      <c r="N195">
        <f t="shared" si="23"/>
        <v>3.3255147409612036E-5</v>
      </c>
      <c r="O195" s="67" cm="1">
        <f t="array" ref="O195">SUMPRODUCT((G195=$G$7:$G$10000)*(M195&lt;$M$7:$M$10000))+1</f>
        <v>48</v>
      </c>
      <c r="P195" s="72"/>
      <c r="Q195">
        <v>6</v>
      </c>
      <c r="R195" t="str">
        <v>NEFJ</v>
      </c>
      <c r="S195" t="str">
        <v>Jed Melvin</v>
      </c>
      <c r="T195" t="str">
        <v>NULL</v>
      </c>
      <c r="U195" t="str">
        <v>Away</v>
      </c>
      <c r="V195" t="str">
        <v>OGDC</v>
      </c>
      <c r="W195">
        <v>10.680133418988234</v>
      </c>
      <c r="Y195" s="1" cm="1">
        <f t="array" ref="Y195">COUNT(_xlfn._xlws.FILTER($G$7:$G$10000,($I$7:$I$10000=X195)*($J$7:$J$10000&lt;&gt;"NULL")*($G$7:$G$10000 &gt;= ($G$1-5))))/5</f>
        <v>0</v>
      </c>
    </row>
    <row r="196" spans="7:25" x14ac:dyDescent="0.35">
      <c r="G196" s="66">
        <v>3</v>
      </c>
      <c r="H196" t="s">
        <v>14</v>
      </c>
      <c r="I196" t="s">
        <v>107</v>
      </c>
      <c r="J196">
        <v>4.0999999999999996</v>
      </c>
      <c r="K196" t="s">
        <v>3</v>
      </c>
      <c r="L196" t="s">
        <v>24</v>
      </c>
      <c r="M196">
        <f t="shared" si="21"/>
        <v>5.3057257484198708</v>
      </c>
      <c r="N196">
        <f t="shared" si="23"/>
        <v>1.4537745804026583</v>
      </c>
      <c r="O196" s="67" cm="1">
        <f t="array" ref="O196">SUMPRODUCT((G196=$G$7:$G$10000)*(M196&lt;$M$7:$M$10000))+1</f>
        <v>35</v>
      </c>
      <c r="P196" s="72"/>
      <c r="Q196">
        <v>6</v>
      </c>
      <c r="R196" t="str">
        <v>UTAH</v>
      </c>
      <c r="S196" t="str">
        <v>Liam Coltman</v>
      </c>
      <c r="T196" t="str">
        <v>NULL</v>
      </c>
      <c r="U196" t="str">
        <v>Away</v>
      </c>
      <c r="V196" t="str">
        <v>SEA</v>
      </c>
      <c r="W196">
        <v>10.406088395876683</v>
      </c>
      <c r="Y196" s="1" cm="1">
        <f t="array" ref="Y196">COUNT(_xlfn._xlws.FILTER($G$7:$G$10000,($I$7:$I$10000=X196)*($J$7:$J$10000&lt;&gt;"NULL")*($G$7:$G$10000 &gt;= ($G$1-5))))/5</f>
        <v>0</v>
      </c>
    </row>
    <row r="197" spans="7:25" x14ac:dyDescent="0.35">
      <c r="G197" s="66">
        <v>3</v>
      </c>
      <c r="H197" t="s">
        <v>36</v>
      </c>
      <c r="I197" t="s">
        <v>205</v>
      </c>
      <c r="J197">
        <v>4</v>
      </c>
      <c r="K197" t="s">
        <v>3</v>
      </c>
      <c r="L197" t="s">
        <v>17</v>
      </c>
      <c r="M197">
        <f t="shared" si="21"/>
        <v>4.6840107867626486</v>
      </c>
      <c r="N197">
        <f t="shared" si="23"/>
        <v>0.46787075640765752</v>
      </c>
      <c r="O197" s="67" cm="1">
        <f t="array" ref="O197">SUMPRODUCT((G197=$G$7:$G$10000)*(M197&lt;$M$7:$M$10000))+1</f>
        <v>43</v>
      </c>
      <c r="P197" s="72"/>
      <c r="Q197">
        <v>6</v>
      </c>
      <c r="R197" t="str">
        <v>SDL</v>
      </c>
      <c r="S197" t="str">
        <v>Jed Holloway</v>
      </c>
      <c r="T197" t="str">
        <v>NULL</v>
      </c>
      <c r="U197" t="str">
        <v>Home</v>
      </c>
      <c r="V197" t="str">
        <v>MIA</v>
      </c>
      <c r="W197">
        <v>9.9483424523833257</v>
      </c>
      <c r="Y197" s="1" cm="1">
        <f t="array" ref="Y197">COUNT(_xlfn._xlws.FILTER($G$7:$G$10000,($I$7:$I$10000=X197)*($J$7:$J$10000&lt;&gt;"NULL")*($G$7:$G$10000 &gt;= ($G$1-5))))/5</f>
        <v>0</v>
      </c>
    </row>
    <row r="198" spans="7:25" x14ac:dyDescent="0.35">
      <c r="G198" s="66">
        <v>3</v>
      </c>
      <c r="H198" t="s">
        <v>7</v>
      </c>
      <c r="I198" t="s">
        <v>211</v>
      </c>
      <c r="J198">
        <v>4</v>
      </c>
      <c r="K198" t="s">
        <v>3</v>
      </c>
      <c r="L198" t="s">
        <v>34</v>
      </c>
      <c r="M198">
        <f t="shared" si="21"/>
        <v>4.85053264875949</v>
      </c>
      <c r="N198">
        <f t="shared" si="23"/>
        <v>0.72340578660583399</v>
      </c>
      <c r="O198" s="67" cm="1">
        <f t="array" ref="O198">SUMPRODUCT((G198=$G$7:$G$10000)*(M198&lt;$M$7:$M$10000))+1</f>
        <v>40</v>
      </c>
      <c r="P198" s="72"/>
      <c r="Q198">
        <v>6</v>
      </c>
      <c r="R198" t="str">
        <v>HOU</v>
      </c>
      <c r="S198" t="str">
        <v>Pita Anae-Ah Sue</v>
      </c>
      <c r="T198" t="str">
        <v>NULL</v>
      </c>
      <c r="U198" t="str">
        <v>Away</v>
      </c>
      <c r="V198" t="str">
        <v>ARC</v>
      </c>
      <c r="W198">
        <v>9.9106387610044937</v>
      </c>
      <c r="Y198" s="1" cm="1">
        <f t="array" ref="Y198">COUNT(_xlfn._xlws.FILTER($G$7:$G$10000,($I$7:$I$10000=X198)*($J$7:$J$10000&lt;&gt;"NULL")*($G$7:$G$10000 &gt;= ($G$1-5))))/5</f>
        <v>0</v>
      </c>
    </row>
    <row r="199" spans="7:25" x14ac:dyDescent="0.35">
      <c r="G199" s="66">
        <v>3</v>
      </c>
      <c r="H199" t="s">
        <v>24</v>
      </c>
      <c r="I199" t="s">
        <v>419</v>
      </c>
      <c r="J199">
        <v>3.9</v>
      </c>
      <c r="K199" t="s">
        <v>9</v>
      </c>
      <c r="L199" t="s">
        <v>14</v>
      </c>
      <c r="M199">
        <f t="shared" si="21"/>
        <v>5.4574971027240533</v>
      </c>
      <c r="N199">
        <f t="shared" si="23"/>
        <v>2.4257972249938207</v>
      </c>
      <c r="O199" s="67" cm="1">
        <f t="array" ref="O199">SUMPRODUCT((G199=$G$7:$G$10000)*(M199&lt;$M$7:$M$10000))+1</f>
        <v>32</v>
      </c>
      <c r="P199" s="72"/>
      <c r="Q199">
        <v>6</v>
      </c>
      <c r="R199" t="str">
        <v>LA</v>
      </c>
      <c r="S199" t="str">
        <v>Tim Anstee</v>
      </c>
      <c r="T199" t="str">
        <v>NULL</v>
      </c>
      <c r="U199" t="str">
        <v>Away</v>
      </c>
      <c r="V199" t="str">
        <v>NOLA</v>
      </c>
      <c r="W199">
        <v>9.793296100425934</v>
      </c>
      <c r="Y199" s="1" cm="1">
        <f t="array" ref="Y199">COUNT(_xlfn._xlws.FILTER($G$7:$G$10000,($I$7:$I$10000=X199)*($J$7:$J$10000&lt;&gt;"NULL")*($G$7:$G$10000 &gt;= ($G$1-5))))/5</f>
        <v>0</v>
      </c>
    </row>
    <row r="200" spans="7:25" x14ac:dyDescent="0.35">
      <c r="G200" s="66">
        <v>3</v>
      </c>
      <c r="H200" t="s">
        <v>13</v>
      </c>
      <c r="I200" t="s">
        <v>210</v>
      </c>
      <c r="J200">
        <v>3.8</v>
      </c>
      <c r="K200" t="s">
        <v>3</v>
      </c>
      <c r="L200" t="s">
        <v>4</v>
      </c>
      <c r="M200">
        <f t="shared" ref="M200:M230" si="24">VLOOKUP($K200,$F$3:$G$4,2,FALSE)+VLOOKUP($I200,$A$20:$B$321,2,FALSE)+VLOOKUP($L200,$A$6:$B$16,2,FALSE)</f>
        <v>3.8242397484671824</v>
      </c>
      <c r="N200">
        <f t="shared" si="23"/>
        <v>5.8756540575228004E-4</v>
      </c>
      <c r="O200" s="67" cm="1">
        <f t="array" ref="O200">SUMPRODUCT((G200=$G$7:$G$10000)*(M200&lt;$M$7:$M$10000))+1</f>
        <v>56</v>
      </c>
      <c r="P200" s="72"/>
      <c r="Q200">
        <v>6</v>
      </c>
      <c r="R200" t="str">
        <v>HOU</v>
      </c>
      <c r="S200" t="str">
        <v>Sam Tuifua</v>
      </c>
      <c r="T200" t="str">
        <v>NULL</v>
      </c>
      <c r="U200" t="str">
        <v>Away</v>
      </c>
      <c r="V200" t="str">
        <v>ARC</v>
      </c>
      <c r="W200">
        <v>9.5509246570774238</v>
      </c>
      <c r="Y200" s="1" cm="1">
        <f t="array" ref="Y200">COUNT(_xlfn._xlws.FILTER($G$7:$G$10000,($I$7:$I$10000=X200)*($J$7:$J$10000&lt;&gt;"NULL")*($G$7:$G$10000 &gt;= ($G$1-5))))/5</f>
        <v>0</v>
      </c>
    </row>
    <row r="201" spans="7:25" x14ac:dyDescent="0.35">
      <c r="G201" s="66">
        <v>3</v>
      </c>
      <c r="H201" t="s">
        <v>14</v>
      </c>
      <c r="I201" t="s">
        <v>470</v>
      </c>
      <c r="J201">
        <v>3.7</v>
      </c>
      <c r="K201" t="s">
        <v>3</v>
      </c>
      <c r="L201" t="s">
        <v>24</v>
      </c>
      <c r="M201">
        <f t="shared" si="24"/>
        <v>4.1340881423495484</v>
      </c>
      <c r="N201">
        <f t="shared" si="23"/>
        <v>0.1884325153284816</v>
      </c>
      <c r="O201" s="67" cm="1">
        <f t="array" ref="O201">SUMPRODUCT((G201=$G$7:$G$10000)*(M201&lt;$M$7:$M$10000))+1</f>
        <v>49</v>
      </c>
      <c r="P201" s="72"/>
      <c r="Q201">
        <v>6</v>
      </c>
      <c r="R201" t="str">
        <v>MIA</v>
      </c>
      <c r="S201" t="str">
        <v>Mauro Rebussone</v>
      </c>
      <c r="T201" t="str">
        <v>NULL</v>
      </c>
      <c r="U201" t="str">
        <v>Away</v>
      </c>
      <c r="V201" t="str">
        <v>SDL</v>
      </c>
      <c r="W201">
        <v>8.6081195257227776</v>
      </c>
      <c r="Y201" s="1" cm="1">
        <f t="array" ref="Y201">COUNT(_xlfn._xlws.FILTER($G$7:$G$10000,($I$7:$I$10000=X201)*($J$7:$J$10000&lt;&gt;"NULL")*($G$7:$G$10000 &gt;= ($G$1-5))))/5</f>
        <v>0</v>
      </c>
    </row>
    <row r="202" spans="7:25" x14ac:dyDescent="0.35">
      <c r="G202" s="66">
        <v>3</v>
      </c>
      <c r="H202" t="s">
        <v>2</v>
      </c>
      <c r="I202" t="s">
        <v>156</v>
      </c>
      <c r="J202">
        <v>3.7</v>
      </c>
      <c r="K202" t="s">
        <v>3</v>
      </c>
      <c r="L202" t="s">
        <v>23</v>
      </c>
      <c r="M202">
        <f t="shared" si="24"/>
        <v>7.6273408882608296</v>
      </c>
      <c r="N202">
        <f t="shared" si="23"/>
        <v>15.42400645260536</v>
      </c>
      <c r="O202" s="67" cm="1">
        <f t="array" ref="O202">SUMPRODUCT((G202=$G$7:$G$10000)*(M202&lt;$M$7:$M$10000))+1</f>
        <v>16</v>
      </c>
      <c r="P202" s="72"/>
      <c r="Q202">
        <v>6</v>
      </c>
      <c r="R202" t="str">
        <v>MIA</v>
      </c>
      <c r="S202" t="str">
        <v>Alex Tucci</v>
      </c>
      <c r="T202" t="str">
        <v>NULL</v>
      </c>
      <c r="U202" t="str">
        <v>Away</v>
      </c>
      <c r="V202" t="str">
        <v>SDL</v>
      </c>
      <c r="W202">
        <v>8.3724335218761716</v>
      </c>
      <c r="Y202" s="1" cm="1">
        <f t="array" ref="Y202">COUNT(_xlfn._xlws.FILTER($G$7:$G$10000,($I$7:$I$10000=X202)*($J$7:$J$10000&lt;&gt;"NULL")*($G$7:$G$10000 &gt;= ($G$1-5))))/5</f>
        <v>0</v>
      </c>
    </row>
    <row r="203" spans="7:25" x14ac:dyDescent="0.35">
      <c r="G203" s="66">
        <v>3</v>
      </c>
      <c r="H203" t="s">
        <v>4</v>
      </c>
      <c r="I203" t="s">
        <v>486</v>
      </c>
      <c r="J203">
        <v>3.7</v>
      </c>
      <c r="K203" t="s">
        <v>9</v>
      </c>
      <c r="L203" t="s">
        <v>13</v>
      </c>
      <c r="M203">
        <f t="shared" si="24"/>
        <v>3.6841334617828378</v>
      </c>
      <c r="N203">
        <f t="shared" si="23"/>
        <v>2.5174703499667274E-4</v>
      </c>
      <c r="O203" s="67" cm="1">
        <f t="array" ref="O203">SUMPRODUCT((G203=$G$7:$G$10000)*(M203&lt;$M$7:$M$10000))+1</f>
        <v>59</v>
      </c>
      <c r="P203" s="72"/>
      <c r="Q203">
        <v>6</v>
      </c>
      <c r="R203" t="str">
        <v>UTAH</v>
      </c>
      <c r="S203" t="str">
        <v>Dylan Nel</v>
      </c>
      <c r="T203" t="str">
        <v>NULL</v>
      </c>
      <c r="U203" t="str">
        <v>Away</v>
      </c>
      <c r="V203" t="str">
        <v>SEA</v>
      </c>
      <c r="W203">
        <v>8.2003951318806667</v>
      </c>
      <c r="Y203" s="1" cm="1">
        <f t="array" ref="Y203">COUNT(_xlfn._xlws.FILTER($G$7:$G$10000,($I$7:$I$10000=X203)*($J$7:$J$10000&lt;&gt;"NULL")*($G$7:$G$10000 &gt;= ($G$1-5))))/5</f>
        <v>0</v>
      </c>
    </row>
    <row r="204" spans="7:25" x14ac:dyDescent="0.35">
      <c r="G204" s="66">
        <v>3</v>
      </c>
      <c r="H204" t="s">
        <v>17</v>
      </c>
      <c r="I204" t="s">
        <v>149</v>
      </c>
      <c r="J204">
        <v>3.7</v>
      </c>
      <c r="K204" t="s">
        <v>9</v>
      </c>
      <c r="L204" t="s">
        <v>36</v>
      </c>
      <c r="M204">
        <f t="shared" si="24"/>
        <v>4.8340665773648182</v>
      </c>
      <c r="N204">
        <f t="shared" si="23"/>
        <v>1.2861070018959526</v>
      </c>
      <c r="O204" s="67" cm="1">
        <f t="array" ref="O204">SUMPRODUCT((G204=$G$7:$G$10000)*(M204&lt;$M$7:$M$10000))+1</f>
        <v>41</v>
      </c>
      <c r="P204" s="72"/>
      <c r="Q204">
        <v>6</v>
      </c>
      <c r="R204" t="str">
        <v>SDL</v>
      </c>
      <c r="S204" t="str">
        <v>Paddy Ryan</v>
      </c>
      <c r="T204" t="str">
        <v>NULL</v>
      </c>
      <c r="U204" t="str">
        <v>Home</v>
      </c>
      <c r="V204" t="str">
        <v>MIA</v>
      </c>
      <c r="W204">
        <v>8.0651310694981273</v>
      </c>
      <c r="Y204" s="1" cm="1">
        <f t="array" ref="Y204">COUNT(_xlfn._xlws.FILTER($G$7:$G$10000,($I$7:$I$10000=X204)*($J$7:$J$10000&lt;&gt;"NULL")*($G$7:$G$10000 &gt;= ($G$1-5))))/5</f>
        <v>0</v>
      </c>
    </row>
    <row r="205" spans="7:25" x14ac:dyDescent="0.35">
      <c r="G205" s="66">
        <v>3</v>
      </c>
      <c r="H205" t="s">
        <v>24</v>
      </c>
      <c r="I205" t="s">
        <v>217</v>
      </c>
      <c r="J205">
        <v>3.3</v>
      </c>
      <c r="K205" t="s">
        <v>9</v>
      </c>
      <c r="L205" t="s">
        <v>14</v>
      </c>
      <c r="M205">
        <f t="shared" si="24"/>
        <v>3.2094502401994722</v>
      </c>
      <c r="N205">
        <f t="shared" si="23"/>
        <v>8.199258999933243E-3</v>
      </c>
      <c r="O205" s="67" cm="1">
        <f t="array" ref="O205">SUMPRODUCT((G205=$G$7:$G$10000)*(M205&lt;$M$7:$M$10000))+1</f>
        <v>62</v>
      </c>
      <c r="P205" s="72"/>
      <c r="Q205">
        <v>6</v>
      </c>
      <c r="R205" t="str">
        <v>LA</v>
      </c>
      <c r="S205" t="str">
        <v>Ben Houston</v>
      </c>
      <c r="T205" t="str">
        <v>NULL</v>
      </c>
      <c r="U205" t="str">
        <v>Away</v>
      </c>
      <c r="V205" t="str">
        <v>NOLA</v>
      </c>
      <c r="W205">
        <v>7.8166676508554724</v>
      </c>
      <c r="Y205" s="1" cm="1">
        <f t="array" ref="Y205">COUNT(_xlfn._xlws.FILTER($G$7:$G$10000,($I$7:$I$10000=X205)*($J$7:$J$10000&lt;&gt;"NULL")*($G$7:$G$10000 &gt;= ($G$1-5))))/5</f>
        <v>0</v>
      </c>
    </row>
    <row r="206" spans="7:25" x14ac:dyDescent="0.35">
      <c r="G206" s="66">
        <v>3</v>
      </c>
      <c r="H206" t="s">
        <v>4</v>
      </c>
      <c r="I206" t="s">
        <v>114</v>
      </c>
      <c r="J206">
        <v>3.3</v>
      </c>
      <c r="K206" t="s">
        <v>9</v>
      </c>
      <c r="L206" t="s">
        <v>13</v>
      </c>
      <c r="M206">
        <f t="shared" si="24"/>
        <v>3.2802448967965283</v>
      </c>
      <c r="N206">
        <f t="shared" si="23"/>
        <v>3.9026410257981045E-4</v>
      </c>
      <c r="O206" s="67" cm="1">
        <f t="array" ref="O206">SUMPRODUCT((G206=$G$7:$G$10000)*(M206&lt;$M$7:$M$10000))+1</f>
        <v>61</v>
      </c>
      <c r="P206" s="72"/>
      <c r="Q206">
        <v>6</v>
      </c>
      <c r="R206" t="str">
        <v>SEA</v>
      </c>
      <c r="S206" t="str">
        <v>Kerron van Vuuren</v>
      </c>
      <c r="T206" t="str">
        <v>NULL</v>
      </c>
      <c r="U206" t="str">
        <v>Home</v>
      </c>
      <c r="V206" t="str">
        <v>UTAH</v>
      </c>
      <c r="W206">
        <v>7.630534880038752</v>
      </c>
      <c r="Y206" s="1" cm="1">
        <f t="array" ref="Y206">COUNT(_xlfn._xlws.FILTER($G$7:$G$10000,($I$7:$I$10000=X206)*($J$7:$J$10000&lt;&gt;"NULL")*($G$7:$G$10000 &gt;= ($G$1-5))))/5</f>
        <v>0</v>
      </c>
    </row>
    <row r="207" spans="7:25" x14ac:dyDescent="0.35">
      <c r="G207" s="66">
        <v>3</v>
      </c>
      <c r="H207" t="s">
        <v>13</v>
      </c>
      <c r="I207" t="s">
        <v>469</v>
      </c>
      <c r="J207">
        <v>3</v>
      </c>
      <c r="K207" t="s">
        <v>3</v>
      </c>
      <c r="L207" t="s">
        <v>4</v>
      </c>
      <c r="M207">
        <f t="shared" si="24"/>
        <v>4.5096885863801077</v>
      </c>
      <c r="N207">
        <f t="shared" si="23"/>
        <v>2.2791596278463682</v>
      </c>
      <c r="O207" s="67" cm="1">
        <f t="array" ref="O207">SUMPRODUCT((G207=$G$7:$G$10000)*(M207&lt;$M$7:$M$10000))+1</f>
        <v>44</v>
      </c>
      <c r="P207" s="72"/>
      <c r="Q207">
        <v>6</v>
      </c>
      <c r="R207" t="str">
        <v>LA</v>
      </c>
      <c r="S207" t="str">
        <v>Ed Timpson</v>
      </c>
      <c r="T207" t="str">
        <v>NULL</v>
      </c>
      <c r="U207" t="str">
        <v>Away</v>
      </c>
      <c r="V207" t="str">
        <v>NOLA</v>
      </c>
      <c r="W207">
        <v>7.4460147053941084</v>
      </c>
      <c r="Y207" s="1" cm="1">
        <f t="array" ref="Y207">COUNT(_xlfn._xlws.FILTER($G$7:$G$10000,($I$7:$I$10000=X207)*($J$7:$J$10000&lt;&gt;"NULL")*($G$7:$G$10000 &gt;= ($G$1-5))))/5</f>
        <v>0</v>
      </c>
    </row>
    <row r="208" spans="7:25" x14ac:dyDescent="0.35">
      <c r="G208" s="66">
        <v>3</v>
      </c>
      <c r="H208" t="s">
        <v>23</v>
      </c>
      <c r="I208" t="s">
        <v>252</v>
      </c>
      <c r="J208">
        <v>2.9</v>
      </c>
      <c r="K208" t="s">
        <v>9</v>
      </c>
      <c r="L208" t="s">
        <v>2</v>
      </c>
      <c r="M208">
        <f t="shared" si="24"/>
        <v>3.182164515059128</v>
      </c>
      <c r="N208">
        <f t="shared" si="23"/>
        <v>7.9616813558552921E-2</v>
      </c>
      <c r="O208" s="67" cm="1">
        <f t="array" ref="O208">SUMPRODUCT((G208=$G$7:$G$10000)*(M208&lt;$M$7:$M$10000))+1</f>
        <v>63</v>
      </c>
      <c r="P208" s="72"/>
      <c r="Q208">
        <v>6</v>
      </c>
      <c r="R208" t="str">
        <v>SDL</v>
      </c>
      <c r="S208" t="str">
        <v>Tevita Tameilau</v>
      </c>
      <c r="T208" t="str">
        <v>NULL</v>
      </c>
      <c r="U208" t="str">
        <v>Home</v>
      </c>
      <c r="V208" t="str">
        <v>MIA</v>
      </c>
      <c r="W208">
        <v>7.4080595291051328</v>
      </c>
      <c r="Y208" s="1" cm="1">
        <f t="array" ref="Y208">COUNT(_xlfn._xlws.FILTER($G$7:$G$10000,($I$7:$I$10000=X208)*($J$7:$J$10000&lt;&gt;"NULL")*($G$7:$G$10000 &gt;= ($G$1-5))))/5</f>
        <v>0</v>
      </c>
    </row>
    <row r="209" spans="7:25" x14ac:dyDescent="0.35">
      <c r="G209" s="66">
        <v>3</v>
      </c>
      <c r="H209" t="s">
        <v>23</v>
      </c>
      <c r="I209" t="s">
        <v>229</v>
      </c>
      <c r="J209">
        <v>2.9</v>
      </c>
      <c r="K209" t="s">
        <v>9</v>
      </c>
      <c r="L209" t="s">
        <v>2</v>
      </c>
      <c r="M209">
        <f t="shared" si="24"/>
        <v>2.9430536621950338</v>
      </c>
      <c r="N209">
        <f t="shared" si="23"/>
        <v>1.8536178284040935E-3</v>
      </c>
      <c r="O209" s="67" cm="1">
        <f t="array" ref="O209">SUMPRODUCT((G209=$G$7:$G$10000)*(M209&lt;$M$7:$M$10000))+1</f>
        <v>65</v>
      </c>
      <c r="P209" s="72"/>
      <c r="Q209">
        <v>6</v>
      </c>
      <c r="R209" t="str">
        <v>NOLA</v>
      </c>
      <c r="S209" t="str">
        <v>Tupou Ma'afu Afungia</v>
      </c>
      <c r="T209" t="str">
        <v>NULL</v>
      </c>
      <c r="U209" t="str">
        <v>Home</v>
      </c>
      <c r="V209" t="str">
        <v>LA</v>
      </c>
      <c r="W209">
        <v>7.3393863350258544</v>
      </c>
      <c r="Y209" s="1" cm="1">
        <f t="array" ref="Y209">COUNT(_xlfn._xlws.FILTER($G$7:$G$10000,($I$7:$I$10000=X209)*($J$7:$J$10000&lt;&gt;"NULL")*($G$7:$G$10000 &gt;= ($G$1-5))))/5</f>
        <v>0</v>
      </c>
    </row>
    <row r="210" spans="7:25" x14ac:dyDescent="0.35">
      <c r="G210" s="66">
        <v>3</v>
      </c>
      <c r="H210" t="s">
        <v>17</v>
      </c>
      <c r="I210" t="s">
        <v>167</v>
      </c>
      <c r="J210">
        <v>2.9</v>
      </c>
      <c r="K210" t="s">
        <v>9</v>
      </c>
      <c r="L210" t="s">
        <v>36</v>
      </c>
      <c r="M210">
        <f t="shared" si="24"/>
        <v>2.2754092850486662</v>
      </c>
      <c r="N210">
        <f t="shared" si="23"/>
        <v>0.39011356120341817</v>
      </c>
      <c r="O210" s="67" cm="1">
        <f t="array" ref="O210">SUMPRODUCT((G210=$G$7:$G$10000)*(M210&lt;$M$7:$M$10000))+1</f>
        <v>70</v>
      </c>
      <c r="P210" s="72"/>
      <c r="Q210">
        <v>6</v>
      </c>
      <c r="R210" t="str">
        <v>MIA</v>
      </c>
      <c r="S210" t="str">
        <v>Federico Gutíerrez</v>
      </c>
      <c r="T210" t="str">
        <v>NULL</v>
      </c>
      <c r="U210" t="str">
        <v>Away</v>
      </c>
      <c r="V210" t="str">
        <v>SDL</v>
      </c>
      <c r="W210">
        <v>7.1026867161303411</v>
      </c>
      <c r="Y210" s="1" cm="1">
        <f t="array" ref="Y210">COUNT(_xlfn._xlws.FILTER($G$7:$G$10000,($I$7:$I$10000=X210)*($J$7:$J$10000&lt;&gt;"NULL")*($G$7:$G$10000 &gt;= ($G$1-5))))/5</f>
        <v>0</v>
      </c>
    </row>
    <row r="211" spans="7:25" x14ac:dyDescent="0.35">
      <c r="G211" s="66">
        <v>3</v>
      </c>
      <c r="H211" t="s">
        <v>36</v>
      </c>
      <c r="I211" t="s">
        <v>415</v>
      </c>
      <c r="J211">
        <v>2.8</v>
      </c>
      <c r="K211" t="s">
        <v>3</v>
      </c>
      <c r="L211" t="s">
        <v>17</v>
      </c>
      <c r="M211">
        <f t="shared" si="24"/>
        <v>2.4143191602297351</v>
      </c>
      <c r="N211">
        <f t="shared" si="23"/>
        <v>0.14874971016589658</v>
      </c>
      <c r="O211" s="67" cm="1">
        <f t="array" ref="O211">SUMPRODUCT((G211=$G$7:$G$10000)*(M211&lt;$M$7:$M$10000))+1</f>
        <v>69</v>
      </c>
      <c r="P211" s="72"/>
      <c r="Q211">
        <v>6</v>
      </c>
      <c r="R211" t="str">
        <v>NEFJ</v>
      </c>
      <c r="S211" t="str">
        <v>Piers von Dadelszen</v>
      </c>
      <c r="T211" t="str">
        <v>NULL</v>
      </c>
      <c r="U211" t="str">
        <v>Away</v>
      </c>
      <c r="V211" t="str">
        <v>OGDC</v>
      </c>
      <c r="W211">
        <v>6.9953346548069311</v>
      </c>
      <c r="Y211" s="1" cm="1">
        <f t="array" ref="Y211">COUNT(_xlfn._xlws.FILTER($G$7:$G$10000,($I$7:$I$10000=X211)*($J$7:$J$10000&lt;&gt;"NULL")*($G$7:$G$10000 &gt;= ($G$1-5))))/5</f>
        <v>0</v>
      </c>
    </row>
    <row r="212" spans="7:25" x14ac:dyDescent="0.35">
      <c r="G212" s="66">
        <v>3</v>
      </c>
      <c r="H212" t="s">
        <v>24</v>
      </c>
      <c r="I212" t="s">
        <v>168</v>
      </c>
      <c r="J212">
        <v>2.7</v>
      </c>
      <c r="K212" t="s">
        <v>9</v>
      </c>
      <c r="L212" t="s">
        <v>14</v>
      </c>
      <c r="M212">
        <f t="shared" si="24"/>
        <v>2.7350164795593059</v>
      </c>
      <c r="N212">
        <f t="shared" si="23"/>
        <v>1.226153840727278E-3</v>
      </c>
      <c r="O212" s="67" cm="1">
        <f t="array" ref="O212">SUMPRODUCT((G212=$G$7:$G$10000)*(M212&lt;$M$7:$M$10000))+1</f>
        <v>66</v>
      </c>
      <c r="P212" s="72"/>
      <c r="Q212">
        <v>6</v>
      </c>
      <c r="R212" t="str">
        <v>LA</v>
      </c>
      <c r="S212" t="str">
        <v>Jason Damm</v>
      </c>
      <c r="T212" t="str">
        <v>NULL</v>
      </c>
      <c r="U212" t="str">
        <v>Away</v>
      </c>
      <c r="V212" t="str">
        <v>NOLA</v>
      </c>
      <c r="W212">
        <v>6.9441617345240303</v>
      </c>
      <c r="Y212" s="1" cm="1">
        <f t="array" ref="Y212">COUNT(_xlfn._xlws.FILTER($G$7:$G$10000,($I$7:$I$10000=X212)*($J$7:$J$10000&lt;&gt;"NULL")*($G$7:$G$10000 &gt;= ($G$1-5))))/5</f>
        <v>0</v>
      </c>
    </row>
    <row r="213" spans="7:25" x14ac:dyDescent="0.35">
      <c r="G213" s="66">
        <v>3</v>
      </c>
      <c r="H213" t="s">
        <v>4</v>
      </c>
      <c r="I213" t="s">
        <v>484</v>
      </c>
      <c r="J213">
        <v>2.7</v>
      </c>
      <c r="K213" t="s">
        <v>9</v>
      </c>
      <c r="L213" t="s">
        <v>13</v>
      </c>
      <c r="M213">
        <f t="shared" si="24"/>
        <v>2.6998780987129063</v>
      </c>
      <c r="N213">
        <f t="shared" si="23"/>
        <v>1.4859923795145539E-8</v>
      </c>
      <c r="O213" s="67" cm="1">
        <f t="array" ref="O213">SUMPRODUCT((G213=$G$7:$G$10000)*(M213&lt;$M$7:$M$10000))+1</f>
        <v>67</v>
      </c>
      <c r="P213" s="72"/>
      <c r="Q213">
        <v>6</v>
      </c>
      <c r="R213" t="str">
        <v>NOLA</v>
      </c>
      <c r="S213" t="str">
        <v>William Waguespack</v>
      </c>
      <c r="T213" t="str">
        <v>NULL</v>
      </c>
      <c r="U213" t="str">
        <v>Home</v>
      </c>
      <c r="V213" t="str">
        <v>LA</v>
      </c>
      <c r="W213">
        <v>6.9354977700395448</v>
      </c>
      <c r="Y213" s="1" cm="1">
        <f t="array" ref="Y213">COUNT(_xlfn._xlws.FILTER($G$7:$G$10000,($I$7:$I$10000=X213)*($J$7:$J$10000&lt;&gt;"NULL")*($G$7:$G$10000 &gt;= ($G$1-5))))/5</f>
        <v>0</v>
      </c>
    </row>
    <row r="214" spans="7:25" x14ac:dyDescent="0.35">
      <c r="G214" s="66">
        <v>3</v>
      </c>
      <c r="H214" t="s">
        <v>34</v>
      </c>
      <c r="I214" t="s">
        <v>153</v>
      </c>
      <c r="J214">
        <v>2.7</v>
      </c>
      <c r="K214" t="s">
        <v>9</v>
      </c>
      <c r="L214" t="s">
        <v>7</v>
      </c>
      <c r="M214">
        <f t="shared" si="24"/>
        <v>3.7891748254087885</v>
      </c>
      <c r="N214">
        <f t="shared" si="23"/>
        <v>1.1863018003042645</v>
      </c>
      <c r="O214" s="67" cm="1">
        <f t="array" ref="O214">SUMPRODUCT((G214=$G$7:$G$10000)*(M214&lt;$M$7:$M$10000))+1</f>
        <v>57</v>
      </c>
      <c r="P214" s="72"/>
      <c r="Q214">
        <v>6</v>
      </c>
      <c r="R214" t="str">
        <v>UTAH</v>
      </c>
      <c r="S214" t="str">
        <v>Aki Seiuli</v>
      </c>
      <c r="T214" t="str">
        <v>NULL</v>
      </c>
      <c r="U214" t="str">
        <v>Away</v>
      </c>
      <c r="V214" t="str">
        <v>SEA</v>
      </c>
      <c r="W214">
        <v>6.9128178614208329</v>
      </c>
      <c r="Y214" s="1" cm="1">
        <f t="array" ref="Y214">COUNT(_xlfn._xlws.FILTER($G$7:$G$10000,($I$7:$I$10000=X214)*($J$7:$J$10000&lt;&gt;"NULL")*($G$7:$G$10000 &gt;= ($G$1-5))))/5</f>
        <v>0</v>
      </c>
    </row>
    <row r="215" spans="7:25" x14ac:dyDescent="0.35">
      <c r="G215" s="66">
        <v>3</v>
      </c>
      <c r="H215" t="s">
        <v>24</v>
      </c>
      <c r="I215" t="s">
        <v>422</v>
      </c>
      <c r="J215">
        <v>2.6</v>
      </c>
      <c r="K215" t="s">
        <v>9</v>
      </c>
      <c r="L215" t="s">
        <v>14</v>
      </c>
      <c r="M215">
        <f t="shared" si="24"/>
        <v>3.9520642931316177</v>
      </c>
      <c r="N215">
        <f t="shared" ref="N215:N230" si="25">IFERROR(($J215-$M215)^2,"")</f>
        <v>1.8280778527615007</v>
      </c>
      <c r="O215" s="67" cm="1">
        <f t="array" ref="O215">SUMPRODUCT((G215=$G$7:$G$10000)*(M215&lt;$M$7:$M$10000))+1</f>
        <v>54</v>
      </c>
      <c r="P215" s="72"/>
      <c r="Q215">
        <v>6</v>
      </c>
      <c r="R215" t="str">
        <v>NEFJ</v>
      </c>
      <c r="S215" t="str">
        <v>Andrew Quattrin</v>
      </c>
      <c r="T215" t="str">
        <v>NULL</v>
      </c>
      <c r="U215" t="str">
        <v>Away</v>
      </c>
      <c r="V215" t="str">
        <v>OGDC</v>
      </c>
      <c r="W215">
        <v>6.8807005435007396</v>
      </c>
      <c r="Y215" s="1" cm="1">
        <f t="array" ref="Y215">COUNT(_xlfn._xlws.FILTER($G$7:$G$10000,($I$7:$I$10000=X215)*($J$7:$J$10000&lt;&gt;"NULL")*($G$7:$G$10000 &gt;= ($G$1-5))))/5</f>
        <v>0</v>
      </c>
    </row>
    <row r="216" spans="7:25" x14ac:dyDescent="0.35">
      <c r="G216" s="66">
        <v>3</v>
      </c>
      <c r="H216" t="s">
        <v>13</v>
      </c>
      <c r="I216" t="s">
        <v>120</v>
      </c>
      <c r="J216">
        <v>2.4</v>
      </c>
      <c r="K216" t="s">
        <v>3</v>
      </c>
      <c r="L216" t="s">
        <v>4</v>
      </c>
      <c r="M216">
        <f t="shared" si="24"/>
        <v>4.9999885321716953</v>
      </c>
      <c r="N216">
        <f t="shared" si="25"/>
        <v>6.7599403674243268</v>
      </c>
      <c r="O216" s="67" cm="1">
        <f t="array" ref="O216">SUMPRODUCT((G216=$G$7:$G$10000)*(M216&lt;$M$7:$M$10000))+1</f>
        <v>39</v>
      </c>
      <c r="P216" s="72"/>
      <c r="Q216">
        <v>6</v>
      </c>
      <c r="R216" t="str">
        <v>ARC</v>
      </c>
      <c r="S216" t="str">
        <v>Makeen Alikhan</v>
      </c>
      <c r="T216" t="str">
        <v>NULL</v>
      </c>
      <c r="U216" t="str">
        <v>Home</v>
      </c>
      <c r="V216" t="str">
        <v>HOU</v>
      </c>
      <c r="W216">
        <v>6.6957082656331286</v>
      </c>
      <c r="Y216" s="1" cm="1">
        <f t="array" ref="Y216">COUNT(_xlfn._xlws.FILTER($G$7:$G$10000,($I$7:$I$10000=X216)*($J$7:$J$10000&lt;&gt;"NULL")*($G$7:$G$10000 &gt;= ($G$1-5))))/5</f>
        <v>0</v>
      </c>
    </row>
    <row r="217" spans="7:25" x14ac:dyDescent="0.35">
      <c r="G217" s="66">
        <v>3</v>
      </c>
      <c r="H217" t="s">
        <v>14</v>
      </c>
      <c r="I217" t="s">
        <v>203</v>
      </c>
      <c r="J217">
        <v>2.2000000000000002</v>
      </c>
      <c r="K217" t="s">
        <v>3</v>
      </c>
      <c r="L217" t="s">
        <v>24</v>
      </c>
      <c r="M217">
        <f t="shared" si="24"/>
        <v>5.4221048995962473</v>
      </c>
      <c r="N217">
        <f t="shared" si="25"/>
        <v>10.381959984002142</v>
      </c>
      <c r="O217" s="67" cm="1">
        <f t="array" ref="O217">SUMPRODUCT((G217=$G$7:$G$10000)*(M217&lt;$M$7:$M$10000))+1</f>
        <v>34</v>
      </c>
      <c r="P217" s="72"/>
      <c r="Q217">
        <v>6</v>
      </c>
      <c r="R217" t="str">
        <v>NEFJ</v>
      </c>
      <c r="S217" t="str">
        <v>Sam Caird</v>
      </c>
      <c r="T217" t="str">
        <v>NULL</v>
      </c>
      <c r="U217" t="str">
        <v>Away</v>
      </c>
      <c r="V217" t="str">
        <v>OGDC</v>
      </c>
      <c r="W217">
        <v>6.6089221889097631</v>
      </c>
      <c r="Y217" s="1" cm="1">
        <f t="array" ref="Y217">COUNT(_xlfn._xlws.FILTER($G$7:$G$10000,($I$7:$I$10000=X217)*($J$7:$J$10000&lt;&gt;"NULL")*($G$7:$G$10000 &gt;= ($G$1-5))))/5</f>
        <v>0</v>
      </c>
    </row>
    <row r="218" spans="7:25" x14ac:dyDescent="0.35">
      <c r="G218" s="66">
        <v>3</v>
      </c>
      <c r="H218" t="s">
        <v>2</v>
      </c>
      <c r="I218" t="s">
        <v>159</v>
      </c>
      <c r="J218">
        <v>2.1</v>
      </c>
      <c r="K218" t="s">
        <v>3</v>
      </c>
      <c r="L218" t="s">
        <v>23</v>
      </c>
      <c r="M218">
        <f t="shared" si="24"/>
        <v>1.4069958589093599</v>
      </c>
      <c r="N218">
        <f t="shared" si="25"/>
        <v>0.48025473956877601</v>
      </c>
      <c r="O218" s="67" cm="1">
        <f t="array" ref="O218">SUMPRODUCT((G218=$G$7:$G$10000)*(M218&lt;$M$7:$M$10000))+1</f>
        <v>75</v>
      </c>
      <c r="P218" s="72"/>
      <c r="Q218">
        <v>6</v>
      </c>
      <c r="R218" t="str">
        <v>UTAH</v>
      </c>
      <c r="S218" t="str">
        <v>Frank Lochore</v>
      </c>
      <c r="T218" t="str">
        <v>NULL</v>
      </c>
      <c r="U218" t="str">
        <v>Away</v>
      </c>
      <c r="V218" t="str">
        <v>SEA</v>
      </c>
      <c r="W218">
        <v>6.5092399593653809</v>
      </c>
      <c r="Y218" s="1" cm="1">
        <f t="array" ref="Y218">COUNT(_xlfn._xlws.FILTER($G$7:$G$10000,($I$7:$I$10000=X218)*($J$7:$J$10000&lt;&gt;"NULL")*($G$7:$G$10000 &gt;= ($G$1-5))))/5</f>
        <v>0</v>
      </c>
    </row>
    <row r="219" spans="7:25" x14ac:dyDescent="0.35">
      <c r="G219" s="66">
        <v>3</v>
      </c>
      <c r="H219" t="s">
        <v>36</v>
      </c>
      <c r="I219" t="s">
        <v>117</v>
      </c>
      <c r="J219">
        <v>1.8</v>
      </c>
      <c r="K219" t="s">
        <v>3</v>
      </c>
      <c r="L219" t="s">
        <v>17</v>
      </c>
      <c r="M219">
        <f t="shared" si="24"/>
        <v>3.7880553786335933</v>
      </c>
      <c r="N219">
        <f t="shared" si="25"/>
        <v>3.9523641885139598</v>
      </c>
      <c r="O219" s="67" cm="1">
        <f t="array" ref="O219">SUMPRODUCT((G219=$G$7:$G$10000)*(M219&lt;$M$7:$M$10000))+1</f>
        <v>58</v>
      </c>
      <c r="P219" s="72"/>
      <c r="Q219">
        <v>6</v>
      </c>
      <c r="R219" t="str">
        <v>MIA</v>
      </c>
      <c r="S219" t="str">
        <v>Marques Fuala'au</v>
      </c>
      <c r="T219" t="str">
        <v>NULL</v>
      </c>
      <c r="U219" t="str">
        <v>Away</v>
      </c>
      <c r="V219" t="str">
        <v>SDL</v>
      </c>
      <c r="W219">
        <v>6.3600726631981956</v>
      </c>
      <c r="Y219" s="1" cm="1">
        <f t="array" ref="Y219">COUNT(_xlfn._xlws.FILTER($G$7:$G$10000,($I$7:$I$10000=X219)*($J$7:$J$10000&lt;&gt;"NULL")*($G$7:$G$10000 &gt;= ($G$1-5))))/5</f>
        <v>0</v>
      </c>
    </row>
    <row r="220" spans="7:25" x14ac:dyDescent="0.35">
      <c r="G220" s="66">
        <v>3</v>
      </c>
      <c r="H220" t="s">
        <v>4</v>
      </c>
      <c r="I220" t="s">
        <v>481</v>
      </c>
      <c r="J220">
        <v>1.8</v>
      </c>
      <c r="K220" t="s">
        <v>9</v>
      </c>
      <c r="L220" t="s">
        <v>13</v>
      </c>
      <c r="M220">
        <f t="shared" si="24"/>
        <v>1.6755109630764444</v>
      </c>
      <c r="N220">
        <f t="shared" si="25"/>
        <v>1.5497520314154394E-2</v>
      </c>
      <c r="O220" s="67" cm="1">
        <f t="array" ref="O220">SUMPRODUCT((G220=$G$7:$G$10000)*(M220&lt;$M$7:$M$10000))+1</f>
        <v>71</v>
      </c>
      <c r="P220" s="72"/>
      <c r="Q220">
        <v>6</v>
      </c>
      <c r="R220" t="str">
        <v>NOLA</v>
      </c>
      <c r="S220" t="str">
        <v>Chase Jones</v>
      </c>
      <c r="T220" t="str">
        <v>NULL</v>
      </c>
      <c r="U220" t="str">
        <v>Home</v>
      </c>
      <c r="V220" t="str">
        <v>LA</v>
      </c>
      <c r="W220">
        <v>6.3551309719559219</v>
      </c>
      <c r="Y220" s="1" cm="1">
        <f t="array" ref="Y220">COUNT(_xlfn._xlws.FILTER($G$7:$G$10000,($I$7:$I$10000=X220)*($J$7:$J$10000&lt;&gt;"NULL")*($G$7:$G$10000 &gt;= ($G$1-5))))/5</f>
        <v>0</v>
      </c>
    </row>
    <row r="221" spans="7:25" x14ac:dyDescent="0.35">
      <c r="G221" s="66">
        <v>3</v>
      </c>
      <c r="H221" t="s">
        <v>2</v>
      </c>
      <c r="I221" t="s">
        <v>174</v>
      </c>
      <c r="J221">
        <v>1.7</v>
      </c>
      <c r="K221" t="s">
        <v>3</v>
      </c>
      <c r="L221" t="s">
        <v>23</v>
      </c>
      <c r="M221">
        <f t="shared" si="24"/>
        <v>5.4524587990018034</v>
      </c>
      <c r="N221">
        <f t="shared" si="25"/>
        <v>14.080947038206055</v>
      </c>
      <c r="O221" s="67" cm="1">
        <f t="array" ref="O221">SUMPRODUCT((G221=$G$7:$G$10000)*(M221&lt;$M$7:$M$10000))+1</f>
        <v>33</v>
      </c>
      <c r="P221" s="72"/>
      <c r="Q221">
        <v>6</v>
      </c>
      <c r="R221" t="str">
        <v>OGDC</v>
      </c>
      <c r="S221" t="str">
        <v>Jamason Fa'anana-Schultz</v>
      </c>
      <c r="T221" t="str">
        <v>NULL</v>
      </c>
      <c r="U221" t="str">
        <v>Home</v>
      </c>
      <c r="V221" t="str">
        <v>NEFJ</v>
      </c>
      <c r="W221">
        <v>6.2578575308758531</v>
      </c>
      <c r="Y221" s="1" cm="1">
        <f t="array" ref="Y221">COUNT(_xlfn._xlws.FILTER($G$7:$G$10000,($I$7:$I$10000=X221)*($J$7:$J$10000&lt;&gt;"NULL")*($G$7:$G$10000 &gt;= ($G$1-5))))/5</f>
        <v>0</v>
      </c>
    </row>
    <row r="222" spans="7:25" x14ac:dyDescent="0.35">
      <c r="G222" s="66">
        <v>3</v>
      </c>
      <c r="H222" t="s">
        <v>4</v>
      </c>
      <c r="I222" t="s">
        <v>172</v>
      </c>
      <c r="J222">
        <v>1.3</v>
      </c>
      <c r="K222" t="s">
        <v>9</v>
      </c>
      <c r="L222" t="s">
        <v>13</v>
      </c>
      <c r="M222">
        <f t="shared" si="24"/>
        <v>1.9520115484440659E-2</v>
      </c>
      <c r="N222">
        <f t="shared" si="25"/>
        <v>1.6396287346489804</v>
      </c>
      <c r="O222" s="67" cm="1">
        <f t="array" ref="O222">SUMPRODUCT((G222=$G$7:$G$10000)*(M222&lt;$M$7:$M$10000))+1</f>
        <v>80</v>
      </c>
      <c r="P222" s="72"/>
      <c r="Q222">
        <v>6</v>
      </c>
      <c r="R222" t="str">
        <v>NOLA</v>
      </c>
      <c r="S222" t="str">
        <v>Kellen Galletier</v>
      </c>
      <c r="T222" t="str">
        <v>NULL</v>
      </c>
      <c r="U222" t="str">
        <v>Home</v>
      </c>
      <c r="V222" t="str">
        <v>LA</v>
      </c>
      <c r="W222">
        <v>6.254354703934923</v>
      </c>
      <c r="Y222" s="1" cm="1">
        <f t="array" ref="Y222">COUNT(_xlfn._xlws.FILTER($G$7:$G$10000,($I$7:$I$10000=X222)*($J$7:$J$10000&lt;&gt;"NULL")*($G$7:$G$10000 &gt;= ($G$1-5))))/5</f>
        <v>0</v>
      </c>
    </row>
    <row r="223" spans="7:25" x14ac:dyDescent="0.35">
      <c r="G223" s="66">
        <v>3</v>
      </c>
      <c r="H223" t="s">
        <v>24</v>
      </c>
      <c r="I223" t="s">
        <v>482</v>
      </c>
      <c r="J223">
        <v>1.2</v>
      </c>
      <c r="K223" t="s">
        <v>9</v>
      </c>
      <c r="L223" t="s">
        <v>14</v>
      </c>
      <c r="M223">
        <f t="shared" si="24"/>
        <v>1.2022523822740121</v>
      </c>
      <c r="N223">
        <f t="shared" si="25"/>
        <v>5.0732259082841147E-6</v>
      </c>
      <c r="O223" s="67" cm="1">
        <f t="array" ref="O223">SUMPRODUCT((G223=$G$7:$G$10000)*(M223&lt;$M$7:$M$10000))+1</f>
        <v>76</v>
      </c>
      <c r="P223" s="72"/>
      <c r="Q223">
        <v>6</v>
      </c>
      <c r="R223" t="str">
        <v>MIA</v>
      </c>
      <c r="S223" t="str">
        <v>Ma'ake Muti</v>
      </c>
      <c r="T223" t="str">
        <v>NULL</v>
      </c>
      <c r="U223" t="str">
        <v>Away</v>
      </c>
      <c r="V223" t="str">
        <v>SDL</v>
      </c>
      <c r="W223">
        <v>6.2130489407703458</v>
      </c>
      <c r="Y223" s="1" cm="1">
        <f t="array" ref="Y223">COUNT(_xlfn._xlws.FILTER($G$7:$G$10000,($I$7:$I$10000=X223)*($J$7:$J$10000&lt;&gt;"NULL")*($G$7:$G$10000 &gt;= ($G$1-5))))/5</f>
        <v>0</v>
      </c>
    </row>
    <row r="224" spans="7:25" x14ac:dyDescent="0.35">
      <c r="G224" s="66">
        <v>3</v>
      </c>
      <c r="H224" t="s">
        <v>4</v>
      </c>
      <c r="I224" t="s">
        <v>435</v>
      </c>
      <c r="J224">
        <v>1.1000000000000001</v>
      </c>
      <c r="K224" t="s">
        <v>9</v>
      </c>
      <c r="L224" t="s">
        <v>13</v>
      </c>
      <c r="M224">
        <f t="shared" si="24"/>
        <v>2.5991018306919065</v>
      </c>
      <c r="N224">
        <f t="shared" si="25"/>
        <v>2.2473062987838253</v>
      </c>
      <c r="O224" s="67" cm="1">
        <f t="array" ref="O224">SUMPRODUCT((G224=$G$7:$G$10000)*(M224&lt;$M$7:$M$10000))+1</f>
        <v>68</v>
      </c>
      <c r="P224" s="72"/>
      <c r="Q224">
        <v>6</v>
      </c>
      <c r="R224" t="str">
        <v>NEFJ</v>
      </c>
      <c r="S224" t="str">
        <v>Jero Gomez Vara</v>
      </c>
      <c r="T224" t="str">
        <v>NULL</v>
      </c>
      <c r="U224" t="str">
        <v>Away</v>
      </c>
      <c r="V224" t="str">
        <v>OGDC</v>
      </c>
      <c r="W224">
        <v>5.9340991134652219</v>
      </c>
      <c r="Y224" s="1" cm="1">
        <f t="array" ref="Y224">COUNT(_xlfn._xlws.FILTER($G$7:$G$10000,($I$7:$I$10000=X224)*($J$7:$J$10000&lt;&gt;"NULL")*($G$7:$G$10000 &gt;= ($G$1-5))))/5</f>
        <v>0</v>
      </c>
    </row>
    <row r="225" spans="7:25" x14ac:dyDescent="0.35">
      <c r="G225" s="66">
        <v>3</v>
      </c>
      <c r="H225" t="s">
        <v>34</v>
      </c>
      <c r="I225" t="s">
        <v>424</v>
      </c>
      <c r="J225">
        <v>0.9</v>
      </c>
      <c r="K225" t="s">
        <v>9</v>
      </c>
      <c r="L225" t="s">
        <v>7</v>
      </c>
      <c r="M225">
        <f t="shared" si="24"/>
        <v>1.1677838598228858</v>
      </c>
      <c r="N225">
        <f t="shared" si="25"/>
        <v>7.1708195581642931E-2</v>
      </c>
      <c r="O225" s="67" cm="1">
        <f t="array" ref="O225">SUMPRODUCT((G225=$G$7:$G$10000)*(M225&lt;$M$7:$M$10000))+1</f>
        <v>77</v>
      </c>
      <c r="P225" s="72"/>
      <c r="Q225">
        <v>6</v>
      </c>
      <c r="R225" t="str">
        <v>SEA</v>
      </c>
      <c r="S225" t="str">
        <v>OJ Noa</v>
      </c>
      <c r="T225" t="str">
        <v>NULL</v>
      </c>
      <c r="U225" t="str">
        <v>Home</v>
      </c>
      <c r="V225" t="str">
        <v>UTAH</v>
      </c>
      <c r="W225">
        <v>5.9260177875407987</v>
      </c>
      <c r="Y225" s="1" cm="1">
        <f t="array" ref="Y225">COUNT(_xlfn._xlws.FILTER($G$7:$G$10000,($I$7:$I$10000=X225)*($J$7:$J$10000&lt;&gt;"NULL")*($G$7:$G$10000 &gt;= ($G$1-5))))/5</f>
        <v>0</v>
      </c>
    </row>
    <row r="226" spans="7:25" x14ac:dyDescent="0.35">
      <c r="G226" s="66">
        <v>3</v>
      </c>
      <c r="H226" t="s">
        <v>13</v>
      </c>
      <c r="I226" t="s">
        <v>467</v>
      </c>
      <c r="J226">
        <v>0.9</v>
      </c>
      <c r="K226" t="s">
        <v>3</v>
      </c>
      <c r="L226" t="s">
        <v>4</v>
      </c>
      <c r="M226">
        <f t="shared" si="24"/>
        <v>0.90004902580981483</v>
      </c>
      <c r="N226">
        <f t="shared" si="25"/>
        <v>2.4035300279975912E-9</v>
      </c>
      <c r="O226" s="67" cm="1">
        <f t="array" ref="O226">SUMPRODUCT((G226=$G$7:$G$10000)*(M226&lt;$M$7:$M$10000))+1</f>
        <v>78</v>
      </c>
      <c r="P226" s="72"/>
      <c r="Q226">
        <v>6</v>
      </c>
      <c r="R226" t="str">
        <v>MIA</v>
      </c>
      <c r="S226" t="str">
        <v>Kirby Myhill</v>
      </c>
      <c r="T226" t="str">
        <v>NULL</v>
      </c>
      <c r="U226" t="str">
        <v>Away</v>
      </c>
      <c r="V226" t="str">
        <v>SDL</v>
      </c>
      <c r="W226">
        <v>5.8856389025580294</v>
      </c>
      <c r="Y226" s="1" cm="1">
        <f t="array" ref="Y226">COUNT(_xlfn._xlws.FILTER($G$7:$G$10000,($I$7:$I$10000=X226)*($J$7:$J$10000&lt;&gt;"NULL")*($G$7:$G$10000 &gt;= ($G$1-5))))/5</f>
        <v>0</v>
      </c>
    </row>
    <row r="227" spans="7:25" x14ac:dyDescent="0.35">
      <c r="G227" s="66">
        <v>3</v>
      </c>
      <c r="H227" t="s">
        <v>36</v>
      </c>
      <c r="I227" t="s">
        <v>414</v>
      </c>
      <c r="J227">
        <v>0.7</v>
      </c>
      <c r="K227" t="s">
        <v>3</v>
      </c>
      <c r="L227" t="s">
        <v>17</v>
      </c>
      <c r="M227">
        <f t="shared" si="24"/>
        <v>1.4438832060258653</v>
      </c>
      <c r="N227">
        <f t="shared" si="25"/>
        <v>0.55336222420731995</v>
      </c>
      <c r="O227" s="67" cm="1">
        <f t="array" ref="O227">SUMPRODUCT((G227=$G$7:$G$10000)*(M227&lt;$M$7:$M$10000))+1</f>
        <v>74</v>
      </c>
      <c r="P227" s="72"/>
      <c r="Q227">
        <v>6</v>
      </c>
      <c r="R227" t="str">
        <v>NOLA</v>
      </c>
      <c r="S227" t="str">
        <v>Tesimoni Tonga'uiha</v>
      </c>
      <c r="T227" t="str">
        <v>NULL</v>
      </c>
      <c r="U227" t="str">
        <v>Home</v>
      </c>
      <c r="V227" t="str">
        <v>LA</v>
      </c>
      <c r="W227">
        <v>5.7130171113715296</v>
      </c>
      <c r="Y227" s="1" cm="1">
        <f t="array" ref="Y227">COUNT(_xlfn._xlws.FILTER($G$7:$G$10000,($I$7:$I$10000=X227)*($J$7:$J$10000&lt;&gt;"NULL")*($G$7:$G$10000 &gt;= ($G$1-5))))/5</f>
        <v>0</v>
      </c>
    </row>
    <row r="228" spans="7:25" x14ac:dyDescent="0.35">
      <c r="G228" s="66">
        <v>3</v>
      </c>
      <c r="H228" t="s">
        <v>34</v>
      </c>
      <c r="I228" t="s">
        <v>161</v>
      </c>
      <c r="J228">
        <v>0</v>
      </c>
      <c r="K228" t="s">
        <v>9</v>
      </c>
      <c r="L228" t="s">
        <v>7</v>
      </c>
      <c r="M228">
        <f t="shared" si="24"/>
        <v>1.5467909460437035</v>
      </c>
      <c r="N228">
        <f t="shared" si="25"/>
        <v>2.3925622307627754</v>
      </c>
      <c r="O228" s="67" cm="1">
        <f t="array" ref="O228">SUMPRODUCT((G228=$G$7:$G$10000)*(M228&lt;$M$7:$M$10000))+1</f>
        <v>72</v>
      </c>
      <c r="P228" s="72"/>
      <c r="Q228">
        <v>6</v>
      </c>
      <c r="R228" t="str">
        <v>NEFJ</v>
      </c>
      <c r="S228" t="str">
        <v>Kaleb Geiger</v>
      </c>
      <c r="T228" t="str">
        <v>NULL</v>
      </c>
      <c r="U228" t="str">
        <v>Away</v>
      </c>
      <c r="V228" t="str">
        <v>OGDC</v>
      </c>
      <c r="W228">
        <v>5.6586581435564449</v>
      </c>
      <c r="Y228" s="1" cm="1">
        <f t="array" ref="Y228">COUNT(_xlfn._xlws.FILTER($G$7:$G$10000,($I$7:$I$10000=X228)*($J$7:$J$10000&lt;&gt;"NULL")*($G$7:$G$10000 &gt;= ($G$1-5))))/5</f>
        <v>0</v>
      </c>
    </row>
    <row r="229" spans="7:25" x14ac:dyDescent="0.35">
      <c r="G229" s="66">
        <v>3</v>
      </c>
      <c r="H229" t="s">
        <v>4</v>
      </c>
      <c r="I229" t="s">
        <v>176</v>
      </c>
      <c r="J229">
        <v>-0.2</v>
      </c>
      <c r="K229" t="s">
        <v>9</v>
      </c>
      <c r="L229" t="s">
        <v>13</v>
      </c>
      <c r="M229">
        <f t="shared" si="24"/>
        <v>0.40096351258314389</v>
      </c>
      <c r="N229">
        <f t="shared" si="25"/>
        <v>0.36115714345627048</v>
      </c>
      <c r="O229" s="67" cm="1">
        <f t="array" ref="O229">SUMPRODUCT((G229=$G$7:$G$10000)*(M229&lt;$M$7:$M$10000))+1</f>
        <v>79</v>
      </c>
      <c r="P229" s="72"/>
      <c r="Q229">
        <v>6</v>
      </c>
      <c r="R229" t="str">
        <v>ARC</v>
      </c>
      <c r="S229" t="str">
        <v>Connor Robinson</v>
      </c>
      <c r="T229" t="str">
        <v>NULL</v>
      </c>
      <c r="U229" t="str">
        <v>Home</v>
      </c>
      <c r="V229" t="str">
        <v>HOU</v>
      </c>
      <c r="W229">
        <v>5.5667620598640601</v>
      </c>
      <c r="Y229" s="1" cm="1">
        <f t="array" ref="Y229">COUNT(_xlfn._xlws.FILTER($G$7:$G$10000,($I$7:$I$10000=X229)*($J$7:$J$10000&lt;&gt;"NULL")*($G$7:$G$10000 &gt;= ($G$1-5))))/5</f>
        <v>0</v>
      </c>
    </row>
    <row r="230" spans="7:25" x14ac:dyDescent="0.35">
      <c r="G230" s="66">
        <v>3</v>
      </c>
      <c r="H230" t="s">
        <v>24</v>
      </c>
      <c r="I230" t="s">
        <v>411</v>
      </c>
      <c r="J230">
        <v>-0.6</v>
      </c>
      <c r="K230" t="s">
        <v>9</v>
      </c>
      <c r="L230" t="s">
        <v>14</v>
      </c>
      <c r="M230">
        <f t="shared" si="24"/>
        <v>3.0624265177716228</v>
      </c>
      <c r="N230">
        <f t="shared" si="25"/>
        <v>13.413367998076776</v>
      </c>
      <c r="O230" s="67" cm="1">
        <f t="array" ref="O230">SUMPRODUCT((G230=$G$7:$G$10000)*(M230&lt;$M$7:$M$10000))+1</f>
        <v>64</v>
      </c>
      <c r="P230" s="72"/>
      <c r="Q230">
        <v>6</v>
      </c>
      <c r="R230" t="str">
        <v>SDL</v>
      </c>
      <c r="S230" t="str">
        <v>Jimmy Hokafonu</v>
      </c>
      <c r="T230" t="str">
        <v>NULL</v>
      </c>
      <c r="U230" t="str">
        <v>Home</v>
      </c>
      <c r="V230" t="str">
        <v>MIA</v>
      </c>
      <c r="W230">
        <v>5.350779234200318</v>
      </c>
      <c r="Y230" s="1" cm="1">
        <f t="array" ref="Y230">COUNT(_xlfn._xlws.FILTER($G$7:$G$10000,($I$7:$I$10000=X230)*($J$7:$J$10000&lt;&gt;"NULL")*($G$7:$G$10000 &gt;= ($G$1-5))))/5</f>
        <v>0</v>
      </c>
    </row>
    <row r="231" spans="7:25" x14ac:dyDescent="0.35">
      <c r="G231" s="66">
        <v>4</v>
      </c>
      <c r="H231" t="s">
        <v>17</v>
      </c>
      <c r="I231" t="s">
        <v>485</v>
      </c>
      <c r="J231" t="s">
        <v>256</v>
      </c>
      <c r="K231" t="s">
        <v>3</v>
      </c>
      <c r="L231" t="s">
        <v>23</v>
      </c>
      <c r="M231">
        <f t="shared" ref="M231:M294" si="26">VLOOKUP($K231,$F$3:$G$4,2,FALSE)+VLOOKUP($I231,$A$20:$B$321,2,FALSE)+VLOOKUP($L231,$A$6:$B$16,2,FALSE)</f>
        <v>17.178742283541727</v>
      </c>
      <c r="N231" t="str">
        <f t="shared" ref="N231:N294" si="27">IFERROR(($J231-$M231)^2,"")</f>
        <v/>
      </c>
      <c r="O231" s="67" cm="1">
        <f t="array" ref="O231">SUMPRODUCT((G231=$G$7:$G$10000)*(M231&lt;$M$7:$M$10000))+1</f>
        <v>1</v>
      </c>
      <c r="P231" s="72"/>
      <c r="Q231">
        <v>6</v>
      </c>
      <c r="R231" t="str">
        <v>NOLA</v>
      </c>
      <c r="S231" t="str">
        <v>Alex Lopeti</v>
      </c>
      <c r="T231" t="str">
        <v>NULL</v>
      </c>
      <c r="U231" t="str">
        <v>Home</v>
      </c>
      <c r="V231" t="str">
        <v>LA</v>
      </c>
      <c r="W231">
        <v>5.3307638363194609</v>
      </c>
      <c r="Y231" s="1" cm="1">
        <f t="array" ref="Y231">COUNT(_xlfn._xlws.FILTER($G$7:$G$10000,($I$7:$I$10000=X231)*($J$7:$J$10000&lt;&gt;"NULL")*($G$7:$G$10000 &gt;= ($G$1-5))))/5</f>
        <v>0</v>
      </c>
    </row>
    <row r="232" spans="7:25" x14ac:dyDescent="0.35">
      <c r="G232" s="66">
        <v>4</v>
      </c>
      <c r="H232" t="s">
        <v>34</v>
      </c>
      <c r="I232" t="s">
        <v>228</v>
      </c>
      <c r="J232" t="s">
        <v>256</v>
      </c>
      <c r="K232" t="s">
        <v>3</v>
      </c>
      <c r="L232" t="s">
        <v>6</v>
      </c>
      <c r="M232">
        <f t="shared" si="26"/>
        <v>15.658210182679181</v>
      </c>
      <c r="N232" t="str">
        <f t="shared" si="27"/>
        <v/>
      </c>
      <c r="O232" s="67" cm="1">
        <f t="array" ref="O232">SUMPRODUCT((G232=$G$7:$G$10000)*(M232&lt;$M$7:$M$10000))+1</f>
        <v>2</v>
      </c>
      <c r="P232" s="72"/>
      <c r="Q232">
        <v>6</v>
      </c>
      <c r="R232" t="str">
        <v>NOLA</v>
      </c>
      <c r="S232" t="str">
        <v>Malcolm May</v>
      </c>
      <c r="T232" t="str">
        <v>NULL</v>
      </c>
      <c r="U232" t="str">
        <v>Home</v>
      </c>
      <c r="V232" t="str">
        <v>LA</v>
      </c>
      <c r="W232">
        <v>5.1525379237624751</v>
      </c>
      <c r="Y232" s="1" cm="1">
        <f t="array" ref="Y232">COUNT(_xlfn._xlws.FILTER($G$7:$G$10000,($I$7:$I$10000=X232)*($J$7:$J$10000&lt;&gt;"NULL")*($G$7:$G$10000 &gt;= ($G$1-5))))/5</f>
        <v>0</v>
      </c>
    </row>
    <row r="233" spans="7:25" x14ac:dyDescent="0.35">
      <c r="G233" s="66">
        <v>4</v>
      </c>
      <c r="H233" t="s">
        <v>34</v>
      </c>
      <c r="I233" t="s">
        <v>462</v>
      </c>
      <c r="J233" t="s">
        <v>256</v>
      </c>
      <c r="K233" t="s">
        <v>3</v>
      </c>
      <c r="L233" t="s">
        <v>6</v>
      </c>
      <c r="M233">
        <f t="shared" si="26"/>
        <v>15.30057781046364</v>
      </c>
      <c r="N233" t="str">
        <f t="shared" si="27"/>
        <v/>
      </c>
      <c r="O233" s="67" cm="1">
        <f t="array" ref="O233">SUMPRODUCT((G233=$G$7:$G$10000)*(M233&lt;$M$7:$M$10000))+1</f>
        <v>3</v>
      </c>
      <c r="P233" s="72"/>
      <c r="Q233">
        <v>6</v>
      </c>
      <c r="R233" t="str">
        <v>SDL</v>
      </c>
      <c r="S233" t="str">
        <v>Payton Telea-Ilalio</v>
      </c>
      <c r="T233" t="str">
        <v>NULL</v>
      </c>
      <c r="U233" t="str">
        <v>Home</v>
      </c>
      <c r="V233" t="str">
        <v>MIA</v>
      </c>
      <c r="W233">
        <v>5.1293747520852948</v>
      </c>
      <c r="Y233" s="1" cm="1">
        <f t="array" ref="Y233">COUNT(_xlfn._xlws.FILTER($G$7:$G$10000,($I$7:$I$10000=X233)*($J$7:$J$10000&lt;&gt;"NULL")*($G$7:$G$10000 &gt;= ($G$1-5))))/5</f>
        <v>0</v>
      </c>
    </row>
    <row r="234" spans="7:25" x14ac:dyDescent="0.35">
      <c r="G234" s="66">
        <v>4</v>
      </c>
      <c r="H234" t="s">
        <v>34</v>
      </c>
      <c r="I234" t="s">
        <v>429</v>
      </c>
      <c r="J234" t="s">
        <v>256</v>
      </c>
      <c r="K234" t="s">
        <v>3</v>
      </c>
      <c r="L234" t="s">
        <v>6</v>
      </c>
      <c r="M234">
        <f t="shared" si="26"/>
        <v>14.29011189665828</v>
      </c>
      <c r="N234" t="str">
        <f t="shared" si="27"/>
        <v/>
      </c>
      <c r="O234" s="67" cm="1">
        <f t="array" ref="O234">SUMPRODUCT((G234=$G$7:$G$10000)*(M234&lt;$M$7:$M$10000))+1</f>
        <v>4</v>
      </c>
      <c r="P234" s="72"/>
      <c r="Q234">
        <v>6</v>
      </c>
      <c r="R234" t="str">
        <v>UTAH</v>
      </c>
      <c r="S234" t="str">
        <v>Matt Jenson</v>
      </c>
      <c r="T234" t="str">
        <v>NULL</v>
      </c>
      <c r="U234" t="str">
        <v>Away</v>
      </c>
      <c r="V234" t="str">
        <v>SEA</v>
      </c>
      <c r="W234">
        <v>5.0593773537102624</v>
      </c>
      <c r="Y234" s="1" cm="1">
        <f t="array" ref="Y234">COUNT(_xlfn._xlws.FILTER($G$7:$G$10000,($I$7:$I$10000=X234)*($J$7:$J$10000&lt;&gt;"NULL")*($G$7:$G$10000 &gt;= ($G$1-5))))/5</f>
        <v>0</v>
      </c>
    </row>
    <row r="235" spans="7:25" x14ac:dyDescent="0.35">
      <c r="G235" s="66">
        <v>4</v>
      </c>
      <c r="H235" t="s">
        <v>34</v>
      </c>
      <c r="I235" t="s">
        <v>200</v>
      </c>
      <c r="J235" t="s">
        <v>256</v>
      </c>
      <c r="K235" t="s">
        <v>3</v>
      </c>
      <c r="L235" t="s">
        <v>6</v>
      </c>
      <c r="M235">
        <f t="shared" si="26"/>
        <v>13.438874117045676</v>
      </c>
      <c r="N235" t="str">
        <f t="shared" si="27"/>
        <v/>
      </c>
      <c r="O235" s="67" cm="1">
        <f t="array" ref="O235">SUMPRODUCT((G235=$G$7:$G$10000)*(M235&lt;$M$7:$M$10000))+1</f>
        <v>5</v>
      </c>
      <c r="P235" s="72"/>
      <c r="Q235">
        <v>6</v>
      </c>
      <c r="R235" t="str">
        <v>SDL</v>
      </c>
      <c r="S235" t="str">
        <v>Darcy Breen</v>
      </c>
      <c r="T235" t="str">
        <v>NULL</v>
      </c>
      <c r="U235" t="str">
        <v>Home</v>
      </c>
      <c r="V235" t="str">
        <v>MIA</v>
      </c>
      <c r="W235">
        <v>5.0289657587434835</v>
      </c>
      <c r="Y235" s="1" cm="1">
        <f t="array" ref="Y235">COUNT(_xlfn._xlws.FILTER($G$7:$G$10000,($I$7:$I$10000=X235)*($J$7:$J$10000&lt;&gt;"NULL")*($G$7:$G$10000 &gt;= ($G$1-5))))/5</f>
        <v>0</v>
      </c>
    </row>
    <row r="236" spans="7:25" x14ac:dyDescent="0.35">
      <c r="G236" s="66">
        <v>4</v>
      </c>
      <c r="H236" t="s">
        <v>34</v>
      </c>
      <c r="I236" t="s">
        <v>351</v>
      </c>
      <c r="J236" t="s">
        <v>256</v>
      </c>
      <c r="K236" t="s">
        <v>3</v>
      </c>
      <c r="L236" t="s">
        <v>6</v>
      </c>
      <c r="M236">
        <f t="shared" si="26"/>
        <v>12.883096978379097</v>
      </c>
      <c r="N236" t="str">
        <f t="shared" si="27"/>
        <v/>
      </c>
      <c r="O236" s="67" cm="1">
        <f t="array" ref="O236">SUMPRODUCT((G236=$G$7:$G$10000)*(M236&lt;$M$7:$M$10000))+1</f>
        <v>6</v>
      </c>
      <c r="P236" s="72"/>
      <c r="Q236">
        <v>6</v>
      </c>
      <c r="R236" t="str">
        <v>ARC</v>
      </c>
      <c r="S236" t="str">
        <v>Dylan Fortune</v>
      </c>
      <c r="T236" t="str">
        <v>NULL</v>
      </c>
      <c r="U236" t="str">
        <v>Home</v>
      </c>
      <c r="V236" t="str">
        <v>HOU</v>
      </c>
      <c r="W236">
        <v>4.7123625941221174</v>
      </c>
      <c r="Y236" s="1" cm="1">
        <f t="array" ref="Y236">COUNT(_xlfn._xlws.FILTER($G$7:$G$10000,($I$7:$I$10000=X236)*($J$7:$J$10000&lt;&gt;"NULL")*($G$7:$G$10000 &gt;= ($G$1-5))))/5</f>
        <v>0</v>
      </c>
    </row>
    <row r="237" spans="7:25" x14ac:dyDescent="0.35">
      <c r="G237" s="66">
        <v>4</v>
      </c>
      <c r="H237" t="s">
        <v>23</v>
      </c>
      <c r="I237" t="s">
        <v>428</v>
      </c>
      <c r="J237" t="s">
        <v>256</v>
      </c>
      <c r="K237" t="s">
        <v>9</v>
      </c>
      <c r="L237" t="s">
        <v>17</v>
      </c>
      <c r="M237">
        <f t="shared" si="26"/>
        <v>12.032040576862414</v>
      </c>
      <c r="N237" t="str">
        <f t="shared" si="27"/>
        <v/>
      </c>
      <c r="O237" s="67" cm="1">
        <f t="array" ref="O237">SUMPRODUCT((G237=$G$7:$G$10000)*(M237&lt;$M$7:$M$10000))+1</f>
        <v>7</v>
      </c>
      <c r="P237" s="72"/>
      <c r="Q237">
        <v>6</v>
      </c>
      <c r="R237" t="str">
        <v>ARC</v>
      </c>
      <c r="S237" t="str">
        <v>Sam Golla</v>
      </c>
      <c r="T237" t="str">
        <v>NULL</v>
      </c>
      <c r="U237" t="str">
        <v>Home</v>
      </c>
      <c r="V237" t="str">
        <v>HOU</v>
      </c>
      <c r="W237">
        <v>4.5959834429457427</v>
      </c>
      <c r="Y237" s="1" cm="1">
        <f t="array" ref="Y237">COUNT(_xlfn._xlws.FILTER($G$7:$G$10000,($I$7:$I$10000=X237)*($J$7:$J$10000&lt;&gt;"NULL")*($G$7:$G$10000 &gt;= ($G$1-5))))/5</f>
        <v>0</v>
      </c>
    </row>
    <row r="238" spans="7:25" x14ac:dyDescent="0.35">
      <c r="G238" s="66">
        <v>4</v>
      </c>
      <c r="H238" t="s">
        <v>6</v>
      </c>
      <c r="I238" t="s">
        <v>430</v>
      </c>
      <c r="J238" t="s">
        <v>256</v>
      </c>
      <c r="K238" t="s">
        <v>9</v>
      </c>
      <c r="L238" t="s">
        <v>34</v>
      </c>
      <c r="M238">
        <f t="shared" si="26"/>
        <v>11.559075152017945</v>
      </c>
      <c r="N238" t="str">
        <f t="shared" si="27"/>
        <v/>
      </c>
      <c r="O238" s="67" cm="1">
        <f t="array" ref="O238">SUMPRODUCT((G238=$G$7:$G$10000)*(M238&lt;$M$7:$M$10000))+1</f>
        <v>8</v>
      </c>
      <c r="P238" s="72"/>
      <c r="Q238">
        <v>6</v>
      </c>
      <c r="R238" t="str">
        <v>UTAH</v>
      </c>
      <c r="S238" t="str">
        <v>Gavin Thornbury</v>
      </c>
      <c r="T238" t="str">
        <v>NULL</v>
      </c>
      <c r="U238" t="str">
        <v>Away</v>
      </c>
      <c r="V238" t="str">
        <v>SEA</v>
      </c>
      <c r="W238">
        <v>4.5690774079186749</v>
      </c>
      <c r="Y238" s="1" cm="1">
        <f t="array" ref="Y238">COUNT(_xlfn._xlws.FILTER($G$7:$G$10000,($I$7:$I$10000=X238)*($J$7:$J$10000&lt;&gt;"NULL")*($G$7:$G$10000 &gt;= ($G$1-5))))/5</f>
        <v>0</v>
      </c>
    </row>
    <row r="239" spans="7:25" x14ac:dyDescent="0.35">
      <c r="G239" s="66">
        <v>4</v>
      </c>
      <c r="H239" t="s">
        <v>23</v>
      </c>
      <c r="I239" t="s">
        <v>389</v>
      </c>
      <c r="J239" t="s">
        <v>256</v>
      </c>
      <c r="K239" t="s">
        <v>9</v>
      </c>
      <c r="L239" t="s">
        <v>17</v>
      </c>
      <c r="M239">
        <f t="shared" si="26"/>
        <v>11.214552448475564</v>
      </c>
      <c r="N239" t="str">
        <f t="shared" si="27"/>
        <v/>
      </c>
      <c r="O239" s="67" cm="1">
        <f t="array" ref="O239">SUMPRODUCT((G239=$G$7:$G$10000)*(M239&lt;$M$7:$M$10000))+1</f>
        <v>9</v>
      </c>
      <c r="P239" s="72"/>
      <c r="Q239">
        <v>6</v>
      </c>
      <c r="R239" t="str">
        <v>ARC</v>
      </c>
      <c r="S239" t="str">
        <v>Viliami Vuli</v>
      </c>
      <c r="T239" t="str">
        <v>NULL</v>
      </c>
      <c r="U239" t="str">
        <v>Home</v>
      </c>
      <c r="V239" t="str">
        <v>HOU</v>
      </c>
      <c r="W239">
        <v>4.537913608357572</v>
      </c>
      <c r="Y239" s="1" cm="1">
        <f t="array" ref="Y239">COUNT(_xlfn._xlws.FILTER($G$7:$G$10000,($I$7:$I$10000=X239)*($J$7:$J$10000&lt;&gt;"NULL")*($G$7:$G$10000 &gt;= ($G$1-5))))/5</f>
        <v>0</v>
      </c>
    </row>
    <row r="240" spans="7:25" x14ac:dyDescent="0.35">
      <c r="G240" s="66">
        <v>4</v>
      </c>
      <c r="H240" t="s">
        <v>2</v>
      </c>
      <c r="I240" t="s">
        <v>212</v>
      </c>
      <c r="J240" t="s">
        <v>256</v>
      </c>
      <c r="K240" t="s">
        <v>9</v>
      </c>
      <c r="L240" t="s">
        <v>24</v>
      </c>
      <c r="M240">
        <f t="shared" si="26"/>
        <v>10.43165690403443</v>
      </c>
      <c r="N240" t="str">
        <f t="shared" si="27"/>
        <v/>
      </c>
      <c r="O240" s="67" cm="1">
        <f t="array" ref="O240">SUMPRODUCT((G240=$G$7:$G$10000)*(M240&lt;$M$7:$M$10000))+1</f>
        <v>10</v>
      </c>
      <c r="P240" s="72"/>
      <c r="Q240">
        <v>6</v>
      </c>
      <c r="R240" t="str">
        <v>MIA</v>
      </c>
      <c r="S240" t="str">
        <v>Tau Koloamatangi</v>
      </c>
      <c r="T240" t="str">
        <v>NULL</v>
      </c>
      <c r="U240" t="str">
        <v>Away</v>
      </c>
      <c r="V240" t="str">
        <v>SDL</v>
      </c>
      <c r="W240">
        <v>4.3528748052727355</v>
      </c>
      <c r="Y240" s="1" cm="1">
        <f t="array" ref="Y240">COUNT(_xlfn._xlws.FILTER($G$7:$G$10000,($I$7:$I$10000=X240)*($J$7:$J$10000&lt;&gt;"NULL")*($G$7:$G$10000 &gt;= ($G$1-5))))/5</f>
        <v>0</v>
      </c>
    </row>
    <row r="241" spans="7:25" x14ac:dyDescent="0.35">
      <c r="G241" s="66">
        <v>4</v>
      </c>
      <c r="H241" t="s">
        <v>13</v>
      </c>
      <c r="I241" t="s">
        <v>463</v>
      </c>
      <c r="J241" t="s">
        <v>256</v>
      </c>
      <c r="K241" t="s">
        <v>3</v>
      </c>
      <c r="L241" t="s">
        <v>36</v>
      </c>
      <c r="M241">
        <f t="shared" si="26"/>
        <v>10.401717994249919</v>
      </c>
      <c r="N241" t="str">
        <f t="shared" si="27"/>
        <v/>
      </c>
      <c r="O241" s="67" cm="1">
        <f t="array" ref="O241">SUMPRODUCT((G241=$G$7:$G$10000)*(M241&lt;$M$7:$M$10000))+1</f>
        <v>11</v>
      </c>
      <c r="P241" s="72"/>
      <c r="Q241">
        <v>6</v>
      </c>
      <c r="R241" t="str">
        <v>NOLA</v>
      </c>
      <c r="S241" t="str">
        <v>Paul Mullen</v>
      </c>
      <c r="T241" t="str">
        <v>NULL</v>
      </c>
      <c r="U241" t="str">
        <v>Home</v>
      </c>
      <c r="V241" t="str">
        <v>LA</v>
      </c>
      <c r="W241">
        <v>4.0562163858261595</v>
      </c>
      <c r="Y241" s="1" cm="1">
        <f t="array" ref="Y241">COUNT(_xlfn._xlws.FILTER($G$7:$G$10000,($I$7:$I$10000=X241)*($J$7:$J$10000&lt;&gt;"NULL")*($G$7:$G$10000 &gt;= ($G$1-5))))/5</f>
        <v>0</v>
      </c>
    </row>
    <row r="242" spans="7:25" x14ac:dyDescent="0.35">
      <c r="G242" s="66">
        <v>4</v>
      </c>
      <c r="H242" t="s">
        <v>24</v>
      </c>
      <c r="I242" t="s">
        <v>199</v>
      </c>
      <c r="J242" t="s">
        <v>256</v>
      </c>
      <c r="K242" t="s">
        <v>3</v>
      </c>
      <c r="L242" t="s">
        <v>2</v>
      </c>
      <c r="M242">
        <f t="shared" si="26"/>
        <v>10.400887153422435</v>
      </c>
      <c r="N242" t="str">
        <f t="shared" si="27"/>
        <v/>
      </c>
      <c r="O242" s="67" cm="1">
        <f t="array" ref="O242">SUMPRODUCT((G242=$G$7:$G$10000)*(M242&lt;$M$7:$M$10000))+1</f>
        <v>12</v>
      </c>
      <c r="P242" s="72"/>
      <c r="Q242">
        <v>6</v>
      </c>
      <c r="R242" t="str">
        <v>UTAH</v>
      </c>
      <c r="S242" t="str">
        <v>Kalisi Moli</v>
      </c>
      <c r="T242" t="str">
        <v>NULL</v>
      </c>
      <c r="U242" t="str">
        <v>Away</v>
      </c>
      <c r="V242" t="str">
        <v>SEA</v>
      </c>
      <c r="W242">
        <v>3.8836285700057496</v>
      </c>
      <c r="Y242" s="1" cm="1">
        <f t="array" ref="Y242">COUNT(_xlfn._xlws.FILTER($G$7:$G$10000,($I$7:$I$10000=X242)*($J$7:$J$10000&lt;&gt;"NULL")*($G$7:$G$10000 &gt;= ($G$1-5))))/5</f>
        <v>0</v>
      </c>
    </row>
    <row r="243" spans="7:25" x14ac:dyDescent="0.35">
      <c r="G243" s="66">
        <v>4</v>
      </c>
      <c r="H243" t="s">
        <v>2</v>
      </c>
      <c r="I243" t="s">
        <v>156</v>
      </c>
      <c r="J243" t="s">
        <v>256</v>
      </c>
      <c r="K243" t="s">
        <v>9</v>
      </c>
      <c r="L243" t="s">
        <v>24</v>
      </c>
      <c r="M243">
        <f t="shared" si="26"/>
        <v>10.031499227680603</v>
      </c>
      <c r="N243" t="str">
        <f t="shared" si="27"/>
        <v/>
      </c>
      <c r="O243" s="67" cm="1">
        <f t="array" ref="O243">SUMPRODUCT((G243=$G$7:$G$10000)*(M243&lt;$M$7:$M$10000))+1</f>
        <v>13</v>
      </c>
      <c r="P243" s="72"/>
      <c r="Q243">
        <v>6</v>
      </c>
      <c r="R243" t="str">
        <v>ARC</v>
      </c>
      <c r="S243" t="str">
        <v>Alex Maughan</v>
      </c>
      <c r="T243" t="str">
        <v>NULL</v>
      </c>
      <c r="U243" t="str">
        <v>Home</v>
      </c>
      <c r="V243" t="str">
        <v>HOU</v>
      </c>
      <c r="W243">
        <v>3.7893277616805658</v>
      </c>
      <c r="Y243" s="1" cm="1">
        <f t="array" ref="Y243">COUNT(_xlfn._xlws.FILTER($G$7:$G$10000,($I$7:$I$10000=X243)*($J$7:$J$10000&lt;&gt;"NULL")*($G$7:$G$10000 &gt;= ($G$1-5))))/5</f>
        <v>0</v>
      </c>
    </row>
    <row r="244" spans="7:25" x14ac:dyDescent="0.35">
      <c r="G244" s="66">
        <v>4</v>
      </c>
      <c r="H244" t="s">
        <v>34</v>
      </c>
      <c r="I244" t="s">
        <v>420</v>
      </c>
      <c r="J244" t="s">
        <v>256</v>
      </c>
      <c r="K244" t="s">
        <v>3</v>
      </c>
      <c r="L244" t="s">
        <v>6</v>
      </c>
      <c r="M244">
        <f t="shared" si="26"/>
        <v>9.7679839905883021</v>
      </c>
      <c r="N244" t="str">
        <f t="shared" si="27"/>
        <v/>
      </c>
      <c r="O244" s="67" cm="1">
        <f t="array" ref="O244">SUMPRODUCT((G244=$G$7:$G$10000)*(M244&lt;$M$7:$M$10000))+1</f>
        <v>14</v>
      </c>
      <c r="P244" s="72"/>
      <c r="Q244">
        <v>6</v>
      </c>
      <c r="R244" t="str">
        <v>OGDC</v>
      </c>
      <c r="S244" t="str">
        <v>Cory Daniel</v>
      </c>
      <c r="T244" t="str">
        <v>NULL</v>
      </c>
      <c r="U244" t="str">
        <v>Home</v>
      </c>
      <c r="V244" t="str">
        <v>NEFJ</v>
      </c>
      <c r="W244">
        <v>3.7247496252174805</v>
      </c>
      <c r="Y244" s="1" cm="1">
        <f t="array" ref="Y244">COUNT(_xlfn._xlws.FILTER($G$7:$G$10000,($I$7:$I$10000=X244)*($J$7:$J$10000&lt;&gt;"NULL")*($G$7:$G$10000 &gt;= ($G$1-5))))/5</f>
        <v>0</v>
      </c>
    </row>
    <row r="245" spans="7:25" x14ac:dyDescent="0.35">
      <c r="G245" s="66">
        <v>4</v>
      </c>
      <c r="H245" t="s">
        <v>24</v>
      </c>
      <c r="I245" t="s">
        <v>215</v>
      </c>
      <c r="J245" t="s">
        <v>256</v>
      </c>
      <c r="K245" t="s">
        <v>3</v>
      </c>
      <c r="L245" t="s">
        <v>2</v>
      </c>
      <c r="M245">
        <f t="shared" si="26"/>
        <v>9.6861667983326516</v>
      </c>
      <c r="N245" t="str">
        <f t="shared" si="27"/>
        <v/>
      </c>
      <c r="O245" s="67" cm="1">
        <f t="array" ref="O245">SUMPRODUCT((G245=$G$7:$G$10000)*(M245&lt;$M$7:$M$10000))+1</f>
        <v>15</v>
      </c>
      <c r="P245" s="72"/>
      <c r="Q245">
        <v>6</v>
      </c>
      <c r="R245" t="str">
        <v>NOLA</v>
      </c>
      <c r="S245" t="str">
        <v>Matt Harmon</v>
      </c>
      <c r="T245" t="str">
        <v>NULL</v>
      </c>
      <c r="U245" t="str">
        <v>Home</v>
      </c>
      <c r="V245" t="str">
        <v>LA</v>
      </c>
      <c r="W245">
        <v>3.6747729887274563</v>
      </c>
      <c r="Y245" s="1" cm="1">
        <f t="array" ref="Y245">COUNT(_xlfn._xlws.FILTER($G$7:$G$10000,($I$7:$I$10000=X245)*($J$7:$J$10000&lt;&gt;"NULL")*($G$7:$G$10000 &gt;= ($G$1-5))))/5</f>
        <v>0</v>
      </c>
    </row>
    <row r="246" spans="7:25" x14ac:dyDescent="0.35">
      <c r="G246" s="66">
        <v>4</v>
      </c>
      <c r="H246" t="s">
        <v>6</v>
      </c>
      <c r="I246" t="s">
        <v>432</v>
      </c>
      <c r="J246" t="s">
        <v>256</v>
      </c>
      <c r="K246" t="s">
        <v>9</v>
      </c>
      <c r="L246" t="s">
        <v>34</v>
      </c>
      <c r="M246">
        <f t="shared" si="26"/>
        <v>9.5824467024474824</v>
      </c>
      <c r="N246" t="str">
        <f t="shared" si="27"/>
        <v/>
      </c>
      <c r="O246" s="67" cm="1">
        <f t="array" ref="O246">SUMPRODUCT((G246=$G$7:$G$10000)*(M246&lt;$M$7:$M$10000))+1</f>
        <v>16</v>
      </c>
      <c r="P246" s="72"/>
      <c r="Q246">
        <v>6</v>
      </c>
      <c r="R246" t="str">
        <v>MIA</v>
      </c>
      <c r="S246" t="str">
        <v>Sean McNulty</v>
      </c>
      <c r="T246" t="str">
        <v>NULL</v>
      </c>
      <c r="U246" t="str">
        <v>Away</v>
      </c>
      <c r="V246" t="str">
        <v>SDL</v>
      </c>
      <c r="W246">
        <v>3.6201337071017621</v>
      </c>
      <c r="Y246" s="1" cm="1">
        <f t="array" ref="Y246">COUNT(_xlfn._xlws.FILTER($G$7:$G$10000,($I$7:$I$10000=X246)*($J$7:$J$10000&lt;&gt;"NULL")*($G$7:$G$10000 &gt;= ($G$1-5))))/5</f>
        <v>0</v>
      </c>
    </row>
    <row r="247" spans="7:25" x14ac:dyDescent="0.35">
      <c r="G247" s="66">
        <v>4</v>
      </c>
      <c r="H247" t="s">
        <v>6</v>
      </c>
      <c r="I247" t="s">
        <v>433</v>
      </c>
      <c r="J247" t="s">
        <v>256</v>
      </c>
      <c r="K247" t="s">
        <v>9</v>
      </c>
      <c r="L247" t="s">
        <v>34</v>
      </c>
      <c r="M247">
        <f t="shared" si="26"/>
        <v>9.2117937569861184</v>
      </c>
      <c r="N247" t="str">
        <f t="shared" si="27"/>
        <v/>
      </c>
      <c r="O247" s="67" cm="1">
        <f t="array" ref="O247">SUMPRODUCT((G247=$G$7:$G$10000)*(M247&lt;$M$7:$M$10000))+1</f>
        <v>17</v>
      </c>
      <c r="P247" s="72"/>
      <c r="Q247">
        <v>6</v>
      </c>
      <c r="R247" t="str">
        <v>LA</v>
      </c>
      <c r="S247" t="str">
        <v>Ben Sugars</v>
      </c>
      <c r="T247" t="str">
        <v>NULL</v>
      </c>
      <c r="U247" t="str">
        <v>Away</v>
      </c>
      <c r="V247" t="str">
        <v>NOLA</v>
      </c>
      <c r="W247">
        <v>3.4626729595891637</v>
      </c>
      <c r="Y247" s="1" cm="1">
        <f t="array" ref="Y247">COUNT(_xlfn._xlws.FILTER($G$7:$G$10000,($I$7:$I$10000=X247)*($J$7:$J$10000&lt;&gt;"NULL")*($G$7:$G$10000 &gt;= ($G$1-5))))/5</f>
        <v>0</v>
      </c>
    </row>
    <row r="248" spans="7:25" x14ac:dyDescent="0.35">
      <c r="G248" s="66">
        <v>4</v>
      </c>
      <c r="H248" t="s">
        <v>2</v>
      </c>
      <c r="I248" t="s">
        <v>213</v>
      </c>
      <c r="J248" t="s">
        <v>256</v>
      </c>
      <c r="K248" t="s">
        <v>9</v>
      </c>
      <c r="L248" t="s">
        <v>24</v>
      </c>
      <c r="M248">
        <f t="shared" si="26"/>
        <v>9.0686060164109836</v>
      </c>
      <c r="N248" t="str">
        <f t="shared" si="27"/>
        <v/>
      </c>
      <c r="O248" s="67" cm="1">
        <f t="array" ref="O248">SUMPRODUCT((G248=$G$7:$G$10000)*(M248&lt;$M$7:$M$10000))+1</f>
        <v>18</v>
      </c>
      <c r="P248" s="72"/>
      <c r="Q248">
        <v>6</v>
      </c>
      <c r="R248" t="str">
        <v>ARC</v>
      </c>
      <c r="S248" t="str">
        <v>Ethan Howard</v>
      </c>
      <c r="T248" t="str">
        <v>NULL</v>
      </c>
      <c r="U248" t="str">
        <v>Home</v>
      </c>
      <c r="V248" t="str">
        <v>HOU</v>
      </c>
      <c r="W248">
        <v>3.4405679217083076</v>
      </c>
      <c r="Y248" s="1" cm="1">
        <f t="array" ref="Y248">COUNT(_xlfn._xlws.FILTER($G$7:$G$10000,($I$7:$I$10000=X248)*($J$7:$J$10000&lt;&gt;"NULL")*($G$7:$G$10000 &gt;= ($G$1-5))))/5</f>
        <v>0</v>
      </c>
    </row>
    <row r="249" spans="7:25" x14ac:dyDescent="0.35">
      <c r="G249" s="66">
        <v>4</v>
      </c>
      <c r="H249" t="s">
        <v>6</v>
      </c>
      <c r="I249" t="s">
        <v>208</v>
      </c>
      <c r="J249" t="s">
        <v>256</v>
      </c>
      <c r="K249" t="s">
        <v>9</v>
      </c>
      <c r="L249" t="s">
        <v>34</v>
      </c>
      <c r="M249">
        <f t="shared" si="26"/>
        <v>8.7099407861160412</v>
      </c>
      <c r="N249" t="str">
        <f t="shared" si="27"/>
        <v/>
      </c>
      <c r="O249" s="67" cm="1">
        <f t="array" ref="O249">SUMPRODUCT((G249=$G$7:$G$10000)*(M249&lt;$M$7:$M$10000))+1</f>
        <v>19</v>
      </c>
      <c r="P249" s="72"/>
      <c r="Q249">
        <v>6</v>
      </c>
      <c r="R249" t="str">
        <v>ARC</v>
      </c>
      <c r="S249" t="str">
        <v>Mikey Grandy</v>
      </c>
      <c r="T249" t="str">
        <v>NULL</v>
      </c>
      <c r="U249" t="str">
        <v>Home</v>
      </c>
      <c r="V249" t="str">
        <v>HOU</v>
      </c>
      <c r="W249">
        <v>3.4243458368754194</v>
      </c>
      <c r="Y249" s="1" cm="1">
        <f t="array" ref="Y249">COUNT(_xlfn._xlws.FILTER($G$7:$G$10000,($I$7:$I$10000=X249)*($J$7:$J$10000&lt;&gt;"NULL")*($G$7:$G$10000 &gt;= ($G$1-5))))/5</f>
        <v>0</v>
      </c>
    </row>
    <row r="250" spans="7:25" x14ac:dyDescent="0.35">
      <c r="G250" s="66">
        <v>4</v>
      </c>
      <c r="H250" t="s">
        <v>17</v>
      </c>
      <c r="I250" t="s">
        <v>480</v>
      </c>
      <c r="J250" t="s">
        <v>256</v>
      </c>
      <c r="K250" t="s">
        <v>3</v>
      </c>
      <c r="L250" t="s">
        <v>23</v>
      </c>
      <c r="M250">
        <f t="shared" si="26"/>
        <v>8.6449600135039191</v>
      </c>
      <c r="N250" t="str">
        <f t="shared" si="27"/>
        <v/>
      </c>
      <c r="O250" s="67" cm="1">
        <f t="array" ref="O250">SUMPRODUCT((G250=$G$7:$G$10000)*(M250&lt;$M$7:$M$10000))+1</f>
        <v>20</v>
      </c>
      <c r="P250" s="72"/>
      <c r="Q250">
        <v>6</v>
      </c>
      <c r="R250" t="str">
        <v>ARC</v>
      </c>
      <c r="S250" t="str">
        <v>Jake Turnbull</v>
      </c>
      <c r="T250" t="str">
        <v>NULL</v>
      </c>
      <c r="U250" t="str">
        <v>Home</v>
      </c>
      <c r="V250" t="str">
        <v>HOU</v>
      </c>
      <c r="W250">
        <v>3.413095752402266</v>
      </c>
      <c r="Y250" s="1" cm="1">
        <f t="array" ref="Y250">COUNT(_xlfn._xlws.FILTER($G$7:$G$10000,($I$7:$I$10000=X250)*($J$7:$J$10000&lt;&gt;"NULL")*($G$7:$G$10000 &gt;= ($G$1-5))))/5</f>
        <v>0</v>
      </c>
    </row>
    <row r="251" spans="7:25" x14ac:dyDescent="0.35">
      <c r="G251" s="66">
        <v>4</v>
      </c>
      <c r="H251" t="s">
        <v>2</v>
      </c>
      <c r="I251" t="s">
        <v>108</v>
      </c>
      <c r="J251" t="s">
        <v>256</v>
      </c>
      <c r="K251" t="s">
        <v>9</v>
      </c>
      <c r="L251" t="s">
        <v>24</v>
      </c>
      <c r="M251">
        <f t="shared" si="26"/>
        <v>8.621963037826113</v>
      </c>
      <c r="N251" t="str">
        <f t="shared" si="27"/>
        <v/>
      </c>
      <c r="O251" s="67" cm="1">
        <f t="array" ref="O251">SUMPRODUCT((G251=$G$7:$G$10000)*(M251&lt;$M$7:$M$10000))+1</f>
        <v>21</v>
      </c>
      <c r="P251" s="72"/>
      <c r="Q251">
        <v>6</v>
      </c>
      <c r="R251" t="str">
        <v>NOLA</v>
      </c>
      <c r="S251" t="str">
        <v>Callum Botchar</v>
      </c>
      <c r="T251" t="str">
        <v>NULL</v>
      </c>
      <c r="U251" t="str">
        <v>Home</v>
      </c>
      <c r="V251" t="str">
        <v>LA</v>
      </c>
      <c r="W251">
        <v>3.2706950638820826</v>
      </c>
      <c r="Y251" s="1" cm="1">
        <f t="array" ref="Y251">COUNT(_xlfn._xlws.FILTER($G$7:$G$10000,($I$7:$I$10000=X251)*($J$7:$J$10000&lt;&gt;"NULL")*($G$7:$G$10000 &gt;= ($G$1-5))))/5</f>
        <v>0</v>
      </c>
    </row>
    <row r="252" spans="7:25" x14ac:dyDescent="0.35">
      <c r="G252" s="66">
        <v>4</v>
      </c>
      <c r="H252" t="s">
        <v>36</v>
      </c>
      <c r="I252" t="s">
        <v>466</v>
      </c>
      <c r="J252" t="s">
        <v>256</v>
      </c>
      <c r="K252" t="s">
        <v>9</v>
      </c>
      <c r="L252" t="s">
        <v>13</v>
      </c>
      <c r="M252">
        <f t="shared" si="26"/>
        <v>8.4331454538356496</v>
      </c>
      <c r="N252" t="str">
        <f t="shared" si="27"/>
        <v/>
      </c>
      <c r="O252" s="67" cm="1">
        <f t="array" ref="O252">SUMPRODUCT((G252=$G$7:$G$10000)*(M252&lt;$M$7:$M$10000))+1</f>
        <v>22</v>
      </c>
      <c r="P252" s="72"/>
      <c r="Q252">
        <v>6</v>
      </c>
      <c r="R252" t="str">
        <v>SEA</v>
      </c>
      <c r="S252" t="str">
        <v>Huw Taylor</v>
      </c>
      <c r="T252" t="str">
        <v>NULL</v>
      </c>
      <c r="U252" t="str">
        <v>Home</v>
      </c>
      <c r="V252" t="str">
        <v>UTAH</v>
      </c>
      <c r="W252">
        <v>3.2242332136522958</v>
      </c>
      <c r="Y252" s="1" cm="1">
        <f t="array" ref="Y252">COUNT(_xlfn._xlws.FILTER($G$7:$G$10000,($I$7:$I$10000=X252)*($J$7:$J$10000&lt;&gt;"NULL")*($G$7:$G$10000 &gt;= ($G$1-5))))/5</f>
        <v>0</v>
      </c>
    </row>
    <row r="253" spans="7:25" x14ac:dyDescent="0.35">
      <c r="G253" s="66">
        <v>4</v>
      </c>
      <c r="H253" t="s">
        <v>2</v>
      </c>
      <c r="I253" t="s">
        <v>115</v>
      </c>
      <c r="J253" t="s">
        <v>256</v>
      </c>
      <c r="K253" t="s">
        <v>9</v>
      </c>
      <c r="L253" t="s">
        <v>24</v>
      </c>
      <c r="M253">
        <f t="shared" si="26"/>
        <v>8.4116558732874598</v>
      </c>
      <c r="N253" t="str">
        <f t="shared" si="27"/>
        <v/>
      </c>
      <c r="O253" s="67" cm="1">
        <f t="array" ref="O253">SUMPRODUCT((G253=$G$7:$G$10000)*(M253&lt;$M$7:$M$10000))+1</f>
        <v>23</v>
      </c>
      <c r="P253" s="72"/>
      <c r="Q253">
        <v>6</v>
      </c>
      <c r="R253" t="str">
        <v>NOLA</v>
      </c>
      <c r="S253" t="str">
        <v>Cam Dolan</v>
      </c>
      <c r="T253" t="str">
        <v>NULL</v>
      </c>
      <c r="U253" t="str">
        <v>Home</v>
      </c>
      <c r="V253" t="str">
        <v>LA</v>
      </c>
      <c r="W253">
        <v>2.9499489800185357</v>
      </c>
      <c r="Y253" s="1" cm="1">
        <f t="array" ref="Y253">COUNT(_xlfn._xlws.FILTER($G$7:$G$10000,($I$7:$I$10000=X253)*($J$7:$J$10000&lt;&gt;"NULL")*($G$7:$G$10000 &gt;= ($G$1-5))))/5</f>
        <v>0</v>
      </c>
    </row>
    <row r="254" spans="7:25" x14ac:dyDescent="0.35">
      <c r="G254" s="66">
        <v>4</v>
      </c>
      <c r="H254" t="s">
        <v>13</v>
      </c>
      <c r="I254" t="s">
        <v>204</v>
      </c>
      <c r="J254" t="s">
        <v>256</v>
      </c>
      <c r="K254" t="s">
        <v>3</v>
      </c>
      <c r="L254" t="s">
        <v>36</v>
      </c>
      <c r="M254">
        <f t="shared" si="26"/>
        <v>8.1960247302539031</v>
      </c>
      <c r="N254" t="str">
        <f t="shared" si="27"/>
        <v/>
      </c>
      <c r="O254" s="67" cm="1">
        <f t="array" ref="O254">SUMPRODUCT((G254=$G$7:$G$10000)*(M254&lt;$M$7:$M$10000))+1</f>
        <v>24</v>
      </c>
      <c r="P254" s="72"/>
      <c r="Q254">
        <v>6</v>
      </c>
      <c r="R254" t="str">
        <v>HOU</v>
      </c>
      <c r="S254" t="str">
        <v>Emmanuel Albert</v>
      </c>
      <c r="T254" t="str">
        <v>NULL</v>
      </c>
      <c r="U254" t="str">
        <v>Away</v>
      </c>
      <c r="V254" t="str">
        <v>ARC</v>
      </c>
      <c r="W254">
        <v>2.8227507316642693</v>
      </c>
      <c r="Y254" s="1" cm="1">
        <f t="array" ref="Y254">COUNT(_xlfn._xlws.FILTER($G$7:$G$10000,($I$7:$I$10000=X254)*($J$7:$J$10000&lt;&gt;"NULL")*($G$7:$G$10000 &gt;= ($G$1-5))))/5</f>
        <v>0</v>
      </c>
    </row>
    <row r="255" spans="7:25" x14ac:dyDescent="0.35">
      <c r="G255" s="66">
        <v>4</v>
      </c>
      <c r="H255" t="s">
        <v>36</v>
      </c>
      <c r="I255" t="s">
        <v>225</v>
      </c>
      <c r="J255" t="s">
        <v>256</v>
      </c>
      <c r="K255" t="s">
        <v>9</v>
      </c>
      <c r="L255" t="s">
        <v>13</v>
      </c>
      <c r="M255">
        <f t="shared" si="26"/>
        <v>8.0734313499085797</v>
      </c>
      <c r="N255" t="str">
        <f t="shared" si="27"/>
        <v/>
      </c>
      <c r="O255" s="67" cm="1">
        <f t="array" ref="O255">SUMPRODUCT((G255=$G$7:$G$10000)*(M255&lt;$M$7:$M$10000))+1</f>
        <v>25</v>
      </c>
      <c r="P255" s="72"/>
      <c r="Q255">
        <v>6</v>
      </c>
      <c r="R255" t="str">
        <v>SDL</v>
      </c>
      <c r="S255" t="str">
        <v>Hugh Roach</v>
      </c>
      <c r="T255" t="str">
        <v>NULL</v>
      </c>
      <c r="U255" t="str">
        <v>Home</v>
      </c>
      <c r="V255" t="str">
        <v>MIA</v>
      </c>
      <c r="W255">
        <v>2.7865818793783976</v>
      </c>
      <c r="Y255" s="1" cm="1">
        <f t="array" ref="Y255">COUNT(_xlfn._xlws.FILTER($G$7:$G$10000,($I$7:$I$10000=X255)*($J$7:$J$10000&lt;&gt;"NULL")*($G$7:$G$10000 &gt;= ($G$1-5))))/5</f>
        <v>0</v>
      </c>
    </row>
    <row r="256" spans="7:25" x14ac:dyDescent="0.35">
      <c r="G256" s="66">
        <v>4</v>
      </c>
      <c r="H256" t="s">
        <v>34</v>
      </c>
      <c r="I256" t="s">
        <v>174</v>
      </c>
      <c r="J256" t="s">
        <v>256</v>
      </c>
      <c r="K256" t="s">
        <v>3</v>
      </c>
      <c r="L256" t="s">
        <v>6</v>
      </c>
      <c r="M256">
        <f t="shared" si="26"/>
        <v>7.8847726077031037</v>
      </c>
      <c r="N256" t="str">
        <f t="shared" si="27"/>
        <v/>
      </c>
      <c r="O256" s="67" cm="1">
        <f t="array" ref="O256">SUMPRODUCT((G256=$G$7:$G$10000)*(M256&lt;$M$7:$M$10000))+1</f>
        <v>26</v>
      </c>
      <c r="P256" s="72"/>
      <c r="Q256">
        <v>6</v>
      </c>
      <c r="R256" t="str">
        <v>LA</v>
      </c>
      <c r="S256" t="str">
        <v>Alessandro Heaney</v>
      </c>
      <c r="T256" t="str">
        <v>NULL</v>
      </c>
      <c r="U256" t="str">
        <v>Away</v>
      </c>
      <c r="V256" t="str">
        <v>NOLA</v>
      </c>
      <c r="W256">
        <v>2.7722712625119073</v>
      </c>
      <c r="Y256" s="1" cm="1">
        <f t="array" ref="Y256">COUNT(_xlfn._xlws.FILTER($G$7:$G$10000,($I$7:$I$10000=X256)*($J$7:$J$10000&lt;&gt;"NULL")*($G$7:$G$10000 &gt;= ($G$1-5))))/5</f>
        <v>0</v>
      </c>
    </row>
    <row r="257" spans="7:25" x14ac:dyDescent="0.35">
      <c r="G257" s="66">
        <v>4</v>
      </c>
      <c r="H257" t="s">
        <v>2</v>
      </c>
      <c r="I257" t="s">
        <v>174</v>
      </c>
      <c r="J257" t="s">
        <v>256</v>
      </c>
      <c r="K257" t="s">
        <v>9</v>
      </c>
      <c r="L257" t="s">
        <v>24</v>
      </c>
      <c r="M257">
        <f t="shared" si="26"/>
        <v>7.8566171384215773</v>
      </c>
      <c r="N257" t="str">
        <f t="shared" si="27"/>
        <v/>
      </c>
      <c r="O257" s="67" cm="1">
        <f t="array" ref="O257">SUMPRODUCT((G257=$G$7:$G$10000)*(M257&lt;$M$7:$M$10000))+1</f>
        <v>27</v>
      </c>
      <c r="P257" s="72"/>
      <c r="Q257">
        <v>6</v>
      </c>
      <c r="R257" t="str">
        <v>NEFJ</v>
      </c>
      <c r="S257" t="str">
        <v>Malakai Hala-Ngatai</v>
      </c>
      <c r="T257" t="str">
        <v>NULL</v>
      </c>
      <c r="U257" t="str">
        <v>Away</v>
      </c>
      <c r="V257" t="str">
        <v>OGDC</v>
      </c>
      <c r="W257">
        <v>2.6650959949624644</v>
      </c>
      <c r="Y257" s="1" cm="1">
        <f t="array" ref="Y257">COUNT(_xlfn._xlws.FILTER($G$7:$G$10000,($I$7:$I$10000=X257)*($J$7:$J$10000&lt;&gt;"NULL")*($G$7:$G$10000 &gt;= ($G$1-5))))/5</f>
        <v>0</v>
      </c>
    </row>
    <row r="258" spans="7:25" x14ac:dyDescent="0.35">
      <c r="G258" s="66">
        <v>4</v>
      </c>
      <c r="H258" t="s">
        <v>23</v>
      </c>
      <c r="I258" t="s">
        <v>221</v>
      </c>
      <c r="J258" t="s">
        <v>256</v>
      </c>
      <c r="K258" t="s">
        <v>9</v>
      </c>
      <c r="L258" t="s">
        <v>17</v>
      </c>
      <c r="M258">
        <f t="shared" si="26"/>
        <v>7.5297536842942598</v>
      </c>
      <c r="N258" t="str">
        <f t="shared" si="27"/>
        <v/>
      </c>
      <c r="O258" s="67" cm="1">
        <f t="array" ref="O258">SUMPRODUCT((G258=$G$7:$G$10000)*(M258&lt;$M$7:$M$10000))+1</f>
        <v>28</v>
      </c>
      <c r="P258" s="72"/>
      <c r="Q258">
        <v>6</v>
      </c>
      <c r="R258" t="str">
        <v>ARC</v>
      </c>
      <c r="S258" t="str">
        <v>Shawn Clark</v>
      </c>
      <c r="T258" t="str">
        <v>NULL</v>
      </c>
      <c r="U258" t="str">
        <v>Home</v>
      </c>
      <c r="V258" t="str">
        <v>HOU</v>
      </c>
      <c r="W258">
        <v>2.6134997031174141</v>
      </c>
      <c r="Y258" s="1" cm="1">
        <f t="array" ref="Y258">COUNT(_xlfn._xlws.FILTER($G$7:$G$10000,($I$7:$I$10000=X258)*($J$7:$J$10000&lt;&gt;"NULL")*($G$7:$G$10000 &gt;= ($G$1-5))))/5</f>
        <v>0</v>
      </c>
    </row>
    <row r="259" spans="7:25" x14ac:dyDescent="0.35">
      <c r="G259" s="66">
        <v>4</v>
      </c>
      <c r="H259" t="s">
        <v>23</v>
      </c>
      <c r="I259" t="s">
        <v>144</v>
      </c>
      <c r="J259" t="s">
        <v>256</v>
      </c>
      <c r="K259" t="s">
        <v>9</v>
      </c>
      <c r="L259" t="s">
        <v>17</v>
      </c>
      <c r="M259">
        <f t="shared" si="26"/>
        <v>7.4151195729880683</v>
      </c>
      <c r="N259" t="str">
        <f t="shared" si="27"/>
        <v/>
      </c>
      <c r="O259" s="67" cm="1">
        <f t="array" ref="O259">SUMPRODUCT((G259=$G$7:$G$10000)*(M259&lt;$M$7:$M$10000))+1</f>
        <v>29</v>
      </c>
      <c r="P259" s="72"/>
      <c r="Q259">
        <v>6</v>
      </c>
      <c r="R259" t="str">
        <v>ARC</v>
      </c>
      <c r="S259" t="str">
        <v>Joe Apikotoa</v>
      </c>
      <c r="T259" t="str">
        <v>NULL</v>
      </c>
      <c r="U259" t="str">
        <v>Home</v>
      </c>
      <c r="V259" t="str">
        <v>HOU</v>
      </c>
      <c r="W259">
        <v>2.5967564126532015</v>
      </c>
      <c r="Y259" s="1" cm="1">
        <f t="array" ref="Y259">COUNT(_xlfn._xlws.FILTER($G$7:$G$10000,($I$7:$I$10000=X259)*($J$7:$J$10000&lt;&gt;"NULL")*($G$7:$G$10000 &gt;= ($G$1-5))))/5</f>
        <v>0</v>
      </c>
    </row>
    <row r="260" spans="7:25" x14ac:dyDescent="0.35">
      <c r="G260" s="66">
        <v>4</v>
      </c>
      <c r="H260" t="s">
        <v>24</v>
      </c>
      <c r="I260" t="s">
        <v>419</v>
      </c>
      <c r="J260" t="s">
        <v>256</v>
      </c>
      <c r="K260" t="s">
        <v>3</v>
      </c>
      <c r="L260" t="s">
        <v>2</v>
      </c>
      <c r="M260">
        <f t="shared" si="26"/>
        <v>7.3014066484317679</v>
      </c>
      <c r="N260" t="str">
        <f t="shared" si="27"/>
        <v/>
      </c>
      <c r="O260" s="67" cm="1">
        <f t="array" ref="O260">SUMPRODUCT((G260=$G$7:$G$10000)*(M260&lt;$M$7:$M$10000))+1</f>
        <v>30</v>
      </c>
      <c r="P260" s="72"/>
      <c r="Q260">
        <v>6</v>
      </c>
      <c r="R260" t="str">
        <v>ARC</v>
      </c>
      <c r="S260" t="str">
        <v>Albert O'Shannessey</v>
      </c>
      <c r="T260" t="str">
        <v>NULL</v>
      </c>
      <c r="U260" t="str">
        <v>Home</v>
      </c>
      <c r="V260" t="str">
        <v>HOU</v>
      </c>
      <c r="W260">
        <v>2.4688854265279616</v>
      </c>
      <c r="Y260" s="1" cm="1">
        <f t="array" ref="Y260">COUNT(_xlfn._xlws.FILTER($G$7:$G$10000,($I$7:$I$10000=X260)*($J$7:$J$10000&lt;&gt;"NULL")*($G$7:$G$10000 &gt;= ($G$1-5))))/5</f>
        <v>0</v>
      </c>
    </row>
    <row r="261" spans="7:25" x14ac:dyDescent="0.35">
      <c r="G261" s="66">
        <v>4</v>
      </c>
      <c r="H261" t="s">
        <v>34</v>
      </c>
      <c r="I261" t="s">
        <v>227</v>
      </c>
      <c r="J261" t="s">
        <v>256</v>
      </c>
      <c r="K261" t="s">
        <v>3</v>
      </c>
      <c r="L261" t="s">
        <v>6</v>
      </c>
      <c r="M261">
        <f t="shared" si="26"/>
        <v>7.2277010673101092</v>
      </c>
      <c r="N261" t="str">
        <f t="shared" si="27"/>
        <v/>
      </c>
      <c r="O261" s="67" cm="1">
        <f t="array" ref="O261">SUMPRODUCT((G261=$G$7:$G$10000)*(M261&lt;$M$7:$M$10000))+1</f>
        <v>31</v>
      </c>
      <c r="P261" s="72"/>
      <c r="Q261">
        <v>6</v>
      </c>
      <c r="R261" t="str">
        <v>NEFJ</v>
      </c>
      <c r="S261" t="str">
        <v>Wian Conradie</v>
      </c>
      <c r="T261" t="str">
        <v>NULL</v>
      </c>
      <c r="U261" t="str">
        <v>Away</v>
      </c>
      <c r="V261" t="str">
        <v>OGDC</v>
      </c>
      <c r="W261">
        <v>2.4259851420983702</v>
      </c>
      <c r="Y261" s="1" cm="1">
        <f t="array" ref="Y261">COUNT(_xlfn._xlws.FILTER($G$7:$G$10000,($I$7:$I$10000=X261)*($J$7:$J$10000&lt;&gt;"NULL")*($G$7:$G$10000 &gt;= ($G$1-5))))/5</f>
        <v>0</v>
      </c>
    </row>
    <row r="262" spans="7:25" x14ac:dyDescent="0.35">
      <c r="G262" s="66">
        <v>4</v>
      </c>
      <c r="H262" t="s">
        <v>23</v>
      </c>
      <c r="I262" t="s">
        <v>421</v>
      </c>
      <c r="J262" t="s">
        <v>256</v>
      </c>
      <c r="K262" t="s">
        <v>9</v>
      </c>
      <c r="L262" t="s">
        <v>17</v>
      </c>
      <c r="M262">
        <f t="shared" si="26"/>
        <v>7.1433412183970919</v>
      </c>
      <c r="N262" t="str">
        <f t="shared" si="27"/>
        <v/>
      </c>
      <c r="O262" s="67" cm="1">
        <f t="array" ref="O262">SUMPRODUCT((G262=$G$7:$G$10000)*(M262&lt;$M$7:$M$10000))+1</f>
        <v>32</v>
      </c>
      <c r="P262" s="72"/>
      <c r="Q262">
        <v>6</v>
      </c>
      <c r="R262" t="str">
        <v>SDL</v>
      </c>
      <c r="S262" t="str">
        <v>Brandon Harvey</v>
      </c>
      <c r="T262" t="str">
        <v>NULL</v>
      </c>
      <c r="U262" t="str">
        <v>Home</v>
      </c>
      <c r="V262" t="str">
        <v>MIA</v>
      </c>
      <c r="W262">
        <v>2.4075747931575799</v>
      </c>
      <c r="Y262" s="1" cm="1">
        <f t="array" ref="Y262">COUNT(_xlfn._xlws.FILTER($G$7:$G$10000,($I$7:$I$10000=X262)*($J$7:$J$10000&lt;&gt;"NULL")*($G$7:$G$10000 &gt;= ($G$1-5))))/5</f>
        <v>0</v>
      </c>
    </row>
    <row r="263" spans="7:25" x14ac:dyDescent="0.35">
      <c r="G263" s="66">
        <v>4</v>
      </c>
      <c r="H263" t="s">
        <v>24</v>
      </c>
      <c r="I263" t="s">
        <v>465</v>
      </c>
      <c r="J263" t="s">
        <v>256</v>
      </c>
      <c r="K263" t="s">
        <v>3</v>
      </c>
      <c r="L263" t="s">
        <v>2</v>
      </c>
      <c r="M263">
        <f t="shared" si="26"/>
        <v>7.0657206445851628</v>
      </c>
      <c r="N263" t="str">
        <f t="shared" si="27"/>
        <v/>
      </c>
      <c r="O263" s="67" cm="1">
        <f t="array" ref="O263">SUMPRODUCT((G263=$G$7:$G$10000)*(M263&lt;$M$7:$M$10000))+1</f>
        <v>33</v>
      </c>
      <c r="P263" s="72"/>
      <c r="Q263">
        <v>6</v>
      </c>
      <c r="R263" t="str">
        <v>HOU</v>
      </c>
      <c r="S263" t="str">
        <v>Johan Momsen</v>
      </c>
      <c r="T263" t="str">
        <v>NULL</v>
      </c>
      <c r="U263" t="str">
        <v>Away</v>
      </c>
      <c r="V263" t="str">
        <v>ARC</v>
      </c>
      <c r="W263">
        <v>2.2575816525938284</v>
      </c>
      <c r="Y263" s="1" cm="1">
        <f t="array" ref="Y263">COUNT(_xlfn._xlws.FILTER($G$7:$G$10000,($I$7:$I$10000=X263)*($J$7:$J$10000&lt;&gt;"NULL")*($G$7:$G$10000 &gt;= ($G$1-5))))/5</f>
        <v>0</v>
      </c>
    </row>
    <row r="264" spans="7:25" x14ac:dyDescent="0.35">
      <c r="G264" s="66">
        <v>4</v>
      </c>
      <c r="H264" t="s">
        <v>17</v>
      </c>
      <c r="I264" t="s">
        <v>427</v>
      </c>
      <c r="J264" t="s">
        <v>256</v>
      </c>
      <c r="K264" t="s">
        <v>3</v>
      </c>
      <c r="L264" t="s">
        <v>23</v>
      </c>
      <c r="M264">
        <f t="shared" si="26"/>
        <v>6.9404429210059657</v>
      </c>
      <c r="N264" t="str">
        <f t="shared" si="27"/>
        <v/>
      </c>
      <c r="O264" s="67" cm="1">
        <f t="array" ref="O264">SUMPRODUCT((G264=$G$7:$G$10000)*(M264&lt;$M$7:$M$10000))+1</f>
        <v>34</v>
      </c>
      <c r="P264" s="72"/>
      <c r="Q264">
        <v>6</v>
      </c>
      <c r="R264" t="str">
        <v>SEA</v>
      </c>
      <c r="S264" t="str">
        <v>Cameron Orr</v>
      </c>
      <c r="T264" t="str">
        <v>NULL</v>
      </c>
      <c r="U264" t="str">
        <v>Home</v>
      </c>
      <c r="V264" t="str">
        <v>UTAH</v>
      </c>
      <c r="W264">
        <v>2.1252254099540071</v>
      </c>
      <c r="Y264" s="1" cm="1">
        <f t="array" ref="Y264">COUNT(_xlfn._xlws.FILTER($G$7:$G$10000,($I$7:$I$10000=X264)*($J$7:$J$10000&lt;&gt;"NULL")*($G$7:$G$10000 &gt;= ($G$1-5))))/5</f>
        <v>0</v>
      </c>
    </row>
    <row r="265" spans="7:25" x14ac:dyDescent="0.35">
      <c r="G265" s="66">
        <v>4</v>
      </c>
      <c r="H265" t="s">
        <v>13</v>
      </c>
      <c r="I265" t="s">
        <v>464</v>
      </c>
      <c r="J265" t="s">
        <v>256</v>
      </c>
      <c r="K265" t="s">
        <v>3</v>
      </c>
      <c r="L265" t="s">
        <v>36</v>
      </c>
      <c r="M265">
        <f t="shared" si="26"/>
        <v>6.9084474597940693</v>
      </c>
      <c r="N265" t="str">
        <f t="shared" si="27"/>
        <v/>
      </c>
      <c r="O265" s="67" cm="1">
        <f t="array" ref="O265">SUMPRODUCT((G265=$G$7:$G$10000)*(M265&lt;$M$7:$M$10000))+1</f>
        <v>35</v>
      </c>
      <c r="P265" s="72"/>
      <c r="Q265">
        <v>6</v>
      </c>
      <c r="R265" t="str">
        <v>LA</v>
      </c>
      <c r="S265" t="str">
        <v>Reegan O'Gorman</v>
      </c>
      <c r="T265" t="str">
        <v>NULL</v>
      </c>
      <c r="U265" t="str">
        <v>Away</v>
      </c>
      <c r="V265" t="str">
        <v>NOLA</v>
      </c>
      <c r="W265">
        <v>2.0002144269272417</v>
      </c>
      <c r="Y265" s="1" cm="1">
        <f t="array" ref="Y265">COUNT(_xlfn._xlws.FILTER($G$7:$G$10000,($I$7:$I$10000=X265)*($J$7:$J$10000&lt;&gt;"NULL")*($G$7:$G$10000 &gt;= ($G$1-5))))/5</f>
        <v>0</v>
      </c>
    </row>
    <row r="266" spans="7:25" x14ac:dyDescent="0.35">
      <c r="G266" s="66">
        <v>4</v>
      </c>
      <c r="H266" t="s">
        <v>7</v>
      </c>
      <c r="I266" t="s">
        <v>207</v>
      </c>
      <c r="J266" t="s">
        <v>256</v>
      </c>
      <c r="K266" t="s">
        <v>3</v>
      </c>
      <c r="L266" t="s">
        <v>14</v>
      </c>
      <c r="M266">
        <f t="shared" si="26"/>
        <v>6.720925704579531</v>
      </c>
      <c r="N266" t="str">
        <f t="shared" si="27"/>
        <v/>
      </c>
      <c r="O266" s="67" cm="1">
        <f t="array" ref="O266">SUMPRODUCT((G266=$G$7:$G$10000)*(M266&lt;$M$7:$M$10000))+1</f>
        <v>36</v>
      </c>
      <c r="P266" s="72"/>
      <c r="Q266">
        <v>6</v>
      </c>
      <c r="R266" t="str">
        <v>HOU</v>
      </c>
      <c r="S266" t="str">
        <v>Nathan Den Hoedt</v>
      </c>
      <c r="T266" t="str">
        <v>NULL</v>
      </c>
      <c r="U266" t="str">
        <v>Away</v>
      </c>
      <c r="V266" t="str">
        <v>ARC</v>
      </c>
      <c r="W266">
        <v>1.926795323535214</v>
      </c>
      <c r="Y266" s="1" cm="1">
        <f t="array" ref="Y266">COUNT(_xlfn._xlws.FILTER($G$7:$G$10000,($I$7:$I$10000=X266)*($J$7:$J$10000&lt;&gt;"NULL")*($G$7:$G$10000 &gt;= ($G$1-5))))/5</f>
        <v>0</v>
      </c>
    </row>
    <row r="267" spans="7:25" x14ac:dyDescent="0.35">
      <c r="G267" s="66">
        <v>4</v>
      </c>
      <c r="H267" t="s">
        <v>13</v>
      </c>
      <c r="I267" t="s">
        <v>103</v>
      </c>
      <c r="J267" t="s">
        <v>256</v>
      </c>
      <c r="K267" t="s">
        <v>3</v>
      </c>
      <c r="L267" t="s">
        <v>36</v>
      </c>
      <c r="M267">
        <f t="shared" si="26"/>
        <v>6.5048695577386173</v>
      </c>
      <c r="N267" t="str">
        <f t="shared" si="27"/>
        <v/>
      </c>
      <c r="O267" s="67" cm="1">
        <f t="array" ref="O267">SUMPRODUCT((G267=$G$7:$G$10000)*(M267&lt;$M$7:$M$10000))+1</f>
        <v>37</v>
      </c>
      <c r="P267" s="72"/>
      <c r="Q267">
        <v>6</v>
      </c>
      <c r="R267" t="str">
        <v>SEA</v>
      </c>
      <c r="S267" t="str">
        <v>Rhyno Herbst</v>
      </c>
      <c r="T267" t="str">
        <v>NULL</v>
      </c>
      <c r="U267" t="str">
        <v>Home</v>
      </c>
      <c r="V267" t="str">
        <v>UTAH</v>
      </c>
      <c r="W267">
        <v>1.7561537170053874</v>
      </c>
      <c r="Y267" s="1" cm="1">
        <f t="array" ref="Y267">COUNT(_xlfn._xlws.FILTER($G$7:$G$10000,($I$7:$I$10000=X267)*($J$7:$J$10000&lt;&gt;"NULL")*($G$7:$G$10000 &gt;= ($G$1-5))))/5</f>
        <v>0</v>
      </c>
    </row>
    <row r="268" spans="7:25" x14ac:dyDescent="0.35">
      <c r="G268" s="66">
        <v>4</v>
      </c>
      <c r="H268" t="s">
        <v>23</v>
      </c>
      <c r="I268" t="s">
        <v>431</v>
      </c>
      <c r="J268" t="s">
        <v>256</v>
      </c>
      <c r="K268" t="s">
        <v>9</v>
      </c>
      <c r="L268" t="s">
        <v>17</v>
      </c>
      <c r="M268">
        <f t="shared" si="26"/>
        <v>6.4685181429525507</v>
      </c>
      <c r="N268" t="str">
        <f t="shared" si="27"/>
        <v/>
      </c>
      <c r="O268" s="67" cm="1">
        <f t="array" ref="O268">SUMPRODUCT((G268=$G$7:$G$10000)*(M268&lt;$M$7:$M$10000))+1</f>
        <v>38</v>
      </c>
      <c r="P268" s="72"/>
      <c r="Q268">
        <v>6</v>
      </c>
      <c r="R268" t="str">
        <v>HOU</v>
      </c>
      <c r="S268" t="str">
        <v>Marno Redelinghuys</v>
      </c>
      <c r="T268" t="str">
        <v>NULL</v>
      </c>
      <c r="U268" t="str">
        <v>Away</v>
      </c>
      <c r="V268" t="str">
        <v>ARC</v>
      </c>
      <c r="W268">
        <v>1.7042535124414746</v>
      </c>
      <c r="Y268" s="1" cm="1">
        <f t="array" ref="Y268">COUNT(_xlfn._xlws.FILTER($G$7:$G$10000,($I$7:$I$10000=X268)*($J$7:$J$10000&lt;&gt;"NULL")*($G$7:$G$10000 &gt;= ($G$1-5))))/5</f>
        <v>0</v>
      </c>
    </row>
    <row r="269" spans="7:25" x14ac:dyDescent="0.35">
      <c r="G269" s="66">
        <v>4</v>
      </c>
      <c r="H269" t="s">
        <v>23</v>
      </c>
      <c r="I269" t="s">
        <v>412</v>
      </c>
      <c r="J269" t="s">
        <v>256</v>
      </c>
      <c r="K269" t="s">
        <v>9</v>
      </c>
      <c r="L269" t="s">
        <v>17</v>
      </c>
      <c r="M269">
        <f t="shared" si="26"/>
        <v>6.1930771730437737</v>
      </c>
      <c r="N269" t="str">
        <f t="shared" si="27"/>
        <v/>
      </c>
      <c r="O269" s="67" cm="1">
        <f t="array" ref="O269">SUMPRODUCT((G269=$G$7:$G$10000)*(M269&lt;$M$7:$M$10000))+1</f>
        <v>39</v>
      </c>
      <c r="P269" s="72"/>
      <c r="Q269">
        <v>6</v>
      </c>
      <c r="R269" t="str">
        <v>OGDC</v>
      </c>
      <c r="S269" t="str">
        <v>Facundo Gattas</v>
      </c>
      <c r="T269" t="str">
        <v>NULL</v>
      </c>
      <c r="U269" t="str">
        <v>Home</v>
      </c>
      <c r="V269" t="str">
        <v>NEFJ</v>
      </c>
      <c r="W269">
        <v>1.6054906976034444</v>
      </c>
      <c r="Y269" s="1" cm="1">
        <f t="array" ref="Y269">COUNT(_xlfn._xlws.FILTER($G$7:$G$10000,($I$7:$I$10000=X269)*($J$7:$J$10000&lt;&gt;"NULL")*($G$7:$G$10000 &gt;= ($G$1-5))))/5</f>
        <v>0</v>
      </c>
    </row>
    <row r="270" spans="7:25" x14ac:dyDescent="0.35">
      <c r="G270" s="66">
        <v>4</v>
      </c>
      <c r="H270" t="s">
        <v>14</v>
      </c>
      <c r="I270" t="s">
        <v>396</v>
      </c>
      <c r="J270" t="s">
        <v>256</v>
      </c>
      <c r="K270" t="s">
        <v>9</v>
      </c>
      <c r="L270" t="s">
        <v>7</v>
      </c>
      <c r="M270">
        <f t="shared" si="26"/>
        <v>6.1656596377725625</v>
      </c>
      <c r="N270" t="str">
        <f t="shared" si="27"/>
        <v/>
      </c>
      <c r="O270" s="67" cm="1">
        <f t="array" ref="O270">SUMPRODUCT((G270=$G$7:$G$10000)*(M270&lt;$M$7:$M$10000))+1</f>
        <v>40</v>
      </c>
      <c r="P270" s="72"/>
      <c r="Q270">
        <v>6</v>
      </c>
      <c r="R270" t="str">
        <v>OGDC</v>
      </c>
      <c r="S270" t="str">
        <v>Jack Iscaro</v>
      </c>
      <c r="T270" t="str">
        <v>NULL</v>
      </c>
      <c r="U270" t="str">
        <v>Home</v>
      </c>
      <c r="V270" t="str">
        <v>NEFJ</v>
      </c>
      <c r="W270">
        <v>1.5529736679201442</v>
      </c>
      <c r="Y270" s="1" cm="1">
        <f t="array" ref="Y270">COUNT(_xlfn._xlws.FILTER($G$7:$G$10000,($I$7:$I$10000=X270)*($J$7:$J$10000&lt;&gt;"NULL")*($G$7:$G$10000 &gt;= ($G$1-5))))/5</f>
        <v>0</v>
      </c>
    </row>
    <row r="271" spans="7:25" x14ac:dyDescent="0.35">
      <c r="G271" s="66">
        <v>4</v>
      </c>
      <c r="H271" t="s">
        <v>24</v>
      </c>
      <c r="I271" t="s">
        <v>422</v>
      </c>
      <c r="J271" t="s">
        <v>256</v>
      </c>
      <c r="K271" t="s">
        <v>3</v>
      </c>
      <c r="L271" t="s">
        <v>2</v>
      </c>
      <c r="M271">
        <f t="shared" si="26"/>
        <v>5.7959738388393323</v>
      </c>
      <c r="N271" t="str">
        <f t="shared" si="27"/>
        <v/>
      </c>
      <c r="O271" s="67" cm="1">
        <f t="array" ref="O271">SUMPRODUCT((G271=$G$7:$G$10000)*(M271&lt;$M$7:$M$10000))+1</f>
        <v>41</v>
      </c>
      <c r="P271" s="72"/>
      <c r="Q271">
        <v>6</v>
      </c>
      <c r="R271" t="str">
        <v>SEA</v>
      </c>
      <c r="S271" t="str">
        <v>Siaosi Mahoni</v>
      </c>
      <c r="T271" t="str">
        <v>NULL</v>
      </c>
      <c r="U271" t="str">
        <v>Home</v>
      </c>
      <c r="V271" t="str">
        <v>UTAH</v>
      </c>
      <c r="W271">
        <v>1.4853921049721079</v>
      </c>
      <c r="Y271" s="1" cm="1">
        <f t="array" ref="Y271">COUNT(_xlfn._xlws.FILTER($G$7:$G$10000,($I$7:$I$10000=X271)*($J$7:$J$10000&lt;&gt;"NULL")*($G$7:$G$10000 &gt;= ($G$1-5))))/5</f>
        <v>0</v>
      </c>
    </row>
    <row r="272" spans="7:25" x14ac:dyDescent="0.35">
      <c r="G272" s="66">
        <v>4</v>
      </c>
      <c r="H272" t="s">
        <v>6</v>
      </c>
      <c r="I272" t="s">
        <v>417</v>
      </c>
      <c r="J272" t="s">
        <v>256</v>
      </c>
      <c r="K272" t="s">
        <v>9</v>
      </c>
      <c r="L272" t="s">
        <v>34</v>
      </c>
      <c r="M272">
        <f t="shared" si="26"/>
        <v>5.2284520111811741</v>
      </c>
      <c r="N272" t="str">
        <f t="shared" si="27"/>
        <v/>
      </c>
      <c r="O272" s="67" cm="1">
        <f t="array" ref="O272">SUMPRODUCT((G272=$G$7:$G$10000)*(M272&lt;$M$7:$M$10000))+1</f>
        <v>42</v>
      </c>
      <c r="P272" s="72"/>
      <c r="Q272">
        <v>6</v>
      </c>
      <c r="R272" t="str">
        <v>LA</v>
      </c>
      <c r="S272" t="str">
        <v>Cronan Gleeson</v>
      </c>
      <c r="T272" t="str">
        <v>NULL</v>
      </c>
      <c r="U272" t="str">
        <v>Away</v>
      </c>
      <c r="V272" t="str">
        <v>NOLA</v>
      </c>
      <c r="W272">
        <v>1.3248483601812753</v>
      </c>
      <c r="Y272" s="1" cm="1">
        <f t="array" ref="Y272">COUNT(_xlfn._xlws.FILTER($G$7:$G$10000,($I$7:$I$10000=X272)*($J$7:$J$10000&lt;&gt;"NULL")*($G$7:$G$10000 &gt;= ($G$1-5))))/5</f>
        <v>0</v>
      </c>
    </row>
    <row r="273" spans="7:25" x14ac:dyDescent="0.35">
      <c r="G273" s="66">
        <v>4</v>
      </c>
      <c r="H273" t="s">
        <v>34</v>
      </c>
      <c r="I273" t="s">
        <v>436</v>
      </c>
      <c r="J273" t="s">
        <v>256</v>
      </c>
      <c r="K273" t="s">
        <v>3</v>
      </c>
      <c r="L273" t="s">
        <v>6</v>
      </c>
      <c r="M273">
        <f t="shared" si="26"/>
        <v>5.1704207724052944</v>
      </c>
      <c r="N273" t="str">
        <f t="shared" si="27"/>
        <v/>
      </c>
      <c r="O273" s="67" cm="1">
        <f t="array" ref="O273">SUMPRODUCT((G273=$G$7:$G$10000)*(M273&lt;$M$7:$M$10000))+1</f>
        <v>43</v>
      </c>
      <c r="P273" s="72"/>
      <c r="Q273">
        <v>6</v>
      </c>
      <c r="R273" t="str">
        <v>OGDC</v>
      </c>
      <c r="S273" t="str">
        <v>Lautaro Bavaro</v>
      </c>
      <c r="T273" t="str">
        <v>NULL</v>
      </c>
      <c r="U273" t="str">
        <v>Home</v>
      </c>
      <c r="V273" t="str">
        <v>NEFJ</v>
      </c>
      <c r="W273">
        <v>1.2368420520570886</v>
      </c>
      <c r="Y273" s="1" cm="1">
        <f t="array" ref="Y273">COUNT(_xlfn._xlws.FILTER($G$7:$G$10000,($I$7:$I$10000=X273)*($J$7:$J$10000&lt;&gt;"NULL")*($G$7:$G$10000 &gt;= ($G$1-5))))/5</f>
        <v>0</v>
      </c>
    </row>
    <row r="274" spans="7:25" x14ac:dyDescent="0.35">
      <c r="G274" s="66">
        <v>4</v>
      </c>
      <c r="H274" t="s">
        <v>13</v>
      </c>
      <c r="I274" t="s">
        <v>120</v>
      </c>
      <c r="J274" t="s">
        <v>256</v>
      </c>
      <c r="K274" t="s">
        <v>3</v>
      </c>
      <c r="L274" t="s">
        <v>36</v>
      </c>
      <c r="M274">
        <f t="shared" si="26"/>
        <v>5.0550069520834997</v>
      </c>
      <c r="N274" t="str">
        <f t="shared" si="27"/>
        <v/>
      </c>
      <c r="O274" s="67" cm="1">
        <f t="array" ref="O274">SUMPRODUCT((G274=$G$7:$G$10000)*(M274&lt;$M$7:$M$10000))+1</f>
        <v>44</v>
      </c>
      <c r="P274" s="72"/>
      <c r="Q274">
        <v>6</v>
      </c>
      <c r="R274" t="str">
        <v>OGDC</v>
      </c>
      <c r="S274" t="str">
        <v>Rob Harley</v>
      </c>
      <c r="T274" t="str">
        <v>NULL</v>
      </c>
      <c r="U274" t="str">
        <v>Home</v>
      </c>
      <c r="V274" t="str">
        <v>NEFJ</v>
      </c>
      <c r="W274">
        <v>1.0787343779833991</v>
      </c>
      <c r="Y274" s="1" cm="1">
        <f t="array" ref="Y274">COUNT(_xlfn._xlws.FILTER($G$7:$G$10000,($I$7:$I$10000=X274)*($J$7:$J$10000&lt;&gt;"NULL")*($G$7:$G$10000 &gt;= ($G$1-5))))/5</f>
        <v>0</v>
      </c>
    </row>
    <row r="275" spans="7:25" x14ac:dyDescent="0.35">
      <c r="G275" s="66">
        <v>4</v>
      </c>
      <c r="H275" t="s">
        <v>24</v>
      </c>
      <c r="I275" t="s">
        <v>217</v>
      </c>
      <c r="J275" t="s">
        <v>256</v>
      </c>
      <c r="K275" t="s">
        <v>3</v>
      </c>
      <c r="L275" t="s">
        <v>2</v>
      </c>
      <c r="M275">
        <f t="shared" si="26"/>
        <v>5.0533597859071868</v>
      </c>
      <c r="N275" t="str">
        <f t="shared" si="27"/>
        <v/>
      </c>
      <c r="O275" s="67" cm="1">
        <f t="array" ref="O275">SUMPRODUCT((G275=$G$7:$G$10000)*(M275&lt;$M$7:$M$10000))+1</f>
        <v>45</v>
      </c>
      <c r="P275" s="72"/>
      <c r="Q275">
        <v>6</v>
      </c>
      <c r="R275" t="str">
        <v>UTAH</v>
      </c>
      <c r="S275" t="str">
        <v>Tonga Kofe</v>
      </c>
      <c r="T275" t="str">
        <v>NULL</v>
      </c>
      <c r="U275" t="str">
        <v>Away</v>
      </c>
      <c r="V275" t="str">
        <v>SEA</v>
      </c>
      <c r="W275">
        <v>0.95943784734838289</v>
      </c>
      <c r="Y275" s="1" cm="1">
        <f t="array" ref="Y275">COUNT(_xlfn._xlws.FILTER($G$7:$G$10000,($I$7:$I$10000=X275)*($J$7:$J$10000&lt;&gt;"NULL")*($G$7:$G$10000 &gt;= ($G$1-5))))/5</f>
        <v>0</v>
      </c>
    </row>
    <row r="276" spans="7:25" x14ac:dyDescent="0.35">
      <c r="G276" s="66">
        <v>4</v>
      </c>
      <c r="H276" t="s">
        <v>14</v>
      </c>
      <c r="I276" t="s">
        <v>248</v>
      </c>
      <c r="J276" t="s">
        <v>256</v>
      </c>
      <c r="K276" t="s">
        <v>9</v>
      </c>
      <c r="L276" t="s">
        <v>7</v>
      </c>
      <c r="M276">
        <f t="shared" si="26"/>
        <v>5.0367134320034941</v>
      </c>
      <c r="N276" t="str">
        <f t="shared" si="27"/>
        <v/>
      </c>
      <c r="O276" s="67" cm="1">
        <f t="array" ref="O276">SUMPRODUCT((G276=$G$7:$G$10000)*(M276&lt;$M$7:$M$10000))+1</f>
        <v>46</v>
      </c>
      <c r="P276" s="72"/>
      <c r="Q276">
        <v>6</v>
      </c>
      <c r="R276" t="str">
        <v>OGDC</v>
      </c>
      <c r="S276" t="str">
        <v>Cali Martinez</v>
      </c>
      <c r="T276" t="str">
        <v>NULL</v>
      </c>
      <c r="U276" t="str">
        <v>Home</v>
      </c>
      <c r="V276" t="str">
        <v>NEFJ</v>
      </c>
      <c r="W276">
        <v>0.87879396767741547</v>
      </c>
      <c r="Y276" s="1" cm="1">
        <f t="array" ref="Y276">COUNT(_xlfn._xlws.FILTER($G$7:$G$10000,($I$7:$I$10000=X276)*($J$7:$J$10000&lt;&gt;"NULL")*($G$7:$G$10000 &gt;= ($G$1-5))))/5</f>
        <v>0</v>
      </c>
    </row>
    <row r="277" spans="7:25" x14ac:dyDescent="0.35">
      <c r="G277" s="66">
        <v>4</v>
      </c>
      <c r="H277" t="s">
        <v>34</v>
      </c>
      <c r="I277" t="s">
        <v>177</v>
      </c>
      <c r="J277" t="s">
        <v>256</v>
      </c>
      <c r="K277" t="s">
        <v>3</v>
      </c>
      <c r="L277" t="s">
        <v>6</v>
      </c>
      <c r="M277">
        <f t="shared" si="26"/>
        <v>4.9490162902902712</v>
      </c>
      <c r="N277" t="str">
        <f t="shared" si="27"/>
        <v/>
      </c>
      <c r="O277" s="67" cm="1">
        <f t="array" ref="O277">SUMPRODUCT((G277=$G$7:$G$10000)*(M277&lt;$M$7:$M$10000))+1</f>
        <v>47</v>
      </c>
      <c r="P277" s="72"/>
      <c r="Q277">
        <v>6</v>
      </c>
      <c r="R277" t="str">
        <v>HOU</v>
      </c>
      <c r="S277" t="str">
        <v>Pono Davis</v>
      </c>
      <c r="T277" t="str">
        <v>NULL</v>
      </c>
      <c r="U277" t="str">
        <v>Away</v>
      </c>
      <c r="V277" t="str">
        <v>ARC</v>
      </c>
      <c r="W277">
        <v>0.55305910513135625</v>
      </c>
      <c r="Y277" s="1" cm="1">
        <f t="array" ref="Y277">COUNT(_xlfn._xlws.FILTER($G$7:$G$10000,($I$7:$I$10000=X277)*($J$7:$J$10000&lt;&gt;"NULL")*($G$7:$G$10000 &gt;= ($G$1-5))))/5</f>
        <v>0</v>
      </c>
    </row>
    <row r="278" spans="7:25" x14ac:dyDescent="0.35">
      <c r="G278" s="66">
        <v>4</v>
      </c>
      <c r="H278" t="s">
        <v>24</v>
      </c>
      <c r="I278" t="s">
        <v>411</v>
      </c>
      <c r="J278" t="s">
        <v>256</v>
      </c>
      <c r="K278" t="s">
        <v>3</v>
      </c>
      <c r="L278" t="s">
        <v>2</v>
      </c>
      <c r="M278">
        <f t="shared" si="26"/>
        <v>4.9063360634793369</v>
      </c>
      <c r="N278" t="str">
        <f t="shared" si="27"/>
        <v/>
      </c>
      <c r="O278" s="67" cm="1">
        <f t="array" ref="O278">SUMPRODUCT((G278=$G$7:$G$10000)*(M278&lt;$M$7:$M$10000))+1</f>
        <v>48</v>
      </c>
      <c r="P278" s="72"/>
      <c r="Q278">
        <v>6</v>
      </c>
      <c r="R278" t="str">
        <v>SEA</v>
      </c>
      <c r="S278" t="str">
        <v>Taylor Krumrei</v>
      </c>
      <c r="T278" t="str">
        <v>NULL</v>
      </c>
      <c r="U278" t="str">
        <v>Home</v>
      </c>
      <c r="V278" t="str">
        <v>UTAH</v>
      </c>
      <c r="W278">
        <v>0.52265715731319951</v>
      </c>
      <c r="Y278" s="1" cm="1">
        <f t="array" ref="Y278">COUNT(_xlfn._xlws.FILTER($G$7:$G$10000,($I$7:$I$10000=X278)*($J$7:$J$10000&lt;&gt;"NULL")*($G$7:$G$10000 &gt;= ($G$1-5))))/5</f>
        <v>0</v>
      </c>
    </row>
    <row r="279" spans="7:25" x14ac:dyDescent="0.35">
      <c r="G279" s="66">
        <v>4</v>
      </c>
      <c r="H279" t="s">
        <v>34</v>
      </c>
      <c r="I279" t="s">
        <v>153</v>
      </c>
      <c r="J279" t="s">
        <v>256</v>
      </c>
      <c r="K279" t="s">
        <v>3</v>
      </c>
      <c r="L279" t="s">
        <v>6</v>
      </c>
      <c r="M279">
        <f t="shared" si="26"/>
        <v>4.8486072969484599</v>
      </c>
      <c r="N279" t="str">
        <f t="shared" si="27"/>
        <v/>
      </c>
      <c r="O279" s="67" cm="1">
        <f t="array" ref="O279">SUMPRODUCT((G279=$G$7:$G$10000)*(M279&lt;$M$7:$M$10000))+1</f>
        <v>49</v>
      </c>
      <c r="P279" s="72"/>
      <c r="Q279">
        <v>6</v>
      </c>
      <c r="R279" t="str">
        <v>HOU</v>
      </c>
      <c r="S279" t="str">
        <v>Ronan Murphy</v>
      </c>
      <c r="T279" t="str">
        <v>NULL</v>
      </c>
      <c r="U279" t="str">
        <v>Away</v>
      </c>
      <c r="V279" t="str">
        <v>ARC</v>
      </c>
      <c r="W279">
        <v>0.50203125675708815</v>
      </c>
      <c r="Y279" s="1" cm="1">
        <f t="array" ref="Y279">COUNT(_xlfn._xlws.FILTER($G$7:$G$10000,($I$7:$I$10000=X279)*($J$7:$J$10000&lt;&gt;"NULL")*($G$7:$G$10000 &gt;= ($G$1-5))))/5</f>
        <v>0</v>
      </c>
    </row>
    <row r="280" spans="7:25" x14ac:dyDescent="0.35">
      <c r="G280" s="66">
        <v>4</v>
      </c>
      <c r="H280" t="s">
        <v>24</v>
      </c>
      <c r="I280" t="s">
        <v>168</v>
      </c>
      <c r="J280" t="s">
        <v>256</v>
      </c>
      <c r="K280" t="s">
        <v>3</v>
      </c>
      <c r="L280" t="s">
        <v>2</v>
      </c>
      <c r="M280">
        <f t="shared" si="26"/>
        <v>4.5789260252670205</v>
      </c>
      <c r="N280" t="str">
        <f t="shared" si="27"/>
        <v/>
      </c>
      <c r="O280" s="67" cm="1">
        <f t="array" ref="O280">SUMPRODUCT((G280=$G$7:$G$10000)*(M280&lt;$M$7:$M$10000))+1</f>
        <v>50</v>
      </c>
      <c r="P280" s="72"/>
      <c r="Q280">
        <v>6</v>
      </c>
      <c r="R280" t="str">
        <v>OGDC</v>
      </c>
      <c r="S280" t="str">
        <v>Tevita Naqali</v>
      </c>
      <c r="T280" t="str">
        <v>NULL</v>
      </c>
      <c r="U280" t="str">
        <v>Home</v>
      </c>
      <c r="V280" t="str">
        <v>NEFJ</v>
      </c>
      <c r="W280">
        <v>0.45254879614735355</v>
      </c>
      <c r="Y280" s="1" cm="1">
        <f t="array" ref="Y280">COUNT(_xlfn._xlws.FILTER($G$7:$G$10000,($I$7:$I$10000=X280)*($J$7:$J$10000&lt;&gt;"NULL")*($G$7:$G$10000 &gt;= ($G$1-5))))/5</f>
        <v>0</v>
      </c>
    </row>
    <row r="281" spans="7:25" x14ac:dyDescent="0.35">
      <c r="G281" s="66">
        <v>4</v>
      </c>
      <c r="H281" t="s">
        <v>13</v>
      </c>
      <c r="I281" t="s">
        <v>469</v>
      </c>
      <c r="J281" t="s">
        <v>256</v>
      </c>
      <c r="K281" t="s">
        <v>3</v>
      </c>
      <c r="L281" t="s">
        <v>36</v>
      </c>
      <c r="M281">
        <f t="shared" si="26"/>
        <v>4.5647070062919113</v>
      </c>
      <c r="N281" t="str">
        <f t="shared" si="27"/>
        <v/>
      </c>
      <c r="O281" s="67" cm="1">
        <f t="array" ref="O281">SUMPRODUCT((G281=$G$7:$G$10000)*(M281&lt;$M$7:$M$10000))+1</f>
        <v>51</v>
      </c>
      <c r="P281" s="72"/>
      <c r="Q281">
        <v>6</v>
      </c>
      <c r="R281" t="str">
        <v>HOU</v>
      </c>
      <c r="S281" t="str">
        <v>Seth Smith</v>
      </c>
      <c r="T281" t="str">
        <v>NULL</v>
      </c>
      <c r="U281" t="str">
        <v>Away</v>
      </c>
      <c r="V281" t="str">
        <v>ARC</v>
      </c>
      <c r="W281">
        <v>0.20902817743469182</v>
      </c>
      <c r="Y281" s="1" cm="1">
        <f t="array" ref="Y281">COUNT(_xlfn._xlws.FILTER($G$7:$G$10000,($I$7:$I$10000=X281)*($J$7:$J$10000&lt;&gt;"NULL")*($G$7:$G$10000 &gt;= ($G$1-5))))/5</f>
        <v>0</v>
      </c>
    </row>
    <row r="282" spans="7:25" x14ac:dyDescent="0.35">
      <c r="G282" s="66">
        <v>4</v>
      </c>
      <c r="H282" t="s">
        <v>6</v>
      </c>
      <c r="I282" t="s">
        <v>416</v>
      </c>
      <c r="J282" t="s">
        <v>256</v>
      </c>
      <c r="K282" t="s">
        <v>9</v>
      </c>
      <c r="L282" t="s">
        <v>34</v>
      </c>
      <c r="M282">
        <f t="shared" si="26"/>
        <v>4.5380503141039181</v>
      </c>
      <c r="N282" t="str">
        <f t="shared" si="27"/>
        <v/>
      </c>
      <c r="O282" s="67" cm="1">
        <f t="array" ref="O282">SUMPRODUCT((G282=$G$7:$G$10000)*(M282&lt;$M$7:$M$10000))+1</f>
        <v>52</v>
      </c>
      <c r="P282" s="72"/>
      <c r="Q282">
        <v>6</v>
      </c>
      <c r="R282" t="str">
        <v>HOU</v>
      </c>
      <c r="S282" t="str">
        <v>Val Lee-Lo</v>
      </c>
      <c r="T282" t="str">
        <v>NULL</v>
      </c>
      <c r="U282" t="str">
        <v>Away</v>
      </c>
      <c r="V282" t="str">
        <v>ARC</v>
      </c>
      <c r="W282">
        <v>-0.4173768490725136</v>
      </c>
      <c r="Y282" s="1" cm="1">
        <f t="array" ref="Y282">COUNT(_xlfn._xlws.FILTER($G$7:$G$10000,($I$7:$I$10000=X282)*($J$7:$J$10000&lt;&gt;"NULL")*($G$7:$G$10000 &gt;= ($G$1-5))))/5</f>
        <v>0</v>
      </c>
    </row>
    <row r="283" spans="7:25" x14ac:dyDescent="0.35">
      <c r="G283" s="66">
        <v>4</v>
      </c>
      <c r="H283" t="s">
        <v>17</v>
      </c>
      <c r="I283" t="s">
        <v>206</v>
      </c>
      <c r="J283" t="s">
        <v>256</v>
      </c>
      <c r="K283" t="s">
        <v>3</v>
      </c>
      <c r="L283" t="s">
        <v>23</v>
      </c>
      <c r="M283">
        <f t="shared" si="26"/>
        <v>4.2386583471174619</v>
      </c>
      <c r="N283" t="str">
        <f t="shared" si="27"/>
        <v/>
      </c>
      <c r="O283" s="67" cm="1">
        <f t="array" ref="O283">SUMPRODUCT((G283=$G$7:$G$10000)*(M283&lt;$M$7:$M$10000))+1</f>
        <v>53</v>
      </c>
      <c r="P283" s="72"/>
      <c r="Q283">
        <v>6</v>
      </c>
      <c r="R283" t="str">
        <v>SEA</v>
      </c>
      <c r="S283" t="str">
        <v>Juan Pablo Zeiss</v>
      </c>
      <c r="T283" t="str">
        <v>NULL</v>
      </c>
      <c r="U283" t="str">
        <v>Home</v>
      </c>
      <c r="V283" t="str">
        <v>UTAH</v>
      </c>
      <c r="W283">
        <v>-0.43343188236214569</v>
      </c>
      <c r="Y283" s="1" cm="1">
        <f t="array" ref="Y283">COUNT(_xlfn._xlws.FILTER($G$7:$G$10000,($I$7:$I$10000=X283)*($J$7:$J$10000&lt;&gt;"NULL")*($G$7:$G$10000 &gt;= ($G$1-5))))/5</f>
        <v>0</v>
      </c>
    </row>
    <row r="284" spans="7:25" x14ac:dyDescent="0.35">
      <c r="G284" s="66">
        <v>4</v>
      </c>
      <c r="H284" t="s">
        <v>7</v>
      </c>
      <c r="I284" t="s">
        <v>202</v>
      </c>
      <c r="J284" t="s">
        <v>256</v>
      </c>
      <c r="K284" t="s">
        <v>3</v>
      </c>
      <c r="L284" t="s">
        <v>14</v>
      </c>
      <c r="M284">
        <f t="shared" si="26"/>
        <v>4.1878177989211585</v>
      </c>
      <c r="N284" t="str">
        <f t="shared" si="27"/>
        <v/>
      </c>
      <c r="O284" s="67" cm="1">
        <f t="array" ref="O284">SUMPRODUCT((G284=$G$7:$G$10000)*(M284&lt;$M$7:$M$10000))+1</f>
        <v>54</v>
      </c>
      <c r="P284" s="72"/>
      <c r="Q284">
        <v>6</v>
      </c>
      <c r="R284" t="str">
        <v>SEA</v>
      </c>
      <c r="S284" t="str">
        <v>Malembe Mpofu</v>
      </c>
      <c r="T284" t="str">
        <v>NULL</v>
      </c>
      <c r="U284" t="str">
        <v>Home</v>
      </c>
      <c r="V284" t="str">
        <v>UTAH</v>
      </c>
      <c r="W284">
        <v>-1.0784857722066299</v>
      </c>
      <c r="Y284" s="1" cm="1">
        <f t="array" ref="Y284">COUNT(_xlfn._xlws.FILTER($G$7:$G$10000,($I$7:$I$10000=X284)*($J$7:$J$10000&lt;&gt;"NULL")*($G$7:$G$10000 &gt;= ($G$1-5))))/5</f>
        <v>0</v>
      </c>
    </row>
    <row r="285" spans="7:25" x14ac:dyDescent="0.35">
      <c r="G285" s="66">
        <v>4</v>
      </c>
      <c r="H285" t="s">
        <v>14</v>
      </c>
      <c r="I285" t="s">
        <v>203</v>
      </c>
      <c r="J285" t="s">
        <v>256</v>
      </c>
      <c r="K285" t="s">
        <v>9</v>
      </c>
      <c r="L285" t="s">
        <v>7</v>
      </c>
      <c r="M285">
        <f t="shared" si="26"/>
        <v>4.1823139662615514</v>
      </c>
      <c r="N285" t="str">
        <f t="shared" si="27"/>
        <v/>
      </c>
      <c r="O285" s="67" cm="1">
        <f t="array" ref="O285">SUMPRODUCT((G285=$G$7:$G$10000)*(M285&lt;$M$7:$M$10000))+1</f>
        <v>55</v>
      </c>
      <c r="P285" s="72"/>
      <c r="Q285">
        <v>6</v>
      </c>
      <c r="R285" t="str">
        <v>SEA</v>
      </c>
      <c r="S285" t="str">
        <v>Dewald Kotze</v>
      </c>
      <c r="T285" t="str">
        <v>NULL</v>
      </c>
      <c r="U285" t="str">
        <v>Home</v>
      </c>
      <c r="V285" t="str">
        <v>UTAH</v>
      </c>
      <c r="W285">
        <v>-2.2549281700637049</v>
      </c>
      <c r="Y285" s="1" cm="1">
        <f t="array" ref="Y285">COUNT(_xlfn._xlws.FILTER($G$7:$G$10000,($I$7:$I$10000=X285)*($J$7:$J$10000&lt;&gt;"NULL")*($G$7:$G$10000 &gt;= ($G$1-5))))/5</f>
        <v>0</v>
      </c>
    </row>
    <row r="286" spans="7:25" x14ac:dyDescent="0.35">
      <c r="G286" s="66">
        <v>4</v>
      </c>
      <c r="H286" t="s">
        <v>14</v>
      </c>
      <c r="I286" t="s">
        <v>107</v>
      </c>
      <c r="J286" t="s">
        <v>256</v>
      </c>
      <c r="K286" t="s">
        <v>9</v>
      </c>
      <c r="L286" t="s">
        <v>7</v>
      </c>
      <c r="M286">
        <f t="shared" si="26"/>
        <v>4.0659348150851766</v>
      </c>
      <c r="N286" t="str">
        <f t="shared" si="27"/>
        <v/>
      </c>
      <c r="O286" s="67" cm="1">
        <f t="array" ref="O286">SUMPRODUCT((G286=$G$7:$G$10000)*(M286&lt;$M$7:$M$10000))+1</f>
        <v>56</v>
      </c>
      <c r="P286" s="72"/>
      <c r="Q286">
        <v>6</v>
      </c>
      <c r="R286" t="str">
        <v>HOU</v>
      </c>
      <c r="S286" t="str">
        <v>Justin Basson</v>
      </c>
      <c r="T286" t="str">
        <v>NULL</v>
      </c>
      <c r="U286" t="str">
        <v>Away</v>
      </c>
      <c r="V286" t="str">
        <v>ARC</v>
      </c>
      <c r="W286">
        <v>-4.9584923923868791</v>
      </c>
      <c r="Y286" s="1" cm="1">
        <f t="array" ref="Y286">COUNT(_xlfn._xlws.FILTER($G$7:$G$10000,($I$7:$I$10000=X286)*($J$7:$J$10000&lt;&gt;"NULL")*($G$7:$G$10000 &gt;= ($G$1-5))))/5</f>
        <v>0</v>
      </c>
    </row>
    <row r="287" spans="7:25" x14ac:dyDescent="0.35">
      <c r="G287" s="66">
        <v>4</v>
      </c>
      <c r="H287" t="s">
        <v>14</v>
      </c>
      <c r="I287" t="s">
        <v>471</v>
      </c>
      <c r="J287" t="s">
        <v>256</v>
      </c>
      <c r="K287" t="s">
        <v>9</v>
      </c>
      <c r="L287" t="s">
        <v>7</v>
      </c>
      <c r="M287">
        <f t="shared" si="26"/>
        <v>4.0078649804970059</v>
      </c>
      <c r="N287" t="str">
        <f t="shared" si="27"/>
        <v/>
      </c>
      <c r="O287" s="67" cm="1">
        <f t="array" ref="O287">SUMPRODUCT((G287=$G$7:$G$10000)*(M287&lt;$M$7:$M$10000))+1</f>
        <v>57</v>
      </c>
      <c r="P287" s="72"/>
      <c r="Q287">
        <v>6</v>
      </c>
      <c r="R287" t="str">
        <v>MIA</v>
      </c>
      <c r="S287" t="str">
        <v>Alec McDonnell</v>
      </c>
      <c r="T287" t="str">
        <v>NULL</v>
      </c>
      <c r="U287" t="str">
        <v>Away</v>
      </c>
      <c r="V287" t="str">
        <v>SDL</v>
      </c>
      <c r="W287">
        <v>-5.842952944075444</v>
      </c>
      <c r="Y287" s="1" cm="1">
        <f t="array" ref="Y287">COUNT(_xlfn._xlws.FILTER($G$7:$G$10000,($I$7:$I$10000=X287)*($J$7:$J$10000&lt;&gt;"NULL")*($G$7:$G$10000 &gt;= ($G$1-5))))/5</f>
        <v>0</v>
      </c>
    </row>
    <row r="288" spans="7:25" x14ac:dyDescent="0.35">
      <c r="G288" s="66">
        <v>4</v>
      </c>
      <c r="H288" t="s">
        <v>2</v>
      </c>
      <c r="I288" t="s">
        <v>426</v>
      </c>
      <c r="J288" t="s">
        <v>256</v>
      </c>
      <c r="K288" t="s">
        <v>9</v>
      </c>
      <c r="L288" t="s">
        <v>24</v>
      </c>
      <c r="M288">
        <f t="shared" si="26"/>
        <v>3.9492826731051061</v>
      </c>
      <c r="N288" t="str">
        <f t="shared" si="27"/>
        <v/>
      </c>
      <c r="O288" s="67" cm="1">
        <f t="array" ref="O288">SUMPRODUCT((G288=$G$7:$G$10000)*(M288&lt;$M$7:$M$10000))+1</f>
        <v>58</v>
      </c>
      <c r="P288" s="72"/>
      <c r="Q288">
        <v>7</v>
      </c>
      <c r="R288" t="str">
        <v>SEA</v>
      </c>
      <c r="S288" t="str">
        <v>Devin Short</v>
      </c>
      <c r="T288" t="str">
        <v>NULL</v>
      </c>
      <c r="U288" t="str">
        <v>Home</v>
      </c>
      <c r="V288" t="str">
        <v>ARC</v>
      </c>
      <c r="W288">
        <v>17.641810457245406</v>
      </c>
      <c r="Y288" s="1" cm="1">
        <f t="array" ref="Y288">COUNT(_xlfn._xlws.FILTER($G$7:$G$10000,($I$7:$I$10000=X288)*($J$7:$J$10000&lt;&gt;"NULL")*($G$7:$G$10000 &gt;= ($G$1-5))))/5</f>
        <v>0</v>
      </c>
    </row>
    <row r="289" spans="7:25" x14ac:dyDescent="0.35">
      <c r="G289" s="66">
        <v>4</v>
      </c>
      <c r="H289" t="s">
        <v>13</v>
      </c>
      <c r="I289" t="s">
        <v>210</v>
      </c>
      <c r="J289" t="s">
        <v>256</v>
      </c>
      <c r="K289" t="s">
        <v>3</v>
      </c>
      <c r="L289" t="s">
        <v>36</v>
      </c>
      <c r="M289">
        <f t="shared" si="26"/>
        <v>3.8792581683789868</v>
      </c>
      <c r="N289" t="str">
        <f t="shared" si="27"/>
        <v/>
      </c>
      <c r="O289" s="67" cm="1">
        <f t="array" ref="O289">SUMPRODUCT((G289=$G$7:$G$10000)*(M289&lt;$M$7:$M$10000))+1</f>
        <v>59</v>
      </c>
      <c r="P289" s="72"/>
      <c r="Q289">
        <v>7</v>
      </c>
      <c r="R289" t="str">
        <v>SDL</v>
      </c>
      <c r="S289" t="str">
        <v>Vili Helu</v>
      </c>
      <c r="T289" t="str">
        <v>NULL</v>
      </c>
      <c r="U289" t="str">
        <v>Away</v>
      </c>
      <c r="V289" t="str">
        <v>HOU</v>
      </c>
      <c r="W289">
        <v>14.920312407923525</v>
      </c>
      <c r="Y289" s="1" cm="1">
        <f t="array" ref="Y289">COUNT(_xlfn._xlws.FILTER($G$7:$G$10000,($I$7:$I$10000=X289)*($J$7:$J$10000&lt;&gt;"NULL")*($G$7:$G$10000 &gt;= ($G$1-5))))/5</f>
        <v>0</v>
      </c>
    </row>
    <row r="290" spans="7:25" x14ac:dyDescent="0.35">
      <c r="G290" s="66">
        <v>4</v>
      </c>
      <c r="H290" t="s">
        <v>2</v>
      </c>
      <c r="I290" t="s">
        <v>159</v>
      </c>
      <c r="J290" t="s">
        <v>256</v>
      </c>
      <c r="K290" t="s">
        <v>9</v>
      </c>
      <c r="L290" t="s">
        <v>24</v>
      </c>
      <c r="M290">
        <f t="shared" si="26"/>
        <v>3.8111541983291346</v>
      </c>
      <c r="N290" t="str">
        <f t="shared" si="27"/>
        <v/>
      </c>
      <c r="O290" s="67" cm="1">
        <f t="array" ref="O290">SUMPRODUCT((G290=$G$7:$G$10000)*(M290&lt;$M$7:$M$10000))+1</f>
        <v>60</v>
      </c>
      <c r="P290" s="72"/>
      <c r="Q290">
        <v>7</v>
      </c>
      <c r="R290" t="str">
        <v>SDL</v>
      </c>
      <c r="S290" t="str">
        <v>Shilo Klein</v>
      </c>
      <c r="T290" t="str">
        <v>NULL</v>
      </c>
      <c r="U290" t="str">
        <v>Away</v>
      </c>
      <c r="V290" t="str">
        <v>HOU</v>
      </c>
      <c r="W290">
        <v>14.562680035707984</v>
      </c>
      <c r="Y290" s="1" cm="1">
        <f t="array" ref="Y290">COUNT(_xlfn._xlws.FILTER($G$7:$G$10000,($I$7:$I$10000=X290)*($J$7:$J$10000&lt;&gt;"NULL")*($G$7:$G$10000 &gt;= ($G$1-5))))/5</f>
        <v>0</v>
      </c>
    </row>
    <row r="291" spans="7:25" x14ac:dyDescent="0.35">
      <c r="G291" s="66">
        <v>4</v>
      </c>
      <c r="H291" t="s">
        <v>6</v>
      </c>
      <c r="I291" t="s">
        <v>116</v>
      </c>
      <c r="J291" t="s">
        <v>256</v>
      </c>
      <c r="K291" t="s">
        <v>9</v>
      </c>
      <c r="L291" t="s">
        <v>34</v>
      </c>
      <c r="M291">
        <f t="shared" si="26"/>
        <v>3.7659934785192526</v>
      </c>
      <c r="N291" t="str">
        <f t="shared" si="27"/>
        <v/>
      </c>
      <c r="O291" s="67" cm="1">
        <f t="array" ref="O291">SUMPRODUCT((G291=$G$7:$G$10000)*(M291&lt;$M$7:$M$10000))+1</f>
        <v>61</v>
      </c>
      <c r="P291" s="72"/>
      <c r="Q291">
        <v>7</v>
      </c>
      <c r="R291" t="str">
        <v>SDL</v>
      </c>
      <c r="S291" t="str">
        <v>Brad Wilkin</v>
      </c>
      <c r="T291" t="str">
        <v>NULL</v>
      </c>
      <c r="U291" t="str">
        <v>Away</v>
      </c>
      <c r="V291" t="str">
        <v>HOU</v>
      </c>
      <c r="W291">
        <v>13.552214121902626</v>
      </c>
      <c r="Y291" s="1" cm="1">
        <f t="array" ref="Y291">COUNT(_xlfn._xlws.FILTER($G$7:$G$10000,($I$7:$I$10000=X291)*($J$7:$J$10000&lt;&gt;"NULL")*($G$7:$G$10000 &gt;= ($G$1-5))))/5</f>
        <v>0</v>
      </c>
    </row>
    <row r="292" spans="7:25" x14ac:dyDescent="0.35">
      <c r="G292" s="66">
        <v>4</v>
      </c>
      <c r="H292" t="s">
        <v>14</v>
      </c>
      <c r="I292" t="s">
        <v>143</v>
      </c>
      <c r="J292" t="s">
        <v>256</v>
      </c>
      <c r="K292" t="s">
        <v>9</v>
      </c>
      <c r="L292" t="s">
        <v>7</v>
      </c>
      <c r="M292">
        <f t="shared" si="26"/>
        <v>3.2592791338199998</v>
      </c>
      <c r="N292" t="str">
        <f t="shared" si="27"/>
        <v/>
      </c>
      <c r="O292" s="67" cm="1">
        <f t="array" ref="O292">SUMPRODUCT((G292=$G$7:$G$10000)*(M292&lt;$M$7:$M$10000))+1</f>
        <v>62</v>
      </c>
      <c r="P292" s="72"/>
      <c r="Q292">
        <v>7</v>
      </c>
      <c r="R292" t="str">
        <v>HOU</v>
      </c>
      <c r="S292" t="str">
        <v>Pita Anae-Ah Sue</v>
      </c>
      <c r="T292" t="str">
        <v>NULL</v>
      </c>
      <c r="U292" t="str">
        <v>Home</v>
      </c>
      <c r="V292" t="str">
        <v>SDL</v>
      </c>
      <c r="W292">
        <v>13.269775115079767</v>
      </c>
      <c r="Y292" s="1" cm="1">
        <f t="array" ref="Y292">COUNT(_xlfn._xlws.FILTER($G$7:$G$10000,($I$7:$I$10000=X292)*($J$7:$J$10000&lt;&gt;"NULL")*($G$7:$G$10000 &gt;= ($G$1-5))))/5</f>
        <v>0</v>
      </c>
    </row>
    <row r="293" spans="7:25" x14ac:dyDescent="0.35">
      <c r="G293" s="66">
        <v>4</v>
      </c>
      <c r="H293" t="s">
        <v>23</v>
      </c>
      <c r="I293" t="s">
        <v>252</v>
      </c>
      <c r="J293" t="s">
        <v>256</v>
      </c>
      <c r="K293" t="s">
        <v>9</v>
      </c>
      <c r="L293" t="s">
        <v>17</v>
      </c>
      <c r="M293">
        <f t="shared" si="26"/>
        <v>3.1995150244497932</v>
      </c>
      <c r="N293" t="str">
        <f t="shared" si="27"/>
        <v/>
      </c>
      <c r="O293" s="67" cm="1">
        <f t="array" ref="O293">SUMPRODUCT((G293=$G$7:$G$10000)*(M293&lt;$M$7:$M$10000))+1</f>
        <v>63</v>
      </c>
      <c r="P293" s="72"/>
      <c r="Q293">
        <v>7</v>
      </c>
      <c r="R293" t="str">
        <v>HOU</v>
      </c>
      <c r="S293" t="str">
        <v>Sam Tuifua</v>
      </c>
      <c r="T293" t="str">
        <v>NULL</v>
      </c>
      <c r="U293" t="str">
        <v>Home</v>
      </c>
      <c r="V293" t="str">
        <v>SDL</v>
      </c>
      <c r="W293">
        <v>12.910061011152697</v>
      </c>
      <c r="Y293" s="1" cm="1">
        <f t="array" ref="Y293">COUNT(_xlfn._xlws.FILTER($G$7:$G$10000,($I$7:$I$10000=X293)*($J$7:$J$10000&lt;&gt;"NULL")*($G$7:$G$10000 &gt;= ($G$1-5))))/5</f>
        <v>0</v>
      </c>
    </row>
    <row r="294" spans="7:25" x14ac:dyDescent="0.35">
      <c r="G294" s="66">
        <v>4</v>
      </c>
      <c r="H294" t="s">
        <v>17</v>
      </c>
      <c r="I294" t="s">
        <v>149</v>
      </c>
      <c r="J294" t="s">
        <v>256</v>
      </c>
      <c r="K294" t="s">
        <v>3</v>
      </c>
      <c r="L294" t="s">
        <v>23</v>
      </c>
      <c r="M294">
        <f t="shared" si="26"/>
        <v>3.1396505434191733</v>
      </c>
      <c r="N294" t="str">
        <f t="shared" si="27"/>
        <v/>
      </c>
      <c r="O294" s="67" cm="1">
        <f t="array" ref="O294">SUMPRODUCT((G294=$G$7:$G$10000)*(M294&lt;$M$7:$M$10000))+1</f>
        <v>64</v>
      </c>
      <c r="P294" s="72"/>
      <c r="Q294">
        <v>7</v>
      </c>
      <c r="R294" t="str">
        <v>SDL</v>
      </c>
      <c r="S294" t="str">
        <v>Christian Poidevin</v>
      </c>
      <c r="T294" t="str">
        <v>NULL</v>
      </c>
      <c r="U294" t="str">
        <v>Away</v>
      </c>
      <c r="V294" t="str">
        <v>HOU</v>
      </c>
      <c r="W294">
        <v>12.700976342290023</v>
      </c>
      <c r="Y294" s="1" cm="1">
        <f t="array" ref="Y294">COUNT(_xlfn._xlws.FILTER($G$7:$G$10000,($I$7:$I$10000=X294)*($J$7:$J$10000&lt;&gt;"NULL")*($G$7:$G$10000 &gt;= ($G$1-5))))/5</f>
        <v>0</v>
      </c>
    </row>
    <row r="295" spans="7:25" x14ac:dyDescent="0.35">
      <c r="G295" s="66">
        <v>4</v>
      </c>
      <c r="H295" t="s">
        <v>6</v>
      </c>
      <c r="I295" t="s">
        <v>418</v>
      </c>
      <c r="J295" t="s">
        <v>256</v>
      </c>
      <c r="K295" t="s">
        <v>9</v>
      </c>
      <c r="L295" t="s">
        <v>34</v>
      </c>
      <c r="M295">
        <f t="shared" ref="M295:M358" si="28">VLOOKUP($K295,$F$3:$G$4,2,FALSE)+VLOOKUP($I295,$A$20:$B$321,2,FALSE)+VLOOKUP($L295,$A$6:$B$16,2,FALSE)</f>
        <v>3.0906274117732861</v>
      </c>
      <c r="N295" t="str">
        <f t="shared" ref="N295:N358" si="29">IFERROR(($J295-$M295)^2,"")</f>
        <v/>
      </c>
      <c r="O295" s="67" cm="1">
        <f t="array" ref="O295">SUMPRODUCT((G295=$G$7:$G$10000)*(M295&lt;$M$7:$M$10000))+1</f>
        <v>65</v>
      </c>
      <c r="P295" s="72"/>
      <c r="Q295">
        <v>7</v>
      </c>
      <c r="R295" t="str">
        <v>SDL</v>
      </c>
      <c r="S295" t="str">
        <v>Djustice Sears-Duru</v>
      </c>
      <c r="T295" t="str">
        <v>NULL</v>
      </c>
      <c r="U295" t="str">
        <v>Away</v>
      </c>
      <c r="V295" t="str">
        <v>HOU</v>
      </c>
      <c r="W295">
        <v>12.145199203623442</v>
      </c>
      <c r="Y295" s="1" cm="1">
        <f t="array" ref="Y295">COUNT(_xlfn._xlws.FILTER($G$7:$G$10000,($I$7:$I$10000=X295)*($J$7:$J$10000&lt;&gt;"NULL")*($G$7:$G$10000 &gt;= ($G$1-5))))/5</f>
        <v>0</v>
      </c>
    </row>
    <row r="296" spans="7:25" x14ac:dyDescent="0.35">
      <c r="G296" s="66">
        <v>4</v>
      </c>
      <c r="H296" t="s">
        <v>24</v>
      </c>
      <c r="I296" t="s">
        <v>482</v>
      </c>
      <c r="J296" t="s">
        <v>256</v>
      </c>
      <c r="K296" t="s">
        <v>3</v>
      </c>
      <c r="L296" t="s">
        <v>2</v>
      </c>
      <c r="M296">
        <f t="shared" si="28"/>
        <v>3.0461619279817258</v>
      </c>
      <c r="N296" t="str">
        <f t="shared" si="29"/>
        <v/>
      </c>
      <c r="O296" s="67" cm="1">
        <f t="array" ref="O296">SUMPRODUCT((G296=$G$7:$G$10000)*(M296&lt;$M$7:$M$10000))+1</f>
        <v>66</v>
      </c>
      <c r="P296" s="72"/>
      <c r="Q296">
        <v>7</v>
      </c>
      <c r="R296" t="str">
        <v>NOLA</v>
      </c>
      <c r="S296" t="str">
        <v>Pat O'Toole</v>
      </c>
      <c r="T296" t="str">
        <v>NULL</v>
      </c>
      <c r="U296" t="str">
        <v>Home</v>
      </c>
      <c r="V296" t="str">
        <v>CHI</v>
      </c>
      <c r="W296">
        <v>11.868280751700206</v>
      </c>
      <c r="Y296" s="1" cm="1">
        <f t="array" ref="Y296">COUNT(_xlfn._xlws.FILTER($G$7:$G$10000,($I$7:$I$10000=X296)*($J$7:$J$10000&lt;&gt;"NULL")*($G$7:$G$10000 &gt;= ($G$1-5))))/5</f>
        <v>0</v>
      </c>
    </row>
    <row r="297" spans="7:25" x14ac:dyDescent="0.35">
      <c r="G297" s="66">
        <v>4</v>
      </c>
      <c r="H297" t="s">
        <v>23</v>
      </c>
      <c r="I297" t="s">
        <v>229</v>
      </c>
      <c r="J297" t="s">
        <v>256</v>
      </c>
      <c r="K297" t="s">
        <v>9</v>
      </c>
      <c r="L297" t="s">
        <v>17</v>
      </c>
      <c r="M297">
        <f t="shared" si="28"/>
        <v>2.960404171585699</v>
      </c>
      <c r="N297" t="str">
        <f t="shared" si="29"/>
        <v/>
      </c>
      <c r="O297" s="67" cm="1">
        <f t="array" ref="O297">SUMPRODUCT((G297=$G$7:$G$10000)*(M297&lt;$M$7:$M$10000))+1</f>
        <v>67</v>
      </c>
      <c r="P297" s="72"/>
      <c r="Q297">
        <v>7</v>
      </c>
      <c r="R297" t="str">
        <v>NOLA</v>
      </c>
      <c r="S297" t="str">
        <v>Jonah Mau'u</v>
      </c>
      <c r="T297" t="str">
        <v>NULL</v>
      </c>
      <c r="U297" t="str">
        <v>Home</v>
      </c>
      <c r="V297" t="str">
        <v>CHI</v>
      </c>
      <c r="W297">
        <v>10.975993212881603</v>
      </c>
      <c r="Y297" s="1" cm="1">
        <f t="array" ref="Y297">COUNT(_xlfn._xlws.FILTER($G$7:$G$10000,($I$7:$I$10000=X297)*($J$7:$J$10000&lt;&gt;"NULL")*($G$7:$G$10000 &gt;= ($G$1-5))))/5</f>
        <v>0</v>
      </c>
    </row>
    <row r="298" spans="7:25" x14ac:dyDescent="0.35">
      <c r="G298" s="66">
        <v>4</v>
      </c>
      <c r="H298" t="s">
        <v>14</v>
      </c>
      <c r="I298" t="s">
        <v>413</v>
      </c>
      <c r="J298" t="s">
        <v>256</v>
      </c>
      <c r="K298" t="s">
        <v>9</v>
      </c>
      <c r="L298" t="s">
        <v>7</v>
      </c>
      <c r="M298">
        <f t="shared" si="28"/>
        <v>2.9105192938477424</v>
      </c>
      <c r="N298" t="str">
        <f t="shared" si="29"/>
        <v/>
      </c>
      <c r="O298" s="67" cm="1">
        <f t="array" ref="O298">SUMPRODUCT((G298=$G$7:$G$10000)*(M298&lt;$M$7:$M$10000))+1</f>
        <v>68</v>
      </c>
      <c r="P298" s="72"/>
      <c r="Q298">
        <v>7</v>
      </c>
      <c r="R298" t="str">
        <v>LA</v>
      </c>
      <c r="S298" t="str">
        <v>Tim Anstee</v>
      </c>
      <c r="T298" t="str">
        <v>NULL</v>
      </c>
      <c r="U298" t="str">
        <v>Home</v>
      </c>
      <c r="V298" t="str">
        <v>OGDC</v>
      </c>
      <c r="W298">
        <v>9.7352937546302734</v>
      </c>
      <c r="Y298" s="1" cm="1">
        <f t="array" ref="Y298">COUNT(_xlfn._xlws.FILTER($G$7:$G$10000,($I$7:$I$10000=X298)*($J$7:$J$10000&lt;&gt;"NULL")*($G$7:$G$10000 &gt;= ($G$1-5))))/5</f>
        <v>0</v>
      </c>
    </row>
    <row r="299" spans="7:25" x14ac:dyDescent="0.35">
      <c r="G299" s="66">
        <v>4</v>
      </c>
      <c r="H299" t="s">
        <v>14</v>
      </c>
      <c r="I299" t="s">
        <v>470</v>
      </c>
      <c r="J299" t="s">
        <v>256</v>
      </c>
      <c r="K299" t="s">
        <v>9</v>
      </c>
      <c r="L299" t="s">
        <v>7</v>
      </c>
      <c r="M299">
        <f t="shared" si="28"/>
        <v>2.8942972090148542</v>
      </c>
      <c r="N299" t="str">
        <f t="shared" si="29"/>
        <v/>
      </c>
      <c r="O299" s="67" cm="1">
        <f t="array" ref="O299">SUMPRODUCT((G299=$G$7:$G$10000)*(M299&lt;$M$7:$M$10000))+1</f>
        <v>69</v>
      </c>
      <c r="P299" s="72"/>
      <c r="Q299">
        <v>7</v>
      </c>
      <c r="R299" t="str">
        <v>CHI</v>
      </c>
      <c r="S299" t="str">
        <v>Lucas Rumball</v>
      </c>
      <c r="T299" t="str">
        <v>NULL</v>
      </c>
      <c r="U299" t="str">
        <v>Away</v>
      </c>
      <c r="V299" t="str">
        <v>NOLA</v>
      </c>
      <c r="W299">
        <v>9.6668961786484964</v>
      </c>
      <c r="Y299" s="1" cm="1">
        <f t="array" ref="Y299">COUNT(_xlfn._xlws.FILTER($G$7:$G$10000,($I$7:$I$10000=X299)*($J$7:$J$10000&lt;&gt;"NULL")*($G$7:$G$10000 &gt;= ($G$1-5))))/5</f>
        <v>0</v>
      </c>
    </row>
    <row r="300" spans="7:25" x14ac:dyDescent="0.35">
      <c r="G300" s="66">
        <v>4</v>
      </c>
      <c r="H300" t="s">
        <v>14</v>
      </c>
      <c r="I300" t="s">
        <v>164</v>
      </c>
      <c r="J300" t="s">
        <v>256</v>
      </c>
      <c r="K300" t="s">
        <v>9</v>
      </c>
      <c r="L300" t="s">
        <v>7</v>
      </c>
      <c r="M300">
        <f t="shared" si="28"/>
        <v>2.8830471245417009</v>
      </c>
      <c r="N300" t="str">
        <f t="shared" si="29"/>
        <v/>
      </c>
      <c r="O300" s="67" cm="1">
        <f t="array" ref="O300">SUMPRODUCT((G300=$G$7:$G$10000)*(M300&lt;$M$7:$M$10000))+1</f>
        <v>70</v>
      </c>
      <c r="P300" s="72"/>
      <c r="Q300">
        <v>7</v>
      </c>
      <c r="R300" t="str">
        <v>CHI</v>
      </c>
      <c r="S300" t="str">
        <v>Dylan Fawsitt</v>
      </c>
      <c r="T300" t="str">
        <v>NULL</v>
      </c>
      <c r="U300" t="str">
        <v>Away</v>
      </c>
      <c r="V300" t="str">
        <v>NOLA</v>
      </c>
      <c r="W300">
        <v>9.26673850229467</v>
      </c>
      <c r="Y300" s="1" cm="1">
        <f t="array" ref="Y300">COUNT(_xlfn._xlws.FILTER($G$7:$G$10000,($I$7:$I$10000=X300)*($J$7:$J$10000&lt;&gt;"NULL")*($G$7:$G$10000 &gt;= ($G$1-5))))/5</f>
        <v>0</v>
      </c>
    </row>
    <row r="301" spans="7:25" x14ac:dyDescent="0.35">
      <c r="G301" s="66">
        <v>4</v>
      </c>
      <c r="H301" t="s">
        <v>17</v>
      </c>
      <c r="I301" t="s">
        <v>105</v>
      </c>
      <c r="J301" t="s">
        <v>256</v>
      </c>
      <c r="K301" t="s">
        <v>3</v>
      </c>
      <c r="L301" t="s">
        <v>23</v>
      </c>
      <c r="M301">
        <f t="shared" si="28"/>
        <v>2.7705788504705535</v>
      </c>
      <c r="N301" t="str">
        <f t="shared" si="29"/>
        <v/>
      </c>
      <c r="O301" s="67" cm="1">
        <f t="array" ref="O301">SUMPRODUCT((G301=$G$7:$G$10000)*(M301&lt;$M$7:$M$10000))+1</f>
        <v>71</v>
      </c>
      <c r="P301" s="72"/>
      <c r="Q301">
        <v>7</v>
      </c>
      <c r="R301" t="str">
        <v>SEA</v>
      </c>
      <c r="S301" t="str">
        <v>Kerron van Vuuren</v>
      </c>
      <c r="T301" t="str">
        <v>NULL</v>
      </c>
      <c r="U301" t="str">
        <v>Home</v>
      </c>
      <c r="V301" t="str">
        <v>ARC</v>
      </c>
      <c r="W301">
        <v>9.1080281872075961</v>
      </c>
      <c r="Y301" s="1" cm="1">
        <f t="array" ref="Y301">COUNT(_xlfn._xlws.FILTER($G$7:$G$10000,($I$7:$I$10000=X301)*($J$7:$J$10000&lt;&gt;"NULL")*($G$7:$G$10000 &gt;= ($G$1-5))))/5</f>
        <v>0</v>
      </c>
    </row>
    <row r="302" spans="7:25" x14ac:dyDescent="0.35">
      <c r="G302" s="66">
        <v>4</v>
      </c>
      <c r="H302" t="s">
        <v>34</v>
      </c>
      <c r="I302" t="s">
        <v>161</v>
      </c>
      <c r="J302" t="s">
        <v>256</v>
      </c>
      <c r="K302" t="s">
        <v>3</v>
      </c>
      <c r="L302" t="s">
        <v>6</v>
      </c>
      <c r="M302">
        <f t="shared" si="28"/>
        <v>2.6062234175833741</v>
      </c>
      <c r="N302" t="str">
        <f t="shared" si="29"/>
        <v/>
      </c>
      <c r="O302" s="67" cm="1">
        <f t="array" ref="O302">SUMPRODUCT((G302=$G$7:$G$10000)*(M302&lt;$M$7:$M$10000))+1</f>
        <v>72</v>
      </c>
      <c r="P302" s="72"/>
      <c r="Q302">
        <v>7</v>
      </c>
      <c r="R302" t="str">
        <v>SDL</v>
      </c>
      <c r="S302" t="str">
        <v>Jed Holloway</v>
      </c>
      <c r="T302" t="str">
        <v>NULL</v>
      </c>
      <c r="U302" t="str">
        <v>Away</v>
      </c>
      <c r="V302" t="str">
        <v>HOU</v>
      </c>
      <c r="W302">
        <v>9.0300862158326467</v>
      </c>
      <c r="Y302" s="1" cm="1">
        <f t="array" ref="Y302">COUNT(_xlfn._xlws.FILTER($G$7:$G$10000,($I$7:$I$10000=X302)*($J$7:$J$10000&lt;&gt;"NULL")*($G$7:$G$10000 &gt;= ($G$1-5))))/5</f>
        <v>0</v>
      </c>
    </row>
    <row r="303" spans="7:25" x14ac:dyDescent="0.35">
      <c r="G303" s="66">
        <v>4</v>
      </c>
      <c r="H303" t="s">
        <v>17</v>
      </c>
      <c r="I303" t="s">
        <v>483</v>
      </c>
      <c r="J303" t="s">
        <v>256</v>
      </c>
      <c r="K303" t="s">
        <v>3</v>
      </c>
      <c r="L303" t="s">
        <v>23</v>
      </c>
      <c r="M303">
        <f t="shared" si="28"/>
        <v>2.4998172384372741</v>
      </c>
      <c r="N303" t="str">
        <f t="shared" si="29"/>
        <v/>
      </c>
      <c r="O303" s="67" cm="1">
        <f t="array" ref="O303">SUMPRODUCT((G303=$G$7:$G$10000)*(M303&lt;$M$7:$M$10000))+1</f>
        <v>73</v>
      </c>
      <c r="P303" s="72"/>
      <c r="Q303">
        <v>7</v>
      </c>
      <c r="R303" t="str">
        <v>NEFJ</v>
      </c>
      <c r="S303" t="str">
        <v>Joe Johnston</v>
      </c>
      <c r="T303" t="str">
        <v>NULL</v>
      </c>
      <c r="U303" t="str">
        <v>Away</v>
      </c>
      <c r="V303" t="str">
        <v>UTAH</v>
      </c>
      <c r="W303">
        <v>8.9018011456717403</v>
      </c>
      <c r="Y303" s="1" cm="1">
        <f t="array" ref="Y303">COUNT(_xlfn._xlws.FILTER($G$7:$G$10000,($I$7:$I$10000=X303)*($J$7:$J$10000&lt;&gt;"NULL")*($G$7:$G$10000 &gt;= ($G$1-5))))/5</f>
        <v>0</v>
      </c>
    </row>
    <row r="304" spans="7:25" x14ac:dyDescent="0.35">
      <c r="G304" s="66">
        <v>4</v>
      </c>
      <c r="H304" t="s">
        <v>24</v>
      </c>
      <c r="I304" t="s">
        <v>179</v>
      </c>
      <c r="J304" t="s">
        <v>256</v>
      </c>
      <c r="K304" t="s">
        <v>3</v>
      </c>
      <c r="L304" t="s">
        <v>2</v>
      </c>
      <c r="M304">
        <f t="shared" si="28"/>
        <v>2.3134208298107524</v>
      </c>
      <c r="N304" t="str">
        <f t="shared" si="29"/>
        <v/>
      </c>
      <c r="O304" s="67" cm="1">
        <f t="array" ref="O304">SUMPRODUCT((G304=$G$7:$G$10000)*(M304&lt;$M$7:$M$10000))+1</f>
        <v>74</v>
      </c>
      <c r="P304" s="72"/>
      <c r="Q304">
        <v>7</v>
      </c>
      <c r="R304" t="str">
        <v>UTAH</v>
      </c>
      <c r="S304" t="str">
        <v>Liam Coltman</v>
      </c>
      <c r="T304" t="str">
        <v>NULL</v>
      </c>
      <c r="U304" t="str">
        <v>Home</v>
      </c>
      <c r="V304" t="str">
        <v>NEFJ</v>
      </c>
      <c r="W304">
        <v>8.4987880292277254</v>
      </c>
      <c r="Y304" s="1" cm="1">
        <f t="array" ref="Y304">COUNT(_xlfn._xlws.FILTER($G$7:$G$10000,($I$7:$I$10000=X304)*($J$7:$J$10000&lt;&gt;"NULL")*($G$7:$G$10000 &gt;= ($G$1-5))))/5</f>
        <v>0</v>
      </c>
    </row>
    <row r="305" spans="7:25" x14ac:dyDescent="0.35">
      <c r="G305" s="66">
        <v>4</v>
      </c>
      <c r="H305" t="s">
        <v>34</v>
      </c>
      <c r="I305" t="s">
        <v>424</v>
      </c>
      <c r="J305" t="s">
        <v>256</v>
      </c>
      <c r="K305" t="s">
        <v>3</v>
      </c>
      <c r="L305" t="s">
        <v>6</v>
      </c>
      <c r="M305">
        <f t="shared" si="28"/>
        <v>2.2272163313625564</v>
      </c>
      <c r="N305" t="str">
        <f t="shared" si="29"/>
        <v/>
      </c>
      <c r="O305" s="67" cm="1">
        <f t="array" ref="O305">SUMPRODUCT((G305=$G$7:$G$10000)*(M305&lt;$M$7:$M$10000))+1</f>
        <v>75</v>
      </c>
      <c r="P305" s="72"/>
      <c r="Q305">
        <v>7</v>
      </c>
      <c r="R305" t="str">
        <v>OGDC</v>
      </c>
      <c r="S305" t="str">
        <v>Jamason Fa'anana-Schultz</v>
      </c>
      <c r="T305" t="str">
        <v>NULL</v>
      </c>
      <c r="U305" t="str">
        <v>Away</v>
      </c>
      <c r="V305" t="str">
        <v>LA</v>
      </c>
      <c r="W305">
        <v>8.4816574085006042</v>
      </c>
      <c r="Y305" s="1" cm="1">
        <f t="array" ref="Y305">COUNT(_xlfn._xlws.FILTER($G$7:$G$10000,($I$7:$I$10000=X305)*($J$7:$J$10000&lt;&gt;"NULL")*($G$7:$G$10000 &gt;= ($G$1-5))))/5</f>
        <v>0</v>
      </c>
    </row>
    <row r="306" spans="7:25" x14ac:dyDescent="0.35">
      <c r="G306" s="66">
        <v>4</v>
      </c>
      <c r="H306" t="s">
        <v>14</v>
      </c>
      <c r="I306" t="s">
        <v>425</v>
      </c>
      <c r="J306" t="s">
        <v>256</v>
      </c>
      <c r="K306" t="s">
        <v>9</v>
      </c>
      <c r="L306" t="s">
        <v>7</v>
      </c>
      <c r="M306">
        <f t="shared" si="28"/>
        <v>2.0834510752568489</v>
      </c>
      <c r="N306" t="str">
        <f t="shared" si="29"/>
        <v/>
      </c>
      <c r="O306" s="67" cm="1">
        <f t="array" ref="O306">SUMPRODUCT((G306=$G$7:$G$10000)*(M306&lt;$M$7:$M$10000))+1</f>
        <v>76</v>
      </c>
      <c r="P306" s="72"/>
      <c r="Q306">
        <v>7</v>
      </c>
      <c r="R306" t="str">
        <v>CHI</v>
      </c>
      <c r="S306" t="str">
        <v>Maclean Jones</v>
      </c>
      <c r="T306" t="str">
        <v>NULL</v>
      </c>
      <c r="U306" t="str">
        <v>Away</v>
      </c>
      <c r="V306" t="str">
        <v>NOLA</v>
      </c>
      <c r="W306">
        <v>8.3038452910250502</v>
      </c>
      <c r="Y306" s="1" cm="1">
        <f t="array" ref="Y306">COUNT(_xlfn._xlws.FILTER($G$7:$G$10000,($I$7:$I$10000=X306)*($J$7:$J$10000&lt;&gt;"NULL")*($G$7:$G$10000 &gt;= ($G$1-5))))/5</f>
        <v>0</v>
      </c>
    </row>
    <row r="307" spans="7:25" x14ac:dyDescent="0.35">
      <c r="G307" s="66">
        <v>4</v>
      </c>
      <c r="H307" t="s">
        <v>7</v>
      </c>
      <c r="I307" t="s">
        <v>158</v>
      </c>
      <c r="J307" t="s">
        <v>256</v>
      </c>
      <c r="K307" t="s">
        <v>3</v>
      </c>
      <c r="L307" t="s">
        <v>14</v>
      </c>
      <c r="M307">
        <f t="shared" si="28"/>
        <v>2.0685588713071223</v>
      </c>
      <c r="N307" t="str">
        <f t="shared" si="29"/>
        <v/>
      </c>
      <c r="O307" s="67" cm="1">
        <f t="array" ref="O307">SUMPRODUCT((G307=$G$7:$G$10000)*(M307&lt;$M$7:$M$10000))+1</f>
        <v>77</v>
      </c>
      <c r="P307" s="72"/>
      <c r="Q307">
        <v>7</v>
      </c>
      <c r="R307" t="str">
        <v>NEFJ</v>
      </c>
      <c r="S307" t="str">
        <v>Jed Melvin</v>
      </c>
      <c r="T307" t="str">
        <v>NULL</v>
      </c>
      <c r="U307" t="str">
        <v>Away</v>
      </c>
      <c r="V307" t="str">
        <v>UTAH</v>
      </c>
      <c r="W307">
        <v>8.0843130172848898</v>
      </c>
      <c r="Y307" s="1" cm="1">
        <f t="array" ref="Y307">COUNT(_xlfn._xlws.FILTER($G$7:$G$10000,($I$7:$I$10000=X307)*($J$7:$J$10000&lt;&gt;"NULL")*($G$7:$G$10000 &gt;= ($G$1-5))))/5</f>
        <v>0</v>
      </c>
    </row>
    <row r="308" spans="7:25" x14ac:dyDescent="0.35">
      <c r="G308" s="66">
        <v>4</v>
      </c>
      <c r="H308" t="s">
        <v>14</v>
      </c>
      <c r="I308" t="s">
        <v>181</v>
      </c>
      <c r="J308" t="s">
        <v>256</v>
      </c>
      <c r="K308" t="s">
        <v>9</v>
      </c>
      <c r="L308" t="s">
        <v>7</v>
      </c>
      <c r="M308">
        <f t="shared" si="28"/>
        <v>2.0667077847926363</v>
      </c>
      <c r="N308" t="str">
        <f t="shared" si="29"/>
        <v/>
      </c>
      <c r="O308" s="67" cm="1">
        <f t="array" ref="O308">SUMPRODUCT((G308=$G$7:$G$10000)*(M308&lt;$M$7:$M$10000))+1</f>
        <v>78</v>
      </c>
      <c r="P308" s="72"/>
      <c r="Q308">
        <v>7</v>
      </c>
      <c r="R308" t="str">
        <v>CHI</v>
      </c>
      <c r="S308" t="str">
        <v>James Scott</v>
      </c>
      <c r="T308" t="str">
        <v>NULL</v>
      </c>
      <c r="U308" t="str">
        <v>Away</v>
      </c>
      <c r="V308" t="str">
        <v>NOLA</v>
      </c>
      <c r="W308">
        <v>7.8572023124401795</v>
      </c>
      <c r="Y308" s="1" cm="1">
        <f t="array" ref="Y308">COUNT(_xlfn._xlws.FILTER($G$7:$G$10000,($I$7:$I$10000=X308)*($J$7:$J$10000&lt;&gt;"NULL")*($G$7:$G$10000 &gt;= ($G$1-5))))/5</f>
        <v>0</v>
      </c>
    </row>
    <row r="309" spans="7:25" x14ac:dyDescent="0.35">
      <c r="G309" s="66">
        <v>4</v>
      </c>
      <c r="H309" t="s">
        <v>7</v>
      </c>
      <c r="I309" t="s">
        <v>163</v>
      </c>
      <c r="J309" t="s">
        <v>256</v>
      </c>
      <c r="K309" t="s">
        <v>3</v>
      </c>
      <c r="L309" t="s">
        <v>14</v>
      </c>
      <c r="M309">
        <f t="shared" si="28"/>
        <v>2.0160418416238222</v>
      </c>
      <c r="N309" t="str">
        <f t="shared" si="29"/>
        <v/>
      </c>
      <c r="O309" s="67" cm="1">
        <f t="array" ref="O309">SUMPRODUCT((G309=$G$7:$G$10000)*(M309&lt;$M$7:$M$10000))+1</f>
        <v>79</v>
      </c>
      <c r="P309" s="72"/>
      <c r="Q309">
        <v>7</v>
      </c>
      <c r="R309" t="str">
        <v>LA</v>
      </c>
      <c r="S309" t="str">
        <v>Ben Houston</v>
      </c>
      <c r="T309" t="str">
        <v>NULL</v>
      </c>
      <c r="U309" t="str">
        <v>Home</v>
      </c>
      <c r="V309" t="str">
        <v>OGDC</v>
      </c>
      <c r="W309">
        <v>7.75866530505981</v>
      </c>
      <c r="Y309" s="1" cm="1">
        <f t="array" ref="Y309">COUNT(_xlfn._xlws.FILTER($G$7:$G$10000,($I$7:$I$10000=X309)*($J$7:$J$10000&lt;&gt;"NULL")*($G$7:$G$10000 &gt;= ($G$1-5))))/5</f>
        <v>0</v>
      </c>
    </row>
    <row r="310" spans="7:25" x14ac:dyDescent="0.35">
      <c r="G310" s="66">
        <v>4</v>
      </c>
      <c r="H310" t="s">
        <v>14</v>
      </c>
      <c r="I310" t="s">
        <v>197</v>
      </c>
      <c r="J310" t="s">
        <v>256</v>
      </c>
      <c r="K310" t="s">
        <v>9</v>
      </c>
      <c r="L310" t="s">
        <v>7</v>
      </c>
      <c r="M310">
        <f t="shared" si="28"/>
        <v>1.9388367986673964</v>
      </c>
      <c r="N310" t="str">
        <f t="shared" si="29"/>
        <v/>
      </c>
      <c r="O310" s="67" cm="1">
        <f t="array" ref="O310">SUMPRODUCT((G310=$G$7:$G$10000)*(M310&lt;$M$7:$M$10000))+1</f>
        <v>80</v>
      </c>
      <c r="P310" s="72"/>
      <c r="Q310">
        <v>7</v>
      </c>
      <c r="R310" t="str">
        <v>CHI</v>
      </c>
      <c r="S310" t="str">
        <v>Mason Flesch</v>
      </c>
      <c r="T310" t="str">
        <v>NULL</v>
      </c>
      <c r="U310" t="str">
        <v>Away</v>
      </c>
      <c r="V310" t="str">
        <v>NOLA</v>
      </c>
      <c r="W310">
        <v>7.6468951479015264</v>
      </c>
      <c r="Y310" s="1" cm="1">
        <f t="array" ref="Y310">COUNT(_xlfn._xlws.FILTER($G$7:$G$10000,($I$7:$I$10000=X310)*($J$7:$J$10000&lt;&gt;"NULL")*($G$7:$G$10000 &gt;= ($G$1-5))))/5</f>
        <v>0</v>
      </c>
    </row>
    <row r="311" spans="7:25" x14ac:dyDescent="0.35">
      <c r="G311" s="66">
        <v>4</v>
      </c>
      <c r="H311" t="s">
        <v>2</v>
      </c>
      <c r="I311" t="s">
        <v>185</v>
      </c>
      <c r="J311" t="s">
        <v>256</v>
      </c>
      <c r="K311" t="s">
        <v>9</v>
      </c>
      <c r="L311" t="s">
        <v>24</v>
      </c>
      <c r="M311">
        <f t="shared" si="28"/>
        <v>1.7072242365226371</v>
      </c>
      <c r="N311" t="str">
        <f t="shared" si="29"/>
        <v/>
      </c>
      <c r="O311" s="67" cm="1">
        <f t="array" ref="O311">SUMPRODUCT((G311=$G$7:$G$10000)*(M311&lt;$M$7:$M$10000))+1</f>
        <v>81</v>
      </c>
      <c r="P311" s="72"/>
      <c r="Q311">
        <v>7</v>
      </c>
      <c r="R311" t="str">
        <v>SEA</v>
      </c>
      <c r="S311" t="str">
        <v>OJ Noa</v>
      </c>
      <c r="T311" t="str">
        <v>NULL</v>
      </c>
      <c r="U311" t="str">
        <v>Home</v>
      </c>
      <c r="V311" t="str">
        <v>ARC</v>
      </c>
      <c r="W311">
        <v>7.4035110947096427</v>
      </c>
      <c r="Y311" s="1" cm="1">
        <f t="array" ref="Y311">COUNT(_xlfn._xlws.FILTER($G$7:$G$10000,($I$7:$I$10000=X311)*($J$7:$J$10000&lt;&gt;"NULL")*($G$7:$G$10000 &gt;= ($G$1-5))))/5</f>
        <v>0</v>
      </c>
    </row>
    <row r="312" spans="7:25" x14ac:dyDescent="0.35">
      <c r="G312" s="66">
        <v>4</v>
      </c>
      <c r="H312" t="s">
        <v>7</v>
      </c>
      <c r="I312" t="s">
        <v>211</v>
      </c>
      <c r="J312" t="s">
        <v>256</v>
      </c>
      <c r="K312" t="s">
        <v>3</v>
      </c>
      <c r="L312" t="s">
        <v>14</v>
      </c>
      <c r="M312">
        <f t="shared" si="28"/>
        <v>1.6999102257607666</v>
      </c>
      <c r="N312" t="str">
        <f t="shared" si="29"/>
        <v/>
      </c>
      <c r="O312" s="67" cm="1">
        <f t="array" ref="O312">SUMPRODUCT((G312=$G$7:$G$10000)*(M312&lt;$M$7:$M$10000))+1</f>
        <v>82</v>
      </c>
      <c r="P312" s="72"/>
      <c r="Q312">
        <v>7</v>
      </c>
      <c r="R312" t="str">
        <v>LA</v>
      </c>
      <c r="S312" t="str">
        <v>Ed Timpson</v>
      </c>
      <c r="T312" t="str">
        <v>NULL</v>
      </c>
      <c r="U312" t="str">
        <v>Home</v>
      </c>
      <c r="V312" t="str">
        <v>OGDC</v>
      </c>
      <c r="W312">
        <v>7.3880123595984459</v>
      </c>
      <c r="Y312" s="1" cm="1">
        <f t="array" ref="Y312">COUNT(_xlfn._xlws.FILTER($G$7:$G$10000,($I$7:$I$10000=X312)*($J$7:$J$10000&lt;&gt;"NULL")*($G$7:$G$10000 &gt;= ($G$1-5))))/5</f>
        <v>0</v>
      </c>
    </row>
    <row r="313" spans="7:25" x14ac:dyDescent="0.35">
      <c r="G313" s="66">
        <v>4</v>
      </c>
      <c r="H313" t="s">
        <v>7</v>
      </c>
      <c r="I313" t="s">
        <v>104</v>
      </c>
      <c r="J313" t="s">
        <v>256</v>
      </c>
      <c r="K313" t="s">
        <v>3</v>
      </c>
      <c r="L313" t="s">
        <v>14</v>
      </c>
      <c r="M313">
        <f t="shared" si="28"/>
        <v>1.541802551687077</v>
      </c>
      <c r="N313" t="str">
        <f t="shared" si="29"/>
        <v/>
      </c>
      <c r="O313" s="67" cm="1">
        <f t="array" ref="O313">SUMPRODUCT((G313=$G$7:$G$10000)*(M313&lt;$M$7:$M$10000))+1</f>
        <v>83</v>
      </c>
      <c r="P313" s="72"/>
      <c r="Q313">
        <v>7</v>
      </c>
      <c r="R313" t="str">
        <v>SDL</v>
      </c>
      <c r="S313" t="str">
        <v>Paddy Ryan</v>
      </c>
      <c r="T313" t="str">
        <v>NULL</v>
      </c>
      <c r="U313" t="str">
        <v>Away</v>
      </c>
      <c r="V313" t="str">
        <v>HOU</v>
      </c>
      <c r="W313">
        <v>7.1468748329474483</v>
      </c>
      <c r="Y313" s="1" cm="1">
        <f t="array" ref="Y313">COUNT(_xlfn._xlws.FILTER($G$7:$G$10000,($I$7:$I$10000=X313)*($J$7:$J$10000&lt;&gt;"NULL")*($G$7:$G$10000 &gt;= ($G$1-5))))/5</f>
        <v>0</v>
      </c>
    </row>
    <row r="314" spans="7:25" x14ac:dyDescent="0.35">
      <c r="G314" s="66">
        <v>4</v>
      </c>
      <c r="H314" t="s">
        <v>17</v>
      </c>
      <c r="I314" t="s">
        <v>284</v>
      </c>
      <c r="J314" t="s">
        <v>256</v>
      </c>
      <c r="K314" t="s">
        <v>3</v>
      </c>
      <c r="L314" t="s">
        <v>23</v>
      </c>
      <c r="M314">
        <f t="shared" si="28"/>
        <v>1.5370822907783657</v>
      </c>
      <c r="N314" t="str">
        <f t="shared" si="29"/>
        <v/>
      </c>
      <c r="O314" s="67" cm="1">
        <f t="array" ref="O314">SUMPRODUCT((G314=$G$7:$G$10000)*(M314&lt;$M$7:$M$10000))+1</f>
        <v>84</v>
      </c>
      <c r="P314" s="72"/>
      <c r="Q314">
        <v>7</v>
      </c>
      <c r="R314" t="str">
        <v>CHI</v>
      </c>
      <c r="S314" t="str">
        <v>Paddy Ryan</v>
      </c>
      <c r="T314" t="str">
        <v>NULL</v>
      </c>
      <c r="U314" t="str">
        <v>Away</v>
      </c>
      <c r="V314" t="str">
        <v>NOLA</v>
      </c>
      <c r="W314">
        <v>7.0918564130356438</v>
      </c>
      <c r="Y314" s="1" cm="1">
        <f t="array" ref="Y314">COUNT(_xlfn._xlws.FILTER($G$7:$G$10000,($I$7:$I$10000=X314)*($J$7:$J$10000&lt;&gt;"NULL")*($G$7:$G$10000 &gt;= ($G$1-5))))/5</f>
        <v>0</v>
      </c>
    </row>
    <row r="315" spans="7:25" x14ac:dyDescent="0.35">
      <c r="G315" s="66">
        <v>4</v>
      </c>
      <c r="H315" t="s">
        <v>36</v>
      </c>
      <c r="I315" t="s">
        <v>205</v>
      </c>
      <c r="J315" t="s">
        <v>256</v>
      </c>
      <c r="K315" t="s">
        <v>9</v>
      </c>
      <c r="L315" t="s">
        <v>13</v>
      </c>
      <c r="M315">
        <f t="shared" si="28"/>
        <v>1.3452574244954252</v>
      </c>
      <c r="N315" t="str">
        <f t="shared" si="29"/>
        <v/>
      </c>
      <c r="O315" s="67" cm="1">
        <f t="array" ref="O315">SUMPRODUCT((G315=$G$7:$G$10000)*(M315&lt;$M$7:$M$10000))+1</f>
        <v>85</v>
      </c>
      <c r="P315" s="72"/>
      <c r="Q315">
        <v>7</v>
      </c>
      <c r="R315" t="str">
        <v>NOLA</v>
      </c>
      <c r="S315" t="str">
        <v>Tupou Ma'afu Afungia</v>
      </c>
      <c r="T315" t="str">
        <v>NULL</v>
      </c>
      <c r="U315" t="str">
        <v>Home</v>
      </c>
      <c r="V315" t="str">
        <v>CHI</v>
      </c>
      <c r="W315">
        <v>7.0055363146593965</v>
      </c>
      <c r="Y315" s="1" cm="1">
        <f t="array" ref="Y315">COUNT(_xlfn._xlws.FILTER($G$7:$G$10000,($I$7:$I$10000=X315)*($J$7:$J$10000&lt;&gt;"NULL")*($G$7:$G$10000 &gt;= ($G$1-5))))/5</f>
        <v>0</v>
      </c>
    </row>
    <row r="316" spans="7:25" x14ac:dyDescent="0.35">
      <c r="G316" s="66">
        <v>4</v>
      </c>
      <c r="H316" t="s">
        <v>7</v>
      </c>
      <c r="I316" t="s">
        <v>148</v>
      </c>
      <c r="J316" t="s">
        <v>256</v>
      </c>
      <c r="K316" t="s">
        <v>3</v>
      </c>
      <c r="L316" t="s">
        <v>14</v>
      </c>
      <c r="M316">
        <f t="shared" si="28"/>
        <v>1.3418621413810934</v>
      </c>
      <c r="N316" t="str">
        <f t="shared" si="29"/>
        <v/>
      </c>
      <c r="O316" s="67" cm="1">
        <f t="array" ref="O316">SUMPRODUCT((G316=$G$7:$G$10000)*(M316&lt;$M$7:$M$10000))+1</f>
        <v>86</v>
      </c>
      <c r="P316" s="72"/>
      <c r="Q316">
        <v>7</v>
      </c>
      <c r="R316" t="str">
        <v>LA</v>
      </c>
      <c r="S316" t="str">
        <v>Jason Damm</v>
      </c>
      <c r="T316" t="str">
        <v>NULL</v>
      </c>
      <c r="U316" t="str">
        <v>Home</v>
      </c>
      <c r="V316" t="str">
        <v>OGDC</v>
      </c>
      <c r="W316">
        <v>6.8861593887283679</v>
      </c>
      <c r="Y316" s="1" cm="1">
        <f t="array" ref="Y316">COUNT(_xlfn._xlws.FILTER($G$7:$G$10000,($I$7:$I$10000=X316)*($J$7:$J$10000&lt;&gt;"NULL")*($G$7:$G$10000 &gt;= ($G$1-5))))/5</f>
        <v>0</v>
      </c>
    </row>
    <row r="317" spans="7:25" x14ac:dyDescent="0.35">
      <c r="G317" s="66">
        <v>4</v>
      </c>
      <c r="H317" t="s">
        <v>13</v>
      </c>
      <c r="I317" t="s">
        <v>467</v>
      </c>
      <c r="J317" t="s">
        <v>256</v>
      </c>
      <c r="K317" t="s">
        <v>3</v>
      </c>
      <c r="L317" t="s">
        <v>36</v>
      </c>
      <c r="M317">
        <f t="shared" si="28"/>
        <v>0.95506744572161928</v>
      </c>
      <c r="N317" t="str">
        <f t="shared" si="29"/>
        <v/>
      </c>
      <c r="O317" s="67" cm="1">
        <f t="array" ref="O317">SUMPRODUCT((G317=$G$7:$G$10000)*(M317&lt;$M$7:$M$10000))+1</f>
        <v>87</v>
      </c>
      <c r="P317" s="72"/>
      <c r="Q317">
        <v>7</v>
      </c>
      <c r="R317" t="str">
        <v>ARC</v>
      </c>
      <c r="S317" t="str">
        <v>Makeen Alikhan</v>
      </c>
      <c r="T317" t="str">
        <v>NULL</v>
      </c>
      <c r="U317" t="str">
        <v>Away</v>
      </c>
      <c r="V317" t="str">
        <v>SEA</v>
      </c>
      <c r="W317">
        <v>6.7000786672598913</v>
      </c>
      <c r="Y317" s="1" cm="1">
        <f t="array" ref="Y317">COUNT(_xlfn._xlws.FILTER($G$7:$G$10000,($I$7:$I$10000=X317)*($J$7:$J$10000&lt;&gt;"NULL")*($G$7:$G$10000 &gt;= ($G$1-5))))/5</f>
        <v>0</v>
      </c>
    </row>
    <row r="318" spans="7:25" x14ac:dyDescent="0.35">
      <c r="G318" s="66">
        <v>4</v>
      </c>
      <c r="H318" t="s">
        <v>7</v>
      </c>
      <c r="I318" t="s">
        <v>277</v>
      </c>
      <c r="J318" t="s">
        <v>256</v>
      </c>
      <c r="K318" t="s">
        <v>3</v>
      </c>
      <c r="L318" t="s">
        <v>14</v>
      </c>
      <c r="M318">
        <f t="shared" si="28"/>
        <v>0.91561696985103147</v>
      </c>
      <c r="N318" t="str">
        <f t="shared" si="29"/>
        <v/>
      </c>
      <c r="O318" s="67" cm="1">
        <f t="array" ref="O318">SUMPRODUCT((G318=$G$7:$G$10000)*(M318&lt;$M$7:$M$10000))+1</f>
        <v>88</v>
      </c>
      <c r="P318" s="72"/>
      <c r="Q318">
        <v>7</v>
      </c>
      <c r="R318" t="str">
        <v>NOLA</v>
      </c>
      <c r="S318" t="str">
        <v>William Waguespack</v>
      </c>
      <c r="T318" t="str">
        <v>NULL</v>
      </c>
      <c r="U318" t="str">
        <v>Home</v>
      </c>
      <c r="V318" t="str">
        <v>CHI</v>
      </c>
      <c r="W318">
        <v>6.6016477496730861</v>
      </c>
      <c r="Y318" s="1" cm="1">
        <f t="array" ref="Y318">COUNT(_xlfn._xlws.FILTER($G$7:$G$10000,($I$7:$I$10000=X318)*($J$7:$J$10000&lt;&gt;"NULL")*($G$7:$G$10000 &gt;= ($G$1-5))))/5</f>
        <v>0</v>
      </c>
    </row>
    <row r="319" spans="7:25" x14ac:dyDescent="0.35">
      <c r="G319" s="66">
        <v>4</v>
      </c>
      <c r="H319" t="s">
        <v>36</v>
      </c>
      <c r="I319" t="s">
        <v>112</v>
      </c>
      <c r="J319" t="s">
        <v>256</v>
      </c>
      <c r="K319" t="s">
        <v>9</v>
      </c>
      <c r="L319" t="s">
        <v>13</v>
      </c>
      <c r="M319">
        <f t="shared" si="28"/>
        <v>0.78008834542498429</v>
      </c>
      <c r="N319" t="str">
        <f t="shared" si="29"/>
        <v/>
      </c>
      <c r="O319" s="67" cm="1">
        <f t="array" ref="O319">SUMPRODUCT((G319=$G$7:$G$10000)*(M319&lt;$M$7:$M$10000))+1</f>
        <v>89</v>
      </c>
      <c r="P319" s="72"/>
      <c r="Q319">
        <v>7</v>
      </c>
      <c r="R319" t="str">
        <v>SDL</v>
      </c>
      <c r="S319" t="str">
        <v>Tevita Tameilau</v>
      </c>
      <c r="T319" t="str">
        <v>NULL</v>
      </c>
      <c r="U319" t="str">
        <v>Away</v>
      </c>
      <c r="V319" t="str">
        <v>HOU</v>
      </c>
      <c r="W319">
        <v>6.4898032925544547</v>
      </c>
      <c r="Y319" s="1" cm="1">
        <f t="array" ref="Y319">COUNT(_xlfn._xlws.FILTER($G$7:$G$10000,($I$7:$I$10000=X319)*($J$7:$J$10000&lt;&gt;"NULL")*($G$7:$G$10000 &gt;= ($G$1-5))))/5</f>
        <v>0</v>
      </c>
    </row>
    <row r="320" spans="7:25" x14ac:dyDescent="0.35">
      <c r="G320" s="66">
        <v>4</v>
      </c>
      <c r="H320" t="s">
        <v>17</v>
      </c>
      <c r="I320" t="s">
        <v>167</v>
      </c>
      <c r="J320" t="s">
        <v>256</v>
      </c>
      <c r="K320" t="s">
        <v>3</v>
      </c>
      <c r="L320" t="s">
        <v>23</v>
      </c>
      <c r="M320">
        <f t="shared" si="28"/>
        <v>0.58099325110302047</v>
      </c>
      <c r="N320" t="str">
        <f t="shared" si="29"/>
        <v/>
      </c>
      <c r="O320" s="67" cm="1">
        <f t="array" ref="O320">SUMPRODUCT((G320=$G$7:$G$10000)*(M320&lt;$M$7:$M$10000))+1</f>
        <v>90</v>
      </c>
      <c r="P320" s="72"/>
      <c r="Q320">
        <v>7</v>
      </c>
      <c r="R320" t="str">
        <v>UTAH</v>
      </c>
      <c r="S320" t="str">
        <v>Dylan Nel</v>
      </c>
      <c r="T320" t="str">
        <v>NULL</v>
      </c>
      <c r="U320" t="str">
        <v>Home</v>
      </c>
      <c r="V320" t="str">
        <v>NEFJ</v>
      </c>
      <c r="W320">
        <v>6.2930947652317082</v>
      </c>
      <c r="Y320" s="1" cm="1">
        <f t="array" ref="Y320">COUNT(_xlfn._xlws.FILTER($G$7:$G$10000,($I$7:$I$10000=X320)*($J$7:$J$10000&lt;&gt;"NULL")*($G$7:$G$10000 &gt;= ($G$1-5))))/5</f>
        <v>0</v>
      </c>
    </row>
    <row r="321" spans="7:25" x14ac:dyDescent="0.35">
      <c r="G321" s="66">
        <v>4</v>
      </c>
      <c r="H321" t="s">
        <v>36</v>
      </c>
      <c r="I321" t="s">
        <v>117</v>
      </c>
      <c r="J321" t="s">
        <v>256</v>
      </c>
      <c r="K321" t="s">
        <v>9</v>
      </c>
      <c r="L321" t="s">
        <v>13</v>
      </c>
      <c r="M321">
        <f t="shared" si="28"/>
        <v>0.44930201636636991</v>
      </c>
      <c r="N321" t="str">
        <f t="shared" si="29"/>
        <v/>
      </c>
      <c r="O321" s="67" cm="1">
        <f t="array" ref="O321">SUMPRODUCT((G321=$G$7:$G$10000)*(M321&lt;$M$7:$M$10000))+1</f>
        <v>91</v>
      </c>
      <c r="P321" s="72"/>
      <c r="Q321">
        <v>7</v>
      </c>
      <c r="R321" t="str">
        <v>HOU</v>
      </c>
      <c r="S321" t="str">
        <v>Emmanuel Albert</v>
      </c>
      <c r="T321" t="str">
        <v>NULL</v>
      </c>
      <c r="U321" t="str">
        <v>Home</v>
      </c>
      <c r="V321" t="str">
        <v>SDL</v>
      </c>
      <c r="W321">
        <v>6.1818870857395432</v>
      </c>
      <c r="Y321" s="1" cm="1">
        <f t="array" ref="Y321">COUNT(_xlfn._xlws.FILTER($G$7:$G$10000,($I$7:$I$10000=X321)*($J$7:$J$10000&lt;&gt;"NULL")*($G$7:$G$10000 &gt;= ($G$1-5))))/5</f>
        <v>0</v>
      </c>
    </row>
    <row r="322" spans="7:25" x14ac:dyDescent="0.35">
      <c r="G322" s="66">
        <v>4</v>
      </c>
      <c r="H322" t="s">
        <v>36</v>
      </c>
      <c r="I322" t="s">
        <v>216</v>
      </c>
      <c r="J322" t="s">
        <v>256</v>
      </c>
      <c r="K322" t="s">
        <v>9</v>
      </c>
      <c r="L322" t="s">
        <v>13</v>
      </c>
      <c r="M322">
        <f t="shared" si="28"/>
        <v>0.22676020527263052</v>
      </c>
      <c r="N322" t="str">
        <f t="shared" si="29"/>
        <v/>
      </c>
      <c r="O322" s="67" cm="1">
        <f t="array" ref="O322">SUMPRODUCT((G322=$G$7:$G$10000)*(M322&lt;$M$7:$M$10000))+1</f>
        <v>92</v>
      </c>
      <c r="P322" s="72"/>
      <c r="Q322">
        <v>7</v>
      </c>
      <c r="R322" t="str">
        <v>NOLA</v>
      </c>
      <c r="S322" t="str">
        <v>Chase Jones</v>
      </c>
      <c r="T322" t="str">
        <v>NULL</v>
      </c>
      <c r="U322" t="str">
        <v>Home</v>
      </c>
      <c r="V322" t="str">
        <v>CHI</v>
      </c>
      <c r="W322">
        <v>6.0212809515894641</v>
      </c>
      <c r="Y322" s="1" cm="1">
        <f t="array" ref="Y322">COUNT(_xlfn._xlws.FILTER($G$7:$G$10000,($I$7:$I$10000=X322)*($J$7:$J$10000&lt;&gt;"NULL")*($G$7:$G$10000 &gt;= ($G$1-5))))/5</f>
        <v>0</v>
      </c>
    </row>
    <row r="323" spans="7:25" x14ac:dyDescent="0.35">
      <c r="G323" s="66">
        <v>4</v>
      </c>
      <c r="H323" t="s">
        <v>17</v>
      </c>
      <c r="I323" t="s">
        <v>423</v>
      </c>
      <c r="J323" t="s">
        <v>256</v>
      </c>
      <c r="K323" t="s">
        <v>3</v>
      </c>
      <c r="L323" t="s">
        <v>23</v>
      </c>
      <c r="M323">
        <f t="shared" si="28"/>
        <v>-6.4060638741463727E-2</v>
      </c>
      <c r="N323" t="str">
        <f t="shared" si="29"/>
        <v/>
      </c>
      <c r="O323" s="67" cm="1">
        <f t="array" ref="O323">SUMPRODUCT((G323=$G$7:$G$10000)*(M323&lt;$M$7:$M$10000))+1</f>
        <v>93</v>
      </c>
      <c r="P323" s="72"/>
      <c r="Q323">
        <v>7</v>
      </c>
      <c r="R323" t="str">
        <v>OGDC</v>
      </c>
      <c r="S323" t="str">
        <v>Cory Daniel</v>
      </c>
      <c r="T323" t="str">
        <v>NULL</v>
      </c>
      <c r="U323" t="str">
        <v>Away</v>
      </c>
      <c r="V323" t="str">
        <v>LA</v>
      </c>
      <c r="W323">
        <v>5.9485495028422317</v>
      </c>
      <c r="Y323" s="1" cm="1">
        <f t="array" ref="Y323">COUNT(_xlfn._xlws.FILTER($G$7:$G$10000,($I$7:$I$10000=X323)*($J$7:$J$10000&lt;&gt;"NULL")*($G$7:$G$10000 &gt;= ($G$1-5))))/5</f>
        <v>0</v>
      </c>
    </row>
    <row r="324" spans="7:25" x14ac:dyDescent="0.35">
      <c r="G324" s="66">
        <v>4</v>
      </c>
      <c r="H324" t="s">
        <v>36</v>
      </c>
      <c r="I324" t="s">
        <v>415</v>
      </c>
      <c r="J324" t="s">
        <v>256</v>
      </c>
      <c r="K324" t="s">
        <v>9</v>
      </c>
      <c r="L324" t="s">
        <v>13</v>
      </c>
      <c r="M324">
        <f t="shared" si="28"/>
        <v>-0.92443420203748783</v>
      </c>
      <c r="N324" t="str">
        <f t="shared" si="29"/>
        <v/>
      </c>
      <c r="O324" s="67" cm="1">
        <f t="array" ref="O324">SUMPRODUCT((G324=$G$7:$G$10000)*(M324&lt;$M$7:$M$10000))+1</f>
        <v>94</v>
      </c>
      <c r="P324" s="72"/>
      <c r="Q324">
        <v>7</v>
      </c>
      <c r="R324" t="str">
        <v>NOLA</v>
      </c>
      <c r="S324" t="str">
        <v>Kellen Galletier</v>
      </c>
      <c r="T324" t="str">
        <v>NULL</v>
      </c>
      <c r="U324" t="str">
        <v>Home</v>
      </c>
      <c r="V324" t="str">
        <v>CHI</v>
      </c>
      <c r="W324">
        <v>5.9205046835684652</v>
      </c>
      <c r="Y324" s="1" cm="1">
        <f t="array" ref="Y324">COUNT(_xlfn._xlws.FILTER($G$7:$G$10000,($I$7:$I$10000=X324)*($J$7:$J$10000&lt;&gt;"NULL")*($G$7:$G$10000 &gt;= ($G$1-5))))/5</f>
        <v>0</v>
      </c>
    </row>
    <row r="325" spans="7:25" x14ac:dyDescent="0.35">
      <c r="G325" s="66">
        <v>4</v>
      </c>
      <c r="H325" t="s">
        <v>36</v>
      </c>
      <c r="I325" t="s">
        <v>224</v>
      </c>
      <c r="J325" t="s">
        <v>256</v>
      </c>
      <c r="K325" t="s">
        <v>9</v>
      </c>
      <c r="L325" t="s">
        <v>13</v>
      </c>
      <c r="M325">
        <f t="shared" si="28"/>
        <v>-0.97546205041175593</v>
      </c>
      <c r="N325" t="str">
        <f t="shared" si="29"/>
        <v/>
      </c>
      <c r="O325" s="67" cm="1">
        <f t="array" ref="O325">SUMPRODUCT((G325=$G$7:$G$10000)*(M325&lt;$M$7:$M$10000))+1</f>
        <v>95</v>
      </c>
      <c r="P325" s="72"/>
      <c r="Q325">
        <v>7</v>
      </c>
      <c r="R325" t="str">
        <v>HOU</v>
      </c>
      <c r="S325" t="str">
        <v>Johan Momsen</v>
      </c>
      <c r="T325" t="str">
        <v>NULL</v>
      </c>
      <c r="U325" t="str">
        <v>Home</v>
      </c>
      <c r="V325" t="str">
        <v>SDL</v>
      </c>
      <c r="W325">
        <v>5.6167180066691014</v>
      </c>
      <c r="Y325" s="1" cm="1">
        <f t="array" ref="Y325">COUNT(_xlfn._xlws.FILTER($G$7:$G$10000,($I$7:$I$10000=X325)*($J$7:$J$10000&lt;&gt;"NULL")*($G$7:$G$10000 &gt;= ($G$1-5))))/5</f>
        <v>0</v>
      </c>
    </row>
    <row r="326" spans="7:25" x14ac:dyDescent="0.35">
      <c r="G326" s="66">
        <v>4</v>
      </c>
      <c r="H326" t="s">
        <v>17</v>
      </c>
      <c r="I326" t="s">
        <v>155</v>
      </c>
      <c r="J326" t="s">
        <v>256</v>
      </c>
      <c r="K326" t="s">
        <v>3</v>
      </c>
      <c r="L326" t="s">
        <v>23</v>
      </c>
      <c r="M326">
        <f t="shared" si="28"/>
        <v>-1.2405030365985388</v>
      </c>
      <c r="N326" t="str">
        <f t="shared" si="29"/>
        <v/>
      </c>
      <c r="O326" s="67" cm="1">
        <f t="array" ref="O326">SUMPRODUCT((G326=$G$7:$G$10000)*(M326&lt;$M$7:$M$10000))+1</f>
        <v>96</v>
      </c>
      <c r="P326" s="72"/>
      <c r="Q326">
        <v>7</v>
      </c>
      <c r="R326" t="str">
        <v>ARC</v>
      </c>
      <c r="S326" t="str">
        <v>Connor Robinson</v>
      </c>
      <c r="T326" t="str">
        <v>NULL</v>
      </c>
      <c r="U326" t="str">
        <v>Away</v>
      </c>
      <c r="V326" t="str">
        <v>SEA</v>
      </c>
      <c r="W326">
        <v>5.5711324614908229</v>
      </c>
      <c r="Y326" s="1" cm="1">
        <f t="array" ref="Y326">COUNT(_xlfn._xlws.FILTER($G$7:$G$10000,($I$7:$I$10000=X326)*($J$7:$J$10000&lt;&gt;"NULL")*($G$7:$G$10000 &gt;= ($G$1-5))))/5</f>
        <v>0</v>
      </c>
    </row>
    <row r="327" spans="7:25" x14ac:dyDescent="0.35">
      <c r="G327" s="66">
        <v>4</v>
      </c>
      <c r="H327" t="s">
        <v>36</v>
      </c>
      <c r="I327" t="s">
        <v>283</v>
      </c>
      <c r="J327" t="s">
        <v>256</v>
      </c>
      <c r="K327" t="s">
        <v>9</v>
      </c>
      <c r="L327" t="s">
        <v>13</v>
      </c>
      <c r="M327">
        <f t="shared" si="28"/>
        <v>-1.2684651297341523</v>
      </c>
      <c r="N327" t="str">
        <f t="shared" si="29"/>
        <v/>
      </c>
      <c r="O327" s="67" cm="1">
        <f t="array" ref="O327">SUMPRODUCT((G327=$G$7:$G$10000)*(M327&lt;$M$7:$M$10000))+1</f>
        <v>97</v>
      </c>
      <c r="P327" s="72"/>
      <c r="Q327">
        <v>7</v>
      </c>
      <c r="R327" t="str">
        <v>NOLA</v>
      </c>
      <c r="S327" t="str">
        <v>Tesimoni Tonga'uiha</v>
      </c>
      <c r="T327" t="str">
        <v>NULL</v>
      </c>
      <c r="U327" t="str">
        <v>Home</v>
      </c>
      <c r="V327" t="str">
        <v>CHI</v>
      </c>
      <c r="W327">
        <v>5.3791670910050726</v>
      </c>
      <c r="Y327" s="1" cm="1">
        <f t="array" ref="Y327">COUNT(_xlfn._xlws.FILTER($G$7:$G$10000,($I$7:$I$10000=X327)*($J$7:$J$10000&lt;&gt;"NULL")*($G$7:$G$10000 &gt;= ($G$1-5))))/5</f>
        <v>0</v>
      </c>
    </row>
    <row r="328" spans="7:25" x14ac:dyDescent="0.35">
      <c r="G328" s="66">
        <v>4</v>
      </c>
      <c r="H328" t="s">
        <v>36</v>
      </c>
      <c r="I328" t="s">
        <v>414</v>
      </c>
      <c r="J328" t="s">
        <v>256</v>
      </c>
      <c r="K328" t="s">
        <v>9</v>
      </c>
      <c r="L328" t="s">
        <v>13</v>
      </c>
      <c r="M328">
        <f t="shared" si="28"/>
        <v>-1.8948701562413577</v>
      </c>
      <c r="N328" t="str">
        <f t="shared" si="29"/>
        <v/>
      </c>
      <c r="O328" s="67" cm="1">
        <f t="array" ref="O328">SUMPRODUCT((G328=$G$7:$G$10000)*(M328&lt;$M$7:$M$10000))+1</f>
        <v>98</v>
      </c>
      <c r="P328" s="72"/>
      <c r="Q328">
        <v>7</v>
      </c>
      <c r="R328" t="str">
        <v>HOU</v>
      </c>
      <c r="S328" t="str">
        <v>Nathan Den Hoedt</v>
      </c>
      <c r="T328" t="str">
        <v>NULL</v>
      </c>
      <c r="U328" t="str">
        <v>Home</v>
      </c>
      <c r="V328" t="str">
        <v>SDL</v>
      </c>
      <c r="W328">
        <v>5.2859316776104865</v>
      </c>
      <c r="Y328" s="1" cm="1">
        <f t="array" ref="Y328">COUNT(_xlfn._xlws.FILTER($G$7:$G$10000,($I$7:$I$10000=X328)*($J$7:$J$10000&lt;&gt;"NULL")*($G$7:$G$10000 &gt;= ($G$1-5))))/5</f>
        <v>0</v>
      </c>
    </row>
    <row r="329" spans="7:25" x14ac:dyDescent="0.35">
      <c r="G329" s="66">
        <v>4</v>
      </c>
      <c r="H329" t="s">
        <v>36</v>
      </c>
      <c r="I329" t="s">
        <v>106</v>
      </c>
      <c r="J329" t="s">
        <v>256</v>
      </c>
      <c r="K329" t="s">
        <v>9</v>
      </c>
      <c r="L329" t="s">
        <v>13</v>
      </c>
      <c r="M329">
        <f t="shared" si="28"/>
        <v>-6.4359856995557232</v>
      </c>
      <c r="N329" t="str">
        <f t="shared" si="29"/>
        <v/>
      </c>
      <c r="O329" s="67" cm="1">
        <f t="array" ref="O329">SUMPRODUCT((G329=$G$7:$G$10000)*(M329&lt;$M$7:$M$10000))+1</f>
        <v>99</v>
      </c>
      <c r="P329" s="72"/>
      <c r="Q329">
        <v>7</v>
      </c>
      <c r="R329" t="str">
        <v>HOU</v>
      </c>
      <c r="S329" t="str">
        <v>Marno Redelinghuys</v>
      </c>
      <c r="T329" t="str">
        <v>NULL</v>
      </c>
      <c r="U329" t="str">
        <v>Home</v>
      </c>
      <c r="V329" t="str">
        <v>SDL</v>
      </c>
      <c r="W329">
        <v>5.0633898665167472</v>
      </c>
      <c r="Y329" s="1" cm="1">
        <f t="array" ref="Y329">COUNT(_xlfn._xlws.FILTER($G$7:$G$10000,($I$7:$I$10000=X329)*($J$7:$J$10000&lt;&gt;"NULL")*($G$7:$G$10000 &gt;= ($G$1-5))))/5</f>
        <v>0</v>
      </c>
    </row>
    <row r="330" spans="7:25" x14ac:dyDescent="0.35">
      <c r="G330" s="66">
        <v>4</v>
      </c>
      <c r="H330" t="s">
        <v>24</v>
      </c>
      <c r="I330" t="s">
        <v>142</v>
      </c>
      <c r="J330" t="s">
        <v>256</v>
      </c>
      <c r="K330" t="s">
        <v>3</v>
      </c>
      <c r="L330" t="s">
        <v>2</v>
      </c>
      <c r="M330">
        <f t="shared" si="28"/>
        <v>-7.1496658213664537</v>
      </c>
      <c r="N330" t="str">
        <f t="shared" si="29"/>
        <v/>
      </c>
      <c r="O330" s="67" cm="1">
        <f t="array" ref="O330">SUMPRODUCT((G330=$G$7:$G$10000)*(M330&lt;$M$7:$M$10000))+1</f>
        <v>100</v>
      </c>
      <c r="P330" s="72"/>
      <c r="Q330">
        <v>7</v>
      </c>
      <c r="R330" t="str">
        <v>UTAH</v>
      </c>
      <c r="S330" t="str">
        <v>Aki Seiuli</v>
      </c>
      <c r="T330" t="str">
        <v>NULL</v>
      </c>
      <c r="U330" t="str">
        <v>Home</v>
      </c>
      <c r="V330" t="str">
        <v>NEFJ</v>
      </c>
      <c r="W330">
        <v>5.0055174947718744</v>
      </c>
      <c r="Y330" s="1" cm="1">
        <f t="array" ref="Y330">COUNT(_xlfn._xlws.FILTER($G$7:$G$10000,($I$7:$I$10000=X330)*($J$7:$J$10000&lt;&gt;"NULL")*($G$7:$G$10000 &gt;= ($G$1-5))))/5</f>
        <v>0</v>
      </c>
    </row>
    <row r="331" spans="7:25" x14ac:dyDescent="0.35">
      <c r="G331" s="66">
        <v>5</v>
      </c>
      <c r="H331" t="s">
        <v>17</v>
      </c>
      <c r="I331" t="s">
        <v>485</v>
      </c>
      <c r="J331" t="s">
        <v>256</v>
      </c>
      <c r="K331" t="s">
        <v>9</v>
      </c>
      <c r="L331" t="s">
        <v>6</v>
      </c>
      <c r="M331">
        <f t="shared" si="28"/>
        <v>19.40254216116648</v>
      </c>
      <c r="N331" t="str">
        <f t="shared" si="29"/>
        <v/>
      </c>
      <c r="O331" s="67" cm="1">
        <f t="array" ref="O331">SUMPRODUCT((G331=$G$7:$G$10000)*(M331&lt;$M$7:$M$10000))+1</f>
        <v>1</v>
      </c>
      <c r="P331" s="72"/>
      <c r="Q331">
        <v>7</v>
      </c>
      <c r="R331" t="str">
        <v>NOLA</v>
      </c>
      <c r="S331" t="str">
        <v>Alex Lopeti</v>
      </c>
      <c r="T331" t="str">
        <v>NULL</v>
      </c>
      <c r="U331" t="str">
        <v>Home</v>
      </c>
      <c r="V331" t="str">
        <v>CHI</v>
      </c>
      <c r="W331">
        <v>4.9969138159530031</v>
      </c>
      <c r="Y331" s="1" cm="1">
        <f t="array" ref="Y331">COUNT(_xlfn._xlws.FILTER($G$7:$G$10000,($I$7:$I$10000=X331)*($J$7:$J$10000&lt;&gt;"NULL")*($G$7:$G$10000 &gt;= ($G$1-5))))/5</f>
        <v>0</v>
      </c>
    </row>
    <row r="332" spans="7:25" x14ac:dyDescent="0.35">
      <c r="G332" s="66">
        <v>5</v>
      </c>
      <c r="H332" t="s">
        <v>23</v>
      </c>
      <c r="I332" t="s">
        <v>428</v>
      </c>
      <c r="J332" t="s">
        <v>256</v>
      </c>
      <c r="K332" t="s">
        <v>3</v>
      </c>
      <c r="L332" t="s">
        <v>4</v>
      </c>
      <c r="M332">
        <f t="shared" si="28"/>
        <v>11.972651755323847</v>
      </c>
      <c r="N332" t="str">
        <f t="shared" si="29"/>
        <v/>
      </c>
      <c r="O332" s="67" cm="1">
        <f t="array" ref="O332">SUMPRODUCT((G332=$G$7:$G$10000)*(M332&lt;$M$7:$M$10000))+1</f>
        <v>2</v>
      </c>
      <c r="P332" s="72"/>
      <c r="Q332">
        <v>7</v>
      </c>
      <c r="R332" t="str">
        <v>NOLA</v>
      </c>
      <c r="S332" t="str">
        <v>Malcolm May</v>
      </c>
      <c r="T332" t="str">
        <v>NULL</v>
      </c>
      <c r="U332" t="str">
        <v>Home</v>
      </c>
      <c r="V332" t="str">
        <v>CHI</v>
      </c>
      <c r="W332">
        <v>4.8186879033960164</v>
      </c>
      <c r="Y332" s="1" cm="1">
        <f t="array" ref="Y332">COUNT(_xlfn._xlws.FILTER($G$7:$G$10000,($I$7:$I$10000=X332)*($J$7:$J$10000&lt;&gt;"NULL")*($G$7:$G$10000 &gt;= ($G$1-5))))/5</f>
        <v>0</v>
      </c>
    </row>
    <row r="333" spans="7:25" x14ac:dyDescent="0.35">
      <c r="G333" s="66">
        <v>5</v>
      </c>
      <c r="H333" t="s">
        <v>23</v>
      </c>
      <c r="I333" t="s">
        <v>389</v>
      </c>
      <c r="J333" t="s">
        <v>256</v>
      </c>
      <c r="K333" t="s">
        <v>3</v>
      </c>
      <c r="L333" t="s">
        <v>4</v>
      </c>
      <c r="M333">
        <f t="shared" si="28"/>
        <v>11.155163626936996</v>
      </c>
      <c r="N333" t="str">
        <f t="shared" si="29"/>
        <v/>
      </c>
      <c r="O333" s="67" cm="1">
        <f t="array" ref="O333">SUMPRODUCT((G333=$G$7:$G$10000)*(M333&lt;$M$7:$M$10000))+1</f>
        <v>3</v>
      </c>
      <c r="P333" s="72"/>
      <c r="Q333">
        <v>7</v>
      </c>
      <c r="R333" t="str">
        <v>ARC</v>
      </c>
      <c r="S333" t="str">
        <v>Dylan Fortune</v>
      </c>
      <c r="T333" t="str">
        <v>NULL</v>
      </c>
      <c r="U333" t="str">
        <v>Away</v>
      </c>
      <c r="V333" t="str">
        <v>SEA</v>
      </c>
      <c r="W333">
        <v>4.7167329957488811</v>
      </c>
      <c r="Y333" s="1" cm="1">
        <f t="array" ref="Y333">COUNT(_xlfn._xlws.FILTER($G$7:$G$10000,($I$7:$I$10000=X333)*($J$7:$J$10000&lt;&gt;"NULL")*($G$7:$G$10000 &gt;= ($G$1-5))))/5</f>
        <v>0</v>
      </c>
    </row>
    <row r="334" spans="7:25" x14ac:dyDescent="0.35">
      <c r="G334" s="66">
        <v>5</v>
      </c>
      <c r="H334" t="s">
        <v>13</v>
      </c>
      <c r="I334" t="s">
        <v>463</v>
      </c>
      <c r="J334" t="s">
        <v>256</v>
      </c>
      <c r="K334" t="s">
        <v>9</v>
      </c>
      <c r="L334" t="s">
        <v>24</v>
      </c>
      <c r="M334">
        <f t="shared" si="28"/>
        <v>10.902946368647498</v>
      </c>
      <c r="N334" t="str">
        <f t="shared" si="29"/>
        <v/>
      </c>
      <c r="O334" s="67" cm="1">
        <f t="array" ref="O334">SUMPRODUCT((G334=$G$7:$G$10000)*(M334&lt;$M$7:$M$10000))+1</f>
        <v>4</v>
      </c>
      <c r="P334" s="72"/>
      <c r="Q334">
        <v>7</v>
      </c>
      <c r="R334" t="str">
        <v>SEA</v>
      </c>
      <c r="S334" t="str">
        <v>Huw Taylor</v>
      </c>
      <c r="T334" t="str">
        <v>NULL</v>
      </c>
      <c r="U334" t="str">
        <v>Home</v>
      </c>
      <c r="V334" t="str">
        <v>ARC</v>
      </c>
      <c r="W334">
        <v>4.7017265208211398</v>
      </c>
      <c r="Y334" s="1" cm="1">
        <f t="array" ref="Y334">COUNT(_xlfn._xlws.FILTER($G$7:$G$10000,($I$7:$I$10000=X334)*($J$7:$J$10000&lt;&gt;"NULL")*($G$7:$G$10000 &gt;= ($G$1-5))))/5</f>
        <v>0</v>
      </c>
    </row>
    <row r="335" spans="7:25" x14ac:dyDescent="0.35">
      <c r="G335" s="66">
        <v>5</v>
      </c>
      <c r="H335" t="s">
        <v>17</v>
      </c>
      <c r="I335" t="s">
        <v>480</v>
      </c>
      <c r="J335" t="s">
        <v>256</v>
      </c>
      <c r="K335" t="s">
        <v>9</v>
      </c>
      <c r="L335" t="s">
        <v>6</v>
      </c>
      <c r="M335">
        <f t="shared" si="28"/>
        <v>10.868759891128668</v>
      </c>
      <c r="N335" t="str">
        <f t="shared" si="29"/>
        <v/>
      </c>
      <c r="O335" s="67" cm="1">
        <f t="array" ref="O335">SUMPRODUCT((G335=$G$7:$G$10000)*(M335&lt;$M$7:$M$10000))+1</f>
        <v>5</v>
      </c>
      <c r="P335" s="72"/>
      <c r="Q335">
        <v>7</v>
      </c>
      <c r="R335" t="str">
        <v>UTAH</v>
      </c>
      <c r="S335" t="str">
        <v>Frank Lochore</v>
      </c>
      <c r="T335" t="str">
        <v>NULL</v>
      </c>
      <c r="U335" t="str">
        <v>Home</v>
      </c>
      <c r="V335" t="str">
        <v>NEFJ</v>
      </c>
      <c r="W335">
        <v>4.6019395927164224</v>
      </c>
      <c r="Y335" s="1" cm="1">
        <f t="array" ref="Y335">COUNT(_xlfn._xlws.FILTER($G$7:$G$10000,($I$7:$I$10000=X335)*($J$7:$J$10000&lt;&gt;"NULL")*($G$7:$G$10000 &gt;= ($G$1-5))))/5</f>
        <v>0</v>
      </c>
    </row>
    <row r="336" spans="7:25" x14ac:dyDescent="0.35">
      <c r="G336" s="66">
        <v>5</v>
      </c>
      <c r="H336" t="s">
        <v>6</v>
      </c>
      <c r="I336" t="s">
        <v>430</v>
      </c>
      <c r="J336" t="s">
        <v>256</v>
      </c>
      <c r="K336" t="s">
        <v>3</v>
      </c>
      <c r="L336" t="s">
        <v>17</v>
      </c>
      <c r="M336">
        <f t="shared" si="28"/>
        <v>10.269712784117601</v>
      </c>
      <c r="N336" t="str">
        <f t="shared" si="29"/>
        <v/>
      </c>
      <c r="O336" s="67" cm="1">
        <f t="array" ref="O336">SUMPRODUCT((G336=$G$7:$G$10000)*(M336&lt;$M$7:$M$10000))+1</f>
        <v>6</v>
      </c>
      <c r="P336" s="72"/>
      <c r="Q336">
        <v>7</v>
      </c>
      <c r="R336" t="str">
        <v>ARC</v>
      </c>
      <c r="S336" t="str">
        <v>Sam Golla</v>
      </c>
      <c r="T336" t="str">
        <v>NULL</v>
      </c>
      <c r="U336" t="str">
        <v>Away</v>
      </c>
      <c r="V336" t="str">
        <v>SEA</v>
      </c>
      <c r="W336">
        <v>4.6003538445725045</v>
      </c>
      <c r="Y336" s="1" cm="1">
        <f t="array" ref="Y336">COUNT(_xlfn._xlws.FILTER($G$7:$G$10000,($I$7:$I$10000=X336)*($J$7:$J$10000&lt;&gt;"NULL")*($G$7:$G$10000 &gt;= ($G$1-5))))/5</f>
        <v>0</v>
      </c>
    </row>
    <row r="337" spans="7:25" x14ac:dyDescent="0.35">
      <c r="G337" s="66">
        <v>5</v>
      </c>
      <c r="H337" t="s">
        <v>2</v>
      </c>
      <c r="I337" t="s">
        <v>212</v>
      </c>
      <c r="J337" t="s">
        <v>256</v>
      </c>
      <c r="K337" t="s">
        <v>3</v>
      </c>
      <c r="L337" t="s">
        <v>7</v>
      </c>
      <c r="M337">
        <f t="shared" si="28"/>
        <v>9.6088938328528357</v>
      </c>
      <c r="N337" t="str">
        <f t="shared" si="29"/>
        <v/>
      </c>
      <c r="O337" s="67" cm="1">
        <f t="array" ref="O337">SUMPRODUCT((G337=$G$7:$G$10000)*(M337&lt;$M$7:$M$10000))+1</f>
        <v>7</v>
      </c>
      <c r="P337" s="72"/>
      <c r="Q337">
        <v>7</v>
      </c>
      <c r="R337" t="str">
        <v>ARC</v>
      </c>
      <c r="S337" t="str">
        <v>Viliami Vuli</v>
      </c>
      <c r="T337" t="str">
        <v>NULL</v>
      </c>
      <c r="U337" t="str">
        <v>Away</v>
      </c>
      <c r="V337" t="str">
        <v>SEA</v>
      </c>
      <c r="W337">
        <v>4.5422840099843347</v>
      </c>
      <c r="Y337" s="1" cm="1">
        <f t="array" ref="Y337">COUNT(_xlfn._xlws.FILTER($G$7:$G$10000,($I$7:$I$10000=X337)*($J$7:$J$10000&lt;&gt;"NULL")*($G$7:$G$10000 &gt;= ($G$1-5))))/5</f>
        <v>0</v>
      </c>
    </row>
    <row r="338" spans="7:25" x14ac:dyDescent="0.35">
      <c r="G338" s="66">
        <v>5</v>
      </c>
      <c r="H338" t="s">
        <v>4</v>
      </c>
      <c r="I338" t="s">
        <v>175</v>
      </c>
      <c r="J338" t="s">
        <v>256</v>
      </c>
      <c r="K338" t="s">
        <v>9</v>
      </c>
      <c r="L338" t="s">
        <v>23</v>
      </c>
      <c r="M338">
        <f t="shared" si="28"/>
        <v>9.5613030322888157</v>
      </c>
      <c r="N338" t="str">
        <f t="shared" si="29"/>
        <v/>
      </c>
      <c r="O338" s="67" cm="1">
        <f t="array" ref="O338">SUMPRODUCT((G338=$G$7:$G$10000)*(M338&lt;$M$7:$M$10000))+1</f>
        <v>8</v>
      </c>
      <c r="P338" s="72"/>
      <c r="Q338">
        <v>7</v>
      </c>
      <c r="R338" t="str">
        <v>SDL</v>
      </c>
      <c r="S338" t="str">
        <v>Jimmy Hokafonu</v>
      </c>
      <c r="T338" t="str">
        <v>NULL</v>
      </c>
      <c r="U338" t="str">
        <v>Away</v>
      </c>
      <c r="V338" t="str">
        <v>HOU</v>
      </c>
      <c r="W338">
        <v>4.432522997649639</v>
      </c>
      <c r="Y338" s="1" cm="1">
        <f t="array" ref="Y338">COUNT(_xlfn._xlws.FILTER($G$7:$G$10000,($I$7:$I$10000=X338)*($J$7:$J$10000&lt;&gt;"NULL")*($G$7:$G$10000 &gt;= ($G$1-5))))/5</f>
        <v>0</v>
      </c>
    </row>
    <row r="339" spans="7:25" x14ac:dyDescent="0.35">
      <c r="G339" s="66">
        <v>5</v>
      </c>
      <c r="H339" t="s">
        <v>2</v>
      </c>
      <c r="I339" t="s">
        <v>156</v>
      </c>
      <c r="J339" t="s">
        <v>256</v>
      </c>
      <c r="K339" t="s">
        <v>3</v>
      </c>
      <c r="L339" t="s">
        <v>7</v>
      </c>
      <c r="M339">
        <f t="shared" si="28"/>
        <v>9.2087361564990076</v>
      </c>
      <c r="N339" t="str">
        <f t="shared" si="29"/>
        <v/>
      </c>
      <c r="O339" s="67" cm="1">
        <f t="array" ref="O339">SUMPRODUCT((G339=$G$7:$G$10000)*(M339&lt;$M$7:$M$10000))+1</f>
        <v>9</v>
      </c>
      <c r="P339" s="72"/>
      <c r="Q339">
        <v>7</v>
      </c>
      <c r="R339" t="str">
        <v>NEFJ</v>
      </c>
      <c r="S339" t="str">
        <v>Piers von Dadelszen</v>
      </c>
      <c r="T339" t="str">
        <v>NULL</v>
      </c>
      <c r="U339" t="str">
        <v>Away</v>
      </c>
      <c r="V339" t="str">
        <v>UTAH</v>
      </c>
      <c r="W339">
        <v>4.399514253103586</v>
      </c>
      <c r="Y339" s="1" cm="1">
        <f t="array" ref="Y339">COUNT(_xlfn._xlws.FILTER($G$7:$G$10000,($I$7:$I$10000=X339)*($J$7:$J$10000&lt;&gt;"NULL")*($G$7:$G$10000 &gt;= ($G$1-5))))/5</f>
        <v>0</v>
      </c>
    </row>
    <row r="340" spans="7:25" x14ac:dyDescent="0.35">
      <c r="G340" s="66">
        <v>5</v>
      </c>
      <c r="H340" t="s">
        <v>17</v>
      </c>
      <c r="I340" t="s">
        <v>427</v>
      </c>
      <c r="J340" t="s">
        <v>256</v>
      </c>
      <c r="K340" t="s">
        <v>9</v>
      </c>
      <c r="L340" t="s">
        <v>6</v>
      </c>
      <c r="M340">
        <f t="shared" si="28"/>
        <v>9.1642427986307169</v>
      </c>
      <c r="N340" t="str">
        <f t="shared" si="29"/>
        <v/>
      </c>
      <c r="O340" s="67" cm="1">
        <f t="array" ref="O340">SUMPRODUCT((G340=$G$7:$G$10000)*(M340&lt;$M$7:$M$10000))+1</f>
        <v>10</v>
      </c>
      <c r="P340" s="72"/>
      <c r="Q340">
        <v>7</v>
      </c>
      <c r="R340" t="str">
        <v>NEFJ</v>
      </c>
      <c r="S340" t="str">
        <v>Andrew Quattrin</v>
      </c>
      <c r="T340" t="str">
        <v>NULL</v>
      </c>
      <c r="U340" t="str">
        <v>Away</v>
      </c>
      <c r="V340" t="str">
        <v>UTAH</v>
      </c>
      <c r="W340">
        <v>4.2848801417973945</v>
      </c>
      <c r="Y340" s="1" cm="1">
        <f t="array" ref="Y340">COUNT(_xlfn._xlws.FILTER($G$7:$G$10000,($I$7:$I$10000=X340)*($J$7:$J$10000&lt;&gt;"NULL")*($G$7:$G$10000 &gt;= ($G$1-5))))/5</f>
        <v>0</v>
      </c>
    </row>
    <row r="341" spans="7:25" x14ac:dyDescent="0.35">
      <c r="G341" s="66">
        <v>5</v>
      </c>
      <c r="H341" t="s">
        <v>13</v>
      </c>
      <c r="I341" t="s">
        <v>204</v>
      </c>
      <c r="J341" t="s">
        <v>256</v>
      </c>
      <c r="K341" t="s">
        <v>9</v>
      </c>
      <c r="L341" t="s">
        <v>24</v>
      </c>
      <c r="M341">
        <f t="shared" si="28"/>
        <v>8.697253104651482</v>
      </c>
      <c r="N341" t="str">
        <f t="shared" si="29"/>
        <v/>
      </c>
      <c r="O341" s="67" cm="1">
        <f t="array" ref="O341">SUMPRODUCT((G341=$G$7:$G$10000)*(M341&lt;$M$7:$M$10000))+1</f>
        <v>11</v>
      </c>
      <c r="P341" s="72"/>
      <c r="Q341">
        <v>7</v>
      </c>
      <c r="R341" t="str">
        <v>SDL</v>
      </c>
      <c r="S341" t="str">
        <v>Payton Telea-Ilalio</v>
      </c>
      <c r="T341" t="str">
        <v>NULL</v>
      </c>
      <c r="U341" t="str">
        <v>Away</v>
      </c>
      <c r="V341" t="str">
        <v>HOU</v>
      </c>
      <c r="W341">
        <v>4.2111185155346158</v>
      </c>
      <c r="Y341" s="1" cm="1">
        <f t="array" ref="Y341">COUNT(_xlfn._xlws.FILTER($G$7:$G$10000,($I$7:$I$10000=X341)*($J$7:$J$10000&lt;&gt;"NULL")*($G$7:$G$10000 &gt;= ($G$1-5))))/5</f>
        <v>0</v>
      </c>
    </row>
    <row r="342" spans="7:25" x14ac:dyDescent="0.35">
      <c r="G342" s="66">
        <v>5</v>
      </c>
      <c r="H342" t="s">
        <v>4</v>
      </c>
      <c r="I342" t="s">
        <v>209</v>
      </c>
      <c r="J342" t="s">
        <v>256</v>
      </c>
      <c r="K342" t="s">
        <v>9</v>
      </c>
      <c r="L342" t="s">
        <v>23</v>
      </c>
      <c r="M342">
        <f t="shared" si="28"/>
        <v>8.6690154934702104</v>
      </c>
      <c r="N342" t="str">
        <f t="shared" si="29"/>
        <v/>
      </c>
      <c r="O342" s="67" cm="1">
        <f t="array" ref="O342">SUMPRODUCT((G342=$G$7:$G$10000)*(M342&lt;$M$7:$M$10000))+1</f>
        <v>12</v>
      </c>
      <c r="P342" s="72"/>
      <c r="Q342">
        <v>7</v>
      </c>
      <c r="R342" t="str">
        <v>SDL</v>
      </c>
      <c r="S342" t="str">
        <v>Darcy Breen</v>
      </c>
      <c r="T342" t="str">
        <v>NULL</v>
      </c>
      <c r="U342" t="str">
        <v>Away</v>
      </c>
      <c r="V342" t="str">
        <v>HOU</v>
      </c>
      <c r="W342">
        <v>4.1107095221928045</v>
      </c>
      <c r="Y342" s="1" cm="1">
        <f t="array" ref="Y342">COUNT(_xlfn._xlws.FILTER($G$7:$G$10000,($I$7:$I$10000=X342)*($J$7:$J$10000&lt;&gt;"NULL")*($G$7:$G$10000 &gt;= ($G$1-5))))/5</f>
        <v>0</v>
      </c>
    </row>
    <row r="343" spans="7:25" x14ac:dyDescent="0.35">
      <c r="G343" s="66">
        <v>5</v>
      </c>
      <c r="H343" t="s">
        <v>6</v>
      </c>
      <c r="I343" t="s">
        <v>432</v>
      </c>
      <c r="J343" t="s">
        <v>256</v>
      </c>
      <c r="K343" t="s">
        <v>3</v>
      </c>
      <c r="L343" t="s">
        <v>17</v>
      </c>
      <c r="M343">
        <f t="shared" si="28"/>
        <v>8.2930843345471388</v>
      </c>
      <c r="N343" t="str">
        <f t="shared" si="29"/>
        <v/>
      </c>
      <c r="O343" s="67" cm="1">
        <f t="array" ref="O343">SUMPRODUCT((G343=$G$7:$G$10000)*(M343&lt;$M$7:$M$10000))+1</f>
        <v>13</v>
      </c>
      <c r="P343" s="72"/>
      <c r="Q343">
        <v>7</v>
      </c>
      <c r="R343" t="str">
        <v>NEFJ</v>
      </c>
      <c r="S343" t="str">
        <v>Sam Caird</v>
      </c>
      <c r="T343" t="str">
        <v>NULL</v>
      </c>
      <c r="U343" t="str">
        <v>Away</v>
      </c>
      <c r="V343" t="str">
        <v>UTAH</v>
      </c>
      <c r="W343">
        <v>4.0131017872064181</v>
      </c>
      <c r="Y343" s="1" cm="1">
        <f t="array" ref="Y343">COUNT(_xlfn._xlws.FILTER($G$7:$G$10000,($I$7:$I$10000=X343)*($J$7:$J$10000&lt;&gt;"NULL")*($G$7:$G$10000 &gt;= ($G$1-5))))/5</f>
        <v>0</v>
      </c>
    </row>
    <row r="344" spans="7:25" x14ac:dyDescent="0.35">
      <c r="G344" s="66">
        <v>5</v>
      </c>
      <c r="H344" t="s">
        <v>2</v>
      </c>
      <c r="I344" t="s">
        <v>213</v>
      </c>
      <c r="J344" t="s">
        <v>256</v>
      </c>
      <c r="K344" t="s">
        <v>3</v>
      </c>
      <c r="L344" t="s">
        <v>7</v>
      </c>
      <c r="M344">
        <f t="shared" si="28"/>
        <v>8.2458429452293895</v>
      </c>
      <c r="N344" t="str">
        <f t="shared" si="29"/>
        <v/>
      </c>
      <c r="O344" s="67" cm="1">
        <f t="array" ref="O344">SUMPRODUCT((G344=$G$7:$G$10000)*(M344&lt;$M$7:$M$10000))+1</f>
        <v>14</v>
      </c>
      <c r="P344" s="72"/>
      <c r="Q344">
        <v>7</v>
      </c>
      <c r="R344" t="str">
        <v>HOU</v>
      </c>
      <c r="S344" t="str">
        <v>Pono Davis</v>
      </c>
      <c r="T344" t="str">
        <v>NULL</v>
      </c>
      <c r="U344" t="str">
        <v>Home</v>
      </c>
      <c r="V344" t="str">
        <v>SDL</v>
      </c>
      <c r="W344">
        <v>3.9121954592066288</v>
      </c>
      <c r="Y344" s="1" cm="1">
        <f t="array" ref="Y344">COUNT(_xlfn._xlws.FILTER($G$7:$G$10000,($I$7:$I$10000=X344)*($J$7:$J$10000&lt;&gt;"NULL")*($G$7:$G$10000 &gt;= ($G$1-5))))/5</f>
        <v>0</v>
      </c>
    </row>
    <row r="345" spans="7:25" x14ac:dyDescent="0.35">
      <c r="G345" s="66">
        <v>5</v>
      </c>
      <c r="H345" t="s">
        <v>7</v>
      </c>
      <c r="I345" t="s">
        <v>207</v>
      </c>
      <c r="J345" t="s">
        <v>256</v>
      </c>
      <c r="K345" t="s">
        <v>9</v>
      </c>
      <c r="L345" t="s">
        <v>2</v>
      </c>
      <c r="M345">
        <f t="shared" si="28"/>
        <v>8.1478073881341455</v>
      </c>
      <c r="N345" t="str">
        <f t="shared" si="29"/>
        <v/>
      </c>
      <c r="O345" s="67" cm="1">
        <f t="array" ref="O345">SUMPRODUCT((G345=$G$7:$G$10000)*(M345&lt;$M$7:$M$10000))+1</f>
        <v>15</v>
      </c>
      <c r="P345" s="72"/>
      <c r="Q345">
        <v>7</v>
      </c>
      <c r="R345" t="str">
        <v>HOU</v>
      </c>
      <c r="S345" t="str">
        <v>Ronan Murphy</v>
      </c>
      <c r="T345" t="str">
        <v>NULL</v>
      </c>
      <c r="U345" t="str">
        <v>Home</v>
      </c>
      <c r="V345" t="str">
        <v>SDL</v>
      </c>
      <c r="W345">
        <v>3.8611676108323607</v>
      </c>
      <c r="Y345" s="1" cm="1">
        <f t="array" ref="Y345">COUNT(_xlfn._xlws.FILTER($G$7:$G$10000,($I$7:$I$10000=X345)*($J$7:$J$10000&lt;&gt;"NULL")*($G$7:$G$10000 &gt;= ($G$1-5))))/5</f>
        <v>0</v>
      </c>
    </row>
    <row r="346" spans="7:25" x14ac:dyDescent="0.35">
      <c r="G346" s="66">
        <v>5</v>
      </c>
      <c r="H346" t="s">
        <v>6</v>
      </c>
      <c r="I346" t="s">
        <v>433</v>
      </c>
      <c r="J346" t="s">
        <v>256</v>
      </c>
      <c r="K346" t="s">
        <v>3</v>
      </c>
      <c r="L346" t="s">
        <v>17</v>
      </c>
      <c r="M346">
        <f t="shared" si="28"/>
        <v>7.9224313890857747</v>
      </c>
      <c r="N346" t="str">
        <f t="shared" si="29"/>
        <v/>
      </c>
      <c r="O346" s="67" cm="1">
        <f t="array" ref="O346">SUMPRODUCT((G346=$G$7:$G$10000)*(M346&lt;$M$7:$M$10000))+1</f>
        <v>16</v>
      </c>
      <c r="P346" s="72"/>
      <c r="Q346">
        <v>7</v>
      </c>
      <c r="R346" t="str">
        <v>OGDC</v>
      </c>
      <c r="S346" t="str">
        <v>Facundo Gattas</v>
      </c>
      <c r="T346" t="str">
        <v>NULL</v>
      </c>
      <c r="U346" t="str">
        <v>Away</v>
      </c>
      <c r="V346" t="str">
        <v>LA</v>
      </c>
      <c r="W346">
        <v>3.8292905752281952</v>
      </c>
      <c r="Y346" s="1" cm="1">
        <f t="array" ref="Y346">COUNT(_xlfn._xlws.FILTER($G$7:$G$10000,($I$7:$I$10000=X346)*($J$7:$J$10000&lt;&gt;"NULL")*($G$7:$G$10000 &gt;= ($G$1-5))))/5</f>
        <v>0</v>
      </c>
    </row>
    <row r="347" spans="7:25" x14ac:dyDescent="0.35">
      <c r="G347" s="66">
        <v>5</v>
      </c>
      <c r="H347" t="s">
        <v>2</v>
      </c>
      <c r="I347" t="s">
        <v>108</v>
      </c>
      <c r="J347" t="s">
        <v>256</v>
      </c>
      <c r="K347" t="s">
        <v>3</v>
      </c>
      <c r="L347" t="s">
        <v>7</v>
      </c>
      <c r="M347">
        <f t="shared" si="28"/>
        <v>7.799199966644518</v>
      </c>
      <c r="N347" t="str">
        <f t="shared" si="29"/>
        <v/>
      </c>
      <c r="O347" s="67" cm="1">
        <f t="array" ref="O347">SUMPRODUCT((G347=$G$7:$G$10000)*(M347&lt;$M$7:$M$10000))+1</f>
        <v>17</v>
      </c>
      <c r="P347" s="72"/>
      <c r="Q347">
        <v>7</v>
      </c>
      <c r="R347" t="str">
        <v>ARC</v>
      </c>
      <c r="S347" t="str">
        <v>Alex Maughan</v>
      </c>
      <c r="T347" t="str">
        <v>NULL</v>
      </c>
      <c r="U347" t="str">
        <v>Away</v>
      </c>
      <c r="V347" t="str">
        <v>SEA</v>
      </c>
      <c r="W347">
        <v>3.7936981633073286</v>
      </c>
      <c r="Y347" s="1" cm="1">
        <f t="array" ref="Y347">COUNT(_xlfn._xlws.FILTER($G$7:$G$10000,($I$7:$I$10000=X347)*($J$7:$J$10000&lt;&gt;"NULL")*($G$7:$G$10000 &gt;= ($G$1-5))))/5</f>
        <v>0</v>
      </c>
    </row>
    <row r="348" spans="7:25" x14ac:dyDescent="0.35">
      <c r="G348" s="66">
        <v>5</v>
      </c>
      <c r="H348" t="s">
        <v>2</v>
      </c>
      <c r="I348" t="s">
        <v>115</v>
      </c>
      <c r="J348" t="s">
        <v>256</v>
      </c>
      <c r="K348" t="s">
        <v>3</v>
      </c>
      <c r="L348" t="s">
        <v>7</v>
      </c>
      <c r="M348">
        <f t="shared" si="28"/>
        <v>7.5888928021058648</v>
      </c>
      <c r="N348" t="str">
        <f t="shared" si="29"/>
        <v/>
      </c>
      <c r="O348" s="67" cm="1">
        <f t="array" ref="O348">SUMPRODUCT((G348=$G$7:$G$10000)*(M348&lt;$M$7:$M$10000))+1</f>
        <v>18</v>
      </c>
      <c r="P348" s="72"/>
      <c r="Q348">
        <v>7</v>
      </c>
      <c r="R348" t="str">
        <v>OGDC</v>
      </c>
      <c r="S348" t="str">
        <v>Jack Iscaro</v>
      </c>
      <c r="T348" t="str">
        <v>NULL</v>
      </c>
      <c r="U348" t="str">
        <v>Away</v>
      </c>
      <c r="V348" t="str">
        <v>LA</v>
      </c>
      <c r="W348">
        <v>3.776773545544895</v>
      </c>
      <c r="Y348" s="1" cm="1">
        <f t="array" ref="Y348">COUNT(_xlfn._xlws.FILTER($G$7:$G$10000,($I$7:$I$10000=X348)*($J$7:$J$10000&lt;&gt;"NULL")*($G$7:$G$10000 &gt;= ($G$1-5))))/5</f>
        <v>0</v>
      </c>
    </row>
    <row r="349" spans="7:25" x14ac:dyDescent="0.35">
      <c r="G349" s="66">
        <v>5</v>
      </c>
      <c r="H349" t="s">
        <v>23</v>
      </c>
      <c r="I349" t="s">
        <v>221</v>
      </c>
      <c r="J349" t="s">
        <v>256</v>
      </c>
      <c r="K349" t="s">
        <v>3</v>
      </c>
      <c r="L349" t="s">
        <v>4</v>
      </c>
      <c r="M349">
        <f t="shared" si="28"/>
        <v>7.4703648627556927</v>
      </c>
      <c r="N349" t="str">
        <f t="shared" si="29"/>
        <v/>
      </c>
      <c r="O349" s="67" cm="1">
        <f t="array" ref="O349">SUMPRODUCT((G349=$G$7:$G$10000)*(M349&lt;$M$7:$M$10000))+1</f>
        <v>19</v>
      </c>
      <c r="P349" s="72"/>
      <c r="Q349">
        <v>7</v>
      </c>
      <c r="R349" t="str">
        <v>NOLA</v>
      </c>
      <c r="S349" t="str">
        <v>Paul Mullen</v>
      </c>
      <c r="T349" t="str">
        <v>NULL</v>
      </c>
      <c r="U349" t="str">
        <v>Home</v>
      </c>
      <c r="V349" t="str">
        <v>CHI</v>
      </c>
      <c r="W349">
        <v>3.7223663654597021</v>
      </c>
      <c r="Y349" s="1" cm="1">
        <f t="array" ref="Y349">COUNT(_xlfn._xlws.FILTER($G$7:$G$10000,($I$7:$I$10000=X349)*($J$7:$J$10000&lt;&gt;"NULL")*($G$7:$G$10000 &gt;= ($G$1-5))))/5</f>
        <v>0</v>
      </c>
    </row>
    <row r="350" spans="7:25" x14ac:dyDescent="0.35">
      <c r="G350" s="66">
        <v>5</v>
      </c>
      <c r="H350" t="s">
        <v>6</v>
      </c>
      <c r="I350" t="s">
        <v>208</v>
      </c>
      <c r="J350" t="s">
        <v>256</v>
      </c>
      <c r="K350" t="s">
        <v>3</v>
      </c>
      <c r="L350" t="s">
        <v>17</v>
      </c>
      <c r="M350">
        <f t="shared" si="28"/>
        <v>7.4205784182156975</v>
      </c>
      <c r="N350" t="str">
        <f t="shared" si="29"/>
        <v/>
      </c>
      <c r="O350" s="67" cm="1">
        <f t="array" ref="O350">SUMPRODUCT((G350=$G$7:$G$10000)*(M350&lt;$M$7:$M$10000))+1</f>
        <v>20</v>
      </c>
      <c r="P350" s="72"/>
      <c r="Q350">
        <v>7</v>
      </c>
      <c r="R350" t="str">
        <v>SEA</v>
      </c>
      <c r="S350" t="str">
        <v>Cameron Orr</v>
      </c>
      <c r="T350" t="str">
        <v>NULL</v>
      </c>
      <c r="U350" t="str">
        <v>Home</v>
      </c>
      <c r="V350" t="str">
        <v>ARC</v>
      </c>
      <c r="W350">
        <v>3.6027187171228512</v>
      </c>
      <c r="Y350" s="1" cm="1">
        <f t="array" ref="Y350">COUNT(_xlfn._xlws.FILTER($G$7:$G$10000,($I$7:$I$10000=X350)*($J$7:$J$10000&lt;&gt;"NULL")*($G$7:$G$10000 &gt;= ($G$1-5))))/5</f>
        <v>0</v>
      </c>
    </row>
    <row r="351" spans="7:25" x14ac:dyDescent="0.35">
      <c r="G351" s="66">
        <v>5</v>
      </c>
      <c r="H351" t="s">
        <v>13</v>
      </c>
      <c r="I351" t="s">
        <v>464</v>
      </c>
      <c r="J351" t="s">
        <v>256</v>
      </c>
      <c r="K351" t="s">
        <v>9</v>
      </c>
      <c r="L351" t="s">
        <v>24</v>
      </c>
      <c r="M351">
        <f t="shared" si="28"/>
        <v>7.4096758341916491</v>
      </c>
      <c r="N351" t="str">
        <f t="shared" si="29"/>
        <v/>
      </c>
      <c r="O351" s="67" cm="1">
        <f t="array" ref="O351">SUMPRODUCT((G351=$G$7:$G$10000)*(M351&lt;$M$7:$M$10000))+1</f>
        <v>21</v>
      </c>
      <c r="P351" s="72"/>
      <c r="Q351">
        <v>7</v>
      </c>
      <c r="R351" t="str">
        <v>HOU</v>
      </c>
      <c r="S351" t="str">
        <v>Seth Smith</v>
      </c>
      <c r="T351" t="str">
        <v>NULL</v>
      </c>
      <c r="U351" t="str">
        <v>Home</v>
      </c>
      <c r="V351" t="str">
        <v>SDL</v>
      </c>
      <c r="W351">
        <v>3.5681645315099644</v>
      </c>
      <c r="Y351" s="1" cm="1">
        <f t="array" ref="Y351">COUNT(_xlfn._xlws.FILTER($G$7:$G$10000,($I$7:$I$10000=X351)*($J$7:$J$10000&lt;&gt;"NULL")*($G$7:$G$10000 &gt;= ($G$1-5))))/5</f>
        <v>0</v>
      </c>
    </row>
    <row r="352" spans="7:25" x14ac:dyDescent="0.35">
      <c r="G352" s="66">
        <v>5</v>
      </c>
      <c r="H352" t="s">
        <v>23</v>
      </c>
      <c r="I352" t="s">
        <v>144</v>
      </c>
      <c r="J352" t="s">
        <v>256</v>
      </c>
      <c r="K352" t="s">
        <v>3</v>
      </c>
      <c r="L352" t="s">
        <v>4</v>
      </c>
      <c r="M352">
        <f t="shared" si="28"/>
        <v>7.3557307514495003</v>
      </c>
      <c r="N352" t="str">
        <f t="shared" si="29"/>
        <v/>
      </c>
      <c r="O352" s="67" cm="1">
        <f t="array" ref="O352">SUMPRODUCT((G352=$G$7:$G$10000)*(M352&lt;$M$7:$M$10000))+1</f>
        <v>22</v>
      </c>
      <c r="P352" s="72"/>
      <c r="Q352">
        <v>7</v>
      </c>
      <c r="R352" t="str">
        <v>OGDC</v>
      </c>
      <c r="S352" t="str">
        <v>Lautaro Bavaro</v>
      </c>
      <c r="T352" t="str">
        <v>NULL</v>
      </c>
      <c r="U352" t="str">
        <v>Away</v>
      </c>
      <c r="V352" t="str">
        <v>LA</v>
      </c>
      <c r="W352">
        <v>3.4606419296818398</v>
      </c>
      <c r="Y352" s="1" cm="1">
        <f t="array" ref="Y352">COUNT(_xlfn._xlws.FILTER($G$7:$G$10000,($I$7:$I$10000=X352)*($J$7:$J$10000&lt;&gt;"NULL")*($G$7:$G$10000 &gt;= ($G$1-5))))/5</f>
        <v>0</v>
      </c>
    </row>
    <row r="353" spans="7:25" x14ac:dyDescent="0.35">
      <c r="G353" s="66">
        <v>5</v>
      </c>
      <c r="H353" t="s">
        <v>24</v>
      </c>
      <c r="I353" t="s">
        <v>199</v>
      </c>
      <c r="J353" t="s">
        <v>256</v>
      </c>
      <c r="K353" t="s">
        <v>3</v>
      </c>
      <c r="L353" t="s">
        <v>13</v>
      </c>
      <c r="M353">
        <f t="shared" si="28"/>
        <v>7.2879982316224252</v>
      </c>
      <c r="N353" t="str">
        <f t="shared" si="29"/>
        <v/>
      </c>
      <c r="O353" s="67" cm="1">
        <f t="array" ref="O353">SUMPRODUCT((G353=$G$7:$G$10000)*(M353&lt;$M$7:$M$10000))+1</f>
        <v>23</v>
      </c>
      <c r="P353" s="72"/>
      <c r="Q353">
        <v>7</v>
      </c>
      <c r="R353" t="str">
        <v>ARC</v>
      </c>
      <c r="S353" t="str">
        <v>Ethan Howard</v>
      </c>
      <c r="T353" t="str">
        <v>NULL</v>
      </c>
      <c r="U353" t="str">
        <v>Away</v>
      </c>
      <c r="V353" t="str">
        <v>SEA</v>
      </c>
      <c r="W353">
        <v>3.4449383233350712</v>
      </c>
      <c r="Y353" s="1" cm="1">
        <f t="array" ref="Y353">COUNT(_xlfn._xlws.FILTER($G$7:$G$10000,($I$7:$I$10000=X353)*($J$7:$J$10000&lt;&gt;"NULL")*($G$7:$G$10000 &gt;= ($G$1-5))))/5</f>
        <v>0</v>
      </c>
    </row>
    <row r="354" spans="7:25" x14ac:dyDescent="0.35">
      <c r="G354" s="66">
        <v>5</v>
      </c>
      <c r="H354" t="s">
        <v>23</v>
      </c>
      <c r="I354" t="s">
        <v>421</v>
      </c>
      <c r="J354" t="s">
        <v>256</v>
      </c>
      <c r="K354" t="s">
        <v>3</v>
      </c>
      <c r="L354" t="s">
        <v>4</v>
      </c>
      <c r="M354">
        <f t="shared" si="28"/>
        <v>7.0839523968585238</v>
      </c>
      <c r="N354" t="str">
        <f t="shared" si="29"/>
        <v/>
      </c>
      <c r="O354" s="67" cm="1">
        <f t="array" ref="O354">SUMPRODUCT((G354=$G$7:$G$10000)*(M354&lt;$M$7:$M$10000))+1</f>
        <v>24</v>
      </c>
      <c r="P354" s="72"/>
      <c r="Q354">
        <v>7</v>
      </c>
      <c r="R354" t="str">
        <v>ARC</v>
      </c>
      <c r="S354" t="str">
        <v>Mikey Grandy</v>
      </c>
      <c r="T354" t="str">
        <v>NULL</v>
      </c>
      <c r="U354" t="str">
        <v>Away</v>
      </c>
      <c r="V354" t="str">
        <v>SEA</v>
      </c>
      <c r="W354">
        <v>3.428716238502183</v>
      </c>
      <c r="Y354" s="1" cm="1">
        <f t="array" ref="Y354">COUNT(_xlfn._xlws.FILTER($G$7:$G$10000,($I$7:$I$10000=X354)*($J$7:$J$10000&lt;&gt;"NULL")*($G$7:$G$10000 &gt;= ($G$1-5))))/5</f>
        <v>0</v>
      </c>
    </row>
    <row r="355" spans="7:25" x14ac:dyDescent="0.35">
      <c r="G355" s="66">
        <v>5</v>
      </c>
      <c r="H355" t="s">
        <v>2</v>
      </c>
      <c r="I355" t="s">
        <v>174</v>
      </c>
      <c r="J355" t="s">
        <v>256</v>
      </c>
      <c r="K355" t="s">
        <v>3</v>
      </c>
      <c r="L355" t="s">
        <v>7</v>
      </c>
      <c r="M355">
        <f t="shared" si="28"/>
        <v>7.0338540672399823</v>
      </c>
      <c r="N355" t="str">
        <f t="shared" si="29"/>
        <v/>
      </c>
      <c r="O355" s="67" cm="1">
        <f t="array" ref="O355">SUMPRODUCT((G355=$G$7:$G$10000)*(M355&lt;$M$7:$M$10000))+1</f>
        <v>25</v>
      </c>
      <c r="P355" s="72"/>
      <c r="Q355">
        <v>7</v>
      </c>
      <c r="R355" t="str">
        <v>ARC</v>
      </c>
      <c r="S355" t="str">
        <v>Jake Turnbull</v>
      </c>
      <c r="T355" t="str">
        <v>NULL</v>
      </c>
      <c r="U355" t="str">
        <v>Away</v>
      </c>
      <c r="V355" t="str">
        <v>SEA</v>
      </c>
      <c r="W355">
        <v>3.4174661540290296</v>
      </c>
      <c r="Y355" s="1" cm="1">
        <f t="array" ref="Y355">COUNT(_xlfn._xlws.FILTER($G$7:$G$10000,($I$7:$I$10000=X355)*($J$7:$J$10000&lt;&gt;"NULL")*($G$7:$G$10000 &gt;= ($G$1-5))))/5</f>
        <v>0</v>
      </c>
    </row>
    <row r="356" spans="7:25" x14ac:dyDescent="0.35">
      <c r="G356" s="66">
        <v>5</v>
      </c>
      <c r="H356" t="s">
        <v>13</v>
      </c>
      <c r="I356" t="s">
        <v>103</v>
      </c>
      <c r="J356" t="s">
        <v>256</v>
      </c>
      <c r="K356" t="s">
        <v>9</v>
      </c>
      <c r="L356" t="s">
        <v>24</v>
      </c>
      <c r="M356">
        <f t="shared" si="28"/>
        <v>7.0060979321361962</v>
      </c>
      <c r="N356" t="str">
        <f t="shared" si="29"/>
        <v/>
      </c>
      <c r="O356" s="67" cm="1">
        <f t="array" ref="O356">SUMPRODUCT((G356=$G$7:$G$10000)*(M356&lt;$M$7:$M$10000))+1</f>
        <v>26</v>
      </c>
      <c r="P356" s="72"/>
      <c r="Q356">
        <v>7</v>
      </c>
      <c r="R356" t="str">
        <v>LA</v>
      </c>
      <c r="S356" t="str">
        <v>Ben Sugars</v>
      </c>
      <c r="T356" t="str">
        <v>NULL</v>
      </c>
      <c r="U356" t="str">
        <v>Home</v>
      </c>
      <c r="V356" t="str">
        <v>OGDC</v>
      </c>
      <c r="W356">
        <v>3.4046706137935021</v>
      </c>
      <c r="Y356" s="1" cm="1">
        <f t="array" ref="Y356">COUNT(_xlfn._xlws.FILTER($G$7:$G$10000,($I$7:$I$10000=X356)*($J$7:$J$10000&lt;&gt;"NULL")*($G$7:$G$10000 &gt;= ($G$1-5))))/5</f>
        <v>0</v>
      </c>
    </row>
    <row r="357" spans="7:25" x14ac:dyDescent="0.35">
      <c r="G357" s="66">
        <v>5</v>
      </c>
      <c r="H357" t="s">
        <v>24</v>
      </c>
      <c r="I357" t="s">
        <v>215</v>
      </c>
      <c r="J357" t="s">
        <v>256</v>
      </c>
      <c r="K357" t="s">
        <v>3</v>
      </c>
      <c r="L357" t="s">
        <v>13</v>
      </c>
      <c r="M357">
        <f t="shared" si="28"/>
        <v>6.5732778765326429</v>
      </c>
      <c r="N357" t="str">
        <f t="shared" si="29"/>
        <v/>
      </c>
      <c r="O357" s="67" cm="1">
        <f t="array" ref="O357">SUMPRODUCT((G357=$G$7:$G$10000)*(M357&lt;$M$7:$M$10000))+1</f>
        <v>27</v>
      </c>
      <c r="P357" s="72"/>
      <c r="Q357">
        <v>7</v>
      </c>
      <c r="R357" t="str">
        <v>NOLA</v>
      </c>
      <c r="S357" t="str">
        <v>Matt Harmon</v>
      </c>
      <c r="T357" t="str">
        <v>NULL</v>
      </c>
      <c r="U357" t="str">
        <v>Home</v>
      </c>
      <c r="V357" t="str">
        <v>CHI</v>
      </c>
      <c r="W357">
        <v>3.3409229683609984</v>
      </c>
      <c r="Y357" s="1" cm="1">
        <f t="array" ref="Y357">COUNT(_xlfn._xlws.FILTER($G$7:$G$10000,($I$7:$I$10000=X357)*($J$7:$J$10000&lt;&gt;"NULL")*($G$7:$G$10000 &gt;= ($G$1-5))))/5</f>
        <v>0</v>
      </c>
    </row>
    <row r="358" spans="7:25" x14ac:dyDescent="0.35">
      <c r="G358" s="66">
        <v>5</v>
      </c>
      <c r="H358" t="s">
        <v>17</v>
      </c>
      <c r="I358" t="s">
        <v>206</v>
      </c>
      <c r="J358" t="s">
        <v>256</v>
      </c>
      <c r="K358" t="s">
        <v>9</v>
      </c>
      <c r="L358" t="s">
        <v>6</v>
      </c>
      <c r="M358">
        <f t="shared" si="28"/>
        <v>6.4624582247422122</v>
      </c>
      <c r="N358" t="str">
        <f t="shared" si="29"/>
        <v/>
      </c>
      <c r="O358" s="67" cm="1">
        <f t="array" ref="O358">SUMPRODUCT((G358=$G$7:$G$10000)*(M358&lt;$M$7:$M$10000))+1</f>
        <v>28</v>
      </c>
      <c r="P358" s="72"/>
      <c r="Q358">
        <v>7</v>
      </c>
      <c r="R358" t="str">
        <v>NEFJ</v>
      </c>
      <c r="S358" t="str">
        <v>Jero Gomez Vara</v>
      </c>
      <c r="T358" t="str">
        <v>NULL</v>
      </c>
      <c r="U358" t="str">
        <v>Away</v>
      </c>
      <c r="V358" t="str">
        <v>UTAH</v>
      </c>
      <c r="W358">
        <v>3.3382787117618768</v>
      </c>
      <c r="Y358" s="1" cm="1">
        <f t="array" ref="Y358">COUNT(_xlfn._xlws.FILTER($G$7:$G$10000,($I$7:$I$10000=X358)*($J$7:$J$10000&lt;&gt;"NULL")*($G$7:$G$10000 &gt;= ($G$1-5))))/5</f>
        <v>0</v>
      </c>
    </row>
    <row r="359" spans="7:25" x14ac:dyDescent="0.35">
      <c r="G359" s="66">
        <v>5</v>
      </c>
      <c r="H359" t="s">
        <v>23</v>
      </c>
      <c r="I359" t="s">
        <v>431</v>
      </c>
      <c r="J359" t="s">
        <v>256</v>
      </c>
      <c r="K359" t="s">
        <v>3</v>
      </c>
      <c r="L359" t="s">
        <v>4</v>
      </c>
      <c r="M359">
        <f t="shared" ref="M359:M422" si="30">VLOOKUP($K359,$F$3:$G$4,2,FALSE)+VLOOKUP($I359,$A$20:$B$321,2,FALSE)+VLOOKUP($L359,$A$6:$B$16,2,FALSE)</f>
        <v>6.4091293214139835</v>
      </c>
      <c r="N359" t="str">
        <f t="shared" ref="N359:N422" si="31">IFERROR(($J359-$M359)^2,"")</f>
        <v/>
      </c>
      <c r="O359" s="67" cm="1">
        <f t="array" ref="O359">SUMPRODUCT((G359=$G$7:$G$10000)*(M359&lt;$M$7:$M$10000))+1</f>
        <v>29</v>
      </c>
      <c r="P359" s="72"/>
      <c r="Q359">
        <v>7</v>
      </c>
      <c r="R359" t="str">
        <v>OGDC</v>
      </c>
      <c r="S359" t="str">
        <v>Rob Harley</v>
      </c>
      <c r="T359" t="str">
        <v>NULL</v>
      </c>
      <c r="U359" t="str">
        <v>Away</v>
      </c>
      <c r="V359" t="str">
        <v>LA</v>
      </c>
      <c r="W359">
        <v>3.3025342556081503</v>
      </c>
      <c r="Y359" s="1" cm="1">
        <f t="array" ref="Y359">COUNT(_xlfn._xlws.FILTER($G$7:$G$10000,($I$7:$I$10000=X359)*($J$7:$J$10000&lt;&gt;"NULL")*($G$7:$G$10000 &gt;= ($G$1-5))))/5</f>
        <v>0</v>
      </c>
    </row>
    <row r="360" spans="7:25" x14ac:dyDescent="0.35">
      <c r="G360" s="66">
        <v>5</v>
      </c>
      <c r="H360" t="s">
        <v>23</v>
      </c>
      <c r="I360" t="s">
        <v>412</v>
      </c>
      <c r="J360" t="s">
        <v>256</v>
      </c>
      <c r="K360" t="s">
        <v>3</v>
      </c>
      <c r="L360" t="s">
        <v>4</v>
      </c>
      <c r="M360">
        <f t="shared" si="30"/>
        <v>6.1336883515052065</v>
      </c>
      <c r="N360" t="str">
        <f t="shared" si="31"/>
        <v/>
      </c>
      <c r="O360" s="67" cm="1">
        <f t="array" ref="O360">SUMPRODUCT((G360=$G$7:$G$10000)*(M360&lt;$M$7:$M$10000))+1</f>
        <v>30</v>
      </c>
      <c r="P360" s="72"/>
      <c r="Q360">
        <v>7</v>
      </c>
      <c r="R360" t="str">
        <v>SEA</v>
      </c>
      <c r="S360" t="str">
        <v>Rhyno Herbst</v>
      </c>
      <c r="T360" t="str">
        <v>NULL</v>
      </c>
      <c r="U360" t="str">
        <v>Home</v>
      </c>
      <c r="V360" t="str">
        <v>ARC</v>
      </c>
      <c r="W360">
        <v>3.2336470241742314</v>
      </c>
      <c r="Y360" s="1" cm="1">
        <f t="array" ref="Y360">COUNT(_xlfn._xlws.FILTER($G$7:$G$10000,($I$7:$I$10000=X360)*($J$7:$J$10000&lt;&gt;"NULL")*($G$7:$G$10000 &gt;= ($G$1-5))))/5</f>
        <v>0</v>
      </c>
    </row>
    <row r="361" spans="7:25" x14ac:dyDescent="0.35">
      <c r="G361" s="66">
        <v>5</v>
      </c>
      <c r="H361" t="s">
        <v>7</v>
      </c>
      <c r="I361" t="s">
        <v>202</v>
      </c>
      <c r="J361" t="s">
        <v>256</v>
      </c>
      <c r="K361" t="s">
        <v>9</v>
      </c>
      <c r="L361" t="s">
        <v>2</v>
      </c>
      <c r="M361">
        <f t="shared" si="30"/>
        <v>5.614699482475773</v>
      </c>
      <c r="N361" t="str">
        <f t="shared" si="31"/>
        <v/>
      </c>
      <c r="O361" s="67" cm="1">
        <f t="array" ref="O361">SUMPRODUCT((G361=$G$7:$G$10000)*(M361&lt;$M$7:$M$10000))+1</f>
        <v>31</v>
      </c>
      <c r="P361" s="72"/>
      <c r="Q361">
        <v>7</v>
      </c>
      <c r="R361" t="str">
        <v>CHI</v>
      </c>
      <c r="S361" t="str">
        <v>Hamish Bain</v>
      </c>
      <c r="T361" t="str">
        <v>NULL</v>
      </c>
      <c r="U361" t="str">
        <v>Away</v>
      </c>
      <c r="V361" t="str">
        <v>NOLA</v>
      </c>
      <c r="W361">
        <v>3.1845219477191726</v>
      </c>
      <c r="Y361" s="1" cm="1">
        <f t="array" ref="Y361">COUNT(_xlfn._xlws.FILTER($G$7:$G$10000,($I$7:$I$10000=X361)*($J$7:$J$10000&lt;&gt;"NULL")*($G$7:$G$10000 &gt;= ($G$1-5))))/5</f>
        <v>0</v>
      </c>
    </row>
    <row r="362" spans="7:25" x14ac:dyDescent="0.35">
      <c r="G362" s="66">
        <v>5</v>
      </c>
      <c r="H362" t="s">
        <v>13</v>
      </c>
      <c r="I362" t="s">
        <v>120</v>
      </c>
      <c r="J362" t="s">
        <v>256</v>
      </c>
      <c r="K362" t="s">
        <v>9</v>
      </c>
      <c r="L362" t="s">
        <v>24</v>
      </c>
      <c r="M362">
        <f t="shared" si="30"/>
        <v>5.5562353264810787</v>
      </c>
      <c r="N362" t="str">
        <f t="shared" si="31"/>
        <v/>
      </c>
      <c r="O362" s="67" cm="1">
        <f t="array" ref="O362">SUMPRODUCT((G362=$G$7:$G$10000)*(M362&lt;$M$7:$M$10000))+1</f>
        <v>32</v>
      </c>
      <c r="P362" s="72"/>
      <c r="Q362">
        <v>7</v>
      </c>
      <c r="R362" t="str">
        <v>UTAH</v>
      </c>
      <c r="S362" t="str">
        <v>Matt Jenson</v>
      </c>
      <c r="T362" t="str">
        <v>NULL</v>
      </c>
      <c r="U362" t="str">
        <v>Home</v>
      </c>
      <c r="V362" t="str">
        <v>NEFJ</v>
      </c>
      <c r="W362">
        <v>3.1520769870613048</v>
      </c>
      <c r="Y362" s="1" cm="1">
        <f t="array" ref="Y362">COUNT(_xlfn._xlws.FILTER($G$7:$G$10000,($I$7:$I$10000=X362)*($J$7:$J$10000&lt;&gt;"NULL")*($G$7:$G$10000 &gt;= ($G$1-5))))/5</f>
        <v>0</v>
      </c>
    </row>
    <row r="363" spans="7:25" x14ac:dyDescent="0.35">
      <c r="G363" s="66">
        <v>5</v>
      </c>
      <c r="H363" t="s">
        <v>17</v>
      </c>
      <c r="I363" t="s">
        <v>149</v>
      </c>
      <c r="J363" t="s">
        <v>256</v>
      </c>
      <c r="K363" t="s">
        <v>9</v>
      </c>
      <c r="L363" t="s">
        <v>6</v>
      </c>
      <c r="M363">
        <f t="shared" si="30"/>
        <v>5.3634504210439236</v>
      </c>
      <c r="N363" t="str">
        <f t="shared" si="31"/>
        <v/>
      </c>
      <c r="O363" s="67" cm="1">
        <f t="array" ref="O363">SUMPRODUCT((G363=$G$7:$G$10000)*(M363&lt;$M$7:$M$10000))+1</f>
        <v>33</v>
      </c>
      <c r="P363" s="72"/>
      <c r="Q363">
        <v>7</v>
      </c>
      <c r="R363" t="str">
        <v>OGDC</v>
      </c>
      <c r="S363" t="str">
        <v>Cali Martinez</v>
      </c>
      <c r="T363" t="str">
        <v>NULL</v>
      </c>
      <c r="U363" t="str">
        <v>Away</v>
      </c>
      <c r="V363" t="str">
        <v>LA</v>
      </c>
      <c r="W363">
        <v>3.1025938453021666</v>
      </c>
      <c r="Y363" s="1" cm="1">
        <f t="array" ref="Y363">COUNT(_xlfn._xlws.FILTER($G$7:$G$10000,($I$7:$I$10000=X363)*($J$7:$J$10000&lt;&gt;"NULL")*($G$7:$G$10000 &gt;= ($G$1-5))))/5</f>
        <v>0</v>
      </c>
    </row>
    <row r="364" spans="7:25" x14ac:dyDescent="0.35">
      <c r="G364" s="66">
        <v>5</v>
      </c>
      <c r="H364" t="s">
        <v>13</v>
      </c>
      <c r="I364" t="s">
        <v>469</v>
      </c>
      <c r="J364" t="s">
        <v>256</v>
      </c>
      <c r="K364" t="s">
        <v>9</v>
      </c>
      <c r="L364" t="s">
        <v>24</v>
      </c>
      <c r="M364">
        <f t="shared" si="30"/>
        <v>5.0659353806894902</v>
      </c>
      <c r="N364" t="str">
        <f t="shared" si="31"/>
        <v/>
      </c>
      <c r="O364" s="67" cm="1">
        <f t="array" ref="O364">SUMPRODUCT((G364=$G$7:$G$10000)*(M364&lt;$M$7:$M$10000))+1</f>
        <v>34</v>
      </c>
      <c r="P364" s="72"/>
      <c r="Q364">
        <v>7</v>
      </c>
      <c r="R364" t="str">
        <v>NEFJ</v>
      </c>
      <c r="S364" t="str">
        <v>Kaleb Geiger</v>
      </c>
      <c r="T364" t="str">
        <v>NULL</v>
      </c>
      <c r="U364" t="str">
        <v>Away</v>
      </c>
      <c r="V364" t="str">
        <v>UTAH</v>
      </c>
      <c r="W364">
        <v>3.0628377418530999</v>
      </c>
      <c r="Y364" s="1" cm="1">
        <f t="array" ref="Y364">COUNT(_xlfn._xlws.FILTER($G$7:$G$10000,($I$7:$I$10000=X364)*($J$7:$J$10000&lt;&gt;"NULL")*($G$7:$G$10000 &gt;= ($G$1-5))))/5</f>
        <v>0</v>
      </c>
    </row>
    <row r="365" spans="7:25" x14ac:dyDescent="0.35">
      <c r="G365" s="66">
        <v>5</v>
      </c>
      <c r="H365" t="s">
        <v>17</v>
      </c>
      <c r="I365" t="s">
        <v>105</v>
      </c>
      <c r="J365" t="s">
        <v>256</v>
      </c>
      <c r="K365" t="s">
        <v>9</v>
      </c>
      <c r="L365" t="s">
        <v>6</v>
      </c>
      <c r="M365">
        <f t="shared" si="30"/>
        <v>4.9943787280953043</v>
      </c>
      <c r="N365" t="str">
        <f t="shared" si="31"/>
        <v/>
      </c>
      <c r="O365" s="67" cm="1">
        <f t="array" ref="O365">SUMPRODUCT((G365=$G$7:$G$10000)*(M365&lt;$M$7:$M$10000))+1</f>
        <v>35</v>
      </c>
      <c r="P365" s="72"/>
      <c r="Q365">
        <v>7</v>
      </c>
      <c r="R365" t="str">
        <v>CHI</v>
      </c>
      <c r="S365" t="str">
        <v>Faka'osi Pifeleti</v>
      </c>
      <c r="T365" t="str">
        <v>NULL</v>
      </c>
      <c r="U365" t="str">
        <v>Away</v>
      </c>
      <c r="V365" t="str">
        <v>NOLA</v>
      </c>
      <c r="W365">
        <v>3.0463934729432012</v>
      </c>
      <c r="Y365" s="1" cm="1">
        <f t="array" ref="Y365">COUNT(_xlfn._xlws.FILTER($G$7:$G$10000,($I$7:$I$10000=X365)*($J$7:$J$10000&lt;&gt;"NULL")*($G$7:$G$10000 &gt;= ($G$1-5))))/5</f>
        <v>0</v>
      </c>
    </row>
    <row r="366" spans="7:25" x14ac:dyDescent="0.35">
      <c r="G366" s="66">
        <v>5</v>
      </c>
      <c r="H366" t="s">
        <v>17</v>
      </c>
      <c r="I366" t="s">
        <v>483</v>
      </c>
      <c r="J366" t="s">
        <v>256</v>
      </c>
      <c r="K366" t="s">
        <v>9</v>
      </c>
      <c r="L366" t="s">
        <v>6</v>
      </c>
      <c r="M366">
        <f t="shared" si="30"/>
        <v>4.7236171160620248</v>
      </c>
      <c r="N366" t="str">
        <f t="shared" si="31"/>
        <v/>
      </c>
      <c r="O366" s="67" cm="1">
        <f t="array" ref="O366">SUMPRODUCT((G366=$G$7:$G$10000)*(M366&lt;$M$7:$M$10000))+1</f>
        <v>36</v>
      </c>
      <c r="P366" s="72"/>
      <c r="Q366">
        <v>7</v>
      </c>
      <c r="R366" t="str">
        <v>SEA</v>
      </c>
      <c r="S366" t="str">
        <v>Siaosi Mahoni</v>
      </c>
      <c r="T366" t="str">
        <v>NULL</v>
      </c>
      <c r="U366" t="str">
        <v>Home</v>
      </c>
      <c r="V366" t="str">
        <v>ARC</v>
      </c>
      <c r="W366">
        <v>2.962885412140952</v>
      </c>
      <c r="Y366" s="1" cm="1">
        <f t="array" ref="Y366">COUNT(_xlfn._xlws.FILTER($G$7:$G$10000,($I$7:$I$10000=X366)*($J$7:$J$10000&lt;&gt;"NULL")*($G$7:$G$10000 &gt;= ($G$1-5))))/5</f>
        <v>0</v>
      </c>
    </row>
    <row r="367" spans="7:25" x14ac:dyDescent="0.35">
      <c r="G367" s="66">
        <v>5</v>
      </c>
      <c r="H367" t="s">
        <v>4</v>
      </c>
      <c r="I367" t="s">
        <v>486</v>
      </c>
      <c r="J367" t="s">
        <v>256</v>
      </c>
      <c r="K367" t="s">
        <v>9</v>
      </c>
      <c r="L367" t="s">
        <v>23</v>
      </c>
      <c r="M367">
        <f t="shared" si="30"/>
        <v>4.698558595248004</v>
      </c>
      <c r="N367" t="str">
        <f t="shared" si="31"/>
        <v/>
      </c>
      <c r="O367" s="67" cm="1">
        <f t="array" ref="O367">SUMPRODUCT((G367=$G$7:$G$10000)*(M367&lt;$M$7:$M$10000))+1</f>
        <v>37</v>
      </c>
      <c r="P367" s="72"/>
      <c r="Q367">
        <v>7</v>
      </c>
      <c r="R367" t="str">
        <v>HOU</v>
      </c>
      <c r="S367" t="str">
        <v>Val Lee-Lo</v>
      </c>
      <c r="T367" t="str">
        <v>NULL</v>
      </c>
      <c r="U367" t="str">
        <v>Home</v>
      </c>
      <c r="V367" t="str">
        <v>SDL</v>
      </c>
      <c r="W367">
        <v>2.941759505002759</v>
      </c>
      <c r="Y367" s="1" cm="1">
        <f t="array" ref="Y367">COUNT(_xlfn._xlws.FILTER($G$7:$G$10000,($I$7:$I$10000=X367)*($J$7:$J$10000&lt;&gt;"NULL")*($G$7:$G$10000 &gt;= ($G$1-5))))/5</f>
        <v>0</v>
      </c>
    </row>
    <row r="368" spans="7:25" x14ac:dyDescent="0.35">
      <c r="G368" s="66">
        <v>5</v>
      </c>
      <c r="H368" t="s">
        <v>13</v>
      </c>
      <c r="I368" t="s">
        <v>210</v>
      </c>
      <c r="J368" t="s">
        <v>256</v>
      </c>
      <c r="K368" t="s">
        <v>9</v>
      </c>
      <c r="L368" t="s">
        <v>24</v>
      </c>
      <c r="M368">
        <f t="shared" si="30"/>
        <v>4.3804865427765662</v>
      </c>
      <c r="N368" t="str">
        <f t="shared" si="31"/>
        <v/>
      </c>
      <c r="O368" s="67" cm="1">
        <f t="array" ref="O368">SUMPRODUCT((G368=$G$7:$G$10000)*(M368&lt;$M$7:$M$10000))+1</f>
        <v>38</v>
      </c>
      <c r="P368" s="72"/>
      <c r="Q368">
        <v>7</v>
      </c>
      <c r="R368" t="str">
        <v>NOLA</v>
      </c>
      <c r="S368" t="str">
        <v>Callum Botchar</v>
      </c>
      <c r="T368" t="str">
        <v>NULL</v>
      </c>
      <c r="U368" t="str">
        <v>Home</v>
      </c>
      <c r="V368" t="str">
        <v>CHI</v>
      </c>
      <c r="W368">
        <v>2.9368450435156248</v>
      </c>
      <c r="Y368" s="1" cm="1">
        <f t="array" ref="Y368">COUNT(_xlfn._xlws.FILTER($G$7:$G$10000,($I$7:$I$10000=X368)*($J$7:$J$10000&lt;&gt;"NULL")*($G$7:$G$10000 &gt;= ($G$1-5))))/5</f>
        <v>0</v>
      </c>
    </row>
    <row r="369" spans="7:25" x14ac:dyDescent="0.35">
      <c r="G369" s="66">
        <v>5</v>
      </c>
      <c r="H369" t="s">
        <v>4</v>
      </c>
      <c r="I369" t="s">
        <v>114</v>
      </c>
      <c r="J369" t="s">
        <v>256</v>
      </c>
      <c r="K369" t="s">
        <v>9</v>
      </c>
      <c r="L369" t="s">
        <v>23</v>
      </c>
      <c r="M369">
        <f t="shared" si="30"/>
        <v>4.2946700302616945</v>
      </c>
      <c r="N369" t="str">
        <f t="shared" si="31"/>
        <v/>
      </c>
      <c r="O369" s="67" cm="1">
        <f t="array" ref="O369">SUMPRODUCT((G369=$G$7:$G$10000)*(M369&lt;$M$7:$M$10000))+1</f>
        <v>39</v>
      </c>
      <c r="P369" s="72"/>
      <c r="Q369">
        <v>7</v>
      </c>
      <c r="R369" t="str">
        <v>LA</v>
      </c>
      <c r="S369" t="str">
        <v>Alessandro Heaney</v>
      </c>
      <c r="T369" t="str">
        <v>NULL</v>
      </c>
      <c r="U369" t="str">
        <v>Home</v>
      </c>
      <c r="V369" t="str">
        <v>OGDC</v>
      </c>
      <c r="W369">
        <v>2.7142689167162448</v>
      </c>
      <c r="Y369" s="1" cm="1">
        <f t="array" ref="Y369">COUNT(_xlfn._xlws.FILTER($G$7:$G$10000,($I$7:$I$10000=X369)*($J$7:$J$10000&lt;&gt;"NULL")*($G$7:$G$10000 &gt;= ($G$1-5))))/5</f>
        <v>0</v>
      </c>
    </row>
    <row r="370" spans="7:25" x14ac:dyDescent="0.35">
      <c r="G370" s="66">
        <v>5</v>
      </c>
      <c r="H370" t="s">
        <v>24</v>
      </c>
      <c r="I370" t="s">
        <v>419</v>
      </c>
      <c r="J370" t="s">
        <v>256</v>
      </c>
      <c r="K370" t="s">
        <v>3</v>
      </c>
      <c r="L370" t="s">
        <v>13</v>
      </c>
      <c r="M370">
        <f t="shared" si="30"/>
        <v>4.1885177266317593</v>
      </c>
      <c r="N370" t="str">
        <f t="shared" si="31"/>
        <v/>
      </c>
      <c r="O370" s="67" cm="1">
        <f t="array" ref="O370">SUMPRODUCT((G370=$G$7:$G$10000)*(M370&lt;$M$7:$M$10000))+1</f>
        <v>40</v>
      </c>
      <c r="P370" s="72"/>
      <c r="Q370">
        <v>7</v>
      </c>
      <c r="R370" t="str">
        <v>OGDC</v>
      </c>
      <c r="S370" t="str">
        <v>Tevita Naqali</v>
      </c>
      <c r="T370" t="str">
        <v>NULL</v>
      </c>
      <c r="U370" t="str">
        <v>Away</v>
      </c>
      <c r="V370" t="str">
        <v>LA</v>
      </c>
      <c r="W370">
        <v>2.6763486737721047</v>
      </c>
      <c r="Y370" s="1" cm="1">
        <f t="array" ref="Y370">COUNT(_xlfn._xlws.FILTER($G$7:$G$10000,($I$7:$I$10000=X370)*($J$7:$J$10000&lt;&gt;"NULL")*($G$7:$G$10000 &gt;= ($G$1-5))))/5</f>
        <v>0</v>
      </c>
    </row>
    <row r="371" spans="7:25" x14ac:dyDescent="0.35">
      <c r="G371" s="66">
        <v>5</v>
      </c>
      <c r="H371" t="s">
        <v>24</v>
      </c>
      <c r="I371" t="s">
        <v>465</v>
      </c>
      <c r="J371" t="s">
        <v>256</v>
      </c>
      <c r="K371" t="s">
        <v>3</v>
      </c>
      <c r="L371" t="s">
        <v>13</v>
      </c>
      <c r="M371">
        <f t="shared" si="30"/>
        <v>3.9528317227851542</v>
      </c>
      <c r="N371" t="str">
        <f t="shared" si="31"/>
        <v/>
      </c>
      <c r="O371" s="67" cm="1">
        <f t="array" ref="O371">SUMPRODUCT((G371=$G$7:$G$10000)*(M371&lt;$M$7:$M$10000))+1</f>
        <v>41</v>
      </c>
      <c r="P371" s="72"/>
      <c r="Q371">
        <v>7</v>
      </c>
      <c r="R371" t="str">
        <v>UTAH</v>
      </c>
      <c r="S371" t="str">
        <v>Gavin Thornbury</v>
      </c>
      <c r="T371" t="str">
        <v>NULL</v>
      </c>
      <c r="U371" t="str">
        <v>Home</v>
      </c>
      <c r="V371" t="str">
        <v>NEFJ</v>
      </c>
      <c r="W371">
        <v>2.6617770412697168</v>
      </c>
      <c r="Y371" s="1" cm="1">
        <f t="array" ref="Y371">COUNT(_xlfn._xlws.FILTER($G$7:$G$10000,($I$7:$I$10000=X371)*($J$7:$J$10000&lt;&gt;"NULL")*($G$7:$G$10000 &gt;= ($G$1-5))))/5</f>
        <v>0</v>
      </c>
    </row>
    <row r="372" spans="7:25" x14ac:dyDescent="0.35">
      <c r="G372" s="66">
        <v>5</v>
      </c>
      <c r="H372" t="s">
        <v>6</v>
      </c>
      <c r="I372" t="s">
        <v>417</v>
      </c>
      <c r="J372" t="s">
        <v>256</v>
      </c>
      <c r="K372" t="s">
        <v>3</v>
      </c>
      <c r="L372" t="s">
        <v>17</v>
      </c>
      <c r="M372">
        <f t="shared" si="30"/>
        <v>3.9390896432808309</v>
      </c>
      <c r="N372" t="str">
        <f t="shared" si="31"/>
        <v/>
      </c>
      <c r="O372" s="67" cm="1">
        <f t="array" ref="O372">SUMPRODUCT((G372=$G$7:$G$10000)*(M372&lt;$M$7:$M$10000))+1</f>
        <v>42</v>
      </c>
      <c r="P372" s="72"/>
      <c r="Q372">
        <v>7</v>
      </c>
      <c r="R372" t="str">
        <v>ARC</v>
      </c>
      <c r="S372" t="str">
        <v>Shawn Clark</v>
      </c>
      <c r="T372" t="str">
        <v>NULL</v>
      </c>
      <c r="U372" t="str">
        <v>Away</v>
      </c>
      <c r="V372" t="str">
        <v>SEA</v>
      </c>
      <c r="W372">
        <v>2.6178701047441777</v>
      </c>
      <c r="Y372" s="1" cm="1">
        <f t="array" ref="Y372">COUNT(_xlfn._xlws.FILTER($G$7:$G$10000,($I$7:$I$10000=X372)*($J$7:$J$10000&lt;&gt;"NULL")*($G$7:$G$10000 &gt;= ($G$1-5))))/5</f>
        <v>0</v>
      </c>
    </row>
    <row r="373" spans="7:25" x14ac:dyDescent="0.35">
      <c r="G373" s="66">
        <v>5</v>
      </c>
      <c r="H373" t="s">
        <v>17</v>
      </c>
      <c r="I373" t="s">
        <v>284</v>
      </c>
      <c r="J373" t="s">
        <v>256</v>
      </c>
      <c r="K373" t="s">
        <v>9</v>
      </c>
      <c r="L373" t="s">
        <v>6</v>
      </c>
      <c r="M373">
        <f t="shared" si="30"/>
        <v>3.7608821684031168</v>
      </c>
      <c r="N373" t="str">
        <f t="shared" si="31"/>
        <v/>
      </c>
      <c r="O373" s="67" cm="1">
        <f t="array" ref="O373">SUMPRODUCT((G373=$G$7:$G$10000)*(M373&lt;$M$7:$M$10000))+1</f>
        <v>43</v>
      </c>
      <c r="P373" s="72"/>
      <c r="Q373">
        <v>7</v>
      </c>
      <c r="R373" t="str">
        <v>NOLA</v>
      </c>
      <c r="S373" t="str">
        <v>Cam Dolan</v>
      </c>
      <c r="T373" t="str">
        <v>NULL</v>
      </c>
      <c r="U373" t="str">
        <v>Home</v>
      </c>
      <c r="V373" t="str">
        <v>CHI</v>
      </c>
      <c r="W373">
        <v>2.6160989596520778</v>
      </c>
      <c r="Y373" s="1" cm="1">
        <f t="array" ref="Y373">COUNT(_xlfn._xlws.FILTER($G$7:$G$10000,($I$7:$I$10000=X373)*($J$7:$J$10000&lt;&gt;"NULL")*($G$7:$G$10000 &gt;= ($G$1-5))))/5</f>
        <v>0</v>
      </c>
    </row>
    <row r="374" spans="7:25" x14ac:dyDescent="0.35">
      <c r="G374" s="66">
        <v>5</v>
      </c>
      <c r="H374" t="s">
        <v>4</v>
      </c>
      <c r="I374" t="s">
        <v>484</v>
      </c>
      <c r="J374" t="s">
        <v>256</v>
      </c>
      <c r="K374" t="s">
        <v>9</v>
      </c>
      <c r="L374" t="s">
        <v>23</v>
      </c>
      <c r="M374">
        <f t="shared" si="30"/>
        <v>3.7143032321780725</v>
      </c>
      <c r="N374" t="str">
        <f t="shared" si="31"/>
        <v/>
      </c>
      <c r="O374" s="67" cm="1">
        <f t="array" ref="O374">SUMPRODUCT((G374=$G$7:$G$10000)*(M374&lt;$M$7:$M$10000))+1</f>
        <v>44</v>
      </c>
      <c r="P374" s="72"/>
      <c r="Q374">
        <v>7</v>
      </c>
      <c r="R374" t="str">
        <v>ARC</v>
      </c>
      <c r="S374" t="str">
        <v>Joe Apikotoa</v>
      </c>
      <c r="T374" t="str">
        <v>NULL</v>
      </c>
      <c r="U374" t="str">
        <v>Away</v>
      </c>
      <c r="V374" t="str">
        <v>SEA</v>
      </c>
      <c r="W374">
        <v>2.6011268142799651</v>
      </c>
      <c r="Y374" s="1" cm="1">
        <f t="array" ref="Y374">COUNT(_xlfn._xlws.FILTER($G$7:$G$10000,($I$7:$I$10000=X374)*($J$7:$J$10000&lt;&gt;"NULL")*($G$7:$G$10000 &gt;= ($G$1-5))))/5</f>
        <v>0</v>
      </c>
    </row>
    <row r="375" spans="7:25" x14ac:dyDescent="0.35">
      <c r="G375" s="66">
        <v>5</v>
      </c>
      <c r="H375" t="s">
        <v>4</v>
      </c>
      <c r="I375" t="s">
        <v>435</v>
      </c>
      <c r="J375" t="s">
        <v>256</v>
      </c>
      <c r="K375" t="s">
        <v>9</v>
      </c>
      <c r="L375" t="s">
        <v>23</v>
      </c>
      <c r="M375">
        <f t="shared" si="30"/>
        <v>3.6135269641570726</v>
      </c>
      <c r="N375" t="str">
        <f t="shared" si="31"/>
        <v/>
      </c>
      <c r="O375" s="67" cm="1">
        <f t="array" ref="O375">SUMPRODUCT((G375=$G$7:$G$10000)*(M375&lt;$M$7:$M$10000))+1</f>
        <v>45</v>
      </c>
      <c r="P375" s="72"/>
      <c r="Q375">
        <v>7</v>
      </c>
      <c r="R375" t="str">
        <v>ARC</v>
      </c>
      <c r="S375" t="str">
        <v>Albert O'Shannessey</v>
      </c>
      <c r="T375" t="str">
        <v>NULL</v>
      </c>
      <c r="U375" t="str">
        <v>Away</v>
      </c>
      <c r="V375" t="str">
        <v>SEA</v>
      </c>
      <c r="W375">
        <v>2.4732558281547252</v>
      </c>
      <c r="Y375" s="1" cm="1">
        <f t="array" ref="Y375">COUNT(_xlfn._xlws.FILTER($G$7:$G$10000,($I$7:$I$10000=X375)*($J$7:$J$10000&lt;&gt;"NULL")*($G$7:$G$10000 &gt;= ($G$1-5))))/5</f>
        <v>0</v>
      </c>
    </row>
    <row r="376" spans="7:25" x14ac:dyDescent="0.35">
      <c r="G376" s="66">
        <v>5</v>
      </c>
      <c r="H376" t="s">
        <v>7</v>
      </c>
      <c r="I376" t="s">
        <v>158</v>
      </c>
      <c r="J376" t="s">
        <v>256</v>
      </c>
      <c r="K376" t="s">
        <v>9</v>
      </c>
      <c r="L376" t="s">
        <v>2</v>
      </c>
      <c r="M376">
        <f t="shared" si="30"/>
        <v>3.4954405548617373</v>
      </c>
      <c r="N376" t="str">
        <f t="shared" si="31"/>
        <v/>
      </c>
      <c r="O376" s="67" cm="1">
        <f t="array" ref="O376">SUMPRODUCT((G376=$G$7:$G$10000)*(M376&lt;$M$7:$M$10000))+1</f>
        <v>46</v>
      </c>
      <c r="P376" s="72"/>
      <c r="Q376">
        <v>7</v>
      </c>
      <c r="R376" t="str">
        <v>SEA</v>
      </c>
      <c r="S376" t="str">
        <v>Taylor Krumrei</v>
      </c>
      <c r="T376" t="str">
        <v>NULL</v>
      </c>
      <c r="U376" t="str">
        <v>Home</v>
      </c>
      <c r="V376" t="str">
        <v>ARC</v>
      </c>
      <c r="W376">
        <v>2.0001504644820436</v>
      </c>
      <c r="Y376" s="1" cm="1">
        <f t="array" ref="Y376">COUNT(_xlfn._xlws.FILTER($G$7:$G$10000,($I$7:$I$10000=X376)*($J$7:$J$10000&lt;&gt;"NULL")*($G$7:$G$10000 &gt;= ($G$1-5))))/5</f>
        <v>0</v>
      </c>
    </row>
    <row r="377" spans="7:25" x14ac:dyDescent="0.35">
      <c r="G377" s="66">
        <v>5</v>
      </c>
      <c r="H377" t="s">
        <v>7</v>
      </c>
      <c r="I377" t="s">
        <v>163</v>
      </c>
      <c r="J377" t="s">
        <v>256</v>
      </c>
      <c r="K377" t="s">
        <v>9</v>
      </c>
      <c r="L377" t="s">
        <v>2</v>
      </c>
      <c r="M377">
        <f t="shared" si="30"/>
        <v>3.4429235251784371</v>
      </c>
      <c r="N377" t="str">
        <f t="shared" si="31"/>
        <v/>
      </c>
      <c r="O377" s="67" cm="1">
        <f t="array" ref="O377">SUMPRODUCT((G377=$G$7:$G$10000)*(M377&lt;$M$7:$M$10000))+1</f>
        <v>47</v>
      </c>
      <c r="P377" s="72"/>
      <c r="Q377">
        <v>7</v>
      </c>
      <c r="R377" t="str">
        <v>UTAH</v>
      </c>
      <c r="S377" t="str">
        <v>Kalisi Moli</v>
      </c>
      <c r="T377" t="str">
        <v>NULL</v>
      </c>
      <c r="U377" t="str">
        <v>Home</v>
      </c>
      <c r="V377" t="str">
        <v>NEFJ</v>
      </c>
      <c r="W377">
        <v>1.9763282033567919</v>
      </c>
      <c r="Y377" s="1" cm="1">
        <f t="array" ref="Y377">COUNT(_xlfn._xlws.FILTER($G$7:$G$10000,($I$7:$I$10000=X377)*($J$7:$J$10000&lt;&gt;"NULL")*($G$7:$G$10000 &gt;= ($G$1-5))))/5</f>
        <v>0</v>
      </c>
    </row>
    <row r="378" spans="7:25" x14ac:dyDescent="0.35">
      <c r="G378" s="66">
        <v>5</v>
      </c>
      <c r="H378" t="s">
        <v>6</v>
      </c>
      <c r="I378" t="s">
        <v>416</v>
      </c>
      <c r="J378" t="s">
        <v>256</v>
      </c>
      <c r="K378" t="s">
        <v>3</v>
      </c>
      <c r="L378" t="s">
        <v>17</v>
      </c>
      <c r="M378">
        <f t="shared" si="30"/>
        <v>3.2486879462035736</v>
      </c>
      <c r="N378" t="str">
        <f t="shared" si="31"/>
        <v/>
      </c>
      <c r="O378" s="67" cm="1">
        <f t="array" ref="O378">SUMPRODUCT((G378=$G$7:$G$10000)*(M378&lt;$M$7:$M$10000))+1</f>
        <v>48</v>
      </c>
      <c r="P378" s="72"/>
      <c r="Q378">
        <v>7</v>
      </c>
      <c r="R378" t="str">
        <v>LA</v>
      </c>
      <c r="S378" t="str">
        <v>Reegan O'Gorman</v>
      </c>
      <c r="T378" t="str">
        <v>NULL</v>
      </c>
      <c r="U378" t="str">
        <v>Home</v>
      </c>
      <c r="V378" t="str">
        <v>OGDC</v>
      </c>
      <c r="W378">
        <v>1.9422120811315793</v>
      </c>
      <c r="Y378" s="1" cm="1">
        <f t="array" ref="Y378">COUNT(_xlfn._xlws.FILTER($G$7:$G$10000,($I$7:$I$10000=X378)*($J$7:$J$10000&lt;&gt;"NULL")*($G$7:$G$10000 &gt;= ($G$1-5))))/5</f>
        <v>0</v>
      </c>
    </row>
    <row r="379" spans="7:25" x14ac:dyDescent="0.35">
      <c r="G379" s="66">
        <v>5</v>
      </c>
      <c r="H379" t="s">
        <v>23</v>
      </c>
      <c r="I379" t="s">
        <v>252</v>
      </c>
      <c r="J379" t="s">
        <v>256</v>
      </c>
      <c r="K379" t="s">
        <v>3</v>
      </c>
      <c r="L379" t="s">
        <v>4</v>
      </c>
      <c r="M379">
        <f t="shared" si="30"/>
        <v>3.1401262029112251</v>
      </c>
      <c r="N379" t="str">
        <f t="shared" si="31"/>
        <v/>
      </c>
      <c r="O379" s="67" cm="1">
        <f t="array" ref="O379">SUMPRODUCT((G379=$G$7:$G$10000)*(M379&lt;$M$7:$M$10000))+1</f>
        <v>49</v>
      </c>
      <c r="P379" s="72"/>
      <c r="Q379">
        <v>7</v>
      </c>
      <c r="R379" t="str">
        <v>SDL</v>
      </c>
      <c r="S379" t="str">
        <v>Hugh Roach</v>
      </c>
      <c r="T379" t="str">
        <v>NULL</v>
      </c>
      <c r="U379" t="str">
        <v>Away</v>
      </c>
      <c r="V379" t="str">
        <v>HOU</v>
      </c>
      <c r="W379">
        <v>1.8683256428277195</v>
      </c>
      <c r="Y379" s="1" cm="1">
        <f t="array" ref="Y379">COUNT(_xlfn._xlws.FILTER($G$7:$G$10000,($I$7:$I$10000=X379)*($J$7:$J$10000&lt;&gt;"NULL")*($G$7:$G$10000 &gt;= ($G$1-5))))/5</f>
        <v>0</v>
      </c>
    </row>
    <row r="380" spans="7:25" x14ac:dyDescent="0.35">
      <c r="G380" s="66">
        <v>5</v>
      </c>
      <c r="H380" t="s">
        <v>7</v>
      </c>
      <c r="I380" t="s">
        <v>211</v>
      </c>
      <c r="J380" t="s">
        <v>256</v>
      </c>
      <c r="K380" t="s">
        <v>9</v>
      </c>
      <c r="L380" t="s">
        <v>2</v>
      </c>
      <c r="M380">
        <f t="shared" si="30"/>
        <v>3.126791909315382</v>
      </c>
      <c r="N380" t="str">
        <f t="shared" si="31"/>
        <v/>
      </c>
      <c r="O380" s="67" cm="1">
        <f t="array" ref="O380">SUMPRODUCT((G380=$G$7:$G$10000)*(M380&lt;$M$7:$M$10000))+1</f>
        <v>50</v>
      </c>
      <c r="P380" s="72"/>
      <c r="Q380">
        <v>7</v>
      </c>
      <c r="R380" t="str">
        <v>SDL</v>
      </c>
      <c r="S380" t="str">
        <v>Brandon Harvey</v>
      </c>
      <c r="T380" t="str">
        <v>NULL</v>
      </c>
      <c r="U380" t="str">
        <v>Away</v>
      </c>
      <c r="V380" t="str">
        <v>HOU</v>
      </c>
      <c r="W380">
        <v>1.4893185566069018</v>
      </c>
      <c r="Y380" s="1" cm="1">
        <f t="array" ref="Y380">COUNT(_xlfn._xlws.FILTER($G$7:$G$10000,($I$7:$I$10000=X380)*($J$7:$J$10000&lt;&gt;"NULL")*($G$7:$G$10000 &gt;= ($G$1-5))))/5</f>
        <v>0</v>
      </c>
    </row>
    <row r="381" spans="7:25" x14ac:dyDescent="0.35">
      <c r="G381" s="66">
        <v>5</v>
      </c>
      <c r="H381" t="s">
        <v>2</v>
      </c>
      <c r="I381" t="s">
        <v>426</v>
      </c>
      <c r="J381" t="s">
        <v>256</v>
      </c>
      <c r="K381" t="s">
        <v>3</v>
      </c>
      <c r="L381" t="s">
        <v>7</v>
      </c>
      <c r="M381">
        <f t="shared" si="30"/>
        <v>3.1265196019235102</v>
      </c>
      <c r="N381" t="str">
        <f t="shared" si="31"/>
        <v/>
      </c>
      <c r="O381" s="67" cm="1">
        <f t="array" ref="O381">SUMPRODUCT((G381=$G$7:$G$10000)*(M381&lt;$M$7:$M$10000))+1</f>
        <v>51</v>
      </c>
      <c r="P381" s="72"/>
      <c r="Q381">
        <v>7</v>
      </c>
      <c r="R381" t="str">
        <v>LA</v>
      </c>
      <c r="S381" t="str">
        <v>Cronan Gleeson</v>
      </c>
      <c r="T381" t="str">
        <v>NULL</v>
      </c>
      <c r="U381" t="str">
        <v>Home</v>
      </c>
      <c r="V381" t="str">
        <v>OGDC</v>
      </c>
      <c r="W381">
        <v>1.2668460143856128</v>
      </c>
      <c r="Y381" s="1" cm="1">
        <f t="array" ref="Y381">COUNT(_xlfn._xlws.FILTER($G$7:$G$10000,($I$7:$I$10000=X381)*($J$7:$J$10000&lt;&gt;"NULL")*($G$7:$G$10000 &gt;= ($G$1-5))))/5</f>
        <v>0</v>
      </c>
    </row>
    <row r="382" spans="7:25" x14ac:dyDescent="0.35">
      <c r="G382" s="66">
        <v>5</v>
      </c>
      <c r="H382" t="s">
        <v>4</v>
      </c>
      <c r="I382" t="s">
        <v>434</v>
      </c>
      <c r="J382" t="s">
        <v>256</v>
      </c>
      <c r="K382" t="s">
        <v>9</v>
      </c>
      <c r="L382" t="s">
        <v>23</v>
      </c>
      <c r="M382">
        <f t="shared" si="30"/>
        <v>3.0721893715936797</v>
      </c>
      <c r="N382" t="str">
        <f t="shared" si="31"/>
        <v/>
      </c>
      <c r="O382" s="67" cm="1">
        <f t="array" ref="O382">SUMPRODUCT((G382=$G$7:$G$10000)*(M382&lt;$M$7:$M$10000))+1</f>
        <v>52</v>
      </c>
      <c r="P382" s="72"/>
      <c r="Q382">
        <v>7</v>
      </c>
      <c r="R382" t="str">
        <v>SEA</v>
      </c>
      <c r="S382" t="str">
        <v>Juan Pablo Zeiss</v>
      </c>
      <c r="T382" t="str">
        <v>NULL</v>
      </c>
      <c r="U382" t="str">
        <v>Home</v>
      </c>
      <c r="V382" t="str">
        <v>ARC</v>
      </c>
      <c r="W382">
        <v>1.0440614248066984</v>
      </c>
      <c r="Y382" s="1" cm="1">
        <f t="array" ref="Y382">COUNT(_xlfn._xlws.FILTER($G$7:$G$10000,($I$7:$I$10000=X382)*($J$7:$J$10000&lt;&gt;"NULL")*($G$7:$G$10000 &gt;= ($G$1-5))))/5</f>
        <v>0</v>
      </c>
    </row>
    <row r="383" spans="7:25" x14ac:dyDescent="0.35">
      <c r="G383" s="66">
        <v>5</v>
      </c>
      <c r="H383" t="s">
        <v>2</v>
      </c>
      <c r="I383" t="s">
        <v>159</v>
      </c>
      <c r="J383" t="s">
        <v>256</v>
      </c>
      <c r="K383" t="s">
        <v>3</v>
      </c>
      <c r="L383" t="s">
        <v>7</v>
      </c>
      <c r="M383">
        <f t="shared" si="30"/>
        <v>2.9883911271475387</v>
      </c>
      <c r="N383" t="str">
        <f t="shared" si="31"/>
        <v/>
      </c>
      <c r="O383" s="67" cm="1">
        <f t="array" ref="O383">SUMPRODUCT((G383=$G$7:$G$10000)*(M383&lt;$M$7:$M$10000))+1</f>
        <v>53</v>
      </c>
      <c r="P383" s="72"/>
      <c r="Q383">
        <v>7</v>
      </c>
      <c r="R383" t="str">
        <v>CHI</v>
      </c>
      <c r="S383" t="str">
        <v>Charlie Abel</v>
      </c>
      <c r="T383" t="str">
        <v>NULL</v>
      </c>
      <c r="U383" t="str">
        <v>Away</v>
      </c>
      <c r="V383" t="str">
        <v>NOLA</v>
      </c>
      <c r="W383">
        <v>0.94246351113670368</v>
      </c>
      <c r="Y383" s="1" cm="1">
        <f t="array" ref="Y383">COUNT(_xlfn._xlws.FILTER($G$7:$G$10000,($I$7:$I$10000=X383)*($J$7:$J$10000&lt;&gt;"NULL")*($G$7:$G$10000 &gt;= ($G$1-5))))/5</f>
        <v>0</v>
      </c>
    </row>
    <row r="384" spans="7:25" x14ac:dyDescent="0.35">
      <c r="G384" s="66">
        <v>5</v>
      </c>
      <c r="H384" t="s">
        <v>7</v>
      </c>
      <c r="I384" t="s">
        <v>104</v>
      </c>
      <c r="J384" t="s">
        <v>256</v>
      </c>
      <c r="K384" t="s">
        <v>9</v>
      </c>
      <c r="L384" t="s">
        <v>2</v>
      </c>
      <c r="M384">
        <f t="shared" si="30"/>
        <v>2.9686842352416924</v>
      </c>
      <c r="N384" t="str">
        <f t="shared" si="31"/>
        <v/>
      </c>
      <c r="O384" s="67" cm="1">
        <f t="array" ref="O384">SUMPRODUCT((G384=$G$7:$G$10000)*(M384&lt;$M$7:$M$10000))+1</f>
        <v>54</v>
      </c>
      <c r="P384" s="72"/>
      <c r="Q384">
        <v>7</v>
      </c>
      <c r="R384" t="str">
        <v>SEA</v>
      </c>
      <c r="S384" t="str">
        <v>Malembe Mpofu</v>
      </c>
      <c r="T384" t="str">
        <v>NULL</v>
      </c>
      <c r="U384" t="str">
        <v>Home</v>
      </c>
      <c r="V384" t="str">
        <v>ARC</v>
      </c>
      <c r="W384">
        <v>0.39900753496221419</v>
      </c>
      <c r="Y384" s="1" cm="1">
        <f t="array" ref="Y384">COUNT(_xlfn._xlws.FILTER($G$7:$G$10000,($I$7:$I$10000=X384)*($J$7:$J$10000&lt;&gt;"NULL")*($G$7:$G$10000 &gt;= ($G$1-5))))/5</f>
        <v>0</v>
      </c>
    </row>
    <row r="385" spans="7:25" x14ac:dyDescent="0.35">
      <c r="G385" s="66">
        <v>5</v>
      </c>
      <c r="H385" t="s">
        <v>23</v>
      </c>
      <c r="I385" t="s">
        <v>229</v>
      </c>
      <c r="J385" t="s">
        <v>256</v>
      </c>
      <c r="K385" t="s">
        <v>3</v>
      </c>
      <c r="L385" t="s">
        <v>4</v>
      </c>
      <c r="M385">
        <f t="shared" si="30"/>
        <v>2.901015350047131</v>
      </c>
      <c r="N385" t="str">
        <f t="shared" si="31"/>
        <v/>
      </c>
      <c r="O385" s="67" cm="1">
        <f t="array" ref="O385">SUMPRODUCT((G385=$G$7:$G$10000)*(M385&lt;$M$7:$M$10000))+1</f>
        <v>55</v>
      </c>
      <c r="P385" s="72"/>
      <c r="Q385">
        <v>7</v>
      </c>
      <c r="R385" t="str">
        <v>NEFJ</v>
      </c>
      <c r="S385" t="str">
        <v>Malakai Hala-Ngatai</v>
      </c>
      <c r="T385" t="str">
        <v>NULL</v>
      </c>
      <c r="U385" t="str">
        <v>Away</v>
      </c>
      <c r="V385" t="str">
        <v>UTAH</v>
      </c>
      <c r="W385">
        <v>6.9275593259119361E-2</v>
      </c>
      <c r="Y385" s="1" cm="1">
        <f t="array" ref="Y385">COUNT(_xlfn._xlws.FILTER($G$7:$G$10000,($I$7:$I$10000=X385)*($J$7:$J$10000&lt;&gt;"NULL")*($G$7:$G$10000 &gt;= ($G$1-5))))/5</f>
        <v>0</v>
      </c>
    </row>
    <row r="386" spans="7:25" x14ac:dyDescent="0.35">
      <c r="G386" s="66">
        <v>5</v>
      </c>
      <c r="H386" t="s">
        <v>17</v>
      </c>
      <c r="I386" t="s">
        <v>167</v>
      </c>
      <c r="J386" t="s">
        <v>256</v>
      </c>
      <c r="K386" t="s">
        <v>9</v>
      </c>
      <c r="L386" t="s">
        <v>6</v>
      </c>
      <c r="M386">
        <f t="shared" si="30"/>
        <v>2.8047931287277716</v>
      </c>
      <c r="N386" t="str">
        <f t="shared" si="31"/>
        <v/>
      </c>
      <c r="O386" s="67" cm="1">
        <f t="array" ref="O386">SUMPRODUCT((G386=$G$7:$G$10000)*(M386&lt;$M$7:$M$10000))+1</f>
        <v>56</v>
      </c>
      <c r="P386" s="72"/>
      <c r="Q386">
        <v>7</v>
      </c>
      <c r="R386" t="str">
        <v>NEFJ</v>
      </c>
      <c r="S386" t="str">
        <v>Wian Conradie</v>
      </c>
      <c r="T386" t="str">
        <v>NULL</v>
      </c>
      <c r="U386" t="str">
        <v>Away</v>
      </c>
      <c r="V386" t="str">
        <v>UTAH</v>
      </c>
      <c r="W386">
        <v>-0.16983525960497481</v>
      </c>
      <c r="Y386" s="1" cm="1">
        <f t="array" ref="Y386">COUNT(_xlfn._xlws.FILTER($G$7:$G$10000,($I$7:$I$10000=X386)*($J$7:$J$10000&lt;&gt;"NULL")*($G$7:$G$10000 &gt;= ($G$1-5))))/5</f>
        <v>0</v>
      </c>
    </row>
    <row r="387" spans="7:25" x14ac:dyDescent="0.35">
      <c r="G387" s="66">
        <v>5</v>
      </c>
      <c r="H387" t="s">
        <v>7</v>
      </c>
      <c r="I387" t="s">
        <v>148</v>
      </c>
      <c r="J387" t="s">
        <v>256</v>
      </c>
      <c r="K387" t="s">
        <v>9</v>
      </c>
      <c r="L387" t="s">
        <v>2</v>
      </c>
      <c r="M387">
        <f t="shared" si="30"/>
        <v>2.7687438249357088</v>
      </c>
      <c r="N387" t="str">
        <f t="shared" si="31"/>
        <v/>
      </c>
      <c r="O387" s="67" cm="1">
        <f t="array" ref="O387">SUMPRODUCT((G387=$G$7:$G$10000)*(M387&lt;$M$7:$M$10000))+1</f>
        <v>57</v>
      </c>
      <c r="P387" s="72"/>
      <c r="Q387">
        <v>7</v>
      </c>
      <c r="R387" t="str">
        <v>SEA</v>
      </c>
      <c r="S387" t="str">
        <v>Dewald Kotze</v>
      </c>
      <c r="T387" t="str">
        <v>NULL</v>
      </c>
      <c r="U387" t="str">
        <v>Home</v>
      </c>
      <c r="V387" t="str">
        <v>ARC</v>
      </c>
      <c r="W387">
        <v>-0.77743486289486086</v>
      </c>
      <c r="Y387" s="1" cm="1">
        <f t="array" ref="Y387">COUNT(_xlfn._xlws.FILTER($G$7:$G$10000,($I$7:$I$10000=X387)*($J$7:$J$10000&lt;&gt;"NULL")*($G$7:$G$10000 &gt;= ($G$1-5))))/5</f>
        <v>0</v>
      </c>
    </row>
    <row r="388" spans="7:25" x14ac:dyDescent="0.35">
      <c r="G388" s="66">
        <v>5</v>
      </c>
      <c r="H388" t="s">
        <v>4</v>
      </c>
      <c r="I388" t="s">
        <v>481</v>
      </c>
      <c r="J388" t="s">
        <v>256</v>
      </c>
      <c r="K388" t="s">
        <v>9</v>
      </c>
      <c r="L388" t="s">
        <v>23</v>
      </c>
      <c r="M388">
        <f t="shared" si="30"/>
        <v>2.6899360965416106</v>
      </c>
      <c r="N388" t="str">
        <f t="shared" si="31"/>
        <v/>
      </c>
      <c r="O388" s="67" cm="1">
        <f t="array" ref="O388">SUMPRODUCT((G388=$G$7:$G$10000)*(M388&lt;$M$7:$M$10000))+1</f>
        <v>58</v>
      </c>
      <c r="P388" s="72"/>
      <c r="Q388">
        <v>7</v>
      </c>
      <c r="R388" t="str">
        <v>UTAH</v>
      </c>
      <c r="S388" t="str">
        <v>Tonga Kofe</v>
      </c>
      <c r="T388" t="str">
        <v>NULL</v>
      </c>
      <c r="U388" t="str">
        <v>Home</v>
      </c>
      <c r="V388" t="str">
        <v>NEFJ</v>
      </c>
      <c r="W388">
        <v>-0.94786251930057563</v>
      </c>
      <c r="Y388" s="1" cm="1">
        <f t="array" ref="Y388">COUNT(_xlfn._xlws.FILTER($G$7:$G$10000,($I$7:$I$10000=X388)*($J$7:$J$10000&lt;&gt;"NULL")*($G$7:$G$10000 &gt;= ($G$1-5))))/5</f>
        <v>0</v>
      </c>
    </row>
    <row r="389" spans="7:25" x14ac:dyDescent="0.35">
      <c r="G389" s="66">
        <v>5</v>
      </c>
      <c r="H389" t="s">
        <v>24</v>
      </c>
      <c r="I389" t="s">
        <v>422</v>
      </c>
      <c r="J389" t="s">
        <v>256</v>
      </c>
      <c r="K389" t="s">
        <v>3</v>
      </c>
      <c r="L389" t="s">
        <v>13</v>
      </c>
      <c r="M389">
        <f t="shared" si="30"/>
        <v>2.6830849170393236</v>
      </c>
      <c r="N389" t="str">
        <f t="shared" si="31"/>
        <v/>
      </c>
      <c r="O389" s="67" cm="1">
        <f t="array" ref="O389">SUMPRODUCT((G389=$G$7:$G$10000)*(M389&lt;$M$7:$M$10000))+1</f>
        <v>59</v>
      </c>
      <c r="P389" s="72"/>
      <c r="Q389">
        <v>7</v>
      </c>
      <c r="R389" t="str">
        <v>HOU</v>
      </c>
      <c r="S389" t="str">
        <v>Justin Basson</v>
      </c>
      <c r="T389" t="str">
        <v>NULL</v>
      </c>
      <c r="U389" t="str">
        <v>Home</v>
      </c>
      <c r="V389" t="str">
        <v>SDL</v>
      </c>
      <c r="W389">
        <v>-1.5993560383116066</v>
      </c>
      <c r="Y389" s="1" cm="1">
        <f t="array" ref="Y389">COUNT(_xlfn._xlws.FILTER($G$7:$G$10000,($I$7:$I$10000=X389)*($J$7:$J$10000&lt;&gt;"NULL")*($G$7:$G$10000 &gt;= ($G$1-5))))/5</f>
        <v>0</v>
      </c>
    </row>
    <row r="390" spans="7:25" x14ac:dyDescent="0.35">
      <c r="G390" s="66">
        <v>5</v>
      </c>
      <c r="H390" t="s">
        <v>4</v>
      </c>
      <c r="I390" t="s">
        <v>109</v>
      </c>
      <c r="J390" t="s">
        <v>256</v>
      </c>
      <c r="K390" t="s">
        <v>9</v>
      </c>
      <c r="L390" t="s">
        <v>23</v>
      </c>
      <c r="M390">
        <f t="shared" si="30"/>
        <v>2.5117101839846243</v>
      </c>
      <c r="N390" t="str">
        <f t="shared" si="31"/>
        <v/>
      </c>
      <c r="O390" s="67" cm="1">
        <f t="array" ref="O390">SUMPRODUCT((G390=$G$7:$G$10000)*(M390&lt;$M$7:$M$10000))+1</f>
        <v>60</v>
      </c>
      <c r="P390" s="72"/>
      <c r="Q390">
        <v>8</v>
      </c>
      <c r="R390" t="str">
        <v>SEA</v>
      </c>
      <c r="S390" t="str">
        <v>Devin Short</v>
      </c>
      <c r="T390" t="str">
        <v>NULL</v>
      </c>
      <c r="U390" t="str">
        <v>Away</v>
      </c>
      <c r="V390" t="str">
        <v>OGDC</v>
      </c>
      <c r="W390">
        <v>18.551623620703356</v>
      </c>
      <c r="Y390" s="1" cm="1">
        <f t="array" ref="Y390">COUNT(_xlfn._xlws.FILTER($G$7:$G$10000,($I$7:$I$10000=X390)*($J$7:$J$10000&lt;&gt;"NULL")*($G$7:$G$10000 &gt;= ($G$1-5))))/5</f>
        <v>0</v>
      </c>
    </row>
    <row r="391" spans="7:25" x14ac:dyDescent="0.35">
      <c r="G391" s="66">
        <v>5</v>
      </c>
      <c r="H391" t="s">
        <v>6</v>
      </c>
      <c r="I391" t="s">
        <v>116</v>
      </c>
      <c r="J391" t="s">
        <v>256</v>
      </c>
      <c r="K391" t="s">
        <v>3</v>
      </c>
      <c r="L391" t="s">
        <v>17</v>
      </c>
      <c r="M391">
        <f t="shared" si="30"/>
        <v>2.4766311106189081</v>
      </c>
      <c r="N391" t="str">
        <f t="shared" si="31"/>
        <v/>
      </c>
      <c r="O391" s="67" cm="1">
        <f t="array" ref="O391">SUMPRODUCT((G391=$G$7:$G$10000)*(M391&lt;$M$7:$M$10000))+1</f>
        <v>61</v>
      </c>
      <c r="P391" s="72"/>
      <c r="Q391">
        <v>8</v>
      </c>
      <c r="R391" t="str">
        <v>SDL</v>
      </c>
      <c r="S391" t="str">
        <v>Vili Helu</v>
      </c>
      <c r="T391" t="str">
        <v>NULL</v>
      </c>
      <c r="U391" t="str">
        <v>Home</v>
      </c>
      <c r="V391" t="str">
        <v>CHI</v>
      </c>
      <c r="W391">
        <v>15.324360162312722</v>
      </c>
      <c r="Y391" s="1" cm="1">
        <f t="array" ref="Y391">COUNT(_xlfn._xlws.FILTER($G$7:$G$10000,($I$7:$I$10000=X391)*($J$7:$J$10000&lt;&gt;"NULL")*($G$7:$G$10000 &gt;= ($G$1-5))))/5</f>
        <v>0</v>
      </c>
    </row>
    <row r="392" spans="7:25" x14ac:dyDescent="0.35">
      <c r="G392" s="66">
        <v>5</v>
      </c>
      <c r="H392" t="s">
        <v>7</v>
      </c>
      <c r="I392" t="s">
        <v>277</v>
      </c>
      <c r="J392" t="s">
        <v>256</v>
      </c>
      <c r="K392" t="s">
        <v>9</v>
      </c>
      <c r="L392" t="s">
        <v>2</v>
      </c>
      <c r="M392">
        <f t="shared" si="30"/>
        <v>2.3424986534056469</v>
      </c>
      <c r="N392" t="str">
        <f t="shared" si="31"/>
        <v/>
      </c>
      <c r="O392" s="67" cm="1">
        <f t="array" ref="O392">SUMPRODUCT((G392=$G$7:$G$10000)*(M392&lt;$M$7:$M$10000))+1</f>
        <v>62</v>
      </c>
      <c r="P392" s="72"/>
      <c r="Q392">
        <v>8</v>
      </c>
      <c r="R392" t="str">
        <v>SDL</v>
      </c>
      <c r="S392" t="str">
        <v>Shilo Klein</v>
      </c>
      <c r="T392" t="str">
        <v>NULL</v>
      </c>
      <c r="U392" t="str">
        <v>Home</v>
      </c>
      <c r="V392" t="str">
        <v>CHI</v>
      </c>
      <c r="W392">
        <v>14.966727790097181</v>
      </c>
      <c r="Y392" s="1" cm="1">
        <f t="array" ref="Y392">COUNT(_xlfn._xlws.FILTER($G$7:$G$10000,($I$7:$I$10000=X392)*($J$7:$J$10000&lt;&gt;"NULL")*($G$7:$G$10000 &gt;= ($G$1-5))))/5</f>
        <v>0</v>
      </c>
    </row>
    <row r="393" spans="7:25" x14ac:dyDescent="0.35">
      <c r="G393" s="66">
        <v>5</v>
      </c>
      <c r="H393" t="s">
        <v>17</v>
      </c>
      <c r="I393" t="s">
        <v>423</v>
      </c>
      <c r="J393" t="s">
        <v>256</v>
      </c>
      <c r="K393" t="s">
        <v>9</v>
      </c>
      <c r="L393" t="s">
        <v>6</v>
      </c>
      <c r="M393">
        <f t="shared" si="30"/>
        <v>2.1597392388832874</v>
      </c>
      <c r="N393" t="str">
        <f t="shared" si="31"/>
        <v/>
      </c>
      <c r="O393" s="67" cm="1">
        <f t="array" ref="O393">SUMPRODUCT((G393=$G$7:$G$10000)*(M393&lt;$M$7:$M$10000))+1</f>
        <v>63</v>
      </c>
      <c r="P393" s="72"/>
      <c r="Q393">
        <v>8</v>
      </c>
      <c r="R393" t="str">
        <v>SDL</v>
      </c>
      <c r="S393" t="str">
        <v>Brad Wilkin</v>
      </c>
      <c r="T393" t="str">
        <v>NULL</v>
      </c>
      <c r="U393" t="str">
        <v>Home</v>
      </c>
      <c r="V393" t="str">
        <v>CHI</v>
      </c>
      <c r="W393">
        <v>13.956261876291823</v>
      </c>
      <c r="Y393" s="1" cm="1">
        <f t="array" ref="Y393">COUNT(_xlfn._xlws.FILTER($G$7:$G$10000,($I$7:$I$10000=X393)*($J$7:$J$10000&lt;&gt;"NULL")*($G$7:$G$10000 &gt;= ($G$1-5))))/5</f>
        <v>0</v>
      </c>
    </row>
    <row r="394" spans="7:25" x14ac:dyDescent="0.35">
      <c r="G394" s="66">
        <v>5</v>
      </c>
      <c r="H394" t="s">
        <v>24</v>
      </c>
      <c r="I394" t="s">
        <v>217</v>
      </c>
      <c r="J394" t="s">
        <v>256</v>
      </c>
      <c r="K394" t="s">
        <v>3</v>
      </c>
      <c r="L394" t="s">
        <v>13</v>
      </c>
      <c r="M394">
        <f t="shared" si="30"/>
        <v>1.9404708641071782</v>
      </c>
      <c r="N394" t="str">
        <f t="shared" si="31"/>
        <v/>
      </c>
      <c r="O394" s="67" cm="1">
        <f t="array" ref="O394">SUMPRODUCT((G394=$G$7:$G$10000)*(M394&lt;$M$7:$M$10000))+1</f>
        <v>64</v>
      </c>
      <c r="P394" s="72"/>
      <c r="Q394">
        <v>8</v>
      </c>
      <c r="R394" t="str">
        <v>SDL</v>
      </c>
      <c r="S394" t="str">
        <v>Christian Poidevin</v>
      </c>
      <c r="T394" t="str">
        <v>NULL</v>
      </c>
      <c r="U394" t="str">
        <v>Home</v>
      </c>
      <c r="V394" t="str">
        <v>CHI</v>
      </c>
      <c r="W394">
        <v>13.10502409667922</v>
      </c>
      <c r="Y394" s="1" cm="1">
        <f t="array" ref="Y394">COUNT(_xlfn._xlws.FILTER($G$7:$G$10000,($I$7:$I$10000=X394)*($J$7:$J$10000&lt;&gt;"NULL")*($G$7:$G$10000 &gt;= ($G$1-5))))/5</f>
        <v>0</v>
      </c>
    </row>
    <row r="395" spans="7:25" x14ac:dyDescent="0.35">
      <c r="G395" s="66">
        <v>5</v>
      </c>
      <c r="H395" t="s">
        <v>6</v>
      </c>
      <c r="I395" t="s">
        <v>418</v>
      </c>
      <c r="J395" t="s">
        <v>256</v>
      </c>
      <c r="K395" t="s">
        <v>3</v>
      </c>
      <c r="L395" t="s">
        <v>17</v>
      </c>
      <c r="M395">
        <f t="shared" si="30"/>
        <v>1.8012650438729416</v>
      </c>
      <c r="N395" t="str">
        <f t="shared" si="31"/>
        <v/>
      </c>
      <c r="O395" s="67" cm="1">
        <f t="array" ref="O395">SUMPRODUCT((G395=$G$7:$G$10000)*(M395&lt;$M$7:$M$10000))+1</f>
        <v>65</v>
      </c>
      <c r="P395" s="72"/>
      <c r="Q395">
        <v>8</v>
      </c>
      <c r="R395" t="str">
        <v>NEFJ</v>
      </c>
      <c r="S395" t="str">
        <v>Joe Johnston</v>
      </c>
      <c r="T395" t="str">
        <v>NULL</v>
      </c>
      <c r="U395" t="str">
        <v>Home</v>
      </c>
      <c r="V395" t="str">
        <v>MIA</v>
      </c>
      <c r="W395">
        <v>12.73741248070978</v>
      </c>
      <c r="Y395" s="1" cm="1">
        <f t="array" ref="Y395">COUNT(_xlfn._xlws.FILTER($G$7:$G$10000,($I$7:$I$10000=X395)*($J$7:$J$10000&lt;&gt;"NULL")*($G$7:$G$10000 &gt;= ($G$1-5))))/5</f>
        <v>0</v>
      </c>
    </row>
    <row r="396" spans="7:25" x14ac:dyDescent="0.35">
      <c r="G396" s="66">
        <v>5</v>
      </c>
      <c r="H396" t="s">
        <v>24</v>
      </c>
      <c r="I396" t="s">
        <v>411</v>
      </c>
      <c r="J396" t="s">
        <v>256</v>
      </c>
      <c r="K396" t="s">
        <v>3</v>
      </c>
      <c r="L396" t="s">
        <v>13</v>
      </c>
      <c r="M396">
        <f t="shared" si="30"/>
        <v>1.7934471416793287</v>
      </c>
      <c r="N396" t="str">
        <f t="shared" si="31"/>
        <v/>
      </c>
      <c r="O396" s="67" cm="1">
        <f t="array" ref="O396">SUMPRODUCT((G396=$G$7:$G$10000)*(M396&lt;$M$7:$M$10000))+1</f>
        <v>66</v>
      </c>
      <c r="P396" s="72"/>
      <c r="Q396">
        <v>8</v>
      </c>
      <c r="R396" t="str">
        <v>SDL</v>
      </c>
      <c r="S396" t="str">
        <v>Djustice Sears-Duru</v>
      </c>
      <c r="T396" t="str">
        <v>NULL</v>
      </c>
      <c r="U396" t="str">
        <v>Home</v>
      </c>
      <c r="V396" t="str">
        <v>CHI</v>
      </c>
      <c r="W396">
        <v>12.549246958012638</v>
      </c>
      <c r="Y396" s="1" cm="1">
        <f t="array" ref="Y396">COUNT(_xlfn._xlws.FILTER($G$7:$G$10000,($I$7:$I$10000=X396)*($J$7:$J$10000&lt;&gt;"NULL")*($G$7:$G$10000 &gt;= ($G$1-5))))/5</f>
        <v>0</v>
      </c>
    </row>
    <row r="397" spans="7:25" x14ac:dyDescent="0.35">
      <c r="G397" s="66">
        <v>5</v>
      </c>
      <c r="H397" t="s">
        <v>24</v>
      </c>
      <c r="I397" t="s">
        <v>168</v>
      </c>
      <c r="J397" t="s">
        <v>256</v>
      </c>
      <c r="K397" t="s">
        <v>3</v>
      </c>
      <c r="L397" t="s">
        <v>13</v>
      </c>
      <c r="M397">
        <f t="shared" si="30"/>
        <v>1.4660371034670119</v>
      </c>
      <c r="N397" t="str">
        <f t="shared" si="31"/>
        <v/>
      </c>
      <c r="O397" s="67" cm="1">
        <f t="array" ref="O397">SUMPRODUCT((G397=$G$7:$G$10000)*(M397&lt;$M$7:$M$10000))+1</f>
        <v>67</v>
      </c>
      <c r="P397" s="72"/>
      <c r="Q397">
        <v>8</v>
      </c>
      <c r="R397" t="str">
        <v>HOU</v>
      </c>
      <c r="S397" t="str">
        <v>Pita Anae-Ah Sue</v>
      </c>
      <c r="T397" t="str">
        <v>NULL</v>
      </c>
      <c r="U397" t="str">
        <v>Home</v>
      </c>
      <c r="V397" t="str">
        <v>LA</v>
      </c>
      <c r="W397">
        <v>12.088398327078666</v>
      </c>
      <c r="Y397" s="1" cm="1">
        <f t="array" ref="Y397">COUNT(_xlfn._xlws.FILTER($G$7:$G$10000,($I$7:$I$10000=X397)*($J$7:$J$10000&lt;&gt;"NULL")*($G$7:$G$10000 &gt;= ($G$1-5))))/5</f>
        <v>0</v>
      </c>
    </row>
    <row r="398" spans="7:25" x14ac:dyDescent="0.35">
      <c r="G398" s="66">
        <v>5</v>
      </c>
      <c r="H398" t="s">
        <v>13</v>
      </c>
      <c r="I398" t="s">
        <v>467</v>
      </c>
      <c r="J398" t="s">
        <v>256</v>
      </c>
      <c r="K398" t="s">
        <v>9</v>
      </c>
      <c r="L398" t="s">
        <v>24</v>
      </c>
      <c r="M398">
        <f t="shared" si="30"/>
        <v>1.4562958201191991</v>
      </c>
      <c r="N398" t="str">
        <f t="shared" si="31"/>
        <v/>
      </c>
      <c r="O398" s="67" cm="1">
        <f t="array" ref="O398">SUMPRODUCT((G398=$G$7:$G$10000)*(M398&lt;$M$7:$M$10000))+1</f>
        <v>68</v>
      </c>
      <c r="P398" s="72"/>
      <c r="Q398">
        <v>8</v>
      </c>
      <c r="R398" t="str">
        <v>NEFJ</v>
      </c>
      <c r="S398" t="str">
        <v>Jed Melvin</v>
      </c>
      <c r="T398" t="str">
        <v>NULL</v>
      </c>
      <c r="U398" t="str">
        <v>Home</v>
      </c>
      <c r="V398" t="str">
        <v>MIA</v>
      </c>
      <c r="W398">
        <v>11.91992435232293</v>
      </c>
      <c r="Y398" s="1" cm="1">
        <f t="array" ref="Y398">COUNT(_xlfn._xlws.FILTER($G$7:$G$10000,($I$7:$I$10000=X398)*($J$7:$J$10000&lt;&gt;"NULL")*($G$7:$G$10000 &gt;= ($G$1-5))))/5</f>
        <v>0</v>
      </c>
    </row>
    <row r="399" spans="7:25" x14ac:dyDescent="0.35">
      <c r="G399" s="66">
        <v>5</v>
      </c>
      <c r="H399" t="s">
        <v>4</v>
      </c>
      <c r="I399" t="s">
        <v>176</v>
      </c>
      <c r="J399" t="s">
        <v>256</v>
      </c>
      <c r="K399" t="s">
        <v>9</v>
      </c>
      <c r="L399" t="s">
        <v>23</v>
      </c>
      <c r="M399">
        <f t="shared" si="30"/>
        <v>1.4153886460483101</v>
      </c>
      <c r="N399" t="str">
        <f t="shared" si="31"/>
        <v/>
      </c>
      <c r="O399" s="67" cm="1">
        <f t="array" ref="O399">SUMPRODUCT((G399=$G$7:$G$10000)*(M399&lt;$M$7:$M$10000))+1</f>
        <v>69</v>
      </c>
      <c r="P399" s="72"/>
      <c r="Q399">
        <v>8</v>
      </c>
      <c r="R399" t="str">
        <v>HOU</v>
      </c>
      <c r="S399" t="str">
        <v>Sam Tuifua</v>
      </c>
      <c r="T399" t="str">
        <v>NULL</v>
      </c>
      <c r="U399" t="str">
        <v>Home</v>
      </c>
      <c r="V399" t="str">
        <v>LA</v>
      </c>
      <c r="W399">
        <v>11.728684223151596</v>
      </c>
      <c r="Y399" s="1" cm="1">
        <f t="array" ref="Y399">COUNT(_xlfn._xlws.FILTER($G$7:$G$10000,($I$7:$I$10000=X399)*($J$7:$J$10000&lt;&gt;"NULL")*($G$7:$G$10000 &gt;= ($G$1-5))))/5</f>
        <v>0</v>
      </c>
    </row>
    <row r="400" spans="7:25" x14ac:dyDescent="0.35">
      <c r="G400" s="66">
        <v>5</v>
      </c>
      <c r="H400" t="s">
        <v>4</v>
      </c>
      <c r="I400" t="s">
        <v>172</v>
      </c>
      <c r="J400" t="s">
        <v>256</v>
      </c>
      <c r="K400" t="s">
        <v>9</v>
      </c>
      <c r="L400" t="s">
        <v>23</v>
      </c>
      <c r="M400">
        <f t="shared" si="30"/>
        <v>1.0339452489496068</v>
      </c>
      <c r="N400" t="str">
        <f t="shared" si="31"/>
        <v/>
      </c>
      <c r="O400" s="67" cm="1">
        <f t="array" ref="O400">SUMPRODUCT((G400=$G$7:$G$10000)*(M400&lt;$M$7:$M$10000))+1</f>
        <v>70</v>
      </c>
      <c r="P400" s="72"/>
      <c r="Q400">
        <v>8</v>
      </c>
      <c r="R400" t="str">
        <v>CHI</v>
      </c>
      <c r="S400" t="str">
        <v>Lucas Rumball</v>
      </c>
      <c r="T400" t="str">
        <v>NULL</v>
      </c>
      <c r="U400" t="str">
        <v>Away</v>
      </c>
      <c r="V400" t="str">
        <v>SDL</v>
      </c>
      <c r="W400">
        <v>11.432675230240507</v>
      </c>
      <c r="Y400" s="1" cm="1">
        <f t="array" ref="Y400">COUNT(_xlfn._xlws.FILTER($G$7:$G$10000,($I$7:$I$10000=X400)*($J$7:$J$10000&lt;&gt;"NULL")*($G$7:$G$10000 &gt;= ($G$1-5))))/5</f>
        <v>0</v>
      </c>
    </row>
    <row r="401" spans="7:25" x14ac:dyDescent="0.35">
      <c r="G401" s="66">
        <v>5</v>
      </c>
      <c r="H401" t="s">
        <v>17</v>
      </c>
      <c r="I401" t="s">
        <v>155</v>
      </c>
      <c r="J401" t="s">
        <v>256</v>
      </c>
      <c r="K401" t="s">
        <v>9</v>
      </c>
      <c r="L401" t="s">
        <v>6</v>
      </c>
      <c r="M401">
        <f t="shared" si="30"/>
        <v>0.9832968410262124</v>
      </c>
      <c r="N401" t="str">
        <f t="shared" si="31"/>
        <v/>
      </c>
      <c r="O401" s="67" cm="1">
        <f t="array" ref="O401">SUMPRODUCT((G401=$G$7:$G$10000)*(M401&lt;$M$7:$M$10000))+1</f>
        <v>71</v>
      </c>
      <c r="P401" s="72"/>
      <c r="Q401">
        <v>8</v>
      </c>
      <c r="R401" t="str">
        <v>CHI</v>
      </c>
      <c r="S401" t="str">
        <v>Dylan Fawsitt</v>
      </c>
      <c r="T401" t="str">
        <v>NULL</v>
      </c>
      <c r="U401" t="str">
        <v>Away</v>
      </c>
      <c r="V401" t="str">
        <v>SDL</v>
      </c>
      <c r="W401">
        <v>11.032517553886681</v>
      </c>
      <c r="Y401" s="1" cm="1">
        <f t="array" ref="Y401">COUNT(_xlfn._xlws.FILTER($G$7:$G$10000,($I$7:$I$10000=X401)*($J$7:$J$10000&lt;&gt;"NULL")*($G$7:$G$10000 &gt;= ($G$1-5))))/5</f>
        <v>0</v>
      </c>
    </row>
    <row r="402" spans="7:25" x14ac:dyDescent="0.35">
      <c r="G402" s="66">
        <v>5</v>
      </c>
      <c r="H402" t="s">
        <v>2</v>
      </c>
      <c r="I402" t="s">
        <v>185</v>
      </c>
      <c r="J402" t="s">
        <v>256</v>
      </c>
      <c r="K402" t="s">
        <v>3</v>
      </c>
      <c r="L402" t="s">
        <v>7</v>
      </c>
      <c r="M402">
        <f t="shared" si="30"/>
        <v>0.88446116534104124</v>
      </c>
      <c r="N402" t="str">
        <f t="shared" si="31"/>
        <v/>
      </c>
      <c r="O402" s="67" cm="1">
        <f t="array" ref="O402">SUMPRODUCT((G402=$G$7:$G$10000)*(M402&lt;$M$7:$M$10000))+1</f>
        <v>72</v>
      </c>
      <c r="P402" s="72"/>
      <c r="Q402">
        <v>8</v>
      </c>
      <c r="R402" t="str">
        <v>CHI</v>
      </c>
      <c r="S402" t="str">
        <v>Maclean Jones</v>
      </c>
      <c r="T402" t="str">
        <v>NULL</v>
      </c>
      <c r="U402" t="str">
        <v>Away</v>
      </c>
      <c r="V402" t="str">
        <v>SDL</v>
      </c>
      <c r="W402">
        <v>10.069624342617061</v>
      </c>
      <c r="Y402" s="1" cm="1">
        <f t="array" ref="Y402">COUNT(_xlfn._xlws.FILTER($G$7:$G$10000,($I$7:$I$10000=X402)*($J$7:$J$10000&lt;&gt;"NULL")*($G$7:$G$10000 &gt;= ($G$1-5))))/5</f>
        <v>0</v>
      </c>
    </row>
    <row r="403" spans="7:25" x14ac:dyDescent="0.35">
      <c r="G403" s="66">
        <v>5</v>
      </c>
      <c r="H403" t="s">
        <v>4</v>
      </c>
      <c r="I403" t="s">
        <v>118</v>
      </c>
      <c r="J403" t="s">
        <v>256</v>
      </c>
      <c r="K403" t="s">
        <v>9</v>
      </c>
      <c r="L403" t="s">
        <v>23</v>
      </c>
      <c r="M403">
        <f t="shared" si="30"/>
        <v>0.62986732410423318</v>
      </c>
      <c r="N403" t="str">
        <f t="shared" si="31"/>
        <v/>
      </c>
      <c r="O403" s="67" cm="1">
        <f t="array" ref="O403">SUMPRODUCT((G403=$G$7:$G$10000)*(M403&lt;$M$7:$M$10000))+1</f>
        <v>73</v>
      </c>
      <c r="P403" s="72"/>
      <c r="Q403">
        <v>8</v>
      </c>
      <c r="R403" t="str">
        <v>NOLA</v>
      </c>
      <c r="S403" t="str">
        <v>Pat O'Toole</v>
      </c>
      <c r="T403" t="str">
        <v>NULL</v>
      </c>
      <c r="U403" t="str">
        <v>Away</v>
      </c>
      <c r="V403" t="str">
        <v>ARC</v>
      </c>
      <c r="W403">
        <v>10.024371205992493</v>
      </c>
      <c r="Y403" s="1" cm="1">
        <f t="array" ref="Y403">COUNT(_xlfn._xlws.FILTER($G$7:$G$10000,($I$7:$I$10000=X403)*($J$7:$J$10000&lt;&gt;"NULL")*($G$7:$G$10000 &gt;= ($G$1-5))))/5</f>
        <v>0</v>
      </c>
    </row>
    <row r="404" spans="7:25" x14ac:dyDescent="0.35">
      <c r="G404" s="66">
        <v>5</v>
      </c>
      <c r="H404" t="s">
        <v>4</v>
      </c>
      <c r="I404" t="s">
        <v>335</v>
      </c>
      <c r="J404" t="s">
        <v>256</v>
      </c>
      <c r="K404" t="s">
        <v>9</v>
      </c>
      <c r="L404" t="s">
        <v>23</v>
      </c>
      <c r="M404">
        <f t="shared" si="30"/>
        <v>0.30912124024068621</v>
      </c>
      <c r="N404" t="str">
        <f t="shared" si="31"/>
        <v/>
      </c>
      <c r="O404" s="67" cm="1">
        <f t="array" ref="O404">SUMPRODUCT((G404=$G$7:$G$10000)*(M404&lt;$M$7:$M$10000))+1</f>
        <v>74</v>
      </c>
      <c r="P404" s="72"/>
      <c r="Q404">
        <v>8</v>
      </c>
      <c r="R404" t="str">
        <v>SEA</v>
      </c>
      <c r="S404" t="str">
        <v>Kerron van Vuuren</v>
      </c>
      <c r="T404" t="str">
        <v>NULL</v>
      </c>
      <c r="U404" t="str">
        <v>Away</v>
      </c>
      <c r="V404" t="str">
        <v>OGDC</v>
      </c>
      <c r="W404">
        <v>10.017841350665547</v>
      </c>
      <c r="Y404" s="1" cm="1">
        <f t="array" ref="Y404">COUNT(_xlfn._xlws.FILTER($G$7:$G$10000,($I$7:$I$10000=X404)*($J$7:$J$10000&lt;&gt;"NULL")*($G$7:$G$10000 &gt;= ($G$1-5))))/5</f>
        <v>0</v>
      </c>
    </row>
    <row r="405" spans="7:25" x14ac:dyDescent="0.35">
      <c r="G405" s="66">
        <v>5</v>
      </c>
      <c r="H405" t="s">
        <v>24</v>
      </c>
      <c r="I405" t="s">
        <v>482</v>
      </c>
      <c r="J405" t="s">
        <v>256</v>
      </c>
      <c r="K405" t="s">
        <v>3</v>
      </c>
      <c r="L405" t="s">
        <v>13</v>
      </c>
      <c r="M405">
        <f t="shared" si="30"/>
        <v>-6.6726993818282843E-2</v>
      </c>
      <c r="N405" t="str">
        <f t="shared" si="31"/>
        <v/>
      </c>
      <c r="O405" s="67" cm="1">
        <f t="array" ref="O405">SUMPRODUCT((G405=$G$7:$G$10000)*(M405&lt;$M$7:$M$10000))+1</f>
        <v>75</v>
      </c>
      <c r="P405" s="72"/>
      <c r="Q405">
        <v>8</v>
      </c>
      <c r="R405" t="str">
        <v>LA</v>
      </c>
      <c r="S405" t="str">
        <v>Tim Anstee</v>
      </c>
      <c r="T405" t="str">
        <v>NULL</v>
      </c>
      <c r="U405" t="str">
        <v>Away</v>
      </c>
      <c r="V405" t="str">
        <v>HOU</v>
      </c>
      <c r="W405">
        <v>9.8483145203377394</v>
      </c>
      <c r="Y405" s="1" cm="1">
        <f t="array" ref="Y405">COUNT(_xlfn._xlws.FILTER($G$7:$G$10000,($I$7:$I$10000=X405)*($J$7:$J$10000&lt;&gt;"NULL")*($G$7:$G$10000 &gt;= ($G$1-5))))/5</f>
        <v>0</v>
      </c>
    </row>
    <row r="406" spans="7:25" x14ac:dyDescent="0.35">
      <c r="G406" s="66">
        <v>5</v>
      </c>
      <c r="H406" t="s">
        <v>24</v>
      </c>
      <c r="I406" t="s">
        <v>179</v>
      </c>
      <c r="J406" t="s">
        <v>256</v>
      </c>
      <c r="K406" t="s">
        <v>3</v>
      </c>
      <c r="L406" t="s">
        <v>13</v>
      </c>
      <c r="M406">
        <f t="shared" si="30"/>
        <v>-0.79946809198925628</v>
      </c>
      <c r="N406" t="str">
        <f t="shared" si="31"/>
        <v/>
      </c>
      <c r="O406" s="67" cm="1">
        <f t="array" ref="O406">SUMPRODUCT((G406=$G$7:$G$10000)*(M406&lt;$M$7:$M$10000))+1</f>
        <v>76</v>
      </c>
      <c r="P406" s="72"/>
      <c r="Q406">
        <v>8</v>
      </c>
      <c r="R406" t="str">
        <v>CHI</v>
      </c>
      <c r="S406" t="str">
        <v>James Scott</v>
      </c>
      <c r="T406" t="str">
        <v>NULL</v>
      </c>
      <c r="U406" t="str">
        <v>Away</v>
      </c>
      <c r="V406" t="str">
        <v>SDL</v>
      </c>
      <c r="W406">
        <v>9.6229813640321904</v>
      </c>
      <c r="Y406" s="1" cm="1">
        <f t="array" ref="Y406">COUNT(_xlfn._xlws.FILTER($G$7:$G$10000,($I$7:$I$10000=X406)*($J$7:$J$10000&lt;&gt;"NULL")*($G$7:$G$10000 &gt;= ($G$1-5))))/5</f>
        <v>0</v>
      </c>
    </row>
    <row r="407" spans="7:25" x14ac:dyDescent="0.35">
      <c r="G407" s="66">
        <v>5</v>
      </c>
      <c r="H407" t="s">
        <v>24</v>
      </c>
      <c r="I407" t="s">
        <v>142</v>
      </c>
      <c r="J407" t="s">
        <v>256</v>
      </c>
      <c r="K407" t="s">
        <v>3</v>
      </c>
      <c r="L407" t="s">
        <v>13</v>
      </c>
      <c r="M407">
        <f t="shared" si="30"/>
        <v>-10.262554743166461</v>
      </c>
      <c r="N407" t="str">
        <f t="shared" si="31"/>
        <v/>
      </c>
      <c r="O407" s="67" cm="1">
        <f t="array" ref="O407">SUMPRODUCT((G407=$G$7:$G$10000)*(M407&lt;$M$7:$M$10000))+1</f>
        <v>77</v>
      </c>
      <c r="P407" s="72"/>
      <c r="Q407">
        <v>8</v>
      </c>
      <c r="R407" t="str">
        <v>SDL</v>
      </c>
      <c r="S407" t="str">
        <v>Jed Holloway</v>
      </c>
      <c r="T407" t="str">
        <v>NULL</v>
      </c>
      <c r="U407" t="str">
        <v>Home</v>
      </c>
      <c r="V407" t="str">
        <v>CHI</v>
      </c>
      <c r="W407">
        <v>9.4341339702218434</v>
      </c>
      <c r="Y407" s="1" cm="1">
        <f t="array" ref="Y407">COUNT(_xlfn._xlws.FILTER($G$7:$G$10000,($I$7:$I$10000=X407)*($J$7:$J$10000&lt;&gt;"NULL")*($G$7:$G$10000 &gt;= ($G$1-5))))/5</f>
        <v>0</v>
      </c>
    </row>
    <row r="408" spans="7:25" x14ac:dyDescent="0.35">
      <c r="G408" s="66">
        <v>6</v>
      </c>
      <c r="H408" t="s">
        <v>17</v>
      </c>
      <c r="I408" t="s">
        <v>485</v>
      </c>
      <c r="J408" t="s">
        <v>256</v>
      </c>
      <c r="K408" t="s">
        <v>3</v>
      </c>
      <c r="L408" t="s">
        <v>13</v>
      </c>
      <c r="M408">
        <f t="shared" si="30"/>
        <v>16.16431715007656</v>
      </c>
      <c r="N408" t="str">
        <f t="shared" si="31"/>
        <v/>
      </c>
      <c r="O408" s="67" cm="1">
        <f t="array" ref="O408">SUMPRODUCT((G408=$G$7:$G$10000)*(M408&lt;$M$7:$M$10000))+1</f>
        <v>1</v>
      </c>
      <c r="P408" s="72"/>
      <c r="Q408">
        <v>8</v>
      </c>
      <c r="R408" t="str">
        <v>CHI</v>
      </c>
      <c r="S408" t="str">
        <v>Mason Flesch</v>
      </c>
      <c r="T408" t="str">
        <v>NULL</v>
      </c>
      <c r="U408" t="str">
        <v>Away</v>
      </c>
      <c r="V408" t="str">
        <v>SDL</v>
      </c>
      <c r="W408">
        <v>9.4126741994935372</v>
      </c>
      <c r="Y408" s="1" cm="1">
        <f t="array" ref="Y408">COUNT(_xlfn._xlws.FILTER($G$7:$G$10000,($I$7:$I$10000=X408)*($J$7:$J$10000&lt;&gt;"NULL")*($G$7:$G$10000 &gt;= ($G$1-5))))/5</f>
        <v>0</v>
      </c>
    </row>
    <row r="409" spans="7:25" x14ac:dyDescent="0.35">
      <c r="G409" s="66">
        <v>6</v>
      </c>
      <c r="H409" t="s">
        <v>34</v>
      </c>
      <c r="I409" t="s">
        <v>228</v>
      </c>
      <c r="J409" t="s">
        <v>256</v>
      </c>
      <c r="K409" t="s">
        <v>3</v>
      </c>
      <c r="L409" t="s">
        <v>24</v>
      </c>
      <c r="M409">
        <f t="shared" si="30"/>
        <v>15.838568644474204</v>
      </c>
      <c r="N409" t="str">
        <f t="shared" si="31"/>
        <v/>
      </c>
      <c r="O409" s="67" cm="1">
        <f t="array" ref="O409">SUMPRODUCT((G409=$G$7:$G$10000)*(M409&lt;$M$7:$M$10000))+1</f>
        <v>2</v>
      </c>
      <c r="P409" s="72"/>
      <c r="Q409">
        <v>8</v>
      </c>
      <c r="R409" t="str">
        <v>NOLA</v>
      </c>
      <c r="S409" t="str">
        <v>Jonah Mau'u</v>
      </c>
      <c r="T409" t="str">
        <v>NULL</v>
      </c>
      <c r="U409" t="str">
        <v>Away</v>
      </c>
      <c r="V409" t="str">
        <v>ARC</v>
      </c>
      <c r="W409">
        <v>9.1320836671738892</v>
      </c>
      <c r="Y409" s="1" cm="1">
        <f t="array" ref="Y409">COUNT(_xlfn._xlws.FILTER($G$7:$G$10000,($I$7:$I$10000=X409)*($J$7:$J$10000&lt;&gt;"NULL")*($G$7:$G$10000 &gt;= ($G$1-5))))/5</f>
        <v>0</v>
      </c>
    </row>
    <row r="410" spans="7:25" x14ac:dyDescent="0.35">
      <c r="G410" s="66">
        <v>6</v>
      </c>
      <c r="H410" t="s">
        <v>34</v>
      </c>
      <c r="I410" t="s">
        <v>462</v>
      </c>
      <c r="J410" t="s">
        <v>256</v>
      </c>
      <c r="K410" t="s">
        <v>3</v>
      </c>
      <c r="L410" t="s">
        <v>24</v>
      </c>
      <c r="M410">
        <f t="shared" si="30"/>
        <v>15.480936272258663</v>
      </c>
      <c r="N410" t="str">
        <f t="shared" si="31"/>
        <v/>
      </c>
      <c r="O410" s="67" cm="1">
        <f t="array" ref="O410">SUMPRODUCT((G410=$G$7:$G$10000)*(M410&lt;$M$7:$M$10000))+1</f>
        <v>3</v>
      </c>
      <c r="P410" s="72"/>
      <c r="Q410">
        <v>8</v>
      </c>
      <c r="R410" t="str">
        <v>CHI</v>
      </c>
      <c r="S410" t="str">
        <v>Paddy Ryan</v>
      </c>
      <c r="T410" t="str">
        <v>NULL</v>
      </c>
      <c r="U410" t="str">
        <v>Away</v>
      </c>
      <c r="V410" t="str">
        <v>SDL</v>
      </c>
      <c r="W410">
        <v>8.8576354646276556</v>
      </c>
      <c r="Y410" s="1" cm="1">
        <f t="array" ref="Y410">COUNT(_xlfn._xlws.FILTER($G$7:$G$10000,($I$7:$I$10000=X410)*($J$7:$J$10000&lt;&gt;"NULL")*($G$7:$G$10000 &gt;= ($G$1-5))))/5</f>
        <v>0</v>
      </c>
    </row>
    <row r="411" spans="7:25" x14ac:dyDescent="0.35">
      <c r="G411" s="66">
        <v>6</v>
      </c>
      <c r="H411" t="s">
        <v>34</v>
      </c>
      <c r="I411" t="s">
        <v>429</v>
      </c>
      <c r="J411" t="s">
        <v>256</v>
      </c>
      <c r="K411" t="s">
        <v>3</v>
      </c>
      <c r="L411" t="s">
        <v>24</v>
      </c>
      <c r="M411">
        <f t="shared" si="30"/>
        <v>14.470470358453303</v>
      </c>
      <c r="N411" t="str">
        <f t="shared" si="31"/>
        <v/>
      </c>
      <c r="O411" s="67" cm="1">
        <f t="array" ref="O411">SUMPRODUCT((G411=$G$7:$G$10000)*(M411&lt;$M$7:$M$10000))+1</f>
        <v>4</v>
      </c>
      <c r="P411" s="72"/>
      <c r="Q411">
        <v>8</v>
      </c>
      <c r="R411" t="str">
        <v>OGDC</v>
      </c>
      <c r="S411" t="str">
        <v>Jamason Fa'anana-Schultz</v>
      </c>
      <c r="T411" t="str">
        <v>NULL</v>
      </c>
      <c r="U411" t="str">
        <v>Home</v>
      </c>
      <c r="V411" t="str">
        <v>SEA</v>
      </c>
      <c r="W411">
        <v>8.3736718286013616</v>
      </c>
      <c r="Y411" s="1" cm="1">
        <f t="array" ref="Y411">COUNT(_xlfn._xlws.FILTER($G$7:$G$10000,($I$7:$I$10000=X411)*($J$7:$J$10000&lt;&gt;"NULL")*($G$7:$G$10000 &gt;= ($G$1-5))))/5</f>
        <v>0</v>
      </c>
    </row>
    <row r="412" spans="7:25" x14ac:dyDescent="0.35">
      <c r="G412" s="66">
        <v>6</v>
      </c>
      <c r="H412" t="s">
        <v>34</v>
      </c>
      <c r="I412" t="s">
        <v>200</v>
      </c>
      <c r="J412" t="s">
        <v>256</v>
      </c>
      <c r="K412" t="s">
        <v>3</v>
      </c>
      <c r="L412" t="s">
        <v>24</v>
      </c>
      <c r="M412">
        <f t="shared" si="30"/>
        <v>13.6192325788407</v>
      </c>
      <c r="N412" t="str">
        <f t="shared" si="31"/>
        <v/>
      </c>
      <c r="O412" s="67" cm="1">
        <f t="array" ref="O412">SUMPRODUCT((G412=$G$7:$G$10000)*(M412&lt;$M$7:$M$10000))+1</f>
        <v>5</v>
      </c>
      <c r="P412" s="72"/>
      <c r="Q412">
        <v>8</v>
      </c>
      <c r="R412" t="str">
        <v>SEA</v>
      </c>
      <c r="S412" t="str">
        <v>OJ Noa</v>
      </c>
      <c r="T412" t="str">
        <v>NULL</v>
      </c>
      <c r="U412" t="str">
        <v>Away</v>
      </c>
      <c r="V412" t="str">
        <v>OGDC</v>
      </c>
      <c r="W412">
        <v>8.3133242581675937</v>
      </c>
      <c r="Y412" s="1" cm="1">
        <f t="array" ref="Y412">COUNT(_xlfn._xlws.FILTER($G$7:$G$10000,($I$7:$I$10000=X412)*($J$7:$J$10000&lt;&gt;"NULL")*($G$7:$G$10000 &gt;= ($G$1-5))))/5</f>
        <v>0</v>
      </c>
    </row>
    <row r="413" spans="7:25" x14ac:dyDescent="0.35">
      <c r="G413" s="66">
        <v>6</v>
      </c>
      <c r="H413" t="s">
        <v>34</v>
      </c>
      <c r="I413" t="s">
        <v>351</v>
      </c>
      <c r="J413" t="s">
        <v>256</v>
      </c>
      <c r="K413" t="s">
        <v>3</v>
      </c>
      <c r="L413" t="s">
        <v>24</v>
      </c>
      <c r="M413">
        <f t="shared" si="30"/>
        <v>13.063455440174121</v>
      </c>
      <c r="N413" t="str">
        <f t="shared" si="31"/>
        <v/>
      </c>
      <c r="O413" s="67" cm="1">
        <f t="array" ref="O413">SUMPRODUCT((G413=$G$7:$G$10000)*(M413&lt;$M$7:$M$10000))+1</f>
        <v>6</v>
      </c>
      <c r="P413" s="72"/>
      <c r="Q413">
        <v>8</v>
      </c>
      <c r="R413" t="str">
        <v>NEFJ</v>
      </c>
      <c r="S413" t="str">
        <v>Piers von Dadelszen</v>
      </c>
      <c r="T413" t="str">
        <v>NULL</v>
      </c>
      <c r="U413" t="str">
        <v>Home</v>
      </c>
      <c r="V413" t="str">
        <v>MIA</v>
      </c>
      <c r="W413">
        <v>8.2351255881416261</v>
      </c>
      <c r="Y413" s="1" cm="1">
        <f t="array" ref="Y413">COUNT(_xlfn._xlws.FILTER($G$7:$G$10000,($I$7:$I$10000=X413)*($J$7:$J$10000&lt;&gt;"NULL")*($G$7:$G$10000 &gt;= ($G$1-5))))/5</f>
        <v>0</v>
      </c>
    </row>
    <row r="414" spans="7:25" x14ac:dyDescent="0.35">
      <c r="G414" s="66">
        <v>6</v>
      </c>
      <c r="H414" t="s">
        <v>4</v>
      </c>
      <c r="I414" t="s">
        <v>175</v>
      </c>
      <c r="J414" t="s">
        <v>256</v>
      </c>
      <c r="K414" t="s">
        <v>3</v>
      </c>
      <c r="L414" t="s">
        <v>6</v>
      </c>
      <c r="M414">
        <f t="shared" si="30"/>
        <v>12.202130772066663</v>
      </c>
      <c r="N414" t="str">
        <f t="shared" si="31"/>
        <v/>
      </c>
      <c r="O414" s="67" cm="1">
        <f t="array" ref="O414">SUMPRODUCT((G414=$G$7:$G$10000)*(M414&lt;$M$7:$M$10000))+1</f>
        <v>7</v>
      </c>
      <c r="P414" s="72"/>
      <c r="Q414">
        <v>8</v>
      </c>
      <c r="R414" t="str">
        <v>NEFJ</v>
      </c>
      <c r="S414" t="str">
        <v>Andrew Quattrin</v>
      </c>
      <c r="T414" t="str">
        <v>NULL</v>
      </c>
      <c r="U414" t="str">
        <v>Home</v>
      </c>
      <c r="V414" t="str">
        <v>MIA</v>
      </c>
      <c r="W414">
        <v>8.1204914768354346</v>
      </c>
      <c r="Y414" s="1" cm="1">
        <f t="array" ref="Y414">COUNT(_xlfn._xlws.FILTER($G$7:$G$10000,($I$7:$I$10000=X414)*($J$7:$J$10000&lt;&gt;"NULL")*($G$7:$G$10000 &gt;= ($G$1-5))))/5</f>
        <v>0</v>
      </c>
    </row>
    <row r="415" spans="7:25" x14ac:dyDescent="0.35">
      <c r="G415" s="66">
        <v>6</v>
      </c>
      <c r="H415" t="s">
        <v>24</v>
      </c>
      <c r="I415" t="s">
        <v>199</v>
      </c>
      <c r="J415" t="s">
        <v>256</v>
      </c>
      <c r="K415" t="s">
        <v>9</v>
      </c>
      <c r="L415" t="s">
        <v>34</v>
      </c>
      <c r="M415">
        <f t="shared" si="30"/>
        <v>11.707600030713444</v>
      </c>
      <c r="N415" t="str">
        <f t="shared" si="31"/>
        <v/>
      </c>
      <c r="O415" s="67" cm="1">
        <f t="array" ref="O415">SUMPRODUCT((G415=$G$7:$G$10000)*(M415&lt;$M$7:$M$10000))+1</f>
        <v>8</v>
      </c>
      <c r="P415" s="72"/>
      <c r="Q415">
        <v>8</v>
      </c>
      <c r="R415" t="str">
        <v>MIA</v>
      </c>
      <c r="S415" t="str">
        <v>Benjamin Bonasso</v>
      </c>
      <c r="T415" t="str">
        <v>NULL</v>
      </c>
      <c r="U415" t="str">
        <v>Away</v>
      </c>
      <c r="V415" t="str">
        <v>NEFJ</v>
      </c>
      <c r="W415">
        <v>8.0939094340110422</v>
      </c>
      <c r="Y415" s="1" cm="1">
        <f t="array" ref="Y415">COUNT(_xlfn._xlws.FILTER($G$7:$G$10000,($I$7:$I$10000=X415)*($J$7:$J$10000&lt;&gt;"NULL")*($G$7:$G$10000 &gt;= ($G$1-5))))/5</f>
        <v>0</v>
      </c>
    </row>
    <row r="416" spans="7:25" x14ac:dyDescent="0.35">
      <c r="G416" s="66">
        <v>6</v>
      </c>
      <c r="H416" t="s">
        <v>23</v>
      </c>
      <c r="I416" t="s">
        <v>428</v>
      </c>
      <c r="J416" t="s">
        <v>256</v>
      </c>
      <c r="K416" t="s">
        <v>9</v>
      </c>
      <c r="L416" t="s">
        <v>7</v>
      </c>
      <c r="M416">
        <f t="shared" si="30"/>
        <v>11.497621547375086</v>
      </c>
      <c r="N416" t="str">
        <f t="shared" si="31"/>
        <v/>
      </c>
      <c r="O416" s="67" cm="1">
        <f t="array" ref="O416">SUMPRODUCT((G416=$G$7:$G$10000)*(M416&lt;$M$7:$M$10000))+1</f>
        <v>9</v>
      </c>
      <c r="P416" s="72"/>
      <c r="Q416">
        <v>8</v>
      </c>
      <c r="R416" t="str">
        <v>LA</v>
      </c>
      <c r="S416" t="str">
        <v>Ben Houston</v>
      </c>
      <c r="T416" t="str">
        <v>NULL</v>
      </c>
      <c r="U416" t="str">
        <v>Away</v>
      </c>
      <c r="V416" t="str">
        <v>HOU</v>
      </c>
      <c r="W416">
        <v>7.8716860707672769</v>
      </c>
      <c r="Y416" s="1" cm="1">
        <f t="array" ref="Y416">COUNT(_xlfn._xlws.FILTER($G$7:$G$10000,($I$7:$I$10000=X416)*($J$7:$J$10000&lt;&gt;"NULL")*($G$7:$G$10000 &gt;= ($G$1-5))))/5</f>
        <v>0</v>
      </c>
    </row>
    <row r="417" spans="7:25" x14ac:dyDescent="0.35">
      <c r="G417" s="66">
        <v>6</v>
      </c>
      <c r="H417" t="s">
        <v>4</v>
      </c>
      <c r="I417" t="s">
        <v>209</v>
      </c>
      <c r="J417" t="s">
        <v>256</v>
      </c>
      <c r="K417" t="s">
        <v>3</v>
      </c>
      <c r="L417" t="s">
        <v>6</v>
      </c>
      <c r="M417">
        <f t="shared" si="30"/>
        <v>11.309843233248062</v>
      </c>
      <c r="N417" t="str">
        <f t="shared" si="31"/>
        <v/>
      </c>
      <c r="O417" s="67" cm="1">
        <f t="array" ref="O417">SUMPRODUCT((G417=$G$7:$G$10000)*(M417&lt;$M$7:$M$10000))+1</f>
        <v>10</v>
      </c>
      <c r="P417" s="72"/>
      <c r="Q417">
        <v>8</v>
      </c>
      <c r="R417" t="str">
        <v>NEFJ</v>
      </c>
      <c r="S417" t="str">
        <v>Sam Caird</v>
      </c>
      <c r="T417" t="str">
        <v>NULL</v>
      </c>
      <c r="U417" t="str">
        <v>Home</v>
      </c>
      <c r="V417" t="str">
        <v>MIA</v>
      </c>
      <c r="W417">
        <v>7.8487131222444573</v>
      </c>
      <c r="Y417" s="1" cm="1">
        <f t="array" ref="Y417">COUNT(_xlfn._xlws.FILTER($G$7:$G$10000,($I$7:$I$10000=X417)*($J$7:$J$10000&lt;&gt;"NULL")*($G$7:$G$10000 &gt;= ($G$1-5))))/5</f>
        <v>0</v>
      </c>
    </row>
    <row r="418" spans="7:25" x14ac:dyDescent="0.35">
      <c r="G418" s="66">
        <v>6</v>
      </c>
      <c r="H418" t="s">
        <v>24</v>
      </c>
      <c r="I418" t="s">
        <v>215</v>
      </c>
      <c r="J418" t="s">
        <v>256</v>
      </c>
      <c r="K418" t="s">
        <v>9</v>
      </c>
      <c r="L418" t="s">
        <v>34</v>
      </c>
      <c r="M418">
        <f t="shared" si="30"/>
        <v>10.992879675623662</v>
      </c>
      <c r="N418" t="str">
        <f t="shared" si="31"/>
        <v/>
      </c>
      <c r="O418" s="67" cm="1">
        <f t="array" ref="O418">SUMPRODUCT((G418=$G$7:$G$10000)*(M418&lt;$M$7:$M$10000))+1</f>
        <v>11</v>
      </c>
      <c r="P418" s="72"/>
      <c r="Q418">
        <v>8</v>
      </c>
      <c r="R418" t="str">
        <v>SDL</v>
      </c>
      <c r="S418" t="str">
        <v>Paddy Ryan</v>
      </c>
      <c r="T418" t="str">
        <v>NULL</v>
      </c>
      <c r="U418" t="str">
        <v>Home</v>
      </c>
      <c r="V418" t="str">
        <v>CHI</v>
      </c>
      <c r="W418">
        <v>7.5509225873366459</v>
      </c>
      <c r="Y418" s="1" cm="1">
        <f t="array" ref="Y418">COUNT(_xlfn._xlws.FILTER($G$7:$G$10000,($I$7:$I$10000=X418)*($J$7:$J$10000&lt;&gt;"NULL")*($G$7:$G$10000 &gt;= ($G$1-5))))/5</f>
        <v>0</v>
      </c>
    </row>
    <row r="419" spans="7:25" x14ac:dyDescent="0.35">
      <c r="G419" s="66">
        <v>6</v>
      </c>
      <c r="H419" t="s">
        <v>23</v>
      </c>
      <c r="I419" t="s">
        <v>389</v>
      </c>
      <c r="J419" t="s">
        <v>256</v>
      </c>
      <c r="K419" t="s">
        <v>9</v>
      </c>
      <c r="L419" t="s">
        <v>7</v>
      </c>
      <c r="M419">
        <f t="shared" si="30"/>
        <v>10.680133418988234</v>
      </c>
      <c r="N419" t="str">
        <f t="shared" si="31"/>
        <v/>
      </c>
      <c r="O419" s="67" cm="1">
        <f t="array" ref="O419">SUMPRODUCT((G419=$G$7:$G$10000)*(M419&lt;$M$7:$M$10000))+1</f>
        <v>12</v>
      </c>
      <c r="P419" s="72"/>
      <c r="Q419">
        <v>8</v>
      </c>
      <c r="R419" t="str">
        <v>LA</v>
      </c>
      <c r="S419" t="str">
        <v>Ed Timpson</v>
      </c>
      <c r="T419" t="str">
        <v>NULL</v>
      </c>
      <c r="U419" t="str">
        <v>Away</v>
      </c>
      <c r="V419" t="str">
        <v>HOU</v>
      </c>
      <c r="W419">
        <v>7.5010331253059128</v>
      </c>
      <c r="Y419" s="1" cm="1">
        <f t="array" ref="Y419">COUNT(_xlfn._xlws.FILTER($G$7:$G$10000,($I$7:$I$10000=X419)*($J$7:$J$10000&lt;&gt;"NULL")*($G$7:$G$10000 &gt;= ($G$1-5))))/5</f>
        <v>0</v>
      </c>
    </row>
    <row r="420" spans="7:25" x14ac:dyDescent="0.35">
      <c r="G420" s="66">
        <v>6</v>
      </c>
      <c r="H420" t="s">
        <v>13</v>
      </c>
      <c r="I420" t="s">
        <v>463</v>
      </c>
      <c r="J420" t="s">
        <v>256</v>
      </c>
      <c r="K420" t="s">
        <v>9</v>
      </c>
      <c r="L420" t="s">
        <v>17</v>
      </c>
      <c r="M420">
        <f t="shared" si="30"/>
        <v>10.406088395876683</v>
      </c>
      <c r="N420" t="str">
        <f t="shared" si="31"/>
        <v/>
      </c>
      <c r="O420" s="67" cm="1">
        <f t="array" ref="O420">SUMPRODUCT((G420=$G$7:$G$10000)*(M420&lt;$M$7:$M$10000))+1</f>
        <v>13</v>
      </c>
      <c r="P420" s="72"/>
      <c r="Q420">
        <v>8</v>
      </c>
      <c r="R420" t="str">
        <v>MIA</v>
      </c>
      <c r="S420" t="str">
        <v>Manuel Ardao</v>
      </c>
      <c r="T420" t="str">
        <v>NULL</v>
      </c>
      <c r="U420" t="str">
        <v>Away</v>
      </c>
      <c r="V420" t="str">
        <v>NEFJ</v>
      </c>
      <c r="W420">
        <v>7.37918907892126</v>
      </c>
      <c r="Y420" s="1" cm="1">
        <f t="array" ref="Y420">COUNT(_xlfn._xlws.FILTER($G$7:$G$10000,($I$7:$I$10000=X420)*($J$7:$J$10000&lt;&gt;"NULL")*($G$7:$G$10000 &gt;= ($G$1-5))))/5</f>
        <v>0</v>
      </c>
    </row>
    <row r="421" spans="7:25" x14ac:dyDescent="0.35">
      <c r="G421" s="66">
        <v>6</v>
      </c>
      <c r="H421" t="s">
        <v>34</v>
      </c>
      <c r="I421" t="s">
        <v>420</v>
      </c>
      <c r="J421" t="s">
        <v>256</v>
      </c>
      <c r="K421" t="s">
        <v>3</v>
      </c>
      <c r="L421" t="s">
        <v>24</v>
      </c>
      <c r="M421">
        <f t="shared" si="30"/>
        <v>9.9483424523833257</v>
      </c>
      <c r="N421" t="str">
        <f t="shared" si="31"/>
        <v/>
      </c>
      <c r="O421" s="67" cm="1">
        <f t="array" ref="O421">SUMPRODUCT((G421=$G$7:$G$10000)*(M421&lt;$M$7:$M$10000))+1</f>
        <v>14</v>
      </c>
      <c r="P421" s="72"/>
      <c r="Q421">
        <v>8</v>
      </c>
      <c r="R421" t="str">
        <v>NEFJ</v>
      </c>
      <c r="S421" t="str">
        <v>Jero Gomez Vara</v>
      </c>
      <c r="T421" t="str">
        <v>NULL</v>
      </c>
      <c r="U421" t="str">
        <v>Home</v>
      </c>
      <c r="V421" t="str">
        <v>MIA</v>
      </c>
      <c r="W421">
        <v>7.1738900467999169</v>
      </c>
      <c r="Y421" s="1" cm="1">
        <f t="array" ref="Y421">COUNT(_xlfn._xlws.FILTER($G$7:$G$10000,($I$7:$I$10000=X421)*($J$7:$J$10000&lt;&gt;"NULL")*($G$7:$G$10000 &gt;= ($G$1-5))))/5</f>
        <v>0</v>
      </c>
    </row>
    <row r="422" spans="7:25" x14ac:dyDescent="0.35">
      <c r="G422" s="66">
        <v>6</v>
      </c>
      <c r="H422" t="s">
        <v>36</v>
      </c>
      <c r="I422" t="s">
        <v>466</v>
      </c>
      <c r="J422" t="s">
        <v>256</v>
      </c>
      <c r="K422" t="s">
        <v>9</v>
      </c>
      <c r="L422" t="s">
        <v>14</v>
      </c>
      <c r="M422">
        <f t="shared" si="30"/>
        <v>9.9106387610044937</v>
      </c>
      <c r="N422" t="str">
        <f t="shared" si="31"/>
        <v/>
      </c>
      <c r="O422" s="67" cm="1">
        <f t="array" ref="O422">SUMPRODUCT((G422=$G$7:$G$10000)*(M422&lt;$M$7:$M$10000))+1</f>
        <v>15</v>
      </c>
      <c r="P422" s="72"/>
      <c r="Q422">
        <v>8</v>
      </c>
      <c r="R422" t="str">
        <v>LA</v>
      </c>
      <c r="S422" t="str">
        <v>Jason Damm</v>
      </c>
      <c r="T422" t="str">
        <v>NULL</v>
      </c>
      <c r="U422" t="str">
        <v>Away</v>
      </c>
      <c r="V422" t="str">
        <v>HOU</v>
      </c>
      <c r="W422">
        <v>6.9991801544358347</v>
      </c>
      <c r="Y422" s="1" cm="1">
        <f t="array" ref="Y422">COUNT(_xlfn._xlws.FILTER($G$7:$G$10000,($I$7:$I$10000=X422)*($J$7:$J$10000&lt;&gt;"NULL")*($G$7:$G$10000 &gt;= ($G$1-5))))/5</f>
        <v>0</v>
      </c>
    </row>
    <row r="423" spans="7:25" x14ac:dyDescent="0.35">
      <c r="G423" s="66">
        <v>6</v>
      </c>
      <c r="H423" t="s">
        <v>6</v>
      </c>
      <c r="I423" t="s">
        <v>430</v>
      </c>
      <c r="J423" t="s">
        <v>256</v>
      </c>
      <c r="K423" t="s">
        <v>9</v>
      </c>
      <c r="L423" t="s">
        <v>4</v>
      </c>
      <c r="M423">
        <f t="shared" ref="M423:M486" si="32">VLOOKUP($K423,$F$3:$G$4,2,FALSE)+VLOOKUP($I423,$A$20:$B$321,2,FALSE)+VLOOKUP($L423,$A$6:$B$16,2,FALSE)</f>
        <v>9.793296100425934</v>
      </c>
      <c r="N423" t="str">
        <f t="shared" ref="N423:N486" si="33">IFERROR(($J423-$M423)^2,"")</f>
        <v/>
      </c>
      <c r="O423" s="67" cm="1">
        <f t="array" ref="O423">SUMPRODUCT((G423=$G$7:$G$10000)*(M423&lt;$M$7:$M$10000))+1</f>
        <v>16</v>
      </c>
      <c r="P423" s="72"/>
      <c r="Q423">
        <v>8</v>
      </c>
      <c r="R423" t="str">
        <v>NEFJ</v>
      </c>
      <c r="S423" t="str">
        <v>Kaleb Geiger</v>
      </c>
      <c r="T423" t="str">
        <v>NULL</v>
      </c>
      <c r="U423" t="str">
        <v>Home</v>
      </c>
      <c r="V423" t="str">
        <v>MIA</v>
      </c>
      <c r="W423">
        <v>6.89844907689114</v>
      </c>
      <c r="Y423" s="1" cm="1">
        <f t="array" ref="Y423">COUNT(_xlfn._xlws.FILTER($G$7:$G$10000,($I$7:$I$10000=X423)*($J$7:$J$10000&lt;&gt;"NULL")*($G$7:$G$10000 &gt;= ($G$1-5))))/5</f>
        <v>0</v>
      </c>
    </row>
    <row r="424" spans="7:25" x14ac:dyDescent="0.35">
      <c r="G424" s="66">
        <v>6</v>
      </c>
      <c r="H424" t="s">
        <v>36</v>
      </c>
      <c r="I424" t="s">
        <v>225</v>
      </c>
      <c r="J424" t="s">
        <v>256</v>
      </c>
      <c r="K424" t="s">
        <v>9</v>
      </c>
      <c r="L424" t="s">
        <v>14</v>
      </c>
      <c r="M424">
        <f t="shared" si="32"/>
        <v>9.5509246570774238</v>
      </c>
      <c r="N424" t="str">
        <f t="shared" si="33"/>
        <v/>
      </c>
      <c r="O424" s="67" cm="1">
        <f t="array" ref="O424">SUMPRODUCT((G424=$G$7:$G$10000)*(M424&lt;$M$7:$M$10000))+1</f>
        <v>17</v>
      </c>
      <c r="P424" s="72"/>
      <c r="Q424">
        <v>8</v>
      </c>
      <c r="R424" t="str">
        <v>SDL</v>
      </c>
      <c r="S424" t="str">
        <v>Tevita Tameilau</v>
      </c>
      <c r="T424" t="str">
        <v>NULL</v>
      </c>
      <c r="U424" t="str">
        <v>Home</v>
      </c>
      <c r="V424" t="str">
        <v>CHI</v>
      </c>
      <c r="W424">
        <v>6.8938510469436514</v>
      </c>
      <c r="Y424" s="1" cm="1">
        <f t="array" ref="Y424">COUNT(_xlfn._xlws.FILTER($G$7:$G$10000,($I$7:$I$10000=X424)*($J$7:$J$10000&lt;&gt;"NULL")*($G$7:$G$10000 &gt;= ($G$1-5))))/5</f>
        <v>0</v>
      </c>
    </row>
    <row r="425" spans="7:25" x14ac:dyDescent="0.35">
      <c r="G425" s="66">
        <v>6</v>
      </c>
      <c r="H425" t="s">
        <v>24</v>
      </c>
      <c r="I425" t="s">
        <v>419</v>
      </c>
      <c r="J425" t="s">
        <v>256</v>
      </c>
      <c r="K425" t="s">
        <v>9</v>
      </c>
      <c r="L425" t="s">
        <v>34</v>
      </c>
      <c r="M425">
        <f t="shared" si="32"/>
        <v>8.6081195257227776</v>
      </c>
      <c r="N425" t="str">
        <f t="shared" si="33"/>
        <v/>
      </c>
      <c r="O425" s="67" cm="1">
        <f t="array" ref="O425">SUMPRODUCT((G425=$G$7:$G$10000)*(M425&lt;$M$7:$M$10000))+1</f>
        <v>18</v>
      </c>
      <c r="P425" s="72"/>
      <c r="Q425">
        <v>8</v>
      </c>
      <c r="R425" t="str">
        <v>ARC</v>
      </c>
      <c r="S425" t="str">
        <v>Makeen Alikhan</v>
      </c>
      <c r="T425" t="str">
        <v>NULL</v>
      </c>
      <c r="U425" t="str">
        <v>Home</v>
      </c>
      <c r="V425" t="str">
        <v>NOLA</v>
      </c>
      <c r="W425">
        <v>6.6406898457213241</v>
      </c>
      <c r="Y425" s="1" cm="1">
        <f t="array" ref="Y425">COUNT(_xlfn._xlws.FILTER($G$7:$G$10000,($I$7:$I$10000=X425)*($J$7:$J$10000&lt;&gt;"NULL")*($G$7:$G$10000 &gt;= ($G$1-5))))/5</f>
        <v>0</v>
      </c>
    </row>
    <row r="426" spans="7:25" x14ac:dyDescent="0.35">
      <c r="G426" s="66">
        <v>6</v>
      </c>
      <c r="H426" t="s">
        <v>24</v>
      </c>
      <c r="I426" t="s">
        <v>465</v>
      </c>
      <c r="J426" t="s">
        <v>256</v>
      </c>
      <c r="K426" t="s">
        <v>9</v>
      </c>
      <c r="L426" t="s">
        <v>34</v>
      </c>
      <c r="M426">
        <f t="shared" si="32"/>
        <v>8.3724335218761716</v>
      </c>
      <c r="N426" t="str">
        <f t="shared" si="33"/>
        <v/>
      </c>
      <c r="O426" s="67" cm="1">
        <f t="array" ref="O426">SUMPRODUCT((G426=$G$7:$G$10000)*(M426&lt;$M$7:$M$10000))+1</f>
        <v>19</v>
      </c>
      <c r="P426" s="72"/>
      <c r="Q426">
        <v>8</v>
      </c>
      <c r="R426" t="str">
        <v>OGDC</v>
      </c>
      <c r="S426" t="str">
        <v>Cory Daniel</v>
      </c>
      <c r="T426" t="str">
        <v>NULL</v>
      </c>
      <c r="U426" t="str">
        <v>Home</v>
      </c>
      <c r="V426" t="str">
        <v>SEA</v>
      </c>
      <c r="W426">
        <v>5.8405639229429882</v>
      </c>
      <c r="Y426" s="1" cm="1">
        <f t="array" ref="Y426">COUNT(_xlfn._xlws.FILTER($G$7:$G$10000,($I$7:$I$10000=X426)*($J$7:$J$10000&lt;&gt;"NULL")*($G$7:$G$10000 &gt;= ($G$1-5))))/5</f>
        <v>0</v>
      </c>
    </row>
    <row r="427" spans="7:25" x14ac:dyDescent="0.35">
      <c r="G427" s="66">
        <v>6</v>
      </c>
      <c r="H427" t="s">
        <v>13</v>
      </c>
      <c r="I427" t="s">
        <v>204</v>
      </c>
      <c r="J427" t="s">
        <v>256</v>
      </c>
      <c r="K427" t="s">
        <v>9</v>
      </c>
      <c r="L427" t="s">
        <v>17</v>
      </c>
      <c r="M427">
        <f t="shared" si="32"/>
        <v>8.2003951318806667</v>
      </c>
      <c r="N427" t="str">
        <f t="shared" si="33"/>
        <v/>
      </c>
      <c r="O427" s="67" cm="1">
        <f t="array" ref="O427">SUMPRODUCT((G427=$G$7:$G$10000)*(M427&lt;$M$7:$M$10000))+1</f>
        <v>20</v>
      </c>
      <c r="P427" s="72"/>
      <c r="Q427">
        <v>8</v>
      </c>
      <c r="R427" t="str">
        <v>SEA</v>
      </c>
      <c r="S427" t="str">
        <v>Huw Taylor</v>
      </c>
      <c r="T427" t="str">
        <v>NULL</v>
      </c>
      <c r="U427" t="str">
        <v>Away</v>
      </c>
      <c r="V427" t="str">
        <v>OGDC</v>
      </c>
      <c r="W427">
        <v>5.6115396842790908</v>
      </c>
      <c r="Y427" s="1" cm="1">
        <f t="array" ref="Y427">COUNT(_xlfn._xlws.FILTER($G$7:$G$10000,($I$7:$I$10000=X427)*($J$7:$J$10000&lt;&gt;"NULL")*($G$7:$G$10000 &gt;= ($G$1-5))))/5</f>
        <v>0</v>
      </c>
    </row>
    <row r="428" spans="7:25" x14ac:dyDescent="0.35">
      <c r="G428" s="66">
        <v>6</v>
      </c>
      <c r="H428" t="s">
        <v>34</v>
      </c>
      <c r="I428" t="s">
        <v>174</v>
      </c>
      <c r="J428" t="s">
        <v>256</v>
      </c>
      <c r="K428" t="s">
        <v>3</v>
      </c>
      <c r="L428" t="s">
        <v>24</v>
      </c>
      <c r="M428">
        <f t="shared" si="32"/>
        <v>8.0651310694981273</v>
      </c>
      <c r="N428" t="str">
        <f t="shared" si="33"/>
        <v/>
      </c>
      <c r="O428" s="67" cm="1">
        <f t="array" ref="O428">SUMPRODUCT((G428=$G$7:$G$10000)*(M428&lt;$M$7:$M$10000))+1</f>
        <v>21</v>
      </c>
      <c r="P428" s="72"/>
      <c r="Q428">
        <v>8</v>
      </c>
      <c r="R428" t="str">
        <v>ARC</v>
      </c>
      <c r="S428" t="str">
        <v>Connor Robinson</v>
      </c>
      <c r="T428" t="str">
        <v>NULL</v>
      </c>
      <c r="U428" t="str">
        <v>Home</v>
      </c>
      <c r="V428" t="str">
        <v>NOLA</v>
      </c>
      <c r="W428">
        <v>5.5117436399522557</v>
      </c>
      <c r="Y428" s="1" cm="1">
        <f t="array" ref="Y428">COUNT(_xlfn._xlws.FILTER($G$7:$G$10000,($I$7:$I$10000=X428)*($J$7:$J$10000&lt;&gt;"NULL")*($G$7:$G$10000 &gt;= ($G$1-5))))/5</f>
        <v>0</v>
      </c>
    </row>
    <row r="429" spans="7:25" x14ac:dyDescent="0.35">
      <c r="G429" s="66">
        <v>6</v>
      </c>
      <c r="H429" t="s">
        <v>6</v>
      </c>
      <c r="I429" t="s">
        <v>432</v>
      </c>
      <c r="J429" t="s">
        <v>256</v>
      </c>
      <c r="K429" t="s">
        <v>9</v>
      </c>
      <c r="L429" t="s">
        <v>4</v>
      </c>
      <c r="M429">
        <f t="shared" si="32"/>
        <v>7.8166676508554724</v>
      </c>
      <c r="N429" t="str">
        <f t="shared" si="33"/>
        <v/>
      </c>
      <c r="O429" s="67" cm="1">
        <f t="array" ref="O429">SUMPRODUCT((G429=$G$7:$G$10000)*(M429&lt;$M$7:$M$10000))+1</f>
        <v>22</v>
      </c>
      <c r="P429" s="72"/>
      <c r="Q429">
        <v>8</v>
      </c>
      <c r="R429" t="str">
        <v>NOLA</v>
      </c>
      <c r="S429" t="str">
        <v>Tupou Ma'afu Afungia</v>
      </c>
      <c r="T429" t="str">
        <v>NULL</v>
      </c>
      <c r="U429" t="str">
        <v>Away</v>
      </c>
      <c r="V429" t="str">
        <v>ARC</v>
      </c>
      <c r="W429">
        <v>5.1616267689516819</v>
      </c>
      <c r="Y429" s="1" cm="1">
        <f t="array" ref="Y429">COUNT(_xlfn._xlws.FILTER($G$7:$G$10000,($I$7:$I$10000=X429)*($J$7:$J$10000&lt;&gt;"NULL")*($G$7:$G$10000 &gt;= ($G$1-5))))/5</f>
        <v>0</v>
      </c>
    </row>
    <row r="430" spans="7:25" x14ac:dyDescent="0.35">
      <c r="G430" s="66">
        <v>6</v>
      </c>
      <c r="H430" t="s">
        <v>17</v>
      </c>
      <c r="I430" t="s">
        <v>480</v>
      </c>
      <c r="J430" t="s">
        <v>256</v>
      </c>
      <c r="K430" t="s">
        <v>3</v>
      </c>
      <c r="L430" t="s">
        <v>13</v>
      </c>
      <c r="M430">
        <f t="shared" si="32"/>
        <v>7.630534880038752</v>
      </c>
      <c r="N430" t="str">
        <f t="shared" si="33"/>
        <v/>
      </c>
      <c r="O430" s="67" cm="1">
        <f t="array" ref="O430">SUMPRODUCT((G430=$G$7:$G$10000)*(M430&lt;$M$7:$M$10000))+1</f>
        <v>23</v>
      </c>
      <c r="P430" s="72"/>
      <c r="Q430">
        <v>8</v>
      </c>
      <c r="R430" t="str">
        <v>HOU</v>
      </c>
      <c r="S430" t="str">
        <v>Emmanuel Albert</v>
      </c>
      <c r="T430" t="str">
        <v>NULL</v>
      </c>
      <c r="U430" t="str">
        <v>Home</v>
      </c>
      <c r="V430" t="str">
        <v>LA</v>
      </c>
      <c r="W430">
        <v>5.0005102977384421</v>
      </c>
      <c r="Y430" s="1" cm="1">
        <f t="array" ref="Y430">COUNT(_xlfn._xlws.FILTER($G$7:$G$10000,($I$7:$I$10000=X430)*($J$7:$J$10000&lt;&gt;"NULL")*($G$7:$G$10000 &gt;= ($G$1-5))))/5</f>
        <v>0</v>
      </c>
    </row>
    <row r="431" spans="7:25" x14ac:dyDescent="0.35">
      <c r="G431" s="66">
        <v>6</v>
      </c>
      <c r="H431" t="s">
        <v>6</v>
      </c>
      <c r="I431" t="s">
        <v>433</v>
      </c>
      <c r="J431" t="s">
        <v>256</v>
      </c>
      <c r="K431" t="s">
        <v>9</v>
      </c>
      <c r="L431" t="s">
        <v>4</v>
      </c>
      <c r="M431">
        <f t="shared" si="32"/>
        <v>7.4460147053941084</v>
      </c>
      <c r="N431" t="str">
        <f t="shared" si="33"/>
        <v/>
      </c>
      <c r="O431" s="67" cm="1">
        <f t="array" ref="O431">SUMPRODUCT((G431=$G$7:$G$10000)*(M431&lt;$M$7:$M$10000))+1</f>
        <v>24</v>
      </c>
      <c r="P431" s="72"/>
      <c r="Q431">
        <v>8</v>
      </c>
      <c r="R431" t="str">
        <v>MIA</v>
      </c>
      <c r="S431" t="str">
        <v>Mauro Rebussone</v>
      </c>
      <c r="T431" t="str">
        <v>NULL</v>
      </c>
      <c r="U431" t="str">
        <v>Away</v>
      </c>
      <c r="V431" t="str">
        <v>NEFJ</v>
      </c>
      <c r="W431">
        <v>4.9944289290203754</v>
      </c>
      <c r="Y431" s="1" cm="1">
        <f t="array" ref="Y431">COUNT(_xlfn._xlws.FILTER($G$7:$G$10000,($I$7:$I$10000=X431)*($J$7:$J$10000&lt;&gt;"NULL")*($G$7:$G$10000 &gt;= ($G$1-5))))/5</f>
        <v>0</v>
      </c>
    </row>
    <row r="432" spans="7:25" x14ac:dyDescent="0.35">
      <c r="G432" s="66">
        <v>6</v>
      </c>
      <c r="H432" t="s">
        <v>34</v>
      </c>
      <c r="I432" t="s">
        <v>227</v>
      </c>
      <c r="J432" t="s">
        <v>256</v>
      </c>
      <c r="K432" t="s">
        <v>3</v>
      </c>
      <c r="L432" t="s">
        <v>24</v>
      </c>
      <c r="M432">
        <f t="shared" si="32"/>
        <v>7.4080595291051328</v>
      </c>
      <c r="N432" t="str">
        <f t="shared" si="33"/>
        <v/>
      </c>
      <c r="O432" s="67" cm="1">
        <f t="array" ref="O432">SUMPRODUCT((G432=$G$7:$G$10000)*(M432&lt;$M$7:$M$10000))+1</f>
        <v>25</v>
      </c>
      <c r="P432" s="72"/>
      <c r="Q432">
        <v>8</v>
      </c>
      <c r="R432" t="str">
        <v>CHI</v>
      </c>
      <c r="S432" t="str">
        <v>Hamish Bain</v>
      </c>
      <c r="T432" t="str">
        <v>NULL</v>
      </c>
      <c r="U432" t="str">
        <v>Away</v>
      </c>
      <c r="V432" t="str">
        <v>SDL</v>
      </c>
      <c r="W432">
        <v>4.9503009993111835</v>
      </c>
      <c r="Y432" s="1" cm="1">
        <f t="array" ref="Y432">COUNT(_xlfn._xlws.FILTER($G$7:$G$10000,($I$7:$I$10000=X432)*($J$7:$J$10000&lt;&gt;"NULL")*($G$7:$G$10000 &gt;= ($G$1-5))))/5</f>
        <v>0</v>
      </c>
    </row>
    <row r="433" spans="7:25" x14ac:dyDescent="0.35">
      <c r="G433" s="66">
        <v>6</v>
      </c>
      <c r="H433" t="s">
        <v>4</v>
      </c>
      <c r="I433" t="s">
        <v>486</v>
      </c>
      <c r="J433" t="s">
        <v>256</v>
      </c>
      <c r="K433" t="s">
        <v>3</v>
      </c>
      <c r="L433" t="s">
        <v>6</v>
      </c>
      <c r="M433">
        <f t="shared" si="32"/>
        <v>7.3393863350258544</v>
      </c>
      <c r="N433" t="str">
        <f t="shared" si="33"/>
        <v/>
      </c>
      <c r="O433" s="67" cm="1">
        <f t="array" ref="O433">SUMPRODUCT((G433=$G$7:$G$10000)*(M433&lt;$M$7:$M$10000))+1</f>
        <v>26</v>
      </c>
      <c r="P433" s="72"/>
      <c r="Q433">
        <v>8</v>
      </c>
      <c r="R433" t="str">
        <v>SDL</v>
      </c>
      <c r="S433" t="str">
        <v>Jimmy Hokafonu</v>
      </c>
      <c r="T433" t="str">
        <v>NULL</v>
      </c>
      <c r="U433" t="str">
        <v>Home</v>
      </c>
      <c r="V433" t="str">
        <v>CHI</v>
      </c>
      <c r="W433">
        <v>4.8365707520388366</v>
      </c>
      <c r="Y433" s="1" cm="1">
        <f t="array" ref="Y433">COUNT(_xlfn._xlws.FILTER($G$7:$G$10000,($I$7:$I$10000=X433)*($J$7:$J$10000&lt;&gt;"NULL")*($G$7:$G$10000 &gt;= ($G$1-5))))/5</f>
        <v>0</v>
      </c>
    </row>
    <row r="434" spans="7:25" x14ac:dyDescent="0.35">
      <c r="G434" s="66">
        <v>6</v>
      </c>
      <c r="H434" t="s">
        <v>24</v>
      </c>
      <c r="I434" t="s">
        <v>422</v>
      </c>
      <c r="J434" t="s">
        <v>256</v>
      </c>
      <c r="K434" t="s">
        <v>9</v>
      </c>
      <c r="L434" t="s">
        <v>34</v>
      </c>
      <c r="M434">
        <f t="shared" si="32"/>
        <v>7.1026867161303411</v>
      </c>
      <c r="N434" t="str">
        <f t="shared" si="33"/>
        <v/>
      </c>
      <c r="O434" s="67" cm="1">
        <f t="array" ref="O434">SUMPRODUCT((G434=$G$7:$G$10000)*(M434&lt;$M$7:$M$10000))+1</f>
        <v>27</v>
      </c>
      <c r="P434" s="72"/>
      <c r="Q434">
        <v>8</v>
      </c>
      <c r="R434" t="str">
        <v>CHI</v>
      </c>
      <c r="S434" t="str">
        <v>Faka'osi Pifeleti</v>
      </c>
      <c r="T434" t="str">
        <v>NULL</v>
      </c>
      <c r="U434" t="str">
        <v>Away</v>
      </c>
      <c r="V434" t="str">
        <v>SDL</v>
      </c>
      <c r="W434">
        <v>4.812172524535212</v>
      </c>
      <c r="Y434" s="1" cm="1">
        <f t="array" ref="Y434">COUNT(_xlfn._xlws.FILTER($G$7:$G$10000,($I$7:$I$10000=X434)*($J$7:$J$10000&lt;&gt;"NULL")*($G$7:$G$10000 &gt;= ($G$1-5))))/5</f>
        <v>0</v>
      </c>
    </row>
    <row r="435" spans="7:25" x14ac:dyDescent="0.35">
      <c r="G435" s="66">
        <v>6</v>
      </c>
      <c r="H435" t="s">
        <v>23</v>
      </c>
      <c r="I435" t="s">
        <v>221</v>
      </c>
      <c r="J435" t="s">
        <v>256</v>
      </c>
      <c r="K435" t="s">
        <v>9</v>
      </c>
      <c r="L435" t="s">
        <v>7</v>
      </c>
      <c r="M435">
        <f t="shared" si="32"/>
        <v>6.9953346548069311</v>
      </c>
      <c r="N435" t="str">
        <f t="shared" si="33"/>
        <v/>
      </c>
      <c r="O435" s="67" cm="1">
        <f t="array" ref="O435">SUMPRODUCT((G435=$G$7:$G$10000)*(M435&lt;$M$7:$M$10000))+1</f>
        <v>28</v>
      </c>
      <c r="P435" s="72"/>
      <c r="Q435">
        <v>8</v>
      </c>
      <c r="R435" t="str">
        <v>MIA</v>
      </c>
      <c r="S435" t="str">
        <v>Alex Tucci</v>
      </c>
      <c r="T435" t="str">
        <v>NULL</v>
      </c>
      <c r="U435" t="str">
        <v>Away</v>
      </c>
      <c r="V435" t="str">
        <v>NEFJ</v>
      </c>
      <c r="W435">
        <v>4.7587429251737712</v>
      </c>
      <c r="Y435" s="1" cm="1">
        <f t="array" ref="Y435">COUNT(_xlfn._xlws.FILTER($G$7:$G$10000,($I$7:$I$10000=X435)*($J$7:$J$10000&lt;&gt;"NULL")*($G$7:$G$10000 &gt;= ($G$1-5))))/5</f>
        <v>0</v>
      </c>
    </row>
    <row r="436" spans="7:25" x14ac:dyDescent="0.35">
      <c r="G436" s="66">
        <v>6</v>
      </c>
      <c r="H436" t="s">
        <v>6</v>
      </c>
      <c r="I436" t="s">
        <v>208</v>
      </c>
      <c r="J436" t="s">
        <v>256</v>
      </c>
      <c r="K436" t="s">
        <v>9</v>
      </c>
      <c r="L436" t="s">
        <v>4</v>
      </c>
      <c r="M436">
        <f t="shared" si="32"/>
        <v>6.9441617345240303</v>
      </c>
      <c r="N436" t="str">
        <f t="shared" si="33"/>
        <v/>
      </c>
      <c r="O436" s="67" cm="1">
        <f t="array" ref="O436">SUMPRODUCT((G436=$G$7:$G$10000)*(M436&lt;$M$7:$M$10000))+1</f>
        <v>29</v>
      </c>
      <c r="P436" s="72"/>
      <c r="Q436">
        <v>8</v>
      </c>
      <c r="R436" t="str">
        <v>NOLA</v>
      </c>
      <c r="S436" t="str">
        <v>William Waguespack</v>
      </c>
      <c r="T436" t="str">
        <v>NULL</v>
      </c>
      <c r="U436" t="str">
        <v>Away</v>
      </c>
      <c r="V436" t="str">
        <v>ARC</v>
      </c>
      <c r="W436">
        <v>4.7577382039653724</v>
      </c>
      <c r="Y436" s="1" cm="1">
        <f t="array" ref="Y436">COUNT(_xlfn._xlws.FILTER($G$7:$G$10000,($I$7:$I$10000=X436)*($J$7:$J$10000&lt;&gt;"NULL")*($G$7:$G$10000 &gt;= ($G$1-5))))/5</f>
        <v>0</v>
      </c>
    </row>
    <row r="437" spans="7:25" x14ac:dyDescent="0.35">
      <c r="G437" s="66">
        <v>6</v>
      </c>
      <c r="H437" t="s">
        <v>4</v>
      </c>
      <c r="I437" t="s">
        <v>114</v>
      </c>
      <c r="J437" t="s">
        <v>256</v>
      </c>
      <c r="K437" t="s">
        <v>3</v>
      </c>
      <c r="L437" t="s">
        <v>6</v>
      </c>
      <c r="M437">
        <f t="shared" si="32"/>
        <v>6.9354977700395448</v>
      </c>
      <c r="N437" t="str">
        <f t="shared" si="33"/>
        <v/>
      </c>
      <c r="O437" s="67" cm="1">
        <f t="array" ref="O437">SUMPRODUCT((G437=$G$7:$G$10000)*(M437&lt;$M$7:$M$10000))+1</f>
        <v>30</v>
      </c>
      <c r="P437" s="72"/>
      <c r="Q437">
        <v>8</v>
      </c>
      <c r="R437" t="str">
        <v>ARC</v>
      </c>
      <c r="S437" t="str">
        <v>Dylan Fortune</v>
      </c>
      <c r="T437" t="str">
        <v>NULL</v>
      </c>
      <c r="U437" t="str">
        <v>Home</v>
      </c>
      <c r="V437" t="str">
        <v>NOLA</v>
      </c>
      <c r="W437">
        <v>4.6573441742103139</v>
      </c>
      <c r="Y437" s="1" cm="1">
        <f t="array" ref="Y437">COUNT(_xlfn._xlws.FILTER($G$7:$G$10000,($I$7:$I$10000=X437)*($J$7:$J$10000&lt;&gt;"NULL")*($G$7:$G$10000 &gt;= ($G$1-5))))/5</f>
        <v>0</v>
      </c>
    </row>
    <row r="438" spans="7:25" x14ac:dyDescent="0.35">
      <c r="G438" s="66">
        <v>6</v>
      </c>
      <c r="H438" t="s">
        <v>13</v>
      </c>
      <c r="I438" t="s">
        <v>464</v>
      </c>
      <c r="J438" t="s">
        <v>256</v>
      </c>
      <c r="K438" t="s">
        <v>9</v>
      </c>
      <c r="L438" t="s">
        <v>17</v>
      </c>
      <c r="M438">
        <f t="shared" si="32"/>
        <v>6.9128178614208329</v>
      </c>
      <c r="N438" t="str">
        <f t="shared" si="33"/>
        <v/>
      </c>
      <c r="O438" s="67" cm="1">
        <f t="array" ref="O438">SUMPRODUCT((G438=$G$7:$G$10000)*(M438&lt;$M$7:$M$10000))+1</f>
        <v>31</v>
      </c>
      <c r="P438" s="72"/>
      <c r="Q438">
        <v>8</v>
      </c>
      <c r="R438" t="str">
        <v>SDL</v>
      </c>
      <c r="S438" t="str">
        <v>Payton Telea-Ilalio</v>
      </c>
      <c r="T438" t="str">
        <v>NULL</v>
      </c>
      <c r="U438" t="str">
        <v>Home</v>
      </c>
      <c r="V438" t="str">
        <v>CHI</v>
      </c>
      <c r="W438">
        <v>4.6151662699238134</v>
      </c>
      <c r="Y438" s="1" cm="1">
        <f t="array" ref="Y438">COUNT(_xlfn._xlws.FILTER($G$7:$G$10000,($I$7:$I$10000=X438)*($J$7:$J$10000&lt;&gt;"NULL")*($G$7:$G$10000 &gt;= ($G$1-5))))/5</f>
        <v>0</v>
      </c>
    </row>
    <row r="439" spans="7:25" x14ac:dyDescent="0.35">
      <c r="G439" s="66">
        <v>6</v>
      </c>
      <c r="H439" t="s">
        <v>23</v>
      </c>
      <c r="I439" t="s">
        <v>144</v>
      </c>
      <c r="J439" t="s">
        <v>256</v>
      </c>
      <c r="K439" t="s">
        <v>9</v>
      </c>
      <c r="L439" t="s">
        <v>7</v>
      </c>
      <c r="M439">
        <f t="shared" si="32"/>
        <v>6.8807005435007396</v>
      </c>
      <c r="N439" t="str">
        <f t="shared" si="33"/>
        <v/>
      </c>
      <c r="O439" s="67" cm="1">
        <f t="array" ref="O439">SUMPRODUCT((G439=$G$7:$G$10000)*(M439&lt;$M$7:$M$10000))+1</f>
        <v>32</v>
      </c>
      <c r="P439" s="72"/>
      <c r="Q439">
        <v>8</v>
      </c>
      <c r="R439" t="str">
        <v>ARC</v>
      </c>
      <c r="S439" t="str">
        <v>Sam Golla</v>
      </c>
      <c r="T439" t="str">
        <v>NULL</v>
      </c>
      <c r="U439" t="str">
        <v>Home</v>
      </c>
      <c r="V439" t="str">
        <v>NOLA</v>
      </c>
      <c r="W439">
        <v>4.5409650230339373</v>
      </c>
      <c r="Y439" s="1" cm="1">
        <f t="array" ref="Y439">COUNT(_xlfn._xlws.FILTER($G$7:$G$10000,($I$7:$I$10000=X439)*($J$7:$J$10000&lt;&gt;"NULL")*($G$7:$G$10000 &gt;= ($G$1-5))))/5</f>
        <v>0</v>
      </c>
    </row>
    <row r="440" spans="7:25" x14ac:dyDescent="0.35">
      <c r="G440" s="66">
        <v>6</v>
      </c>
      <c r="H440" t="s">
        <v>14</v>
      </c>
      <c r="I440" t="s">
        <v>396</v>
      </c>
      <c r="J440" t="s">
        <v>256</v>
      </c>
      <c r="K440" t="s">
        <v>3</v>
      </c>
      <c r="L440" t="s">
        <v>36</v>
      </c>
      <c r="M440">
        <f t="shared" si="32"/>
        <v>6.6957082656331286</v>
      </c>
      <c r="N440" t="str">
        <f t="shared" si="33"/>
        <v/>
      </c>
      <c r="O440" s="67" cm="1">
        <f t="array" ref="O440">SUMPRODUCT((G440=$G$7:$G$10000)*(M440&lt;$M$7:$M$10000))+1</f>
        <v>33</v>
      </c>
      <c r="P440" s="72"/>
      <c r="Q440">
        <v>8</v>
      </c>
      <c r="R440" t="str">
        <v>SDL</v>
      </c>
      <c r="S440" t="str">
        <v>Darcy Breen</v>
      </c>
      <c r="T440" t="str">
        <v>NULL</v>
      </c>
      <c r="U440" t="str">
        <v>Home</v>
      </c>
      <c r="V440" t="str">
        <v>CHI</v>
      </c>
      <c r="W440">
        <v>4.5147572765820021</v>
      </c>
      <c r="Y440" s="1" cm="1">
        <f t="array" ref="Y440">COUNT(_xlfn._xlws.FILTER($G$7:$G$10000,($I$7:$I$10000=X440)*($J$7:$J$10000&lt;&gt;"NULL")*($G$7:$G$10000 &gt;= ($G$1-5))))/5</f>
        <v>0</v>
      </c>
    </row>
    <row r="441" spans="7:25" x14ac:dyDescent="0.35">
      <c r="G441" s="66">
        <v>6</v>
      </c>
      <c r="H441" t="s">
        <v>23</v>
      </c>
      <c r="I441" t="s">
        <v>421</v>
      </c>
      <c r="J441" t="s">
        <v>256</v>
      </c>
      <c r="K441" t="s">
        <v>9</v>
      </c>
      <c r="L441" t="s">
        <v>7</v>
      </c>
      <c r="M441">
        <f t="shared" si="32"/>
        <v>6.6089221889097631</v>
      </c>
      <c r="N441" t="str">
        <f t="shared" si="33"/>
        <v/>
      </c>
      <c r="O441" s="67" cm="1">
        <f t="array" ref="O441">SUMPRODUCT((G441=$G$7:$G$10000)*(M441&lt;$M$7:$M$10000))+1</f>
        <v>34</v>
      </c>
      <c r="P441" s="72"/>
      <c r="Q441">
        <v>8</v>
      </c>
      <c r="R441" t="str">
        <v>SEA</v>
      </c>
      <c r="S441" t="str">
        <v>Cameron Orr</v>
      </c>
      <c r="T441" t="str">
        <v>NULL</v>
      </c>
      <c r="U441" t="str">
        <v>Away</v>
      </c>
      <c r="V441" t="str">
        <v>OGDC</v>
      </c>
      <c r="W441">
        <v>4.5125318805808021</v>
      </c>
      <c r="Y441" s="1" cm="1">
        <f t="array" ref="Y441">COUNT(_xlfn._xlws.FILTER($G$7:$G$10000,($I$7:$I$10000=X441)*($J$7:$J$10000&lt;&gt;"NULL")*($G$7:$G$10000 &gt;= ($G$1-5))))/5</f>
        <v>0</v>
      </c>
    </row>
    <row r="442" spans="7:25" x14ac:dyDescent="0.35">
      <c r="G442" s="66">
        <v>6</v>
      </c>
      <c r="H442" t="s">
        <v>13</v>
      </c>
      <c r="I442" t="s">
        <v>103</v>
      </c>
      <c r="J442" t="s">
        <v>256</v>
      </c>
      <c r="K442" t="s">
        <v>9</v>
      </c>
      <c r="L442" t="s">
        <v>17</v>
      </c>
      <c r="M442">
        <f t="shared" si="32"/>
        <v>6.5092399593653809</v>
      </c>
      <c r="N442" t="str">
        <f t="shared" si="33"/>
        <v/>
      </c>
      <c r="O442" s="67" cm="1">
        <f t="array" ref="O442">SUMPRODUCT((G442=$G$7:$G$10000)*(M442&lt;$M$7:$M$10000))+1</f>
        <v>35</v>
      </c>
      <c r="P442" s="72"/>
      <c r="Q442">
        <v>8</v>
      </c>
      <c r="R442" t="str">
        <v>ARC</v>
      </c>
      <c r="S442" t="str">
        <v>Viliami Vuli</v>
      </c>
      <c r="T442" t="str">
        <v>NULL</v>
      </c>
      <c r="U442" t="str">
        <v>Home</v>
      </c>
      <c r="V442" t="str">
        <v>NOLA</v>
      </c>
      <c r="W442">
        <v>4.4828951884457675</v>
      </c>
      <c r="Y442" s="1" cm="1">
        <f t="array" ref="Y442">COUNT(_xlfn._xlws.FILTER($G$7:$G$10000,($I$7:$I$10000=X442)*($J$7:$J$10000&lt;&gt;"NULL")*($G$7:$G$10000 &gt;= ($G$1-5))))/5</f>
        <v>0</v>
      </c>
    </row>
    <row r="443" spans="7:25" x14ac:dyDescent="0.35">
      <c r="G443" s="66">
        <v>6</v>
      </c>
      <c r="H443" t="s">
        <v>24</v>
      </c>
      <c r="I443" t="s">
        <v>217</v>
      </c>
      <c r="J443" t="s">
        <v>256</v>
      </c>
      <c r="K443" t="s">
        <v>9</v>
      </c>
      <c r="L443" t="s">
        <v>34</v>
      </c>
      <c r="M443">
        <f t="shared" si="32"/>
        <v>6.3600726631981956</v>
      </c>
      <c r="N443" t="str">
        <f t="shared" si="33"/>
        <v/>
      </c>
      <c r="O443" s="67" cm="1">
        <f t="array" ref="O443">SUMPRODUCT((G443=$G$7:$G$10000)*(M443&lt;$M$7:$M$10000))+1</f>
        <v>36</v>
      </c>
      <c r="P443" s="72"/>
      <c r="Q443">
        <v>8</v>
      </c>
      <c r="R443" t="str">
        <v>HOU</v>
      </c>
      <c r="S443" t="str">
        <v>Johan Momsen</v>
      </c>
      <c r="T443" t="str">
        <v>NULL</v>
      </c>
      <c r="U443" t="str">
        <v>Home</v>
      </c>
      <c r="V443" t="str">
        <v>LA</v>
      </c>
      <c r="W443">
        <v>4.4353412186680004</v>
      </c>
      <c r="Y443" s="1" cm="1">
        <f t="array" ref="Y443">COUNT(_xlfn._xlws.FILTER($G$7:$G$10000,($I$7:$I$10000=X443)*($J$7:$J$10000&lt;&gt;"NULL")*($G$7:$G$10000 &gt;= ($G$1-5))))/5</f>
        <v>0</v>
      </c>
    </row>
    <row r="444" spans="7:25" x14ac:dyDescent="0.35">
      <c r="G444" s="66">
        <v>6</v>
      </c>
      <c r="H444" t="s">
        <v>4</v>
      </c>
      <c r="I444" t="s">
        <v>484</v>
      </c>
      <c r="J444" t="s">
        <v>256</v>
      </c>
      <c r="K444" t="s">
        <v>3</v>
      </c>
      <c r="L444" t="s">
        <v>6</v>
      </c>
      <c r="M444">
        <f t="shared" si="32"/>
        <v>6.3551309719559219</v>
      </c>
      <c r="N444" t="str">
        <f t="shared" si="33"/>
        <v/>
      </c>
      <c r="O444" s="67" cm="1">
        <f t="array" ref="O444">SUMPRODUCT((G444=$G$7:$G$10000)*(M444&lt;$M$7:$M$10000))+1</f>
        <v>37</v>
      </c>
      <c r="P444" s="72"/>
      <c r="Q444">
        <v>8</v>
      </c>
      <c r="R444" t="str">
        <v>NOLA</v>
      </c>
      <c r="S444" t="str">
        <v>Chase Jones</v>
      </c>
      <c r="T444" t="str">
        <v>NULL</v>
      </c>
      <c r="U444" t="str">
        <v>Away</v>
      </c>
      <c r="V444" t="str">
        <v>ARC</v>
      </c>
      <c r="W444">
        <v>4.1773714058817504</v>
      </c>
      <c r="Y444" s="1" cm="1">
        <f t="array" ref="Y444">COUNT(_xlfn._xlws.FILTER($G$7:$G$10000,($I$7:$I$10000=X444)*($J$7:$J$10000&lt;&gt;"NULL")*($G$7:$G$10000 &gt;= ($G$1-5))))/5</f>
        <v>0</v>
      </c>
    </row>
    <row r="445" spans="7:25" x14ac:dyDescent="0.35">
      <c r="G445" s="66">
        <v>6</v>
      </c>
      <c r="H445" t="s">
        <v>7</v>
      </c>
      <c r="I445" t="s">
        <v>207</v>
      </c>
      <c r="J445" t="s">
        <v>256</v>
      </c>
      <c r="K445" t="s">
        <v>3</v>
      </c>
      <c r="L445" t="s">
        <v>23</v>
      </c>
      <c r="M445">
        <f t="shared" si="32"/>
        <v>6.2578575308758531</v>
      </c>
      <c r="N445" t="str">
        <f t="shared" si="33"/>
        <v/>
      </c>
      <c r="O445" s="67" cm="1">
        <f t="array" ref="O445">SUMPRODUCT((G445=$G$7:$G$10000)*(M445&lt;$M$7:$M$10000))+1</f>
        <v>38</v>
      </c>
      <c r="P445" s="72"/>
      <c r="Q445">
        <v>8</v>
      </c>
      <c r="R445" t="str">
        <v>SEA</v>
      </c>
      <c r="S445" t="str">
        <v>Rhyno Herbst</v>
      </c>
      <c r="T445" t="str">
        <v>NULL</v>
      </c>
      <c r="U445" t="str">
        <v>Away</v>
      </c>
      <c r="V445" t="str">
        <v>OGDC</v>
      </c>
      <c r="W445">
        <v>4.1434601876321828</v>
      </c>
      <c r="Y445" s="1" cm="1">
        <f t="array" ref="Y445">COUNT(_xlfn._xlws.FILTER($G$7:$G$10000,($I$7:$I$10000=X445)*($J$7:$J$10000&lt;&gt;"NULL")*($G$7:$G$10000 &gt;= ($G$1-5))))/5</f>
        <v>0</v>
      </c>
    </row>
    <row r="446" spans="7:25" x14ac:dyDescent="0.35">
      <c r="G446" s="66">
        <v>6</v>
      </c>
      <c r="H446" t="s">
        <v>4</v>
      </c>
      <c r="I446" t="s">
        <v>435</v>
      </c>
      <c r="J446" t="s">
        <v>256</v>
      </c>
      <c r="K446" t="s">
        <v>3</v>
      </c>
      <c r="L446" t="s">
        <v>6</v>
      </c>
      <c r="M446">
        <f t="shared" si="32"/>
        <v>6.254354703934923</v>
      </c>
      <c r="N446" t="str">
        <f t="shared" si="33"/>
        <v/>
      </c>
      <c r="O446" s="67" cm="1">
        <f t="array" ref="O446">SUMPRODUCT((G446=$G$7:$G$10000)*(M446&lt;$M$7:$M$10000))+1</f>
        <v>39</v>
      </c>
      <c r="P446" s="72"/>
      <c r="Q446">
        <v>8</v>
      </c>
      <c r="R446" t="str">
        <v>HOU</v>
      </c>
      <c r="S446" t="str">
        <v>Nathan Den Hoedt</v>
      </c>
      <c r="T446" t="str">
        <v>NULL</v>
      </c>
      <c r="U446" t="str">
        <v>Home</v>
      </c>
      <c r="V446" t="str">
        <v>LA</v>
      </c>
      <c r="W446">
        <v>4.1045548896093855</v>
      </c>
      <c r="Y446" s="1" cm="1">
        <f t="array" ref="Y446">COUNT(_xlfn._xlws.FILTER($G$7:$G$10000,($I$7:$I$10000=X446)*($J$7:$J$10000&lt;&gt;"NULL")*($G$7:$G$10000 &gt;= ($G$1-5))))/5</f>
        <v>0</v>
      </c>
    </row>
    <row r="447" spans="7:25" x14ac:dyDescent="0.35">
      <c r="G447" s="66">
        <v>6</v>
      </c>
      <c r="H447" t="s">
        <v>24</v>
      </c>
      <c r="I447" t="s">
        <v>411</v>
      </c>
      <c r="J447" t="s">
        <v>256</v>
      </c>
      <c r="K447" t="s">
        <v>9</v>
      </c>
      <c r="L447" t="s">
        <v>34</v>
      </c>
      <c r="M447">
        <f t="shared" si="32"/>
        <v>6.2130489407703458</v>
      </c>
      <c r="N447" t="str">
        <f t="shared" si="33"/>
        <v/>
      </c>
      <c r="O447" s="67" cm="1">
        <f t="array" ref="O447">SUMPRODUCT((G447=$G$7:$G$10000)*(M447&lt;$M$7:$M$10000))+1</f>
        <v>40</v>
      </c>
      <c r="P447" s="72"/>
      <c r="Q447">
        <v>8</v>
      </c>
      <c r="R447" t="str">
        <v>NOLA</v>
      </c>
      <c r="S447" t="str">
        <v>Kellen Galletier</v>
      </c>
      <c r="T447" t="str">
        <v>NULL</v>
      </c>
      <c r="U447" t="str">
        <v>Away</v>
      </c>
      <c r="V447" t="str">
        <v>ARC</v>
      </c>
      <c r="W447">
        <v>4.0765951378607506</v>
      </c>
      <c r="Y447" s="1" cm="1">
        <f t="array" ref="Y447">COUNT(_xlfn._xlws.FILTER($G$7:$G$10000,($I$7:$I$10000=X447)*($J$7:$J$10000&lt;&gt;"NULL")*($G$7:$G$10000 &gt;= ($G$1-5))))/5</f>
        <v>0</v>
      </c>
    </row>
    <row r="448" spans="7:25" x14ac:dyDescent="0.35">
      <c r="G448" s="66">
        <v>6</v>
      </c>
      <c r="H448" t="s">
        <v>23</v>
      </c>
      <c r="I448" t="s">
        <v>431</v>
      </c>
      <c r="J448" t="s">
        <v>256</v>
      </c>
      <c r="K448" t="s">
        <v>9</v>
      </c>
      <c r="L448" t="s">
        <v>7</v>
      </c>
      <c r="M448">
        <f t="shared" si="32"/>
        <v>5.9340991134652219</v>
      </c>
      <c r="N448" t="str">
        <f t="shared" si="33"/>
        <v/>
      </c>
      <c r="O448" s="67" cm="1">
        <f t="array" ref="O448">SUMPRODUCT((G448=$G$7:$G$10000)*(M448&lt;$M$7:$M$10000))+1</f>
        <v>41</v>
      </c>
      <c r="P448" s="72"/>
      <c r="Q448">
        <v>8</v>
      </c>
      <c r="R448" t="str">
        <v>NEFJ</v>
      </c>
      <c r="S448" t="str">
        <v>Malakai Hala-Ngatai</v>
      </c>
      <c r="T448" t="str">
        <v>NULL</v>
      </c>
      <c r="U448" t="str">
        <v>Home</v>
      </c>
      <c r="V448" t="str">
        <v>MIA</v>
      </c>
      <c r="W448">
        <v>3.9048869282971586</v>
      </c>
      <c r="Y448" s="1" cm="1">
        <f t="array" ref="Y448">COUNT(_xlfn._xlws.FILTER($G$7:$G$10000,($I$7:$I$10000=X448)*($J$7:$J$10000&lt;&gt;"NULL")*($G$7:$G$10000 &gt;= ($G$1-5))))/5</f>
        <v>0</v>
      </c>
    </row>
    <row r="449" spans="7:25" x14ac:dyDescent="0.35">
      <c r="G449" s="66">
        <v>6</v>
      </c>
      <c r="H449" t="s">
        <v>17</v>
      </c>
      <c r="I449" t="s">
        <v>427</v>
      </c>
      <c r="J449" t="s">
        <v>256</v>
      </c>
      <c r="K449" t="s">
        <v>3</v>
      </c>
      <c r="L449" t="s">
        <v>13</v>
      </c>
      <c r="M449">
        <f t="shared" si="32"/>
        <v>5.9260177875407987</v>
      </c>
      <c r="N449" t="str">
        <f t="shared" si="33"/>
        <v/>
      </c>
      <c r="O449" s="67" cm="1">
        <f t="array" ref="O449">SUMPRODUCT((G449=$G$7:$G$10000)*(M449&lt;$M$7:$M$10000))+1</f>
        <v>42</v>
      </c>
      <c r="P449" s="72"/>
      <c r="Q449">
        <v>8</v>
      </c>
      <c r="R449" t="str">
        <v>HOU</v>
      </c>
      <c r="S449" t="str">
        <v>Marno Redelinghuys</v>
      </c>
      <c r="T449" t="str">
        <v>NULL</v>
      </c>
      <c r="U449" t="str">
        <v>Home</v>
      </c>
      <c r="V449" t="str">
        <v>LA</v>
      </c>
      <c r="W449">
        <v>3.8820130785156461</v>
      </c>
      <c r="Y449" s="1" cm="1">
        <f t="array" ref="Y449">COUNT(_xlfn._xlws.FILTER($G$7:$G$10000,($I$7:$I$10000=X449)*($J$7:$J$10000&lt;&gt;"NULL")*($G$7:$G$10000 &gt;= ($G$1-5))))/5</f>
        <v>0</v>
      </c>
    </row>
    <row r="450" spans="7:25" x14ac:dyDescent="0.35">
      <c r="G450" s="66">
        <v>6</v>
      </c>
      <c r="H450" t="s">
        <v>24</v>
      </c>
      <c r="I450" t="s">
        <v>168</v>
      </c>
      <c r="J450" t="s">
        <v>256</v>
      </c>
      <c r="K450" t="s">
        <v>9</v>
      </c>
      <c r="L450" t="s">
        <v>34</v>
      </c>
      <c r="M450">
        <f t="shared" si="32"/>
        <v>5.8856389025580294</v>
      </c>
      <c r="N450" t="str">
        <f t="shared" si="33"/>
        <v/>
      </c>
      <c r="O450" s="67" cm="1">
        <f t="array" ref="O450">SUMPRODUCT((G450=$G$7:$G$10000)*(M450&lt;$M$7:$M$10000))+1</f>
        <v>43</v>
      </c>
      <c r="P450" s="72"/>
      <c r="Q450">
        <v>8</v>
      </c>
      <c r="R450" t="str">
        <v>SEA</v>
      </c>
      <c r="S450" t="str">
        <v>Siaosi Mahoni</v>
      </c>
      <c r="T450" t="str">
        <v>NULL</v>
      </c>
      <c r="U450" t="str">
        <v>Away</v>
      </c>
      <c r="V450" t="str">
        <v>OGDC</v>
      </c>
      <c r="W450">
        <v>3.872698575598903</v>
      </c>
      <c r="Y450" s="1" cm="1">
        <f t="array" ref="Y450">COUNT(_xlfn._xlws.FILTER($G$7:$G$10000,($I$7:$I$10000=X450)*($J$7:$J$10000&lt;&gt;"NULL")*($G$7:$G$10000 &gt;= ($G$1-5))))/5</f>
        <v>0</v>
      </c>
    </row>
    <row r="451" spans="7:25" x14ac:dyDescent="0.35">
      <c r="G451" s="66">
        <v>6</v>
      </c>
      <c r="H451" t="s">
        <v>4</v>
      </c>
      <c r="I451" t="s">
        <v>434</v>
      </c>
      <c r="J451" t="s">
        <v>256</v>
      </c>
      <c r="K451" t="s">
        <v>3</v>
      </c>
      <c r="L451" t="s">
        <v>6</v>
      </c>
      <c r="M451">
        <f t="shared" si="32"/>
        <v>5.7130171113715296</v>
      </c>
      <c r="N451" t="str">
        <f t="shared" si="33"/>
        <v/>
      </c>
      <c r="O451" s="67" cm="1">
        <f t="array" ref="O451">SUMPRODUCT((G451=$G$7:$G$10000)*(M451&lt;$M$7:$M$10000))+1</f>
        <v>44</v>
      </c>
      <c r="P451" s="72"/>
      <c r="Q451">
        <v>8</v>
      </c>
      <c r="R451" t="str">
        <v>ARC</v>
      </c>
      <c r="S451" t="str">
        <v>Alex Maughan</v>
      </c>
      <c r="T451" t="str">
        <v>NULL</v>
      </c>
      <c r="U451" t="str">
        <v>Home</v>
      </c>
      <c r="V451" t="str">
        <v>NOLA</v>
      </c>
      <c r="W451">
        <v>3.7343093417687614</v>
      </c>
      <c r="Y451" s="1" cm="1">
        <f t="array" ref="Y451">COUNT(_xlfn._xlws.FILTER($G$7:$G$10000,($I$7:$I$10000=X451)*($J$7:$J$10000&lt;&gt;"NULL")*($G$7:$G$10000 &gt;= ($G$1-5))))/5</f>
        <v>0</v>
      </c>
    </row>
    <row r="452" spans="7:25" x14ac:dyDescent="0.35">
      <c r="G452" s="66">
        <v>6</v>
      </c>
      <c r="H452" t="s">
        <v>23</v>
      </c>
      <c r="I452" t="s">
        <v>412</v>
      </c>
      <c r="J452" t="s">
        <v>256</v>
      </c>
      <c r="K452" t="s">
        <v>9</v>
      </c>
      <c r="L452" t="s">
        <v>7</v>
      </c>
      <c r="M452">
        <f t="shared" si="32"/>
        <v>5.6586581435564449</v>
      </c>
      <c r="N452" t="str">
        <f t="shared" si="33"/>
        <v/>
      </c>
      <c r="O452" s="67" cm="1">
        <f t="array" ref="O452">SUMPRODUCT((G452=$G$7:$G$10000)*(M452&lt;$M$7:$M$10000))+1</f>
        <v>45</v>
      </c>
      <c r="P452" s="72"/>
      <c r="Q452">
        <v>8</v>
      </c>
      <c r="R452" t="str">
        <v>OGDC</v>
      </c>
      <c r="S452" t="str">
        <v>Facundo Gattas</v>
      </c>
      <c r="T452" t="str">
        <v>NULL</v>
      </c>
      <c r="U452" t="str">
        <v>Home</v>
      </c>
      <c r="V452" t="str">
        <v>SEA</v>
      </c>
      <c r="W452">
        <v>3.7213049953289521</v>
      </c>
      <c r="Y452" s="1" cm="1">
        <f t="array" ref="Y452">COUNT(_xlfn._xlws.FILTER($G$7:$G$10000,($I$7:$I$10000=X452)*($J$7:$J$10000&lt;&gt;"NULL")*($G$7:$G$10000 &gt;= ($G$1-5))))/5</f>
        <v>0</v>
      </c>
    </row>
    <row r="453" spans="7:25" x14ac:dyDescent="0.35">
      <c r="G453" s="66">
        <v>6</v>
      </c>
      <c r="H453" t="s">
        <v>14</v>
      </c>
      <c r="I453" t="s">
        <v>248</v>
      </c>
      <c r="J453" t="s">
        <v>256</v>
      </c>
      <c r="K453" t="s">
        <v>3</v>
      </c>
      <c r="L453" t="s">
        <v>36</v>
      </c>
      <c r="M453">
        <f t="shared" si="32"/>
        <v>5.5667620598640601</v>
      </c>
      <c r="N453" t="str">
        <f t="shared" si="33"/>
        <v/>
      </c>
      <c r="O453" s="67" cm="1">
        <f t="array" ref="O453">SUMPRODUCT((G453=$G$7:$G$10000)*(M453&lt;$M$7:$M$10000))+1</f>
        <v>46</v>
      </c>
      <c r="P453" s="72"/>
      <c r="Q453">
        <v>8</v>
      </c>
      <c r="R453" t="str">
        <v>OGDC</v>
      </c>
      <c r="S453" t="str">
        <v>Jack Iscaro</v>
      </c>
      <c r="T453" t="str">
        <v>NULL</v>
      </c>
      <c r="U453" t="str">
        <v>Home</v>
      </c>
      <c r="V453" t="str">
        <v>SEA</v>
      </c>
      <c r="W453">
        <v>3.6687879656456519</v>
      </c>
      <c r="Y453" s="1" cm="1">
        <f t="array" ref="Y453">COUNT(_xlfn._xlws.FILTER($G$7:$G$10000,($I$7:$I$10000=X453)*($J$7:$J$10000&lt;&gt;"NULL")*($G$7:$G$10000 &gt;= ($G$1-5))))/5</f>
        <v>0</v>
      </c>
    </row>
    <row r="454" spans="7:25" x14ac:dyDescent="0.35">
      <c r="G454" s="66">
        <v>6</v>
      </c>
      <c r="H454" t="s">
        <v>34</v>
      </c>
      <c r="I454" t="s">
        <v>436</v>
      </c>
      <c r="J454" t="s">
        <v>256</v>
      </c>
      <c r="K454" t="s">
        <v>3</v>
      </c>
      <c r="L454" t="s">
        <v>24</v>
      </c>
      <c r="M454">
        <f t="shared" si="32"/>
        <v>5.350779234200318</v>
      </c>
      <c r="N454" t="str">
        <f t="shared" si="33"/>
        <v/>
      </c>
      <c r="O454" s="67" cm="1">
        <f t="array" ref="O454">SUMPRODUCT((G454=$G$7:$G$10000)*(M454&lt;$M$7:$M$10000))+1</f>
        <v>47</v>
      </c>
      <c r="P454" s="72"/>
      <c r="Q454">
        <v>8</v>
      </c>
      <c r="R454" t="str">
        <v>NEFJ</v>
      </c>
      <c r="S454" t="str">
        <v>Wian Conradie</v>
      </c>
      <c r="T454" t="str">
        <v>NULL</v>
      </c>
      <c r="U454" t="str">
        <v>Home</v>
      </c>
      <c r="V454" t="str">
        <v>MIA</v>
      </c>
      <c r="W454">
        <v>3.6657760754330644</v>
      </c>
      <c r="Y454" s="1" cm="1">
        <f t="array" ref="Y454">COUNT(_xlfn._xlws.FILTER($G$7:$G$10000,($I$7:$I$10000=X454)*($J$7:$J$10000&lt;&gt;"NULL")*($G$7:$G$10000 &gt;= ($G$1-5))))/5</f>
        <v>0</v>
      </c>
    </row>
    <row r="455" spans="7:25" x14ac:dyDescent="0.35">
      <c r="G455" s="66">
        <v>6</v>
      </c>
      <c r="H455" t="s">
        <v>4</v>
      </c>
      <c r="I455" t="s">
        <v>481</v>
      </c>
      <c r="J455" t="s">
        <v>256</v>
      </c>
      <c r="K455" t="s">
        <v>3</v>
      </c>
      <c r="L455" t="s">
        <v>6</v>
      </c>
      <c r="M455">
        <f t="shared" si="32"/>
        <v>5.3307638363194609</v>
      </c>
      <c r="N455" t="str">
        <f t="shared" si="33"/>
        <v/>
      </c>
      <c r="O455" s="67" cm="1">
        <f t="array" ref="O455">SUMPRODUCT((G455=$G$7:$G$10000)*(M455&lt;$M$7:$M$10000))+1</f>
        <v>48</v>
      </c>
      <c r="P455" s="72"/>
      <c r="Q455">
        <v>8</v>
      </c>
      <c r="R455" t="str">
        <v>NOLA</v>
      </c>
      <c r="S455" t="str">
        <v>Tesimoni Tonga'uiha</v>
      </c>
      <c r="T455" t="str">
        <v>NULL</v>
      </c>
      <c r="U455" t="str">
        <v>Away</v>
      </c>
      <c r="V455" t="str">
        <v>ARC</v>
      </c>
      <c r="W455">
        <v>3.5352575452973576</v>
      </c>
      <c r="Y455" s="1" cm="1">
        <f t="array" ref="Y455">COUNT(_xlfn._xlws.FILTER($G$7:$G$10000,($I$7:$I$10000=X455)*($J$7:$J$10000&lt;&gt;"NULL")*($G$7:$G$10000 &gt;= ($G$1-5))))/5</f>
        <v>0</v>
      </c>
    </row>
    <row r="456" spans="7:25" x14ac:dyDescent="0.35">
      <c r="G456" s="66">
        <v>6</v>
      </c>
      <c r="H456" t="s">
        <v>4</v>
      </c>
      <c r="I456" t="s">
        <v>109</v>
      </c>
      <c r="J456" t="s">
        <v>256</v>
      </c>
      <c r="K456" t="s">
        <v>3</v>
      </c>
      <c r="L456" t="s">
        <v>6</v>
      </c>
      <c r="M456">
        <f t="shared" si="32"/>
        <v>5.1525379237624751</v>
      </c>
      <c r="N456" t="str">
        <f t="shared" si="33"/>
        <v/>
      </c>
      <c r="O456" s="67" cm="1">
        <f t="array" ref="O456">SUMPRODUCT((G456=$G$7:$G$10000)*(M456&lt;$M$7:$M$10000))+1</f>
        <v>49</v>
      </c>
      <c r="P456" s="72"/>
      <c r="Q456">
        <v>8</v>
      </c>
      <c r="R456" t="str">
        <v>LA</v>
      </c>
      <c r="S456" t="str">
        <v>Ben Sugars</v>
      </c>
      <c r="T456" t="str">
        <v>NULL</v>
      </c>
      <c r="U456" t="str">
        <v>Away</v>
      </c>
      <c r="V456" t="str">
        <v>HOU</v>
      </c>
      <c r="W456">
        <v>3.5176913795009681</v>
      </c>
      <c r="Y456" s="1" cm="1">
        <f t="array" ref="Y456">COUNT(_xlfn._xlws.FILTER($G$7:$G$10000,($I$7:$I$10000=X456)*($J$7:$J$10000&lt;&gt;"NULL")*($G$7:$G$10000 &gt;= ($G$1-5))))/5</f>
        <v>0</v>
      </c>
    </row>
    <row r="457" spans="7:25" x14ac:dyDescent="0.35">
      <c r="G457" s="66">
        <v>6</v>
      </c>
      <c r="H457" t="s">
        <v>34</v>
      </c>
      <c r="I457" t="s">
        <v>177</v>
      </c>
      <c r="J457" t="s">
        <v>256</v>
      </c>
      <c r="K457" t="s">
        <v>3</v>
      </c>
      <c r="L457" t="s">
        <v>24</v>
      </c>
      <c r="M457">
        <f t="shared" si="32"/>
        <v>5.1293747520852948</v>
      </c>
      <c r="N457" t="str">
        <f t="shared" si="33"/>
        <v/>
      </c>
      <c r="O457" s="67" cm="1">
        <f t="array" ref="O457">SUMPRODUCT((G457=$G$7:$G$10000)*(M457&lt;$M$7:$M$10000))+1</f>
        <v>50</v>
      </c>
      <c r="P457" s="72"/>
      <c r="Q457">
        <v>8</v>
      </c>
      <c r="R457" t="str">
        <v>MIA</v>
      </c>
      <c r="S457" t="str">
        <v>Federico Gutíerrez</v>
      </c>
      <c r="T457" t="str">
        <v>NULL</v>
      </c>
      <c r="U457" t="str">
        <v>Away</v>
      </c>
      <c r="V457" t="str">
        <v>NEFJ</v>
      </c>
      <c r="W457">
        <v>3.4889961194279397</v>
      </c>
      <c r="Y457" s="1" cm="1">
        <f t="array" ref="Y457">COUNT(_xlfn._xlws.FILTER($G$7:$G$10000,($I$7:$I$10000=X457)*($J$7:$J$10000&lt;&gt;"NULL")*($G$7:$G$10000 &gt;= ($G$1-5))))/5</f>
        <v>0</v>
      </c>
    </row>
    <row r="458" spans="7:25" x14ac:dyDescent="0.35">
      <c r="G458" s="66">
        <v>6</v>
      </c>
      <c r="H458" t="s">
        <v>13</v>
      </c>
      <c r="I458" t="s">
        <v>120</v>
      </c>
      <c r="J458" t="s">
        <v>256</v>
      </c>
      <c r="K458" t="s">
        <v>9</v>
      </c>
      <c r="L458" t="s">
        <v>17</v>
      </c>
      <c r="M458">
        <f t="shared" si="32"/>
        <v>5.0593773537102624</v>
      </c>
      <c r="N458" t="str">
        <f t="shared" si="33"/>
        <v/>
      </c>
      <c r="O458" s="67" cm="1">
        <f t="array" ref="O458">SUMPRODUCT((G458=$G$7:$G$10000)*(M458&lt;$M$7:$M$10000))+1</f>
        <v>51</v>
      </c>
      <c r="P458" s="72"/>
      <c r="Q458">
        <v>8</v>
      </c>
      <c r="R458" t="str">
        <v>ARC</v>
      </c>
      <c r="S458" t="str">
        <v>Ethan Howard</v>
      </c>
      <c r="T458" t="str">
        <v>NULL</v>
      </c>
      <c r="U458" t="str">
        <v>Home</v>
      </c>
      <c r="V458" t="str">
        <v>NOLA</v>
      </c>
      <c r="W458">
        <v>3.3855495017965032</v>
      </c>
      <c r="Y458" s="1" cm="1">
        <f t="array" ref="Y458">COUNT(_xlfn._xlws.FILTER($G$7:$G$10000,($I$7:$I$10000=X458)*($J$7:$J$10000&lt;&gt;"NULL")*($G$7:$G$10000 &gt;= ($G$1-5))))/5</f>
        <v>0</v>
      </c>
    </row>
    <row r="459" spans="7:25" x14ac:dyDescent="0.35">
      <c r="G459" s="66">
        <v>6</v>
      </c>
      <c r="H459" t="s">
        <v>34</v>
      </c>
      <c r="I459" t="s">
        <v>153</v>
      </c>
      <c r="J459" t="s">
        <v>256</v>
      </c>
      <c r="K459" t="s">
        <v>3</v>
      </c>
      <c r="L459" t="s">
        <v>24</v>
      </c>
      <c r="M459">
        <f t="shared" si="32"/>
        <v>5.0289657587434835</v>
      </c>
      <c r="N459" t="str">
        <f t="shared" si="33"/>
        <v/>
      </c>
      <c r="O459" s="67" cm="1">
        <f t="array" ref="O459">SUMPRODUCT((G459=$G$7:$G$10000)*(M459&lt;$M$7:$M$10000))+1</f>
        <v>52</v>
      </c>
      <c r="P459" s="72"/>
      <c r="Q459">
        <v>8</v>
      </c>
      <c r="R459" t="str">
        <v>ARC</v>
      </c>
      <c r="S459" t="str">
        <v>Mikey Grandy</v>
      </c>
      <c r="T459" t="str">
        <v>NULL</v>
      </c>
      <c r="U459" t="str">
        <v>Home</v>
      </c>
      <c r="V459" t="str">
        <v>NOLA</v>
      </c>
      <c r="W459">
        <v>3.3693274169636149</v>
      </c>
      <c r="Y459" s="1" cm="1">
        <f t="array" ref="Y459">COUNT(_xlfn._xlws.FILTER($G$7:$G$10000,($I$7:$I$10000=X459)*($J$7:$J$10000&lt;&gt;"NULL")*($G$7:$G$10000 &gt;= ($G$1-5))))/5</f>
        <v>0</v>
      </c>
    </row>
    <row r="460" spans="7:25" x14ac:dyDescent="0.35">
      <c r="G460" s="66">
        <v>6</v>
      </c>
      <c r="H460" t="s">
        <v>14</v>
      </c>
      <c r="I460" t="s">
        <v>203</v>
      </c>
      <c r="J460" t="s">
        <v>256</v>
      </c>
      <c r="K460" t="s">
        <v>3</v>
      </c>
      <c r="L460" t="s">
        <v>36</v>
      </c>
      <c r="M460">
        <f t="shared" si="32"/>
        <v>4.7123625941221174</v>
      </c>
      <c r="N460" t="str">
        <f t="shared" si="33"/>
        <v/>
      </c>
      <c r="O460" s="67" cm="1">
        <f t="array" ref="O460">SUMPRODUCT((G460=$G$7:$G$10000)*(M460&lt;$M$7:$M$10000))+1</f>
        <v>53</v>
      </c>
      <c r="P460" s="72"/>
      <c r="Q460">
        <v>8</v>
      </c>
      <c r="R460" t="str">
        <v>ARC</v>
      </c>
      <c r="S460" t="str">
        <v>Jake Turnbull</v>
      </c>
      <c r="T460" t="str">
        <v>NULL</v>
      </c>
      <c r="U460" t="str">
        <v>Home</v>
      </c>
      <c r="V460" t="str">
        <v>NOLA</v>
      </c>
      <c r="W460">
        <v>3.3580773324904616</v>
      </c>
      <c r="Y460" s="1" cm="1">
        <f t="array" ref="Y460">COUNT(_xlfn._xlws.FILTER($G$7:$G$10000,($I$7:$I$10000=X460)*($J$7:$J$10000&lt;&gt;"NULL")*($G$7:$G$10000 &gt;= ($G$1-5))))/5</f>
        <v>0</v>
      </c>
    </row>
    <row r="461" spans="7:25" x14ac:dyDescent="0.35">
      <c r="G461" s="66">
        <v>6</v>
      </c>
      <c r="H461" t="s">
        <v>14</v>
      </c>
      <c r="I461" t="s">
        <v>107</v>
      </c>
      <c r="J461" t="s">
        <v>256</v>
      </c>
      <c r="K461" t="s">
        <v>3</v>
      </c>
      <c r="L461" t="s">
        <v>36</v>
      </c>
      <c r="M461">
        <f t="shared" si="32"/>
        <v>4.5959834429457427</v>
      </c>
      <c r="N461" t="str">
        <f t="shared" si="33"/>
        <v/>
      </c>
      <c r="O461" s="67" cm="1">
        <f t="array" ref="O461">SUMPRODUCT((G461=$G$7:$G$10000)*(M461&lt;$M$7:$M$10000))+1</f>
        <v>54</v>
      </c>
      <c r="P461" s="72"/>
      <c r="Q461">
        <v>8</v>
      </c>
      <c r="R461" t="str">
        <v>OGDC</v>
      </c>
      <c r="S461" t="str">
        <v>Lautaro Bavaro</v>
      </c>
      <c r="T461" t="str">
        <v>NULL</v>
      </c>
      <c r="U461" t="str">
        <v>Home</v>
      </c>
      <c r="V461" t="str">
        <v>SEA</v>
      </c>
      <c r="W461">
        <v>3.3526563497825963</v>
      </c>
      <c r="Y461" s="1" cm="1">
        <f t="array" ref="Y461">COUNT(_xlfn._xlws.FILTER($G$7:$G$10000,($I$7:$I$10000=X461)*($J$7:$J$10000&lt;&gt;"NULL")*($G$7:$G$10000 &gt;= ($G$1-5))))/5</f>
        <v>0</v>
      </c>
    </row>
    <row r="462" spans="7:25" x14ac:dyDescent="0.35">
      <c r="G462" s="66">
        <v>6</v>
      </c>
      <c r="H462" t="s">
        <v>13</v>
      </c>
      <c r="I462" t="s">
        <v>469</v>
      </c>
      <c r="J462" t="s">
        <v>256</v>
      </c>
      <c r="K462" t="s">
        <v>9</v>
      </c>
      <c r="L462" t="s">
        <v>17</v>
      </c>
      <c r="M462">
        <f t="shared" si="32"/>
        <v>4.5690774079186749</v>
      </c>
      <c r="N462" t="str">
        <f t="shared" si="33"/>
        <v/>
      </c>
      <c r="O462" s="67" cm="1">
        <f t="array" ref="O462">SUMPRODUCT((G462=$G$7:$G$10000)*(M462&lt;$M$7:$M$10000))+1</f>
        <v>55</v>
      </c>
      <c r="P462" s="72"/>
      <c r="Q462">
        <v>8</v>
      </c>
      <c r="R462" t="str">
        <v>OGDC</v>
      </c>
      <c r="S462" t="str">
        <v>Rob Harley</v>
      </c>
      <c r="T462" t="str">
        <v>NULL</v>
      </c>
      <c r="U462" t="str">
        <v>Home</v>
      </c>
      <c r="V462" t="str">
        <v>SEA</v>
      </c>
      <c r="W462">
        <v>3.1945486757089068</v>
      </c>
      <c r="Y462" s="1" cm="1">
        <f t="array" ref="Y462">COUNT(_xlfn._xlws.FILTER($G$7:$G$10000,($I$7:$I$10000=X462)*($J$7:$J$10000&lt;&gt;"NULL")*($G$7:$G$10000 &gt;= ($G$1-5))))/5</f>
        <v>0</v>
      </c>
    </row>
    <row r="463" spans="7:25" x14ac:dyDescent="0.35">
      <c r="G463" s="66">
        <v>6</v>
      </c>
      <c r="H463" t="s">
        <v>14</v>
      </c>
      <c r="I463" t="s">
        <v>471</v>
      </c>
      <c r="J463" t="s">
        <v>256</v>
      </c>
      <c r="K463" t="s">
        <v>3</v>
      </c>
      <c r="L463" t="s">
        <v>36</v>
      </c>
      <c r="M463">
        <f t="shared" si="32"/>
        <v>4.537913608357572</v>
      </c>
      <c r="N463" t="str">
        <f t="shared" si="33"/>
        <v/>
      </c>
      <c r="O463" s="67" cm="1">
        <f t="array" ref="O463">SUMPRODUCT((G463=$G$7:$G$10000)*(M463&lt;$M$7:$M$10000))+1</f>
        <v>56</v>
      </c>
      <c r="P463" s="72"/>
      <c r="Q463">
        <v>8</v>
      </c>
      <c r="R463" t="str">
        <v>NOLA</v>
      </c>
      <c r="S463" t="str">
        <v>Alex Lopeti</v>
      </c>
      <c r="T463" t="str">
        <v>NULL</v>
      </c>
      <c r="U463" t="str">
        <v>Away</v>
      </c>
      <c r="V463" t="str">
        <v>ARC</v>
      </c>
      <c r="W463">
        <v>3.1530042702452885</v>
      </c>
      <c r="Y463" s="1" cm="1">
        <f t="array" ref="Y463">COUNT(_xlfn._xlws.FILTER($G$7:$G$10000,($I$7:$I$10000=X463)*($J$7:$J$10000&lt;&gt;"NULL")*($G$7:$G$10000 &gt;= ($G$1-5))))/5</f>
        <v>0</v>
      </c>
    </row>
    <row r="464" spans="7:25" x14ac:dyDescent="0.35">
      <c r="G464" s="66">
        <v>6</v>
      </c>
      <c r="H464" t="s">
        <v>24</v>
      </c>
      <c r="I464" t="s">
        <v>482</v>
      </c>
      <c r="J464" t="s">
        <v>256</v>
      </c>
      <c r="K464" t="s">
        <v>9</v>
      </c>
      <c r="L464" t="s">
        <v>34</v>
      </c>
      <c r="M464">
        <f t="shared" si="32"/>
        <v>4.3528748052727355</v>
      </c>
      <c r="N464" t="str">
        <f t="shared" si="33"/>
        <v/>
      </c>
      <c r="O464" s="67" cm="1">
        <f t="array" ref="O464">SUMPRODUCT((G464=$G$7:$G$10000)*(M464&lt;$M$7:$M$10000))+1</f>
        <v>57</v>
      </c>
      <c r="P464" s="72"/>
      <c r="Q464">
        <v>8</v>
      </c>
      <c r="R464" t="str">
        <v>OGDC</v>
      </c>
      <c r="S464" t="str">
        <v>Cali Martinez</v>
      </c>
      <c r="T464" t="str">
        <v>NULL</v>
      </c>
      <c r="U464" t="str">
        <v>Home</v>
      </c>
      <c r="V464" t="str">
        <v>SEA</v>
      </c>
      <c r="W464">
        <v>2.9946082654029231</v>
      </c>
      <c r="Y464" s="1" cm="1">
        <f t="array" ref="Y464">COUNT(_xlfn._xlws.FILTER($G$7:$G$10000,($I$7:$I$10000=X464)*($J$7:$J$10000&lt;&gt;"NULL")*($G$7:$G$10000 &gt;= ($G$1-5))))/5</f>
        <v>0</v>
      </c>
    </row>
    <row r="465" spans="7:25" x14ac:dyDescent="0.35">
      <c r="G465" s="66">
        <v>6</v>
      </c>
      <c r="H465" t="s">
        <v>4</v>
      </c>
      <c r="I465" t="s">
        <v>176</v>
      </c>
      <c r="J465" t="s">
        <v>256</v>
      </c>
      <c r="K465" t="s">
        <v>3</v>
      </c>
      <c r="L465" t="s">
        <v>6</v>
      </c>
      <c r="M465">
        <f t="shared" si="32"/>
        <v>4.0562163858261595</v>
      </c>
      <c r="N465" t="str">
        <f t="shared" si="33"/>
        <v/>
      </c>
      <c r="O465" s="67" cm="1">
        <f t="array" ref="O465">SUMPRODUCT((G465=$G$7:$G$10000)*(M465&lt;$M$7:$M$10000))+1</f>
        <v>58</v>
      </c>
      <c r="P465" s="72"/>
      <c r="Q465">
        <v>8</v>
      </c>
      <c r="R465" t="str">
        <v>NOLA</v>
      </c>
      <c r="S465" t="str">
        <v>Malcolm May</v>
      </c>
      <c r="T465" t="str">
        <v>NULL</v>
      </c>
      <c r="U465" t="str">
        <v>Away</v>
      </c>
      <c r="V465" t="str">
        <v>ARC</v>
      </c>
      <c r="W465">
        <v>2.9747783576883022</v>
      </c>
      <c r="Y465" s="1" cm="1">
        <f t="array" ref="Y465">COUNT(_xlfn._xlws.FILTER($G$7:$G$10000,($I$7:$I$10000=X465)*($J$7:$J$10000&lt;&gt;"NULL")*($G$7:$G$10000 &gt;= ($G$1-5))))/5</f>
        <v>0</v>
      </c>
    </row>
    <row r="466" spans="7:25" x14ac:dyDescent="0.35">
      <c r="G466" s="66">
        <v>6</v>
      </c>
      <c r="H466" t="s">
        <v>13</v>
      </c>
      <c r="I466" t="s">
        <v>210</v>
      </c>
      <c r="J466" t="s">
        <v>256</v>
      </c>
      <c r="K466" t="s">
        <v>9</v>
      </c>
      <c r="L466" t="s">
        <v>17</v>
      </c>
      <c r="M466">
        <f t="shared" si="32"/>
        <v>3.8836285700057496</v>
      </c>
      <c r="N466" t="str">
        <f t="shared" si="33"/>
        <v/>
      </c>
      <c r="O466" s="67" cm="1">
        <f t="array" ref="O466">SUMPRODUCT((G466=$G$7:$G$10000)*(M466&lt;$M$7:$M$10000))+1</f>
        <v>59</v>
      </c>
      <c r="P466" s="72"/>
      <c r="Q466">
        <v>8</v>
      </c>
      <c r="R466" t="str">
        <v>SEA</v>
      </c>
      <c r="S466" t="str">
        <v>Taylor Krumrei</v>
      </c>
      <c r="T466" t="str">
        <v>NULL</v>
      </c>
      <c r="U466" t="str">
        <v>Away</v>
      </c>
      <c r="V466" t="str">
        <v>OGDC</v>
      </c>
      <c r="W466">
        <v>2.9099636279399954</v>
      </c>
      <c r="Y466" s="1" cm="1">
        <f t="array" ref="Y466">COUNT(_xlfn._xlws.FILTER($G$7:$G$10000,($I$7:$I$10000=X466)*($J$7:$J$10000&lt;&gt;"NULL")*($G$7:$G$10000 &gt;= ($G$1-5))))/5</f>
        <v>0</v>
      </c>
    </row>
    <row r="467" spans="7:25" x14ac:dyDescent="0.35">
      <c r="G467" s="66">
        <v>6</v>
      </c>
      <c r="H467" t="s">
        <v>14</v>
      </c>
      <c r="I467" t="s">
        <v>143</v>
      </c>
      <c r="J467" t="s">
        <v>256</v>
      </c>
      <c r="K467" t="s">
        <v>3</v>
      </c>
      <c r="L467" t="s">
        <v>36</v>
      </c>
      <c r="M467">
        <f t="shared" si="32"/>
        <v>3.7893277616805658</v>
      </c>
      <c r="N467" t="str">
        <f t="shared" si="33"/>
        <v/>
      </c>
      <c r="O467" s="67" cm="1">
        <f t="array" ref="O467">SUMPRODUCT((G467=$G$7:$G$10000)*(M467&lt;$M$7:$M$10000))+1</f>
        <v>60</v>
      </c>
      <c r="P467" s="72"/>
      <c r="Q467">
        <v>8</v>
      </c>
      <c r="R467" t="str">
        <v>LA</v>
      </c>
      <c r="S467" t="str">
        <v>Alessandro Heaney</v>
      </c>
      <c r="T467" t="str">
        <v>NULL</v>
      </c>
      <c r="U467" t="str">
        <v>Away</v>
      </c>
      <c r="V467" t="str">
        <v>HOU</v>
      </c>
      <c r="W467">
        <v>2.8272896824237117</v>
      </c>
      <c r="Y467" s="1" cm="1">
        <f t="array" ref="Y467">COUNT(_xlfn._xlws.FILTER($G$7:$G$10000,($I$7:$I$10000=X467)*($J$7:$J$10000&lt;&gt;"NULL")*($G$7:$G$10000 &gt;= ($G$1-5))))/5</f>
        <v>0</v>
      </c>
    </row>
    <row r="468" spans="7:25" x14ac:dyDescent="0.35">
      <c r="G468" s="66">
        <v>6</v>
      </c>
      <c r="H468" t="s">
        <v>7</v>
      </c>
      <c r="I468" t="s">
        <v>202</v>
      </c>
      <c r="J468" t="s">
        <v>256</v>
      </c>
      <c r="K468" t="s">
        <v>3</v>
      </c>
      <c r="L468" t="s">
        <v>23</v>
      </c>
      <c r="M468">
        <f t="shared" si="32"/>
        <v>3.7247496252174805</v>
      </c>
      <c r="N468" t="str">
        <f t="shared" si="33"/>
        <v/>
      </c>
      <c r="O468" s="67" cm="1">
        <f t="array" ref="O468">SUMPRODUCT((G468=$G$7:$G$10000)*(M468&lt;$M$7:$M$10000))+1</f>
        <v>61</v>
      </c>
      <c r="P468" s="72"/>
      <c r="Q468">
        <v>8</v>
      </c>
      <c r="R468" t="str">
        <v>MIA</v>
      </c>
      <c r="S468" t="str">
        <v>Marques Fuala'au</v>
      </c>
      <c r="T468" t="str">
        <v>NULL</v>
      </c>
      <c r="U468" t="str">
        <v>Away</v>
      </c>
      <c r="V468" t="str">
        <v>NEFJ</v>
      </c>
      <c r="W468">
        <v>2.7463820664957943</v>
      </c>
      <c r="Y468" s="1" cm="1">
        <f t="array" ref="Y468">COUNT(_xlfn._xlws.FILTER($G$7:$G$10000,($I$7:$I$10000=X468)*($J$7:$J$10000&lt;&gt;"NULL")*($G$7:$G$10000 &gt;= ($G$1-5))))/5</f>
        <v>0</v>
      </c>
    </row>
    <row r="469" spans="7:25" x14ac:dyDescent="0.35">
      <c r="G469" s="66">
        <v>6</v>
      </c>
      <c r="H469" t="s">
        <v>4</v>
      </c>
      <c r="I469" t="s">
        <v>172</v>
      </c>
      <c r="J469" t="s">
        <v>256</v>
      </c>
      <c r="K469" t="s">
        <v>3</v>
      </c>
      <c r="L469" t="s">
        <v>6</v>
      </c>
      <c r="M469">
        <f t="shared" si="32"/>
        <v>3.6747729887274563</v>
      </c>
      <c r="N469" t="str">
        <f t="shared" si="33"/>
        <v/>
      </c>
      <c r="O469" s="67" cm="1">
        <f t="array" ref="O469">SUMPRODUCT((G469=$G$7:$G$10000)*(M469&lt;$M$7:$M$10000))+1</f>
        <v>62</v>
      </c>
      <c r="P469" s="72"/>
      <c r="Q469">
        <v>8</v>
      </c>
      <c r="R469" t="str">
        <v>HOU</v>
      </c>
      <c r="S469" t="str">
        <v>Pono Davis</v>
      </c>
      <c r="T469" t="str">
        <v>NULL</v>
      </c>
      <c r="U469" t="str">
        <v>Home</v>
      </c>
      <c r="V469" t="str">
        <v>LA</v>
      </c>
      <c r="W469">
        <v>2.7308186712055278</v>
      </c>
      <c r="Y469" s="1" cm="1">
        <f t="array" ref="Y469">COUNT(_xlfn._xlws.FILTER($G$7:$G$10000,($I$7:$I$10000=X469)*($J$7:$J$10000&lt;&gt;"NULL")*($G$7:$G$10000 &gt;= ($G$1-5))))/5</f>
        <v>0</v>
      </c>
    </row>
    <row r="470" spans="7:25" x14ac:dyDescent="0.35">
      <c r="G470" s="66">
        <v>6</v>
      </c>
      <c r="H470" t="s">
        <v>24</v>
      </c>
      <c r="I470" t="s">
        <v>179</v>
      </c>
      <c r="J470" t="s">
        <v>256</v>
      </c>
      <c r="K470" t="s">
        <v>9</v>
      </c>
      <c r="L470" t="s">
        <v>34</v>
      </c>
      <c r="M470">
        <f t="shared" si="32"/>
        <v>3.6201337071017621</v>
      </c>
      <c r="N470" t="str">
        <f t="shared" si="33"/>
        <v/>
      </c>
      <c r="O470" s="67" cm="1">
        <f t="array" ref="O470">SUMPRODUCT((G470=$G$7:$G$10000)*(M470&lt;$M$7:$M$10000))+1</f>
        <v>63</v>
      </c>
      <c r="P470" s="72"/>
      <c r="Q470">
        <v>8</v>
      </c>
      <c r="R470" t="str">
        <v>CHI</v>
      </c>
      <c r="S470" t="str">
        <v>Charlie Abel</v>
      </c>
      <c r="T470" t="str">
        <v>NULL</v>
      </c>
      <c r="U470" t="str">
        <v>Away</v>
      </c>
      <c r="V470" t="str">
        <v>SDL</v>
      </c>
      <c r="W470">
        <v>2.7082425627287146</v>
      </c>
      <c r="Y470" s="1" cm="1">
        <f t="array" ref="Y470">COUNT(_xlfn._xlws.FILTER($G$7:$G$10000,($I$7:$I$10000=X470)*($J$7:$J$10000&lt;&gt;"NULL")*($G$7:$G$10000 &gt;= ($G$1-5))))/5</f>
        <v>0</v>
      </c>
    </row>
    <row r="471" spans="7:25" x14ac:dyDescent="0.35">
      <c r="G471" s="66">
        <v>6</v>
      </c>
      <c r="H471" t="s">
        <v>6</v>
      </c>
      <c r="I471" t="s">
        <v>417</v>
      </c>
      <c r="J471" t="s">
        <v>256</v>
      </c>
      <c r="K471" t="s">
        <v>9</v>
      </c>
      <c r="L471" t="s">
        <v>4</v>
      </c>
      <c r="M471">
        <f t="shared" si="32"/>
        <v>3.4626729595891637</v>
      </c>
      <c r="N471" t="str">
        <f t="shared" si="33"/>
        <v/>
      </c>
      <c r="O471" s="67" cm="1">
        <f t="array" ref="O471">SUMPRODUCT((G471=$G$7:$G$10000)*(M471&lt;$M$7:$M$10000))+1</f>
        <v>64</v>
      </c>
      <c r="P471" s="72"/>
      <c r="Q471">
        <v>8</v>
      </c>
      <c r="R471" t="str">
        <v>HOU</v>
      </c>
      <c r="S471" t="str">
        <v>Ronan Murphy</v>
      </c>
      <c r="T471" t="str">
        <v>NULL</v>
      </c>
      <c r="U471" t="str">
        <v>Home</v>
      </c>
      <c r="V471" t="str">
        <v>LA</v>
      </c>
      <c r="W471">
        <v>2.6797908228312597</v>
      </c>
      <c r="Y471" s="1" cm="1">
        <f t="array" ref="Y471">COUNT(_xlfn._xlws.FILTER($G$7:$G$10000,($I$7:$I$10000=X471)*($J$7:$J$10000&lt;&gt;"NULL")*($G$7:$G$10000 &gt;= ($G$1-5))))/5</f>
        <v>0</v>
      </c>
    </row>
    <row r="472" spans="7:25" x14ac:dyDescent="0.35">
      <c r="G472" s="66">
        <v>6</v>
      </c>
      <c r="H472" t="s">
        <v>14</v>
      </c>
      <c r="I472" t="s">
        <v>413</v>
      </c>
      <c r="J472" t="s">
        <v>256</v>
      </c>
      <c r="K472" t="s">
        <v>3</v>
      </c>
      <c r="L472" t="s">
        <v>36</v>
      </c>
      <c r="M472">
        <f t="shared" si="32"/>
        <v>3.4405679217083076</v>
      </c>
      <c r="N472" t="str">
        <f t="shared" si="33"/>
        <v/>
      </c>
      <c r="O472" s="67" cm="1">
        <f t="array" ref="O472">SUMPRODUCT((G472=$G$7:$G$10000)*(M472&lt;$M$7:$M$10000))+1</f>
        <v>65</v>
      </c>
      <c r="P472" s="72"/>
      <c r="Q472">
        <v>8</v>
      </c>
      <c r="R472" t="str">
        <v>MIA</v>
      </c>
      <c r="S472" t="str">
        <v>Ma'ake Muti</v>
      </c>
      <c r="T472" t="str">
        <v>NULL</v>
      </c>
      <c r="U472" t="str">
        <v>Away</v>
      </c>
      <c r="V472" t="str">
        <v>NEFJ</v>
      </c>
      <c r="W472">
        <v>2.5993583440679449</v>
      </c>
      <c r="Y472" s="1" cm="1">
        <f t="array" ref="Y472">COUNT(_xlfn._xlws.FILTER($G$7:$G$10000,($I$7:$I$10000=X472)*($J$7:$J$10000&lt;&gt;"NULL")*($G$7:$G$10000 &gt;= ($G$1-5))))/5</f>
        <v>0</v>
      </c>
    </row>
    <row r="473" spans="7:25" x14ac:dyDescent="0.35">
      <c r="G473" s="66">
        <v>6</v>
      </c>
      <c r="H473" t="s">
        <v>14</v>
      </c>
      <c r="I473" t="s">
        <v>470</v>
      </c>
      <c r="J473" t="s">
        <v>256</v>
      </c>
      <c r="K473" t="s">
        <v>3</v>
      </c>
      <c r="L473" t="s">
        <v>36</v>
      </c>
      <c r="M473">
        <f t="shared" si="32"/>
        <v>3.4243458368754194</v>
      </c>
      <c r="N473" t="str">
        <f t="shared" si="33"/>
        <v/>
      </c>
      <c r="O473" s="67" cm="1">
        <f t="array" ref="O473">SUMPRODUCT((G473=$G$7:$G$10000)*(M473&lt;$M$7:$M$10000))+1</f>
        <v>66</v>
      </c>
      <c r="P473" s="72"/>
      <c r="Q473">
        <v>8</v>
      </c>
      <c r="R473" t="str">
        <v>OGDC</v>
      </c>
      <c r="S473" t="str">
        <v>Tevita Naqali</v>
      </c>
      <c r="T473" t="str">
        <v>NULL</v>
      </c>
      <c r="U473" t="str">
        <v>Home</v>
      </c>
      <c r="V473" t="str">
        <v>SEA</v>
      </c>
      <c r="W473">
        <v>2.5683630938728612</v>
      </c>
      <c r="Y473" s="1" cm="1">
        <f t="array" ref="Y473">COUNT(_xlfn._xlws.FILTER($G$7:$G$10000,($I$7:$I$10000=X473)*($J$7:$J$10000&lt;&gt;"NULL")*($G$7:$G$10000 &gt;= ($G$1-5))))/5</f>
        <v>0</v>
      </c>
    </row>
    <row r="474" spans="7:25" x14ac:dyDescent="0.35">
      <c r="G474" s="66">
        <v>6</v>
      </c>
      <c r="H474" t="s">
        <v>14</v>
      </c>
      <c r="I474" t="s">
        <v>164</v>
      </c>
      <c r="J474" t="s">
        <v>256</v>
      </c>
      <c r="K474" t="s">
        <v>3</v>
      </c>
      <c r="L474" t="s">
        <v>36</v>
      </c>
      <c r="M474">
        <f t="shared" si="32"/>
        <v>3.413095752402266</v>
      </c>
      <c r="N474" t="str">
        <f t="shared" si="33"/>
        <v/>
      </c>
      <c r="O474" s="67" cm="1">
        <f t="array" ref="O474">SUMPRODUCT((G474=$G$7:$G$10000)*(M474&lt;$M$7:$M$10000))+1</f>
        <v>67</v>
      </c>
      <c r="P474" s="72"/>
      <c r="Q474">
        <v>8</v>
      </c>
      <c r="R474" t="str">
        <v>ARC</v>
      </c>
      <c r="S474" t="str">
        <v>Shawn Clark</v>
      </c>
      <c r="T474" t="str">
        <v>NULL</v>
      </c>
      <c r="U474" t="str">
        <v>Home</v>
      </c>
      <c r="V474" t="str">
        <v>NOLA</v>
      </c>
      <c r="W474">
        <v>2.5584812832056096</v>
      </c>
      <c r="Y474" s="1" cm="1">
        <f t="array" ref="Y474">COUNT(_xlfn._xlws.FILTER($G$7:$G$10000,($I$7:$I$10000=X474)*($J$7:$J$10000&lt;&gt;"NULL")*($G$7:$G$10000 &gt;= ($G$1-5))))/5</f>
        <v>0</v>
      </c>
    </row>
    <row r="475" spans="7:25" x14ac:dyDescent="0.35">
      <c r="G475" s="66">
        <v>6</v>
      </c>
      <c r="H475" t="s">
        <v>4</v>
      </c>
      <c r="I475" t="s">
        <v>118</v>
      </c>
      <c r="J475" t="s">
        <v>256</v>
      </c>
      <c r="K475" t="s">
        <v>3</v>
      </c>
      <c r="L475" t="s">
        <v>6</v>
      </c>
      <c r="M475">
        <f t="shared" si="32"/>
        <v>3.2706950638820826</v>
      </c>
      <c r="N475" t="str">
        <f t="shared" si="33"/>
        <v/>
      </c>
      <c r="O475" s="67" cm="1">
        <f t="array" ref="O475">SUMPRODUCT((G475=$G$7:$G$10000)*(M475&lt;$M$7:$M$10000))+1</f>
        <v>68</v>
      </c>
      <c r="P475" s="72"/>
      <c r="Q475">
        <v>8</v>
      </c>
      <c r="R475" t="str">
        <v>ARC</v>
      </c>
      <c r="S475" t="str">
        <v>Joe Apikotoa</v>
      </c>
      <c r="T475" t="str">
        <v>NULL</v>
      </c>
      <c r="U475" t="str">
        <v>Home</v>
      </c>
      <c r="V475" t="str">
        <v>NOLA</v>
      </c>
      <c r="W475">
        <v>2.541737992741397</v>
      </c>
      <c r="Y475" s="1" cm="1">
        <f t="array" ref="Y475">COUNT(_xlfn._xlws.FILTER($G$7:$G$10000,($I$7:$I$10000=X475)*($J$7:$J$10000&lt;&gt;"NULL")*($G$7:$G$10000 &gt;= ($G$1-5))))/5</f>
        <v>0</v>
      </c>
    </row>
    <row r="476" spans="7:25" x14ac:dyDescent="0.35">
      <c r="G476" s="66">
        <v>6</v>
      </c>
      <c r="H476" t="s">
        <v>17</v>
      </c>
      <c r="I476" t="s">
        <v>206</v>
      </c>
      <c r="J476" t="s">
        <v>256</v>
      </c>
      <c r="K476" t="s">
        <v>3</v>
      </c>
      <c r="L476" t="s">
        <v>13</v>
      </c>
      <c r="M476">
        <f t="shared" si="32"/>
        <v>3.2242332136522958</v>
      </c>
      <c r="N476" t="str">
        <f t="shared" si="33"/>
        <v/>
      </c>
      <c r="O476" s="67" cm="1">
        <f t="array" ref="O476">SUMPRODUCT((G476=$G$7:$G$10000)*(M476&lt;$M$7:$M$10000))+1</f>
        <v>69</v>
      </c>
      <c r="P476" s="72"/>
      <c r="Q476">
        <v>8</v>
      </c>
      <c r="R476" t="str">
        <v>ARC</v>
      </c>
      <c r="S476" t="str">
        <v>Albert O'Shannessey</v>
      </c>
      <c r="T476" t="str">
        <v>NULL</v>
      </c>
      <c r="U476" t="str">
        <v>Home</v>
      </c>
      <c r="V476" t="str">
        <v>NOLA</v>
      </c>
      <c r="W476">
        <v>2.4138670066161572</v>
      </c>
      <c r="Y476" s="1" cm="1">
        <f t="array" ref="Y476">COUNT(_xlfn._xlws.FILTER($G$7:$G$10000,($I$7:$I$10000=X476)*($J$7:$J$10000&lt;&gt;"NULL")*($G$7:$G$10000 &gt;= ($G$1-5))))/5</f>
        <v>0</v>
      </c>
    </row>
    <row r="477" spans="7:25" x14ac:dyDescent="0.35">
      <c r="G477" s="66">
        <v>6</v>
      </c>
      <c r="H477" t="s">
        <v>4</v>
      </c>
      <c r="I477" t="s">
        <v>335</v>
      </c>
      <c r="J477" t="s">
        <v>256</v>
      </c>
      <c r="K477" t="s">
        <v>3</v>
      </c>
      <c r="L477" t="s">
        <v>6</v>
      </c>
      <c r="M477">
        <f t="shared" si="32"/>
        <v>2.9499489800185357</v>
      </c>
      <c r="N477" t="str">
        <f t="shared" si="33"/>
        <v/>
      </c>
      <c r="O477" s="67" cm="1">
        <f t="array" ref="O477">SUMPRODUCT((G477=$G$7:$G$10000)*(M477&lt;$M$7:$M$10000))+1</f>
        <v>70</v>
      </c>
      <c r="P477" s="72"/>
      <c r="Q477">
        <v>8</v>
      </c>
      <c r="R477" t="str">
        <v>HOU</v>
      </c>
      <c r="S477" t="str">
        <v>Seth Smith</v>
      </c>
      <c r="T477" t="str">
        <v>NULL</v>
      </c>
      <c r="U477" t="str">
        <v>Home</v>
      </c>
      <c r="V477" t="str">
        <v>LA</v>
      </c>
      <c r="W477">
        <v>2.3867877435088634</v>
      </c>
      <c r="Y477" s="1" cm="1">
        <f t="array" ref="Y477">COUNT(_xlfn._xlws.FILTER($G$7:$G$10000,($I$7:$I$10000=X477)*($J$7:$J$10000&lt;&gt;"NULL")*($G$7:$G$10000 &gt;= ($G$1-5))))/5</f>
        <v>0</v>
      </c>
    </row>
    <row r="478" spans="7:25" x14ac:dyDescent="0.35">
      <c r="G478" s="66">
        <v>6</v>
      </c>
      <c r="H478" t="s">
        <v>36</v>
      </c>
      <c r="I478" t="s">
        <v>205</v>
      </c>
      <c r="J478" t="s">
        <v>256</v>
      </c>
      <c r="K478" t="s">
        <v>9</v>
      </c>
      <c r="L478" t="s">
        <v>14</v>
      </c>
      <c r="M478">
        <f t="shared" si="32"/>
        <v>2.8227507316642693</v>
      </c>
      <c r="N478" t="str">
        <f t="shared" si="33"/>
        <v/>
      </c>
      <c r="O478" s="67" cm="1">
        <f t="array" ref="O478">SUMPRODUCT((G478=$G$7:$G$10000)*(M478&lt;$M$7:$M$10000))+1</f>
        <v>71</v>
      </c>
      <c r="P478" s="72"/>
      <c r="Q478">
        <v>8</v>
      </c>
      <c r="R478" t="str">
        <v>SDL</v>
      </c>
      <c r="S478" t="str">
        <v>Hugh Roach</v>
      </c>
      <c r="T478" t="str">
        <v>NULL</v>
      </c>
      <c r="U478" t="str">
        <v>Home</v>
      </c>
      <c r="V478" t="str">
        <v>CHI</v>
      </c>
      <c r="W478">
        <v>2.2723733972169162</v>
      </c>
      <c r="Y478" s="1" cm="1">
        <f t="array" ref="Y478">COUNT(_xlfn._xlws.FILTER($G$7:$G$10000,($I$7:$I$10000=X478)*($J$7:$J$10000&lt;&gt;"NULL")*($G$7:$G$10000 &gt;= ($G$1-5))))/5</f>
        <v>0</v>
      </c>
    </row>
    <row r="479" spans="7:25" x14ac:dyDescent="0.35">
      <c r="G479" s="66">
        <v>6</v>
      </c>
      <c r="H479" t="s">
        <v>34</v>
      </c>
      <c r="I479" t="s">
        <v>161</v>
      </c>
      <c r="J479" t="s">
        <v>256</v>
      </c>
      <c r="K479" t="s">
        <v>3</v>
      </c>
      <c r="L479" t="s">
        <v>24</v>
      </c>
      <c r="M479">
        <f t="shared" si="32"/>
        <v>2.7865818793783976</v>
      </c>
      <c r="N479" t="str">
        <f t="shared" si="33"/>
        <v/>
      </c>
      <c r="O479" s="67" cm="1">
        <f t="array" ref="O479">SUMPRODUCT((G479=$G$7:$G$10000)*(M479&lt;$M$7:$M$10000))+1</f>
        <v>72</v>
      </c>
      <c r="P479" s="72"/>
      <c r="Q479">
        <v>8</v>
      </c>
      <c r="R479" t="str">
        <v>MIA</v>
      </c>
      <c r="S479" t="str">
        <v>Kirby Myhill</v>
      </c>
      <c r="T479" t="str">
        <v>NULL</v>
      </c>
      <c r="U479" t="str">
        <v>Away</v>
      </c>
      <c r="V479" t="str">
        <v>NEFJ</v>
      </c>
      <c r="W479">
        <v>2.271948305855628</v>
      </c>
      <c r="Y479" s="1" cm="1">
        <f t="array" ref="Y479">COUNT(_xlfn._xlws.FILTER($G$7:$G$10000,($I$7:$I$10000=X479)*($J$7:$J$10000&lt;&gt;"NULL")*($G$7:$G$10000 &gt;= ($G$1-5))))/5</f>
        <v>0</v>
      </c>
    </row>
    <row r="480" spans="7:25" x14ac:dyDescent="0.35">
      <c r="G480" s="66">
        <v>6</v>
      </c>
      <c r="H480" t="s">
        <v>6</v>
      </c>
      <c r="I480" t="s">
        <v>416</v>
      </c>
      <c r="J480" t="s">
        <v>256</v>
      </c>
      <c r="K480" t="s">
        <v>9</v>
      </c>
      <c r="L480" t="s">
        <v>4</v>
      </c>
      <c r="M480">
        <f t="shared" si="32"/>
        <v>2.7722712625119073</v>
      </c>
      <c r="N480" t="str">
        <f t="shared" si="33"/>
        <v/>
      </c>
      <c r="O480" s="67" cm="1">
        <f t="array" ref="O480">SUMPRODUCT((G480=$G$7:$G$10000)*(M480&lt;$M$7:$M$10000))+1</f>
        <v>73</v>
      </c>
      <c r="P480" s="72"/>
      <c r="Q480">
        <v>8</v>
      </c>
      <c r="R480" t="str">
        <v>LA</v>
      </c>
      <c r="S480" t="str">
        <v>Reegan O'Gorman</v>
      </c>
      <c r="T480" t="str">
        <v>NULL</v>
      </c>
      <c r="U480" t="str">
        <v>Away</v>
      </c>
      <c r="V480" t="str">
        <v>HOU</v>
      </c>
      <c r="W480">
        <v>2.0552328468390462</v>
      </c>
      <c r="Y480" s="1" cm="1">
        <f t="array" ref="Y480">COUNT(_xlfn._xlws.FILTER($G$7:$G$10000,($I$7:$I$10000=X480)*($J$7:$J$10000&lt;&gt;"NULL")*($G$7:$G$10000 &gt;= ($G$1-5))))/5</f>
        <v>0</v>
      </c>
    </row>
    <row r="481" spans="7:25" x14ac:dyDescent="0.35">
      <c r="G481" s="66">
        <v>6</v>
      </c>
      <c r="H481" t="s">
        <v>23</v>
      </c>
      <c r="I481" t="s">
        <v>252</v>
      </c>
      <c r="J481" t="s">
        <v>256</v>
      </c>
      <c r="K481" t="s">
        <v>9</v>
      </c>
      <c r="L481" t="s">
        <v>7</v>
      </c>
      <c r="M481">
        <f t="shared" si="32"/>
        <v>2.6650959949624644</v>
      </c>
      <c r="N481" t="str">
        <f t="shared" si="33"/>
        <v/>
      </c>
      <c r="O481" s="67" cm="1">
        <f t="array" ref="O481">SUMPRODUCT((G481=$G$7:$G$10000)*(M481&lt;$M$7:$M$10000))+1</f>
        <v>74</v>
      </c>
      <c r="P481" s="72"/>
      <c r="Q481">
        <v>8</v>
      </c>
      <c r="R481" t="str">
        <v>SEA</v>
      </c>
      <c r="S481" t="str">
        <v>Juan Pablo Zeiss</v>
      </c>
      <c r="T481" t="str">
        <v>NULL</v>
      </c>
      <c r="U481" t="str">
        <v>Away</v>
      </c>
      <c r="V481" t="str">
        <v>OGDC</v>
      </c>
      <c r="W481">
        <v>1.9538745882646502</v>
      </c>
      <c r="Y481" s="1" cm="1">
        <f t="array" ref="Y481">COUNT(_xlfn._xlws.FILTER($G$7:$G$10000,($I$7:$I$10000=X481)*($J$7:$J$10000&lt;&gt;"NULL")*($G$7:$G$10000 &gt;= ($G$1-5))))/5</f>
        <v>0</v>
      </c>
    </row>
    <row r="482" spans="7:25" x14ac:dyDescent="0.35">
      <c r="G482" s="66">
        <v>6</v>
      </c>
      <c r="H482" t="s">
        <v>14</v>
      </c>
      <c r="I482" t="s">
        <v>425</v>
      </c>
      <c r="J482" t="s">
        <v>256</v>
      </c>
      <c r="K482" t="s">
        <v>3</v>
      </c>
      <c r="L482" t="s">
        <v>36</v>
      </c>
      <c r="M482">
        <f t="shared" si="32"/>
        <v>2.6134997031174141</v>
      </c>
      <c r="N482" t="str">
        <f t="shared" si="33"/>
        <v/>
      </c>
      <c r="O482" s="67" cm="1">
        <f t="array" ref="O482">SUMPRODUCT((G482=$G$7:$G$10000)*(M482&lt;$M$7:$M$10000))+1</f>
        <v>75</v>
      </c>
      <c r="P482" s="72"/>
      <c r="Q482">
        <v>8</v>
      </c>
      <c r="R482" t="str">
        <v>SDL</v>
      </c>
      <c r="S482" t="str">
        <v>Brandon Harvey</v>
      </c>
      <c r="T482" t="str">
        <v>NULL</v>
      </c>
      <c r="U482" t="str">
        <v>Home</v>
      </c>
      <c r="V482" t="str">
        <v>CHI</v>
      </c>
      <c r="W482">
        <v>1.8933663109960985</v>
      </c>
      <c r="Y482" s="1" cm="1">
        <f t="array" ref="Y482">COUNT(_xlfn._xlws.FILTER($G$7:$G$10000,($I$7:$I$10000=X482)*($J$7:$J$10000&lt;&gt;"NULL")*($G$7:$G$10000 &gt;= ($G$1-5))))/5</f>
        <v>0</v>
      </c>
    </row>
    <row r="483" spans="7:25" x14ac:dyDescent="0.35">
      <c r="G483" s="66">
        <v>6</v>
      </c>
      <c r="H483" t="s">
        <v>14</v>
      </c>
      <c r="I483" t="s">
        <v>181</v>
      </c>
      <c r="J483" t="s">
        <v>256</v>
      </c>
      <c r="K483" t="s">
        <v>3</v>
      </c>
      <c r="L483" t="s">
        <v>36</v>
      </c>
      <c r="M483">
        <f t="shared" si="32"/>
        <v>2.5967564126532015</v>
      </c>
      <c r="N483" t="str">
        <f t="shared" si="33"/>
        <v/>
      </c>
      <c r="O483" s="67" cm="1">
        <f t="array" ref="O483">SUMPRODUCT((G483=$G$7:$G$10000)*(M483&lt;$M$7:$M$10000))+1</f>
        <v>76</v>
      </c>
      <c r="P483" s="72"/>
      <c r="Q483">
        <v>8</v>
      </c>
      <c r="R483" t="str">
        <v>NOLA</v>
      </c>
      <c r="S483" t="str">
        <v>Paul Mullen</v>
      </c>
      <c r="T483" t="str">
        <v>NULL</v>
      </c>
      <c r="U483" t="str">
        <v>Away</v>
      </c>
      <c r="V483" t="str">
        <v>ARC</v>
      </c>
      <c r="W483">
        <v>1.878456819751988</v>
      </c>
      <c r="Y483" s="1" cm="1">
        <f t="array" ref="Y483">COUNT(_xlfn._xlws.FILTER($G$7:$G$10000,($I$7:$I$10000=X483)*($J$7:$J$10000&lt;&gt;"NULL")*($G$7:$G$10000 &gt;= ($G$1-5))))/5</f>
        <v>0</v>
      </c>
    </row>
    <row r="484" spans="7:25" x14ac:dyDescent="0.35">
      <c r="G484" s="66">
        <v>6</v>
      </c>
      <c r="H484" t="s">
        <v>14</v>
      </c>
      <c r="I484" t="s">
        <v>197</v>
      </c>
      <c r="J484" t="s">
        <v>256</v>
      </c>
      <c r="K484" t="s">
        <v>3</v>
      </c>
      <c r="L484" t="s">
        <v>36</v>
      </c>
      <c r="M484">
        <f t="shared" si="32"/>
        <v>2.4688854265279616</v>
      </c>
      <c r="N484" t="str">
        <f t="shared" si="33"/>
        <v/>
      </c>
      <c r="O484" s="67" cm="1">
        <f t="array" ref="O484">SUMPRODUCT((G484=$G$7:$G$10000)*(M484&lt;$M$7:$M$10000))+1</f>
        <v>77</v>
      </c>
      <c r="P484" s="72"/>
      <c r="Q484">
        <v>8</v>
      </c>
      <c r="R484" t="str">
        <v>HOU</v>
      </c>
      <c r="S484" t="str">
        <v>Val Lee-Lo</v>
      </c>
      <c r="T484" t="str">
        <v>NULL</v>
      </c>
      <c r="U484" t="str">
        <v>Home</v>
      </c>
      <c r="V484" t="str">
        <v>LA</v>
      </c>
      <c r="W484">
        <v>1.7603827170016579</v>
      </c>
      <c r="Y484" s="1" cm="1">
        <f t="array" ref="Y484">COUNT(_xlfn._xlws.FILTER($G$7:$G$10000,($I$7:$I$10000=X484)*($J$7:$J$10000&lt;&gt;"NULL")*($G$7:$G$10000 &gt;= ($G$1-5))))/5</f>
        <v>0</v>
      </c>
    </row>
    <row r="485" spans="7:25" x14ac:dyDescent="0.35">
      <c r="G485" s="66">
        <v>6</v>
      </c>
      <c r="H485" t="s">
        <v>23</v>
      </c>
      <c r="I485" t="s">
        <v>229</v>
      </c>
      <c r="J485" t="s">
        <v>256</v>
      </c>
      <c r="K485" t="s">
        <v>9</v>
      </c>
      <c r="L485" t="s">
        <v>7</v>
      </c>
      <c r="M485">
        <f t="shared" si="32"/>
        <v>2.4259851420983702</v>
      </c>
      <c r="N485" t="str">
        <f t="shared" si="33"/>
        <v/>
      </c>
      <c r="O485" s="67" cm="1">
        <f t="array" ref="O485">SUMPRODUCT((G485=$G$7:$G$10000)*(M485&lt;$M$7:$M$10000))+1</f>
        <v>78</v>
      </c>
      <c r="P485" s="72"/>
      <c r="Q485">
        <v>8</v>
      </c>
      <c r="R485" t="str">
        <v>NOLA</v>
      </c>
      <c r="S485" t="str">
        <v>Matt Harmon</v>
      </c>
      <c r="T485" t="str">
        <v>NULL</v>
      </c>
      <c r="U485" t="str">
        <v>Away</v>
      </c>
      <c r="V485" t="str">
        <v>ARC</v>
      </c>
      <c r="W485">
        <v>1.4970134226532847</v>
      </c>
      <c r="Y485" s="1" cm="1">
        <f t="array" ref="Y485">COUNT(_xlfn._xlws.FILTER($G$7:$G$10000,($I$7:$I$10000=X485)*($J$7:$J$10000&lt;&gt;"NULL")*($G$7:$G$10000 &gt;= ($G$1-5))))/5</f>
        <v>0</v>
      </c>
    </row>
    <row r="486" spans="7:25" x14ac:dyDescent="0.35">
      <c r="G486" s="66">
        <v>6</v>
      </c>
      <c r="H486" t="s">
        <v>34</v>
      </c>
      <c r="I486" t="s">
        <v>424</v>
      </c>
      <c r="J486" t="s">
        <v>256</v>
      </c>
      <c r="K486" t="s">
        <v>3</v>
      </c>
      <c r="L486" t="s">
        <v>24</v>
      </c>
      <c r="M486">
        <f t="shared" si="32"/>
        <v>2.4075747931575799</v>
      </c>
      <c r="N486" t="str">
        <f t="shared" si="33"/>
        <v/>
      </c>
      <c r="O486" s="67" cm="1">
        <f t="array" ref="O486">SUMPRODUCT((G486=$G$7:$G$10000)*(M486&lt;$M$7:$M$10000))+1</f>
        <v>79</v>
      </c>
      <c r="P486" s="72"/>
      <c r="Q486">
        <v>8</v>
      </c>
      <c r="R486" t="str">
        <v>LA</v>
      </c>
      <c r="S486" t="str">
        <v>Cronan Gleeson</v>
      </c>
      <c r="T486" t="str">
        <v>NULL</v>
      </c>
      <c r="U486" t="str">
        <v>Away</v>
      </c>
      <c r="V486" t="str">
        <v>HOU</v>
      </c>
      <c r="W486">
        <v>1.3798667800930797</v>
      </c>
      <c r="Y486" s="1" cm="1">
        <f t="array" ref="Y486">COUNT(_xlfn._xlws.FILTER($G$7:$G$10000,($I$7:$I$10000=X486)*($J$7:$J$10000&lt;&gt;"NULL")*($G$7:$G$10000 &gt;= ($G$1-5))))/5</f>
        <v>0</v>
      </c>
    </row>
    <row r="487" spans="7:25" x14ac:dyDescent="0.35">
      <c r="G487" s="66">
        <v>6</v>
      </c>
      <c r="H487" t="s">
        <v>36</v>
      </c>
      <c r="I487" t="s">
        <v>112</v>
      </c>
      <c r="J487" t="s">
        <v>256</v>
      </c>
      <c r="K487" t="s">
        <v>9</v>
      </c>
      <c r="L487" t="s">
        <v>14</v>
      </c>
      <c r="M487">
        <f t="shared" ref="M487:M550" si="34">VLOOKUP($K487,$F$3:$G$4,2,FALSE)+VLOOKUP($I487,$A$20:$B$321,2,FALSE)+VLOOKUP($L487,$A$6:$B$16,2,FALSE)</f>
        <v>2.2575816525938284</v>
      </c>
      <c r="N487" t="str">
        <f t="shared" ref="N487:N550" si="35">IFERROR(($J487-$M487)^2,"")</f>
        <v/>
      </c>
      <c r="O487" s="67" cm="1">
        <f t="array" ref="O487">SUMPRODUCT((G487=$G$7:$G$10000)*(M487&lt;$M$7:$M$10000))+1</f>
        <v>80</v>
      </c>
      <c r="P487" s="72"/>
      <c r="Q487">
        <v>8</v>
      </c>
      <c r="R487" t="str">
        <v>SEA</v>
      </c>
      <c r="S487" t="str">
        <v>Malembe Mpofu</v>
      </c>
      <c r="T487" t="str">
        <v>NULL</v>
      </c>
      <c r="U487" t="str">
        <v>Away</v>
      </c>
      <c r="V487" t="str">
        <v>OGDC</v>
      </c>
      <c r="W487">
        <v>1.308820698420166</v>
      </c>
      <c r="Y487" s="1" cm="1">
        <f t="array" ref="Y487">COUNT(_xlfn._xlws.FILTER($G$7:$G$10000,($I$7:$I$10000=X487)*($J$7:$J$10000&lt;&gt;"NULL")*($G$7:$G$10000 &gt;= ($G$1-5))))/5</f>
        <v>0</v>
      </c>
    </row>
    <row r="488" spans="7:25" x14ac:dyDescent="0.35">
      <c r="G488" s="66">
        <v>6</v>
      </c>
      <c r="H488" t="s">
        <v>17</v>
      </c>
      <c r="I488" t="s">
        <v>149</v>
      </c>
      <c r="J488" t="s">
        <v>256</v>
      </c>
      <c r="K488" t="s">
        <v>3</v>
      </c>
      <c r="L488" t="s">
        <v>13</v>
      </c>
      <c r="M488">
        <f t="shared" si="34"/>
        <v>2.1252254099540071</v>
      </c>
      <c r="N488" t="str">
        <f t="shared" si="35"/>
        <v/>
      </c>
      <c r="O488" s="67" cm="1">
        <f t="array" ref="O488">SUMPRODUCT((G488=$G$7:$G$10000)*(M488&lt;$M$7:$M$10000))+1</f>
        <v>81</v>
      </c>
      <c r="P488" s="72"/>
      <c r="Q488">
        <v>8</v>
      </c>
      <c r="R488" t="str">
        <v>NOLA</v>
      </c>
      <c r="S488" t="str">
        <v>Callum Botchar</v>
      </c>
      <c r="T488" t="str">
        <v>NULL</v>
      </c>
      <c r="U488" t="str">
        <v>Away</v>
      </c>
      <c r="V488" t="str">
        <v>ARC</v>
      </c>
      <c r="W488">
        <v>1.0929354978079111</v>
      </c>
      <c r="Y488" s="1" cm="1">
        <f t="array" ref="Y488">COUNT(_xlfn._xlws.FILTER($G$7:$G$10000,($I$7:$I$10000=X488)*($J$7:$J$10000&lt;&gt;"NULL")*($G$7:$G$10000 &gt;= ($G$1-5))))/5</f>
        <v>0</v>
      </c>
    </row>
    <row r="489" spans="7:25" x14ac:dyDescent="0.35">
      <c r="G489" s="66">
        <v>6</v>
      </c>
      <c r="H489" t="s">
        <v>6</v>
      </c>
      <c r="I489" t="s">
        <v>116</v>
      </c>
      <c r="J489" t="s">
        <v>256</v>
      </c>
      <c r="K489" t="s">
        <v>9</v>
      </c>
      <c r="L489" t="s">
        <v>4</v>
      </c>
      <c r="M489">
        <f t="shared" si="34"/>
        <v>2.0002144269272417</v>
      </c>
      <c r="N489" t="str">
        <f t="shared" si="35"/>
        <v/>
      </c>
      <c r="O489" s="67" cm="1">
        <f t="array" ref="O489">SUMPRODUCT((G489=$G$7:$G$10000)*(M489&lt;$M$7:$M$10000))+1</f>
        <v>82</v>
      </c>
      <c r="P489" s="72"/>
      <c r="Q489">
        <v>8</v>
      </c>
      <c r="R489" t="str">
        <v>NOLA</v>
      </c>
      <c r="S489" t="str">
        <v>Cam Dolan</v>
      </c>
      <c r="T489" t="str">
        <v>NULL</v>
      </c>
      <c r="U489" t="str">
        <v>Away</v>
      </c>
      <c r="V489" t="str">
        <v>ARC</v>
      </c>
      <c r="W489">
        <v>0.77218941394436413</v>
      </c>
      <c r="Y489" s="1" cm="1">
        <f t="array" ref="Y489">COUNT(_xlfn._xlws.FILTER($G$7:$G$10000,($I$7:$I$10000=X489)*($J$7:$J$10000&lt;&gt;"NULL")*($G$7:$G$10000 &gt;= ($G$1-5))))/5</f>
        <v>0</v>
      </c>
    </row>
    <row r="490" spans="7:25" x14ac:dyDescent="0.35">
      <c r="G490" s="66">
        <v>6</v>
      </c>
      <c r="H490" t="s">
        <v>36</v>
      </c>
      <c r="I490" t="s">
        <v>117</v>
      </c>
      <c r="J490" t="s">
        <v>256</v>
      </c>
      <c r="K490" t="s">
        <v>9</v>
      </c>
      <c r="L490" t="s">
        <v>14</v>
      </c>
      <c r="M490">
        <f t="shared" si="34"/>
        <v>1.926795323535214</v>
      </c>
      <c r="N490" t="str">
        <f t="shared" si="35"/>
        <v/>
      </c>
      <c r="O490" s="67" cm="1">
        <f t="array" ref="O490">SUMPRODUCT((G490=$G$7:$G$10000)*(M490&lt;$M$7:$M$10000))+1</f>
        <v>83</v>
      </c>
      <c r="P490" s="72"/>
      <c r="Q490">
        <v>8</v>
      </c>
      <c r="R490" t="str">
        <v>MIA</v>
      </c>
      <c r="S490" t="str">
        <v>Tau Koloamatangi</v>
      </c>
      <c r="T490" t="str">
        <v>NULL</v>
      </c>
      <c r="U490" t="str">
        <v>Away</v>
      </c>
      <c r="V490" t="str">
        <v>NEFJ</v>
      </c>
      <c r="W490">
        <v>0.73918420857033418</v>
      </c>
      <c r="Y490" s="1" cm="1">
        <f t="array" ref="Y490">COUNT(_xlfn._xlws.FILTER($G$7:$G$10000,($I$7:$I$10000=X490)*($J$7:$J$10000&lt;&gt;"NULL")*($G$7:$G$10000 &gt;= ($G$1-5))))/5</f>
        <v>0</v>
      </c>
    </row>
    <row r="491" spans="7:25" x14ac:dyDescent="0.35">
      <c r="G491" s="66">
        <v>6</v>
      </c>
      <c r="H491" t="s">
        <v>17</v>
      </c>
      <c r="I491" t="s">
        <v>105</v>
      </c>
      <c r="J491" t="s">
        <v>256</v>
      </c>
      <c r="K491" t="s">
        <v>3</v>
      </c>
      <c r="L491" t="s">
        <v>13</v>
      </c>
      <c r="M491">
        <f t="shared" si="34"/>
        <v>1.7561537170053874</v>
      </c>
      <c r="N491" t="str">
        <f t="shared" si="35"/>
        <v/>
      </c>
      <c r="O491" s="67" cm="1">
        <f t="array" ref="O491">SUMPRODUCT((G491=$G$7:$G$10000)*(M491&lt;$M$7:$M$10000))+1</f>
        <v>84</v>
      </c>
      <c r="P491" s="72"/>
      <c r="Q491">
        <v>8</v>
      </c>
      <c r="R491" t="str">
        <v>SEA</v>
      </c>
      <c r="S491" t="str">
        <v>Dewald Kotze</v>
      </c>
      <c r="T491" t="str">
        <v>NULL</v>
      </c>
      <c r="U491" t="str">
        <v>Away</v>
      </c>
      <c r="V491" t="str">
        <v>OGDC</v>
      </c>
      <c r="W491">
        <v>0.13237830056309097</v>
      </c>
      <c r="Y491" s="1" cm="1">
        <f t="array" ref="Y491">COUNT(_xlfn._xlws.FILTER($G$7:$G$10000,($I$7:$I$10000=X491)*($J$7:$J$10000&lt;&gt;"NULL")*($G$7:$G$10000 &gt;= ($G$1-5))))/5</f>
        <v>0</v>
      </c>
    </row>
    <row r="492" spans="7:25" x14ac:dyDescent="0.35">
      <c r="G492" s="66">
        <v>6</v>
      </c>
      <c r="H492" t="s">
        <v>36</v>
      </c>
      <c r="I492" t="s">
        <v>216</v>
      </c>
      <c r="J492" t="s">
        <v>256</v>
      </c>
      <c r="K492" t="s">
        <v>9</v>
      </c>
      <c r="L492" t="s">
        <v>14</v>
      </c>
      <c r="M492">
        <f t="shared" si="34"/>
        <v>1.7042535124414746</v>
      </c>
      <c r="N492" t="str">
        <f t="shared" si="35"/>
        <v/>
      </c>
      <c r="O492" s="67" cm="1">
        <f t="array" ref="O492">SUMPRODUCT((G492=$G$7:$G$10000)*(M492&lt;$M$7:$M$10000))+1</f>
        <v>85</v>
      </c>
      <c r="P492" s="72"/>
      <c r="Q492">
        <v>8</v>
      </c>
      <c r="R492" t="str">
        <v>MIA</v>
      </c>
      <c r="S492" t="str">
        <v>Sean McNulty</v>
      </c>
      <c r="T492" t="str">
        <v>NULL</v>
      </c>
      <c r="U492" t="str">
        <v>Away</v>
      </c>
      <c r="V492" t="str">
        <v>NEFJ</v>
      </c>
      <c r="W492">
        <v>6.4431103993607408E-3</v>
      </c>
      <c r="Y492" s="1" cm="1">
        <f t="array" ref="Y492">COUNT(_xlfn._xlws.FILTER($G$7:$G$10000,($I$7:$I$10000=X492)*($J$7:$J$10000&lt;&gt;"NULL")*($G$7:$G$10000 &gt;= ($G$1-5))))/5</f>
        <v>0</v>
      </c>
    </row>
    <row r="493" spans="7:25" x14ac:dyDescent="0.35">
      <c r="G493" s="66">
        <v>6</v>
      </c>
      <c r="H493" t="s">
        <v>7</v>
      </c>
      <c r="I493" t="s">
        <v>158</v>
      </c>
      <c r="J493" t="s">
        <v>256</v>
      </c>
      <c r="K493" t="s">
        <v>3</v>
      </c>
      <c r="L493" t="s">
        <v>23</v>
      </c>
      <c r="M493">
        <f t="shared" si="34"/>
        <v>1.6054906976034444</v>
      </c>
      <c r="N493" t="str">
        <f t="shared" si="35"/>
        <v/>
      </c>
      <c r="O493" s="67" cm="1">
        <f t="array" ref="O493">SUMPRODUCT((G493=$G$7:$G$10000)*(M493&lt;$M$7:$M$10000))+1</f>
        <v>86</v>
      </c>
      <c r="P493" s="72"/>
      <c r="Q493">
        <v>8</v>
      </c>
      <c r="R493" t="str">
        <v>HOU</v>
      </c>
      <c r="S493" t="str">
        <v>Justin Basson</v>
      </c>
      <c r="T493" t="str">
        <v>NULL</v>
      </c>
      <c r="U493" t="str">
        <v>Home</v>
      </c>
      <c r="V493" t="str">
        <v>LA</v>
      </c>
      <c r="W493">
        <v>-2.7807328263127076</v>
      </c>
      <c r="Y493" s="1" cm="1">
        <f t="array" ref="Y493">COUNT(_xlfn._xlws.FILTER($G$7:$G$10000,($I$7:$I$10000=X493)*($J$7:$J$10000&lt;&gt;"NULL")*($G$7:$G$10000 &gt;= ($G$1-5))))/5</f>
        <v>0</v>
      </c>
    </row>
    <row r="494" spans="7:25" x14ac:dyDescent="0.35">
      <c r="G494" s="66">
        <v>6</v>
      </c>
      <c r="H494" t="s">
        <v>7</v>
      </c>
      <c r="I494" t="s">
        <v>163</v>
      </c>
      <c r="J494" t="s">
        <v>256</v>
      </c>
      <c r="K494" t="s">
        <v>3</v>
      </c>
      <c r="L494" t="s">
        <v>23</v>
      </c>
      <c r="M494">
        <f t="shared" si="34"/>
        <v>1.5529736679201442</v>
      </c>
      <c r="N494" t="str">
        <f t="shared" si="35"/>
        <v/>
      </c>
      <c r="O494" s="67" cm="1">
        <f t="array" ref="O494">SUMPRODUCT((G494=$G$7:$G$10000)*(M494&lt;$M$7:$M$10000))+1</f>
        <v>87</v>
      </c>
      <c r="P494" s="72"/>
      <c r="Q494">
        <v>8</v>
      </c>
      <c r="R494" t="str">
        <v>MIA</v>
      </c>
      <c r="S494" t="str">
        <v>Alec McDonnell</v>
      </c>
      <c r="T494" t="str">
        <v>NULL</v>
      </c>
      <c r="U494" t="str">
        <v>Away</v>
      </c>
      <c r="V494" t="str">
        <v>NEFJ</v>
      </c>
      <c r="W494">
        <v>-9.4566435407778453</v>
      </c>
      <c r="Y494" s="1" cm="1">
        <f t="array" ref="Y494">COUNT(_xlfn._xlws.FILTER($G$7:$G$10000,($I$7:$I$10000=X494)*($J$7:$J$10000&lt;&gt;"NULL")*($G$7:$G$10000 &gt;= ($G$1-5))))/5</f>
        <v>0</v>
      </c>
    </row>
    <row r="495" spans="7:25" x14ac:dyDescent="0.35">
      <c r="G495" s="66">
        <v>6</v>
      </c>
      <c r="H495" t="s">
        <v>17</v>
      </c>
      <c r="I495" t="s">
        <v>483</v>
      </c>
      <c r="J495" t="s">
        <v>256</v>
      </c>
      <c r="K495" t="s">
        <v>3</v>
      </c>
      <c r="L495" t="s">
        <v>13</v>
      </c>
      <c r="M495">
        <f t="shared" si="34"/>
        <v>1.4853921049721079</v>
      </c>
      <c r="N495" t="str">
        <f t="shared" si="35"/>
        <v/>
      </c>
      <c r="O495" s="67" cm="1">
        <f t="array" ref="O495">SUMPRODUCT((G495=$G$7:$G$10000)*(M495&lt;$M$7:$M$10000))+1</f>
        <v>88</v>
      </c>
      <c r="P495" s="72"/>
      <c r="Q495">
        <v>9</v>
      </c>
      <c r="R495" t="str">
        <v>NEFJ</v>
      </c>
      <c r="S495" t="str">
        <v>Joe Johnston</v>
      </c>
      <c r="T495" t="str">
        <v>NULL</v>
      </c>
      <c r="U495" t="str">
        <v>Home</v>
      </c>
      <c r="V495" t="str">
        <v>SDL</v>
      </c>
      <c r="W495">
        <v>13.738430806915858</v>
      </c>
      <c r="Y495" s="1" cm="1">
        <f t="array" ref="Y495">COUNT(_xlfn._xlws.FILTER($G$7:$G$10000,($I$7:$I$10000=X495)*($J$7:$J$10000&lt;&gt;"NULL")*($G$7:$G$10000 &gt;= ($G$1-5))))/5</f>
        <v>0</v>
      </c>
    </row>
    <row r="496" spans="7:25" x14ac:dyDescent="0.35">
      <c r="G496" s="66">
        <v>6</v>
      </c>
      <c r="H496" t="s">
        <v>6</v>
      </c>
      <c r="I496" t="s">
        <v>418</v>
      </c>
      <c r="J496" t="s">
        <v>256</v>
      </c>
      <c r="K496" t="s">
        <v>9</v>
      </c>
      <c r="L496" t="s">
        <v>4</v>
      </c>
      <c r="M496">
        <f t="shared" si="34"/>
        <v>1.3248483601812753</v>
      </c>
      <c r="N496" t="str">
        <f t="shared" si="35"/>
        <v/>
      </c>
      <c r="O496" s="67" cm="1">
        <f t="array" ref="O496">SUMPRODUCT((G496=$G$7:$G$10000)*(M496&lt;$M$7:$M$10000))+1</f>
        <v>89</v>
      </c>
      <c r="P496" s="72"/>
      <c r="Q496">
        <v>9</v>
      </c>
      <c r="R496" t="str">
        <v>SDL</v>
      </c>
      <c r="S496" t="str">
        <v>Vili Helu</v>
      </c>
      <c r="T496" t="str">
        <v>NULL</v>
      </c>
      <c r="U496" t="str">
        <v>Away</v>
      </c>
      <c r="V496" t="str">
        <v>NEFJ</v>
      </c>
      <c r="W496">
        <v>13.017382442901331</v>
      </c>
      <c r="Y496" s="1" cm="1">
        <f t="array" ref="Y496">COUNT(_xlfn._xlws.FILTER($G$7:$G$10000,($I$7:$I$10000=X496)*($J$7:$J$10000&lt;&gt;"NULL")*($G$7:$G$10000 &gt;= ($G$1-5))))/5</f>
        <v>0</v>
      </c>
    </row>
    <row r="497" spans="7:25" x14ac:dyDescent="0.35">
      <c r="G497" s="66">
        <v>6</v>
      </c>
      <c r="H497" t="s">
        <v>7</v>
      </c>
      <c r="I497" t="s">
        <v>211</v>
      </c>
      <c r="J497" t="s">
        <v>256</v>
      </c>
      <c r="K497" t="s">
        <v>3</v>
      </c>
      <c r="L497" t="s">
        <v>23</v>
      </c>
      <c r="M497">
        <f t="shared" si="34"/>
        <v>1.2368420520570886</v>
      </c>
      <c r="N497" t="str">
        <f t="shared" si="35"/>
        <v/>
      </c>
      <c r="O497" s="67" cm="1">
        <f t="array" ref="O497">SUMPRODUCT((G497=$G$7:$G$10000)*(M497&lt;$M$7:$M$10000))+1</f>
        <v>90</v>
      </c>
      <c r="P497" s="72"/>
      <c r="Q497">
        <v>9</v>
      </c>
      <c r="R497" t="str">
        <v>NEFJ</v>
      </c>
      <c r="S497" t="str">
        <v>Jed Melvin</v>
      </c>
      <c r="T497" t="str">
        <v>NULL</v>
      </c>
      <c r="U497" t="str">
        <v>Home</v>
      </c>
      <c r="V497" t="str">
        <v>SDL</v>
      </c>
      <c r="W497">
        <v>12.920942678529007</v>
      </c>
      <c r="Y497" s="1" cm="1">
        <f t="array" ref="Y497">COUNT(_xlfn._xlws.FILTER($G$7:$G$10000,($I$7:$I$10000=X497)*($J$7:$J$10000&lt;&gt;"NULL")*($G$7:$G$10000 &gt;= ($G$1-5))))/5</f>
        <v>0</v>
      </c>
    </row>
    <row r="498" spans="7:25" x14ac:dyDescent="0.35">
      <c r="G498" s="66">
        <v>6</v>
      </c>
      <c r="H498" t="s">
        <v>7</v>
      </c>
      <c r="I498" t="s">
        <v>104</v>
      </c>
      <c r="J498" t="s">
        <v>256</v>
      </c>
      <c r="K498" t="s">
        <v>3</v>
      </c>
      <c r="L498" t="s">
        <v>23</v>
      </c>
      <c r="M498">
        <f t="shared" si="34"/>
        <v>1.0787343779833991</v>
      </c>
      <c r="N498" t="str">
        <f t="shared" si="35"/>
        <v/>
      </c>
      <c r="O498" s="67" cm="1">
        <f t="array" ref="O498">SUMPRODUCT((G498=$G$7:$G$10000)*(M498&lt;$M$7:$M$10000))+1</f>
        <v>91</v>
      </c>
      <c r="P498" s="72"/>
      <c r="Q498">
        <v>9</v>
      </c>
      <c r="R498" t="str">
        <v>SDL</v>
      </c>
      <c r="S498" t="str">
        <v>Shilo Klein</v>
      </c>
      <c r="T498" t="str">
        <v>NULL</v>
      </c>
      <c r="U498" t="str">
        <v>Away</v>
      </c>
      <c r="V498" t="str">
        <v>NEFJ</v>
      </c>
      <c r="W498">
        <v>12.65975007068579</v>
      </c>
      <c r="Y498" s="1" cm="1">
        <f t="array" ref="Y498">COUNT(_xlfn._xlws.FILTER($G$7:$G$10000,($I$7:$I$10000=X498)*($J$7:$J$10000&lt;&gt;"NULL")*($G$7:$G$10000 &gt;= ($G$1-5))))/5</f>
        <v>0</v>
      </c>
    </row>
    <row r="499" spans="7:25" x14ac:dyDescent="0.35">
      <c r="G499" s="66">
        <v>6</v>
      </c>
      <c r="H499" t="s">
        <v>13</v>
      </c>
      <c r="I499" t="s">
        <v>467</v>
      </c>
      <c r="J499" t="s">
        <v>256</v>
      </c>
      <c r="K499" t="s">
        <v>9</v>
      </c>
      <c r="L499" t="s">
        <v>17</v>
      </c>
      <c r="M499">
        <f t="shared" si="34"/>
        <v>0.95943784734838289</v>
      </c>
      <c r="N499" t="str">
        <f t="shared" si="35"/>
        <v/>
      </c>
      <c r="O499" s="67" cm="1">
        <f t="array" ref="O499">SUMPRODUCT((G499=$G$7:$G$10000)*(M499&lt;$M$7:$M$10000))+1</f>
        <v>92</v>
      </c>
      <c r="P499" s="72"/>
      <c r="Q499">
        <v>9</v>
      </c>
      <c r="R499" t="str">
        <v>HOU</v>
      </c>
      <c r="S499" t="str">
        <v>Pita Anae-Ah Sue</v>
      </c>
      <c r="T499" t="str">
        <v>NULL</v>
      </c>
      <c r="U499" t="str">
        <v>Away</v>
      </c>
      <c r="V499" t="str">
        <v>MIA</v>
      </c>
      <c r="W499">
        <v>12.060242857797141</v>
      </c>
      <c r="Y499" s="1" cm="1">
        <f t="array" ref="Y499">COUNT(_xlfn._xlws.FILTER($G$7:$G$10000,($I$7:$I$10000=X499)*($J$7:$J$10000&lt;&gt;"NULL")*($G$7:$G$10000 &gt;= ($G$1-5))))/5</f>
        <v>0</v>
      </c>
    </row>
    <row r="500" spans="7:25" x14ac:dyDescent="0.35">
      <c r="G500" s="66">
        <v>6</v>
      </c>
      <c r="H500" t="s">
        <v>7</v>
      </c>
      <c r="I500" t="s">
        <v>148</v>
      </c>
      <c r="J500" t="s">
        <v>256</v>
      </c>
      <c r="K500" t="s">
        <v>3</v>
      </c>
      <c r="L500" t="s">
        <v>23</v>
      </c>
      <c r="M500">
        <f t="shared" si="34"/>
        <v>0.87879396767741547</v>
      </c>
      <c r="N500" t="str">
        <f t="shared" si="35"/>
        <v/>
      </c>
      <c r="O500" s="67" cm="1">
        <f t="array" ref="O500">SUMPRODUCT((G500=$G$7:$G$10000)*(M500&lt;$M$7:$M$10000))+1</f>
        <v>93</v>
      </c>
      <c r="P500" s="72"/>
      <c r="Q500">
        <v>9</v>
      </c>
      <c r="R500" t="str">
        <v>HOU</v>
      </c>
      <c r="S500" t="str">
        <v>Sam Tuifua</v>
      </c>
      <c r="T500" t="str">
        <v>NULL</v>
      </c>
      <c r="U500" t="str">
        <v>Away</v>
      </c>
      <c r="V500" t="str">
        <v>MIA</v>
      </c>
      <c r="W500">
        <v>11.700528753870071</v>
      </c>
      <c r="Y500" s="1" cm="1">
        <f t="array" ref="Y500">COUNT(_xlfn._xlws.FILTER($G$7:$G$10000,($I$7:$I$10000=X500)*($J$7:$J$10000&lt;&gt;"NULL")*($G$7:$G$10000 &gt;= ($G$1-5))))/5</f>
        <v>0</v>
      </c>
    </row>
    <row r="501" spans="7:25" x14ac:dyDescent="0.35">
      <c r="G501" s="66">
        <v>6</v>
      </c>
      <c r="H501" t="s">
        <v>36</v>
      </c>
      <c r="I501" t="s">
        <v>415</v>
      </c>
      <c r="J501" t="s">
        <v>256</v>
      </c>
      <c r="K501" t="s">
        <v>9</v>
      </c>
      <c r="L501" t="s">
        <v>14</v>
      </c>
      <c r="M501">
        <f t="shared" si="34"/>
        <v>0.55305910513135625</v>
      </c>
      <c r="N501" t="str">
        <f t="shared" si="35"/>
        <v/>
      </c>
      <c r="O501" s="67" cm="1">
        <f t="array" ref="O501">SUMPRODUCT((G501=$G$7:$G$10000)*(M501&lt;$M$7:$M$10000))+1</f>
        <v>94</v>
      </c>
      <c r="P501" s="72"/>
      <c r="Q501">
        <v>9</v>
      </c>
      <c r="R501" t="str">
        <v>SDL</v>
      </c>
      <c r="S501" t="str">
        <v>Brad Wilkin</v>
      </c>
      <c r="T501" t="str">
        <v>NULL</v>
      </c>
      <c r="U501" t="str">
        <v>Away</v>
      </c>
      <c r="V501" t="str">
        <v>NEFJ</v>
      </c>
      <c r="W501">
        <v>11.64928415688043</v>
      </c>
      <c r="Y501" s="1" cm="1">
        <f t="array" ref="Y501">COUNT(_xlfn._xlws.FILTER($G$7:$G$10000,($I$7:$I$10000=X501)*($J$7:$J$10000&lt;&gt;"NULL")*($G$7:$G$10000 &gt;= ($G$1-5))))/5</f>
        <v>0</v>
      </c>
    </row>
    <row r="502" spans="7:25" x14ac:dyDescent="0.35">
      <c r="G502" s="66">
        <v>6</v>
      </c>
      <c r="H502" t="s">
        <v>17</v>
      </c>
      <c r="I502" t="s">
        <v>284</v>
      </c>
      <c r="J502" t="s">
        <v>256</v>
      </c>
      <c r="K502" t="s">
        <v>3</v>
      </c>
      <c r="L502" t="s">
        <v>13</v>
      </c>
      <c r="M502">
        <f t="shared" si="34"/>
        <v>0.52265715731319951</v>
      </c>
      <c r="N502" t="str">
        <f t="shared" si="35"/>
        <v/>
      </c>
      <c r="O502" s="67" cm="1">
        <f t="array" ref="O502">SUMPRODUCT((G502=$G$7:$G$10000)*(M502&lt;$M$7:$M$10000))+1</f>
        <v>95</v>
      </c>
      <c r="P502" s="72"/>
      <c r="Q502">
        <v>9</v>
      </c>
      <c r="R502" t="str">
        <v>NOLA</v>
      </c>
      <c r="S502" t="str">
        <v>Pat O'Toole</v>
      </c>
      <c r="T502" t="str">
        <v>NULL</v>
      </c>
      <c r="U502" t="str">
        <v>Home</v>
      </c>
      <c r="V502" t="str">
        <v>OGDC</v>
      </c>
      <c r="W502">
        <v>11.351212231603544</v>
      </c>
      <c r="Y502" s="1" cm="1">
        <f t="array" ref="Y502">COUNT(_xlfn._xlws.FILTER($G$7:$G$10000,($I$7:$I$10000=X502)*($J$7:$J$10000&lt;&gt;"NULL")*($G$7:$G$10000 &gt;= ($G$1-5))))/5</f>
        <v>0</v>
      </c>
    </row>
    <row r="503" spans="7:25" x14ac:dyDescent="0.35">
      <c r="G503" s="66">
        <v>6</v>
      </c>
      <c r="H503" t="s">
        <v>36</v>
      </c>
      <c r="I503" t="s">
        <v>224</v>
      </c>
      <c r="J503" t="s">
        <v>256</v>
      </c>
      <c r="K503" t="s">
        <v>9</v>
      </c>
      <c r="L503" t="s">
        <v>14</v>
      </c>
      <c r="M503">
        <f t="shared" si="34"/>
        <v>0.50203125675708815</v>
      </c>
      <c r="N503" t="str">
        <f t="shared" si="35"/>
        <v/>
      </c>
      <c r="O503" s="67" cm="1">
        <f t="array" ref="O503">SUMPRODUCT((G503=$G$7:$G$10000)*(M503&lt;$M$7:$M$10000))+1</f>
        <v>96</v>
      </c>
      <c r="P503" s="72"/>
      <c r="Q503">
        <v>9</v>
      </c>
      <c r="R503" t="str">
        <v>SDL</v>
      </c>
      <c r="S503" t="str">
        <v>Christian Poidevin</v>
      </c>
      <c r="T503" t="str">
        <v>NULL</v>
      </c>
      <c r="U503" t="str">
        <v>Away</v>
      </c>
      <c r="V503" t="str">
        <v>NEFJ</v>
      </c>
      <c r="W503">
        <v>10.798046377267827</v>
      </c>
      <c r="Y503" s="1" cm="1">
        <f t="array" ref="Y503">COUNT(_xlfn._xlws.FILTER($G$7:$G$10000,($I$7:$I$10000=X503)*($J$7:$J$10000&lt;&gt;"NULL")*($G$7:$G$10000 &gt;= ($G$1-5))))/5</f>
        <v>0</v>
      </c>
    </row>
    <row r="504" spans="7:25" x14ac:dyDescent="0.35">
      <c r="G504" s="66">
        <v>6</v>
      </c>
      <c r="H504" t="s">
        <v>7</v>
      </c>
      <c r="I504" t="s">
        <v>277</v>
      </c>
      <c r="J504" t="s">
        <v>256</v>
      </c>
      <c r="K504" t="s">
        <v>3</v>
      </c>
      <c r="L504" t="s">
        <v>23</v>
      </c>
      <c r="M504">
        <f t="shared" si="34"/>
        <v>0.45254879614735355</v>
      </c>
      <c r="N504" t="str">
        <f t="shared" si="35"/>
        <v/>
      </c>
      <c r="O504" s="67" cm="1">
        <f t="array" ref="O504">SUMPRODUCT((G504=$G$7:$G$10000)*(M504&lt;$M$7:$M$10000))+1</f>
        <v>97</v>
      </c>
      <c r="P504" s="72"/>
      <c r="Q504">
        <v>9</v>
      </c>
      <c r="R504" t="str">
        <v>UTAH</v>
      </c>
      <c r="S504" t="str">
        <v>Liam Coltman</v>
      </c>
      <c r="T504" t="str">
        <v>NULL</v>
      </c>
      <c r="U504" t="str">
        <v>Away</v>
      </c>
      <c r="V504" t="str">
        <v>LA</v>
      </c>
      <c r="W504">
        <v>10.722587906852475</v>
      </c>
      <c r="Y504" s="1" cm="1">
        <f t="array" ref="Y504">COUNT(_xlfn._xlws.FILTER($G$7:$G$10000,($I$7:$I$10000=X504)*($J$7:$J$10000&lt;&gt;"NULL")*($G$7:$G$10000 &gt;= ($G$1-5))))/5</f>
        <v>0</v>
      </c>
    </row>
    <row r="505" spans="7:25" x14ac:dyDescent="0.35">
      <c r="G505" s="66">
        <v>6</v>
      </c>
      <c r="H505" t="s">
        <v>36</v>
      </c>
      <c r="I505" t="s">
        <v>283</v>
      </c>
      <c r="J505" t="s">
        <v>256</v>
      </c>
      <c r="K505" t="s">
        <v>9</v>
      </c>
      <c r="L505" t="s">
        <v>14</v>
      </c>
      <c r="M505">
        <f t="shared" si="34"/>
        <v>0.20902817743469182</v>
      </c>
      <c r="N505" t="str">
        <f t="shared" si="35"/>
        <v/>
      </c>
      <c r="O505" s="67" cm="1">
        <f t="array" ref="O505">SUMPRODUCT((G505=$G$7:$G$10000)*(M505&lt;$M$7:$M$10000))+1</f>
        <v>98</v>
      </c>
      <c r="P505" s="72"/>
      <c r="Q505">
        <v>9</v>
      </c>
      <c r="R505" t="str">
        <v>NOLA</v>
      </c>
      <c r="S505" t="str">
        <v>Jonah Mau'u</v>
      </c>
      <c r="T505" t="str">
        <v>NULL</v>
      </c>
      <c r="U505" t="str">
        <v>Home</v>
      </c>
      <c r="V505" t="str">
        <v>OGDC</v>
      </c>
      <c r="W505">
        <v>10.45892469278494</v>
      </c>
      <c r="Y505" s="1" cm="1">
        <f t="array" ref="Y505">COUNT(_xlfn._xlws.FILTER($G$7:$G$10000,($I$7:$I$10000=X505)*($J$7:$J$10000&lt;&gt;"NULL")*($G$7:$G$10000 &gt;= ($G$1-5))))/5</f>
        <v>0</v>
      </c>
    </row>
    <row r="506" spans="7:25" x14ac:dyDescent="0.35">
      <c r="G506" s="66">
        <v>6</v>
      </c>
      <c r="H506" t="s">
        <v>36</v>
      </c>
      <c r="I506" t="s">
        <v>414</v>
      </c>
      <c r="J506" t="s">
        <v>256</v>
      </c>
      <c r="K506" t="s">
        <v>9</v>
      </c>
      <c r="L506" t="s">
        <v>14</v>
      </c>
      <c r="M506">
        <f t="shared" si="34"/>
        <v>-0.4173768490725136</v>
      </c>
      <c r="N506" t="str">
        <f t="shared" si="35"/>
        <v/>
      </c>
      <c r="O506" s="67" cm="1">
        <f t="array" ref="O506">SUMPRODUCT((G506=$G$7:$G$10000)*(M506&lt;$M$7:$M$10000))+1</f>
        <v>99</v>
      </c>
      <c r="P506" s="72"/>
      <c r="Q506">
        <v>9</v>
      </c>
      <c r="R506" t="str">
        <v>SDL</v>
      </c>
      <c r="S506" t="str">
        <v>Djustice Sears-Duru</v>
      </c>
      <c r="T506" t="str">
        <v>NULL</v>
      </c>
      <c r="U506" t="str">
        <v>Away</v>
      </c>
      <c r="V506" t="str">
        <v>NEFJ</v>
      </c>
      <c r="W506">
        <v>10.242269238601246</v>
      </c>
      <c r="Y506" s="1" cm="1">
        <f t="array" ref="Y506">COUNT(_xlfn._xlws.FILTER($G$7:$G$10000,($I$7:$I$10000=X506)*($J$7:$J$10000&lt;&gt;"NULL")*($G$7:$G$10000 &gt;= ($G$1-5))))/5</f>
        <v>0</v>
      </c>
    </row>
    <row r="507" spans="7:25" x14ac:dyDescent="0.35">
      <c r="G507" s="66">
        <v>6</v>
      </c>
      <c r="H507" t="s">
        <v>17</v>
      </c>
      <c r="I507" t="s">
        <v>167</v>
      </c>
      <c r="J507" t="s">
        <v>256</v>
      </c>
      <c r="K507" t="s">
        <v>3</v>
      </c>
      <c r="L507" t="s">
        <v>13</v>
      </c>
      <c r="M507">
        <f t="shared" si="34"/>
        <v>-0.43343188236214569</v>
      </c>
      <c r="N507" t="str">
        <f t="shared" si="35"/>
        <v/>
      </c>
      <c r="O507" s="67" cm="1">
        <f t="array" ref="O507">SUMPRODUCT((G507=$G$7:$G$10000)*(M507&lt;$M$7:$M$10000))+1</f>
        <v>100</v>
      </c>
      <c r="P507" s="72"/>
      <c r="Q507">
        <v>9</v>
      </c>
      <c r="R507" t="str">
        <v>MIA</v>
      </c>
      <c r="S507" t="str">
        <v>Benjamin Bonasso</v>
      </c>
      <c r="T507" t="str">
        <v>NULL</v>
      </c>
      <c r="U507" t="str">
        <v>Home</v>
      </c>
      <c r="V507" t="str">
        <v>HOU</v>
      </c>
      <c r="W507">
        <v>10.205353330109787</v>
      </c>
      <c r="Y507" s="1" cm="1">
        <f t="array" ref="Y507">COUNT(_xlfn._xlws.FILTER($G$7:$G$10000,($I$7:$I$10000=X507)*($J$7:$J$10000&lt;&gt;"NULL")*($G$7:$G$10000 &gt;= ($G$1-5))))/5</f>
        <v>0</v>
      </c>
    </row>
    <row r="508" spans="7:25" x14ac:dyDescent="0.35">
      <c r="G508" s="66">
        <v>6</v>
      </c>
      <c r="H508" t="s">
        <v>17</v>
      </c>
      <c r="I508" t="s">
        <v>423</v>
      </c>
      <c r="J508" t="s">
        <v>256</v>
      </c>
      <c r="K508" t="s">
        <v>3</v>
      </c>
      <c r="L508" t="s">
        <v>13</v>
      </c>
      <c r="M508">
        <f t="shared" si="34"/>
        <v>-1.0784857722066299</v>
      </c>
      <c r="N508" t="str">
        <f t="shared" si="35"/>
        <v/>
      </c>
      <c r="O508" s="67" cm="1">
        <f t="array" ref="O508">SUMPRODUCT((G508=$G$7:$G$10000)*(M508&lt;$M$7:$M$10000))+1</f>
        <v>101</v>
      </c>
      <c r="P508" s="72"/>
      <c r="Q508">
        <v>9</v>
      </c>
      <c r="R508" t="str">
        <v>MIA</v>
      </c>
      <c r="S508" t="str">
        <v>Manuel Ardao</v>
      </c>
      <c r="T508" t="str">
        <v>NULL</v>
      </c>
      <c r="U508" t="str">
        <v>Home</v>
      </c>
      <c r="V508" t="str">
        <v>HOU</v>
      </c>
      <c r="W508">
        <v>9.490632975020004</v>
      </c>
      <c r="Y508" s="1" cm="1">
        <f t="array" ref="Y508">COUNT(_xlfn._xlws.FILTER($G$7:$G$10000,($I$7:$I$10000=X508)*($J$7:$J$10000&lt;&gt;"NULL")*($G$7:$G$10000 &gt;= ($G$1-5))))/5</f>
        <v>0</v>
      </c>
    </row>
    <row r="509" spans="7:25" x14ac:dyDescent="0.35">
      <c r="G509" s="66">
        <v>6</v>
      </c>
      <c r="H509" t="s">
        <v>17</v>
      </c>
      <c r="I509" t="s">
        <v>155</v>
      </c>
      <c r="J509" t="s">
        <v>256</v>
      </c>
      <c r="K509" t="s">
        <v>3</v>
      </c>
      <c r="L509" t="s">
        <v>13</v>
      </c>
      <c r="M509">
        <f t="shared" si="34"/>
        <v>-2.2549281700637049</v>
      </c>
      <c r="N509" t="str">
        <f t="shared" si="35"/>
        <v/>
      </c>
      <c r="O509" s="67" cm="1">
        <f t="array" ref="O509">SUMPRODUCT((G509=$G$7:$G$10000)*(M509&lt;$M$7:$M$10000))+1</f>
        <v>102</v>
      </c>
      <c r="P509" s="72"/>
      <c r="Q509">
        <v>9</v>
      </c>
      <c r="R509" t="str">
        <v>NEFJ</v>
      </c>
      <c r="S509" t="str">
        <v>Piers von Dadelszen</v>
      </c>
      <c r="T509" t="str">
        <v>NULL</v>
      </c>
      <c r="U509" t="str">
        <v>Home</v>
      </c>
      <c r="V509" t="str">
        <v>SDL</v>
      </c>
      <c r="W509">
        <v>9.2361439143477035</v>
      </c>
      <c r="Y509" s="1" cm="1">
        <f t="array" ref="Y509">COUNT(_xlfn._xlws.FILTER($G$7:$G$10000,($I$7:$I$10000=X509)*($J$7:$J$10000&lt;&gt;"NULL")*($G$7:$G$10000 &gt;= ($G$1-5))))/5</f>
        <v>0</v>
      </c>
    </row>
    <row r="510" spans="7:25" x14ac:dyDescent="0.35">
      <c r="G510" s="66">
        <v>6</v>
      </c>
      <c r="H510" t="s">
        <v>36</v>
      </c>
      <c r="I510" t="s">
        <v>106</v>
      </c>
      <c r="J510" t="s">
        <v>256</v>
      </c>
      <c r="K510" t="s">
        <v>9</v>
      </c>
      <c r="L510" t="s">
        <v>14</v>
      </c>
      <c r="M510">
        <f t="shared" si="34"/>
        <v>-4.9584923923868791</v>
      </c>
      <c r="N510" t="str">
        <f t="shared" si="35"/>
        <v/>
      </c>
      <c r="O510" s="67" cm="1">
        <f t="array" ref="O510">SUMPRODUCT((G510=$G$7:$G$10000)*(M510&lt;$M$7:$M$10000))+1</f>
        <v>103</v>
      </c>
      <c r="P510" s="72"/>
      <c r="Q510">
        <v>9</v>
      </c>
      <c r="R510" t="str">
        <v>NEFJ</v>
      </c>
      <c r="S510" t="str">
        <v>Andrew Quattrin</v>
      </c>
      <c r="T510" t="str">
        <v>NULL</v>
      </c>
      <c r="U510" t="str">
        <v>Home</v>
      </c>
      <c r="V510" t="str">
        <v>SDL</v>
      </c>
      <c r="W510">
        <v>9.121509803041512</v>
      </c>
      <c r="Y510" s="1" cm="1">
        <f t="array" ref="Y510">COUNT(_xlfn._xlws.FILTER($G$7:$G$10000,($I$7:$I$10000=X510)*($J$7:$J$10000&lt;&gt;"NULL")*($G$7:$G$10000 &gt;= ($G$1-5))))/5</f>
        <v>0</v>
      </c>
    </row>
    <row r="511" spans="7:25" x14ac:dyDescent="0.35">
      <c r="G511" s="66">
        <v>6</v>
      </c>
      <c r="H511" t="s">
        <v>24</v>
      </c>
      <c r="I511" t="s">
        <v>142</v>
      </c>
      <c r="J511" t="s">
        <v>256</v>
      </c>
      <c r="K511" t="s">
        <v>9</v>
      </c>
      <c r="L511" t="s">
        <v>34</v>
      </c>
      <c r="M511">
        <f t="shared" si="34"/>
        <v>-5.842952944075444</v>
      </c>
      <c r="N511" t="str">
        <f t="shared" si="35"/>
        <v/>
      </c>
      <c r="O511" s="67" cm="1">
        <f t="array" ref="O511">SUMPRODUCT((G511=$G$7:$G$10000)*(M511&lt;$M$7:$M$10000))+1</f>
        <v>104</v>
      </c>
      <c r="P511" s="72"/>
      <c r="Q511">
        <v>9</v>
      </c>
      <c r="R511" t="str">
        <v>NEFJ</v>
      </c>
      <c r="S511" t="str">
        <v>Sam Caird</v>
      </c>
      <c r="T511" t="str">
        <v>NULL</v>
      </c>
      <c r="U511" t="str">
        <v>Home</v>
      </c>
      <c r="V511" t="str">
        <v>SDL</v>
      </c>
      <c r="W511">
        <v>8.8497314484505356</v>
      </c>
      <c r="Y511" s="1" cm="1">
        <f t="array" ref="Y511">COUNT(_xlfn._xlws.FILTER($G$7:$G$10000,($I$7:$I$10000=X511)*($J$7:$J$10000&lt;&gt;"NULL")*($G$7:$G$10000 &gt;= ($G$1-5))))/5</f>
        <v>0</v>
      </c>
    </row>
    <row r="512" spans="7:25" x14ac:dyDescent="0.35">
      <c r="G512" s="66">
        <v>7</v>
      </c>
      <c r="H512" t="s">
        <v>17</v>
      </c>
      <c r="I512" t="s">
        <v>485</v>
      </c>
      <c r="J512" t="s">
        <v>256</v>
      </c>
      <c r="K512" t="s">
        <v>3</v>
      </c>
      <c r="L512" t="s">
        <v>14</v>
      </c>
      <c r="M512">
        <f t="shared" si="34"/>
        <v>17.641810457245406</v>
      </c>
      <c r="N512" t="str">
        <f t="shared" si="35"/>
        <v/>
      </c>
      <c r="O512" s="67" cm="1">
        <f t="array" ref="O512">SUMPRODUCT((G512=$G$7:$G$10000)*(M512&lt;$M$7:$M$10000))+1</f>
        <v>1</v>
      </c>
      <c r="P512" s="72"/>
      <c r="Q512">
        <v>9</v>
      </c>
      <c r="R512" t="str">
        <v>UTAH</v>
      </c>
      <c r="S512" t="str">
        <v>Dylan Nel</v>
      </c>
      <c r="T512" t="str">
        <v>NULL</v>
      </c>
      <c r="U512" t="str">
        <v>Away</v>
      </c>
      <c r="V512" t="str">
        <v>LA</v>
      </c>
      <c r="W512">
        <v>8.5168946428564585</v>
      </c>
      <c r="Y512" s="1" cm="1">
        <f t="array" ref="Y512">COUNT(_xlfn._xlws.FILTER($G$7:$G$10000,($I$7:$I$10000=X512)*($J$7:$J$10000&lt;&gt;"NULL")*($G$7:$G$10000 &gt;= ($G$1-5))))/5</f>
        <v>0</v>
      </c>
    </row>
    <row r="513" spans="7:25" x14ac:dyDescent="0.35">
      <c r="G513" s="66">
        <v>7</v>
      </c>
      <c r="H513" t="s">
        <v>34</v>
      </c>
      <c r="I513" t="s">
        <v>228</v>
      </c>
      <c r="J513" t="s">
        <v>256</v>
      </c>
      <c r="K513" t="s">
        <v>9</v>
      </c>
      <c r="L513" t="s">
        <v>36</v>
      </c>
      <c r="M513">
        <f t="shared" si="34"/>
        <v>14.920312407923525</v>
      </c>
      <c r="N513" t="str">
        <f t="shared" si="35"/>
        <v/>
      </c>
      <c r="O513" s="67" cm="1">
        <f t="array" ref="O513">SUMPRODUCT((G513=$G$7:$G$10000)*(M513&lt;$M$7:$M$10000))+1</f>
        <v>2</v>
      </c>
      <c r="P513" s="72"/>
      <c r="Q513">
        <v>9</v>
      </c>
      <c r="R513" t="str">
        <v>CHI</v>
      </c>
      <c r="S513" t="str">
        <v>Lucas Rumball</v>
      </c>
      <c r="T513" t="str">
        <v>NULL</v>
      </c>
      <c r="U513" t="str">
        <v>Home</v>
      </c>
      <c r="V513" t="str">
        <v>ARC</v>
      </c>
      <c r="W513">
        <v>8.4905667383183339</v>
      </c>
      <c r="Y513" s="1" cm="1">
        <f t="array" ref="Y513">COUNT(_xlfn._xlws.FILTER($G$7:$G$10000,($I$7:$I$10000=X513)*($J$7:$J$10000&lt;&gt;"NULL")*($G$7:$G$10000 &gt;= ($G$1-5))))/5</f>
        <v>0</v>
      </c>
    </row>
    <row r="514" spans="7:25" x14ac:dyDescent="0.35">
      <c r="G514" s="66">
        <v>7</v>
      </c>
      <c r="H514" t="s">
        <v>34</v>
      </c>
      <c r="I514" t="s">
        <v>462</v>
      </c>
      <c r="J514" t="s">
        <v>256</v>
      </c>
      <c r="K514" t="s">
        <v>9</v>
      </c>
      <c r="L514" t="s">
        <v>36</v>
      </c>
      <c r="M514">
        <f t="shared" si="34"/>
        <v>14.562680035707984</v>
      </c>
      <c r="N514" t="str">
        <f t="shared" si="35"/>
        <v/>
      </c>
      <c r="O514" s="67" cm="1">
        <f t="array" ref="O514">SUMPRODUCT((G514=$G$7:$G$10000)*(M514&lt;$M$7:$M$10000))+1</f>
        <v>3</v>
      </c>
      <c r="P514" s="72"/>
      <c r="Q514">
        <v>9</v>
      </c>
      <c r="R514" t="str">
        <v>NEFJ</v>
      </c>
      <c r="S514" t="str">
        <v>Jero Gomez Vara</v>
      </c>
      <c r="T514" t="str">
        <v>NULL</v>
      </c>
      <c r="U514" t="str">
        <v>Home</v>
      </c>
      <c r="V514" t="str">
        <v>SDL</v>
      </c>
      <c r="W514">
        <v>8.1749083730059944</v>
      </c>
      <c r="Y514" s="1" cm="1">
        <f t="array" ref="Y514">COUNT(_xlfn._xlws.FILTER($G$7:$G$10000,($I$7:$I$10000=X514)*($J$7:$J$10000&lt;&gt;"NULL")*($G$7:$G$10000 &gt;= ($G$1-5))))/5</f>
        <v>0</v>
      </c>
    </row>
    <row r="515" spans="7:25" x14ac:dyDescent="0.35">
      <c r="G515" s="66">
        <v>7</v>
      </c>
      <c r="H515" t="s">
        <v>34</v>
      </c>
      <c r="I515" t="s">
        <v>429</v>
      </c>
      <c r="J515" t="s">
        <v>256</v>
      </c>
      <c r="K515" t="s">
        <v>9</v>
      </c>
      <c r="L515" t="s">
        <v>36</v>
      </c>
      <c r="M515">
        <f t="shared" si="34"/>
        <v>13.552214121902626</v>
      </c>
      <c r="N515" t="str">
        <f t="shared" si="35"/>
        <v/>
      </c>
      <c r="O515" s="67" cm="1">
        <f t="array" ref="O515">SUMPRODUCT((G515=$G$7:$G$10000)*(M515&lt;$M$7:$M$10000))+1</f>
        <v>4</v>
      </c>
      <c r="P515" s="72"/>
      <c r="Q515">
        <v>9</v>
      </c>
      <c r="R515" t="str">
        <v>CHI</v>
      </c>
      <c r="S515" t="str">
        <v>Dylan Fawsitt</v>
      </c>
      <c r="T515" t="str">
        <v>NULL</v>
      </c>
      <c r="U515" t="str">
        <v>Home</v>
      </c>
      <c r="V515" t="str">
        <v>ARC</v>
      </c>
      <c r="W515">
        <v>8.0904090619645075</v>
      </c>
      <c r="Y515" s="1" cm="1">
        <f t="array" ref="Y515">COUNT(_xlfn._xlws.FILTER($G$7:$G$10000,($I$7:$I$10000=X515)*($J$7:$J$10000&lt;&gt;"NULL")*($G$7:$G$10000 &gt;= ($G$1-5))))/5</f>
        <v>0</v>
      </c>
    </row>
    <row r="516" spans="7:25" x14ac:dyDescent="0.35">
      <c r="G516" s="66">
        <v>7</v>
      </c>
      <c r="H516" t="s">
        <v>36</v>
      </c>
      <c r="I516" t="s">
        <v>466</v>
      </c>
      <c r="J516" t="s">
        <v>256</v>
      </c>
      <c r="K516" t="s">
        <v>3</v>
      </c>
      <c r="L516" t="s">
        <v>34</v>
      </c>
      <c r="M516">
        <f t="shared" si="34"/>
        <v>13.269775115079767</v>
      </c>
      <c r="N516" t="str">
        <f t="shared" si="35"/>
        <v/>
      </c>
      <c r="O516" s="67" cm="1">
        <f t="array" ref="O516">SUMPRODUCT((G516=$G$7:$G$10000)*(M516&lt;$M$7:$M$10000))+1</f>
        <v>5</v>
      </c>
      <c r="P516" s="72"/>
      <c r="Q516">
        <v>9</v>
      </c>
      <c r="R516" t="str">
        <v>NEFJ</v>
      </c>
      <c r="S516" t="str">
        <v>Kaleb Geiger</v>
      </c>
      <c r="T516" t="str">
        <v>NULL</v>
      </c>
      <c r="U516" t="str">
        <v>Home</v>
      </c>
      <c r="V516" t="str">
        <v>SDL</v>
      </c>
      <c r="W516">
        <v>7.8994674030972174</v>
      </c>
      <c r="Y516" s="1" cm="1">
        <f t="array" ref="Y516">COUNT(_xlfn._xlws.FILTER($G$7:$G$10000,($I$7:$I$10000=X516)*($J$7:$J$10000&lt;&gt;"NULL")*($G$7:$G$10000 &gt;= ($G$1-5))))/5</f>
        <v>0</v>
      </c>
    </row>
    <row r="517" spans="7:25" x14ac:dyDescent="0.35">
      <c r="G517" s="66">
        <v>7</v>
      </c>
      <c r="H517" t="s">
        <v>36</v>
      </c>
      <c r="I517" t="s">
        <v>225</v>
      </c>
      <c r="J517" t="s">
        <v>256</v>
      </c>
      <c r="K517" t="s">
        <v>3</v>
      </c>
      <c r="L517" t="s">
        <v>34</v>
      </c>
      <c r="M517">
        <f t="shared" si="34"/>
        <v>12.910061011152697</v>
      </c>
      <c r="N517" t="str">
        <f t="shared" si="35"/>
        <v/>
      </c>
      <c r="O517" s="67" cm="1">
        <f t="array" ref="O517">SUMPRODUCT((G517=$G$7:$G$10000)*(M517&lt;$M$7:$M$10000))+1</f>
        <v>6</v>
      </c>
      <c r="P517" s="72"/>
      <c r="Q517">
        <v>9</v>
      </c>
      <c r="R517" t="str">
        <v>OGDC</v>
      </c>
      <c r="S517" t="str">
        <v>Jamason Fa'anana-Schultz</v>
      </c>
      <c r="T517" t="str">
        <v>NULL</v>
      </c>
      <c r="U517" t="str">
        <v>Away</v>
      </c>
      <c r="V517" t="str">
        <v>NOLA</v>
      </c>
      <c r="W517">
        <v>7.8972551449096944</v>
      </c>
      <c r="Y517" s="1" cm="1">
        <f t="array" ref="Y517">COUNT(_xlfn._xlws.FILTER($G$7:$G$10000,($I$7:$I$10000=X517)*($J$7:$J$10000&lt;&gt;"NULL")*($G$7:$G$10000 &gt;= ($G$1-5))))/5</f>
        <v>0</v>
      </c>
    </row>
    <row r="518" spans="7:25" x14ac:dyDescent="0.35">
      <c r="G518" s="66">
        <v>7</v>
      </c>
      <c r="H518" t="s">
        <v>34</v>
      </c>
      <c r="I518" t="s">
        <v>200</v>
      </c>
      <c r="J518" t="s">
        <v>256</v>
      </c>
      <c r="K518" t="s">
        <v>9</v>
      </c>
      <c r="L518" t="s">
        <v>36</v>
      </c>
      <c r="M518">
        <f t="shared" si="34"/>
        <v>12.700976342290023</v>
      </c>
      <c r="N518" t="str">
        <f t="shared" si="35"/>
        <v/>
      </c>
      <c r="O518" s="67" cm="1">
        <f t="array" ref="O518">SUMPRODUCT((G518=$G$7:$G$10000)*(M518&lt;$M$7:$M$10000))+1</f>
        <v>7</v>
      </c>
      <c r="P518" s="72"/>
      <c r="Q518">
        <v>9</v>
      </c>
      <c r="R518" t="str">
        <v>UTAH</v>
      </c>
      <c r="S518" t="str">
        <v>Aki Seiuli</v>
      </c>
      <c r="T518" t="str">
        <v>NULL</v>
      </c>
      <c r="U518" t="str">
        <v>Away</v>
      </c>
      <c r="V518" t="str">
        <v>LA</v>
      </c>
      <c r="W518">
        <v>7.2293173723966255</v>
      </c>
      <c r="Y518" s="1" cm="1">
        <f t="array" ref="Y518">COUNT(_xlfn._xlws.FILTER($G$7:$G$10000,($I$7:$I$10000=X518)*($J$7:$J$10000&lt;&gt;"NULL")*($G$7:$G$10000 &gt;= ($G$1-5))))/5</f>
        <v>0</v>
      </c>
    </row>
    <row r="519" spans="7:25" x14ac:dyDescent="0.35">
      <c r="G519" s="66">
        <v>7</v>
      </c>
      <c r="H519" t="s">
        <v>34</v>
      </c>
      <c r="I519" t="s">
        <v>351</v>
      </c>
      <c r="J519" t="s">
        <v>256</v>
      </c>
      <c r="K519" t="s">
        <v>9</v>
      </c>
      <c r="L519" t="s">
        <v>36</v>
      </c>
      <c r="M519">
        <f t="shared" si="34"/>
        <v>12.145199203623442</v>
      </c>
      <c r="N519" t="str">
        <f t="shared" si="35"/>
        <v/>
      </c>
      <c r="O519" s="67" cm="1">
        <f t="array" ref="O519">SUMPRODUCT((G519=$G$7:$G$10000)*(M519&lt;$M$7:$M$10000))+1</f>
        <v>8</v>
      </c>
      <c r="P519" s="72"/>
      <c r="Q519">
        <v>9</v>
      </c>
      <c r="R519" t="str">
        <v>LA</v>
      </c>
      <c r="S519" t="str">
        <v>Tim Anstee</v>
      </c>
      <c r="T519" t="str">
        <v>NULL</v>
      </c>
      <c r="U519" t="str">
        <v>Home</v>
      </c>
      <c r="V519" t="str">
        <v>UTAH</v>
      </c>
      <c r="W519">
        <v>7.1394733529269274</v>
      </c>
      <c r="Y519" s="1" cm="1">
        <f t="array" ref="Y519">COUNT(_xlfn._xlws.FILTER($G$7:$G$10000,($I$7:$I$10000=X519)*($J$7:$J$10000&lt;&gt;"NULL")*($G$7:$G$10000 &gt;= ($G$1-5))))/5</f>
        <v>0</v>
      </c>
    </row>
    <row r="520" spans="7:25" x14ac:dyDescent="0.35">
      <c r="G520" s="66">
        <v>7</v>
      </c>
      <c r="H520" t="s">
        <v>4</v>
      </c>
      <c r="I520" t="s">
        <v>175</v>
      </c>
      <c r="J520" t="s">
        <v>256</v>
      </c>
      <c r="K520" t="s">
        <v>3</v>
      </c>
      <c r="L520" t="s">
        <v>2</v>
      </c>
      <c r="M520">
        <f t="shared" si="34"/>
        <v>11.868280751700206</v>
      </c>
      <c r="N520" t="str">
        <f t="shared" si="35"/>
        <v/>
      </c>
      <c r="O520" s="67" cm="1">
        <f t="array" ref="O520">SUMPRODUCT((G520=$G$7:$G$10000)*(M520&lt;$M$7:$M$10000))+1</f>
        <v>9</v>
      </c>
      <c r="P520" s="72"/>
      <c r="Q520">
        <v>9</v>
      </c>
      <c r="R520" t="str">
        <v>CHI</v>
      </c>
      <c r="S520" t="str">
        <v>Maclean Jones</v>
      </c>
      <c r="T520" t="str">
        <v>NULL</v>
      </c>
      <c r="U520" t="str">
        <v>Home</v>
      </c>
      <c r="V520" t="str">
        <v>ARC</v>
      </c>
      <c r="W520">
        <v>7.1275158506948877</v>
      </c>
      <c r="Y520" s="1" cm="1">
        <f t="array" ref="Y520">COUNT(_xlfn._xlws.FILTER($G$7:$G$10000,($I$7:$I$10000=X520)*($J$7:$J$10000&lt;&gt;"NULL")*($G$7:$G$10000 &gt;= ($G$1-5))))/5</f>
        <v>0</v>
      </c>
    </row>
    <row r="521" spans="7:25" x14ac:dyDescent="0.35">
      <c r="G521" s="66">
        <v>7</v>
      </c>
      <c r="H521" t="s">
        <v>4</v>
      </c>
      <c r="I521" t="s">
        <v>209</v>
      </c>
      <c r="J521" t="s">
        <v>256</v>
      </c>
      <c r="K521" t="s">
        <v>3</v>
      </c>
      <c r="L521" t="s">
        <v>2</v>
      </c>
      <c r="M521">
        <f t="shared" si="34"/>
        <v>10.975993212881603</v>
      </c>
      <c r="N521" t="str">
        <f t="shared" si="35"/>
        <v/>
      </c>
      <c r="O521" s="67" cm="1">
        <f t="array" ref="O521">SUMPRODUCT((G521=$G$7:$G$10000)*(M521&lt;$M$7:$M$10000))+1</f>
        <v>10</v>
      </c>
      <c r="P521" s="72"/>
      <c r="Q521">
        <v>9</v>
      </c>
      <c r="R521" t="str">
        <v>SDL</v>
      </c>
      <c r="S521" t="str">
        <v>Jed Holloway</v>
      </c>
      <c r="T521" t="str">
        <v>NULL</v>
      </c>
      <c r="U521" t="str">
        <v>Away</v>
      </c>
      <c r="V521" t="str">
        <v>NEFJ</v>
      </c>
      <c r="W521">
        <v>7.1271562508104527</v>
      </c>
      <c r="Y521" s="1" cm="1">
        <f t="array" ref="Y521">COUNT(_xlfn._xlws.FILTER($G$7:$G$10000,($I$7:$I$10000=X521)*($J$7:$J$10000&lt;&gt;"NULL")*($G$7:$G$10000 &gt;= ($G$1-5))))/5</f>
        <v>0</v>
      </c>
    </row>
    <row r="522" spans="7:25" x14ac:dyDescent="0.35">
      <c r="G522" s="66">
        <v>7</v>
      </c>
      <c r="H522" t="s">
        <v>6</v>
      </c>
      <c r="I522" t="s">
        <v>430</v>
      </c>
      <c r="J522" t="s">
        <v>256</v>
      </c>
      <c r="K522" t="s">
        <v>3</v>
      </c>
      <c r="L522" t="s">
        <v>7</v>
      </c>
      <c r="M522">
        <f t="shared" si="34"/>
        <v>9.7352937546302734</v>
      </c>
      <c r="N522" t="str">
        <f t="shared" si="35"/>
        <v/>
      </c>
      <c r="O522" s="67" cm="1">
        <f t="array" ref="O522">SUMPRODUCT((G522=$G$7:$G$10000)*(M522&lt;$M$7:$M$10000))+1</f>
        <v>11</v>
      </c>
      <c r="P522" s="72"/>
      <c r="Q522">
        <v>9</v>
      </c>
      <c r="R522" t="str">
        <v>MIA</v>
      </c>
      <c r="S522" t="str">
        <v>Mauro Rebussone</v>
      </c>
      <c r="T522" t="str">
        <v>NULL</v>
      </c>
      <c r="U522" t="str">
        <v>Home</v>
      </c>
      <c r="V522" t="str">
        <v>HOU</v>
      </c>
      <c r="W522">
        <v>7.1058728251191203</v>
      </c>
      <c r="Y522" s="1" cm="1">
        <f t="array" ref="Y522">COUNT(_xlfn._xlws.FILTER($G$7:$G$10000,($I$7:$I$10000=X522)*($J$7:$J$10000&lt;&gt;"NULL")*($G$7:$G$10000 &gt;= ($G$1-5))))/5</f>
        <v>0</v>
      </c>
    </row>
    <row r="523" spans="7:25" x14ac:dyDescent="0.35">
      <c r="G523" s="66">
        <v>7</v>
      </c>
      <c r="H523" t="s">
        <v>2</v>
      </c>
      <c r="I523" t="s">
        <v>212</v>
      </c>
      <c r="J523" t="s">
        <v>256</v>
      </c>
      <c r="K523" t="s">
        <v>9</v>
      </c>
      <c r="L523" t="s">
        <v>4</v>
      </c>
      <c r="M523">
        <f t="shared" si="34"/>
        <v>9.6668961786484964</v>
      </c>
      <c r="N523" t="str">
        <f t="shared" si="35"/>
        <v/>
      </c>
      <c r="O523" s="67" cm="1">
        <f t="array" ref="O523">SUMPRODUCT((G523=$G$7:$G$10000)*(M523&lt;$M$7:$M$10000))+1</f>
        <v>12</v>
      </c>
      <c r="P523" s="72"/>
      <c r="Q523">
        <v>9</v>
      </c>
      <c r="R523" t="str">
        <v>MIA</v>
      </c>
      <c r="S523" t="str">
        <v>Alex Tucci</v>
      </c>
      <c r="T523" t="str">
        <v>NULL</v>
      </c>
      <c r="U523" t="str">
        <v>Home</v>
      </c>
      <c r="V523" t="str">
        <v>HOU</v>
      </c>
      <c r="W523">
        <v>6.8701868212725152</v>
      </c>
      <c r="Y523" s="1" cm="1">
        <f t="array" ref="Y523">COUNT(_xlfn._xlws.FILTER($G$7:$G$10000,($I$7:$I$10000=X523)*($J$7:$J$10000&lt;&gt;"NULL")*($G$7:$G$10000 &gt;= ($G$1-5))))/5</f>
        <v>0</v>
      </c>
    </row>
    <row r="524" spans="7:25" x14ac:dyDescent="0.35">
      <c r="G524" s="66">
        <v>7</v>
      </c>
      <c r="H524" t="s">
        <v>2</v>
      </c>
      <c r="I524" t="s">
        <v>156</v>
      </c>
      <c r="J524" t="s">
        <v>256</v>
      </c>
      <c r="K524" t="s">
        <v>9</v>
      </c>
      <c r="L524" t="s">
        <v>4</v>
      </c>
      <c r="M524">
        <f t="shared" si="34"/>
        <v>9.26673850229467</v>
      </c>
      <c r="N524" t="str">
        <f t="shared" si="35"/>
        <v/>
      </c>
      <c r="O524" s="67" cm="1">
        <f t="array" ref="O524">SUMPRODUCT((G524=$G$7:$G$10000)*(M524&lt;$M$7:$M$10000))+1</f>
        <v>13</v>
      </c>
      <c r="P524" s="72"/>
      <c r="Q524">
        <v>9</v>
      </c>
      <c r="R524" t="str">
        <v>UTAH</v>
      </c>
      <c r="S524" t="str">
        <v>Frank Lochore</v>
      </c>
      <c r="T524" t="str">
        <v>NULL</v>
      </c>
      <c r="U524" t="str">
        <v>Away</v>
      </c>
      <c r="V524" t="str">
        <v>LA</v>
      </c>
      <c r="W524">
        <v>6.8257394703411727</v>
      </c>
      <c r="Y524" s="1" cm="1">
        <f t="array" ref="Y524">COUNT(_xlfn._xlws.FILTER($G$7:$G$10000,($I$7:$I$10000=X524)*($J$7:$J$10000&lt;&gt;"NULL")*($G$7:$G$10000 &gt;= ($G$1-5))))/5</f>
        <v>0</v>
      </c>
    </row>
    <row r="525" spans="7:25" x14ac:dyDescent="0.35">
      <c r="G525" s="66">
        <v>7</v>
      </c>
      <c r="H525" t="s">
        <v>17</v>
      </c>
      <c r="I525" t="s">
        <v>480</v>
      </c>
      <c r="J525" t="s">
        <v>256</v>
      </c>
      <c r="K525" t="s">
        <v>3</v>
      </c>
      <c r="L525" t="s">
        <v>14</v>
      </c>
      <c r="M525">
        <f t="shared" si="34"/>
        <v>9.1080281872075961</v>
      </c>
      <c r="N525" t="str">
        <f t="shared" si="35"/>
        <v/>
      </c>
      <c r="O525" s="67" cm="1">
        <f t="array" ref="O525">SUMPRODUCT((G525=$G$7:$G$10000)*(M525&lt;$M$7:$M$10000))+1</f>
        <v>14</v>
      </c>
      <c r="P525" s="72"/>
      <c r="Q525">
        <v>9</v>
      </c>
      <c r="R525" t="str">
        <v>ARC</v>
      </c>
      <c r="S525" t="str">
        <v>Makeen Alikhan</v>
      </c>
      <c r="T525" t="str">
        <v>NULL</v>
      </c>
      <c r="U525" t="str">
        <v>Away</v>
      </c>
      <c r="V525" t="str">
        <v>CHI</v>
      </c>
      <c r="W525">
        <v>6.6827281578692261</v>
      </c>
      <c r="Y525" s="1" cm="1">
        <f t="array" ref="Y525">COUNT(_xlfn._xlws.FILTER($G$7:$G$10000,($I$7:$I$10000=X525)*($J$7:$J$10000&lt;&gt;"NULL")*($G$7:$G$10000 &gt;= ($G$1-5))))/5</f>
        <v>0</v>
      </c>
    </row>
    <row r="526" spans="7:25" x14ac:dyDescent="0.35">
      <c r="G526" s="66">
        <v>7</v>
      </c>
      <c r="H526" t="s">
        <v>34</v>
      </c>
      <c r="I526" t="s">
        <v>420</v>
      </c>
      <c r="J526" t="s">
        <v>256</v>
      </c>
      <c r="K526" t="s">
        <v>9</v>
      </c>
      <c r="L526" t="s">
        <v>36</v>
      </c>
      <c r="M526">
        <f t="shared" si="34"/>
        <v>9.0300862158326467</v>
      </c>
      <c r="N526" t="str">
        <f t="shared" si="35"/>
        <v/>
      </c>
      <c r="O526" s="67" cm="1">
        <f t="array" ref="O526">SUMPRODUCT((G526=$G$7:$G$10000)*(M526&lt;$M$7:$M$10000))+1</f>
        <v>15</v>
      </c>
      <c r="P526" s="72"/>
      <c r="Q526">
        <v>9</v>
      </c>
      <c r="R526" t="str">
        <v>CHI</v>
      </c>
      <c r="S526" t="str">
        <v>James Scott</v>
      </c>
      <c r="T526" t="str">
        <v>NULL</v>
      </c>
      <c r="U526" t="str">
        <v>Home</v>
      </c>
      <c r="V526" t="str">
        <v>ARC</v>
      </c>
      <c r="W526">
        <v>6.680872872110017</v>
      </c>
      <c r="Y526" s="1" cm="1">
        <f t="array" ref="Y526">COUNT(_xlfn._xlws.FILTER($G$7:$G$10000,($I$7:$I$10000=X526)*($J$7:$J$10000&lt;&gt;"NULL")*($G$7:$G$10000 &gt;= ($G$1-5))))/5</f>
        <v>0</v>
      </c>
    </row>
    <row r="527" spans="7:25" x14ac:dyDescent="0.35">
      <c r="G527" s="66">
        <v>7</v>
      </c>
      <c r="H527" t="s">
        <v>23</v>
      </c>
      <c r="I527" t="s">
        <v>428</v>
      </c>
      <c r="J527" t="s">
        <v>256</v>
      </c>
      <c r="K527" t="s">
        <v>9</v>
      </c>
      <c r="L527" t="s">
        <v>13</v>
      </c>
      <c r="M527">
        <f t="shared" si="34"/>
        <v>8.9018011456717403</v>
      </c>
      <c r="N527" t="str">
        <f t="shared" si="35"/>
        <v/>
      </c>
      <c r="O527" s="67" cm="1">
        <f t="array" ref="O527">SUMPRODUCT((G527=$G$7:$G$10000)*(M527&lt;$M$7:$M$10000))+1</f>
        <v>16</v>
      </c>
      <c r="P527" s="72"/>
      <c r="Q527">
        <v>9</v>
      </c>
      <c r="R527" t="str">
        <v>NOLA</v>
      </c>
      <c r="S527" t="str">
        <v>Tupou Ma'afu Afungia</v>
      </c>
      <c r="T527" t="str">
        <v>NULL</v>
      </c>
      <c r="U527" t="str">
        <v>Home</v>
      </c>
      <c r="V527" t="str">
        <v>OGDC</v>
      </c>
      <c r="W527">
        <v>6.4884677945627329</v>
      </c>
      <c r="Y527" s="1" cm="1">
        <f t="array" ref="Y527">COUNT(_xlfn._xlws.FILTER($G$7:$G$10000,($I$7:$I$10000=X527)*($J$7:$J$10000&lt;&gt;"NULL")*($G$7:$G$10000 &gt;= ($G$1-5))))/5</f>
        <v>0</v>
      </c>
    </row>
    <row r="528" spans="7:25" x14ac:dyDescent="0.35">
      <c r="G528" s="66">
        <v>7</v>
      </c>
      <c r="H528" t="s">
        <v>13</v>
      </c>
      <c r="I528" t="s">
        <v>463</v>
      </c>
      <c r="J528" t="s">
        <v>256</v>
      </c>
      <c r="K528" t="s">
        <v>3</v>
      </c>
      <c r="L528" t="s">
        <v>23</v>
      </c>
      <c r="M528">
        <f t="shared" si="34"/>
        <v>8.4987880292277254</v>
      </c>
      <c r="N528" t="str">
        <f t="shared" si="35"/>
        <v/>
      </c>
      <c r="O528" s="67" cm="1">
        <f t="array" ref="O528">SUMPRODUCT((G528=$G$7:$G$10000)*(M528&lt;$M$7:$M$10000))+1</f>
        <v>17</v>
      </c>
      <c r="P528" s="72"/>
      <c r="Q528">
        <v>9</v>
      </c>
      <c r="R528" t="str">
        <v>CHI</v>
      </c>
      <c r="S528" t="str">
        <v>Mason Flesch</v>
      </c>
      <c r="T528" t="str">
        <v>NULL</v>
      </c>
      <c r="U528" t="str">
        <v>Home</v>
      </c>
      <c r="V528" t="str">
        <v>ARC</v>
      </c>
      <c r="W528">
        <v>6.4705657075713638</v>
      </c>
      <c r="Y528" s="1" cm="1">
        <f t="array" ref="Y528">COUNT(_xlfn._xlws.FILTER($G$7:$G$10000,($I$7:$I$10000=X528)*($J$7:$J$10000&lt;&gt;"NULL")*($G$7:$G$10000 &gt;= ($G$1-5))))/5</f>
        <v>0</v>
      </c>
    </row>
    <row r="529" spans="7:25" x14ac:dyDescent="0.35">
      <c r="G529" s="66">
        <v>7</v>
      </c>
      <c r="H529" t="s">
        <v>7</v>
      </c>
      <c r="I529" t="s">
        <v>207</v>
      </c>
      <c r="J529" t="s">
        <v>256</v>
      </c>
      <c r="K529" t="s">
        <v>9</v>
      </c>
      <c r="L529" t="s">
        <v>6</v>
      </c>
      <c r="M529">
        <f t="shared" si="34"/>
        <v>8.4816574085006042</v>
      </c>
      <c r="N529" t="str">
        <f t="shared" si="35"/>
        <v/>
      </c>
      <c r="O529" s="67" cm="1">
        <f t="array" ref="O529">SUMPRODUCT((G529=$G$7:$G$10000)*(M529&lt;$M$7:$M$10000))+1</f>
        <v>18</v>
      </c>
      <c r="P529" s="72"/>
      <c r="Q529">
        <v>9</v>
      </c>
      <c r="R529" t="str">
        <v>NOLA</v>
      </c>
      <c r="S529" t="str">
        <v>William Waguespack</v>
      </c>
      <c r="T529" t="str">
        <v>NULL</v>
      </c>
      <c r="U529" t="str">
        <v>Home</v>
      </c>
      <c r="V529" t="str">
        <v>OGDC</v>
      </c>
      <c r="W529">
        <v>6.0845792295764234</v>
      </c>
      <c r="Y529" s="1" cm="1">
        <f t="array" ref="Y529">COUNT(_xlfn._xlws.FILTER($G$7:$G$10000,($I$7:$I$10000=X529)*($J$7:$J$10000&lt;&gt;"NULL")*($G$7:$G$10000 &gt;= ($G$1-5))))/5</f>
        <v>0</v>
      </c>
    </row>
    <row r="530" spans="7:25" x14ac:dyDescent="0.35">
      <c r="G530" s="66">
        <v>7</v>
      </c>
      <c r="H530" t="s">
        <v>2</v>
      </c>
      <c r="I530" t="s">
        <v>213</v>
      </c>
      <c r="J530" t="s">
        <v>256</v>
      </c>
      <c r="K530" t="s">
        <v>9</v>
      </c>
      <c r="L530" t="s">
        <v>4</v>
      </c>
      <c r="M530">
        <f t="shared" si="34"/>
        <v>8.3038452910250502</v>
      </c>
      <c r="N530" t="str">
        <f t="shared" si="35"/>
        <v/>
      </c>
      <c r="O530" s="67" cm="1">
        <f t="array" ref="O530">SUMPRODUCT((G530=$G$7:$G$10000)*(M530&lt;$M$7:$M$10000))+1</f>
        <v>19</v>
      </c>
      <c r="P530" s="72"/>
      <c r="Q530">
        <v>9</v>
      </c>
      <c r="R530" t="str">
        <v>CHI</v>
      </c>
      <c r="S530" t="str">
        <v>Paddy Ryan</v>
      </c>
      <c r="T530" t="str">
        <v>NULL</v>
      </c>
      <c r="U530" t="str">
        <v>Home</v>
      </c>
      <c r="V530" t="str">
        <v>ARC</v>
      </c>
      <c r="W530">
        <v>5.9155269727054813</v>
      </c>
      <c r="Y530" s="1" cm="1">
        <f t="array" ref="Y530">COUNT(_xlfn._xlws.FILTER($G$7:$G$10000,($I$7:$I$10000=X530)*($J$7:$J$10000&lt;&gt;"NULL")*($G$7:$G$10000 &gt;= ($G$1-5))))/5</f>
        <v>0</v>
      </c>
    </row>
    <row r="531" spans="7:25" x14ac:dyDescent="0.35">
      <c r="G531" s="66">
        <v>7</v>
      </c>
      <c r="H531" t="s">
        <v>23</v>
      </c>
      <c r="I531" t="s">
        <v>389</v>
      </c>
      <c r="J531" t="s">
        <v>256</v>
      </c>
      <c r="K531" t="s">
        <v>9</v>
      </c>
      <c r="L531" t="s">
        <v>13</v>
      </c>
      <c r="M531">
        <f t="shared" si="34"/>
        <v>8.0843130172848898</v>
      </c>
      <c r="N531" t="str">
        <f t="shared" si="35"/>
        <v/>
      </c>
      <c r="O531" s="67" cm="1">
        <f t="array" ref="O531">SUMPRODUCT((G531=$G$7:$G$10000)*(M531&lt;$M$7:$M$10000))+1</f>
        <v>20</v>
      </c>
      <c r="P531" s="72"/>
      <c r="Q531">
        <v>9</v>
      </c>
      <c r="R531" t="str">
        <v>MIA</v>
      </c>
      <c r="S531" t="str">
        <v>Federico Gutíerrez</v>
      </c>
      <c r="T531" t="str">
        <v>NULL</v>
      </c>
      <c r="U531" t="str">
        <v>Home</v>
      </c>
      <c r="V531" t="str">
        <v>HOU</v>
      </c>
      <c r="W531">
        <v>5.6004400155266847</v>
      </c>
      <c r="Y531" s="1" cm="1">
        <f t="array" ref="Y531">COUNT(_xlfn._xlws.FILTER($G$7:$G$10000,($I$7:$I$10000=X531)*($J$7:$J$10000&lt;&gt;"NULL")*($G$7:$G$10000 &gt;= ($G$1-5))))/5</f>
        <v>0</v>
      </c>
    </row>
    <row r="532" spans="7:25" x14ac:dyDescent="0.35">
      <c r="G532" s="66">
        <v>7</v>
      </c>
      <c r="H532" t="s">
        <v>2</v>
      </c>
      <c r="I532" t="s">
        <v>108</v>
      </c>
      <c r="J532" t="s">
        <v>256</v>
      </c>
      <c r="K532" t="s">
        <v>9</v>
      </c>
      <c r="L532" t="s">
        <v>4</v>
      </c>
      <c r="M532">
        <f t="shared" si="34"/>
        <v>7.8572023124401795</v>
      </c>
      <c r="N532" t="str">
        <f t="shared" si="35"/>
        <v/>
      </c>
      <c r="O532" s="67" cm="1">
        <f t="array" ref="O532">SUMPRODUCT((G532=$G$7:$G$10000)*(M532&lt;$M$7:$M$10000))+1</f>
        <v>21</v>
      </c>
      <c r="P532" s="72"/>
      <c r="Q532">
        <v>9</v>
      </c>
      <c r="R532" t="str">
        <v>ARC</v>
      </c>
      <c r="S532" t="str">
        <v>Connor Robinson</v>
      </c>
      <c r="T532" t="str">
        <v>NULL</v>
      </c>
      <c r="U532" t="str">
        <v>Away</v>
      </c>
      <c r="V532" t="str">
        <v>CHI</v>
      </c>
      <c r="W532">
        <v>5.5537819521001577</v>
      </c>
      <c r="Y532" s="1" cm="1">
        <f t="array" ref="Y532">COUNT(_xlfn._xlws.FILTER($G$7:$G$10000,($I$7:$I$10000=X532)*($J$7:$J$10000&lt;&gt;"NULL")*($G$7:$G$10000 &gt;= ($G$1-5))))/5</f>
        <v>0</v>
      </c>
    </row>
    <row r="533" spans="7:25" x14ac:dyDescent="0.35">
      <c r="G533" s="66">
        <v>7</v>
      </c>
      <c r="H533" t="s">
        <v>6</v>
      </c>
      <c r="I533" t="s">
        <v>432</v>
      </c>
      <c r="J533" t="s">
        <v>256</v>
      </c>
      <c r="K533" t="s">
        <v>3</v>
      </c>
      <c r="L533" t="s">
        <v>7</v>
      </c>
      <c r="M533">
        <f t="shared" si="34"/>
        <v>7.75866530505981</v>
      </c>
      <c r="N533" t="str">
        <f t="shared" si="35"/>
        <v/>
      </c>
      <c r="O533" s="67" cm="1">
        <f t="array" ref="O533">SUMPRODUCT((G533=$G$7:$G$10000)*(M533&lt;$M$7:$M$10000))+1</f>
        <v>22</v>
      </c>
      <c r="P533" s="72"/>
      <c r="Q533">
        <v>9</v>
      </c>
      <c r="R533" t="str">
        <v>NOLA</v>
      </c>
      <c r="S533" t="str">
        <v>Chase Jones</v>
      </c>
      <c r="T533" t="str">
        <v>NULL</v>
      </c>
      <c r="U533" t="str">
        <v>Home</v>
      </c>
      <c r="V533" t="str">
        <v>OGDC</v>
      </c>
      <c r="W533">
        <v>5.5042124314928005</v>
      </c>
      <c r="Y533" s="1" cm="1">
        <f t="array" ref="Y533">COUNT(_xlfn._xlws.FILTER($G$7:$G$10000,($I$7:$I$10000=X533)*($J$7:$J$10000&lt;&gt;"NULL")*($G$7:$G$10000 &gt;= ($G$1-5))))/5</f>
        <v>0</v>
      </c>
    </row>
    <row r="534" spans="7:25" x14ac:dyDescent="0.35">
      <c r="G534" s="66">
        <v>7</v>
      </c>
      <c r="H534" t="s">
        <v>2</v>
      </c>
      <c r="I534" t="s">
        <v>115</v>
      </c>
      <c r="J534" t="s">
        <v>256</v>
      </c>
      <c r="K534" t="s">
        <v>9</v>
      </c>
      <c r="L534" t="s">
        <v>4</v>
      </c>
      <c r="M534">
        <f t="shared" si="34"/>
        <v>7.6468951479015264</v>
      </c>
      <c r="N534" t="str">
        <f t="shared" si="35"/>
        <v/>
      </c>
      <c r="O534" s="67" cm="1">
        <f t="array" ref="O534">SUMPRODUCT((G534=$G$7:$G$10000)*(M534&lt;$M$7:$M$10000))+1</f>
        <v>23</v>
      </c>
      <c r="P534" s="72"/>
      <c r="Q534">
        <v>9</v>
      </c>
      <c r="R534" t="str">
        <v>NOLA</v>
      </c>
      <c r="S534" t="str">
        <v>Kellen Galletier</v>
      </c>
      <c r="T534" t="str">
        <v>NULL</v>
      </c>
      <c r="U534" t="str">
        <v>Home</v>
      </c>
      <c r="V534" t="str">
        <v>OGDC</v>
      </c>
      <c r="W534">
        <v>5.4034361634718016</v>
      </c>
      <c r="Y534" s="1" cm="1">
        <f t="array" ref="Y534">COUNT(_xlfn._xlws.FILTER($G$7:$G$10000,($I$7:$I$10000=X534)*($J$7:$J$10000&lt;&gt;"NULL")*($G$7:$G$10000 &gt;= ($G$1-5))))/5</f>
        <v>0</v>
      </c>
    </row>
    <row r="535" spans="7:25" x14ac:dyDescent="0.35">
      <c r="G535" s="66">
        <v>7</v>
      </c>
      <c r="H535" t="s">
        <v>17</v>
      </c>
      <c r="I535" t="s">
        <v>427</v>
      </c>
      <c r="J535" t="s">
        <v>256</v>
      </c>
      <c r="K535" t="s">
        <v>3</v>
      </c>
      <c r="L535" t="s">
        <v>14</v>
      </c>
      <c r="M535">
        <f t="shared" si="34"/>
        <v>7.4035110947096427</v>
      </c>
      <c r="N535" t="str">
        <f t="shared" si="35"/>
        <v/>
      </c>
      <c r="O535" s="67" cm="1">
        <f t="array" ref="O535">SUMPRODUCT((G535=$G$7:$G$10000)*(M535&lt;$M$7:$M$10000))+1</f>
        <v>24</v>
      </c>
      <c r="P535" s="72"/>
      <c r="Q535">
        <v>9</v>
      </c>
      <c r="R535" t="str">
        <v>UTAH</v>
      </c>
      <c r="S535" t="str">
        <v>Matt Jenson</v>
      </c>
      <c r="T535" t="str">
        <v>NULL</v>
      </c>
      <c r="U535" t="str">
        <v>Away</v>
      </c>
      <c r="V535" t="str">
        <v>LA</v>
      </c>
      <c r="W535">
        <v>5.3758768646860551</v>
      </c>
      <c r="Y535" s="1" cm="1">
        <f t="array" ref="Y535">COUNT(_xlfn._xlws.FILTER($G$7:$G$10000,($I$7:$I$10000=X535)*($J$7:$J$10000&lt;&gt;"NULL")*($G$7:$G$10000 &gt;= ($G$1-5))))/5</f>
        <v>0</v>
      </c>
    </row>
    <row r="536" spans="7:25" x14ac:dyDescent="0.35">
      <c r="G536" s="66">
        <v>7</v>
      </c>
      <c r="H536" t="s">
        <v>6</v>
      </c>
      <c r="I536" t="s">
        <v>433</v>
      </c>
      <c r="J536" t="s">
        <v>256</v>
      </c>
      <c r="K536" t="s">
        <v>3</v>
      </c>
      <c r="L536" t="s">
        <v>7</v>
      </c>
      <c r="M536">
        <f t="shared" si="34"/>
        <v>7.3880123595984459</v>
      </c>
      <c r="N536" t="str">
        <f t="shared" si="35"/>
        <v/>
      </c>
      <c r="O536" s="67" cm="1">
        <f t="array" ref="O536">SUMPRODUCT((G536=$G$7:$G$10000)*(M536&lt;$M$7:$M$10000))+1</f>
        <v>25</v>
      </c>
      <c r="P536" s="72"/>
      <c r="Q536">
        <v>9</v>
      </c>
      <c r="R536" t="str">
        <v>OGDC</v>
      </c>
      <c r="S536" t="str">
        <v>Cory Daniel</v>
      </c>
      <c r="T536" t="str">
        <v>NULL</v>
      </c>
      <c r="U536" t="str">
        <v>Away</v>
      </c>
      <c r="V536" t="str">
        <v>NOLA</v>
      </c>
      <c r="W536">
        <v>5.3641472392513219</v>
      </c>
      <c r="Y536" s="1" cm="1">
        <f t="array" ref="Y536">COUNT(_xlfn._xlws.FILTER($G$7:$G$10000,($I$7:$I$10000=X536)*($J$7:$J$10000&lt;&gt;"NULL")*($G$7:$G$10000 &gt;= ($G$1-5))))/5</f>
        <v>0</v>
      </c>
    </row>
    <row r="537" spans="7:25" x14ac:dyDescent="0.35">
      <c r="G537" s="66">
        <v>7</v>
      </c>
      <c r="H537" t="s">
        <v>34</v>
      </c>
      <c r="I537" t="s">
        <v>174</v>
      </c>
      <c r="J537" t="s">
        <v>256</v>
      </c>
      <c r="K537" t="s">
        <v>9</v>
      </c>
      <c r="L537" t="s">
        <v>36</v>
      </c>
      <c r="M537">
        <f t="shared" si="34"/>
        <v>7.1468748329474483</v>
      </c>
      <c r="N537" t="str">
        <f t="shared" si="35"/>
        <v/>
      </c>
      <c r="O537" s="67" cm="1">
        <f t="array" ref="O537">SUMPRODUCT((G537=$G$7:$G$10000)*(M537&lt;$M$7:$M$10000))+1</f>
        <v>26</v>
      </c>
      <c r="P537" s="72"/>
      <c r="Q537">
        <v>9</v>
      </c>
      <c r="R537" t="str">
        <v>SDL</v>
      </c>
      <c r="S537" t="str">
        <v>Paddy Ryan</v>
      </c>
      <c r="T537" t="str">
        <v>NULL</v>
      </c>
      <c r="U537" t="str">
        <v>Away</v>
      </c>
      <c r="V537" t="str">
        <v>NEFJ</v>
      </c>
      <c r="W537">
        <v>5.2439448679252534</v>
      </c>
      <c r="Y537" s="1" cm="1">
        <f t="array" ref="Y537">COUNT(_xlfn._xlws.FILTER($G$7:$G$10000,($I$7:$I$10000=X537)*($J$7:$J$10000&lt;&gt;"NULL")*($G$7:$G$10000 &gt;= ($G$1-5))))/5</f>
        <v>0</v>
      </c>
    </row>
    <row r="538" spans="7:25" x14ac:dyDescent="0.35">
      <c r="G538" s="66">
        <v>7</v>
      </c>
      <c r="H538" t="s">
        <v>2</v>
      </c>
      <c r="I538" t="s">
        <v>174</v>
      </c>
      <c r="J538" t="s">
        <v>256</v>
      </c>
      <c r="K538" t="s">
        <v>9</v>
      </c>
      <c r="L538" t="s">
        <v>4</v>
      </c>
      <c r="M538">
        <f t="shared" si="34"/>
        <v>7.0918564130356438</v>
      </c>
      <c r="N538" t="str">
        <f t="shared" si="35"/>
        <v/>
      </c>
      <c r="O538" s="67" cm="1">
        <f t="array" ref="O538">SUMPRODUCT((G538=$G$7:$G$10000)*(M538&lt;$M$7:$M$10000))+1</f>
        <v>27</v>
      </c>
      <c r="P538" s="72"/>
      <c r="Q538">
        <v>9</v>
      </c>
      <c r="R538" t="str">
        <v>LA</v>
      </c>
      <c r="S538" t="str">
        <v>Ben Houston</v>
      </c>
      <c r="T538" t="str">
        <v>NULL</v>
      </c>
      <c r="U538" t="str">
        <v>Home</v>
      </c>
      <c r="V538" t="str">
        <v>UTAH</v>
      </c>
      <c r="W538">
        <v>5.162844903356465</v>
      </c>
      <c r="Y538" s="1" cm="1">
        <f t="array" ref="Y538">COUNT(_xlfn._xlws.FILTER($G$7:$G$10000,($I$7:$I$10000=X538)*($J$7:$J$10000&lt;&gt;"NULL")*($G$7:$G$10000 &gt;= ($G$1-5))))/5</f>
        <v>0</v>
      </c>
    </row>
    <row r="539" spans="7:25" x14ac:dyDescent="0.35">
      <c r="G539" s="66">
        <v>7</v>
      </c>
      <c r="H539" t="s">
        <v>4</v>
      </c>
      <c r="I539" t="s">
        <v>486</v>
      </c>
      <c r="J539" t="s">
        <v>256</v>
      </c>
      <c r="K539" t="s">
        <v>3</v>
      </c>
      <c r="L539" t="s">
        <v>2</v>
      </c>
      <c r="M539">
        <f t="shared" si="34"/>
        <v>7.0055363146593965</v>
      </c>
      <c r="N539" t="str">
        <f t="shared" si="35"/>
        <v/>
      </c>
      <c r="O539" s="67" cm="1">
        <f t="array" ref="O539">SUMPRODUCT((G539=$G$7:$G$10000)*(M539&lt;$M$7:$M$10000))+1</f>
        <v>28</v>
      </c>
      <c r="P539" s="72"/>
      <c r="Q539">
        <v>9</v>
      </c>
      <c r="R539" t="str">
        <v>HOU</v>
      </c>
      <c r="S539" t="str">
        <v>Emmanuel Albert</v>
      </c>
      <c r="T539" t="str">
        <v>NULL</v>
      </c>
      <c r="U539" t="str">
        <v>Away</v>
      </c>
      <c r="V539" t="str">
        <v>MIA</v>
      </c>
      <c r="W539">
        <v>4.9723548284569148</v>
      </c>
      <c r="Y539" s="1" cm="1">
        <f t="array" ref="Y539">COUNT(_xlfn._xlws.FILTER($G$7:$G$10000,($I$7:$I$10000=X539)*($J$7:$J$10000&lt;&gt;"NULL")*($G$7:$G$10000 &gt;= ($G$1-5))))/5</f>
        <v>0</v>
      </c>
    </row>
    <row r="540" spans="7:25" x14ac:dyDescent="0.35">
      <c r="G540" s="66">
        <v>7</v>
      </c>
      <c r="H540" t="s">
        <v>6</v>
      </c>
      <c r="I540" t="s">
        <v>208</v>
      </c>
      <c r="J540" t="s">
        <v>256</v>
      </c>
      <c r="K540" t="s">
        <v>3</v>
      </c>
      <c r="L540" t="s">
        <v>7</v>
      </c>
      <c r="M540">
        <f t="shared" si="34"/>
        <v>6.8861593887283679</v>
      </c>
      <c r="N540" t="str">
        <f t="shared" si="35"/>
        <v/>
      </c>
      <c r="O540" s="67" cm="1">
        <f t="array" ref="O540">SUMPRODUCT((G540=$G$7:$G$10000)*(M540&lt;$M$7:$M$10000))+1</f>
        <v>29</v>
      </c>
      <c r="P540" s="72"/>
      <c r="Q540">
        <v>9</v>
      </c>
      <c r="R540" t="str">
        <v>NEFJ</v>
      </c>
      <c r="S540" t="str">
        <v>Malakai Hala-Ngatai</v>
      </c>
      <c r="T540" t="str">
        <v>NULL</v>
      </c>
      <c r="U540" t="str">
        <v>Home</v>
      </c>
      <c r="V540" t="str">
        <v>SDL</v>
      </c>
      <c r="W540">
        <v>4.905905254503236</v>
      </c>
      <c r="Y540" s="1" cm="1">
        <f t="array" ref="Y540">COUNT(_xlfn._xlws.FILTER($G$7:$G$10000,($I$7:$I$10000=X540)*($J$7:$J$10000&lt;&gt;"NULL")*($G$7:$G$10000 &gt;= ($G$1-5))))/5</f>
        <v>0</v>
      </c>
    </row>
    <row r="541" spans="7:25" x14ac:dyDescent="0.35">
      <c r="G541" s="66">
        <v>7</v>
      </c>
      <c r="H541" t="s">
        <v>14</v>
      </c>
      <c r="I541" t="s">
        <v>396</v>
      </c>
      <c r="J541" t="s">
        <v>256</v>
      </c>
      <c r="K541" t="s">
        <v>9</v>
      </c>
      <c r="L541" t="s">
        <v>17</v>
      </c>
      <c r="M541">
        <f t="shared" si="34"/>
        <v>6.7000786672598913</v>
      </c>
      <c r="N541" t="str">
        <f t="shared" si="35"/>
        <v/>
      </c>
      <c r="O541" s="67" cm="1">
        <f t="array" ref="O541">SUMPRODUCT((G541=$G$7:$G$10000)*(M541&lt;$M$7:$M$10000))+1</f>
        <v>30</v>
      </c>
      <c r="P541" s="72"/>
      <c r="Q541">
        <v>9</v>
      </c>
      <c r="R541" t="str">
        <v>UTAH</v>
      </c>
      <c r="S541" t="str">
        <v>Gavin Thornbury</v>
      </c>
      <c r="T541" t="str">
        <v>NULL</v>
      </c>
      <c r="U541" t="str">
        <v>Away</v>
      </c>
      <c r="V541" t="str">
        <v>LA</v>
      </c>
      <c r="W541">
        <v>4.8855769188944667</v>
      </c>
      <c r="Y541" s="1" cm="1">
        <f t="array" ref="Y541">COUNT(_xlfn._xlws.FILTER($G$7:$G$10000,($I$7:$I$10000=X541)*($J$7:$J$10000&lt;&gt;"NULL")*($G$7:$G$10000 &gt;= ($G$1-5))))/5</f>
        <v>0</v>
      </c>
    </row>
    <row r="542" spans="7:25" x14ac:dyDescent="0.35">
      <c r="G542" s="66">
        <v>7</v>
      </c>
      <c r="H542" t="s">
        <v>4</v>
      </c>
      <c r="I542" t="s">
        <v>114</v>
      </c>
      <c r="J542" t="s">
        <v>256</v>
      </c>
      <c r="K542" t="s">
        <v>3</v>
      </c>
      <c r="L542" t="s">
        <v>2</v>
      </c>
      <c r="M542">
        <f t="shared" si="34"/>
        <v>6.6016477496730861</v>
      </c>
      <c r="N542" t="str">
        <f t="shared" si="35"/>
        <v/>
      </c>
      <c r="O542" s="67" cm="1">
        <f t="array" ref="O542">SUMPRODUCT((G542=$G$7:$G$10000)*(M542&lt;$M$7:$M$10000))+1</f>
        <v>31</v>
      </c>
      <c r="P542" s="72"/>
      <c r="Q542">
        <v>9</v>
      </c>
      <c r="R542" t="str">
        <v>NOLA</v>
      </c>
      <c r="S542" t="str">
        <v>Tesimoni Tonga'uiha</v>
      </c>
      <c r="T542" t="str">
        <v>NULL</v>
      </c>
      <c r="U542" t="str">
        <v>Home</v>
      </c>
      <c r="V542" t="str">
        <v>OGDC</v>
      </c>
      <c r="W542">
        <v>4.8620985709084081</v>
      </c>
      <c r="Y542" s="1" cm="1">
        <f t="array" ref="Y542">COUNT(_xlfn._xlws.FILTER($G$7:$G$10000,($I$7:$I$10000=X542)*($J$7:$J$10000&lt;&gt;"NULL")*($G$7:$G$10000 &gt;= ($G$1-5))))/5</f>
        <v>0</v>
      </c>
    </row>
    <row r="543" spans="7:25" x14ac:dyDescent="0.35">
      <c r="G543" s="66">
        <v>7</v>
      </c>
      <c r="H543" t="s">
        <v>34</v>
      </c>
      <c r="I543" t="s">
        <v>227</v>
      </c>
      <c r="J543" t="s">
        <v>256</v>
      </c>
      <c r="K543" t="s">
        <v>9</v>
      </c>
      <c r="L543" t="s">
        <v>36</v>
      </c>
      <c r="M543">
        <f t="shared" si="34"/>
        <v>6.4898032925544547</v>
      </c>
      <c r="N543" t="str">
        <f t="shared" si="35"/>
        <v/>
      </c>
      <c r="O543" s="67" cm="1">
        <f t="array" ref="O543">SUMPRODUCT((G543=$G$7:$G$10000)*(M543&lt;$M$7:$M$10000))+1</f>
        <v>32</v>
      </c>
      <c r="P543" s="72"/>
      <c r="Q543">
        <v>9</v>
      </c>
      <c r="R543" t="str">
        <v>MIA</v>
      </c>
      <c r="S543" t="str">
        <v>Marques Fuala'au</v>
      </c>
      <c r="T543" t="str">
        <v>NULL</v>
      </c>
      <c r="U543" t="str">
        <v>Home</v>
      </c>
      <c r="V543" t="str">
        <v>HOU</v>
      </c>
      <c r="W543">
        <v>4.8578259625945392</v>
      </c>
      <c r="Y543" s="1" cm="1">
        <f t="array" ref="Y543">COUNT(_xlfn._xlws.FILTER($G$7:$G$10000,($I$7:$I$10000=X543)*($J$7:$J$10000&lt;&gt;"NULL")*($G$7:$G$10000 &gt;= ($G$1-5))))/5</f>
        <v>0</v>
      </c>
    </row>
    <row r="544" spans="7:25" x14ac:dyDescent="0.35">
      <c r="G544" s="66">
        <v>7</v>
      </c>
      <c r="H544" t="s">
        <v>13</v>
      </c>
      <c r="I544" t="s">
        <v>204</v>
      </c>
      <c r="J544" t="s">
        <v>256</v>
      </c>
      <c r="K544" t="s">
        <v>3</v>
      </c>
      <c r="L544" t="s">
        <v>23</v>
      </c>
      <c r="M544">
        <f t="shared" si="34"/>
        <v>6.2930947652317082</v>
      </c>
      <c r="N544" t="str">
        <f t="shared" si="35"/>
        <v/>
      </c>
      <c r="O544" s="67" cm="1">
        <f t="array" ref="O544">SUMPRODUCT((G544=$G$7:$G$10000)*(M544&lt;$M$7:$M$10000))+1</f>
        <v>33</v>
      </c>
      <c r="P544" s="72"/>
      <c r="Q544">
        <v>9</v>
      </c>
      <c r="R544" t="str">
        <v>LA</v>
      </c>
      <c r="S544" t="str">
        <v>Ed Timpson</v>
      </c>
      <c r="T544" t="str">
        <v>NULL</v>
      </c>
      <c r="U544" t="str">
        <v>Home</v>
      </c>
      <c r="V544" t="str">
        <v>UTAH</v>
      </c>
      <c r="W544">
        <v>4.7921919578951009</v>
      </c>
      <c r="Y544" s="1" cm="1">
        <f t="array" ref="Y544">COUNT(_xlfn._xlws.FILTER($G$7:$G$10000,($I$7:$I$10000=X544)*($J$7:$J$10000&lt;&gt;"NULL")*($G$7:$G$10000 &gt;= ($G$1-5))))/5</f>
        <v>0</v>
      </c>
    </row>
    <row r="545" spans="7:25" x14ac:dyDescent="0.35">
      <c r="G545" s="66">
        <v>7</v>
      </c>
      <c r="H545" t="s">
        <v>36</v>
      </c>
      <c r="I545" t="s">
        <v>205</v>
      </c>
      <c r="J545" t="s">
        <v>256</v>
      </c>
      <c r="K545" t="s">
        <v>3</v>
      </c>
      <c r="L545" t="s">
        <v>34</v>
      </c>
      <c r="M545">
        <f t="shared" si="34"/>
        <v>6.1818870857395432</v>
      </c>
      <c r="N545" t="str">
        <f t="shared" si="35"/>
        <v/>
      </c>
      <c r="O545" s="67" cm="1">
        <f t="array" ref="O545">SUMPRODUCT((G545=$G$7:$G$10000)*(M545&lt;$M$7:$M$10000))+1</f>
        <v>34</v>
      </c>
      <c r="P545" s="72"/>
      <c r="Q545">
        <v>9</v>
      </c>
      <c r="R545" t="str">
        <v>MIA</v>
      </c>
      <c r="S545" t="str">
        <v>Ma'ake Muti</v>
      </c>
      <c r="T545" t="str">
        <v>NULL</v>
      </c>
      <c r="U545" t="str">
        <v>Home</v>
      </c>
      <c r="V545" t="str">
        <v>HOU</v>
      </c>
      <c r="W545">
        <v>4.7108022401666894</v>
      </c>
      <c r="Y545" s="1" cm="1">
        <f t="array" ref="Y545">COUNT(_xlfn._xlws.FILTER($G$7:$G$10000,($I$7:$I$10000=X545)*($J$7:$J$10000&lt;&gt;"NULL")*($G$7:$G$10000 &gt;= ($G$1-5))))/5</f>
        <v>0</v>
      </c>
    </row>
    <row r="546" spans="7:25" x14ac:dyDescent="0.35">
      <c r="G546" s="66">
        <v>7</v>
      </c>
      <c r="H546" t="s">
        <v>4</v>
      </c>
      <c r="I546" t="s">
        <v>484</v>
      </c>
      <c r="J546" t="s">
        <v>256</v>
      </c>
      <c r="K546" t="s">
        <v>3</v>
      </c>
      <c r="L546" t="s">
        <v>2</v>
      </c>
      <c r="M546">
        <f t="shared" si="34"/>
        <v>6.0212809515894641</v>
      </c>
      <c r="N546" t="str">
        <f t="shared" si="35"/>
        <v/>
      </c>
      <c r="O546" s="67" cm="1">
        <f t="array" ref="O546">SUMPRODUCT((G546=$G$7:$G$10000)*(M546&lt;$M$7:$M$10000))+1</f>
        <v>35</v>
      </c>
      <c r="P546" s="72"/>
      <c r="Q546">
        <v>9</v>
      </c>
      <c r="R546" t="str">
        <v>ARC</v>
      </c>
      <c r="S546" t="str">
        <v>Dylan Fortune</v>
      </c>
      <c r="T546" t="str">
        <v>NULL</v>
      </c>
      <c r="U546" t="str">
        <v>Away</v>
      </c>
      <c r="V546" t="str">
        <v>CHI</v>
      </c>
      <c r="W546">
        <v>4.6993824863582159</v>
      </c>
      <c r="Y546" s="1" cm="1">
        <f t="array" ref="Y546">COUNT(_xlfn._xlws.FILTER($G$7:$G$10000,($I$7:$I$10000=X546)*($J$7:$J$10000&lt;&gt;"NULL")*($G$7:$G$10000 &gt;= ($G$1-5))))/5</f>
        <v>0</v>
      </c>
    </row>
    <row r="547" spans="7:25" x14ac:dyDescent="0.35">
      <c r="G547" s="66">
        <v>7</v>
      </c>
      <c r="H547" t="s">
        <v>7</v>
      </c>
      <c r="I547" t="s">
        <v>202</v>
      </c>
      <c r="J547" t="s">
        <v>256</v>
      </c>
      <c r="K547" t="s">
        <v>9</v>
      </c>
      <c r="L547" t="s">
        <v>6</v>
      </c>
      <c r="M547">
        <f t="shared" si="34"/>
        <v>5.9485495028422317</v>
      </c>
      <c r="N547" t="str">
        <f t="shared" si="35"/>
        <v/>
      </c>
      <c r="O547" s="67" cm="1">
        <f t="array" ref="O547">SUMPRODUCT((G547=$G$7:$G$10000)*(M547&lt;$M$7:$M$10000))+1</f>
        <v>36</v>
      </c>
      <c r="P547" s="72"/>
      <c r="Q547">
        <v>9</v>
      </c>
      <c r="R547" t="str">
        <v>NEFJ</v>
      </c>
      <c r="S547" t="str">
        <v>Wian Conradie</v>
      </c>
      <c r="T547" t="str">
        <v>NULL</v>
      </c>
      <c r="U547" t="str">
        <v>Home</v>
      </c>
      <c r="V547" t="str">
        <v>SDL</v>
      </c>
      <c r="W547">
        <v>4.6667944016391418</v>
      </c>
      <c r="Y547" s="1" cm="1">
        <f t="array" ref="Y547">COUNT(_xlfn._xlws.FILTER($G$7:$G$10000,($I$7:$I$10000=X547)*($J$7:$J$10000&lt;&gt;"NULL")*($G$7:$G$10000 &gt;= ($G$1-5))))/5</f>
        <v>0</v>
      </c>
    </row>
    <row r="548" spans="7:25" x14ac:dyDescent="0.35">
      <c r="G548" s="66">
        <v>7</v>
      </c>
      <c r="H548" t="s">
        <v>4</v>
      </c>
      <c r="I548" t="s">
        <v>435</v>
      </c>
      <c r="J548" t="s">
        <v>256</v>
      </c>
      <c r="K548" t="s">
        <v>3</v>
      </c>
      <c r="L548" t="s">
        <v>2</v>
      </c>
      <c r="M548">
        <f t="shared" si="34"/>
        <v>5.9205046835684652</v>
      </c>
      <c r="N548" t="str">
        <f t="shared" si="35"/>
        <v/>
      </c>
      <c r="O548" s="67" cm="1">
        <f t="array" ref="O548">SUMPRODUCT((G548=$G$7:$G$10000)*(M548&lt;$M$7:$M$10000))+1</f>
        <v>37</v>
      </c>
      <c r="P548" s="72"/>
      <c r="Q548">
        <v>9</v>
      </c>
      <c r="R548" t="str">
        <v>SDL</v>
      </c>
      <c r="S548" t="str">
        <v>Tevita Tameilau</v>
      </c>
      <c r="T548" t="str">
        <v>NULL</v>
      </c>
      <c r="U548" t="str">
        <v>Away</v>
      </c>
      <c r="V548" t="str">
        <v>NEFJ</v>
      </c>
      <c r="W548">
        <v>4.5868733275322597</v>
      </c>
      <c r="Y548" s="1" cm="1">
        <f t="array" ref="Y548">COUNT(_xlfn._xlws.FILTER($G$7:$G$10000,($I$7:$I$10000=X548)*($J$7:$J$10000&lt;&gt;"NULL")*($G$7:$G$10000 &gt;= ($G$1-5))))/5</f>
        <v>0</v>
      </c>
    </row>
    <row r="549" spans="7:25" x14ac:dyDescent="0.35">
      <c r="G549" s="66">
        <v>7</v>
      </c>
      <c r="H549" t="s">
        <v>36</v>
      </c>
      <c r="I549" t="s">
        <v>112</v>
      </c>
      <c r="J549" t="s">
        <v>256</v>
      </c>
      <c r="K549" t="s">
        <v>3</v>
      </c>
      <c r="L549" t="s">
        <v>34</v>
      </c>
      <c r="M549">
        <f t="shared" si="34"/>
        <v>5.6167180066691014</v>
      </c>
      <c r="N549" t="str">
        <f t="shared" si="35"/>
        <v/>
      </c>
      <c r="O549" s="67" cm="1">
        <f t="array" ref="O549">SUMPRODUCT((G549=$G$7:$G$10000)*(M549&lt;$M$7:$M$10000))+1</f>
        <v>38</v>
      </c>
      <c r="P549" s="72"/>
      <c r="Q549">
        <v>9</v>
      </c>
      <c r="R549" t="str">
        <v>ARC</v>
      </c>
      <c r="S549" t="str">
        <v>Sam Golla</v>
      </c>
      <c r="T549" t="str">
        <v>NULL</v>
      </c>
      <c r="U549" t="str">
        <v>Away</v>
      </c>
      <c r="V549" t="str">
        <v>CHI</v>
      </c>
      <c r="W549">
        <v>4.5830033351818393</v>
      </c>
      <c r="Y549" s="1" cm="1">
        <f t="array" ref="Y549">COUNT(_xlfn._xlws.FILTER($G$7:$G$10000,($I$7:$I$10000=X549)*($J$7:$J$10000&lt;&gt;"NULL")*($G$7:$G$10000 &gt;= ($G$1-5))))/5</f>
        <v>0</v>
      </c>
    </row>
    <row r="550" spans="7:25" x14ac:dyDescent="0.35">
      <c r="G550" s="66">
        <v>7</v>
      </c>
      <c r="H550" t="s">
        <v>14</v>
      </c>
      <c r="I550" t="s">
        <v>248</v>
      </c>
      <c r="J550" t="s">
        <v>256</v>
      </c>
      <c r="K550" t="s">
        <v>9</v>
      </c>
      <c r="L550" t="s">
        <v>17</v>
      </c>
      <c r="M550">
        <f t="shared" si="34"/>
        <v>5.5711324614908229</v>
      </c>
      <c r="N550" t="str">
        <f t="shared" si="35"/>
        <v/>
      </c>
      <c r="O550" s="67" cm="1">
        <f t="array" ref="O550">SUMPRODUCT((G550=$G$7:$G$10000)*(M550&lt;$M$7:$M$10000))+1</f>
        <v>39</v>
      </c>
      <c r="P550" s="72"/>
      <c r="Q550">
        <v>9</v>
      </c>
      <c r="R550" t="str">
        <v>ARC</v>
      </c>
      <c r="S550" t="str">
        <v>Viliami Vuli</v>
      </c>
      <c r="T550" t="str">
        <v>NULL</v>
      </c>
      <c r="U550" t="str">
        <v>Away</v>
      </c>
      <c r="V550" t="str">
        <v>CHI</v>
      </c>
      <c r="W550">
        <v>4.5249335005936695</v>
      </c>
      <c r="Y550" s="1" cm="1">
        <f t="array" ref="Y550">COUNT(_xlfn._xlws.FILTER($G$7:$G$10000,($I$7:$I$10000=X550)*($J$7:$J$10000&lt;&gt;"NULL")*($G$7:$G$10000 &gt;= ($G$1-5))))/5</f>
        <v>0</v>
      </c>
    </row>
    <row r="551" spans="7:25" x14ac:dyDescent="0.35">
      <c r="G551" s="66">
        <v>7</v>
      </c>
      <c r="H551" t="s">
        <v>4</v>
      </c>
      <c r="I551" t="s">
        <v>434</v>
      </c>
      <c r="J551" t="s">
        <v>256</v>
      </c>
      <c r="K551" t="s">
        <v>3</v>
      </c>
      <c r="L551" t="s">
        <v>2</v>
      </c>
      <c r="M551">
        <f t="shared" ref="M551:M614" si="36">VLOOKUP($K551,$F$3:$G$4,2,FALSE)+VLOOKUP($I551,$A$20:$B$321,2,FALSE)+VLOOKUP($L551,$A$6:$B$16,2,FALSE)</f>
        <v>5.3791670910050726</v>
      </c>
      <c r="N551" t="str">
        <f t="shared" ref="N551:N614" si="37">IFERROR(($J551-$M551)^2,"")</f>
        <v/>
      </c>
      <c r="O551" s="67" cm="1">
        <f t="array" ref="O551">SUMPRODUCT((G551=$G$7:$G$10000)*(M551&lt;$M$7:$M$10000))+1</f>
        <v>40</v>
      </c>
      <c r="P551" s="72"/>
      <c r="Q551">
        <v>9</v>
      </c>
      <c r="R551" t="str">
        <v>NOLA</v>
      </c>
      <c r="S551" t="str">
        <v>Alex Lopeti</v>
      </c>
      <c r="T551" t="str">
        <v>NULL</v>
      </c>
      <c r="U551" t="str">
        <v>Home</v>
      </c>
      <c r="V551" t="str">
        <v>OGDC</v>
      </c>
      <c r="W551">
        <v>4.4798452958563395</v>
      </c>
      <c r="Y551" s="1" cm="1">
        <f t="array" ref="Y551">COUNT(_xlfn._xlws.FILTER($G$7:$G$10000,($I$7:$I$10000=X551)*($J$7:$J$10000&lt;&gt;"NULL")*($G$7:$G$10000 &gt;= ($G$1-5))))/5</f>
        <v>0</v>
      </c>
    </row>
    <row r="552" spans="7:25" x14ac:dyDescent="0.35">
      <c r="G552" s="66">
        <v>7</v>
      </c>
      <c r="H552" t="s">
        <v>36</v>
      </c>
      <c r="I552" t="s">
        <v>117</v>
      </c>
      <c r="J552" t="s">
        <v>256</v>
      </c>
      <c r="K552" t="s">
        <v>3</v>
      </c>
      <c r="L552" t="s">
        <v>34</v>
      </c>
      <c r="M552">
        <f t="shared" si="36"/>
        <v>5.2859316776104865</v>
      </c>
      <c r="N552" t="str">
        <f t="shared" si="37"/>
        <v/>
      </c>
      <c r="O552" s="67" cm="1">
        <f t="array" ref="O552">SUMPRODUCT((G552=$G$7:$G$10000)*(M552&lt;$M$7:$M$10000))+1</f>
        <v>41</v>
      </c>
      <c r="P552" s="72"/>
      <c r="Q552">
        <v>9</v>
      </c>
      <c r="R552" t="str">
        <v>HOU</v>
      </c>
      <c r="S552" t="str">
        <v>Johan Momsen</v>
      </c>
      <c r="T552" t="str">
        <v>NULL</v>
      </c>
      <c r="U552" t="str">
        <v>Away</v>
      </c>
      <c r="V552" t="str">
        <v>MIA</v>
      </c>
      <c r="W552">
        <v>4.4071857493864748</v>
      </c>
      <c r="Y552" s="1" cm="1">
        <f t="array" ref="Y552">COUNT(_xlfn._xlws.FILTER($G$7:$G$10000,($I$7:$I$10000=X552)*($J$7:$J$10000&lt;&gt;"NULL")*($G$7:$G$10000 &gt;= ($G$1-5))))/5</f>
        <v>0</v>
      </c>
    </row>
    <row r="553" spans="7:25" x14ac:dyDescent="0.35">
      <c r="G553" s="66">
        <v>7</v>
      </c>
      <c r="H553" t="s">
        <v>36</v>
      </c>
      <c r="I553" t="s">
        <v>216</v>
      </c>
      <c r="J553" t="s">
        <v>256</v>
      </c>
      <c r="K553" t="s">
        <v>3</v>
      </c>
      <c r="L553" t="s">
        <v>34</v>
      </c>
      <c r="M553">
        <f t="shared" si="36"/>
        <v>5.0633898665167472</v>
      </c>
      <c r="N553" t="str">
        <f t="shared" si="37"/>
        <v/>
      </c>
      <c r="O553" s="67" cm="1">
        <f t="array" ref="O553">SUMPRODUCT((G553=$G$7:$G$10000)*(M553&lt;$M$7:$M$10000))+1</f>
        <v>42</v>
      </c>
      <c r="P553" s="72"/>
      <c r="Q553">
        <v>9</v>
      </c>
      <c r="R553" t="str">
        <v>MIA</v>
      </c>
      <c r="S553" t="str">
        <v>Kirby Myhill</v>
      </c>
      <c r="T553" t="str">
        <v>NULL</v>
      </c>
      <c r="U553" t="str">
        <v>Home</v>
      </c>
      <c r="V553" t="str">
        <v>HOU</v>
      </c>
      <c r="W553">
        <v>4.383392201954373</v>
      </c>
      <c r="Y553" s="1" cm="1">
        <f t="array" ref="Y553">COUNT(_xlfn._xlws.FILTER($G$7:$G$10000,($I$7:$I$10000=X553)*($J$7:$J$10000&lt;&gt;"NULL")*($G$7:$G$10000 &gt;= ($G$1-5))))/5</f>
        <v>0</v>
      </c>
    </row>
    <row r="554" spans="7:25" x14ac:dyDescent="0.35">
      <c r="G554" s="66">
        <v>7</v>
      </c>
      <c r="H554" t="s">
        <v>13</v>
      </c>
      <c r="I554" t="s">
        <v>464</v>
      </c>
      <c r="J554" t="s">
        <v>256</v>
      </c>
      <c r="K554" t="s">
        <v>3</v>
      </c>
      <c r="L554" t="s">
        <v>23</v>
      </c>
      <c r="M554">
        <f t="shared" si="36"/>
        <v>5.0055174947718744</v>
      </c>
      <c r="N554" t="str">
        <f t="shared" si="37"/>
        <v/>
      </c>
      <c r="O554" s="67" cm="1">
        <f t="array" ref="O554">SUMPRODUCT((G554=$G$7:$G$10000)*(M554&lt;$M$7:$M$10000))+1</f>
        <v>43</v>
      </c>
      <c r="P554" s="72"/>
      <c r="Q554">
        <v>9</v>
      </c>
      <c r="R554" t="str">
        <v>NOLA</v>
      </c>
      <c r="S554" t="str">
        <v>Malcolm May</v>
      </c>
      <c r="T554" t="str">
        <v>NULL</v>
      </c>
      <c r="U554" t="str">
        <v>Home</v>
      </c>
      <c r="V554" t="str">
        <v>OGDC</v>
      </c>
      <c r="W554">
        <v>4.3016193832993537</v>
      </c>
      <c r="Y554" s="1" cm="1">
        <f t="array" ref="Y554">COUNT(_xlfn._xlws.FILTER($G$7:$G$10000,($I$7:$I$10000=X554)*($J$7:$J$10000&lt;&gt;"NULL")*($G$7:$G$10000 &gt;= ($G$1-5))))/5</f>
        <v>0</v>
      </c>
    </row>
    <row r="555" spans="7:25" x14ac:dyDescent="0.35">
      <c r="G555" s="66">
        <v>7</v>
      </c>
      <c r="H555" t="s">
        <v>4</v>
      </c>
      <c r="I555" t="s">
        <v>481</v>
      </c>
      <c r="J555" t="s">
        <v>256</v>
      </c>
      <c r="K555" t="s">
        <v>3</v>
      </c>
      <c r="L555" t="s">
        <v>2</v>
      </c>
      <c r="M555">
        <f t="shared" si="36"/>
        <v>4.9969138159530031</v>
      </c>
      <c r="N555" t="str">
        <f t="shared" si="37"/>
        <v/>
      </c>
      <c r="O555" s="67" cm="1">
        <f t="array" ref="O555">SUMPRODUCT((G555=$G$7:$G$10000)*(M555&lt;$M$7:$M$10000))+1</f>
        <v>44</v>
      </c>
      <c r="P555" s="72"/>
      <c r="Q555">
        <v>9</v>
      </c>
      <c r="R555" t="str">
        <v>LA</v>
      </c>
      <c r="S555" t="str">
        <v>Jason Damm</v>
      </c>
      <c r="T555" t="str">
        <v>NULL</v>
      </c>
      <c r="U555" t="str">
        <v>Home</v>
      </c>
      <c r="V555" t="str">
        <v>UTAH</v>
      </c>
      <c r="W555">
        <v>4.2903389870250237</v>
      </c>
      <c r="Y555" s="1" cm="1">
        <f t="array" ref="Y555">COUNT(_xlfn._xlws.FILTER($G$7:$G$10000,($I$7:$I$10000=X555)*($J$7:$J$10000&lt;&gt;"NULL")*($G$7:$G$10000 &gt;= ($G$1-5))))/5</f>
        <v>0</v>
      </c>
    </row>
    <row r="556" spans="7:25" x14ac:dyDescent="0.35">
      <c r="G556" s="66">
        <v>7</v>
      </c>
      <c r="H556" t="s">
        <v>4</v>
      </c>
      <c r="I556" t="s">
        <v>109</v>
      </c>
      <c r="J556" t="s">
        <v>256</v>
      </c>
      <c r="K556" t="s">
        <v>3</v>
      </c>
      <c r="L556" t="s">
        <v>2</v>
      </c>
      <c r="M556">
        <f t="shared" si="36"/>
        <v>4.8186879033960164</v>
      </c>
      <c r="N556" t="str">
        <f t="shared" si="37"/>
        <v/>
      </c>
      <c r="O556" s="67" cm="1">
        <f t="array" ref="O556">SUMPRODUCT((G556=$G$7:$G$10000)*(M556&lt;$M$7:$M$10000))+1</f>
        <v>45</v>
      </c>
      <c r="P556" s="72"/>
      <c r="Q556">
        <v>9</v>
      </c>
      <c r="R556" t="str">
        <v>UTAH</v>
      </c>
      <c r="S556" t="str">
        <v>Kalisi Moli</v>
      </c>
      <c r="T556" t="str">
        <v>NULL</v>
      </c>
      <c r="U556" t="str">
        <v>Away</v>
      </c>
      <c r="V556" t="str">
        <v>LA</v>
      </c>
      <c r="W556">
        <v>4.2001280809815427</v>
      </c>
      <c r="Y556" s="1" cm="1">
        <f t="array" ref="Y556">COUNT(_xlfn._xlws.FILTER($G$7:$G$10000,($I$7:$I$10000=X556)*($J$7:$J$10000&lt;&gt;"NULL")*($G$7:$G$10000 &gt;= ($G$1-5))))/5</f>
        <v>0</v>
      </c>
    </row>
    <row r="557" spans="7:25" x14ac:dyDescent="0.35">
      <c r="G557" s="66">
        <v>7</v>
      </c>
      <c r="H557" t="s">
        <v>14</v>
      </c>
      <c r="I557" t="s">
        <v>203</v>
      </c>
      <c r="J557" t="s">
        <v>256</v>
      </c>
      <c r="K557" t="s">
        <v>9</v>
      </c>
      <c r="L557" t="s">
        <v>17</v>
      </c>
      <c r="M557">
        <f t="shared" si="36"/>
        <v>4.7167329957488811</v>
      </c>
      <c r="N557" t="str">
        <f t="shared" si="37"/>
        <v/>
      </c>
      <c r="O557" s="67" cm="1">
        <f t="array" ref="O557">SUMPRODUCT((G557=$G$7:$G$10000)*(M557&lt;$M$7:$M$10000))+1</f>
        <v>46</v>
      </c>
      <c r="P557" s="72"/>
      <c r="Q557">
        <v>9</v>
      </c>
      <c r="R557" t="str">
        <v>HOU</v>
      </c>
      <c r="S557" t="str">
        <v>Nathan Den Hoedt</v>
      </c>
      <c r="T557" t="str">
        <v>NULL</v>
      </c>
      <c r="U557" t="str">
        <v>Away</v>
      </c>
      <c r="V557" t="str">
        <v>MIA</v>
      </c>
      <c r="W557">
        <v>4.07639942032786</v>
      </c>
      <c r="Y557" s="1" cm="1">
        <f t="array" ref="Y557">COUNT(_xlfn._xlws.FILTER($G$7:$G$10000,($I$7:$I$10000=X557)*($J$7:$J$10000&lt;&gt;"NULL")*($G$7:$G$10000 &gt;= ($G$1-5))))/5</f>
        <v>0</v>
      </c>
    </row>
    <row r="558" spans="7:25" x14ac:dyDescent="0.35">
      <c r="G558" s="66">
        <v>7</v>
      </c>
      <c r="H558" t="s">
        <v>17</v>
      </c>
      <c r="I558" t="s">
        <v>206</v>
      </c>
      <c r="J558" t="s">
        <v>256</v>
      </c>
      <c r="K558" t="s">
        <v>3</v>
      </c>
      <c r="L558" t="s">
        <v>14</v>
      </c>
      <c r="M558">
        <f t="shared" si="36"/>
        <v>4.7017265208211398</v>
      </c>
      <c r="N558" t="str">
        <f t="shared" si="37"/>
        <v/>
      </c>
      <c r="O558" s="67" cm="1">
        <f t="array" ref="O558">SUMPRODUCT((G558=$G$7:$G$10000)*(M558&lt;$M$7:$M$10000))+1</f>
        <v>47</v>
      </c>
      <c r="P558" s="72"/>
      <c r="Q558">
        <v>9</v>
      </c>
      <c r="R558" t="str">
        <v>HOU</v>
      </c>
      <c r="S558" t="str">
        <v>Marno Redelinghuys</v>
      </c>
      <c r="T558" t="str">
        <v>NULL</v>
      </c>
      <c r="U558" t="str">
        <v>Away</v>
      </c>
      <c r="V558" t="str">
        <v>MIA</v>
      </c>
      <c r="W558">
        <v>3.8538576092341206</v>
      </c>
      <c r="Y558" s="1" cm="1">
        <f t="array" ref="Y558">COUNT(_xlfn._xlws.FILTER($G$7:$G$10000,($I$7:$I$10000=X558)*($J$7:$J$10000&lt;&gt;"NULL")*($G$7:$G$10000 &gt;= ($G$1-5))))/5</f>
        <v>0</v>
      </c>
    </row>
    <row r="559" spans="7:25" x14ac:dyDescent="0.35">
      <c r="G559" s="66">
        <v>7</v>
      </c>
      <c r="H559" t="s">
        <v>13</v>
      </c>
      <c r="I559" t="s">
        <v>103</v>
      </c>
      <c r="J559" t="s">
        <v>256</v>
      </c>
      <c r="K559" t="s">
        <v>3</v>
      </c>
      <c r="L559" t="s">
        <v>23</v>
      </c>
      <c r="M559">
        <f t="shared" si="36"/>
        <v>4.6019395927164224</v>
      </c>
      <c r="N559" t="str">
        <f t="shared" si="37"/>
        <v/>
      </c>
      <c r="O559" s="67" cm="1">
        <f t="array" ref="O559">SUMPRODUCT((G559=$G$7:$G$10000)*(M559&lt;$M$7:$M$10000))+1</f>
        <v>48</v>
      </c>
      <c r="P559" s="72"/>
      <c r="Q559">
        <v>9</v>
      </c>
      <c r="R559" t="str">
        <v>ARC</v>
      </c>
      <c r="S559" t="str">
        <v>Alex Maughan</v>
      </c>
      <c r="T559" t="str">
        <v>NULL</v>
      </c>
      <c r="U559" t="str">
        <v>Away</v>
      </c>
      <c r="V559" t="str">
        <v>CHI</v>
      </c>
      <c r="W559">
        <v>3.7763476539166634</v>
      </c>
      <c r="Y559" s="1" cm="1">
        <f t="array" ref="Y559">COUNT(_xlfn._xlws.FILTER($G$7:$G$10000,($I$7:$I$10000=X559)*($J$7:$J$10000&lt;&gt;"NULL")*($G$7:$G$10000 &gt;= ($G$1-5))))/5</f>
        <v>0</v>
      </c>
    </row>
    <row r="560" spans="7:25" x14ac:dyDescent="0.35">
      <c r="G560" s="66">
        <v>7</v>
      </c>
      <c r="H560" t="s">
        <v>14</v>
      </c>
      <c r="I560" t="s">
        <v>107</v>
      </c>
      <c r="J560" t="s">
        <v>256</v>
      </c>
      <c r="K560" t="s">
        <v>9</v>
      </c>
      <c r="L560" t="s">
        <v>17</v>
      </c>
      <c r="M560">
        <f t="shared" si="36"/>
        <v>4.6003538445725045</v>
      </c>
      <c r="N560" t="str">
        <f t="shared" si="37"/>
        <v/>
      </c>
      <c r="O560" s="67" cm="1">
        <f t="array" ref="O560">SUMPRODUCT((G560=$G$7:$G$10000)*(M560&lt;$M$7:$M$10000))+1</f>
        <v>49</v>
      </c>
      <c r="P560" s="72"/>
      <c r="Q560">
        <v>9</v>
      </c>
      <c r="R560" t="str">
        <v>ARC</v>
      </c>
      <c r="S560" t="str">
        <v>Ethan Howard</v>
      </c>
      <c r="T560" t="str">
        <v>NULL</v>
      </c>
      <c r="U560" t="str">
        <v>Away</v>
      </c>
      <c r="V560" t="str">
        <v>CHI</v>
      </c>
      <c r="W560">
        <v>3.427587813944406</v>
      </c>
      <c r="Y560" s="1" cm="1">
        <f t="array" ref="Y560">COUNT(_xlfn._xlws.FILTER($G$7:$G$10000,($I$7:$I$10000=X560)*($J$7:$J$10000&lt;&gt;"NULL")*($G$7:$G$10000 &gt;= ($G$1-5))))/5</f>
        <v>0</v>
      </c>
    </row>
    <row r="561" spans="7:25" x14ac:dyDescent="0.35">
      <c r="G561" s="66">
        <v>7</v>
      </c>
      <c r="H561" t="s">
        <v>14</v>
      </c>
      <c r="I561" t="s">
        <v>471</v>
      </c>
      <c r="J561" t="s">
        <v>256</v>
      </c>
      <c r="K561" t="s">
        <v>9</v>
      </c>
      <c r="L561" t="s">
        <v>17</v>
      </c>
      <c r="M561">
        <f t="shared" si="36"/>
        <v>4.5422840099843347</v>
      </c>
      <c r="N561" t="str">
        <f t="shared" si="37"/>
        <v/>
      </c>
      <c r="O561" s="67" cm="1">
        <f t="array" ref="O561">SUMPRODUCT((G561=$G$7:$G$10000)*(M561&lt;$M$7:$M$10000))+1</f>
        <v>50</v>
      </c>
      <c r="P561" s="72"/>
      <c r="Q561">
        <v>9</v>
      </c>
      <c r="R561" t="str">
        <v>ARC</v>
      </c>
      <c r="S561" t="str">
        <v>Mikey Grandy</v>
      </c>
      <c r="T561" t="str">
        <v>NULL</v>
      </c>
      <c r="U561" t="str">
        <v>Away</v>
      </c>
      <c r="V561" t="str">
        <v>CHI</v>
      </c>
      <c r="W561">
        <v>3.4113657291115178</v>
      </c>
      <c r="Y561" s="1" cm="1">
        <f t="array" ref="Y561">COUNT(_xlfn._xlws.FILTER($G$7:$G$10000,($I$7:$I$10000=X561)*($J$7:$J$10000&lt;&gt;"NULL")*($G$7:$G$10000 &gt;= ($G$1-5))))/5</f>
        <v>0</v>
      </c>
    </row>
    <row r="562" spans="7:25" x14ac:dyDescent="0.35">
      <c r="G562" s="66">
        <v>7</v>
      </c>
      <c r="H562" t="s">
        <v>34</v>
      </c>
      <c r="I562" t="s">
        <v>436</v>
      </c>
      <c r="J562" t="s">
        <v>256</v>
      </c>
      <c r="K562" t="s">
        <v>9</v>
      </c>
      <c r="L562" t="s">
        <v>36</v>
      </c>
      <c r="M562">
        <f t="shared" si="36"/>
        <v>4.432522997649639</v>
      </c>
      <c r="N562" t="str">
        <f t="shared" si="37"/>
        <v/>
      </c>
      <c r="O562" s="67" cm="1">
        <f t="array" ref="O562">SUMPRODUCT((G562=$G$7:$G$10000)*(M562&lt;$M$7:$M$10000))+1</f>
        <v>51</v>
      </c>
      <c r="P562" s="72"/>
      <c r="Q562">
        <v>9</v>
      </c>
      <c r="R562" t="str">
        <v>ARC</v>
      </c>
      <c r="S562" t="str">
        <v>Jake Turnbull</v>
      </c>
      <c r="T562" t="str">
        <v>NULL</v>
      </c>
      <c r="U562" t="str">
        <v>Away</v>
      </c>
      <c r="V562" t="str">
        <v>CHI</v>
      </c>
      <c r="W562">
        <v>3.4001156446383645</v>
      </c>
      <c r="Y562" s="1" cm="1">
        <f t="array" ref="Y562">COUNT(_xlfn._xlws.FILTER($G$7:$G$10000,($I$7:$I$10000=X562)*($J$7:$J$10000&lt;&gt;"NULL")*($G$7:$G$10000 &gt;= ($G$1-5))))/5</f>
        <v>0</v>
      </c>
    </row>
    <row r="563" spans="7:25" x14ac:dyDescent="0.35">
      <c r="G563" s="66">
        <v>7</v>
      </c>
      <c r="H563" t="s">
        <v>23</v>
      </c>
      <c r="I563" t="s">
        <v>221</v>
      </c>
      <c r="J563" t="s">
        <v>256</v>
      </c>
      <c r="K563" t="s">
        <v>9</v>
      </c>
      <c r="L563" t="s">
        <v>13</v>
      </c>
      <c r="M563">
        <f t="shared" si="36"/>
        <v>4.399514253103586</v>
      </c>
      <c r="N563" t="str">
        <f t="shared" si="37"/>
        <v/>
      </c>
      <c r="O563" s="67" cm="1">
        <f t="array" ref="O563">SUMPRODUCT((G563=$G$7:$G$10000)*(M563&lt;$M$7:$M$10000))+1</f>
        <v>52</v>
      </c>
      <c r="P563" s="72"/>
      <c r="Q563">
        <v>9</v>
      </c>
      <c r="R563" t="str">
        <v>OGDC</v>
      </c>
      <c r="S563" t="str">
        <v>Facundo Gattas</v>
      </c>
      <c r="T563" t="str">
        <v>NULL</v>
      </c>
      <c r="U563" t="str">
        <v>Away</v>
      </c>
      <c r="V563" t="str">
        <v>NOLA</v>
      </c>
      <c r="W563">
        <v>3.2448883116372853</v>
      </c>
      <c r="Y563" s="1" cm="1">
        <f t="array" ref="Y563">COUNT(_xlfn._xlws.FILTER($G$7:$G$10000,($I$7:$I$10000=X563)*($J$7:$J$10000&lt;&gt;"NULL")*($G$7:$G$10000 &gt;= ($G$1-5))))/5</f>
        <v>0</v>
      </c>
    </row>
    <row r="564" spans="7:25" x14ac:dyDescent="0.35">
      <c r="G564" s="66">
        <v>7</v>
      </c>
      <c r="H564" t="s">
        <v>23</v>
      </c>
      <c r="I564" t="s">
        <v>144</v>
      </c>
      <c r="J564" t="s">
        <v>256</v>
      </c>
      <c r="K564" t="s">
        <v>9</v>
      </c>
      <c r="L564" t="s">
        <v>13</v>
      </c>
      <c r="M564">
        <f t="shared" si="36"/>
        <v>4.2848801417973945</v>
      </c>
      <c r="N564" t="str">
        <f t="shared" si="37"/>
        <v/>
      </c>
      <c r="O564" s="67" cm="1">
        <f t="array" ref="O564">SUMPRODUCT((G564=$G$7:$G$10000)*(M564&lt;$M$7:$M$10000))+1</f>
        <v>53</v>
      </c>
      <c r="P564" s="72"/>
      <c r="Q564">
        <v>9</v>
      </c>
      <c r="R564" t="str">
        <v>NOLA</v>
      </c>
      <c r="S564" t="str">
        <v>Paul Mullen</v>
      </c>
      <c r="T564" t="str">
        <v>NULL</v>
      </c>
      <c r="U564" t="str">
        <v>Home</v>
      </c>
      <c r="V564" t="str">
        <v>OGDC</v>
      </c>
      <c r="W564">
        <v>3.2052978453630385</v>
      </c>
      <c r="Y564" s="1" cm="1">
        <f t="array" ref="Y564">COUNT(_xlfn._xlws.FILTER($G$7:$G$10000,($I$7:$I$10000=X564)*($J$7:$J$10000&lt;&gt;"NULL")*($G$7:$G$10000 &gt;= ($G$1-5))))/5</f>
        <v>0</v>
      </c>
    </row>
    <row r="565" spans="7:25" x14ac:dyDescent="0.35">
      <c r="G565" s="66">
        <v>7</v>
      </c>
      <c r="H565" t="s">
        <v>34</v>
      </c>
      <c r="I565" t="s">
        <v>177</v>
      </c>
      <c r="J565" t="s">
        <v>256</v>
      </c>
      <c r="K565" t="s">
        <v>9</v>
      </c>
      <c r="L565" t="s">
        <v>36</v>
      </c>
      <c r="M565">
        <f t="shared" si="36"/>
        <v>4.2111185155346158</v>
      </c>
      <c r="N565" t="str">
        <f t="shared" si="37"/>
        <v/>
      </c>
      <c r="O565" s="67" cm="1">
        <f t="array" ref="O565">SUMPRODUCT((G565=$G$7:$G$10000)*(M565&lt;$M$7:$M$10000))+1</f>
        <v>54</v>
      </c>
      <c r="P565" s="72"/>
      <c r="Q565">
        <v>9</v>
      </c>
      <c r="R565" t="str">
        <v>OGDC</v>
      </c>
      <c r="S565" t="str">
        <v>Jack Iscaro</v>
      </c>
      <c r="T565" t="str">
        <v>NULL</v>
      </c>
      <c r="U565" t="str">
        <v>Away</v>
      </c>
      <c r="V565" t="str">
        <v>NOLA</v>
      </c>
      <c r="W565">
        <v>3.1923712819539851</v>
      </c>
      <c r="Y565" s="1" cm="1">
        <f t="array" ref="Y565">COUNT(_xlfn._xlws.FILTER($G$7:$G$10000,($I$7:$I$10000=X565)*($J$7:$J$10000&lt;&gt;"NULL")*($G$7:$G$10000 &gt;= ($G$1-5))))/5</f>
        <v>0</v>
      </c>
    </row>
    <row r="566" spans="7:25" x14ac:dyDescent="0.35">
      <c r="G566" s="66">
        <v>7</v>
      </c>
      <c r="H566" t="s">
        <v>34</v>
      </c>
      <c r="I566" t="s">
        <v>153</v>
      </c>
      <c r="J566" t="s">
        <v>256</v>
      </c>
      <c r="K566" t="s">
        <v>9</v>
      </c>
      <c r="L566" t="s">
        <v>36</v>
      </c>
      <c r="M566">
        <f t="shared" si="36"/>
        <v>4.1107095221928045</v>
      </c>
      <c r="N566" t="str">
        <f t="shared" si="37"/>
        <v/>
      </c>
      <c r="O566" s="67" cm="1">
        <f t="array" ref="O566">SUMPRODUCT((G566=$G$7:$G$10000)*(M566&lt;$M$7:$M$10000))+1</f>
        <v>55</v>
      </c>
      <c r="P566" s="72"/>
      <c r="Q566">
        <v>9</v>
      </c>
      <c r="R566" t="str">
        <v>OGDC</v>
      </c>
      <c r="S566" t="str">
        <v>Lautaro Bavaro</v>
      </c>
      <c r="T566" t="str">
        <v>NULL</v>
      </c>
      <c r="U566" t="str">
        <v>Away</v>
      </c>
      <c r="V566" t="str">
        <v>NOLA</v>
      </c>
      <c r="W566">
        <v>2.87623966609093</v>
      </c>
      <c r="Y566" s="1" cm="1">
        <f t="array" ref="Y566">COUNT(_xlfn._xlws.FILTER($G$7:$G$10000,($I$7:$I$10000=X566)*($J$7:$J$10000&lt;&gt;"NULL")*($G$7:$G$10000 &gt;= ($G$1-5))))/5</f>
        <v>0</v>
      </c>
    </row>
    <row r="567" spans="7:25" x14ac:dyDescent="0.35">
      <c r="G567" s="66">
        <v>7</v>
      </c>
      <c r="H567" t="s">
        <v>23</v>
      </c>
      <c r="I567" t="s">
        <v>421</v>
      </c>
      <c r="J567" t="s">
        <v>256</v>
      </c>
      <c r="K567" t="s">
        <v>9</v>
      </c>
      <c r="L567" t="s">
        <v>13</v>
      </c>
      <c r="M567">
        <f t="shared" si="36"/>
        <v>4.0131017872064181</v>
      </c>
      <c r="N567" t="str">
        <f t="shared" si="37"/>
        <v/>
      </c>
      <c r="O567" s="67" cm="1">
        <f t="array" ref="O567">SUMPRODUCT((G567=$G$7:$G$10000)*(M567&lt;$M$7:$M$10000))+1</f>
        <v>56</v>
      </c>
      <c r="P567" s="72"/>
      <c r="Q567">
        <v>9</v>
      </c>
      <c r="R567" t="str">
        <v>MIA</v>
      </c>
      <c r="S567" t="str">
        <v>Tau Koloamatangi</v>
      </c>
      <c r="T567" t="str">
        <v>NULL</v>
      </c>
      <c r="U567" t="str">
        <v>Home</v>
      </c>
      <c r="V567" t="str">
        <v>HOU</v>
      </c>
      <c r="W567">
        <v>2.8506281046690782</v>
      </c>
      <c r="Y567" s="1" cm="1">
        <f t="array" ref="Y567">COUNT(_xlfn._xlws.FILTER($G$7:$G$10000,($I$7:$I$10000=X567)*($J$7:$J$10000&lt;&gt;"NULL")*($G$7:$G$10000 &gt;= ($G$1-5))))/5</f>
        <v>0</v>
      </c>
    </row>
    <row r="568" spans="7:25" x14ac:dyDescent="0.35">
      <c r="G568" s="66">
        <v>7</v>
      </c>
      <c r="H568" t="s">
        <v>36</v>
      </c>
      <c r="I568" t="s">
        <v>415</v>
      </c>
      <c r="J568" t="s">
        <v>256</v>
      </c>
      <c r="K568" t="s">
        <v>3</v>
      </c>
      <c r="L568" t="s">
        <v>34</v>
      </c>
      <c r="M568">
        <f t="shared" si="36"/>
        <v>3.9121954592066288</v>
      </c>
      <c r="N568" t="str">
        <f t="shared" si="37"/>
        <v/>
      </c>
      <c r="O568" s="67" cm="1">
        <f t="array" ref="O568">SUMPRODUCT((G568=$G$7:$G$10000)*(M568&lt;$M$7:$M$10000))+1</f>
        <v>57</v>
      </c>
      <c r="P568" s="72"/>
      <c r="Q568">
        <v>9</v>
      </c>
      <c r="R568" t="str">
        <v>NOLA</v>
      </c>
      <c r="S568" t="str">
        <v>Matt Harmon</v>
      </c>
      <c r="T568" t="str">
        <v>NULL</v>
      </c>
      <c r="U568" t="str">
        <v>Home</v>
      </c>
      <c r="V568" t="str">
        <v>OGDC</v>
      </c>
      <c r="W568">
        <v>2.8238544482643348</v>
      </c>
      <c r="Y568" s="1" cm="1">
        <f t="array" ref="Y568">COUNT(_xlfn._xlws.FILTER($G$7:$G$10000,($I$7:$I$10000=X568)*($J$7:$J$10000&lt;&gt;"NULL")*($G$7:$G$10000 &gt;= ($G$1-5))))/5</f>
        <v>0</v>
      </c>
    </row>
    <row r="569" spans="7:25" x14ac:dyDescent="0.35">
      <c r="G569" s="66">
        <v>7</v>
      </c>
      <c r="H569" t="s">
        <v>36</v>
      </c>
      <c r="I569" t="s">
        <v>224</v>
      </c>
      <c r="J569" t="s">
        <v>256</v>
      </c>
      <c r="K569" t="s">
        <v>3</v>
      </c>
      <c r="L569" t="s">
        <v>34</v>
      </c>
      <c r="M569">
        <f t="shared" si="36"/>
        <v>3.8611676108323607</v>
      </c>
      <c r="N569" t="str">
        <f t="shared" si="37"/>
        <v/>
      </c>
      <c r="O569" s="67" cm="1">
        <f t="array" ref="O569">SUMPRODUCT((G569=$G$7:$G$10000)*(M569&lt;$M$7:$M$10000))+1</f>
        <v>58</v>
      </c>
      <c r="P569" s="72"/>
      <c r="Q569">
        <v>9</v>
      </c>
      <c r="R569" t="str">
        <v>OGDC</v>
      </c>
      <c r="S569" t="str">
        <v>Rob Harley</v>
      </c>
      <c r="T569" t="str">
        <v>NULL</v>
      </c>
      <c r="U569" t="str">
        <v>Away</v>
      </c>
      <c r="V569" t="str">
        <v>NOLA</v>
      </c>
      <c r="W569">
        <v>2.7181319920172404</v>
      </c>
      <c r="Y569" s="1" cm="1">
        <f t="array" ref="Y569">COUNT(_xlfn._xlws.FILTER($G$7:$G$10000,($I$7:$I$10000=X569)*($J$7:$J$10000&lt;&gt;"NULL")*($G$7:$G$10000 &gt;= ($G$1-5))))/5</f>
        <v>0</v>
      </c>
    </row>
    <row r="570" spans="7:25" x14ac:dyDescent="0.35">
      <c r="G570" s="66">
        <v>7</v>
      </c>
      <c r="H570" t="s">
        <v>7</v>
      </c>
      <c r="I570" t="s">
        <v>158</v>
      </c>
      <c r="J570" t="s">
        <v>256</v>
      </c>
      <c r="K570" t="s">
        <v>9</v>
      </c>
      <c r="L570" t="s">
        <v>6</v>
      </c>
      <c r="M570">
        <f t="shared" si="36"/>
        <v>3.8292905752281952</v>
      </c>
      <c r="N570" t="str">
        <f t="shared" si="37"/>
        <v/>
      </c>
      <c r="O570" s="67" cm="1">
        <f t="array" ref="O570">SUMPRODUCT((G570=$G$7:$G$10000)*(M570&lt;$M$7:$M$10000))+1</f>
        <v>59</v>
      </c>
      <c r="P570" s="72"/>
      <c r="Q570">
        <v>9</v>
      </c>
      <c r="R570" t="str">
        <v>HOU</v>
      </c>
      <c r="S570" t="str">
        <v>Pono Davis</v>
      </c>
      <c r="T570" t="str">
        <v>NULL</v>
      </c>
      <c r="U570" t="str">
        <v>Away</v>
      </c>
      <c r="V570" t="str">
        <v>MIA</v>
      </c>
      <c r="W570">
        <v>2.7026632019240022</v>
      </c>
      <c r="Y570" s="1" cm="1">
        <f t="array" ref="Y570">COUNT(_xlfn._xlws.FILTER($G$7:$G$10000,($I$7:$I$10000=X570)*($J$7:$J$10000&lt;&gt;"NULL")*($G$7:$G$10000 &gt;= ($G$1-5))))/5</f>
        <v>0</v>
      </c>
    </row>
    <row r="571" spans="7:25" x14ac:dyDescent="0.35">
      <c r="G571" s="66">
        <v>7</v>
      </c>
      <c r="H571" t="s">
        <v>14</v>
      </c>
      <c r="I571" t="s">
        <v>143</v>
      </c>
      <c r="J571" t="s">
        <v>256</v>
      </c>
      <c r="K571" t="s">
        <v>9</v>
      </c>
      <c r="L571" t="s">
        <v>17</v>
      </c>
      <c r="M571">
        <f t="shared" si="36"/>
        <v>3.7936981633073286</v>
      </c>
      <c r="N571" t="str">
        <f t="shared" si="37"/>
        <v/>
      </c>
      <c r="O571" s="67" cm="1">
        <f t="array" ref="O571">SUMPRODUCT((G571=$G$7:$G$10000)*(M571&lt;$M$7:$M$10000))+1</f>
        <v>60</v>
      </c>
      <c r="P571" s="72"/>
      <c r="Q571">
        <v>9</v>
      </c>
      <c r="R571" t="str">
        <v>HOU</v>
      </c>
      <c r="S571" t="str">
        <v>Ronan Murphy</v>
      </c>
      <c r="T571" t="str">
        <v>NULL</v>
      </c>
      <c r="U571" t="str">
        <v>Away</v>
      </c>
      <c r="V571" t="str">
        <v>MIA</v>
      </c>
      <c r="W571">
        <v>2.6516353535497341</v>
      </c>
      <c r="Y571" s="1" cm="1">
        <f t="array" ref="Y571">COUNT(_xlfn._xlws.FILTER($G$7:$G$10000,($I$7:$I$10000=X571)*($J$7:$J$10000&lt;&gt;"NULL")*($G$7:$G$10000 &gt;= ($G$1-5))))/5</f>
        <v>0</v>
      </c>
    </row>
    <row r="572" spans="7:25" x14ac:dyDescent="0.35">
      <c r="G572" s="66">
        <v>7</v>
      </c>
      <c r="H572" t="s">
        <v>7</v>
      </c>
      <c r="I572" t="s">
        <v>163</v>
      </c>
      <c r="J572" t="s">
        <v>256</v>
      </c>
      <c r="K572" t="s">
        <v>9</v>
      </c>
      <c r="L572" t="s">
        <v>6</v>
      </c>
      <c r="M572">
        <f t="shared" si="36"/>
        <v>3.776773545544895</v>
      </c>
      <c r="N572" t="str">
        <f t="shared" si="37"/>
        <v/>
      </c>
      <c r="O572" s="67" cm="1">
        <f t="array" ref="O572">SUMPRODUCT((G572=$G$7:$G$10000)*(M572&lt;$M$7:$M$10000))+1</f>
        <v>61</v>
      </c>
      <c r="P572" s="72"/>
      <c r="Q572">
        <v>9</v>
      </c>
      <c r="R572" t="str">
        <v>ARC</v>
      </c>
      <c r="S572" t="str">
        <v>Shawn Clark</v>
      </c>
      <c r="T572" t="str">
        <v>NULL</v>
      </c>
      <c r="U572" t="str">
        <v>Away</v>
      </c>
      <c r="V572" t="str">
        <v>CHI</v>
      </c>
      <c r="W572">
        <v>2.6005195953535125</v>
      </c>
      <c r="Y572" s="1" cm="1">
        <f t="array" ref="Y572">COUNT(_xlfn._xlws.FILTER($G$7:$G$10000,($I$7:$I$10000=X572)*($J$7:$J$10000&lt;&gt;"NULL")*($G$7:$G$10000 &gt;= ($G$1-5))))/5</f>
        <v>0</v>
      </c>
    </row>
    <row r="573" spans="7:25" x14ac:dyDescent="0.35">
      <c r="G573" s="66">
        <v>7</v>
      </c>
      <c r="H573" t="s">
        <v>4</v>
      </c>
      <c r="I573" t="s">
        <v>176</v>
      </c>
      <c r="J573" t="s">
        <v>256</v>
      </c>
      <c r="K573" t="s">
        <v>3</v>
      </c>
      <c r="L573" t="s">
        <v>2</v>
      </c>
      <c r="M573">
        <f t="shared" si="36"/>
        <v>3.7223663654597021</v>
      </c>
      <c r="N573" t="str">
        <f t="shared" si="37"/>
        <v/>
      </c>
      <c r="O573" s="67" cm="1">
        <f t="array" ref="O573">SUMPRODUCT((G573=$G$7:$G$10000)*(M573&lt;$M$7:$M$10000))+1</f>
        <v>62</v>
      </c>
      <c r="P573" s="72"/>
      <c r="Q573">
        <v>9</v>
      </c>
      <c r="R573" t="str">
        <v>ARC</v>
      </c>
      <c r="S573" t="str">
        <v>Joe Apikotoa</v>
      </c>
      <c r="T573" t="str">
        <v>NULL</v>
      </c>
      <c r="U573" t="str">
        <v>Away</v>
      </c>
      <c r="V573" t="str">
        <v>CHI</v>
      </c>
      <c r="W573">
        <v>2.5837763048892999</v>
      </c>
      <c r="Y573" s="1" cm="1">
        <f t="array" ref="Y573">COUNT(_xlfn._xlws.FILTER($G$7:$G$10000,($I$7:$I$10000=X573)*($J$7:$J$10000&lt;&gt;"NULL")*($G$7:$G$10000 &gt;= ($G$1-5))))/5</f>
        <v>0</v>
      </c>
    </row>
    <row r="574" spans="7:25" x14ac:dyDescent="0.35">
      <c r="G574" s="66">
        <v>7</v>
      </c>
      <c r="H574" t="s">
        <v>17</v>
      </c>
      <c r="I574" t="s">
        <v>149</v>
      </c>
      <c r="J574" t="s">
        <v>256</v>
      </c>
      <c r="K574" t="s">
        <v>3</v>
      </c>
      <c r="L574" t="s">
        <v>14</v>
      </c>
      <c r="M574">
        <f t="shared" si="36"/>
        <v>3.6027187171228512</v>
      </c>
      <c r="N574" t="str">
        <f t="shared" si="37"/>
        <v/>
      </c>
      <c r="O574" s="67" cm="1">
        <f t="array" ref="O574">SUMPRODUCT((G574=$G$7:$G$10000)*(M574&lt;$M$7:$M$10000))+1</f>
        <v>63</v>
      </c>
      <c r="P574" s="72"/>
      <c r="Q574">
        <v>9</v>
      </c>
      <c r="R574" t="str">
        <v>SDL</v>
      </c>
      <c r="S574" t="str">
        <v>Jimmy Hokafonu</v>
      </c>
      <c r="T574" t="str">
        <v>NULL</v>
      </c>
      <c r="U574" t="str">
        <v>Away</v>
      </c>
      <c r="V574" t="str">
        <v>NEFJ</v>
      </c>
      <c r="W574">
        <v>2.5295930326274441</v>
      </c>
      <c r="Y574" s="1" cm="1">
        <f t="array" ref="Y574">COUNT(_xlfn._xlws.FILTER($G$7:$G$10000,($I$7:$I$10000=X574)*($J$7:$J$10000&lt;&gt;"NULL")*($G$7:$G$10000 &gt;= ($G$1-5))))/5</f>
        <v>0</v>
      </c>
    </row>
    <row r="575" spans="7:25" x14ac:dyDescent="0.35">
      <c r="G575" s="66">
        <v>7</v>
      </c>
      <c r="H575" t="s">
        <v>36</v>
      </c>
      <c r="I575" t="s">
        <v>283</v>
      </c>
      <c r="J575" t="s">
        <v>256</v>
      </c>
      <c r="K575" t="s">
        <v>3</v>
      </c>
      <c r="L575" t="s">
        <v>34</v>
      </c>
      <c r="M575">
        <f t="shared" si="36"/>
        <v>3.5681645315099644</v>
      </c>
      <c r="N575" t="str">
        <f t="shared" si="37"/>
        <v/>
      </c>
      <c r="O575" s="67" cm="1">
        <f t="array" ref="O575">SUMPRODUCT((G575=$G$7:$G$10000)*(M575&lt;$M$7:$M$10000))+1</f>
        <v>64</v>
      </c>
      <c r="P575" s="72"/>
      <c r="Q575">
        <v>9</v>
      </c>
      <c r="R575" t="str">
        <v>OGDC</v>
      </c>
      <c r="S575" t="str">
        <v>Cali Martinez</v>
      </c>
      <c r="T575" t="str">
        <v>NULL</v>
      </c>
      <c r="U575" t="str">
        <v>Away</v>
      </c>
      <c r="V575" t="str">
        <v>NOLA</v>
      </c>
      <c r="W575">
        <v>2.5181915817112568</v>
      </c>
      <c r="Y575" s="1" cm="1">
        <f t="array" ref="Y575">COUNT(_xlfn._xlws.FILTER($G$7:$G$10000,($I$7:$I$10000=X575)*($J$7:$J$10000&lt;&gt;"NULL")*($G$7:$G$10000 &gt;= ($G$1-5))))/5</f>
        <v>0</v>
      </c>
    </row>
    <row r="576" spans="7:25" x14ac:dyDescent="0.35">
      <c r="G576" s="66">
        <v>7</v>
      </c>
      <c r="H576" t="s">
        <v>7</v>
      </c>
      <c r="I576" t="s">
        <v>211</v>
      </c>
      <c r="J576" t="s">
        <v>256</v>
      </c>
      <c r="K576" t="s">
        <v>9</v>
      </c>
      <c r="L576" t="s">
        <v>6</v>
      </c>
      <c r="M576">
        <f t="shared" si="36"/>
        <v>3.4606419296818398</v>
      </c>
      <c r="N576" t="str">
        <f t="shared" si="37"/>
        <v/>
      </c>
      <c r="O576" s="67" cm="1">
        <f t="array" ref="O576">SUMPRODUCT((G576=$G$7:$G$10000)*(M576&lt;$M$7:$M$10000))+1</f>
        <v>65</v>
      </c>
      <c r="P576" s="72"/>
      <c r="Q576">
        <v>9</v>
      </c>
      <c r="R576" t="str">
        <v>ARC</v>
      </c>
      <c r="S576" t="str">
        <v>Albert O'Shannessey</v>
      </c>
      <c r="T576" t="str">
        <v>NULL</v>
      </c>
      <c r="U576" t="str">
        <v>Away</v>
      </c>
      <c r="V576" t="str">
        <v>CHI</v>
      </c>
      <c r="W576">
        <v>2.45590531876406</v>
      </c>
      <c r="Y576" s="1" cm="1">
        <f t="array" ref="Y576">COUNT(_xlfn._xlws.FILTER($G$7:$G$10000,($I$7:$I$10000=X576)*($J$7:$J$10000&lt;&gt;"NULL")*($G$7:$G$10000 &gt;= ($G$1-5))))/5</f>
        <v>0</v>
      </c>
    </row>
    <row r="577" spans="7:25" x14ac:dyDescent="0.35">
      <c r="G577" s="66">
        <v>7</v>
      </c>
      <c r="H577" t="s">
        <v>14</v>
      </c>
      <c r="I577" t="s">
        <v>413</v>
      </c>
      <c r="J577" t="s">
        <v>256</v>
      </c>
      <c r="K577" t="s">
        <v>9</v>
      </c>
      <c r="L577" t="s">
        <v>17</v>
      </c>
      <c r="M577">
        <f t="shared" si="36"/>
        <v>3.4449383233350712</v>
      </c>
      <c r="N577" t="str">
        <f t="shared" si="37"/>
        <v/>
      </c>
      <c r="O577" s="67" cm="1">
        <f t="array" ref="O577">SUMPRODUCT((G577=$G$7:$G$10000)*(M577&lt;$M$7:$M$10000))+1</f>
        <v>66</v>
      </c>
      <c r="P577" s="72"/>
      <c r="Q577">
        <v>9</v>
      </c>
      <c r="R577" t="str">
        <v>NOLA</v>
      </c>
      <c r="S577" t="str">
        <v>Callum Botchar</v>
      </c>
      <c r="T577" t="str">
        <v>NULL</v>
      </c>
      <c r="U577" t="str">
        <v>Home</v>
      </c>
      <c r="V577" t="str">
        <v>OGDC</v>
      </c>
      <c r="W577">
        <v>2.4197765234189612</v>
      </c>
      <c r="Y577" s="1" cm="1">
        <f t="array" ref="Y577">COUNT(_xlfn._xlws.FILTER($G$7:$G$10000,($I$7:$I$10000=X577)*($J$7:$J$10000&lt;&gt;"NULL")*($G$7:$G$10000 &gt;= ($G$1-5))))/5</f>
        <v>0</v>
      </c>
    </row>
    <row r="578" spans="7:25" x14ac:dyDescent="0.35">
      <c r="G578" s="66">
        <v>7</v>
      </c>
      <c r="H578" t="s">
        <v>14</v>
      </c>
      <c r="I578" t="s">
        <v>470</v>
      </c>
      <c r="J578" t="s">
        <v>256</v>
      </c>
      <c r="K578" t="s">
        <v>9</v>
      </c>
      <c r="L578" t="s">
        <v>17</v>
      </c>
      <c r="M578">
        <f t="shared" si="36"/>
        <v>3.428716238502183</v>
      </c>
      <c r="N578" t="str">
        <f t="shared" si="37"/>
        <v/>
      </c>
      <c r="O578" s="67" cm="1">
        <f t="array" ref="O578">SUMPRODUCT((G578=$G$7:$G$10000)*(M578&lt;$M$7:$M$10000))+1</f>
        <v>67</v>
      </c>
      <c r="P578" s="72"/>
      <c r="Q578">
        <v>9</v>
      </c>
      <c r="R578" t="str">
        <v>HOU</v>
      </c>
      <c r="S578" t="str">
        <v>Seth Smith</v>
      </c>
      <c r="T578" t="str">
        <v>NULL</v>
      </c>
      <c r="U578" t="str">
        <v>Away</v>
      </c>
      <c r="V578" t="str">
        <v>MIA</v>
      </c>
      <c r="W578">
        <v>2.3586322742273378</v>
      </c>
      <c r="Y578" s="1" cm="1">
        <f t="array" ref="Y578">COUNT(_xlfn._xlws.FILTER($G$7:$G$10000,($I$7:$I$10000=X578)*($J$7:$J$10000&lt;&gt;"NULL")*($G$7:$G$10000 &gt;= ($G$1-5))))/5</f>
        <v>0</v>
      </c>
    </row>
    <row r="579" spans="7:25" x14ac:dyDescent="0.35">
      <c r="G579" s="66">
        <v>7</v>
      </c>
      <c r="H579" t="s">
        <v>14</v>
      </c>
      <c r="I579" t="s">
        <v>164</v>
      </c>
      <c r="J579" t="s">
        <v>256</v>
      </c>
      <c r="K579" t="s">
        <v>9</v>
      </c>
      <c r="L579" t="s">
        <v>17</v>
      </c>
      <c r="M579">
        <f t="shared" si="36"/>
        <v>3.4174661540290296</v>
      </c>
      <c r="N579" t="str">
        <f t="shared" si="37"/>
        <v/>
      </c>
      <c r="O579" s="67" cm="1">
        <f t="array" ref="O579">SUMPRODUCT((G579=$G$7:$G$10000)*(M579&lt;$M$7:$M$10000))+1</f>
        <v>68</v>
      </c>
      <c r="P579" s="72"/>
      <c r="Q579">
        <v>9</v>
      </c>
      <c r="R579" t="str">
        <v>SDL</v>
      </c>
      <c r="S579" t="str">
        <v>Payton Telea-Ilalio</v>
      </c>
      <c r="T579" t="str">
        <v>NULL</v>
      </c>
      <c r="U579" t="str">
        <v>Away</v>
      </c>
      <c r="V579" t="str">
        <v>NEFJ</v>
      </c>
      <c r="W579">
        <v>2.3081885505124209</v>
      </c>
      <c r="Y579" s="1" cm="1">
        <f t="array" ref="Y579">COUNT(_xlfn._xlws.FILTER($G$7:$G$10000,($I$7:$I$10000=X579)*($J$7:$J$10000&lt;&gt;"NULL")*($G$7:$G$10000 &gt;= ($G$1-5))))/5</f>
        <v>0</v>
      </c>
    </row>
    <row r="580" spans="7:25" x14ac:dyDescent="0.35">
      <c r="G580" s="66">
        <v>7</v>
      </c>
      <c r="H580" t="s">
        <v>6</v>
      </c>
      <c r="I580" t="s">
        <v>417</v>
      </c>
      <c r="J580" t="s">
        <v>256</v>
      </c>
      <c r="K580" t="s">
        <v>3</v>
      </c>
      <c r="L580" t="s">
        <v>7</v>
      </c>
      <c r="M580">
        <f t="shared" si="36"/>
        <v>3.4046706137935021</v>
      </c>
      <c r="N580" t="str">
        <f t="shared" si="37"/>
        <v/>
      </c>
      <c r="O580" s="67" cm="1">
        <f t="array" ref="O580">SUMPRODUCT((G580=$G$7:$G$10000)*(M580&lt;$M$7:$M$10000))+1</f>
        <v>69</v>
      </c>
      <c r="P580" s="72"/>
      <c r="Q580">
        <v>9</v>
      </c>
      <c r="R580" t="str">
        <v>SDL</v>
      </c>
      <c r="S580" t="str">
        <v>Darcy Breen</v>
      </c>
      <c r="T580" t="str">
        <v>NULL</v>
      </c>
      <c r="U580" t="str">
        <v>Away</v>
      </c>
      <c r="V580" t="str">
        <v>NEFJ</v>
      </c>
      <c r="W580">
        <v>2.2077795571706096</v>
      </c>
      <c r="Y580" s="1" cm="1">
        <f t="array" ref="Y580">COUNT(_xlfn._xlws.FILTER($G$7:$G$10000,($I$7:$I$10000=X580)*($J$7:$J$10000&lt;&gt;"NULL")*($G$7:$G$10000 &gt;= ($G$1-5))))/5</f>
        <v>0</v>
      </c>
    </row>
    <row r="581" spans="7:25" x14ac:dyDescent="0.35">
      <c r="G581" s="66">
        <v>7</v>
      </c>
      <c r="H581" t="s">
        <v>4</v>
      </c>
      <c r="I581" t="s">
        <v>172</v>
      </c>
      <c r="J581" t="s">
        <v>256</v>
      </c>
      <c r="K581" t="s">
        <v>3</v>
      </c>
      <c r="L581" t="s">
        <v>2</v>
      </c>
      <c r="M581">
        <f t="shared" si="36"/>
        <v>3.3409229683609984</v>
      </c>
      <c r="N581" t="str">
        <f t="shared" si="37"/>
        <v/>
      </c>
      <c r="O581" s="67" cm="1">
        <f t="array" ref="O581">SUMPRODUCT((G581=$G$7:$G$10000)*(M581&lt;$M$7:$M$10000))+1</f>
        <v>70</v>
      </c>
      <c r="P581" s="72"/>
      <c r="Q581">
        <v>9</v>
      </c>
      <c r="R581" t="str">
        <v>MIA</v>
      </c>
      <c r="S581" t="str">
        <v>Sean McNulty</v>
      </c>
      <c r="T581" t="str">
        <v>NULL</v>
      </c>
      <c r="U581" t="str">
        <v>Home</v>
      </c>
      <c r="V581" t="str">
        <v>HOU</v>
      </c>
      <c r="W581">
        <v>2.1178870064981048</v>
      </c>
      <c r="Y581" s="1" cm="1">
        <f t="array" ref="Y581">COUNT(_xlfn._xlws.FILTER($G$7:$G$10000,($I$7:$I$10000=X581)*($J$7:$J$10000&lt;&gt;"NULL")*($G$7:$G$10000 &gt;= ($G$1-5))))/5</f>
        <v>0</v>
      </c>
    </row>
    <row r="582" spans="7:25" x14ac:dyDescent="0.35">
      <c r="G582" s="66">
        <v>7</v>
      </c>
      <c r="H582" t="s">
        <v>23</v>
      </c>
      <c r="I582" t="s">
        <v>431</v>
      </c>
      <c r="J582" t="s">
        <v>256</v>
      </c>
      <c r="K582" t="s">
        <v>9</v>
      </c>
      <c r="L582" t="s">
        <v>13</v>
      </c>
      <c r="M582">
        <f t="shared" si="36"/>
        <v>3.3382787117618768</v>
      </c>
      <c r="N582" t="str">
        <f t="shared" si="37"/>
        <v/>
      </c>
      <c r="O582" s="67" cm="1">
        <f t="array" ref="O582">SUMPRODUCT((G582=$G$7:$G$10000)*(M582&lt;$M$7:$M$10000))+1</f>
        <v>71</v>
      </c>
      <c r="P582" s="72"/>
      <c r="Q582">
        <v>9</v>
      </c>
      <c r="R582" t="str">
        <v>NOLA</v>
      </c>
      <c r="S582" t="str">
        <v>Cam Dolan</v>
      </c>
      <c r="T582" t="str">
        <v>NULL</v>
      </c>
      <c r="U582" t="str">
        <v>Home</v>
      </c>
      <c r="V582" t="str">
        <v>OGDC</v>
      </c>
      <c r="W582">
        <v>2.0990304395554142</v>
      </c>
      <c r="Y582" s="1" cm="1">
        <f t="array" ref="Y582">COUNT(_xlfn._xlws.FILTER($G$7:$G$10000,($I$7:$I$10000=X582)*($J$7:$J$10000&lt;&gt;"NULL")*($G$7:$G$10000 &gt;= ($G$1-5))))/5</f>
        <v>0</v>
      </c>
    </row>
    <row r="583" spans="7:25" x14ac:dyDescent="0.35">
      <c r="G583" s="66">
        <v>7</v>
      </c>
      <c r="H583" t="s">
        <v>7</v>
      </c>
      <c r="I583" t="s">
        <v>104</v>
      </c>
      <c r="J583" t="s">
        <v>256</v>
      </c>
      <c r="K583" t="s">
        <v>9</v>
      </c>
      <c r="L583" t="s">
        <v>6</v>
      </c>
      <c r="M583">
        <f t="shared" si="36"/>
        <v>3.3025342556081503</v>
      </c>
      <c r="N583" t="str">
        <f t="shared" si="37"/>
        <v/>
      </c>
      <c r="O583" s="67" cm="1">
        <f t="array" ref="O583">SUMPRODUCT((G583=$G$7:$G$10000)*(M583&lt;$M$7:$M$10000))+1</f>
        <v>72</v>
      </c>
      <c r="P583" s="72"/>
      <c r="Q583">
        <v>9</v>
      </c>
      <c r="R583" t="str">
        <v>OGDC</v>
      </c>
      <c r="S583" t="str">
        <v>Tevita Naqali</v>
      </c>
      <c r="T583" t="str">
        <v>NULL</v>
      </c>
      <c r="U583" t="str">
        <v>Away</v>
      </c>
      <c r="V583" t="str">
        <v>NOLA</v>
      </c>
      <c r="W583">
        <v>2.0919464101811949</v>
      </c>
      <c r="Y583" s="1" cm="1">
        <f t="array" ref="Y583">COUNT(_xlfn._xlws.FILTER($G$7:$G$10000,($I$7:$I$10000=X583)*($J$7:$J$10000&lt;&gt;"NULL")*($G$7:$G$10000 &gt;= ($G$1-5))))/5</f>
        <v>0</v>
      </c>
    </row>
    <row r="584" spans="7:25" x14ac:dyDescent="0.35">
      <c r="G584" s="66">
        <v>7</v>
      </c>
      <c r="H584" t="s">
        <v>17</v>
      </c>
      <c r="I584" t="s">
        <v>105</v>
      </c>
      <c r="J584" t="s">
        <v>256</v>
      </c>
      <c r="K584" t="s">
        <v>3</v>
      </c>
      <c r="L584" t="s">
        <v>14</v>
      </c>
      <c r="M584">
        <f t="shared" si="36"/>
        <v>3.2336470241742314</v>
      </c>
      <c r="N584" t="str">
        <f t="shared" si="37"/>
        <v/>
      </c>
      <c r="O584" s="67" cm="1">
        <f t="array" ref="O584">SUMPRODUCT((G584=$G$7:$G$10000)*(M584&lt;$M$7:$M$10000))+1</f>
        <v>73</v>
      </c>
      <c r="P584" s="72"/>
      <c r="Q584">
        <v>9</v>
      </c>
      <c r="R584" t="str">
        <v>CHI</v>
      </c>
      <c r="S584" t="str">
        <v>Hamish Bain</v>
      </c>
      <c r="T584" t="str">
        <v>NULL</v>
      </c>
      <c r="U584" t="str">
        <v>Home</v>
      </c>
      <c r="V584" t="str">
        <v>ARC</v>
      </c>
      <c r="W584">
        <v>2.0081925073890092</v>
      </c>
      <c r="Y584" s="1" cm="1">
        <f t="array" ref="Y584">COUNT(_xlfn._xlws.FILTER($G$7:$G$10000,($I$7:$I$10000=X584)*($J$7:$J$10000&lt;&gt;"NULL")*($G$7:$G$10000 &gt;= ($G$1-5))))/5</f>
        <v>0</v>
      </c>
    </row>
    <row r="585" spans="7:25" x14ac:dyDescent="0.35">
      <c r="G585" s="66">
        <v>7</v>
      </c>
      <c r="H585" t="s">
        <v>2</v>
      </c>
      <c r="I585" t="s">
        <v>426</v>
      </c>
      <c r="J585" t="s">
        <v>256</v>
      </c>
      <c r="K585" t="s">
        <v>9</v>
      </c>
      <c r="L585" t="s">
        <v>4</v>
      </c>
      <c r="M585">
        <f t="shared" si="36"/>
        <v>3.1845219477191726</v>
      </c>
      <c r="N585" t="str">
        <f t="shared" si="37"/>
        <v/>
      </c>
      <c r="O585" s="67" cm="1">
        <f t="array" ref="O585">SUMPRODUCT((G585=$G$7:$G$10000)*(M585&lt;$M$7:$M$10000))+1</f>
        <v>74</v>
      </c>
      <c r="P585" s="72"/>
      <c r="Q585">
        <v>9</v>
      </c>
      <c r="R585" t="str">
        <v>CHI</v>
      </c>
      <c r="S585" t="str">
        <v>Faka'osi Pifeleti</v>
      </c>
      <c r="T585" t="str">
        <v>NULL</v>
      </c>
      <c r="U585" t="str">
        <v>Home</v>
      </c>
      <c r="V585" t="str">
        <v>ARC</v>
      </c>
      <c r="W585">
        <v>1.8700640326130378</v>
      </c>
      <c r="Y585" s="1" cm="1">
        <f t="array" ref="Y585">COUNT(_xlfn._xlws.FILTER($G$7:$G$10000,($I$7:$I$10000=X585)*($J$7:$J$10000&lt;&gt;"NULL")*($G$7:$G$10000 &gt;= ($G$1-5))))/5</f>
        <v>0</v>
      </c>
    </row>
    <row r="586" spans="7:25" x14ac:dyDescent="0.35">
      <c r="G586" s="66">
        <v>7</v>
      </c>
      <c r="H586" t="s">
        <v>13</v>
      </c>
      <c r="I586" t="s">
        <v>120</v>
      </c>
      <c r="J586" t="s">
        <v>256</v>
      </c>
      <c r="K586" t="s">
        <v>3</v>
      </c>
      <c r="L586" t="s">
        <v>23</v>
      </c>
      <c r="M586">
        <f t="shared" si="36"/>
        <v>3.1520769870613048</v>
      </c>
      <c r="N586" t="str">
        <f t="shared" si="37"/>
        <v/>
      </c>
      <c r="O586" s="67" cm="1">
        <f t="array" ref="O586">SUMPRODUCT((G586=$G$7:$G$10000)*(M586&lt;$M$7:$M$10000))+1</f>
        <v>75</v>
      </c>
      <c r="P586" s="72"/>
      <c r="Q586">
        <v>9</v>
      </c>
      <c r="R586" t="str">
        <v>HOU</v>
      </c>
      <c r="S586" t="str">
        <v>Val Lee-Lo</v>
      </c>
      <c r="T586" t="str">
        <v>NULL</v>
      </c>
      <c r="U586" t="str">
        <v>Away</v>
      </c>
      <c r="V586" t="str">
        <v>MIA</v>
      </c>
      <c r="W586">
        <v>1.7322272477201324</v>
      </c>
      <c r="Y586" s="1" cm="1">
        <f t="array" ref="Y586">COUNT(_xlfn._xlws.FILTER($G$7:$G$10000,($I$7:$I$10000=X586)*($J$7:$J$10000&lt;&gt;"NULL")*($G$7:$G$10000 &gt;= ($G$1-5))))/5</f>
        <v>0</v>
      </c>
    </row>
    <row r="587" spans="7:25" x14ac:dyDescent="0.35">
      <c r="G587" s="66">
        <v>7</v>
      </c>
      <c r="H587" t="s">
        <v>7</v>
      </c>
      <c r="I587" t="s">
        <v>148</v>
      </c>
      <c r="J587" t="s">
        <v>256</v>
      </c>
      <c r="K587" t="s">
        <v>9</v>
      </c>
      <c r="L587" t="s">
        <v>6</v>
      </c>
      <c r="M587">
        <f t="shared" si="36"/>
        <v>3.1025938453021666</v>
      </c>
      <c r="N587" t="str">
        <f t="shared" si="37"/>
        <v/>
      </c>
      <c r="O587" s="67" cm="1">
        <f t="array" ref="O587">SUMPRODUCT((G587=$G$7:$G$10000)*(M587&lt;$M$7:$M$10000))+1</f>
        <v>76</v>
      </c>
      <c r="P587" s="72"/>
      <c r="Q587">
        <v>9</v>
      </c>
      <c r="R587" t="str">
        <v>UTAH</v>
      </c>
      <c r="S587" t="str">
        <v>Tonga Kofe</v>
      </c>
      <c r="T587" t="str">
        <v>NULL</v>
      </c>
      <c r="U587" t="str">
        <v>Away</v>
      </c>
      <c r="V587" t="str">
        <v>LA</v>
      </c>
      <c r="W587">
        <v>1.2759373583241755</v>
      </c>
      <c r="Y587" s="1" cm="1">
        <f t="array" ref="Y587">COUNT(_xlfn._xlws.FILTER($G$7:$G$10000,($I$7:$I$10000=X587)*($J$7:$J$10000&lt;&gt;"NULL")*($G$7:$G$10000 &gt;= ($G$1-5))))/5</f>
        <v>0</v>
      </c>
    </row>
    <row r="588" spans="7:25" x14ac:dyDescent="0.35">
      <c r="G588" s="66">
        <v>7</v>
      </c>
      <c r="H588" t="s">
        <v>23</v>
      </c>
      <c r="I588" t="s">
        <v>412</v>
      </c>
      <c r="J588" t="s">
        <v>256</v>
      </c>
      <c r="K588" t="s">
        <v>9</v>
      </c>
      <c r="L588" t="s">
        <v>13</v>
      </c>
      <c r="M588">
        <f t="shared" si="36"/>
        <v>3.0628377418530999</v>
      </c>
      <c r="N588" t="str">
        <f t="shared" si="37"/>
        <v/>
      </c>
      <c r="O588" s="67" cm="1">
        <f t="array" ref="O588">SUMPRODUCT((G588=$G$7:$G$10000)*(M588&lt;$M$7:$M$10000))+1</f>
        <v>77</v>
      </c>
      <c r="P588" s="72"/>
      <c r="Q588">
        <v>9</v>
      </c>
      <c r="R588" t="str">
        <v>LA</v>
      </c>
      <c r="S588" t="str">
        <v>Ben Sugars</v>
      </c>
      <c r="T588" t="str">
        <v>NULL</v>
      </c>
      <c r="U588" t="str">
        <v>Home</v>
      </c>
      <c r="V588" t="str">
        <v>UTAH</v>
      </c>
      <c r="W588">
        <v>0.80885021209015706</v>
      </c>
      <c r="Y588" s="1" cm="1">
        <f t="array" ref="Y588">COUNT(_xlfn._xlws.FILTER($G$7:$G$10000,($I$7:$I$10000=X588)*($J$7:$J$10000&lt;&gt;"NULL")*($G$7:$G$10000 &gt;= ($G$1-5))))/5</f>
        <v>0</v>
      </c>
    </row>
    <row r="589" spans="7:25" x14ac:dyDescent="0.35">
      <c r="G589" s="66">
        <v>7</v>
      </c>
      <c r="H589" t="s">
        <v>2</v>
      </c>
      <c r="I589" t="s">
        <v>159</v>
      </c>
      <c r="J589" t="s">
        <v>256</v>
      </c>
      <c r="K589" t="s">
        <v>9</v>
      </c>
      <c r="L589" t="s">
        <v>4</v>
      </c>
      <c r="M589">
        <f t="shared" si="36"/>
        <v>3.0463934729432012</v>
      </c>
      <c r="N589" t="str">
        <f t="shared" si="37"/>
        <v/>
      </c>
      <c r="O589" s="67" cm="1">
        <f t="array" ref="O589">SUMPRODUCT((G589=$G$7:$G$10000)*(M589&lt;$M$7:$M$10000))+1</f>
        <v>78</v>
      </c>
      <c r="P589" s="72"/>
      <c r="Q589">
        <v>9</v>
      </c>
      <c r="R589" t="str">
        <v>LA</v>
      </c>
      <c r="S589" t="str">
        <v>Alessandro Heaney</v>
      </c>
      <c r="T589" t="str">
        <v>NULL</v>
      </c>
      <c r="U589" t="str">
        <v>Home</v>
      </c>
      <c r="V589" t="str">
        <v>UTAH</v>
      </c>
      <c r="W589">
        <v>0.11844851501289977</v>
      </c>
      <c r="Y589" s="1" cm="1">
        <f t="array" ref="Y589">COUNT(_xlfn._xlws.FILTER($G$7:$G$10000,($I$7:$I$10000=X589)*($J$7:$J$10000&lt;&gt;"NULL")*($G$7:$G$10000 &gt;= ($G$1-5))))/5</f>
        <v>0</v>
      </c>
    </row>
    <row r="590" spans="7:25" x14ac:dyDescent="0.35">
      <c r="G590" s="66">
        <v>7</v>
      </c>
      <c r="H590" t="s">
        <v>17</v>
      </c>
      <c r="I590" t="s">
        <v>483</v>
      </c>
      <c r="J590" t="s">
        <v>256</v>
      </c>
      <c r="K590" t="s">
        <v>3</v>
      </c>
      <c r="L590" t="s">
        <v>14</v>
      </c>
      <c r="M590">
        <f t="shared" si="36"/>
        <v>2.962885412140952</v>
      </c>
      <c r="N590" t="str">
        <f t="shared" si="37"/>
        <v/>
      </c>
      <c r="O590" s="67" cm="1">
        <f t="array" ref="O590">SUMPRODUCT((G590=$G$7:$G$10000)*(M590&lt;$M$7:$M$10000))+1</f>
        <v>79</v>
      </c>
      <c r="P590" s="72"/>
      <c r="Q590">
        <v>9</v>
      </c>
      <c r="R590" t="str">
        <v>SDL</v>
      </c>
      <c r="S590" t="str">
        <v>Hugh Roach</v>
      </c>
      <c r="T590" t="str">
        <v>NULL</v>
      </c>
      <c r="U590" t="str">
        <v>Away</v>
      </c>
      <c r="V590" t="str">
        <v>NEFJ</v>
      </c>
      <c r="W590">
        <v>-3.4604322194475401E-2</v>
      </c>
      <c r="Y590" s="1" cm="1">
        <f t="array" ref="Y590">COUNT(_xlfn._xlws.FILTER($G$7:$G$10000,($I$7:$I$10000=X590)*($J$7:$J$10000&lt;&gt;"NULL")*($G$7:$G$10000 &gt;= ($G$1-5))))/5</f>
        <v>0</v>
      </c>
    </row>
    <row r="591" spans="7:25" x14ac:dyDescent="0.35">
      <c r="G591" s="66">
        <v>7</v>
      </c>
      <c r="H591" t="s">
        <v>36</v>
      </c>
      <c r="I591" t="s">
        <v>414</v>
      </c>
      <c r="J591" t="s">
        <v>256</v>
      </c>
      <c r="K591" t="s">
        <v>3</v>
      </c>
      <c r="L591" t="s">
        <v>34</v>
      </c>
      <c r="M591">
        <f t="shared" si="36"/>
        <v>2.941759505002759</v>
      </c>
      <c r="N591" t="str">
        <f t="shared" si="37"/>
        <v/>
      </c>
      <c r="O591" s="67" cm="1">
        <f t="array" ref="O591">SUMPRODUCT((G591=$G$7:$G$10000)*(M591&lt;$M$7:$M$10000))+1</f>
        <v>80</v>
      </c>
      <c r="P591" s="72"/>
      <c r="Q591">
        <v>9</v>
      </c>
      <c r="R591" t="str">
        <v>CHI</v>
      </c>
      <c r="S591" t="str">
        <v>Charlie Abel</v>
      </c>
      <c r="T591" t="str">
        <v>NULL</v>
      </c>
      <c r="U591" t="str">
        <v>Home</v>
      </c>
      <c r="V591" t="str">
        <v>ARC</v>
      </c>
      <c r="W591">
        <v>-0.23386592919345972</v>
      </c>
      <c r="Y591" s="1" cm="1">
        <f t="array" ref="Y591">COUNT(_xlfn._xlws.FILTER($G$7:$G$10000,($I$7:$I$10000=X591)*($J$7:$J$10000&lt;&gt;"NULL")*($G$7:$G$10000 &gt;= ($G$1-5))))/5</f>
        <v>0</v>
      </c>
    </row>
    <row r="592" spans="7:25" x14ac:dyDescent="0.35">
      <c r="G592" s="66">
        <v>7</v>
      </c>
      <c r="H592" t="s">
        <v>4</v>
      </c>
      <c r="I592" t="s">
        <v>118</v>
      </c>
      <c r="J592" t="s">
        <v>256</v>
      </c>
      <c r="K592" t="s">
        <v>3</v>
      </c>
      <c r="L592" t="s">
        <v>2</v>
      </c>
      <c r="M592">
        <f t="shared" si="36"/>
        <v>2.9368450435156248</v>
      </c>
      <c r="N592" t="str">
        <f t="shared" si="37"/>
        <v/>
      </c>
      <c r="O592" s="67" cm="1">
        <f t="array" ref="O592">SUMPRODUCT((G592=$G$7:$G$10000)*(M592&lt;$M$7:$M$10000))+1</f>
        <v>81</v>
      </c>
      <c r="P592" s="72"/>
      <c r="Q592">
        <v>9</v>
      </c>
      <c r="R592" t="str">
        <v>SDL</v>
      </c>
      <c r="S592" t="str">
        <v>Brandon Harvey</v>
      </c>
      <c r="T592" t="str">
        <v>NULL</v>
      </c>
      <c r="U592" t="str">
        <v>Away</v>
      </c>
      <c r="V592" t="str">
        <v>NEFJ</v>
      </c>
      <c r="W592">
        <v>-0.41361140841529309</v>
      </c>
      <c r="Y592" s="1" cm="1">
        <f t="array" ref="Y592">COUNT(_xlfn._xlws.FILTER($G$7:$G$10000,($I$7:$I$10000=X592)*($J$7:$J$10000&lt;&gt;"NULL")*($G$7:$G$10000 &gt;= ($G$1-5))))/5</f>
        <v>0</v>
      </c>
    </row>
    <row r="593" spans="7:25" x14ac:dyDescent="0.35">
      <c r="G593" s="66">
        <v>7</v>
      </c>
      <c r="H593" t="s">
        <v>6</v>
      </c>
      <c r="I593" t="s">
        <v>416</v>
      </c>
      <c r="J593" t="s">
        <v>256</v>
      </c>
      <c r="K593" t="s">
        <v>3</v>
      </c>
      <c r="L593" t="s">
        <v>7</v>
      </c>
      <c r="M593">
        <f t="shared" si="36"/>
        <v>2.7142689167162448</v>
      </c>
      <c r="N593" t="str">
        <f t="shared" si="37"/>
        <v/>
      </c>
      <c r="O593" s="67" cm="1">
        <f t="array" ref="O593">SUMPRODUCT((G593=$G$7:$G$10000)*(M593&lt;$M$7:$M$10000))+1</f>
        <v>82</v>
      </c>
      <c r="P593" s="72"/>
      <c r="Q593">
        <v>9</v>
      </c>
      <c r="R593" t="str">
        <v>LA</v>
      </c>
      <c r="S593" t="str">
        <v>Reegan O'Gorman</v>
      </c>
      <c r="T593" t="str">
        <v>NULL</v>
      </c>
      <c r="U593" t="str">
        <v>Home</v>
      </c>
      <c r="V593" t="str">
        <v>UTAH</v>
      </c>
      <c r="W593">
        <v>-0.65360832057176577</v>
      </c>
      <c r="Y593" s="1" cm="1">
        <f t="array" ref="Y593">COUNT(_xlfn._xlws.FILTER($G$7:$G$10000,($I$7:$I$10000=X593)*($J$7:$J$10000&lt;&gt;"NULL")*($G$7:$G$10000 &gt;= ($G$1-5))))/5</f>
        <v>0</v>
      </c>
    </row>
    <row r="594" spans="7:25" x14ac:dyDescent="0.35">
      <c r="G594" s="66">
        <v>7</v>
      </c>
      <c r="H594" t="s">
        <v>7</v>
      </c>
      <c r="I594" t="s">
        <v>277</v>
      </c>
      <c r="J594" t="s">
        <v>256</v>
      </c>
      <c r="K594" t="s">
        <v>9</v>
      </c>
      <c r="L594" t="s">
        <v>6</v>
      </c>
      <c r="M594">
        <f t="shared" si="36"/>
        <v>2.6763486737721047</v>
      </c>
      <c r="N594" t="str">
        <f t="shared" si="37"/>
        <v/>
      </c>
      <c r="O594" s="67" cm="1">
        <f t="array" ref="O594">SUMPRODUCT((G594=$G$7:$G$10000)*(M594&lt;$M$7:$M$10000))+1</f>
        <v>83</v>
      </c>
      <c r="P594" s="72"/>
      <c r="Q594">
        <v>9</v>
      </c>
      <c r="R594" t="str">
        <v>LA</v>
      </c>
      <c r="S594" t="str">
        <v>Cronan Gleeson</v>
      </c>
      <c r="T594" t="str">
        <v>NULL</v>
      </c>
      <c r="U594" t="str">
        <v>Home</v>
      </c>
      <c r="V594" t="str">
        <v>UTAH</v>
      </c>
      <c r="W594">
        <v>-1.3289743873177322</v>
      </c>
      <c r="Y594" s="1" cm="1">
        <f t="array" ref="Y594">COUNT(_xlfn._xlws.FILTER($G$7:$G$10000,($I$7:$I$10000=X594)*($J$7:$J$10000&lt;&gt;"NULL")*($G$7:$G$10000 &gt;= ($G$1-5))))/5</f>
        <v>0</v>
      </c>
    </row>
    <row r="595" spans="7:25" x14ac:dyDescent="0.35">
      <c r="G595" s="66">
        <v>7</v>
      </c>
      <c r="H595" t="s">
        <v>13</v>
      </c>
      <c r="I595" t="s">
        <v>469</v>
      </c>
      <c r="J595" t="s">
        <v>256</v>
      </c>
      <c r="K595" t="s">
        <v>3</v>
      </c>
      <c r="L595" t="s">
        <v>23</v>
      </c>
      <c r="M595">
        <f t="shared" si="36"/>
        <v>2.6617770412697168</v>
      </c>
      <c r="N595" t="str">
        <f t="shared" si="37"/>
        <v/>
      </c>
      <c r="O595" s="67" cm="1">
        <f t="array" ref="O595">SUMPRODUCT((G595=$G$7:$G$10000)*(M595&lt;$M$7:$M$10000))+1</f>
        <v>84</v>
      </c>
      <c r="P595" s="72"/>
      <c r="Q595">
        <v>9</v>
      </c>
      <c r="R595" t="str">
        <v>HOU</v>
      </c>
      <c r="S595" t="str">
        <v>Justin Basson</v>
      </c>
      <c r="T595" t="str">
        <v>NULL</v>
      </c>
      <c r="U595" t="str">
        <v>Away</v>
      </c>
      <c r="V595" t="str">
        <v>MIA</v>
      </c>
      <c r="W595">
        <v>-2.8088882955942331</v>
      </c>
      <c r="Y595" s="1" cm="1">
        <f t="array" ref="Y595">COUNT(_xlfn._xlws.FILTER($G$7:$G$10000,($I$7:$I$10000=X595)*($J$7:$J$10000&lt;&gt;"NULL")*($G$7:$G$10000 &gt;= ($G$1-5))))/5</f>
        <v>0</v>
      </c>
    </row>
    <row r="596" spans="7:25" x14ac:dyDescent="0.35">
      <c r="G596" s="66">
        <v>7</v>
      </c>
      <c r="H596" t="s">
        <v>14</v>
      </c>
      <c r="I596" t="s">
        <v>425</v>
      </c>
      <c r="J596" t="s">
        <v>256</v>
      </c>
      <c r="K596" t="s">
        <v>9</v>
      </c>
      <c r="L596" t="s">
        <v>17</v>
      </c>
      <c r="M596">
        <f t="shared" si="36"/>
        <v>2.6178701047441777</v>
      </c>
      <c r="N596" t="str">
        <f t="shared" si="37"/>
        <v/>
      </c>
      <c r="O596" s="67" cm="1">
        <f t="array" ref="O596">SUMPRODUCT((G596=$G$7:$G$10000)*(M596&lt;$M$7:$M$10000))+1</f>
        <v>85</v>
      </c>
      <c r="P596" s="72"/>
      <c r="Q596">
        <v>9</v>
      </c>
      <c r="R596" t="str">
        <v>MIA</v>
      </c>
      <c r="S596" t="str">
        <v>Alec McDonnell</v>
      </c>
      <c r="T596" t="str">
        <v>NULL</v>
      </c>
      <c r="U596" t="str">
        <v>Home</v>
      </c>
      <c r="V596" t="str">
        <v>HOU</v>
      </c>
      <c r="W596">
        <v>-7.3451996446791012</v>
      </c>
      <c r="Y596" s="1" cm="1">
        <f t="array" ref="Y596">COUNT(_xlfn._xlws.FILTER($G$7:$G$10000,($I$7:$I$10000=X596)*($J$7:$J$10000&lt;&gt;"NULL")*($G$7:$G$10000 &gt;= ($G$1-5))))/5</f>
        <v>0</v>
      </c>
    </row>
    <row r="597" spans="7:25" x14ac:dyDescent="0.35">
      <c r="G597" s="66">
        <v>7</v>
      </c>
      <c r="H597" t="s">
        <v>4</v>
      </c>
      <c r="I597" t="s">
        <v>335</v>
      </c>
      <c r="J597" t="s">
        <v>256</v>
      </c>
      <c r="K597" t="s">
        <v>3</v>
      </c>
      <c r="L597" t="s">
        <v>2</v>
      </c>
      <c r="M597">
        <f t="shared" si="36"/>
        <v>2.6160989596520778</v>
      </c>
      <c r="N597" t="str">
        <f t="shared" si="37"/>
        <v/>
      </c>
      <c r="O597" s="67" cm="1">
        <f t="array" ref="O597">SUMPRODUCT((G597=$G$7:$G$10000)*(M597&lt;$M$7:$M$10000))+1</f>
        <v>86</v>
      </c>
      <c r="P597" s="72"/>
      <c r="Q597">
        <v>10</v>
      </c>
      <c r="R597" t="str">
        <v>SEA</v>
      </c>
      <c r="S597" t="str">
        <v>Devin Short</v>
      </c>
      <c r="T597" t="str">
        <v>NULL</v>
      </c>
      <c r="U597" t="str">
        <v>Home</v>
      </c>
      <c r="V597" t="str">
        <v>CHI</v>
      </c>
      <c r="W597">
        <v>19.27720607187657</v>
      </c>
      <c r="Y597" s="1" cm="1">
        <f t="array" ref="Y597">COUNT(_xlfn._xlws.FILTER($G$7:$G$10000,($I$7:$I$10000=X597)*($J$7:$J$10000&lt;&gt;"NULL")*($G$7:$G$10000 &gt;= ($G$1-5))))/5</f>
        <v>0</v>
      </c>
    </row>
    <row r="598" spans="7:25" x14ac:dyDescent="0.35">
      <c r="G598" s="66">
        <v>7</v>
      </c>
      <c r="H598" t="s">
        <v>14</v>
      </c>
      <c r="I598" t="s">
        <v>181</v>
      </c>
      <c r="J598" t="s">
        <v>256</v>
      </c>
      <c r="K598" t="s">
        <v>9</v>
      </c>
      <c r="L598" t="s">
        <v>17</v>
      </c>
      <c r="M598">
        <f t="shared" si="36"/>
        <v>2.6011268142799651</v>
      </c>
      <c r="N598" t="str">
        <f t="shared" si="37"/>
        <v/>
      </c>
      <c r="O598" s="67" cm="1">
        <f t="array" ref="O598">SUMPRODUCT((G598=$G$7:$G$10000)*(M598&lt;$M$7:$M$10000))+1</f>
        <v>87</v>
      </c>
      <c r="P598" s="72"/>
      <c r="Q598">
        <v>10</v>
      </c>
      <c r="R598" t="str">
        <v>SDL</v>
      </c>
      <c r="S598" t="str">
        <v>Vili Helu</v>
      </c>
      <c r="T598" t="str">
        <v>NULL</v>
      </c>
      <c r="U598" t="str">
        <v>Home</v>
      </c>
      <c r="V598" t="str">
        <v>UTAH</v>
      </c>
      <c r="W598">
        <v>12.211471240512715</v>
      </c>
      <c r="Y598" s="1" cm="1">
        <f t="array" ref="Y598">COUNT(_xlfn._xlws.FILTER($G$7:$G$10000,($I$7:$I$10000=X598)*($J$7:$J$10000&lt;&gt;"NULL")*($G$7:$G$10000 &gt;= ($G$1-5))))/5</f>
        <v>0</v>
      </c>
    </row>
    <row r="599" spans="7:25" x14ac:dyDescent="0.35">
      <c r="G599" s="66">
        <v>7</v>
      </c>
      <c r="H599" t="s">
        <v>14</v>
      </c>
      <c r="I599" t="s">
        <v>197</v>
      </c>
      <c r="J599" t="s">
        <v>256</v>
      </c>
      <c r="K599" t="s">
        <v>9</v>
      </c>
      <c r="L599" t="s">
        <v>17</v>
      </c>
      <c r="M599">
        <f t="shared" si="36"/>
        <v>2.4732558281547252</v>
      </c>
      <c r="N599" t="str">
        <f t="shared" si="37"/>
        <v/>
      </c>
      <c r="O599" s="67" cm="1">
        <f t="array" ref="O599">SUMPRODUCT((G599=$G$7:$G$10000)*(M599&lt;$M$7:$M$10000))+1</f>
        <v>88</v>
      </c>
      <c r="P599" s="72"/>
      <c r="Q599">
        <v>10</v>
      </c>
      <c r="R599" t="str">
        <v>UTAH</v>
      </c>
      <c r="S599" t="str">
        <v>Liam Coltman</v>
      </c>
      <c r="T599" t="str">
        <v>NULL</v>
      </c>
      <c r="U599" t="str">
        <v>Away</v>
      </c>
      <c r="V599" t="str">
        <v>SDL</v>
      </c>
      <c r="W599">
        <v>11.903964694853576</v>
      </c>
      <c r="Y599" s="1" cm="1">
        <f t="array" ref="Y599">COUNT(_xlfn._xlws.FILTER($G$7:$G$10000,($I$7:$I$10000=X599)*($J$7:$J$10000&lt;&gt;"NULL")*($G$7:$G$10000 &gt;= ($G$1-5))))/5</f>
        <v>0</v>
      </c>
    </row>
    <row r="600" spans="7:25" x14ac:dyDescent="0.35">
      <c r="G600" s="66">
        <v>7</v>
      </c>
      <c r="H600" t="s">
        <v>17</v>
      </c>
      <c r="I600" t="s">
        <v>284</v>
      </c>
      <c r="J600" t="s">
        <v>256</v>
      </c>
      <c r="K600" t="s">
        <v>3</v>
      </c>
      <c r="L600" t="s">
        <v>14</v>
      </c>
      <c r="M600">
        <f t="shared" si="36"/>
        <v>2.0001504644820436</v>
      </c>
      <c r="N600" t="str">
        <f t="shared" si="37"/>
        <v/>
      </c>
      <c r="O600" s="67" cm="1">
        <f t="array" ref="O600">SUMPRODUCT((G600=$G$7:$G$10000)*(M600&lt;$M$7:$M$10000))+1</f>
        <v>89</v>
      </c>
      <c r="P600" s="72"/>
      <c r="Q600">
        <v>10</v>
      </c>
      <c r="R600" t="str">
        <v>SDL</v>
      </c>
      <c r="S600" t="str">
        <v>Shilo Klein</v>
      </c>
      <c r="T600" t="str">
        <v>NULL</v>
      </c>
      <c r="U600" t="str">
        <v>Home</v>
      </c>
      <c r="V600" t="str">
        <v>UTAH</v>
      </c>
      <c r="W600">
        <v>11.853838868297174</v>
      </c>
      <c r="Y600" s="1" cm="1">
        <f t="array" ref="Y600">COUNT(_xlfn._xlws.FILTER($G$7:$G$10000,($I$7:$I$10000=X600)*($J$7:$J$10000&lt;&gt;"NULL")*($G$7:$G$10000 &gt;= ($G$1-5))))/5</f>
        <v>0</v>
      </c>
    </row>
    <row r="601" spans="7:25" x14ac:dyDescent="0.35">
      <c r="G601" s="66">
        <v>7</v>
      </c>
      <c r="H601" t="s">
        <v>13</v>
      </c>
      <c r="I601" t="s">
        <v>210</v>
      </c>
      <c r="J601" t="s">
        <v>256</v>
      </c>
      <c r="K601" t="s">
        <v>3</v>
      </c>
      <c r="L601" t="s">
        <v>23</v>
      </c>
      <c r="M601">
        <f t="shared" si="36"/>
        <v>1.9763282033567919</v>
      </c>
      <c r="N601" t="str">
        <f t="shared" si="37"/>
        <v/>
      </c>
      <c r="O601" s="67" cm="1">
        <f t="array" ref="O601">SUMPRODUCT((G601=$G$7:$G$10000)*(M601&lt;$M$7:$M$10000))+1</f>
        <v>90</v>
      </c>
      <c r="P601" s="72"/>
      <c r="Q601">
        <v>10</v>
      </c>
      <c r="R601" t="str">
        <v>HOU</v>
      </c>
      <c r="S601" t="str">
        <v>Pita Anae-Ah Sue</v>
      </c>
      <c r="T601" t="str">
        <v>NULL</v>
      </c>
      <c r="U601" t="str">
        <v>Home</v>
      </c>
      <c r="V601" t="str">
        <v>NOLA</v>
      </c>
      <c r="W601">
        <v>11.503996063487756</v>
      </c>
      <c r="Y601" s="1" cm="1">
        <f t="array" ref="Y601">COUNT(_xlfn._xlws.FILTER($G$7:$G$10000,($I$7:$I$10000=X601)*($J$7:$J$10000&lt;&gt;"NULL")*($G$7:$G$10000 &gt;= ($G$1-5))))/5</f>
        <v>0</v>
      </c>
    </row>
    <row r="602" spans="7:25" x14ac:dyDescent="0.35">
      <c r="G602" s="66">
        <v>7</v>
      </c>
      <c r="H602" t="s">
        <v>6</v>
      </c>
      <c r="I602" t="s">
        <v>116</v>
      </c>
      <c r="J602" t="s">
        <v>256</v>
      </c>
      <c r="K602" t="s">
        <v>3</v>
      </c>
      <c r="L602" t="s">
        <v>7</v>
      </c>
      <c r="M602">
        <f t="shared" si="36"/>
        <v>1.9422120811315793</v>
      </c>
      <c r="N602" t="str">
        <f t="shared" si="37"/>
        <v/>
      </c>
      <c r="O602" s="67" cm="1">
        <f t="array" ref="O602">SUMPRODUCT((G602=$G$7:$G$10000)*(M602&lt;$M$7:$M$10000))+1</f>
        <v>91</v>
      </c>
      <c r="P602" s="72"/>
      <c r="Q602">
        <v>10</v>
      </c>
      <c r="R602" t="str">
        <v>NOLA</v>
      </c>
      <c r="S602" t="str">
        <v>Pat O'Toole</v>
      </c>
      <c r="T602" t="str">
        <v>NULL</v>
      </c>
      <c r="U602" t="str">
        <v>Away</v>
      </c>
      <c r="V602" t="str">
        <v>HOU</v>
      </c>
      <c r="W602">
        <v>11.46423299731101</v>
      </c>
      <c r="Y602" s="1" cm="1">
        <f t="array" ref="Y602">COUNT(_xlfn._xlws.FILTER($G$7:$G$10000,($I$7:$I$10000=X602)*($J$7:$J$10000&lt;&gt;"NULL")*($G$7:$G$10000 &gt;= ($G$1-5))))/5</f>
        <v>0</v>
      </c>
    </row>
    <row r="603" spans="7:25" x14ac:dyDescent="0.35">
      <c r="G603" s="66">
        <v>7</v>
      </c>
      <c r="H603" t="s">
        <v>34</v>
      </c>
      <c r="I603" t="s">
        <v>161</v>
      </c>
      <c r="J603" t="s">
        <v>256</v>
      </c>
      <c r="K603" t="s">
        <v>9</v>
      </c>
      <c r="L603" t="s">
        <v>36</v>
      </c>
      <c r="M603">
        <f t="shared" si="36"/>
        <v>1.8683256428277195</v>
      </c>
      <c r="N603" t="str">
        <f t="shared" si="37"/>
        <v/>
      </c>
      <c r="O603" s="67" cm="1">
        <f t="array" ref="O603">SUMPRODUCT((G603=$G$7:$G$10000)*(M603&lt;$M$7:$M$10000))+1</f>
        <v>92</v>
      </c>
      <c r="P603" s="72"/>
      <c r="Q603">
        <v>10</v>
      </c>
      <c r="R603" t="str">
        <v>HOU</v>
      </c>
      <c r="S603" t="str">
        <v>Sam Tuifua</v>
      </c>
      <c r="T603" t="str">
        <v>NULL</v>
      </c>
      <c r="U603" t="str">
        <v>Home</v>
      </c>
      <c r="V603" t="str">
        <v>NOLA</v>
      </c>
      <c r="W603">
        <v>11.144281959560686</v>
      </c>
      <c r="Y603" s="1" cm="1">
        <f t="array" ref="Y603">COUNT(_xlfn._xlws.FILTER($G$7:$G$10000,($I$7:$I$10000=X603)*($J$7:$J$10000&lt;&gt;"NULL")*($G$7:$G$10000 &gt;= ($G$1-5))))/5</f>
        <v>0</v>
      </c>
    </row>
    <row r="604" spans="7:25" x14ac:dyDescent="0.35">
      <c r="G604" s="66">
        <v>7</v>
      </c>
      <c r="H604" t="s">
        <v>34</v>
      </c>
      <c r="I604" t="s">
        <v>424</v>
      </c>
      <c r="J604" t="s">
        <v>256</v>
      </c>
      <c r="K604" t="s">
        <v>9</v>
      </c>
      <c r="L604" t="s">
        <v>36</v>
      </c>
      <c r="M604">
        <f t="shared" si="36"/>
        <v>1.4893185566069018</v>
      </c>
      <c r="N604" t="str">
        <f t="shared" si="37"/>
        <v/>
      </c>
      <c r="O604" s="67" cm="1">
        <f t="array" ref="O604">SUMPRODUCT((G604=$G$7:$G$10000)*(M604&lt;$M$7:$M$10000))+1</f>
        <v>93</v>
      </c>
      <c r="P604" s="72"/>
      <c r="Q604">
        <v>10</v>
      </c>
      <c r="R604" t="str">
        <v>SDL</v>
      </c>
      <c r="S604" t="str">
        <v>Brad Wilkin</v>
      </c>
      <c r="T604" t="str">
        <v>NULL</v>
      </c>
      <c r="U604" t="str">
        <v>Home</v>
      </c>
      <c r="V604" t="str">
        <v>UTAH</v>
      </c>
      <c r="W604">
        <v>10.843372954491812</v>
      </c>
      <c r="Y604" s="1" cm="1">
        <f t="array" ref="Y604">COUNT(_xlfn._xlws.FILTER($G$7:$G$10000,($I$7:$I$10000=X604)*($J$7:$J$10000&lt;&gt;"NULL")*($G$7:$G$10000 &gt;= ($G$1-5))))/5</f>
        <v>0</v>
      </c>
    </row>
    <row r="605" spans="7:25" x14ac:dyDescent="0.35">
      <c r="G605" s="66">
        <v>7</v>
      </c>
      <c r="H605" t="s">
        <v>6</v>
      </c>
      <c r="I605" t="s">
        <v>418</v>
      </c>
      <c r="J605" t="s">
        <v>256</v>
      </c>
      <c r="K605" t="s">
        <v>3</v>
      </c>
      <c r="L605" t="s">
        <v>7</v>
      </c>
      <c r="M605">
        <f t="shared" si="36"/>
        <v>1.2668460143856128</v>
      </c>
      <c r="N605" t="str">
        <f t="shared" si="37"/>
        <v/>
      </c>
      <c r="O605" s="67" cm="1">
        <f t="array" ref="O605">SUMPRODUCT((G605=$G$7:$G$10000)*(M605&lt;$M$7:$M$10000))+1</f>
        <v>94</v>
      </c>
      <c r="P605" s="72"/>
      <c r="Q605">
        <v>10</v>
      </c>
      <c r="R605" t="str">
        <v>SEA</v>
      </c>
      <c r="S605" t="str">
        <v>Kerron van Vuuren</v>
      </c>
      <c r="T605" t="str">
        <v>NULL</v>
      </c>
      <c r="U605" t="str">
        <v>Home</v>
      </c>
      <c r="V605" t="str">
        <v>CHI</v>
      </c>
      <c r="W605">
        <v>10.743423801838761</v>
      </c>
      <c r="Y605" s="1" cm="1">
        <f t="array" ref="Y605">COUNT(_xlfn._xlws.FILTER($G$7:$G$10000,($I$7:$I$10000=X605)*($J$7:$J$10000&lt;&gt;"NULL")*($G$7:$G$10000 &gt;= ($G$1-5))))/5</f>
        <v>0</v>
      </c>
    </row>
    <row r="606" spans="7:25" x14ac:dyDescent="0.35">
      <c r="G606" s="66">
        <v>7</v>
      </c>
      <c r="H606" t="s">
        <v>17</v>
      </c>
      <c r="I606" t="s">
        <v>167</v>
      </c>
      <c r="J606" t="s">
        <v>256</v>
      </c>
      <c r="K606" t="s">
        <v>3</v>
      </c>
      <c r="L606" t="s">
        <v>14</v>
      </c>
      <c r="M606">
        <f t="shared" si="36"/>
        <v>1.0440614248066984</v>
      </c>
      <c r="N606" t="str">
        <f t="shared" si="37"/>
        <v/>
      </c>
      <c r="O606" s="67" cm="1">
        <f t="array" ref="O606">SUMPRODUCT((G606=$G$7:$G$10000)*(M606&lt;$M$7:$M$10000))+1</f>
        <v>95</v>
      </c>
      <c r="P606" s="72"/>
      <c r="Q606">
        <v>10</v>
      </c>
      <c r="R606" t="str">
        <v>NOLA</v>
      </c>
      <c r="S606" t="str">
        <v>Jonah Mau'u</v>
      </c>
      <c r="T606" t="str">
        <v>NULL</v>
      </c>
      <c r="U606" t="str">
        <v>Away</v>
      </c>
      <c r="V606" t="str">
        <v>HOU</v>
      </c>
      <c r="W606">
        <v>10.571945458492406</v>
      </c>
      <c r="Y606" s="1" cm="1">
        <f t="array" ref="Y606">COUNT(_xlfn._xlws.FILTER($G$7:$G$10000,($I$7:$I$10000=X606)*($J$7:$J$10000&lt;&gt;"NULL")*($G$7:$G$10000 &gt;= ($G$1-5))))/5</f>
        <v>0</v>
      </c>
    </row>
    <row r="607" spans="7:25" x14ac:dyDescent="0.35">
      <c r="G607" s="66">
        <v>7</v>
      </c>
      <c r="H607" t="s">
        <v>2</v>
      </c>
      <c r="I607" t="s">
        <v>185</v>
      </c>
      <c r="J607" t="s">
        <v>256</v>
      </c>
      <c r="K607" t="s">
        <v>9</v>
      </c>
      <c r="L607" t="s">
        <v>4</v>
      </c>
      <c r="M607">
        <f t="shared" si="36"/>
        <v>0.94246351113670368</v>
      </c>
      <c r="N607" t="str">
        <f t="shared" si="37"/>
        <v/>
      </c>
      <c r="O607" s="67" cm="1">
        <f t="array" ref="O607">SUMPRODUCT((G607=$G$7:$G$10000)*(M607&lt;$M$7:$M$10000))+1</f>
        <v>96</v>
      </c>
      <c r="P607" s="72"/>
      <c r="Q607">
        <v>10</v>
      </c>
      <c r="R607" t="str">
        <v>NEFJ</v>
      </c>
      <c r="S607" t="str">
        <v>Joe Johnston</v>
      </c>
      <c r="T607" t="str">
        <v>NULL</v>
      </c>
      <c r="U607" t="str">
        <v>Away</v>
      </c>
      <c r="V607" t="str">
        <v>ARC</v>
      </c>
      <c r="W607">
        <v>10.379294452840586</v>
      </c>
      <c r="Y607" s="1" cm="1">
        <f t="array" ref="Y607">COUNT(_xlfn._xlws.FILTER($G$7:$G$10000,($I$7:$I$10000=X607)*($J$7:$J$10000&lt;&gt;"NULL")*($G$7:$G$10000 &gt;= ($G$1-5))))/5</f>
        <v>0</v>
      </c>
    </row>
    <row r="608" spans="7:25" x14ac:dyDescent="0.35">
      <c r="G608" s="66">
        <v>7</v>
      </c>
      <c r="H608" t="s">
        <v>17</v>
      </c>
      <c r="I608" t="s">
        <v>423</v>
      </c>
      <c r="J608" t="s">
        <v>256</v>
      </c>
      <c r="K608" t="s">
        <v>3</v>
      </c>
      <c r="L608" t="s">
        <v>14</v>
      </c>
      <c r="M608">
        <f t="shared" si="36"/>
        <v>0.39900753496221419</v>
      </c>
      <c r="N608" t="str">
        <f t="shared" si="37"/>
        <v/>
      </c>
      <c r="O608" s="67" cm="1">
        <f t="array" ref="O608">SUMPRODUCT((G608=$G$7:$G$10000)*(M608&lt;$M$7:$M$10000))+1</f>
        <v>97</v>
      </c>
      <c r="P608" s="72"/>
      <c r="Q608">
        <v>10</v>
      </c>
      <c r="R608" t="str">
        <v>SDL</v>
      </c>
      <c r="S608" t="str">
        <v>Christian Poidevin</v>
      </c>
      <c r="T608" t="str">
        <v>NULL</v>
      </c>
      <c r="U608" t="str">
        <v>Home</v>
      </c>
      <c r="V608" t="str">
        <v>UTAH</v>
      </c>
      <c r="W608">
        <v>9.9921351748792091</v>
      </c>
      <c r="Y608" s="1" cm="1">
        <f t="array" ref="Y608">COUNT(_xlfn._xlws.FILTER($G$7:$G$10000,($I$7:$I$10000=X608)*($J$7:$J$10000&lt;&gt;"NULL")*($G$7:$G$10000 &gt;= ($G$1-5))))/5</f>
        <v>0</v>
      </c>
    </row>
    <row r="609" spans="1:25" x14ac:dyDescent="0.35">
      <c r="G609" s="66">
        <v>7</v>
      </c>
      <c r="H609" t="s">
        <v>23</v>
      </c>
      <c r="I609" t="s">
        <v>252</v>
      </c>
      <c r="J609" t="s">
        <v>256</v>
      </c>
      <c r="K609" t="s">
        <v>9</v>
      </c>
      <c r="L609" t="s">
        <v>13</v>
      </c>
      <c r="M609">
        <f t="shared" si="36"/>
        <v>6.9275593259119361E-2</v>
      </c>
      <c r="N609" t="str">
        <f t="shared" si="37"/>
        <v/>
      </c>
      <c r="O609" s="67" cm="1">
        <f t="array" ref="O609">SUMPRODUCT((G609=$G$7:$G$10000)*(M609&lt;$M$7:$M$10000))+1</f>
        <v>98</v>
      </c>
      <c r="P609" s="72"/>
      <c r="Q609">
        <v>10</v>
      </c>
      <c r="R609" t="str">
        <v>CHI</v>
      </c>
      <c r="S609" t="str">
        <v>Lucas Rumball</v>
      </c>
      <c r="T609" t="str">
        <v>NULL</v>
      </c>
      <c r="U609" t="str">
        <v>Away</v>
      </c>
      <c r="V609" t="str">
        <v>SEA</v>
      </c>
      <c r="W609">
        <v>9.9347989312636145</v>
      </c>
      <c r="Y609" s="1" cm="1">
        <f t="array" ref="Y609">COUNT(_xlfn._xlws.FILTER($G$7:$G$10000,($I$7:$I$10000=X609)*($J$7:$J$10000&lt;&gt;"NULL")*($G$7:$G$10000 &gt;= ($G$1-5))))/5</f>
        <v>0</v>
      </c>
    </row>
    <row r="610" spans="1:25" x14ac:dyDescent="0.35">
      <c r="G610" s="66">
        <v>7</v>
      </c>
      <c r="H610" t="s">
        <v>23</v>
      </c>
      <c r="I610" t="s">
        <v>229</v>
      </c>
      <c r="J610" t="s">
        <v>256</v>
      </c>
      <c r="K610" t="s">
        <v>9</v>
      </c>
      <c r="L610" t="s">
        <v>13</v>
      </c>
      <c r="M610">
        <f t="shared" si="36"/>
        <v>-0.16983525960497481</v>
      </c>
      <c r="N610" t="str">
        <f t="shared" si="37"/>
        <v/>
      </c>
      <c r="O610" s="67" cm="1">
        <f t="array" ref="O610">SUMPRODUCT((G610=$G$7:$G$10000)*(M610&lt;$M$7:$M$10000))+1</f>
        <v>99</v>
      </c>
      <c r="P610" s="72"/>
      <c r="Q610">
        <v>10</v>
      </c>
      <c r="R610" t="str">
        <v>UTAH</v>
      </c>
      <c r="S610" t="str">
        <v>Dylan Nel</v>
      </c>
      <c r="T610" t="str">
        <v>NULL</v>
      </c>
      <c r="U610" t="str">
        <v>Away</v>
      </c>
      <c r="V610" t="str">
        <v>SDL</v>
      </c>
      <c r="W610">
        <v>9.6982714308575595</v>
      </c>
      <c r="Y610" s="1" cm="1">
        <f t="array" ref="Y610">COUNT(_xlfn._xlws.FILTER($G$7:$G$10000,($I$7:$I$10000=X610)*($J$7:$J$10000&lt;&gt;"NULL")*($G$7:$G$10000 &gt;= ($G$1-5))))/5</f>
        <v>0</v>
      </c>
    </row>
    <row r="611" spans="1:25" x14ac:dyDescent="0.35">
      <c r="G611" s="66">
        <v>7</v>
      </c>
      <c r="H611" t="s">
        <v>17</v>
      </c>
      <c r="I611" t="s">
        <v>155</v>
      </c>
      <c r="J611" t="s">
        <v>256</v>
      </c>
      <c r="K611" t="s">
        <v>3</v>
      </c>
      <c r="L611" t="s">
        <v>14</v>
      </c>
      <c r="M611">
        <f t="shared" si="36"/>
        <v>-0.77743486289486086</v>
      </c>
      <c r="N611" t="str">
        <f t="shared" si="37"/>
        <v/>
      </c>
      <c r="O611" s="67" cm="1">
        <f t="array" ref="O611">SUMPRODUCT((G611=$G$7:$G$10000)*(M611&lt;$M$7:$M$10000))+1</f>
        <v>100</v>
      </c>
      <c r="P611" s="72"/>
      <c r="Q611">
        <v>10</v>
      </c>
      <c r="R611" t="str">
        <v>MIA</v>
      </c>
      <c r="S611" t="str">
        <v>Benjamin Bonasso</v>
      </c>
      <c r="T611" t="str">
        <v>NULL</v>
      </c>
      <c r="U611" t="str">
        <v>Away</v>
      </c>
      <c r="V611" t="str">
        <v>OGDC</v>
      </c>
      <c r="W611">
        <v>9.6753047022492211</v>
      </c>
      <c r="Y611" s="1" cm="1">
        <f t="array" ref="Y611">COUNT(_xlfn._xlws.FILTER($G$7:$G$10000,($I$7:$I$10000=X611)*($J$7:$J$10000&lt;&gt;"NULL")*($G$7:$G$10000 &gt;= ($G$1-5))))/5</f>
        <v>0</v>
      </c>
    </row>
    <row r="612" spans="1:25" x14ac:dyDescent="0.35">
      <c r="G612" s="66">
        <v>7</v>
      </c>
      <c r="H612" t="s">
        <v>13</v>
      </c>
      <c r="I612" t="s">
        <v>467</v>
      </c>
      <c r="J612" t="s">
        <v>256</v>
      </c>
      <c r="K612" t="s">
        <v>3</v>
      </c>
      <c r="L612" t="s">
        <v>23</v>
      </c>
      <c r="M612">
        <f t="shared" si="36"/>
        <v>-0.94786251930057563</v>
      </c>
      <c r="N612" t="str">
        <f t="shared" si="37"/>
        <v/>
      </c>
      <c r="O612" s="67" cm="1">
        <f t="array" ref="O612">SUMPRODUCT((G612=$G$7:$G$10000)*(M612&lt;$M$7:$M$10000))+1</f>
        <v>101</v>
      </c>
      <c r="P612" s="72"/>
      <c r="Q612">
        <v>10</v>
      </c>
      <c r="R612" t="str">
        <v>NEFJ</v>
      </c>
      <c r="S612" t="str">
        <v>Jed Melvin</v>
      </c>
      <c r="T612" t="str">
        <v>NULL</v>
      </c>
      <c r="U612" t="str">
        <v>Away</v>
      </c>
      <c r="V612" t="str">
        <v>ARC</v>
      </c>
      <c r="W612">
        <v>9.5618063244537339</v>
      </c>
      <c r="Y612" s="1" cm="1">
        <f t="array" ref="Y612">COUNT(_xlfn._xlws.FILTER($G$7:$G$10000,($I$7:$I$10000=X612)*($J$7:$J$10000&lt;&gt;"NULL")*($G$7:$G$10000 &gt;= ($G$1-5))))/5</f>
        <v>0</v>
      </c>
    </row>
    <row r="613" spans="1:25" x14ac:dyDescent="0.35">
      <c r="G613" s="66">
        <v>7</v>
      </c>
      <c r="H613" t="s">
        <v>36</v>
      </c>
      <c r="I613" t="s">
        <v>106</v>
      </c>
      <c r="J613" t="s">
        <v>256</v>
      </c>
      <c r="K613" t="s">
        <v>3</v>
      </c>
      <c r="L613" t="s">
        <v>34</v>
      </c>
      <c r="M613">
        <f t="shared" si="36"/>
        <v>-1.5993560383116066</v>
      </c>
      <c r="N613" t="str">
        <f t="shared" si="37"/>
        <v/>
      </c>
      <c r="O613" s="67" cm="1">
        <f t="array" ref="O613">SUMPRODUCT((G613=$G$7:$G$10000)*(M613&lt;$M$7:$M$10000))+1</f>
        <v>102</v>
      </c>
      <c r="P613" s="72"/>
      <c r="Q613">
        <v>10</v>
      </c>
      <c r="R613" t="str">
        <v>CHI</v>
      </c>
      <c r="S613" t="str">
        <v>Dylan Fawsitt</v>
      </c>
      <c r="T613" t="str">
        <v>NULL</v>
      </c>
      <c r="U613" t="str">
        <v>Away</v>
      </c>
      <c r="V613" t="str">
        <v>SEA</v>
      </c>
      <c r="W613">
        <v>9.5346412549097881</v>
      </c>
      <c r="Y613" s="1" cm="1">
        <f t="array" ref="Y613">COUNT(_xlfn._xlws.FILTER($G$7:$G$10000,($I$7:$I$10000=X613)*($J$7:$J$10000&lt;&gt;"NULL")*($G$7:$G$10000 &gt;= ($G$1-5))))/5</f>
        <v>0</v>
      </c>
    </row>
    <row r="614" spans="1:25" x14ac:dyDescent="0.35">
      <c r="A614" s="3"/>
      <c r="B614" s="3"/>
      <c r="C614" s="3"/>
      <c r="D614" s="3"/>
      <c r="E614" s="3"/>
      <c r="F614" s="3"/>
      <c r="G614" s="66">
        <v>8</v>
      </c>
      <c r="H614" t="s">
        <v>17</v>
      </c>
      <c r="I614" t="s">
        <v>485</v>
      </c>
      <c r="J614" t="s">
        <v>256</v>
      </c>
      <c r="K614" t="s">
        <v>9</v>
      </c>
      <c r="L614" t="s">
        <v>7</v>
      </c>
      <c r="M614">
        <f t="shared" si="36"/>
        <v>18.551623620703356</v>
      </c>
      <c r="N614" t="str">
        <f t="shared" si="37"/>
        <v/>
      </c>
      <c r="O614" s="67" cm="1">
        <f t="array" ref="O614">SUMPRODUCT((G614=$G$7:$G$10000)*(M614&lt;$M$7:$M$10000))+1</f>
        <v>1</v>
      </c>
      <c r="P614" s="72"/>
      <c r="Q614">
        <v>10</v>
      </c>
      <c r="R614" t="str">
        <v>SDL</v>
      </c>
      <c r="S614" t="str">
        <v>Djustice Sears-Duru</v>
      </c>
      <c r="T614" t="str">
        <v>NULL</v>
      </c>
      <c r="U614" t="str">
        <v>Home</v>
      </c>
      <c r="V614" t="str">
        <v>UTAH</v>
      </c>
      <c r="W614">
        <v>9.4363580362126296</v>
      </c>
      <c r="Y614" s="1" cm="1">
        <f t="array" ref="Y614">COUNT(_xlfn._xlws.FILTER($G$7:$G$10000,($I$7:$I$10000=X614)*($J$7:$J$10000&lt;&gt;"NULL")*($G$7:$G$10000 &gt;= ($G$1-5))))/5</f>
        <v>0</v>
      </c>
    </row>
    <row r="615" spans="1:25" x14ac:dyDescent="0.35">
      <c r="G615" s="66">
        <v>8</v>
      </c>
      <c r="H615" t="s">
        <v>34</v>
      </c>
      <c r="I615" t="s">
        <v>228</v>
      </c>
      <c r="J615" t="s">
        <v>256</v>
      </c>
      <c r="K615" t="s">
        <v>3</v>
      </c>
      <c r="L615" t="s">
        <v>2</v>
      </c>
      <c r="M615">
        <f t="shared" ref="M615:M678" si="38">VLOOKUP($K615,$F$3:$G$4,2,FALSE)+VLOOKUP($I615,$A$20:$B$321,2,FALSE)+VLOOKUP($L615,$A$6:$B$16,2,FALSE)</f>
        <v>15.324360162312722</v>
      </c>
      <c r="N615" t="str">
        <f t="shared" ref="N615:N678" si="39">IFERROR(($J615-$M615)^2,"")</f>
        <v/>
      </c>
      <c r="O615" s="67" cm="1">
        <f t="array" ref="O615">SUMPRODUCT((G615=$G$7:$G$10000)*(M615&lt;$M$7:$M$10000))+1</f>
        <v>2</v>
      </c>
      <c r="P615" s="72"/>
      <c r="Q615">
        <v>10</v>
      </c>
      <c r="R615" t="str">
        <v>SEA</v>
      </c>
      <c r="S615" t="str">
        <v>OJ Noa</v>
      </c>
      <c r="T615" t="str">
        <v>NULL</v>
      </c>
      <c r="U615" t="str">
        <v>Home</v>
      </c>
      <c r="V615" t="str">
        <v>CHI</v>
      </c>
      <c r="W615">
        <v>9.0389067093408073</v>
      </c>
      <c r="Y615" s="1" cm="1">
        <f t="array" ref="Y615">COUNT(_xlfn._xlws.FILTER($G$7:$G$10000,($I$7:$I$10000=X615)*($J$7:$J$10000&lt;&gt;"NULL")*($G$7:$G$10000 &gt;= ($G$1-5))))/5</f>
        <v>0</v>
      </c>
    </row>
    <row r="616" spans="1:25" x14ac:dyDescent="0.35">
      <c r="G616" s="66">
        <v>8</v>
      </c>
      <c r="H616" t="s">
        <v>34</v>
      </c>
      <c r="I616" t="s">
        <v>462</v>
      </c>
      <c r="J616" t="s">
        <v>256</v>
      </c>
      <c r="K616" t="s">
        <v>3</v>
      </c>
      <c r="L616" t="s">
        <v>2</v>
      </c>
      <c r="M616">
        <f t="shared" si="38"/>
        <v>14.966727790097181</v>
      </c>
      <c r="N616" t="str">
        <f t="shared" si="39"/>
        <v/>
      </c>
      <c r="O616" s="67" cm="1">
        <f t="array" ref="O616">SUMPRODUCT((G616=$G$7:$G$10000)*(M616&lt;$M$7:$M$10000))+1</f>
        <v>3</v>
      </c>
      <c r="P616" s="72"/>
      <c r="Q616">
        <v>10</v>
      </c>
      <c r="R616" t="str">
        <v>MIA</v>
      </c>
      <c r="S616" t="str">
        <v>Manuel Ardao</v>
      </c>
      <c r="T616" t="str">
        <v>NULL</v>
      </c>
      <c r="U616" t="str">
        <v>Away</v>
      </c>
      <c r="V616" t="str">
        <v>OGDC</v>
      </c>
      <c r="W616">
        <v>8.9605843471594397</v>
      </c>
      <c r="Y616" s="1" cm="1">
        <f t="array" ref="Y616">COUNT(_xlfn._xlws.FILTER($G$7:$G$10000,($I$7:$I$10000=X616)*($J$7:$J$10000&lt;&gt;"NULL")*($G$7:$G$10000 &gt;= ($G$1-5))))/5</f>
        <v>0</v>
      </c>
    </row>
    <row r="617" spans="1:25" x14ac:dyDescent="0.35">
      <c r="G617" s="66">
        <v>8</v>
      </c>
      <c r="H617" t="s">
        <v>34</v>
      </c>
      <c r="I617" t="s">
        <v>429</v>
      </c>
      <c r="J617" t="s">
        <v>256</v>
      </c>
      <c r="K617" t="s">
        <v>3</v>
      </c>
      <c r="L617" t="s">
        <v>2</v>
      </c>
      <c r="M617">
        <f t="shared" si="38"/>
        <v>13.956261876291823</v>
      </c>
      <c r="N617" t="str">
        <f t="shared" si="39"/>
        <v/>
      </c>
      <c r="O617" s="67" cm="1">
        <f t="array" ref="O617">SUMPRODUCT((G617=$G$7:$G$10000)*(M617&lt;$M$7:$M$10000))+1</f>
        <v>4</v>
      </c>
      <c r="P617" s="72"/>
      <c r="Q617">
        <v>10</v>
      </c>
      <c r="R617" t="str">
        <v>OGDC</v>
      </c>
      <c r="S617" t="str">
        <v>Jamason Fa'anana-Schultz</v>
      </c>
      <c r="T617" t="str">
        <v>NULL</v>
      </c>
      <c r="U617" t="str">
        <v>Home</v>
      </c>
      <c r="V617" t="str">
        <v>MIA</v>
      </c>
      <c r="W617">
        <v>8.8705298013721769</v>
      </c>
      <c r="Y617" s="1" cm="1">
        <f t="array" ref="Y617">COUNT(_xlfn._xlws.FILTER($G$7:$G$10000,($I$7:$I$10000=X617)*($J$7:$J$10000&lt;&gt;"NULL")*($G$7:$G$10000 &gt;= ($G$1-5))))/5</f>
        <v>0</v>
      </c>
    </row>
    <row r="618" spans="1:25" x14ac:dyDescent="0.35">
      <c r="G618" s="66">
        <v>8</v>
      </c>
      <c r="H618" t="s">
        <v>34</v>
      </c>
      <c r="I618" t="s">
        <v>200</v>
      </c>
      <c r="J618" t="s">
        <v>256</v>
      </c>
      <c r="K618" t="s">
        <v>3</v>
      </c>
      <c r="L618" t="s">
        <v>2</v>
      </c>
      <c r="M618">
        <f t="shared" si="38"/>
        <v>13.10502409667922</v>
      </c>
      <c r="N618" t="str">
        <f t="shared" si="39"/>
        <v/>
      </c>
      <c r="O618" s="67" cm="1">
        <f t="array" ref="O618">SUMPRODUCT((G618=$G$7:$G$10000)*(M618&lt;$M$7:$M$10000))+1</f>
        <v>5</v>
      </c>
      <c r="P618" s="72"/>
      <c r="Q618">
        <v>10</v>
      </c>
      <c r="R618" t="str">
        <v>CHI</v>
      </c>
      <c r="S618" t="str">
        <v>Maclean Jones</v>
      </c>
      <c r="T618" t="str">
        <v>NULL</v>
      </c>
      <c r="U618" t="str">
        <v>Away</v>
      </c>
      <c r="V618" t="str">
        <v>SEA</v>
      </c>
      <c r="W618">
        <v>8.5717480436401683</v>
      </c>
      <c r="Y618" s="1" cm="1">
        <f t="array" ref="Y618">COUNT(_xlfn._xlws.FILTER($G$7:$G$10000,($I$7:$I$10000=X618)*($J$7:$J$10000&lt;&gt;"NULL")*($G$7:$G$10000 &gt;= ($G$1-5))))/5</f>
        <v>0</v>
      </c>
    </row>
    <row r="619" spans="1:25" x14ac:dyDescent="0.35">
      <c r="G619" s="66">
        <v>8</v>
      </c>
      <c r="H619" t="s">
        <v>23</v>
      </c>
      <c r="I619" t="s">
        <v>428</v>
      </c>
      <c r="J619" t="s">
        <v>256</v>
      </c>
      <c r="K619" t="s">
        <v>3</v>
      </c>
      <c r="L619" t="s">
        <v>24</v>
      </c>
      <c r="M619">
        <f t="shared" si="38"/>
        <v>12.73741248070978</v>
      </c>
      <c r="N619" t="str">
        <f t="shared" si="39"/>
        <v/>
      </c>
      <c r="O619" s="67" cm="1">
        <f t="array" ref="O619">SUMPRODUCT((G619=$G$7:$G$10000)*(M619&lt;$M$7:$M$10000))+1</f>
        <v>6</v>
      </c>
      <c r="P619" s="72"/>
      <c r="Q619">
        <v>10</v>
      </c>
      <c r="R619" t="str">
        <v>UTAH</v>
      </c>
      <c r="S619" t="str">
        <v>Aki Seiuli</v>
      </c>
      <c r="T619" t="str">
        <v>NULL</v>
      </c>
      <c r="U619" t="str">
        <v>Away</v>
      </c>
      <c r="V619" t="str">
        <v>SDL</v>
      </c>
      <c r="W619">
        <v>8.4106941603977265</v>
      </c>
      <c r="Y619" s="1" cm="1">
        <f t="array" ref="Y619">COUNT(_xlfn._xlws.FILTER($G$7:$G$10000,($I$7:$I$10000=X619)*($J$7:$J$10000&lt;&gt;"NULL")*($G$7:$G$10000 &gt;= ($G$1-5))))/5</f>
        <v>0</v>
      </c>
    </row>
    <row r="620" spans="1:25" x14ac:dyDescent="0.35">
      <c r="G620" s="66">
        <v>8</v>
      </c>
      <c r="H620" t="s">
        <v>34</v>
      </c>
      <c r="I620" t="s">
        <v>351</v>
      </c>
      <c r="J620" t="s">
        <v>256</v>
      </c>
      <c r="K620" t="s">
        <v>3</v>
      </c>
      <c r="L620" t="s">
        <v>2</v>
      </c>
      <c r="M620">
        <f t="shared" si="38"/>
        <v>12.549246958012638</v>
      </c>
      <c r="N620" t="str">
        <f t="shared" si="39"/>
        <v/>
      </c>
      <c r="O620" s="67" cm="1">
        <f t="array" ref="O620">SUMPRODUCT((G620=$G$7:$G$10000)*(M620&lt;$M$7:$M$10000))+1</f>
        <v>7</v>
      </c>
      <c r="P620" s="72"/>
      <c r="Q620">
        <v>10</v>
      </c>
      <c r="R620" t="str">
        <v>CHI</v>
      </c>
      <c r="S620" t="str">
        <v>James Scott</v>
      </c>
      <c r="T620" t="str">
        <v>NULL</v>
      </c>
      <c r="U620" t="str">
        <v>Away</v>
      </c>
      <c r="V620" t="str">
        <v>SEA</v>
      </c>
      <c r="W620">
        <v>8.1251050650552976</v>
      </c>
      <c r="Y620" s="1" cm="1">
        <f t="array" ref="Y620">COUNT(_xlfn._xlws.FILTER($G$7:$G$10000,($I$7:$I$10000=X620)*($J$7:$J$10000&lt;&gt;"NULL")*($G$7:$G$10000 &gt;= ($G$1-5))))/5</f>
        <v>0</v>
      </c>
    </row>
    <row r="621" spans="1:25" x14ac:dyDescent="0.35">
      <c r="G621" s="66">
        <v>8</v>
      </c>
      <c r="H621" t="s">
        <v>36</v>
      </c>
      <c r="I621" t="s">
        <v>466</v>
      </c>
      <c r="J621" t="s">
        <v>256</v>
      </c>
      <c r="K621" t="s">
        <v>3</v>
      </c>
      <c r="L621" t="s">
        <v>6</v>
      </c>
      <c r="M621">
        <f t="shared" si="38"/>
        <v>12.088398327078666</v>
      </c>
      <c r="N621" t="str">
        <f t="shared" si="39"/>
        <v/>
      </c>
      <c r="O621" s="67" cm="1">
        <f t="array" ref="O621">SUMPRODUCT((G621=$G$7:$G$10000)*(M621&lt;$M$7:$M$10000))+1</f>
        <v>8</v>
      </c>
      <c r="P621" s="72"/>
      <c r="Q621">
        <v>10</v>
      </c>
      <c r="R621" t="str">
        <v>UTAH</v>
      </c>
      <c r="S621" t="str">
        <v>Frank Lochore</v>
      </c>
      <c r="T621" t="str">
        <v>NULL</v>
      </c>
      <c r="U621" t="str">
        <v>Away</v>
      </c>
      <c r="V621" t="str">
        <v>SDL</v>
      </c>
      <c r="W621">
        <v>8.0071162583422737</v>
      </c>
      <c r="Y621" s="1" cm="1">
        <f t="array" ref="Y621">COUNT(_xlfn._xlws.FILTER($G$7:$G$10000,($I$7:$I$10000=X621)*($J$7:$J$10000&lt;&gt;"NULL")*($G$7:$G$10000 &gt;= ($G$1-5))))/5</f>
        <v>0</v>
      </c>
    </row>
    <row r="622" spans="1:25" x14ac:dyDescent="0.35">
      <c r="G622" s="66">
        <v>8</v>
      </c>
      <c r="H622" t="s">
        <v>23</v>
      </c>
      <c r="I622" t="s">
        <v>389</v>
      </c>
      <c r="J622" t="s">
        <v>256</v>
      </c>
      <c r="K622" t="s">
        <v>3</v>
      </c>
      <c r="L622" t="s">
        <v>24</v>
      </c>
      <c r="M622">
        <f t="shared" si="38"/>
        <v>11.91992435232293</v>
      </c>
      <c r="N622" t="str">
        <f t="shared" si="39"/>
        <v/>
      </c>
      <c r="O622" s="67" cm="1">
        <f t="array" ref="O622">SUMPRODUCT((G622=$G$7:$G$10000)*(M622&lt;$M$7:$M$10000))+1</f>
        <v>9</v>
      </c>
      <c r="P622" s="72"/>
      <c r="Q622">
        <v>10</v>
      </c>
      <c r="R622" t="str">
        <v>CHI</v>
      </c>
      <c r="S622" t="str">
        <v>Mason Flesch</v>
      </c>
      <c r="T622" t="str">
        <v>NULL</v>
      </c>
      <c r="U622" t="str">
        <v>Away</v>
      </c>
      <c r="V622" t="str">
        <v>SEA</v>
      </c>
      <c r="W622">
        <v>7.9147979005166436</v>
      </c>
      <c r="Y622" s="1" cm="1">
        <f t="array" ref="Y622">COUNT(_xlfn._xlws.FILTER($G$7:$G$10000,($I$7:$I$10000=X622)*($J$7:$J$10000&lt;&gt;"NULL")*($G$7:$G$10000 &gt;= ($G$1-5))))/5</f>
        <v>0</v>
      </c>
    </row>
    <row r="623" spans="1:25" x14ac:dyDescent="0.35">
      <c r="G623" s="66">
        <v>8</v>
      </c>
      <c r="H623" t="s">
        <v>36</v>
      </c>
      <c r="I623" t="s">
        <v>225</v>
      </c>
      <c r="J623" t="s">
        <v>256</v>
      </c>
      <c r="K623" t="s">
        <v>3</v>
      </c>
      <c r="L623" t="s">
        <v>6</v>
      </c>
      <c r="M623">
        <f t="shared" si="38"/>
        <v>11.728684223151596</v>
      </c>
      <c r="N623" t="str">
        <f t="shared" si="39"/>
        <v/>
      </c>
      <c r="O623" s="67" cm="1">
        <f t="array" ref="O623">SUMPRODUCT((G623=$G$7:$G$10000)*(M623&lt;$M$7:$M$10000))+1</f>
        <v>10</v>
      </c>
      <c r="P623" s="72"/>
      <c r="Q623">
        <v>10</v>
      </c>
      <c r="R623" t="str">
        <v>CHI</v>
      </c>
      <c r="S623" t="str">
        <v>Paddy Ryan</v>
      </c>
      <c r="T623" t="str">
        <v>NULL</v>
      </c>
      <c r="U623" t="str">
        <v>Away</v>
      </c>
      <c r="V623" t="str">
        <v>SEA</v>
      </c>
      <c r="W623">
        <v>7.359759165650761</v>
      </c>
      <c r="Y623" s="1" cm="1">
        <f t="array" ref="Y623">COUNT(_xlfn._xlws.FILTER($G$7:$G$10000,($I$7:$I$10000=X623)*($J$7:$J$10000&lt;&gt;"NULL")*($G$7:$G$10000 &gt;= ($G$1-5))))/5</f>
        <v>0</v>
      </c>
    </row>
    <row r="624" spans="1:25" x14ac:dyDescent="0.35">
      <c r="G624" s="66">
        <v>8</v>
      </c>
      <c r="H624" t="s">
        <v>2</v>
      </c>
      <c r="I624" t="s">
        <v>212</v>
      </c>
      <c r="J624" t="s">
        <v>256</v>
      </c>
      <c r="K624" t="s">
        <v>9</v>
      </c>
      <c r="L624" t="s">
        <v>34</v>
      </c>
      <c r="M624">
        <f t="shared" si="38"/>
        <v>11.432675230240507</v>
      </c>
      <c r="N624" t="str">
        <f t="shared" si="39"/>
        <v/>
      </c>
      <c r="O624" s="67" cm="1">
        <f t="array" ref="O624">SUMPRODUCT((G624=$G$7:$G$10000)*(M624&lt;$M$7:$M$10000))+1</f>
        <v>11</v>
      </c>
      <c r="P624" s="72"/>
      <c r="Q624">
        <v>10</v>
      </c>
      <c r="R624" t="str">
        <v>NOLA</v>
      </c>
      <c r="S624" t="str">
        <v>Tupou Ma'afu Afungia</v>
      </c>
      <c r="T624" t="str">
        <v>NULL</v>
      </c>
      <c r="U624" t="str">
        <v>Away</v>
      </c>
      <c r="V624" t="str">
        <v>HOU</v>
      </c>
      <c r="W624">
        <v>6.6014885602701989</v>
      </c>
      <c r="Y624" s="1" cm="1">
        <f t="array" ref="Y624">COUNT(_xlfn._xlws.FILTER($G$7:$G$10000,($I$7:$I$10000=X624)*($J$7:$J$10000&lt;&gt;"NULL")*($G$7:$G$10000 &gt;= ($G$1-5))))/5</f>
        <v>0</v>
      </c>
    </row>
    <row r="625" spans="7:25" x14ac:dyDescent="0.35">
      <c r="G625" s="66">
        <v>8</v>
      </c>
      <c r="H625" t="s">
        <v>2</v>
      </c>
      <c r="I625" t="s">
        <v>156</v>
      </c>
      <c r="J625" t="s">
        <v>256</v>
      </c>
      <c r="K625" t="s">
        <v>9</v>
      </c>
      <c r="L625" t="s">
        <v>34</v>
      </c>
      <c r="M625">
        <f t="shared" si="38"/>
        <v>11.032517553886681</v>
      </c>
      <c r="N625" t="str">
        <f t="shared" si="39"/>
        <v/>
      </c>
      <c r="O625" s="67" cm="1">
        <f t="array" ref="O625">SUMPRODUCT((G625=$G$7:$G$10000)*(M625&lt;$M$7:$M$10000))+1</f>
        <v>12</v>
      </c>
      <c r="P625" s="72"/>
      <c r="Q625">
        <v>10</v>
      </c>
      <c r="R625" t="str">
        <v>MIA</v>
      </c>
      <c r="S625" t="str">
        <v>Mauro Rebussone</v>
      </c>
      <c r="T625" t="str">
        <v>NULL</v>
      </c>
      <c r="U625" t="str">
        <v>Away</v>
      </c>
      <c r="V625" t="str">
        <v>OGDC</v>
      </c>
      <c r="W625">
        <v>6.5758241972585543</v>
      </c>
      <c r="Y625" s="1" cm="1">
        <f t="array" ref="Y625">COUNT(_xlfn._xlws.FILTER($G$7:$G$10000,($I$7:$I$10000=X625)*($J$7:$J$10000&lt;&gt;"NULL")*($G$7:$G$10000 &gt;= ($G$1-5))))/5</f>
        <v>0</v>
      </c>
    </row>
    <row r="626" spans="7:25" x14ac:dyDescent="0.35">
      <c r="G626" s="66">
        <v>8</v>
      </c>
      <c r="H626" t="s">
        <v>2</v>
      </c>
      <c r="I626" t="s">
        <v>213</v>
      </c>
      <c r="J626" t="s">
        <v>256</v>
      </c>
      <c r="K626" t="s">
        <v>9</v>
      </c>
      <c r="L626" t="s">
        <v>34</v>
      </c>
      <c r="M626">
        <f t="shared" si="38"/>
        <v>10.069624342617061</v>
      </c>
      <c r="N626" t="str">
        <f t="shared" si="39"/>
        <v/>
      </c>
      <c r="O626" s="67" cm="1">
        <f t="array" ref="O626">SUMPRODUCT((G626=$G$7:$G$10000)*(M626&lt;$M$7:$M$10000))+1</f>
        <v>13</v>
      </c>
      <c r="P626" s="72"/>
      <c r="Q626">
        <v>10</v>
      </c>
      <c r="R626" t="str">
        <v>UTAH</v>
      </c>
      <c r="S626" t="str">
        <v>Matt Jenson</v>
      </c>
      <c r="T626" t="str">
        <v>NULL</v>
      </c>
      <c r="U626" t="str">
        <v>Away</v>
      </c>
      <c r="V626" t="str">
        <v>SDL</v>
      </c>
      <c r="W626">
        <v>6.5572536526871561</v>
      </c>
      <c r="Y626" s="1" cm="1">
        <f t="array" ref="Y626">COUNT(_xlfn._xlws.FILTER($G$7:$G$10000,($I$7:$I$10000=X626)*($J$7:$J$10000&lt;&gt;"NULL")*($G$7:$G$10000 &gt;= ($G$1-5))))/5</f>
        <v>0</v>
      </c>
    </row>
    <row r="627" spans="7:25" x14ac:dyDescent="0.35">
      <c r="G627" s="66">
        <v>8</v>
      </c>
      <c r="H627" t="s">
        <v>4</v>
      </c>
      <c r="I627" t="s">
        <v>175</v>
      </c>
      <c r="J627" t="s">
        <v>256</v>
      </c>
      <c r="K627" t="s">
        <v>9</v>
      </c>
      <c r="L627" t="s">
        <v>14</v>
      </c>
      <c r="M627">
        <f t="shared" si="38"/>
        <v>10.024371205992493</v>
      </c>
      <c r="N627" t="str">
        <f t="shared" si="39"/>
        <v/>
      </c>
      <c r="O627" s="67" cm="1">
        <f t="array" ref="O627">SUMPRODUCT((G627=$G$7:$G$10000)*(M627&lt;$M$7:$M$10000))+1</f>
        <v>14</v>
      </c>
      <c r="P627" s="72"/>
      <c r="Q627">
        <v>10</v>
      </c>
      <c r="R627" t="str">
        <v>MIA</v>
      </c>
      <c r="S627" t="str">
        <v>Alex Tucci</v>
      </c>
      <c r="T627" t="str">
        <v>NULL</v>
      </c>
      <c r="U627" t="str">
        <v>Away</v>
      </c>
      <c r="V627" t="str">
        <v>OGDC</v>
      </c>
      <c r="W627">
        <v>6.3401381934119501</v>
      </c>
      <c r="Y627" s="1" cm="1">
        <f t="array" ref="Y627">COUNT(_xlfn._xlws.FILTER($G$7:$G$10000,($I$7:$I$10000=X627)*($J$7:$J$10000&lt;&gt;"NULL")*($G$7:$G$10000 &gt;= ($G$1-5))))/5</f>
        <v>0</v>
      </c>
    </row>
    <row r="628" spans="7:25" x14ac:dyDescent="0.35">
      <c r="G628" s="66">
        <v>8</v>
      </c>
      <c r="H628" t="s">
        <v>17</v>
      </c>
      <c r="I628" t="s">
        <v>480</v>
      </c>
      <c r="J628" t="s">
        <v>256</v>
      </c>
      <c r="K628" t="s">
        <v>9</v>
      </c>
      <c r="L628" t="s">
        <v>7</v>
      </c>
      <c r="M628">
        <f t="shared" si="38"/>
        <v>10.017841350665547</v>
      </c>
      <c r="N628" t="str">
        <f t="shared" si="39"/>
        <v/>
      </c>
      <c r="O628" s="67" cm="1">
        <f t="array" ref="O628">SUMPRODUCT((G628=$G$7:$G$10000)*(M628&lt;$M$7:$M$10000))+1</f>
        <v>15</v>
      </c>
      <c r="P628" s="72"/>
      <c r="Q628">
        <v>10</v>
      </c>
      <c r="R628" t="str">
        <v>OGDC</v>
      </c>
      <c r="S628" t="str">
        <v>Cory Daniel</v>
      </c>
      <c r="T628" t="str">
        <v>NULL</v>
      </c>
      <c r="U628" t="str">
        <v>Home</v>
      </c>
      <c r="V628" t="str">
        <v>MIA</v>
      </c>
      <c r="W628">
        <v>6.3374218957138044</v>
      </c>
      <c r="Y628" s="1" cm="1">
        <f t="array" ref="Y628">COUNT(_xlfn._xlws.FILTER($G$7:$G$10000,($I$7:$I$10000=X628)*($J$7:$J$10000&lt;&gt;"NULL")*($G$7:$G$10000 &gt;= ($G$1-5))))/5</f>
        <v>0</v>
      </c>
    </row>
    <row r="629" spans="7:25" x14ac:dyDescent="0.35">
      <c r="G629" s="66">
        <v>8</v>
      </c>
      <c r="H629" t="s">
        <v>6</v>
      </c>
      <c r="I629" t="s">
        <v>430</v>
      </c>
      <c r="J629" t="s">
        <v>256</v>
      </c>
      <c r="K629" t="s">
        <v>9</v>
      </c>
      <c r="L629" t="s">
        <v>36</v>
      </c>
      <c r="M629">
        <f t="shared" si="38"/>
        <v>9.8483145203377394</v>
      </c>
      <c r="N629" t="str">
        <f t="shared" si="39"/>
        <v/>
      </c>
      <c r="O629" s="67" cm="1">
        <f t="array" ref="O629">SUMPRODUCT((G629=$G$7:$G$10000)*(M629&lt;$M$7:$M$10000))+1</f>
        <v>16</v>
      </c>
      <c r="P629" s="72"/>
      <c r="Q629">
        <v>10</v>
      </c>
      <c r="R629" t="str">
        <v>SEA</v>
      </c>
      <c r="S629" t="str">
        <v>Huw Taylor</v>
      </c>
      <c r="T629" t="str">
        <v>NULL</v>
      </c>
      <c r="U629" t="str">
        <v>Home</v>
      </c>
      <c r="V629" t="str">
        <v>CHI</v>
      </c>
      <c r="W629">
        <v>6.3371221354523044</v>
      </c>
      <c r="Y629" s="1" cm="1">
        <f t="array" ref="Y629">COUNT(_xlfn._xlws.FILTER($G$7:$G$10000,($I$7:$I$10000=X629)*($J$7:$J$10000&lt;&gt;"NULL")*($G$7:$G$10000 &gt;= ($G$1-5))))/5</f>
        <v>0</v>
      </c>
    </row>
    <row r="630" spans="7:25" x14ac:dyDescent="0.35">
      <c r="G630" s="66">
        <v>8</v>
      </c>
      <c r="H630" t="s">
        <v>2</v>
      </c>
      <c r="I630" t="s">
        <v>108</v>
      </c>
      <c r="J630" t="s">
        <v>256</v>
      </c>
      <c r="K630" t="s">
        <v>9</v>
      </c>
      <c r="L630" t="s">
        <v>34</v>
      </c>
      <c r="M630">
        <f t="shared" si="38"/>
        <v>9.6229813640321904</v>
      </c>
      <c r="N630" t="str">
        <f t="shared" si="39"/>
        <v/>
      </c>
      <c r="O630" s="67" cm="1">
        <f t="array" ref="O630">SUMPRODUCT((G630=$G$7:$G$10000)*(M630&lt;$M$7:$M$10000))+1</f>
        <v>17</v>
      </c>
      <c r="P630" s="72"/>
      <c r="Q630">
        <v>10</v>
      </c>
      <c r="R630" t="str">
        <v>SDL</v>
      </c>
      <c r="S630" t="str">
        <v>Jed Holloway</v>
      </c>
      <c r="T630" t="str">
        <v>NULL</v>
      </c>
      <c r="U630" t="str">
        <v>Home</v>
      </c>
      <c r="V630" t="str">
        <v>UTAH</v>
      </c>
      <c r="W630">
        <v>6.3212450484218357</v>
      </c>
      <c r="Y630" s="1" cm="1">
        <f t="array" ref="Y630">COUNT(_xlfn._xlws.FILTER($G$7:$G$10000,($I$7:$I$10000=X630)*($J$7:$J$10000&lt;&gt;"NULL")*($G$7:$G$10000 &gt;= ($G$1-5))))/5</f>
        <v>0</v>
      </c>
    </row>
    <row r="631" spans="7:25" x14ac:dyDescent="0.35">
      <c r="G631" s="66">
        <v>8</v>
      </c>
      <c r="H631" t="s">
        <v>34</v>
      </c>
      <c r="I631" t="s">
        <v>420</v>
      </c>
      <c r="J631" t="s">
        <v>256</v>
      </c>
      <c r="K631" t="s">
        <v>3</v>
      </c>
      <c r="L631" t="s">
        <v>2</v>
      </c>
      <c r="M631">
        <f t="shared" si="38"/>
        <v>9.4341339702218434</v>
      </c>
      <c r="N631" t="str">
        <f t="shared" si="39"/>
        <v/>
      </c>
      <c r="O631" s="67" cm="1">
        <f t="array" ref="O631">SUMPRODUCT((G631=$G$7:$G$10000)*(M631&lt;$M$7:$M$10000))+1</f>
        <v>18</v>
      </c>
      <c r="P631" s="72"/>
      <c r="Q631">
        <v>10</v>
      </c>
      <c r="R631" t="str">
        <v>NOLA</v>
      </c>
      <c r="S631" t="str">
        <v>William Waguespack</v>
      </c>
      <c r="T631" t="str">
        <v>NULL</v>
      </c>
      <c r="U631" t="str">
        <v>Away</v>
      </c>
      <c r="V631" t="str">
        <v>HOU</v>
      </c>
      <c r="W631">
        <v>6.1975999952838894</v>
      </c>
      <c r="Y631" s="1" cm="1">
        <f t="array" ref="Y631">COUNT(_xlfn._xlws.FILTER($G$7:$G$10000,($I$7:$I$10000=X631)*($J$7:$J$10000&lt;&gt;"NULL")*($G$7:$G$10000 &gt;= ($G$1-5))))/5</f>
        <v>0</v>
      </c>
    </row>
    <row r="632" spans="7:25" x14ac:dyDescent="0.35">
      <c r="G632" s="66">
        <v>8</v>
      </c>
      <c r="H632" t="s">
        <v>2</v>
      </c>
      <c r="I632" t="s">
        <v>115</v>
      </c>
      <c r="J632" t="s">
        <v>256</v>
      </c>
      <c r="K632" t="s">
        <v>9</v>
      </c>
      <c r="L632" t="s">
        <v>34</v>
      </c>
      <c r="M632">
        <f t="shared" si="38"/>
        <v>9.4126741994935372</v>
      </c>
      <c r="N632" t="str">
        <f t="shared" si="39"/>
        <v/>
      </c>
      <c r="O632" s="67" cm="1">
        <f t="array" ref="O632">SUMPRODUCT((G632=$G$7:$G$10000)*(M632&lt;$M$7:$M$10000))+1</f>
        <v>19</v>
      </c>
      <c r="P632" s="72"/>
      <c r="Q632">
        <v>10</v>
      </c>
      <c r="R632" t="str">
        <v>UTAH</v>
      </c>
      <c r="S632" t="str">
        <v>Gavin Thornbury</v>
      </c>
      <c r="T632" t="str">
        <v>NULL</v>
      </c>
      <c r="U632" t="str">
        <v>Away</v>
      </c>
      <c r="V632" t="str">
        <v>SDL</v>
      </c>
      <c r="W632">
        <v>6.0669537068955677</v>
      </c>
      <c r="Y632" s="1" cm="1">
        <f t="array" ref="Y632">COUNT(_xlfn._xlws.FILTER($G$7:$G$10000,($I$7:$I$10000=X632)*($J$7:$J$10000&lt;&gt;"NULL")*($G$7:$G$10000 &gt;= ($G$1-5))))/5</f>
        <v>0</v>
      </c>
    </row>
    <row r="633" spans="7:25" x14ac:dyDescent="0.35">
      <c r="G633" s="66">
        <v>8</v>
      </c>
      <c r="H633" t="s">
        <v>4</v>
      </c>
      <c r="I633" t="s">
        <v>209</v>
      </c>
      <c r="J633" t="s">
        <v>256</v>
      </c>
      <c r="K633" t="s">
        <v>9</v>
      </c>
      <c r="L633" t="s">
        <v>14</v>
      </c>
      <c r="M633">
        <f t="shared" si="38"/>
        <v>9.1320836671738892</v>
      </c>
      <c r="N633" t="str">
        <f t="shared" si="39"/>
        <v/>
      </c>
      <c r="O633" s="67" cm="1">
        <f t="array" ref="O633">SUMPRODUCT((G633=$G$7:$G$10000)*(M633&lt;$M$7:$M$10000))+1</f>
        <v>20</v>
      </c>
      <c r="P633" s="72"/>
      <c r="Q633">
        <v>10</v>
      </c>
      <c r="R633" t="str">
        <v>NEFJ</v>
      </c>
      <c r="S633" t="str">
        <v>Piers von Dadelszen</v>
      </c>
      <c r="T633" t="str">
        <v>NULL</v>
      </c>
      <c r="U633" t="str">
        <v>Away</v>
      </c>
      <c r="V633" t="str">
        <v>ARC</v>
      </c>
      <c r="W633">
        <v>5.8770075602724301</v>
      </c>
      <c r="Y633" s="1" cm="1">
        <f t="array" ref="Y633">COUNT(_xlfn._xlws.FILTER($G$7:$G$10000,($I$7:$I$10000=X633)*($J$7:$J$10000&lt;&gt;"NULL")*($G$7:$G$10000 &gt;= ($G$1-5))))/5</f>
        <v>0</v>
      </c>
    </row>
    <row r="634" spans="7:25" x14ac:dyDescent="0.35">
      <c r="G634" s="66">
        <v>8</v>
      </c>
      <c r="H634" t="s">
        <v>2</v>
      </c>
      <c r="I634" t="s">
        <v>174</v>
      </c>
      <c r="J634" t="s">
        <v>256</v>
      </c>
      <c r="K634" t="s">
        <v>9</v>
      </c>
      <c r="L634" t="s">
        <v>34</v>
      </c>
      <c r="M634">
        <f t="shared" si="38"/>
        <v>8.8576354646276556</v>
      </c>
      <c r="N634" t="str">
        <f t="shared" si="39"/>
        <v/>
      </c>
      <c r="O634" s="67" cm="1">
        <f t="array" ref="O634">SUMPRODUCT((G634=$G$7:$G$10000)*(M634&lt;$M$7:$M$10000))+1</f>
        <v>21</v>
      </c>
      <c r="P634" s="72"/>
      <c r="Q634">
        <v>10</v>
      </c>
      <c r="R634" t="str">
        <v>NEFJ</v>
      </c>
      <c r="S634" t="str">
        <v>Andrew Quattrin</v>
      </c>
      <c r="T634" t="str">
        <v>NULL</v>
      </c>
      <c r="U634" t="str">
        <v>Away</v>
      </c>
      <c r="V634" t="str">
        <v>ARC</v>
      </c>
      <c r="W634">
        <v>5.7623734489662386</v>
      </c>
      <c r="Y634" s="1" cm="1">
        <f t="array" ref="Y634">COUNT(_xlfn._xlws.FILTER($G$7:$G$10000,($I$7:$I$10000=X634)*($J$7:$J$10000&lt;&gt;"NULL")*($G$7:$G$10000 &gt;= ($G$1-5))))/5</f>
        <v>0</v>
      </c>
    </row>
    <row r="635" spans="7:25" x14ac:dyDescent="0.35">
      <c r="G635" s="66">
        <v>8</v>
      </c>
      <c r="H635" t="s">
        <v>7</v>
      </c>
      <c r="I635" t="s">
        <v>207</v>
      </c>
      <c r="J635" t="s">
        <v>256</v>
      </c>
      <c r="K635" t="s">
        <v>3</v>
      </c>
      <c r="L635" t="s">
        <v>17</v>
      </c>
      <c r="M635">
        <f t="shared" si="38"/>
        <v>8.3736718286013616</v>
      </c>
      <c r="N635" t="str">
        <f t="shared" si="39"/>
        <v/>
      </c>
      <c r="O635" s="67" cm="1">
        <f t="array" ref="O635">SUMPRODUCT((G635=$G$7:$G$10000)*(M635&lt;$M$7:$M$10000))+1</f>
        <v>22</v>
      </c>
      <c r="P635" s="72"/>
      <c r="Q635">
        <v>10</v>
      </c>
      <c r="R635" t="str">
        <v>NOLA</v>
      </c>
      <c r="S635" t="str">
        <v>Chase Jones</v>
      </c>
      <c r="T635" t="str">
        <v>NULL</v>
      </c>
      <c r="U635" t="str">
        <v>Away</v>
      </c>
      <c r="V635" t="str">
        <v>HOU</v>
      </c>
      <c r="W635">
        <v>5.6172331972002674</v>
      </c>
      <c r="Y635" s="1" cm="1">
        <f t="array" ref="Y635">COUNT(_xlfn._xlws.FILTER($G$7:$G$10000,($I$7:$I$10000=X635)*($J$7:$J$10000&lt;&gt;"NULL")*($G$7:$G$10000 &gt;= ($G$1-5))))/5</f>
        <v>0</v>
      </c>
    </row>
    <row r="636" spans="7:25" x14ac:dyDescent="0.35">
      <c r="G636" s="66">
        <v>8</v>
      </c>
      <c r="H636" t="s">
        <v>17</v>
      </c>
      <c r="I636" t="s">
        <v>427</v>
      </c>
      <c r="J636" t="s">
        <v>256</v>
      </c>
      <c r="K636" t="s">
        <v>9</v>
      </c>
      <c r="L636" t="s">
        <v>7</v>
      </c>
      <c r="M636">
        <f t="shared" si="38"/>
        <v>8.3133242581675937</v>
      </c>
      <c r="N636" t="str">
        <f t="shared" si="39"/>
        <v/>
      </c>
      <c r="O636" s="67" cm="1">
        <f t="array" ref="O636">SUMPRODUCT((G636=$G$7:$G$10000)*(M636&lt;$M$7:$M$10000))+1</f>
        <v>23</v>
      </c>
      <c r="P636" s="72"/>
      <c r="Q636">
        <v>10</v>
      </c>
      <c r="R636" t="str">
        <v>NOLA</v>
      </c>
      <c r="S636" t="str">
        <v>Kellen Galletier</v>
      </c>
      <c r="T636" t="str">
        <v>NULL</v>
      </c>
      <c r="U636" t="str">
        <v>Away</v>
      </c>
      <c r="V636" t="str">
        <v>HOU</v>
      </c>
      <c r="W636">
        <v>5.5164569291792676</v>
      </c>
      <c r="Y636" s="1" cm="1">
        <f t="array" ref="Y636">COUNT(_xlfn._xlws.FILTER($G$7:$G$10000,($I$7:$I$10000=X636)*($J$7:$J$10000&lt;&gt;"NULL")*($G$7:$G$10000 &gt;= ($G$1-5))))/5</f>
        <v>0</v>
      </c>
    </row>
    <row r="637" spans="7:25" x14ac:dyDescent="0.35">
      <c r="G637" s="66">
        <v>8</v>
      </c>
      <c r="H637" t="s">
        <v>23</v>
      </c>
      <c r="I637" t="s">
        <v>221</v>
      </c>
      <c r="J637" t="s">
        <v>256</v>
      </c>
      <c r="K637" t="s">
        <v>3</v>
      </c>
      <c r="L637" t="s">
        <v>24</v>
      </c>
      <c r="M637">
        <f t="shared" si="38"/>
        <v>8.2351255881416261</v>
      </c>
      <c r="N637" t="str">
        <f t="shared" si="39"/>
        <v/>
      </c>
      <c r="O637" s="67" cm="1">
        <f t="array" ref="O637">SUMPRODUCT((G637=$G$7:$G$10000)*(M637&lt;$M$7:$M$10000))+1</f>
        <v>24</v>
      </c>
      <c r="P637" s="72"/>
      <c r="Q637">
        <v>10</v>
      </c>
      <c r="R637" t="str">
        <v>NEFJ</v>
      </c>
      <c r="S637" t="str">
        <v>Sam Caird</v>
      </c>
      <c r="T637" t="str">
        <v>NULL</v>
      </c>
      <c r="U637" t="str">
        <v>Away</v>
      </c>
      <c r="V637" t="str">
        <v>ARC</v>
      </c>
      <c r="W637">
        <v>5.4905950943752622</v>
      </c>
      <c r="Y637" s="1" cm="1">
        <f t="array" ref="Y637">COUNT(_xlfn._xlws.FILTER($G$7:$G$10000,($I$7:$I$10000=X637)*($J$7:$J$10000&lt;&gt;"NULL")*($G$7:$G$10000 &gt;= ($G$1-5))))/5</f>
        <v>0</v>
      </c>
    </row>
    <row r="638" spans="7:25" x14ac:dyDescent="0.35">
      <c r="G638" s="66">
        <v>8</v>
      </c>
      <c r="H638" t="s">
        <v>23</v>
      </c>
      <c r="I638" t="s">
        <v>144</v>
      </c>
      <c r="J638" t="s">
        <v>256</v>
      </c>
      <c r="K638" t="s">
        <v>3</v>
      </c>
      <c r="L638" t="s">
        <v>24</v>
      </c>
      <c r="M638">
        <f t="shared" si="38"/>
        <v>8.1204914768354346</v>
      </c>
      <c r="N638" t="str">
        <f t="shared" si="39"/>
        <v/>
      </c>
      <c r="O638" s="67" cm="1">
        <f t="array" ref="O638">SUMPRODUCT((G638=$G$7:$G$10000)*(M638&lt;$M$7:$M$10000))+1</f>
        <v>25</v>
      </c>
      <c r="P638" s="72"/>
      <c r="Q638">
        <v>10</v>
      </c>
      <c r="R638" t="str">
        <v>UTAH</v>
      </c>
      <c r="S638" t="str">
        <v>Kalisi Moli</v>
      </c>
      <c r="T638" t="str">
        <v>NULL</v>
      </c>
      <c r="U638" t="str">
        <v>Away</v>
      </c>
      <c r="V638" t="str">
        <v>SDL</v>
      </c>
      <c r="W638">
        <v>5.3815048689826437</v>
      </c>
      <c r="Y638" s="1" cm="1">
        <f t="array" ref="Y638">COUNT(_xlfn._xlws.FILTER($G$7:$G$10000,($I$7:$I$10000=X638)*($J$7:$J$10000&lt;&gt;"NULL")*($G$7:$G$10000 &gt;= ($G$1-5))))/5</f>
        <v>0</v>
      </c>
    </row>
    <row r="639" spans="7:25" x14ac:dyDescent="0.35">
      <c r="G639" s="66">
        <v>8</v>
      </c>
      <c r="H639" t="s">
        <v>24</v>
      </c>
      <c r="I639" t="s">
        <v>199</v>
      </c>
      <c r="J639" t="s">
        <v>256</v>
      </c>
      <c r="K639" t="s">
        <v>9</v>
      </c>
      <c r="L639" t="s">
        <v>23</v>
      </c>
      <c r="M639">
        <f t="shared" si="38"/>
        <v>8.0939094340110422</v>
      </c>
      <c r="N639" t="str">
        <f t="shared" si="39"/>
        <v/>
      </c>
      <c r="O639" s="67" cm="1">
        <f t="array" ref="O639">SUMPRODUCT((G639=$G$7:$G$10000)*(M639&lt;$M$7:$M$10000))+1</f>
        <v>26</v>
      </c>
      <c r="P639" s="72"/>
      <c r="Q639">
        <v>10</v>
      </c>
      <c r="R639" t="str">
        <v>SEA</v>
      </c>
      <c r="S639" t="str">
        <v>Cameron Orr</v>
      </c>
      <c r="T639" t="str">
        <v>NULL</v>
      </c>
      <c r="U639" t="str">
        <v>Home</v>
      </c>
      <c r="V639" t="str">
        <v>CHI</v>
      </c>
      <c r="W639">
        <v>5.2381143317540158</v>
      </c>
      <c r="Y639" s="1" cm="1">
        <f t="array" ref="Y639">COUNT(_xlfn._xlws.FILTER($G$7:$G$10000,($I$7:$I$10000=X639)*($J$7:$J$10000&lt;&gt;"NULL")*($G$7:$G$10000 &gt;= ($G$1-5))))/5</f>
        <v>0</v>
      </c>
    </row>
    <row r="640" spans="7:25" x14ac:dyDescent="0.35">
      <c r="G640" s="66">
        <v>8</v>
      </c>
      <c r="H640" t="s">
        <v>6</v>
      </c>
      <c r="I640" t="s">
        <v>432</v>
      </c>
      <c r="J640" t="s">
        <v>256</v>
      </c>
      <c r="K640" t="s">
        <v>9</v>
      </c>
      <c r="L640" t="s">
        <v>36</v>
      </c>
      <c r="M640">
        <f t="shared" si="38"/>
        <v>7.8716860707672769</v>
      </c>
      <c r="N640" t="str">
        <f t="shared" si="39"/>
        <v/>
      </c>
      <c r="O640" s="67" cm="1">
        <f t="array" ref="O640">SUMPRODUCT((G640=$G$7:$G$10000)*(M640&lt;$M$7:$M$10000))+1</f>
        <v>27</v>
      </c>
      <c r="P640" s="72"/>
      <c r="Q640">
        <v>10</v>
      </c>
      <c r="R640" t="str">
        <v>MIA</v>
      </c>
      <c r="S640" t="str">
        <v>Federico Gutíerrez</v>
      </c>
      <c r="T640" t="str">
        <v>NULL</v>
      </c>
      <c r="U640" t="str">
        <v>Away</v>
      </c>
      <c r="V640" t="str">
        <v>OGDC</v>
      </c>
      <c r="W640">
        <v>5.0703913876661186</v>
      </c>
      <c r="Y640" s="1" cm="1">
        <f t="array" ref="Y640">COUNT(_xlfn._xlws.FILTER($G$7:$G$10000,($I$7:$I$10000=X640)*($J$7:$J$10000&lt;&gt;"NULL")*($G$7:$G$10000 &gt;= ($G$1-5))))/5</f>
        <v>0</v>
      </c>
    </row>
    <row r="641" spans="7:25" x14ac:dyDescent="0.35">
      <c r="G641" s="66">
        <v>8</v>
      </c>
      <c r="H641" t="s">
        <v>23</v>
      </c>
      <c r="I641" t="s">
        <v>421</v>
      </c>
      <c r="J641" t="s">
        <v>256</v>
      </c>
      <c r="K641" t="s">
        <v>3</v>
      </c>
      <c r="L641" t="s">
        <v>24</v>
      </c>
      <c r="M641">
        <f t="shared" si="38"/>
        <v>7.8487131222444573</v>
      </c>
      <c r="N641" t="str">
        <f t="shared" si="39"/>
        <v/>
      </c>
      <c r="O641" s="67" cm="1">
        <f t="array" ref="O641">SUMPRODUCT((G641=$G$7:$G$10000)*(M641&lt;$M$7:$M$10000))+1</f>
        <v>28</v>
      </c>
      <c r="P641" s="72"/>
      <c r="Q641">
        <v>10</v>
      </c>
      <c r="R641" t="str">
        <v>NOLA</v>
      </c>
      <c r="S641" t="str">
        <v>Tesimoni Tonga'uiha</v>
      </c>
      <c r="T641" t="str">
        <v>NULL</v>
      </c>
      <c r="U641" t="str">
        <v>Away</v>
      </c>
      <c r="V641" t="str">
        <v>HOU</v>
      </c>
      <c r="W641">
        <v>4.9751193366158741</v>
      </c>
      <c r="Y641" s="1" cm="1">
        <f t="array" ref="Y641">COUNT(_xlfn._xlws.FILTER($G$7:$G$10000,($I$7:$I$10000=X641)*($J$7:$J$10000&lt;&gt;"NULL")*($G$7:$G$10000 &gt;= ($G$1-5))))/5</f>
        <v>0</v>
      </c>
    </row>
    <row r="642" spans="7:25" x14ac:dyDescent="0.35">
      <c r="G642" s="66">
        <v>8</v>
      </c>
      <c r="H642" t="s">
        <v>34</v>
      </c>
      <c r="I642" t="s">
        <v>174</v>
      </c>
      <c r="J642" t="s">
        <v>256</v>
      </c>
      <c r="K642" t="s">
        <v>3</v>
      </c>
      <c r="L642" t="s">
        <v>2</v>
      </c>
      <c r="M642">
        <f t="shared" si="38"/>
        <v>7.5509225873366459</v>
      </c>
      <c r="N642" t="str">
        <f t="shared" si="39"/>
        <v/>
      </c>
      <c r="O642" s="67" cm="1">
        <f t="array" ref="O642">SUMPRODUCT((G642=$G$7:$G$10000)*(M642&lt;$M$7:$M$10000))+1</f>
        <v>29</v>
      </c>
      <c r="P642" s="72"/>
      <c r="Q642">
        <v>10</v>
      </c>
      <c r="R642" t="str">
        <v>SEA</v>
      </c>
      <c r="S642" t="str">
        <v>Rhyno Herbst</v>
      </c>
      <c r="T642" t="str">
        <v>NULL</v>
      </c>
      <c r="U642" t="str">
        <v>Home</v>
      </c>
      <c r="V642" t="str">
        <v>CHI</v>
      </c>
      <c r="W642">
        <v>4.8690426388053965</v>
      </c>
      <c r="Y642" s="1" cm="1">
        <f t="array" ref="Y642">COUNT(_xlfn._xlws.FILTER($G$7:$G$10000,($I$7:$I$10000=X642)*($J$7:$J$10000&lt;&gt;"NULL")*($G$7:$G$10000 &gt;= ($G$1-5))))/5</f>
        <v>0</v>
      </c>
    </row>
    <row r="643" spans="7:25" x14ac:dyDescent="0.35">
      <c r="G643" s="66">
        <v>8</v>
      </c>
      <c r="H643" t="s">
        <v>6</v>
      </c>
      <c r="I643" t="s">
        <v>433</v>
      </c>
      <c r="J643" t="s">
        <v>256</v>
      </c>
      <c r="K643" t="s">
        <v>9</v>
      </c>
      <c r="L643" t="s">
        <v>36</v>
      </c>
      <c r="M643">
        <f t="shared" si="38"/>
        <v>7.5010331253059128</v>
      </c>
      <c r="N643" t="str">
        <f t="shared" si="39"/>
        <v/>
      </c>
      <c r="O643" s="67" cm="1">
        <f t="array" ref="O643">SUMPRODUCT((G643=$G$7:$G$10000)*(M643&lt;$M$7:$M$10000))+1</f>
        <v>30</v>
      </c>
      <c r="P643" s="72"/>
      <c r="Q643">
        <v>10</v>
      </c>
      <c r="R643" t="str">
        <v>NEFJ</v>
      </c>
      <c r="S643" t="str">
        <v>Jero Gomez Vara</v>
      </c>
      <c r="T643" t="str">
        <v>NULL</v>
      </c>
      <c r="U643" t="str">
        <v>Away</v>
      </c>
      <c r="V643" t="str">
        <v>ARC</v>
      </c>
      <c r="W643">
        <v>4.8157720189307209</v>
      </c>
      <c r="Y643" s="1" cm="1">
        <f t="array" ref="Y643">COUNT(_xlfn._xlws.FILTER($G$7:$G$10000,($I$7:$I$10000=X643)*($J$7:$J$10000&lt;&gt;"NULL")*($G$7:$G$10000 &gt;= ($G$1-5))))/5</f>
        <v>0</v>
      </c>
    </row>
    <row r="644" spans="7:25" x14ac:dyDescent="0.35">
      <c r="G644" s="66">
        <v>8</v>
      </c>
      <c r="H644" t="s">
        <v>24</v>
      </c>
      <c r="I644" t="s">
        <v>215</v>
      </c>
      <c r="J644" t="s">
        <v>256</v>
      </c>
      <c r="K644" t="s">
        <v>9</v>
      </c>
      <c r="L644" t="s">
        <v>23</v>
      </c>
      <c r="M644">
        <f t="shared" si="38"/>
        <v>7.37918907892126</v>
      </c>
      <c r="N644" t="str">
        <f t="shared" si="39"/>
        <v/>
      </c>
      <c r="O644" s="67" cm="1">
        <f t="array" ref="O644">SUMPRODUCT((G644=$G$7:$G$10000)*(M644&lt;$M$7:$M$10000))+1</f>
        <v>31</v>
      </c>
      <c r="P644" s="72"/>
      <c r="Q644">
        <v>10</v>
      </c>
      <c r="R644" t="str">
        <v>ARC</v>
      </c>
      <c r="S644" t="str">
        <v>Makeen Alikhan</v>
      </c>
      <c r="T644" t="str">
        <v>NULL</v>
      </c>
      <c r="U644" t="str">
        <v>Home</v>
      </c>
      <c r="V644" t="str">
        <v>NEFJ</v>
      </c>
      <c r="W644">
        <v>4.7927783006109337</v>
      </c>
      <c r="Y644" s="1" cm="1">
        <f t="array" ref="Y644">COUNT(_xlfn._xlws.FILTER($G$7:$G$10000,($I$7:$I$10000=X644)*($J$7:$J$10000&lt;&gt;"NULL")*($G$7:$G$10000 &gt;= ($G$1-5))))/5</f>
        <v>0</v>
      </c>
    </row>
    <row r="645" spans="7:25" x14ac:dyDescent="0.35">
      <c r="G645" s="66">
        <v>8</v>
      </c>
      <c r="H645" t="s">
        <v>23</v>
      </c>
      <c r="I645" t="s">
        <v>431</v>
      </c>
      <c r="J645" t="s">
        <v>256</v>
      </c>
      <c r="K645" t="s">
        <v>3</v>
      </c>
      <c r="L645" t="s">
        <v>24</v>
      </c>
      <c r="M645">
        <f t="shared" si="38"/>
        <v>7.1738900467999169</v>
      </c>
      <c r="N645" t="str">
        <f t="shared" si="39"/>
        <v/>
      </c>
      <c r="O645" s="67" cm="1">
        <f t="array" ref="O645">SUMPRODUCT((G645=$G$7:$G$10000)*(M645&lt;$M$7:$M$10000))+1</f>
        <v>32</v>
      </c>
      <c r="P645" s="72"/>
      <c r="Q645">
        <v>10</v>
      </c>
      <c r="R645" t="str">
        <v>SEA</v>
      </c>
      <c r="S645" t="str">
        <v>Siaosi Mahoni</v>
      </c>
      <c r="T645" t="str">
        <v>NULL</v>
      </c>
      <c r="U645" t="str">
        <v>Home</v>
      </c>
      <c r="V645" t="str">
        <v>CHI</v>
      </c>
      <c r="W645">
        <v>4.598281026772117</v>
      </c>
      <c r="Y645" s="1" cm="1">
        <f t="array" ref="Y645">COUNT(_xlfn._xlws.FILTER($G$7:$G$10000,($I$7:$I$10000=X645)*($J$7:$J$10000&lt;&gt;"NULL")*($G$7:$G$10000 &gt;= ($G$1-5))))/5</f>
        <v>0</v>
      </c>
    </row>
    <row r="646" spans="7:25" x14ac:dyDescent="0.35">
      <c r="G646" s="66">
        <v>8</v>
      </c>
      <c r="H646" t="s">
        <v>6</v>
      </c>
      <c r="I646" t="s">
        <v>208</v>
      </c>
      <c r="J646" t="s">
        <v>256</v>
      </c>
      <c r="K646" t="s">
        <v>9</v>
      </c>
      <c r="L646" t="s">
        <v>36</v>
      </c>
      <c r="M646">
        <f t="shared" si="38"/>
        <v>6.9991801544358347</v>
      </c>
      <c r="N646" t="str">
        <f t="shared" si="39"/>
        <v/>
      </c>
      <c r="O646" s="67" cm="1">
        <f t="array" ref="O646">SUMPRODUCT((G646=$G$7:$G$10000)*(M646&lt;$M$7:$M$10000))+1</f>
        <v>33</v>
      </c>
      <c r="P646" s="72"/>
      <c r="Q646">
        <v>10</v>
      </c>
      <c r="R646" t="str">
        <v>NOLA</v>
      </c>
      <c r="S646" t="str">
        <v>Alex Lopeti</v>
      </c>
      <c r="T646" t="str">
        <v>NULL</v>
      </c>
      <c r="U646" t="str">
        <v>Away</v>
      </c>
      <c r="V646" t="str">
        <v>HOU</v>
      </c>
      <c r="W646">
        <v>4.5928660615638055</v>
      </c>
      <c r="Y646" s="1" cm="1">
        <f t="array" ref="Y646">COUNT(_xlfn._xlws.FILTER($G$7:$G$10000,($I$7:$I$10000=X646)*($J$7:$J$10000&lt;&gt;"NULL")*($G$7:$G$10000 &gt;= ($G$1-5))))/5</f>
        <v>0</v>
      </c>
    </row>
    <row r="647" spans="7:25" x14ac:dyDescent="0.35">
      <c r="G647" s="66">
        <v>8</v>
      </c>
      <c r="H647" t="s">
        <v>23</v>
      </c>
      <c r="I647" t="s">
        <v>412</v>
      </c>
      <c r="J647" t="s">
        <v>256</v>
      </c>
      <c r="K647" t="s">
        <v>3</v>
      </c>
      <c r="L647" t="s">
        <v>24</v>
      </c>
      <c r="M647">
        <f t="shared" si="38"/>
        <v>6.89844907689114</v>
      </c>
      <c r="N647" t="str">
        <f t="shared" si="39"/>
        <v/>
      </c>
      <c r="O647" s="67" cm="1">
        <f t="array" ref="O647">SUMPRODUCT((G647=$G$7:$G$10000)*(M647&lt;$M$7:$M$10000))+1</f>
        <v>34</v>
      </c>
      <c r="P647" s="72"/>
      <c r="Q647">
        <v>10</v>
      </c>
      <c r="R647" t="str">
        <v>NEFJ</v>
      </c>
      <c r="S647" t="str">
        <v>Kaleb Geiger</v>
      </c>
      <c r="T647" t="str">
        <v>NULL</v>
      </c>
      <c r="U647" t="str">
        <v>Away</v>
      </c>
      <c r="V647" t="str">
        <v>ARC</v>
      </c>
      <c r="W647">
        <v>4.540331049021944</v>
      </c>
      <c r="Y647" s="1" cm="1">
        <f t="array" ref="Y647">COUNT(_xlfn._xlws.FILTER($G$7:$G$10000,($I$7:$I$10000=X647)*($J$7:$J$10000&lt;&gt;"NULL")*($G$7:$G$10000 &gt;= ($G$1-5))))/5</f>
        <v>0</v>
      </c>
    </row>
    <row r="648" spans="7:25" x14ac:dyDescent="0.35">
      <c r="G648" s="66">
        <v>8</v>
      </c>
      <c r="H648" t="s">
        <v>34</v>
      </c>
      <c r="I648" t="s">
        <v>227</v>
      </c>
      <c r="J648" t="s">
        <v>256</v>
      </c>
      <c r="K648" t="s">
        <v>3</v>
      </c>
      <c r="L648" t="s">
        <v>2</v>
      </c>
      <c r="M648">
        <f t="shared" si="38"/>
        <v>6.8938510469436514</v>
      </c>
      <c r="N648" t="str">
        <f t="shared" si="39"/>
        <v/>
      </c>
      <c r="O648" s="67" cm="1">
        <f t="array" ref="O648">SUMPRODUCT((G648=$G$7:$G$10000)*(M648&lt;$M$7:$M$10000))+1</f>
        <v>35</v>
      </c>
      <c r="P648" s="72"/>
      <c r="Q648">
        <v>10</v>
      </c>
      <c r="R648" t="str">
        <v>SDL</v>
      </c>
      <c r="S648" t="str">
        <v>Paddy Ryan</v>
      </c>
      <c r="T648" t="str">
        <v>NULL</v>
      </c>
      <c r="U648" t="str">
        <v>Home</v>
      </c>
      <c r="V648" t="str">
        <v>UTAH</v>
      </c>
      <c r="W648">
        <v>4.4380336655366373</v>
      </c>
      <c r="Y648" s="1" cm="1">
        <f t="array" ref="Y648">COUNT(_xlfn._xlws.FILTER($G$7:$G$10000,($I$7:$I$10000=X648)*($J$7:$J$10000&lt;&gt;"NULL")*($G$7:$G$10000 &gt;= ($G$1-5))))/5</f>
        <v>0</v>
      </c>
    </row>
    <row r="649" spans="7:25" x14ac:dyDescent="0.35">
      <c r="G649" s="66">
        <v>8</v>
      </c>
      <c r="H649" t="s">
        <v>14</v>
      </c>
      <c r="I649" t="s">
        <v>396</v>
      </c>
      <c r="J649" t="s">
        <v>256</v>
      </c>
      <c r="K649" t="s">
        <v>3</v>
      </c>
      <c r="L649" t="s">
        <v>4</v>
      </c>
      <c r="M649">
        <f t="shared" si="38"/>
        <v>6.6406898457213241</v>
      </c>
      <c r="N649" t="str">
        <f t="shared" si="39"/>
        <v/>
      </c>
      <c r="O649" s="67" cm="1">
        <f t="array" ref="O649">SUMPRODUCT((G649=$G$7:$G$10000)*(M649&lt;$M$7:$M$10000))+1</f>
        <v>36</v>
      </c>
      <c r="P649" s="72"/>
      <c r="Q649">
        <v>10</v>
      </c>
      <c r="R649" t="str">
        <v>HOU</v>
      </c>
      <c r="S649" t="str">
        <v>Emmanuel Albert</v>
      </c>
      <c r="T649" t="str">
        <v>NULL</v>
      </c>
      <c r="U649" t="str">
        <v>Home</v>
      </c>
      <c r="V649" t="str">
        <v>NOLA</v>
      </c>
      <c r="W649">
        <v>4.4161080341475323</v>
      </c>
      <c r="Y649" s="1" cm="1">
        <f t="array" ref="Y649">COUNT(_xlfn._xlws.FILTER($G$7:$G$10000,($I$7:$I$10000=X649)*($J$7:$J$10000&lt;&gt;"NULL")*($G$7:$G$10000 &gt;= ($G$1-5))))/5</f>
        <v>0</v>
      </c>
    </row>
    <row r="650" spans="7:25" x14ac:dyDescent="0.35">
      <c r="G650" s="66">
        <v>8</v>
      </c>
      <c r="H650" t="s">
        <v>7</v>
      </c>
      <c r="I650" t="s">
        <v>202</v>
      </c>
      <c r="J650" t="s">
        <v>256</v>
      </c>
      <c r="K650" t="s">
        <v>3</v>
      </c>
      <c r="L650" t="s">
        <v>17</v>
      </c>
      <c r="M650">
        <f t="shared" si="38"/>
        <v>5.8405639229429882</v>
      </c>
      <c r="N650" t="str">
        <f t="shared" si="39"/>
        <v/>
      </c>
      <c r="O650" s="67" cm="1">
        <f t="array" ref="O650">SUMPRODUCT((G650=$G$7:$G$10000)*(M650&lt;$M$7:$M$10000))+1</f>
        <v>37</v>
      </c>
      <c r="P650" s="72"/>
      <c r="Q650">
        <v>10</v>
      </c>
      <c r="R650" t="str">
        <v>NOLA</v>
      </c>
      <c r="S650" t="str">
        <v>Malcolm May</v>
      </c>
      <c r="T650" t="str">
        <v>NULL</v>
      </c>
      <c r="U650" t="str">
        <v>Away</v>
      </c>
      <c r="V650" t="str">
        <v>HOU</v>
      </c>
      <c r="W650">
        <v>4.4146401490068197</v>
      </c>
      <c r="Y650" s="1" cm="1">
        <f t="array" ref="Y650">COUNT(_xlfn._xlws.FILTER($G$7:$G$10000,($I$7:$I$10000=X650)*($J$7:$J$10000&lt;&gt;"NULL")*($G$7:$G$10000 &gt;= ($G$1-5))))/5</f>
        <v>0</v>
      </c>
    </row>
    <row r="651" spans="7:25" x14ac:dyDescent="0.35">
      <c r="G651" s="66">
        <v>8</v>
      </c>
      <c r="H651" t="s">
        <v>17</v>
      </c>
      <c r="I651" t="s">
        <v>206</v>
      </c>
      <c r="J651" t="s">
        <v>256</v>
      </c>
      <c r="K651" t="s">
        <v>9</v>
      </c>
      <c r="L651" t="s">
        <v>7</v>
      </c>
      <c r="M651">
        <f t="shared" si="38"/>
        <v>5.6115396842790908</v>
      </c>
      <c r="N651" t="str">
        <f t="shared" si="39"/>
        <v/>
      </c>
      <c r="O651" s="67" cm="1">
        <f t="array" ref="O651">SUMPRODUCT((G651=$G$7:$G$10000)*(M651&lt;$M$7:$M$10000))+1</f>
        <v>38</v>
      </c>
      <c r="P651" s="72"/>
      <c r="Q651">
        <v>10</v>
      </c>
      <c r="R651" t="str">
        <v>MIA</v>
      </c>
      <c r="S651" t="str">
        <v>Marques Fuala'au</v>
      </c>
      <c r="T651" t="str">
        <v>NULL</v>
      </c>
      <c r="U651" t="str">
        <v>Away</v>
      </c>
      <c r="V651" t="str">
        <v>OGDC</v>
      </c>
      <c r="W651">
        <v>4.3277773347339732</v>
      </c>
      <c r="Y651" s="1" cm="1">
        <f t="array" ref="Y651">COUNT(_xlfn._xlws.FILTER($G$7:$G$10000,($I$7:$I$10000=X651)*($J$7:$J$10000&lt;&gt;"NULL")*($G$7:$G$10000 &gt;= ($G$1-5))))/5</f>
        <v>0</v>
      </c>
    </row>
    <row r="652" spans="7:25" x14ac:dyDescent="0.35">
      <c r="G652" s="66">
        <v>8</v>
      </c>
      <c r="H652" t="s">
        <v>14</v>
      </c>
      <c r="I652" t="s">
        <v>248</v>
      </c>
      <c r="J652" t="s">
        <v>256</v>
      </c>
      <c r="K652" t="s">
        <v>3</v>
      </c>
      <c r="L652" t="s">
        <v>4</v>
      </c>
      <c r="M652">
        <f t="shared" si="38"/>
        <v>5.5117436399522557</v>
      </c>
      <c r="N652" t="str">
        <f t="shared" si="39"/>
        <v/>
      </c>
      <c r="O652" s="67" cm="1">
        <f t="array" ref="O652">SUMPRODUCT((G652=$G$7:$G$10000)*(M652&lt;$M$7:$M$10000))+1</f>
        <v>39</v>
      </c>
      <c r="P652" s="72"/>
      <c r="Q652">
        <v>10</v>
      </c>
      <c r="R652" t="str">
        <v>OGDC</v>
      </c>
      <c r="S652" t="str">
        <v>Facundo Gattas</v>
      </c>
      <c r="T652" t="str">
        <v>NULL</v>
      </c>
      <c r="U652" t="str">
        <v>Home</v>
      </c>
      <c r="V652" t="str">
        <v>MIA</v>
      </c>
      <c r="W652">
        <v>4.2181629680997688</v>
      </c>
      <c r="Y652" s="1" cm="1">
        <f t="array" ref="Y652">COUNT(_xlfn._xlws.FILTER($G$7:$G$10000,($I$7:$I$10000=X652)*($J$7:$J$10000&lt;&gt;"NULL")*($G$7:$G$10000 &gt;= ($G$1-5))))/5</f>
        <v>0</v>
      </c>
    </row>
    <row r="653" spans="7:25" x14ac:dyDescent="0.35">
      <c r="G653" s="66">
        <v>8</v>
      </c>
      <c r="H653" t="s">
        <v>4</v>
      </c>
      <c r="I653" t="s">
        <v>486</v>
      </c>
      <c r="J653" t="s">
        <v>256</v>
      </c>
      <c r="K653" t="s">
        <v>9</v>
      </c>
      <c r="L653" t="s">
        <v>14</v>
      </c>
      <c r="M653">
        <f t="shared" si="38"/>
        <v>5.1616267689516819</v>
      </c>
      <c r="N653" t="str">
        <f t="shared" si="39"/>
        <v/>
      </c>
      <c r="O653" s="67" cm="1">
        <f t="array" ref="O653">SUMPRODUCT((G653=$G$7:$G$10000)*(M653&lt;$M$7:$M$10000))+1</f>
        <v>40</v>
      </c>
      <c r="P653" s="72"/>
      <c r="Q653">
        <v>10</v>
      </c>
      <c r="R653" t="str">
        <v>MIA</v>
      </c>
      <c r="S653" t="str">
        <v>Ma'ake Muti</v>
      </c>
      <c r="T653" t="str">
        <v>NULL</v>
      </c>
      <c r="U653" t="str">
        <v>Away</v>
      </c>
      <c r="V653" t="str">
        <v>OGDC</v>
      </c>
      <c r="W653">
        <v>4.1807536123061233</v>
      </c>
      <c r="Y653" s="1" cm="1">
        <f t="array" ref="Y653">COUNT(_xlfn._xlws.FILTER($G$7:$G$10000,($I$7:$I$10000=X653)*($J$7:$J$10000&lt;&gt;"NULL")*($G$7:$G$10000 &gt;= ($G$1-5))))/5</f>
        <v>0</v>
      </c>
    </row>
    <row r="654" spans="7:25" x14ac:dyDescent="0.35">
      <c r="G654" s="66">
        <v>8</v>
      </c>
      <c r="H654" t="s">
        <v>36</v>
      </c>
      <c r="I654" t="s">
        <v>205</v>
      </c>
      <c r="J654" t="s">
        <v>256</v>
      </c>
      <c r="K654" t="s">
        <v>3</v>
      </c>
      <c r="L654" t="s">
        <v>6</v>
      </c>
      <c r="M654">
        <f t="shared" si="38"/>
        <v>5.0005102977384421</v>
      </c>
      <c r="N654" t="str">
        <f t="shared" si="39"/>
        <v/>
      </c>
      <c r="O654" s="67" cm="1">
        <f t="array" ref="O654">SUMPRODUCT((G654=$G$7:$G$10000)*(M654&lt;$M$7:$M$10000))+1</f>
        <v>41</v>
      </c>
      <c r="P654" s="72"/>
      <c r="Q654">
        <v>10</v>
      </c>
      <c r="R654" t="str">
        <v>OGDC</v>
      </c>
      <c r="S654" t="str">
        <v>Jack Iscaro</v>
      </c>
      <c r="T654" t="str">
        <v>NULL</v>
      </c>
      <c r="U654" t="str">
        <v>Home</v>
      </c>
      <c r="V654" t="str">
        <v>MIA</v>
      </c>
      <c r="W654">
        <v>4.1656459384164677</v>
      </c>
      <c r="Y654" s="1" cm="1">
        <f t="array" ref="Y654">COUNT(_xlfn._xlws.FILTER($G$7:$G$10000,($I$7:$I$10000=X654)*($J$7:$J$10000&lt;&gt;"NULL")*($G$7:$G$10000 &gt;= ($G$1-5))))/5</f>
        <v>0</v>
      </c>
    </row>
    <row r="655" spans="7:25" x14ac:dyDescent="0.35">
      <c r="G655" s="66">
        <v>8</v>
      </c>
      <c r="H655" t="s">
        <v>24</v>
      </c>
      <c r="I655" t="s">
        <v>419</v>
      </c>
      <c r="J655" t="s">
        <v>256</v>
      </c>
      <c r="K655" t="s">
        <v>9</v>
      </c>
      <c r="L655" t="s">
        <v>23</v>
      </c>
      <c r="M655">
        <f t="shared" si="38"/>
        <v>4.9944289290203754</v>
      </c>
      <c r="N655" t="str">
        <f t="shared" si="39"/>
        <v/>
      </c>
      <c r="O655" s="67" cm="1">
        <f t="array" ref="O655">SUMPRODUCT((G655=$G$7:$G$10000)*(M655&lt;$M$7:$M$10000))+1</f>
        <v>42</v>
      </c>
      <c r="P655" s="72"/>
      <c r="Q655">
        <v>10</v>
      </c>
      <c r="R655" t="str">
        <v>MIA</v>
      </c>
      <c r="S655" t="str">
        <v>Kirby Myhill</v>
      </c>
      <c r="T655" t="str">
        <v>NULL</v>
      </c>
      <c r="U655" t="str">
        <v>Away</v>
      </c>
      <c r="V655" t="str">
        <v>OGDC</v>
      </c>
      <c r="W655">
        <v>3.8533435740938069</v>
      </c>
      <c r="Y655" s="1" cm="1">
        <f t="array" ref="Y655">COUNT(_xlfn._xlws.FILTER($G$7:$G$10000,($I$7:$I$10000=X655)*($J$7:$J$10000&lt;&gt;"NULL")*($G$7:$G$10000 &gt;= ($G$1-5))))/5</f>
        <v>0</v>
      </c>
    </row>
    <row r="656" spans="7:25" x14ac:dyDescent="0.35">
      <c r="G656" s="66">
        <v>8</v>
      </c>
      <c r="H656" t="s">
        <v>2</v>
      </c>
      <c r="I656" t="s">
        <v>426</v>
      </c>
      <c r="J656" t="s">
        <v>256</v>
      </c>
      <c r="K656" t="s">
        <v>9</v>
      </c>
      <c r="L656" t="s">
        <v>34</v>
      </c>
      <c r="M656">
        <f t="shared" si="38"/>
        <v>4.9503009993111835</v>
      </c>
      <c r="N656" t="str">
        <f t="shared" si="39"/>
        <v/>
      </c>
      <c r="O656" s="67" cm="1">
        <f t="array" ref="O656">SUMPRODUCT((G656=$G$7:$G$10000)*(M656&lt;$M$7:$M$10000))+1</f>
        <v>43</v>
      </c>
      <c r="P656" s="72"/>
      <c r="Q656">
        <v>10</v>
      </c>
      <c r="R656" t="str">
        <v>HOU</v>
      </c>
      <c r="S656" t="str">
        <v>Johan Momsen</v>
      </c>
      <c r="T656" t="str">
        <v>NULL</v>
      </c>
      <c r="U656" t="str">
        <v>Home</v>
      </c>
      <c r="V656" t="str">
        <v>NOLA</v>
      </c>
      <c r="W656">
        <v>3.8509389550770909</v>
      </c>
      <c r="Y656" s="1" cm="1">
        <f t="array" ref="Y656">COUNT(_xlfn._xlws.FILTER($G$7:$G$10000,($I$7:$I$10000=X656)*($J$7:$J$10000&lt;&gt;"NULL")*($G$7:$G$10000 &gt;= ($G$1-5))))/5</f>
        <v>0</v>
      </c>
    </row>
    <row r="657" spans="7:25" x14ac:dyDescent="0.35">
      <c r="G657" s="66">
        <v>8</v>
      </c>
      <c r="H657" t="s">
        <v>34</v>
      </c>
      <c r="I657" t="s">
        <v>436</v>
      </c>
      <c r="J657" t="s">
        <v>256</v>
      </c>
      <c r="K657" t="s">
        <v>3</v>
      </c>
      <c r="L657" t="s">
        <v>2</v>
      </c>
      <c r="M657">
        <f t="shared" si="38"/>
        <v>4.8365707520388366</v>
      </c>
      <c r="N657" t="str">
        <f t="shared" si="39"/>
        <v/>
      </c>
      <c r="O657" s="67" cm="1">
        <f t="array" ref="O657">SUMPRODUCT((G657=$G$7:$G$10000)*(M657&lt;$M$7:$M$10000))+1</f>
        <v>44</v>
      </c>
      <c r="P657" s="72"/>
      <c r="Q657">
        <v>10</v>
      </c>
      <c r="R657" t="str">
        <v>OGDC</v>
      </c>
      <c r="S657" t="str">
        <v>Lautaro Bavaro</v>
      </c>
      <c r="T657" t="str">
        <v>NULL</v>
      </c>
      <c r="U657" t="str">
        <v>Home</v>
      </c>
      <c r="V657" t="str">
        <v>MIA</v>
      </c>
      <c r="W657">
        <v>3.8495143225534125</v>
      </c>
      <c r="Y657" s="1" cm="1">
        <f t="array" ref="Y657">COUNT(_xlfn._xlws.FILTER($G$7:$G$10000,($I$7:$I$10000=X657)*($J$7:$J$10000&lt;&gt;"NULL")*($G$7:$G$10000 &gt;= ($G$1-5))))/5</f>
        <v>0</v>
      </c>
    </row>
    <row r="658" spans="7:25" x14ac:dyDescent="0.35">
      <c r="G658" s="66">
        <v>8</v>
      </c>
      <c r="H658" t="s">
        <v>2</v>
      </c>
      <c r="I658" t="s">
        <v>159</v>
      </c>
      <c r="J658" t="s">
        <v>256</v>
      </c>
      <c r="K658" t="s">
        <v>9</v>
      </c>
      <c r="L658" t="s">
        <v>34</v>
      </c>
      <c r="M658">
        <f t="shared" si="38"/>
        <v>4.812172524535212</v>
      </c>
      <c r="N658" t="str">
        <f t="shared" si="39"/>
        <v/>
      </c>
      <c r="O658" s="67" cm="1">
        <f t="array" ref="O658">SUMPRODUCT((G658=$G$7:$G$10000)*(M658&lt;$M$7:$M$10000))+1</f>
        <v>45</v>
      </c>
      <c r="P658" s="72"/>
      <c r="Q658">
        <v>10</v>
      </c>
      <c r="R658" t="str">
        <v>SDL</v>
      </c>
      <c r="S658" t="str">
        <v>Tevita Tameilau</v>
      </c>
      <c r="T658" t="str">
        <v>NULL</v>
      </c>
      <c r="U658" t="str">
        <v>Home</v>
      </c>
      <c r="V658" t="str">
        <v>UTAH</v>
      </c>
      <c r="W658">
        <v>3.7809621251436432</v>
      </c>
      <c r="Y658" s="1" cm="1">
        <f t="array" ref="Y658">COUNT(_xlfn._xlws.FILTER($G$7:$G$10000,($I$7:$I$10000=X658)*($J$7:$J$10000&lt;&gt;"NULL")*($G$7:$G$10000 &gt;= ($G$1-5))))/5</f>
        <v>0</v>
      </c>
    </row>
    <row r="659" spans="7:25" x14ac:dyDescent="0.35">
      <c r="G659" s="66">
        <v>8</v>
      </c>
      <c r="H659" t="s">
        <v>24</v>
      </c>
      <c r="I659" t="s">
        <v>465</v>
      </c>
      <c r="J659" t="s">
        <v>256</v>
      </c>
      <c r="K659" t="s">
        <v>9</v>
      </c>
      <c r="L659" t="s">
        <v>23</v>
      </c>
      <c r="M659">
        <f t="shared" si="38"/>
        <v>4.7587429251737712</v>
      </c>
      <c r="N659" t="str">
        <f t="shared" si="39"/>
        <v/>
      </c>
      <c r="O659" s="67" cm="1">
        <f t="array" ref="O659">SUMPRODUCT((G659=$G$7:$G$10000)*(M659&lt;$M$7:$M$10000))+1</f>
        <v>46</v>
      </c>
      <c r="P659" s="72"/>
      <c r="Q659">
        <v>10</v>
      </c>
      <c r="R659" t="str">
        <v>OGDC</v>
      </c>
      <c r="S659" t="str">
        <v>Rob Harley</v>
      </c>
      <c r="T659" t="str">
        <v>NULL</v>
      </c>
      <c r="U659" t="str">
        <v>Home</v>
      </c>
      <c r="V659" t="str">
        <v>MIA</v>
      </c>
      <c r="W659">
        <v>3.691406648479723</v>
      </c>
      <c r="Y659" s="1" cm="1">
        <f t="array" ref="Y659">COUNT(_xlfn._xlws.FILTER($G$7:$G$10000,($I$7:$I$10000=X659)*($J$7:$J$10000&lt;&gt;"NULL")*($G$7:$G$10000 &gt;= ($G$1-5))))/5</f>
        <v>0</v>
      </c>
    </row>
    <row r="660" spans="7:25" x14ac:dyDescent="0.35">
      <c r="G660" s="66">
        <v>8</v>
      </c>
      <c r="H660" t="s">
        <v>4</v>
      </c>
      <c r="I660" t="s">
        <v>114</v>
      </c>
      <c r="J660" t="s">
        <v>256</v>
      </c>
      <c r="K660" t="s">
        <v>9</v>
      </c>
      <c r="L660" t="s">
        <v>14</v>
      </c>
      <c r="M660">
        <f t="shared" si="38"/>
        <v>4.7577382039653724</v>
      </c>
      <c r="N660" t="str">
        <f t="shared" si="39"/>
        <v/>
      </c>
      <c r="O660" s="67" cm="1">
        <f t="array" ref="O660">SUMPRODUCT((G660=$G$7:$G$10000)*(M660&lt;$M$7:$M$10000))+1</f>
        <v>47</v>
      </c>
      <c r="P660" s="72"/>
      <c r="Q660">
        <v>10</v>
      </c>
      <c r="R660" t="str">
        <v>ARC</v>
      </c>
      <c r="S660" t="str">
        <v>Connor Robinson</v>
      </c>
      <c r="T660" t="str">
        <v>NULL</v>
      </c>
      <c r="U660" t="str">
        <v>Home</v>
      </c>
      <c r="V660" t="str">
        <v>NEFJ</v>
      </c>
      <c r="W660">
        <v>3.6638320948418652</v>
      </c>
      <c r="Y660" s="1" cm="1">
        <f t="array" ref="Y660">COUNT(_xlfn._xlws.FILTER($G$7:$G$10000,($I$7:$I$10000=X660)*($J$7:$J$10000&lt;&gt;"NULL")*($G$7:$G$10000 &gt;= ($G$1-5))))/5</f>
        <v>0</v>
      </c>
    </row>
    <row r="661" spans="7:25" x14ac:dyDescent="0.35">
      <c r="G661" s="66">
        <v>8</v>
      </c>
      <c r="H661" t="s">
        <v>14</v>
      </c>
      <c r="I661" t="s">
        <v>203</v>
      </c>
      <c r="J661" t="s">
        <v>256</v>
      </c>
      <c r="K661" t="s">
        <v>3</v>
      </c>
      <c r="L661" t="s">
        <v>4</v>
      </c>
      <c r="M661">
        <f t="shared" si="38"/>
        <v>4.6573441742103139</v>
      </c>
      <c r="N661" t="str">
        <f t="shared" si="39"/>
        <v/>
      </c>
      <c r="O661" s="67" cm="1">
        <f t="array" ref="O661">SUMPRODUCT((G661=$G$7:$G$10000)*(M661&lt;$M$7:$M$10000))+1</f>
        <v>48</v>
      </c>
      <c r="P661" s="72"/>
      <c r="Q661">
        <v>10</v>
      </c>
      <c r="R661" t="str">
        <v>SEA</v>
      </c>
      <c r="S661" t="str">
        <v>Taylor Krumrei</v>
      </c>
      <c r="T661" t="str">
        <v>NULL</v>
      </c>
      <c r="U661" t="str">
        <v>Home</v>
      </c>
      <c r="V661" t="str">
        <v>CHI</v>
      </c>
      <c r="W661">
        <v>3.6355460791132082</v>
      </c>
      <c r="Y661" s="1" cm="1">
        <f t="array" ref="Y661">COUNT(_xlfn._xlws.FILTER($G$7:$G$10000,($I$7:$I$10000=X661)*($J$7:$J$10000&lt;&gt;"NULL")*($G$7:$G$10000 &gt;= ($G$1-5))))/5</f>
        <v>0</v>
      </c>
    </row>
    <row r="662" spans="7:25" x14ac:dyDescent="0.35">
      <c r="G662" s="66">
        <v>8</v>
      </c>
      <c r="H662" t="s">
        <v>34</v>
      </c>
      <c r="I662" t="s">
        <v>177</v>
      </c>
      <c r="J662" t="s">
        <v>256</v>
      </c>
      <c r="K662" t="s">
        <v>3</v>
      </c>
      <c r="L662" t="s">
        <v>2</v>
      </c>
      <c r="M662">
        <f t="shared" si="38"/>
        <v>4.6151662699238134</v>
      </c>
      <c r="N662" t="str">
        <f t="shared" si="39"/>
        <v/>
      </c>
      <c r="O662" s="67" cm="1">
        <f t="array" ref="O662">SUMPRODUCT((G662=$G$7:$G$10000)*(M662&lt;$M$7:$M$10000))+1</f>
        <v>49</v>
      </c>
      <c r="P662" s="72"/>
      <c r="Q662">
        <v>10</v>
      </c>
      <c r="R662" t="str">
        <v>HOU</v>
      </c>
      <c r="S662" t="str">
        <v>Nathan Den Hoedt</v>
      </c>
      <c r="T662" t="str">
        <v>NULL</v>
      </c>
      <c r="U662" t="str">
        <v>Home</v>
      </c>
      <c r="V662" t="str">
        <v>NOLA</v>
      </c>
      <c r="W662">
        <v>3.5201526260184761</v>
      </c>
      <c r="Y662" s="1" cm="1">
        <f t="array" ref="Y662">COUNT(_xlfn._xlws.FILTER($G$7:$G$10000,($I$7:$I$10000=X662)*($J$7:$J$10000&lt;&gt;"NULL")*($G$7:$G$10000 &gt;= ($G$1-5))))/5</f>
        <v>0</v>
      </c>
    </row>
    <row r="663" spans="7:25" x14ac:dyDescent="0.35">
      <c r="G663" s="66">
        <v>8</v>
      </c>
      <c r="H663" t="s">
        <v>14</v>
      </c>
      <c r="I663" t="s">
        <v>107</v>
      </c>
      <c r="J663" t="s">
        <v>256</v>
      </c>
      <c r="K663" t="s">
        <v>3</v>
      </c>
      <c r="L663" t="s">
        <v>4</v>
      </c>
      <c r="M663">
        <f t="shared" si="38"/>
        <v>4.5409650230339373</v>
      </c>
      <c r="N663" t="str">
        <f t="shared" si="39"/>
        <v/>
      </c>
      <c r="O663" s="67" cm="1">
        <f t="array" ref="O663">SUMPRODUCT((G663=$G$7:$G$10000)*(M663&lt;$M$7:$M$10000))+1</f>
        <v>50</v>
      </c>
      <c r="P663" s="72"/>
      <c r="Q663">
        <v>10</v>
      </c>
      <c r="R663" t="str">
        <v>OGDC</v>
      </c>
      <c r="S663" t="str">
        <v>Cali Martinez</v>
      </c>
      <c r="T663" t="str">
        <v>NULL</v>
      </c>
      <c r="U663" t="str">
        <v>Home</v>
      </c>
      <c r="V663" t="str">
        <v>MIA</v>
      </c>
      <c r="W663">
        <v>3.4914662381737394</v>
      </c>
      <c r="Y663" s="1" cm="1">
        <f t="array" ref="Y663">COUNT(_xlfn._xlws.FILTER($G$7:$G$10000,($I$7:$I$10000=X663)*($J$7:$J$10000&lt;&gt;"NULL")*($G$7:$G$10000 &gt;= ($G$1-5))))/5</f>
        <v>0</v>
      </c>
    </row>
    <row r="664" spans="7:25" x14ac:dyDescent="0.35">
      <c r="G664" s="66">
        <v>8</v>
      </c>
      <c r="H664" t="s">
        <v>34</v>
      </c>
      <c r="I664" t="s">
        <v>153</v>
      </c>
      <c r="J664" t="s">
        <v>256</v>
      </c>
      <c r="K664" t="s">
        <v>3</v>
      </c>
      <c r="L664" t="s">
        <v>2</v>
      </c>
      <c r="M664">
        <f t="shared" si="38"/>
        <v>4.5147572765820021</v>
      </c>
      <c r="N664" t="str">
        <f t="shared" si="39"/>
        <v/>
      </c>
      <c r="O664" s="67" cm="1">
        <f t="array" ref="O664">SUMPRODUCT((G664=$G$7:$G$10000)*(M664&lt;$M$7:$M$10000))+1</f>
        <v>51</v>
      </c>
      <c r="P664" s="72"/>
      <c r="Q664">
        <v>10</v>
      </c>
      <c r="R664" t="str">
        <v>CHI</v>
      </c>
      <c r="S664" t="str">
        <v>Hamish Bain</v>
      </c>
      <c r="T664" t="str">
        <v>NULL</v>
      </c>
      <c r="U664" t="str">
        <v>Away</v>
      </c>
      <c r="V664" t="str">
        <v>SEA</v>
      </c>
      <c r="W664">
        <v>3.4524247003342898</v>
      </c>
      <c r="Y664" s="1" cm="1">
        <f t="array" ref="Y664">COUNT(_xlfn._xlws.FILTER($G$7:$G$10000,($I$7:$I$10000=X664)*($J$7:$J$10000&lt;&gt;"NULL")*($G$7:$G$10000 &gt;= ($G$1-5))))/5</f>
        <v>0</v>
      </c>
    </row>
    <row r="665" spans="7:25" x14ac:dyDescent="0.35">
      <c r="G665" s="66">
        <v>8</v>
      </c>
      <c r="H665" t="s">
        <v>17</v>
      </c>
      <c r="I665" t="s">
        <v>149</v>
      </c>
      <c r="J665" t="s">
        <v>256</v>
      </c>
      <c r="K665" t="s">
        <v>9</v>
      </c>
      <c r="L665" t="s">
        <v>7</v>
      </c>
      <c r="M665">
        <f t="shared" si="38"/>
        <v>4.5125318805808021</v>
      </c>
      <c r="N665" t="str">
        <f t="shared" si="39"/>
        <v/>
      </c>
      <c r="O665" s="67" cm="1">
        <f t="array" ref="O665">SUMPRODUCT((G665=$G$7:$G$10000)*(M665&lt;$M$7:$M$10000))+1</f>
        <v>52</v>
      </c>
      <c r="P665" s="72"/>
      <c r="Q665">
        <v>10</v>
      </c>
      <c r="R665" t="str">
        <v>NOLA</v>
      </c>
      <c r="S665" t="str">
        <v>Paul Mullen</v>
      </c>
      <c r="T665" t="str">
        <v>NULL</v>
      </c>
      <c r="U665" t="str">
        <v>Away</v>
      </c>
      <c r="V665" t="str">
        <v>HOU</v>
      </c>
      <c r="W665">
        <v>3.318318611070505</v>
      </c>
      <c r="Y665" s="1" cm="1">
        <f t="array" ref="Y665">COUNT(_xlfn._xlws.FILTER($G$7:$G$10000,($I$7:$I$10000=X665)*($J$7:$J$10000&lt;&gt;"NULL")*($G$7:$G$10000 &gt;= ($G$1-5))))/5</f>
        <v>0</v>
      </c>
    </row>
    <row r="666" spans="7:25" x14ac:dyDescent="0.35">
      <c r="G666" s="66">
        <v>8</v>
      </c>
      <c r="H666" t="s">
        <v>14</v>
      </c>
      <c r="I666" t="s">
        <v>471</v>
      </c>
      <c r="J666" t="s">
        <v>256</v>
      </c>
      <c r="K666" t="s">
        <v>3</v>
      </c>
      <c r="L666" t="s">
        <v>4</v>
      </c>
      <c r="M666">
        <f t="shared" si="38"/>
        <v>4.4828951884457675</v>
      </c>
      <c r="N666" t="str">
        <f t="shared" si="39"/>
        <v/>
      </c>
      <c r="O666" s="67" cm="1">
        <f t="array" ref="O666">SUMPRODUCT((G666=$G$7:$G$10000)*(M666&lt;$M$7:$M$10000))+1</f>
        <v>53</v>
      </c>
      <c r="P666" s="72"/>
      <c r="Q666">
        <v>10</v>
      </c>
      <c r="R666" t="str">
        <v>CHI</v>
      </c>
      <c r="S666" t="str">
        <v>Faka'osi Pifeleti</v>
      </c>
      <c r="T666" t="str">
        <v>NULL</v>
      </c>
      <c r="U666" t="str">
        <v>Away</v>
      </c>
      <c r="V666" t="str">
        <v>SEA</v>
      </c>
      <c r="W666">
        <v>3.3142962255583184</v>
      </c>
      <c r="Y666" s="1" cm="1">
        <f t="array" ref="Y666">COUNT(_xlfn._xlws.FILTER($G$7:$G$10000,($I$7:$I$10000=X666)*($J$7:$J$10000&lt;&gt;"NULL")*($G$7:$G$10000 &gt;= ($G$1-5))))/5</f>
        <v>0</v>
      </c>
    </row>
    <row r="667" spans="7:25" x14ac:dyDescent="0.35">
      <c r="G667" s="66">
        <v>8</v>
      </c>
      <c r="H667" t="s">
        <v>36</v>
      </c>
      <c r="I667" t="s">
        <v>112</v>
      </c>
      <c r="J667" t="s">
        <v>256</v>
      </c>
      <c r="K667" t="s">
        <v>3</v>
      </c>
      <c r="L667" t="s">
        <v>6</v>
      </c>
      <c r="M667">
        <f t="shared" si="38"/>
        <v>4.4353412186680004</v>
      </c>
      <c r="N667" t="str">
        <f t="shared" si="39"/>
        <v/>
      </c>
      <c r="O667" s="67" cm="1">
        <f t="array" ref="O667">SUMPRODUCT((G667=$G$7:$G$10000)*(M667&lt;$M$7:$M$10000))+1</f>
        <v>54</v>
      </c>
      <c r="P667" s="72"/>
      <c r="Q667">
        <v>10</v>
      </c>
      <c r="R667" t="str">
        <v>HOU</v>
      </c>
      <c r="S667" t="str">
        <v>Marno Redelinghuys</v>
      </c>
      <c r="T667" t="str">
        <v>NULL</v>
      </c>
      <c r="U667" t="str">
        <v>Home</v>
      </c>
      <c r="V667" t="str">
        <v>NOLA</v>
      </c>
      <c r="W667">
        <v>3.2976108149247363</v>
      </c>
      <c r="Y667" s="1" cm="1">
        <f t="array" ref="Y667">COUNT(_xlfn._xlws.FILTER($G$7:$G$10000,($I$7:$I$10000=X667)*($J$7:$J$10000&lt;&gt;"NULL")*($G$7:$G$10000 &gt;= ($G$1-5))))/5</f>
        <v>0</v>
      </c>
    </row>
    <row r="668" spans="7:25" x14ac:dyDescent="0.35">
      <c r="G668" s="66">
        <v>8</v>
      </c>
      <c r="H668" t="s">
        <v>4</v>
      </c>
      <c r="I668" t="s">
        <v>484</v>
      </c>
      <c r="J668" t="s">
        <v>256</v>
      </c>
      <c r="K668" t="s">
        <v>9</v>
      </c>
      <c r="L668" t="s">
        <v>14</v>
      </c>
      <c r="M668">
        <f t="shared" si="38"/>
        <v>4.1773714058817504</v>
      </c>
      <c r="N668" t="str">
        <f t="shared" si="39"/>
        <v/>
      </c>
      <c r="O668" s="67" cm="1">
        <f t="array" ref="O668">SUMPRODUCT((G668=$G$7:$G$10000)*(M668&lt;$M$7:$M$10000))+1</f>
        <v>55</v>
      </c>
      <c r="P668" s="72"/>
      <c r="Q668">
        <v>10</v>
      </c>
      <c r="R668" t="str">
        <v>OGDC</v>
      </c>
      <c r="S668" t="str">
        <v>Tevita Naqali</v>
      </c>
      <c r="T668" t="str">
        <v>NULL</v>
      </c>
      <c r="U668" t="str">
        <v>Home</v>
      </c>
      <c r="V668" t="str">
        <v>MIA</v>
      </c>
      <c r="W668">
        <v>3.0652210666436774</v>
      </c>
      <c r="Y668" s="1" cm="1">
        <f t="array" ref="Y668">COUNT(_xlfn._xlws.FILTER($G$7:$G$10000,($I$7:$I$10000=X668)*($J$7:$J$10000&lt;&gt;"NULL")*($G$7:$G$10000 &gt;= ($G$1-5))))/5</f>
        <v>0</v>
      </c>
    </row>
    <row r="669" spans="7:25" x14ac:dyDescent="0.35">
      <c r="G669" s="66">
        <v>8</v>
      </c>
      <c r="H669" t="s">
        <v>17</v>
      </c>
      <c r="I669" t="s">
        <v>105</v>
      </c>
      <c r="J669" t="s">
        <v>256</v>
      </c>
      <c r="K669" t="s">
        <v>9</v>
      </c>
      <c r="L669" t="s">
        <v>7</v>
      </c>
      <c r="M669">
        <f t="shared" si="38"/>
        <v>4.1434601876321828</v>
      </c>
      <c r="N669" t="str">
        <f t="shared" si="39"/>
        <v/>
      </c>
      <c r="O669" s="67" cm="1">
        <f t="array" ref="O669">SUMPRODUCT((G669=$G$7:$G$10000)*(M669&lt;$M$7:$M$10000))+1</f>
        <v>56</v>
      </c>
      <c r="P669" s="72"/>
      <c r="Q669">
        <v>10</v>
      </c>
      <c r="R669" t="str">
        <v>NOLA</v>
      </c>
      <c r="S669" t="str">
        <v>Matt Harmon</v>
      </c>
      <c r="T669" t="str">
        <v>NULL</v>
      </c>
      <c r="U669" t="str">
        <v>Away</v>
      </c>
      <c r="V669" t="str">
        <v>HOU</v>
      </c>
      <c r="W669">
        <v>2.9368752139718017</v>
      </c>
      <c r="Y669" s="1" cm="1">
        <f t="array" ref="Y669">COUNT(_xlfn._xlws.FILTER($G$7:$G$10000,($I$7:$I$10000=X669)*($J$7:$J$10000&lt;&gt;"NULL")*($G$7:$G$10000 &gt;= ($G$1-5))))/5</f>
        <v>0</v>
      </c>
    </row>
    <row r="670" spans="7:25" x14ac:dyDescent="0.35">
      <c r="G670" s="66">
        <v>8</v>
      </c>
      <c r="H670" t="s">
        <v>36</v>
      </c>
      <c r="I670" t="s">
        <v>117</v>
      </c>
      <c r="J670" t="s">
        <v>256</v>
      </c>
      <c r="K670" t="s">
        <v>3</v>
      </c>
      <c r="L670" t="s">
        <v>6</v>
      </c>
      <c r="M670">
        <f t="shared" si="38"/>
        <v>4.1045548896093855</v>
      </c>
      <c r="N670" t="str">
        <f t="shared" si="39"/>
        <v/>
      </c>
      <c r="O670" s="67" cm="1">
        <f t="array" ref="O670">SUMPRODUCT((G670=$G$7:$G$10000)*(M670&lt;$M$7:$M$10000))+1</f>
        <v>57</v>
      </c>
      <c r="P670" s="72"/>
      <c r="Q670">
        <v>10</v>
      </c>
      <c r="R670" t="str">
        <v>ARC</v>
      </c>
      <c r="S670" t="str">
        <v>Dylan Fortune</v>
      </c>
      <c r="T670" t="str">
        <v>NULL</v>
      </c>
      <c r="U670" t="str">
        <v>Home</v>
      </c>
      <c r="V670" t="str">
        <v>NEFJ</v>
      </c>
      <c r="W670">
        <v>2.809432629099923</v>
      </c>
      <c r="Y670" s="1" cm="1">
        <f t="array" ref="Y670">COUNT(_xlfn._xlws.FILTER($G$7:$G$10000,($I$7:$I$10000=X670)*($J$7:$J$10000&lt;&gt;"NULL")*($G$7:$G$10000 &gt;= ($G$1-5))))/5</f>
        <v>0</v>
      </c>
    </row>
    <row r="671" spans="7:25" x14ac:dyDescent="0.35">
      <c r="G671" s="66">
        <v>8</v>
      </c>
      <c r="H671" t="s">
        <v>4</v>
      </c>
      <c r="I671" t="s">
        <v>435</v>
      </c>
      <c r="J671" t="s">
        <v>256</v>
      </c>
      <c r="K671" t="s">
        <v>9</v>
      </c>
      <c r="L671" t="s">
        <v>14</v>
      </c>
      <c r="M671">
        <f t="shared" si="38"/>
        <v>4.0765951378607506</v>
      </c>
      <c r="N671" t="str">
        <f t="shared" si="39"/>
        <v/>
      </c>
      <c r="O671" s="67" cm="1">
        <f t="array" ref="O671">SUMPRODUCT((G671=$G$7:$G$10000)*(M671&lt;$M$7:$M$10000))+1</f>
        <v>58</v>
      </c>
      <c r="P671" s="72"/>
      <c r="Q671">
        <v>10</v>
      </c>
      <c r="R671" t="str">
        <v>ARC</v>
      </c>
      <c r="S671" t="str">
        <v>Sam Golla</v>
      </c>
      <c r="T671" t="str">
        <v>NULL</v>
      </c>
      <c r="U671" t="str">
        <v>Home</v>
      </c>
      <c r="V671" t="str">
        <v>NEFJ</v>
      </c>
      <c r="W671">
        <v>2.6930534779235473</v>
      </c>
      <c r="Y671" s="1" cm="1">
        <f t="array" ref="Y671">COUNT(_xlfn._xlws.FILTER($G$7:$G$10000,($I$7:$I$10000=X671)*($J$7:$J$10000&lt;&gt;"NULL")*($G$7:$G$10000 &gt;= ($G$1-5))))/5</f>
        <v>0</v>
      </c>
    </row>
    <row r="672" spans="7:25" x14ac:dyDescent="0.35">
      <c r="G672" s="66">
        <v>8</v>
      </c>
      <c r="H672" t="s">
        <v>23</v>
      </c>
      <c r="I672" t="s">
        <v>252</v>
      </c>
      <c r="J672" t="s">
        <v>256</v>
      </c>
      <c r="K672" t="s">
        <v>3</v>
      </c>
      <c r="L672" t="s">
        <v>24</v>
      </c>
      <c r="M672">
        <f t="shared" si="38"/>
        <v>3.9048869282971586</v>
      </c>
      <c r="N672" t="str">
        <f t="shared" si="39"/>
        <v/>
      </c>
      <c r="O672" s="67" cm="1">
        <f t="array" ref="O672">SUMPRODUCT((G672=$G$7:$G$10000)*(M672&lt;$M$7:$M$10000))+1</f>
        <v>59</v>
      </c>
      <c r="P672" s="72"/>
      <c r="Q672">
        <v>10</v>
      </c>
      <c r="R672" t="str">
        <v>SEA</v>
      </c>
      <c r="S672" t="str">
        <v>Juan Pablo Zeiss</v>
      </c>
      <c r="T672" t="str">
        <v>NULL</v>
      </c>
      <c r="U672" t="str">
        <v>Home</v>
      </c>
      <c r="V672" t="str">
        <v>CHI</v>
      </c>
      <c r="W672">
        <v>2.679457039437863</v>
      </c>
      <c r="Y672" s="1" cm="1">
        <f t="array" ref="Y672">COUNT(_xlfn._xlws.FILTER($G$7:$G$10000,($I$7:$I$10000=X672)*($J$7:$J$10000&lt;&gt;"NULL")*($G$7:$G$10000 &gt;= ($G$1-5))))/5</f>
        <v>0</v>
      </c>
    </row>
    <row r="673" spans="7:25" x14ac:dyDescent="0.35">
      <c r="G673" s="66">
        <v>8</v>
      </c>
      <c r="H673" t="s">
        <v>36</v>
      </c>
      <c r="I673" t="s">
        <v>216</v>
      </c>
      <c r="J673" t="s">
        <v>256</v>
      </c>
      <c r="K673" t="s">
        <v>3</v>
      </c>
      <c r="L673" t="s">
        <v>6</v>
      </c>
      <c r="M673">
        <f t="shared" si="38"/>
        <v>3.8820130785156461</v>
      </c>
      <c r="N673" t="str">
        <f t="shared" si="39"/>
        <v/>
      </c>
      <c r="O673" s="67" cm="1">
        <f t="array" ref="O673">SUMPRODUCT((G673=$G$7:$G$10000)*(M673&lt;$M$7:$M$10000))+1</f>
        <v>60</v>
      </c>
      <c r="P673" s="72"/>
      <c r="Q673">
        <v>10</v>
      </c>
      <c r="R673" t="str">
        <v>ARC</v>
      </c>
      <c r="S673" t="str">
        <v>Viliami Vuli</v>
      </c>
      <c r="T673" t="str">
        <v>NULL</v>
      </c>
      <c r="U673" t="str">
        <v>Home</v>
      </c>
      <c r="V673" t="str">
        <v>NEFJ</v>
      </c>
      <c r="W673">
        <v>2.634983643335377</v>
      </c>
      <c r="Y673" s="1" cm="1">
        <f t="array" ref="Y673">COUNT(_xlfn._xlws.FILTER($G$7:$G$10000,($I$7:$I$10000=X673)*($J$7:$J$10000&lt;&gt;"NULL")*($G$7:$G$10000 &gt;= ($G$1-5))))/5</f>
        <v>0</v>
      </c>
    </row>
    <row r="674" spans="7:25" x14ac:dyDescent="0.35">
      <c r="G674" s="66">
        <v>8</v>
      </c>
      <c r="H674" t="s">
        <v>17</v>
      </c>
      <c r="I674" t="s">
        <v>483</v>
      </c>
      <c r="J674" t="s">
        <v>256</v>
      </c>
      <c r="K674" t="s">
        <v>9</v>
      </c>
      <c r="L674" t="s">
        <v>7</v>
      </c>
      <c r="M674">
        <f t="shared" si="38"/>
        <v>3.872698575598903</v>
      </c>
      <c r="N674" t="str">
        <f t="shared" si="39"/>
        <v/>
      </c>
      <c r="O674" s="67" cm="1">
        <f t="array" ref="O674">SUMPRODUCT((G674=$G$7:$G$10000)*(M674&lt;$M$7:$M$10000))+1</f>
        <v>61</v>
      </c>
      <c r="P674" s="72"/>
      <c r="Q674">
        <v>10</v>
      </c>
      <c r="R674" t="str">
        <v>NOLA</v>
      </c>
      <c r="S674" t="str">
        <v>Callum Botchar</v>
      </c>
      <c r="T674" t="str">
        <v>NULL</v>
      </c>
      <c r="U674" t="str">
        <v>Away</v>
      </c>
      <c r="V674" t="str">
        <v>HOU</v>
      </c>
      <c r="W674">
        <v>2.5327972891264281</v>
      </c>
      <c r="Y674" s="1" cm="1">
        <f t="array" ref="Y674">COUNT(_xlfn._xlws.FILTER($G$7:$G$10000,($I$7:$I$10000=X674)*($J$7:$J$10000&lt;&gt;"NULL")*($G$7:$G$10000 &gt;= ($G$1-5))))/5</f>
        <v>0</v>
      </c>
    </row>
    <row r="675" spans="7:25" x14ac:dyDescent="0.35">
      <c r="G675" s="66">
        <v>8</v>
      </c>
      <c r="H675" t="s">
        <v>14</v>
      </c>
      <c r="I675" t="s">
        <v>143</v>
      </c>
      <c r="J675" t="s">
        <v>256</v>
      </c>
      <c r="K675" t="s">
        <v>3</v>
      </c>
      <c r="L675" t="s">
        <v>4</v>
      </c>
      <c r="M675">
        <f t="shared" si="38"/>
        <v>3.7343093417687614</v>
      </c>
      <c r="N675" t="str">
        <f t="shared" si="39"/>
        <v/>
      </c>
      <c r="O675" s="67" cm="1">
        <f t="array" ref="O675">SUMPRODUCT((G675=$G$7:$G$10000)*(M675&lt;$M$7:$M$10000))+1</f>
        <v>62</v>
      </c>
      <c r="P675" s="72"/>
      <c r="Q675">
        <v>10</v>
      </c>
      <c r="R675" t="str">
        <v>UTAH</v>
      </c>
      <c r="S675" t="str">
        <v>Tonga Kofe</v>
      </c>
      <c r="T675" t="str">
        <v>NULL</v>
      </c>
      <c r="U675" t="str">
        <v>Away</v>
      </c>
      <c r="V675" t="str">
        <v>SDL</v>
      </c>
      <c r="W675">
        <v>2.4573141463252766</v>
      </c>
      <c r="Y675" s="1" cm="1">
        <f t="array" ref="Y675">COUNT(_xlfn._xlws.FILTER($G$7:$G$10000,($I$7:$I$10000=X675)*($J$7:$J$10000&lt;&gt;"NULL")*($G$7:$G$10000 &gt;= ($G$1-5))))/5</f>
        <v>0</v>
      </c>
    </row>
    <row r="676" spans="7:25" x14ac:dyDescent="0.35">
      <c r="G676" s="66">
        <v>8</v>
      </c>
      <c r="H676" t="s">
        <v>7</v>
      </c>
      <c r="I676" t="s">
        <v>158</v>
      </c>
      <c r="J676" t="s">
        <v>256</v>
      </c>
      <c r="K676" t="s">
        <v>3</v>
      </c>
      <c r="L676" t="s">
        <v>17</v>
      </c>
      <c r="M676">
        <f t="shared" si="38"/>
        <v>3.7213049953289521</v>
      </c>
      <c r="N676" t="str">
        <f t="shared" si="39"/>
        <v/>
      </c>
      <c r="O676" s="67" cm="1">
        <f t="array" ref="O676">SUMPRODUCT((G676=$G$7:$G$10000)*(M676&lt;$M$7:$M$10000))+1</f>
        <v>63</v>
      </c>
      <c r="P676" s="72"/>
      <c r="Q676">
        <v>10</v>
      </c>
      <c r="R676" t="str">
        <v>MIA</v>
      </c>
      <c r="S676" t="str">
        <v>Tau Koloamatangi</v>
      </c>
      <c r="T676" t="str">
        <v>NULL</v>
      </c>
      <c r="U676" t="str">
        <v>Away</v>
      </c>
      <c r="V676" t="str">
        <v>OGDC</v>
      </c>
      <c r="W676">
        <v>2.3205794768085131</v>
      </c>
      <c r="Y676" s="1" cm="1">
        <f t="array" ref="Y676">COUNT(_xlfn._xlws.FILTER($G$7:$G$10000,($I$7:$I$10000=X676)*($J$7:$J$10000&lt;&gt;"NULL")*($G$7:$G$10000 &gt;= ($G$1-5))))/5</f>
        <v>0</v>
      </c>
    </row>
    <row r="677" spans="7:25" x14ac:dyDescent="0.35">
      <c r="G677" s="66">
        <v>8</v>
      </c>
      <c r="H677" t="s">
        <v>7</v>
      </c>
      <c r="I677" t="s">
        <v>163</v>
      </c>
      <c r="J677" t="s">
        <v>256</v>
      </c>
      <c r="K677" t="s">
        <v>3</v>
      </c>
      <c r="L677" t="s">
        <v>17</v>
      </c>
      <c r="M677">
        <f t="shared" si="38"/>
        <v>3.6687879656456519</v>
      </c>
      <c r="N677" t="str">
        <f t="shared" si="39"/>
        <v/>
      </c>
      <c r="O677" s="67" cm="1">
        <f t="array" ref="O677">SUMPRODUCT((G677=$G$7:$G$10000)*(M677&lt;$M$7:$M$10000))+1</f>
        <v>64</v>
      </c>
      <c r="P677" s="72"/>
      <c r="Q677">
        <v>10</v>
      </c>
      <c r="R677" t="str">
        <v>NOLA</v>
      </c>
      <c r="S677" t="str">
        <v>Cam Dolan</v>
      </c>
      <c r="T677" t="str">
        <v>NULL</v>
      </c>
      <c r="U677" t="str">
        <v>Away</v>
      </c>
      <c r="V677" t="str">
        <v>HOU</v>
      </c>
      <c r="W677">
        <v>2.2120512052628811</v>
      </c>
      <c r="Y677" s="1" cm="1">
        <f t="array" ref="Y677">COUNT(_xlfn._xlws.FILTER($G$7:$G$10000,($I$7:$I$10000=X677)*($J$7:$J$10000&lt;&gt;"NULL")*($G$7:$G$10000 &gt;= ($G$1-5))))/5</f>
        <v>0</v>
      </c>
    </row>
    <row r="678" spans="7:25" x14ac:dyDescent="0.35">
      <c r="G678" s="66">
        <v>8</v>
      </c>
      <c r="H678" t="s">
        <v>23</v>
      </c>
      <c r="I678" t="s">
        <v>229</v>
      </c>
      <c r="J678" t="s">
        <v>256</v>
      </c>
      <c r="K678" t="s">
        <v>3</v>
      </c>
      <c r="L678" t="s">
        <v>24</v>
      </c>
      <c r="M678">
        <f t="shared" si="38"/>
        <v>3.6657760754330644</v>
      </c>
      <c r="N678" t="str">
        <f t="shared" si="39"/>
        <v/>
      </c>
      <c r="O678" s="67" cm="1">
        <f t="array" ref="O678">SUMPRODUCT((G678=$G$7:$G$10000)*(M678&lt;$M$7:$M$10000))+1</f>
        <v>65</v>
      </c>
      <c r="P678" s="72"/>
      <c r="Q678">
        <v>10</v>
      </c>
      <c r="R678" t="str">
        <v>HOU</v>
      </c>
      <c r="S678" t="str">
        <v>Pono Davis</v>
      </c>
      <c r="T678" t="str">
        <v>NULL</v>
      </c>
      <c r="U678" t="str">
        <v>Home</v>
      </c>
      <c r="V678" t="str">
        <v>NOLA</v>
      </c>
      <c r="W678">
        <v>2.1464164076146179</v>
      </c>
      <c r="Y678" s="1" cm="1">
        <f t="array" ref="Y678">COUNT(_xlfn._xlws.FILTER($G$7:$G$10000,($I$7:$I$10000=X678)*($J$7:$J$10000&lt;&gt;"NULL")*($G$7:$G$10000 &gt;= ($G$1-5))))/5</f>
        <v>0</v>
      </c>
    </row>
    <row r="679" spans="7:25" x14ac:dyDescent="0.35">
      <c r="G679" s="66">
        <v>8</v>
      </c>
      <c r="H679" t="s">
        <v>4</v>
      </c>
      <c r="I679" t="s">
        <v>434</v>
      </c>
      <c r="J679" t="s">
        <v>256</v>
      </c>
      <c r="K679" t="s">
        <v>9</v>
      </c>
      <c r="L679" t="s">
        <v>14</v>
      </c>
      <c r="M679">
        <f t="shared" ref="M679:M742" si="40">VLOOKUP($K679,$F$3:$G$4,2,FALSE)+VLOOKUP($I679,$A$20:$B$321,2,FALSE)+VLOOKUP($L679,$A$6:$B$16,2,FALSE)</f>
        <v>3.5352575452973576</v>
      </c>
      <c r="N679" t="str">
        <f t="shared" ref="N679:N742" si="41">IFERROR(($J679-$M679)^2,"")</f>
        <v/>
      </c>
      <c r="O679" s="67" cm="1">
        <f t="array" ref="O679">SUMPRODUCT((G679=$G$7:$G$10000)*(M679&lt;$M$7:$M$10000))+1</f>
        <v>66</v>
      </c>
      <c r="P679" s="72"/>
      <c r="Q679">
        <v>10</v>
      </c>
      <c r="R679" t="str">
        <v>HOU</v>
      </c>
      <c r="S679" t="str">
        <v>Ronan Murphy</v>
      </c>
      <c r="T679" t="str">
        <v>NULL</v>
      </c>
      <c r="U679" t="str">
        <v>Home</v>
      </c>
      <c r="V679" t="str">
        <v>NOLA</v>
      </c>
      <c r="W679">
        <v>2.0953885592403498</v>
      </c>
      <c r="Y679" s="1" cm="1">
        <f t="array" ref="Y679">COUNT(_xlfn._xlws.FILTER($G$7:$G$10000,($I$7:$I$10000=X679)*($J$7:$J$10000&lt;&gt;"NULL")*($G$7:$G$10000 &gt;= ($G$1-5))))/5</f>
        <v>0</v>
      </c>
    </row>
    <row r="680" spans="7:25" x14ac:dyDescent="0.35">
      <c r="G680" s="66">
        <v>8</v>
      </c>
      <c r="H680" t="s">
        <v>6</v>
      </c>
      <c r="I680" t="s">
        <v>417</v>
      </c>
      <c r="J680" t="s">
        <v>256</v>
      </c>
      <c r="K680" t="s">
        <v>9</v>
      </c>
      <c r="L680" t="s">
        <v>36</v>
      </c>
      <c r="M680">
        <f t="shared" si="40"/>
        <v>3.5176913795009681</v>
      </c>
      <c r="N680" t="str">
        <f t="shared" si="41"/>
        <v/>
      </c>
      <c r="O680" s="67" cm="1">
        <f t="array" ref="O680">SUMPRODUCT((G680=$G$7:$G$10000)*(M680&lt;$M$7:$M$10000))+1</f>
        <v>67</v>
      </c>
      <c r="P680" s="72"/>
      <c r="Q680">
        <v>10</v>
      </c>
      <c r="R680" t="str">
        <v>SEA</v>
      </c>
      <c r="S680" t="str">
        <v>Malembe Mpofu</v>
      </c>
      <c r="T680" t="str">
        <v>NULL</v>
      </c>
      <c r="U680" t="str">
        <v>Home</v>
      </c>
      <c r="V680" t="str">
        <v>CHI</v>
      </c>
      <c r="W680">
        <v>2.0344031495933788</v>
      </c>
      <c r="Y680" s="1" cm="1">
        <f t="array" ref="Y680">COUNT(_xlfn._xlws.FILTER($G$7:$G$10000,($I$7:$I$10000=X680)*($J$7:$J$10000&lt;&gt;"NULL")*($G$7:$G$10000 &gt;= ($G$1-5))))/5</f>
        <v>0</v>
      </c>
    </row>
    <row r="681" spans="7:25" x14ac:dyDescent="0.35">
      <c r="G681" s="66">
        <v>8</v>
      </c>
      <c r="H681" t="s">
        <v>24</v>
      </c>
      <c r="I681" t="s">
        <v>422</v>
      </c>
      <c r="J681" t="s">
        <v>256</v>
      </c>
      <c r="K681" t="s">
        <v>9</v>
      </c>
      <c r="L681" t="s">
        <v>23</v>
      </c>
      <c r="M681">
        <f t="shared" si="40"/>
        <v>3.4889961194279397</v>
      </c>
      <c r="N681" t="str">
        <f t="shared" si="41"/>
        <v/>
      </c>
      <c r="O681" s="67" cm="1">
        <f t="array" ref="O681">SUMPRODUCT((G681=$G$7:$G$10000)*(M681&lt;$M$7:$M$10000))+1</f>
        <v>68</v>
      </c>
      <c r="P681" s="72"/>
      <c r="Q681">
        <v>10</v>
      </c>
      <c r="R681" t="str">
        <v>ARC</v>
      </c>
      <c r="S681" t="str">
        <v>Alex Maughan</v>
      </c>
      <c r="T681" t="str">
        <v>NULL</v>
      </c>
      <c r="U681" t="str">
        <v>Home</v>
      </c>
      <c r="V681" t="str">
        <v>NEFJ</v>
      </c>
      <c r="W681">
        <v>1.8863977966583709</v>
      </c>
      <c r="Y681" s="1" cm="1">
        <f t="array" ref="Y681">COUNT(_xlfn._xlws.FILTER($G$7:$G$10000,($I$7:$I$10000=X681)*($J$7:$J$10000&lt;&gt;"NULL")*($G$7:$G$10000 &gt;= ($G$1-5))))/5</f>
        <v>0</v>
      </c>
    </row>
    <row r="682" spans="7:25" x14ac:dyDescent="0.35">
      <c r="G682" s="66">
        <v>8</v>
      </c>
      <c r="H682" t="s">
        <v>14</v>
      </c>
      <c r="I682" t="s">
        <v>413</v>
      </c>
      <c r="J682" t="s">
        <v>256</v>
      </c>
      <c r="K682" t="s">
        <v>3</v>
      </c>
      <c r="L682" t="s">
        <v>4</v>
      </c>
      <c r="M682">
        <f t="shared" si="40"/>
        <v>3.3855495017965032</v>
      </c>
      <c r="N682" t="str">
        <f t="shared" si="41"/>
        <v/>
      </c>
      <c r="O682" s="67" cm="1">
        <f t="array" ref="O682">SUMPRODUCT((G682=$G$7:$G$10000)*(M682&lt;$M$7:$M$10000))+1</f>
        <v>69</v>
      </c>
      <c r="P682" s="72"/>
      <c r="Q682">
        <v>10</v>
      </c>
      <c r="R682" t="str">
        <v>HOU</v>
      </c>
      <c r="S682" t="str">
        <v>Seth Smith</v>
      </c>
      <c r="T682" t="str">
        <v>NULL</v>
      </c>
      <c r="U682" t="str">
        <v>Home</v>
      </c>
      <c r="V682" t="str">
        <v>NOLA</v>
      </c>
      <c r="W682">
        <v>1.8023854799179535</v>
      </c>
      <c r="Y682" s="1" cm="1">
        <f t="array" ref="Y682">COUNT(_xlfn._xlws.FILTER($G$7:$G$10000,($I$7:$I$10000=X682)*($J$7:$J$10000&lt;&gt;"NULL")*($G$7:$G$10000 &gt;= ($G$1-5))))/5</f>
        <v>0</v>
      </c>
    </row>
    <row r="683" spans="7:25" x14ac:dyDescent="0.35">
      <c r="G683" s="66">
        <v>8</v>
      </c>
      <c r="H683" t="s">
        <v>14</v>
      </c>
      <c r="I683" t="s">
        <v>470</v>
      </c>
      <c r="J683" t="s">
        <v>256</v>
      </c>
      <c r="K683" t="s">
        <v>3</v>
      </c>
      <c r="L683" t="s">
        <v>4</v>
      </c>
      <c r="M683">
        <f t="shared" si="40"/>
        <v>3.3693274169636149</v>
      </c>
      <c r="N683" t="str">
        <f t="shared" si="41"/>
        <v/>
      </c>
      <c r="O683" s="67" cm="1">
        <f t="array" ref="O683">SUMPRODUCT((G683=$G$7:$G$10000)*(M683&lt;$M$7:$M$10000))+1</f>
        <v>70</v>
      </c>
      <c r="P683" s="72"/>
      <c r="Q683">
        <v>10</v>
      </c>
      <c r="R683" t="str">
        <v>SDL</v>
      </c>
      <c r="S683" t="str">
        <v>Jimmy Hokafonu</v>
      </c>
      <c r="T683" t="str">
        <v>NULL</v>
      </c>
      <c r="U683" t="str">
        <v>Home</v>
      </c>
      <c r="V683" t="str">
        <v>UTAH</v>
      </c>
      <c r="W683">
        <v>1.7236818302388279</v>
      </c>
      <c r="Y683" s="1" cm="1">
        <f t="array" ref="Y683">COUNT(_xlfn._xlws.FILTER($G$7:$G$10000,($I$7:$I$10000=X683)*($J$7:$J$10000&lt;&gt;"NULL")*($G$7:$G$10000 &gt;= ($G$1-5))))/5</f>
        <v>0</v>
      </c>
    </row>
    <row r="684" spans="7:25" x14ac:dyDescent="0.35">
      <c r="G684" s="66">
        <v>8</v>
      </c>
      <c r="H684" t="s">
        <v>14</v>
      </c>
      <c r="I684" t="s">
        <v>164</v>
      </c>
      <c r="J684" t="s">
        <v>256</v>
      </c>
      <c r="K684" t="s">
        <v>3</v>
      </c>
      <c r="L684" t="s">
        <v>4</v>
      </c>
      <c r="M684">
        <f t="shared" si="40"/>
        <v>3.3580773324904616</v>
      </c>
      <c r="N684" t="str">
        <f t="shared" si="41"/>
        <v/>
      </c>
      <c r="O684" s="67" cm="1">
        <f t="array" ref="O684">SUMPRODUCT((G684=$G$7:$G$10000)*(M684&lt;$M$7:$M$10000))+1</f>
        <v>71</v>
      </c>
      <c r="P684" s="72"/>
      <c r="Q684">
        <v>10</v>
      </c>
      <c r="R684" t="str">
        <v>MIA</v>
      </c>
      <c r="S684" t="str">
        <v>Sean McNulty</v>
      </c>
      <c r="T684" t="str">
        <v>NULL</v>
      </c>
      <c r="U684" t="str">
        <v>Away</v>
      </c>
      <c r="V684" t="str">
        <v>OGDC</v>
      </c>
      <c r="W684">
        <v>1.5878383786375396</v>
      </c>
      <c r="Y684" s="1" cm="1">
        <f t="array" ref="Y684">COUNT(_xlfn._xlws.FILTER($G$7:$G$10000,($I$7:$I$10000=X684)*($J$7:$J$10000&lt;&gt;"NULL")*($G$7:$G$10000 &gt;= ($G$1-5))))/5</f>
        <v>0</v>
      </c>
    </row>
    <row r="685" spans="7:25" x14ac:dyDescent="0.35">
      <c r="G685" s="66">
        <v>8</v>
      </c>
      <c r="H685" t="s">
        <v>7</v>
      </c>
      <c r="I685" t="s">
        <v>211</v>
      </c>
      <c r="J685" t="s">
        <v>256</v>
      </c>
      <c r="K685" t="s">
        <v>3</v>
      </c>
      <c r="L685" t="s">
        <v>17</v>
      </c>
      <c r="M685">
        <f t="shared" si="40"/>
        <v>3.3526563497825963</v>
      </c>
      <c r="N685" t="str">
        <f t="shared" si="41"/>
        <v/>
      </c>
      <c r="O685" s="67" cm="1">
        <f t="array" ref="O685">SUMPRODUCT((G685=$G$7:$G$10000)*(M685&lt;$M$7:$M$10000))+1</f>
        <v>72</v>
      </c>
      <c r="P685" s="72"/>
      <c r="Q685">
        <v>10</v>
      </c>
      <c r="R685" t="str">
        <v>NEFJ</v>
      </c>
      <c r="S685" t="str">
        <v>Malakai Hala-Ngatai</v>
      </c>
      <c r="T685" t="str">
        <v>NULL</v>
      </c>
      <c r="U685" t="str">
        <v>Away</v>
      </c>
      <c r="V685" t="str">
        <v>ARC</v>
      </c>
      <c r="W685">
        <v>1.5467689004279634</v>
      </c>
      <c r="Y685" s="1" cm="1">
        <f t="array" ref="Y685">COUNT(_xlfn._xlws.FILTER($G$7:$G$10000,($I$7:$I$10000=X685)*($J$7:$J$10000&lt;&gt;"NULL")*($G$7:$G$10000 &gt;= ($G$1-5))))/5</f>
        <v>0</v>
      </c>
    </row>
    <row r="686" spans="7:25" x14ac:dyDescent="0.35">
      <c r="G686" s="66">
        <v>8</v>
      </c>
      <c r="H686" t="s">
        <v>7</v>
      </c>
      <c r="I686" t="s">
        <v>104</v>
      </c>
      <c r="J686" t="s">
        <v>256</v>
      </c>
      <c r="K686" t="s">
        <v>3</v>
      </c>
      <c r="L686" t="s">
        <v>17</v>
      </c>
      <c r="M686">
        <f t="shared" si="40"/>
        <v>3.1945486757089068</v>
      </c>
      <c r="N686" t="str">
        <f t="shared" si="41"/>
        <v/>
      </c>
      <c r="O686" s="67" cm="1">
        <f t="array" ref="O686">SUMPRODUCT((G686=$G$7:$G$10000)*(M686&lt;$M$7:$M$10000))+1</f>
        <v>73</v>
      </c>
      <c r="P686" s="72"/>
      <c r="Q686">
        <v>10</v>
      </c>
      <c r="R686" t="str">
        <v>ARC</v>
      </c>
      <c r="S686" t="str">
        <v>Ethan Howard</v>
      </c>
      <c r="T686" t="str">
        <v>NULL</v>
      </c>
      <c r="U686" t="str">
        <v>Home</v>
      </c>
      <c r="V686" t="str">
        <v>NEFJ</v>
      </c>
      <c r="W686">
        <v>1.5376379566861127</v>
      </c>
      <c r="Y686" s="1" cm="1">
        <f t="array" ref="Y686">COUNT(_xlfn._xlws.FILTER($G$7:$G$10000,($I$7:$I$10000=X686)*($J$7:$J$10000&lt;&gt;"NULL")*($G$7:$G$10000 &gt;= ($G$1-5))))/5</f>
        <v>0</v>
      </c>
    </row>
    <row r="687" spans="7:25" x14ac:dyDescent="0.35">
      <c r="G687" s="66">
        <v>8</v>
      </c>
      <c r="H687" t="s">
        <v>4</v>
      </c>
      <c r="I687" t="s">
        <v>481</v>
      </c>
      <c r="J687" t="s">
        <v>256</v>
      </c>
      <c r="K687" t="s">
        <v>9</v>
      </c>
      <c r="L687" t="s">
        <v>14</v>
      </c>
      <c r="M687">
        <f t="shared" si="40"/>
        <v>3.1530042702452885</v>
      </c>
      <c r="N687" t="str">
        <f t="shared" si="41"/>
        <v/>
      </c>
      <c r="O687" s="67" cm="1">
        <f t="array" ref="O687">SUMPRODUCT((G687=$G$7:$G$10000)*(M687&lt;$M$7:$M$10000))+1</f>
        <v>74</v>
      </c>
      <c r="P687" s="72"/>
      <c r="Q687">
        <v>10</v>
      </c>
      <c r="R687" t="str">
        <v>ARC</v>
      </c>
      <c r="S687" t="str">
        <v>Mikey Grandy</v>
      </c>
      <c r="T687" t="str">
        <v>NULL</v>
      </c>
      <c r="U687" t="str">
        <v>Home</v>
      </c>
      <c r="V687" t="str">
        <v>NEFJ</v>
      </c>
      <c r="W687">
        <v>1.5214158718532245</v>
      </c>
      <c r="Y687" s="1" cm="1">
        <f t="array" ref="Y687">COUNT(_xlfn._xlws.FILTER($G$7:$G$10000,($I$7:$I$10000=X687)*($J$7:$J$10000&lt;&gt;"NULL")*($G$7:$G$10000 &gt;= ($G$1-5))))/5</f>
        <v>0</v>
      </c>
    </row>
    <row r="688" spans="7:25" x14ac:dyDescent="0.35">
      <c r="G688" s="66">
        <v>8</v>
      </c>
      <c r="H688" t="s">
        <v>7</v>
      </c>
      <c r="I688" t="s">
        <v>148</v>
      </c>
      <c r="J688" t="s">
        <v>256</v>
      </c>
      <c r="K688" t="s">
        <v>3</v>
      </c>
      <c r="L688" t="s">
        <v>17</v>
      </c>
      <c r="M688">
        <f t="shared" si="40"/>
        <v>2.9946082654029231</v>
      </c>
      <c r="N688" t="str">
        <f t="shared" si="41"/>
        <v/>
      </c>
      <c r="O688" s="67" cm="1">
        <f t="array" ref="O688">SUMPRODUCT((G688=$G$7:$G$10000)*(M688&lt;$M$7:$M$10000))+1</f>
        <v>75</v>
      </c>
      <c r="P688" s="72"/>
      <c r="Q688">
        <v>10</v>
      </c>
      <c r="R688" t="str">
        <v>ARC</v>
      </c>
      <c r="S688" t="str">
        <v>Jake Turnbull</v>
      </c>
      <c r="T688" t="str">
        <v>NULL</v>
      </c>
      <c r="U688" t="str">
        <v>Home</v>
      </c>
      <c r="V688" t="str">
        <v>NEFJ</v>
      </c>
      <c r="W688">
        <v>1.5101657873800711</v>
      </c>
      <c r="Y688" s="1" cm="1">
        <f t="array" ref="Y688">COUNT(_xlfn._xlws.FILTER($G$7:$G$10000,($I$7:$I$10000=X688)*($J$7:$J$10000&lt;&gt;"NULL")*($G$7:$G$10000 &gt;= ($G$1-5))))/5</f>
        <v>0</v>
      </c>
    </row>
    <row r="689" spans="7:25" x14ac:dyDescent="0.35">
      <c r="G689" s="66">
        <v>8</v>
      </c>
      <c r="H689" t="s">
        <v>4</v>
      </c>
      <c r="I689" t="s">
        <v>109</v>
      </c>
      <c r="J689" t="s">
        <v>256</v>
      </c>
      <c r="K689" t="s">
        <v>9</v>
      </c>
      <c r="L689" t="s">
        <v>14</v>
      </c>
      <c r="M689">
        <f t="shared" si="40"/>
        <v>2.9747783576883022</v>
      </c>
      <c r="N689" t="str">
        <f t="shared" si="41"/>
        <v/>
      </c>
      <c r="O689" s="67" cm="1">
        <f t="array" ref="O689">SUMPRODUCT((G689=$G$7:$G$10000)*(M689&lt;$M$7:$M$10000))+1</f>
        <v>76</v>
      </c>
      <c r="P689" s="72"/>
      <c r="Q689">
        <v>10</v>
      </c>
      <c r="R689" t="str">
        <v>SDL</v>
      </c>
      <c r="S689" t="str">
        <v>Payton Telea-Ilalio</v>
      </c>
      <c r="T689" t="str">
        <v>NULL</v>
      </c>
      <c r="U689" t="str">
        <v>Home</v>
      </c>
      <c r="V689" t="str">
        <v>UTAH</v>
      </c>
      <c r="W689">
        <v>1.5022773481238048</v>
      </c>
      <c r="Y689" s="1" cm="1">
        <f t="array" ref="Y689">COUNT(_xlfn._xlws.FILTER($G$7:$G$10000,($I$7:$I$10000=X689)*($J$7:$J$10000&lt;&gt;"NULL")*($G$7:$G$10000 &gt;= ($G$1-5))))/5</f>
        <v>0</v>
      </c>
    </row>
    <row r="690" spans="7:25" x14ac:dyDescent="0.35">
      <c r="G690" s="66">
        <v>8</v>
      </c>
      <c r="H690" t="s">
        <v>17</v>
      </c>
      <c r="I690" t="s">
        <v>284</v>
      </c>
      <c r="J690" t="s">
        <v>256</v>
      </c>
      <c r="K690" t="s">
        <v>9</v>
      </c>
      <c r="L690" t="s">
        <v>7</v>
      </c>
      <c r="M690">
        <f t="shared" si="40"/>
        <v>2.9099636279399954</v>
      </c>
      <c r="N690" t="str">
        <f t="shared" si="41"/>
        <v/>
      </c>
      <c r="O690" s="67" cm="1">
        <f t="array" ref="O690">SUMPRODUCT((G690=$G$7:$G$10000)*(M690&lt;$M$7:$M$10000))+1</f>
        <v>77</v>
      </c>
      <c r="P690" s="72"/>
      <c r="Q690">
        <v>10</v>
      </c>
      <c r="R690" t="str">
        <v>SDL</v>
      </c>
      <c r="S690" t="str">
        <v>Darcy Breen</v>
      </c>
      <c r="T690" t="str">
        <v>NULL</v>
      </c>
      <c r="U690" t="str">
        <v>Home</v>
      </c>
      <c r="V690" t="str">
        <v>UTAH</v>
      </c>
      <c r="W690">
        <v>1.4018683547819935</v>
      </c>
      <c r="Y690" s="1" cm="1">
        <f t="array" ref="Y690">COUNT(_xlfn._xlws.FILTER($G$7:$G$10000,($I$7:$I$10000=X690)*($J$7:$J$10000&lt;&gt;"NULL")*($G$7:$G$10000 &gt;= ($G$1-5))))/5</f>
        <v>0</v>
      </c>
    </row>
    <row r="691" spans="7:25" x14ac:dyDescent="0.35">
      <c r="G691" s="66">
        <v>8</v>
      </c>
      <c r="H691" t="s">
        <v>6</v>
      </c>
      <c r="I691" t="s">
        <v>416</v>
      </c>
      <c r="J691" t="s">
        <v>256</v>
      </c>
      <c r="K691" t="s">
        <v>9</v>
      </c>
      <c r="L691" t="s">
        <v>36</v>
      </c>
      <c r="M691">
        <f t="shared" si="40"/>
        <v>2.8272896824237117</v>
      </c>
      <c r="N691" t="str">
        <f t="shared" si="41"/>
        <v/>
      </c>
      <c r="O691" s="67" cm="1">
        <f t="array" ref="O691">SUMPRODUCT((G691=$G$7:$G$10000)*(M691&lt;$M$7:$M$10000))+1</f>
        <v>78</v>
      </c>
      <c r="P691" s="72"/>
      <c r="Q691">
        <v>10</v>
      </c>
      <c r="R691" t="str">
        <v>NEFJ</v>
      </c>
      <c r="S691" t="str">
        <v>Wian Conradie</v>
      </c>
      <c r="T691" t="str">
        <v>NULL</v>
      </c>
      <c r="U691" t="str">
        <v>Away</v>
      </c>
      <c r="V691" t="str">
        <v>ARC</v>
      </c>
      <c r="W691">
        <v>1.3076580475638693</v>
      </c>
      <c r="Y691" s="1" cm="1">
        <f t="array" ref="Y691">COUNT(_xlfn._xlws.FILTER($G$7:$G$10000,($I$7:$I$10000=X691)*($J$7:$J$10000&lt;&gt;"NULL")*($G$7:$G$10000 &gt;= ($G$1-5))))/5</f>
        <v>0</v>
      </c>
    </row>
    <row r="692" spans="7:25" x14ac:dyDescent="0.35">
      <c r="G692" s="66">
        <v>8</v>
      </c>
      <c r="H692" t="s">
        <v>24</v>
      </c>
      <c r="I692" t="s">
        <v>217</v>
      </c>
      <c r="J692" t="s">
        <v>256</v>
      </c>
      <c r="K692" t="s">
        <v>9</v>
      </c>
      <c r="L692" t="s">
        <v>23</v>
      </c>
      <c r="M692">
        <f t="shared" si="40"/>
        <v>2.7463820664957943</v>
      </c>
      <c r="N692" t="str">
        <f t="shared" si="41"/>
        <v/>
      </c>
      <c r="O692" s="67" cm="1">
        <f t="array" ref="O692">SUMPRODUCT((G692=$G$7:$G$10000)*(M692&lt;$M$7:$M$10000))+1</f>
        <v>79</v>
      </c>
      <c r="P692" s="72"/>
      <c r="Q692">
        <v>10</v>
      </c>
      <c r="R692" t="str">
        <v>CHI</v>
      </c>
      <c r="S692" t="str">
        <v>Charlie Abel</v>
      </c>
      <c r="T692" t="str">
        <v>NULL</v>
      </c>
      <c r="U692" t="str">
        <v>Away</v>
      </c>
      <c r="V692" t="str">
        <v>SEA</v>
      </c>
      <c r="W692">
        <v>1.2103662637518209</v>
      </c>
      <c r="Y692" s="1" cm="1">
        <f t="array" ref="Y692">COUNT(_xlfn._xlws.FILTER($G$7:$G$10000,($I$7:$I$10000=X692)*($J$7:$J$10000&lt;&gt;"NULL")*($G$7:$G$10000 &gt;= ($G$1-5))))/5</f>
        <v>0</v>
      </c>
    </row>
    <row r="693" spans="7:25" x14ac:dyDescent="0.35">
      <c r="G693" s="66">
        <v>8</v>
      </c>
      <c r="H693" t="s">
        <v>36</v>
      </c>
      <c r="I693" t="s">
        <v>415</v>
      </c>
      <c r="J693" t="s">
        <v>256</v>
      </c>
      <c r="K693" t="s">
        <v>3</v>
      </c>
      <c r="L693" t="s">
        <v>6</v>
      </c>
      <c r="M693">
        <f t="shared" si="40"/>
        <v>2.7308186712055278</v>
      </c>
      <c r="N693" t="str">
        <f t="shared" si="41"/>
        <v/>
      </c>
      <c r="O693" s="67" cm="1">
        <f t="array" ref="O693">SUMPRODUCT((G693=$G$7:$G$10000)*(M693&lt;$M$7:$M$10000))+1</f>
        <v>80</v>
      </c>
      <c r="P693" s="72"/>
      <c r="Q693">
        <v>10</v>
      </c>
      <c r="R693" t="str">
        <v>HOU</v>
      </c>
      <c r="S693" t="str">
        <v>Val Lee-Lo</v>
      </c>
      <c r="T693" t="str">
        <v>NULL</v>
      </c>
      <c r="U693" t="str">
        <v>Home</v>
      </c>
      <c r="V693" t="str">
        <v>NOLA</v>
      </c>
      <c r="W693">
        <v>1.1759804534107481</v>
      </c>
      <c r="Y693" s="1" cm="1">
        <f t="array" ref="Y693">COUNT(_xlfn._xlws.FILTER($G$7:$G$10000,($I$7:$I$10000=X693)*($J$7:$J$10000&lt;&gt;"NULL")*($G$7:$G$10000 &gt;= ($G$1-5))))/5</f>
        <v>0</v>
      </c>
    </row>
    <row r="694" spans="7:25" x14ac:dyDescent="0.35">
      <c r="G694" s="66">
        <v>8</v>
      </c>
      <c r="H694" t="s">
        <v>2</v>
      </c>
      <c r="I694" t="s">
        <v>185</v>
      </c>
      <c r="J694" t="s">
        <v>256</v>
      </c>
      <c r="K694" t="s">
        <v>9</v>
      </c>
      <c r="L694" t="s">
        <v>34</v>
      </c>
      <c r="M694">
        <f t="shared" si="40"/>
        <v>2.7082425627287146</v>
      </c>
      <c r="N694" t="str">
        <f t="shared" si="41"/>
        <v/>
      </c>
      <c r="O694" s="67" cm="1">
        <f t="array" ref="O694">SUMPRODUCT((G694=$G$7:$G$10000)*(M694&lt;$M$7:$M$10000))+1</f>
        <v>81</v>
      </c>
      <c r="P694" s="72"/>
      <c r="Q694">
        <v>10</v>
      </c>
      <c r="R694" t="str">
        <v>SEA</v>
      </c>
      <c r="S694" t="str">
        <v>Dewald Kotze</v>
      </c>
      <c r="T694" t="str">
        <v>NULL</v>
      </c>
      <c r="U694" t="str">
        <v>Home</v>
      </c>
      <c r="V694" t="str">
        <v>CHI</v>
      </c>
      <c r="W694">
        <v>0.85796075173630371</v>
      </c>
      <c r="Y694" s="1" cm="1">
        <f t="array" ref="Y694">COUNT(_xlfn._xlws.FILTER($G$7:$G$10000,($I$7:$I$10000=X694)*($J$7:$J$10000&lt;&gt;"NULL")*($G$7:$G$10000 &gt;= ($G$1-5))))/5</f>
        <v>0</v>
      </c>
    </row>
    <row r="695" spans="7:25" x14ac:dyDescent="0.35">
      <c r="G695" s="66">
        <v>8</v>
      </c>
      <c r="H695" t="s">
        <v>36</v>
      </c>
      <c r="I695" t="s">
        <v>224</v>
      </c>
      <c r="J695" t="s">
        <v>256</v>
      </c>
      <c r="K695" t="s">
        <v>3</v>
      </c>
      <c r="L695" t="s">
        <v>6</v>
      </c>
      <c r="M695">
        <f t="shared" si="40"/>
        <v>2.6797908228312597</v>
      </c>
      <c r="N695" t="str">
        <f t="shared" si="41"/>
        <v/>
      </c>
      <c r="O695" s="67" cm="1">
        <f t="array" ref="O695">SUMPRODUCT((G695=$G$7:$G$10000)*(M695&lt;$M$7:$M$10000))+1</f>
        <v>82</v>
      </c>
      <c r="P695" s="72"/>
      <c r="Q695">
        <v>10</v>
      </c>
      <c r="R695" t="str">
        <v>ARC</v>
      </c>
      <c r="S695" t="str">
        <v>Shawn Clark</v>
      </c>
      <c r="T695" t="str">
        <v>NULL</v>
      </c>
      <c r="U695" t="str">
        <v>Home</v>
      </c>
      <c r="V695" t="str">
        <v>NEFJ</v>
      </c>
      <c r="W695">
        <v>0.71056973809521917</v>
      </c>
      <c r="Y695" s="1" cm="1">
        <f t="array" ref="Y695">COUNT(_xlfn._xlws.FILTER($G$7:$G$10000,($I$7:$I$10000=X695)*($J$7:$J$10000&lt;&gt;"NULL")*($G$7:$G$10000 &gt;= ($G$1-5))))/5</f>
        <v>0</v>
      </c>
    </row>
    <row r="696" spans="7:25" x14ac:dyDescent="0.35">
      <c r="G696" s="66">
        <v>8</v>
      </c>
      <c r="H696" t="s">
        <v>24</v>
      </c>
      <c r="I696" t="s">
        <v>411</v>
      </c>
      <c r="J696" t="s">
        <v>256</v>
      </c>
      <c r="K696" t="s">
        <v>9</v>
      </c>
      <c r="L696" t="s">
        <v>23</v>
      </c>
      <c r="M696">
        <f t="shared" si="40"/>
        <v>2.5993583440679449</v>
      </c>
      <c r="N696" t="str">
        <f t="shared" si="41"/>
        <v/>
      </c>
      <c r="O696" s="67" cm="1">
        <f t="array" ref="O696">SUMPRODUCT((G696=$G$7:$G$10000)*(M696&lt;$M$7:$M$10000))+1</f>
        <v>83</v>
      </c>
      <c r="P696" s="72"/>
      <c r="Q696">
        <v>10</v>
      </c>
      <c r="R696" t="str">
        <v>ARC</v>
      </c>
      <c r="S696" t="str">
        <v>Joe Apikotoa</v>
      </c>
      <c r="T696" t="str">
        <v>NULL</v>
      </c>
      <c r="U696" t="str">
        <v>Home</v>
      </c>
      <c r="V696" t="str">
        <v>NEFJ</v>
      </c>
      <c r="W696">
        <v>0.69382644763100654</v>
      </c>
      <c r="Y696" s="1" cm="1">
        <f t="array" ref="Y696">COUNT(_xlfn._xlws.FILTER($G$7:$G$10000,($I$7:$I$10000=X696)*($J$7:$J$10000&lt;&gt;"NULL")*($G$7:$G$10000 &gt;= ($G$1-5))))/5</f>
        <v>0</v>
      </c>
    </row>
    <row r="697" spans="7:25" x14ac:dyDescent="0.35">
      <c r="G697" s="66">
        <v>8</v>
      </c>
      <c r="H697" t="s">
        <v>7</v>
      </c>
      <c r="I697" t="s">
        <v>277</v>
      </c>
      <c r="J697" t="s">
        <v>256</v>
      </c>
      <c r="K697" t="s">
        <v>3</v>
      </c>
      <c r="L697" t="s">
        <v>17</v>
      </c>
      <c r="M697">
        <f t="shared" si="40"/>
        <v>2.5683630938728612</v>
      </c>
      <c r="N697" t="str">
        <f t="shared" si="41"/>
        <v/>
      </c>
      <c r="O697" s="67" cm="1">
        <f t="array" ref="O697">SUMPRODUCT((G697=$G$7:$G$10000)*(M697&lt;$M$7:$M$10000))+1</f>
        <v>84</v>
      </c>
      <c r="P697" s="72"/>
      <c r="Q697">
        <v>10</v>
      </c>
      <c r="R697" t="str">
        <v>ARC</v>
      </c>
      <c r="S697" t="str">
        <v>Albert O'Shannessey</v>
      </c>
      <c r="T697" t="str">
        <v>NULL</v>
      </c>
      <c r="U697" t="str">
        <v>Home</v>
      </c>
      <c r="V697" t="str">
        <v>NEFJ</v>
      </c>
      <c r="W697">
        <v>0.5659554615057667</v>
      </c>
      <c r="Y697" s="1" cm="1">
        <f t="array" ref="Y697">COUNT(_xlfn._xlws.FILTER($G$7:$G$10000,($I$7:$I$10000=X697)*($J$7:$J$10000&lt;&gt;"NULL")*($G$7:$G$10000 &gt;= ($G$1-5))))/5</f>
        <v>0</v>
      </c>
    </row>
    <row r="698" spans="7:25" x14ac:dyDescent="0.35">
      <c r="G698" s="66">
        <v>8</v>
      </c>
      <c r="H698" t="s">
        <v>14</v>
      </c>
      <c r="I698" t="s">
        <v>425</v>
      </c>
      <c r="J698" t="s">
        <v>256</v>
      </c>
      <c r="K698" t="s">
        <v>3</v>
      </c>
      <c r="L698" t="s">
        <v>4</v>
      </c>
      <c r="M698">
        <f t="shared" si="40"/>
        <v>2.5584812832056096</v>
      </c>
      <c r="N698" t="str">
        <f t="shared" si="41"/>
        <v/>
      </c>
      <c r="O698" s="67" cm="1">
        <f t="array" ref="O698">SUMPRODUCT((G698=$G$7:$G$10000)*(M698&lt;$M$7:$M$10000))+1</f>
        <v>85</v>
      </c>
      <c r="P698" s="72"/>
      <c r="Q698">
        <v>10</v>
      </c>
      <c r="R698" t="str">
        <v>SDL</v>
      </c>
      <c r="S698" t="str">
        <v>Hugh Roach</v>
      </c>
      <c r="T698" t="str">
        <v>NULL</v>
      </c>
      <c r="U698" t="str">
        <v>Home</v>
      </c>
      <c r="V698" t="str">
        <v>UTAH</v>
      </c>
      <c r="W698">
        <v>-0.84051552458309242</v>
      </c>
      <c r="Y698" s="1" cm="1">
        <f t="array" ref="Y698">COUNT(_xlfn._xlws.FILTER($G$7:$G$10000,($I$7:$I$10000=X698)*($J$7:$J$10000&lt;&gt;"NULL")*($G$7:$G$10000 &gt;= ($G$1-5))))/5</f>
        <v>0</v>
      </c>
    </row>
    <row r="699" spans="7:25" x14ac:dyDescent="0.35">
      <c r="G699" s="66">
        <v>8</v>
      </c>
      <c r="H699" t="s">
        <v>14</v>
      </c>
      <c r="I699" t="s">
        <v>181</v>
      </c>
      <c r="J699" t="s">
        <v>256</v>
      </c>
      <c r="K699" t="s">
        <v>3</v>
      </c>
      <c r="L699" t="s">
        <v>4</v>
      </c>
      <c r="M699">
        <f t="shared" si="40"/>
        <v>2.541737992741397</v>
      </c>
      <c r="N699" t="str">
        <f t="shared" si="41"/>
        <v/>
      </c>
      <c r="O699" s="67" cm="1">
        <f t="array" ref="O699">SUMPRODUCT((G699=$G$7:$G$10000)*(M699&lt;$M$7:$M$10000))+1</f>
        <v>86</v>
      </c>
      <c r="P699" s="72"/>
      <c r="Q699">
        <v>10</v>
      </c>
      <c r="R699" t="str">
        <v>SDL</v>
      </c>
      <c r="S699" t="str">
        <v>Brandon Harvey</v>
      </c>
      <c r="T699" t="str">
        <v>NULL</v>
      </c>
      <c r="U699" t="str">
        <v>Home</v>
      </c>
      <c r="V699" t="str">
        <v>UTAH</v>
      </c>
      <c r="W699">
        <v>-1.2195226108039101</v>
      </c>
      <c r="Y699" s="1" cm="1">
        <f t="array" ref="Y699">COUNT(_xlfn._xlws.FILTER($G$7:$G$10000,($I$7:$I$10000=X699)*($J$7:$J$10000&lt;&gt;"NULL")*($G$7:$G$10000 &gt;= ($G$1-5))))/5</f>
        <v>0</v>
      </c>
    </row>
    <row r="700" spans="7:25" x14ac:dyDescent="0.35">
      <c r="G700" s="66">
        <v>8</v>
      </c>
      <c r="H700" t="s">
        <v>14</v>
      </c>
      <c r="I700" t="s">
        <v>197</v>
      </c>
      <c r="J700" t="s">
        <v>256</v>
      </c>
      <c r="K700" t="s">
        <v>3</v>
      </c>
      <c r="L700" t="s">
        <v>4</v>
      </c>
      <c r="M700">
        <f t="shared" si="40"/>
        <v>2.4138670066161572</v>
      </c>
      <c r="N700" t="str">
        <f t="shared" si="41"/>
        <v/>
      </c>
      <c r="O700" s="67" cm="1">
        <f t="array" ref="O700">SUMPRODUCT((G700=$G$7:$G$10000)*(M700&lt;$M$7:$M$10000))+1</f>
        <v>87</v>
      </c>
      <c r="P700" s="72"/>
      <c r="Q700">
        <v>10</v>
      </c>
      <c r="R700" t="str">
        <v>HOU</v>
      </c>
      <c r="S700" t="str">
        <v>Justin Basson</v>
      </c>
      <c r="T700" t="str">
        <v>NULL</v>
      </c>
      <c r="U700" t="str">
        <v>Home</v>
      </c>
      <c r="V700" t="str">
        <v>NOLA</v>
      </c>
      <c r="W700">
        <v>-3.3651350899036174</v>
      </c>
      <c r="Y700" s="1" cm="1">
        <f t="array" ref="Y700">COUNT(_xlfn._xlws.FILTER($G$7:$G$10000,($I$7:$I$10000=X700)*($J$7:$J$10000&lt;&gt;"NULL")*($G$7:$G$10000 &gt;= ($G$1-5))))/5</f>
        <v>0</v>
      </c>
    </row>
    <row r="701" spans="7:25" x14ac:dyDescent="0.35">
      <c r="G701" s="66">
        <v>8</v>
      </c>
      <c r="H701" t="s">
        <v>36</v>
      </c>
      <c r="I701" t="s">
        <v>283</v>
      </c>
      <c r="J701" t="s">
        <v>256</v>
      </c>
      <c r="K701" t="s">
        <v>3</v>
      </c>
      <c r="L701" t="s">
        <v>6</v>
      </c>
      <c r="M701">
        <f t="shared" si="40"/>
        <v>2.3867877435088634</v>
      </c>
      <c r="N701" t="str">
        <f t="shared" si="41"/>
        <v/>
      </c>
      <c r="O701" s="67" cm="1">
        <f t="array" ref="O701">SUMPRODUCT((G701=$G$7:$G$10000)*(M701&lt;$M$7:$M$10000))+1</f>
        <v>88</v>
      </c>
      <c r="P701" s="72"/>
      <c r="Q701">
        <v>10</v>
      </c>
      <c r="R701" t="str">
        <v>MIA</v>
      </c>
      <c r="S701" t="str">
        <v>Alec McDonnell</v>
      </c>
      <c r="T701" t="str">
        <v>NULL</v>
      </c>
      <c r="U701" t="str">
        <v>Away</v>
      </c>
      <c r="V701" t="str">
        <v>OGDC</v>
      </c>
      <c r="W701">
        <v>-7.8752482725396664</v>
      </c>
      <c r="Y701" s="1" cm="1">
        <f t="array" ref="Y701">COUNT(_xlfn._xlws.FILTER($G$7:$G$10000,($I$7:$I$10000=X701)*($J$7:$J$10000&lt;&gt;"NULL")*($G$7:$G$10000 &gt;= ($G$1-5))))/5</f>
        <v>0</v>
      </c>
    </row>
    <row r="702" spans="7:25" x14ac:dyDescent="0.35">
      <c r="G702" s="66">
        <v>8</v>
      </c>
      <c r="H702" t="s">
        <v>34</v>
      </c>
      <c r="I702" t="s">
        <v>161</v>
      </c>
      <c r="J702" t="s">
        <v>256</v>
      </c>
      <c r="K702" t="s">
        <v>3</v>
      </c>
      <c r="L702" t="s">
        <v>2</v>
      </c>
      <c r="M702">
        <f t="shared" si="40"/>
        <v>2.2723733972169162</v>
      </c>
      <c r="N702" t="str">
        <f t="shared" si="41"/>
        <v/>
      </c>
      <c r="O702" s="67" cm="1">
        <f t="array" ref="O702">SUMPRODUCT((G702=$G$7:$G$10000)*(M702&lt;$M$7:$M$10000))+1</f>
        <v>89</v>
      </c>
      <c r="P702" s="72"/>
      <c r="Q702">
        <v>11</v>
      </c>
      <c r="R702" t="str">
        <v>SEA</v>
      </c>
      <c r="S702" t="str">
        <v>Devin Short</v>
      </c>
      <c r="T702" t="str">
        <v>NULL</v>
      </c>
      <c r="U702" t="str">
        <v>Away</v>
      </c>
      <c r="V702" t="str">
        <v>NOLA</v>
      </c>
      <c r="W702">
        <v>18.81813989757557</v>
      </c>
      <c r="Y702" s="1" cm="1">
        <f t="array" ref="Y702">COUNT(_xlfn._xlws.FILTER($G$7:$G$10000,($I$7:$I$10000=X702)*($J$7:$J$10000&lt;&gt;"NULL")*($G$7:$G$10000 &gt;= ($G$1-5))))/5</f>
        <v>0</v>
      </c>
    </row>
    <row r="703" spans="7:25" x14ac:dyDescent="0.35">
      <c r="G703" s="66">
        <v>8</v>
      </c>
      <c r="H703" t="s">
        <v>24</v>
      </c>
      <c r="I703" t="s">
        <v>168</v>
      </c>
      <c r="J703" t="s">
        <v>256</v>
      </c>
      <c r="K703" t="s">
        <v>9</v>
      </c>
      <c r="L703" t="s">
        <v>23</v>
      </c>
      <c r="M703">
        <f t="shared" si="40"/>
        <v>2.271948305855628</v>
      </c>
      <c r="N703" t="str">
        <f t="shared" si="41"/>
        <v/>
      </c>
      <c r="O703" s="67" cm="1">
        <f t="array" ref="O703">SUMPRODUCT((G703=$G$7:$G$10000)*(M703&lt;$M$7:$M$10000))+1</f>
        <v>90</v>
      </c>
      <c r="P703" s="72"/>
      <c r="Q703">
        <v>11</v>
      </c>
      <c r="R703" t="str">
        <v>SDL</v>
      </c>
      <c r="S703" t="str">
        <v>Vili Helu</v>
      </c>
      <c r="T703" t="str">
        <v>NULL</v>
      </c>
      <c r="U703" t="str">
        <v>Away</v>
      </c>
      <c r="V703" t="str">
        <v>LA</v>
      </c>
      <c r="W703">
        <v>15.449696251602631</v>
      </c>
      <c r="Y703" s="1" cm="1">
        <f t="array" ref="Y703">COUNT(_xlfn._xlws.FILTER($G$7:$G$10000,($I$7:$I$10000=X703)*($J$7:$J$10000&lt;&gt;"NULL")*($G$7:$G$10000 &gt;= ($G$1-5))))/5</f>
        <v>0</v>
      </c>
    </row>
    <row r="704" spans="7:25" x14ac:dyDescent="0.35">
      <c r="G704" s="66">
        <v>8</v>
      </c>
      <c r="H704" t="s">
        <v>6</v>
      </c>
      <c r="I704" t="s">
        <v>116</v>
      </c>
      <c r="J704" t="s">
        <v>256</v>
      </c>
      <c r="K704" t="s">
        <v>9</v>
      </c>
      <c r="L704" t="s">
        <v>36</v>
      </c>
      <c r="M704">
        <f t="shared" si="40"/>
        <v>2.0552328468390462</v>
      </c>
      <c r="N704" t="str">
        <f t="shared" si="41"/>
        <v/>
      </c>
      <c r="O704" s="67" cm="1">
        <f t="array" ref="O704">SUMPRODUCT((G704=$G$7:$G$10000)*(M704&lt;$M$7:$M$10000))+1</f>
        <v>91</v>
      </c>
      <c r="P704" s="72"/>
      <c r="Q704">
        <v>11</v>
      </c>
      <c r="R704" t="str">
        <v>SDL</v>
      </c>
      <c r="S704" t="str">
        <v>Shilo Klein</v>
      </c>
      <c r="T704" t="str">
        <v>NULL</v>
      </c>
      <c r="U704" t="str">
        <v>Away</v>
      </c>
      <c r="V704" t="str">
        <v>LA</v>
      </c>
      <c r="W704">
        <v>15.092063879387091</v>
      </c>
      <c r="Y704" s="1" cm="1">
        <f t="array" ref="Y704">COUNT(_xlfn._xlws.FILTER($G$7:$G$10000,($I$7:$I$10000=X704)*($J$7:$J$10000&lt;&gt;"NULL")*($G$7:$G$10000 &gt;= ($G$1-5))))/5</f>
        <v>0</v>
      </c>
    </row>
    <row r="705" spans="7:25" x14ac:dyDescent="0.35">
      <c r="G705" s="66">
        <v>8</v>
      </c>
      <c r="H705" t="s">
        <v>17</v>
      </c>
      <c r="I705" t="s">
        <v>167</v>
      </c>
      <c r="J705" t="s">
        <v>256</v>
      </c>
      <c r="K705" t="s">
        <v>9</v>
      </c>
      <c r="L705" t="s">
        <v>7</v>
      </c>
      <c r="M705">
        <f t="shared" si="40"/>
        <v>1.9538745882646502</v>
      </c>
      <c r="N705" t="str">
        <f t="shared" si="41"/>
        <v/>
      </c>
      <c r="O705" s="67" cm="1">
        <f t="array" ref="O705">SUMPRODUCT((G705=$G$7:$G$10000)*(M705&lt;$M$7:$M$10000))+1</f>
        <v>92</v>
      </c>
      <c r="P705" s="72"/>
      <c r="Q705">
        <v>11</v>
      </c>
      <c r="R705" t="str">
        <v>SDL</v>
      </c>
      <c r="S705" t="str">
        <v>Brad Wilkin</v>
      </c>
      <c r="T705" t="str">
        <v>NULL</v>
      </c>
      <c r="U705" t="str">
        <v>Away</v>
      </c>
      <c r="V705" t="str">
        <v>LA</v>
      </c>
      <c r="W705">
        <v>14.08159796558173</v>
      </c>
      <c r="Y705" s="1" cm="1">
        <f t="array" ref="Y705">COUNT(_xlfn._xlws.FILTER($G$7:$G$10000,($I$7:$I$10000=X705)*($J$7:$J$10000&lt;&gt;"NULL")*($G$7:$G$10000 &gt;= ($G$1-5))))/5</f>
        <v>0</v>
      </c>
    </row>
    <row r="706" spans="7:25" x14ac:dyDescent="0.35">
      <c r="G706" s="66">
        <v>8</v>
      </c>
      <c r="H706" t="s">
        <v>34</v>
      </c>
      <c r="I706" t="s">
        <v>424</v>
      </c>
      <c r="J706" t="s">
        <v>256</v>
      </c>
      <c r="K706" t="s">
        <v>3</v>
      </c>
      <c r="L706" t="s">
        <v>2</v>
      </c>
      <c r="M706">
        <f t="shared" si="40"/>
        <v>1.8933663109960985</v>
      </c>
      <c r="N706" t="str">
        <f t="shared" si="41"/>
        <v/>
      </c>
      <c r="O706" s="67" cm="1">
        <f t="array" ref="O706">SUMPRODUCT((G706=$G$7:$G$10000)*(M706&lt;$M$7:$M$10000))+1</f>
        <v>93</v>
      </c>
      <c r="P706" s="72"/>
      <c r="Q706">
        <v>11</v>
      </c>
      <c r="R706" t="str">
        <v>SDL</v>
      </c>
      <c r="S706" t="str">
        <v>Christian Poidevin</v>
      </c>
      <c r="T706" t="str">
        <v>NULL</v>
      </c>
      <c r="U706" t="str">
        <v>Away</v>
      </c>
      <c r="V706" t="str">
        <v>LA</v>
      </c>
      <c r="W706">
        <v>13.230360185969127</v>
      </c>
      <c r="Y706" s="1" cm="1">
        <f t="array" ref="Y706">COUNT(_xlfn._xlws.FILTER($G$7:$G$10000,($I$7:$I$10000=X706)*($J$7:$J$10000&lt;&gt;"NULL")*($G$7:$G$10000 &gt;= ($G$1-5))))/5</f>
        <v>0</v>
      </c>
    </row>
    <row r="707" spans="7:25" x14ac:dyDescent="0.35">
      <c r="G707" s="66">
        <v>8</v>
      </c>
      <c r="H707" t="s">
        <v>4</v>
      </c>
      <c r="I707" t="s">
        <v>176</v>
      </c>
      <c r="J707" t="s">
        <v>256</v>
      </c>
      <c r="K707" t="s">
        <v>9</v>
      </c>
      <c r="L707" t="s">
        <v>14</v>
      </c>
      <c r="M707">
        <f t="shared" si="40"/>
        <v>1.878456819751988</v>
      </c>
      <c r="N707" t="str">
        <f t="shared" si="41"/>
        <v/>
      </c>
      <c r="O707" s="67" cm="1">
        <f t="array" ref="O707">SUMPRODUCT((G707=$G$7:$G$10000)*(M707&lt;$M$7:$M$10000))+1</f>
        <v>94</v>
      </c>
      <c r="P707" s="72"/>
      <c r="Q707">
        <v>11</v>
      </c>
      <c r="R707" t="str">
        <v>SDL</v>
      </c>
      <c r="S707" t="str">
        <v>Djustice Sears-Duru</v>
      </c>
      <c r="T707" t="str">
        <v>NULL</v>
      </c>
      <c r="U707" t="str">
        <v>Away</v>
      </c>
      <c r="V707" t="str">
        <v>LA</v>
      </c>
      <c r="W707">
        <v>12.674583047302548</v>
      </c>
      <c r="Y707" s="1" cm="1">
        <f t="array" ref="Y707">COUNT(_xlfn._xlws.FILTER($G$7:$G$10000,($I$7:$I$10000=X707)*($J$7:$J$10000&lt;&gt;"NULL")*($G$7:$G$10000 &gt;= ($G$1-5))))/5</f>
        <v>0</v>
      </c>
    </row>
    <row r="708" spans="7:25" x14ac:dyDescent="0.35">
      <c r="G708" s="66">
        <v>8</v>
      </c>
      <c r="H708" t="s">
        <v>36</v>
      </c>
      <c r="I708" t="s">
        <v>414</v>
      </c>
      <c r="J708" t="s">
        <v>256</v>
      </c>
      <c r="K708" t="s">
        <v>3</v>
      </c>
      <c r="L708" t="s">
        <v>6</v>
      </c>
      <c r="M708">
        <f t="shared" si="40"/>
        <v>1.7603827170016579</v>
      </c>
      <c r="N708" t="str">
        <f t="shared" si="41"/>
        <v/>
      </c>
      <c r="O708" s="67" cm="1">
        <f t="array" ref="O708">SUMPRODUCT((G708=$G$7:$G$10000)*(M708&lt;$M$7:$M$10000))+1</f>
        <v>95</v>
      </c>
      <c r="P708" s="72"/>
      <c r="Q708">
        <v>11</v>
      </c>
      <c r="R708" t="str">
        <v>NOLA</v>
      </c>
      <c r="S708" t="str">
        <v>Pat O'Toole</v>
      </c>
      <c r="T708" t="str">
        <v>NULL</v>
      </c>
      <c r="U708" t="str">
        <v>Home</v>
      </c>
      <c r="V708" t="str">
        <v>SEA</v>
      </c>
      <c r="W708">
        <v>11.885631261090872</v>
      </c>
      <c r="Y708" s="1" cm="1">
        <f t="array" ref="Y708">COUNT(_xlfn._xlws.FILTER($G$7:$G$10000,($I$7:$I$10000=X708)*($J$7:$J$10000&lt;&gt;"NULL")*($G$7:$G$10000 &gt;= ($G$1-5))))/5</f>
        <v>0</v>
      </c>
    </row>
    <row r="709" spans="7:25" x14ac:dyDescent="0.35">
      <c r="G709" s="66">
        <v>8</v>
      </c>
      <c r="H709" t="s">
        <v>4</v>
      </c>
      <c r="I709" t="s">
        <v>172</v>
      </c>
      <c r="J709" t="s">
        <v>256</v>
      </c>
      <c r="K709" t="s">
        <v>9</v>
      </c>
      <c r="L709" t="s">
        <v>14</v>
      </c>
      <c r="M709">
        <f t="shared" si="40"/>
        <v>1.4970134226532847</v>
      </c>
      <c r="N709" t="str">
        <f t="shared" si="41"/>
        <v/>
      </c>
      <c r="O709" s="67" cm="1">
        <f t="array" ref="O709">SUMPRODUCT((G709=$G$7:$G$10000)*(M709&lt;$M$7:$M$10000))+1</f>
        <v>96</v>
      </c>
      <c r="P709" s="72"/>
      <c r="Q709">
        <v>11</v>
      </c>
      <c r="R709" t="str">
        <v>LA</v>
      </c>
      <c r="S709" t="str">
        <v>Tim Anstee</v>
      </c>
      <c r="T709" t="str">
        <v>NULL</v>
      </c>
      <c r="U709" t="str">
        <v>Home</v>
      </c>
      <c r="V709" t="str">
        <v>SDL</v>
      </c>
      <c r="W709">
        <v>11.767589083094496</v>
      </c>
      <c r="Y709" s="1" cm="1">
        <f t="array" ref="Y709">COUNT(_xlfn._xlws.FILTER($G$7:$G$10000,($I$7:$I$10000=X709)*($J$7:$J$10000&lt;&gt;"NULL")*($G$7:$G$10000 &gt;= ($G$1-5))))/5</f>
        <v>0</v>
      </c>
    </row>
    <row r="710" spans="7:25" x14ac:dyDescent="0.35">
      <c r="G710" s="66">
        <v>8</v>
      </c>
      <c r="H710" t="s">
        <v>6</v>
      </c>
      <c r="I710" t="s">
        <v>418</v>
      </c>
      <c r="J710" t="s">
        <v>256</v>
      </c>
      <c r="K710" t="s">
        <v>9</v>
      </c>
      <c r="L710" t="s">
        <v>36</v>
      </c>
      <c r="M710">
        <f t="shared" si="40"/>
        <v>1.3798667800930797</v>
      </c>
      <c r="N710" t="str">
        <f t="shared" si="41"/>
        <v/>
      </c>
      <c r="O710" s="67" cm="1">
        <f t="array" ref="O710">SUMPRODUCT((G710=$G$7:$G$10000)*(M710&lt;$M$7:$M$10000))+1</f>
        <v>97</v>
      </c>
      <c r="P710" s="72"/>
      <c r="Q710">
        <v>11</v>
      </c>
      <c r="R710" t="str">
        <v>HOU</v>
      </c>
      <c r="S710" t="str">
        <v>Pita Anae-Ah Sue</v>
      </c>
      <c r="T710" t="str">
        <v>NULL</v>
      </c>
      <c r="U710" t="str">
        <v>Home</v>
      </c>
      <c r="V710" t="str">
        <v>OGDC</v>
      </c>
      <c r="W710">
        <v>11.237479786615545</v>
      </c>
      <c r="Y710" s="1" cm="1">
        <f t="array" ref="Y710">COUNT(_xlfn._xlws.FILTER($G$7:$G$10000,($I$7:$I$10000=X710)*($J$7:$J$10000&lt;&gt;"NULL")*($G$7:$G$10000 &gt;= ($G$1-5))))/5</f>
        <v>0</v>
      </c>
    </row>
    <row r="711" spans="7:25" x14ac:dyDescent="0.35">
      <c r="G711" s="66">
        <v>8</v>
      </c>
      <c r="H711" t="s">
        <v>17</v>
      </c>
      <c r="I711" t="s">
        <v>423</v>
      </c>
      <c r="J711" t="s">
        <v>256</v>
      </c>
      <c r="K711" t="s">
        <v>9</v>
      </c>
      <c r="L711" t="s">
        <v>7</v>
      </c>
      <c r="M711">
        <f t="shared" si="40"/>
        <v>1.308820698420166</v>
      </c>
      <c r="N711" t="str">
        <f t="shared" si="41"/>
        <v/>
      </c>
      <c r="O711" s="67" cm="1">
        <f t="array" ref="O711">SUMPRODUCT((G711=$G$7:$G$10000)*(M711&lt;$M$7:$M$10000))+1</f>
        <v>98</v>
      </c>
      <c r="P711" s="72"/>
      <c r="Q711">
        <v>11</v>
      </c>
      <c r="R711" t="str">
        <v>NOLA</v>
      </c>
      <c r="S711" t="str">
        <v>Jonah Mau'u</v>
      </c>
      <c r="T711" t="str">
        <v>NULL</v>
      </c>
      <c r="U711" t="str">
        <v>Home</v>
      </c>
      <c r="V711" t="str">
        <v>SEA</v>
      </c>
      <c r="W711">
        <v>10.993343722272268</v>
      </c>
      <c r="Y711" s="1" cm="1">
        <f t="array" ref="Y711">COUNT(_xlfn._xlws.FILTER($G$7:$G$10000,($I$7:$I$10000=X711)*($J$7:$J$10000&lt;&gt;"NULL")*($G$7:$G$10000 &gt;= ($G$1-5))))/5</f>
        <v>0</v>
      </c>
    </row>
    <row r="712" spans="7:25" x14ac:dyDescent="0.35">
      <c r="G712" s="66">
        <v>8</v>
      </c>
      <c r="H712" t="s">
        <v>4</v>
      </c>
      <c r="I712" t="s">
        <v>118</v>
      </c>
      <c r="J712" t="s">
        <v>256</v>
      </c>
      <c r="K712" t="s">
        <v>9</v>
      </c>
      <c r="L712" t="s">
        <v>14</v>
      </c>
      <c r="M712">
        <f t="shared" si="40"/>
        <v>1.0929354978079111</v>
      </c>
      <c r="N712" t="str">
        <f t="shared" si="41"/>
        <v/>
      </c>
      <c r="O712" s="67" cm="1">
        <f t="array" ref="O712">SUMPRODUCT((G712=$G$7:$G$10000)*(M712&lt;$M$7:$M$10000))+1</f>
        <v>99</v>
      </c>
      <c r="P712" s="72"/>
      <c r="Q712">
        <v>11</v>
      </c>
      <c r="R712" t="str">
        <v>HOU</v>
      </c>
      <c r="S712" t="str">
        <v>Sam Tuifua</v>
      </c>
      <c r="T712" t="str">
        <v>NULL</v>
      </c>
      <c r="U712" t="str">
        <v>Home</v>
      </c>
      <c r="V712" t="str">
        <v>OGDC</v>
      </c>
      <c r="W712">
        <v>10.877765682688475</v>
      </c>
      <c r="Y712" s="1" cm="1">
        <f t="array" ref="Y712">COUNT(_xlfn._xlws.FILTER($G$7:$G$10000,($I$7:$I$10000=X712)*($J$7:$J$10000&lt;&gt;"NULL")*($G$7:$G$10000 &gt;= ($G$1-5))))/5</f>
        <v>0</v>
      </c>
    </row>
    <row r="713" spans="7:25" x14ac:dyDescent="0.35">
      <c r="G713" s="66">
        <v>8</v>
      </c>
      <c r="H713" t="s">
        <v>4</v>
      </c>
      <c r="I713" t="s">
        <v>335</v>
      </c>
      <c r="J713" t="s">
        <v>256</v>
      </c>
      <c r="K713" t="s">
        <v>9</v>
      </c>
      <c r="L713" t="s">
        <v>14</v>
      </c>
      <c r="M713">
        <f t="shared" si="40"/>
        <v>0.77218941394436413</v>
      </c>
      <c r="N713" t="str">
        <f t="shared" si="41"/>
        <v/>
      </c>
      <c r="O713" s="67" cm="1">
        <f t="array" ref="O713">SUMPRODUCT((G713=$G$7:$G$10000)*(M713&lt;$M$7:$M$10000))+1</f>
        <v>100</v>
      </c>
      <c r="P713" s="72"/>
      <c r="Q713">
        <v>11</v>
      </c>
      <c r="R713" t="str">
        <v>UTAH</v>
      </c>
      <c r="S713" t="str">
        <v>Liam Coltman</v>
      </c>
      <c r="T713" t="str">
        <v>NULL</v>
      </c>
      <c r="U713" t="str">
        <v>Home</v>
      </c>
      <c r="V713" t="str">
        <v>CHI</v>
      </c>
      <c r="W713">
        <v>10.597251817562567</v>
      </c>
      <c r="Y713" s="1" cm="1">
        <f t="array" ref="Y713">COUNT(_xlfn._xlws.FILTER($G$7:$G$10000,($I$7:$I$10000=X713)*($J$7:$J$10000&lt;&gt;"NULL")*($G$7:$G$10000 &gt;= ($G$1-5))))/5</f>
        <v>0</v>
      </c>
    </row>
    <row r="714" spans="7:25" x14ac:dyDescent="0.35">
      <c r="G714" s="66">
        <v>8</v>
      </c>
      <c r="H714" t="s">
        <v>24</v>
      </c>
      <c r="I714" t="s">
        <v>482</v>
      </c>
      <c r="J714" t="s">
        <v>256</v>
      </c>
      <c r="K714" t="s">
        <v>9</v>
      </c>
      <c r="L714" t="s">
        <v>23</v>
      </c>
      <c r="M714">
        <f t="shared" si="40"/>
        <v>0.73918420857033418</v>
      </c>
      <c r="N714" t="str">
        <f t="shared" si="41"/>
        <v/>
      </c>
      <c r="O714" s="67" cm="1">
        <f t="array" ref="O714">SUMPRODUCT((G714=$G$7:$G$10000)*(M714&lt;$M$7:$M$10000))+1</f>
        <v>101</v>
      </c>
      <c r="P714" s="72"/>
      <c r="Q714">
        <v>11</v>
      </c>
      <c r="R714" t="str">
        <v>SEA</v>
      </c>
      <c r="S714" t="str">
        <v>Kerron van Vuuren</v>
      </c>
      <c r="T714" t="str">
        <v>NULL</v>
      </c>
      <c r="U714" t="str">
        <v>Away</v>
      </c>
      <c r="V714" t="str">
        <v>NOLA</v>
      </c>
      <c r="W714">
        <v>10.284357627537759</v>
      </c>
      <c r="Y714" s="1" cm="1">
        <f t="array" ref="Y714">COUNT(_xlfn._xlws.FILTER($G$7:$G$10000,($I$7:$I$10000=X714)*($J$7:$J$10000&lt;&gt;"NULL")*($G$7:$G$10000 &gt;= ($G$1-5))))/5</f>
        <v>0</v>
      </c>
    </row>
    <row r="715" spans="7:25" x14ac:dyDescent="0.35">
      <c r="G715" s="66">
        <v>8</v>
      </c>
      <c r="H715" t="s">
        <v>17</v>
      </c>
      <c r="I715" t="s">
        <v>155</v>
      </c>
      <c r="J715" t="s">
        <v>256</v>
      </c>
      <c r="K715" t="s">
        <v>9</v>
      </c>
      <c r="L715" t="s">
        <v>7</v>
      </c>
      <c r="M715">
        <f t="shared" si="40"/>
        <v>0.13237830056309097</v>
      </c>
      <c r="N715" t="str">
        <f t="shared" si="41"/>
        <v/>
      </c>
      <c r="O715" s="67" cm="1">
        <f t="array" ref="O715">SUMPRODUCT((G715=$G$7:$G$10000)*(M715&lt;$M$7:$M$10000))+1</f>
        <v>102</v>
      </c>
      <c r="P715" s="72"/>
      <c r="Q715">
        <v>11</v>
      </c>
      <c r="R715" t="str">
        <v>LA</v>
      </c>
      <c r="S715" t="str">
        <v>Ben Houston</v>
      </c>
      <c r="T715" t="str">
        <v>NULL</v>
      </c>
      <c r="U715" t="str">
        <v>Home</v>
      </c>
      <c r="V715" t="str">
        <v>SDL</v>
      </c>
      <c r="W715">
        <v>9.7909606335240333</v>
      </c>
      <c r="Y715" s="1" cm="1">
        <f t="array" ref="Y715">COUNT(_xlfn._xlws.FILTER($G$7:$G$10000,($I$7:$I$10000=X715)*($J$7:$J$10000&lt;&gt;"NULL")*($G$7:$G$10000 &gt;= ($G$1-5))))/5</f>
        <v>0</v>
      </c>
    </row>
    <row r="716" spans="7:25" x14ac:dyDescent="0.35">
      <c r="G716" s="66">
        <v>8</v>
      </c>
      <c r="H716" t="s">
        <v>24</v>
      </c>
      <c r="I716" t="s">
        <v>179</v>
      </c>
      <c r="J716" t="s">
        <v>256</v>
      </c>
      <c r="K716" t="s">
        <v>9</v>
      </c>
      <c r="L716" t="s">
        <v>23</v>
      </c>
      <c r="M716">
        <f t="shared" si="40"/>
        <v>6.4431103993607408E-3</v>
      </c>
      <c r="N716" t="str">
        <f t="shared" si="41"/>
        <v/>
      </c>
      <c r="O716" s="67" cm="1">
        <f t="array" ref="O716">SUMPRODUCT((G716=$G$7:$G$10000)*(M716&lt;$M$7:$M$10000))+1</f>
        <v>103</v>
      </c>
      <c r="P716" s="72"/>
      <c r="Q716">
        <v>11</v>
      </c>
      <c r="R716" t="str">
        <v>SDL</v>
      </c>
      <c r="S716" t="str">
        <v>Jed Holloway</v>
      </c>
      <c r="T716" t="str">
        <v>NULL</v>
      </c>
      <c r="U716" t="str">
        <v>Away</v>
      </c>
      <c r="V716" t="str">
        <v>LA</v>
      </c>
      <c r="W716">
        <v>9.559470059511753</v>
      </c>
      <c r="Y716" s="1" cm="1">
        <f t="array" ref="Y716">COUNT(_xlfn._xlws.FILTER($G$7:$G$10000,($I$7:$I$10000=X716)*($J$7:$J$10000&lt;&gt;"NULL")*($G$7:$G$10000 &gt;= ($G$1-5))))/5</f>
        <v>0</v>
      </c>
    </row>
    <row r="717" spans="7:25" x14ac:dyDescent="0.35">
      <c r="G717" s="66">
        <v>8</v>
      </c>
      <c r="H717" t="s">
        <v>36</v>
      </c>
      <c r="I717" t="s">
        <v>106</v>
      </c>
      <c r="J717" t="s">
        <v>256</v>
      </c>
      <c r="K717" t="s">
        <v>3</v>
      </c>
      <c r="L717" t="s">
        <v>6</v>
      </c>
      <c r="M717">
        <f t="shared" si="40"/>
        <v>-2.7807328263127076</v>
      </c>
      <c r="N717" t="str">
        <f t="shared" si="41"/>
        <v/>
      </c>
      <c r="O717" s="67" cm="1">
        <f t="array" ref="O717">SUMPRODUCT((G717=$G$7:$G$10000)*(M717&lt;$M$7:$M$10000))+1</f>
        <v>104</v>
      </c>
      <c r="P717" s="72"/>
      <c r="Q717">
        <v>11</v>
      </c>
      <c r="R717" t="str">
        <v>LA</v>
      </c>
      <c r="S717" t="str">
        <v>Ed Timpson</v>
      </c>
      <c r="T717" t="str">
        <v>NULL</v>
      </c>
      <c r="U717" t="str">
        <v>Home</v>
      </c>
      <c r="V717" t="str">
        <v>SDL</v>
      </c>
      <c r="W717">
        <v>9.4203076880626693</v>
      </c>
      <c r="Y717" s="1" cm="1">
        <f t="array" ref="Y717">COUNT(_xlfn._xlws.FILTER($G$7:$G$10000,($I$7:$I$10000=X717)*($J$7:$J$10000&lt;&gt;"NULL")*($G$7:$G$10000 &gt;= ($G$1-5))))/5</f>
        <v>0</v>
      </c>
    </row>
    <row r="718" spans="7:25" x14ac:dyDescent="0.35">
      <c r="G718" s="66">
        <v>8</v>
      </c>
      <c r="H718" t="s">
        <v>24</v>
      </c>
      <c r="I718" t="s">
        <v>142</v>
      </c>
      <c r="J718" t="s">
        <v>256</v>
      </c>
      <c r="K718" t="s">
        <v>9</v>
      </c>
      <c r="L718" t="s">
        <v>23</v>
      </c>
      <c r="M718">
        <f t="shared" si="40"/>
        <v>-9.4566435407778453</v>
      </c>
      <c r="N718" t="str">
        <f t="shared" si="41"/>
        <v/>
      </c>
      <c r="O718" s="67" cm="1">
        <f t="array" ref="O718">SUMPRODUCT((G718=$G$7:$G$10000)*(M718&lt;$M$7:$M$10000))+1</f>
        <v>105</v>
      </c>
      <c r="P718" s="72"/>
      <c r="Q718">
        <v>11</v>
      </c>
      <c r="R718" t="str">
        <v>LA</v>
      </c>
      <c r="S718" t="str">
        <v>Jason Damm</v>
      </c>
      <c r="T718" t="str">
        <v>NULL</v>
      </c>
      <c r="U718" t="str">
        <v>Home</v>
      </c>
      <c r="V718" t="str">
        <v>SDL</v>
      </c>
      <c r="W718">
        <v>8.9184547171925903</v>
      </c>
      <c r="Y718" s="1" cm="1">
        <f t="array" ref="Y718">COUNT(_xlfn._xlws.FILTER($G$7:$G$10000,($I$7:$I$10000=X718)*($J$7:$J$10000&lt;&gt;"NULL")*($G$7:$G$10000 &gt;= ($G$1-5))))/5</f>
        <v>0</v>
      </c>
    </row>
    <row r="719" spans="7:25" x14ac:dyDescent="0.35">
      <c r="G719" s="66">
        <v>9</v>
      </c>
      <c r="H719" t="s">
        <v>23</v>
      </c>
      <c r="I719" t="s">
        <v>428</v>
      </c>
      <c r="J719" t="s">
        <v>256</v>
      </c>
      <c r="K719" t="s">
        <v>3</v>
      </c>
      <c r="L719" t="s">
        <v>34</v>
      </c>
      <c r="M719">
        <f t="shared" si="40"/>
        <v>13.738430806915858</v>
      </c>
      <c r="N719" t="str">
        <f t="shared" si="41"/>
        <v/>
      </c>
      <c r="O719" s="67" cm="1">
        <f t="array" ref="O719">SUMPRODUCT((G719=$G$7:$G$10000)*(M719&lt;$M$7:$M$10000))+1</f>
        <v>1</v>
      </c>
      <c r="P719" s="72"/>
      <c r="Q719">
        <v>11</v>
      </c>
      <c r="R719" t="str">
        <v>MIA</v>
      </c>
      <c r="S719" t="str">
        <v>Benjamin Bonasso</v>
      </c>
      <c r="T719" t="str">
        <v>NULL</v>
      </c>
      <c r="U719" t="str">
        <v>Home</v>
      </c>
      <c r="V719" t="str">
        <v>ARC</v>
      </c>
      <c r="W719">
        <v>8.7654915387912702</v>
      </c>
      <c r="Y719" s="1" cm="1">
        <f t="array" ref="Y719">COUNT(_xlfn._xlws.FILTER($G$7:$G$10000,($I$7:$I$10000=X719)*($J$7:$J$10000&lt;&gt;"NULL")*($G$7:$G$10000 &gt;= ($G$1-5))))/5</f>
        <v>0</v>
      </c>
    </row>
    <row r="720" spans="7:25" x14ac:dyDescent="0.35">
      <c r="G720" s="66">
        <v>9</v>
      </c>
      <c r="H720" t="s">
        <v>34</v>
      </c>
      <c r="I720" t="s">
        <v>228</v>
      </c>
      <c r="J720" t="s">
        <v>256</v>
      </c>
      <c r="K720" t="s">
        <v>9</v>
      </c>
      <c r="L720" t="s">
        <v>23</v>
      </c>
      <c r="M720">
        <f t="shared" si="40"/>
        <v>13.017382442901331</v>
      </c>
      <c r="N720" t="str">
        <f t="shared" si="41"/>
        <v/>
      </c>
      <c r="O720" s="67" cm="1">
        <f t="array" ref="O720">SUMPRODUCT((G720=$G$7:$G$10000)*(M720&lt;$M$7:$M$10000))+1</f>
        <v>2</v>
      </c>
      <c r="P720" s="72"/>
      <c r="Q720">
        <v>11</v>
      </c>
      <c r="R720" t="str">
        <v>SEA</v>
      </c>
      <c r="S720" t="str">
        <v>OJ Noa</v>
      </c>
      <c r="T720" t="str">
        <v>NULL</v>
      </c>
      <c r="U720" t="str">
        <v>Away</v>
      </c>
      <c r="V720" t="str">
        <v>NOLA</v>
      </c>
      <c r="W720">
        <v>8.579840535039807</v>
      </c>
      <c r="Y720" s="1" cm="1">
        <f t="array" ref="Y720">COUNT(_xlfn._xlws.FILTER($G$7:$G$10000,($I$7:$I$10000=X720)*($J$7:$J$10000&lt;&gt;"NULL")*($G$7:$G$10000 &gt;= ($G$1-5))))/5</f>
        <v>0</v>
      </c>
    </row>
    <row r="721" spans="7:25" x14ac:dyDescent="0.35">
      <c r="G721" s="66">
        <v>9</v>
      </c>
      <c r="H721" t="s">
        <v>23</v>
      </c>
      <c r="I721" t="s">
        <v>389</v>
      </c>
      <c r="J721" t="s">
        <v>256</v>
      </c>
      <c r="K721" t="s">
        <v>3</v>
      </c>
      <c r="L721" t="s">
        <v>34</v>
      </c>
      <c r="M721">
        <f t="shared" si="40"/>
        <v>12.920942678529007</v>
      </c>
      <c r="N721" t="str">
        <f t="shared" si="41"/>
        <v/>
      </c>
      <c r="O721" s="67" cm="1">
        <f t="array" ref="O721">SUMPRODUCT((G721=$G$7:$G$10000)*(M721&lt;$M$7:$M$10000))+1</f>
        <v>3</v>
      </c>
      <c r="P721" s="72"/>
      <c r="Q721">
        <v>11</v>
      </c>
      <c r="R721" t="str">
        <v>UTAH</v>
      </c>
      <c r="S721" t="str">
        <v>Dylan Nel</v>
      </c>
      <c r="T721" t="str">
        <v>NULL</v>
      </c>
      <c r="U721" t="str">
        <v>Home</v>
      </c>
      <c r="V721" t="str">
        <v>CHI</v>
      </c>
      <c r="W721">
        <v>8.3915585535665507</v>
      </c>
      <c r="Y721" s="1" cm="1">
        <f t="array" ref="Y721">COUNT(_xlfn._xlws.FILTER($G$7:$G$10000,($I$7:$I$10000=X721)*($J$7:$J$10000&lt;&gt;"NULL")*($G$7:$G$10000 &gt;= ($G$1-5))))/5</f>
        <v>0</v>
      </c>
    </row>
    <row r="722" spans="7:25" x14ac:dyDescent="0.35">
      <c r="G722" s="66">
        <v>9</v>
      </c>
      <c r="H722" t="s">
        <v>34</v>
      </c>
      <c r="I722" t="s">
        <v>462</v>
      </c>
      <c r="J722" t="s">
        <v>256</v>
      </c>
      <c r="K722" t="s">
        <v>9</v>
      </c>
      <c r="L722" t="s">
        <v>23</v>
      </c>
      <c r="M722">
        <f t="shared" si="40"/>
        <v>12.65975007068579</v>
      </c>
      <c r="N722" t="str">
        <f t="shared" si="41"/>
        <v/>
      </c>
      <c r="O722" s="67" cm="1">
        <f t="array" ref="O722">SUMPRODUCT((G722=$G$7:$G$10000)*(M722&lt;$M$7:$M$10000))+1</f>
        <v>4</v>
      </c>
      <c r="P722" s="72"/>
      <c r="Q722">
        <v>11</v>
      </c>
      <c r="R722" t="str">
        <v>MIA</v>
      </c>
      <c r="S722" t="str">
        <v>Manuel Ardao</v>
      </c>
      <c r="T722" t="str">
        <v>NULL</v>
      </c>
      <c r="U722" t="str">
        <v>Home</v>
      </c>
      <c r="V722" t="str">
        <v>ARC</v>
      </c>
      <c r="W722">
        <v>8.050771183701487</v>
      </c>
      <c r="Y722" s="1" cm="1">
        <f t="array" ref="Y722">COUNT(_xlfn._xlws.FILTER($G$7:$G$10000,($I$7:$I$10000=X722)*($J$7:$J$10000&lt;&gt;"NULL")*($G$7:$G$10000 &gt;= ($G$1-5))))/5</f>
        <v>0</v>
      </c>
    </row>
    <row r="723" spans="7:25" x14ac:dyDescent="0.35">
      <c r="G723" s="66">
        <v>9</v>
      </c>
      <c r="H723" t="s">
        <v>36</v>
      </c>
      <c r="I723" t="s">
        <v>466</v>
      </c>
      <c r="J723" t="s">
        <v>256</v>
      </c>
      <c r="K723" t="s">
        <v>9</v>
      </c>
      <c r="L723" t="s">
        <v>24</v>
      </c>
      <c r="M723">
        <f t="shared" si="40"/>
        <v>12.060242857797141</v>
      </c>
      <c r="N723" t="str">
        <f t="shared" si="41"/>
        <v/>
      </c>
      <c r="O723" s="67" cm="1">
        <f t="array" ref="O723">SUMPRODUCT((G723=$G$7:$G$10000)*(M723&lt;$M$7:$M$10000))+1</f>
        <v>5</v>
      </c>
      <c r="P723" s="72"/>
      <c r="Q723">
        <v>11</v>
      </c>
      <c r="R723" t="str">
        <v>OGDC</v>
      </c>
      <c r="S723" t="str">
        <v>Jamason Fa'anana-Schultz</v>
      </c>
      <c r="T723" t="str">
        <v>NULL</v>
      </c>
      <c r="U723" t="str">
        <v>Away</v>
      </c>
      <c r="V723" t="str">
        <v>HOU</v>
      </c>
      <c r="W723">
        <v>7.9522735648214988</v>
      </c>
      <c r="Y723" s="1" cm="1">
        <f t="array" ref="Y723">COUNT(_xlfn._xlws.FILTER($G$7:$G$10000,($I$7:$I$10000=X723)*($J$7:$J$10000&lt;&gt;"NULL")*($G$7:$G$10000 &gt;= ($G$1-5))))/5</f>
        <v>0</v>
      </c>
    </row>
    <row r="724" spans="7:25" x14ac:dyDescent="0.35">
      <c r="G724" s="66">
        <v>9</v>
      </c>
      <c r="H724" t="s">
        <v>36</v>
      </c>
      <c r="I724" t="s">
        <v>225</v>
      </c>
      <c r="J724" t="s">
        <v>256</v>
      </c>
      <c r="K724" t="s">
        <v>9</v>
      </c>
      <c r="L724" t="s">
        <v>24</v>
      </c>
      <c r="M724">
        <f t="shared" si="40"/>
        <v>11.700528753870071</v>
      </c>
      <c r="N724" t="str">
        <f t="shared" si="41"/>
        <v/>
      </c>
      <c r="O724" s="67" cm="1">
        <f t="array" ref="O724">SUMPRODUCT((G724=$G$7:$G$10000)*(M724&lt;$M$7:$M$10000))+1</f>
        <v>6</v>
      </c>
      <c r="P724" s="72"/>
      <c r="Q724">
        <v>11</v>
      </c>
      <c r="R724" t="str">
        <v>SDL</v>
      </c>
      <c r="S724" t="str">
        <v>Paddy Ryan</v>
      </c>
      <c r="T724" t="str">
        <v>NULL</v>
      </c>
      <c r="U724" t="str">
        <v>Away</v>
      </c>
      <c r="V724" t="str">
        <v>LA</v>
      </c>
      <c r="W724">
        <v>7.6762586766265537</v>
      </c>
      <c r="Y724" s="1" cm="1">
        <f t="array" ref="Y724">COUNT(_xlfn._xlws.FILTER($G$7:$G$10000,($I$7:$I$10000=X724)*($J$7:$J$10000&lt;&gt;"NULL")*($G$7:$G$10000 &gt;= ($G$1-5))))/5</f>
        <v>0</v>
      </c>
    </row>
    <row r="725" spans="7:25" x14ac:dyDescent="0.35">
      <c r="G725" s="66">
        <v>9</v>
      </c>
      <c r="H725" t="s">
        <v>34</v>
      </c>
      <c r="I725" t="s">
        <v>429</v>
      </c>
      <c r="J725" t="s">
        <v>256</v>
      </c>
      <c r="K725" t="s">
        <v>9</v>
      </c>
      <c r="L725" t="s">
        <v>23</v>
      </c>
      <c r="M725">
        <f t="shared" si="40"/>
        <v>11.64928415688043</v>
      </c>
      <c r="N725" t="str">
        <f t="shared" si="41"/>
        <v/>
      </c>
      <c r="O725" s="67" cm="1">
        <f t="array" ref="O725">SUMPRODUCT((G725=$G$7:$G$10000)*(M725&lt;$M$7:$M$10000))+1</f>
        <v>7</v>
      </c>
      <c r="P725" s="72"/>
      <c r="Q725">
        <v>11</v>
      </c>
      <c r="R725" t="str">
        <v>ARC</v>
      </c>
      <c r="S725" t="str">
        <v>Makeen Alikhan</v>
      </c>
      <c r="T725" t="str">
        <v>NULL</v>
      </c>
      <c r="U725" t="str">
        <v>Away</v>
      </c>
      <c r="V725" t="str">
        <v>MIA</v>
      </c>
      <c r="W725">
        <v>7.1969366400307075</v>
      </c>
      <c r="Y725" s="1" cm="1">
        <f t="array" ref="Y725">COUNT(_xlfn._xlws.FILTER($G$7:$G$10000,($I$7:$I$10000=X725)*($J$7:$J$10000&lt;&gt;"NULL")*($G$7:$G$10000 &gt;= ($G$1-5))))/5</f>
        <v>0</v>
      </c>
    </row>
    <row r="726" spans="7:25" x14ac:dyDescent="0.35">
      <c r="G726" s="66">
        <v>9</v>
      </c>
      <c r="H726" t="s">
        <v>4</v>
      </c>
      <c r="I726" t="s">
        <v>175</v>
      </c>
      <c r="J726" t="s">
        <v>256</v>
      </c>
      <c r="K726" t="s">
        <v>3</v>
      </c>
      <c r="L726" t="s">
        <v>7</v>
      </c>
      <c r="M726">
        <f t="shared" si="40"/>
        <v>11.351212231603544</v>
      </c>
      <c r="N726" t="str">
        <f t="shared" si="41"/>
        <v/>
      </c>
      <c r="O726" s="67" cm="1">
        <f t="array" ref="O726">SUMPRODUCT((G726=$G$7:$G$10000)*(M726&lt;$M$7:$M$10000))+1</f>
        <v>8</v>
      </c>
      <c r="P726" s="72"/>
      <c r="Q726">
        <v>11</v>
      </c>
      <c r="R726" t="str">
        <v>UTAH</v>
      </c>
      <c r="S726" t="str">
        <v>Aki Seiuli</v>
      </c>
      <c r="T726" t="str">
        <v>NULL</v>
      </c>
      <c r="U726" t="str">
        <v>Home</v>
      </c>
      <c r="V726" t="str">
        <v>CHI</v>
      </c>
      <c r="W726">
        <v>7.1039812831067168</v>
      </c>
      <c r="Y726" s="1" cm="1">
        <f t="array" ref="Y726">COUNT(_xlfn._xlws.FILTER($G$7:$G$10000,($I$7:$I$10000=X726)*($J$7:$J$10000&lt;&gt;"NULL")*($G$7:$G$10000 &gt;= ($G$1-5))))/5</f>
        <v>0</v>
      </c>
    </row>
    <row r="727" spans="7:25" x14ac:dyDescent="0.35">
      <c r="G727" s="66">
        <v>9</v>
      </c>
      <c r="H727" t="s">
        <v>34</v>
      </c>
      <c r="I727" t="s">
        <v>200</v>
      </c>
      <c r="J727" t="s">
        <v>256</v>
      </c>
      <c r="K727" t="s">
        <v>9</v>
      </c>
      <c r="L727" t="s">
        <v>23</v>
      </c>
      <c r="M727">
        <f t="shared" si="40"/>
        <v>10.798046377267827</v>
      </c>
      <c r="N727" t="str">
        <f t="shared" si="41"/>
        <v/>
      </c>
      <c r="O727" s="67" cm="1">
        <f t="array" ref="O727">SUMPRODUCT((G727=$G$7:$G$10000)*(M727&lt;$M$7:$M$10000))+1</f>
        <v>9</v>
      </c>
      <c r="P727" s="72"/>
      <c r="Q727">
        <v>11</v>
      </c>
      <c r="R727" t="str">
        <v>NOLA</v>
      </c>
      <c r="S727" t="str">
        <v>Tupou Ma'afu Afungia</v>
      </c>
      <c r="T727" t="str">
        <v>NULL</v>
      </c>
      <c r="U727" t="str">
        <v>Home</v>
      </c>
      <c r="V727" t="str">
        <v>SEA</v>
      </c>
      <c r="W727">
        <v>7.0228868240500617</v>
      </c>
      <c r="Y727" s="1" cm="1">
        <f t="array" ref="Y727">COUNT(_xlfn._xlws.FILTER($G$7:$G$10000,($I$7:$I$10000=X727)*($J$7:$J$10000&lt;&gt;"NULL")*($G$7:$G$10000 &gt;= ($G$1-5))))/5</f>
        <v>0</v>
      </c>
    </row>
    <row r="728" spans="7:25" x14ac:dyDescent="0.35">
      <c r="G728" s="66">
        <v>9</v>
      </c>
      <c r="H728" t="s">
        <v>13</v>
      </c>
      <c r="I728" t="s">
        <v>463</v>
      </c>
      <c r="J728" t="s">
        <v>256</v>
      </c>
      <c r="K728" t="s">
        <v>9</v>
      </c>
      <c r="L728" t="s">
        <v>6</v>
      </c>
      <c r="M728">
        <f t="shared" si="40"/>
        <v>10.722587906852475</v>
      </c>
      <c r="N728" t="str">
        <f t="shared" si="41"/>
        <v/>
      </c>
      <c r="O728" s="67" cm="1">
        <f t="array" ref="O728">SUMPRODUCT((G728=$G$7:$G$10000)*(M728&lt;$M$7:$M$10000))+1</f>
        <v>10</v>
      </c>
      <c r="P728" s="72"/>
      <c r="Q728">
        <v>11</v>
      </c>
      <c r="R728" t="str">
        <v>SDL</v>
      </c>
      <c r="S728" t="str">
        <v>Tevita Tameilau</v>
      </c>
      <c r="T728" t="str">
        <v>NULL</v>
      </c>
      <c r="U728" t="str">
        <v>Away</v>
      </c>
      <c r="V728" t="str">
        <v>LA</v>
      </c>
      <c r="W728">
        <v>7.0191871362335601</v>
      </c>
      <c r="Y728" s="1" cm="1">
        <f t="array" ref="Y728">COUNT(_xlfn._xlws.FILTER($G$7:$G$10000,($I$7:$I$10000=X728)*($J$7:$J$10000&lt;&gt;"NULL")*($G$7:$G$10000 &gt;= ($G$1-5))))/5</f>
        <v>0</v>
      </c>
    </row>
    <row r="729" spans="7:25" x14ac:dyDescent="0.35">
      <c r="G729" s="66">
        <v>9</v>
      </c>
      <c r="H729" t="s">
        <v>4</v>
      </c>
      <c r="I729" t="s">
        <v>209</v>
      </c>
      <c r="J729" t="s">
        <v>256</v>
      </c>
      <c r="K729" t="s">
        <v>3</v>
      </c>
      <c r="L729" t="s">
        <v>7</v>
      </c>
      <c r="M729">
        <f t="shared" si="40"/>
        <v>10.45892469278494</v>
      </c>
      <c r="N729" t="str">
        <f t="shared" si="41"/>
        <v/>
      </c>
      <c r="O729" s="67" cm="1">
        <f t="array" ref="O729">SUMPRODUCT((G729=$G$7:$G$10000)*(M729&lt;$M$7:$M$10000))+1</f>
        <v>11</v>
      </c>
      <c r="P729" s="72"/>
      <c r="Q729">
        <v>11</v>
      </c>
      <c r="R729" t="str">
        <v>CHI</v>
      </c>
      <c r="S729" t="str">
        <v>Lucas Rumball</v>
      </c>
      <c r="T729" t="str">
        <v>NULL</v>
      </c>
      <c r="U729" t="str">
        <v>Away</v>
      </c>
      <c r="V729" t="str">
        <v>UTAH</v>
      </c>
      <c r="W729">
        <v>6.8045595000729406</v>
      </c>
      <c r="Y729" s="1" cm="1">
        <f t="array" ref="Y729">COUNT(_xlfn._xlws.FILTER($G$7:$G$10000,($I$7:$I$10000=X729)*($J$7:$J$10000&lt;&gt;"NULL")*($G$7:$G$10000 &gt;= ($G$1-5))))/5</f>
        <v>0</v>
      </c>
    </row>
    <row r="730" spans="7:25" x14ac:dyDescent="0.35">
      <c r="G730" s="66">
        <v>9</v>
      </c>
      <c r="H730" t="s">
        <v>34</v>
      </c>
      <c r="I730" t="s">
        <v>351</v>
      </c>
      <c r="J730" t="s">
        <v>256</v>
      </c>
      <c r="K730" t="s">
        <v>9</v>
      </c>
      <c r="L730" t="s">
        <v>23</v>
      </c>
      <c r="M730">
        <f t="shared" si="40"/>
        <v>10.242269238601246</v>
      </c>
      <c r="N730" t="str">
        <f t="shared" si="41"/>
        <v/>
      </c>
      <c r="O730" s="67" cm="1">
        <f t="array" ref="O730">SUMPRODUCT((G730=$G$7:$G$10000)*(M730&lt;$M$7:$M$10000))+1</f>
        <v>12</v>
      </c>
      <c r="P730" s="72"/>
      <c r="Q730">
        <v>11</v>
      </c>
      <c r="R730" t="str">
        <v>UTAH</v>
      </c>
      <c r="S730" t="str">
        <v>Frank Lochore</v>
      </c>
      <c r="T730" t="str">
        <v>NULL</v>
      </c>
      <c r="U730" t="str">
        <v>Home</v>
      </c>
      <c r="V730" t="str">
        <v>CHI</v>
      </c>
      <c r="W730">
        <v>6.7004033810512649</v>
      </c>
      <c r="Y730" s="1" cm="1">
        <f t="array" ref="Y730">COUNT(_xlfn._xlws.FILTER($G$7:$G$10000,($I$7:$I$10000=X730)*($J$7:$J$10000&lt;&gt;"NULL")*($G$7:$G$10000 &gt;= ($G$1-5))))/5</f>
        <v>0</v>
      </c>
    </row>
    <row r="731" spans="7:25" x14ac:dyDescent="0.35">
      <c r="G731" s="66">
        <v>9</v>
      </c>
      <c r="H731" t="s">
        <v>24</v>
      </c>
      <c r="I731" t="s">
        <v>199</v>
      </c>
      <c r="J731" t="s">
        <v>256</v>
      </c>
      <c r="K731" t="s">
        <v>3</v>
      </c>
      <c r="L731" t="s">
        <v>36</v>
      </c>
      <c r="M731">
        <f t="shared" si="40"/>
        <v>10.205353330109787</v>
      </c>
      <c r="N731" t="str">
        <f t="shared" si="41"/>
        <v/>
      </c>
      <c r="O731" s="67" cm="1">
        <f t="array" ref="O731">SUMPRODUCT((G731=$G$7:$G$10000)*(M731&lt;$M$7:$M$10000))+1</f>
        <v>13</v>
      </c>
      <c r="P731" s="72"/>
      <c r="Q731">
        <v>11</v>
      </c>
      <c r="R731" t="str">
        <v>NOLA</v>
      </c>
      <c r="S731" t="str">
        <v>William Waguespack</v>
      </c>
      <c r="T731" t="str">
        <v>NULL</v>
      </c>
      <c r="U731" t="str">
        <v>Home</v>
      </c>
      <c r="V731" t="str">
        <v>SEA</v>
      </c>
      <c r="W731">
        <v>6.6189982590637513</v>
      </c>
      <c r="Y731" s="1" cm="1">
        <f t="array" ref="Y731">COUNT(_xlfn._xlws.FILTER($G$7:$G$10000,($I$7:$I$10000=X731)*($J$7:$J$10000&lt;&gt;"NULL")*($G$7:$G$10000 &gt;= ($G$1-5))))/5</f>
        <v>0</v>
      </c>
    </row>
    <row r="732" spans="7:25" x14ac:dyDescent="0.35">
      <c r="G732" s="66">
        <v>9</v>
      </c>
      <c r="H732" t="s">
        <v>24</v>
      </c>
      <c r="I732" t="s">
        <v>215</v>
      </c>
      <c r="J732" t="s">
        <v>256</v>
      </c>
      <c r="K732" t="s">
        <v>3</v>
      </c>
      <c r="L732" t="s">
        <v>36</v>
      </c>
      <c r="M732">
        <f t="shared" si="40"/>
        <v>9.490632975020004</v>
      </c>
      <c r="N732" t="str">
        <f t="shared" si="41"/>
        <v/>
      </c>
      <c r="O732" s="67" cm="1">
        <f t="array" ref="O732">SUMPRODUCT((G732=$G$7:$G$10000)*(M732&lt;$M$7:$M$10000))+1</f>
        <v>14</v>
      </c>
      <c r="P732" s="72"/>
      <c r="Q732">
        <v>11</v>
      </c>
      <c r="R732" t="str">
        <v>CHI</v>
      </c>
      <c r="S732" t="str">
        <v>Dylan Fawsitt</v>
      </c>
      <c r="T732" t="str">
        <v>NULL</v>
      </c>
      <c r="U732" t="str">
        <v>Away</v>
      </c>
      <c r="V732" t="str">
        <v>UTAH</v>
      </c>
      <c r="W732">
        <v>6.4044018237191143</v>
      </c>
      <c r="Y732" s="1" cm="1">
        <f t="array" ref="Y732">COUNT(_xlfn._xlws.FILTER($G$7:$G$10000,($I$7:$I$10000=X732)*($J$7:$J$10000&lt;&gt;"NULL")*($G$7:$G$10000 &gt;= ($G$1-5))))/5</f>
        <v>0</v>
      </c>
    </row>
    <row r="733" spans="7:25" x14ac:dyDescent="0.35">
      <c r="G733" s="66">
        <v>9</v>
      </c>
      <c r="H733" t="s">
        <v>23</v>
      </c>
      <c r="I733" t="s">
        <v>221</v>
      </c>
      <c r="J733" t="s">
        <v>256</v>
      </c>
      <c r="K733" t="s">
        <v>3</v>
      </c>
      <c r="L733" t="s">
        <v>34</v>
      </c>
      <c r="M733">
        <f t="shared" si="40"/>
        <v>9.2361439143477035</v>
      </c>
      <c r="N733" t="str">
        <f t="shared" si="41"/>
        <v/>
      </c>
      <c r="O733" s="67" cm="1">
        <f t="array" ref="O733">SUMPRODUCT((G733=$G$7:$G$10000)*(M733&lt;$M$7:$M$10000))+1</f>
        <v>15</v>
      </c>
      <c r="P733" s="72"/>
      <c r="Q733">
        <v>11</v>
      </c>
      <c r="R733" t="str">
        <v>ARC</v>
      </c>
      <c r="S733" t="str">
        <v>Connor Robinson</v>
      </c>
      <c r="T733" t="str">
        <v>NULL</v>
      </c>
      <c r="U733" t="str">
        <v>Away</v>
      </c>
      <c r="V733" t="str">
        <v>MIA</v>
      </c>
      <c r="W733">
        <v>6.0679904342616391</v>
      </c>
      <c r="Y733" s="1" cm="1">
        <f t="array" ref="Y733">COUNT(_xlfn._xlws.FILTER($G$7:$G$10000,($I$7:$I$10000=X733)*($J$7:$J$10000&lt;&gt;"NULL")*($G$7:$G$10000 &gt;= ($G$1-5))))/5</f>
        <v>0</v>
      </c>
    </row>
    <row r="734" spans="7:25" x14ac:dyDescent="0.35">
      <c r="G734" s="66">
        <v>9</v>
      </c>
      <c r="H734" t="s">
        <v>23</v>
      </c>
      <c r="I734" t="s">
        <v>144</v>
      </c>
      <c r="J734" t="s">
        <v>256</v>
      </c>
      <c r="K734" t="s">
        <v>3</v>
      </c>
      <c r="L734" t="s">
        <v>34</v>
      </c>
      <c r="M734">
        <f t="shared" si="40"/>
        <v>9.121509803041512</v>
      </c>
      <c r="N734" t="str">
        <f t="shared" si="41"/>
        <v/>
      </c>
      <c r="O734" s="67" cm="1">
        <f t="array" ref="O734">SUMPRODUCT((G734=$G$7:$G$10000)*(M734&lt;$M$7:$M$10000))+1</f>
        <v>16</v>
      </c>
      <c r="P734" s="72"/>
      <c r="Q734">
        <v>11</v>
      </c>
      <c r="R734" t="str">
        <v>NOLA</v>
      </c>
      <c r="S734" t="str">
        <v>Chase Jones</v>
      </c>
      <c r="T734" t="str">
        <v>NULL</v>
      </c>
      <c r="U734" t="str">
        <v>Home</v>
      </c>
      <c r="V734" t="str">
        <v>SEA</v>
      </c>
      <c r="W734">
        <v>6.0386314609801293</v>
      </c>
      <c r="Y734" s="1" cm="1">
        <f t="array" ref="Y734">COUNT(_xlfn._xlws.FILTER($G$7:$G$10000,($I$7:$I$10000=X734)*($J$7:$J$10000&lt;&gt;"NULL")*($G$7:$G$10000 &gt;= ($G$1-5))))/5</f>
        <v>0</v>
      </c>
    </row>
    <row r="735" spans="7:25" x14ac:dyDescent="0.35">
      <c r="G735" s="66">
        <v>9</v>
      </c>
      <c r="H735" t="s">
        <v>23</v>
      </c>
      <c r="I735" t="s">
        <v>421</v>
      </c>
      <c r="J735" t="s">
        <v>256</v>
      </c>
      <c r="K735" t="s">
        <v>3</v>
      </c>
      <c r="L735" t="s">
        <v>34</v>
      </c>
      <c r="M735">
        <f t="shared" si="40"/>
        <v>8.8497314484505356</v>
      </c>
      <c r="N735" t="str">
        <f t="shared" si="41"/>
        <v/>
      </c>
      <c r="O735" s="67" cm="1">
        <f t="array" ref="O735">SUMPRODUCT((G735=$G$7:$G$10000)*(M735&lt;$M$7:$M$10000))+1</f>
        <v>17</v>
      </c>
      <c r="P735" s="72"/>
      <c r="Q735">
        <v>11</v>
      </c>
      <c r="R735" t="str">
        <v>NOLA</v>
      </c>
      <c r="S735" t="str">
        <v>Kellen Galletier</v>
      </c>
      <c r="T735" t="str">
        <v>NULL</v>
      </c>
      <c r="U735" t="str">
        <v>Home</v>
      </c>
      <c r="V735" t="str">
        <v>SEA</v>
      </c>
      <c r="W735">
        <v>5.9378551929591303</v>
      </c>
      <c r="Y735" s="1" cm="1">
        <f t="array" ref="Y735">COUNT(_xlfn._xlws.FILTER($G$7:$G$10000,($I$7:$I$10000=X735)*($J$7:$J$10000&lt;&gt;"NULL")*($G$7:$G$10000 &gt;= ($G$1-5))))/5</f>
        <v>0</v>
      </c>
    </row>
    <row r="736" spans="7:25" x14ac:dyDescent="0.35">
      <c r="G736" s="66">
        <v>9</v>
      </c>
      <c r="H736" t="s">
        <v>13</v>
      </c>
      <c r="I736" t="s">
        <v>204</v>
      </c>
      <c r="J736" t="s">
        <v>256</v>
      </c>
      <c r="K736" t="s">
        <v>9</v>
      </c>
      <c r="L736" t="s">
        <v>6</v>
      </c>
      <c r="M736">
        <f t="shared" si="40"/>
        <v>8.5168946428564585</v>
      </c>
      <c r="N736" t="str">
        <f t="shared" si="41"/>
        <v/>
      </c>
      <c r="O736" s="67" cm="1">
        <f t="array" ref="O736">SUMPRODUCT((G736=$G$7:$G$10000)*(M736&lt;$M$7:$M$10000))+1</f>
        <v>18</v>
      </c>
      <c r="P736" s="72"/>
      <c r="Q736">
        <v>11</v>
      </c>
      <c r="R736" t="str">
        <v>SEA</v>
      </c>
      <c r="S736" t="str">
        <v>Huw Taylor</v>
      </c>
      <c r="T736" t="str">
        <v>NULL</v>
      </c>
      <c r="U736" t="str">
        <v>Away</v>
      </c>
      <c r="V736" t="str">
        <v>NOLA</v>
      </c>
      <c r="W736">
        <v>5.8780559611513024</v>
      </c>
      <c r="Y736" s="1" cm="1">
        <f t="array" ref="Y736">COUNT(_xlfn._xlws.FILTER($G$7:$G$10000,($I$7:$I$10000=X736)*($J$7:$J$10000&lt;&gt;"NULL")*($G$7:$G$10000 &gt;= ($G$1-5))))/5</f>
        <v>0</v>
      </c>
    </row>
    <row r="737" spans="7:25" x14ac:dyDescent="0.35">
      <c r="G737" s="66">
        <v>9</v>
      </c>
      <c r="H737" t="s">
        <v>2</v>
      </c>
      <c r="I737" t="s">
        <v>212</v>
      </c>
      <c r="J737" t="s">
        <v>256</v>
      </c>
      <c r="K737" t="s">
        <v>3</v>
      </c>
      <c r="L737" t="s">
        <v>14</v>
      </c>
      <c r="M737">
        <f t="shared" si="40"/>
        <v>8.4905667383183339</v>
      </c>
      <c r="N737" t="str">
        <f t="shared" si="41"/>
        <v/>
      </c>
      <c r="O737" s="67" cm="1">
        <f t="array" ref="O737">SUMPRODUCT((G737=$G$7:$G$10000)*(M737&lt;$M$7:$M$10000))+1</f>
        <v>19</v>
      </c>
      <c r="P737" s="72"/>
      <c r="Q737">
        <v>11</v>
      </c>
      <c r="R737" t="str">
        <v>MIA</v>
      </c>
      <c r="S737" t="str">
        <v>Mauro Rebussone</v>
      </c>
      <c r="T737" t="str">
        <v>NULL</v>
      </c>
      <c r="U737" t="str">
        <v>Home</v>
      </c>
      <c r="V737" t="str">
        <v>ARC</v>
      </c>
      <c r="W737">
        <v>5.6660110338006033</v>
      </c>
      <c r="Y737" s="1" cm="1">
        <f t="array" ref="Y737">COUNT(_xlfn._xlws.FILTER($G$7:$G$10000,($I$7:$I$10000=X737)*($J$7:$J$10000&lt;&gt;"NULL")*($G$7:$G$10000 &gt;= ($G$1-5))))/5</f>
        <v>0</v>
      </c>
    </row>
    <row r="738" spans="7:25" x14ac:dyDescent="0.35">
      <c r="G738" s="66">
        <v>9</v>
      </c>
      <c r="H738" t="s">
        <v>23</v>
      </c>
      <c r="I738" t="s">
        <v>431</v>
      </c>
      <c r="J738" t="s">
        <v>256</v>
      </c>
      <c r="K738" t="s">
        <v>3</v>
      </c>
      <c r="L738" t="s">
        <v>34</v>
      </c>
      <c r="M738">
        <f t="shared" si="40"/>
        <v>8.1749083730059944</v>
      </c>
      <c r="N738" t="str">
        <f t="shared" si="41"/>
        <v/>
      </c>
      <c r="O738" s="67" cm="1">
        <f t="array" ref="O738">SUMPRODUCT((G738=$G$7:$G$10000)*(M738&lt;$M$7:$M$10000))+1</f>
        <v>20</v>
      </c>
      <c r="P738" s="72"/>
      <c r="Q738">
        <v>11</v>
      </c>
      <c r="R738" t="str">
        <v>CHI</v>
      </c>
      <c r="S738" t="str">
        <v>Maclean Jones</v>
      </c>
      <c r="T738" t="str">
        <v>NULL</v>
      </c>
      <c r="U738" t="str">
        <v>Away</v>
      </c>
      <c r="V738" t="str">
        <v>UTAH</v>
      </c>
      <c r="W738">
        <v>5.4415086124494945</v>
      </c>
      <c r="Y738" s="1" cm="1">
        <f t="array" ref="Y738">COUNT(_xlfn._xlws.FILTER($G$7:$G$10000,($I$7:$I$10000=X738)*($J$7:$J$10000&lt;&gt;"NULL")*($G$7:$G$10000 &gt;= ($G$1-5))))/5</f>
        <v>0</v>
      </c>
    </row>
    <row r="739" spans="7:25" x14ac:dyDescent="0.35">
      <c r="G739" s="66">
        <v>9</v>
      </c>
      <c r="H739" t="s">
        <v>2</v>
      </c>
      <c r="I739" t="s">
        <v>156</v>
      </c>
      <c r="J739" t="s">
        <v>256</v>
      </c>
      <c r="K739" t="s">
        <v>3</v>
      </c>
      <c r="L739" t="s">
        <v>14</v>
      </c>
      <c r="M739">
        <f t="shared" si="40"/>
        <v>8.0904090619645075</v>
      </c>
      <c r="N739" t="str">
        <f t="shared" si="41"/>
        <v/>
      </c>
      <c r="O739" s="67" cm="1">
        <f t="array" ref="O739">SUMPRODUCT((G739=$G$7:$G$10000)*(M739&lt;$M$7:$M$10000))+1</f>
        <v>21</v>
      </c>
      <c r="P739" s="72"/>
      <c r="Q739">
        <v>11</v>
      </c>
      <c r="R739" t="str">
        <v>LA</v>
      </c>
      <c r="S739" t="str">
        <v>Ben Sugars</v>
      </c>
      <c r="T739" t="str">
        <v>NULL</v>
      </c>
      <c r="U739" t="str">
        <v>Home</v>
      </c>
      <c r="V739" t="str">
        <v>SDL</v>
      </c>
      <c r="W739">
        <v>5.436965942257725</v>
      </c>
      <c r="Y739" s="1" cm="1">
        <f t="array" ref="Y739">COUNT(_xlfn._xlws.FILTER($G$7:$G$10000,($I$7:$I$10000=X739)*($J$7:$J$10000&lt;&gt;"NULL")*($G$7:$G$10000 &gt;= ($G$1-5))))/5</f>
        <v>0</v>
      </c>
    </row>
    <row r="740" spans="7:25" x14ac:dyDescent="0.35">
      <c r="G740" s="66">
        <v>9</v>
      </c>
      <c r="H740" t="s">
        <v>23</v>
      </c>
      <c r="I740" t="s">
        <v>412</v>
      </c>
      <c r="J740" t="s">
        <v>256</v>
      </c>
      <c r="K740" t="s">
        <v>3</v>
      </c>
      <c r="L740" t="s">
        <v>34</v>
      </c>
      <c r="M740">
        <f t="shared" si="40"/>
        <v>7.8994674030972174</v>
      </c>
      <c r="N740" t="str">
        <f t="shared" si="41"/>
        <v/>
      </c>
      <c r="O740" s="67" cm="1">
        <f t="array" ref="O740">SUMPRODUCT((G740=$G$7:$G$10000)*(M740&lt;$M$7:$M$10000))+1</f>
        <v>22</v>
      </c>
      <c r="P740" s="72"/>
      <c r="Q740">
        <v>11</v>
      </c>
      <c r="R740" t="str">
        <v>MIA</v>
      </c>
      <c r="S740" t="str">
        <v>Alex Tucci</v>
      </c>
      <c r="T740" t="str">
        <v>NULL</v>
      </c>
      <c r="U740" t="str">
        <v>Home</v>
      </c>
      <c r="V740" t="str">
        <v>ARC</v>
      </c>
      <c r="W740">
        <v>5.4303250299539982</v>
      </c>
      <c r="Y740" s="1" cm="1">
        <f t="array" ref="Y740">COUNT(_xlfn._xlws.FILTER($G$7:$G$10000,($I$7:$I$10000=X740)*($J$7:$J$10000&lt;&gt;"NULL")*($G$7:$G$10000 &gt;= ($G$1-5))))/5</f>
        <v>0</v>
      </c>
    </row>
    <row r="741" spans="7:25" x14ac:dyDescent="0.35">
      <c r="G741" s="66">
        <v>9</v>
      </c>
      <c r="H741" t="s">
        <v>7</v>
      </c>
      <c r="I741" t="s">
        <v>207</v>
      </c>
      <c r="J741" t="s">
        <v>256</v>
      </c>
      <c r="K741" t="s">
        <v>9</v>
      </c>
      <c r="L741" t="s">
        <v>4</v>
      </c>
      <c r="M741">
        <f t="shared" si="40"/>
        <v>7.8972551449096944</v>
      </c>
      <c r="N741" t="str">
        <f t="shared" si="41"/>
        <v/>
      </c>
      <c r="O741" s="67" cm="1">
        <f t="array" ref="O741">SUMPRODUCT((G741=$G$7:$G$10000)*(M741&lt;$M$7:$M$10000))+1</f>
        <v>23</v>
      </c>
      <c r="P741" s="72"/>
      <c r="Q741">
        <v>11</v>
      </c>
      <c r="R741" t="str">
        <v>OGDC</v>
      </c>
      <c r="S741" t="str">
        <v>Cory Daniel</v>
      </c>
      <c r="T741" t="str">
        <v>NULL</v>
      </c>
      <c r="U741" t="str">
        <v>Away</v>
      </c>
      <c r="V741" t="str">
        <v>HOU</v>
      </c>
      <c r="W741">
        <v>5.4191656591631254</v>
      </c>
      <c r="Y741" s="1" cm="1">
        <f t="array" ref="Y741">COUNT(_xlfn._xlws.FILTER($G$7:$G$10000,($I$7:$I$10000=X741)*($J$7:$J$10000&lt;&gt;"NULL")*($G$7:$G$10000 &gt;= ($G$1-5))))/5</f>
        <v>0</v>
      </c>
    </row>
    <row r="742" spans="7:25" x14ac:dyDescent="0.35">
      <c r="G742" s="66">
        <v>9</v>
      </c>
      <c r="H742" t="s">
        <v>13</v>
      </c>
      <c r="I742" t="s">
        <v>464</v>
      </c>
      <c r="J742" t="s">
        <v>256</v>
      </c>
      <c r="K742" t="s">
        <v>9</v>
      </c>
      <c r="L742" t="s">
        <v>6</v>
      </c>
      <c r="M742">
        <f t="shared" si="40"/>
        <v>7.2293173723966255</v>
      </c>
      <c r="N742" t="str">
        <f t="shared" si="41"/>
        <v/>
      </c>
      <c r="O742" s="67" cm="1">
        <f t="array" ref="O742">SUMPRODUCT((G742=$G$7:$G$10000)*(M742&lt;$M$7:$M$10000))+1</f>
        <v>24</v>
      </c>
      <c r="P742" s="72"/>
      <c r="Q742">
        <v>11</v>
      </c>
      <c r="R742" t="str">
        <v>NOLA</v>
      </c>
      <c r="S742" t="str">
        <v>Tesimoni Tonga'uiha</v>
      </c>
      <c r="T742" t="str">
        <v>NULL</v>
      </c>
      <c r="U742" t="str">
        <v>Home</v>
      </c>
      <c r="V742" t="str">
        <v>SEA</v>
      </c>
      <c r="W742">
        <v>5.3965176003957378</v>
      </c>
      <c r="Y742" s="1" cm="1">
        <f t="array" ref="Y742">COUNT(_xlfn._xlws.FILTER($G$7:$G$10000,($I$7:$I$10000=X742)*($J$7:$J$10000&lt;&gt;"NULL")*($G$7:$G$10000 &gt;= ($G$1-5))))/5</f>
        <v>0</v>
      </c>
    </row>
    <row r="743" spans="7:25" x14ac:dyDescent="0.35">
      <c r="G743" s="66">
        <v>9</v>
      </c>
      <c r="H743" t="s">
        <v>6</v>
      </c>
      <c r="I743" t="s">
        <v>430</v>
      </c>
      <c r="J743" t="s">
        <v>256</v>
      </c>
      <c r="K743" t="s">
        <v>3</v>
      </c>
      <c r="L743" t="s">
        <v>13</v>
      </c>
      <c r="M743">
        <f t="shared" ref="M743:M806" si="42">VLOOKUP($K743,$F$3:$G$4,2,FALSE)+VLOOKUP($I743,$A$20:$B$321,2,FALSE)+VLOOKUP($L743,$A$6:$B$16,2,FALSE)</f>
        <v>7.1394733529269274</v>
      </c>
      <c r="N743" t="str">
        <f t="shared" ref="N743:N806" si="43">IFERROR(($J743-$M743)^2,"")</f>
        <v/>
      </c>
      <c r="O743" s="67" cm="1">
        <f t="array" ref="O743">SUMPRODUCT((G743=$G$7:$G$10000)*(M743&lt;$M$7:$M$10000))+1</f>
        <v>25</v>
      </c>
      <c r="P743" s="72"/>
      <c r="Q743">
        <v>11</v>
      </c>
      <c r="R743" t="str">
        <v>UTAH</v>
      </c>
      <c r="S743" t="str">
        <v>Matt Jenson</v>
      </c>
      <c r="T743" t="str">
        <v>NULL</v>
      </c>
      <c r="U743" t="str">
        <v>Home</v>
      </c>
      <c r="V743" t="str">
        <v>CHI</v>
      </c>
      <c r="W743">
        <v>5.2505407753961473</v>
      </c>
      <c r="Y743" s="1" cm="1">
        <f t="array" ref="Y743">COUNT(_xlfn._xlws.FILTER($G$7:$G$10000,($I$7:$I$10000=X743)*($J$7:$J$10000&lt;&gt;"NULL")*($G$7:$G$10000 &gt;= ($G$1-5))))/5</f>
        <v>0</v>
      </c>
    </row>
    <row r="744" spans="7:25" x14ac:dyDescent="0.35">
      <c r="G744" s="66">
        <v>9</v>
      </c>
      <c r="H744" t="s">
        <v>2</v>
      </c>
      <c r="I744" t="s">
        <v>213</v>
      </c>
      <c r="J744" t="s">
        <v>256</v>
      </c>
      <c r="K744" t="s">
        <v>3</v>
      </c>
      <c r="L744" t="s">
        <v>14</v>
      </c>
      <c r="M744">
        <f t="shared" si="42"/>
        <v>7.1275158506948877</v>
      </c>
      <c r="N744" t="str">
        <f t="shared" si="43"/>
        <v/>
      </c>
      <c r="O744" s="67" cm="1">
        <f t="array" ref="O744">SUMPRODUCT((G744=$G$7:$G$10000)*(M744&lt;$M$7:$M$10000))+1</f>
        <v>26</v>
      </c>
      <c r="P744" s="72"/>
      <c r="Q744">
        <v>11</v>
      </c>
      <c r="R744" t="str">
        <v>ARC</v>
      </c>
      <c r="S744" t="str">
        <v>Dylan Fortune</v>
      </c>
      <c r="T744" t="str">
        <v>NULL</v>
      </c>
      <c r="U744" t="str">
        <v>Away</v>
      </c>
      <c r="V744" t="str">
        <v>MIA</v>
      </c>
      <c r="W744">
        <v>5.2135909685196964</v>
      </c>
      <c r="Y744" s="1" cm="1">
        <f t="array" ref="Y744">COUNT(_xlfn._xlws.FILTER($G$7:$G$10000,($I$7:$I$10000=X744)*($J$7:$J$10000&lt;&gt;"NULL")*($G$7:$G$10000 &gt;= ($G$1-5))))/5</f>
        <v>0</v>
      </c>
    </row>
    <row r="745" spans="7:25" x14ac:dyDescent="0.35">
      <c r="G745" s="66">
        <v>9</v>
      </c>
      <c r="H745" t="s">
        <v>34</v>
      </c>
      <c r="I745" t="s">
        <v>420</v>
      </c>
      <c r="J745" t="s">
        <v>256</v>
      </c>
      <c r="K745" t="s">
        <v>9</v>
      </c>
      <c r="L745" t="s">
        <v>23</v>
      </c>
      <c r="M745">
        <f t="shared" si="42"/>
        <v>7.1271562508104527</v>
      </c>
      <c r="N745" t="str">
        <f t="shared" si="43"/>
        <v/>
      </c>
      <c r="O745" s="67" cm="1">
        <f t="array" ref="O745">SUMPRODUCT((G745=$G$7:$G$10000)*(M745&lt;$M$7:$M$10000))+1</f>
        <v>27</v>
      </c>
      <c r="P745" s="72"/>
      <c r="Q745">
        <v>11</v>
      </c>
      <c r="R745" t="str">
        <v>ARC</v>
      </c>
      <c r="S745" t="str">
        <v>Sam Golla</v>
      </c>
      <c r="T745" t="str">
        <v>NULL</v>
      </c>
      <c r="U745" t="str">
        <v>Away</v>
      </c>
      <c r="V745" t="str">
        <v>MIA</v>
      </c>
      <c r="W745">
        <v>5.0972118173433216</v>
      </c>
      <c r="Y745" s="1" cm="1">
        <f t="array" ref="Y745">COUNT(_xlfn._xlws.FILTER($G$7:$G$10000,($I$7:$I$10000=X745)*($J$7:$J$10000&lt;&gt;"NULL")*($G$7:$G$10000 &gt;= ($G$1-5))))/5</f>
        <v>0</v>
      </c>
    </row>
    <row r="746" spans="7:25" x14ac:dyDescent="0.35">
      <c r="G746" s="66">
        <v>9</v>
      </c>
      <c r="H746" t="s">
        <v>24</v>
      </c>
      <c r="I746" t="s">
        <v>419</v>
      </c>
      <c r="J746" t="s">
        <v>256</v>
      </c>
      <c r="K746" t="s">
        <v>3</v>
      </c>
      <c r="L746" t="s">
        <v>36</v>
      </c>
      <c r="M746">
        <f t="shared" si="42"/>
        <v>7.1058728251191203</v>
      </c>
      <c r="N746" t="str">
        <f t="shared" si="43"/>
        <v/>
      </c>
      <c r="O746" s="67" cm="1">
        <f t="array" ref="O746">SUMPRODUCT((G746=$G$7:$G$10000)*(M746&lt;$M$7:$M$10000))+1</f>
        <v>28</v>
      </c>
      <c r="P746" s="72"/>
      <c r="Q746">
        <v>11</v>
      </c>
      <c r="R746" t="str">
        <v>ARC</v>
      </c>
      <c r="S746" t="str">
        <v>Viliami Vuli</v>
      </c>
      <c r="T746" t="str">
        <v>NULL</v>
      </c>
      <c r="U746" t="str">
        <v>Away</v>
      </c>
      <c r="V746" t="str">
        <v>MIA</v>
      </c>
      <c r="W746">
        <v>5.0391419827551509</v>
      </c>
      <c r="Y746" s="1" cm="1">
        <f t="array" ref="Y746">COUNT(_xlfn._xlws.FILTER($G$7:$G$10000,($I$7:$I$10000=X746)*($J$7:$J$10000&lt;&gt;"NULL")*($G$7:$G$10000 &gt;= ($G$1-5))))/5</f>
        <v>0</v>
      </c>
    </row>
    <row r="747" spans="7:25" x14ac:dyDescent="0.35">
      <c r="G747" s="66">
        <v>9</v>
      </c>
      <c r="H747" t="s">
        <v>24</v>
      </c>
      <c r="I747" t="s">
        <v>465</v>
      </c>
      <c r="J747" t="s">
        <v>256</v>
      </c>
      <c r="K747" t="s">
        <v>3</v>
      </c>
      <c r="L747" t="s">
        <v>36</v>
      </c>
      <c r="M747">
        <f t="shared" si="42"/>
        <v>6.8701868212725152</v>
      </c>
      <c r="N747" t="str">
        <f t="shared" si="43"/>
        <v/>
      </c>
      <c r="O747" s="67" cm="1">
        <f t="array" ref="O747">SUMPRODUCT((G747=$G$7:$G$10000)*(M747&lt;$M$7:$M$10000))+1</f>
        <v>29</v>
      </c>
      <c r="P747" s="72"/>
      <c r="Q747">
        <v>11</v>
      </c>
      <c r="R747" t="str">
        <v>NOLA</v>
      </c>
      <c r="S747" t="str">
        <v>Alex Lopeti</v>
      </c>
      <c r="T747" t="str">
        <v>NULL</v>
      </c>
      <c r="U747" t="str">
        <v>Home</v>
      </c>
      <c r="V747" t="str">
        <v>SEA</v>
      </c>
      <c r="W747">
        <v>5.0142643253436683</v>
      </c>
      <c r="Y747" s="1" cm="1">
        <f t="array" ref="Y747">COUNT(_xlfn._xlws.FILTER($G$7:$G$10000,($I$7:$I$10000=X747)*($J$7:$J$10000&lt;&gt;"NULL")*($G$7:$G$10000 &gt;= ($G$1-5))))/5</f>
        <v>0</v>
      </c>
    </row>
    <row r="748" spans="7:25" x14ac:dyDescent="0.35">
      <c r="G748" s="66">
        <v>9</v>
      </c>
      <c r="H748" t="s">
        <v>13</v>
      </c>
      <c r="I748" t="s">
        <v>103</v>
      </c>
      <c r="J748" t="s">
        <v>256</v>
      </c>
      <c r="K748" t="s">
        <v>9</v>
      </c>
      <c r="L748" t="s">
        <v>6</v>
      </c>
      <c r="M748">
        <f t="shared" si="42"/>
        <v>6.8257394703411727</v>
      </c>
      <c r="N748" t="str">
        <f t="shared" si="43"/>
        <v/>
      </c>
      <c r="O748" s="67" cm="1">
        <f t="array" ref="O748">SUMPRODUCT((G748=$G$7:$G$10000)*(M748&lt;$M$7:$M$10000))+1</f>
        <v>30</v>
      </c>
      <c r="P748" s="72"/>
      <c r="Q748">
        <v>11</v>
      </c>
      <c r="R748" t="str">
        <v>CHI</v>
      </c>
      <c r="S748" t="str">
        <v>James Scott</v>
      </c>
      <c r="T748" t="str">
        <v>NULL</v>
      </c>
      <c r="U748" t="str">
        <v>Away</v>
      </c>
      <c r="V748" t="str">
        <v>UTAH</v>
      </c>
      <c r="W748">
        <v>4.9948656338646229</v>
      </c>
      <c r="Y748" s="1" cm="1">
        <f t="array" ref="Y748">COUNT(_xlfn._xlws.FILTER($G$7:$G$10000,($I$7:$I$10000=X748)*($J$7:$J$10000&lt;&gt;"NULL")*($G$7:$G$10000 &gt;= ($G$1-5))))/5</f>
        <v>0</v>
      </c>
    </row>
    <row r="749" spans="7:25" x14ac:dyDescent="0.35">
      <c r="G749" s="66">
        <v>9</v>
      </c>
      <c r="H749" t="s">
        <v>14</v>
      </c>
      <c r="I749" t="s">
        <v>396</v>
      </c>
      <c r="J749" t="s">
        <v>256</v>
      </c>
      <c r="K749" t="s">
        <v>9</v>
      </c>
      <c r="L749" t="s">
        <v>2</v>
      </c>
      <c r="M749">
        <f t="shared" si="42"/>
        <v>6.6827281578692261</v>
      </c>
      <c r="N749" t="str">
        <f t="shared" si="43"/>
        <v/>
      </c>
      <c r="O749" s="67" cm="1">
        <f t="array" ref="O749">SUMPRODUCT((G749=$G$7:$G$10000)*(M749&lt;$M$7:$M$10000))+1</f>
        <v>31</v>
      </c>
      <c r="P749" s="72"/>
      <c r="Q749">
        <v>11</v>
      </c>
      <c r="R749" t="str">
        <v>SDL</v>
      </c>
      <c r="S749" t="str">
        <v>Jimmy Hokafonu</v>
      </c>
      <c r="T749" t="str">
        <v>NULL</v>
      </c>
      <c r="U749" t="str">
        <v>Away</v>
      </c>
      <c r="V749" t="str">
        <v>LA</v>
      </c>
      <c r="W749">
        <v>4.9619068413287444</v>
      </c>
      <c r="Y749" s="1" cm="1">
        <f t="array" ref="Y749">COUNT(_xlfn._xlws.FILTER($G$7:$G$10000,($I$7:$I$10000=X749)*($J$7:$J$10000&lt;&gt;"NULL")*($G$7:$G$10000 &gt;= ($G$1-5))))/5</f>
        <v>0</v>
      </c>
    </row>
    <row r="750" spans="7:25" x14ac:dyDescent="0.35">
      <c r="G750" s="66">
        <v>9</v>
      </c>
      <c r="H750" t="s">
        <v>2</v>
      </c>
      <c r="I750" t="s">
        <v>108</v>
      </c>
      <c r="J750" t="s">
        <v>256</v>
      </c>
      <c r="K750" t="s">
        <v>3</v>
      </c>
      <c r="L750" t="s">
        <v>14</v>
      </c>
      <c r="M750">
        <f t="shared" si="42"/>
        <v>6.680872872110017</v>
      </c>
      <c r="N750" t="str">
        <f t="shared" si="43"/>
        <v/>
      </c>
      <c r="O750" s="67" cm="1">
        <f t="array" ref="O750">SUMPRODUCT((G750=$G$7:$G$10000)*(M750&lt;$M$7:$M$10000))+1</f>
        <v>32</v>
      </c>
      <c r="P750" s="72"/>
      <c r="Q750">
        <v>11</v>
      </c>
      <c r="R750" t="str">
        <v>NOLA</v>
      </c>
      <c r="S750" t="str">
        <v>Malcolm May</v>
      </c>
      <c r="T750" t="str">
        <v>NULL</v>
      </c>
      <c r="U750" t="str">
        <v>Home</v>
      </c>
      <c r="V750" t="str">
        <v>SEA</v>
      </c>
      <c r="W750">
        <v>4.8360384127866816</v>
      </c>
      <c r="Y750" s="1" cm="1">
        <f t="array" ref="Y750">COUNT(_xlfn._xlws.FILTER($G$7:$G$10000,($I$7:$I$10000=X750)*($J$7:$J$10000&lt;&gt;"NULL")*($G$7:$G$10000 &gt;= ($G$1-5))))/5</f>
        <v>0</v>
      </c>
    </row>
    <row r="751" spans="7:25" x14ac:dyDescent="0.35">
      <c r="G751" s="66">
        <v>9</v>
      </c>
      <c r="H751" t="s">
        <v>4</v>
      </c>
      <c r="I751" t="s">
        <v>486</v>
      </c>
      <c r="J751" t="s">
        <v>256</v>
      </c>
      <c r="K751" t="s">
        <v>3</v>
      </c>
      <c r="L751" t="s">
        <v>7</v>
      </c>
      <c r="M751">
        <f t="shared" si="42"/>
        <v>6.4884677945627329</v>
      </c>
      <c r="N751" t="str">
        <f t="shared" si="43"/>
        <v/>
      </c>
      <c r="O751" s="67" cm="1">
        <f t="array" ref="O751">SUMPRODUCT((G751=$G$7:$G$10000)*(M751&lt;$M$7:$M$10000))+1</f>
        <v>33</v>
      </c>
      <c r="P751" s="72"/>
      <c r="Q751">
        <v>11</v>
      </c>
      <c r="R751" t="str">
        <v>CHI</v>
      </c>
      <c r="S751" t="str">
        <v>Mason Flesch</v>
      </c>
      <c r="T751" t="str">
        <v>NULL</v>
      </c>
      <c r="U751" t="str">
        <v>Away</v>
      </c>
      <c r="V751" t="str">
        <v>UTAH</v>
      </c>
      <c r="W751">
        <v>4.7845584693259697</v>
      </c>
      <c r="Y751" s="1" cm="1">
        <f t="array" ref="Y751">COUNT(_xlfn._xlws.FILTER($G$7:$G$10000,($I$7:$I$10000=X751)*($J$7:$J$10000&lt;&gt;"NULL")*($G$7:$G$10000 &gt;= ($G$1-5))))/5</f>
        <v>0</v>
      </c>
    </row>
    <row r="752" spans="7:25" x14ac:dyDescent="0.35">
      <c r="G752" s="66">
        <v>9</v>
      </c>
      <c r="H752" t="s">
        <v>2</v>
      </c>
      <c r="I752" t="s">
        <v>115</v>
      </c>
      <c r="J752" t="s">
        <v>256</v>
      </c>
      <c r="K752" t="s">
        <v>3</v>
      </c>
      <c r="L752" t="s">
        <v>14</v>
      </c>
      <c r="M752">
        <f t="shared" si="42"/>
        <v>6.4705657075713638</v>
      </c>
      <c r="N752" t="str">
        <f t="shared" si="43"/>
        <v/>
      </c>
      <c r="O752" s="67" cm="1">
        <f t="array" ref="O752">SUMPRODUCT((G752=$G$7:$G$10000)*(M752&lt;$M$7:$M$10000))+1</f>
        <v>34</v>
      </c>
      <c r="P752" s="72"/>
      <c r="Q752">
        <v>11</v>
      </c>
      <c r="R752" t="str">
        <v>SEA</v>
      </c>
      <c r="S752" t="str">
        <v>Cameron Orr</v>
      </c>
      <c r="T752" t="str">
        <v>NULL</v>
      </c>
      <c r="U752" t="str">
        <v>Away</v>
      </c>
      <c r="V752" t="str">
        <v>NOLA</v>
      </c>
      <c r="W752">
        <v>4.7790481574530137</v>
      </c>
      <c r="Y752" s="1" cm="1">
        <f t="array" ref="Y752">COUNT(_xlfn._xlws.FILTER($G$7:$G$10000,($I$7:$I$10000=X752)*($J$7:$J$10000&lt;&gt;"NULL")*($G$7:$G$10000 &gt;= ($G$1-5))))/5</f>
        <v>0</v>
      </c>
    </row>
    <row r="753" spans="7:25" x14ac:dyDescent="0.35">
      <c r="G753" s="66">
        <v>9</v>
      </c>
      <c r="H753" t="s">
        <v>4</v>
      </c>
      <c r="I753" t="s">
        <v>114</v>
      </c>
      <c r="J753" t="s">
        <v>256</v>
      </c>
      <c r="K753" t="s">
        <v>3</v>
      </c>
      <c r="L753" t="s">
        <v>7</v>
      </c>
      <c r="M753">
        <f t="shared" si="42"/>
        <v>6.0845792295764234</v>
      </c>
      <c r="N753" t="str">
        <f t="shared" si="43"/>
        <v/>
      </c>
      <c r="O753" s="67" cm="1">
        <f t="array" ref="O753">SUMPRODUCT((G753=$G$7:$G$10000)*(M753&lt;$M$7:$M$10000))+1</f>
        <v>35</v>
      </c>
      <c r="P753" s="72"/>
      <c r="Q753">
        <v>11</v>
      </c>
      <c r="R753" t="str">
        <v>UTAH</v>
      </c>
      <c r="S753" t="str">
        <v>Gavin Thornbury</v>
      </c>
      <c r="T753" t="str">
        <v>NULL</v>
      </c>
      <c r="U753" t="str">
        <v>Home</v>
      </c>
      <c r="V753" t="str">
        <v>CHI</v>
      </c>
      <c r="W753">
        <v>4.7602408296045589</v>
      </c>
      <c r="Y753" s="1" cm="1">
        <f t="array" ref="Y753">COUNT(_xlfn._xlws.FILTER($G$7:$G$10000,($I$7:$I$10000=X753)*($J$7:$J$10000&lt;&gt;"NULL")*($G$7:$G$10000 &gt;= ($G$1-5))))/5</f>
        <v>0</v>
      </c>
    </row>
    <row r="754" spans="7:25" x14ac:dyDescent="0.35">
      <c r="G754" s="66">
        <v>9</v>
      </c>
      <c r="H754" t="s">
        <v>2</v>
      </c>
      <c r="I754" t="s">
        <v>174</v>
      </c>
      <c r="J754" t="s">
        <v>256</v>
      </c>
      <c r="K754" t="s">
        <v>3</v>
      </c>
      <c r="L754" t="s">
        <v>14</v>
      </c>
      <c r="M754">
        <f t="shared" si="42"/>
        <v>5.9155269727054813</v>
      </c>
      <c r="N754" t="str">
        <f t="shared" si="43"/>
        <v/>
      </c>
      <c r="O754" s="67" cm="1">
        <f t="array" ref="O754">SUMPRODUCT((G754=$G$7:$G$10000)*(M754&lt;$M$7:$M$10000))+1</f>
        <v>36</v>
      </c>
      <c r="P754" s="72"/>
      <c r="Q754">
        <v>11</v>
      </c>
      <c r="R754" t="str">
        <v>LA</v>
      </c>
      <c r="S754" t="str">
        <v>Alessandro Heaney</v>
      </c>
      <c r="T754" t="str">
        <v>NULL</v>
      </c>
      <c r="U754" t="str">
        <v>Home</v>
      </c>
      <c r="V754" t="str">
        <v>SDL</v>
      </c>
      <c r="W754">
        <v>4.7465642451804673</v>
      </c>
      <c r="Y754" s="1" cm="1">
        <f t="array" ref="Y754">COUNT(_xlfn._xlws.FILTER($G$7:$G$10000,($I$7:$I$10000=X754)*($J$7:$J$10000&lt;&gt;"NULL")*($G$7:$G$10000 &gt;= ($G$1-5))))/5</f>
        <v>0</v>
      </c>
    </row>
    <row r="755" spans="7:25" x14ac:dyDescent="0.35">
      <c r="G755" s="66">
        <v>9</v>
      </c>
      <c r="H755" t="s">
        <v>24</v>
      </c>
      <c r="I755" t="s">
        <v>422</v>
      </c>
      <c r="J755" t="s">
        <v>256</v>
      </c>
      <c r="K755" t="s">
        <v>3</v>
      </c>
      <c r="L755" t="s">
        <v>36</v>
      </c>
      <c r="M755">
        <f t="shared" si="42"/>
        <v>5.6004400155266847</v>
      </c>
      <c r="N755" t="str">
        <f t="shared" si="43"/>
        <v/>
      </c>
      <c r="O755" s="67" cm="1">
        <f t="array" ref="O755">SUMPRODUCT((G755=$G$7:$G$10000)*(M755&lt;$M$7:$M$10000))+1</f>
        <v>37</v>
      </c>
      <c r="P755" s="72"/>
      <c r="Q755">
        <v>11</v>
      </c>
      <c r="R755" t="str">
        <v>SDL</v>
      </c>
      <c r="S755" t="str">
        <v>Payton Telea-Ilalio</v>
      </c>
      <c r="T755" t="str">
        <v>NULL</v>
      </c>
      <c r="U755" t="str">
        <v>Away</v>
      </c>
      <c r="V755" t="str">
        <v>LA</v>
      </c>
      <c r="W755">
        <v>4.7405023592137212</v>
      </c>
      <c r="Y755" s="1" cm="1">
        <f t="array" ref="Y755">COUNT(_xlfn._xlws.FILTER($G$7:$G$10000,($I$7:$I$10000=X755)*($J$7:$J$10000&lt;&gt;"NULL")*($G$7:$G$10000 &gt;= ($G$1-5))))/5</f>
        <v>0</v>
      </c>
    </row>
    <row r="756" spans="7:25" x14ac:dyDescent="0.35">
      <c r="G756" s="66">
        <v>9</v>
      </c>
      <c r="H756" t="s">
        <v>14</v>
      </c>
      <c r="I756" t="s">
        <v>248</v>
      </c>
      <c r="J756" t="s">
        <v>256</v>
      </c>
      <c r="K756" t="s">
        <v>9</v>
      </c>
      <c r="L756" t="s">
        <v>2</v>
      </c>
      <c r="M756">
        <f t="shared" si="42"/>
        <v>5.5537819521001577</v>
      </c>
      <c r="N756" t="str">
        <f t="shared" si="43"/>
        <v/>
      </c>
      <c r="O756" s="67" cm="1">
        <f t="array" ref="O756">SUMPRODUCT((G756=$G$7:$G$10000)*(M756&lt;$M$7:$M$10000))+1</f>
        <v>38</v>
      </c>
      <c r="P756" s="72"/>
      <c r="Q756">
        <v>11</v>
      </c>
      <c r="R756" t="str">
        <v>SDL</v>
      </c>
      <c r="S756" t="str">
        <v>Darcy Breen</v>
      </c>
      <c r="T756" t="str">
        <v>NULL</v>
      </c>
      <c r="U756" t="str">
        <v>Away</v>
      </c>
      <c r="V756" t="str">
        <v>LA</v>
      </c>
      <c r="W756">
        <v>4.6400933658719099</v>
      </c>
      <c r="Y756" s="1" cm="1">
        <f t="array" ref="Y756">COUNT(_xlfn._xlws.FILTER($G$7:$G$10000,($I$7:$I$10000=X756)*($J$7:$J$10000&lt;&gt;"NULL")*($G$7:$G$10000 &gt;= ($G$1-5))))/5</f>
        <v>0</v>
      </c>
    </row>
    <row r="757" spans="7:25" x14ac:dyDescent="0.35">
      <c r="G757" s="66">
        <v>9</v>
      </c>
      <c r="H757" t="s">
        <v>4</v>
      </c>
      <c r="I757" t="s">
        <v>484</v>
      </c>
      <c r="J757" t="s">
        <v>256</v>
      </c>
      <c r="K757" t="s">
        <v>3</v>
      </c>
      <c r="L757" t="s">
        <v>7</v>
      </c>
      <c r="M757">
        <f t="shared" si="42"/>
        <v>5.5042124314928005</v>
      </c>
      <c r="N757" t="str">
        <f t="shared" si="43"/>
        <v/>
      </c>
      <c r="O757" s="67" cm="1">
        <f t="array" ref="O757">SUMPRODUCT((G757=$G$7:$G$10000)*(M757&lt;$M$7:$M$10000))+1</f>
        <v>39</v>
      </c>
      <c r="P757" s="72"/>
      <c r="Q757">
        <v>11</v>
      </c>
      <c r="R757" t="str">
        <v>SEA</v>
      </c>
      <c r="S757" t="str">
        <v>Rhyno Herbst</v>
      </c>
      <c r="T757" t="str">
        <v>NULL</v>
      </c>
      <c r="U757" t="str">
        <v>Away</v>
      </c>
      <c r="V757" t="str">
        <v>NOLA</v>
      </c>
      <c r="W757">
        <v>4.4099764645043944</v>
      </c>
      <c r="Y757" s="1" cm="1">
        <f t="array" ref="Y757">COUNT(_xlfn._xlws.FILTER($G$7:$G$10000,($I$7:$I$10000=X757)*($J$7:$J$10000&lt;&gt;"NULL")*($G$7:$G$10000 &gt;= ($G$1-5))))/5</f>
        <v>0</v>
      </c>
    </row>
    <row r="758" spans="7:25" x14ac:dyDescent="0.35">
      <c r="G758" s="66">
        <v>9</v>
      </c>
      <c r="H758" t="s">
        <v>4</v>
      </c>
      <c r="I758" t="s">
        <v>435</v>
      </c>
      <c r="J758" t="s">
        <v>256</v>
      </c>
      <c r="K758" t="s">
        <v>3</v>
      </c>
      <c r="L758" t="s">
        <v>7</v>
      </c>
      <c r="M758">
        <f t="shared" si="42"/>
        <v>5.4034361634718016</v>
      </c>
      <c r="N758" t="str">
        <f t="shared" si="43"/>
        <v/>
      </c>
      <c r="O758" s="67" cm="1">
        <f t="array" ref="O758">SUMPRODUCT((G758=$G$7:$G$10000)*(M758&lt;$M$7:$M$10000))+1</f>
        <v>40</v>
      </c>
      <c r="P758" s="72"/>
      <c r="Q758">
        <v>11</v>
      </c>
      <c r="R758" t="str">
        <v>ARC</v>
      </c>
      <c r="S758" t="str">
        <v>Alex Maughan</v>
      </c>
      <c r="T758" t="str">
        <v>NULL</v>
      </c>
      <c r="U758" t="str">
        <v>Away</v>
      </c>
      <c r="V758" t="str">
        <v>MIA</v>
      </c>
      <c r="W758">
        <v>4.2905561360781448</v>
      </c>
      <c r="Y758" s="1" cm="1">
        <f t="array" ref="Y758">COUNT(_xlfn._xlws.FILTER($G$7:$G$10000,($I$7:$I$10000=X758)*($J$7:$J$10000&lt;&gt;"NULL")*($G$7:$G$10000 &gt;= ($G$1-5))))/5</f>
        <v>0</v>
      </c>
    </row>
    <row r="759" spans="7:25" x14ac:dyDescent="0.35">
      <c r="G759" s="66">
        <v>9</v>
      </c>
      <c r="H759" t="s">
        <v>13</v>
      </c>
      <c r="I759" t="s">
        <v>120</v>
      </c>
      <c r="J759" t="s">
        <v>256</v>
      </c>
      <c r="K759" t="s">
        <v>9</v>
      </c>
      <c r="L759" t="s">
        <v>6</v>
      </c>
      <c r="M759">
        <f t="shared" si="42"/>
        <v>5.3758768646860551</v>
      </c>
      <c r="N759" t="str">
        <f t="shared" si="43"/>
        <v/>
      </c>
      <c r="O759" s="67" cm="1">
        <f t="array" ref="O759">SUMPRODUCT((G759=$G$7:$G$10000)*(M759&lt;$M$7:$M$10000))+1</f>
        <v>41</v>
      </c>
      <c r="P759" s="72"/>
      <c r="Q759">
        <v>11</v>
      </c>
      <c r="R759" t="str">
        <v>CHI</v>
      </c>
      <c r="S759" t="str">
        <v>Paddy Ryan</v>
      </c>
      <c r="T759" t="str">
        <v>NULL</v>
      </c>
      <c r="U759" t="str">
        <v>Away</v>
      </c>
      <c r="V759" t="str">
        <v>UTAH</v>
      </c>
      <c r="W759">
        <v>4.2295197344600872</v>
      </c>
      <c r="Y759" s="1" cm="1">
        <f t="array" ref="Y759">COUNT(_xlfn._xlws.FILTER($G$7:$G$10000,($I$7:$I$10000=X759)*($J$7:$J$10000&lt;&gt;"NULL")*($G$7:$G$10000 &gt;= ($G$1-5))))/5</f>
        <v>0</v>
      </c>
    </row>
    <row r="760" spans="7:25" x14ac:dyDescent="0.35">
      <c r="G760" s="66">
        <v>9</v>
      </c>
      <c r="H760" t="s">
        <v>7</v>
      </c>
      <c r="I760" t="s">
        <v>202</v>
      </c>
      <c r="J760" t="s">
        <v>256</v>
      </c>
      <c r="K760" t="s">
        <v>9</v>
      </c>
      <c r="L760" t="s">
        <v>4</v>
      </c>
      <c r="M760">
        <f t="shared" si="42"/>
        <v>5.3641472392513219</v>
      </c>
      <c r="N760" t="str">
        <f t="shared" si="43"/>
        <v/>
      </c>
      <c r="O760" s="67" cm="1">
        <f t="array" ref="O760">SUMPRODUCT((G760=$G$7:$G$10000)*(M760&lt;$M$7:$M$10000))+1</f>
        <v>42</v>
      </c>
      <c r="P760" s="72"/>
      <c r="Q760">
        <v>11</v>
      </c>
      <c r="R760" t="str">
        <v>MIA</v>
      </c>
      <c r="S760" t="str">
        <v>Federico Gutíerrez</v>
      </c>
      <c r="T760" t="str">
        <v>NULL</v>
      </c>
      <c r="U760" t="str">
        <v>Home</v>
      </c>
      <c r="V760" t="str">
        <v>ARC</v>
      </c>
      <c r="W760">
        <v>4.1605782242081677</v>
      </c>
      <c r="Y760" s="1" cm="1">
        <f t="array" ref="Y760">COUNT(_xlfn._xlws.FILTER($G$7:$G$10000,($I$7:$I$10000=X760)*($J$7:$J$10000&lt;&gt;"NULL")*($G$7:$G$10000 &gt;= ($G$1-5))))/5</f>
        <v>0</v>
      </c>
    </row>
    <row r="761" spans="7:25" x14ac:dyDescent="0.35">
      <c r="G761" s="66">
        <v>9</v>
      </c>
      <c r="H761" t="s">
        <v>34</v>
      </c>
      <c r="I761" t="s">
        <v>174</v>
      </c>
      <c r="J761" t="s">
        <v>256</v>
      </c>
      <c r="K761" t="s">
        <v>9</v>
      </c>
      <c r="L761" t="s">
        <v>23</v>
      </c>
      <c r="M761">
        <f t="shared" si="42"/>
        <v>5.2439448679252534</v>
      </c>
      <c r="N761" t="str">
        <f t="shared" si="43"/>
        <v/>
      </c>
      <c r="O761" s="67" cm="1">
        <f t="array" ref="O761">SUMPRODUCT((G761=$G$7:$G$10000)*(M761&lt;$M$7:$M$10000))+1</f>
        <v>43</v>
      </c>
      <c r="P761" s="72"/>
      <c r="Q761">
        <v>11</v>
      </c>
      <c r="R761" t="str">
        <v>HOU</v>
      </c>
      <c r="S761" t="str">
        <v>Emmanuel Albert</v>
      </c>
      <c r="T761" t="str">
        <v>NULL</v>
      </c>
      <c r="U761" t="str">
        <v>Home</v>
      </c>
      <c r="V761" t="str">
        <v>OGDC</v>
      </c>
      <c r="W761">
        <v>4.1495917572753207</v>
      </c>
      <c r="Y761" s="1" cm="1">
        <f t="array" ref="Y761">COUNT(_xlfn._xlws.FILTER($G$7:$G$10000,($I$7:$I$10000=X761)*($J$7:$J$10000&lt;&gt;"NULL")*($G$7:$G$10000 &gt;= ($G$1-5))))/5</f>
        <v>0</v>
      </c>
    </row>
    <row r="762" spans="7:25" x14ac:dyDescent="0.35">
      <c r="G762" s="66">
        <v>9</v>
      </c>
      <c r="H762" t="s">
        <v>6</v>
      </c>
      <c r="I762" t="s">
        <v>432</v>
      </c>
      <c r="J762" t="s">
        <v>256</v>
      </c>
      <c r="K762" t="s">
        <v>3</v>
      </c>
      <c r="L762" t="s">
        <v>13</v>
      </c>
      <c r="M762">
        <f t="shared" si="42"/>
        <v>5.162844903356465</v>
      </c>
      <c r="N762" t="str">
        <f t="shared" si="43"/>
        <v/>
      </c>
      <c r="O762" s="67" cm="1">
        <f t="array" ref="O762">SUMPRODUCT((G762=$G$7:$G$10000)*(M762&lt;$M$7:$M$10000))+1</f>
        <v>44</v>
      </c>
      <c r="P762" s="72"/>
      <c r="Q762">
        <v>11</v>
      </c>
      <c r="R762" t="str">
        <v>SEA</v>
      </c>
      <c r="S762" t="str">
        <v>Siaosi Mahoni</v>
      </c>
      <c r="T762" t="str">
        <v>NULL</v>
      </c>
      <c r="U762" t="str">
        <v>Away</v>
      </c>
      <c r="V762" t="str">
        <v>NOLA</v>
      </c>
      <c r="W762">
        <v>4.139214852471115</v>
      </c>
      <c r="Y762" s="1" cm="1">
        <f t="array" ref="Y762">COUNT(_xlfn._xlws.FILTER($G$7:$G$10000,($I$7:$I$10000=X762)*($J$7:$J$10000&lt;&gt;"NULL")*($G$7:$G$10000 &gt;= ($G$1-5))))/5</f>
        <v>0</v>
      </c>
    </row>
    <row r="763" spans="7:25" x14ac:dyDescent="0.35">
      <c r="G763" s="66">
        <v>9</v>
      </c>
      <c r="H763" t="s">
        <v>36</v>
      </c>
      <c r="I763" t="s">
        <v>205</v>
      </c>
      <c r="J763" t="s">
        <v>256</v>
      </c>
      <c r="K763" t="s">
        <v>9</v>
      </c>
      <c r="L763" t="s">
        <v>24</v>
      </c>
      <c r="M763">
        <f t="shared" si="42"/>
        <v>4.9723548284569148</v>
      </c>
      <c r="N763" t="str">
        <f t="shared" si="43"/>
        <v/>
      </c>
      <c r="O763" s="67" cm="1">
        <f t="array" ref="O763">SUMPRODUCT((G763=$G$7:$G$10000)*(M763&lt;$M$7:$M$10000))+1</f>
        <v>45</v>
      </c>
      <c r="P763" s="72"/>
      <c r="Q763">
        <v>11</v>
      </c>
      <c r="R763" t="str">
        <v>UTAH</v>
      </c>
      <c r="S763" t="str">
        <v>Kalisi Moli</v>
      </c>
      <c r="T763" t="str">
        <v>NULL</v>
      </c>
      <c r="U763" t="str">
        <v>Home</v>
      </c>
      <c r="V763" t="str">
        <v>CHI</v>
      </c>
      <c r="W763">
        <v>4.0747919916916349</v>
      </c>
      <c r="Y763" s="1" cm="1">
        <f t="array" ref="Y763">COUNT(_xlfn._xlws.FILTER($G$7:$G$10000,($I$7:$I$10000=X763)*($J$7:$J$10000&lt;&gt;"NULL")*($G$7:$G$10000 &gt;= ($G$1-5))))/5</f>
        <v>0</v>
      </c>
    </row>
    <row r="764" spans="7:25" x14ac:dyDescent="0.35">
      <c r="G764" s="66">
        <v>9</v>
      </c>
      <c r="H764" t="s">
        <v>23</v>
      </c>
      <c r="I764" t="s">
        <v>252</v>
      </c>
      <c r="J764" t="s">
        <v>256</v>
      </c>
      <c r="K764" t="s">
        <v>3</v>
      </c>
      <c r="L764" t="s">
        <v>34</v>
      </c>
      <c r="M764">
        <f t="shared" si="42"/>
        <v>4.905905254503236</v>
      </c>
      <c r="N764" t="str">
        <f t="shared" si="43"/>
        <v/>
      </c>
      <c r="O764" s="67" cm="1">
        <f t="array" ref="O764">SUMPRODUCT((G764=$G$7:$G$10000)*(M764&lt;$M$7:$M$10000))+1</f>
        <v>46</v>
      </c>
      <c r="P764" s="72"/>
      <c r="Q764">
        <v>11</v>
      </c>
      <c r="R764" t="str">
        <v>LA</v>
      </c>
      <c r="S764" t="str">
        <v>Reegan O'Gorman</v>
      </c>
      <c r="T764" t="str">
        <v>NULL</v>
      </c>
      <c r="U764" t="str">
        <v>Home</v>
      </c>
      <c r="V764" t="str">
        <v>SDL</v>
      </c>
      <c r="W764">
        <v>3.9745074095958017</v>
      </c>
      <c r="Y764" s="1" cm="1">
        <f t="array" ref="Y764">COUNT(_xlfn._xlws.FILTER($G$7:$G$10000,($I$7:$I$10000=X764)*($J$7:$J$10000&lt;&gt;"NULL")*($G$7:$G$10000 &gt;= ($G$1-5))))/5</f>
        <v>0</v>
      </c>
    </row>
    <row r="765" spans="7:25" x14ac:dyDescent="0.35">
      <c r="G765" s="66">
        <v>9</v>
      </c>
      <c r="H765" t="s">
        <v>13</v>
      </c>
      <c r="I765" t="s">
        <v>469</v>
      </c>
      <c r="J765" t="s">
        <v>256</v>
      </c>
      <c r="K765" t="s">
        <v>9</v>
      </c>
      <c r="L765" t="s">
        <v>6</v>
      </c>
      <c r="M765">
        <f t="shared" si="42"/>
        <v>4.8855769188944667</v>
      </c>
      <c r="N765" t="str">
        <f t="shared" si="43"/>
        <v/>
      </c>
      <c r="O765" s="67" cm="1">
        <f t="array" ref="O765">SUMPRODUCT((G765=$G$7:$G$10000)*(M765&lt;$M$7:$M$10000))+1</f>
        <v>47</v>
      </c>
      <c r="P765" s="72"/>
      <c r="Q765">
        <v>11</v>
      </c>
      <c r="R765" t="str">
        <v>ARC</v>
      </c>
      <c r="S765" t="str">
        <v>Ethan Howard</v>
      </c>
      <c r="T765" t="str">
        <v>NULL</v>
      </c>
      <c r="U765" t="str">
        <v>Away</v>
      </c>
      <c r="V765" t="str">
        <v>MIA</v>
      </c>
      <c r="W765">
        <v>3.9417962961058874</v>
      </c>
      <c r="Y765" s="1" cm="1">
        <f t="array" ref="Y765">COUNT(_xlfn._xlws.FILTER($G$7:$G$10000,($I$7:$I$10000=X765)*($J$7:$J$10000&lt;&gt;"NULL")*($G$7:$G$10000 &gt;= ($G$1-5))))/5</f>
        <v>0</v>
      </c>
    </row>
    <row r="766" spans="7:25" x14ac:dyDescent="0.35">
      <c r="G766" s="66">
        <v>9</v>
      </c>
      <c r="H766" t="s">
        <v>4</v>
      </c>
      <c r="I766" t="s">
        <v>434</v>
      </c>
      <c r="J766" t="s">
        <v>256</v>
      </c>
      <c r="K766" t="s">
        <v>3</v>
      </c>
      <c r="L766" t="s">
        <v>7</v>
      </c>
      <c r="M766">
        <f t="shared" si="42"/>
        <v>4.8620985709084081</v>
      </c>
      <c r="N766" t="str">
        <f t="shared" si="43"/>
        <v/>
      </c>
      <c r="O766" s="67" cm="1">
        <f t="array" ref="O766">SUMPRODUCT((G766=$G$7:$G$10000)*(M766&lt;$M$7:$M$10000))+1</f>
        <v>48</v>
      </c>
      <c r="P766" s="72"/>
      <c r="Q766">
        <v>11</v>
      </c>
      <c r="R766" t="str">
        <v>ARC</v>
      </c>
      <c r="S766" t="str">
        <v>Mikey Grandy</v>
      </c>
      <c r="T766" t="str">
        <v>NULL</v>
      </c>
      <c r="U766" t="str">
        <v>Away</v>
      </c>
      <c r="V766" t="str">
        <v>MIA</v>
      </c>
      <c r="W766">
        <v>3.9255742112729992</v>
      </c>
      <c r="Y766" s="1" cm="1">
        <f t="array" ref="Y766">COUNT(_xlfn._xlws.FILTER($G$7:$G$10000,($I$7:$I$10000=X766)*($J$7:$J$10000&lt;&gt;"NULL")*($G$7:$G$10000 &gt;= ($G$1-5))))/5</f>
        <v>0</v>
      </c>
    </row>
    <row r="767" spans="7:25" x14ac:dyDescent="0.35">
      <c r="G767" s="66">
        <v>9</v>
      </c>
      <c r="H767" t="s">
        <v>24</v>
      </c>
      <c r="I767" t="s">
        <v>217</v>
      </c>
      <c r="J767" t="s">
        <v>256</v>
      </c>
      <c r="K767" t="s">
        <v>3</v>
      </c>
      <c r="L767" t="s">
        <v>36</v>
      </c>
      <c r="M767">
        <f t="shared" si="42"/>
        <v>4.8578259625945392</v>
      </c>
      <c r="N767" t="str">
        <f t="shared" si="43"/>
        <v/>
      </c>
      <c r="O767" s="67" cm="1">
        <f t="array" ref="O767">SUMPRODUCT((G767=$G$7:$G$10000)*(M767&lt;$M$7:$M$10000))+1</f>
        <v>49</v>
      </c>
      <c r="P767" s="72"/>
      <c r="Q767">
        <v>11</v>
      </c>
      <c r="R767" t="str">
        <v>ARC</v>
      </c>
      <c r="S767" t="str">
        <v>Jake Turnbull</v>
      </c>
      <c r="T767" t="str">
        <v>NULL</v>
      </c>
      <c r="U767" t="str">
        <v>Away</v>
      </c>
      <c r="V767" t="str">
        <v>MIA</v>
      </c>
      <c r="W767">
        <v>3.9143241267998459</v>
      </c>
      <c r="Y767" s="1" cm="1">
        <f t="array" ref="Y767">COUNT(_xlfn._xlws.FILTER($G$7:$G$10000,($I$7:$I$10000=X767)*($J$7:$J$10000&lt;&gt;"NULL")*($G$7:$G$10000 &gt;= ($G$1-5))))/5</f>
        <v>0</v>
      </c>
    </row>
    <row r="768" spans="7:25" x14ac:dyDescent="0.35">
      <c r="G768" s="66">
        <v>9</v>
      </c>
      <c r="H768" t="s">
        <v>6</v>
      </c>
      <c r="I768" t="s">
        <v>433</v>
      </c>
      <c r="J768" t="s">
        <v>256</v>
      </c>
      <c r="K768" t="s">
        <v>3</v>
      </c>
      <c r="L768" t="s">
        <v>13</v>
      </c>
      <c r="M768">
        <f t="shared" si="42"/>
        <v>4.7921919578951009</v>
      </c>
      <c r="N768" t="str">
        <f t="shared" si="43"/>
        <v/>
      </c>
      <c r="O768" s="67" cm="1">
        <f t="array" ref="O768">SUMPRODUCT((G768=$G$7:$G$10000)*(M768&lt;$M$7:$M$10000))+1</f>
        <v>50</v>
      </c>
      <c r="P768" s="72"/>
      <c r="Q768">
        <v>11</v>
      </c>
      <c r="R768" t="str">
        <v>NOLA</v>
      </c>
      <c r="S768" t="str">
        <v>Paul Mullen</v>
      </c>
      <c r="T768" t="str">
        <v>NULL</v>
      </c>
      <c r="U768" t="str">
        <v>Home</v>
      </c>
      <c r="V768" t="str">
        <v>SEA</v>
      </c>
      <c r="W768">
        <v>3.7397168748503673</v>
      </c>
      <c r="Y768" s="1" cm="1">
        <f t="array" ref="Y768">COUNT(_xlfn._xlws.FILTER($G$7:$G$10000,($I$7:$I$10000=X768)*($J$7:$J$10000&lt;&gt;"NULL")*($G$7:$G$10000 &gt;= ($G$1-5))))/5</f>
        <v>0</v>
      </c>
    </row>
    <row r="769" spans="7:25" x14ac:dyDescent="0.35">
      <c r="G769" s="66">
        <v>9</v>
      </c>
      <c r="H769" t="s">
        <v>24</v>
      </c>
      <c r="I769" t="s">
        <v>411</v>
      </c>
      <c r="J769" t="s">
        <v>256</v>
      </c>
      <c r="K769" t="s">
        <v>3</v>
      </c>
      <c r="L769" t="s">
        <v>36</v>
      </c>
      <c r="M769">
        <f t="shared" si="42"/>
        <v>4.7108022401666894</v>
      </c>
      <c r="N769" t="str">
        <f t="shared" si="43"/>
        <v/>
      </c>
      <c r="O769" s="67" cm="1">
        <f t="array" ref="O769">SUMPRODUCT((G769=$G$7:$G$10000)*(M769&lt;$M$7:$M$10000))+1</f>
        <v>51</v>
      </c>
      <c r="P769" s="72"/>
      <c r="Q769">
        <v>11</v>
      </c>
      <c r="R769" t="str">
        <v>HOU</v>
      </c>
      <c r="S769" t="str">
        <v>Johan Momsen</v>
      </c>
      <c r="T769" t="str">
        <v>NULL</v>
      </c>
      <c r="U769" t="str">
        <v>Home</v>
      </c>
      <c r="V769" t="str">
        <v>OGDC</v>
      </c>
      <c r="W769">
        <v>3.5844226782048794</v>
      </c>
      <c r="Y769" s="1" cm="1">
        <f t="array" ref="Y769">COUNT(_xlfn._xlws.FILTER($G$7:$G$10000,($I$7:$I$10000=X769)*($J$7:$J$10000&lt;&gt;"NULL")*($G$7:$G$10000 &gt;= ($G$1-5))))/5</f>
        <v>0</v>
      </c>
    </row>
    <row r="770" spans="7:25" x14ac:dyDescent="0.35">
      <c r="G770" s="66">
        <v>9</v>
      </c>
      <c r="H770" t="s">
        <v>14</v>
      </c>
      <c r="I770" t="s">
        <v>203</v>
      </c>
      <c r="J770" t="s">
        <v>256</v>
      </c>
      <c r="K770" t="s">
        <v>9</v>
      </c>
      <c r="L770" t="s">
        <v>2</v>
      </c>
      <c r="M770">
        <f t="shared" si="42"/>
        <v>4.6993824863582159</v>
      </c>
      <c r="N770" t="str">
        <f t="shared" si="43"/>
        <v/>
      </c>
      <c r="O770" s="67" cm="1">
        <f t="array" ref="O770">SUMPRODUCT((G770=$G$7:$G$10000)*(M770&lt;$M$7:$M$10000))+1</f>
        <v>52</v>
      </c>
      <c r="P770" s="72"/>
      <c r="Q770">
        <v>11</v>
      </c>
      <c r="R770" t="str">
        <v>MIA</v>
      </c>
      <c r="S770" t="str">
        <v>Marques Fuala'au</v>
      </c>
      <c r="T770" t="str">
        <v>NULL</v>
      </c>
      <c r="U770" t="str">
        <v>Home</v>
      </c>
      <c r="V770" t="str">
        <v>ARC</v>
      </c>
      <c r="W770">
        <v>3.4179641712760223</v>
      </c>
      <c r="Y770" s="1" cm="1">
        <f t="array" ref="Y770">COUNT(_xlfn._xlws.FILTER($G$7:$G$10000,($I$7:$I$10000=X770)*($J$7:$J$10000&lt;&gt;"NULL")*($G$7:$G$10000 &gt;= ($G$1-5))))/5</f>
        <v>0</v>
      </c>
    </row>
    <row r="771" spans="7:25" x14ac:dyDescent="0.35">
      <c r="G771" s="66">
        <v>9</v>
      </c>
      <c r="H771" t="s">
        <v>23</v>
      </c>
      <c r="I771" t="s">
        <v>229</v>
      </c>
      <c r="J771" t="s">
        <v>256</v>
      </c>
      <c r="K771" t="s">
        <v>3</v>
      </c>
      <c r="L771" t="s">
        <v>34</v>
      </c>
      <c r="M771">
        <f t="shared" si="42"/>
        <v>4.6667944016391418</v>
      </c>
      <c r="N771" t="str">
        <f t="shared" si="43"/>
        <v/>
      </c>
      <c r="O771" s="67" cm="1">
        <f t="array" ref="O771">SUMPRODUCT((G771=$G$7:$G$10000)*(M771&lt;$M$7:$M$10000))+1</f>
        <v>53</v>
      </c>
      <c r="P771" s="72"/>
      <c r="Q771">
        <v>11</v>
      </c>
      <c r="R771" t="str">
        <v>NOLA</v>
      </c>
      <c r="S771" t="str">
        <v>Matt Harmon</v>
      </c>
      <c r="T771" t="str">
        <v>NULL</v>
      </c>
      <c r="U771" t="str">
        <v>Home</v>
      </c>
      <c r="V771" t="str">
        <v>SEA</v>
      </c>
      <c r="W771">
        <v>3.3582734777516636</v>
      </c>
      <c r="Y771" s="1" cm="1">
        <f t="array" ref="Y771">COUNT(_xlfn._xlws.FILTER($G$7:$G$10000,($I$7:$I$10000=X771)*($J$7:$J$10000&lt;&gt;"NULL")*($G$7:$G$10000 &gt;= ($G$1-5))))/5</f>
        <v>0</v>
      </c>
    </row>
    <row r="772" spans="7:25" x14ac:dyDescent="0.35">
      <c r="G772" s="66">
        <v>9</v>
      </c>
      <c r="H772" t="s">
        <v>34</v>
      </c>
      <c r="I772" t="s">
        <v>227</v>
      </c>
      <c r="J772" t="s">
        <v>256</v>
      </c>
      <c r="K772" t="s">
        <v>9</v>
      </c>
      <c r="L772" t="s">
        <v>23</v>
      </c>
      <c r="M772">
        <f t="shared" si="42"/>
        <v>4.5868733275322597</v>
      </c>
      <c r="N772" t="str">
        <f t="shared" si="43"/>
        <v/>
      </c>
      <c r="O772" s="67" cm="1">
        <f t="array" ref="O772">SUMPRODUCT((G772=$G$7:$G$10000)*(M772&lt;$M$7:$M$10000))+1</f>
        <v>54</v>
      </c>
      <c r="P772" s="72"/>
      <c r="Q772">
        <v>11</v>
      </c>
      <c r="R772" t="str">
        <v>OGDC</v>
      </c>
      <c r="S772" t="str">
        <v>Facundo Gattas</v>
      </c>
      <c r="T772" t="str">
        <v>NULL</v>
      </c>
      <c r="U772" t="str">
        <v>Away</v>
      </c>
      <c r="V772" t="str">
        <v>HOU</v>
      </c>
      <c r="W772">
        <v>3.2999067315490898</v>
      </c>
      <c r="Y772" s="1" cm="1">
        <f t="array" ref="Y772">COUNT(_xlfn._xlws.FILTER($G$7:$G$10000,($I$7:$I$10000=X772)*($J$7:$J$10000&lt;&gt;"NULL")*($G$7:$G$10000 &gt;= ($G$1-5))))/5</f>
        <v>0</v>
      </c>
    </row>
    <row r="773" spans="7:25" x14ac:dyDescent="0.35">
      <c r="G773" s="66">
        <v>9</v>
      </c>
      <c r="H773" t="s">
        <v>14</v>
      </c>
      <c r="I773" t="s">
        <v>107</v>
      </c>
      <c r="J773" t="s">
        <v>256</v>
      </c>
      <c r="K773" t="s">
        <v>9</v>
      </c>
      <c r="L773" t="s">
        <v>2</v>
      </c>
      <c r="M773">
        <f t="shared" si="42"/>
        <v>4.5830033351818393</v>
      </c>
      <c r="N773" t="str">
        <f t="shared" si="43"/>
        <v/>
      </c>
      <c r="O773" s="67" cm="1">
        <f t="array" ref="O773">SUMPRODUCT((G773=$G$7:$G$10000)*(M773&lt;$M$7:$M$10000))+1</f>
        <v>55</v>
      </c>
      <c r="P773" s="72"/>
      <c r="Q773">
        <v>11</v>
      </c>
      <c r="R773" t="str">
        <v>LA</v>
      </c>
      <c r="S773" t="str">
        <v>Cronan Gleeson</v>
      </c>
      <c r="T773" t="str">
        <v>NULL</v>
      </c>
      <c r="U773" t="str">
        <v>Home</v>
      </c>
      <c r="V773" t="str">
        <v>SDL</v>
      </c>
      <c r="W773">
        <v>3.2991413428498353</v>
      </c>
      <c r="Y773" s="1" cm="1">
        <f t="array" ref="Y773">COUNT(_xlfn._xlws.FILTER($G$7:$G$10000,($I$7:$I$10000=X773)*($J$7:$J$10000&lt;&gt;"NULL")*($G$7:$G$10000 &gt;= ($G$1-5))))/5</f>
        <v>0</v>
      </c>
    </row>
    <row r="774" spans="7:25" x14ac:dyDescent="0.35">
      <c r="G774" s="66">
        <v>9</v>
      </c>
      <c r="H774" t="s">
        <v>14</v>
      </c>
      <c r="I774" t="s">
        <v>471</v>
      </c>
      <c r="J774" t="s">
        <v>256</v>
      </c>
      <c r="K774" t="s">
        <v>9</v>
      </c>
      <c r="L774" t="s">
        <v>2</v>
      </c>
      <c r="M774">
        <f t="shared" si="42"/>
        <v>4.5249335005936695</v>
      </c>
      <c r="N774" t="str">
        <f t="shared" si="43"/>
        <v/>
      </c>
      <c r="O774" s="67" cm="1">
        <f t="array" ref="O774">SUMPRODUCT((G774=$G$7:$G$10000)*(M774&lt;$M$7:$M$10000))+1</f>
        <v>56</v>
      </c>
      <c r="P774" s="72"/>
      <c r="Q774">
        <v>11</v>
      </c>
      <c r="R774" t="str">
        <v>MIA</v>
      </c>
      <c r="S774" t="str">
        <v>Ma'ake Muti</v>
      </c>
      <c r="T774" t="str">
        <v>NULL</v>
      </c>
      <c r="U774" t="str">
        <v>Home</v>
      </c>
      <c r="V774" t="str">
        <v>ARC</v>
      </c>
      <c r="W774">
        <v>3.2709404488481728</v>
      </c>
      <c r="Y774" s="1" cm="1">
        <f t="array" ref="Y774">COUNT(_xlfn._xlws.FILTER($G$7:$G$10000,($I$7:$I$10000=X774)*($J$7:$J$10000&lt;&gt;"NULL")*($G$7:$G$10000 &gt;= ($G$1-5))))/5</f>
        <v>0</v>
      </c>
    </row>
    <row r="775" spans="7:25" x14ac:dyDescent="0.35">
      <c r="G775" s="66">
        <v>9</v>
      </c>
      <c r="H775" t="s">
        <v>4</v>
      </c>
      <c r="I775" t="s">
        <v>481</v>
      </c>
      <c r="J775" t="s">
        <v>256</v>
      </c>
      <c r="K775" t="s">
        <v>3</v>
      </c>
      <c r="L775" t="s">
        <v>7</v>
      </c>
      <c r="M775">
        <f t="shared" si="42"/>
        <v>4.4798452958563395</v>
      </c>
      <c r="N775" t="str">
        <f t="shared" si="43"/>
        <v/>
      </c>
      <c r="O775" s="67" cm="1">
        <f t="array" ref="O775">SUMPRODUCT((G775=$G$7:$G$10000)*(M775&lt;$M$7:$M$10000))+1</f>
        <v>57</v>
      </c>
      <c r="P775" s="72"/>
      <c r="Q775">
        <v>11</v>
      </c>
      <c r="R775" t="str">
        <v>HOU</v>
      </c>
      <c r="S775" t="str">
        <v>Nathan Den Hoedt</v>
      </c>
      <c r="T775" t="str">
        <v>NULL</v>
      </c>
      <c r="U775" t="str">
        <v>Home</v>
      </c>
      <c r="V775" t="str">
        <v>OGDC</v>
      </c>
      <c r="W775">
        <v>3.2536363491462645</v>
      </c>
      <c r="Y775" s="1" cm="1">
        <f t="array" ref="Y775">COUNT(_xlfn._xlws.FILTER($G$7:$G$10000,($I$7:$I$10000=X775)*($J$7:$J$10000&lt;&gt;"NULL")*($G$7:$G$10000 &gt;= ($G$1-5))))/5</f>
        <v>0</v>
      </c>
    </row>
    <row r="776" spans="7:25" x14ac:dyDescent="0.35">
      <c r="G776" s="66">
        <v>9</v>
      </c>
      <c r="H776" t="s">
        <v>36</v>
      </c>
      <c r="I776" t="s">
        <v>112</v>
      </c>
      <c r="J776" t="s">
        <v>256</v>
      </c>
      <c r="K776" t="s">
        <v>9</v>
      </c>
      <c r="L776" t="s">
        <v>24</v>
      </c>
      <c r="M776">
        <f t="shared" si="42"/>
        <v>4.4071857493864748</v>
      </c>
      <c r="N776" t="str">
        <f t="shared" si="43"/>
        <v/>
      </c>
      <c r="O776" s="67" cm="1">
        <f t="array" ref="O776">SUMPRODUCT((G776=$G$7:$G$10000)*(M776&lt;$M$7:$M$10000))+1</f>
        <v>58</v>
      </c>
      <c r="P776" s="72"/>
      <c r="Q776">
        <v>11</v>
      </c>
      <c r="R776" t="str">
        <v>OGDC</v>
      </c>
      <c r="S776" t="str">
        <v>Jack Iscaro</v>
      </c>
      <c r="T776" t="str">
        <v>NULL</v>
      </c>
      <c r="U776" t="str">
        <v>Away</v>
      </c>
      <c r="V776" t="str">
        <v>HOU</v>
      </c>
      <c r="W776">
        <v>3.2473897018657896</v>
      </c>
      <c r="Y776" s="1" cm="1">
        <f t="array" ref="Y776">COUNT(_xlfn._xlws.FILTER($G$7:$G$10000,($I$7:$I$10000=X776)*($J$7:$J$10000&lt;&gt;"NULL")*($G$7:$G$10000 &gt;= ($G$1-5))))/5</f>
        <v>0</v>
      </c>
    </row>
    <row r="777" spans="7:25" x14ac:dyDescent="0.35">
      <c r="G777" s="66">
        <v>9</v>
      </c>
      <c r="H777" t="s">
        <v>24</v>
      </c>
      <c r="I777" t="s">
        <v>168</v>
      </c>
      <c r="J777" t="s">
        <v>256</v>
      </c>
      <c r="K777" t="s">
        <v>3</v>
      </c>
      <c r="L777" t="s">
        <v>36</v>
      </c>
      <c r="M777">
        <f t="shared" si="42"/>
        <v>4.383392201954373</v>
      </c>
      <c r="N777" t="str">
        <f t="shared" si="43"/>
        <v/>
      </c>
      <c r="O777" s="67" cm="1">
        <f t="array" ref="O777">SUMPRODUCT((G777=$G$7:$G$10000)*(M777&lt;$M$7:$M$10000))+1</f>
        <v>59</v>
      </c>
      <c r="P777" s="72"/>
      <c r="Q777">
        <v>11</v>
      </c>
      <c r="R777" t="str">
        <v>SEA</v>
      </c>
      <c r="S777" t="str">
        <v>Taylor Krumrei</v>
      </c>
      <c r="T777" t="str">
        <v>NULL</v>
      </c>
      <c r="U777" t="str">
        <v>Away</v>
      </c>
      <c r="V777" t="str">
        <v>NOLA</v>
      </c>
      <c r="W777">
        <v>3.176479904812207</v>
      </c>
      <c r="Y777" s="1" cm="1">
        <f t="array" ref="Y777">COUNT(_xlfn._xlws.FILTER($G$7:$G$10000,($I$7:$I$10000=X777)*($J$7:$J$10000&lt;&gt;"NULL")*($G$7:$G$10000 &gt;= ($G$1-5))))/5</f>
        <v>0</v>
      </c>
    </row>
    <row r="778" spans="7:25" x14ac:dyDescent="0.35">
      <c r="G778" s="66">
        <v>9</v>
      </c>
      <c r="H778" t="s">
        <v>4</v>
      </c>
      <c r="I778" t="s">
        <v>109</v>
      </c>
      <c r="J778" t="s">
        <v>256</v>
      </c>
      <c r="K778" t="s">
        <v>3</v>
      </c>
      <c r="L778" t="s">
        <v>7</v>
      </c>
      <c r="M778">
        <f t="shared" si="42"/>
        <v>4.3016193832993537</v>
      </c>
      <c r="N778" t="str">
        <f t="shared" si="43"/>
        <v/>
      </c>
      <c r="O778" s="67" cm="1">
        <f t="array" ref="O778">SUMPRODUCT((G778=$G$7:$G$10000)*(M778&lt;$M$7:$M$10000))+1</f>
        <v>60</v>
      </c>
      <c r="P778" s="72"/>
      <c r="Q778">
        <v>11</v>
      </c>
      <c r="R778" t="str">
        <v>ARC</v>
      </c>
      <c r="S778" t="str">
        <v>Shawn Clark</v>
      </c>
      <c r="T778" t="str">
        <v>NULL</v>
      </c>
      <c r="U778" t="str">
        <v>Away</v>
      </c>
      <c r="V778" t="str">
        <v>MIA</v>
      </c>
      <c r="W778">
        <v>3.1147280775149939</v>
      </c>
      <c r="Y778" s="1" cm="1">
        <f t="array" ref="Y778">COUNT(_xlfn._xlws.FILTER($G$7:$G$10000,($I$7:$I$10000=X778)*($J$7:$J$10000&lt;&gt;"NULL")*($G$7:$G$10000 &gt;= ($G$1-5))))/5</f>
        <v>0</v>
      </c>
    </row>
    <row r="779" spans="7:25" x14ac:dyDescent="0.35">
      <c r="G779" s="66">
        <v>9</v>
      </c>
      <c r="H779" t="s">
        <v>6</v>
      </c>
      <c r="I779" t="s">
        <v>208</v>
      </c>
      <c r="J779" t="s">
        <v>256</v>
      </c>
      <c r="K779" t="s">
        <v>3</v>
      </c>
      <c r="L779" t="s">
        <v>13</v>
      </c>
      <c r="M779">
        <f t="shared" si="42"/>
        <v>4.2903389870250237</v>
      </c>
      <c r="N779" t="str">
        <f t="shared" si="43"/>
        <v/>
      </c>
      <c r="O779" s="67" cm="1">
        <f t="array" ref="O779">SUMPRODUCT((G779=$G$7:$G$10000)*(M779&lt;$M$7:$M$10000))+1</f>
        <v>61</v>
      </c>
      <c r="P779" s="72"/>
      <c r="Q779">
        <v>11</v>
      </c>
      <c r="R779" t="str">
        <v>ARC</v>
      </c>
      <c r="S779" t="str">
        <v>Joe Apikotoa</v>
      </c>
      <c r="T779" t="str">
        <v>NULL</v>
      </c>
      <c r="U779" t="str">
        <v>Away</v>
      </c>
      <c r="V779" t="str">
        <v>MIA</v>
      </c>
      <c r="W779">
        <v>3.0979847870507813</v>
      </c>
      <c r="Y779" s="1" cm="1">
        <f t="array" ref="Y779">COUNT(_xlfn._xlws.FILTER($G$7:$G$10000,($I$7:$I$10000=X779)*($J$7:$J$10000&lt;&gt;"NULL")*($G$7:$G$10000 &gt;= ($G$1-5))))/5</f>
        <v>0</v>
      </c>
    </row>
    <row r="780" spans="7:25" x14ac:dyDescent="0.35">
      <c r="G780" s="66">
        <v>9</v>
      </c>
      <c r="H780" t="s">
        <v>13</v>
      </c>
      <c r="I780" t="s">
        <v>210</v>
      </c>
      <c r="J780" t="s">
        <v>256</v>
      </c>
      <c r="K780" t="s">
        <v>9</v>
      </c>
      <c r="L780" t="s">
        <v>6</v>
      </c>
      <c r="M780">
        <f t="shared" si="42"/>
        <v>4.2001280809815427</v>
      </c>
      <c r="N780" t="str">
        <f t="shared" si="43"/>
        <v/>
      </c>
      <c r="O780" s="67" cm="1">
        <f t="array" ref="O780">SUMPRODUCT((G780=$G$7:$G$10000)*(M780&lt;$M$7:$M$10000))+1</f>
        <v>62</v>
      </c>
      <c r="P780" s="72"/>
      <c r="Q780">
        <v>11</v>
      </c>
      <c r="R780" t="str">
        <v>HOU</v>
      </c>
      <c r="S780" t="str">
        <v>Marno Redelinghuys</v>
      </c>
      <c r="T780" t="str">
        <v>NULL</v>
      </c>
      <c r="U780" t="str">
        <v>Home</v>
      </c>
      <c r="V780" t="str">
        <v>OGDC</v>
      </c>
      <c r="W780">
        <v>3.0310945380525247</v>
      </c>
      <c r="Y780" s="1" cm="1">
        <f t="array" ref="Y780">COUNT(_xlfn._xlws.FILTER($G$7:$G$10000,($I$7:$I$10000=X780)*($J$7:$J$10000&lt;&gt;"NULL")*($G$7:$G$10000 &gt;= ($G$1-5))))/5</f>
        <v>0</v>
      </c>
    </row>
    <row r="781" spans="7:25" x14ac:dyDescent="0.35">
      <c r="G781" s="66">
        <v>9</v>
      </c>
      <c r="H781" t="s">
        <v>36</v>
      </c>
      <c r="I781" t="s">
        <v>117</v>
      </c>
      <c r="J781" t="s">
        <v>256</v>
      </c>
      <c r="K781" t="s">
        <v>9</v>
      </c>
      <c r="L781" t="s">
        <v>24</v>
      </c>
      <c r="M781">
        <f t="shared" si="42"/>
        <v>4.07639942032786</v>
      </c>
      <c r="N781" t="str">
        <f t="shared" si="43"/>
        <v/>
      </c>
      <c r="O781" s="67" cm="1">
        <f t="array" ref="O781">SUMPRODUCT((G781=$G$7:$G$10000)*(M781&lt;$M$7:$M$10000))+1</f>
        <v>63</v>
      </c>
      <c r="P781" s="72"/>
      <c r="Q781">
        <v>11</v>
      </c>
      <c r="R781" t="str">
        <v>ARC</v>
      </c>
      <c r="S781" t="str">
        <v>Albert O'Shannessey</v>
      </c>
      <c r="T781" t="str">
        <v>NULL</v>
      </c>
      <c r="U781" t="str">
        <v>Away</v>
      </c>
      <c r="V781" t="str">
        <v>MIA</v>
      </c>
      <c r="W781">
        <v>2.9701138009255414</v>
      </c>
      <c r="Y781" s="1" cm="1">
        <f t="array" ref="Y781">COUNT(_xlfn._xlws.FILTER($G$7:$G$10000,($I$7:$I$10000=X781)*($J$7:$J$10000&lt;&gt;"NULL")*($G$7:$G$10000 &gt;= ($G$1-5))))/5</f>
        <v>0</v>
      </c>
    </row>
    <row r="782" spans="7:25" x14ac:dyDescent="0.35">
      <c r="G782" s="66">
        <v>9</v>
      </c>
      <c r="H782" t="s">
        <v>36</v>
      </c>
      <c r="I782" t="s">
        <v>216</v>
      </c>
      <c r="J782" t="s">
        <v>256</v>
      </c>
      <c r="K782" t="s">
        <v>9</v>
      </c>
      <c r="L782" t="s">
        <v>24</v>
      </c>
      <c r="M782">
        <f t="shared" si="42"/>
        <v>3.8538576092341206</v>
      </c>
      <c r="N782" t="str">
        <f t="shared" si="43"/>
        <v/>
      </c>
      <c r="O782" s="67" cm="1">
        <f t="array" ref="O782">SUMPRODUCT((G782=$G$7:$G$10000)*(M782&lt;$M$7:$M$10000))+1</f>
        <v>64</v>
      </c>
      <c r="P782" s="72"/>
      <c r="Q782">
        <v>11</v>
      </c>
      <c r="R782" t="str">
        <v>NOLA</v>
      </c>
      <c r="S782" t="str">
        <v>Callum Botchar</v>
      </c>
      <c r="T782" t="str">
        <v>NULL</v>
      </c>
      <c r="U782" t="str">
        <v>Home</v>
      </c>
      <c r="V782" t="str">
        <v>SEA</v>
      </c>
      <c r="W782">
        <v>2.95419555290629</v>
      </c>
      <c r="Y782" s="1" cm="1">
        <f t="array" ref="Y782">COUNT(_xlfn._xlws.FILTER($G$7:$G$10000,($I$7:$I$10000=X782)*($J$7:$J$10000&lt;&gt;"NULL")*($G$7:$G$10000 &gt;= ($G$1-5))))/5</f>
        <v>0</v>
      </c>
    </row>
    <row r="783" spans="7:25" x14ac:dyDescent="0.35">
      <c r="G783" s="66">
        <v>9</v>
      </c>
      <c r="H783" t="s">
        <v>14</v>
      </c>
      <c r="I783" t="s">
        <v>143</v>
      </c>
      <c r="J783" t="s">
        <v>256</v>
      </c>
      <c r="K783" t="s">
        <v>9</v>
      </c>
      <c r="L783" t="s">
        <v>2</v>
      </c>
      <c r="M783">
        <f t="shared" si="42"/>
        <v>3.7763476539166634</v>
      </c>
      <c r="N783" t="str">
        <f t="shared" si="43"/>
        <v/>
      </c>
      <c r="O783" s="67" cm="1">
        <f t="array" ref="O783">SUMPRODUCT((G783=$G$7:$G$10000)*(M783&lt;$M$7:$M$10000))+1</f>
        <v>65</v>
      </c>
      <c r="P783" s="72"/>
      <c r="Q783">
        <v>11</v>
      </c>
      <c r="R783" t="str">
        <v>MIA</v>
      </c>
      <c r="S783" t="str">
        <v>Kirby Myhill</v>
      </c>
      <c r="T783" t="str">
        <v>NULL</v>
      </c>
      <c r="U783" t="str">
        <v>Home</v>
      </c>
      <c r="V783" t="str">
        <v>ARC</v>
      </c>
      <c r="W783">
        <v>2.943530410635856</v>
      </c>
      <c r="Y783" s="1" cm="1">
        <f t="array" ref="Y783">COUNT(_xlfn._xlws.FILTER($G$7:$G$10000,($I$7:$I$10000=X783)*($J$7:$J$10000&lt;&gt;"NULL")*($G$7:$G$10000 &gt;= ($G$1-5))))/5</f>
        <v>0</v>
      </c>
    </row>
    <row r="784" spans="7:25" x14ac:dyDescent="0.35">
      <c r="G784" s="66">
        <v>9</v>
      </c>
      <c r="H784" t="s">
        <v>14</v>
      </c>
      <c r="I784" t="s">
        <v>413</v>
      </c>
      <c r="J784" t="s">
        <v>256</v>
      </c>
      <c r="K784" t="s">
        <v>9</v>
      </c>
      <c r="L784" t="s">
        <v>2</v>
      </c>
      <c r="M784">
        <f t="shared" si="42"/>
        <v>3.427587813944406</v>
      </c>
      <c r="N784" t="str">
        <f t="shared" si="43"/>
        <v/>
      </c>
      <c r="O784" s="67" cm="1">
        <f t="array" ref="O784">SUMPRODUCT((G784=$G$7:$G$10000)*(M784&lt;$M$7:$M$10000))+1</f>
        <v>66</v>
      </c>
      <c r="P784" s="72"/>
      <c r="Q784">
        <v>11</v>
      </c>
      <c r="R784" t="str">
        <v>OGDC</v>
      </c>
      <c r="S784" t="str">
        <v>Lautaro Bavaro</v>
      </c>
      <c r="T784" t="str">
        <v>NULL</v>
      </c>
      <c r="U784" t="str">
        <v>Away</v>
      </c>
      <c r="V784" t="str">
        <v>HOU</v>
      </c>
      <c r="W784">
        <v>2.9312580860027344</v>
      </c>
      <c r="Y784" s="1" cm="1">
        <f t="array" ref="Y784">COUNT(_xlfn._xlws.FILTER($G$7:$G$10000,($I$7:$I$10000=X784)*($J$7:$J$10000&lt;&gt;"NULL")*($G$7:$G$10000 &gt;= ($G$1-5))))/5</f>
        <v>0</v>
      </c>
    </row>
    <row r="785" spans="7:25" x14ac:dyDescent="0.35">
      <c r="G785" s="66">
        <v>9</v>
      </c>
      <c r="H785" t="s">
        <v>14</v>
      </c>
      <c r="I785" t="s">
        <v>470</v>
      </c>
      <c r="J785" t="s">
        <v>256</v>
      </c>
      <c r="K785" t="s">
        <v>9</v>
      </c>
      <c r="L785" t="s">
        <v>2</v>
      </c>
      <c r="M785">
        <f t="shared" si="42"/>
        <v>3.4113657291115178</v>
      </c>
      <c r="N785" t="str">
        <f t="shared" si="43"/>
        <v/>
      </c>
      <c r="O785" s="67" cm="1">
        <f t="array" ref="O785">SUMPRODUCT((G785=$G$7:$G$10000)*(M785&lt;$M$7:$M$10000))+1</f>
        <v>67</v>
      </c>
      <c r="P785" s="72"/>
      <c r="Q785">
        <v>11</v>
      </c>
      <c r="R785" t="str">
        <v>OGDC</v>
      </c>
      <c r="S785" t="str">
        <v>Rob Harley</v>
      </c>
      <c r="T785" t="str">
        <v>NULL</v>
      </c>
      <c r="U785" t="str">
        <v>Away</v>
      </c>
      <c r="V785" t="str">
        <v>HOU</v>
      </c>
      <c r="W785">
        <v>2.7731504119290449</v>
      </c>
      <c r="Y785" s="1" cm="1">
        <f t="array" ref="Y785">COUNT(_xlfn._xlws.FILTER($G$7:$G$10000,($I$7:$I$10000=X785)*($J$7:$J$10000&lt;&gt;"NULL")*($G$7:$G$10000 &gt;= ($G$1-5))))/5</f>
        <v>0</v>
      </c>
    </row>
    <row r="786" spans="7:25" x14ac:dyDescent="0.35">
      <c r="G786" s="66">
        <v>9</v>
      </c>
      <c r="H786" t="s">
        <v>14</v>
      </c>
      <c r="I786" t="s">
        <v>164</v>
      </c>
      <c r="J786" t="s">
        <v>256</v>
      </c>
      <c r="K786" t="s">
        <v>9</v>
      </c>
      <c r="L786" t="s">
        <v>2</v>
      </c>
      <c r="M786">
        <f t="shared" si="42"/>
        <v>3.4001156446383645</v>
      </c>
      <c r="N786" t="str">
        <f t="shared" si="43"/>
        <v/>
      </c>
      <c r="O786" s="67" cm="1">
        <f t="array" ref="O786">SUMPRODUCT((G786=$G$7:$G$10000)*(M786&lt;$M$7:$M$10000))+1</f>
        <v>68</v>
      </c>
      <c r="P786" s="72"/>
      <c r="Q786">
        <v>11</v>
      </c>
      <c r="R786" t="str">
        <v>NOLA</v>
      </c>
      <c r="S786" t="str">
        <v>Cam Dolan</v>
      </c>
      <c r="T786" t="str">
        <v>NULL</v>
      </c>
      <c r="U786" t="str">
        <v>Home</v>
      </c>
      <c r="V786" t="str">
        <v>SEA</v>
      </c>
      <c r="W786">
        <v>2.633449469042743</v>
      </c>
      <c r="Y786" s="1" cm="1">
        <f t="array" ref="Y786">COUNT(_xlfn._xlws.FILTER($G$7:$G$10000,($I$7:$I$10000=X786)*($J$7:$J$10000&lt;&gt;"NULL")*($G$7:$G$10000 &gt;= ($G$1-5))))/5</f>
        <v>0</v>
      </c>
    </row>
    <row r="787" spans="7:25" x14ac:dyDescent="0.35">
      <c r="G787" s="66">
        <v>9</v>
      </c>
      <c r="H787" t="s">
        <v>7</v>
      </c>
      <c r="I787" t="s">
        <v>158</v>
      </c>
      <c r="J787" t="s">
        <v>256</v>
      </c>
      <c r="K787" t="s">
        <v>9</v>
      </c>
      <c r="L787" t="s">
        <v>4</v>
      </c>
      <c r="M787">
        <f t="shared" si="42"/>
        <v>3.2448883116372853</v>
      </c>
      <c r="N787" t="str">
        <f t="shared" si="43"/>
        <v/>
      </c>
      <c r="O787" s="67" cm="1">
        <f t="array" ref="O787">SUMPRODUCT((G787=$G$7:$G$10000)*(M787&lt;$M$7:$M$10000))+1</f>
        <v>69</v>
      </c>
      <c r="P787" s="72"/>
      <c r="Q787">
        <v>11</v>
      </c>
      <c r="R787" t="str">
        <v>OGDC</v>
      </c>
      <c r="S787" t="str">
        <v>Cali Martinez</v>
      </c>
      <c r="T787" t="str">
        <v>NULL</v>
      </c>
      <c r="U787" t="str">
        <v>Away</v>
      </c>
      <c r="V787" t="str">
        <v>HOU</v>
      </c>
      <c r="W787">
        <v>2.5732100016230612</v>
      </c>
      <c r="Y787" s="1" cm="1">
        <f t="array" ref="Y787">COUNT(_xlfn._xlws.FILTER($G$7:$G$10000,($I$7:$I$10000=X787)*($J$7:$J$10000&lt;&gt;"NULL")*($G$7:$G$10000 &gt;= ($G$1-5))))/5</f>
        <v>0</v>
      </c>
    </row>
    <row r="788" spans="7:25" x14ac:dyDescent="0.35">
      <c r="G788" s="66">
        <v>9</v>
      </c>
      <c r="H788" t="s">
        <v>4</v>
      </c>
      <c r="I788" t="s">
        <v>176</v>
      </c>
      <c r="J788" t="s">
        <v>256</v>
      </c>
      <c r="K788" t="s">
        <v>3</v>
      </c>
      <c r="L788" t="s">
        <v>7</v>
      </c>
      <c r="M788">
        <f t="shared" si="42"/>
        <v>3.2052978453630385</v>
      </c>
      <c r="N788" t="str">
        <f t="shared" si="43"/>
        <v/>
      </c>
      <c r="O788" s="67" cm="1">
        <f t="array" ref="O788">SUMPRODUCT((G788=$G$7:$G$10000)*(M788&lt;$M$7:$M$10000))+1</f>
        <v>70</v>
      </c>
      <c r="P788" s="72"/>
      <c r="Q788">
        <v>11</v>
      </c>
      <c r="R788" t="str">
        <v>SDL</v>
      </c>
      <c r="S788" t="str">
        <v>Hugh Roach</v>
      </c>
      <c r="T788" t="str">
        <v>NULL</v>
      </c>
      <c r="U788" t="str">
        <v>Away</v>
      </c>
      <c r="V788" t="str">
        <v>LA</v>
      </c>
      <c r="W788">
        <v>2.3977094865068249</v>
      </c>
      <c r="Y788" s="1" cm="1">
        <f t="array" ref="Y788">COUNT(_xlfn._xlws.FILTER($G$7:$G$10000,($I$7:$I$10000=X788)*($J$7:$J$10000&lt;&gt;"NULL")*($G$7:$G$10000 &gt;= ($G$1-5))))/5</f>
        <v>0</v>
      </c>
    </row>
    <row r="789" spans="7:25" x14ac:dyDescent="0.35">
      <c r="G789" s="66">
        <v>9</v>
      </c>
      <c r="H789" t="s">
        <v>7</v>
      </c>
      <c r="I789" t="s">
        <v>163</v>
      </c>
      <c r="J789" t="s">
        <v>256</v>
      </c>
      <c r="K789" t="s">
        <v>9</v>
      </c>
      <c r="L789" t="s">
        <v>4</v>
      </c>
      <c r="M789">
        <f t="shared" si="42"/>
        <v>3.1923712819539851</v>
      </c>
      <c r="N789" t="str">
        <f t="shared" si="43"/>
        <v/>
      </c>
      <c r="O789" s="67" cm="1">
        <f t="array" ref="O789">SUMPRODUCT((G789=$G$7:$G$10000)*(M789&lt;$M$7:$M$10000))+1</f>
        <v>71</v>
      </c>
      <c r="P789" s="72"/>
      <c r="Q789">
        <v>11</v>
      </c>
      <c r="R789" t="str">
        <v>SEA</v>
      </c>
      <c r="S789" t="str">
        <v>Juan Pablo Zeiss</v>
      </c>
      <c r="T789" t="str">
        <v>NULL</v>
      </c>
      <c r="U789" t="str">
        <v>Away</v>
      </c>
      <c r="V789" t="str">
        <v>NOLA</v>
      </c>
      <c r="W789">
        <v>2.2203908651368618</v>
      </c>
      <c r="Y789" s="1" cm="1">
        <f t="array" ref="Y789">COUNT(_xlfn._xlws.FILTER($G$7:$G$10000,($I$7:$I$10000=X789)*($J$7:$J$10000&lt;&gt;"NULL")*($G$7:$G$10000 &gt;= ($G$1-5))))/5</f>
        <v>0</v>
      </c>
    </row>
    <row r="790" spans="7:25" x14ac:dyDescent="0.35">
      <c r="G790" s="66">
        <v>9</v>
      </c>
      <c r="H790" t="s">
        <v>7</v>
      </c>
      <c r="I790" t="s">
        <v>211</v>
      </c>
      <c r="J790" t="s">
        <v>256</v>
      </c>
      <c r="K790" t="s">
        <v>9</v>
      </c>
      <c r="L790" t="s">
        <v>4</v>
      </c>
      <c r="M790">
        <f t="shared" si="42"/>
        <v>2.87623966609093</v>
      </c>
      <c r="N790" t="str">
        <f t="shared" si="43"/>
        <v/>
      </c>
      <c r="O790" s="67" cm="1">
        <f t="array" ref="O790">SUMPRODUCT((G790=$G$7:$G$10000)*(M790&lt;$M$7:$M$10000))+1</f>
        <v>72</v>
      </c>
      <c r="P790" s="72"/>
      <c r="Q790">
        <v>11</v>
      </c>
      <c r="R790" t="str">
        <v>OGDC</v>
      </c>
      <c r="S790" t="str">
        <v>Tevita Naqali</v>
      </c>
      <c r="T790" t="str">
        <v>NULL</v>
      </c>
      <c r="U790" t="str">
        <v>Away</v>
      </c>
      <c r="V790" t="str">
        <v>HOU</v>
      </c>
      <c r="W790">
        <v>2.1469648300929993</v>
      </c>
      <c r="Y790" s="1" cm="1">
        <f t="array" ref="Y790">COUNT(_xlfn._xlws.FILTER($G$7:$G$10000,($I$7:$I$10000=X790)*($J$7:$J$10000&lt;&gt;"NULL")*($G$7:$G$10000 &gt;= ($G$1-5))))/5</f>
        <v>0</v>
      </c>
    </row>
    <row r="791" spans="7:25" x14ac:dyDescent="0.35">
      <c r="G791" s="66">
        <v>9</v>
      </c>
      <c r="H791" t="s">
        <v>24</v>
      </c>
      <c r="I791" t="s">
        <v>482</v>
      </c>
      <c r="J791" t="s">
        <v>256</v>
      </c>
      <c r="K791" t="s">
        <v>3</v>
      </c>
      <c r="L791" t="s">
        <v>36</v>
      </c>
      <c r="M791">
        <f t="shared" si="42"/>
        <v>2.8506281046690782</v>
      </c>
      <c r="N791" t="str">
        <f t="shared" si="43"/>
        <v/>
      </c>
      <c r="O791" s="67" cm="1">
        <f t="array" ref="O791">SUMPRODUCT((G791=$G$7:$G$10000)*(M791&lt;$M$7:$M$10000))+1</f>
        <v>73</v>
      </c>
      <c r="P791" s="72"/>
      <c r="Q791">
        <v>11</v>
      </c>
      <c r="R791" t="str">
        <v>SDL</v>
      </c>
      <c r="S791" t="str">
        <v>Brandon Harvey</v>
      </c>
      <c r="T791" t="str">
        <v>NULL</v>
      </c>
      <c r="U791" t="str">
        <v>Away</v>
      </c>
      <c r="V791" t="str">
        <v>LA</v>
      </c>
      <c r="W791">
        <v>2.0187024002860072</v>
      </c>
      <c r="Y791" s="1" cm="1">
        <f t="array" ref="Y791">COUNT(_xlfn._xlws.FILTER($G$7:$G$10000,($I$7:$I$10000=X791)*($J$7:$J$10000&lt;&gt;"NULL")*($G$7:$G$10000 &gt;= ($G$1-5))))/5</f>
        <v>0</v>
      </c>
    </row>
    <row r="792" spans="7:25" x14ac:dyDescent="0.35">
      <c r="G792" s="66">
        <v>9</v>
      </c>
      <c r="H792" t="s">
        <v>4</v>
      </c>
      <c r="I792" t="s">
        <v>172</v>
      </c>
      <c r="J792" t="s">
        <v>256</v>
      </c>
      <c r="K792" t="s">
        <v>3</v>
      </c>
      <c r="L792" t="s">
        <v>7</v>
      </c>
      <c r="M792">
        <f t="shared" si="42"/>
        <v>2.8238544482643348</v>
      </c>
      <c r="N792" t="str">
        <f t="shared" si="43"/>
        <v/>
      </c>
      <c r="O792" s="67" cm="1">
        <f t="array" ref="O792">SUMPRODUCT((G792=$G$7:$G$10000)*(M792&lt;$M$7:$M$10000))+1</f>
        <v>74</v>
      </c>
      <c r="P792" s="72"/>
      <c r="Q792">
        <v>11</v>
      </c>
      <c r="R792" t="str">
        <v>HOU</v>
      </c>
      <c r="S792" t="str">
        <v>Pono Davis</v>
      </c>
      <c r="T792" t="str">
        <v>NULL</v>
      </c>
      <c r="U792" t="str">
        <v>Home</v>
      </c>
      <c r="V792" t="str">
        <v>OGDC</v>
      </c>
      <c r="W792">
        <v>1.8799001307424064</v>
      </c>
      <c r="Y792" s="1" cm="1">
        <f t="array" ref="Y792">COUNT(_xlfn._xlws.FILTER($G$7:$G$10000,($I$7:$I$10000=X792)*($J$7:$J$10000&lt;&gt;"NULL")*($G$7:$G$10000 &gt;= ($G$1-5))))/5</f>
        <v>0</v>
      </c>
    </row>
    <row r="793" spans="7:25" x14ac:dyDescent="0.35">
      <c r="G793" s="66">
        <v>9</v>
      </c>
      <c r="H793" t="s">
        <v>7</v>
      </c>
      <c r="I793" t="s">
        <v>104</v>
      </c>
      <c r="J793" t="s">
        <v>256</v>
      </c>
      <c r="K793" t="s">
        <v>9</v>
      </c>
      <c r="L793" t="s">
        <v>4</v>
      </c>
      <c r="M793">
        <f t="shared" si="42"/>
        <v>2.7181319920172404</v>
      </c>
      <c r="N793" t="str">
        <f t="shared" si="43"/>
        <v/>
      </c>
      <c r="O793" s="67" cm="1">
        <f t="array" ref="O793">SUMPRODUCT((G793=$G$7:$G$10000)*(M793&lt;$M$7:$M$10000))+1</f>
        <v>75</v>
      </c>
      <c r="P793" s="72"/>
      <c r="Q793">
        <v>11</v>
      </c>
      <c r="R793" t="str">
        <v>HOU</v>
      </c>
      <c r="S793" t="str">
        <v>Ronan Murphy</v>
      </c>
      <c r="T793" t="str">
        <v>NULL</v>
      </c>
      <c r="U793" t="str">
        <v>Home</v>
      </c>
      <c r="V793" t="str">
        <v>OGDC</v>
      </c>
      <c r="W793">
        <v>1.8288722823681383</v>
      </c>
      <c r="Y793" s="1" cm="1">
        <f t="array" ref="Y793">COUNT(_xlfn._xlws.FILTER($G$7:$G$10000,($I$7:$I$10000=X793)*($J$7:$J$10000&lt;&gt;"NULL")*($G$7:$G$10000 &gt;= ($G$1-5))))/5</f>
        <v>0</v>
      </c>
    </row>
    <row r="794" spans="7:25" x14ac:dyDescent="0.35">
      <c r="G794" s="66">
        <v>9</v>
      </c>
      <c r="H794" t="s">
        <v>36</v>
      </c>
      <c r="I794" t="s">
        <v>415</v>
      </c>
      <c r="J794" t="s">
        <v>256</v>
      </c>
      <c r="K794" t="s">
        <v>9</v>
      </c>
      <c r="L794" t="s">
        <v>24</v>
      </c>
      <c r="M794">
        <f t="shared" si="42"/>
        <v>2.7026632019240022</v>
      </c>
      <c r="N794" t="str">
        <f t="shared" si="43"/>
        <v/>
      </c>
      <c r="O794" s="67" cm="1">
        <f t="array" ref="O794">SUMPRODUCT((G794=$G$7:$G$10000)*(M794&lt;$M$7:$M$10000))+1</f>
        <v>76</v>
      </c>
      <c r="P794" s="72"/>
      <c r="Q794">
        <v>11</v>
      </c>
      <c r="R794" t="str">
        <v>SEA</v>
      </c>
      <c r="S794" t="str">
        <v>Malembe Mpofu</v>
      </c>
      <c r="T794" t="str">
        <v>NULL</v>
      </c>
      <c r="U794" t="str">
        <v>Away</v>
      </c>
      <c r="V794" t="str">
        <v>NOLA</v>
      </c>
      <c r="W794">
        <v>1.5753369752923776</v>
      </c>
      <c r="Y794" s="1" cm="1">
        <f t="array" ref="Y794">COUNT(_xlfn._xlws.FILTER($G$7:$G$10000,($I$7:$I$10000=X794)*($J$7:$J$10000&lt;&gt;"NULL")*($G$7:$G$10000 &gt;= ($G$1-5))))/5</f>
        <v>0</v>
      </c>
    </row>
    <row r="795" spans="7:25" x14ac:dyDescent="0.35">
      <c r="G795" s="66">
        <v>9</v>
      </c>
      <c r="H795" t="s">
        <v>36</v>
      </c>
      <c r="I795" t="s">
        <v>224</v>
      </c>
      <c r="J795" t="s">
        <v>256</v>
      </c>
      <c r="K795" t="s">
        <v>9</v>
      </c>
      <c r="L795" t="s">
        <v>24</v>
      </c>
      <c r="M795">
        <f t="shared" si="42"/>
        <v>2.6516353535497341</v>
      </c>
      <c r="N795" t="str">
        <f t="shared" si="43"/>
        <v/>
      </c>
      <c r="O795" s="67" cm="1">
        <f t="array" ref="O795">SUMPRODUCT((G795=$G$7:$G$10000)*(M795&lt;$M$7:$M$10000))+1</f>
        <v>77</v>
      </c>
      <c r="P795" s="72"/>
      <c r="Q795">
        <v>11</v>
      </c>
      <c r="R795" t="str">
        <v>HOU</v>
      </c>
      <c r="S795" t="str">
        <v>Seth Smith</v>
      </c>
      <c r="T795" t="str">
        <v>NULL</v>
      </c>
      <c r="U795" t="str">
        <v>Home</v>
      </c>
      <c r="V795" t="str">
        <v>OGDC</v>
      </c>
      <c r="W795">
        <v>1.5358692030457419</v>
      </c>
      <c r="Y795" s="1" cm="1">
        <f t="array" ref="Y795">COUNT(_xlfn._xlws.FILTER($G$7:$G$10000,($I$7:$I$10000=X795)*($J$7:$J$10000&lt;&gt;"NULL")*($G$7:$G$10000 &gt;= ($G$1-5))))/5</f>
        <v>0</v>
      </c>
    </row>
    <row r="796" spans="7:25" x14ac:dyDescent="0.35">
      <c r="G796" s="66">
        <v>9</v>
      </c>
      <c r="H796" t="s">
        <v>14</v>
      </c>
      <c r="I796" t="s">
        <v>425</v>
      </c>
      <c r="J796" t="s">
        <v>256</v>
      </c>
      <c r="K796" t="s">
        <v>9</v>
      </c>
      <c r="L796" t="s">
        <v>2</v>
      </c>
      <c r="M796">
        <f t="shared" si="42"/>
        <v>2.6005195953535125</v>
      </c>
      <c r="N796" t="str">
        <f t="shared" si="43"/>
        <v/>
      </c>
      <c r="O796" s="67" cm="1">
        <f t="array" ref="O796">SUMPRODUCT((G796=$G$7:$G$10000)*(M796&lt;$M$7:$M$10000))+1</f>
        <v>78</v>
      </c>
      <c r="P796" s="72"/>
      <c r="Q796">
        <v>11</v>
      </c>
      <c r="R796" t="str">
        <v>MIA</v>
      </c>
      <c r="S796" t="str">
        <v>Tau Koloamatangi</v>
      </c>
      <c r="T796" t="str">
        <v>NULL</v>
      </c>
      <c r="U796" t="str">
        <v>Home</v>
      </c>
      <c r="V796" t="str">
        <v>ARC</v>
      </c>
      <c r="W796">
        <v>1.4107663133505612</v>
      </c>
      <c r="Y796" s="1" cm="1">
        <f t="array" ref="Y796">COUNT(_xlfn._xlws.FILTER($G$7:$G$10000,($I$7:$I$10000=X796)*($J$7:$J$10000&lt;&gt;"NULL")*($G$7:$G$10000 &gt;= ($G$1-5))))/5</f>
        <v>0</v>
      </c>
    </row>
    <row r="797" spans="7:25" x14ac:dyDescent="0.35">
      <c r="G797" s="66">
        <v>9</v>
      </c>
      <c r="H797" t="s">
        <v>14</v>
      </c>
      <c r="I797" t="s">
        <v>181</v>
      </c>
      <c r="J797" t="s">
        <v>256</v>
      </c>
      <c r="K797" t="s">
        <v>9</v>
      </c>
      <c r="L797" t="s">
        <v>2</v>
      </c>
      <c r="M797">
        <f t="shared" si="42"/>
        <v>2.5837763048892999</v>
      </c>
      <c r="N797" t="str">
        <f t="shared" si="43"/>
        <v/>
      </c>
      <c r="O797" s="67" cm="1">
        <f t="array" ref="O797">SUMPRODUCT((G797=$G$7:$G$10000)*(M797&lt;$M$7:$M$10000))+1</f>
        <v>79</v>
      </c>
      <c r="P797" s="72"/>
      <c r="Q797">
        <v>11</v>
      </c>
      <c r="R797" t="str">
        <v>UTAH</v>
      </c>
      <c r="S797" t="str">
        <v>Tonga Kofe</v>
      </c>
      <c r="T797" t="str">
        <v>NULL</v>
      </c>
      <c r="U797" t="str">
        <v>Home</v>
      </c>
      <c r="V797" t="str">
        <v>CHI</v>
      </c>
      <c r="W797">
        <v>1.1506012690342668</v>
      </c>
      <c r="Y797" s="1" cm="1">
        <f t="array" ref="Y797">COUNT(_xlfn._xlws.FILTER($G$7:$G$10000,($I$7:$I$10000=X797)*($J$7:$J$10000&lt;&gt;"NULL")*($G$7:$G$10000 &gt;= ($G$1-5))))/5</f>
        <v>0</v>
      </c>
    </row>
    <row r="798" spans="7:25" x14ac:dyDescent="0.35">
      <c r="G798" s="66">
        <v>9</v>
      </c>
      <c r="H798" t="s">
        <v>34</v>
      </c>
      <c r="I798" t="s">
        <v>436</v>
      </c>
      <c r="J798" t="s">
        <v>256</v>
      </c>
      <c r="K798" t="s">
        <v>9</v>
      </c>
      <c r="L798" t="s">
        <v>23</v>
      </c>
      <c r="M798">
        <f t="shared" si="42"/>
        <v>2.5295930326274441</v>
      </c>
      <c r="N798" t="str">
        <f t="shared" si="43"/>
        <v/>
      </c>
      <c r="O798" s="67" cm="1">
        <f t="array" ref="O798">SUMPRODUCT((G798=$G$7:$G$10000)*(M798&lt;$M$7:$M$10000))+1</f>
        <v>80</v>
      </c>
      <c r="P798" s="72"/>
      <c r="Q798">
        <v>11</v>
      </c>
      <c r="R798" t="str">
        <v>HOU</v>
      </c>
      <c r="S798" t="str">
        <v>Val Lee-Lo</v>
      </c>
      <c r="T798" t="str">
        <v>NULL</v>
      </c>
      <c r="U798" t="str">
        <v>Home</v>
      </c>
      <c r="V798" t="str">
        <v>OGDC</v>
      </c>
      <c r="W798">
        <v>0.90946417653853651</v>
      </c>
      <c r="Y798" s="1" cm="1">
        <f t="array" ref="Y798">COUNT(_xlfn._xlws.FILTER($G$7:$G$10000,($I$7:$I$10000=X798)*($J$7:$J$10000&lt;&gt;"NULL")*($G$7:$G$10000 &gt;= ($G$1-5))))/5</f>
        <v>0</v>
      </c>
    </row>
    <row r="799" spans="7:25" x14ac:dyDescent="0.35">
      <c r="G799" s="66">
        <v>9</v>
      </c>
      <c r="H799" t="s">
        <v>7</v>
      </c>
      <c r="I799" t="s">
        <v>148</v>
      </c>
      <c r="J799" t="s">
        <v>256</v>
      </c>
      <c r="K799" t="s">
        <v>9</v>
      </c>
      <c r="L799" t="s">
        <v>4</v>
      </c>
      <c r="M799">
        <f t="shared" si="42"/>
        <v>2.5181915817112568</v>
      </c>
      <c r="N799" t="str">
        <f t="shared" si="43"/>
        <v/>
      </c>
      <c r="O799" s="67" cm="1">
        <f t="array" ref="O799">SUMPRODUCT((G799=$G$7:$G$10000)*(M799&lt;$M$7:$M$10000))+1</f>
        <v>81</v>
      </c>
      <c r="P799" s="72"/>
      <c r="Q799">
        <v>11</v>
      </c>
      <c r="R799" t="str">
        <v>MIA</v>
      </c>
      <c r="S799" t="str">
        <v>Sean McNulty</v>
      </c>
      <c r="T799" t="str">
        <v>NULL</v>
      </c>
      <c r="U799" t="str">
        <v>Home</v>
      </c>
      <c r="V799" t="str">
        <v>ARC</v>
      </c>
      <c r="W799">
        <v>0.6780252151795878</v>
      </c>
      <c r="Y799" s="1" cm="1">
        <f t="array" ref="Y799">COUNT(_xlfn._xlws.FILTER($G$7:$G$10000,($I$7:$I$10000=X799)*($J$7:$J$10000&lt;&gt;"NULL")*($G$7:$G$10000 &gt;= ($G$1-5))))/5</f>
        <v>0</v>
      </c>
    </row>
    <row r="800" spans="7:25" x14ac:dyDescent="0.35">
      <c r="G800" s="66">
        <v>9</v>
      </c>
      <c r="H800" t="s">
        <v>14</v>
      </c>
      <c r="I800" t="s">
        <v>197</v>
      </c>
      <c r="J800" t="s">
        <v>256</v>
      </c>
      <c r="K800" t="s">
        <v>9</v>
      </c>
      <c r="L800" t="s">
        <v>2</v>
      </c>
      <c r="M800">
        <f t="shared" si="42"/>
        <v>2.45590531876406</v>
      </c>
      <c r="N800" t="str">
        <f t="shared" si="43"/>
        <v/>
      </c>
      <c r="O800" s="67" cm="1">
        <f t="array" ref="O800">SUMPRODUCT((G800=$G$7:$G$10000)*(M800&lt;$M$7:$M$10000))+1</f>
        <v>82</v>
      </c>
      <c r="P800" s="72"/>
      <c r="Q800">
        <v>11</v>
      </c>
      <c r="R800" t="str">
        <v>SEA</v>
      </c>
      <c r="S800" t="str">
        <v>Dewald Kotze</v>
      </c>
      <c r="T800" t="str">
        <v>NULL</v>
      </c>
      <c r="U800" t="str">
        <v>Away</v>
      </c>
      <c r="V800" t="str">
        <v>NOLA</v>
      </c>
      <c r="W800">
        <v>0.39889457743530254</v>
      </c>
      <c r="Y800" s="1" cm="1">
        <f t="array" ref="Y800">COUNT(_xlfn._xlws.FILTER($G$7:$G$10000,($I$7:$I$10000=X800)*($J$7:$J$10000&lt;&gt;"NULL")*($G$7:$G$10000 &gt;= ($G$1-5))))/5</f>
        <v>0</v>
      </c>
    </row>
    <row r="801" spans="7:25" x14ac:dyDescent="0.35">
      <c r="G801" s="66">
        <v>9</v>
      </c>
      <c r="H801" t="s">
        <v>4</v>
      </c>
      <c r="I801" t="s">
        <v>118</v>
      </c>
      <c r="J801" t="s">
        <v>256</v>
      </c>
      <c r="K801" t="s">
        <v>3</v>
      </c>
      <c r="L801" t="s">
        <v>7</v>
      </c>
      <c r="M801">
        <f t="shared" si="42"/>
        <v>2.4197765234189612</v>
      </c>
      <c r="N801" t="str">
        <f t="shared" si="43"/>
        <v/>
      </c>
      <c r="O801" s="67" cm="1">
        <f t="array" ref="O801">SUMPRODUCT((G801=$G$7:$G$10000)*(M801&lt;$M$7:$M$10000))+1</f>
        <v>83</v>
      </c>
      <c r="P801" s="72"/>
      <c r="Q801">
        <v>11</v>
      </c>
      <c r="R801" t="str">
        <v>CHI</v>
      </c>
      <c r="S801" t="str">
        <v>Hamish Bain</v>
      </c>
      <c r="T801" t="str">
        <v>NULL</v>
      </c>
      <c r="U801" t="str">
        <v>Away</v>
      </c>
      <c r="V801" t="str">
        <v>UTAH</v>
      </c>
      <c r="W801">
        <v>0.322185269143616</v>
      </c>
      <c r="Y801" s="1" cm="1">
        <f t="array" ref="Y801">COUNT(_xlfn._xlws.FILTER($G$7:$G$10000,($I$7:$I$10000=X801)*($J$7:$J$10000&lt;&gt;"NULL")*($G$7:$G$10000 &gt;= ($G$1-5))))/5</f>
        <v>0</v>
      </c>
    </row>
    <row r="802" spans="7:25" x14ac:dyDescent="0.35">
      <c r="G802" s="66">
        <v>9</v>
      </c>
      <c r="H802" t="s">
        <v>36</v>
      </c>
      <c r="I802" t="s">
        <v>283</v>
      </c>
      <c r="J802" t="s">
        <v>256</v>
      </c>
      <c r="K802" t="s">
        <v>9</v>
      </c>
      <c r="L802" t="s">
        <v>24</v>
      </c>
      <c r="M802">
        <f t="shared" si="42"/>
        <v>2.3586322742273378</v>
      </c>
      <c r="N802" t="str">
        <f t="shared" si="43"/>
        <v/>
      </c>
      <c r="O802" s="67" cm="1">
        <f t="array" ref="O802">SUMPRODUCT((G802=$G$7:$G$10000)*(M802&lt;$M$7:$M$10000))+1</f>
        <v>84</v>
      </c>
      <c r="P802" s="72"/>
      <c r="Q802">
        <v>11</v>
      </c>
      <c r="R802" t="str">
        <v>CHI</v>
      </c>
      <c r="S802" t="str">
        <v>Faka'osi Pifeleti</v>
      </c>
      <c r="T802" t="str">
        <v>NULL</v>
      </c>
      <c r="U802" t="str">
        <v>Away</v>
      </c>
      <c r="V802" t="str">
        <v>UTAH</v>
      </c>
      <c r="W802">
        <v>0.18405679436764455</v>
      </c>
      <c r="Y802" s="1" cm="1">
        <f t="array" ref="Y802">COUNT(_xlfn._xlws.FILTER($G$7:$G$10000,($I$7:$I$10000=X802)*($J$7:$J$10000&lt;&gt;"NULL")*($G$7:$G$10000 &gt;= ($G$1-5))))/5</f>
        <v>0</v>
      </c>
    </row>
    <row r="803" spans="7:25" x14ac:dyDescent="0.35">
      <c r="G803" s="66">
        <v>9</v>
      </c>
      <c r="H803" t="s">
        <v>34</v>
      </c>
      <c r="I803" t="s">
        <v>177</v>
      </c>
      <c r="J803" t="s">
        <v>256</v>
      </c>
      <c r="K803" t="s">
        <v>9</v>
      </c>
      <c r="L803" t="s">
        <v>23</v>
      </c>
      <c r="M803">
        <f t="shared" si="42"/>
        <v>2.3081885505124209</v>
      </c>
      <c r="N803" t="str">
        <f t="shared" si="43"/>
        <v/>
      </c>
      <c r="O803" s="67" cm="1">
        <f t="array" ref="O803">SUMPRODUCT((G803=$G$7:$G$10000)*(M803&lt;$M$7:$M$10000))+1</f>
        <v>85</v>
      </c>
      <c r="P803" s="72"/>
      <c r="Q803">
        <v>11</v>
      </c>
      <c r="R803" t="str">
        <v>CHI</v>
      </c>
      <c r="S803" t="str">
        <v>Charlie Abel</v>
      </c>
      <c r="T803" t="str">
        <v>NULL</v>
      </c>
      <c r="U803" t="str">
        <v>Away</v>
      </c>
      <c r="V803" t="str">
        <v>UTAH</v>
      </c>
      <c r="W803">
        <v>-1.9198731674388529</v>
      </c>
      <c r="Y803" s="1" cm="1">
        <f t="array" ref="Y803">COUNT(_xlfn._xlws.FILTER($G$7:$G$10000,($I$7:$I$10000=X803)*($J$7:$J$10000&lt;&gt;"NULL")*($G$7:$G$10000 &gt;= ($G$1-5))))/5</f>
        <v>0</v>
      </c>
    </row>
    <row r="804" spans="7:25" x14ac:dyDescent="0.35">
      <c r="G804" s="66">
        <v>9</v>
      </c>
      <c r="H804" t="s">
        <v>34</v>
      </c>
      <c r="I804" t="s">
        <v>153</v>
      </c>
      <c r="J804" t="s">
        <v>256</v>
      </c>
      <c r="K804" t="s">
        <v>9</v>
      </c>
      <c r="L804" t="s">
        <v>23</v>
      </c>
      <c r="M804">
        <f t="shared" si="42"/>
        <v>2.2077795571706096</v>
      </c>
      <c r="N804" t="str">
        <f t="shared" si="43"/>
        <v/>
      </c>
      <c r="O804" s="67" cm="1">
        <f t="array" ref="O804">SUMPRODUCT((G804=$G$7:$G$10000)*(M804&lt;$M$7:$M$10000))+1</f>
        <v>86</v>
      </c>
      <c r="P804" s="72"/>
      <c r="Q804">
        <v>11</v>
      </c>
      <c r="R804" t="str">
        <v>HOU</v>
      </c>
      <c r="S804" t="str">
        <v>Justin Basson</v>
      </c>
      <c r="T804" t="str">
        <v>NULL</v>
      </c>
      <c r="U804" t="str">
        <v>Home</v>
      </c>
      <c r="V804" t="str">
        <v>OGDC</v>
      </c>
      <c r="W804">
        <v>-3.631651366775829</v>
      </c>
      <c r="Y804" s="1" cm="1">
        <f t="array" ref="Y804">COUNT(_xlfn._xlws.FILTER($G$7:$G$10000,($I$7:$I$10000=X804)*($J$7:$J$10000&lt;&gt;"NULL")*($G$7:$G$10000 &gt;= ($G$1-5))))/5</f>
        <v>0</v>
      </c>
    </row>
    <row r="805" spans="7:25" x14ac:dyDescent="0.35">
      <c r="G805" s="66">
        <v>9</v>
      </c>
      <c r="H805" t="s">
        <v>24</v>
      </c>
      <c r="I805" t="s">
        <v>179</v>
      </c>
      <c r="J805" t="s">
        <v>256</v>
      </c>
      <c r="K805" t="s">
        <v>3</v>
      </c>
      <c r="L805" t="s">
        <v>36</v>
      </c>
      <c r="M805">
        <f t="shared" si="42"/>
        <v>2.1178870064981048</v>
      </c>
      <c r="N805" t="str">
        <f t="shared" si="43"/>
        <v/>
      </c>
      <c r="O805" s="67" cm="1">
        <f t="array" ref="O805">SUMPRODUCT((G805=$G$7:$G$10000)*(M805&lt;$M$7:$M$10000))+1</f>
        <v>87</v>
      </c>
      <c r="P805" s="72"/>
      <c r="Q805">
        <v>11</v>
      </c>
      <c r="R805" t="str">
        <v>MIA</v>
      </c>
      <c r="S805" t="str">
        <v>Alec McDonnell</v>
      </c>
      <c r="T805" t="str">
        <v>NULL</v>
      </c>
      <c r="U805" t="str">
        <v>Home</v>
      </c>
      <c r="V805" t="str">
        <v>ARC</v>
      </c>
      <c r="W805">
        <v>-8.7850614359976191</v>
      </c>
      <c r="Y805" s="1" cm="1">
        <f t="array" ref="Y805">COUNT(_xlfn._xlws.FILTER($G$7:$G$10000,($I$7:$I$10000=X805)*($J$7:$J$10000&lt;&gt;"NULL")*($G$7:$G$10000 &gt;= ($G$1-5))))/5</f>
        <v>0</v>
      </c>
    </row>
    <row r="806" spans="7:25" x14ac:dyDescent="0.35">
      <c r="G806" s="66">
        <v>9</v>
      </c>
      <c r="H806" t="s">
        <v>4</v>
      </c>
      <c r="I806" t="s">
        <v>335</v>
      </c>
      <c r="J806" t="s">
        <v>256</v>
      </c>
      <c r="K806" t="s">
        <v>3</v>
      </c>
      <c r="L806" t="s">
        <v>7</v>
      </c>
      <c r="M806">
        <f t="shared" si="42"/>
        <v>2.0990304395554142</v>
      </c>
      <c r="N806" t="str">
        <f t="shared" si="43"/>
        <v/>
      </c>
      <c r="O806" s="67" cm="1">
        <f t="array" ref="O806">SUMPRODUCT((G806=$G$7:$G$10000)*(M806&lt;$M$7:$M$10000))+1</f>
        <v>88</v>
      </c>
      <c r="P806" s="72"/>
      <c r="Q806">
        <v>12</v>
      </c>
      <c r="R806" t="str">
        <v>SEA</v>
      </c>
      <c r="S806" t="str">
        <v>Devin Short</v>
      </c>
      <c r="T806" t="str">
        <v>NULL</v>
      </c>
      <c r="U806" t="str">
        <v>Home</v>
      </c>
      <c r="V806" t="str">
        <v>LA</v>
      </c>
      <c r="W806">
        <v>19.611056092243025</v>
      </c>
      <c r="Y806" s="1" cm="1">
        <f t="array" ref="Y806">COUNT(_xlfn._xlws.FILTER($G$7:$G$10000,($I$7:$I$10000=X806)*($J$7:$J$10000&lt;&gt;"NULL")*($G$7:$G$10000 &gt;= ($G$1-5))))/5</f>
        <v>0</v>
      </c>
    </row>
    <row r="807" spans="7:25" x14ac:dyDescent="0.35">
      <c r="G807" s="66">
        <v>9</v>
      </c>
      <c r="H807" t="s">
        <v>7</v>
      </c>
      <c r="I807" t="s">
        <v>277</v>
      </c>
      <c r="J807" t="s">
        <v>256</v>
      </c>
      <c r="K807" t="s">
        <v>9</v>
      </c>
      <c r="L807" t="s">
        <v>4</v>
      </c>
      <c r="M807">
        <f t="shared" ref="M807:M870" si="44">VLOOKUP($K807,$F$3:$G$4,2,FALSE)+VLOOKUP($I807,$A$20:$B$321,2,FALSE)+VLOOKUP($L807,$A$6:$B$16,2,FALSE)</f>
        <v>2.0919464101811949</v>
      </c>
      <c r="N807" t="str">
        <f t="shared" ref="N807:N870" si="45">IFERROR(($J807-$M807)^2,"")</f>
        <v/>
      </c>
      <c r="O807" s="67" cm="1">
        <f t="array" ref="O807">SUMPRODUCT((G807=$G$7:$G$10000)*(M807&lt;$M$7:$M$10000))+1</f>
        <v>89</v>
      </c>
      <c r="P807" s="72"/>
      <c r="Q807">
        <v>12</v>
      </c>
      <c r="R807" t="str">
        <v>SDL</v>
      </c>
      <c r="S807" t="str">
        <v>Vili Helu</v>
      </c>
      <c r="T807" t="str">
        <v>NULL</v>
      </c>
      <c r="U807" t="str">
        <v>Home</v>
      </c>
      <c r="V807" t="str">
        <v>NOLA</v>
      </c>
      <c r="W807">
        <v>15.073807919088271</v>
      </c>
      <c r="Y807" s="1" cm="1">
        <f t="array" ref="Y807">COUNT(_xlfn._xlws.FILTER($G$7:$G$10000,($I$7:$I$10000=X807)*($J$7:$J$10000&lt;&gt;"NULL")*($G$7:$G$10000 &gt;= ($G$1-5))))/5</f>
        <v>0</v>
      </c>
    </row>
    <row r="808" spans="7:25" x14ac:dyDescent="0.35">
      <c r="G808" s="66">
        <v>9</v>
      </c>
      <c r="H808" t="s">
        <v>2</v>
      </c>
      <c r="I808" t="s">
        <v>426</v>
      </c>
      <c r="J808" t="s">
        <v>256</v>
      </c>
      <c r="K808" t="s">
        <v>3</v>
      </c>
      <c r="L808" t="s">
        <v>14</v>
      </c>
      <c r="M808">
        <f t="shared" si="44"/>
        <v>2.0081925073890092</v>
      </c>
      <c r="N808" t="str">
        <f t="shared" si="45"/>
        <v/>
      </c>
      <c r="O808" s="67" cm="1">
        <f t="array" ref="O808">SUMPRODUCT((G808=$G$7:$G$10000)*(M808&lt;$M$7:$M$10000))+1</f>
        <v>90</v>
      </c>
      <c r="P808" s="72"/>
      <c r="Q808">
        <v>12</v>
      </c>
      <c r="R808" t="str">
        <v>SDL</v>
      </c>
      <c r="S808" t="str">
        <v>Shilo Klein</v>
      </c>
      <c r="T808" t="str">
        <v>NULL</v>
      </c>
      <c r="U808" t="str">
        <v>Home</v>
      </c>
      <c r="V808" t="str">
        <v>NOLA</v>
      </c>
      <c r="W808">
        <v>14.71617554687273</v>
      </c>
      <c r="Y808" s="1" cm="1">
        <f t="array" ref="Y808">COUNT(_xlfn._xlws.FILTER($G$7:$G$10000,($I$7:$I$10000=X808)*($J$7:$J$10000&lt;&gt;"NULL")*($G$7:$G$10000 &gt;= ($G$1-5))))/5</f>
        <v>0</v>
      </c>
    </row>
    <row r="809" spans="7:25" x14ac:dyDescent="0.35">
      <c r="G809" s="66">
        <v>9</v>
      </c>
      <c r="H809" t="s">
        <v>2</v>
      </c>
      <c r="I809" t="s">
        <v>159</v>
      </c>
      <c r="J809" t="s">
        <v>256</v>
      </c>
      <c r="K809" t="s">
        <v>3</v>
      </c>
      <c r="L809" t="s">
        <v>14</v>
      </c>
      <c r="M809">
        <f t="shared" si="44"/>
        <v>1.8700640326130378</v>
      </c>
      <c r="N809" t="str">
        <f t="shared" si="45"/>
        <v/>
      </c>
      <c r="O809" s="67" cm="1">
        <f t="array" ref="O809">SUMPRODUCT((G809=$G$7:$G$10000)*(M809&lt;$M$7:$M$10000))+1</f>
        <v>91</v>
      </c>
      <c r="P809" s="72"/>
      <c r="Q809">
        <v>12</v>
      </c>
      <c r="R809" t="str">
        <v>SDL</v>
      </c>
      <c r="S809" t="str">
        <v>Brad Wilkin</v>
      </c>
      <c r="T809" t="str">
        <v>NULL</v>
      </c>
      <c r="U809" t="str">
        <v>Home</v>
      </c>
      <c r="V809" t="str">
        <v>NOLA</v>
      </c>
      <c r="W809">
        <v>13.70570963306737</v>
      </c>
      <c r="Y809" s="1" cm="1">
        <f t="array" ref="Y809">COUNT(_xlfn._xlws.FILTER($G$7:$G$10000,($I$7:$I$10000=X809)*($J$7:$J$10000&lt;&gt;"NULL")*($G$7:$G$10000 &gt;= ($G$1-5))))/5</f>
        <v>0</v>
      </c>
    </row>
    <row r="810" spans="7:25" x14ac:dyDescent="0.35">
      <c r="G810" s="66">
        <v>9</v>
      </c>
      <c r="H810" t="s">
        <v>36</v>
      </c>
      <c r="I810" t="s">
        <v>414</v>
      </c>
      <c r="J810" t="s">
        <v>256</v>
      </c>
      <c r="K810" t="s">
        <v>9</v>
      </c>
      <c r="L810" t="s">
        <v>24</v>
      </c>
      <c r="M810">
        <f t="shared" si="44"/>
        <v>1.7322272477201324</v>
      </c>
      <c r="N810" t="str">
        <f t="shared" si="45"/>
        <v/>
      </c>
      <c r="O810" s="67" cm="1">
        <f t="array" ref="O810">SUMPRODUCT((G810=$G$7:$G$10000)*(M810&lt;$M$7:$M$10000))+1</f>
        <v>92</v>
      </c>
      <c r="P810" s="72"/>
      <c r="Q810">
        <v>12</v>
      </c>
      <c r="R810" t="str">
        <v>NOLA</v>
      </c>
      <c r="S810" t="str">
        <v>Pat O'Toole</v>
      </c>
      <c r="T810" t="str">
        <v>NULL</v>
      </c>
      <c r="U810" t="str">
        <v>Away</v>
      </c>
      <c r="V810" t="str">
        <v>SDL</v>
      </c>
      <c r="W810">
        <v>13.174993628991217</v>
      </c>
      <c r="Y810" s="1" cm="1">
        <f t="array" ref="Y810">COUNT(_xlfn._xlws.FILTER($G$7:$G$10000,($I$7:$I$10000=X810)*($J$7:$J$10000&lt;&gt;"NULL")*($G$7:$G$10000 &gt;= ($G$1-5))))/5</f>
        <v>0</v>
      </c>
    </row>
    <row r="811" spans="7:25" x14ac:dyDescent="0.35">
      <c r="G811" s="66">
        <v>9</v>
      </c>
      <c r="H811" t="s">
        <v>13</v>
      </c>
      <c r="I811" t="s">
        <v>467</v>
      </c>
      <c r="J811" t="s">
        <v>256</v>
      </c>
      <c r="K811" t="s">
        <v>9</v>
      </c>
      <c r="L811" t="s">
        <v>6</v>
      </c>
      <c r="M811">
        <f t="shared" si="44"/>
        <v>1.2759373583241755</v>
      </c>
      <c r="N811" t="str">
        <f t="shared" si="45"/>
        <v/>
      </c>
      <c r="O811" s="67" cm="1">
        <f t="array" ref="O811">SUMPRODUCT((G811=$G$7:$G$10000)*(M811&lt;$M$7:$M$10000))+1</f>
        <v>93</v>
      </c>
      <c r="P811" s="72"/>
      <c r="Q811">
        <v>12</v>
      </c>
      <c r="R811" t="str">
        <v>SDL</v>
      </c>
      <c r="S811" t="str">
        <v>Christian Poidevin</v>
      </c>
      <c r="T811" t="str">
        <v>NULL</v>
      </c>
      <c r="U811" t="str">
        <v>Home</v>
      </c>
      <c r="V811" t="str">
        <v>NOLA</v>
      </c>
      <c r="W811">
        <v>12.854471853454767</v>
      </c>
      <c r="Y811" s="1" cm="1">
        <f t="array" ref="Y811">COUNT(_xlfn._xlws.FILTER($G$7:$G$10000,($I$7:$I$10000=X811)*($J$7:$J$10000&lt;&gt;"NULL")*($G$7:$G$10000 &gt;= ($G$1-5))))/5</f>
        <v>0</v>
      </c>
    </row>
    <row r="812" spans="7:25" x14ac:dyDescent="0.35">
      <c r="G812" s="66">
        <v>9</v>
      </c>
      <c r="H812" t="s">
        <v>6</v>
      </c>
      <c r="I812" t="s">
        <v>417</v>
      </c>
      <c r="J812" t="s">
        <v>256</v>
      </c>
      <c r="K812" t="s">
        <v>3</v>
      </c>
      <c r="L812" t="s">
        <v>13</v>
      </c>
      <c r="M812">
        <f t="shared" si="44"/>
        <v>0.80885021209015706</v>
      </c>
      <c r="N812" t="str">
        <f t="shared" si="45"/>
        <v/>
      </c>
      <c r="O812" s="67" cm="1">
        <f t="array" ref="O812">SUMPRODUCT((G812=$G$7:$G$10000)*(M812&lt;$M$7:$M$10000))+1</f>
        <v>94</v>
      </c>
      <c r="P812" s="72"/>
      <c r="Q812">
        <v>12</v>
      </c>
      <c r="R812" t="str">
        <v>SDL</v>
      </c>
      <c r="S812" t="str">
        <v>Djustice Sears-Duru</v>
      </c>
      <c r="T812" t="str">
        <v>NULL</v>
      </c>
      <c r="U812" t="str">
        <v>Home</v>
      </c>
      <c r="V812" t="str">
        <v>NOLA</v>
      </c>
      <c r="W812">
        <v>12.298694714788187</v>
      </c>
      <c r="Y812" s="1" cm="1">
        <f t="array" ref="Y812">COUNT(_xlfn._xlws.FILTER($G$7:$G$10000,($I$7:$I$10000=X812)*($J$7:$J$10000&lt;&gt;"NULL")*($G$7:$G$10000 &gt;= ($G$1-5))))/5</f>
        <v>0</v>
      </c>
    </row>
    <row r="813" spans="7:25" x14ac:dyDescent="0.35">
      <c r="G813" s="66">
        <v>9</v>
      </c>
      <c r="H813" t="s">
        <v>6</v>
      </c>
      <c r="I813" t="s">
        <v>416</v>
      </c>
      <c r="J813" t="s">
        <v>256</v>
      </c>
      <c r="K813" t="s">
        <v>3</v>
      </c>
      <c r="L813" t="s">
        <v>13</v>
      </c>
      <c r="M813">
        <f t="shared" si="44"/>
        <v>0.11844851501289977</v>
      </c>
      <c r="N813" t="str">
        <f t="shared" si="45"/>
        <v/>
      </c>
      <c r="O813" s="67" cm="1">
        <f t="array" ref="O813">SUMPRODUCT((G813=$G$7:$G$10000)*(M813&lt;$M$7:$M$10000))+1</f>
        <v>95</v>
      </c>
      <c r="P813" s="72"/>
      <c r="Q813">
        <v>12</v>
      </c>
      <c r="R813" t="str">
        <v>NOLA</v>
      </c>
      <c r="S813" t="str">
        <v>Jonah Mau'u</v>
      </c>
      <c r="T813" t="str">
        <v>NULL</v>
      </c>
      <c r="U813" t="str">
        <v>Away</v>
      </c>
      <c r="V813" t="str">
        <v>SDL</v>
      </c>
      <c r="W813">
        <v>12.282706090172612</v>
      </c>
      <c r="Y813" s="1" cm="1">
        <f t="array" ref="Y813">COUNT(_xlfn._xlws.FILTER($G$7:$G$10000,($I$7:$I$10000=X813)*($J$7:$J$10000&lt;&gt;"NULL")*($G$7:$G$10000 &gt;= ($G$1-5))))/5</f>
        <v>0</v>
      </c>
    </row>
    <row r="814" spans="7:25" x14ac:dyDescent="0.35">
      <c r="G814" s="66">
        <v>9</v>
      </c>
      <c r="H814" t="s">
        <v>34</v>
      </c>
      <c r="I814" t="s">
        <v>161</v>
      </c>
      <c r="J814" t="s">
        <v>256</v>
      </c>
      <c r="K814" t="s">
        <v>9</v>
      </c>
      <c r="L814" t="s">
        <v>23</v>
      </c>
      <c r="M814">
        <f t="shared" si="44"/>
        <v>-3.4604322194475401E-2</v>
      </c>
      <c r="N814" t="str">
        <f t="shared" si="45"/>
        <v/>
      </c>
      <c r="O814" s="67" cm="1">
        <f t="array" ref="O814">SUMPRODUCT((G814=$G$7:$G$10000)*(M814&lt;$M$7:$M$10000))+1</f>
        <v>96</v>
      </c>
      <c r="P814" s="72"/>
      <c r="Q814">
        <v>12</v>
      </c>
      <c r="R814" t="str">
        <v>NEFJ</v>
      </c>
      <c r="S814" t="str">
        <v>Joe Johnston</v>
      </c>
      <c r="T814" t="str">
        <v>NULL</v>
      </c>
      <c r="U814" t="str">
        <v>Home</v>
      </c>
      <c r="V814" t="str">
        <v>HOU</v>
      </c>
      <c r="W814">
        <v>12.027670175235652</v>
      </c>
      <c r="Y814" s="1" cm="1">
        <f t="array" ref="Y814">COUNT(_xlfn._xlws.FILTER($G$7:$G$10000,($I$7:$I$10000=X814)*($J$7:$J$10000&lt;&gt;"NULL")*($G$7:$G$10000 &gt;= ($G$1-5))))/5</f>
        <v>0</v>
      </c>
    </row>
    <row r="815" spans="7:25" x14ac:dyDescent="0.35">
      <c r="G815" s="66">
        <v>9</v>
      </c>
      <c r="H815" t="s">
        <v>2</v>
      </c>
      <c r="I815" t="s">
        <v>185</v>
      </c>
      <c r="J815" t="s">
        <v>256</v>
      </c>
      <c r="K815" t="s">
        <v>3</v>
      </c>
      <c r="L815" t="s">
        <v>14</v>
      </c>
      <c r="M815">
        <f t="shared" si="44"/>
        <v>-0.23386592919345972</v>
      </c>
      <c r="N815" t="str">
        <f t="shared" si="45"/>
        <v/>
      </c>
      <c r="O815" s="67" cm="1">
        <f t="array" ref="O815">SUMPRODUCT((G815=$G$7:$G$10000)*(M815&lt;$M$7:$M$10000))+1</f>
        <v>97</v>
      </c>
      <c r="P815" s="72"/>
      <c r="Q815">
        <v>12</v>
      </c>
      <c r="R815" t="str">
        <v>NEFJ</v>
      </c>
      <c r="S815" t="str">
        <v>Jed Melvin</v>
      </c>
      <c r="T815" t="str">
        <v>NULL</v>
      </c>
      <c r="U815" t="str">
        <v>Home</v>
      </c>
      <c r="V815" t="str">
        <v>HOU</v>
      </c>
      <c r="W815">
        <v>11.2101820468488</v>
      </c>
      <c r="Y815" s="1" cm="1">
        <f t="array" ref="Y815">COUNT(_xlfn._xlws.FILTER($G$7:$G$10000,($I$7:$I$10000=X815)*($J$7:$J$10000&lt;&gt;"NULL")*($G$7:$G$10000 &gt;= ($G$1-5))))/5</f>
        <v>0</v>
      </c>
    </row>
    <row r="816" spans="7:25" x14ac:dyDescent="0.35">
      <c r="G816" s="66">
        <v>9</v>
      </c>
      <c r="H816" t="s">
        <v>34</v>
      </c>
      <c r="I816" t="s">
        <v>424</v>
      </c>
      <c r="J816" t="s">
        <v>256</v>
      </c>
      <c r="K816" t="s">
        <v>9</v>
      </c>
      <c r="L816" t="s">
        <v>23</v>
      </c>
      <c r="M816">
        <f t="shared" si="44"/>
        <v>-0.41361140841529309</v>
      </c>
      <c r="N816" t="str">
        <f t="shared" si="45"/>
        <v/>
      </c>
      <c r="O816" s="67" cm="1">
        <f t="array" ref="O816">SUMPRODUCT((G816=$G$7:$G$10000)*(M816&lt;$M$7:$M$10000))+1</f>
        <v>98</v>
      </c>
      <c r="P816" s="72"/>
      <c r="Q816">
        <v>12</v>
      </c>
      <c r="R816" t="str">
        <v>SEA</v>
      </c>
      <c r="S816" t="str">
        <v>Kerron van Vuuren</v>
      </c>
      <c r="T816" t="str">
        <v>NULL</v>
      </c>
      <c r="U816" t="str">
        <v>Home</v>
      </c>
      <c r="V816" t="str">
        <v>LA</v>
      </c>
      <c r="W816">
        <v>11.077273822205219</v>
      </c>
      <c r="Y816" s="1" cm="1">
        <f t="array" ref="Y816">COUNT(_xlfn._xlws.FILTER($G$7:$G$10000,($I$7:$I$10000=X816)*($J$7:$J$10000&lt;&gt;"NULL")*($G$7:$G$10000 &gt;= ($G$1-5))))/5</f>
        <v>0</v>
      </c>
    </row>
    <row r="817" spans="7:25" x14ac:dyDescent="0.35">
      <c r="G817" s="66">
        <v>9</v>
      </c>
      <c r="H817" t="s">
        <v>6</v>
      </c>
      <c r="I817" t="s">
        <v>116</v>
      </c>
      <c r="J817" t="s">
        <v>256</v>
      </c>
      <c r="K817" t="s">
        <v>3</v>
      </c>
      <c r="L817" t="s">
        <v>13</v>
      </c>
      <c r="M817">
        <f t="shared" si="44"/>
        <v>-0.65360832057176577</v>
      </c>
      <c r="N817" t="str">
        <f t="shared" si="45"/>
        <v/>
      </c>
      <c r="O817" s="67" cm="1">
        <f t="array" ref="O817">SUMPRODUCT((G817=$G$7:$G$10000)*(M817&lt;$M$7:$M$10000))+1</f>
        <v>99</v>
      </c>
      <c r="P817" s="72"/>
      <c r="Q817">
        <v>12</v>
      </c>
      <c r="R817" t="str">
        <v>CHI</v>
      </c>
      <c r="S817" t="str">
        <v>Lucas Rumball</v>
      </c>
      <c r="T817" t="str">
        <v>NULL</v>
      </c>
      <c r="U817" t="str">
        <v>Home</v>
      </c>
      <c r="V817" t="str">
        <v>MIA</v>
      </c>
      <c r="W817">
        <v>10.640170835110981</v>
      </c>
      <c r="Y817" s="1" cm="1">
        <f t="array" ref="Y817">COUNT(_xlfn._xlws.FILTER($G$7:$G$10000,($I$7:$I$10000=X817)*($J$7:$J$10000&lt;&gt;"NULL")*($G$7:$G$10000 &gt;= ($G$1-5))))/5</f>
        <v>0</v>
      </c>
    </row>
    <row r="818" spans="7:25" x14ac:dyDescent="0.35">
      <c r="G818" s="66">
        <v>9</v>
      </c>
      <c r="H818" t="s">
        <v>6</v>
      </c>
      <c r="I818" t="s">
        <v>418</v>
      </c>
      <c r="J818" t="s">
        <v>256</v>
      </c>
      <c r="K818" t="s">
        <v>3</v>
      </c>
      <c r="L818" t="s">
        <v>13</v>
      </c>
      <c r="M818">
        <f t="shared" si="44"/>
        <v>-1.3289743873177322</v>
      </c>
      <c r="N818" t="str">
        <f t="shared" si="45"/>
        <v/>
      </c>
      <c r="O818" s="67" cm="1">
        <f t="array" ref="O818">SUMPRODUCT((G818=$G$7:$G$10000)*(M818&lt;$M$7:$M$10000))+1</f>
        <v>100</v>
      </c>
      <c r="P818" s="72"/>
      <c r="Q818">
        <v>12</v>
      </c>
      <c r="R818" t="str">
        <v>CHI</v>
      </c>
      <c r="S818" t="str">
        <v>Dylan Fawsitt</v>
      </c>
      <c r="T818" t="str">
        <v>NULL</v>
      </c>
      <c r="U818" t="str">
        <v>Home</v>
      </c>
      <c r="V818" t="str">
        <v>MIA</v>
      </c>
      <c r="W818">
        <v>10.240013158757154</v>
      </c>
      <c r="Y818" s="1" cm="1">
        <f t="array" ref="Y818">COUNT(_xlfn._xlws.FILTER($G$7:$G$10000,($I$7:$I$10000=X818)*($J$7:$J$10000&lt;&gt;"NULL")*($G$7:$G$10000 &gt;= ($G$1-5))))/5</f>
        <v>0</v>
      </c>
    </row>
    <row r="819" spans="7:25" x14ac:dyDescent="0.35">
      <c r="G819" s="66">
        <v>9</v>
      </c>
      <c r="H819" t="s">
        <v>36</v>
      </c>
      <c r="I819" t="s">
        <v>106</v>
      </c>
      <c r="J819" t="s">
        <v>256</v>
      </c>
      <c r="K819" t="s">
        <v>9</v>
      </c>
      <c r="L819" t="s">
        <v>24</v>
      </c>
      <c r="M819">
        <f t="shared" si="44"/>
        <v>-2.8088882955942331</v>
      </c>
      <c r="N819" t="str">
        <f t="shared" si="45"/>
        <v/>
      </c>
      <c r="O819" s="67" cm="1">
        <f t="array" ref="O819">SUMPRODUCT((G819=$G$7:$G$10000)*(M819&lt;$M$7:$M$10000))+1</f>
        <v>101</v>
      </c>
      <c r="P819" s="72"/>
      <c r="Q819">
        <v>12</v>
      </c>
      <c r="R819" t="str">
        <v>MIA</v>
      </c>
      <c r="S819" t="str">
        <v>Benjamin Bonasso</v>
      </c>
      <c r="T819" t="str">
        <v>NULL</v>
      </c>
      <c r="U819" t="str">
        <v>Away</v>
      </c>
      <c r="V819" t="str">
        <v>CHI</v>
      </c>
      <c r="W819">
        <v>10.192373222345884</v>
      </c>
      <c r="Y819" s="1" cm="1">
        <f t="array" ref="Y819">COUNT(_xlfn._xlws.FILTER($G$7:$G$10000,($I$7:$I$10000=X819)*($J$7:$J$10000&lt;&gt;"NULL")*($G$7:$G$10000 &gt;= ($G$1-5))))/5</f>
        <v>0</v>
      </c>
    </row>
    <row r="820" spans="7:25" x14ac:dyDescent="0.35">
      <c r="G820" s="66">
        <v>9</v>
      </c>
      <c r="H820" t="s">
        <v>24</v>
      </c>
      <c r="I820" t="s">
        <v>142</v>
      </c>
      <c r="J820" t="s">
        <v>256</v>
      </c>
      <c r="K820" t="s">
        <v>3</v>
      </c>
      <c r="L820" t="s">
        <v>36</v>
      </c>
      <c r="M820">
        <f t="shared" si="44"/>
        <v>-7.3451996446791012</v>
      </c>
      <c r="N820" t="str">
        <f t="shared" si="45"/>
        <v/>
      </c>
      <c r="O820" s="67" cm="1">
        <f t="array" ref="O820">SUMPRODUCT((G820=$G$7:$G$10000)*(M820&lt;$M$7:$M$10000))+1</f>
        <v>102</v>
      </c>
      <c r="P820" s="72"/>
      <c r="Q820">
        <v>12</v>
      </c>
      <c r="R820" t="str">
        <v>LA</v>
      </c>
      <c r="S820" t="str">
        <v>Tim Anstee</v>
      </c>
      <c r="T820" t="str">
        <v>NULL</v>
      </c>
      <c r="U820" t="str">
        <v>Away</v>
      </c>
      <c r="V820" t="str">
        <v>SEA</v>
      </c>
      <c r="W820">
        <v>10.061198853041052</v>
      </c>
      <c r="Y820" s="1" cm="1">
        <f t="array" ref="Y820">COUNT(_xlfn._xlws.FILTER($G$7:$G$10000,($I$7:$I$10000=X820)*($J$7:$J$10000&lt;&gt;"NULL")*($G$7:$G$10000 &gt;= ($G$1-5))))/5</f>
        <v>0</v>
      </c>
    </row>
    <row r="821" spans="7:25" x14ac:dyDescent="0.35">
      <c r="G821" s="66">
        <v>10</v>
      </c>
      <c r="H821" t="s">
        <v>17</v>
      </c>
      <c r="I821" t="s">
        <v>485</v>
      </c>
      <c r="J821" t="s">
        <v>256</v>
      </c>
      <c r="K821" t="s">
        <v>3</v>
      </c>
      <c r="L821" t="s">
        <v>2</v>
      </c>
      <c r="M821">
        <f t="shared" si="44"/>
        <v>19.27720607187657</v>
      </c>
      <c r="N821" t="str">
        <f t="shared" si="45"/>
        <v/>
      </c>
      <c r="O821" s="67" cm="1">
        <f t="array" ref="O821">SUMPRODUCT((G821=$G$7:$G$10000)*(M821&lt;$M$7:$M$10000))+1</f>
        <v>1</v>
      </c>
      <c r="P821" s="72"/>
      <c r="Q821">
        <v>12</v>
      </c>
      <c r="R821" t="str">
        <v>UTAH</v>
      </c>
      <c r="S821" t="str">
        <v>Liam Coltman</v>
      </c>
      <c r="T821" t="str">
        <v>NULL</v>
      </c>
      <c r="U821" t="str">
        <v>Away</v>
      </c>
      <c r="V821" t="str">
        <v>OGDC</v>
      </c>
      <c r="W821">
        <v>9.8716693663893533</v>
      </c>
      <c r="Y821" s="1" cm="1">
        <f t="array" ref="Y821">COUNT(_xlfn._xlws.FILTER($G$7:$G$10000,($I$7:$I$10000=X821)*($J$7:$J$10000&lt;&gt;"NULL")*($G$7:$G$10000 &gt;= ($G$1-5))))/5</f>
        <v>0</v>
      </c>
    </row>
    <row r="822" spans="7:25" x14ac:dyDescent="0.35">
      <c r="G822" s="66">
        <v>10</v>
      </c>
      <c r="H822" t="s">
        <v>34</v>
      </c>
      <c r="I822" t="s">
        <v>228</v>
      </c>
      <c r="J822" t="s">
        <v>256</v>
      </c>
      <c r="K822" t="s">
        <v>3</v>
      </c>
      <c r="L822" t="s">
        <v>13</v>
      </c>
      <c r="M822">
        <f t="shared" si="44"/>
        <v>12.211471240512715</v>
      </c>
      <c r="N822" t="str">
        <f t="shared" si="45"/>
        <v/>
      </c>
      <c r="O822" s="67" cm="1">
        <f t="array" ref="O822">SUMPRODUCT((G822=$G$7:$G$10000)*(M822&lt;$M$7:$M$10000))+1</f>
        <v>2</v>
      </c>
      <c r="P822" s="72"/>
      <c r="Q822">
        <v>12</v>
      </c>
      <c r="R822" t="str">
        <v>MIA</v>
      </c>
      <c r="S822" t="str">
        <v>Manuel Ardao</v>
      </c>
      <c r="T822" t="str">
        <v>NULL</v>
      </c>
      <c r="U822" t="str">
        <v>Away</v>
      </c>
      <c r="V822" t="str">
        <v>CHI</v>
      </c>
      <c r="W822">
        <v>9.4776528672561025</v>
      </c>
      <c r="Y822" s="1" cm="1">
        <f t="array" ref="Y822">COUNT(_xlfn._xlws.FILTER($G$7:$G$10000,($I$7:$I$10000=X822)*($J$7:$J$10000&lt;&gt;"NULL")*($G$7:$G$10000 &gt;= ($G$1-5))))/5</f>
        <v>0</v>
      </c>
    </row>
    <row r="823" spans="7:25" x14ac:dyDescent="0.35">
      <c r="G823" s="66">
        <v>10</v>
      </c>
      <c r="H823" t="s">
        <v>13</v>
      </c>
      <c r="I823" t="s">
        <v>463</v>
      </c>
      <c r="J823" t="s">
        <v>256</v>
      </c>
      <c r="K823" t="s">
        <v>9</v>
      </c>
      <c r="L823" t="s">
        <v>34</v>
      </c>
      <c r="M823">
        <f t="shared" si="44"/>
        <v>11.903964694853576</v>
      </c>
      <c r="N823" t="str">
        <f t="shared" si="45"/>
        <v/>
      </c>
      <c r="O823" s="67" cm="1">
        <f t="array" ref="O823">SUMPRODUCT((G823=$G$7:$G$10000)*(M823&lt;$M$7:$M$10000))+1</f>
        <v>3</v>
      </c>
      <c r="P823" s="72"/>
      <c r="Q823">
        <v>12</v>
      </c>
      <c r="R823" t="str">
        <v>HOU</v>
      </c>
      <c r="S823" t="str">
        <v>Pita Anae-Ah Sue</v>
      </c>
      <c r="T823" t="str">
        <v>NULL</v>
      </c>
      <c r="U823" t="str">
        <v>Away</v>
      </c>
      <c r="V823" t="str">
        <v>NEFJ</v>
      </c>
      <c r="W823">
        <v>9.4475705873008167</v>
      </c>
      <c r="Y823" s="1" cm="1">
        <f t="array" ref="Y823">COUNT(_xlfn._xlws.FILTER($G$7:$G$10000,($I$7:$I$10000=X823)*($J$7:$J$10000&lt;&gt;"NULL")*($G$7:$G$10000 &gt;= ($G$1-5))))/5</f>
        <v>0</v>
      </c>
    </row>
    <row r="824" spans="7:25" x14ac:dyDescent="0.35">
      <c r="G824" s="66">
        <v>10</v>
      </c>
      <c r="H824" t="s">
        <v>34</v>
      </c>
      <c r="I824" t="s">
        <v>462</v>
      </c>
      <c r="J824" t="s">
        <v>256</v>
      </c>
      <c r="K824" t="s">
        <v>3</v>
      </c>
      <c r="L824" t="s">
        <v>13</v>
      </c>
      <c r="M824">
        <f t="shared" si="44"/>
        <v>11.853838868297174</v>
      </c>
      <c r="N824" t="str">
        <f t="shared" si="45"/>
        <v/>
      </c>
      <c r="O824" s="67" cm="1">
        <f t="array" ref="O824">SUMPRODUCT((G824=$G$7:$G$10000)*(M824&lt;$M$7:$M$10000))+1</f>
        <v>4</v>
      </c>
      <c r="P824" s="72"/>
      <c r="Q824">
        <v>12</v>
      </c>
      <c r="R824" t="str">
        <v>SEA</v>
      </c>
      <c r="S824" t="str">
        <v>OJ Noa</v>
      </c>
      <c r="T824" t="str">
        <v>NULL</v>
      </c>
      <c r="U824" t="str">
        <v>Home</v>
      </c>
      <c r="V824" t="str">
        <v>LA</v>
      </c>
      <c r="W824">
        <v>9.372756729707266</v>
      </c>
      <c r="Y824" s="1" cm="1">
        <f t="array" ref="Y824">COUNT(_xlfn._xlws.FILTER($G$7:$G$10000,($I$7:$I$10000=X824)*($J$7:$J$10000&lt;&gt;"NULL")*($G$7:$G$10000 &gt;= ($G$1-5))))/5</f>
        <v>0</v>
      </c>
    </row>
    <row r="825" spans="7:25" x14ac:dyDescent="0.35">
      <c r="G825" s="66">
        <v>10</v>
      </c>
      <c r="H825" t="s">
        <v>36</v>
      </c>
      <c r="I825" t="s">
        <v>466</v>
      </c>
      <c r="J825" t="s">
        <v>256</v>
      </c>
      <c r="K825" t="s">
        <v>3</v>
      </c>
      <c r="L825" t="s">
        <v>4</v>
      </c>
      <c r="M825">
        <f t="shared" si="44"/>
        <v>11.503996063487756</v>
      </c>
      <c r="N825" t="str">
        <f t="shared" si="45"/>
        <v/>
      </c>
      <c r="O825" s="67" cm="1">
        <f t="array" ref="O825">SUMPRODUCT((G825=$G$7:$G$10000)*(M825&lt;$M$7:$M$10000))+1</f>
        <v>5</v>
      </c>
      <c r="P825" s="72"/>
      <c r="Q825">
        <v>12</v>
      </c>
      <c r="R825" t="str">
        <v>CHI</v>
      </c>
      <c r="S825" t="str">
        <v>Maclean Jones</v>
      </c>
      <c r="T825" t="str">
        <v>NULL</v>
      </c>
      <c r="U825" t="str">
        <v>Home</v>
      </c>
      <c r="V825" t="str">
        <v>MIA</v>
      </c>
      <c r="W825">
        <v>9.2771199474875345</v>
      </c>
      <c r="Y825" s="1" cm="1">
        <f t="array" ref="Y825">COUNT(_xlfn._xlws.FILTER($G$7:$G$10000,($I$7:$I$10000=X825)*($J$7:$J$10000&lt;&gt;"NULL")*($G$7:$G$10000 &gt;= ($G$1-5))))/5</f>
        <v>0</v>
      </c>
    </row>
    <row r="826" spans="7:25" x14ac:dyDescent="0.35">
      <c r="G826" s="66">
        <v>10</v>
      </c>
      <c r="H826" t="s">
        <v>4</v>
      </c>
      <c r="I826" t="s">
        <v>175</v>
      </c>
      <c r="J826" t="s">
        <v>256</v>
      </c>
      <c r="K826" t="s">
        <v>9</v>
      </c>
      <c r="L826" t="s">
        <v>36</v>
      </c>
      <c r="M826">
        <f t="shared" si="44"/>
        <v>11.46423299731101</v>
      </c>
      <c r="N826" t="str">
        <f t="shared" si="45"/>
        <v/>
      </c>
      <c r="O826" s="67" cm="1">
        <f t="array" ref="O826">SUMPRODUCT((G826=$G$7:$G$10000)*(M826&lt;$M$7:$M$10000))+1</f>
        <v>6</v>
      </c>
      <c r="P826" s="72"/>
      <c r="Q826">
        <v>12</v>
      </c>
      <c r="R826" t="str">
        <v>SDL</v>
      </c>
      <c r="S826" t="str">
        <v>Jed Holloway</v>
      </c>
      <c r="T826" t="str">
        <v>NULL</v>
      </c>
      <c r="U826" t="str">
        <v>Home</v>
      </c>
      <c r="V826" t="str">
        <v>NOLA</v>
      </c>
      <c r="W826">
        <v>9.1835817269973923</v>
      </c>
      <c r="Y826" s="1" cm="1">
        <f t="array" ref="Y826">COUNT(_xlfn._xlws.FILTER($G$7:$G$10000,($I$7:$I$10000=X826)*($J$7:$J$10000&lt;&gt;"NULL")*($G$7:$G$10000 &gt;= ($G$1-5))))/5</f>
        <v>0</v>
      </c>
    </row>
    <row r="827" spans="7:25" x14ac:dyDescent="0.35">
      <c r="G827" s="66">
        <v>10</v>
      </c>
      <c r="H827" t="s">
        <v>36</v>
      </c>
      <c r="I827" t="s">
        <v>225</v>
      </c>
      <c r="J827" t="s">
        <v>256</v>
      </c>
      <c r="K827" t="s">
        <v>3</v>
      </c>
      <c r="L827" t="s">
        <v>4</v>
      </c>
      <c r="M827">
        <f t="shared" si="44"/>
        <v>11.144281959560686</v>
      </c>
      <c r="N827" t="str">
        <f t="shared" si="45"/>
        <v/>
      </c>
      <c r="O827" s="67" cm="1">
        <f t="array" ref="O827">SUMPRODUCT((G827=$G$7:$G$10000)*(M827&lt;$M$7:$M$10000))+1</f>
        <v>7</v>
      </c>
      <c r="P827" s="72"/>
      <c r="Q827">
        <v>12</v>
      </c>
      <c r="R827" t="str">
        <v>HOU</v>
      </c>
      <c r="S827" t="str">
        <v>Sam Tuifua</v>
      </c>
      <c r="T827" t="str">
        <v>NULL</v>
      </c>
      <c r="U827" t="str">
        <v>Away</v>
      </c>
      <c r="V827" t="str">
        <v>NEFJ</v>
      </c>
      <c r="W827">
        <v>9.087856483373745</v>
      </c>
      <c r="Y827" s="1" cm="1">
        <f t="array" ref="Y827">COUNT(_xlfn._xlws.FILTER($G$7:$G$10000,($I$7:$I$10000=X827)*($J$7:$J$10000&lt;&gt;"NULL")*($G$7:$G$10000 &gt;= ($G$1-5))))/5</f>
        <v>0</v>
      </c>
    </row>
    <row r="828" spans="7:25" x14ac:dyDescent="0.35">
      <c r="G828" s="66">
        <v>10</v>
      </c>
      <c r="H828" t="s">
        <v>34</v>
      </c>
      <c r="I828" t="s">
        <v>429</v>
      </c>
      <c r="J828" t="s">
        <v>256</v>
      </c>
      <c r="K828" t="s">
        <v>3</v>
      </c>
      <c r="L828" t="s">
        <v>13</v>
      </c>
      <c r="M828">
        <f t="shared" si="44"/>
        <v>10.843372954491812</v>
      </c>
      <c r="N828" t="str">
        <f t="shared" si="45"/>
        <v/>
      </c>
      <c r="O828" s="67" cm="1">
        <f t="array" ref="O828">SUMPRODUCT((G828=$G$7:$G$10000)*(M828&lt;$M$7:$M$10000))+1</f>
        <v>8</v>
      </c>
      <c r="P828" s="72"/>
      <c r="Q828">
        <v>12</v>
      </c>
      <c r="R828" t="str">
        <v>CHI</v>
      </c>
      <c r="S828" t="str">
        <v>James Scott</v>
      </c>
      <c r="T828" t="str">
        <v>NULL</v>
      </c>
      <c r="U828" t="str">
        <v>Home</v>
      </c>
      <c r="V828" t="str">
        <v>MIA</v>
      </c>
      <c r="W828">
        <v>8.8304769689026621</v>
      </c>
      <c r="Y828" s="1" cm="1">
        <f t="array" ref="Y828">COUNT(_xlfn._xlws.FILTER($G$7:$G$10000,($I$7:$I$10000=X828)*($J$7:$J$10000&lt;&gt;"NULL")*($G$7:$G$10000 &gt;= ($G$1-5))))/5</f>
        <v>0</v>
      </c>
    </row>
    <row r="829" spans="7:25" x14ac:dyDescent="0.35">
      <c r="G829" s="66">
        <v>10</v>
      </c>
      <c r="H829" t="s">
        <v>17</v>
      </c>
      <c r="I829" t="s">
        <v>480</v>
      </c>
      <c r="J829" t="s">
        <v>256</v>
      </c>
      <c r="K829" t="s">
        <v>3</v>
      </c>
      <c r="L829" t="s">
        <v>2</v>
      </c>
      <c r="M829">
        <f t="shared" si="44"/>
        <v>10.743423801838761</v>
      </c>
      <c r="N829" t="str">
        <f t="shared" si="45"/>
        <v/>
      </c>
      <c r="O829" s="67" cm="1">
        <f t="array" ref="O829">SUMPRODUCT((G829=$G$7:$G$10000)*(M829&lt;$M$7:$M$10000))+1</f>
        <v>9</v>
      </c>
      <c r="P829" s="72"/>
      <c r="Q829">
        <v>12</v>
      </c>
      <c r="R829" t="str">
        <v>CHI</v>
      </c>
      <c r="S829" t="str">
        <v>Mason Flesch</v>
      </c>
      <c r="T829" t="str">
        <v>NULL</v>
      </c>
      <c r="U829" t="str">
        <v>Home</v>
      </c>
      <c r="V829" t="str">
        <v>MIA</v>
      </c>
      <c r="W829">
        <v>8.6201698043640089</v>
      </c>
      <c r="Y829" s="1" cm="1">
        <f t="array" ref="Y829">COUNT(_xlfn._xlws.FILTER($G$7:$G$10000,($I$7:$I$10000=X829)*($J$7:$J$10000&lt;&gt;"NULL")*($G$7:$G$10000 &gt;= ($G$1-5))))/5</f>
        <v>0</v>
      </c>
    </row>
    <row r="830" spans="7:25" x14ac:dyDescent="0.35">
      <c r="G830" s="66">
        <v>10</v>
      </c>
      <c r="H830" t="s">
        <v>4</v>
      </c>
      <c r="I830" t="s">
        <v>209</v>
      </c>
      <c r="J830" t="s">
        <v>256</v>
      </c>
      <c r="K830" t="s">
        <v>9</v>
      </c>
      <c r="L830" t="s">
        <v>36</v>
      </c>
      <c r="M830">
        <f t="shared" si="44"/>
        <v>10.571945458492406</v>
      </c>
      <c r="N830" t="str">
        <f t="shared" si="45"/>
        <v/>
      </c>
      <c r="O830" s="67" cm="1">
        <f t="array" ref="O830">SUMPRODUCT((G830=$G$7:$G$10000)*(M830&lt;$M$7:$M$10000))+1</f>
        <v>10</v>
      </c>
      <c r="P830" s="72"/>
      <c r="Q830">
        <v>12</v>
      </c>
      <c r="R830" t="str">
        <v>NOLA</v>
      </c>
      <c r="S830" t="str">
        <v>Tupou Ma'afu Afungia</v>
      </c>
      <c r="T830" t="str">
        <v>NULL</v>
      </c>
      <c r="U830" t="str">
        <v>Away</v>
      </c>
      <c r="V830" t="str">
        <v>SDL</v>
      </c>
      <c r="W830">
        <v>8.3122491919504053</v>
      </c>
      <c r="Y830" s="1" cm="1">
        <f t="array" ref="Y830">COUNT(_xlfn._xlws.FILTER($G$7:$G$10000,($I$7:$I$10000=X830)*($J$7:$J$10000&lt;&gt;"NULL")*($G$7:$G$10000 &gt;= ($G$1-5))))/5</f>
        <v>0</v>
      </c>
    </row>
    <row r="831" spans="7:25" x14ac:dyDescent="0.35">
      <c r="G831" s="66">
        <v>10</v>
      </c>
      <c r="H831" t="s">
        <v>23</v>
      </c>
      <c r="I831" t="s">
        <v>428</v>
      </c>
      <c r="J831" t="s">
        <v>256</v>
      </c>
      <c r="K831" t="s">
        <v>9</v>
      </c>
      <c r="L831" t="s">
        <v>14</v>
      </c>
      <c r="M831">
        <f t="shared" si="44"/>
        <v>10.379294452840586</v>
      </c>
      <c r="N831" t="str">
        <f t="shared" si="45"/>
        <v/>
      </c>
      <c r="O831" s="67" cm="1">
        <f t="array" ref="O831">SUMPRODUCT((G831=$G$7:$G$10000)*(M831&lt;$M$7:$M$10000))+1</f>
        <v>11</v>
      </c>
      <c r="P831" s="72"/>
      <c r="Q831">
        <v>12</v>
      </c>
      <c r="R831" t="str">
        <v>LA</v>
      </c>
      <c r="S831" t="str">
        <v>Ben Houston</v>
      </c>
      <c r="T831" t="str">
        <v>NULL</v>
      </c>
      <c r="U831" t="str">
        <v>Away</v>
      </c>
      <c r="V831" t="str">
        <v>SEA</v>
      </c>
      <c r="W831">
        <v>8.0845704034705896</v>
      </c>
      <c r="Y831" s="1" cm="1">
        <f t="array" ref="Y831">COUNT(_xlfn._xlws.FILTER($G$7:$G$10000,($I$7:$I$10000=X831)*($J$7:$J$10000&lt;&gt;"NULL")*($G$7:$G$10000 &gt;= ($G$1-5))))/5</f>
        <v>0</v>
      </c>
    </row>
    <row r="832" spans="7:25" x14ac:dyDescent="0.35">
      <c r="G832" s="66">
        <v>10</v>
      </c>
      <c r="H832" t="s">
        <v>34</v>
      </c>
      <c r="I832" t="s">
        <v>200</v>
      </c>
      <c r="J832" t="s">
        <v>256</v>
      </c>
      <c r="K832" t="s">
        <v>3</v>
      </c>
      <c r="L832" t="s">
        <v>13</v>
      </c>
      <c r="M832">
        <f t="shared" si="44"/>
        <v>9.9921351748792091</v>
      </c>
      <c r="N832" t="str">
        <f t="shared" si="45"/>
        <v/>
      </c>
      <c r="O832" s="67" cm="1">
        <f t="array" ref="O832">SUMPRODUCT((G832=$G$7:$G$10000)*(M832&lt;$M$7:$M$10000))+1</f>
        <v>12</v>
      </c>
      <c r="P832" s="72"/>
      <c r="Q832">
        <v>12</v>
      </c>
      <c r="R832" t="str">
        <v>CHI</v>
      </c>
      <c r="S832" t="str">
        <v>Paddy Ryan</v>
      </c>
      <c r="T832" t="str">
        <v>NULL</v>
      </c>
      <c r="U832" t="str">
        <v>Home</v>
      </c>
      <c r="V832" t="str">
        <v>MIA</v>
      </c>
      <c r="W832">
        <v>8.0651310694981273</v>
      </c>
      <c r="Y832" s="1" cm="1">
        <f t="array" ref="Y832">COUNT(_xlfn._xlws.FILTER($G$7:$G$10000,($I$7:$I$10000=X832)*($J$7:$J$10000&lt;&gt;"NULL")*($G$7:$G$10000 &gt;= ($G$1-5))))/5</f>
        <v>0</v>
      </c>
    </row>
    <row r="833" spans="7:25" x14ac:dyDescent="0.35">
      <c r="G833" s="66">
        <v>10</v>
      </c>
      <c r="H833" t="s">
        <v>2</v>
      </c>
      <c r="I833" t="s">
        <v>212</v>
      </c>
      <c r="J833" t="s">
        <v>256</v>
      </c>
      <c r="K833" t="s">
        <v>9</v>
      </c>
      <c r="L833" t="s">
        <v>17</v>
      </c>
      <c r="M833">
        <f t="shared" si="44"/>
        <v>9.9347989312636145</v>
      </c>
      <c r="N833" t="str">
        <f t="shared" si="45"/>
        <v/>
      </c>
      <c r="O833" s="67" cm="1">
        <f t="array" ref="O833">SUMPRODUCT((G833=$G$7:$G$10000)*(M833&lt;$M$7:$M$10000))+1</f>
        <v>13</v>
      </c>
      <c r="P833" s="72"/>
      <c r="Q833">
        <v>12</v>
      </c>
      <c r="R833" t="str">
        <v>NOLA</v>
      </c>
      <c r="S833" t="str">
        <v>William Waguespack</v>
      </c>
      <c r="T833" t="str">
        <v>NULL</v>
      </c>
      <c r="U833" t="str">
        <v>Away</v>
      </c>
      <c r="V833" t="str">
        <v>SDL</v>
      </c>
      <c r="W833">
        <v>7.9083606269640958</v>
      </c>
      <c r="Y833" s="1" cm="1">
        <f t="array" ref="Y833">COUNT(_xlfn._xlws.FILTER($G$7:$G$10000,($I$7:$I$10000=X833)*($J$7:$J$10000&lt;&gt;"NULL")*($G$7:$G$10000 &gt;= ($G$1-5))))/5</f>
        <v>0</v>
      </c>
    </row>
    <row r="834" spans="7:25" x14ac:dyDescent="0.35">
      <c r="G834" s="66">
        <v>10</v>
      </c>
      <c r="H834" t="s">
        <v>13</v>
      </c>
      <c r="I834" t="s">
        <v>204</v>
      </c>
      <c r="J834" t="s">
        <v>256</v>
      </c>
      <c r="K834" t="s">
        <v>9</v>
      </c>
      <c r="L834" t="s">
        <v>34</v>
      </c>
      <c r="M834">
        <f t="shared" si="44"/>
        <v>9.6982714308575595</v>
      </c>
      <c r="N834" t="str">
        <f t="shared" si="45"/>
        <v/>
      </c>
      <c r="O834" s="67" cm="1">
        <f t="array" ref="O834">SUMPRODUCT((G834=$G$7:$G$10000)*(M834&lt;$M$7:$M$10000))+1</f>
        <v>14</v>
      </c>
      <c r="P834" s="72"/>
      <c r="Q834">
        <v>12</v>
      </c>
      <c r="R834" t="str">
        <v>LA</v>
      </c>
      <c r="S834" t="str">
        <v>Ed Timpson</v>
      </c>
      <c r="T834" t="str">
        <v>NULL</v>
      </c>
      <c r="U834" t="str">
        <v>Away</v>
      </c>
      <c r="V834" t="str">
        <v>SEA</v>
      </c>
      <c r="W834">
        <v>7.7139174580092256</v>
      </c>
      <c r="Y834" s="1" cm="1">
        <f t="array" ref="Y834">COUNT(_xlfn._xlws.FILTER($G$7:$G$10000,($I$7:$I$10000=X834)*($J$7:$J$10000&lt;&gt;"NULL")*($G$7:$G$10000 &gt;= ($G$1-5))))/5</f>
        <v>0</v>
      </c>
    </row>
    <row r="835" spans="7:25" x14ac:dyDescent="0.35">
      <c r="G835" s="66">
        <v>10</v>
      </c>
      <c r="H835" t="s">
        <v>24</v>
      </c>
      <c r="I835" t="s">
        <v>199</v>
      </c>
      <c r="J835" t="s">
        <v>256</v>
      </c>
      <c r="K835" t="s">
        <v>9</v>
      </c>
      <c r="L835" t="s">
        <v>7</v>
      </c>
      <c r="M835">
        <f t="shared" si="44"/>
        <v>9.6753047022492211</v>
      </c>
      <c r="N835" t="str">
        <f t="shared" si="45"/>
        <v/>
      </c>
      <c r="O835" s="67" cm="1">
        <f t="array" ref="O835">SUMPRODUCT((G835=$G$7:$G$10000)*(M835&lt;$M$7:$M$10000))+1</f>
        <v>15</v>
      </c>
      <c r="P835" s="72"/>
      <c r="Q835">
        <v>12</v>
      </c>
      <c r="R835" t="str">
        <v>UTAH</v>
      </c>
      <c r="S835" t="str">
        <v>Dylan Nel</v>
      </c>
      <c r="T835" t="str">
        <v>NULL</v>
      </c>
      <c r="U835" t="str">
        <v>Away</v>
      </c>
      <c r="V835" t="str">
        <v>OGDC</v>
      </c>
      <c r="W835">
        <v>7.665976102393337</v>
      </c>
      <c r="Y835" s="1" cm="1">
        <f t="array" ref="Y835">COUNT(_xlfn._xlws.FILTER($G$7:$G$10000,($I$7:$I$10000=X835)*($J$7:$J$10000&lt;&gt;"NULL")*($G$7:$G$10000 &gt;= ($G$1-5))))/5</f>
        <v>0</v>
      </c>
    </row>
    <row r="836" spans="7:25" x14ac:dyDescent="0.35">
      <c r="G836" s="66">
        <v>10</v>
      </c>
      <c r="H836" t="s">
        <v>23</v>
      </c>
      <c r="I836" t="s">
        <v>389</v>
      </c>
      <c r="J836" t="s">
        <v>256</v>
      </c>
      <c r="K836" t="s">
        <v>9</v>
      </c>
      <c r="L836" t="s">
        <v>14</v>
      </c>
      <c r="M836">
        <f t="shared" si="44"/>
        <v>9.5618063244537339</v>
      </c>
      <c r="N836" t="str">
        <f t="shared" si="45"/>
        <v/>
      </c>
      <c r="O836" s="67" cm="1">
        <f t="array" ref="O836">SUMPRODUCT((G836=$G$7:$G$10000)*(M836&lt;$M$7:$M$10000))+1</f>
        <v>16</v>
      </c>
      <c r="P836" s="72"/>
      <c r="Q836">
        <v>12</v>
      </c>
      <c r="R836" t="str">
        <v>NEFJ</v>
      </c>
      <c r="S836" t="str">
        <v>Piers von Dadelszen</v>
      </c>
      <c r="T836" t="str">
        <v>NULL</v>
      </c>
      <c r="U836" t="str">
        <v>Home</v>
      </c>
      <c r="V836" t="str">
        <v>HOU</v>
      </c>
      <c r="W836">
        <v>7.5253832826674971</v>
      </c>
      <c r="Y836" s="1" cm="1">
        <f t="array" ref="Y836">COUNT(_xlfn._xlws.FILTER($G$7:$G$10000,($I$7:$I$10000=X836)*($J$7:$J$10000&lt;&gt;"NULL")*($G$7:$G$10000 &gt;= ($G$1-5))))/5</f>
        <v>0</v>
      </c>
    </row>
    <row r="837" spans="7:25" x14ac:dyDescent="0.35">
      <c r="G837" s="66">
        <v>10</v>
      </c>
      <c r="H837" t="s">
        <v>2</v>
      </c>
      <c r="I837" t="s">
        <v>156</v>
      </c>
      <c r="J837" t="s">
        <v>256</v>
      </c>
      <c r="K837" t="s">
        <v>9</v>
      </c>
      <c r="L837" t="s">
        <v>17</v>
      </c>
      <c r="M837">
        <f t="shared" si="44"/>
        <v>9.5346412549097881</v>
      </c>
      <c r="N837" t="str">
        <f t="shared" si="45"/>
        <v/>
      </c>
      <c r="O837" s="67" cm="1">
        <f t="array" ref="O837">SUMPRODUCT((G837=$G$7:$G$10000)*(M837&lt;$M$7:$M$10000))+1</f>
        <v>17</v>
      </c>
      <c r="P837" s="72"/>
      <c r="Q837">
        <v>12</v>
      </c>
      <c r="R837" t="str">
        <v>NEFJ</v>
      </c>
      <c r="S837" t="str">
        <v>Andrew Quattrin</v>
      </c>
      <c r="T837" t="str">
        <v>NULL</v>
      </c>
      <c r="U837" t="str">
        <v>Home</v>
      </c>
      <c r="V837" t="str">
        <v>HOU</v>
      </c>
      <c r="W837">
        <v>7.4107491713613047</v>
      </c>
      <c r="Y837" s="1" cm="1">
        <f t="array" ref="Y837">COUNT(_xlfn._xlws.FILTER($G$7:$G$10000,($I$7:$I$10000=X837)*($J$7:$J$10000&lt;&gt;"NULL")*($G$7:$G$10000 &gt;= ($G$1-5))))/5</f>
        <v>0</v>
      </c>
    </row>
    <row r="838" spans="7:25" x14ac:dyDescent="0.35">
      <c r="G838" s="66">
        <v>10</v>
      </c>
      <c r="H838" t="s">
        <v>34</v>
      </c>
      <c r="I838" t="s">
        <v>351</v>
      </c>
      <c r="J838" t="s">
        <v>256</v>
      </c>
      <c r="K838" t="s">
        <v>3</v>
      </c>
      <c r="L838" t="s">
        <v>13</v>
      </c>
      <c r="M838">
        <f t="shared" si="44"/>
        <v>9.4363580362126296</v>
      </c>
      <c r="N838" t="str">
        <f t="shared" si="45"/>
        <v/>
      </c>
      <c r="O838" s="67" cm="1">
        <f t="array" ref="O838">SUMPRODUCT((G838=$G$7:$G$10000)*(M838&lt;$M$7:$M$10000))+1</f>
        <v>18</v>
      </c>
      <c r="P838" s="72"/>
      <c r="Q838">
        <v>12</v>
      </c>
      <c r="R838" t="str">
        <v>NOLA</v>
      </c>
      <c r="S838" t="str">
        <v>Chase Jones</v>
      </c>
      <c r="T838" t="str">
        <v>NULL</v>
      </c>
      <c r="U838" t="str">
        <v>Away</v>
      </c>
      <c r="V838" t="str">
        <v>SDL</v>
      </c>
      <c r="W838">
        <v>7.3279938288804738</v>
      </c>
      <c r="Y838" s="1" cm="1">
        <f t="array" ref="Y838">COUNT(_xlfn._xlws.FILTER($G$7:$G$10000,($I$7:$I$10000=X838)*($J$7:$J$10000&lt;&gt;"NULL")*($G$7:$G$10000 &gt;= ($G$1-5))))/5</f>
        <v>0</v>
      </c>
    </row>
    <row r="839" spans="7:25" x14ac:dyDescent="0.35">
      <c r="G839" s="66">
        <v>10</v>
      </c>
      <c r="H839" t="s">
        <v>17</v>
      </c>
      <c r="I839" t="s">
        <v>427</v>
      </c>
      <c r="J839" t="s">
        <v>256</v>
      </c>
      <c r="K839" t="s">
        <v>3</v>
      </c>
      <c r="L839" t="s">
        <v>2</v>
      </c>
      <c r="M839">
        <f t="shared" si="44"/>
        <v>9.0389067093408073</v>
      </c>
      <c r="N839" t="str">
        <f t="shared" si="45"/>
        <v/>
      </c>
      <c r="O839" s="67" cm="1">
        <f t="array" ref="O839">SUMPRODUCT((G839=$G$7:$G$10000)*(M839&lt;$M$7:$M$10000))+1</f>
        <v>19</v>
      </c>
      <c r="P839" s="72"/>
      <c r="Q839">
        <v>12</v>
      </c>
      <c r="R839" t="str">
        <v>SDL</v>
      </c>
      <c r="S839" t="str">
        <v>Paddy Ryan</v>
      </c>
      <c r="T839" t="str">
        <v>NULL</v>
      </c>
      <c r="U839" t="str">
        <v>Home</v>
      </c>
      <c r="V839" t="str">
        <v>NOLA</v>
      </c>
      <c r="W839">
        <v>7.3003703441121939</v>
      </c>
      <c r="Y839" s="1" cm="1">
        <f t="array" ref="Y839">COUNT(_xlfn._xlws.FILTER($G$7:$G$10000,($I$7:$I$10000=X839)*($J$7:$J$10000&lt;&gt;"NULL")*($G$7:$G$10000 &gt;= ($G$1-5))))/5</f>
        <v>0</v>
      </c>
    </row>
    <row r="840" spans="7:25" x14ac:dyDescent="0.35">
      <c r="G840" s="66">
        <v>10</v>
      </c>
      <c r="H840" t="s">
        <v>24</v>
      </c>
      <c r="I840" t="s">
        <v>215</v>
      </c>
      <c r="J840" t="s">
        <v>256</v>
      </c>
      <c r="K840" t="s">
        <v>9</v>
      </c>
      <c r="L840" t="s">
        <v>7</v>
      </c>
      <c r="M840">
        <f t="shared" si="44"/>
        <v>8.9605843471594397</v>
      </c>
      <c r="N840" t="str">
        <f t="shared" si="45"/>
        <v/>
      </c>
      <c r="O840" s="67" cm="1">
        <f t="array" ref="O840">SUMPRODUCT((G840=$G$7:$G$10000)*(M840&lt;$M$7:$M$10000))+1</f>
        <v>20</v>
      </c>
      <c r="P840" s="72"/>
      <c r="Q840">
        <v>12</v>
      </c>
      <c r="R840" t="str">
        <v>NOLA</v>
      </c>
      <c r="S840" t="str">
        <v>Kellen Galletier</v>
      </c>
      <c r="T840" t="str">
        <v>NULL</v>
      </c>
      <c r="U840" t="str">
        <v>Away</v>
      </c>
      <c r="V840" t="str">
        <v>SDL</v>
      </c>
      <c r="W840">
        <v>7.227217560859474</v>
      </c>
      <c r="Y840" s="1" cm="1">
        <f t="array" ref="Y840">COUNT(_xlfn._xlws.FILTER($G$7:$G$10000,($I$7:$I$10000=X840)*($J$7:$J$10000&lt;&gt;"NULL")*($G$7:$G$10000 &gt;= ($G$1-5))))/5</f>
        <v>0</v>
      </c>
    </row>
    <row r="841" spans="7:25" x14ac:dyDescent="0.35">
      <c r="G841" s="66">
        <v>10</v>
      </c>
      <c r="H841" t="s">
        <v>7</v>
      </c>
      <c r="I841" t="s">
        <v>207</v>
      </c>
      <c r="J841" t="s">
        <v>256</v>
      </c>
      <c r="K841" t="s">
        <v>3</v>
      </c>
      <c r="L841" t="s">
        <v>24</v>
      </c>
      <c r="M841">
        <f t="shared" si="44"/>
        <v>8.8705298013721769</v>
      </c>
      <c r="N841" t="str">
        <f t="shared" si="45"/>
        <v/>
      </c>
      <c r="O841" s="67" cm="1">
        <f t="array" ref="O841">SUMPRODUCT((G841=$G$7:$G$10000)*(M841&lt;$M$7:$M$10000))+1</f>
        <v>21</v>
      </c>
      <c r="P841" s="72"/>
      <c r="Q841">
        <v>12</v>
      </c>
      <c r="R841" t="str">
        <v>LA</v>
      </c>
      <c r="S841" t="str">
        <v>Jason Damm</v>
      </c>
      <c r="T841" t="str">
        <v>NULL</v>
      </c>
      <c r="U841" t="str">
        <v>Away</v>
      </c>
      <c r="V841" t="str">
        <v>SEA</v>
      </c>
      <c r="W841">
        <v>7.2120644871391475</v>
      </c>
      <c r="Y841" s="1" cm="1">
        <f t="array" ref="Y841">COUNT(_xlfn._xlws.FILTER($G$7:$G$10000,($I$7:$I$10000=X841)*($J$7:$J$10000&lt;&gt;"NULL")*($G$7:$G$10000 &gt;= ($G$1-5))))/5</f>
        <v>0</v>
      </c>
    </row>
    <row r="842" spans="7:25" x14ac:dyDescent="0.35">
      <c r="G842" s="66">
        <v>10</v>
      </c>
      <c r="H842" t="s">
        <v>2</v>
      </c>
      <c r="I842" t="s">
        <v>213</v>
      </c>
      <c r="J842" t="s">
        <v>256</v>
      </c>
      <c r="K842" t="s">
        <v>9</v>
      </c>
      <c r="L842" t="s">
        <v>17</v>
      </c>
      <c r="M842">
        <f t="shared" si="44"/>
        <v>8.5717480436401683</v>
      </c>
      <c r="N842" t="str">
        <f t="shared" si="45"/>
        <v/>
      </c>
      <c r="O842" s="67" cm="1">
        <f t="array" ref="O842">SUMPRODUCT((G842=$G$7:$G$10000)*(M842&lt;$M$7:$M$10000))+1</f>
        <v>22</v>
      </c>
      <c r="P842" s="72"/>
      <c r="Q842">
        <v>12</v>
      </c>
      <c r="R842" t="str">
        <v>NEFJ</v>
      </c>
      <c r="S842" t="str">
        <v>Sam Caird</v>
      </c>
      <c r="T842" t="str">
        <v>NULL</v>
      </c>
      <c r="U842" t="str">
        <v>Home</v>
      </c>
      <c r="V842" t="str">
        <v>HOU</v>
      </c>
      <c r="W842">
        <v>7.1389708167703283</v>
      </c>
      <c r="Y842" s="1" cm="1">
        <f t="array" ref="Y842">COUNT(_xlfn._xlws.FILTER($G$7:$G$10000,($I$7:$I$10000=X842)*($J$7:$J$10000&lt;&gt;"NULL")*($G$7:$G$10000 &gt;= ($G$1-5))))/5</f>
        <v>0</v>
      </c>
    </row>
    <row r="843" spans="7:25" x14ac:dyDescent="0.35">
      <c r="G843" s="66">
        <v>10</v>
      </c>
      <c r="H843" t="s">
        <v>13</v>
      </c>
      <c r="I843" t="s">
        <v>464</v>
      </c>
      <c r="J843" t="s">
        <v>256</v>
      </c>
      <c r="K843" t="s">
        <v>9</v>
      </c>
      <c r="L843" t="s">
        <v>34</v>
      </c>
      <c r="M843">
        <f t="shared" si="44"/>
        <v>8.4106941603977265</v>
      </c>
      <c r="N843" t="str">
        <f t="shared" si="45"/>
        <v/>
      </c>
      <c r="O843" s="67" cm="1">
        <f t="array" ref="O843">SUMPRODUCT((G843=$G$7:$G$10000)*(M843&lt;$M$7:$M$10000))+1</f>
        <v>23</v>
      </c>
      <c r="P843" s="72"/>
      <c r="Q843">
        <v>12</v>
      </c>
      <c r="R843" t="str">
        <v>MIA</v>
      </c>
      <c r="S843" t="str">
        <v>Mauro Rebussone</v>
      </c>
      <c r="T843" t="str">
        <v>NULL</v>
      </c>
      <c r="U843" t="str">
        <v>Away</v>
      </c>
      <c r="V843" t="str">
        <v>CHI</v>
      </c>
      <c r="W843">
        <v>7.0928927173552179</v>
      </c>
      <c r="Y843" s="1" cm="1">
        <f t="array" ref="Y843">COUNT(_xlfn._xlws.FILTER($G$7:$G$10000,($I$7:$I$10000=X843)*($J$7:$J$10000&lt;&gt;"NULL")*($G$7:$G$10000 &gt;= ($G$1-5))))/5</f>
        <v>0</v>
      </c>
    </row>
    <row r="844" spans="7:25" x14ac:dyDescent="0.35">
      <c r="G844" s="66">
        <v>10</v>
      </c>
      <c r="H844" t="s">
        <v>2</v>
      </c>
      <c r="I844" t="s">
        <v>108</v>
      </c>
      <c r="J844" t="s">
        <v>256</v>
      </c>
      <c r="K844" t="s">
        <v>9</v>
      </c>
      <c r="L844" t="s">
        <v>17</v>
      </c>
      <c r="M844">
        <f t="shared" si="44"/>
        <v>8.1251050650552976</v>
      </c>
      <c r="N844" t="str">
        <f t="shared" si="45"/>
        <v/>
      </c>
      <c r="O844" s="67" cm="1">
        <f t="array" ref="O844">SUMPRODUCT((G844=$G$7:$G$10000)*(M844&lt;$M$7:$M$10000))+1</f>
        <v>24</v>
      </c>
      <c r="P844" s="72"/>
      <c r="Q844">
        <v>12</v>
      </c>
      <c r="R844" t="str">
        <v>MIA</v>
      </c>
      <c r="S844" t="str">
        <v>Alex Tucci</v>
      </c>
      <c r="T844" t="str">
        <v>NULL</v>
      </c>
      <c r="U844" t="str">
        <v>Away</v>
      </c>
      <c r="V844" t="str">
        <v>CHI</v>
      </c>
      <c r="W844">
        <v>6.8572067135086137</v>
      </c>
      <c r="Y844" s="1" cm="1">
        <f t="array" ref="Y844">COUNT(_xlfn._xlws.FILTER($G$7:$G$10000,($I$7:$I$10000=X844)*($J$7:$J$10000&lt;&gt;"NULL")*($G$7:$G$10000 &gt;= ($G$1-5))))/5</f>
        <v>0</v>
      </c>
    </row>
    <row r="845" spans="7:25" x14ac:dyDescent="0.35">
      <c r="G845" s="66">
        <v>10</v>
      </c>
      <c r="H845" t="s">
        <v>13</v>
      </c>
      <c r="I845" t="s">
        <v>103</v>
      </c>
      <c r="J845" t="s">
        <v>256</v>
      </c>
      <c r="K845" t="s">
        <v>9</v>
      </c>
      <c r="L845" t="s">
        <v>34</v>
      </c>
      <c r="M845">
        <f t="shared" si="44"/>
        <v>8.0071162583422737</v>
      </c>
      <c r="N845" t="str">
        <f t="shared" si="45"/>
        <v/>
      </c>
      <c r="O845" s="67" cm="1">
        <f t="array" ref="O845">SUMPRODUCT((G845=$G$7:$G$10000)*(M845&lt;$M$7:$M$10000))+1</f>
        <v>25</v>
      </c>
      <c r="P845" s="72"/>
      <c r="Q845">
        <v>12</v>
      </c>
      <c r="R845" t="str">
        <v>NOLA</v>
      </c>
      <c r="S845" t="str">
        <v>Tesimoni Tonga'uiha</v>
      </c>
      <c r="T845" t="str">
        <v>NULL</v>
      </c>
      <c r="U845" t="str">
        <v>Away</v>
      </c>
      <c r="V845" t="str">
        <v>SDL</v>
      </c>
      <c r="W845">
        <v>6.6858799682960814</v>
      </c>
      <c r="Y845" s="1" cm="1">
        <f t="array" ref="Y845">COUNT(_xlfn._xlws.FILTER($G$7:$G$10000,($I$7:$I$10000=X845)*($J$7:$J$10000&lt;&gt;"NULL")*($G$7:$G$10000 &gt;= ($G$1-5))))/5</f>
        <v>0</v>
      </c>
    </row>
    <row r="846" spans="7:25" x14ac:dyDescent="0.35">
      <c r="G846" s="66">
        <v>10</v>
      </c>
      <c r="H846" t="s">
        <v>2</v>
      </c>
      <c r="I846" t="s">
        <v>115</v>
      </c>
      <c r="J846" t="s">
        <v>256</v>
      </c>
      <c r="K846" t="s">
        <v>9</v>
      </c>
      <c r="L846" t="s">
        <v>17</v>
      </c>
      <c r="M846">
        <f t="shared" si="44"/>
        <v>7.9147979005166436</v>
      </c>
      <c r="N846" t="str">
        <f t="shared" si="45"/>
        <v/>
      </c>
      <c r="O846" s="67" cm="1">
        <f t="array" ref="O846">SUMPRODUCT((G846=$G$7:$G$10000)*(M846&lt;$M$7:$M$10000))+1</f>
        <v>26</v>
      </c>
      <c r="P846" s="72"/>
      <c r="Q846">
        <v>12</v>
      </c>
      <c r="R846" t="str">
        <v>SEA</v>
      </c>
      <c r="S846" t="str">
        <v>Huw Taylor</v>
      </c>
      <c r="T846" t="str">
        <v>NULL</v>
      </c>
      <c r="U846" t="str">
        <v>Home</v>
      </c>
      <c r="V846" t="str">
        <v>LA</v>
      </c>
      <c r="W846">
        <v>6.6709721558187622</v>
      </c>
      <c r="Y846" s="1" cm="1">
        <f t="array" ref="Y846">COUNT(_xlfn._xlws.FILTER($G$7:$G$10000,($I$7:$I$10000=X846)*($J$7:$J$10000&lt;&gt;"NULL")*($G$7:$G$10000 &gt;= ($G$1-5))))/5</f>
        <v>0</v>
      </c>
    </row>
    <row r="847" spans="7:25" x14ac:dyDescent="0.35">
      <c r="G847" s="66">
        <v>10</v>
      </c>
      <c r="H847" t="s">
        <v>2</v>
      </c>
      <c r="I847" t="s">
        <v>174</v>
      </c>
      <c r="J847" t="s">
        <v>256</v>
      </c>
      <c r="K847" t="s">
        <v>9</v>
      </c>
      <c r="L847" t="s">
        <v>17</v>
      </c>
      <c r="M847">
        <f t="shared" si="44"/>
        <v>7.359759165650761</v>
      </c>
      <c r="N847" t="str">
        <f t="shared" si="45"/>
        <v/>
      </c>
      <c r="O847" s="67" cm="1">
        <f t="array" ref="O847">SUMPRODUCT((G847=$G$7:$G$10000)*(M847&lt;$M$7:$M$10000))+1</f>
        <v>27</v>
      </c>
      <c r="P847" s="72"/>
      <c r="Q847">
        <v>12</v>
      </c>
      <c r="R847" t="str">
        <v>SDL</v>
      </c>
      <c r="S847" t="str">
        <v>Tevita Tameilau</v>
      </c>
      <c r="T847" t="str">
        <v>NULL</v>
      </c>
      <c r="U847" t="str">
        <v>Home</v>
      </c>
      <c r="V847" t="str">
        <v>NOLA</v>
      </c>
      <c r="W847">
        <v>6.6432988037191993</v>
      </c>
      <c r="Y847" s="1" cm="1">
        <f t="array" ref="Y847">COUNT(_xlfn._xlws.FILTER($G$7:$G$10000,($I$7:$I$10000=X847)*($J$7:$J$10000&lt;&gt;"NULL")*($G$7:$G$10000 &gt;= ($G$1-5))))/5</f>
        <v>0</v>
      </c>
    </row>
    <row r="848" spans="7:25" x14ac:dyDescent="0.35">
      <c r="G848" s="66">
        <v>10</v>
      </c>
      <c r="H848" t="s">
        <v>4</v>
      </c>
      <c r="I848" t="s">
        <v>486</v>
      </c>
      <c r="J848" t="s">
        <v>256</v>
      </c>
      <c r="K848" t="s">
        <v>9</v>
      </c>
      <c r="L848" t="s">
        <v>36</v>
      </c>
      <c r="M848">
        <f t="shared" si="44"/>
        <v>6.6014885602701989</v>
      </c>
      <c r="N848" t="str">
        <f t="shared" si="45"/>
        <v/>
      </c>
      <c r="O848" s="67" cm="1">
        <f t="array" ref="O848">SUMPRODUCT((G848=$G$7:$G$10000)*(M848&lt;$M$7:$M$10000))+1</f>
        <v>28</v>
      </c>
      <c r="P848" s="72"/>
      <c r="Q848">
        <v>12</v>
      </c>
      <c r="R848" t="str">
        <v>NEFJ</v>
      </c>
      <c r="S848" t="str">
        <v>Jero Gomez Vara</v>
      </c>
      <c r="T848" t="str">
        <v>NULL</v>
      </c>
      <c r="U848" t="str">
        <v>Home</v>
      </c>
      <c r="V848" t="str">
        <v>HOU</v>
      </c>
      <c r="W848">
        <v>6.464147741325788</v>
      </c>
      <c r="Y848" s="1" cm="1">
        <f t="array" ref="Y848">COUNT(_xlfn._xlws.FILTER($G$7:$G$10000,($I$7:$I$10000=X848)*($J$7:$J$10000&lt;&gt;"NULL")*($G$7:$G$10000 &gt;= ($G$1-5))))/5</f>
        <v>0</v>
      </c>
    </row>
    <row r="849" spans="7:25" x14ac:dyDescent="0.35">
      <c r="G849" s="66">
        <v>10</v>
      </c>
      <c r="H849" t="s">
        <v>24</v>
      </c>
      <c r="I849" t="s">
        <v>419</v>
      </c>
      <c r="J849" t="s">
        <v>256</v>
      </c>
      <c r="K849" t="s">
        <v>9</v>
      </c>
      <c r="L849" t="s">
        <v>7</v>
      </c>
      <c r="M849">
        <f t="shared" si="44"/>
        <v>6.5758241972585543</v>
      </c>
      <c r="N849" t="str">
        <f t="shared" si="45"/>
        <v/>
      </c>
      <c r="O849" s="67" cm="1">
        <f t="array" ref="O849">SUMPRODUCT((G849=$G$7:$G$10000)*(M849&lt;$M$7:$M$10000))+1</f>
        <v>29</v>
      </c>
      <c r="P849" s="72"/>
      <c r="Q849">
        <v>12</v>
      </c>
      <c r="R849" t="str">
        <v>UTAH</v>
      </c>
      <c r="S849" t="str">
        <v>Aki Seiuli</v>
      </c>
      <c r="T849" t="str">
        <v>NULL</v>
      </c>
      <c r="U849" t="str">
        <v>Away</v>
      </c>
      <c r="V849" t="str">
        <v>OGDC</v>
      </c>
      <c r="W849">
        <v>6.3783988319335041</v>
      </c>
      <c r="Y849" s="1" cm="1">
        <f t="array" ref="Y849">COUNT(_xlfn._xlws.FILTER($G$7:$G$10000,($I$7:$I$10000=X849)*($J$7:$J$10000&lt;&gt;"NULL")*($G$7:$G$10000 &gt;= ($G$1-5))))/5</f>
        <v>0</v>
      </c>
    </row>
    <row r="850" spans="7:25" x14ac:dyDescent="0.35">
      <c r="G850" s="66">
        <v>10</v>
      </c>
      <c r="H850" t="s">
        <v>13</v>
      </c>
      <c r="I850" t="s">
        <v>120</v>
      </c>
      <c r="J850" t="s">
        <v>256</v>
      </c>
      <c r="K850" t="s">
        <v>9</v>
      </c>
      <c r="L850" t="s">
        <v>34</v>
      </c>
      <c r="M850">
        <f t="shared" si="44"/>
        <v>6.5572536526871561</v>
      </c>
      <c r="N850" t="str">
        <f t="shared" si="45"/>
        <v/>
      </c>
      <c r="O850" s="67" cm="1">
        <f t="array" ref="O850">SUMPRODUCT((G850=$G$7:$G$10000)*(M850&lt;$M$7:$M$10000))+1</f>
        <v>30</v>
      </c>
      <c r="P850" s="72"/>
      <c r="Q850">
        <v>12</v>
      </c>
      <c r="R850" t="str">
        <v>NOLA</v>
      </c>
      <c r="S850" t="str">
        <v>Alex Lopeti</v>
      </c>
      <c r="T850" t="str">
        <v>NULL</v>
      </c>
      <c r="U850" t="str">
        <v>Away</v>
      </c>
      <c r="V850" t="str">
        <v>SDL</v>
      </c>
      <c r="W850">
        <v>6.3036266932440119</v>
      </c>
      <c r="Y850" s="1" cm="1">
        <f t="array" ref="Y850">COUNT(_xlfn._xlws.FILTER($G$7:$G$10000,($I$7:$I$10000=X850)*($J$7:$J$10000&lt;&gt;"NULL")*($G$7:$G$10000 &gt;= ($G$1-5))))/5</f>
        <v>0</v>
      </c>
    </row>
    <row r="851" spans="7:25" x14ac:dyDescent="0.35">
      <c r="G851" s="66">
        <v>10</v>
      </c>
      <c r="H851" t="s">
        <v>24</v>
      </c>
      <c r="I851" t="s">
        <v>465</v>
      </c>
      <c r="J851" t="s">
        <v>256</v>
      </c>
      <c r="K851" t="s">
        <v>9</v>
      </c>
      <c r="L851" t="s">
        <v>7</v>
      </c>
      <c r="M851">
        <f t="shared" si="44"/>
        <v>6.3401381934119501</v>
      </c>
      <c r="N851" t="str">
        <f t="shared" si="45"/>
        <v/>
      </c>
      <c r="O851" s="67" cm="1">
        <f t="array" ref="O851">SUMPRODUCT((G851=$G$7:$G$10000)*(M851&lt;$M$7:$M$10000))+1</f>
        <v>31</v>
      </c>
      <c r="P851" s="72"/>
      <c r="Q851">
        <v>12</v>
      </c>
      <c r="R851" t="str">
        <v>NEFJ</v>
      </c>
      <c r="S851" t="str">
        <v>Kaleb Geiger</v>
      </c>
      <c r="T851" t="str">
        <v>NULL</v>
      </c>
      <c r="U851" t="str">
        <v>Home</v>
      </c>
      <c r="V851" t="str">
        <v>HOU</v>
      </c>
      <c r="W851">
        <v>6.1887067714170101</v>
      </c>
      <c r="Y851" s="1" cm="1">
        <f t="array" ref="Y851">COUNT(_xlfn._xlws.FILTER($G$7:$G$10000,($I$7:$I$10000=X851)*($J$7:$J$10000&lt;&gt;"NULL")*($G$7:$G$10000 &gt;= ($G$1-5))))/5</f>
        <v>0</v>
      </c>
    </row>
    <row r="852" spans="7:25" x14ac:dyDescent="0.35">
      <c r="G852" s="66">
        <v>10</v>
      </c>
      <c r="H852" t="s">
        <v>7</v>
      </c>
      <c r="I852" t="s">
        <v>202</v>
      </c>
      <c r="J852" t="s">
        <v>256</v>
      </c>
      <c r="K852" t="s">
        <v>3</v>
      </c>
      <c r="L852" t="s">
        <v>24</v>
      </c>
      <c r="M852">
        <f t="shared" si="44"/>
        <v>6.3374218957138044</v>
      </c>
      <c r="N852" t="str">
        <f t="shared" si="45"/>
        <v/>
      </c>
      <c r="O852" s="67" cm="1">
        <f t="array" ref="O852">SUMPRODUCT((G852=$G$7:$G$10000)*(M852&lt;$M$7:$M$10000))+1</f>
        <v>32</v>
      </c>
      <c r="P852" s="72"/>
      <c r="Q852">
        <v>12</v>
      </c>
      <c r="R852" t="str">
        <v>NOLA</v>
      </c>
      <c r="S852" t="str">
        <v>Malcolm May</v>
      </c>
      <c r="T852" t="str">
        <v>NULL</v>
      </c>
      <c r="U852" t="str">
        <v>Away</v>
      </c>
      <c r="V852" t="str">
        <v>SDL</v>
      </c>
      <c r="W852">
        <v>6.1254007806870252</v>
      </c>
      <c r="Y852" s="1" cm="1">
        <f t="array" ref="Y852">COUNT(_xlfn._xlws.FILTER($G$7:$G$10000,($I$7:$I$10000=X852)*($J$7:$J$10000&lt;&gt;"NULL")*($G$7:$G$10000 &gt;= ($G$1-5))))/5</f>
        <v>0</v>
      </c>
    </row>
    <row r="853" spans="7:25" x14ac:dyDescent="0.35">
      <c r="G853" s="66">
        <v>10</v>
      </c>
      <c r="H853" t="s">
        <v>17</v>
      </c>
      <c r="I853" t="s">
        <v>206</v>
      </c>
      <c r="J853" t="s">
        <v>256</v>
      </c>
      <c r="K853" t="s">
        <v>3</v>
      </c>
      <c r="L853" t="s">
        <v>2</v>
      </c>
      <c r="M853">
        <f t="shared" si="44"/>
        <v>6.3371221354523044</v>
      </c>
      <c r="N853" t="str">
        <f t="shared" si="45"/>
        <v/>
      </c>
      <c r="O853" s="67" cm="1">
        <f t="array" ref="O853">SUMPRODUCT((G853=$G$7:$G$10000)*(M853&lt;$M$7:$M$10000))+1</f>
        <v>33</v>
      </c>
      <c r="P853" s="72"/>
      <c r="Q853">
        <v>12</v>
      </c>
      <c r="R853" t="str">
        <v>UTAH</v>
      </c>
      <c r="S853" t="str">
        <v>Frank Lochore</v>
      </c>
      <c r="T853" t="str">
        <v>NULL</v>
      </c>
      <c r="U853" t="str">
        <v>Away</v>
      </c>
      <c r="V853" t="str">
        <v>OGDC</v>
      </c>
      <c r="W853">
        <v>5.9748209298780512</v>
      </c>
      <c r="Y853" s="1" cm="1">
        <f t="array" ref="Y853">COUNT(_xlfn._xlws.FILTER($G$7:$G$10000,($I$7:$I$10000=X853)*($J$7:$J$10000&lt;&gt;"NULL")*($G$7:$G$10000 &gt;= ($G$1-5))))/5</f>
        <v>0</v>
      </c>
    </row>
    <row r="854" spans="7:25" x14ac:dyDescent="0.35">
      <c r="G854" s="66">
        <v>10</v>
      </c>
      <c r="H854" t="s">
        <v>34</v>
      </c>
      <c r="I854" t="s">
        <v>420</v>
      </c>
      <c r="J854" t="s">
        <v>256</v>
      </c>
      <c r="K854" t="s">
        <v>3</v>
      </c>
      <c r="L854" t="s">
        <v>13</v>
      </c>
      <c r="M854">
        <f t="shared" si="44"/>
        <v>6.3212450484218357</v>
      </c>
      <c r="N854" t="str">
        <f t="shared" si="45"/>
        <v/>
      </c>
      <c r="O854" s="67" cm="1">
        <f t="array" ref="O854">SUMPRODUCT((G854=$G$7:$G$10000)*(M854&lt;$M$7:$M$10000))+1</f>
        <v>34</v>
      </c>
      <c r="P854" s="72"/>
      <c r="Q854">
        <v>12</v>
      </c>
      <c r="R854" t="str">
        <v>MIA</v>
      </c>
      <c r="S854" t="str">
        <v>Federico Gutíerrez</v>
      </c>
      <c r="T854" t="str">
        <v>NULL</v>
      </c>
      <c r="U854" t="str">
        <v>Away</v>
      </c>
      <c r="V854" t="str">
        <v>CHI</v>
      </c>
      <c r="W854">
        <v>5.5874599077627822</v>
      </c>
      <c r="Y854" s="1" cm="1">
        <f t="array" ref="Y854">COUNT(_xlfn._xlws.FILTER($G$7:$G$10000,($I$7:$I$10000=X854)*($J$7:$J$10000&lt;&gt;"NULL")*($G$7:$G$10000 &gt;= ($G$1-5))))/5</f>
        <v>0</v>
      </c>
    </row>
    <row r="855" spans="7:25" x14ac:dyDescent="0.35">
      <c r="G855" s="66">
        <v>10</v>
      </c>
      <c r="H855" t="s">
        <v>4</v>
      </c>
      <c r="I855" t="s">
        <v>114</v>
      </c>
      <c r="J855" t="s">
        <v>256</v>
      </c>
      <c r="K855" t="s">
        <v>9</v>
      </c>
      <c r="L855" t="s">
        <v>36</v>
      </c>
      <c r="M855">
        <f t="shared" si="44"/>
        <v>6.1975999952838894</v>
      </c>
      <c r="N855" t="str">
        <f t="shared" si="45"/>
        <v/>
      </c>
      <c r="O855" s="67" cm="1">
        <f t="array" ref="O855">SUMPRODUCT((G855=$G$7:$G$10000)*(M855&lt;$M$7:$M$10000))+1</f>
        <v>35</v>
      </c>
      <c r="P855" s="72"/>
      <c r="Q855">
        <v>12</v>
      </c>
      <c r="R855" t="str">
        <v>SEA</v>
      </c>
      <c r="S855" t="str">
        <v>Cameron Orr</v>
      </c>
      <c r="T855" t="str">
        <v>NULL</v>
      </c>
      <c r="U855" t="str">
        <v>Home</v>
      </c>
      <c r="V855" t="str">
        <v>LA</v>
      </c>
      <c r="W855">
        <v>5.5719643521204736</v>
      </c>
      <c r="Y855" s="1" cm="1">
        <f t="array" ref="Y855">COUNT(_xlfn._xlws.FILTER($G$7:$G$10000,($I$7:$I$10000=X855)*($J$7:$J$10000&lt;&gt;"NULL")*($G$7:$G$10000 &gt;= ($G$1-5))))/5</f>
        <v>0</v>
      </c>
    </row>
    <row r="856" spans="7:25" x14ac:dyDescent="0.35">
      <c r="G856" s="66">
        <v>10</v>
      </c>
      <c r="H856" t="s">
        <v>13</v>
      </c>
      <c r="I856" t="s">
        <v>469</v>
      </c>
      <c r="J856" t="s">
        <v>256</v>
      </c>
      <c r="K856" t="s">
        <v>9</v>
      </c>
      <c r="L856" t="s">
        <v>34</v>
      </c>
      <c r="M856">
        <f t="shared" si="44"/>
        <v>6.0669537068955677</v>
      </c>
      <c r="N856" t="str">
        <f t="shared" si="45"/>
        <v/>
      </c>
      <c r="O856" s="67" cm="1">
        <f t="array" ref="O856">SUMPRODUCT((G856=$G$7:$G$10000)*(M856&lt;$M$7:$M$10000))+1</f>
        <v>36</v>
      </c>
      <c r="P856" s="72"/>
      <c r="Q856">
        <v>12</v>
      </c>
      <c r="R856" t="str">
        <v>OGDC</v>
      </c>
      <c r="S856" t="str">
        <v>Jamason Fa'anana-Schultz</v>
      </c>
      <c r="T856" t="str">
        <v>NULL</v>
      </c>
      <c r="U856" t="str">
        <v>Home</v>
      </c>
      <c r="V856" t="str">
        <v>UTAH</v>
      </c>
      <c r="W856">
        <v>5.2434323974106869</v>
      </c>
      <c r="Y856" s="1" cm="1">
        <f t="array" ref="Y856">COUNT(_xlfn._xlws.FILTER($G$7:$G$10000,($I$7:$I$10000=X856)*($J$7:$J$10000&lt;&gt;"NULL")*($G$7:$G$10000 &gt;= ($G$1-5))))/5</f>
        <v>0</v>
      </c>
    </row>
    <row r="857" spans="7:25" x14ac:dyDescent="0.35">
      <c r="G857" s="66">
        <v>10</v>
      </c>
      <c r="H857" t="s">
        <v>23</v>
      </c>
      <c r="I857" t="s">
        <v>221</v>
      </c>
      <c r="J857" t="s">
        <v>256</v>
      </c>
      <c r="K857" t="s">
        <v>9</v>
      </c>
      <c r="L857" t="s">
        <v>14</v>
      </c>
      <c r="M857">
        <f t="shared" si="44"/>
        <v>5.8770075602724301</v>
      </c>
      <c r="N857" t="str">
        <f t="shared" si="45"/>
        <v/>
      </c>
      <c r="O857" s="67" cm="1">
        <f t="array" ref="O857">SUMPRODUCT((G857=$G$7:$G$10000)*(M857&lt;$M$7:$M$10000))+1</f>
        <v>37</v>
      </c>
      <c r="P857" s="72"/>
      <c r="Q857">
        <v>12</v>
      </c>
      <c r="R857" t="str">
        <v>SEA</v>
      </c>
      <c r="S857" t="str">
        <v>Rhyno Herbst</v>
      </c>
      <c r="T857" t="str">
        <v>NULL</v>
      </c>
      <c r="U857" t="str">
        <v>Home</v>
      </c>
      <c r="V857" t="str">
        <v>LA</v>
      </c>
      <c r="W857">
        <v>5.2028926591718534</v>
      </c>
      <c r="Y857" s="1" cm="1">
        <f t="array" ref="Y857">COUNT(_xlfn._xlws.FILTER($G$7:$G$10000,($I$7:$I$10000=X857)*($J$7:$J$10000&lt;&gt;"NULL")*($G$7:$G$10000 &gt;= ($G$1-5))))/5</f>
        <v>0</v>
      </c>
    </row>
    <row r="858" spans="7:25" x14ac:dyDescent="0.35">
      <c r="G858" s="66">
        <v>10</v>
      </c>
      <c r="H858" t="s">
        <v>23</v>
      </c>
      <c r="I858" t="s">
        <v>144</v>
      </c>
      <c r="J858" t="s">
        <v>256</v>
      </c>
      <c r="K858" t="s">
        <v>9</v>
      </c>
      <c r="L858" t="s">
        <v>14</v>
      </c>
      <c r="M858">
        <f t="shared" si="44"/>
        <v>5.7623734489662386</v>
      </c>
      <c r="N858" t="str">
        <f t="shared" si="45"/>
        <v/>
      </c>
      <c r="O858" s="67" cm="1">
        <f t="array" ref="O858">SUMPRODUCT((G858=$G$7:$G$10000)*(M858&lt;$M$7:$M$10000))+1</f>
        <v>38</v>
      </c>
      <c r="P858" s="72"/>
      <c r="Q858">
        <v>12</v>
      </c>
      <c r="R858" t="str">
        <v>NOLA</v>
      </c>
      <c r="S858" t="str">
        <v>Paul Mullen</v>
      </c>
      <c r="T858" t="str">
        <v>NULL</v>
      </c>
      <c r="U858" t="str">
        <v>Away</v>
      </c>
      <c r="V858" t="str">
        <v>SDL</v>
      </c>
      <c r="W858">
        <v>5.0290792427507114</v>
      </c>
      <c r="Y858" s="1" cm="1">
        <f t="array" ref="Y858">COUNT(_xlfn._xlws.FILTER($G$7:$G$10000,($I$7:$I$10000=X858)*($J$7:$J$10000&lt;&gt;"NULL")*($G$7:$G$10000 &gt;= ($G$1-5))))/5</f>
        <v>0</v>
      </c>
    </row>
    <row r="859" spans="7:25" x14ac:dyDescent="0.35">
      <c r="G859" s="66">
        <v>10</v>
      </c>
      <c r="H859" t="s">
        <v>4</v>
      </c>
      <c r="I859" t="s">
        <v>484</v>
      </c>
      <c r="J859" t="s">
        <v>256</v>
      </c>
      <c r="K859" t="s">
        <v>9</v>
      </c>
      <c r="L859" t="s">
        <v>36</v>
      </c>
      <c r="M859">
        <f t="shared" si="44"/>
        <v>5.6172331972002674</v>
      </c>
      <c r="N859" t="str">
        <f t="shared" si="45"/>
        <v/>
      </c>
      <c r="O859" s="67" cm="1">
        <f t="array" ref="O859">SUMPRODUCT((G859=$G$7:$G$10000)*(M859&lt;$M$7:$M$10000))+1</f>
        <v>39</v>
      </c>
      <c r="P859" s="72"/>
      <c r="Q859">
        <v>12</v>
      </c>
      <c r="R859" t="str">
        <v>SEA</v>
      </c>
      <c r="S859" t="str">
        <v>Siaosi Mahoni</v>
      </c>
      <c r="T859" t="str">
        <v>NULL</v>
      </c>
      <c r="U859" t="str">
        <v>Home</v>
      </c>
      <c r="V859" t="str">
        <v>LA</v>
      </c>
      <c r="W859">
        <v>4.932131047138574</v>
      </c>
      <c r="Y859" s="1" cm="1">
        <f t="array" ref="Y859">COUNT(_xlfn._xlws.FILTER($G$7:$G$10000,($I$7:$I$10000=X859)*($J$7:$J$10000&lt;&gt;"NULL")*($G$7:$G$10000 &gt;= ($G$1-5))))/5</f>
        <v>0</v>
      </c>
    </row>
    <row r="860" spans="7:25" x14ac:dyDescent="0.35">
      <c r="G860" s="66">
        <v>10</v>
      </c>
      <c r="H860" t="s">
        <v>4</v>
      </c>
      <c r="I860" t="s">
        <v>435</v>
      </c>
      <c r="J860" t="s">
        <v>256</v>
      </c>
      <c r="K860" t="s">
        <v>9</v>
      </c>
      <c r="L860" t="s">
        <v>36</v>
      </c>
      <c r="M860">
        <f t="shared" si="44"/>
        <v>5.5164569291792676</v>
      </c>
      <c r="N860" t="str">
        <f t="shared" si="45"/>
        <v/>
      </c>
      <c r="O860" s="67" cm="1">
        <f t="array" ref="O860">SUMPRODUCT((G860=$G$7:$G$10000)*(M860&lt;$M$7:$M$10000))+1</f>
        <v>40</v>
      </c>
      <c r="P860" s="72"/>
      <c r="Q860">
        <v>12</v>
      </c>
      <c r="R860" t="str">
        <v>MIA</v>
      </c>
      <c r="S860" t="str">
        <v>Marques Fuala'au</v>
      </c>
      <c r="T860" t="str">
        <v>NULL</v>
      </c>
      <c r="U860" t="str">
        <v>Away</v>
      </c>
      <c r="V860" t="str">
        <v>CHI</v>
      </c>
      <c r="W860">
        <v>4.8448458548306368</v>
      </c>
      <c r="Y860" s="1" cm="1">
        <f t="array" ref="Y860">COUNT(_xlfn._xlws.FILTER($G$7:$G$10000,($I$7:$I$10000=X860)*($J$7:$J$10000&lt;&gt;"NULL")*($G$7:$G$10000 &gt;= ($G$1-5))))/5</f>
        <v>0</v>
      </c>
    </row>
    <row r="861" spans="7:25" x14ac:dyDescent="0.35">
      <c r="G861" s="66">
        <v>10</v>
      </c>
      <c r="H861" t="s">
        <v>23</v>
      </c>
      <c r="I861" t="s">
        <v>421</v>
      </c>
      <c r="J861" t="s">
        <v>256</v>
      </c>
      <c r="K861" t="s">
        <v>9</v>
      </c>
      <c r="L861" t="s">
        <v>14</v>
      </c>
      <c r="M861">
        <f t="shared" si="44"/>
        <v>5.4905950943752622</v>
      </c>
      <c r="N861" t="str">
        <f t="shared" si="45"/>
        <v/>
      </c>
      <c r="O861" s="67" cm="1">
        <f t="array" ref="O861">SUMPRODUCT((G861=$G$7:$G$10000)*(M861&lt;$M$7:$M$10000))+1</f>
        <v>41</v>
      </c>
      <c r="P861" s="72"/>
      <c r="Q861">
        <v>12</v>
      </c>
      <c r="R861" t="str">
        <v>MIA</v>
      </c>
      <c r="S861" t="str">
        <v>Ma'ake Muti</v>
      </c>
      <c r="T861" t="str">
        <v>NULL</v>
      </c>
      <c r="U861" t="str">
        <v>Away</v>
      </c>
      <c r="V861" t="str">
        <v>CHI</v>
      </c>
      <c r="W861">
        <v>4.6978221324027878</v>
      </c>
      <c r="Y861" s="1" cm="1">
        <f t="array" ref="Y861">COUNT(_xlfn._xlws.FILTER($G$7:$G$10000,($I$7:$I$10000=X861)*($J$7:$J$10000&lt;&gt;"NULL")*($G$7:$G$10000 &gt;= ($G$1-5))))/5</f>
        <v>0</v>
      </c>
    </row>
    <row r="862" spans="7:25" x14ac:dyDescent="0.35">
      <c r="G862" s="66">
        <v>10</v>
      </c>
      <c r="H862" t="s">
        <v>13</v>
      </c>
      <c r="I862" t="s">
        <v>210</v>
      </c>
      <c r="J862" t="s">
        <v>256</v>
      </c>
      <c r="K862" t="s">
        <v>9</v>
      </c>
      <c r="L862" t="s">
        <v>34</v>
      </c>
      <c r="M862">
        <f t="shared" si="44"/>
        <v>5.3815048689826437</v>
      </c>
      <c r="N862" t="str">
        <f t="shared" si="45"/>
        <v/>
      </c>
      <c r="O862" s="67" cm="1">
        <f t="array" ref="O862">SUMPRODUCT((G862=$G$7:$G$10000)*(M862&lt;$M$7:$M$10000))+1</f>
        <v>42</v>
      </c>
      <c r="P862" s="72"/>
      <c r="Q862">
        <v>12</v>
      </c>
      <c r="R862" t="str">
        <v>NOLA</v>
      </c>
      <c r="S862" t="str">
        <v>Matt Harmon</v>
      </c>
      <c r="T862" t="str">
        <v>NULL</v>
      </c>
      <c r="U862" t="str">
        <v>Away</v>
      </c>
      <c r="V862" t="str">
        <v>SDL</v>
      </c>
      <c r="W862">
        <v>4.6476358456520082</v>
      </c>
      <c r="Y862" s="1" cm="1">
        <f t="array" ref="Y862">COUNT(_xlfn._xlws.FILTER($G$7:$G$10000,($I$7:$I$10000=X862)*($J$7:$J$10000&lt;&gt;"NULL")*($G$7:$G$10000 &gt;= ($G$1-5))))/5</f>
        <v>0</v>
      </c>
    </row>
    <row r="863" spans="7:25" x14ac:dyDescent="0.35">
      <c r="G863" s="66">
        <v>10</v>
      </c>
      <c r="H863" t="s">
        <v>17</v>
      </c>
      <c r="I863" t="s">
        <v>149</v>
      </c>
      <c r="J863" t="s">
        <v>256</v>
      </c>
      <c r="K863" t="s">
        <v>3</v>
      </c>
      <c r="L863" t="s">
        <v>2</v>
      </c>
      <c r="M863">
        <f t="shared" si="44"/>
        <v>5.2381143317540158</v>
      </c>
      <c r="N863" t="str">
        <f t="shared" si="45"/>
        <v/>
      </c>
      <c r="O863" s="67" cm="1">
        <f t="array" ref="O863">SUMPRODUCT((G863=$G$7:$G$10000)*(M863&lt;$M$7:$M$10000))+1</f>
        <v>43</v>
      </c>
      <c r="P863" s="72"/>
      <c r="Q863">
        <v>12</v>
      </c>
      <c r="R863" t="str">
        <v>SDL</v>
      </c>
      <c r="S863" t="str">
        <v>Jimmy Hokafonu</v>
      </c>
      <c r="T863" t="str">
        <v>NULL</v>
      </c>
      <c r="U863" t="str">
        <v>Home</v>
      </c>
      <c r="V863" t="str">
        <v>NOLA</v>
      </c>
      <c r="W863">
        <v>4.5860185088143846</v>
      </c>
      <c r="Y863" s="1" cm="1">
        <f t="array" ref="Y863">COUNT(_xlfn._xlws.FILTER($G$7:$G$10000,($I$7:$I$10000=X863)*($J$7:$J$10000&lt;&gt;"NULL")*($G$7:$G$10000 &gt;= ($G$1-5))))/5</f>
        <v>0</v>
      </c>
    </row>
    <row r="864" spans="7:25" x14ac:dyDescent="0.35">
      <c r="G864" s="66">
        <v>10</v>
      </c>
      <c r="H864" t="s">
        <v>24</v>
      </c>
      <c r="I864" t="s">
        <v>422</v>
      </c>
      <c r="J864" t="s">
        <v>256</v>
      </c>
      <c r="K864" t="s">
        <v>9</v>
      </c>
      <c r="L864" t="s">
        <v>7</v>
      </c>
      <c r="M864">
        <f t="shared" si="44"/>
        <v>5.0703913876661186</v>
      </c>
      <c r="N864" t="str">
        <f t="shared" si="45"/>
        <v/>
      </c>
      <c r="O864" s="67" cm="1">
        <f t="array" ref="O864">SUMPRODUCT((G864=$G$7:$G$10000)*(M864&lt;$M$7:$M$10000))+1</f>
        <v>44</v>
      </c>
      <c r="P864" s="72"/>
      <c r="Q864">
        <v>12</v>
      </c>
      <c r="R864" t="str">
        <v>UTAH</v>
      </c>
      <c r="S864" t="str">
        <v>Matt Jenson</v>
      </c>
      <c r="T864" t="str">
        <v>NULL</v>
      </c>
      <c r="U864" t="str">
        <v>Away</v>
      </c>
      <c r="V864" t="str">
        <v>OGDC</v>
      </c>
      <c r="W864">
        <v>4.5249583242229336</v>
      </c>
      <c r="Y864" s="1" cm="1">
        <f t="array" ref="Y864">COUNT(_xlfn._xlws.FILTER($G$7:$G$10000,($I$7:$I$10000=X864)*($J$7:$J$10000&lt;&gt;"NULL")*($G$7:$G$10000 &gt;= ($G$1-5))))/5</f>
        <v>0</v>
      </c>
    </row>
    <row r="865" spans="7:25" x14ac:dyDescent="0.35">
      <c r="G865" s="66">
        <v>10</v>
      </c>
      <c r="H865" t="s">
        <v>4</v>
      </c>
      <c r="I865" t="s">
        <v>434</v>
      </c>
      <c r="J865" t="s">
        <v>256</v>
      </c>
      <c r="K865" t="s">
        <v>9</v>
      </c>
      <c r="L865" t="s">
        <v>36</v>
      </c>
      <c r="M865">
        <f t="shared" si="44"/>
        <v>4.9751193366158741</v>
      </c>
      <c r="N865" t="str">
        <f t="shared" si="45"/>
        <v/>
      </c>
      <c r="O865" s="67" cm="1">
        <f t="array" ref="O865">SUMPRODUCT((G865=$G$7:$G$10000)*(M865&lt;$M$7:$M$10000))+1</f>
        <v>45</v>
      </c>
      <c r="P865" s="72"/>
      <c r="Q865">
        <v>12</v>
      </c>
      <c r="R865" t="str">
        <v>MIA</v>
      </c>
      <c r="S865" t="str">
        <v>Kirby Myhill</v>
      </c>
      <c r="T865" t="str">
        <v>NULL</v>
      </c>
      <c r="U865" t="str">
        <v>Away</v>
      </c>
      <c r="V865" t="str">
        <v>CHI</v>
      </c>
      <c r="W865">
        <v>4.3704120941904705</v>
      </c>
      <c r="Y865" s="1" cm="1">
        <f t="array" ref="Y865">COUNT(_xlfn._xlws.FILTER($G$7:$G$10000,($I$7:$I$10000=X865)*($J$7:$J$10000&lt;&gt;"NULL")*($G$7:$G$10000 &gt;= ($G$1-5))))/5</f>
        <v>0</v>
      </c>
    </row>
    <row r="866" spans="7:25" x14ac:dyDescent="0.35">
      <c r="G866" s="66">
        <v>10</v>
      </c>
      <c r="H866" t="s">
        <v>17</v>
      </c>
      <c r="I866" t="s">
        <v>105</v>
      </c>
      <c r="J866" t="s">
        <v>256</v>
      </c>
      <c r="K866" t="s">
        <v>3</v>
      </c>
      <c r="L866" t="s">
        <v>2</v>
      </c>
      <c r="M866">
        <f t="shared" si="44"/>
        <v>4.8690426388053965</v>
      </c>
      <c r="N866" t="str">
        <f t="shared" si="45"/>
        <v/>
      </c>
      <c r="O866" s="67" cm="1">
        <f t="array" ref="O866">SUMPRODUCT((G866=$G$7:$G$10000)*(M866&lt;$M$7:$M$10000))+1</f>
        <v>46</v>
      </c>
      <c r="P866" s="72"/>
      <c r="Q866">
        <v>12</v>
      </c>
      <c r="R866" t="str">
        <v>SDL</v>
      </c>
      <c r="S866" t="str">
        <v>Payton Telea-Ilalio</v>
      </c>
      <c r="T866" t="str">
        <v>NULL</v>
      </c>
      <c r="U866" t="str">
        <v>Home</v>
      </c>
      <c r="V866" t="str">
        <v>NOLA</v>
      </c>
      <c r="W866">
        <v>4.3646140266993614</v>
      </c>
      <c r="Y866" s="1" cm="1">
        <f t="array" ref="Y866">COUNT(_xlfn._xlws.FILTER($G$7:$G$10000,($I$7:$I$10000=X866)*($J$7:$J$10000&lt;&gt;"NULL")*($G$7:$G$10000 &gt;= ($G$1-5))))/5</f>
        <v>0</v>
      </c>
    </row>
    <row r="867" spans="7:25" x14ac:dyDescent="0.35">
      <c r="G867" s="66">
        <v>10</v>
      </c>
      <c r="H867" t="s">
        <v>23</v>
      </c>
      <c r="I867" t="s">
        <v>431</v>
      </c>
      <c r="J867" t="s">
        <v>256</v>
      </c>
      <c r="K867" t="s">
        <v>9</v>
      </c>
      <c r="L867" t="s">
        <v>14</v>
      </c>
      <c r="M867">
        <f t="shared" si="44"/>
        <v>4.8157720189307209</v>
      </c>
      <c r="N867" t="str">
        <f t="shared" si="45"/>
        <v/>
      </c>
      <c r="O867" s="67" cm="1">
        <f t="array" ref="O867">SUMPRODUCT((G867=$G$7:$G$10000)*(M867&lt;$M$7:$M$10000))+1</f>
        <v>47</v>
      </c>
      <c r="P867" s="72"/>
      <c r="Q867">
        <v>12</v>
      </c>
      <c r="R867" t="str">
        <v>SDL</v>
      </c>
      <c r="S867" t="str">
        <v>Darcy Breen</v>
      </c>
      <c r="T867" t="str">
        <v>NULL</v>
      </c>
      <c r="U867" t="str">
        <v>Home</v>
      </c>
      <c r="V867" t="str">
        <v>NOLA</v>
      </c>
      <c r="W867">
        <v>4.2642050333575501</v>
      </c>
      <c r="Y867" s="1" cm="1">
        <f t="array" ref="Y867">COUNT(_xlfn._xlws.FILTER($G$7:$G$10000,($I$7:$I$10000=X867)*($J$7:$J$10000&lt;&gt;"NULL")*($G$7:$G$10000 &gt;= ($G$1-5))))/5</f>
        <v>0</v>
      </c>
    </row>
    <row r="868" spans="7:25" x14ac:dyDescent="0.35">
      <c r="G868" s="66">
        <v>10</v>
      </c>
      <c r="H868" t="s">
        <v>14</v>
      </c>
      <c r="I868" t="s">
        <v>396</v>
      </c>
      <c r="J868" t="s">
        <v>256</v>
      </c>
      <c r="K868" t="s">
        <v>3</v>
      </c>
      <c r="L868" t="s">
        <v>23</v>
      </c>
      <c r="M868">
        <f t="shared" si="44"/>
        <v>4.7927783006109337</v>
      </c>
      <c r="N868" t="str">
        <f t="shared" si="45"/>
        <v/>
      </c>
      <c r="O868" s="67" cm="1">
        <f t="array" ref="O868">SUMPRODUCT((G868=$G$7:$G$10000)*(M868&lt;$M$7:$M$10000))+1</f>
        <v>48</v>
      </c>
      <c r="P868" s="72"/>
      <c r="Q868">
        <v>12</v>
      </c>
      <c r="R868" t="str">
        <v>NOLA</v>
      </c>
      <c r="S868" t="str">
        <v>Callum Botchar</v>
      </c>
      <c r="T868" t="str">
        <v>NULL</v>
      </c>
      <c r="U868" t="str">
        <v>Away</v>
      </c>
      <c r="V868" t="str">
        <v>SDL</v>
      </c>
      <c r="W868">
        <v>4.2435579208066345</v>
      </c>
      <c r="Y868" s="1" cm="1">
        <f t="array" ref="Y868">COUNT(_xlfn._xlws.FILTER($G$7:$G$10000,($I$7:$I$10000=X868)*($J$7:$J$10000&lt;&gt;"NULL")*($G$7:$G$10000 &gt;= ($G$1-5))))/5</f>
        <v>0</v>
      </c>
    </row>
    <row r="869" spans="7:25" x14ac:dyDescent="0.35">
      <c r="G869" s="66">
        <v>10</v>
      </c>
      <c r="H869" t="s">
        <v>17</v>
      </c>
      <c r="I869" t="s">
        <v>483</v>
      </c>
      <c r="J869" t="s">
        <v>256</v>
      </c>
      <c r="K869" t="s">
        <v>3</v>
      </c>
      <c r="L869" t="s">
        <v>2</v>
      </c>
      <c r="M869">
        <f t="shared" si="44"/>
        <v>4.598281026772117</v>
      </c>
      <c r="N869" t="str">
        <f t="shared" si="45"/>
        <v/>
      </c>
      <c r="O869" s="67" cm="1">
        <f t="array" ref="O869">SUMPRODUCT((G869=$G$7:$G$10000)*(M869&lt;$M$7:$M$10000))+1</f>
        <v>49</v>
      </c>
      <c r="P869" s="72"/>
      <c r="Q869">
        <v>12</v>
      </c>
      <c r="R869" t="str">
        <v>CHI</v>
      </c>
      <c r="S869" t="str">
        <v>Hamish Bain</v>
      </c>
      <c r="T869" t="str">
        <v>NULL</v>
      </c>
      <c r="U869" t="str">
        <v>Home</v>
      </c>
      <c r="V869" t="str">
        <v>MIA</v>
      </c>
      <c r="W869">
        <v>4.1577966041816552</v>
      </c>
      <c r="Y869" s="1" cm="1">
        <f t="array" ref="Y869">COUNT(_xlfn._xlws.FILTER($G$7:$G$10000,($I$7:$I$10000=X869)*($J$7:$J$10000&lt;&gt;"NULL")*($G$7:$G$10000 &gt;= ($G$1-5))))/5</f>
        <v>0</v>
      </c>
    </row>
    <row r="870" spans="7:25" x14ac:dyDescent="0.35">
      <c r="G870" s="66">
        <v>10</v>
      </c>
      <c r="H870" t="s">
        <v>4</v>
      </c>
      <c r="I870" t="s">
        <v>481</v>
      </c>
      <c r="J870" t="s">
        <v>256</v>
      </c>
      <c r="K870" t="s">
        <v>9</v>
      </c>
      <c r="L870" t="s">
        <v>36</v>
      </c>
      <c r="M870">
        <f t="shared" si="44"/>
        <v>4.5928660615638055</v>
      </c>
      <c r="N870" t="str">
        <f t="shared" si="45"/>
        <v/>
      </c>
      <c r="O870" s="67" cm="1">
        <f t="array" ref="O870">SUMPRODUCT((G870=$G$7:$G$10000)*(M870&lt;$M$7:$M$10000))+1</f>
        <v>50</v>
      </c>
      <c r="P870" s="72"/>
      <c r="Q870">
        <v>12</v>
      </c>
      <c r="R870" t="str">
        <v>UTAH</v>
      </c>
      <c r="S870" t="str">
        <v>Gavin Thornbury</v>
      </c>
      <c r="T870" t="str">
        <v>NULL</v>
      </c>
      <c r="U870" t="str">
        <v>Away</v>
      </c>
      <c r="V870" t="str">
        <v>OGDC</v>
      </c>
      <c r="W870">
        <v>4.0346583784313452</v>
      </c>
      <c r="Y870" s="1" cm="1">
        <f t="array" ref="Y870">COUNT(_xlfn._xlws.FILTER($G$7:$G$10000,($I$7:$I$10000=X870)*($J$7:$J$10000&lt;&gt;"NULL")*($G$7:$G$10000 &gt;= ($G$1-5))))/5</f>
        <v>0</v>
      </c>
    </row>
    <row r="871" spans="7:25" x14ac:dyDescent="0.35">
      <c r="G871" s="66">
        <v>10</v>
      </c>
      <c r="H871" t="s">
        <v>23</v>
      </c>
      <c r="I871" t="s">
        <v>412</v>
      </c>
      <c r="J871" t="s">
        <v>256</v>
      </c>
      <c r="K871" t="s">
        <v>9</v>
      </c>
      <c r="L871" t="s">
        <v>14</v>
      </c>
      <c r="M871">
        <f t="shared" ref="M871:M934" si="46">VLOOKUP($K871,$F$3:$G$4,2,FALSE)+VLOOKUP($I871,$A$20:$B$321,2,FALSE)+VLOOKUP($L871,$A$6:$B$16,2,FALSE)</f>
        <v>4.540331049021944</v>
      </c>
      <c r="N871" t="str">
        <f t="shared" ref="N871:N934" si="47">IFERROR(($J871-$M871)^2,"")</f>
        <v/>
      </c>
      <c r="O871" s="67" cm="1">
        <f t="array" ref="O871">SUMPRODUCT((G871=$G$7:$G$10000)*(M871&lt;$M$7:$M$10000))+1</f>
        <v>51</v>
      </c>
      <c r="P871" s="72"/>
      <c r="Q871">
        <v>12</v>
      </c>
      <c r="R871" t="str">
        <v>CHI</v>
      </c>
      <c r="S871" t="str">
        <v>Faka'osi Pifeleti</v>
      </c>
      <c r="T871" t="str">
        <v>NULL</v>
      </c>
      <c r="U871" t="str">
        <v>Home</v>
      </c>
      <c r="V871" t="str">
        <v>MIA</v>
      </c>
      <c r="W871">
        <v>4.0196681294056837</v>
      </c>
      <c r="Y871" s="1" cm="1">
        <f t="array" ref="Y871">COUNT(_xlfn._xlws.FILTER($G$7:$G$10000,($I$7:$I$10000=X871)*($J$7:$J$10000&lt;&gt;"NULL")*($G$7:$G$10000 &gt;= ($G$1-5))))/5</f>
        <v>0</v>
      </c>
    </row>
    <row r="872" spans="7:25" x14ac:dyDescent="0.35">
      <c r="G872" s="66">
        <v>10</v>
      </c>
      <c r="H872" t="s">
        <v>34</v>
      </c>
      <c r="I872" t="s">
        <v>174</v>
      </c>
      <c r="J872" t="s">
        <v>256</v>
      </c>
      <c r="K872" t="s">
        <v>3</v>
      </c>
      <c r="L872" t="s">
        <v>13</v>
      </c>
      <c r="M872">
        <f t="shared" si="46"/>
        <v>4.4380336655366373</v>
      </c>
      <c r="N872" t="str">
        <f t="shared" si="47"/>
        <v/>
      </c>
      <c r="O872" s="67" cm="1">
        <f t="array" ref="O872">SUMPRODUCT((G872=$G$7:$G$10000)*(M872&lt;$M$7:$M$10000))+1</f>
        <v>52</v>
      </c>
      <c r="P872" s="72"/>
      <c r="Q872">
        <v>12</v>
      </c>
      <c r="R872" t="str">
        <v>SEA</v>
      </c>
      <c r="S872" t="str">
        <v>Taylor Krumrei</v>
      </c>
      <c r="T872" t="str">
        <v>NULL</v>
      </c>
      <c r="U872" t="str">
        <v>Home</v>
      </c>
      <c r="V872" t="str">
        <v>LA</v>
      </c>
      <c r="W872">
        <v>3.969396099479666</v>
      </c>
      <c r="Y872" s="1" cm="1">
        <f t="array" ref="Y872">COUNT(_xlfn._xlws.FILTER($G$7:$G$10000,($I$7:$I$10000=X872)*($J$7:$J$10000&lt;&gt;"NULL")*($G$7:$G$10000 &gt;= ($G$1-5))))/5</f>
        <v>0</v>
      </c>
    </row>
    <row r="873" spans="7:25" x14ac:dyDescent="0.35">
      <c r="G873" s="66">
        <v>10</v>
      </c>
      <c r="H873" t="s">
        <v>36</v>
      </c>
      <c r="I873" t="s">
        <v>205</v>
      </c>
      <c r="J873" t="s">
        <v>256</v>
      </c>
      <c r="K873" t="s">
        <v>3</v>
      </c>
      <c r="L873" t="s">
        <v>4</v>
      </c>
      <c r="M873">
        <f t="shared" si="46"/>
        <v>4.4161080341475323</v>
      </c>
      <c r="N873" t="str">
        <f t="shared" si="47"/>
        <v/>
      </c>
      <c r="O873" s="67" cm="1">
        <f t="array" ref="O873">SUMPRODUCT((G873=$G$7:$G$10000)*(M873&lt;$M$7:$M$10000))+1</f>
        <v>53</v>
      </c>
      <c r="P873" s="72"/>
      <c r="Q873">
        <v>12</v>
      </c>
      <c r="R873" t="str">
        <v>NOLA</v>
      </c>
      <c r="S873" t="str">
        <v>Cam Dolan</v>
      </c>
      <c r="T873" t="str">
        <v>NULL</v>
      </c>
      <c r="U873" t="str">
        <v>Away</v>
      </c>
      <c r="V873" t="str">
        <v>SDL</v>
      </c>
      <c r="W873">
        <v>3.9228118369430875</v>
      </c>
      <c r="Y873" s="1" cm="1">
        <f t="array" ref="Y873">COUNT(_xlfn._xlws.FILTER($G$7:$G$10000,($I$7:$I$10000=X873)*($J$7:$J$10000&lt;&gt;"NULL")*($G$7:$G$10000 &gt;= ($G$1-5))))/5</f>
        <v>0</v>
      </c>
    </row>
    <row r="874" spans="7:25" x14ac:dyDescent="0.35">
      <c r="G874" s="66">
        <v>10</v>
      </c>
      <c r="H874" t="s">
        <v>4</v>
      </c>
      <c r="I874" t="s">
        <v>109</v>
      </c>
      <c r="J874" t="s">
        <v>256</v>
      </c>
      <c r="K874" t="s">
        <v>9</v>
      </c>
      <c r="L874" t="s">
        <v>36</v>
      </c>
      <c r="M874">
        <f t="shared" si="46"/>
        <v>4.4146401490068197</v>
      </c>
      <c r="N874" t="str">
        <f t="shared" si="47"/>
        <v/>
      </c>
      <c r="O874" s="67" cm="1">
        <f t="array" ref="O874">SUMPRODUCT((G874=$G$7:$G$10000)*(M874&lt;$M$7:$M$10000))+1</f>
        <v>54</v>
      </c>
      <c r="P874" s="72"/>
      <c r="Q874">
        <v>12</v>
      </c>
      <c r="R874" t="str">
        <v>LA</v>
      </c>
      <c r="S874" t="str">
        <v>Ben Sugars</v>
      </c>
      <c r="T874" t="str">
        <v>NULL</v>
      </c>
      <c r="U874" t="str">
        <v>Away</v>
      </c>
      <c r="V874" t="str">
        <v>SEA</v>
      </c>
      <c r="W874">
        <v>3.7305757122042809</v>
      </c>
      <c r="Y874" s="1" cm="1">
        <f t="array" ref="Y874">COUNT(_xlfn._xlws.FILTER($G$7:$G$10000,($I$7:$I$10000=X874)*($J$7:$J$10000&lt;&gt;"NULL")*($G$7:$G$10000 &gt;= ($G$1-5))))/5</f>
        <v>0</v>
      </c>
    </row>
    <row r="875" spans="7:25" x14ac:dyDescent="0.35">
      <c r="G875" s="66">
        <v>10</v>
      </c>
      <c r="H875" t="s">
        <v>24</v>
      </c>
      <c r="I875" t="s">
        <v>217</v>
      </c>
      <c r="J875" t="s">
        <v>256</v>
      </c>
      <c r="K875" t="s">
        <v>9</v>
      </c>
      <c r="L875" t="s">
        <v>7</v>
      </c>
      <c r="M875">
        <f t="shared" si="46"/>
        <v>4.3277773347339732</v>
      </c>
      <c r="N875" t="str">
        <f t="shared" si="47"/>
        <v/>
      </c>
      <c r="O875" s="67" cm="1">
        <f t="array" ref="O875">SUMPRODUCT((G875=$G$7:$G$10000)*(M875&lt;$M$7:$M$10000))+1</f>
        <v>55</v>
      </c>
      <c r="P875" s="72"/>
      <c r="Q875">
        <v>12</v>
      </c>
      <c r="R875" t="str">
        <v>UTAH</v>
      </c>
      <c r="S875" t="str">
        <v>Kalisi Moli</v>
      </c>
      <c r="T875" t="str">
        <v>NULL</v>
      </c>
      <c r="U875" t="str">
        <v>Away</v>
      </c>
      <c r="V875" t="str">
        <v>OGDC</v>
      </c>
      <c r="W875">
        <v>3.3492095405184208</v>
      </c>
      <c r="Y875" s="1" cm="1">
        <f t="array" ref="Y875">COUNT(_xlfn._xlws.FILTER($G$7:$G$10000,($I$7:$I$10000=X875)*($J$7:$J$10000&lt;&gt;"NULL")*($G$7:$G$10000 &gt;= ($G$1-5))))/5</f>
        <v>0</v>
      </c>
    </row>
    <row r="876" spans="7:25" x14ac:dyDescent="0.35">
      <c r="G876" s="66">
        <v>10</v>
      </c>
      <c r="H876" t="s">
        <v>7</v>
      </c>
      <c r="I876" t="s">
        <v>158</v>
      </c>
      <c r="J876" t="s">
        <v>256</v>
      </c>
      <c r="K876" t="s">
        <v>3</v>
      </c>
      <c r="L876" t="s">
        <v>24</v>
      </c>
      <c r="M876">
        <f t="shared" si="46"/>
        <v>4.2181629680997688</v>
      </c>
      <c r="N876" t="str">
        <f t="shared" si="47"/>
        <v/>
      </c>
      <c r="O876" s="67" cm="1">
        <f t="array" ref="O876">SUMPRODUCT((G876=$G$7:$G$10000)*(M876&lt;$M$7:$M$10000))+1</f>
        <v>56</v>
      </c>
      <c r="P876" s="72"/>
      <c r="Q876">
        <v>12</v>
      </c>
      <c r="R876" t="str">
        <v>NEFJ</v>
      </c>
      <c r="S876" t="str">
        <v>Malakai Hala-Ngatai</v>
      </c>
      <c r="T876" t="str">
        <v>NULL</v>
      </c>
      <c r="U876" t="str">
        <v>Home</v>
      </c>
      <c r="V876" t="str">
        <v>HOU</v>
      </c>
      <c r="W876">
        <v>3.1951446228230296</v>
      </c>
      <c r="Y876" s="1" cm="1">
        <f t="array" ref="Y876">COUNT(_xlfn._xlws.FILTER($G$7:$G$10000,($I$7:$I$10000=X876)*($J$7:$J$10000&lt;&gt;"NULL")*($G$7:$G$10000 &gt;= ($G$1-5))))/5</f>
        <v>0</v>
      </c>
    </row>
    <row r="877" spans="7:25" x14ac:dyDescent="0.35">
      <c r="G877" s="66">
        <v>10</v>
      </c>
      <c r="H877" t="s">
        <v>24</v>
      </c>
      <c r="I877" t="s">
        <v>411</v>
      </c>
      <c r="J877" t="s">
        <v>256</v>
      </c>
      <c r="K877" t="s">
        <v>9</v>
      </c>
      <c r="L877" t="s">
        <v>7</v>
      </c>
      <c r="M877">
        <f t="shared" si="46"/>
        <v>4.1807536123061233</v>
      </c>
      <c r="N877" t="str">
        <f t="shared" si="47"/>
        <v/>
      </c>
      <c r="O877" s="67" cm="1">
        <f t="array" ref="O877">SUMPRODUCT((G877=$G$7:$G$10000)*(M877&lt;$M$7:$M$10000))+1</f>
        <v>57</v>
      </c>
      <c r="P877" s="72"/>
      <c r="Q877">
        <v>12</v>
      </c>
      <c r="R877" t="str">
        <v>LA</v>
      </c>
      <c r="S877" t="str">
        <v>Alessandro Heaney</v>
      </c>
      <c r="T877" t="str">
        <v>NULL</v>
      </c>
      <c r="U877" t="str">
        <v>Away</v>
      </c>
      <c r="V877" t="str">
        <v>SEA</v>
      </c>
      <c r="W877">
        <v>3.0401740151270245</v>
      </c>
      <c r="Y877" s="1" cm="1">
        <f t="array" ref="Y877">COUNT(_xlfn._xlws.FILTER($G$7:$G$10000,($I$7:$I$10000=X877)*($J$7:$J$10000&lt;&gt;"NULL")*($G$7:$G$10000 &gt;= ($G$1-5))))/5</f>
        <v>0</v>
      </c>
    </row>
    <row r="878" spans="7:25" x14ac:dyDescent="0.35">
      <c r="G878" s="66">
        <v>10</v>
      </c>
      <c r="H878" t="s">
        <v>7</v>
      </c>
      <c r="I878" t="s">
        <v>163</v>
      </c>
      <c r="J878" t="s">
        <v>256</v>
      </c>
      <c r="K878" t="s">
        <v>3</v>
      </c>
      <c r="L878" t="s">
        <v>24</v>
      </c>
      <c r="M878">
        <f t="shared" si="46"/>
        <v>4.1656459384164677</v>
      </c>
      <c r="N878" t="str">
        <f t="shared" si="47"/>
        <v/>
      </c>
      <c r="O878" s="67" cm="1">
        <f t="array" ref="O878">SUMPRODUCT((G878=$G$7:$G$10000)*(M878&lt;$M$7:$M$10000))+1</f>
        <v>58</v>
      </c>
      <c r="P878" s="72"/>
      <c r="Q878">
        <v>12</v>
      </c>
      <c r="R878" t="str">
        <v>SEA</v>
      </c>
      <c r="S878" t="str">
        <v>Juan Pablo Zeiss</v>
      </c>
      <c r="T878" t="str">
        <v>NULL</v>
      </c>
      <c r="U878" t="str">
        <v>Home</v>
      </c>
      <c r="V878" t="str">
        <v>LA</v>
      </c>
      <c r="W878">
        <v>3.0133070598043208</v>
      </c>
      <c r="Y878" s="1" cm="1">
        <f t="array" ref="Y878">COUNT(_xlfn._xlws.FILTER($G$7:$G$10000,($I$7:$I$10000=X878)*($J$7:$J$10000&lt;&gt;"NULL")*($G$7:$G$10000 &gt;= ($G$1-5))))/5</f>
        <v>0</v>
      </c>
    </row>
    <row r="879" spans="7:25" x14ac:dyDescent="0.35">
      <c r="G879" s="66">
        <v>10</v>
      </c>
      <c r="H879" t="s">
        <v>24</v>
      </c>
      <c r="I879" t="s">
        <v>168</v>
      </c>
      <c r="J879" t="s">
        <v>256</v>
      </c>
      <c r="K879" t="s">
        <v>9</v>
      </c>
      <c r="L879" t="s">
        <v>7</v>
      </c>
      <c r="M879">
        <f t="shared" si="46"/>
        <v>3.8533435740938069</v>
      </c>
      <c r="N879" t="str">
        <f t="shared" si="47"/>
        <v/>
      </c>
      <c r="O879" s="67" cm="1">
        <f t="array" ref="O879">SUMPRODUCT((G879=$G$7:$G$10000)*(M879&lt;$M$7:$M$10000))+1</f>
        <v>59</v>
      </c>
      <c r="P879" s="72"/>
      <c r="Q879">
        <v>12</v>
      </c>
      <c r="R879" t="str">
        <v>NEFJ</v>
      </c>
      <c r="S879" t="str">
        <v>Wian Conradie</v>
      </c>
      <c r="T879" t="str">
        <v>NULL</v>
      </c>
      <c r="U879" t="str">
        <v>Home</v>
      </c>
      <c r="V879" t="str">
        <v>HOU</v>
      </c>
      <c r="W879">
        <v>2.9560337699589354</v>
      </c>
      <c r="Y879" s="1" cm="1">
        <f t="array" ref="Y879">COUNT(_xlfn._xlws.FILTER($G$7:$G$10000,($I$7:$I$10000=X879)*($J$7:$J$10000&lt;&gt;"NULL")*($G$7:$G$10000 &gt;= ($G$1-5))))/5</f>
        <v>0</v>
      </c>
    </row>
    <row r="880" spans="7:25" x14ac:dyDescent="0.35">
      <c r="G880" s="66">
        <v>10</v>
      </c>
      <c r="H880" t="s">
        <v>36</v>
      </c>
      <c r="I880" t="s">
        <v>112</v>
      </c>
      <c r="J880" t="s">
        <v>256</v>
      </c>
      <c r="K880" t="s">
        <v>3</v>
      </c>
      <c r="L880" t="s">
        <v>4</v>
      </c>
      <c r="M880">
        <f t="shared" si="46"/>
        <v>3.8509389550770909</v>
      </c>
      <c r="N880" t="str">
        <f t="shared" si="47"/>
        <v/>
      </c>
      <c r="O880" s="67" cm="1">
        <f t="array" ref="O880">SUMPRODUCT((G880=$G$7:$G$10000)*(M880&lt;$M$7:$M$10000))+1</f>
        <v>60</v>
      </c>
      <c r="P880" s="72"/>
      <c r="Q880">
        <v>12</v>
      </c>
      <c r="R880" t="str">
        <v>MIA</v>
      </c>
      <c r="S880" t="str">
        <v>Tau Koloamatangi</v>
      </c>
      <c r="T880" t="str">
        <v>NULL</v>
      </c>
      <c r="U880" t="str">
        <v>Away</v>
      </c>
      <c r="V880" t="str">
        <v>CHI</v>
      </c>
      <c r="W880">
        <v>2.8376479969051767</v>
      </c>
      <c r="Y880" s="1" cm="1">
        <f t="array" ref="Y880">COUNT(_xlfn._xlws.FILTER($G$7:$G$10000,($I$7:$I$10000=X880)*($J$7:$J$10000&lt;&gt;"NULL")*($G$7:$G$10000 &gt;= ($G$1-5))))/5</f>
        <v>0</v>
      </c>
    </row>
    <row r="881" spans="7:25" x14ac:dyDescent="0.35">
      <c r="G881" s="66">
        <v>10</v>
      </c>
      <c r="H881" t="s">
        <v>7</v>
      </c>
      <c r="I881" t="s">
        <v>211</v>
      </c>
      <c r="J881" t="s">
        <v>256</v>
      </c>
      <c r="K881" t="s">
        <v>3</v>
      </c>
      <c r="L881" t="s">
        <v>24</v>
      </c>
      <c r="M881">
        <f t="shared" si="46"/>
        <v>3.8495143225534125</v>
      </c>
      <c r="N881" t="str">
        <f t="shared" si="47"/>
        <v/>
      </c>
      <c r="O881" s="67" cm="1">
        <f t="array" ref="O881">SUMPRODUCT((G881=$G$7:$G$10000)*(M881&lt;$M$7:$M$10000))+1</f>
        <v>61</v>
      </c>
      <c r="P881" s="72"/>
      <c r="Q881">
        <v>12</v>
      </c>
      <c r="R881" t="str">
        <v>OGDC</v>
      </c>
      <c r="S881" t="str">
        <v>Cory Daniel</v>
      </c>
      <c r="T881" t="str">
        <v>NULL</v>
      </c>
      <c r="U881" t="str">
        <v>Home</v>
      </c>
      <c r="V881" t="str">
        <v>UTAH</v>
      </c>
      <c r="W881">
        <v>2.7103244917523144</v>
      </c>
      <c r="Y881" s="1" cm="1">
        <f t="array" ref="Y881">COUNT(_xlfn._xlws.FILTER($G$7:$G$10000,($I$7:$I$10000=X881)*($J$7:$J$10000&lt;&gt;"NULL")*($G$7:$G$10000 &gt;= ($G$1-5))))/5</f>
        <v>0</v>
      </c>
    </row>
    <row r="882" spans="7:25" x14ac:dyDescent="0.35">
      <c r="G882" s="66">
        <v>10</v>
      </c>
      <c r="H882" t="s">
        <v>34</v>
      </c>
      <c r="I882" t="s">
        <v>227</v>
      </c>
      <c r="J882" t="s">
        <v>256</v>
      </c>
      <c r="K882" t="s">
        <v>3</v>
      </c>
      <c r="L882" t="s">
        <v>13</v>
      </c>
      <c r="M882">
        <f t="shared" si="46"/>
        <v>3.7809621251436432</v>
      </c>
      <c r="N882" t="str">
        <f t="shared" si="47"/>
        <v/>
      </c>
      <c r="O882" s="67" cm="1">
        <f t="array" ref="O882">SUMPRODUCT((G882=$G$7:$G$10000)*(M882&lt;$M$7:$M$10000))+1</f>
        <v>62</v>
      </c>
      <c r="P882" s="72"/>
      <c r="Q882">
        <v>12</v>
      </c>
      <c r="R882" t="str">
        <v>SEA</v>
      </c>
      <c r="S882" t="str">
        <v>Malembe Mpofu</v>
      </c>
      <c r="T882" t="str">
        <v>NULL</v>
      </c>
      <c r="U882" t="str">
        <v>Home</v>
      </c>
      <c r="V882" t="str">
        <v>LA</v>
      </c>
      <c r="W882">
        <v>2.3682531699598366</v>
      </c>
      <c r="Y882" s="1" cm="1">
        <f t="array" ref="Y882">COUNT(_xlfn._xlws.FILTER($G$7:$G$10000,($I$7:$I$10000=X882)*($J$7:$J$10000&lt;&gt;"NULL")*($G$7:$G$10000 &gt;= ($G$1-5))))/5</f>
        <v>0</v>
      </c>
    </row>
    <row r="883" spans="7:25" x14ac:dyDescent="0.35">
      <c r="G883" s="66">
        <v>10</v>
      </c>
      <c r="H883" t="s">
        <v>7</v>
      </c>
      <c r="I883" t="s">
        <v>104</v>
      </c>
      <c r="J883" t="s">
        <v>256</v>
      </c>
      <c r="K883" t="s">
        <v>3</v>
      </c>
      <c r="L883" t="s">
        <v>24</v>
      </c>
      <c r="M883">
        <f t="shared" si="46"/>
        <v>3.691406648479723</v>
      </c>
      <c r="N883" t="str">
        <f t="shared" si="47"/>
        <v/>
      </c>
      <c r="O883" s="67" cm="1">
        <f t="array" ref="O883">SUMPRODUCT((G883=$G$7:$G$10000)*(M883&lt;$M$7:$M$10000))+1</f>
        <v>63</v>
      </c>
      <c r="P883" s="72"/>
      <c r="Q883">
        <v>12</v>
      </c>
      <c r="R883" t="str">
        <v>HOU</v>
      </c>
      <c r="S883" t="str">
        <v>Emmanuel Albert</v>
      </c>
      <c r="T883" t="str">
        <v>NULL</v>
      </c>
      <c r="U883" t="str">
        <v>Away</v>
      </c>
      <c r="V883" t="str">
        <v>NEFJ</v>
      </c>
      <c r="W883">
        <v>2.3596825579605913</v>
      </c>
      <c r="Y883" s="1" cm="1">
        <f t="array" ref="Y883">COUNT(_xlfn._xlws.FILTER($G$7:$G$10000,($I$7:$I$10000=X883)*($J$7:$J$10000&lt;&gt;"NULL")*($G$7:$G$10000 &gt;= ($G$1-5))))/5</f>
        <v>0</v>
      </c>
    </row>
    <row r="884" spans="7:25" x14ac:dyDescent="0.35">
      <c r="G884" s="66">
        <v>10</v>
      </c>
      <c r="H884" t="s">
        <v>14</v>
      </c>
      <c r="I884" t="s">
        <v>248</v>
      </c>
      <c r="J884" t="s">
        <v>256</v>
      </c>
      <c r="K884" t="s">
        <v>3</v>
      </c>
      <c r="L884" t="s">
        <v>23</v>
      </c>
      <c r="M884">
        <f t="shared" si="46"/>
        <v>3.6638320948418652</v>
      </c>
      <c r="N884" t="str">
        <f t="shared" si="47"/>
        <v/>
      </c>
      <c r="O884" s="67" cm="1">
        <f t="array" ref="O884">SUMPRODUCT((G884=$G$7:$G$10000)*(M884&lt;$M$7:$M$10000))+1</f>
        <v>64</v>
      </c>
      <c r="P884" s="72"/>
      <c r="Q884">
        <v>12</v>
      </c>
      <c r="R884" t="str">
        <v>LA</v>
      </c>
      <c r="S884" t="str">
        <v>Reegan O'Gorman</v>
      </c>
      <c r="T884" t="str">
        <v>NULL</v>
      </c>
      <c r="U884" t="str">
        <v>Away</v>
      </c>
      <c r="V884" t="str">
        <v>SEA</v>
      </c>
      <c r="W884">
        <v>2.2681171795423589</v>
      </c>
      <c r="Y884" s="1" cm="1">
        <f t="array" ref="Y884">COUNT(_xlfn._xlws.FILTER($G$7:$G$10000,($I$7:$I$10000=X884)*($J$7:$J$10000&lt;&gt;"NULL")*($G$7:$G$10000 &gt;= ($G$1-5))))/5</f>
        <v>0</v>
      </c>
    </row>
    <row r="885" spans="7:25" x14ac:dyDescent="0.35">
      <c r="G885" s="66">
        <v>10</v>
      </c>
      <c r="H885" t="s">
        <v>17</v>
      </c>
      <c r="I885" t="s">
        <v>284</v>
      </c>
      <c r="J885" t="s">
        <v>256</v>
      </c>
      <c r="K885" t="s">
        <v>3</v>
      </c>
      <c r="L885" t="s">
        <v>2</v>
      </c>
      <c r="M885">
        <f t="shared" si="46"/>
        <v>3.6355460791132082</v>
      </c>
      <c r="N885" t="str">
        <f t="shared" si="47"/>
        <v/>
      </c>
      <c r="O885" s="67" cm="1">
        <f t="array" ref="O885">SUMPRODUCT((G885=$G$7:$G$10000)*(M885&lt;$M$7:$M$10000))+1</f>
        <v>65</v>
      </c>
      <c r="P885" s="72"/>
      <c r="Q885">
        <v>12</v>
      </c>
      <c r="R885" t="str">
        <v>MIA</v>
      </c>
      <c r="S885" t="str">
        <v>Sean McNulty</v>
      </c>
      <c r="T885" t="str">
        <v>NULL</v>
      </c>
      <c r="U885" t="str">
        <v>Away</v>
      </c>
      <c r="V885" t="str">
        <v>CHI</v>
      </c>
      <c r="W885">
        <v>2.1049068987342032</v>
      </c>
      <c r="Y885" s="1" cm="1">
        <f t="array" ref="Y885">COUNT(_xlfn._xlws.FILTER($G$7:$G$10000,($I$7:$I$10000=X885)*($J$7:$J$10000&lt;&gt;"NULL")*($G$7:$G$10000 &gt;= ($G$1-5))))/5</f>
        <v>0</v>
      </c>
    </row>
    <row r="886" spans="7:25" x14ac:dyDescent="0.35">
      <c r="G886" s="66">
        <v>10</v>
      </c>
      <c r="H886" t="s">
        <v>36</v>
      </c>
      <c r="I886" t="s">
        <v>117</v>
      </c>
      <c r="J886" t="s">
        <v>256</v>
      </c>
      <c r="K886" t="s">
        <v>3</v>
      </c>
      <c r="L886" t="s">
        <v>4</v>
      </c>
      <c r="M886">
        <f t="shared" si="46"/>
        <v>3.5201526260184761</v>
      </c>
      <c r="N886" t="str">
        <f t="shared" si="47"/>
        <v/>
      </c>
      <c r="O886" s="67" cm="1">
        <f t="array" ref="O886">SUMPRODUCT((G886=$G$7:$G$10000)*(M886&lt;$M$7:$M$10000))+1</f>
        <v>66</v>
      </c>
      <c r="P886" s="72"/>
      <c r="Q886">
        <v>12</v>
      </c>
      <c r="R886" t="str">
        <v>SDL</v>
      </c>
      <c r="S886" t="str">
        <v>Hugh Roach</v>
      </c>
      <c r="T886" t="str">
        <v>NULL</v>
      </c>
      <c r="U886" t="str">
        <v>Home</v>
      </c>
      <c r="V886" t="str">
        <v>NOLA</v>
      </c>
      <c r="W886">
        <v>2.0218211539924642</v>
      </c>
      <c r="Y886" s="1" cm="1">
        <f t="array" ref="Y886">COUNT(_xlfn._xlws.FILTER($G$7:$G$10000,($I$7:$I$10000=X886)*($J$7:$J$10000&lt;&gt;"NULL")*($G$7:$G$10000 &gt;= ($G$1-5))))/5</f>
        <v>0</v>
      </c>
    </row>
    <row r="887" spans="7:25" x14ac:dyDescent="0.35">
      <c r="G887" s="66">
        <v>10</v>
      </c>
      <c r="H887" t="s">
        <v>7</v>
      </c>
      <c r="I887" t="s">
        <v>148</v>
      </c>
      <c r="J887" t="s">
        <v>256</v>
      </c>
      <c r="K887" t="s">
        <v>3</v>
      </c>
      <c r="L887" t="s">
        <v>24</v>
      </c>
      <c r="M887">
        <f t="shared" si="46"/>
        <v>3.4914662381737394</v>
      </c>
      <c r="N887" t="str">
        <f t="shared" si="47"/>
        <v/>
      </c>
      <c r="O887" s="67" cm="1">
        <f t="array" ref="O887">SUMPRODUCT((G887=$G$7:$G$10000)*(M887&lt;$M$7:$M$10000))+1</f>
        <v>67</v>
      </c>
      <c r="P887" s="72"/>
      <c r="Q887">
        <v>12</v>
      </c>
      <c r="R887" t="str">
        <v>CHI</v>
      </c>
      <c r="S887" t="str">
        <v>Charlie Abel</v>
      </c>
      <c r="T887" t="str">
        <v>NULL</v>
      </c>
      <c r="U887" t="str">
        <v>Home</v>
      </c>
      <c r="V887" t="str">
        <v>MIA</v>
      </c>
      <c r="W887">
        <v>1.9157381675991862</v>
      </c>
      <c r="Y887" s="1" cm="1">
        <f t="array" ref="Y887">COUNT(_xlfn._xlws.FILTER($G$7:$G$10000,($I$7:$I$10000=X887)*($J$7:$J$10000&lt;&gt;"NULL")*($G$7:$G$10000 &gt;= ($G$1-5))))/5</f>
        <v>0</v>
      </c>
    </row>
    <row r="888" spans="7:25" x14ac:dyDescent="0.35">
      <c r="G888" s="66">
        <v>10</v>
      </c>
      <c r="H888" t="s">
        <v>2</v>
      </c>
      <c r="I888" t="s">
        <v>426</v>
      </c>
      <c r="J888" t="s">
        <v>256</v>
      </c>
      <c r="K888" t="s">
        <v>9</v>
      </c>
      <c r="L888" t="s">
        <v>17</v>
      </c>
      <c r="M888">
        <f t="shared" si="46"/>
        <v>3.4524247003342898</v>
      </c>
      <c r="N888" t="str">
        <f t="shared" si="47"/>
        <v/>
      </c>
      <c r="O888" s="67" cm="1">
        <f t="array" ref="O888">SUMPRODUCT((G888=$G$7:$G$10000)*(M888&lt;$M$7:$M$10000))+1</f>
        <v>68</v>
      </c>
      <c r="P888" s="72"/>
      <c r="Q888">
        <v>12</v>
      </c>
      <c r="R888" t="str">
        <v>HOU</v>
      </c>
      <c r="S888" t="str">
        <v>Johan Momsen</v>
      </c>
      <c r="T888" t="str">
        <v>NULL</v>
      </c>
      <c r="U888" t="str">
        <v>Away</v>
      </c>
      <c r="V888" t="str">
        <v>NEFJ</v>
      </c>
      <c r="W888">
        <v>1.7945134788901504</v>
      </c>
      <c r="Y888" s="1" cm="1">
        <f t="array" ref="Y888">COUNT(_xlfn._xlws.FILTER($G$7:$G$10000,($I$7:$I$10000=X888)*($J$7:$J$10000&lt;&gt;"NULL")*($G$7:$G$10000 &gt;= ($G$1-5))))/5</f>
        <v>0</v>
      </c>
    </row>
    <row r="889" spans="7:25" x14ac:dyDescent="0.35">
      <c r="G889" s="66">
        <v>10</v>
      </c>
      <c r="H889" t="s">
        <v>4</v>
      </c>
      <c r="I889" t="s">
        <v>176</v>
      </c>
      <c r="J889" t="s">
        <v>256</v>
      </c>
      <c r="K889" t="s">
        <v>9</v>
      </c>
      <c r="L889" t="s">
        <v>36</v>
      </c>
      <c r="M889">
        <f t="shared" si="46"/>
        <v>3.318318611070505</v>
      </c>
      <c r="N889" t="str">
        <f t="shared" si="47"/>
        <v/>
      </c>
      <c r="O889" s="67" cm="1">
        <f t="array" ref="O889">SUMPRODUCT((G889=$G$7:$G$10000)*(M889&lt;$M$7:$M$10000))+1</f>
        <v>69</v>
      </c>
      <c r="P889" s="72"/>
      <c r="Q889">
        <v>12</v>
      </c>
      <c r="R889" t="str">
        <v>SDL</v>
      </c>
      <c r="S889" t="str">
        <v>Brandon Harvey</v>
      </c>
      <c r="T889" t="str">
        <v>NULL</v>
      </c>
      <c r="U889" t="str">
        <v>Home</v>
      </c>
      <c r="V889" t="str">
        <v>NOLA</v>
      </c>
      <c r="W889">
        <v>1.6428140677716465</v>
      </c>
      <c r="Y889" s="1" cm="1">
        <f t="array" ref="Y889">COUNT(_xlfn._xlws.FILTER($G$7:$G$10000,($I$7:$I$10000=X889)*($J$7:$J$10000&lt;&gt;"NULL")*($G$7:$G$10000 &gt;= ($G$1-5))))/5</f>
        <v>0</v>
      </c>
    </row>
    <row r="890" spans="7:25" x14ac:dyDescent="0.35">
      <c r="G890" s="66">
        <v>10</v>
      </c>
      <c r="H890" t="s">
        <v>2</v>
      </c>
      <c r="I890" t="s">
        <v>159</v>
      </c>
      <c r="J890" t="s">
        <v>256</v>
      </c>
      <c r="K890" t="s">
        <v>9</v>
      </c>
      <c r="L890" t="s">
        <v>17</v>
      </c>
      <c r="M890">
        <f t="shared" si="46"/>
        <v>3.3142962255583184</v>
      </c>
      <c r="N890" t="str">
        <f t="shared" si="47"/>
        <v/>
      </c>
      <c r="O890" s="67" cm="1">
        <f t="array" ref="O890">SUMPRODUCT((G890=$G$7:$G$10000)*(M890&lt;$M$7:$M$10000))+1</f>
        <v>70</v>
      </c>
      <c r="P890" s="72"/>
      <c r="Q890">
        <v>12</v>
      </c>
      <c r="R890" t="str">
        <v>LA</v>
      </c>
      <c r="S890" t="str">
        <v>Cronan Gleeson</v>
      </c>
      <c r="T890" t="str">
        <v>NULL</v>
      </c>
      <c r="U890" t="str">
        <v>Away</v>
      </c>
      <c r="V890" t="str">
        <v>SEA</v>
      </c>
      <c r="W890">
        <v>1.5927511127963925</v>
      </c>
      <c r="Y890" s="1" cm="1">
        <f t="array" ref="Y890">COUNT(_xlfn._xlws.FILTER($G$7:$G$10000,($I$7:$I$10000=X890)*($J$7:$J$10000&lt;&gt;"NULL")*($G$7:$G$10000 &gt;= ($G$1-5))))/5</f>
        <v>0</v>
      </c>
    </row>
    <row r="891" spans="7:25" x14ac:dyDescent="0.35">
      <c r="G891" s="66">
        <v>10</v>
      </c>
      <c r="H891" t="s">
        <v>36</v>
      </c>
      <c r="I891" t="s">
        <v>216</v>
      </c>
      <c r="J891" t="s">
        <v>256</v>
      </c>
      <c r="K891" t="s">
        <v>3</v>
      </c>
      <c r="L891" t="s">
        <v>4</v>
      </c>
      <c r="M891">
        <f t="shared" si="46"/>
        <v>3.2976108149247363</v>
      </c>
      <c r="N891" t="str">
        <f t="shared" si="47"/>
        <v/>
      </c>
      <c r="O891" s="67" cm="1">
        <f t="array" ref="O891">SUMPRODUCT((G891=$G$7:$G$10000)*(M891&lt;$M$7:$M$10000))+1</f>
        <v>71</v>
      </c>
      <c r="P891" s="72"/>
      <c r="Q891">
        <v>12</v>
      </c>
      <c r="R891" t="str">
        <v>HOU</v>
      </c>
      <c r="S891" t="str">
        <v>Nathan Den Hoedt</v>
      </c>
      <c r="T891" t="str">
        <v>NULL</v>
      </c>
      <c r="U891" t="str">
        <v>Away</v>
      </c>
      <c r="V891" t="str">
        <v>NEFJ</v>
      </c>
      <c r="W891">
        <v>1.4637271498315361</v>
      </c>
      <c r="Y891" s="1" cm="1">
        <f t="array" ref="Y891">COUNT(_xlfn._xlws.FILTER($G$7:$G$10000,($I$7:$I$10000=X891)*($J$7:$J$10000&lt;&gt;"NULL")*($G$7:$G$10000 &gt;= ($G$1-5))))/5</f>
        <v>0</v>
      </c>
    </row>
    <row r="892" spans="7:25" x14ac:dyDescent="0.35">
      <c r="G892" s="66">
        <v>10</v>
      </c>
      <c r="H892" t="s">
        <v>7</v>
      </c>
      <c r="I892" t="s">
        <v>277</v>
      </c>
      <c r="J892" t="s">
        <v>256</v>
      </c>
      <c r="K892" t="s">
        <v>3</v>
      </c>
      <c r="L892" t="s">
        <v>24</v>
      </c>
      <c r="M892">
        <f t="shared" si="46"/>
        <v>3.0652210666436774</v>
      </c>
      <c r="N892" t="str">
        <f t="shared" si="47"/>
        <v/>
      </c>
      <c r="O892" s="67" cm="1">
        <f t="array" ref="O892">SUMPRODUCT((G892=$G$7:$G$10000)*(M892&lt;$M$7:$M$10000))+1</f>
        <v>72</v>
      </c>
      <c r="P892" s="72"/>
      <c r="Q892">
        <v>12</v>
      </c>
      <c r="R892" t="str">
        <v>HOU</v>
      </c>
      <c r="S892" t="str">
        <v>Marno Redelinghuys</v>
      </c>
      <c r="T892" t="str">
        <v>NULL</v>
      </c>
      <c r="U892" t="str">
        <v>Away</v>
      </c>
      <c r="V892" t="str">
        <v>NEFJ</v>
      </c>
      <c r="W892">
        <v>1.2411853387377967</v>
      </c>
      <c r="Y892" s="1" cm="1">
        <f t="array" ref="Y892">COUNT(_xlfn._xlws.FILTER($G$7:$G$10000,($I$7:$I$10000=X892)*($J$7:$J$10000&lt;&gt;"NULL")*($G$7:$G$10000 &gt;= ($G$1-5))))/5</f>
        <v>0</v>
      </c>
    </row>
    <row r="893" spans="7:25" x14ac:dyDescent="0.35">
      <c r="G893" s="66">
        <v>10</v>
      </c>
      <c r="H893" t="s">
        <v>4</v>
      </c>
      <c r="I893" t="s">
        <v>172</v>
      </c>
      <c r="J893" t="s">
        <v>256</v>
      </c>
      <c r="K893" t="s">
        <v>9</v>
      </c>
      <c r="L893" t="s">
        <v>36</v>
      </c>
      <c r="M893">
        <f t="shared" si="46"/>
        <v>2.9368752139718017</v>
      </c>
      <c r="N893" t="str">
        <f t="shared" si="47"/>
        <v/>
      </c>
      <c r="O893" s="67" cm="1">
        <f t="array" ref="O893">SUMPRODUCT((G893=$G$7:$G$10000)*(M893&lt;$M$7:$M$10000))+1</f>
        <v>73</v>
      </c>
      <c r="P893" s="72"/>
      <c r="Q893">
        <v>12</v>
      </c>
      <c r="R893" t="str">
        <v>SEA</v>
      </c>
      <c r="S893" t="str">
        <v>Dewald Kotze</v>
      </c>
      <c r="T893" t="str">
        <v>NULL</v>
      </c>
      <c r="U893" t="str">
        <v>Home</v>
      </c>
      <c r="V893" t="str">
        <v>LA</v>
      </c>
      <c r="W893">
        <v>1.1918107721027615</v>
      </c>
      <c r="Y893" s="1" cm="1">
        <f t="array" ref="Y893">COUNT(_xlfn._xlws.FILTER($G$7:$G$10000,($I$7:$I$10000=X893)*($J$7:$J$10000&lt;&gt;"NULL")*($G$7:$G$10000 &gt;= ($G$1-5))))/5</f>
        <v>0</v>
      </c>
    </row>
    <row r="894" spans="7:25" x14ac:dyDescent="0.35">
      <c r="G894" s="66">
        <v>10</v>
      </c>
      <c r="H894" t="s">
        <v>14</v>
      </c>
      <c r="I894" t="s">
        <v>203</v>
      </c>
      <c r="J894" t="s">
        <v>256</v>
      </c>
      <c r="K894" t="s">
        <v>3</v>
      </c>
      <c r="L894" t="s">
        <v>23</v>
      </c>
      <c r="M894">
        <f t="shared" si="46"/>
        <v>2.809432629099923</v>
      </c>
      <c r="N894" t="str">
        <f t="shared" si="47"/>
        <v/>
      </c>
      <c r="O894" s="67" cm="1">
        <f t="array" ref="O894">SUMPRODUCT((G894=$G$7:$G$10000)*(M894&lt;$M$7:$M$10000))+1</f>
        <v>74</v>
      </c>
      <c r="P894" s="72"/>
      <c r="Q894">
        <v>12</v>
      </c>
      <c r="R894" t="str">
        <v>OGDC</v>
      </c>
      <c r="S894" t="str">
        <v>Facundo Gattas</v>
      </c>
      <c r="T894" t="str">
        <v>NULL</v>
      </c>
      <c r="U894" t="str">
        <v>Home</v>
      </c>
      <c r="V894" t="str">
        <v>UTAH</v>
      </c>
      <c r="W894">
        <v>0.59106556413827827</v>
      </c>
      <c r="Y894" s="1" cm="1">
        <f t="array" ref="Y894">COUNT(_xlfn._xlws.FILTER($G$7:$G$10000,($I$7:$I$10000=X894)*($J$7:$J$10000&lt;&gt;"NULL")*($G$7:$G$10000 &gt;= ($G$1-5))))/5</f>
        <v>0</v>
      </c>
    </row>
    <row r="895" spans="7:25" x14ac:dyDescent="0.35">
      <c r="G895" s="66">
        <v>10</v>
      </c>
      <c r="H895" t="s">
        <v>14</v>
      </c>
      <c r="I895" t="s">
        <v>107</v>
      </c>
      <c r="J895" t="s">
        <v>256</v>
      </c>
      <c r="K895" t="s">
        <v>3</v>
      </c>
      <c r="L895" t="s">
        <v>23</v>
      </c>
      <c r="M895">
        <f t="shared" si="46"/>
        <v>2.6930534779235473</v>
      </c>
      <c r="N895" t="str">
        <f t="shared" si="47"/>
        <v/>
      </c>
      <c r="O895" s="67" cm="1">
        <f t="array" ref="O895">SUMPRODUCT((G895=$G$7:$G$10000)*(M895&lt;$M$7:$M$10000))+1</f>
        <v>75</v>
      </c>
      <c r="P895" s="72"/>
      <c r="Q895">
        <v>12</v>
      </c>
      <c r="R895" t="str">
        <v>OGDC</v>
      </c>
      <c r="S895" t="str">
        <v>Jack Iscaro</v>
      </c>
      <c r="T895" t="str">
        <v>NULL</v>
      </c>
      <c r="U895" t="str">
        <v>Home</v>
      </c>
      <c r="V895" t="str">
        <v>UTAH</v>
      </c>
      <c r="W895">
        <v>0.53854853445497808</v>
      </c>
      <c r="Y895" s="1" cm="1">
        <f t="array" ref="Y895">COUNT(_xlfn._xlws.FILTER($G$7:$G$10000,($I$7:$I$10000=X895)*($J$7:$J$10000&lt;&gt;"NULL")*($G$7:$G$10000 &gt;= ($G$1-5))))/5</f>
        <v>0</v>
      </c>
    </row>
    <row r="896" spans="7:25" x14ac:dyDescent="0.35">
      <c r="G896" s="66">
        <v>10</v>
      </c>
      <c r="H896" t="s">
        <v>17</v>
      </c>
      <c r="I896" t="s">
        <v>167</v>
      </c>
      <c r="J896" t="s">
        <v>256</v>
      </c>
      <c r="K896" t="s">
        <v>3</v>
      </c>
      <c r="L896" t="s">
        <v>2</v>
      </c>
      <c r="M896">
        <f t="shared" si="46"/>
        <v>2.679457039437863</v>
      </c>
      <c r="N896" t="str">
        <f t="shared" si="47"/>
        <v/>
      </c>
      <c r="O896" s="67" cm="1">
        <f t="array" ref="O896">SUMPRODUCT((G896=$G$7:$G$10000)*(M896&lt;$M$7:$M$10000))+1</f>
        <v>76</v>
      </c>
      <c r="P896" s="72"/>
      <c r="Q896">
        <v>12</v>
      </c>
      <c r="R896" t="str">
        <v>UTAH</v>
      </c>
      <c r="S896" t="str">
        <v>Tonga Kofe</v>
      </c>
      <c r="T896" t="str">
        <v>NULL</v>
      </c>
      <c r="U896" t="str">
        <v>Away</v>
      </c>
      <c r="V896" t="str">
        <v>OGDC</v>
      </c>
      <c r="W896">
        <v>0.42501881786105411</v>
      </c>
      <c r="Y896" s="1" cm="1">
        <f t="array" ref="Y896">COUNT(_xlfn._xlws.FILTER($G$7:$G$10000,($I$7:$I$10000=X896)*($J$7:$J$10000&lt;&gt;"NULL")*($G$7:$G$10000 &gt;= ($G$1-5))))/5</f>
        <v>0</v>
      </c>
    </row>
    <row r="897" spans="7:25" x14ac:dyDescent="0.35">
      <c r="G897" s="66">
        <v>10</v>
      </c>
      <c r="H897" t="s">
        <v>14</v>
      </c>
      <c r="I897" t="s">
        <v>471</v>
      </c>
      <c r="J897" t="s">
        <v>256</v>
      </c>
      <c r="K897" t="s">
        <v>3</v>
      </c>
      <c r="L897" t="s">
        <v>23</v>
      </c>
      <c r="M897">
        <f t="shared" si="46"/>
        <v>2.634983643335377</v>
      </c>
      <c r="N897" t="str">
        <f t="shared" si="47"/>
        <v/>
      </c>
      <c r="O897" s="67" cm="1">
        <f t="array" ref="O897">SUMPRODUCT((G897=$G$7:$G$10000)*(M897&lt;$M$7:$M$10000))+1</f>
        <v>77</v>
      </c>
      <c r="P897" s="72"/>
      <c r="Q897">
        <v>12</v>
      </c>
      <c r="R897" t="str">
        <v>OGDC</v>
      </c>
      <c r="S897" t="str">
        <v>Lautaro Bavaro</v>
      </c>
      <c r="T897" t="str">
        <v>NULL</v>
      </c>
      <c r="U897" t="str">
        <v>Home</v>
      </c>
      <c r="V897" t="str">
        <v>UTAH</v>
      </c>
      <c r="W897">
        <v>0.22241691859192247</v>
      </c>
      <c r="Y897" s="1" cm="1">
        <f t="array" ref="Y897">COUNT(_xlfn._xlws.FILTER($G$7:$G$10000,($I$7:$I$10000=X897)*($J$7:$J$10000&lt;&gt;"NULL")*($G$7:$G$10000 &gt;= ($G$1-5))))/5</f>
        <v>0</v>
      </c>
    </row>
    <row r="898" spans="7:25" x14ac:dyDescent="0.35">
      <c r="G898" s="66">
        <v>10</v>
      </c>
      <c r="H898" t="s">
        <v>4</v>
      </c>
      <c r="I898" t="s">
        <v>118</v>
      </c>
      <c r="J898" t="s">
        <v>256</v>
      </c>
      <c r="K898" t="s">
        <v>9</v>
      </c>
      <c r="L898" t="s">
        <v>36</v>
      </c>
      <c r="M898">
        <f t="shared" si="46"/>
        <v>2.5327972891264281</v>
      </c>
      <c r="N898" t="str">
        <f t="shared" si="47"/>
        <v/>
      </c>
      <c r="O898" s="67" cm="1">
        <f t="array" ref="O898">SUMPRODUCT((G898=$G$7:$G$10000)*(M898&lt;$M$7:$M$10000))+1</f>
        <v>78</v>
      </c>
      <c r="P898" s="72"/>
      <c r="Q898">
        <v>12</v>
      </c>
      <c r="R898" t="str">
        <v>HOU</v>
      </c>
      <c r="S898" t="str">
        <v>Pono Davis</v>
      </c>
      <c r="T898" t="str">
        <v>NULL</v>
      </c>
      <c r="U898" t="str">
        <v>Away</v>
      </c>
      <c r="V898" t="str">
        <v>NEFJ</v>
      </c>
      <c r="W898">
        <v>8.9990931427678333E-2</v>
      </c>
      <c r="Y898" s="1" cm="1">
        <f t="array" ref="Y898">COUNT(_xlfn._xlws.FILTER($G$7:$G$10000,($I$7:$I$10000=X898)*($J$7:$J$10000&lt;&gt;"NULL")*($G$7:$G$10000 &gt;= ($G$1-5))))/5</f>
        <v>0</v>
      </c>
    </row>
    <row r="899" spans="7:25" x14ac:dyDescent="0.35">
      <c r="G899" s="66">
        <v>10</v>
      </c>
      <c r="H899" t="s">
        <v>13</v>
      </c>
      <c r="I899" t="s">
        <v>467</v>
      </c>
      <c r="J899" t="s">
        <v>256</v>
      </c>
      <c r="K899" t="s">
        <v>9</v>
      </c>
      <c r="L899" t="s">
        <v>34</v>
      </c>
      <c r="M899">
        <f t="shared" si="46"/>
        <v>2.4573141463252766</v>
      </c>
      <c r="N899" t="str">
        <f t="shared" si="47"/>
        <v/>
      </c>
      <c r="O899" s="67" cm="1">
        <f t="array" ref="O899">SUMPRODUCT((G899=$G$7:$G$10000)*(M899&lt;$M$7:$M$10000))+1</f>
        <v>79</v>
      </c>
      <c r="P899" s="72"/>
      <c r="Q899">
        <v>12</v>
      </c>
      <c r="R899" t="str">
        <v>OGDC</v>
      </c>
      <c r="S899" t="str">
        <v>Rob Harley</v>
      </c>
      <c r="T899" t="str">
        <v>NULL</v>
      </c>
      <c r="U899" t="str">
        <v>Home</v>
      </c>
      <c r="V899" t="str">
        <v>UTAH</v>
      </c>
      <c r="W899">
        <v>6.4309244518232944E-2</v>
      </c>
      <c r="Y899" s="1" cm="1">
        <f t="array" ref="Y899">COUNT(_xlfn._xlws.FILTER($G$7:$G$10000,($I$7:$I$10000=X899)*($J$7:$J$10000&lt;&gt;"NULL")*($G$7:$G$10000 &gt;= ($G$1-5))))/5</f>
        <v>0</v>
      </c>
    </row>
    <row r="900" spans="7:25" x14ac:dyDescent="0.35">
      <c r="G900" s="66">
        <v>10</v>
      </c>
      <c r="H900" t="s">
        <v>24</v>
      </c>
      <c r="I900" t="s">
        <v>482</v>
      </c>
      <c r="J900" t="s">
        <v>256</v>
      </c>
      <c r="K900" t="s">
        <v>9</v>
      </c>
      <c r="L900" t="s">
        <v>7</v>
      </c>
      <c r="M900">
        <f t="shared" si="46"/>
        <v>2.3205794768085131</v>
      </c>
      <c r="N900" t="str">
        <f t="shared" si="47"/>
        <v/>
      </c>
      <c r="O900" s="67" cm="1">
        <f t="array" ref="O900">SUMPRODUCT((G900=$G$7:$G$10000)*(M900&lt;$M$7:$M$10000))+1</f>
        <v>80</v>
      </c>
      <c r="P900" s="72"/>
      <c r="Q900">
        <v>12</v>
      </c>
      <c r="R900" t="str">
        <v>HOU</v>
      </c>
      <c r="S900" t="str">
        <v>Ronan Murphy</v>
      </c>
      <c r="T900" t="str">
        <v>NULL</v>
      </c>
      <c r="U900" t="str">
        <v>Away</v>
      </c>
      <c r="V900" t="str">
        <v>NEFJ</v>
      </c>
      <c r="W900">
        <v>3.896308305341023E-2</v>
      </c>
      <c r="Y900" s="1" cm="1">
        <f t="array" ref="Y900">COUNT(_xlfn._xlws.FILTER($G$7:$G$10000,($I$7:$I$10000=X900)*($J$7:$J$10000&lt;&gt;"NULL")*($G$7:$G$10000 &gt;= ($G$1-5))))/5</f>
        <v>0</v>
      </c>
    </row>
    <row r="901" spans="7:25" x14ac:dyDescent="0.35">
      <c r="G901" s="66">
        <v>10</v>
      </c>
      <c r="H901" t="s">
        <v>4</v>
      </c>
      <c r="I901" t="s">
        <v>335</v>
      </c>
      <c r="J901" t="s">
        <v>256</v>
      </c>
      <c r="K901" t="s">
        <v>9</v>
      </c>
      <c r="L901" t="s">
        <v>36</v>
      </c>
      <c r="M901">
        <f t="shared" si="46"/>
        <v>2.2120512052628811</v>
      </c>
      <c r="N901" t="str">
        <f t="shared" si="47"/>
        <v/>
      </c>
      <c r="O901" s="67" cm="1">
        <f t="array" ref="O901">SUMPRODUCT((G901=$G$7:$G$10000)*(M901&lt;$M$7:$M$10000))+1</f>
        <v>81</v>
      </c>
      <c r="P901" s="72"/>
      <c r="Q901">
        <v>12</v>
      </c>
      <c r="R901" t="str">
        <v>OGDC</v>
      </c>
      <c r="S901" t="str">
        <v>Cali Martinez</v>
      </c>
      <c r="T901" t="str">
        <v>NULL</v>
      </c>
      <c r="U901" t="str">
        <v>Home</v>
      </c>
      <c r="V901" t="str">
        <v>UTAH</v>
      </c>
      <c r="W901">
        <v>-0.1356311657877507</v>
      </c>
      <c r="Y901" s="1" cm="1">
        <f t="array" ref="Y901">COUNT(_xlfn._xlws.FILTER($G$7:$G$10000,($I$7:$I$10000=X901)*($J$7:$J$10000&lt;&gt;"NULL")*($G$7:$G$10000 &gt;= ($G$1-5))))/5</f>
        <v>0</v>
      </c>
    </row>
    <row r="902" spans="7:25" x14ac:dyDescent="0.35">
      <c r="G902" s="66">
        <v>10</v>
      </c>
      <c r="H902" t="s">
        <v>36</v>
      </c>
      <c r="I902" t="s">
        <v>415</v>
      </c>
      <c r="J902" t="s">
        <v>256</v>
      </c>
      <c r="K902" t="s">
        <v>3</v>
      </c>
      <c r="L902" t="s">
        <v>4</v>
      </c>
      <c r="M902">
        <f t="shared" si="46"/>
        <v>2.1464164076146179</v>
      </c>
      <c r="N902" t="str">
        <f t="shared" si="47"/>
        <v/>
      </c>
      <c r="O902" s="67" cm="1">
        <f t="array" ref="O902">SUMPRODUCT((G902=$G$7:$G$10000)*(M902&lt;$M$7:$M$10000))+1</f>
        <v>82</v>
      </c>
      <c r="P902" s="72"/>
      <c r="Q902">
        <v>12</v>
      </c>
      <c r="R902" t="str">
        <v>HOU</v>
      </c>
      <c r="S902" t="str">
        <v>Seth Smith</v>
      </c>
      <c r="T902" t="str">
        <v>NULL</v>
      </c>
      <c r="U902" t="str">
        <v>Away</v>
      </c>
      <c r="V902" t="str">
        <v>NEFJ</v>
      </c>
      <c r="W902">
        <v>-0.2540399962689861</v>
      </c>
      <c r="Y902" s="1" cm="1">
        <f t="array" ref="Y902">COUNT(_xlfn._xlws.FILTER($G$7:$G$10000,($I$7:$I$10000=X902)*($J$7:$J$10000&lt;&gt;"NULL")*($G$7:$G$10000 &gt;= ($G$1-5))))/5</f>
        <v>0</v>
      </c>
    </row>
    <row r="903" spans="7:25" x14ac:dyDescent="0.35">
      <c r="G903" s="66">
        <v>10</v>
      </c>
      <c r="H903" t="s">
        <v>36</v>
      </c>
      <c r="I903" t="s">
        <v>224</v>
      </c>
      <c r="J903" t="s">
        <v>256</v>
      </c>
      <c r="K903" t="s">
        <v>3</v>
      </c>
      <c r="L903" t="s">
        <v>4</v>
      </c>
      <c r="M903">
        <f t="shared" si="46"/>
        <v>2.0953885592403498</v>
      </c>
      <c r="N903" t="str">
        <f t="shared" si="47"/>
        <v/>
      </c>
      <c r="O903" s="67" cm="1">
        <f t="array" ref="O903">SUMPRODUCT((G903=$G$7:$G$10000)*(M903&lt;$M$7:$M$10000))+1</f>
        <v>83</v>
      </c>
      <c r="P903" s="72"/>
      <c r="Q903">
        <v>12</v>
      </c>
      <c r="R903" t="str">
        <v>OGDC</v>
      </c>
      <c r="S903" t="str">
        <v>Tevita Naqali</v>
      </c>
      <c r="T903" t="str">
        <v>NULL</v>
      </c>
      <c r="U903" t="str">
        <v>Home</v>
      </c>
      <c r="V903" t="str">
        <v>UTAH</v>
      </c>
      <c r="W903">
        <v>-0.56187633731781261</v>
      </c>
      <c r="Y903" s="1" cm="1">
        <f t="array" ref="Y903">COUNT(_xlfn._xlws.FILTER($G$7:$G$10000,($I$7:$I$10000=X903)*($J$7:$J$10000&lt;&gt;"NULL")*($G$7:$G$10000 &gt;= ($G$1-5))))/5</f>
        <v>0</v>
      </c>
    </row>
    <row r="904" spans="7:25" x14ac:dyDescent="0.35">
      <c r="G904" s="66">
        <v>10</v>
      </c>
      <c r="H904" t="s">
        <v>17</v>
      </c>
      <c r="I904" t="s">
        <v>423</v>
      </c>
      <c r="J904" t="s">
        <v>256</v>
      </c>
      <c r="K904" t="s">
        <v>3</v>
      </c>
      <c r="L904" t="s">
        <v>2</v>
      </c>
      <c r="M904">
        <f t="shared" si="46"/>
        <v>2.0344031495933788</v>
      </c>
      <c r="N904" t="str">
        <f t="shared" si="47"/>
        <v/>
      </c>
      <c r="O904" s="67" cm="1">
        <f t="array" ref="O904">SUMPRODUCT((G904=$G$7:$G$10000)*(M904&lt;$M$7:$M$10000))+1</f>
        <v>84</v>
      </c>
      <c r="P904" s="72"/>
      <c r="Q904">
        <v>12</v>
      </c>
      <c r="R904" t="str">
        <v>HOU</v>
      </c>
      <c r="S904" t="str">
        <v>Val Lee-Lo</v>
      </c>
      <c r="T904" t="str">
        <v>NULL</v>
      </c>
      <c r="U904" t="str">
        <v>Away</v>
      </c>
      <c r="V904" t="str">
        <v>NEFJ</v>
      </c>
      <c r="W904">
        <v>-0.88044502277619152</v>
      </c>
      <c r="Y904" s="1" cm="1">
        <f t="array" ref="Y904">COUNT(_xlfn._xlws.FILTER($G$7:$G$10000,($I$7:$I$10000=X904)*($J$7:$J$10000&lt;&gt;"NULL")*($G$7:$G$10000 &gt;= ($G$1-5))))/5</f>
        <v>0</v>
      </c>
    </row>
    <row r="905" spans="7:25" x14ac:dyDescent="0.35">
      <c r="G905" s="66">
        <v>10</v>
      </c>
      <c r="H905" t="s">
        <v>14</v>
      </c>
      <c r="I905" t="s">
        <v>143</v>
      </c>
      <c r="J905" t="s">
        <v>256</v>
      </c>
      <c r="K905" t="s">
        <v>3</v>
      </c>
      <c r="L905" t="s">
        <v>23</v>
      </c>
      <c r="M905">
        <f t="shared" si="46"/>
        <v>1.8863977966583709</v>
      </c>
      <c r="N905" t="str">
        <f t="shared" si="47"/>
        <v/>
      </c>
      <c r="O905" s="67" cm="1">
        <f t="array" ref="O905">SUMPRODUCT((G905=$G$7:$G$10000)*(M905&lt;$M$7:$M$10000))+1</f>
        <v>85</v>
      </c>
      <c r="P905" s="72"/>
      <c r="Q905">
        <v>12</v>
      </c>
      <c r="R905" t="str">
        <v>HOU</v>
      </c>
      <c r="S905" t="str">
        <v>Justin Basson</v>
      </c>
      <c r="T905" t="str">
        <v>NULL</v>
      </c>
      <c r="U905" t="str">
        <v>Away</v>
      </c>
      <c r="V905" t="str">
        <v>NEFJ</v>
      </c>
      <c r="W905">
        <v>-5.421560566090557</v>
      </c>
      <c r="Y905" s="1" cm="1">
        <f t="array" ref="Y905">COUNT(_xlfn._xlws.FILTER($G$7:$G$10000,($I$7:$I$10000=X905)*($J$7:$J$10000&lt;&gt;"NULL")*($G$7:$G$10000 &gt;= ($G$1-5))))/5</f>
        <v>0</v>
      </c>
    </row>
    <row r="906" spans="7:25" x14ac:dyDescent="0.35">
      <c r="G906" s="66">
        <v>10</v>
      </c>
      <c r="H906" t="s">
        <v>36</v>
      </c>
      <c r="I906" t="s">
        <v>283</v>
      </c>
      <c r="J906" t="s">
        <v>256</v>
      </c>
      <c r="K906" t="s">
        <v>3</v>
      </c>
      <c r="L906" t="s">
        <v>4</v>
      </c>
      <c r="M906">
        <f t="shared" si="46"/>
        <v>1.8023854799179535</v>
      </c>
      <c r="N906" t="str">
        <f t="shared" si="47"/>
        <v/>
      </c>
      <c r="O906" s="67" cm="1">
        <f t="array" ref="O906">SUMPRODUCT((G906=$G$7:$G$10000)*(M906&lt;$M$7:$M$10000))+1</f>
        <v>86</v>
      </c>
      <c r="P906" s="72"/>
      <c r="Q906">
        <v>12</v>
      </c>
      <c r="R906" t="str">
        <v>MIA</v>
      </c>
      <c r="S906" t="str">
        <v>Alec McDonnell</v>
      </c>
      <c r="T906" t="str">
        <v>NULL</v>
      </c>
      <c r="U906" t="str">
        <v>Away</v>
      </c>
      <c r="V906" t="str">
        <v>CHI</v>
      </c>
      <c r="W906">
        <v>-7.3581797524430028</v>
      </c>
      <c r="Y906" s="1" cm="1">
        <f t="array" ref="Y906">COUNT(_xlfn._xlws.FILTER($G$7:$G$10000,($I$7:$I$10000=X906)*($J$7:$J$10000&lt;&gt;"NULL")*($G$7:$G$10000 &gt;= ($G$1-5))))/5</f>
        <v>0</v>
      </c>
    </row>
    <row r="907" spans="7:25" x14ac:dyDescent="0.35">
      <c r="G907" s="66">
        <v>10</v>
      </c>
      <c r="H907" t="s">
        <v>34</v>
      </c>
      <c r="I907" t="s">
        <v>436</v>
      </c>
      <c r="J907" t="s">
        <v>256</v>
      </c>
      <c r="K907" t="s">
        <v>3</v>
      </c>
      <c r="L907" t="s">
        <v>13</v>
      </c>
      <c r="M907">
        <f t="shared" si="46"/>
        <v>1.7236818302388279</v>
      </c>
      <c r="N907" t="str">
        <f t="shared" si="47"/>
        <v/>
      </c>
      <c r="O907" s="67" cm="1">
        <f t="array" ref="O907">SUMPRODUCT((G907=$G$7:$G$10000)*(M907&lt;$M$7:$M$10000))+1</f>
        <v>87</v>
      </c>
      <c r="P907" s="72"/>
      <c r="Q907">
        <v>13</v>
      </c>
      <c r="R907" t="str">
        <v>SEA</v>
      </c>
      <c r="S907" t="str">
        <v>Devin Short</v>
      </c>
      <c r="T907" t="str">
        <v>NULL</v>
      </c>
      <c r="U907" t="str">
        <v>Away</v>
      </c>
      <c r="V907" t="str">
        <v>UTAH</v>
      </c>
      <c r="W907">
        <v>15.955803219000011</v>
      </c>
      <c r="Y907" s="1" cm="1">
        <f t="array" ref="Y907">COUNT(_xlfn._xlws.FILTER($G$7:$G$10000,($I$7:$I$10000=X907)*($J$7:$J$10000&lt;&gt;"NULL")*($G$7:$G$10000 &gt;= ($G$1-5))))/5</f>
        <v>0</v>
      </c>
    </row>
    <row r="908" spans="7:25" x14ac:dyDescent="0.35">
      <c r="G908" s="66">
        <v>10</v>
      </c>
      <c r="H908" t="s">
        <v>24</v>
      </c>
      <c r="I908" t="s">
        <v>179</v>
      </c>
      <c r="J908" t="s">
        <v>256</v>
      </c>
      <c r="K908" t="s">
        <v>9</v>
      </c>
      <c r="L908" t="s">
        <v>7</v>
      </c>
      <c r="M908">
        <f t="shared" si="46"/>
        <v>1.5878383786375396</v>
      </c>
      <c r="N908" t="str">
        <f t="shared" si="47"/>
        <v/>
      </c>
      <c r="O908" s="67" cm="1">
        <f t="array" ref="O908">SUMPRODUCT((G908=$G$7:$G$10000)*(M908&lt;$M$7:$M$10000))+1</f>
        <v>88</v>
      </c>
      <c r="P908" s="72"/>
      <c r="Q908">
        <v>13</v>
      </c>
      <c r="R908" t="str">
        <v>SDL</v>
      </c>
      <c r="S908" t="str">
        <v>Vili Helu</v>
      </c>
      <c r="T908" t="str">
        <v>NULL</v>
      </c>
      <c r="U908" t="str">
        <v>Home</v>
      </c>
      <c r="V908" t="str">
        <v>HOU</v>
      </c>
      <c r="W908">
        <v>15.128826339000074</v>
      </c>
      <c r="Y908" s="1" cm="1">
        <f t="array" ref="Y908">COUNT(_xlfn._xlws.FILTER($G$7:$G$10000,($I$7:$I$10000=X908)*($J$7:$J$10000&lt;&gt;"NULL")*($G$7:$G$10000 &gt;= ($G$1-5))))/5</f>
        <v>0</v>
      </c>
    </row>
    <row r="909" spans="7:25" x14ac:dyDescent="0.35">
      <c r="G909" s="66">
        <v>10</v>
      </c>
      <c r="H909" t="s">
        <v>23</v>
      </c>
      <c r="I909" t="s">
        <v>252</v>
      </c>
      <c r="J909" t="s">
        <v>256</v>
      </c>
      <c r="K909" t="s">
        <v>9</v>
      </c>
      <c r="L909" t="s">
        <v>14</v>
      </c>
      <c r="M909">
        <f t="shared" si="46"/>
        <v>1.5467689004279634</v>
      </c>
      <c r="N909" t="str">
        <f t="shared" si="47"/>
        <v/>
      </c>
      <c r="O909" s="67" cm="1">
        <f t="array" ref="O909">SUMPRODUCT((G909=$G$7:$G$10000)*(M909&lt;$M$7:$M$10000))+1</f>
        <v>89</v>
      </c>
      <c r="P909" s="72"/>
      <c r="Q909">
        <v>13</v>
      </c>
      <c r="R909" t="str">
        <v>SDL</v>
      </c>
      <c r="S909" t="str">
        <v>Shilo Klein</v>
      </c>
      <c r="T909" t="str">
        <v>NULL</v>
      </c>
      <c r="U909" t="str">
        <v>Home</v>
      </c>
      <c r="V909" t="str">
        <v>HOU</v>
      </c>
      <c r="W909">
        <v>14.771193966784534</v>
      </c>
      <c r="Y909" s="1" cm="1">
        <f t="array" ref="Y909">COUNT(_xlfn._xlws.FILTER($G$7:$G$10000,($I$7:$I$10000=X909)*($J$7:$J$10000&lt;&gt;"NULL")*($G$7:$G$10000 &gt;= ($G$1-5))))/5</f>
        <v>0</v>
      </c>
    </row>
    <row r="910" spans="7:25" x14ac:dyDescent="0.35">
      <c r="G910" s="66">
        <v>10</v>
      </c>
      <c r="H910" t="s">
        <v>14</v>
      </c>
      <c r="I910" t="s">
        <v>413</v>
      </c>
      <c r="J910" t="s">
        <v>256</v>
      </c>
      <c r="K910" t="s">
        <v>3</v>
      </c>
      <c r="L910" t="s">
        <v>23</v>
      </c>
      <c r="M910">
        <f t="shared" si="46"/>
        <v>1.5376379566861127</v>
      </c>
      <c r="N910" t="str">
        <f t="shared" si="47"/>
        <v/>
      </c>
      <c r="O910" s="67" cm="1">
        <f t="array" ref="O910">SUMPRODUCT((G910=$G$7:$G$10000)*(M910&lt;$M$7:$M$10000))+1</f>
        <v>90</v>
      </c>
      <c r="P910" s="72"/>
      <c r="Q910">
        <v>13</v>
      </c>
      <c r="R910" t="str">
        <v>SDL</v>
      </c>
      <c r="S910" t="str">
        <v>Brad Wilkin</v>
      </c>
      <c r="T910" t="str">
        <v>NULL</v>
      </c>
      <c r="U910" t="str">
        <v>Home</v>
      </c>
      <c r="V910" t="str">
        <v>HOU</v>
      </c>
      <c r="W910">
        <v>13.760728052979175</v>
      </c>
      <c r="Y910" s="1" cm="1">
        <f t="array" ref="Y910">COUNT(_xlfn._xlws.FILTER($G$7:$G$10000,($I$7:$I$10000=X910)*($J$7:$J$10000&lt;&gt;"NULL")*($G$7:$G$10000 &gt;= ($G$1-5))))/5</f>
        <v>0</v>
      </c>
    </row>
    <row r="911" spans="7:25" x14ac:dyDescent="0.35">
      <c r="G911" s="66">
        <v>10</v>
      </c>
      <c r="H911" t="s">
        <v>14</v>
      </c>
      <c r="I911" t="s">
        <v>470</v>
      </c>
      <c r="J911" t="s">
        <v>256</v>
      </c>
      <c r="K911" t="s">
        <v>3</v>
      </c>
      <c r="L911" t="s">
        <v>23</v>
      </c>
      <c r="M911">
        <f t="shared" si="46"/>
        <v>1.5214158718532245</v>
      </c>
      <c r="N911" t="str">
        <f t="shared" si="47"/>
        <v/>
      </c>
      <c r="O911" s="67" cm="1">
        <f t="array" ref="O911">SUMPRODUCT((G911=$G$7:$G$10000)*(M911&lt;$M$7:$M$10000))+1</f>
        <v>91</v>
      </c>
      <c r="P911" s="72"/>
      <c r="Q911">
        <v>13</v>
      </c>
      <c r="R911" t="str">
        <v>HOU</v>
      </c>
      <c r="S911" t="str">
        <v>Pita Anae-Ah Sue</v>
      </c>
      <c r="T911" t="str">
        <v>NULL</v>
      </c>
      <c r="U911" t="str">
        <v>Away</v>
      </c>
      <c r="V911" t="str">
        <v>SDL</v>
      </c>
      <c r="W911">
        <v>13.061261184003218</v>
      </c>
      <c r="Y911" s="1" cm="1">
        <f t="array" ref="Y911">COUNT(_xlfn._xlws.FILTER($G$7:$G$10000,($I$7:$I$10000=X911)*($J$7:$J$10000&lt;&gt;"NULL")*($G$7:$G$10000 &gt;= ($G$1-5))))/5</f>
        <v>0</v>
      </c>
    </row>
    <row r="912" spans="7:25" x14ac:dyDescent="0.35">
      <c r="G912" s="66">
        <v>10</v>
      </c>
      <c r="H912" t="s">
        <v>14</v>
      </c>
      <c r="I912" t="s">
        <v>164</v>
      </c>
      <c r="J912" t="s">
        <v>256</v>
      </c>
      <c r="K912" t="s">
        <v>3</v>
      </c>
      <c r="L912" t="s">
        <v>23</v>
      </c>
      <c r="M912">
        <f t="shared" si="46"/>
        <v>1.5101657873800711</v>
      </c>
      <c r="N912" t="str">
        <f t="shared" si="47"/>
        <v/>
      </c>
      <c r="O912" s="67" cm="1">
        <f t="array" ref="O912">SUMPRODUCT((G912=$G$7:$G$10000)*(M912&lt;$M$7:$M$10000))+1</f>
        <v>92</v>
      </c>
      <c r="P912" s="72"/>
      <c r="Q912">
        <v>13</v>
      </c>
      <c r="R912" t="str">
        <v>SDL</v>
      </c>
      <c r="S912" t="str">
        <v>Christian Poidevin</v>
      </c>
      <c r="T912" t="str">
        <v>NULL</v>
      </c>
      <c r="U912" t="str">
        <v>Home</v>
      </c>
      <c r="V912" t="str">
        <v>HOU</v>
      </c>
      <c r="W912">
        <v>12.909490273366572</v>
      </c>
      <c r="Y912" s="1" cm="1">
        <f t="array" ref="Y912">COUNT(_xlfn._xlws.FILTER($G$7:$G$10000,($I$7:$I$10000=X912)*($J$7:$J$10000&lt;&gt;"NULL")*($G$7:$G$10000 &gt;= ($G$1-5))))/5</f>
        <v>0</v>
      </c>
    </row>
    <row r="913" spans="7:25" x14ac:dyDescent="0.35">
      <c r="G913" s="66">
        <v>10</v>
      </c>
      <c r="H913" t="s">
        <v>34</v>
      </c>
      <c r="I913" t="s">
        <v>177</v>
      </c>
      <c r="J913" t="s">
        <v>256</v>
      </c>
      <c r="K913" t="s">
        <v>3</v>
      </c>
      <c r="L913" t="s">
        <v>13</v>
      </c>
      <c r="M913">
        <f t="shared" si="46"/>
        <v>1.5022773481238048</v>
      </c>
      <c r="N913" t="str">
        <f t="shared" si="47"/>
        <v/>
      </c>
      <c r="O913" s="67" cm="1">
        <f t="array" ref="O913">SUMPRODUCT((G913=$G$7:$G$10000)*(M913&lt;$M$7:$M$10000))+1</f>
        <v>93</v>
      </c>
      <c r="P913" s="72"/>
      <c r="Q913">
        <v>13</v>
      </c>
      <c r="R913" t="str">
        <v>HOU</v>
      </c>
      <c r="S913" t="str">
        <v>Sam Tuifua</v>
      </c>
      <c r="T913" t="str">
        <v>NULL</v>
      </c>
      <c r="U913" t="str">
        <v>Away</v>
      </c>
      <c r="V913" t="str">
        <v>SDL</v>
      </c>
      <c r="W913">
        <v>12.701547080076146</v>
      </c>
      <c r="Y913" s="1" cm="1">
        <f t="array" ref="Y913">COUNT(_xlfn._xlws.FILTER($G$7:$G$10000,($I$7:$I$10000=X913)*($J$7:$J$10000&lt;&gt;"NULL")*($G$7:$G$10000 &gt;= ($G$1-5))))/5</f>
        <v>0</v>
      </c>
    </row>
    <row r="914" spans="7:25" x14ac:dyDescent="0.35">
      <c r="G914" s="66">
        <v>10</v>
      </c>
      <c r="H914" t="s">
        <v>34</v>
      </c>
      <c r="I914" t="s">
        <v>153</v>
      </c>
      <c r="J914" t="s">
        <v>256</v>
      </c>
      <c r="K914" t="s">
        <v>3</v>
      </c>
      <c r="L914" t="s">
        <v>13</v>
      </c>
      <c r="M914">
        <f t="shared" si="46"/>
        <v>1.4018683547819935</v>
      </c>
      <c r="N914" t="str">
        <f t="shared" si="47"/>
        <v/>
      </c>
      <c r="O914" s="67" cm="1">
        <f t="array" ref="O914">SUMPRODUCT((G914=$G$7:$G$10000)*(M914&lt;$M$7:$M$10000))+1</f>
        <v>94</v>
      </c>
      <c r="P914" s="72"/>
      <c r="Q914">
        <v>13</v>
      </c>
      <c r="R914" t="str">
        <v>NOLA</v>
      </c>
      <c r="S914" t="str">
        <v>Pat O'Toole</v>
      </c>
      <c r="T914" t="str">
        <v>NULL</v>
      </c>
      <c r="U914" t="str">
        <v>Home</v>
      </c>
      <c r="V914" t="str">
        <v>MIA</v>
      </c>
      <c r="W914">
        <v>12.382489233861687</v>
      </c>
      <c r="Y914" s="1" cm="1">
        <f t="array" ref="Y914">COUNT(_xlfn._xlws.FILTER($G$7:$G$10000,($I$7:$I$10000=X914)*($J$7:$J$10000&lt;&gt;"NULL")*($G$7:$G$10000 &gt;= ($G$1-5))))/5</f>
        <v>0</v>
      </c>
    </row>
    <row r="915" spans="7:25" x14ac:dyDescent="0.35">
      <c r="G915" s="66">
        <v>10</v>
      </c>
      <c r="H915" t="s">
        <v>23</v>
      </c>
      <c r="I915" t="s">
        <v>229</v>
      </c>
      <c r="J915" t="s">
        <v>256</v>
      </c>
      <c r="K915" t="s">
        <v>9</v>
      </c>
      <c r="L915" t="s">
        <v>14</v>
      </c>
      <c r="M915">
        <f t="shared" si="46"/>
        <v>1.3076580475638693</v>
      </c>
      <c r="N915" t="str">
        <f t="shared" si="47"/>
        <v/>
      </c>
      <c r="O915" s="67" cm="1">
        <f t="array" ref="O915">SUMPRODUCT((G915=$G$7:$G$10000)*(M915&lt;$M$7:$M$10000))+1</f>
        <v>95</v>
      </c>
      <c r="P915" s="72"/>
      <c r="Q915">
        <v>13</v>
      </c>
      <c r="R915" t="str">
        <v>SDL</v>
      </c>
      <c r="S915" t="str">
        <v>Djustice Sears-Duru</v>
      </c>
      <c r="T915" t="str">
        <v>NULL</v>
      </c>
      <c r="U915" t="str">
        <v>Home</v>
      </c>
      <c r="V915" t="str">
        <v>HOU</v>
      </c>
      <c r="W915">
        <v>12.353713134699991</v>
      </c>
      <c r="Y915" s="1" cm="1">
        <f t="array" ref="Y915">COUNT(_xlfn._xlws.FILTER($G$7:$G$10000,($I$7:$I$10000=X915)*($J$7:$J$10000&lt;&gt;"NULL")*($G$7:$G$10000 &gt;= ($G$1-5))))/5</f>
        <v>0</v>
      </c>
    </row>
    <row r="916" spans="7:25" x14ac:dyDescent="0.35">
      <c r="G916" s="66">
        <v>10</v>
      </c>
      <c r="H916" t="s">
        <v>2</v>
      </c>
      <c r="I916" t="s">
        <v>185</v>
      </c>
      <c r="J916" t="s">
        <v>256</v>
      </c>
      <c r="K916" t="s">
        <v>9</v>
      </c>
      <c r="L916" t="s">
        <v>17</v>
      </c>
      <c r="M916">
        <f t="shared" si="46"/>
        <v>1.2103662637518209</v>
      </c>
      <c r="N916" t="str">
        <f t="shared" si="47"/>
        <v/>
      </c>
      <c r="O916" s="67" cm="1">
        <f t="array" ref="O916">SUMPRODUCT((G916=$G$7:$G$10000)*(M916&lt;$M$7:$M$10000))+1</f>
        <v>96</v>
      </c>
      <c r="P916" s="72"/>
      <c r="Q916">
        <v>13</v>
      </c>
      <c r="R916" t="str">
        <v>NEFJ</v>
      </c>
      <c r="S916" t="str">
        <v>Joe Johnston</v>
      </c>
      <c r="T916" t="str">
        <v>NULL</v>
      </c>
      <c r="U916" t="str">
        <v>Home</v>
      </c>
      <c r="V916" t="str">
        <v>CHI</v>
      </c>
      <c r="W916">
        <v>12.2232039985483</v>
      </c>
      <c r="Y916" s="1" cm="1">
        <f t="array" ref="Y916">COUNT(_xlfn._xlws.FILTER($G$7:$G$10000,($I$7:$I$10000=X916)*($J$7:$J$10000&lt;&gt;"NULL")*($G$7:$G$10000 &gt;= ($G$1-5))))/5</f>
        <v>0</v>
      </c>
    </row>
    <row r="917" spans="7:25" x14ac:dyDescent="0.35">
      <c r="G917" s="66">
        <v>10</v>
      </c>
      <c r="H917" t="s">
        <v>36</v>
      </c>
      <c r="I917" t="s">
        <v>414</v>
      </c>
      <c r="J917" t="s">
        <v>256</v>
      </c>
      <c r="K917" t="s">
        <v>3</v>
      </c>
      <c r="L917" t="s">
        <v>4</v>
      </c>
      <c r="M917">
        <f t="shared" si="46"/>
        <v>1.1759804534107481</v>
      </c>
      <c r="N917" t="str">
        <f t="shared" si="47"/>
        <v/>
      </c>
      <c r="O917" s="67" cm="1">
        <f t="array" ref="O917">SUMPRODUCT((G917=$G$7:$G$10000)*(M917&lt;$M$7:$M$10000))+1</f>
        <v>97</v>
      </c>
      <c r="P917" s="72"/>
      <c r="Q917">
        <v>13</v>
      </c>
      <c r="R917" t="str">
        <v>NOLA</v>
      </c>
      <c r="S917" t="str">
        <v>Jonah Mau'u</v>
      </c>
      <c r="T917" t="str">
        <v>NULL</v>
      </c>
      <c r="U917" t="str">
        <v>Home</v>
      </c>
      <c r="V917" t="str">
        <v>MIA</v>
      </c>
      <c r="W917">
        <v>11.490201695043085</v>
      </c>
      <c r="Y917" s="1" cm="1">
        <f t="array" ref="Y917">COUNT(_xlfn._xlws.FILTER($G$7:$G$10000,($I$7:$I$10000=X917)*($J$7:$J$10000&lt;&gt;"NULL")*($G$7:$G$10000 &gt;= ($G$1-5))))/5</f>
        <v>0</v>
      </c>
    </row>
    <row r="918" spans="7:25" x14ac:dyDescent="0.35">
      <c r="G918" s="66">
        <v>10</v>
      </c>
      <c r="H918" t="s">
        <v>17</v>
      </c>
      <c r="I918" t="s">
        <v>155</v>
      </c>
      <c r="J918" t="s">
        <v>256</v>
      </c>
      <c r="K918" t="s">
        <v>3</v>
      </c>
      <c r="L918" t="s">
        <v>2</v>
      </c>
      <c r="M918">
        <f t="shared" si="46"/>
        <v>0.85796075173630371</v>
      </c>
      <c r="N918" t="str">
        <f t="shared" si="47"/>
        <v/>
      </c>
      <c r="O918" s="67" cm="1">
        <f t="array" ref="O918">SUMPRODUCT((G918=$G$7:$G$10000)*(M918&lt;$M$7:$M$10000))+1</f>
        <v>98</v>
      </c>
      <c r="P918" s="72"/>
      <c r="Q918">
        <v>13</v>
      </c>
      <c r="R918" t="str">
        <v>NEFJ</v>
      </c>
      <c r="S918" t="str">
        <v>Jed Melvin</v>
      </c>
      <c r="T918" t="str">
        <v>NULL</v>
      </c>
      <c r="U918" t="str">
        <v>Home</v>
      </c>
      <c r="V918" t="str">
        <v>CHI</v>
      </c>
      <c r="W918">
        <v>11.405715870161448</v>
      </c>
      <c r="Y918" s="1" cm="1">
        <f t="array" ref="Y918">COUNT(_xlfn._xlws.FILTER($G$7:$G$10000,($I$7:$I$10000=X918)*($J$7:$J$10000&lt;&gt;"NULL")*($G$7:$G$10000 &gt;= ($G$1-5))))/5</f>
        <v>0</v>
      </c>
    </row>
    <row r="919" spans="7:25" x14ac:dyDescent="0.35">
      <c r="G919" s="66">
        <v>10</v>
      </c>
      <c r="H919" t="s">
        <v>14</v>
      </c>
      <c r="I919" t="s">
        <v>425</v>
      </c>
      <c r="J919" t="s">
        <v>256</v>
      </c>
      <c r="K919" t="s">
        <v>3</v>
      </c>
      <c r="L919" t="s">
        <v>23</v>
      </c>
      <c r="M919">
        <f t="shared" si="46"/>
        <v>0.71056973809521917</v>
      </c>
      <c r="N919" t="str">
        <f t="shared" si="47"/>
        <v/>
      </c>
      <c r="O919" s="67" cm="1">
        <f t="array" ref="O919">SUMPRODUCT((G919=$G$7:$G$10000)*(M919&lt;$M$7:$M$10000))+1</f>
        <v>99</v>
      </c>
      <c r="P919" s="72"/>
      <c r="Q919">
        <v>13</v>
      </c>
      <c r="R919" t="str">
        <v>UTAH</v>
      </c>
      <c r="S919" t="str">
        <v>Liam Coltman</v>
      </c>
      <c r="T919" t="str">
        <v>NULL</v>
      </c>
      <c r="U919" t="str">
        <v>Home</v>
      </c>
      <c r="V919" t="str">
        <v>SEA</v>
      </c>
      <c r="W919">
        <v>10.614602326953232</v>
      </c>
      <c r="Y919" s="1" cm="1">
        <f t="array" ref="Y919">COUNT(_xlfn._xlws.FILTER($G$7:$G$10000,($I$7:$I$10000=X919)*($J$7:$J$10000&lt;&gt;"NULL")*($G$7:$G$10000 &gt;= ($G$1-5))))/5</f>
        <v>0</v>
      </c>
    </row>
    <row r="920" spans="7:25" x14ac:dyDescent="0.35">
      <c r="G920" s="66">
        <v>10</v>
      </c>
      <c r="H920" t="s">
        <v>14</v>
      </c>
      <c r="I920" t="s">
        <v>181</v>
      </c>
      <c r="J920" t="s">
        <v>256</v>
      </c>
      <c r="K920" t="s">
        <v>3</v>
      </c>
      <c r="L920" t="s">
        <v>23</v>
      </c>
      <c r="M920">
        <f t="shared" si="46"/>
        <v>0.69382644763100654</v>
      </c>
      <c r="N920" t="str">
        <f t="shared" si="47"/>
        <v/>
      </c>
      <c r="O920" s="67" cm="1">
        <f t="array" ref="O920">SUMPRODUCT((G920=$G$7:$G$10000)*(M920&lt;$M$7:$M$10000))+1</f>
        <v>100</v>
      </c>
      <c r="P920" s="72"/>
      <c r="Q920">
        <v>13</v>
      </c>
      <c r="R920" t="str">
        <v>MIA</v>
      </c>
      <c r="S920" t="str">
        <v>Benjamin Bonasso</v>
      </c>
      <c r="T920" t="str">
        <v>NULL</v>
      </c>
      <c r="U920" t="str">
        <v>Away</v>
      </c>
      <c r="V920" t="str">
        <v>NOLA</v>
      </c>
      <c r="W920">
        <v>9.9418209791214309</v>
      </c>
      <c r="Y920" s="1" cm="1">
        <f t="array" ref="Y920">COUNT(_xlfn._xlws.FILTER($G$7:$G$10000,($I$7:$I$10000=X920)*($J$7:$J$10000&lt;&gt;"NULL")*($G$7:$G$10000 &gt;= ($G$1-5))))/5</f>
        <v>0</v>
      </c>
    </row>
    <row r="921" spans="7:25" x14ac:dyDescent="0.35">
      <c r="G921" s="66">
        <v>10</v>
      </c>
      <c r="H921" t="s">
        <v>14</v>
      </c>
      <c r="I921" t="s">
        <v>197</v>
      </c>
      <c r="J921" t="s">
        <v>256</v>
      </c>
      <c r="K921" t="s">
        <v>3</v>
      </c>
      <c r="L921" t="s">
        <v>23</v>
      </c>
      <c r="M921">
        <f t="shared" si="46"/>
        <v>0.5659554615057667</v>
      </c>
      <c r="N921" t="str">
        <f t="shared" si="47"/>
        <v/>
      </c>
      <c r="O921" s="67" cm="1">
        <f t="array" ref="O921">SUMPRODUCT((G921=$G$7:$G$10000)*(M921&lt;$M$7:$M$10000))+1</f>
        <v>101</v>
      </c>
      <c r="P921" s="72"/>
      <c r="Q921">
        <v>13</v>
      </c>
      <c r="R921" t="str">
        <v>SDL</v>
      </c>
      <c r="S921" t="str">
        <v>Jed Holloway</v>
      </c>
      <c r="T921" t="str">
        <v>NULL</v>
      </c>
      <c r="U921" t="str">
        <v>Home</v>
      </c>
      <c r="V921" t="str">
        <v>HOU</v>
      </c>
      <c r="W921">
        <v>9.2386001469091958</v>
      </c>
      <c r="Y921" s="1" cm="1">
        <f t="array" ref="Y921">COUNT(_xlfn._xlws.FILTER($G$7:$G$10000,($I$7:$I$10000=X921)*($J$7:$J$10000&lt;&gt;"NULL")*($G$7:$G$10000 &gt;= ($G$1-5))))/5</f>
        <v>0</v>
      </c>
    </row>
    <row r="922" spans="7:25" x14ac:dyDescent="0.35">
      <c r="G922" s="66">
        <v>10</v>
      </c>
      <c r="H922" t="s">
        <v>34</v>
      </c>
      <c r="I922" t="s">
        <v>161</v>
      </c>
      <c r="J922" t="s">
        <v>256</v>
      </c>
      <c r="K922" t="s">
        <v>3</v>
      </c>
      <c r="L922" t="s">
        <v>13</v>
      </c>
      <c r="M922">
        <f t="shared" si="46"/>
        <v>-0.84051552458309242</v>
      </c>
      <c r="N922" t="str">
        <f t="shared" si="47"/>
        <v/>
      </c>
      <c r="O922" s="67" cm="1">
        <f t="array" ref="O922">SUMPRODUCT((G922=$G$7:$G$10000)*(M922&lt;$M$7:$M$10000))+1</f>
        <v>102</v>
      </c>
      <c r="P922" s="72"/>
      <c r="Q922">
        <v>13</v>
      </c>
      <c r="R922" t="str">
        <v>MIA</v>
      </c>
      <c r="S922" t="str">
        <v>Manuel Ardao</v>
      </c>
      <c r="T922" t="str">
        <v>NULL</v>
      </c>
      <c r="U922" t="str">
        <v>Away</v>
      </c>
      <c r="V922" t="str">
        <v>NOLA</v>
      </c>
      <c r="W922">
        <v>9.2271006240316495</v>
      </c>
      <c r="Y922" s="1" cm="1">
        <f t="array" ref="Y922">COUNT(_xlfn._xlws.FILTER($G$7:$G$10000,($I$7:$I$10000=X922)*($J$7:$J$10000&lt;&gt;"NULL")*($G$7:$G$10000 &gt;= ($G$1-5))))/5</f>
        <v>0</v>
      </c>
    </row>
    <row r="923" spans="7:25" x14ac:dyDescent="0.35">
      <c r="G923" s="66">
        <v>10</v>
      </c>
      <c r="H923" t="s">
        <v>34</v>
      </c>
      <c r="I923" t="s">
        <v>424</v>
      </c>
      <c r="J923" t="s">
        <v>256</v>
      </c>
      <c r="K923" t="s">
        <v>3</v>
      </c>
      <c r="L923" t="s">
        <v>13</v>
      </c>
      <c r="M923">
        <f t="shared" si="46"/>
        <v>-1.2195226108039101</v>
      </c>
      <c r="N923" t="str">
        <f t="shared" si="47"/>
        <v/>
      </c>
      <c r="O923" s="67" cm="1">
        <f t="array" ref="O923">SUMPRODUCT((G923=$G$7:$G$10000)*(M923&lt;$M$7:$M$10000))+1</f>
        <v>103</v>
      </c>
      <c r="P923" s="72"/>
      <c r="Q923">
        <v>13</v>
      </c>
      <c r="R923" t="str">
        <v>LA</v>
      </c>
      <c r="S923" t="str">
        <v>Tim Anstee</v>
      </c>
      <c r="T923" t="str">
        <v>NULL</v>
      </c>
      <c r="U923" t="str">
        <v>Home</v>
      </c>
      <c r="V923" t="str">
        <v>ARC</v>
      </c>
      <c r="W923">
        <v>8.6169666600957715</v>
      </c>
      <c r="Y923" s="1" cm="1">
        <f t="array" ref="Y923">COUNT(_xlfn._xlws.FILTER($G$7:$G$10000,($I$7:$I$10000=X923)*($J$7:$J$10000&lt;&gt;"NULL")*($G$7:$G$10000 &gt;= ($G$1-5))))/5</f>
        <v>0</v>
      </c>
    </row>
    <row r="924" spans="7:25" x14ac:dyDescent="0.35">
      <c r="G924" s="66">
        <v>10</v>
      </c>
      <c r="H924" t="s">
        <v>36</v>
      </c>
      <c r="I924" t="s">
        <v>106</v>
      </c>
      <c r="J924" t="s">
        <v>256</v>
      </c>
      <c r="K924" t="s">
        <v>3</v>
      </c>
      <c r="L924" t="s">
        <v>4</v>
      </c>
      <c r="M924">
        <f t="shared" si="46"/>
        <v>-3.3651350899036174</v>
      </c>
      <c r="N924" t="str">
        <f t="shared" si="47"/>
        <v/>
      </c>
      <c r="O924" s="67" cm="1">
        <f t="array" ref="O924">SUMPRODUCT((G924=$G$7:$G$10000)*(M924&lt;$M$7:$M$10000))+1</f>
        <v>104</v>
      </c>
      <c r="P924" s="72"/>
      <c r="Q924">
        <v>13</v>
      </c>
      <c r="R924" t="str">
        <v>UTAH</v>
      </c>
      <c r="S924" t="str">
        <v>Dylan Nel</v>
      </c>
      <c r="T924" t="str">
        <v>NULL</v>
      </c>
      <c r="U924" t="str">
        <v>Home</v>
      </c>
      <c r="V924" t="str">
        <v>SEA</v>
      </c>
      <c r="W924">
        <v>8.4089090629572159</v>
      </c>
      <c r="Y924" s="1" cm="1">
        <f t="array" ref="Y924">COUNT(_xlfn._xlws.FILTER($G$7:$G$10000,($I$7:$I$10000=X924)*($J$7:$J$10000&lt;&gt;"NULL")*($G$7:$G$10000 &gt;= ($G$1-5))))/5</f>
        <v>0</v>
      </c>
    </row>
    <row r="925" spans="7:25" x14ac:dyDescent="0.35">
      <c r="G925" s="66">
        <v>10</v>
      </c>
      <c r="H925" t="s">
        <v>24</v>
      </c>
      <c r="I925" t="s">
        <v>142</v>
      </c>
      <c r="J925" t="s">
        <v>256</v>
      </c>
      <c r="K925" t="s">
        <v>9</v>
      </c>
      <c r="L925" t="s">
        <v>7</v>
      </c>
      <c r="M925">
        <f t="shared" si="46"/>
        <v>-7.8752482725396664</v>
      </c>
      <c r="N925" t="str">
        <f t="shared" si="47"/>
        <v/>
      </c>
      <c r="O925" s="67" cm="1">
        <f t="array" ref="O925">SUMPRODUCT((G925=$G$7:$G$10000)*(M925&lt;$M$7:$M$10000))+1</f>
        <v>105</v>
      </c>
      <c r="P925" s="72"/>
      <c r="Q925">
        <v>13</v>
      </c>
      <c r="R925" t="str">
        <v>CHI</v>
      </c>
      <c r="S925" t="str">
        <v>Lucas Rumball</v>
      </c>
      <c r="T925" t="str">
        <v>NULL</v>
      </c>
      <c r="U925" t="str">
        <v>Away</v>
      </c>
      <c r="V925" t="str">
        <v>NEFJ</v>
      </c>
      <c r="W925">
        <v>7.8189846335381059</v>
      </c>
      <c r="Y925" s="1" cm="1">
        <f t="array" ref="Y925">COUNT(_xlfn._xlws.FILTER($G$7:$G$10000,($I$7:$I$10000=X925)*($J$7:$J$10000&lt;&gt;"NULL")*($G$7:$G$10000 &gt;= ($G$1-5))))/5</f>
        <v>0</v>
      </c>
    </row>
    <row r="926" spans="7:25" x14ac:dyDescent="0.35">
      <c r="G926" s="66">
        <v>11</v>
      </c>
      <c r="H926" t="s">
        <v>17</v>
      </c>
      <c r="I926" t="s">
        <v>485</v>
      </c>
      <c r="J926" t="s">
        <v>256</v>
      </c>
      <c r="K926" t="s">
        <v>9</v>
      </c>
      <c r="L926" t="s">
        <v>4</v>
      </c>
      <c r="M926">
        <f t="shared" si="46"/>
        <v>18.81813989757557</v>
      </c>
      <c r="N926" t="str">
        <f t="shared" si="47"/>
        <v/>
      </c>
      <c r="O926" s="67" cm="1">
        <f t="array" ref="O926">SUMPRODUCT((G926=$G$7:$G$10000)*(M926&lt;$M$7:$M$10000))+1</f>
        <v>1</v>
      </c>
      <c r="P926" s="72"/>
      <c r="Q926">
        <v>13</v>
      </c>
      <c r="R926" t="str">
        <v>NEFJ</v>
      </c>
      <c r="S926" t="str">
        <v>Piers von Dadelszen</v>
      </c>
      <c r="T926" t="str">
        <v>NULL</v>
      </c>
      <c r="U926" t="str">
        <v>Home</v>
      </c>
      <c r="V926" t="str">
        <v>CHI</v>
      </c>
      <c r="W926">
        <v>7.7209171059801447</v>
      </c>
      <c r="Y926" s="1" cm="1">
        <f t="array" ref="Y926">COUNT(_xlfn._xlws.FILTER($G$7:$G$10000,($I$7:$I$10000=X926)*($J$7:$J$10000&lt;&gt;"NULL")*($G$7:$G$10000 &gt;= ($G$1-5))))/5</f>
        <v>0</v>
      </c>
    </row>
    <row r="927" spans="7:25" x14ac:dyDescent="0.35">
      <c r="G927" s="66">
        <v>11</v>
      </c>
      <c r="H927" t="s">
        <v>34</v>
      </c>
      <c r="I927" t="s">
        <v>228</v>
      </c>
      <c r="J927" t="s">
        <v>256</v>
      </c>
      <c r="K927" t="s">
        <v>9</v>
      </c>
      <c r="L927" t="s">
        <v>6</v>
      </c>
      <c r="M927">
        <f t="shared" si="46"/>
        <v>15.449696251602631</v>
      </c>
      <c r="N927" t="str">
        <f t="shared" si="47"/>
        <v/>
      </c>
      <c r="O927" s="67" cm="1">
        <f t="array" ref="O927">SUMPRODUCT((G927=$G$7:$G$10000)*(M927&lt;$M$7:$M$10000))+1</f>
        <v>2</v>
      </c>
      <c r="P927" s="72"/>
      <c r="Q927">
        <v>13</v>
      </c>
      <c r="R927" t="str">
        <v>NEFJ</v>
      </c>
      <c r="S927" t="str">
        <v>Andrew Quattrin</v>
      </c>
      <c r="T927" t="str">
        <v>NULL</v>
      </c>
      <c r="U927" t="str">
        <v>Home</v>
      </c>
      <c r="V927" t="str">
        <v>CHI</v>
      </c>
      <c r="W927">
        <v>7.6062829946739523</v>
      </c>
      <c r="Y927" s="1" cm="1">
        <f t="array" ref="Y927">COUNT(_xlfn._xlws.FILTER($G$7:$G$10000,($I$7:$I$10000=X927)*($J$7:$J$10000&lt;&gt;"NULL")*($G$7:$G$10000 &gt;= ($G$1-5))))/5</f>
        <v>0</v>
      </c>
    </row>
    <row r="928" spans="7:25" x14ac:dyDescent="0.35">
      <c r="G928" s="66">
        <v>11</v>
      </c>
      <c r="H928" t="s">
        <v>34</v>
      </c>
      <c r="I928" t="s">
        <v>462</v>
      </c>
      <c r="J928" t="s">
        <v>256</v>
      </c>
      <c r="K928" t="s">
        <v>9</v>
      </c>
      <c r="L928" t="s">
        <v>6</v>
      </c>
      <c r="M928">
        <f t="shared" si="46"/>
        <v>15.092063879387091</v>
      </c>
      <c r="N928" t="str">
        <f t="shared" si="47"/>
        <v/>
      </c>
      <c r="O928" s="67" cm="1">
        <f t="array" ref="O928">SUMPRODUCT((G928=$G$7:$G$10000)*(M928&lt;$M$7:$M$10000))+1</f>
        <v>3</v>
      </c>
      <c r="P928" s="72"/>
      <c r="Q928">
        <v>13</v>
      </c>
      <c r="R928" t="str">
        <v>NOLA</v>
      </c>
      <c r="S928" t="str">
        <v>Tupou Ma'afu Afungia</v>
      </c>
      <c r="T928" t="str">
        <v>NULL</v>
      </c>
      <c r="U928" t="str">
        <v>Home</v>
      </c>
      <c r="V928" t="str">
        <v>MIA</v>
      </c>
      <c r="W928">
        <v>7.5197447968208779</v>
      </c>
      <c r="Y928" s="1" cm="1">
        <f t="array" ref="Y928">COUNT(_xlfn._xlws.FILTER($G$7:$G$10000,($I$7:$I$10000=X928)*($J$7:$J$10000&lt;&gt;"NULL")*($G$7:$G$10000 &gt;= ($G$1-5))))/5</f>
        <v>0</v>
      </c>
    </row>
    <row r="929" spans="7:25" x14ac:dyDescent="0.35">
      <c r="G929" s="66">
        <v>11</v>
      </c>
      <c r="H929" t="s">
        <v>34</v>
      </c>
      <c r="I929" t="s">
        <v>429</v>
      </c>
      <c r="J929" t="s">
        <v>256</v>
      </c>
      <c r="K929" t="s">
        <v>9</v>
      </c>
      <c r="L929" t="s">
        <v>6</v>
      </c>
      <c r="M929">
        <f t="shared" si="46"/>
        <v>14.08159796558173</v>
      </c>
      <c r="N929" t="str">
        <f t="shared" si="47"/>
        <v/>
      </c>
      <c r="O929" s="67" cm="1">
        <f t="array" ref="O929">SUMPRODUCT((G929=$G$7:$G$10000)*(M929&lt;$M$7:$M$10000))+1</f>
        <v>4</v>
      </c>
      <c r="P929" s="72"/>
      <c r="Q929">
        <v>13</v>
      </c>
      <c r="R929" t="str">
        <v>SEA</v>
      </c>
      <c r="S929" t="str">
        <v>Kerron van Vuuren</v>
      </c>
      <c r="T929" t="str">
        <v>NULL</v>
      </c>
      <c r="U929" t="str">
        <v>Away</v>
      </c>
      <c r="V929" t="str">
        <v>UTAH</v>
      </c>
      <c r="W929">
        <v>7.4220209489622029</v>
      </c>
      <c r="Y929" s="1" cm="1">
        <f t="array" ref="Y929">COUNT(_xlfn._xlws.FILTER($G$7:$G$10000,($I$7:$I$10000=X929)*($J$7:$J$10000&lt;&gt;"NULL")*($G$7:$G$10000 &gt;= ($G$1-5))))/5</f>
        <v>0</v>
      </c>
    </row>
    <row r="930" spans="7:25" x14ac:dyDescent="0.35">
      <c r="G930" s="66">
        <v>11</v>
      </c>
      <c r="H930" t="s">
        <v>34</v>
      </c>
      <c r="I930" t="s">
        <v>200</v>
      </c>
      <c r="J930" t="s">
        <v>256</v>
      </c>
      <c r="K930" t="s">
        <v>9</v>
      </c>
      <c r="L930" t="s">
        <v>6</v>
      </c>
      <c r="M930">
        <f t="shared" si="46"/>
        <v>13.230360185969127</v>
      </c>
      <c r="N930" t="str">
        <f t="shared" si="47"/>
        <v/>
      </c>
      <c r="O930" s="67" cm="1">
        <f t="array" ref="O930">SUMPRODUCT((G930=$G$7:$G$10000)*(M930&lt;$M$7:$M$10000))+1</f>
        <v>5</v>
      </c>
      <c r="P930" s="72"/>
      <c r="Q930">
        <v>13</v>
      </c>
      <c r="R930" t="str">
        <v>CHI</v>
      </c>
      <c r="S930" t="str">
        <v>Dylan Fawsitt</v>
      </c>
      <c r="T930" t="str">
        <v>NULL</v>
      </c>
      <c r="U930" t="str">
        <v>Away</v>
      </c>
      <c r="V930" t="str">
        <v>NEFJ</v>
      </c>
      <c r="W930">
        <v>7.4188269571842795</v>
      </c>
      <c r="Y930" s="1" cm="1">
        <f t="array" ref="Y930">COUNT(_xlfn._xlws.FILTER($G$7:$G$10000,($I$7:$I$10000=X930)*($J$7:$J$10000&lt;&gt;"NULL")*($G$7:$G$10000 &gt;= ($G$1-5))))/5</f>
        <v>0</v>
      </c>
    </row>
    <row r="931" spans="7:25" x14ac:dyDescent="0.35">
      <c r="G931" s="66">
        <v>11</v>
      </c>
      <c r="H931" t="s">
        <v>34</v>
      </c>
      <c r="I931" t="s">
        <v>351</v>
      </c>
      <c r="J931" t="s">
        <v>256</v>
      </c>
      <c r="K931" t="s">
        <v>9</v>
      </c>
      <c r="L931" t="s">
        <v>6</v>
      </c>
      <c r="M931">
        <f t="shared" si="46"/>
        <v>12.674583047302548</v>
      </c>
      <c r="N931" t="str">
        <f t="shared" si="47"/>
        <v/>
      </c>
      <c r="O931" s="67" cm="1">
        <f t="array" ref="O931">SUMPRODUCT((G931=$G$7:$G$10000)*(M931&lt;$M$7:$M$10000))+1</f>
        <v>6</v>
      </c>
      <c r="P931" s="72"/>
      <c r="Q931">
        <v>13</v>
      </c>
      <c r="R931" t="str">
        <v>SDL</v>
      </c>
      <c r="S931" t="str">
        <v>Paddy Ryan</v>
      </c>
      <c r="T931" t="str">
        <v>NULL</v>
      </c>
      <c r="U931" t="str">
        <v>Home</v>
      </c>
      <c r="V931" t="str">
        <v>HOU</v>
      </c>
      <c r="W931">
        <v>7.3553887640239983</v>
      </c>
      <c r="Y931" s="1" cm="1">
        <f t="array" ref="Y931">COUNT(_xlfn._xlws.FILTER($G$7:$G$10000,($I$7:$I$10000=X931)*($J$7:$J$10000&lt;&gt;"NULL")*($G$7:$G$10000 &gt;= ($G$1-5))))/5</f>
        <v>0</v>
      </c>
    </row>
    <row r="932" spans="7:25" x14ac:dyDescent="0.35">
      <c r="G932" s="66">
        <v>11</v>
      </c>
      <c r="H932" t="s">
        <v>4</v>
      </c>
      <c r="I932" t="s">
        <v>175</v>
      </c>
      <c r="J932" t="s">
        <v>256</v>
      </c>
      <c r="K932" t="s">
        <v>3</v>
      </c>
      <c r="L932" t="s">
        <v>17</v>
      </c>
      <c r="M932">
        <f t="shared" si="46"/>
        <v>11.885631261090872</v>
      </c>
      <c r="N932" t="str">
        <f t="shared" si="47"/>
        <v/>
      </c>
      <c r="O932" s="67" cm="1">
        <f t="array" ref="O932">SUMPRODUCT((G932=$G$7:$G$10000)*(M932&lt;$M$7:$M$10000))+1</f>
        <v>7</v>
      </c>
      <c r="P932" s="72"/>
      <c r="Q932">
        <v>13</v>
      </c>
      <c r="R932" t="str">
        <v>NEFJ</v>
      </c>
      <c r="S932" t="str">
        <v>Sam Caird</v>
      </c>
      <c r="T932" t="str">
        <v>NULL</v>
      </c>
      <c r="U932" t="str">
        <v>Home</v>
      </c>
      <c r="V932" t="str">
        <v>CHI</v>
      </c>
      <c r="W932">
        <v>7.3345046400829759</v>
      </c>
      <c r="Y932" s="1" cm="1">
        <f t="array" ref="Y932">COUNT(_xlfn._xlws.FILTER($G$7:$G$10000,($I$7:$I$10000=X932)*($J$7:$J$10000&lt;&gt;"NULL")*($G$7:$G$10000 &gt;= ($G$1-5))))/5</f>
        <v>0</v>
      </c>
    </row>
    <row r="933" spans="7:25" x14ac:dyDescent="0.35">
      <c r="G933" s="66">
        <v>11</v>
      </c>
      <c r="H933" t="s">
        <v>6</v>
      </c>
      <c r="I933" t="s">
        <v>430</v>
      </c>
      <c r="J933" t="s">
        <v>256</v>
      </c>
      <c r="K933" t="s">
        <v>3</v>
      </c>
      <c r="L933" t="s">
        <v>34</v>
      </c>
      <c r="M933">
        <f t="shared" si="46"/>
        <v>11.767589083094496</v>
      </c>
      <c r="N933" t="str">
        <f t="shared" si="47"/>
        <v/>
      </c>
      <c r="O933" s="67" cm="1">
        <f t="array" ref="O933">SUMPRODUCT((G933=$G$7:$G$10000)*(M933&lt;$M$7:$M$10000))+1</f>
        <v>8</v>
      </c>
      <c r="P933" s="72"/>
      <c r="Q933">
        <v>13</v>
      </c>
      <c r="R933" t="str">
        <v>UTAH</v>
      </c>
      <c r="S933" t="str">
        <v>Aki Seiuli</v>
      </c>
      <c r="T933" t="str">
        <v>NULL</v>
      </c>
      <c r="U933" t="str">
        <v>Home</v>
      </c>
      <c r="V933" t="str">
        <v>SEA</v>
      </c>
      <c r="W933">
        <v>7.121331792497382</v>
      </c>
      <c r="Y933" s="1" cm="1">
        <f t="array" ref="Y933">COUNT(_xlfn._xlws.FILTER($G$7:$G$10000,($I$7:$I$10000=X933)*($J$7:$J$10000&lt;&gt;"NULL")*($G$7:$G$10000 &gt;= ($G$1-5))))/5</f>
        <v>0</v>
      </c>
    </row>
    <row r="934" spans="7:25" x14ac:dyDescent="0.35">
      <c r="G934" s="66">
        <v>11</v>
      </c>
      <c r="H934" t="s">
        <v>36</v>
      </c>
      <c r="I934" t="s">
        <v>466</v>
      </c>
      <c r="J934" t="s">
        <v>256</v>
      </c>
      <c r="K934" t="s">
        <v>3</v>
      </c>
      <c r="L934" t="s">
        <v>7</v>
      </c>
      <c r="M934">
        <f t="shared" si="46"/>
        <v>11.237479786615545</v>
      </c>
      <c r="N934" t="str">
        <f t="shared" si="47"/>
        <v/>
      </c>
      <c r="O934" s="67" cm="1">
        <f t="array" ref="O934">SUMPRODUCT((G934=$G$7:$G$10000)*(M934&lt;$M$7:$M$10000))+1</f>
        <v>9</v>
      </c>
      <c r="P934" s="72"/>
      <c r="Q934">
        <v>13</v>
      </c>
      <c r="R934" t="str">
        <v>NOLA</v>
      </c>
      <c r="S934" t="str">
        <v>William Waguespack</v>
      </c>
      <c r="T934" t="str">
        <v>NULL</v>
      </c>
      <c r="U934" t="str">
        <v>Home</v>
      </c>
      <c r="V934" t="str">
        <v>MIA</v>
      </c>
      <c r="W934">
        <v>7.1158562318345684</v>
      </c>
      <c r="Y934" s="1" cm="1">
        <f t="array" ref="Y934">COUNT(_xlfn._xlws.FILTER($G$7:$G$10000,($I$7:$I$10000=X934)*($J$7:$J$10000&lt;&gt;"NULL")*($G$7:$G$10000 &gt;= ($G$1-5))))/5</f>
        <v>0</v>
      </c>
    </row>
    <row r="935" spans="7:25" x14ac:dyDescent="0.35">
      <c r="G935" s="66">
        <v>11</v>
      </c>
      <c r="H935" t="s">
        <v>4</v>
      </c>
      <c r="I935" t="s">
        <v>209</v>
      </c>
      <c r="J935" t="s">
        <v>256</v>
      </c>
      <c r="K935" t="s">
        <v>3</v>
      </c>
      <c r="L935" t="s">
        <v>17</v>
      </c>
      <c r="M935">
        <f t="shared" ref="M935:M998" si="48">VLOOKUP($K935,$F$3:$G$4,2,FALSE)+VLOOKUP($I935,$A$20:$B$321,2,FALSE)+VLOOKUP($L935,$A$6:$B$16,2,FALSE)</f>
        <v>10.993343722272268</v>
      </c>
      <c r="N935" t="str">
        <f t="shared" ref="N935:N998" si="49">IFERROR(($J935-$M935)^2,"")</f>
        <v/>
      </c>
      <c r="O935" s="67" cm="1">
        <f t="array" ref="O935">SUMPRODUCT((G935=$G$7:$G$10000)*(M935&lt;$M$7:$M$10000))+1</f>
        <v>10</v>
      </c>
      <c r="P935" s="72"/>
      <c r="Q935">
        <v>13</v>
      </c>
      <c r="R935" t="str">
        <v>ARC</v>
      </c>
      <c r="S935" t="str">
        <v>Makeen Alikhan</v>
      </c>
      <c r="T935" t="str">
        <v>NULL</v>
      </c>
      <c r="U935" t="str">
        <v>Away</v>
      </c>
      <c r="V935" t="str">
        <v>LA</v>
      </c>
      <c r="W935">
        <v>7.016578178235684</v>
      </c>
      <c r="Y935" s="1" cm="1">
        <f t="array" ref="Y935">COUNT(_xlfn._xlws.FILTER($G$7:$G$10000,($I$7:$I$10000=X935)*($J$7:$J$10000&lt;&gt;"NULL")*($G$7:$G$10000 &gt;= ($G$1-5))))/5</f>
        <v>0</v>
      </c>
    </row>
    <row r="936" spans="7:25" x14ac:dyDescent="0.35">
      <c r="G936" s="66">
        <v>11</v>
      </c>
      <c r="H936" t="s">
        <v>36</v>
      </c>
      <c r="I936" t="s">
        <v>225</v>
      </c>
      <c r="J936" t="s">
        <v>256</v>
      </c>
      <c r="K936" t="s">
        <v>3</v>
      </c>
      <c r="L936" t="s">
        <v>7</v>
      </c>
      <c r="M936">
        <f t="shared" si="48"/>
        <v>10.877765682688475</v>
      </c>
      <c r="N936" t="str">
        <f t="shared" si="49"/>
        <v/>
      </c>
      <c r="O936" s="67" cm="1">
        <f t="array" ref="O936">SUMPRODUCT((G936=$G$7:$G$10000)*(M936&lt;$M$7:$M$10000))+1</f>
        <v>11</v>
      </c>
      <c r="P936" s="72"/>
      <c r="Q936">
        <v>13</v>
      </c>
      <c r="R936" t="str">
        <v>MIA</v>
      </c>
      <c r="S936" t="str">
        <v>Mauro Rebussone</v>
      </c>
      <c r="T936" t="str">
        <v>NULL</v>
      </c>
      <c r="U936" t="str">
        <v>Away</v>
      </c>
      <c r="V936" t="str">
        <v>NOLA</v>
      </c>
      <c r="W936">
        <v>6.8423404741307658</v>
      </c>
      <c r="Y936" s="1" cm="1">
        <f t="array" ref="Y936">COUNT(_xlfn._xlws.FILTER($G$7:$G$10000,($I$7:$I$10000=X936)*($J$7:$J$10000&lt;&gt;"NULL")*($G$7:$G$10000 &gt;= ($G$1-5))))/5</f>
        <v>0</v>
      </c>
    </row>
    <row r="937" spans="7:25" x14ac:dyDescent="0.35">
      <c r="G937" s="66">
        <v>11</v>
      </c>
      <c r="H937" t="s">
        <v>13</v>
      </c>
      <c r="I937" t="s">
        <v>463</v>
      </c>
      <c r="J937" t="s">
        <v>256</v>
      </c>
      <c r="K937" t="s">
        <v>3</v>
      </c>
      <c r="L937" t="s">
        <v>2</v>
      </c>
      <c r="M937">
        <f t="shared" si="48"/>
        <v>10.597251817562567</v>
      </c>
      <c r="N937" t="str">
        <f t="shared" si="49"/>
        <v/>
      </c>
      <c r="O937" s="67" cm="1">
        <f t="array" ref="O937">SUMPRODUCT((G937=$G$7:$G$10000)*(M937&lt;$M$7:$M$10000))+1</f>
        <v>12</v>
      </c>
      <c r="P937" s="72"/>
      <c r="Q937">
        <v>13</v>
      </c>
      <c r="R937" t="str">
        <v>UTAH</v>
      </c>
      <c r="S937" t="str">
        <v>Frank Lochore</v>
      </c>
      <c r="T937" t="str">
        <v>NULL</v>
      </c>
      <c r="U937" t="str">
        <v>Home</v>
      </c>
      <c r="V937" t="str">
        <v>SEA</v>
      </c>
      <c r="W937">
        <v>6.7177538904419301</v>
      </c>
      <c r="Y937" s="1" cm="1">
        <f t="array" ref="Y937">COUNT(_xlfn._xlws.FILTER($G$7:$G$10000,($I$7:$I$10000=X937)*($J$7:$J$10000&lt;&gt;"NULL")*($G$7:$G$10000 &gt;= ($G$1-5))))/5</f>
        <v>0</v>
      </c>
    </row>
    <row r="938" spans="7:25" x14ac:dyDescent="0.35">
      <c r="G938" s="66">
        <v>11</v>
      </c>
      <c r="H938" t="s">
        <v>17</v>
      </c>
      <c r="I938" t="s">
        <v>480</v>
      </c>
      <c r="J938" t="s">
        <v>256</v>
      </c>
      <c r="K938" t="s">
        <v>9</v>
      </c>
      <c r="L938" t="s">
        <v>4</v>
      </c>
      <c r="M938">
        <f t="shared" si="48"/>
        <v>10.284357627537759</v>
      </c>
      <c r="N938" t="str">
        <f t="shared" si="49"/>
        <v/>
      </c>
      <c r="O938" s="67" cm="1">
        <f t="array" ref="O938">SUMPRODUCT((G938=$G$7:$G$10000)*(M938&lt;$M$7:$M$10000))+1</f>
        <v>13</v>
      </c>
      <c r="P938" s="72"/>
      <c r="Q938">
        <v>13</v>
      </c>
      <c r="R938" t="str">
        <v>SDL</v>
      </c>
      <c r="S938" t="str">
        <v>Tevita Tameilau</v>
      </c>
      <c r="T938" t="str">
        <v>NULL</v>
      </c>
      <c r="U938" t="str">
        <v>Home</v>
      </c>
      <c r="V938" t="str">
        <v>HOU</v>
      </c>
      <c r="W938">
        <v>6.6983172236310038</v>
      </c>
      <c r="Y938" s="1" cm="1">
        <f t="array" ref="Y938">COUNT(_xlfn._xlws.FILTER($G$7:$G$10000,($I$7:$I$10000=X938)*($J$7:$J$10000&lt;&gt;"NULL")*($G$7:$G$10000 &gt;= ($G$1-5))))/5</f>
        <v>0</v>
      </c>
    </row>
    <row r="939" spans="7:25" x14ac:dyDescent="0.35">
      <c r="G939" s="66">
        <v>11</v>
      </c>
      <c r="H939" t="s">
        <v>6</v>
      </c>
      <c r="I939" t="s">
        <v>432</v>
      </c>
      <c r="J939" t="s">
        <v>256</v>
      </c>
      <c r="K939" t="s">
        <v>3</v>
      </c>
      <c r="L939" t="s">
        <v>34</v>
      </c>
      <c r="M939">
        <f t="shared" si="48"/>
        <v>9.7909606335240333</v>
      </c>
      <c r="N939" t="str">
        <f t="shared" si="49"/>
        <v/>
      </c>
      <c r="O939" s="67" cm="1">
        <f t="array" ref="O939">SUMPRODUCT((G939=$G$7:$G$10000)*(M939&lt;$M$7:$M$10000))+1</f>
        <v>14</v>
      </c>
      <c r="P939" s="72"/>
      <c r="Q939">
        <v>13</v>
      </c>
      <c r="R939" t="str">
        <v>NEFJ</v>
      </c>
      <c r="S939" t="str">
        <v>Jero Gomez Vara</v>
      </c>
      <c r="T939" t="str">
        <v>NULL</v>
      </c>
      <c r="U939" t="str">
        <v>Home</v>
      </c>
      <c r="V939" t="str">
        <v>CHI</v>
      </c>
      <c r="W939">
        <v>6.6596815646384355</v>
      </c>
      <c r="Y939" s="1" cm="1">
        <f t="array" ref="Y939">COUNT(_xlfn._xlws.FILTER($G$7:$G$10000,($I$7:$I$10000=X939)*($J$7:$J$10000&lt;&gt;"NULL")*($G$7:$G$10000 &gt;= ($G$1-5))))/5</f>
        <v>0</v>
      </c>
    </row>
    <row r="940" spans="7:25" x14ac:dyDescent="0.35">
      <c r="G940" s="66">
        <v>11</v>
      </c>
      <c r="H940" t="s">
        <v>34</v>
      </c>
      <c r="I940" t="s">
        <v>420</v>
      </c>
      <c r="J940" t="s">
        <v>256</v>
      </c>
      <c r="K940" t="s">
        <v>9</v>
      </c>
      <c r="L940" t="s">
        <v>6</v>
      </c>
      <c r="M940">
        <f t="shared" si="48"/>
        <v>9.559470059511753</v>
      </c>
      <c r="N940" t="str">
        <f t="shared" si="49"/>
        <v/>
      </c>
      <c r="O940" s="67" cm="1">
        <f t="array" ref="O940">SUMPRODUCT((G940=$G$7:$G$10000)*(M940&lt;$M$7:$M$10000))+1</f>
        <v>15</v>
      </c>
      <c r="P940" s="72"/>
      <c r="Q940">
        <v>13</v>
      </c>
      <c r="R940" t="str">
        <v>LA</v>
      </c>
      <c r="S940" t="str">
        <v>Ben Houston</v>
      </c>
      <c r="T940" t="str">
        <v>NULL</v>
      </c>
      <c r="U940" t="str">
        <v>Home</v>
      </c>
      <c r="V940" t="str">
        <v>ARC</v>
      </c>
      <c r="W940">
        <v>6.640338210525309</v>
      </c>
      <c r="Y940" s="1" cm="1">
        <f t="array" ref="Y940">COUNT(_xlfn._xlws.FILTER($G$7:$G$10000,($I$7:$I$10000=X940)*($J$7:$J$10000&lt;&gt;"NULL")*($G$7:$G$10000 &gt;= ($G$1-5))))/5</f>
        <v>0</v>
      </c>
    </row>
    <row r="941" spans="7:25" x14ac:dyDescent="0.35">
      <c r="G941" s="66">
        <v>11</v>
      </c>
      <c r="H941" t="s">
        <v>6</v>
      </c>
      <c r="I941" t="s">
        <v>433</v>
      </c>
      <c r="J941" t="s">
        <v>256</v>
      </c>
      <c r="K941" t="s">
        <v>3</v>
      </c>
      <c r="L941" t="s">
        <v>34</v>
      </c>
      <c r="M941">
        <f t="shared" si="48"/>
        <v>9.4203076880626693</v>
      </c>
      <c r="N941" t="str">
        <f t="shared" si="49"/>
        <v/>
      </c>
      <c r="O941" s="67" cm="1">
        <f t="array" ref="O941">SUMPRODUCT((G941=$G$7:$G$10000)*(M941&lt;$M$7:$M$10000))+1</f>
        <v>16</v>
      </c>
      <c r="P941" s="72"/>
      <c r="Q941">
        <v>13</v>
      </c>
      <c r="R941" t="str">
        <v>MIA</v>
      </c>
      <c r="S941" t="str">
        <v>Alex Tucci</v>
      </c>
      <c r="T941" t="str">
        <v>NULL</v>
      </c>
      <c r="U941" t="str">
        <v>Away</v>
      </c>
      <c r="V941" t="str">
        <v>NOLA</v>
      </c>
      <c r="W941">
        <v>6.6066544702841616</v>
      </c>
      <c r="Y941" s="1" cm="1">
        <f t="array" ref="Y941">COUNT(_xlfn._xlws.FILTER($G$7:$G$10000,($I$7:$I$10000=X941)*($J$7:$J$10000&lt;&gt;"NULL")*($G$7:$G$10000 &gt;= ($G$1-5))))/5</f>
        <v>0</v>
      </c>
    </row>
    <row r="942" spans="7:25" x14ac:dyDescent="0.35">
      <c r="G942" s="66">
        <v>11</v>
      </c>
      <c r="H942" t="s">
        <v>6</v>
      </c>
      <c r="I942" t="s">
        <v>208</v>
      </c>
      <c r="J942" t="s">
        <v>256</v>
      </c>
      <c r="K942" t="s">
        <v>3</v>
      </c>
      <c r="L942" t="s">
        <v>34</v>
      </c>
      <c r="M942">
        <f t="shared" si="48"/>
        <v>8.9184547171925903</v>
      </c>
      <c r="N942" t="str">
        <f t="shared" si="49"/>
        <v/>
      </c>
      <c r="O942" s="67" cm="1">
        <f t="array" ref="O942">SUMPRODUCT((G942=$G$7:$G$10000)*(M942&lt;$M$7:$M$10000))+1</f>
        <v>17</v>
      </c>
      <c r="P942" s="72"/>
      <c r="Q942">
        <v>13</v>
      </c>
      <c r="R942" t="str">
        <v>NOLA</v>
      </c>
      <c r="S942" t="str">
        <v>Chase Jones</v>
      </c>
      <c r="T942" t="str">
        <v>NULL</v>
      </c>
      <c r="U942" t="str">
        <v>Home</v>
      </c>
      <c r="V942" t="str">
        <v>MIA</v>
      </c>
      <c r="W942">
        <v>6.5354894337509455</v>
      </c>
      <c r="Y942" s="1" cm="1">
        <f t="array" ref="Y942">COUNT(_xlfn._xlws.FILTER($G$7:$G$10000,($I$7:$I$10000=X942)*($J$7:$J$10000&lt;&gt;"NULL")*($G$7:$G$10000 &gt;= ($G$1-5))))/5</f>
        <v>0</v>
      </c>
    </row>
    <row r="943" spans="7:25" x14ac:dyDescent="0.35">
      <c r="G943" s="66">
        <v>11</v>
      </c>
      <c r="H943" t="s">
        <v>24</v>
      </c>
      <c r="I943" t="s">
        <v>199</v>
      </c>
      <c r="J943" t="s">
        <v>256</v>
      </c>
      <c r="K943" t="s">
        <v>3</v>
      </c>
      <c r="L943" t="s">
        <v>14</v>
      </c>
      <c r="M943">
        <f t="shared" si="48"/>
        <v>8.7654915387912702</v>
      </c>
      <c r="N943" t="str">
        <f t="shared" si="49"/>
        <v/>
      </c>
      <c r="O943" s="67" cm="1">
        <f t="array" ref="O943">SUMPRODUCT((G943=$G$7:$G$10000)*(M943&lt;$M$7:$M$10000))+1</f>
        <v>18</v>
      </c>
      <c r="P943" s="72"/>
      <c r="Q943">
        <v>13</v>
      </c>
      <c r="R943" t="str">
        <v>CHI</v>
      </c>
      <c r="S943" t="str">
        <v>Maclean Jones</v>
      </c>
      <c r="T943" t="str">
        <v>NULL</v>
      </c>
      <c r="U943" t="str">
        <v>Away</v>
      </c>
      <c r="V943" t="str">
        <v>NEFJ</v>
      </c>
      <c r="W943">
        <v>6.4559337459146606</v>
      </c>
      <c r="Y943" s="1" cm="1">
        <f t="array" ref="Y943">COUNT(_xlfn._xlws.FILTER($G$7:$G$10000,($I$7:$I$10000=X943)*($J$7:$J$10000&lt;&gt;"NULL")*($G$7:$G$10000 &gt;= ($G$1-5))))/5</f>
        <v>0</v>
      </c>
    </row>
    <row r="944" spans="7:25" x14ac:dyDescent="0.35">
      <c r="G944" s="66">
        <v>11</v>
      </c>
      <c r="H944" t="s">
        <v>17</v>
      </c>
      <c r="I944" t="s">
        <v>427</v>
      </c>
      <c r="J944" t="s">
        <v>256</v>
      </c>
      <c r="K944" t="s">
        <v>9</v>
      </c>
      <c r="L944" t="s">
        <v>4</v>
      </c>
      <c r="M944">
        <f t="shared" si="48"/>
        <v>8.579840535039807</v>
      </c>
      <c r="N944" t="str">
        <f t="shared" si="49"/>
        <v/>
      </c>
      <c r="O944" s="67" cm="1">
        <f t="array" ref="O944">SUMPRODUCT((G944=$G$7:$G$10000)*(M944&lt;$M$7:$M$10000))+1</f>
        <v>19</v>
      </c>
      <c r="P944" s="72"/>
      <c r="Q944">
        <v>13</v>
      </c>
      <c r="R944" t="str">
        <v>NOLA</v>
      </c>
      <c r="S944" t="str">
        <v>Kellen Galletier</v>
      </c>
      <c r="T944" t="str">
        <v>NULL</v>
      </c>
      <c r="U944" t="str">
        <v>Home</v>
      </c>
      <c r="V944" t="str">
        <v>MIA</v>
      </c>
      <c r="W944">
        <v>6.4347131657299466</v>
      </c>
      <c r="Y944" s="1" cm="1">
        <f t="array" ref="Y944">COUNT(_xlfn._xlws.FILTER($G$7:$G$10000,($I$7:$I$10000=X944)*($J$7:$J$10000&lt;&gt;"NULL")*($G$7:$G$10000 &gt;= ($G$1-5))))/5</f>
        <v>0</v>
      </c>
    </row>
    <row r="945" spans="7:25" x14ac:dyDescent="0.35">
      <c r="G945" s="66">
        <v>11</v>
      </c>
      <c r="H945" t="s">
        <v>13</v>
      </c>
      <c r="I945" t="s">
        <v>204</v>
      </c>
      <c r="J945" t="s">
        <v>256</v>
      </c>
      <c r="K945" t="s">
        <v>3</v>
      </c>
      <c r="L945" t="s">
        <v>2</v>
      </c>
      <c r="M945">
        <f t="shared" si="48"/>
        <v>8.3915585535665507</v>
      </c>
      <c r="N945" t="str">
        <f t="shared" si="49"/>
        <v/>
      </c>
      <c r="O945" s="67" cm="1">
        <f t="array" ref="O945">SUMPRODUCT((G945=$G$7:$G$10000)*(M945&lt;$M$7:$M$10000))+1</f>
        <v>20</v>
      </c>
      <c r="P945" s="72"/>
      <c r="Q945">
        <v>13</v>
      </c>
      <c r="R945" t="str">
        <v>NEFJ</v>
      </c>
      <c r="S945" t="str">
        <v>Kaleb Geiger</v>
      </c>
      <c r="T945" t="str">
        <v>NULL</v>
      </c>
      <c r="U945" t="str">
        <v>Home</v>
      </c>
      <c r="V945" t="str">
        <v>CHI</v>
      </c>
      <c r="W945">
        <v>6.3842405947296577</v>
      </c>
      <c r="Y945" s="1" cm="1">
        <f t="array" ref="Y945">COUNT(_xlfn._xlws.FILTER($G$7:$G$10000,($I$7:$I$10000=X945)*($J$7:$J$10000&lt;&gt;"NULL")*($G$7:$G$10000 &gt;= ($G$1-5))))/5</f>
        <v>0</v>
      </c>
    </row>
    <row r="946" spans="7:25" x14ac:dyDescent="0.35">
      <c r="G946" s="66">
        <v>11</v>
      </c>
      <c r="H946" t="s">
        <v>24</v>
      </c>
      <c r="I946" t="s">
        <v>215</v>
      </c>
      <c r="J946" t="s">
        <v>256</v>
      </c>
      <c r="K946" t="s">
        <v>3</v>
      </c>
      <c r="L946" t="s">
        <v>14</v>
      </c>
      <c r="M946">
        <f t="shared" si="48"/>
        <v>8.050771183701487</v>
      </c>
      <c r="N946" t="str">
        <f t="shared" si="49"/>
        <v/>
      </c>
      <c r="O946" s="67" cm="1">
        <f t="array" ref="O946">SUMPRODUCT((G946=$G$7:$G$10000)*(M946&lt;$M$7:$M$10000))+1</f>
        <v>21</v>
      </c>
      <c r="P946" s="72"/>
      <c r="Q946">
        <v>13</v>
      </c>
      <c r="R946" t="str">
        <v>LA</v>
      </c>
      <c r="S946" t="str">
        <v>Ed Timpson</v>
      </c>
      <c r="T946" t="str">
        <v>NULL</v>
      </c>
      <c r="U946" t="str">
        <v>Home</v>
      </c>
      <c r="V946" t="str">
        <v>ARC</v>
      </c>
      <c r="W946">
        <v>6.269685265063945</v>
      </c>
      <c r="Y946" s="1" cm="1">
        <f t="array" ref="Y946">COUNT(_xlfn._xlws.FILTER($G$7:$G$10000,($I$7:$I$10000=X946)*($J$7:$J$10000&lt;&gt;"NULL")*($G$7:$G$10000 &gt;= ($G$1-5))))/5</f>
        <v>0</v>
      </c>
    </row>
    <row r="947" spans="7:25" x14ac:dyDescent="0.35">
      <c r="G947" s="66">
        <v>11</v>
      </c>
      <c r="H947" t="s">
        <v>7</v>
      </c>
      <c r="I947" t="s">
        <v>207</v>
      </c>
      <c r="J947" t="s">
        <v>256</v>
      </c>
      <c r="K947" t="s">
        <v>9</v>
      </c>
      <c r="L947" t="s">
        <v>36</v>
      </c>
      <c r="M947">
        <f t="shared" si="48"/>
        <v>7.9522735648214988</v>
      </c>
      <c r="N947" t="str">
        <f t="shared" si="49"/>
        <v/>
      </c>
      <c r="O947" s="67" cm="1">
        <f t="array" ref="O947">SUMPRODUCT((G947=$G$7:$G$10000)*(M947&lt;$M$7:$M$10000))+1</f>
        <v>22</v>
      </c>
      <c r="P947" s="72"/>
      <c r="Q947">
        <v>13</v>
      </c>
      <c r="R947" t="str">
        <v>CHI</v>
      </c>
      <c r="S947" t="str">
        <v>James Scott</v>
      </c>
      <c r="T947" t="str">
        <v>NULL</v>
      </c>
      <c r="U947" t="str">
        <v>Away</v>
      </c>
      <c r="V947" t="str">
        <v>NEFJ</v>
      </c>
      <c r="W947">
        <v>6.0092907673297891</v>
      </c>
      <c r="Y947" s="1" cm="1">
        <f t="array" ref="Y947">COUNT(_xlfn._xlws.FILTER($G$7:$G$10000,($I$7:$I$10000=X947)*($J$7:$J$10000&lt;&gt;"NULL")*($G$7:$G$10000 &gt;= ($G$1-5))))/5</f>
        <v>0</v>
      </c>
    </row>
    <row r="948" spans="7:25" x14ac:dyDescent="0.35">
      <c r="G948" s="66">
        <v>11</v>
      </c>
      <c r="H948" t="s">
        <v>34</v>
      </c>
      <c r="I948" t="s">
        <v>174</v>
      </c>
      <c r="J948" t="s">
        <v>256</v>
      </c>
      <c r="K948" t="s">
        <v>9</v>
      </c>
      <c r="L948" t="s">
        <v>6</v>
      </c>
      <c r="M948">
        <f t="shared" si="48"/>
        <v>7.6762586766265537</v>
      </c>
      <c r="N948" t="str">
        <f t="shared" si="49"/>
        <v/>
      </c>
      <c r="O948" s="67" cm="1">
        <f t="array" ref="O948">SUMPRODUCT((G948=$G$7:$G$10000)*(M948&lt;$M$7:$M$10000))+1</f>
        <v>23</v>
      </c>
      <c r="P948" s="72"/>
      <c r="Q948">
        <v>13</v>
      </c>
      <c r="R948" t="str">
        <v>HOU</v>
      </c>
      <c r="S948" t="str">
        <v>Emmanuel Albert</v>
      </c>
      <c r="T948" t="str">
        <v>NULL</v>
      </c>
      <c r="U948" t="str">
        <v>Away</v>
      </c>
      <c r="V948" t="str">
        <v>SDL</v>
      </c>
      <c r="W948">
        <v>5.9733731546629922</v>
      </c>
      <c r="Y948" s="1" cm="1">
        <f t="array" ref="Y948">COUNT(_xlfn._xlws.FILTER($G$7:$G$10000,($I$7:$I$10000=X948)*($J$7:$J$10000&lt;&gt;"NULL")*($G$7:$G$10000 &gt;= ($G$1-5))))/5</f>
        <v>0</v>
      </c>
    </row>
    <row r="949" spans="7:25" x14ac:dyDescent="0.35">
      <c r="G949" s="66">
        <v>11</v>
      </c>
      <c r="H949" t="s">
        <v>14</v>
      </c>
      <c r="I949" t="s">
        <v>396</v>
      </c>
      <c r="J949" t="s">
        <v>256</v>
      </c>
      <c r="K949" t="s">
        <v>9</v>
      </c>
      <c r="L949" t="s">
        <v>24</v>
      </c>
      <c r="M949">
        <f t="shared" si="48"/>
        <v>7.1969366400307075</v>
      </c>
      <c r="N949" t="str">
        <f t="shared" si="49"/>
        <v/>
      </c>
      <c r="O949" s="67" cm="1">
        <f t="array" ref="O949">SUMPRODUCT((G949=$G$7:$G$10000)*(M949&lt;$M$7:$M$10000))+1</f>
        <v>24</v>
      </c>
      <c r="P949" s="72"/>
      <c r="Q949">
        <v>13</v>
      </c>
      <c r="R949" t="str">
        <v>NOLA</v>
      </c>
      <c r="S949" t="str">
        <v>Tesimoni Tonga'uiha</v>
      </c>
      <c r="T949" t="str">
        <v>NULL</v>
      </c>
      <c r="U949" t="str">
        <v>Home</v>
      </c>
      <c r="V949" t="str">
        <v>MIA</v>
      </c>
      <c r="W949">
        <v>5.8933755731665531</v>
      </c>
      <c r="Y949" s="1" cm="1">
        <f t="array" ref="Y949">COUNT(_xlfn._xlws.FILTER($G$7:$G$10000,($I$7:$I$10000=X949)*($J$7:$J$10000&lt;&gt;"NULL")*($G$7:$G$10000 &gt;= ($G$1-5))))/5</f>
        <v>0</v>
      </c>
    </row>
    <row r="950" spans="7:25" x14ac:dyDescent="0.35">
      <c r="G950" s="66">
        <v>11</v>
      </c>
      <c r="H950" t="s">
        <v>13</v>
      </c>
      <c r="I950" t="s">
        <v>464</v>
      </c>
      <c r="J950" t="s">
        <v>256</v>
      </c>
      <c r="K950" t="s">
        <v>3</v>
      </c>
      <c r="L950" t="s">
        <v>2</v>
      </c>
      <c r="M950">
        <f t="shared" si="48"/>
        <v>7.1039812831067168</v>
      </c>
      <c r="N950" t="str">
        <f t="shared" si="49"/>
        <v/>
      </c>
      <c r="O950" s="67" cm="1">
        <f t="array" ref="O950">SUMPRODUCT((G950=$G$7:$G$10000)*(M950&lt;$M$7:$M$10000))+1</f>
        <v>25</v>
      </c>
      <c r="P950" s="72"/>
      <c r="Q950">
        <v>13</v>
      </c>
      <c r="R950" t="str">
        <v>ARC</v>
      </c>
      <c r="S950" t="str">
        <v>Connor Robinson</v>
      </c>
      <c r="T950" t="str">
        <v>NULL</v>
      </c>
      <c r="U950" t="str">
        <v>Away</v>
      </c>
      <c r="V950" t="str">
        <v>LA</v>
      </c>
      <c r="W950">
        <v>5.8876319724666155</v>
      </c>
      <c r="Y950" s="1" cm="1">
        <f t="array" ref="Y950">COUNT(_xlfn._xlws.FILTER($G$7:$G$10000,($I$7:$I$10000=X950)*($J$7:$J$10000&lt;&gt;"NULL")*($G$7:$G$10000 &gt;= ($G$1-5))))/5</f>
        <v>0</v>
      </c>
    </row>
    <row r="951" spans="7:25" x14ac:dyDescent="0.35">
      <c r="G951" s="66">
        <v>11</v>
      </c>
      <c r="H951" t="s">
        <v>4</v>
      </c>
      <c r="I951" t="s">
        <v>486</v>
      </c>
      <c r="J951" t="s">
        <v>256</v>
      </c>
      <c r="K951" t="s">
        <v>3</v>
      </c>
      <c r="L951" t="s">
        <v>17</v>
      </c>
      <c r="M951">
        <f t="shared" si="48"/>
        <v>7.0228868240500617</v>
      </c>
      <c r="N951" t="str">
        <f t="shared" si="49"/>
        <v/>
      </c>
      <c r="O951" s="67" cm="1">
        <f t="array" ref="O951">SUMPRODUCT((G951=$G$7:$G$10000)*(M951&lt;$M$7:$M$10000))+1</f>
        <v>26</v>
      </c>
      <c r="P951" s="72"/>
      <c r="Q951">
        <v>13</v>
      </c>
      <c r="R951" t="str">
        <v>CHI</v>
      </c>
      <c r="S951" t="str">
        <v>Mason Flesch</v>
      </c>
      <c r="T951" t="str">
        <v>NULL</v>
      </c>
      <c r="U951" t="str">
        <v>Away</v>
      </c>
      <c r="V951" t="str">
        <v>NEFJ</v>
      </c>
      <c r="W951">
        <v>5.7989836027911359</v>
      </c>
      <c r="Y951" s="1" cm="1">
        <f t="array" ref="Y951">COUNT(_xlfn._xlws.FILTER($G$7:$G$10000,($I$7:$I$10000=X951)*($J$7:$J$10000&lt;&gt;"NULL")*($G$7:$G$10000 &gt;= ($G$1-5))))/5</f>
        <v>0</v>
      </c>
    </row>
    <row r="952" spans="7:25" x14ac:dyDescent="0.35">
      <c r="G952" s="66">
        <v>11</v>
      </c>
      <c r="H952" t="s">
        <v>34</v>
      </c>
      <c r="I952" t="s">
        <v>227</v>
      </c>
      <c r="J952" t="s">
        <v>256</v>
      </c>
      <c r="K952" t="s">
        <v>9</v>
      </c>
      <c r="L952" t="s">
        <v>6</v>
      </c>
      <c r="M952">
        <f t="shared" si="48"/>
        <v>7.0191871362335601</v>
      </c>
      <c r="N952" t="str">
        <f t="shared" si="49"/>
        <v/>
      </c>
      <c r="O952" s="67" cm="1">
        <f t="array" ref="O952">SUMPRODUCT((G952=$G$7:$G$10000)*(M952&lt;$M$7:$M$10000))+1</f>
        <v>27</v>
      </c>
      <c r="P952" s="72"/>
      <c r="Q952">
        <v>13</v>
      </c>
      <c r="R952" t="str">
        <v>LA</v>
      </c>
      <c r="S952" t="str">
        <v>Jason Damm</v>
      </c>
      <c r="T952" t="str">
        <v>NULL</v>
      </c>
      <c r="U952" t="str">
        <v>Home</v>
      </c>
      <c r="V952" t="str">
        <v>ARC</v>
      </c>
      <c r="W952">
        <v>5.7678322941938678</v>
      </c>
      <c r="Y952" s="1" cm="1">
        <f t="array" ref="Y952">COUNT(_xlfn._xlws.FILTER($G$7:$G$10000,($I$7:$I$10000=X952)*($J$7:$J$10000&lt;&gt;"NULL")*($G$7:$G$10000 &gt;= ($G$1-5))))/5</f>
        <v>0</v>
      </c>
    </row>
    <row r="953" spans="7:25" x14ac:dyDescent="0.35">
      <c r="G953" s="66">
        <v>11</v>
      </c>
      <c r="H953" t="s">
        <v>2</v>
      </c>
      <c r="I953" t="s">
        <v>212</v>
      </c>
      <c r="J953" t="s">
        <v>256</v>
      </c>
      <c r="K953" t="s">
        <v>9</v>
      </c>
      <c r="L953" t="s">
        <v>13</v>
      </c>
      <c r="M953">
        <f t="shared" si="48"/>
        <v>6.8045595000729406</v>
      </c>
      <c r="N953" t="str">
        <f t="shared" si="49"/>
        <v/>
      </c>
      <c r="O953" s="67" cm="1">
        <f t="array" ref="O953">SUMPRODUCT((G953=$G$7:$G$10000)*(M953&lt;$M$7:$M$10000))+1</f>
        <v>28</v>
      </c>
      <c r="P953" s="72"/>
      <c r="Q953">
        <v>13</v>
      </c>
      <c r="R953" t="str">
        <v>SEA</v>
      </c>
      <c r="S953" t="str">
        <v>OJ Noa</v>
      </c>
      <c r="T953" t="str">
        <v>NULL</v>
      </c>
      <c r="U953" t="str">
        <v>Away</v>
      </c>
      <c r="V953" t="str">
        <v>UTAH</v>
      </c>
      <c r="W953">
        <v>5.7175038564642495</v>
      </c>
      <c r="Y953" s="1" cm="1">
        <f t="array" ref="Y953">COUNT(_xlfn._xlws.FILTER($G$7:$G$10000,($I$7:$I$10000=X953)*($J$7:$J$10000&lt;&gt;"NULL")*($G$7:$G$10000 &gt;= ($G$1-5))))/5</f>
        <v>0</v>
      </c>
    </row>
    <row r="954" spans="7:25" x14ac:dyDescent="0.35">
      <c r="G954" s="66">
        <v>11</v>
      </c>
      <c r="H954" t="s">
        <v>13</v>
      </c>
      <c r="I954" t="s">
        <v>103</v>
      </c>
      <c r="J954" t="s">
        <v>256</v>
      </c>
      <c r="K954" t="s">
        <v>3</v>
      </c>
      <c r="L954" t="s">
        <v>2</v>
      </c>
      <c r="M954">
        <f t="shared" si="48"/>
        <v>6.7004033810512649</v>
      </c>
      <c r="N954" t="str">
        <f t="shared" si="49"/>
        <v/>
      </c>
      <c r="O954" s="67" cm="1">
        <f t="array" ref="O954">SUMPRODUCT((G954=$G$7:$G$10000)*(M954&lt;$M$7:$M$10000))+1</f>
        <v>29</v>
      </c>
      <c r="P954" s="72"/>
      <c r="Q954">
        <v>13</v>
      </c>
      <c r="R954" t="str">
        <v>NOLA</v>
      </c>
      <c r="S954" t="str">
        <v>Alex Lopeti</v>
      </c>
      <c r="T954" t="str">
        <v>NULL</v>
      </c>
      <c r="U954" t="str">
        <v>Home</v>
      </c>
      <c r="V954" t="str">
        <v>MIA</v>
      </c>
      <c r="W954">
        <v>5.5111222981144845</v>
      </c>
      <c r="Y954" s="1" cm="1">
        <f t="array" ref="Y954">COUNT(_xlfn._xlws.FILTER($G$7:$G$10000,($I$7:$I$10000=X954)*($J$7:$J$10000&lt;&gt;"NULL")*($G$7:$G$10000 &gt;= ($G$1-5))))/5</f>
        <v>0</v>
      </c>
    </row>
    <row r="955" spans="7:25" x14ac:dyDescent="0.35">
      <c r="G955" s="66">
        <v>11</v>
      </c>
      <c r="H955" t="s">
        <v>4</v>
      </c>
      <c r="I955" t="s">
        <v>114</v>
      </c>
      <c r="J955" t="s">
        <v>256</v>
      </c>
      <c r="K955" t="s">
        <v>3</v>
      </c>
      <c r="L955" t="s">
        <v>17</v>
      </c>
      <c r="M955">
        <f t="shared" si="48"/>
        <v>6.6189982590637513</v>
      </c>
      <c r="N955" t="str">
        <f t="shared" si="49"/>
        <v/>
      </c>
      <c r="O955" s="67" cm="1">
        <f t="array" ref="O955">SUMPRODUCT((G955=$G$7:$G$10000)*(M955&lt;$M$7:$M$10000))+1</f>
        <v>30</v>
      </c>
      <c r="P955" s="72"/>
      <c r="Q955">
        <v>13</v>
      </c>
      <c r="R955" t="str">
        <v>HOU</v>
      </c>
      <c r="S955" t="str">
        <v>Johan Momsen</v>
      </c>
      <c r="T955" t="str">
        <v>NULL</v>
      </c>
      <c r="U955" t="str">
        <v>Away</v>
      </c>
      <c r="V955" t="str">
        <v>SDL</v>
      </c>
      <c r="W955">
        <v>5.4082040755925522</v>
      </c>
      <c r="Y955" s="1" cm="1">
        <f t="array" ref="Y955">COUNT(_xlfn._xlws.FILTER($G$7:$G$10000,($I$7:$I$10000=X955)*($J$7:$J$10000&lt;&gt;"NULL")*($G$7:$G$10000 &gt;= ($G$1-5))))/5</f>
        <v>0</v>
      </c>
    </row>
    <row r="956" spans="7:25" x14ac:dyDescent="0.35">
      <c r="G956" s="66">
        <v>11</v>
      </c>
      <c r="H956" t="s">
        <v>2</v>
      </c>
      <c r="I956" t="s">
        <v>156</v>
      </c>
      <c r="J956" t="s">
        <v>256</v>
      </c>
      <c r="K956" t="s">
        <v>9</v>
      </c>
      <c r="L956" t="s">
        <v>13</v>
      </c>
      <c r="M956">
        <f t="shared" si="48"/>
        <v>6.4044018237191143</v>
      </c>
      <c r="N956" t="str">
        <f t="shared" si="49"/>
        <v/>
      </c>
      <c r="O956" s="67" cm="1">
        <f t="array" ref="O956">SUMPRODUCT((G956=$G$7:$G$10000)*(M956&lt;$M$7:$M$10000))+1</f>
        <v>31</v>
      </c>
      <c r="P956" s="72"/>
      <c r="Q956">
        <v>13</v>
      </c>
      <c r="R956" t="str">
        <v>MIA</v>
      </c>
      <c r="S956" t="str">
        <v>Federico Gutíerrez</v>
      </c>
      <c r="T956" t="str">
        <v>NULL</v>
      </c>
      <c r="U956" t="str">
        <v>Away</v>
      </c>
      <c r="V956" t="str">
        <v>NOLA</v>
      </c>
      <c r="W956">
        <v>5.3369076645383302</v>
      </c>
      <c r="Y956" s="1" cm="1">
        <f t="array" ref="Y956">COUNT(_xlfn._xlws.FILTER($G$7:$G$10000,($I$7:$I$10000=X956)*($J$7:$J$10000&lt;&gt;"NULL")*($G$7:$G$10000 &gt;= ($G$1-5))))/5</f>
        <v>0</v>
      </c>
    </row>
    <row r="957" spans="7:25" x14ac:dyDescent="0.35">
      <c r="G957" s="66">
        <v>11</v>
      </c>
      <c r="H957" t="s">
        <v>14</v>
      </c>
      <c r="I957" t="s">
        <v>248</v>
      </c>
      <c r="J957" t="s">
        <v>256</v>
      </c>
      <c r="K957" t="s">
        <v>9</v>
      </c>
      <c r="L957" t="s">
        <v>24</v>
      </c>
      <c r="M957">
        <f t="shared" si="48"/>
        <v>6.0679904342616391</v>
      </c>
      <c r="N957" t="str">
        <f t="shared" si="49"/>
        <v/>
      </c>
      <c r="O957" s="67" cm="1">
        <f t="array" ref="O957">SUMPRODUCT((G957=$G$7:$G$10000)*(M957&lt;$M$7:$M$10000))+1</f>
        <v>32</v>
      </c>
      <c r="P957" s="72"/>
      <c r="Q957">
        <v>13</v>
      </c>
      <c r="R957" t="str">
        <v>NOLA</v>
      </c>
      <c r="S957" t="str">
        <v>Malcolm May</v>
      </c>
      <c r="T957" t="str">
        <v>NULL</v>
      </c>
      <c r="U957" t="str">
        <v>Home</v>
      </c>
      <c r="V957" t="str">
        <v>MIA</v>
      </c>
      <c r="W957">
        <v>5.3328963855574987</v>
      </c>
      <c r="Y957" s="1" cm="1">
        <f t="array" ref="Y957">COUNT(_xlfn._xlws.FILTER($G$7:$G$10000,($I$7:$I$10000=X957)*($J$7:$J$10000&lt;&gt;"NULL")*($G$7:$G$10000 &gt;= ($G$1-5))))/5</f>
        <v>0</v>
      </c>
    </row>
    <row r="958" spans="7:25" x14ac:dyDescent="0.35">
      <c r="G958" s="66">
        <v>11</v>
      </c>
      <c r="H958" t="s">
        <v>4</v>
      </c>
      <c r="I958" t="s">
        <v>484</v>
      </c>
      <c r="J958" t="s">
        <v>256</v>
      </c>
      <c r="K958" t="s">
        <v>3</v>
      </c>
      <c r="L958" t="s">
        <v>17</v>
      </c>
      <c r="M958">
        <f t="shared" si="48"/>
        <v>6.0386314609801293</v>
      </c>
      <c r="N958" t="str">
        <f t="shared" si="49"/>
        <v/>
      </c>
      <c r="O958" s="67" cm="1">
        <f t="array" ref="O958">SUMPRODUCT((G958=$G$7:$G$10000)*(M958&lt;$M$7:$M$10000))+1</f>
        <v>33</v>
      </c>
      <c r="P958" s="72"/>
      <c r="Q958">
        <v>13</v>
      </c>
      <c r="R958" t="str">
        <v>UTAH</v>
      </c>
      <c r="S958" t="str">
        <v>Matt Jenson</v>
      </c>
      <c r="T958" t="str">
        <v>NULL</v>
      </c>
      <c r="U958" t="str">
        <v>Home</v>
      </c>
      <c r="V958" t="str">
        <v>SEA</v>
      </c>
      <c r="W958">
        <v>5.2678912847868125</v>
      </c>
      <c r="Y958" s="1" cm="1">
        <f t="array" ref="Y958">COUNT(_xlfn._xlws.FILTER($G$7:$G$10000,($I$7:$I$10000=X958)*($J$7:$J$10000&lt;&gt;"NULL")*($G$7:$G$10000 &gt;= ($G$1-5))))/5</f>
        <v>0</v>
      </c>
    </row>
    <row r="959" spans="7:25" x14ac:dyDescent="0.35">
      <c r="G959" s="66">
        <v>11</v>
      </c>
      <c r="H959" t="s">
        <v>4</v>
      </c>
      <c r="I959" t="s">
        <v>435</v>
      </c>
      <c r="J959" t="s">
        <v>256</v>
      </c>
      <c r="K959" t="s">
        <v>3</v>
      </c>
      <c r="L959" t="s">
        <v>17</v>
      </c>
      <c r="M959">
        <f t="shared" si="48"/>
        <v>5.9378551929591303</v>
      </c>
      <c r="N959" t="str">
        <f t="shared" si="49"/>
        <v/>
      </c>
      <c r="O959" s="67" cm="1">
        <f t="array" ref="O959">SUMPRODUCT((G959=$G$7:$G$10000)*(M959&lt;$M$7:$M$10000))+1</f>
        <v>34</v>
      </c>
      <c r="P959" s="72"/>
      <c r="Q959">
        <v>13</v>
      </c>
      <c r="R959" t="str">
        <v>CHI</v>
      </c>
      <c r="S959" t="str">
        <v>Paddy Ryan</v>
      </c>
      <c r="T959" t="str">
        <v>NULL</v>
      </c>
      <c r="U959" t="str">
        <v>Away</v>
      </c>
      <c r="V959" t="str">
        <v>NEFJ</v>
      </c>
      <c r="W959">
        <v>5.2439448679252534</v>
      </c>
      <c r="Y959" s="1" cm="1">
        <f t="array" ref="Y959">COUNT(_xlfn._xlws.FILTER($G$7:$G$10000,($I$7:$I$10000=X959)*($J$7:$J$10000&lt;&gt;"NULL")*($G$7:$G$10000 &gt;= ($G$1-5))))/5</f>
        <v>0</v>
      </c>
    </row>
    <row r="960" spans="7:25" x14ac:dyDescent="0.35">
      <c r="G960" s="66">
        <v>11</v>
      </c>
      <c r="H960" t="s">
        <v>17</v>
      </c>
      <c r="I960" t="s">
        <v>206</v>
      </c>
      <c r="J960" t="s">
        <v>256</v>
      </c>
      <c r="K960" t="s">
        <v>9</v>
      </c>
      <c r="L960" t="s">
        <v>4</v>
      </c>
      <c r="M960">
        <f t="shared" si="48"/>
        <v>5.8780559611513024</v>
      </c>
      <c r="N960" t="str">
        <f t="shared" si="49"/>
        <v/>
      </c>
      <c r="O960" s="67" cm="1">
        <f t="array" ref="O960">SUMPRODUCT((G960=$G$7:$G$10000)*(M960&lt;$M$7:$M$10000))+1</f>
        <v>35</v>
      </c>
      <c r="P960" s="72"/>
      <c r="Q960">
        <v>13</v>
      </c>
      <c r="R960" t="str">
        <v>HOU</v>
      </c>
      <c r="S960" t="str">
        <v>Nathan Den Hoedt</v>
      </c>
      <c r="T960" t="str">
        <v>NULL</v>
      </c>
      <c r="U960" t="str">
        <v>Away</v>
      </c>
      <c r="V960" t="str">
        <v>SDL</v>
      </c>
      <c r="W960">
        <v>5.0774177465339374</v>
      </c>
      <c r="Y960" s="1" cm="1">
        <f t="array" ref="Y960">COUNT(_xlfn._xlws.FILTER($G$7:$G$10000,($I$7:$I$10000=X960)*($J$7:$J$10000&lt;&gt;"NULL")*($G$7:$G$10000 &gt;= ($G$1-5))))/5</f>
        <v>0</v>
      </c>
    </row>
    <row r="961" spans="7:25" x14ac:dyDescent="0.35">
      <c r="G961" s="66">
        <v>11</v>
      </c>
      <c r="H961" t="s">
        <v>24</v>
      </c>
      <c r="I961" t="s">
        <v>419</v>
      </c>
      <c r="J961" t="s">
        <v>256</v>
      </c>
      <c r="K961" t="s">
        <v>3</v>
      </c>
      <c r="L961" t="s">
        <v>14</v>
      </c>
      <c r="M961">
        <f t="shared" si="48"/>
        <v>5.6660110338006033</v>
      </c>
      <c r="N961" t="str">
        <f t="shared" si="49"/>
        <v/>
      </c>
      <c r="O961" s="67" cm="1">
        <f t="array" ref="O961">SUMPRODUCT((G961=$G$7:$G$10000)*(M961&lt;$M$7:$M$10000))+1</f>
        <v>36</v>
      </c>
      <c r="P961" s="72"/>
      <c r="Q961">
        <v>13</v>
      </c>
      <c r="R961" t="str">
        <v>ARC</v>
      </c>
      <c r="S961" t="str">
        <v>Dylan Fortune</v>
      </c>
      <c r="T961" t="str">
        <v>NULL</v>
      </c>
      <c r="U961" t="str">
        <v>Away</v>
      </c>
      <c r="V961" t="str">
        <v>LA</v>
      </c>
      <c r="W961">
        <v>5.0332325067246728</v>
      </c>
      <c r="Y961" s="1" cm="1">
        <f t="array" ref="Y961">COUNT(_xlfn._xlws.FILTER($G$7:$G$10000,($I$7:$I$10000=X961)*($J$7:$J$10000&lt;&gt;"NULL")*($G$7:$G$10000 &gt;= ($G$1-5))))/5</f>
        <v>0</v>
      </c>
    </row>
    <row r="962" spans="7:25" x14ac:dyDescent="0.35">
      <c r="G962" s="66">
        <v>11</v>
      </c>
      <c r="H962" t="s">
        <v>2</v>
      </c>
      <c r="I962" t="s">
        <v>213</v>
      </c>
      <c r="J962" t="s">
        <v>256</v>
      </c>
      <c r="K962" t="s">
        <v>9</v>
      </c>
      <c r="L962" t="s">
        <v>13</v>
      </c>
      <c r="M962">
        <f t="shared" si="48"/>
        <v>5.4415086124494945</v>
      </c>
      <c r="N962" t="str">
        <f t="shared" si="49"/>
        <v/>
      </c>
      <c r="O962" s="67" cm="1">
        <f t="array" ref="O962">SUMPRODUCT((G962=$G$7:$G$10000)*(M962&lt;$M$7:$M$10000))+1</f>
        <v>37</v>
      </c>
      <c r="P962" s="72"/>
      <c r="Q962">
        <v>13</v>
      </c>
      <c r="R962" t="str">
        <v>ARC</v>
      </c>
      <c r="S962" t="str">
        <v>Sam Golla</v>
      </c>
      <c r="T962" t="str">
        <v>NULL</v>
      </c>
      <c r="U962" t="str">
        <v>Away</v>
      </c>
      <c r="V962" t="str">
        <v>LA</v>
      </c>
      <c r="W962">
        <v>4.9168533555482981</v>
      </c>
      <c r="Y962" s="1" cm="1">
        <f t="array" ref="Y962">COUNT(_xlfn._xlws.FILTER($G$7:$G$10000,($I$7:$I$10000=X962)*($J$7:$J$10000&lt;&gt;"NULL")*($G$7:$G$10000 &gt;= ($G$1-5))))/5</f>
        <v>0</v>
      </c>
    </row>
    <row r="963" spans="7:25" x14ac:dyDescent="0.35">
      <c r="G963" s="66">
        <v>11</v>
      </c>
      <c r="H963" t="s">
        <v>6</v>
      </c>
      <c r="I963" t="s">
        <v>417</v>
      </c>
      <c r="J963" t="s">
        <v>256</v>
      </c>
      <c r="K963" t="s">
        <v>3</v>
      </c>
      <c r="L963" t="s">
        <v>34</v>
      </c>
      <c r="M963">
        <f t="shared" si="48"/>
        <v>5.436965942257725</v>
      </c>
      <c r="N963" t="str">
        <f t="shared" si="49"/>
        <v/>
      </c>
      <c r="O963" s="67" cm="1">
        <f t="array" ref="O963">SUMPRODUCT((G963=$G$7:$G$10000)*(M963&lt;$M$7:$M$10000))+1</f>
        <v>38</v>
      </c>
      <c r="P963" s="72"/>
      <c r="Q963">
        <v>13</v>
      </c>
      <c r="R963" t="str">
        <v>ARC</v>
      </c>
      <c r="S963" t="str">
        <v>Viliami Vuli</v>
      </c>
      <c r="T963" t="str">
        <v>NULL</v>
      </c>
      <c r="U963" t="str">
        <v>Away</v>
      </c>
      <c r="V963" t="str">
        <v>LA</v>
      </c>
      <c r="W963">
        <v>4.8587835209601273</v>
      </c>
      <c r="Y963" s="1" cm="1">
        <f t="array" ref="Y963">COUNT(_xlfn._xlws.FILTER($G$7:$G$10000,($I$7:$I$10000=X963)*($J$7:$J$10000&lt;&gt;"NULL")*($G$7:$G$10000 &gt;= ($G$1-5))))/5</f>
        <v>0</v>
      </c>
    </row>
    <row r="964" spans="7:25" x14ac:dyDescent="0.35">
      <c r="G964" s="66">
        <v>11</v>
      </c>
      <c r="H964" t="s">
        <v>24</v>
      </c>
      <c r="I964" t="s">
        <v>465</v>
      </c>
      <c r="J964" t="s">
        <v>256</v>
      </c>
      <c r="K964" t="s">
        <v>3</v>
      </c>
      <c r="L964" t="s">
        <v>14</v>
      </c>
      <c r="M964">
        <f t="shared" si="48"/>
        <v>5.4303250299539982</v>
      </c>
      <c r="N964" t="str">
        <f t="shared" si="49"/>
        <v/>
      </c>
      <c r="O964" s="67" cm="1">
        <f t="array" ref="O964">SUMPRODUCT((G964=$G$7:$G$10000)*(M964&lt;$M$7:$M$10000))+1</f>
        <v>39</v>
      </c>
      <c r="P964" s="72"/>
      <c r="Q964">
        <v>13</v>
      </c>
      <c r="R964" t="str">
        <v>HOU</v>
      </c>
      <c r="S964" t="str">
        <v>Marno Redelinghuys</v>
      </c>
      <c r="T964" t="str">
        <v>NULL</v>
      </c>
      <c r="U964" t="str">
        <v>Away</v>
      </c>
      <c r="V964" t="str">
        <v>SDL</v>
      </c>
      <c r="W964">
        <v>4.854875935440198</v>
      </c>
      <c r="Y964" s="1" cm="1">
        <f t="array" ref="Y964">COUNT(_xlfn._xlws.FILTER($G$7:$G$10000,($I$7:$I$10000=X964)*($J$7:$J$10000&lt;&gt;"NULL")*($G$7:$G$10000 &gt;= ($G$1-5))))/5</f>
        <v>0</v>
      </c>
    </row>
    <row r="965" spans="7:25" x14ac:dyDescent="0.35">
      <c r="G965" s="66">
        <v>11</v>
      </c>
      <c r="H965" t="s">
        <v>7</v>
      </c>
      <c r="I965" t="s">
        <v>202</v>
      </c>
      <c r="J965" t="s">
        <v>256</v>
      </c>
      <c r="K965" t="s">
        <v>9</v>
      </c>
      <c r="L965" t="s">
        <v>36</v>
      </c>
      <c r="M965">
        <f t="shared" si="48"/>
        <v>5.4191656591631254</v>
      </c>
      <c r="N965" t="str">
        <f t="shared" si="49"/>
        <v/>
      </c>
      <c r="O965" s="67" cm="1">
        <f t="array" ref="O965">SUMPRODUCT((G965=$G$7:$G$10000)*(M965&lt;$M$7:$M$10000))+1</f>
        <v>40</v>
      </c>
      <c r="P965" s="72"/>
      <c r="Q965">
        <v>13</v>
      </c>
      <c r="R965" t="str">
        <v>UTAH</v>
      </c>
      <c r="S965" t="str">
        <v>Gavin Thornbury</v>
      </c>
      <c r="T965" t="str">
        <v>NULL</v>
      </c>
      <c r="U965" t="str">
        <v>Home</v>
      </c>
      <c r="V965" t="str">
        <v>SEA</v>
      </c>
      <c r="W965">
        <v>4.777591338995224</v>
      </c>
      <c r="Y965" s="1" cm="1">
        <f t="array" ref="Y965">COUNT(_xlfn._xlws.FILTER($G$7:$G$10000,($I$7:$I$10000=X965)*($J$7:$J$10000&lt;&gt;"NULL")*($G$7:$G$10000 &gt;= ($G$1-5))))/5</f>
        <v>0</v>
      </c>
    </row>
    <row r="966" spans="7:25" x14ac:dyDescent="0.35">
      <c r="G966" s="66">
        <v>11</v>
      </c>
      <c r="H966" t="s">
        <v>4</v>
      </c>
      <c r="I966" t="s">
        <v>434</v>
      </c>
      <c r="J966" t="s">
        <v>256</v>
      </c>
      <c r="K966" t="s">
        <v>3</v>
      </c>
      <c r="L966" t="s">
        <v>17</v>
      </c>
      <c r="M966">
        <f t="shared" si="48"/>
        <v>5.3965176003957378</v>
      </c>
      <c r="N966" t="str">
        <f t="shared" si="49"/>
        <v/>
      </c>
      <c r="O966" s="67" cm="1">
        <f t="array" ref="O966">SUMPRODUCT((G966=$G$7:$G$10000)*(M966&lt;$M$7:$M$10000))+1</f>
        <v>41</v>
      </c>
      <c r="P966" s="72"/>
      <c r="Q966">
        <v>13</v>
      </c>
      <c r="R966" t="str">
        <v>SDL</v>
      </c>
      <c r="S966" t="str">
        <v>Jimmy Hokafonu</v>
      </c>
      <c r="T966" t="str">
        <v>NULL</v>
      </c>
      <c r="U966" t="str">
        <v>Home</v>
      </c>
      <c r="V966" t="str">
        <v>HOU</v>
      </c>
      <c r="W966">
        <v>4.641036928726189</v>
      </c>
      <c r="Y966" s="1" cm="1">
        <f t="array" ref="Y966">COUNT(_xlfn._xlws.FILTER($G$7:$G$10000,($I$7:$I$10000=X966)*($J$7:$J$10000&lt;&gt;"NULL")*($G$7:$G$10000 &gt;= ($G$1-5))))/5</f>
        <v>0</v>
      </c>
    </row>
    <row r="967" spans="7:25" x14ac:dyDescent="0.35">
      <c r="G967" s="66">
        <v>11</v>
      </c>
      <c r="H967" t="s">
        <v>13</v>
      </c>
      <c r="I967" t="s">
        <v>120</v>
      </c>
      <c r="J967" t="s">
        <v>256</v>
      </c>
      <c r="K967" t="s">
        <v>3</v>
      </c>
      <c r="L967" t="s">
        <v>2</v>
      </c>
      <c r="M967">
        <f t="shared" si="48"/>
        <v>5.2505407753961473</v>
      </c>
      <c r="N967" t="str">
        <f t="shared" si="49"/>
        <v/>
      </c>
      <c r="O967" s="67" cm="1">
        <f t="array" ref="O967">SUMPRODUCT((G967=$G$7:$G$10000)*(M967&lt;$M$7:$M$10000))+1</f>
        <v>42</v>
      </c>
      <c r="P967" s="72"/>
      <c r="Q967">
        <v>13</v>
      </c>
      <c r="R967" t="str">
        <v>MIA</v>
      </c>
      <c r="S967" t="str">
        <v>Marques Fuala'au</v>
      </c>
      <c r="T967" t="str">
        <v>NULL</v>
      </c>
      <c r="U967" t="str">
        <v>Away</v>
      </c>
      <c r="V967" t="str">
        <v>NOLA</v>
      </c>
      <c r="W967">
        <v>4.5942936116061848</v>
      </c>
      <c r="Y967" s="1" cm="1">
        <f t="array" ref="Y967">COUNT(_xlfn._xlws.FILTER($G$7:$G$10000,($I$7:$I$10000=X967)*($J$7:$J$10000&lt;&gt;"NULL")*($G$7:$G$10000 &gt;= ($G$1-5))))/5</f>
        <v>0</v>
      </c>
    </row>
    <row r="968" spans="7:25" x14ac:dyDescent="0.35">
      <c r="G968" s="66">
        <v>11</v>
      </c>
      <c r="H968" t="s">
        <v>14</v>
      </c>
      <c r="I968" t="s">
        <v>203</v>
      </c>
      <c r="J968" t="s">
        <v>256</v>
      </c>
      <c r="K968" t="s">
        <v>9</v>
      </c>
      <c r="L968" t="s">
        <v>24</v>
      </c>
      <c r="M968">
        <f t="shared" si="48"/>
        <v>5.2135909685196964</v>
      </c>
      <c r="N968" t="str">
        <f t="shared" si="49"/>
        <v/>
      </c>
      <c r="O968" s="67" cm="1">
        <f t="array" ref="O968">SUMPRODUCT((G968=$G$7:$G$10000)*(M968&lt;$M$7:$M$10000))+1</f>
        <v>43</v>
      </c>
      <c r="P968" s="72"/>
      <c r="Q968">
        <v>13</v>
      </c>
      <c r="R968" t="str">
        <v>MIA</v>
      </c>
      <c r="S968" t="str">
        <v>Ma'ake Muti</v>
      </c>
      <c r="T968" t="str">
        <v>NULL</v>
      </c>
      <c r="U968" t="str">
        <v>Away</v>
      </c>
      <c r="V968" t="str">
        <v>NOLA</v>
      </c>
      <c r="W968">
        <v>4.4472698891783349</v>
      </c>
      <c r="Y968" s="1" cm="1">
        <f t="array" ref="Y968">COUNT(_xlfn._xlws.FILTER($G$7:$G$10000,($I$7:$I$10000=X968)*($J$7:$J$10000&lt;&gt;"NULL")*($G$7:$G$10000 &gt;= ($G$1-5))))/5</f>
        <v>0</v>
      </c>
    </row>
    <row r="969" spans="7:25" x14ac:dyDescent="0.35">
      <c r="G969" s="66">
        <v>11</v>
      </c>
      <c r="H969" t="s">
        <v>14</v>
      </c>
      <c r="I969" t="s">
        <v>107</v>
      </c>
      <c r="J969" t="s">
        <v>256</v>
      </c>
      <c r="K969" t="s">
        <v>9</v>
      </c>
      <c r="L969" t="s">
        <v>24</v>
      </c>
      <c r="M969">
        <f t="shared" si="48"/>
        <v>5.0972118173433216</v>
      </c>
      <c r="N969" t="str">
        <f t="shared" si="49"/>
        <v/>
      </c>
      <c r="O969" s="67" cm="1">
        <f t="array" ref="O969">SUMPRODUCT((G969=$G$7:$G$10000)*(M969&lt;$M$7:$M$10000))+1</f>
        <v>44</v>
      </c>
      <c r="P969" s="72"/>
      <c r="Q969">
        <v>13</v>
      </c>
      <c r="R969" t="str">
        <v>SDL</v>
      </c>
      <c r="S969" t="str">
        <v>Payton Telea-Ilalio</v>
      </c>
      <c r="T969" t="str">
        <v>NULL</v>
      </c>
      <c r="U969" t="str">
        <v>Home</v>
      </c>
      <c r="V969" t="str">
        <v>HOU</v>
      </c>
      <c r="W969">
        <v>4.4196324466111658</v>
      </c>
      <c r="Y969" s="1" cm="1">
        <f t="array" ref="Y969">COUNT(_xlfn._xlws.FILTER($G$7:$G$10000,($I$7:$I$10000=X969)*($J$7:$J$10000&lt;&gt;"NULL")*($G$7:$G$10000 &gt;= ($G$1-5))))/5</f>
        <v>0</v>
      </c>
    </row>
    <row r="970" spans="7:25" x14ac:dyDescent="0.35">
      <c r="G970" s="66">
        <v>11</v>
      </c>
      <c r="H970" t="s">
        <v>14</v>
      </c>
      <c r="I970" t="s">
        <v>471</v>
      </c>
      <c r="J970" t="s">
        <v>256</v>
      </c>
      <c r="K970" t="s">
        <v>9</v>
      </c>
      <c r="L970" t="s">
        <v>24</v>
      </c>
      <c r="M970">
        <f t="shared" si="48"/>
        <v>5.0391419827551509</v>
      </c>
      <c r="N970" t="str">
        <f t="shared" si="49"/>
        <v/>
      </c>
      <c r="O970" s="67" cm="1">
        <f t="array" ref="O970">SUMPRODUCT((G970=$G$7:$G$10000)*(M970&lt;$M$7:$M$10000))+1</f>
        <v>45</v>
      </c>
      <c r="P970" s="72"/>
      <c r="Q970">
        <v>13</v>
      </c>
      <c r="R970" t="str">
        <v>SDL</v>
      </c>
      <c r="S970" t="str">
        <v>Darcy Breen</v>
      </c>
      <c r="T970" t="str">
        <v>NULL</v>
      </c>
      <c r="U970" t="str">
        <v>Home</v>
      </c>
      <c r="V970" t="str">
        <v>HOU</v>
      </c>
      <c r="W970">
        <v>4.3192234532693545</v>
      </c>
      <c r="Y970" s="1" cm="1">
        <f t="array" ref="Y970">COUNT(_xlfn._xlws.FILTER($G$7:$G$10000,($I$7:$I$10000=X970)*($J$7:$J$10000&lt;&gt;"NULL")*($G$7:$G$10000 &gt;= ($G$1-5))))/5</f>
        <v>0</v>
      </c>
    </row>
    <row r="971" spans="7:25" x14ac:dyDescent="0.35">
      <c r="G971" s="66">
        <v>11</v>
      </c>
      <c r="H971" t="s">
        <v>4</v>
      </c>
      <c r="I971" t="s">
        <v>481</v>
      </c>
      <c r="J971" t="s">
        <v>256</v>
      </c>
      <c r="K971" t="s">
        <v>3</v>
      </c>
      <c r="L971" t="s">
        <v>17</v>
      </c>
      <c r="M971">
        <f t="shared" si="48"/>
        <v>5.0142643253436683</v>
      </c>
      <c r="N971" t="str">
        <f t="shared" si="49"/>
        <v/>
      </c>
      <c r="O971" s="67" cm="1">
        <f t="array" ref="O971">SUMPRODUCT((G971=$G$7:$G$10000)*(M971&lt;$M$7:$M$10000))+1</f>
        <v>46</v>
      </c>
      <c r="P971" s="72"/>
      <c r="Q971">
        <v>13</v>
      </c>
      <c r="R971" t="str">
        <v>NOLA</v>
      </c>
      <c r="S971" t="str">
        <v>Paul Mullen</v>
      </c>
      <c r="T971" t="str">
        <v>NULL</v>
      </c>
      <c r="U971" t="str">
        <v>Home</v>
      </c>
      <c r="V971" t="str">
        <v>MIA</v>
      </c>
      <c r="W971">
        <v>4.2365748476211831</v>
      </c>
      <c r="Y971" s="1" cm="1">
        <f t="array" ref="Y971">COUNT(_xlfn._xlws.FILTER($G$7:$G$10000,($I$7:$I$10000=X971)*($J$7:$J$10000&lt;&gt;"NULL")*($G$7:$G$10000 &gt;= ($G$1-5))))/5</f>
        <v>0</v>
      </c>
    </row>
    <row r="972" spans="7:25" x14ac:dyDescent="0.35">
      <c r="G972" s="66">
        <v>11</v>
      </c>
      <c r="H972" t="s">
        <v>2</v>
      </c>
      <c r="I972" t="s">
        <v>108</v>
      </c>
      <c r="J972" t="s">
        <v>256</v>
      </c>
      <c r="K972" t="s">
        <v>9</v>
      </c>
      <c r="L972" t="s">
        <v>13</v>
      </c>
      <c r="M972">
        <f t="shared" si="48"/>
        <v>4.9948656338646229</v>
      </c>
      <c r="N972" t="str">
        <f t="shared" si="49"/>
        <v/>
      </c>
      <c r="O972" s="67" cm="1">
        <f t="array" ref="O972">SUMPRODUCT((G972=$G$7:$G$10000)*(M972&lt;$M$7:$M$10000))+1</f>
        <v>47</v>
      </c>
      <c r="P972" s="72"/>
      <c r="Q972">
        <v>13</v>
      </c>
      <c r="R972" t="str">
        <v>MIA</v>
      </c>
      <c r="S972" t="str">
        <v>Kirby Myhill</v>
      </c>
      <c r="T972" t="str">
        <v>NULL</v>
      </c>
      <c r="U972" t="str">
        <v>Away</v>
      </c>
      <c r="V972" t="str">
        <v>NOLA</v>
      </c>
      <c r="W972">
        <v>4.1198598509660185</v>
      </c>
      <c r="Y972" s="1" cm="1">
        <f t="array" ref="Y972">COUNT(_xlfn._xlws.FILTER($G$7:$G$10000,($I$7:$I$10000=X972)*($J$7:$J$10000&lt;&gt;"NULL")*($G$7:$G$10000 &gt;= ($G$1-5))))/5</f>
        <v>0</v>
      </c>
    </row>
    <row r="973" spans="7:25" x14ac:dyDescent="0.35">
      <c r="G973" s="66">
        <v>11</v>
      </c>
      <c r="H973" t="s">
        <v>34</v>
      </c>
      <c r="I973" t="s">
        <v>436</v>
      </c>
      <c r="J973" t="s">
        <v>256</v>
      </c>
      <c r="K973" t="s">
        <v>9</v>
      </c>
      <c r="L973" t="s">
        <v>6</v>
      </c>
      <c r="M973">
        <f t="shared" si="48"/>
        <v>4.9619068413287444</v>
      </c>
      <c r="N973" t="str">
        <f t="shared" si="49"/>
        <v/>
      </c>
      <c r="O973" s="67" cm="1">
        <f t="array" ref="O973">SUMPRODUCT((G973=$G$7:$G$10000)*(M973&lt;$M$7:$M$10000))+1</f>
        <v>48</v>
      </c>
      <c r="P973" s="72"/>
      <c r="Q973">
        <v>13</v>
      </c>
      <c r="R973" t="str">
        <v>ARC</v>
      </c>
      <c r="S973" t="str">
        <v>Alex Maughan</v>
      </c>
      <c r="T973" t="str">
        <v>NULL</v>
      </c>
      <c r="U973" t="str">
        <v>Away</v>
      </c>
      <c r="V973" t="str">
        <v>LA</v>
      </c>
      <c r="W973">
        <v>4.1101976742831212</v>
      </c>
      <c r="Y973" s="1" cm="1">
        <f t="array" ref="Y973">COUNT(_xlfn._xlws.FILTER($G$7:$G$10000,($I$7:$I$10000=X973)*($J$7:$J$10000&lt;&gt;"NULL")*($G$7:$G$10000 &gt;= ($G$1-5))))/5</f>
        <v>0</v>
      </c>
    </row>
    <row r="974" spans="7:25" x14ac:dyDescent="0.35">
      <c r="G974" s="66">
        <v>11</v>
      </c>
      <c r="H974" t="s">
        <v>4</v>
      </c>
      <c r="I974" t="s">
        <v>109</v>
      </c>
      <c r="J974" t="s">
        <v>256</v>
      </c>
      <c r="K974" t="s">
        <v>3</v>
      </c>
      <c r="L974" t="s">
        <v>17</v>
      </c>
      <c r="M974">
        <f t="shared" si="48"/>
        <v>4.8360384127866816</v>
      </c>
      <c r="N974" t="str">
        <f t="shared" si="49"/>
        <v/>
      </c>
      <c r="O974" s="67" cm="1">
        <f t="array" ref="O974">SUMPRODUCT((G974=$G$7:$G$10000)*(M974&lt;$M$7:$M$10000))+1</f>
        <v>49</v>
      </c>
      <c r="P974" s="72"/>
      <c r="Q974">
        <v>13</v>
      </c>
      <c r="R974" t="str">
        <v>UTAH</v>
      </c>
      <c r="S974" t="str">
        <v>Kalisi Moli</v>
      </c>
      <c r="T974" t="str">
        <v>NULL</v>
      </c>
      <c r="U974" t="str">
        <v>Home</v>
      </c>
      <c r="V974" t="str">
        <v>SEA</v>
      </c>
      <c r="W974">
        <v>4.0921425010823</v>
      </c>
      <c r="Y974" s="1" cm="1">
        <f t="array" ref="Y974">COUNT(_xlfn._xlws.FILTER($G$7:$G$10000,($I$7:$I$10000=X974)*($J$7:$J$10000&lt;&gt;"NULL")*($G$7:$G$10000 &gt;= ($G$1-5))))/5</f>
        <v>0</v>
      </c>
    </row>
    <row r="975" spans="7:25" x14ac:dyDescent="0.35">
      <c r="G975" s="66">
        <v>11</v>
      </c>
      <c r="H975" t="s">
        <v>2</v>
      </c>
      <c r="I975" t="s">
        <v>115</v>
      </c>
      <c r="J975" t="s">
        <v>256</v>
      </c>
      <c r="K975" t="s">
        <v>9</v>
      </c>
      <c r="L975" t="s">
        <v>13</v>
      </c>
      <c r="M975">
        <f t="shared" si="48"/>
        <v>4.7845584693259697</v>
      </c>
      <c r="N975" t="str">
        <f t="shared" si="49"/>
        <v/>
      </c>
      <c r="O975" s="67" cm="1">
        <f t="array" ref="O975">SUMPRODUCT((G975=$G$7:$G$10000)*(M975&lt;$M$7:$M$10000))+1</f>
        <v>50</v>
      </c>
      <c r="P975" s="72"/>
      <c r="Q975">
        <v>13</v>
      </c>
      <c r="R975" t="str">
        <v>NOLA</v>
      </c>
      <c r="S975" t="str">
        <v>Matt Harmon</v>
      </c>
      <c r="T975" t="str">
        <v>NULL</v>
      </c>
      <c r="U975" t="str">
        <v>Home</v>
      </c>
      <c r="V975" t="str">
        <v>MIA</v>
      </c>
      <c r="W975">
        <v>3.8551314505224799</v>
      </c>
      <c r="Y975" s="1" cm="1">
        <f t="array" ref="Y975">COUNT(_xlfn._xlws.FILTER($G$7:$G$10000,($I$7:$I$10000=X975)*($J$7:$J$10000&lt;&gt;"NULL")*($G$7:$G$10000 &gt;= ($G$1-5))))/5</f>
        <v>0</v>
      </c>
    </row>
    <row r="976" spans="7:25" x14ac:dyDescent="0.35">
      <c r="G976" s="66">
        <v>11</v>
      </c>
      <c r="H976" t="s">
        <v>17</v>
      </c>
      <c r="I976" t="s">
        <v>149</v>
      </c>
      <c r="J976" t="s">
        <v>256</v>
      </c>
      <c r="K976" t="s">
        <v>9</v>
      </c>
      <c r="L976" t="s">
        <v>4</v>
      </c>
      <c r="M976">
        <f t="shared" si="48"/>
        <v>4.7790481574530137</v>
      </c>
      <c r="N976" t="str">
        <f t="shared" si="49"/>
        <v/>
      </c>
      <c r="O976" s="67" cm="1">
        <f t="array" ref="O976">SUMPRODUCT((G976=$G$7:$G$10000)*(M976&lt;$M$7:$M$10000))+1</f>
        <v>51</v>
      </c>
      <c r="P976" s="72"/>
      <c r="Q976">
        <v>13</v>
      </c>
      <c r="R976" t="str">
        <v>ARC</v>
      </c>
      <c r="S976" t="str">
        <v>Ethan Howard</v>
      </c>
      <c r="T976" t="str">
        <v>NULL</v>
      </c>
      <c r="U976" t="str">
        <v>Away</v>
      </c>
      <c r="V976" t="str">
        <v>LA</v>
      </c>
      <c r="W976">
        <v>3.7614378343108639</v>
      </c>
      <c r="Y976" s="1" cm="1">
        <f t="array" ref="Y976">COUNT(_xlfn._xlws.FILTER($G$7:$G$10000,($I$7:$I$10000=X976)*($J$7:$J$10000&lt;&gt;"NULL")*($G$7:$G$10000 &gt;= ($G$1-5))))/5</f>
        <v>0</v>
      </c>
    </row>
    <row r="977" spans="7:25" x14ac:dyDescent="0.35">
      <c r="G977" s="66">
        <v>11</v>
      </c>
      <c r="H977" t="s">
        <v>13</v>
      </c>
      <c r="I977" t="s">
        <v>469</v>
      </c>
      <c r="J977" t="s">
        <v>256</v>
      </c>
      <c r="K977" t="s">
        <v>3</v>
      </c>
      <c r="L977" t="s">
        <v>2</v>
      </c>
      <c r="M977">
        <f t="shared" si="48"/>
        <v>4.7602408296045589</v>
      </c>
      <c r="N977" t="str">
        <f t="shared" si="49"/>
        <v/>
      </c>
      <c r="O977" s="67" cm="1">
        <f t="array" ref="O977">SUMPRODUCT((G977=$G$7:$G$10000)*(M977&lt;$M$7:$M$10000))+1</f>
        <v>52</v>
      </c>
      <c r="P977" s="72"/>
      <c r="Q977">
        <v>13</v>
      </c>
      <c r="R977" t="str">
        <v>ARC</v>
      </c>
      <c r="S977" t="str">
        <v>Mikey Grandy</v>
      </c>
      <c r="T977" t="str">
        <v>NULL</v>
      </c>
      <c r="U977" t="str">
        <v>Away</v>
      </c>
      <c r="V977" t="str">
        <v>LA</v>
      </c>
      <c r="W977">
        <v>3.7452157494779756</v>
      </c>
      <c r="Y977" s="1" cm="1">
        <f t="array" ref="Y977">COUNT(_xlfn._xlws.FILTER($G$7:$G$10000,($I$7:$I$10000=X977)*($J$7:$J$10000&lt;&gt;"NULL")*($G$7:$G$10000 &gt;= ($G$1-5))))/5</f>
        <v>0</v>
      </c>
    </row>
    <row r="978" spans="7:25" x14ac:dyDescent="0.35">
      <c r="G978" s="66">
        <v>11</v>
      </c>
      <c r="H978" t="s">
        <v>6</v>
      </c>
      <c r="I978" t="s">
        <v>416</v>
      </c>
      <c r="J978" t="s">
        <v>256</v>
      </c>
      <c r="K978" t="s">
        <v>3</v>
      </c>
      <c r="L978" t="s">
        <v>34</v>
      </c>
      <c r="M978">
        <f t="shared" si="48"/>
        <v>4.7465642451804673</v>
      </c>
      <c r="N978" t="str">
        <f t="shared" si="49"/>
        <v/>
      </c>
      <c r="O978" s="67" cm="1">
        <f t="array" ref="O978">SUMPRODUCT((G978=$G$7:$G$10000)*(M978&lt;$M$7:$M$10000))+1</f>
        <v>53</v>
      </c>
      <c r="P978" s="72"/>
      <c r="Q978">
        <v>13</v>
      </c>
      <c r="R978" t="str">
        <v>ARC</v>
      </c>
      <c r="S978" t="str">
        <v>Jake Turnbull</v>
      </c>
      <c r="T978" t="str">
        <v>NULL</v>
      </c>
      <c r="U978" t="str">
        <v>Away</v>
      </c>
      <c r="V978" t="str">
        <v>LA</v>
      </c>
      <c r="W978">
        <v>3.7339656650048223</v>
      </c>
      <c r="Y978" s="1" cm="1">
        <f t="array" ref="Y978">COUNT(_xlfn._xlws.FILTER($G$7:$G$10000,($I$7:$I$10000=X978)*($J$7:$J$10000&lt;&gt;"NULL")*($G$7:$G$10000 &gt;= ($G$1-5))))/5</f>
        <v>0</v>
      </c>
    </row>
    <row r="979" spans="7:25" x14ac:dyDescent="0.35">
      <c r="G979" s="66">
        <v>11</v>
      </c>
      <c r="H979" t="s">
        <v>34</v>
      </c>
      <c r="I979" t="s">
        <v>177</v>
      </c>
      <c r="J979" t="s">
        <v>256</v>
      </c>
      <c r="K979" t="s">
        <v>9</v>
      </c>
      <c r="L979" t="s">
        <v>6</v>
      </c>
      <c r="M979">
        <f t="shared" si="48"/>
        <v>4.7405023592137212</v>
      </c>
      <c r="N979" t="str">
        <f t="shared" si="49"/>
        <v/>
      </c>
      <c r="O979" s="67" cm="1">
        <f t="array" ref="O979">SUMPRODUCT((G979=$G$7:$G$10000)*(M979&lt;$M$7:$M$10000))+1</f>
        <v>54</v>
      </c>
      <c r="P979" s="72"/>
      <c r="Q979">
        <v>13</v>
      </c>
      <c r="R979" t="str">
        <v>HOU</v>
      </c>
      <c r="S979" t="str">
        <v>Pono Davis</v>
      </c>
      <c r="T979" t="str">
        <v>NULL</v>
      </c>
      <c r="U979" t="str">
        <v>Away</v>
      </c>
      <c r="V979" t="str">
        <v>SDL</v>
      </c>
      <c r="W979">
        <v>3.7036815281300797</v>
      </c>
      <c r="Y979" s="1" cm="1">
        <f t="array" ref="Y979">COUNT(_xlfn._xlws.FILTER($G$7:$G$10000,($I$7:$I$10000=X979)*($J$7:$J$10000&lt;&gt;"NULL")*($G$7:$G$10000 &gt;= ($G$1-5))))/5</f>
        <v>0</v>
      </c>
    </row>
    <row r="980" spans="7:25" x14ac:dyDescent="0.35">
      <c r="G980" s="66">
        <v>11</v>
      </c>
      <c r="H980" t="s">
        <v>34</v>
      </c>
      <c r="I980" t="s">
        <v>153</v>
      </c>
      <c r="J980" t="s">
        <v>256</v>
      </c>
      <c r="K980" t="s">
        <v>9</v>
      </c>
      <c r="L980" t="s">
        <v>6</v>
      </c>
      <c r="M980">
        <f t="shared" si="48"/>
        <v>4.6400933658719099</v>
      </c>
      <c r="N980" t="str">
        <f t="shared" si="49"/>
        <v/>
      </c>
      <c r="O980" s="67" cm="1">
        <f t="array" ref="O980">SUMPRODUCT((G980=$G$7:$G$10000)*(M980&lt;$M$7:$M$10000))+1</f>
        <v>55</v>
      </c>
      <c r="P980" s="72"/>
      <c r="Q980">
        <v>13</v>
      </c>
      <c r="R980" t="str">
        <v>HOU</v>
      </c>
      <c r="S980" t="str">
        <v>Ronan Murphy</v>
      </c>
      <c r="T980" t="str">
        <v>NULL</v>
      </c>
      <c r="U980" t="str">
        <v>Away</v>
      </c>
      <c r="V980" t="str">
        <v>SDL</v>
      </c>
      <c r="W980">
        <v>3.6526536797558116</v>
      </c>
      <c r="Y980" s="1" cm="1">
        <f t="array" ref="Y980">COUNT(_xlfn._xlws.FILTER($G$7:$G$10000,($I$7:$I$10000=X980)*($J$7:$J$10000&lt;&gt;"NULL")*($G$7:$G$10000 &gt;= ($G$1-5))))/5</f>
        <v>0</v>
      </c>
    </row>
    <row r="981" spans="7:25" x14ac:dyDescent="0.35">
      <c r="G981" s="66">
        <v>11</v>
      </c>
      <c r="H981" t="s">
        <v>17</v>
      </c>
      <c r="I981" t="s">
        <v>105</v>
      </c>
      <c r="J981" t="s">
        <v>256</v>
      </c>
      <c r="K981" t="s">
        <v>9</v>
      </c>
      <c r="L981" t="s">
        <v>4</v>
      </c>
      <c r="M981">
        <f t="shared" si="48"/>
        <v>4.4099764645043944</v>
      </c>
      <c r="N981" t="str">
        <f t="shared" si="49"/>
        <v/>
      </c>
      <c r="O981" s="67" cm="1">
        <f t="array" ref="O981">SUMPRODUCT((G981=$G$7:$G$10000)*(M981&lt;$M$7:$M$10000))+1</f>
        <v>56</v>
      </c>
      <c r="P981" s="72"/>
      <c r="Q981">
        <v>13</v>
      </c>
      <c r="R981" t="str">
        <v>NOLA</v>
      </c>
      <c r="S981" t="str">
        <v>Callum Botchar</v>
      </c>
      <c r="T981" t="str">
        <v>NULL</v>
      </c>
      <c r="U981" t="str">
        <v>Home</v>
      </c>
      <c r="V981" t="str">
        <v>MIA</v>
      </c>
      <c r="W981">
        <v>3.4510535256771062</v>
      </c>
      <c r="Y981" s="1" cm="1">
        <f t="array" ref="Y981">COUNT(_xlfn._xlws.FILTER($G$7:$G$10000,($I$7:$I$10000=X981)*($J$7:$J$10000&lt;&gt;"NULL")*($G$7:$G$10000 &gt;= ($G$1-5))))/5</f>
        <v>0</v>
      </c>
    </row>
    <row r="982" spans="7:25" x14ac:dyDescent="0.35">
      <c r="G982" s="66">
        <v>11</v>
      </c>
      <c r="H982" t="s">
        <v>14</v>
      </c>
      <c r="I982" t="s">
        <v>143</v>
      </c>
      <c r="J982" t="s">
        <v>256</v>
      </c>
      <c r="K982" t="s">
        <v>9</v>
      </c>
      <c r="L982" t="s">
        <v>24</v>
      </c>
      <c r="M982">
        <f t="shared" si="48"/>
        <v>4.2905561360781448</v>
      </c>
      <c r="N982" t="str">
        <f t="shared" si="49"/>
        <v/>
      </c>
      <c r="O982" s="67" cm="1">
        <f t="array" ref="O982">SUMPRODUCT((G982=$G$7:$G$10000)*(M982&lt;$M$7:$M$10000))+1</f>
        <v>57</v>
      </c>
      <c r="P982" s="72"/>
      <c r="Q982">
        <v>13</v>
      </c>
      <c r="R982" t="str">
        <v>NEFJ</v>
      </c>
      <c r="S982" t="str">
        <v>Malakai Hala-Ngatai</v>
      </c>
      <c r="T982" t="str">
        <v>NULL</v>
      </c>
      <c r="U982" t="str">
        <v>Home</v>
      </c>
      <c r="V982" t="str">
        <v>CHI</v>
      </c>
      <c r="W982">
        <v>3.3906784461356771</v>
      </c>
      <c r="Y982" s="1" cm="1">
        <f t="array" ref="Y982">COUNT(_xlfn._xlws.FILTER($G$7:$G$10000,($I$7:$I$10000=X982)*($J$7:$J$10000&lt;&gt;"NULL")*($G$7:$G$10000 &gt;= ($G$1-5))))/5</f>
        <v>0</v>
      </c>
    </row>
    <row r="983" spans="7:25" x14ac:dyDescent="0.35">
      <c r="G983" s="66">
        <v>11</v>
      </c>
      <c r="H983" t="s">
        <v>2</v>
      </c>
      <c r="I983" t="s">
        <v>174</v>
      </c>
      <c r="J983" t="s">
        <v>256</v>
      </c>
      <c r="K983" t="s">
        <v>9</v>
      </c>
      <c r="L983" t="s">
        <v>13</v>
      </c>
      <c r="M983">
        <f t="shared" si="48"/>
        <v>4.2295197344600872</v>
      </c>
      <c r="N983" t="str">
        <f t="shared" si="49"/>
        <v/>
      </c>
      <c r="O983" s="67" cm="1">
        <f t="array" ref="O983">SUMPRODUCT((G983=$G$7:$G$10000)*(M983&lt;$M$7:$M$10000))+1</f>
        <v>58</v>
      </c>
      <c r="P983" s="72"/>
      <c r="Q983">
        <v>13</v>
      </c>
      <c r="R983" t="str">
        <v>HOU</v>
      </c>
      <c r="S983" t="str">
        <v>Seth Smith</v>
      </c>
      <c r="T983" t="str">
        <v>NULL</v>
      </c>
      <c r="U983" t="str">
        <v>Away</v>
      </c>
      <c r="V983" t="str">
        <v>SDL</v>
      </c>
      <c r="W983">
        <v>3.3596506004334152</v>
      </c>
      <c r="Y983" s="1" cm="1">
        <f t="array" ref="Y983">COUNT(_xlfn._xlws.FILTER($G$7:$G$10000,($I$7:$I$10000=X983)*($J$7:$J$10000&lt;&gt;"NULL")*($G$7:$G$10000 &gt;= ($G$1-5))))/5</f>
        <v>0</v>
      </c>
    </row>
    <row r="984" spans="7:25" x14ac:dyDescent="0.35">
      <c r="G984" s="66">
        <v>11</v>
      </c>
      <c r="H984" t="s">
        <v>24</v>
      </c>
      <c r="I984" t="s">
        <v>422</v>
      </c>
      <c r="J984" t="s">
        <v>256</v>
      </c>
      <c r="K984" t="s">
        <v>3</v>
      </c>
      <c r="L984" t="s">
        <v>14</v>
      </c>
      <c r="M984">
        <f t="shared" si="48"/>
        <v>4.1605782242081677</v>
      </c>
      <c r="N984" t="str">
        <f t="shared" si="49"/>
        <v/>
      </c>
      <c r="O984" s="67" cm="1">
        <f t="array" ref="O984">SUMPRODUCT((G984=$G$7:$G$10000)*(M984&lt;$M$7:$M$10000))+1</f>
        <v>59</v>
      </c>
      <c r="P984" s="72"/>
      <c r="Q984">
        <v>13</v>
      </c>
      <c r="R984" t="str">
        <v>NEFJ</v>
      </c>
      <c r="S984" t="str">
        <v>Wian Conradie</v>
      </c>
      <c r="T984" t="str">
        <v>NULL</v>
      </c>
      <c r="U984" t="str">
        <v>Home</v>
      </c>
      <c r="V984" t="str">
        <v>CHI</v>
      </c>
      <c r="W984">
        <v>3.151567593271583</v>
      </c>
      <c r="Y984" s="1" cm="1">
        <f t="array" ref="Y984">COUNT(_xlfn._xlws.FILTER($G$7:$G$10000,($I$7:$I$10000=X984)*($J$7:$J$10000&lt;&gt;"NULL")*($G$7:$G$10000 &gt;= ($G$1-5))))/5</f>
        <v>0</v>
      </c>
    </row>
    <row r="985" spans="7:25" x14ac:dyDescent="0.35">
      <c r="G985" s="66">
        <v>11</v>
      </c>
      <c r="H985" t="s">
        <v>36</v>
      </c>
      <c r="I985" t="s">
        <v>205</v>
      </c>
      <c r="J985" t="s">
        <v>256</v>
      </c>
      <c r="K985" t="s">
        <v>3</v>
      </c>
      <c r="L985" t="s">
        <v>7</v>
      </c>
      <c r="M985">
        <f t="shared" si="48"/>
        <v>4.1495917572753207</v>
      </c>
      <c r="N985" t="str">
        <f t="shared" si="49"/>
        <v/>
      </c>
      <c r="O985" s="67" cm="1">
        <f t="array" ref="O985">SUMPRODUCT((G985=$G$7:$G$10000)*(M985&lt;$M$7:$M$10000))+1</f>
        <v>60</v>
      </c>
      <c r="P985" s="72"/>
      <c r="Q985">
        <v>13</v>
      </c>
      <c r="R985" t="str">
        <v>NOLA</v>
      </c>
      <c r="S985" t="str">
        <v>Cam Dolan</v>
      </c>
      <c r="T985" t="str">
        <v>NULL</v>
      </c>
      <c r="U985" t="str">
        <v>Home</v>
      </c>
      <c r="V985" t="str">
        <v>MIA</v>
      </c>
      <c r="W985">
        <v>3.1303074418135592</v>
      </c>
      <c r="Y985" s="1" cm="1">
        <f t="array" ref="Y985">COUNT(_xlfn._xlws.FILTER($G$7:$G$10000,($I$7:$I$10000=X985)*($J$7:$J$10000&lt;&gt;"NULL")*($G$7:$G$10000 &gt;= ($G$1-5))))/5</f>
        <v>0</v>
      </c>
    </row>
    <row r="986" spans="7:25" x14ac:dyDescent="0.35">
      <c r="G986" s="66">
        <v>11</v>
      </c>
      <c r="H986" t="s">
        <v>17</v>
      </c>
      <c r="I986" t="s">
        <v>483</v>
      </c>
      <c r="J986" t="s">
        <v>256</v>
      </c>
      <c r="K986" t="s">
        <v>9</v>
      </c>
      <c r="L986" t="s">
        <v>4</v>
      </c>
      <c r="M986">
        <f t="shared" si="48"/>
        <v>4.139214852471115</v>
      </c>
      <c r="N986" t="str">
        <f t="shared" si="49"/>
        <v/>
      </c>
      <c r="O986" s="67" cm="1">
        <f t="array" ref="O986">SUMPRODUCT((G986=$G$7:$G$10000)*(M986&lt;$M$7:$M$10000))+1</f>
        <v>61</v>
      </c>
      <c r="P986" s="72"/>
      <c r="Q986">
        <v>13</v>
      </c>
      <c r="R986" t="str">
        <v>SEA</v>
      </c>
      <c r="S986" t="str">
        <v>Huw Taylor</v>
      </c>
      <c r="T986" t="str">
        <v>NULL</v>
      </c>
      <c r="U986" t="str">
        <v>Away</v>
      </c>
      <c r="V986" t="str">
        <v>UTAH</v>
      </c>
      <c r="W986">
        <v>3.0157192825757462</v>
      </c>
      <c r="Y986" s="1" cm="1">
        <f t="array" ref="Y986">COUNT(_xlfn._xlws.FILTER($G$7:$G$10000,($I$7:$I$10000=X986)*($J$7:$J$10000&lt;&gt;"NULL")*($G$7:$G$10000 &gt;= ($G$1-5))))/5</f>
        <v>0</v>
      </c>
    </row>
    <row r="987" spans="7:25" x14ac:dyDescent="0.35">
      <c r="G987" s="66">
        <v>11</v>
      </c>
      <c r="H987" t="s">
        <v>13</v>
      </c>
      <c r="I987" t="s">
        <v>210</v>
      </c>
      <c r="J987" t="s">
        <v>256</v>
      </c>
      <c r="K987" t="s">
        <v>3</v>
      </c>
      <c r="L987" t="s">
        <v>2</v>
      </c>
      <c r="M987">
        <f t="shared" si="48"/>
        <v>4.0747919916916349</v>
      </c>
      <c r="N987" t="str">
        <f t="shared" si="49"/>
        <v/>
      </c>
      <c r="O987" s="67" cm="1">
        <f t="array" ref="O987">SUMPRODUCT((G987=$G$7:$G$10000)*(M987&lt;$M$7:$M$10000))+1</f>
        <v>62</v>
      </c>
      <c r="P987" s="72"/>
      <c r="Q987">
        <v>13</v>
      </c>
      <c r="R987" t="str">
        <v>ARC</v>
      </c>
      <c r="S987" t="str">
        <v>Shawn Clark</v>
      </c>
      <c r="T987" t="str">
        <v>NULL</v>
      </c>
      <c r="U987" t="str">
        <v>Away</v>
      </c>
      <c r="V987" t="str">
        <v>LA</v>
      </c>
      <c r="W987">
        <v>2.9343696157199703</v>
      </c>
      <c r="Y987" s="1" cm="1">
        <f t="array" ref="Y987">COUNT(_xlfn._xlws.FILTER($G$7:$G$10000,($I$7:$I$10000=X987)*($J$7:$J$10000&lt;&gt;"NULL")*($G$7:$G$10000 &gt;= ($G$1-5))))/5</f>
        <v>0</v>
      </c>
    </row>
    <row r="988" spans="7:25" x14ac:dyDescent="0.35">
      <c r="G988" s="66">
        <v>11</v>
      </c>
      <c r="H988" t="s">
        <v>6</v>
      </c>
      <c r="I988" t="s">
        <v>116</v>
      </c>
      <c r="J988" t="s">
        <v>256</v>
      </c>
      <c r="K988" t="s">
        <v>3</v>
      </c>
      <c r="L988" t="s">
        <v>34</v>
      </c>
      <c r="M988">
        <f t="shared" si="48"/>
        <v>3.9745074095958017</v>
      </c>
      <c r="N988" t="str">
        <f t="shared" si="49"/>
        <v/>
      </c>
      <c r="O988" s="67" cm="1">
        <f t="array" ref="O988">SUMPRODUCT((G988=$G$7:$G$10000)*(M988&lt;$M$7:$M$10000))+1</f>
        <v>63</v>
      </c>
      <c r="P988" s="72"/>
      <c r="Q988">
        <v>13</v>
      </c>
      <c r="R988" t="str">
        <v>ARC</v>
      </c>
      <c r="S988" t="str">
        <v>Joe Apikotoa</v>
      </c>
      <c r="T988" t="str">
        <v>NULL</v>
      </c>
      <c r="U988" t="str">
        <v>Away</v>
      </c>
      <c r="V988" t="str">
        <v>LA</v>
      </c>
      <c r="W988">
        <v>2.9176263252557577</v>
      </c>
      <c r="Y988" s="1" cm="1">
        <f t="array" ref="Y988">COUNT(_xlfn._xlws.FILTER($G$7:$G$10000,($I$7:$I$10000=X988)*($J$7:$J$10000&lt;&gt;"NULL")*($G$7:$G$10000 &gt;= ($G$1-5))))/5</f>
        <v>0</v>
      </c>
    </row>
    <row r="989" spans="7:25" x14ac:dyDescent="0.35">
      <c r="G989" s="66">
        <v>11</v>
      </c>
      <c r="H989" t="s">
        <v>14</v>
      </c>
      <c r="I989" t="s">
        <v>413</v>
      </c>
      <c r="J989" t="s">
        <v>256</v>
      </c>
      <c r="K989" t="s">
        <v>9</v>
      </c>
      <c r="L989" t="s">
        <v>24</v>
      </c>
      <c r="M989">
        <f t="shared" si="48"/>
        <v>3.9417962961058874</v>
      </c>
      <c r="N989" t="str">
        <f t="shared" si="49"/>
        <v/>
      </c>
      <c r="O989" s="67" cm="1">
        <f t="array" ref="O989">SUMPRODUCT((G989=$G$7:$G$10000)*(M989&lt;$M$7:$M$10000))+1</f>
        <v>64</v>
      </c>
      <c r="P989" s="72"/>
      <c r="Q989">
        <v>13</v>
      </c>
      <c r="R989" t="str">
        <v>ARC</v>
      </c>
      <c r="S989" t="str">
        <v>Albert O'Shannessey</v>
      </c>
      <c r="T989" t="str">
        <v>NULL</v>
      </c>
      <c r="U989" t="str">
        <v>Away</v>
      </c>
      <c r="V989" t="str">
        <v>LA</v>
      </c>
      <c r="W989">
        <v>2.7897553391305179</v>
      </c>
      <c r="Y989" s="1" cm="1">
        <f t="array" ref="Y989">COUNT(_xlfn._xlws.FILTER($G$7:$G$10000,($I$7:$I$10000=X989)*($J$7:$J$10000&lt;&gt;"NULL")*($G$7:$G$10000 &gt;= ($G$1-5))))/5</f>
        <v>0</v>
      </c>
    </row>
    <row r="990" spans="7:25" x14ac:dyDescent="0.35">
      <c r="G990" s="66">
        <v>11</v>
      </c>
      <c r="H990" t="s">
        <v>14</v>
      </c>
      <c r="I990" t="s">
        <v>470</v>
      </c>
      <c r="J990" t="s">
        <v>256</v>
      </c>
      <c r="K990" t="s">
        <v>9</v>
      </c>
      <c r="L990" t="s">
        <v>24</v>
      </c>
      <c r="M990">
        <f t="shared" si="48"/>
        <v>3.9255742112729992</v>
      </c>
      <c r="N990" t="str">
        <f t="shared" si="49"/>
        <v/>
      </c>
      <c r="O990" s="67" cm="1">
        <f t="array" ref="O990">SUMPRODUCT((G990=$G$7:$G$10000)*(M990&lt;$M$7:$M$10000))+1</f>
        <v>65</v>
      </c>
      <c r="P990" s="72"/>
      <c r="Q990">
        <v>13</v>
      </c>
      <c r="R990" t="str">
        <v>HOU</v>
      </c>
      <c r="S990" t="str">
        <v>Val Lee-Lo</v>
      </c>
      <c r="T990" t="str">
        <v>NULL</v>
      </c>
      <c r="U990" t="str">
        <v>Away</v>
      </c>
      <c r="V990" t="str">
        <v>SDL</v>
      </c>
      <c r="W990">
        <v>2.7332455739262098</v>
      </c>
      <c r="Y990" s="1" cm="1">
        <f t="array" ref="Y990">COUNT(_xlfn._xlws.FILTER($G$7:$G$10000,($I$7:$I$10000=X990)*($J$7:$J$10000&lt;&gt;"NULL")*($G$7:$G$10000 &gt;= ($G$1-5))))/5</f>
        <v>0</v>
      </c>
    </row>
    <row r="991" spans="7:25" x14ac:dyDescent="0.35">
      <c r="G991" s="66">
        <v>11</v>
      </c>
      <c r="H991" t="s">
        <v>14</v>
      </c>
      <c r="I991" t="s">
        <v>164</v>
      </c>
      <c r="J991" t="s">
        <v>256</v>
      </c>
      <c r="K991" t="s">
        <v>9</v>
      </c>
      <c r="L991" t="s">
        <v>24</v>
      </c>
      <c r="M991">
        <f t="shared" si="48"/>
        <v>3.9143241267998459</v>
      </c>
      <c r="N991" t="str">
        <f t="shared" si="49"/>
        <v/>
      </c>
      <c r="O991" s="67" cm="1">
        <f t="array" ref="O991">SUMPRODUCT((G991=$G$7:$G$10000)*(M991&lt;$M$7:$M$10000))+1</f>
        <v>66</v>
      </c>
      <c r="P991" s="72"/>
      <c r="Q991">
        <v>13</v>
      </c>
      <c r="R991" t="str">
        <v>MIA</v>
      </c>
      <c r="S991" t="str">
        <v>Tau Koloamatangi</v>
      </c>
      <c r="T991" t="str">
        <v>NULL</v>
      </c>
      <c r="U991" t="str">
        <v>Away</v>
      </c>
      <c r="V991" t="str">
        <v>NOLA</v>
      </c>
      <c r="W991">
        <v>2.5870957536807246</v>
      </c>
      <c r="Y991" s="1" cm="1">
        <f t="array" ref="Y991">COUNT(_xlfn._xlws.FILTER($G$7:$G$10000,($I$7:$I$10000=X991)*($J$7:$J$10000&lt;&gt;"NULL")*($G$7:$G$10000 &gt;= ($G$1-5))))/5</f>
        <v>0</v>
      </c>
    </row>
    <row r="992" spans="7:25" x14ac:dyDescent="0.35">
      <c r="G992" s="66">
        <v>11</v>
      </c>
      <c r="H992" t="s">
        <v>4</v>
      </c>
      <c r="I992" t="s">
        <v>176</v>
      </c>
      <c r="J992" t="s">
        <v>256</v>
      </c>
      <c r="K992" t="s">
        <v>3</v>
      </c>
      <c r="L992" t="s">
        <v>17</v>
      </c>
      <c r="M992">
        <f t="shared" si="48"/>
        <v>3.7397168748503673</v>
      </c>
      <c r="N992" t="str">
        <f t="shared" si="49"/>
        <v/>
      </c>
      <c r="O992" s="67" cm="1">
        <f t="array" ref="O992">SUMPRODUCT((G992=$G$7:$G$10000)*(M992&lt;$M$7:$M$10000))+1</f>
        <v>67</v>
      </c>
      <c r="P992" s="72"/>
      <c r="Q992">
        <v>13</v>
      </c>
      <c r="R992" t="str">
        <v>LA</v>
      </c>
      <c r="S992" t="str">
        <v>Ben Sugars</v>
      </c>
      <c r="T992" t="str">
        <v>NULL</v>
      </c>
      <c r="U992" t="str">
        <v>Home</v>
      </c>
      <c r="V992" t="str">
        <v>ARC</v>
      </c>
      <c r="W992">
        <v>2.2863435192590011</v>
      </c>
      <c r="Y992" s="1" cm="1">
        <f t="array" ref="Y992">COUNT(_xlfn._xlws.FILTER($G$7:$G$10000,($I$7:$I$10000=X992)*($J$7:$J$10000&lt;&gt;"NULL")*($G$7:$G$10000 &gt;= ($G$1-5))))/5</f>
        <v>0</v>
      </c>
    </row>
    <row r="993" spans="7:25" x14ac:dyDescent="0.35">
      <c r="G993" s="66">
        <v>11</v>
      </c>
      <c r="H993" t="s">
        <v>36</v>
      </c>
      <c r="I993" t="s">
        <v>112</v>
      </c>
      <c r="J993" t="s">
        <v>256</v>
      </c>
      <c r="K993" t="s">
        <v>3</v>
      </c>
      <c r="L993" t="s">
        <v>7</v>
      </c>
      <c r="M993">
        <f t="shared" si="48"/>
        <v>3.5844226782048794</v>
      </c>
      <c r="N993" t="str">
        <f t="shared" si="49"/>
        <v/>
      </c>
      <c r="O993" s="67" cm="1">
        <f t="array" ref="O993">SUMPRODUCT((G993=$G$7:$G$10000)*(M993&lt;$M$7:$M$10000))+1</f>
        <v>68</v>
      </c>
      <c r="P993" s="72"/>
      <c r="Q993">
        <v>13</v>
      </c>
      <c r="R993" t="str">
        <v>SDL</v>
      </c>
      <c r="S993" t="str">
        <v>Hugh Roach</v>
      </c>
      <c r="T993" t="str">
        <v>NULL</v>
      </c>
      <c r="U993" t="str">
        <v>Home</v>
      </c>
      <c r="V993" t="str">
        <v>HOU</v>
      </c>
      <c r="W993">
        <v>2.0768395739042687</v>
      </c>
      <c r="Y993" s="1" cm="1">
        <f t="array" ref="Y993">COUNT(_xlfn._xlws.FILTER($G$7:$G$10000,($I$7:$I$10000=X993)*($J$7:$J$10000&lt;&gt;"NULL")*($G$7:$G$10000 &gt;= ($G$1-5))))/5</f>
        <v>0</v>
      </c>
    </row>
    <row r="994" spans="7:25" x14ac:dyDescent="0.35">
      <c r="G994" s="66">
        <v>11</v>
      </c>
      <c r="H994" t="s">
        <v>24</v>
      </c>
      <c r="I994" t="s">
        <v>217</v>
      </c>
      <c r="J994" t="s">
        <v>256</v>
      </c>
      <c r="K994" t="s">
        <v>3</v>
      </c>
      <c r="L994" t="s">
        <v>14</v>
      </c>
      <c r="M994">
        <f t="shared" si="48"/>
        <v>3.4179641712760223</v>
      </c>
      <c r="N994" t="str">
        <f t="shared" si="49"/>
        <v/>
      </c>
      <c r="O994" s="67" cm="1">
        <f t="array" ref="O994">SUMPRODUCT((G994=$G$7:$G$10000)*(M994&lt;$M$7:$M$10000))+1</f>
        <v>69</v>
      </c>
      <c r="P994" s="72"/>
      <c r="Q994">
        <v>13</v>
      </c>
      <c r="R994" t="str">
        <v>SEA</v>
      </c>
      <c r="S994" t="str">
        <v>Cameron Orr</v>
      </c>
      <c r="T994" t="str">
        <v>NULL</v>
      </c>
      <c r="U994" t="str">
        <v>Away</v>
      </c>
      <c r="V994" t="str">
        <v>UTAH</v>
      </c>
      <c r="W994">
        <v>1.9167114788774571</v>
      </c>
      <c r="Y994" s="1" cm="1">
        <f t="array" ref="Y994">COUNT(_xlfn._xlws.FILTER($G$7:$G$10000,($I$7:$I$10000=X994)*($J$7:$J$10000&lt;&gt;"NULL")*($G$7:$G$10000 &gt;= ($G$1-5))))/5</f>
        <v>0</v>
      </c>
    </row>
    <row r="995" spans="7:25" x14ac:dyDescent="0.35">
      <c r="G995" s="66">
        <v>11</v>
      </c>
      <c r="H995" t="s">
        <v>4</v>
      </c>
      <c r="I995" t="s">
        <v>172</v>
      </c>
      <c r="J995" t="s">
        <v>256</v>
      </c>
      <c r="K995" t="s">
        <v>3</v>
      </c>
      <c r="L995" t="s">
        <v>17</v>
      </c>
      <c r="M995">
        <f t="shared" si="48"/>
        <v>3.3582734777516636</v>
      </c>
      <c r="N995" t="str">
        <f t="shared" si="49"/>
        <v/>
      </c>
      <c r="O995" s="67" cm="1">
        <f t="array" ref="O995">SUMPRODUCT((G995=$G$7:$G$10000)*(M995&lt;$M$7:$M$10000))+1</f>
        <v>70</v>
      </c>
      <c r="P995" s="72"/>
      <c r="Q995">
        <v>13</v>
      </c>
      <c r="R995" t="str">
        <v>MIA</v>
      </c>
      <c r="S995" t="str">
        <v>Sean McNulty</v>
      </c>
      <c r="T995" t="str">
        <v>NULL</v>
      </c>
      <c r="U995" t="str">
        <v>Away</v>
      </c>
      <c r="V995" t="str">
        <v>NOLA</v>
      </c>
      <c r="W995">
        <v>1.8543546555097512</v>
      </c>
      <c r="Y995" s="1" cm="1">
        <f t="array" ref="Y995">COUNT(_xlfn._xlws.FILTER($G$7:$G$10000,($I$7:$I$10000=X995)*($J$7:$J$10000&lt;&gt;"NULL")*($G$7:$G$10000 &gt;= ($G$1-5))))/5</f>
        <v>0</v>
      </c>
    </row>
    <row r="996" spans="7:25" x14ac:dyDescent="0.35">
      <c r="G996" s="66">
        <v>11</v>
      </c>
      <c r="H996" t="s">
        <v>7</v>
      </c>
      <c r="I996" t="s">
        <v>158</v>
      </c>
      <c r="J996" t="s">
        <v>256</v>
      </c>
      <c r="K996" t="s">
        <v>9</v>
      </c>
      <c r="L996" t="s">
        <v>36</v>
      </c>
      <c r="M996">
        <f t="shared" si="48"/>
        <v>3.2999067315490898</v>
      </c>
      <c r="N996" t="str">
        <f t="shared" si="49"/>
        <v/>
      </c>
      <c r="O996" s="67" cm="1">
        <f t="array" ref="O996">SUMPRODUCT((G996=$G$7:$G$10000)*(M996&lt;$M$7:$M$10000))+1</f>
        <v>71</v>
      </c>
      <c r="P996" s="72"/>
      <c r="Q996">
        <v>13</v>
      </c>
      <c r="R996" t="str">
        <v>SDL</v>
      </c>
      <c r="S996" t="str">
        <v>Brandon Harvey</v>
      </c>
      <c r="T996" t="str">
        <v>NULL</v>
      </c>
      <c r="U996" t="str">
        <v>Home</v>
      </c>
      <c r="V996" t="str">
        <v>HOU</v>
      </c>
      <c r="W996">
        <v>1.697832487683451</v>
      </c>
      <c r="Y996" s="1" cm="1">
        <f t="array" ref="Y996">COUNT(_xlfn._xlws.FILTER($G$7:$G$10000,($I$7:$I$10000=X996)*($J$7:$J$10000&lt;&gt;"NULL")*($G$7:$G$10000 &gt;= ($G$1-5))))/5</f>
        <v>0</v>
      </c>
    </row>
    <row r="997" spans="7:25" x14ac:dyDescent="0.35">
      <c r="G997" s="66">
        <v>11</v>
      </c>
      <c r="H997" t="s">
        <v>6</v>
      </c>
      <c r="I997" t="s">
        <v>418</v>
      </c>
      <c r="J997" t="s">
        <v>256</v>
      </c>
      <c r="K997" t="s">
        <v>3</v>
      </c>
      <c r="L997" t="s">
        <v>34</v>
      </c>
      <c r="M997">
        <f t="shared" si="48"/>
        <v>3.2991413428498353</v>
      </c>
      <c r="N997" t="str">
        <f t="shared" si="49"/>
        <v/>
      </c>
      <c r="O997" s="67" cm="1">
        <f t="array" ref="O997">SUMPRODUCT((G997=$G$7:$G$10000)*(M997&lt;$M$7:$M$10000))+1</f>
        <v>72</v>
      </c>
      <c r="P997" s="72"/>
      <c r="Q997">
        <v>13</v>
      </c>
      <c r="R997" t="str">
        <v>LA</v>
      </c>
      <c r="S997" t="str">
        <v>Alessandro Heaney</v>
      </c>
      <c r="T997" t="str">
        <v>NULL</v>
      </c>
      <c r="U997" t="str">
        <v>Home</v>
      </c>
      <c r="V997" t="str">
        <v>ARC</v>
      </c>
      <c r="W997">
        <v>1.5959418221817439</v>
      </c>
      <c r="Y997" s="1" cm="1">
        <f t="array" ref="Y997">COUNT(_xlfn._xlws.FILTER($G$7:$G$10000,($I$7:$I$10000=X997)*($J$7:$J$10000&lt;&gt;"NULL")*($G$7:$G$10000 &gt;= ($G$1-5))))/5</f>
        <v>0</v>
      </c>
    </row>
    <row r="998" spans="7:25" x14ac:dyDescent="0.35">
      <c r="G998" s="66">
        <v>11</v>
      </c>
      <c r="H998" t="s">
        <v>24</v>
      </c>
      <c r="I998" t="s">
        <v>411</v>
      </c>
      <c r="J998" t="s">
        <v>256</v>
      </c>
      <c r="K998" t="s">
        <v>3</v>
      </c>
      <c r="L998" t="s">
        <v>14</v>
      </c>
      <c r="M998">
        <f t="shared" si="48"/>
        <v>3.2709404488481728</v>
      </c>
      <c r="N998" t="str">
        <f t="shared" si="49"/>
        <v/>
      </c>
      <c r="O998" s="67" cm="1">
        <f t="array" ref="O998">SUMPRODUCT((G998=$G$7:$G$10000)*(M998&lt;$M$7:$M$10000))+1</f>
        <v>73</v>
      </c>
      <c r="P998" s="72"/>
      <c r="Q998">
        <v>13</v>
      </c>
      <c r="R998" t="str">
        <v>SEA</v>
      </c>
      <c r="S998" t="str">
        <v>Rhyno Herbst</v>
      </c>
      <c r="T998" t="str">
        <v>NULL</v>
      </c>
      <c r="U998" t="str">
        <v>Away</v>
      </c>
      <c r="V998" t="str">
        <v>UTAH</v>
      </c>
      <c r="W998">
        <v>1.5476397859288373</v>
      </c>
      <c r="Y998" s="1" cm="1">
        <f t="array" ref="Y998">COUNT(_xlfn._xlws.FILTER($G$7:$G$10000,($I$7:$I$10000=X998)*($J$7:$J$10000&lt;&gt;"NULL")*($G$7:$G$10000 &gt;= ($G$1-5))))/5</f>
        <v>0</v>
      </c>
    </row>
    <row r="999" spans="7:25" x14ac:dyDescent="0.35">
      <c r="G999" s="66">
        <v>11</v>
      </c>
      <c r="H999" t="s">
        <v>36</v>
      </c>
      <c r="I999" t="s">
        <v>117</v>
      </c>
      <c r="J999" t="s">
        <v>256</v>
      </c>
      <c r="K999" t="s">
        <v>3</v>
      </c>
      <c r="L999" t="s">
        <v>7</v>
      </c>
      <c r="M999">
        <f t="shared" ref="M999:M1062" si="50">VLOOKUP($K999,$F$3:$G$4,2,FALSE)+VLOOKUP($I999,$A$20:$B$321,2,FALSE)+VLOOKUP($L999,$A$6:$B$16,2,FALSE)</f>
        <v>3.2536363491462645</v>
      </c>
      <c r="N999" t="str">
        <f t="shared" ref="N999:N1062" si="51">IFERROR(($J999-$M999)^2,"")</f>
        <v/>
      </c>
      <c r="O999" s="67" cm="1">
        <f t="array" ref="O999">SUMPRODUCT((G999=$G$7:$G$10000)*(M999&lt;$M$7:$M$10000))+1</f>
        <v>74</v>
      </c>
      <c r="P999" s="72"/>
      <c r="Q999">
        <v>13</v>
      </c>
      <c r="R999" t="str">
        <v>CHI</v>
      </c>
      <c r="S999" t="str">
        <v>Hamish Bain</v>
      </c>
      <c r="T999" t="str">
        <v>NULL</v>
      </c>
      <c r="U999" t="str">
        <v>Away</v>
      </c>
      <c r="V999" t="str">
        <v>NEFJ</v>
      </c>
      <c r="W999">
        <v>1.3366104026087822</v>
      </c>
      <c r="Y999" s="1" cm="1">
        <f t="array" ref="Y999">COUNT(_xlfn._xlws.FILTER($G$7:$G$10000,($I$7:$I$10000=X999)*($J$7:$J$10000&lt;&gt;"NULL")*($G$7:$G$10000 &gt;= ($G$1-5))))/5</f>
        <v>0</v>
      </c>
    </row>
    <row r="1000" spans="7:25" x14ac:dyDescent="0.35">
      <c r="G1000" s="66">
        <v>11</v>
      </c>
      <c r="H1000" t="s">
        <v>7</v>
      </c>
      <c r="I1000" t="s">
        <v>163</v>
      </c>
      <c r="J1000" t="s">
        <v>256</v>
      </c>
      <c r="K1000" t="s">
        <v>9</v>
      </c>
      <c r="L1000" t="s">
        <v>36</v>
      </c>
      <c r="M1000">
        <f t="shared" si="50"/>
        <v>3.2473897018657896</v>
      </c>
      <c r="N1000" t="str">
        <f t="shared" si="51"/>
        <v/>
      </c>
      <c r="O1000" s="67" cm="1">
        <f t="array" ref="O1000">SUMPRODUCT((G1000=$G$7:$G$10000)*(M1000&lt;$M$7:$M$10000))+1</f>
        <v>75</v>
      </c>
      <c r="P1000" s="72"/>
      <c r="Q1000">
        <v>13</v>
      </c>
      <c r="R1000" t="str">
        <v>SEA</v>
      </c>
      <c r="S1000" t="str">
        <v>Siaosi Mahoni</v>
      </c>
      <c r="T1000" t="str">
        <v>NULL</v>
      </c>
      <c r="U1000" t="str">
        <v>Away</v>
      </c>
      <c r="V1000" t="str">
        <v>UTAH</v>
      </c>
      <c r="W1000">
        <v>1.2768781738955579</v>
      </c>
      <c r="Y1000" s="1" cm="1">
        <f t="array" ref="Y1000">COUNT(_xlfn._xlws.FILTER($G$7:$G$10000,($I$7:$I$10000=X1000)*($J$7:$J$10000&lt;&gt;"NULL")*($G$7:$G$10000 &gt;= ($G$1-5))))/5</f>
        <v>0</v>
      </c>
    </row>
    <row r="1001" spans="7:25" x14ac:dyDescent="0.35">
      <c r="G1001" s="66">
        <v>11</v>
      </c>
      <c r="H1001" t="s">
        <v>17</v>
      </c>
      <c r="I1001" t="s">
        <v>284</v>
      </c>
      <c r="J1001" t="s">
        <v>256</v>
      </c>
      <c r="K1001" t="s">
        <v>9</v>
      </c>
      <c r="L1001" t="s">
        <v>4</v>
      </c>
      <c r="M1001">
        <f t="shared" si="50"/>
        <v>3.176479904812207</v>
      </c>
      <c r="N1001" t="str">
        <f t="shared" si="51"/>
        <v/>
      </c>
      <c r="O1001" s="67" cm="1">
        <f t="array" ref="O1001">SUMPRODUCT((G1001=$G$7:$G$10000)*(M1001&lt;$M$7:$M$10000))+1</f>
        <v>76</v>
      </c>
      <c r="P1001" s="72"/>
      <c r="Q1001">
        <v>13</v>
      </c>
      <c r="R1001" t="str">
        <v>CHI</v>
      </c>
      <c r="S1001" t="str">
        <v>Faka'osi Pifeleti</v>
      </c>
      <c r="T1001" t="str">
        <v>NULL</v>
      </c>
      <c r="U1001" t="str">
        <v>Away</v>
      </c>
      <c r="V1001" t="str">
        <v>NEFJ</v>
      </c>
      <c r="W1001">
        <v>1.1984819278328107</v>
      </c>
      <c r="Y1001" s="1" cm="1">
        <f t="array" ref="Y1001">COUNT(_xlfn._xlws.FILTER($G$7:$G$10000,($I$7:$I$10000=X1001)*($J$7:$J$10000&lt;&gt;"NULL")*($G$7:$G$10000 &gt;= ($G$1-5))))/5</f>
        <v>0</v>
      </c>
    </row>
    <row r="1002" spans="7:25" x14ac:dyDescent="0.35">
      <c r="G1002" s="66">
        <v>11</v>
      </c>
      <c r="H1002" t="s">
        <v>14</v>
      </c>
      <c r="I1002" t="s">
        <v>425</v>
      </c>
      <c r="J1002" t="s">
        <v>256</v>
      </c>
      <c r="K1002" t="s">
        <v>9</v>
      </c>
      <c r="L1002" t="s">
        <v>24</v>
      </c>
      <c r="M1002">
        <f t="shared" si="50"/>
        <v>3.1147280775149939</v>
      </c>
      <c r="N1002" t="str">
        <f t="shared" si="51"/>
        <v/>
      </c>
      <c r="O1002" s="67" cm="1">
        <f t="array" ref="O1002">SUMPRODUCT((G1002=$G$7:$G$10000)*(M1002&lt;$M$7:$M$10000))+1</f>
        <v>77</v>
      </c>
      <c r="P1002" s="72"/>
      <c r="Q1002">
        <v>13</v>
      </c>
      <c r="R1002" t="str">
        <v>UTAH</v>
      </c>
      <c r="S1002" t="str">
        <v>Tonga Kofe</v>
      </c>
      <c r="T1002" t="str">
        <v>NULL</v>
      </c>
      <c r="U1002" t="str">
        <v>Home</v>
      </c>
      <c r="V1002" t="str">
        <v>SEA</v>
      </c>
      <c r="W1002">
        <v>1.167951778424932</v>
      </c>
      <c r="Y1002" s="1" cm="1">
        <f t="array" ref="Y1002">COUNT(_xlfn._xlws.FILTER($G$7:$G$10000,($I$7:$I$10000=X1002)*($J$7:$J$10000&lt;&gt;"NULL")*($G$7:$G$10000 &gt;= ($G$1-5))))/5</f>
        <v>0</v>
      </c>
    </row>
    <row r="1003" spans="7:25" x14ac:dyDescent="0.35">
      <c r="G1003" s="66">
        <v>11</v>
      </c>
      <c r="H1003" t="s">
        <v>14</v>
      </c>
      <c r="I1003" t="s">
        <v>181</v>
      </c>
      <c r="J1003" t="s">
        <v>256</v>
      </c>
      <c r="K1003" t="s">
        <v>9</v>
      </c>
      <c r="L1003" t="s">
        <v>24</v>
      </c>
      <c r="M1003">
        <f t="shared" si="50"/>
        <v>3.0979847870507813</v>
      </c>
      <c r="N1003" t="str">
        <f t="shared" si="51"/>
        <v/>
      </c>
      <c r="O1003" s="67" cm="1">
        <f t="array" ref="O1003">SUMPRODUCT((G1003=$G$7:$G$10000)*(M1003&lt;$M$7:$M$10000))+1</f>
        <v>78</v>
      </c>
      <c r="P1003" s="72"/>
      <c r="Q1003">
        <v>13</v>
      </c>
      <c r="R1003" t="str">
        <v>LA</v>
      </c>
      <c r="S1003" t="str">
        <v>Reegan O'Gorman</v>
      </c>
      <c r="T1003" t="str">
        <v>NULL</v>
      </c>
      <c r="U1003" t="str">
        <v>Home</v>
      </c>
      <c r="V1003" t="str">
        <v>ARC</v>
      </c>
      <c r="W1003">
        <v>0.82388498659707832</v>
      </c>
      <c r="Y1003" s="1" cm="1">
        <f t="array" ref="Y1003">COUNT(_xlfn._xlws.FILTER($G$7:$G$10000,($I$7:$I$10000=X1003)*($J$7:$J$10000&lt;&gt;"NULL")*($G$7:$G$10000 &gt;= ($G$1-5))))/5</f>
        <v>0</v>
      </c>
    </row>
    <row r="1004" spans="7:25" x14ac:dyDescent="0.35">
      <c r="G1004" s="66">
        <v>11</v>
      </c>
      <c r="H1004" t="s">
        <v>36</v>
      </c>
      <c r="I1004" t="s">
        <v>216</v>
      </c>
      <c r="J1004" t="s">
        <v>256</v>
      </c>
      <c r="K1004" t="s">
        <v>3</v>
      </c>
      <c r="L1004" t="s">
        <v>7</v>
      </c>
      <c r="M1004">
        <f t="shared" si="50"/>
        <v>3.0310945380525247</v>
      </c>
      <c r="N1004" t="str">
        <f t="shared" si="51"/>
        <v/>
      </c>
      <c r="O1004" s="67" cm="1">
        <f t="array" ref="O1004">SUMPRODUCT((G1004=$G$7:$G$10000)*(M1004&lt;$M$7:$M$10000))+1</f>
        <v>79</v>
      </c>
      <c r="P1004" s="72"/>
      <c r="Q1004">
        <v>13</v>
      </c>
      <c r="R1004" t="str">
        <v>SEA</v>
      </c>
      <c r="S1004" t="str">
        <v>Taylor Krumrei</v>
      </c>
      <c r="T1004" t="str">
        <v>NULL</v>
      </c>
      <c r="U1004" t="str">
        <v>Away</v>
      </c>
      <c r="V1004" t="str">
        <v>UTAH</v>
      </c>
      <c r="W1004">
        <v>0.31414322623665036</v>
      </c>
      <c r="Y1004" s="1" cm="1">
        <f t="array" ref="Y1004">COUNT(_xlfn._xlws.FILTER($G$7:$G$10000,($I$7:$I$10000=X1004)*($J$7:$J$10000&lt;&gt;"NULL")*($G$7:$G$10000 &gt;= ($G$1-5))))/5</f>
        <v>0</v>
      </c>
    </row>
    <row r="1005" spans="7:25" x14ac:dyDescent="0.35">
      <c r="G1005" s="66">
        <v>11</v>
      </c>
      <c r="H1005" t="s">
        <v>14</v>
      </c>
      <c r="I1005" t="s">
        <v>197</v>
      </c>
      <c r="J1005" t="s">
        <v>256</v>
      </c>
      <c r="K1005" t="s">
        <v>9</v>
      </c>
      <c r="L1005" t="s">
        <v>24</v>
      </c>
      <c r="M1005">
        <f t="shared" si="50"/>
        <v>2.9701138009255414</v>
      </c>
      <c r="N1005" t="str">
        <f t="shared" si="51"/>
        <v/>
      </c>
      <c r="O1005" s="67" cm="1">
        <f t="array" ref="O1005">SUMPRODUCT((G1005=$G$7:$G$10000)*(M1005&lt;$M$7:$M$10000))+1</f>
        <v>80</v>
      </c>
      <c r="P1005" s="72"/>
      <c r="Q1005">
        <v>13</v>
      </c>
      <c r="R1005" t="str">
        <v>LA</v>
      </c>
      <c r="S1005" t="str">
        <v>Cronan Gleeson</v>
      </c>
      <c r="T1005" t="str">
        <v>NULL</v>
      </c>
      <c r="U1005" t="str">
        <v>Home</v>
      </c>
      <c r="V1005" t="str">
        <v>ARC</v>
      </c>
      <c r="W1005">
        <v>0.14851891985111187</v>
      </c>
      <c r="Y1005" s="1" cm="1">
        <f t="array" ref="Y1005">COUNT(_xlfn._xlws.FILTER($G$7:$G$10000,($I$7:$I$10000=X1005)*($J$7:$J$10000&lt;&gt;"NULL")*($G$7:$G$10000 &gt;= ($G$1-5))))/5</f>
        <v>0</v>
      </c>
    </row>
    <row r="1006" spans="7:25" x14ac:dyDescent="0.35">
      <c r="G1006" s="66">
        <v>11</v>
      </c>
      <c r="H1006" t="s">
        <v>4</v>
      </c>
      <c r="I1006" t="s">
        <v>118</v>
      </c>
      <c r="J1006" t="s">
        <v>256</v>
      </c>
      <c r="K1006" t="s">
        <v>3</v>
      </c>
      <c r="L1006" t="s">
        <v>17</v>
      </c>
      <c r="M1006">
        <f t="shared" si="50"/>
        <v>2.95419555290629</v>
      </c>
      <c r="N1006" t="str">
        <f t="shared" si="51"/>
        <v/>
      </c>
      <c r="O1006" s="67" cm="1">
        <f t="array" ref="O1006">SUMPRODUCT((G1006=$G$7:$G$10000)*(M1006&lt;$M$7:$M$10000))+1</f>
        <v>81</v>
      </c>
      <c r="P1006" s="72"/>
      <c r="Q1006">
        <v>13</v>
      </c>
      <c r="R1006" t="str">
        <v>SEA</v>
      </c>
      <c r="S1006" t="str">
        <v>Juan Pablo Zeiss</v>
      </c>
      <c r="T1006" t="str">
        <v>NULL</v>
      </c>
      <c r="U1006" t="str">
        <v>Away</v>
      </c>
      <c r="V1006" t="str">
        <v>UTAH</v>
      </c>
      <c r="W1006">
        <v>-0.64194581343869483</v>
      </c>
      <c r="Y1006" s="1" cm="1">
        <f t="array" ref="Y1006">COUNT(_xlfn._xlws.FILTER($G$7:$G$10000,($I$7:$I$10000=X1006)*($J$7:$J$10000&lt;&gt;"NULL")*($G$7:$G$10000 &gt;= ($G$1-5))))/5</f>
        <v>0</v>
      </c>
    </row>
    <row r="1007" spans="7:25" x14ac:dyDescent="0.35">
      <c r="G1007" s="66">
        <v>11</v>
      </c>
      <c r="H1007" t="s">
        <v>24</v>
      </c>
      <c r="I1007" t="s">
        <v>168</v>
      </c>
      <c r="J1007" t="s">
        <v>256</v>
      </c>
      <c r="K1007" t="s">
        <v>3</v>
      </c>
      <c r="L1007" t="s">
        <v>14</v>
      </c>
      <c r="M1007">
        <f t="shared" si="50"/>
        <v>2.943530410635856</v>
      </c>
      <c r="N1007" t="str">
        <f t="shared" si="51"/>
        <v/>
      </c>
      <c r="O1007" s="67" cm="1">
        <f t="array" ref="O1007">SUMPRODUCT((G1007=$G$7:$G$10000)*(M1007&lt;$M$7:$M$10000))+1</f>
        <v>82</v>
      </c>
      <c r="P1007" s="72"/>
      <c r="Q1007">
        <v>13</v>
      </c>
      <c r="R1007" t="str">
        <v>CHI</v>
      </c>
      <c r="S1007" t="str">
        <v>Charlie Abel</v>
      </c>
      <c r="T1007" t="str">
        <v>NULL</v>
      </c>
      <c r="U1007" t="str">
        <v>Away</v>
      </c>
      <c r="V1007" t="str">
        <v>NEFJ</v>
      </c>
      <c r="W1007">
        <v>-0.90544803397368678</v>
      </c>
      <c r="Y1007" s="1" cm="1">
        <f t="array" ref="Y1007">COUNT(_xlfn._xlws.FILTER($G$7:$G$10000,($I$7:$I$10000=X1007)*($J$7:$J$10000&lt;&gt;"NULL")*($G$7:$G$10000 &gt;= ($G$1-5))))/5</f>
        <v>0</v>
      </c>
    </row>
    <row r="1008" spans="7:25" x14ac:dyDescent="0.35">
      <c r="G1008" s="66">
        <v>11</v>
      </c>
      <c r="H1008" t="s">
        <v>7</v>
      </c>
      <c r="I1008" t="s">
        <v>211</v>
      </c>
      <c r="J1008" t="s">
        <v>256</v>
      </c>
      <c r="K1008" t="s">
        <v>9</v>
      </c>
      <c r="L1008" t="s">
        <v>36</v>
      </c>
      <c r="M1008">
        <f t="shared" si="50"/>
        <v>2.9312580860027344</v>
      </c>
      <c r="N1008" t="str">
        <f t="shared" si="51"/>
        <v/>
      </c>
      <c r="O1008" s="67" cm="1">
        <f t="array" ref="O1008">SUMPRODUCT((G1008=$G$7:$G$10000)*(M1008&lt;$M$7:$M$10000))+1</f>
        <v>83</v>
      </c>
      <c r="P1008" s="72"/>
      <c r="Q1008">
        <v>13</v>
      </c>
      <c r="R1008" t="str">
        <v>SEA</v>
      </c>
      <c r="S1008" t="str">
        <v>Malembe Mpofu</v>
      </c>
      <c r="T1008" t="str">
        <v>NULL</v>
      </c>
      <c r="U1008" t="str">
        <v>Away</v>
      </c>
      <c r="V1008" t="str">
        <v>UTAH</v>
      </c>
      <c r="W1008">
        <v>-1.286999703283179</v>
      </c>
      <c r="Y1008" s="1" cm="1">
        <f t="array" ref="Y1008">COUNT(_xlfn._xlws.FILTER($G$7:$G$10000,($I$7:$I$10000=X1008)*($J$7:$J$10000&lt;&gt;"NULL")*($G$7:$G$10000 &gt;= ($G$1-5))))/5</f>
        <v>0</v>
      </c>
    </row>
    <row r="1009" spans="7:25" x14ac:dyDescent="0.35">
      <c r="G1009" s="66">
        <v>11</v>
      </c>
      <c r="H1009" t="s">
        <v>7</v>
      </c>
      <c r="I1009" t="s">
        <v>104</v>
      </c>
      <c r="J1009" t="s">
        <v>256</v>
      </c>
      <c r="K1009" t="s">
        <v>9</v>
      </c>
      <c r="L1009" t="s">
        <v>36</v>
      </c>
      <c r="M1009">
        <f t="shared" si="50"/>
        <v>2.7731504119290449</v>
      </c>
      <c r="N1009" t="str">
        <f t="shared" si="51"/>
        <v/>
      </c>
      <c r="O1009" s="67" cm="1">
        <f t="array" ref="O1009">SUMPRODUCT((G1009=$G$7:$G$10000)*(M1009&lt;$M$7:$M$10000))+1</f>
        <v>84</v>
      </c>
      <c r="P1009" s="72"/>
      <c r="Q1009">
        <v>13</v>
      </c>
      <c r="R1009" t="str">
        <v>HOU</v>
      </c>
      <c r="S1009" t="str">
        <v>Justin Basson</v>
      </c>
      <c r="T1009" t="str">
        <v>NULL</v>
      </c>
      <c r="U1009" t="str">
        <v>Away</v>
      </c>
      <c r="V1009" t="str">
        <v>SDL</v>
      </c>
      <c r="W1009">
        <v>-1.8078699693881557</v>
      </c>
      <c r="Y1009" s="1" cm="1">
        <f t="array" ref="Y1009">COUNT(_xlfn._xlws.FILTER($G$7:$G$10000,($I$7:$I$10000=X1009)*($J$7:$J$10000&lt;&gt;"NULL")*($G$7:$G$10000 &gt;= ($G$1-5))))/5</f>
        <v>0</v>
      </c>
    </row>
    <row r="1010" spans="7:25" x14ac:dyDescent="0.35">
      <c r="G1010" s="66">
        <v>11</v>
      </c>
      <c r="H1010" t="s">
        <v>4</v>
      </c>
      <c r="I1010" t="s">
        <v>335</v>
      </c>
      <c r="J1010" t="s">
        <v>256</v>
      </c>
      <c r="K1010" t="s">
        <v>3</v>
      </c>
      <c r="L1010" t="s">
        <v>17</v>
      </c>
      <c r="M1010">
        <f t="shared" si="50"/>
        <v>2.633449469042743</v>
      </c>
      <c r="N1010" t="str">
        <f t="shared" si="51"/>
        <v/>
      </c>
      <c r="O1010" s="67" cm="1">
        <f t="array" ref="O1010">SUMPRODUCT((G1010=$G$7:$G$10000)*(M1010&lt;$M$7:$M$10000))+1</f>
        <v>85</v>
      </c>
      <c r="P1010" s="72"/>
      <c r="Q1010">
        <v>13</v>
      </c>
      <c r="R1010" t="str">
        <v>SEA</v>
      </c>
      <c r="S1010" t="str">
        <v>Dewald Kotze</v>
      </c>
      <c r="T1010" t="str">
        <v>NULL</v>
      </c>
      <c r="U1010" t="str">
        <v>Away</v>
      </c>
      <c r="V1010" t="str">
        <v>UTAH</v>
      </c>
      <c r="W1010">
        <v>-2.4634421011402541</v>
      </c>
      <c r="Y1010" s="1" cm="1">
        <f t="array" ref="Y1010">COUNT(_xlfn._xlws.FILTER($G$7:$G$10000,($I$7:$I$10000=X1010)*($J$7:$J$10000&lt;&gt;"NULL")*($G$7:$G$10000 &gt;= ($G$1-5))))/5</f>
        <v>0</v>
      </c>
    </row>
    <row r="1011" spans="7:25" x14ac:dyDescent="0.35">
      <c r="G1011" s="66">
        <v>11</v>
      </c>
      <c r="H1011" t="s">
        <v>7</v>
      </c>
      <c r="I1011" t="s">
        <v>148</v>
      </c>
      <c r="J1011" t="s">
        <v>256</v>
      </c>
      <c r="K1011" t="s">
        <v>9</v>
      </c>
      <c r="L1011" t="s">
        <v>36</v>
      </c>
      <c r="M1011">
        <f t="shared" si="50"/>
        <v>2.5732100016230612</v>
      </c>
      <c r="N1011" t="str">
        <f t="shared" si="51"/>
        <v/>
      </c>
      <c r="O1011" s="67" cm="1">
        <f t="array" ref="O1011">SUMPRODUCT((G1011=$G$7:$G$10000)*(M1011&lt;$M$7:$M$10000))+1</f>
        <v>86</v>
      </c>
      <c r="P1011" s="72"/>
      <c r="Q1011">
        <v>13</v>
      </c>
      <c r="R1011" t="str">
        <v>MIA</v>
      </c>
      <c r="S1011" t="str">
        <v>Alec McDonnell</v>
      </c>
      <c r="T1011" t="str">
        <v>NULL</v>
      </c>
      <c r="U1011" t="str">
        <v>Away</v>
      </c>
      <c r="V1011" t="str">
        <v>NOLA</v>
      </c>
      <c r="W1011">
        <v>-7.6087319956674548</v>
      </c>
      <c r="Y1011" s="1" cm="1">
        <f t="array" ref="Y1011">COUNT(_xlfn._xlws.FILTER($G$7:$G$10000,($I$7:$I$10000=X1011)*($J$7:$J$10000&lt;&gt;"NULL")*($G$7:$G$10000 &gt;= ($G$1-5))))/5</f>
        <v>0</v>
      </c>
    </row>
    <row r="1012" spans="7:25" x14ac:dyDescent="0.35">
      <c r="G1012" s="66">
        <v>11</v>
      </c>
      <c r="H1012" t="s">
        <v>34</v>
      </c>
      <c r="I1012" t="s">
        <v>161</v>
      </c>
      <c r="J1012" t="s">
        <v>256</v>
      </c>
      <c r="K1012" t="s">
        <v>9</v>
      </c>
      <c r="L1012" t="s">
        <v>6</v>
      </c>
      <c r="M1012">
        <f t="shared" si="50"/>
        <v>2.3977094865068249</v>
      </c>
      <c r="N1012" t="str">
        <f t="shared" si="51"/>
        <v/>
      </c>
      <c r="O1012" s="67" cm="1">
        <f t="array" ref="O1012">SUMPRODUCT((G1012=$G$7:$G$10000)*(M1012&lt;$M$7:$M$10000))+1</f>
        <v>87</v>
      </c>
      <c r="P1012" s="72"/>
      <c r="Q1012">
        <v>14</v>
      </c>
      <c r="R1012" t="str">
        <v>SEA</v>
      </c>
      <c r="S1012" t="str">
        <v>Devin Short</v>
      </c>
      <c r="T1012" t="str">
        <v>NULL</v>
      </c>
      <c r="U1012" t="str">
        <v>Home</v>
      </c>
      <c r="V1012" t="str">
        <v>SDL</v>
      </c>
      <c r="W1012">
        <v>20.792432880244128</v>
      </c>
      <c r="Y1012" s="1" cm="1">
        <f t="array" ref="Y1012">COUNT(_xlfn._xlws.FILTER($G$7:$G$10000,($I$7:$I$10000=X1012)*($J$7:$J$10000&lt;&gt;"NULL")*($G$7:$G$10000 &gt;= ($G$1-5))))/5</f>
        <v>0</v>
      </c>
    </row>
    <row r="1013" spans="7:25" x14ac:dyDescent="0.35">
      <c r="G1013" s="66">
        <v>11</v>
      </c>
      <c r="H1013" t="s">
        <v>17</v>
      </c>
      <c r="I1013" t="s">
        <v>167</v>
      </c>
      <c r="J1013" t="s">
        <v>256</v>
      </c>
      <c r="K1013" t="s">
        <v>9</v>
      </c>
      <c r="L1013" t="s">
        <v>4</v>
      </c>
      <c r="M1013">
        <f t="shared" si="50"/>
        <v>2.2203908651368618</v>
      </c>
      <c r="N1013" t="str">
        <f t="shared" si="51"/>
        <v/>
      </c>
      <c r="O1013" s="67" cm="1">
        <f t="array" ref="O1013">SUMPRODUCT((G1013=$G$7:$G$10000)*(M1013&lt;$M$7:$M$10000))+1</f>
        <v>88</v>
      </c>
      <c r="P1013" s="72"/>
      <c r="Q1013">
        <v>14</v>
      </c>
      <c r="R1013" t="str">
        <v>SDL</v>
      </c>
      <c r="S1013" t="str">
        <v>Vili Helu</v>
      </c>
      <c r="T1013" t="str">
        <v>NULL</v>
      </c>
      <c r="U1013" t="str">
        <v>Away</v>
      </c>
      <c r="V1013" t="str">
        <v>SEA</v>
      </c>
      <c r="W1013">
        <v>15.13319674062684</v>
      </c>
      <c r="Y1013" s="1" cm="1">
        <f t="array" ref="Y1013">COUNT(_xlfn._xlws.FILTER($G$7:$G$10000,($I$7:$I$10000=X1013)*($J$7:$J$10000&lt;&gt;"NULL")*($G$7:$G$10000 &gt;= ($G$1-5))))/5</f>
        <v>0</v>
      </c>
    </row>
    <row r="1014" spans="7:25" x14ac:dyDescent="0.35">
      <c r="G1014" s="66">
        <v>11</v>
      </c>
      <c r="H1014" t="s">
        <v>7</v>
      </c>
      <c r="I1014" t="s">
        <v>277</v>
      </c>
      <c r="J1014" t="s">
        <v>256</v>
      </c>
      <c r="K1014" t="s">
        <v>9</v>
      </c>
      <c r="L1014" t="s">
        <v>36</v>
      </c>
      <c r="M1014">
        <f t="shared" si="50"/>
        <v>2.1469648300929993</v>
      </c>
      <c r="N1014" t="str">
        <f t="shared" si="51"/>
        <v/>
      </c>
      <c r="O1014" s="67" cm="1">
        <f t="array" ref="O1014">SUMPRODUCT((G1014=$G$7:$G$10000)*(M1014&lt;$M$7:$M$10000))+1</f>
        <v>89</v>
      </c>
      <c r="P1014" s="72"/>
      <c r="Q1014">
        <v>14</v>
      </c>
      <c r="R1014" t="str">
        <v>SDL</v>
      </c>
      <c r="S1014" t="str">
        <v>Shilo Klein</v>
      </c>
      <c r="T1014" t="str">
        <v>NULL</v>
      </c>
      <c r="U1014" t="str">
        <v>Away</v>
      </c>
      <c r="V1014" t="str">
        <v>SEA</v>
      </c>
      <c r="W1014">
        <v>14.775564368411299</v>
      </c>
      <c r="Y1014" s="1" cm="1">
        <f t="array" ref="Y1014">COUNT(_xlfn._xlws.FILTER($G$7:$G$10000,($I$7:$I$10000=X1014)*($J$7:$J$10000&lt;&gt;"NULL")*($G$7:$G$10000 &gt;= ($G$1-5))))/5</f>
        <v>0</v>
      </c>
    </row>
    <row r="1015" spans="7:25" x14ac:dyDescent="0.35">
      <c r="G1015" s="66">
        <v>11</v>
      </c>
      <c r="H1015" t="s">
        <v>34</v>
      </c>
      <c r="I1015" t="s">
        <v>424</v>
      </c>
      <c r="J1015" t="s">
        <v>256</v>
      </c>
      <c r="K1015" t="s">
        <v>9</v>
      </c>
      <c r="L1015" t="s">
        <v>6</v>
      </c>
      <c r="M1015">
        <f t="shared" si="50"/>
        <v>2.0187024002860072</v>
      </c>
      <c r="N1015" t="str">
        <f t="shared" si="51"/>
        <v/>
      </c>
      <c r="O1015" s="67" cm="1">
        <f t="array" ref="O1015">SUMPRODUCT((G1015=$G$7:$G$10000)*(M1015&lt;$M$7:$M$10000))+1</f>
        <v>90</v>
      </c>
      <c r="P1015" s="72"/>
      <c r="Q1015">
        <v>14</v>
      </c>
      <c r="R1015" t="str">
        <v>SDL</v>
      </c>
      <c r="S1015" t="str">
        <v>Brad Wilkin</v>
      </c>
      <c r="T1015" t="str">
        <v>NULL</v>
      </c>
      <c r="U1015" t="str">
        <v>Away</v>
      </c>
      <c r="V1015" t="str">
        <v>SEA</v>
      </c>
      <c r="W1015">
        <v>13.765098454605937</v>
      </c>
      <c r="Y1015" s="1" cm="1">
        <f t="array" ref="Y1015">COUNT(_xlfn._xlws.FILTER($G$7:$G$10000,($I$7:$I$10000=X1015)*($J$7:$J$10000&lt;&gt;"NULL")*($G$7:$G$10000 &gt;= ($G$1-5))))/5</f>
        <v>0</v>
      </c>
    </row>
    <row r="1016" spans="7:25" x14ac:dyDescent="0.35">
      <c r="G1016" s="66">
        <v>11</v>
      </c>
      <c r="H1016" t="s">
        <v>36</v>
      </c>
      <c r="I1016" t="s">
        <v>415</v>
      </c>
      <c r="J1016" t="s">
        <v>256</v>
      </c>
      <c r="K1016" t="s">
        <v>3</v>
      </c>
      <c r="L1016" t="s">
        <v>7</v>
      </c>
      <c r="M1016">
        <f t="shared" si="50"/>
        <v>1.8799001307424064</v>
      </c>
      <c r="N1016" t="str">
        <f t="shared" si="51"/>
        <v/>
      </c>
      <c r="O1016" s="67" cm="1">
        <f t="array" ref="O1016">SUMPRODUCT((G1016=$G$7:$G$10000)*(M1016&lt;$M$7:$M$10000))+1</f>
        <v>91</v>
      </c>
      <c r="P1016" s="72"/>
      <c r="Q1016">
        <v>14</v>
      </c>
      <c r="R1016" t="str">
        <v>SDL</v>
      </c>
      <c r="S1016" t="str">
        <v>Christian Poidevin</v>
      </c>
      <c r="T1016" t="str">
        <v>NULL</v>
      </c>
      <c r="U1016" t="str">
        <v>Away</v>
      </c>
      <c r="V1016" t="str">
        <v>SEA</v>
      </c>
      <c r="W1016">
        <v>12.913860674993334</v>
      </c>
      <c r="Y1016" s="1" cm="1">
        <f t="array" ref="Y1016">COUNT(_xlfn._xlws.FILTER($G$7:$G$10000,($I$7:$I$10000=X1016)*($J$7:$J$10000&lt;&gt;"NULL")*($G$7:$G$10000 &gt;= ($G$1-5))))/5</f>
        <v>0</v>
      </c>
    </row>
    <row r="1017" spans="7:25" x14ac:dyDescent="0.35">
      <c r="G1017" s="66">
        <v>11</v>
      </c>
      <c r="H1017" t="s">
        <v>36</v>
      </c>
      <c r="I1017" t="s">
        <v>224</v>
      </c>
      <c r="J1017" t="s">
        <v>256</v>
      </c>
      <c r="K1017" t="s">
        <v>3</v>
      </c>
      <c r="L1017" t="s">
        <v>7</v>
      </c>
      <c r="M1017">
        <f t="shared" si="50"/>
        <v>1.8288722823681383</v>
      </c>
      <c r="N1017" t="str">
        <f t="shared" si="51"/>
        <v/>
      </c>
      <c r="O1017" s="67" cm="1">
        <f t="array" ref="O1017">SUMPRODUCT((G1017=$G$7:$G$10000)*(M1017&lt;$M$7:$M$10000))+1</f>
        <v>92</v>
      </c>
      <c r="P1017" s="72"/>
      <c r="Q1017">
        <v>14</v>
      </c>
      <c r="R1017" t="str">
        <v>NEFJ</v>
      </c>
      <c r="S1017" t="str">
        <v>Joe Johnston</v>
      </c>
      <c r="T1017" t="str">
        <v>NULL</v>
      </c>
      <c r="U1017" t="str">
        <v>Away</v>
      </c>
      <c r="V1017" t="str">
        <v>MIA</v>
      </c>
      <c r="W1017">
        <v>12.528898549633231</v>
      </c>
      <c r="Y1017" s="1" cm="1">
        <f t="array" ref="Y1017">COUNT(_xlfn._xlws.FILTER($G$7:$G$10000,($I$7:$I$10000=X1017)*($J$7:$J$10000&lt;&gt;"NULL")*($G$7:$G$10000 &gt;= ($G$1-5))))/5</f>
        <v>0</v>
      </c>
    </row>
    <row r="1018" spans="7:25" x14ac:dyDescent="0.35">
      <c r="G1018" s="66">
        <v>11</v>
      </c>
      <c r="H1018" t="s">
        <v>17</v>
      </c>
      <c r="I1018" t="s">
        <v>423</v>
      </c>
      <c r="J1018" t="s">
        <v>256</v>
      </c>
      <c r="K1018" t="s">
        <v>9</v>
      </c>
      <c r="L1018" t="s">
        <v>4</v>
      </c>
      <c r="M1018">
        <f t="shared" si="50"/>
        <v>1.5753369752923776</v>
      </c>
      <c r="N1018" t="str">
        <f t="shared" si="51"/>
        <v/>
      </c>
      <c r="O1018" s="67" cm="1">
        <f t="array" ref="O1018">SUMPRODUCT((G1018=$G$7:$G$10000)*(M1018&lt;$M$7:$M$10000))+1</f>
        <v>93</v>
      </c>
      <c r="P1018" s="72"/>
      <c r="Q1018">
        <v>14</v>
      </c>
      <c r="R1018" t="str">
        <v>SDL</v>
      </c>
      <c r="S1018" t="str">
        <v>Djustice Sears-Duru</v>
      </c>
      <c r="T1018" t="str">
        <v>NULL</v>
      </c>
      <c r="U1018" t="str">
        <v>Away</v>
      </c>
      <c r="V1018" t="str">
        <v>SEA</v>
      </c>
      <c r="W1018">
        <v>12.358083536326754</v>
      </c>
      <c r="Y1018" s="1" cm="1">
        <f t="array" ref="Y1018">COUNT(_xlfn._xlws.FILTER($G$7:$G$10000,($I$7:$I$10000=X1018)*($J$7:$J$10000&lt;&gt;"NULL")*($G$7:$G$10000 &gt;= ($G$1-5))))/5</f>
        <v>0</v>
      </c>
    </row>
    <row r="1019" spans="7:25" x14ac:dyDescent="0.35">
      <c r="G1019" s="66">
        <v>11</v>
      </c>
      <c r="H1019" t="s">
        <v>36</v>
      </c>
      <c r="I1019" t="s">
        <v>283</v>
      </c>
      <c r="J1019" t="s">
        <v>256</v>
      </c>
      <c r="K1019" t="s">
        <v>3</v>
      </c>
      <c r="L1019" t="s">
        <v>7</v>
      </c>
      <c r="M1019">
        <f t="shared" si="50"/>
        <v>1.5358692030457419</v>
      </c>
      <c r="N1019" t="str">
        <f t="shared" si="51"/>
        <v/>
      </c>
      <c r="O1019" s="67" cm="1">
        <f t="array" ref="O1019">SUMPRODUCT((G1019=$G$7:$G$10000)*(M1019&lt;$M$7:$M$10000))+1</f>
        <v>94</v>
      </c>
      <c r="P1019" s="72"/>
      <c r="Q1019">
        <v>14</v>
      </c>
      <c r="R1019" t="str">
        <v>SEA</v>
      </c>
      <c r="S1019" t="str">
        <v>Kerron van Vuuren</v>
      </c>
      <c r="T1019" t="str">
        <v>NULL</v>
      </c>
      <c r="U1019" t="str">
        <v>Home</v>
      </c>
      <c r="V1019" t="str">
        <v>SDL</v>
      </c>
      <c r="W1019">
        <v>12.25865061020632</v>
      </c>
      <c r="Y1019" s="1" cm="1">
        <f t="array" ref="Y1019">COUNT(_xlfn._xlws.FILTER($G$7:$G$10000,($I$7:$I$10000=X1019)*($J$7:$J$10000&lt;&gt;"NULL")*($G$7:$G$10000 &gt;= ($G$1-5))))/5</f>
        <v>0</v>
      </c>
    </row>
    <row r="1020" spans="7:25" x14ac:dyDescent="0.35">
      <c r="G1020" s="66">
        <v>11</v>
      </c>
      <c r="H1020" t="s">
        <v>24</v>
      </c>
      <c r="I1020" t="s">
        <v>482</v>
      </c>
      <c r="J1020" t="s">
        <v>256</v>
      </c>
      <c r="K1020" t="s">
        <v>3</v>
      </c>
      <c r="L1020" t="s">
        <v>14</v>
      </c>
      <c r="M1020">
        <f t="shared" si="50"/>
        <v>1.4107663133505612</v>
      </c>
      <c r="N1020" t="str">
        <f t="shared" si="51"/>
        <v/>
      </c>
      <c r="O1020" s="67" cm="1">
        <f t="array" ref="O1020">SUMPRODUCT((G1020=$G$7:$G$10000)*(M1020&lt;$M$7:$M$10000))+1</f>
        <v>95</v>
      </c>
      <c r="P1020" s="72"/>
      <c r="Q1020">
        <v>14</v>
      </c>
      <c r="R1020" t="str">
        <v>NEFJ</v>
      </c>
      <c r="S1020" t="str">
        <v>Jed Melvin</v>
      </c>
      <c r="T1020" t="str">
        <v>NULL</v>
      </c>
      <c r="U1020" t="str">
        <v>Away</v>
      </c>
      <c r="V1020" t="str">
        <v>MIA</v>
      </c>
      <c r="W1020">
        <v>11.711410421246381</v>
      </c>
      <c r="Y1020" s="1" cm="1">
        <f t="array" ref="Y1020">COUNT(_xlfn._xlws.FILTER($G$7:$G$10000,($I$7:$I$10000=X1020)*($J$7:$J$10000&lt;&gt;"NULL")*($G$7:$G$10000 &gt;= ($G$1-5))))/5</f>
        <v>0</v>
      </c>
    </row>
    <row r="1021" spans="7:25" x14ac:dyDescent="0.35">
      <c r="G1021" s="66">
        <v>11</v>
      </c>
      <c r="H1021" t="s">
        <v>13</v>
      </c>
      <c r="I1021" t="s">
        <v>467</v>
      </c>
      <c r="J1021" t="s">
        <v>256</v>
      </c>
      <c r="K1021" t="s">
        <v>3</v>
      </c>
      <c r="L1021" t="s">
        <v>2</v>
      </c>
      <c r="M1021">
        <f t="shared" si="50"/>
        <v>1.1506012690342668</v>
      </c>
      <c r="N1021" t="str">
        <f t="shared" si="51"/>
        <v/>
      </c>
      <c r="O1021" s="67" cm="1">
        <f t="array" ref="O1021">SUMPRODUCT((G1021=$G$7:$G$10000)*(M1021&lt;$M$7:$M$10000))+1</f>
        <v>96</v>
      </c>
      <c r="P1021" s="72"/>
      <c r="Q1021">
        <v>14</v>
      </c>
      <c r="R1021" t="str">
        <v>SEA</v>
      </c>
      <c r="S1021" t="str">
        <v>OJ Noa</v>
      </c>
      <c r="T1021" t="str">
        <v>NULL</v>
      </c>
      <c r="U1021" t="str">
        <v>Home</v>
      </c>
      <c r="V1021" t="str">
        <v>SDL</v>
      </c>
      <c r="W1021">
        <v>10.554133517708367</v>
      </c>
      <c r="Y1021" s="1" cm="1">
        <f t="array" ref="Y1021">COUNT(_xlfn._xlws.FILTER($G$7:$G$10000,($I$7:$I$10000=X1021)*($J$7:$J$10000&lt;&gt;"NULL")*($G$7:$G$10000 &gt;= ($G$1-5))))/5</f>
        <v>0</v>
      </c>
    </row>
    <row r="1022" spans="7:25" x14ac:dyDescent="0.35">
      <c r="G1022" s="66">
        <v>11</v>
      </c>
      <c r="H1022" t="s">
        <v>36</v>
      </c>
      <c r="I1022" t="s">
        <v>414</v>
      </c>
      <c r="J1022" t="s">
        <v>256</v>
      </c>
      <c r="K1022" t="s">
        <v>3</v>
      </c>
      <c r="L1022" t="s">
        <v>7</v>
      </c>
      <c r="M1022">
        <f t="shared" si="50"/>
        <v>0.90946417653853651</v>
      </c>
      <c r="N1022" t="str">
        <f t="shared" si="51"/>
        <v/>
      </c>
      <c r="O1022" s="67" cm="1">
        <f t="array" ref="O1022">SUMPRODUCT((G1022=$G$7:$G$10000)*(M1022&lt;$M$7:$M$10000))+1</f>
        <v>97</v>
      </c>
      <c r="P1022" s="72"/>
      <c r="Q1022">
        <v>14</v>
      </c>
      <c r="R1022" t="str">
        <v>CHI</v>
      </c>
      <c r="S1022" t="str">
        <v>Lucas Rumball</v>
      </c>
      <c r="T1022" t="str">
        <v>NULL</v>
      </c>
      <c r="U1022" t="str">
        <v>Home</v>
      </c>
      <c r="V1022" t="str">
        <v>LA</v>
      </c>
      <c r="W1022">
        <v>10.459812373315957</v>
      </c>
      <c r="Y1022" s="1" cm="1">
        <f t="array" ref="Y1022">COUNT(_xlfn._xlws.FILTER($G$7:$G$10000,($I$7:$I$10000=X1022)*($J$7:$J$10000&lt;&gt;"NULL")*($G$7:$G$10000 &gt;= ($G$1-5))))/5</f>
        <v>0</v>
      </c>
    </row>
    <row r="1023" spans="7:25" x14ac:dyDescent="0.35">
      <c r="G1023" s="66">
        <v>11</v>
      </c>
      <c r="H1023" t="s">
        <v>24</v>
      </c>
      <c r="I1023" t="s">
        <v>179</v>
      </c>
      <c r="J1023" t="s">
        <v>256</v>
      </c>
      <c r="K1023" t="s">
        <v>3</v>
      </c>
      <c r="L1023" t="s">
        <v>14</v>
      </c>
      <c r="M1023">
        <f t="shared" si="50"/>
        <v>0.6780252151795878</v>
      </c>
      <c r="N1023" t="str">
        <f t="shared" si="51"/>
        <v/>
      </c>
      <c r="O1023" s="67" cm="1">
        <f t="array" ref="O1023">SUMPRODUCT((G1023=$G$7:$G$10000)*(M1023&lt;$M$7:$M$10000))+1</f>
        <v>98</v>
      </c>
      <c r="P1023" s="72"/>
      <c r="Q1023">
        <v>14</v>
      </c>
      <c r="R1023" t="str">
        <v>UTAH</v>
      </c>
      <c r="S1023" t="str">
        <v>Liam Coltman</v>
      </c>
      <c r="T1023" t="str">
        <v>NULL</v>
      </c>
      <c r="U1023" t="str">
        <v>Away</v>
      </c>
      <c r="V1023" t="str">
        <v>HOU</v>
      </c>
      <c r="W1023">
        <v>10.193204063173368</v>
      </c>
      <c r="Y1023" s="1" cm="1">
        <f t="array" ref="Y1023">COUNT(_xlfn._xlws.FILTER($G$7:$G$10000,($I$7:$I$10000=X1023)*($J$7:$J$10000&lt;&gt;"NULL")*($G$7:$G$10000 &gt;= ($G$1-5))))/5</f>
        <v>0</v>
      </c>
    </row>
    <row r="1024" spans="7:25" x14ac:dyDescent="0.35">
      <c r="G1024" s="66">
        <v>11</v>
      </c>
      <c r="H1024" t="s">
        <v>17</v>
      </c>
      <c r="I1024" t="s">
        <v>155</v>
      </c>
      <c r="J1024" t="s">
        <v>256</v>
      </c>
      <c r="K1024" t="s">
        <v>9</v>
      </c>
      <c r="L1024" t="s">
        <v>4</v>
      </c>
      <c r="M1024">
        <f t="shared" si="50"/>
        <v>0.39889457743530254</v>
      </c>
      <c r="N1024" t="str">
        <f t="shared" si="51"/>
        <v/>
      </c>
      <c r="O1024" s="67" cm="1">
        <f t="array" ref="O1024">SUMPRODUCT((G1024=$G$7:$G$10000)*(M1024&lt;$M$7:$M$10000))+1</f>
        <v>99</v>
      </c>
      <c r="P1024" s="72"/>
      <c r="Q1024">
        <v>14</v>
      </c>
      <c r="R1024" t="str">
        <v>CHI</v>
      </c>
      <c r="S1024" t="str">
        <v>Dylan Fawsitt</v>
      </c>
      <c r="T1024" t="str">
        <v>NULL</v>
      </c>
      <c r="U1024" t="str">
        <v>Home</v>
      </c>
      <c r="V1024" t="str">
        <v>LA</v>
      </c>
      <c r="W1024">
        <v>10.059654696962131</v>
      </c>
      <c r="Y1024" s="1" cm="1">
        <f t="array" ref="Y1024">COUNT(_xlfn._xlws.FILTER($G$7:$G$10000,($I$7:$I$10000=X1024)*($J$7:$J$10000&lt;&gt;"NULL")*($G$7:$G$10000 &gt;= ($G$1-5))))/5</f>
        <v>0</v>
      </c>
    </row>
    <row r="1025" spans="7:25" x14ac:dyDescent="0.35">
      <c r="G1025" s="66">
        <v>11</v>
      </c>
      <c r="H1025" t="s">
        <v>2</v>
      </c>
      <c r="I1025" t="s">
        <v>426</v>
      </c>
      <c r="J1025" t="s">
        <v>256</v>
      </c>
      <c r="K1025" t="s">
        <v>9</v>
      </c>
      <c r="L1025" t="s">
        <v>13</v>
      </c>
      <c r="M1025">
        <f t="shared" si="50"/>
        <v>0.322185269143616</v>
      </c>
      <c r="N1025" t="str">
        <f t="shared" si="51"/>
        <v/>
      </c>
      <c r="O1025" s="67" cm="1">
        <f t="array" ref="O1025">SUMPRODUCT((G1025=$G$7:$G$10000)*(M1025&lt;$M$7:$M$10000))+1</f>
        <v>100</v>
      </c>
      <c r="P1025" s="72"/>
      <c r="Q1025">
        <v>14</v>
      </c>
      <c r="R1025" t="str">
        <v>LA</v>
      </c>
      <c r="S1025" t="str">
        <v>Tim Anstee</v>
      </c>
      <c r="T1025" t="str">
        <v>NULL</v>
      </c>
      <c r="U1025" t="str">
        <v>Away</v>
      </c>
      <c r="V1025" t="str">
        <v>CHI</v>
      </c>
      <c r="W1025">
        <v>10.043848343650387</v>
      </c>
      <c r="Y1025" s="1" cm="1">
        <f t="array" ref="Y1025">COUNT(_xlfn._xlws.FILTER($G$7:$G$10000,($I$7:$I$10000=X1025)*($J$7:$J$10000&lt;&gt;"NULL")*($G$7:$G$10000 &gt;= ($G$1-5))))/5</f>
        <v>0</v>
      </c>
    </row>
    <row r="1026" spans="7:25" x14ac:dyDescent="0.35">
      <c r="G1026" s="66">
        <v>11</v>
      </c>
      <c r="H1026" t="s">
        <v>2</v>
      </c>
      <c r="I1026" t="s">
        <v>159</v>
      </c>
      <c r="J1026" t="s">
        <v>256</v>
      </c>
      <c r="K1026" t="s">
        <v>9</v>
      </c>
      <c r="L1026" t="s">
        <v>13</v>
      </c>
      <c r="M1026">
        <f t="shared" si="50"/>
        <v>0.18405679436764455</v>
      </c>
      <c r="N1026" t="str">
        <f t="shared" si="51"/>
        <v/>
      </c>
      <c r="O1026" s="67" cm="1">
        <f t="array" ref="O1026">SUMPRODUCT((G1026=$G$7:$G$10000)*(M1026&lt;$M$7:$M$10000))+1</f>
        <v>101</v>
      </c>
      <c r="P1026" s="72"/>
      <c r="Q1026">
        <v>14</v>
      </c>
      <c r="R1026" t="str">
        <v>SDL</v>
      </c>
      <c r="S1026" t="str">
        <v>Jed Holloway</v>
      </c>
      <c r="T1026" t="str">
        <v>NULL</v>
      </c>
      <c r="U1026" t="str">
        <v>Away</v>
      </c>
      <c r="V1026" t="str">
        <v>SEA</v>
      </c>
      <c r="W1026">
        <v>9.2429705485359595</v>
      </c>
      <c r="Y1026" s="1" cm="1">
        <f t="array" ref="Y1026">COUNT(_xlfn._xlws.FILTER($G$7:$G$10000,($I$7:$I$10000=X1026)*($J$7:$J$10000&lt;&gt;"NULL")*($G$7:$G$10000 &gt;= ($G$1-5))))/5</f>
        <v>0</v>
      </c>
    </row>
    <row r="1027" spans="7:25" x14ac:dyDescent="0.35">
      <c r="G1027" s="66">
        <v>11</v>
      </c>
      <c r="H1027" t="s">
        <v>2</v>
      </c>
      <c r="I1027" t="s">
        <v>185</v>
      </c>
      <c r="J1027" t="s">
        <v>256</v>
      </c>
      <c r="K1027" t="s">
        <v>9</v>
      </c>
      <c r="L1027" t="s">
        <v>13</v>
      </c>
      <c r="M1027">
        <f t="shared" si="50"/>
        <v>-1.9198731674388529</v>
      </c>
      <c r="N1027" t="str">
        <f t="shared" si="51"/>
        <v/>
      </c>
      <c r="O1027" s="67" cm="1">
        <f t="array" ref="O1027">SUMPRODUCT((G1027=$G$7:$G$10000)*(M1027&lt;$M$7:$M$10000))+1</f>
        <v>102</v>
      </c>
      <c r="P1027" s="72"/>
      <c r="Q1027">
        <v>14</v>
      </c>
      <c r="R1027" t="str">
        <v>CHI</v>
      </c>
      <c r="S1027" t="str">
        <v>Maclean Jones</v>
      </c>
      <c r="T1027" t="str">
        <v>NULL</v>
      </c>
      <c r="U1027" t="str">
        <v>Home</v>
      </c>
      <c r="V1027" t="str">
        <v>LA</v>
      </c>
      <c r="W1027">
        <v>9.096761485692511</v>
      </c>
      <c r="Y1027" s="1" cm="1">
        <f t="array" ref="Y1027">COUNT(_xlfn._xlws.FILTER($G$7:$G$10000,($I$7:$I$10000=X1027)*($J$7:$J$10000&lt;&gt;"NULL")*($G$7:$G$10000 &gt;= ($G$1-5))))/5</f>
        <v>0</v>
      </c>
    </row>
    <row r="1028" spans="7:25" x14ac:dyDescent="0.35">
      <c r="G1028" s="66">
        <v>11</v>
      </c>
      <c r="H1028" t="s">
        <v>36</v>
      </c>
      <c r="I1028" t="s">
        <v>106</v>
      </c>
      <c r="J1028" t="s">
        <v>256</v>
      </c>
      <c r="K1028" t="s">
        <v>3</v>
      </c>
      <c r="L1028" t="s">
        <v>7</v>
      </c>
      <c r="M1028">
        <f t="shared" si="50"/>
        <v>-3.631651366775829</v>
      </c>
      <c r="N1028" t="str">
        <f t="shared" si="51"/>
        <v/>
      </c>
      <c r="O1028" s="67" cm="1">
        <f t="array" ref="O1028">SUMPRODUCT((G1028=$G$7:$G$10000)*(M1028&lt;$M$7:$M$10000))+1</f>
        <v>103</v>
      </c>
      <c r="P1028" s="72"/>
      <c r="Q1028">
        <v>14</v>
      </c>
      <c r="R1028" t="str">
        <v>CHI</v>
      </c>
      <c r="S1028" t="str">
        <v>James Scott</v>
      </c>
      <c r="T1028" t="str">
        <v>NULL</v>
      </c>
      <c r="U1028" t="str">
        <v>Home</v>
      </c>
      <c r="V1028" t="str">
        <v>LA</v>
      </c>
      <c r="W1028">
        <v>8.6501185071076385</v>
      </c>
      <c r="Y1028" s="1" cm="1">
        <f t="array" ref="Y1028">COUNT(_xlfn._xlws.FILTER($G$7:$G$10000,($I$7:$I$10000=X1028)*($J$7:$J$10000&lt;&gt;"NULL")*($G$7:$G$10000 &gt;= ($G$1-5))))/5</f>
        <v>0</v>
      </c>
    </row>
    <row r="1029" spans="7:25" x14ac:dyDescent="0.35">
      <c r="G1029" s="66">
        <v>11</v>
      </c>
      <c r="H1029" t="s">
        <v>24</v>
      </c>
      <c r="I1029" t="s">
        <v>142</v>
      </c>
      <c r="J1029" t="s">
        <v>256</v>
      </c>
      <c r="K1029" t="s">
        <v>3</v>
      </c>
      <c r="L1029" t="s">
        <v>14</v>
      </c>
      <c r="M1029">
        <f t="shared" si="50"/>
        <v>-8.7850614359976191</v>
      </c>
      <c r="N1029" t="str">
        <f t="shared" si="51"/>
        <v/>
      </c>
      <c r="O1029" s="67" cm="1">
        <f t="array" ref="O1029">SUMPRODUCT((G1029=$G$7:$G$10000)*(M1029&lt;$M$7:$M$10000))+1</f>
        <v>104</v>
      </c>
      <c r="P1029" s="72"/>
      <c r="Q1029">
        <v>14</v>
      </c>
      <c r="R1029" t="str">
        <v>HOU</v>
      </c>
      <c r="S1029" t="str">
        <v>Pita Anae-Ah Sue</v>
      </c>
      <c r="T1029" t="str">
        <v>NULL</v>
      </c>
      <c r="U1029" t="str">
        <v>Home</v>
      </c>
      <c r="V1029" t="str">
        <v>UTAH</v>
      </c>
      <c r="W1029">
        <v>8.6416593849121988</v>
      </c>
      <c r="Y1029" s="1" cm="1">
        <f t="array" ref="Y1029">COUNT(_xlfn._xlws.FILTER($G$7:$G$10000,($I$7:$I$10000=X1029)*($J$7:$J$10000&lt;&gt;"NULL")*($G$7:$G$10000 &gt;= ($G$1-5))))/5</f>
        <v>0</v>
      </c>
    </row>
    <row r="1030" spans="7:25" x14ac:dyDescent="0.35">
      <c r="G1030" s="66">
        <v>12</v>
      </c>
      <c r="H1030" t="s">
        <v>17</v>
      </c>
      <c r="I1030" t="s">
        <v>485</v>
      </c>
      <c r="J1030" t="s">
        <v>256</v>
      </c>
      <c r="K1030" t="s">
        <v>3</v>
      </c>
      <c r="L1030" t="s">
        <v>6</v>
      </c>
      <c r="M1030">
        <f t="shared" si="50"/>
        <v>19.611056092243025</v>
      </c>
      <c r="N1030" t="str">
        <f t="shared" si="51"/>
        <v/>
      </c>
      <c r="O1030" s="67" cm="1">
        <f t="array" ref="O1030">SUMPRODUCT((G1030=$G$7:$G$10000)*(M1030&lt;$M$7:$M$10000))+1</f>
        <v>1</v>
      </c>
      <c r="P1030" s="72"/>
      <c r="Q1030">
        <v>14</v>
      </c>
      <c r="R1030" t="str">
        <v>CHI</v>
      </c>
      <c r="S1030" t="str">
        <v>Mason Flesch</v>
      </c>
      <c r="T1030" t="str">
        <v>NULL</v>
      </c>
      <c r="U1030" t="str">
        <v>Home</v>
      </c>
      <c r="V1030" t="str">
        <v>LA</v>
      </c>
      <c r="W1030">
        <v>8.4398113425689854</v>
      </c>
      <c r="Y1030" s="1" cm="1">
        <f t="array" ref="Y1030">COUNT(_xlfn._xlws.FILTER($G$7:$G$10000,($I$7:$I$10000=X1030)*($J$7:$J$10000&lt;&gt;"NULL")*($G$7:$G$10000 &gt;= ($G$1-5))))/5</f>
        <v>0</v>
      </c>
    </row>
    <row r="1031" spans="7:25" x14ac:dyDescent="0.35">
      <c r="G1031" s="66">
        <v>12</v>
      </c>
      <c r="H1031" t="s">
        <v>34</v>
      </c>
      <c r="I1031" t="s">
        <v>228</v>
      </c>
      <c r="J1031" t="s">
        <v>256</v>
      </c>
      <c r="K1031" t="s">
        <v>3</v>
      </c>
      <c r="L1031" t="s">
        <v>4</v>
      </c>
      <c r="M1031">
        <f t="shared" si="50"/>
        <v>15.073807919088271</v>
      </c>
      <c r="N1031" t="str">
        <f t="shared" si="51"/>
        <v/>
      </c>
      <c r="O1031" s="67" cm="1">
        <f t="array" ref="O1031">SUMPRODUCT((G1031=$G$7:$G$10000)*(M1031&lt;$M$7:$M$10000))+1</f>
        <v>2</v>
      </c>
      <c r="P1031" s="72"/>
      <c r="Q1031">
        <v>14</v>
      </c>
      <c r="R1031" t="str">
        <v>MIA</v>
      </c>
      <c r="S1031" t="str">
        <v>Benjamin Bonasso</v>
      </c>
      <c r="T1031" t="str">
        <v>NULL</v>
      </c>
      <c r="U1031" t="str">
        <v>Home</v>
      </c>
      <c r="V1031" t="str">
        <v>NEFJ</v>
      </c>
      <c r="W1031">
        <v>8.3024233650875914</v>
      </c>
      <c r="Y1031" s="1" cm="1">
        <f t="array" ref="Y1031">COUNT(_xlfn._xlws.FILTER($G$7:$G$10000,($I$7:$I$10000=X1031)*($J$7:$J$10000&lt;&gt;"NULL")*($G$7:$G$10000 &gt;= ($G$1-5))))/5</f>
        <v>0</v>
      </c>
    </row>
    <row r="1032" spans="7:25" x14ac:dyDescent="0.35">
      <c r="G1032" s="66">
        <v>12</v>
      </c>
      <c r="H1032" t="s">
        <v>34</v>
      </c>
      <c r="I1032" t="s">
        <v>462</v>
      </c>
      <c r="J1032" t="s">
        <v>256</v>
      </c>
      <c r="K1032" t="s">
        <v>3</v>
      </c>
      <c r="L1032" t="s">
        <v>4</v>
      </c>
      <c r="M1032">
        <f t="shared" si="50"/>
        <v>14.71617554687273</v>
      </c>
      <c r="N1032" t="str">
        <f t="shared" si="51"/>
        <v/>
      </c>
      <c r="O1032" s="67" cm="1">
        <f t="array" ref="O1032">SUMPRODUCT((G1032=$G$7:$G$10000)*(M1032&lt;$M$7:$M$10000))+1</f>
        <v>3</v>
      </c>
      <c r="P1032" s="72"/>
      <c r="Q1032">
        <v>14</v>
      </c>
      <c r="R1032" t="str">
        <v>HOU</v>
      </c>
      <c r="S1032" t="str">
        <v>Sam Tuifua</v>
      </c>
      <c r="T1032" t="str">
        <v>NULL</v>
      </c>
      <c r="U1032" t="str">
        <v>Home</v>
      </c>
      <c r="V1032" t="str">
        <v>UTAH</v>
      </c>
      <c r="W1032">
        <v>8.2819452809851306</v>
      </c>
      <c r="Y1032" s="1" cm="1">
        <f t="array" ref="Y1032">COUNT(_xlfn._xlws.FILTER($G$7:$G$10000,($I$7:$I$10000=X1032)*($J$7:$J$10000&lt;&gt;"NULL")*($G$7:$G$10000 &gt;= ($G$1-5))))/5</f>
        <v>0</v>
      </c>
    </row>
    <row r="1033" spans="7:25" x14ac:dyDescent="0.35">
      <c r="G1033" s="66">
        <v>12</v>
      </c>
      <c r="H1033" t="s">
        <v>34</v>
      </c>
      <c r="I1033" t="s">
        <v>429</v>
      </c>
      <c r="J1033" t="s">
        <v>256</v>
      </c>
      <c r="K1033" t="s">
        <v>3</v>
      </c>
      <c r="L1033" t="s">
        <v>4</v>
      </c>
      <c r="M1033">
        <f t="shared" si="50"/>
        <v>13.70570963306737</v>
      </c>
      <c r="N1033" t="str">
        <f t="shared" si="51"/>
        <v/>
      </c>
      <c r="O1033" s="67" cm="1">
        <f t="array" ref="O1033">SUMPRODUCT((G1033=$G$7:$G$10000)*(M1033&lt;$M$7:$M$10000))+1</f>
        <v>4</v>
      </c>
      <c r="P1033" s="72"/>
      <c r="Q1033">
        <v>14</v>
      </c>
      <c r="R1033" t="str">
        <v>LA</v>
      </c>
      <c r="S1033" t="str">
        <v>Ben Houston</v>
      </c>
      <c r="T1033" t="str">
        <v>NULL</v>
      </c>
      <c r="U1033" t="str">
        <v>Away</v>
      </c>
      <c r="V1033" t="str">
        <v>CHI</v>
      </c>
      <c r="W1033">
        <v>8.0672198940799245</v>
      </c>
      <c r="Y1033" s="1" cm="1">
        <f t="array" ref="Y1033">COUNT(_xlfn._xlws.FILTER($G$7:$G$10000,($I$7:$I$10000=X1033)*($J$7:$J$10000&lt;&gt;"NULL")*($G$7:$G$10000 &gt;= ($G$1-5))))/5</f>
        <v>0</v>
      </c>
    </row>
    <row r="1034" spans="7:25" x14ac:dyDescent="0.35">
      <c r="G1034" s="66">
        <v>12</v>
      </c>
      <c r="H1034" t="s">
        <v>4</v>
      </c>
      <c r="I1034" t="s">
        <v>175</v>
      </c>
      <c r="J1034" t="s">
        <v>256</v>
      </c>
      <c r="K1034" t="s">
        <v>9</v>
      </c>
      <c r="L1034" t="s">
        <v>34</v>
      </c>
      <c r="M1034">
        <f t="shared" si="50"/>
        <v>13.174993628991217</v>
      </c>
      <c r="N1034" t="str">
        <f t="shared" si="51"/>
        <v/>
      </c>
      <c r="O1034" s="67" cm="1">
        <f t="array" ref="O1034">SUMPRODUCT((G1034=$G$7:$G$10000)*(M1034&lt;$M$7:$M$10000))+1</f>
        <v>5</v>
      </c>
      <c r="P1034" s="72"/>
      <c r="Q1034">
        <v>14</v>
      </c>
      <c r="R1034" t="str">
        <v>NEFJ</v>
      </c>
      <c r="S1034" t="str">
        <v>Piers von Dadelszen</v>
      </c>
      <c r="T1034" t="str">
        <v>NULL</v>
      </c>
      <c r="U1034" t="str">
        <v>Away</v>
      </c>
      <c r="V1034" t="str">
        <v>MIA</v>
      </c>
      <c r="W1034">
        <v>8.026611657065077</v>
      </c>
      <c r="Y1034" s="1" cm="1">
        <f t="array" ref="Y1034">COUNT(_xlfn._xlws.FILTER($G$7:$G$10000,($I$7:$I$10000=X1034)*($J$7:$J$10000&lt;&gt;"NULL")*($G$7:$G$10000 &gt;= ($G$1-5))))/5</f>
        <v>0</v>
      </c>
    </row>
    <row r="1035" spans="7:25" x14ac:dyDescent="0.35">
      <c r="G1035" s="66">
        <v>12</v>
      </c>
      <c r="H1035" t="s">
        <v>34</v>
      </c>
      <c r="I1035" t="s">
        <v>200</v>
      </c>
      <c r="J1035" t="s">
        <v>256</v>
      </c>
      <c r="K1035" t="s">
        <v>3</v>
      </c>
      <c r="L1035" t="s">
        <v>4</v>
      </c>
      <c r="M1035">
        <f t="shared" si="50"/>
        <v>12.854471853454767</v>
      </c>
      <c r="N1035" t="str">
        <f t="shared" si="51"/>
        <v/>
      </c>
      <c r="O1035" s="67" cm="1">
        <f t="array" ref="O1035">SUMPRODUCT((G1035=$G$7:$G$10000)*(M1035&lt;$M$7:$M$10000))+1</f>
        <v>6</v>
      </c>
      <c r="P1035" s="72"/>
      <c r="Q1035">
        <v>14</v>
      </c>
      <c r="R1035" t="str">
        <v>UTAH</v>
      </c>
      <c r="S1035" t="str">
        <v>Dylan Nel</v>
      </c>
      <c r="T1035" t="str">
        <v>NULL</v>
      </c>
      <c r="U1035" t="str">
        <v>Away</v>
      </c>
      <c r="V1035" t="str">
        <v>HOU</v>
      </c>
      <c r="W1035">
        <v>7.9875107991773531</v>
      </c>
      <c r="Y1035" s="1" cm="1">
        <f t="array" ref="Y1035">COUNT(_xlfn._xlws.FILTER($G$7:$G$10000,($I$7:$I$10000=X1035)*($J$7:$J$10000&lt;&gt;"NULL")*($G$7:$G$10000 &gt;= ($G$1-5))))/5</f>
        <v>0</v>
      </c>
    </row>
    <row r="1036" spans="7:25" x14ac:dyDescent="0.35">
      <c r="G1036" s="66">
        <v>12</v>
      </c>
      <c r="H1036" t="s">
        <v>34</v>
      </c>
      <c r="I1036" t="s">
        <v>351</v>
      </c>
      <c r="J1036" t="s">
        <v>256</v>
      </c>
      <c r="K1036" t="s">
        <v>3</v>
      </c>
      <c r="L1036" t="s">
        <v>4</v>
      </c>
      <c r="M1036">
        <f t="shared" si="50"/>
        <v>12.298694714788187</v>
      </c>
      <c r="N1036" t="str">
        <f t="shared" si="51"/>
        <v/>
      </c>
      <c r="O1036" s="67" cm="1">
        <f t="array" ref="O1036">SUMPRODUCT((G1036=$G$7:$G$10000)*(M1036&lt;$M$7:$M$10000))+1</f>
        <v>7</v>
      </c>
      <c r="P1036" s="72"/>
      <c r="Q1036">
        <v>14</v>
      </c>
      <c r="R1036" t="str">
        <v>NEFJ</v>
      </c>
      <c r="S1036" t="str">
        <v>Andrew Quattrin</v>
      </c>
      <c r="T1036" t="str">
        <v>NULL</v>
      </c>
      <c r="U1036" t="str">
        <v>Away</v>
      </c>
      <c r="V1036" t="str">
        <v>MIA</v>
      </c>
      <c r="W1036">
        <v>7.9119775457588846</v>
      </c>
      <c r="Y1036" s="1" cm="1">
        <f t="array" ref="Y1036">COUNT(_xlfn._xlws.FILTER($G$7:$G$10000,($I$7:$I$10000=X1036)*($J$7:$J$10000&lt;&gt;"NULL")*($G$7:$G$10000 &gt;= ($G$1-5))))/5</f>
        <v>0</v>
      </c>
    </row>
    <row r="1037" spans="7:25" x14ac:dyDescent="0.35">
      <c r="G1037" s="66">
        <v>12</v>
      </c>
      <c r="H1037" t="s">
        <v>4</v>
      </c>
      <c r="I1037" t="s">
        <v>209</v>
      </c>
      <c r="J1037" t="s">
        <v>256</v>
      </c>
      <c r="K1037" t="s">
        <v>9</v>
      </c>
      <c r="L1037" t="s">
        <v>34</v>
      </c>
      <c r="M1037">
        <f t="shared" si="50"/>
        <v>12.282706090172612</v>
      </c>
      <c r="N1037" t="str">
        <f t="shared" si="51"/>
        <v/>
      </c>
      <c r="O1037" s="67" cm="1">
        <f t="array" ref="O1037">SUMPRODUCT((G1037=$G$7:$G$10000)*(M1037&lt;$M$7:$M$10000))+1</f>
        <v>8</v>
      </c>
      <c r="P1037" s="72"/>
      <c r="Q1037">
        <v>14</v>
      </c>
      <c r="R1037" t="str">
        <v>CHI</v>
      </c>
      <c r="S1037" t="str">
        <v>Paddy Ryan</v>
      </c>
      <c r="T1037" t="str">
        <v>NULL</v>
      </c>
      <c r="U1037" t="str">
        <v>Home</v>
      </c>
      <c r="V1037" t="str">
        <v>LA</v>
      </c>
      <c r="W1037">
        <v>7.8847726077031037</v>
      </c>
      <c r="Y1037" s="1" cm="1">
        <f t="array" ref="Y1037">COUNT(_xlfn._xlws.FILTER($G$7:$G$10000,($I$7:$I$10000=X1037)*($J$7:$J$10000&lt;&gt;"NULL")*($G$7:$G$10000 &gt;= ($G$1-5))))/5</f>
        <v>0</v>
      </c>
    </row>
    <row r="1038" spans="7:25" x14ac:dyDescent="0.35">
      <c r="G1038" s="66">
        <v>12</v>
      </c>
      <c r="H1038" t="s">
        <v>23</v>
      </c>
      <c r="I1038" t="s">
        <v>428</v>
      </c>
      <c r="J1038" t="s">
        <v>256</v>
      </c>
      <c r="K1038" t="s">
        <v>3</v>
      </c>
      <c r="L1038" t="s">
        <v>36</v>
      </c>
      <c r="M1038">
        <f t="shared" si="50"/>
        <v>12.027670175235652</v>
      </c>
      <c r="N1038" t="str">
        <f t="shared" si="51"/>
        <v/>
      </c>
      <c r="O1038" s="67" cm="1">
        <f t="array" ref="O1038">SUMPRODUCT((G1038=$G$7:$G$10000)*(M1038&lt;$M$7:$M$10000))+1</f>
        <v>9</v>
      </c>
      <c r="P1038" s="72"/>
      <c r="Q1038">
        <v>14</v>
      </c>
      <c r="R1038" t="str">
        <v>SEA</v>
      </c>
      <c r="S1038" t="str">
        <v>Huw Taylor</v>
      </c>
      <c r="T1038" t="str">
        <v>NULL</v>
      </c>
      <c r="U1038" t="str">
        <v>Home</v>
      </c>
      <c r="V1038" t="str">
        <v>SDL</v>
      </c>
      <c r="W1038">
        <v>7.8523489438198633</v>
      </c>
      <c r="Y1038" s="1" cm="1">
        <f t="array" ref="Y1038">COUNT(_xlfn._xlws.FILTER($G$7:$G$10000,($I$7:$I$10000=X1038)*($J$7:$J$10000&lt;&gt;"NULL")*($G$7:$G$10000 &gt;= ($G$1-5))))/5</f>
        <v>0</v>
      </c>
    </row>
    <row r="1039" spans="7:25" x14ac:dyDescent="0.35">
      <c r="G1039" s="66">
        <v>12</v>
      </c>
      <c r="H1039" t="s">
        <v>23</v>
      </c>
      <c r="I1039" t="s">
        <v>389</v>
      </c>
      <c r="J1039" t="s">
        <v>256</v>
      </c>
      <c r="K1039" t="s">
        <v>3</v>
      </c>
      <c r="L1039" t="s">
        <v>36</v>
      </c>
      <c r="M1039">
        <f t="shared" si="50"/>
        <v>11.2101820468488</v>
      </c>
      <c r="N1039" t="str">
        <f t="shared" si="51"/>
        <v/>
      </c>
      <c r="O1039" s="67" cm="1">
        <f t="array" ref="O1039">SUMPRODUCT((G1039=$G$7:$G$10000)*(M1039&lt;$M$7:$M$10000))+1</f>
        <v>10</v>
      </c>
      <c r="P1039" s="72"/>
      <c r="Q1039">
        <v>14</v>
      </c>
      <c r="R1039" t="str">
        <v>LA</v>
      </c>
      <c r="S1039" t="str">
        <v>Ed Timpson</v>
      </c>
      <c r="T1039" t="str">
        <v>NULL</v>
      </c>
      <c r="U1039" t="str">
        <v>Away</v>
      </c>
      <c r="V1039" t="str">
        <v>CHI</v>
      </c>
      <c r="W1039">
        <v>7.6965669486185604</v>
      </c>
      <c r="Y1039" s="1" cm="1">
        <f t="array" ref="Y1039">COUNT(_xlfn._xlws.FILTER($G$7:$G$10000,($I$7:$I$10000=X1039)*($J$7:$J$10000&lt;&gt;"NULL")*($G$7:$G$10000 &gt;= ($G$1-5))))/5</f>
        <v>0</v>
      </c>
    </row>
    <row r="1040" spans="7:25" x14ac:dyDescent="0.35">
      <c r="G1040" s="66">
        <v>12</v>
      </c>
      <c r="H1040" t="s">
        <v>17</v>
      </c>
      <c r="I1040" t="s">
        <v>480</v>
      </c>
      <c r="J1040" t="s">
        <v>256</v>
      </c>
      <c r="K1040" t="s">
        <v>3</v>
      </c>
      <c r="L1040" t="s">
        <v>6</v>
      </c>
      <c r="M1040">
        <f t="shared" si="50"/>
        <v>11.077273822205219</v>
      </c>
      <c r="N1040" t="str">
        <f t="shared" si="51"/>
        <v/>
      </c>
      <c r="O1040" s="67" cm="1">
        <f t="array" ref="O1040">SUMPRODUCT((G1040=$G$7:$G$10000)*(M1040&lt;$M$7:$M$10000))+1</f>
        <v>11</v>
      </c>
      <c r="P1040" s="72"/>
      <c r="Q1040">
        <v>14</v>
      </c>
      <c r="R1040" t="str">
        <v>NEFJ</v>
      </c>
      <c r="S1040" t="str">
        <v>Sam Caird</v>
      </c>
      <c r="T1040" t="str">
        <v>NULL</v>
      </c>
      <c r="U1040" t="str">
        <v>Away</v>
      </c>
      <c r="V1040" t="str">
        <v>MIA</v>
      </c>
      <c r="W1040">
        <v>7.6401991911679081</v>
      </c>
      <c r="Y1040" s="1" cm="1">
        <f t="array" ref="Y1040">COUNT(_xlfn._xlws.FILTER($G$7:$G$10000,($I$7:$I$10000=X1040)*($J$7:$J$10000&lt;&gt;"NULL")*($G$7:$G$10000 &gt;= ($G$1-5))))/5</f>
        <v>0</v>
      </c>
    </row>
    <row r="1041" spans="7:25" x14ac:dyDescent="0.35">
      <c r="G1041" s="66">
        <v>12</v>
      </c>
      <c r="H1041" t="s">
        <v>2</v>
      </c>
      <c r="I1041" t="s">
        <v>212</v>
      </c>
      <c r="J1041" t="s">
        <v>256</v>
      </c>
      <c r="K1041" t="s">
        <v>3</v>
      </c>
      <c r="L1041" t="s">
        <v>24</v>
      </c>
      <c r="M1041">
        <f t="shared" si="50"/>
        <v>10.640170835110981</v>
      </c>
      <c r="N1041" t="str">
        <f t="shared" si="51"/>
        <v/>
      </c>
      <c r="O1041" s="67" cm="1">
        <f t="array" ref="O1041">SUMPRODUCT((G1041=$G$7:$G$10000)*(M1041&lt;$M$7:$M$10000))+1</f>
        <v>12</v>
      </c>
      <c r="P1041" s="72"/>
      <c r="Q1041">
        <v>14</v>
      </c>
      <c r="R1041" t="str">
        <v>MIA</v>
      </c>
      <c r="S1041" t="str">
        <v>Manuel Ardao</v>
      </c>
      <c r="T1041" t="str">
        <v>NULL</v>
      </c>
      <c r="U1041" t="str">
        <v>Home</v>
      </c>
      <c r="V1041" t="str">
        <v>NEFJ</v>
      </c>
      <c r="W1041">
        <v>7.58770300999781</v>
      </c>
      <c r="Y1041" s="1" cm="1">
        <f t="array" ref="Y1041">COUNT(_xlfn._xlws.FILTER($G$7:$G$10000,($I$7:$I$10000=X1041)*($J$7:$J$10000&lt;&gt;"NULL")*($G$7:$G$10000 &gt;= ($G$1-5))))/5</f>
        <v>0</v>
      </c>
    </row>
    <row r="1042" spans="7:25" x14ac:dyDescent="0.35">
      <c r="G1042" s="66">
        <v>12</v>
      </c>
      <c r="H1042" t="s">
        <v>2</v>
      </c>
      <c r="I1042" t="s">
        <v>156</v>
      </c>
      <c r="J1042" t="s">
        <v>256</v>
      </c>
      <c r="K1042" t="s">
        <v>3</v>
      </c>
      <c r="L1042" t="s">
        <v>24</v>
      </c>
      <c r="M1042">
        <f t="shared" si="50"/>
        <v>10.240013158757154</v>
      </c>
      <c r="N1042" t="str">
        <f t="shared" si="51"/>
        <v/>
      </c>
      <c r="O1042" s="67" cm="1">
        <f t="array" ref="O1042">SUMPRODUCT((G1042=$G$7:$G$10000)*(M1042&lt;$M$7:$M$10000))+1</f>
        <v>13</v>
      </c>
      <c r="P1042" s="72"/>
      <c r="Q1042">
        <v>14</v>
      </c>
      <c r="R1042" t="str">
        <v>SDL</v>
      </c>
      <c r="S1042" t="str">
        <v>Paddy Ryan</v>
      </c>
      <c r="T1042" t="str">
        <v>NULL</v>
      </c>
      <c r="U1042" t="str">
        <v>Away</v>
      </c>
      <c r="V1042" t="str">
        <v>SEA</v>
      </c>
      <c r="W1042">
        <v>7.359759165650761</v>
      </c>
      <c r="Y1042" s="1" cm="1">
        <f t="array" ref="Y1042">COUNT(_xlfn._xlws.FILTER($G$7:$G$10000,($I$7:$I$10000=X1042)*($J$7:$J$10000&lt;&gt;"NULL")*($G$7:$G$10000 &gt;= ($G$1-5))))/5</f>
        <v>0</v>
      </c>
    </row>
    <row r="1043" spans="7:25" x14ac:dyDescent="0.35">
      <c r="G1043" s="66">
        <v>12</v>
      </c>
      <c r="H1043" t="s">
        <v>24</v>
      </c>
      <c r="I1043" t="s">
        <v>199</v>
      </c>
      <c r="J1043" t="s">
        <v>256</v>
      </c>
      <c r="K1043" t="s">
        <v>9</v>
      </c>
      <c r="L1043" t="s">
        <v>2</v>
      </c>
      <c r="M1043">
        <f t="shared" si="50"/>
        <v>10.192373222345884</v>
      </c>
      <c r="N1043" t="str">
        <f t="shared" si="51"/>
        <v/>
      </c>
      <c r="O1043" s="67" cm="1">
        <f t="array" ref="O1043">SUMPRODUCT((G1043=$G$7:$G$10000)*(M1043&lt;$M$7:$M$10000))+1</f>
        <v>14</v>
      </c>
      <c r="P1043" s="72"/>
      <c r="Q1043">
        <v>14</v>
      </c>
      <c r="R1043" t="str">
        <v>LA</v>
      </c>
      <c r="S1043" t="str">
        <v>Jason Damm</v>
      </c>
      <c r="T1043" t="str">
        <v>NULL</v>
      </c>
      <c r="U1043" t="str">
        <v>Away</v>
      </c>
      <c r="V1043" t="str">
        <v>CHI</v>
      </c>
      <c r="W1043">
        <v>7.1947139777484823</v>
      </c>
      <c r="Y1043" s="1" cm="1">
        <f t="array" ref="Y1043">COUNT(_xlfn._xlws.FILTER($G$7:$G$10000,($I$7:$I$10000=X1043)*($J$7:$J$10000&lt;&gt;"NULL")*($G$7:$G$10000 &gt;= ($G$1-5))))/5</f>
        <v>0</v>
      </c>
    </row>
    <row r="1044" spans="7:25" x14ac:dyDescent="0.35">
      <c r="G1044" s="66">
        <v>12</v>
      </c>
      <c r="H1044" t="s">
        <v>6</v>
      </c>
      <c r="I1044" t="s">
        <v>430</v>
      </c>
      <c r="J1044" t="s">
        <v>256</v>
      </c>
      <c r="K1044" t="s">
        <v>9</v>
      </c>
      <c r="L1044" t="s">
        <v>17</v>
      </c>
      <c r="M1044">
        <f t="shared" si="50"/>
        <v>10.061198853041052</v>
      </c>
      <c r="N1044" t="str">
        <f t="shared" si="51"/>
        <v/>
      </c>
      <c r="O1044" s="67" cm="1">
        <f t="array" ref="O1044">SUMPRODUCT((G1044=$G$7:$G$10000)*(M1044&lt;$M$7:$M$10000))+1</f>
        <v>15</v>
      </c>
      <c r="P1044" s="72"/>
      <c r="Q1044">
        <v>14</v>
      </c>
      <c r="R1044" t="str">
        <v>NEFJ</v>
      </c>
      <c r="S1044" t="str">
        <v>Jero Gomez Vara</v>
      </c>
      <c r="T1044" t="str">
        <v>NULL</v>
      </c>
      <c r="U1044" t="str">
        <v>Away</v>
      </c>
      <c r="V1044" t="str">
        <v>MIA</v>
      </c>
      <c r="W1044">
        <v>6.9653761157233669</v>
      </c>
      <c r="Y1044" s="1" cm="1">
        <f t="array" ref="Y1044">COUNT(_xlfn._xlws.FILTER($G$7:$G$10000,($I$7:$I$10000=X1044)*($J$7:$J$10000&lt;&gt;"NULL")*($G$7:$G$10000 &gt;= ($G$1-5))))/5</f>
        <v>0</v>
      </c>
    </row>
    <row r="1045" spans="7:25" x14ac:dyDescent="0.35">
      <c r="G1045" s="66">
        <v>12</v>
      </c>
      <c r="H1045" t="s">
        <v>13</v>
      </c>
      <c r="I1045" t="s">
        <v>463</v>
      </c>
      <c r="J1045" t="s">
        <v>256</v>
      </c>
      <c r="K1045" t="s">
        <v>9</v>
      </c>
      <c r="L1045" t="s">
        <v>7</v>
      </c>
      <c r="M1045">
        <f t="shared" si="50"/>
        <v>9.8716693663893533</v>
      </c>
      <c r="N1045" t="str">
        <f t="shared" si="51"/>
        <v/>
      </c>
      <c r="O1045" s="67" cm="1">
        <f t="array" ref="O1045">SUMPRODUCT((G1045=$G$7:$G$10000)*(M1045&lt;$M$7:$M$10000))+1</f>
        <v>16</v>
      </c>
      <c r="P1045" s="72"/>
      <c r="Q1045">
        <v>14</v>
      </c>
      <c r="R1045" t="str">
        <v>SEA</v>
      </c>
      <c r="S1045" t="str">
        <v>Cameron Orr</v>
      </c>
      <c r="T1045" t="str">
        <v>NULL</v>
      </c>
      <c r="U1045" t="str">
        <v>Home</v>
      </c>
      <c r="V1045" t="str">
        <v>SDL</v>
      </c>
      <c r="W1045">
        <v>6.7533411401215746</v>
      </c>
      <c r="Y1045" s="1" cm="1">
        <f t="array" ref="Y1045">COUNT(_xlfn._xlws.FILTER($G$7:$G$10000,($I$7:$I$10000=X1045)*($J$7:$J$10000&lt;&gt;"NULL")*($G$7:$G$10000 &gt;= ($G$1-5))))/5</f>
        <v>0</v>
      </c>
    </row>
    <row r="1046" spans="7:25" x14ac:dyDescent="0.35">
      <c r="G1046" s="66">
        <v>12</v>
      </c>
      <c r="H1046" t="s">
        <v>24</v>
      </c>
      <c r="I1046" t="s">
        <v>215</v>
      </c>
      <c r="J1046" t="s">
        <v>256</v>
      </c>
      <c r="K1046" t="s">
        <v>9</v>
      </c>
      <c r="L1046" t="s">
        <v>2</v>
      </c>
      <c r="M1046">
        <f t="shared" si="50"/>
        <v>9.4776528672561025</v>
      </c>
      <c r="N1046" t="str">
        <f t="shared" si="51"/>
        <v/>
      </c>
      <c r="O1046" s="67" cm="1">
        <f t="array" ref="O1046">SUMPRODUCT((G1046=$G$7:$G$10000)*(M1046&lt;$M$7:$M$10000))+1</f>
        <v>17</v>
      </c>
      <c r="P1046" s="72"/>
      <c r="Q1046">
        <v>14</v>
      </c>
      <c r="R1046" t="str">
        <v>SDL</v>
      </c>
      <c r="S1046" t="str">
        <v>Tevita Tameilau</v>
      </c>
      <c r="T1046" t="str">
        <v>NULL</v>
      </c>
      <c r="U1046" t="str">
        <v>Away</v>
      </c>
      <c r="V1046" t="str">
        <v>SEA</v>
      </c>
      <c r="W1046">
        <v>6.7026876252577674</v>
      </c>
      <c r="Y1046" s="1" cm="1">
        <f t="array" ref="Y1046">COUNT(_xlfn._xlws.FILTER($G$7:$G$10000,($I$7:$I$10000=X1046)*($J$7:$J$10000&lt;&gt;"NULL")*($G$7:$G$10000 &gt;= ($G$1-5))))/5</f>
        <v>0</v>
      </c>
    </row>
    <row r="1047" spans="7:25" x14ac:dyDescent="0.35">
      <c r="G1047" s="66">
        <v>12</v>
      </c>
      <c r="H1047" t="s">
        <v>36</v>
      </c>
      <c r="I1047" t="s">
        <v>466</v>
      </c>
      <c r="J1047" t="s">
        <v>256</v>
      </c>
      <c r="K1047" t="s">
        <v>9</v>
      </c>
      <c r="L1047" t="s">
        <v>23</v>
      </c>
      <c r="M1047">
        <f t="shared" si="50"/>
        <v>9.4475705873008167</v>
      </c>
      <c r="N1047" t="str">
        <f t="shared" si="51"/>
        <v/>
      </c>
      <c r="O1047" s="67" cm="1">
        <f t="array" ref="O1047">SUMPRODUCT((G1047=$G$7:$G$10000)*(M1047&lt;$M$7:$M$10000))+1</f>
        <v>18</v>
      </c>
      <c r="P1047" s="72"/>
      <c r="Q1047">
        <v>14</v>
      </c>
      <c r="R1047" t="str">
        <v>UTAH</v>
      </c>
      <c r="S1047" t="str">
        <v>Aki Seiuli</v>
      </c>
      <c r="T1047" t="str">
        <v>NULL</v>
      </c>
      <c r="U1047" t="str">
        <v>Away</v>
      </c>
      <c r="V1047" t="str">
        <v>HOU</v>
      </c>
      <c r="W1047">
        <v>6.6999335287175201</v>
      </c>
      <c r="Y1047" s="1" cm="1">
        <f t="array" ref="Y1047">COUNT(_xlfn._xlws.FILTER($G$7:$G$10000,($I$7:$I$10000=X1047)*($J$7:$J$10000&lt;&gt;"NULL")*($G$7:$G$10000 &gt;= ($G$1-5))))/5</f>
        <v>0</v>
      </c>
    </row>
    <row r="1048" spans="7:25" x14ac:dyDescent="0.35">
      <c r="G1048" s="66">
        <v>12</v>
      </c>
      <c r="H1048" t="s">
        <v>17</v>
      </c>
      <c r="I1048" t="s">
        <v>427</v>
      </c>
      <c r="J1048" t="s">
        <v>256</v>
      </c>
      <c r="K1048" t="s">
        <v>3</v>
      </c>
      <c r="L1048" t="s">
        <v>6</v>
      </c>
      <c r="M1048">
        <f t="shared" si="50"/>
        <v>9.372756729707266</v>
      </c>
      <c r="N1048" t="str">
        <f t="shared" si="51"/>
        <v/>
      </c>
      <c r="O1048" s="67" cm="1">
        <f t="array" ref="O1048">SUMPRODUCT((G1048=$G$7:$G$10000)*(M1048&lt;$M$7:$M$10000))+1</f>
        <v>19</v>
      </c>
      <c r="P1048" s="72"/>
      <c r="Q1048">
        <v>14</v>
      </c>
      <c r="R1048" t="str">
        <v>NEFJ</v>
      </c>
      <c r="S1048" t="str">
        <v>Kaleb Geiger</v>
      </c>
      <c r="T1048" t="str">
        <v>NULL</v>
      </c>
      <c r="U1048" t="str">
        <v>Away</v>
      </c>
      <c r="V1048" t="str">
        <v>MIA</v>
      </c>
      <c r="W1048">
        <v>6.6899351458145899</v>
      </c>
      <c r="Y1048" s="1" cm="1">
        <f t="array" ref="Y1048">COUNT(_xlfn._xlws.FILTER($G$7:$G$10000,($I$7:$I$10000=X1048)*($J$7:$J$10000&lt;&gt;"NULL")*($G$7:$G$10000 &gt;= ($G$1-5))))/5</f>
        <v>0</v>
      </c>
    </row>
    <row r="1049" spans="7:25" x14ac:dyDescent="0.35">
      <c r="G1049" s="66">
        <v>12</v>
      </c>
      <c r="H1049" t="s">
        <v>2</v>
      </c>
      <c r="I1049" t="s">
        <v>213</v>
      </c>
      <c r="J1049" t="s">
        <v>256</v>
      </c>
      <c r="K1049" t="s">
        <v>3</v>
      </c>
      <c r="L1049" t="s">
        <v>24</v>
      </c>
      <c r="M1049">
        <f t="shared" si="50"/>
        <v>9.2771199474875345</v>
      </c>
      <c r="N1049" t="str">
        <f t="shared" si="51"/>
        <v/>
      </c>
      <c r="O1049" s="67" cm="1">
        <f t="array" ref="O1049">SUMPRODUCT((G1049=$G$7:$G$10000)*(M1049&lt;$M$7:$M$10000))+1</f>
        <v>20</v>
      </c>
      <c r="P1049" s="72"/>
      <c r="Q1049">
        <v>14</v>
      </c>
      <c r="R1049" t="str">
        <v>OGDC</v>
      </c>
      <c r="S1049" t="str">
        <v>Jamason Fa'anana-Schultz</v>
      </c>
      <c r="T1049" t="str">
        <v>NULL</v>
      </c>
      <c r="U1049" t="str">
        <v>Away</v>
      </c>
      <c r="V1049" t="str">
        <v>ARC</v>
      </c>
      <c r="W1049">
        <v>6.5124117735029818</v>
      </c>
      <c r="Y1049" s="1" cm="1">
        <f t="array" ref="Y1049">COUNT(_xlfn._xlws.FILTER($G$7:$G$10000,($I$7:$I$10000=X1049)*($J$7:$J$10000&lt;&gt;"NULL")*($G$7:$G$10000 &gt;= ($G$1-5))))/5</f>
        <v>0</v>
      </c>
    </row>
    <row r="1050" spans="7:25" x14ac:dyDescent="0.35">
      <c r="G1050" s="66">
        <v>12</v>
      </c>
      <c r="H1050" t="s">
        <v>34</v>
      </c>
      <c r="I1050" t="s">
        <v>420</v>
      </c>
      <c r="J1050" t="s">
        <v>256</v>
      </c>
      <c r="K1050" t="s">
        <v>3</v>
      </c>
      <c r="L1050" t="s">
        <v>4</v>
      </c>
      <c r="M1050">
        <f t="shared" si="50"/>
        <v>9.1835817269973923</v>
      </c>
      <c r="N1050" t="str">
        <f t="shared" si="51"/>
        <v/>
      </c>
      <c r="O1050" s="67" cm="1">
        <f t="array" ref="O1050">SUMPRODUCT((G1050=$G$7:$G$10000)*(M1050&lt;$M$7:$M$10000))+1</f>
        <v>21</v>
      </c>
      <c r="P1050" s="72"/>
      <c r="Q1050">
        <v>14</v>
      </c>
      <c r="R1050" t="str">
        <v>SEA</v>
      </c>
      <c r="S1050" t="str">
        <v>Rhyno Herbst</v>
      </c>
      <c r="T1050" t="str">
        <v>NULL</v>
      </c>
      <c r="U1050" t="str">
        <v>Home</v>
      </c>
      <c r="V1050" t="str">
        <v>SDL</v>
      </c>
      <c r="W1050">
        <v>6.3842694471729544</v>
      </c>
      <c r="Y1050" s="1" cm="1">
        <f t="array" ref="Y1050">COUNT(_xlfn._xlws.FILTER($G$7:$G$10000,($I$7:$I$10000=X1050)*($J$7:$J$10000&lt;&gt;"NULL")*($G$7:$G$10000 &gt;= ($G$1-5))))/5</f>
        <v>0</v>
      </c>
    </row>
    <row r="1051" spans="7:25" x14ac:dyDescent="0.35">
      <c r="G1051" s="66">
        <v>12</v>
      </c>
      <c r="H1051" t="s">
        <v>36</v>
      </c>
      <c r="I1051" t="s">
        <v>225</v>
      </c>
      <c r="J1051" t="s">
        <v>256</v>
      </c>
      <c r="K1051" t="s">
        <v>9</v>
      </c>
      <c r="L1051" t="s">
        <v>23</v>
      </c>
      <c r="M1051">
        <f t="shared" si="50"/>
        <v>9.087856483373745</v>
      </c>
      <c r="N1051" t="str">
        <f t="shared" si="51"/>
        <v/>
      </c>
      <c r="O1051" s="67" cm="1">
        <f t="array" ref="O1051">SUMPRODUCT((G1051=$G$7:$G$10000)*(M1051&lt;$M$7:$M$10000))+1</f>
        <v>22</v>
      </c>
      <c r="P1051" s="72"/>
      <c r="Q1051">
        <v>14</v>
      </c>
      <c r="R1051" t="str">
        <v>ARC</v>
      </c>
      <c r="S1051" t="str">
        <v>Makeen Alikhan</v>
      </c>
      <c r="T1051" t="str">
        <v>NULL</v>
      </c>
      <c r="U1051" t="str">
        <v>Home</v>
      </c>
      <c r="V1051" t="str">
        <v>OGDC</v>
      </c>
      <c r="W1051">
        <v>6.3741735688491126</v>
      </c>
      <c r="Y1051" s="1" cm="1">
        <f t="array" ref="Y1051">COUNT(_xlfn._xlws.FILTER($G$7:$G$10000,($I$7:$I$10000=X1051)*($J$7:$J$10000&lt;&gt;"NULL")*($G$7:$G$10000 &gt;= ($G$1-5))))/5</f>
        <v>0</v>
      </c>
    </row>
    <row r="1052" spans="7:25" x14ac:dyDescent="0.35">
      <c r="G1052" s="66">
        <v>12</v>
      </c>
      <c r="H1052" t="s">
        <v>2</v>
      </c>
      <c r="I1052" t="s">
        <v>108</v>
      </c>
      <c r="J1052" t="s">
        <v>256</v>
      </c>
      <c r="K1052" t="s">
        <v>3</v>
      </c>
      <c r="L1052" t="s">
        <v>24</v>
      </c>
      <c r="M1052">
        <f t="shared" si="50"/>
        <v>8.8304769689026621</v>
      </c>
      <c r="N1052" t="str">
        <f t="shared" si="51"/>
        <v/>
      </c>
      <c r="O1052" s="67" cm="1">
        <f t="array" ref="O1052">SUMPRODUCT((G1052=$G$7:$G$10000)*(M1052&lt;$M$7:$M$10000))+1</f>
        <v>23</v>
      </c>
      <c r="P1052" s="72"/>
      <c r="Q1052">
        <v>14</v>
      </c>
      <c r="R1052" t="str">
        <v>UTAH</v>
      </c>
      <c r="S1052" t="str">
        <v>Frank Lochore</v>
      </c>
      <c r="T1052" t="str">
        <v>NULL</v>
      </c>
      <c r="U1052" t="str">
        <v>Away</v>
      </c>
      <c r="V1052" t="str">
        <v>HOU</v>
      </c>
      <c r="W1052">
        <v>6.2963556266620682</v>
      </c>
      <c r="Y1052" s="1" cm="1">
        <f t="array" ref="Y1052">COUNT(_xlfn._xlws.FILTER($G$7:$G$10000,($I$7:$I$10000=X1052)*($J$7:$J$10000&lt;&gt;"NULL")*($G$7:$G$10000 &gt;= ($G$1-5))))/5</f>
        <v>0</v>
      </c>
    </row>
    <row r="1053" spans="7:25" x14ac:dyDescent="0.35">
      <c r="G1053" s="66">
        <v>12</v>
      </c>
      <c r="H1053" t="s">
        <v>2</v>
      </c>
      <c r="I1053" t="s">
        <v>115</v>
      </c>
      <c r="J1053" t="s">
        <v>256</v>
      </c>
      <c r="K1053" t="s">
        <v>3</v>
      </c>
      <c r="L1053" t="s">
        <v>24</v>
      </c>
      <c r="M1053">
        <f t="shared" si="50"/>
        <v>8.6201698043640089</v>
      </c>
      <c r="N1053" t="str">
        <f t="shared" si="51"/>
        <v/>
      </c>
      <c r="O1053" s="67" cm="1">
        <f t="array" ref="O1053">SUMPRODUCT((G1053=$G$7:$G$10000)*(M1053&lt;$M$7:$M$10000))+1</f>
        <v>24</v>
      </c>
      <c r="P1053" s="72"/>
      <c r="Q1053">
        <v>14</v>
      </c>
      <c r="R1053" t="str">
        <v>SEA</v>
      </c>
      <c r="S1053" t="str">
        <v>Siaosi Mahoni</v>
      </c>
      <c r="T1053" t="str">
        <v>NULL</v>
      </c>
      <c r="U1053" t="str">
        <v>Home</v>
      </c>
      <c r="V1053" t="str">
        <v>SDL</v>
      </c>
      <c r="W1053">
        <v>6.113507835139675</v>
      </c>
      <c r="Y1053" s="1" cm="1">
        <f t="array" ref="Y1053">COUNT(_xlfn._xlws.FILTER($G$7:$G$10000,($I$7:$I$10000=X1053)*($J$7:$J$10000&lt;&gt;"NULL")*($G$7:$G$10000 &gt;= ($G$1-5))))/5</f>
        <v>0</v>
      </c>
    </row>
    <row r="1054" spans="7:25" x14ac:dyDescent="0.35">
      <c r="G1054" s="66">
        <v>12</v>
      </c>
      <c r="H1054" t="s">
        <v>4</v>
      </c>
      <c r="I1054" t="s">
        <v>486</v>
      </c>
      <c r="J1054" t="s">
        <v>256</v>
      </c>
      <c r="K1054" t="s">
        <v>9</v>
      </c>
      <c r="L1054" t="s">
        <v>34</v>
      </c>
      <c r="M1054">
        <f t="shared" si="50"/>
        <v>8.3122491919504053</v>
      </c>
      <c r="N1054" t="str">
        <f t="shared" si="51"/>
        <v/>
      </c>
      <c r="O1054" s="67" cm="1">
        <f t="array" ref="O1054">SUMPRODUCT((G1054=$G$7:$G$10000)*(M1054&lt;$M$7:$M$10000))+1</f>
        <v>25</v>
      </c>
      <c r="P1054" s="72"/>
      <c r="Q1054">
        <v>14</v>
      </c>
      <c r="R1054" t="str">
        <v>ARC</v>
      </c>
      <c r="S1054" t="str">
        <v>Connor Robinson</v>
      </c>
      <c r="T1054" t="str">
        <v>NULL</v>
      </c>
      <c r="U1054" t="str">
        <v>Home</v>
      </c>
      <c r="V1054" t="str">
        <v>OGDC</v>
      </c>
      <c r="W1054">
        <v>5.2452273630800441</v>
      </c>
      <c r="Y1054" s="1" cm="1">
        <f t="array" ref="Y1054">COUNT(_xlfn._xlws.FILTER($G$7:$G$10000,($I$7:$I$10000=X1054)*($J$7:$J$10000&lt;&gt;"NULL")*($G$7:$G$10000 &gt;= ($G$1-5))))/5</f>
        <v>0</v>
      </c>
    </row>
    <row r="1055" spans="7:25" x14ac:dyDescent="0.35">
      <c r="G1055" s="66">
        <v>12</v>
      </c>
      <c r="H1055" t="s">
        <v>6</v>
      </c>
      <c r="I1055" t="s">
        <v>432</v>
      </c>
      <c r="J1055" t="s">
        <v>256</v>
      </c>
      <c r="K1055" t="s">
        <v>9</v>
      </c>
      <c r="L1055" t="s">
        <v>17</v>
      </c>
      <c r="M1055">
        <f t="shared" si="50"/>
        <v>8.0845704034705896</v>
      </c>
      <c r="N1055" t="str">
        <f t="shared" si="51"/>
        <v/>
      </c>
      <c r="O1055" s="67" cm="1">
        <f t="array" ref="O1055">SUMPRODUCT((G1055=$G$7:$G$10000)*(M1055&lt;$M$7:$M$10000))+1</f>
        <v>26</v>
      </c>
      <c r="P1055" s="72"/>
      <c r="Q1055">
        <v>14</v>
      </c>
      <c r="R1055" t="str">
        <v>MIA</v>
      </c>
      <c r="S1055" t="str">
        <v>Mauro Rebussone</v>
      </c>
      <c r="T1055" t="str">
        <v>NULL</v>
      </c>
      <c r="U1055" t="str">
        <v>Home</v>
      </c>
      <c r="V1055" t="str">
        <v>NEFJ</v>
      </c>
      <c r="W1055">
        <v>5.2029428600969254</v>
      </c>
      <c r="Y1055" s="1" cm="1">
        <f t="array" ref="Y1055">COUNT(_xlfn._xlws.FILTER($G$7:$G$10000,($I$7:$I$10000=X1055)*($J$7:$J$10000&lt;&gt;"NULL")*($G$7:$G$10000 &gt;= ($G$1-5))))/5</f>
        <v>0</v>
      </c>
    </row>
    <row r="1056" spans="7:25" x14ac:dyDescent="0.35">
      <c r="G1056" s="66">
        <v>12</v>
      </c>
      <c r="H1056" t="s">
        <v>2</v>
      </c>
      <c r="I1056" t="s">
        <v>174</v>
      </c>
      <c r="J1056" t="s">
        <v>256</v>
      </c>
      <c r="K1056" t="s">
        <v>3</v>
      </c>
      <c r="L1056" t="s">
        <v>24</v>
      </c>
      <c r="M1056">
        <f t="shared" si="50"/>
        <v>8.0651310694981273</v>
      </c>
      <c r="N1056" t="str">
        <f t="shared" si="51"/>
        <v/>
      </c>
      <c r="O1056" s="67" cm="1">
        <f t="array" ref="O1056">SUMPRODUCT((G1056=$G$7:$G$10000)*(M1056&lt;$M$7:$M$10000))+1</f>
        <v>27</v>
      </c>
      <c r="P1056" s="72"/>
      <c r="Q1056">
        <v>14</v>
      </c>
      <c r="R1056" t="str">
        <v>SEA</v>
      </c>
      <c r="S1056" t="str">
        <v>Taylor Krumrei</v>
      </c>
      <c r="T1056" t="str">
        <v>NULL</v>
      </c>
      <c r="U1056" t="str">
        <v>Home</v>
      </c>
      <c r="V1056" t="str">
        <v>SDL</v>
      </c>
      <c r="W1056">
        <v>5.150772887480767</v>
      </c>
      <c r="Y1056" s="1" cm="1">
        <f t="array" ref="Y1056">COUNT(_xlfn._xlws.FILTER($G$7:$G$10000,($I$7:$I$10000=X1056)*($J$7:$J$10000&lt;&gt;"NULL")*($G$7:$G$10000 &gt;= ($G$1-5))))/5</f>
        <v>0</v>
      </c>
    </row>
    <row r="1057" spans="7:25" x14ac:dyDescent="0.35">
      <c r="G1057" s="66">
        <v>12</v>
      </c>
      <c r="H1057" t="s">
        <v>4</v>
      </c>
      <c r="I1057" t="s">
        <v>114</v>
      </c>
      <c r="J1057" t="s">
        <v>256</v>
      </c>
      <c r="K1057" t="s">
        <v>9</v>
      </c>
      <c r="L1057" t="s">
        <v>34</v>
      </c>
      <c r="M1057">
        <f t="shared" si="50"/>
        <v>7.9083606269640958</v>
      </c>
      <c r="N1057" t="str">
        <f t="shared" si="51"/>
        <v/>
      </c>
      <c r="O1057" s="67" cm="1">
        <f t="array" ref="O1057">SUMPRODUCT((G1057=$G$7:$G$10000)*(M1057&lt;$M$7:$M$10000))+1</f>
        <v>28</v>
      </c>
      <c r="P1057" s="72"/>
      <c r="Q1057">
        <v>14</v>
      </c>
      <c r="R1057" t="str">
        <v>MIA</v>
      </c>
      <c r="S1057" t="str">
        <v>Alex Tucci</v>
      </c>
      <c r="T1057" t="str">
        <v>NULL</v>
      </c>
      <c r="U1057" t="str">
        <v>Home</v>
      </c>
      <c r="V1057" t="str">
        <v>NEFJ</v>
      </c>
      <c r="W1057">
        <v>4.9672568562503203</v>
      </c>
      <c r="Y1057" s="1" cm="1">
        <f t="array" ref="Y1057">COUNT(_xlfn._xlws.FILTER($G$7:$G$10000,($I$7:$I$10000=X1057)*($J$7:$J$10000&lt;&gt;"NULL")*($G$7:$G$10000 &gt;= ($G$1-5))))/5</f>
        <v>0</v>
      </c>
    </row>
    <row r="1058" spans="7:25" x14ac:dyDescent="0.35">
      <c r="G1058" s="66">
        <v>12</v>
      </c>
      <c r="H1058" t="s">
        <v>6</v>
      </c>
      <c r="I1058" t="s">
        <v>433</v>
      </c>
      <c r="J1058" t="s">
        <v>256</v>
      </c>
      <c r="K1058" t="s">
        <v>9</v>
      </c>
      <c r="L1058" t="s">
        <v>17</v>
      </c>
      <c r="M1058">
        <f t="shared" si="50"/>
        <v>7.7139174580092256</v>
      </c>
      <c r="N1058" t="str">
        <f t="shared" si="51"/>
        <v/>
      </c>
      <c r="O1058" s="67" cm="1">
        <f t="array" ref="O1058">SUMPRODUCT((G1058=$G$7:$G$10000)*(M1058&lt;$M$7:$M$10000))+1</f>
        <v>29</v>
      </c>
      <c r="P1058" s="72"/>
      <c r="Q1058">
        <v>14</v>
      </c>
      <c r="R1058" t="str">
        <v>UTAH</v>
      </c>
      <c r="S1058" t="str">
        <v>Matt Jenson</v>
      </c>
      <c r="T1058" t="str">
        <v>NULL</v>
      </c>
      <c r="U1058" t="str">
        <v>Away</v>
      </c>
      <c r="V1058" t="str">
        <v>HOU</v>
      </c>
      <c r="W1058">
        <v>4.8464930210069497</v>
      </c>
      <c r="Y1058" s="1" cm="1">
        <f t="array" ref="Y1058">COUNT(_xlfn._xlws.FILTER($G$7:$G$10000,($I$7:$I$10000=X1058)*($J$7:$J$10000&lt;&gt;"NULL")*($G$7:$G$10000 &gt;= ($G$1-5))))/5</f>
        <v>0</v>
      </c>
    </row>
    <row r="1059" spans="7:25" x14ac:dyDescent="0.35">
      <c r="G1059" s="66">
        <v>12</v>
      </c>
      <c r="H1059" t="s">
        <v>13</v>
      </c>
      <c r="I1059" t="s">
        <v>204</v>
      </c>
      <c r="J1059" t="s">
        <v>256</v>
      </c>
      <c r="K1059" t="s">
        <v>9</v>
      </c>
      <c r="L1059" t="s">
        <v>7</v>
      </c>
      <c r="M1059">
        <f t="shared" si="50"/>
        <v>7.665976102393337</v>
      </c>
      <c r="N1059" t="str">
        <f t="shared" si="51"/>
        <v/>
      </c>
      <c r="O1059" s="67" cm="1">
        <f t="array" ref="O1059">SUMPRODUCT((G1059=$G$7:$G$10000)*(M1059&lt;$M$7:$M$10000))+1</f>
        <v>30</v>
      </c>
      <c r="P1059" s="72"/>
      <c r="Q1059">
        <v>14</v>
      </c>
      <c r="R1059" t="str">
        <v>SDL</v>
      </c>
      <c r="S1059" t="str">
        <v>Jimmy Hokafonu</v>
      </c>
      <c r="T1059" t="str">
        <v>NULL</v>
      </c>
      <c r="U1059" t="str">
        <v>Away</v>
      </c>
      <c r="V1059" t="str">
        <v>SEA</v>
      </c>
      <c r="W1059">
        <v>4.6454073303529517</v>
      </c>
      <c r="Y1059" s="1" cm="1">
        <f t="array" ref="Y1059">COUNT(_xlfn._xlws.FILTER($G$7:$G$10000,($I$7:$I$10000=X1059)*($J$7:$J$10000&lt;&gt;"NULL")*($G$7:$G$10000 &gt;= ($G$1-5))))/5</f>
        <v>0</v>
      </c>
    </row>
    <row r="1060" spans="7:25" x14ac:dyDescent="0.35">
      <c r="G1060" s="66">
        <v>12</v>
      </c>
      <c r="H1060" t="s">
        <v>23</v>
      </c>
      <c r="I1060" t="s">
        <v>221</v>
      </c>
      <c r="J1060" t="s">
        <v>256</v>
      </c>
      <c r="K1060" t="s">
        <v>3</v>
      </c>
      <c r="L1060" t="s">
        <v>36</v>
      </c>
      <c r="M1060">
        <f t="shared" si="50"/>
        <v>7.5253832826674971</v>
      </c>
      <c r="N1060" t="str">
        <f t="shared" si="51"/>
        <v/>
      </c>
      <c r="O1060" s="67" cm="1">
        <f t="array" ref="O1060">SUMPRODUCT((G1060=$G$7:$G$10000)*(M1060&lt;$M$7:$M$10000))+1</f>
        <v>31</v>
      </c>
      <c r="P1060" s="72"/>
      <c r="Q1060">
        <v>14</v>
      </c>
      <c r="R1060" t="str">
        <v>SDL</v>
      </c>
      <c r="S1060" t="str">
        <v>Payton Telea-Ilalio</v>
      </c>
      <c r="T1060" t="str">
        <v>NULL</v>
      </c>
      <c r="U1060" t="str">
        <v>Away</v>
      </c>
      <c r="V1060" t="str">
        <v>SEA</v>
      </c>
      <c r="W1060">
        <v>4.4240028482379286</v>
      </c>
      <c r="Y1060" s="1" cm="1">
        <f t="array" ref="Y1060">COUNT(_xlfn._xlws.FILTER($G$7:$G$10000,($I$7:$I$10000=X1060)*($J$7:$J$10000&lt;&gt;"NULL")*($G$7:$G$10000 &gt;= ($G$1-5))))/5</f>
        <v>0</v>
      </c>
    </row>
    <row r="1061" spans="7:25" x14ac:dyDescent="0.35">
      <c r="G1061" s="66">
        <v>12</v>
      </c>
      <c r="H1061" t="s">
        <v>23</v>
      </c>
      <c r="I1061" t="s">
        <v>144</v>
      </c>
      <c r="J1061" t="s">
        <v>256</v>
      </c>
      <c r="K1061" t="s">
        <v>3</v>
      </c>
      <c r="L1061" t="s">
        <v>36</v>
      </c>
      <c r="M1061">
        <f t="shared" si="50"/>
        <v>7.4107491713613047</v>
      </c>
      <c r="N1061" t="str">
        <f t="shared" si="51"/>
        <v/>
      </c>
      <c r="O1061" s="67" cm="1">
        <f t="array" ref="O1061">SUMPRODUCT((G1061=$G$7:$G$10000)*(M1061&lt;$M$7:$M$10000))+1</f>
        <v>32</v>
      </c>
      <c r="P1061" s="72"/>
      <c r="Q1061">
        <v>14</v>
      </c>
      <c r="R1061" t="str">
        <v>ARC</v>
      </c>
      <c r="S1061" t="str">
        <v>Dylan Fortune</v>
      </c>
      <c r="T1061" t="str">
        <v>NULL</v>
      </c>
      <c r="U1061" t="str">
        <v>Home</v>
      </c>
      <c r="V1061" t="str">
        <v>OGDC</v>
      </c>
      <c r="W1061">
        <v>4.3908278973381023</v>
      </c>
      <c r="Y1061" s="1" cm="1">
        <f t="array" ref="Y1061">COUNT(_xlfn._xlws.FILTER($G$7:$G$10000,($I$7:$I$10000=X1061)*($J$7:$J$10000&lt;&gt;"NULL")*($G$7:$G$10000 &gt;= ($G$1-5))))/5</f>
        <v>0</v>
      </c>
    </row>
    <row r="1062" spans="7:25" x14ac:dyDescent="0.35">
      <c r="G1062" s="66">
        <v>12</v>
      </c>
      <c r="H1062" t="s">
        <v>4</v>
      </c>
      <c r="I1062" t="s">
        <v>484</v>
      </c>
      <c r="J1062" t="s">
        <v>256</v>
      </c>
      <c r="K1062" t="s">
        <v>9</v>
      </c>
      <c r="L1062" t="s">
        <v>34</v>
      </c>
      <c r="M1062">
        <f t="shared" si="50"/>
        <v>7.3279938288804738</v>
      </c>
      <c r="N1062" t="str">
        <f t="shared" si="51"/>
        <v/>
      </c>
      <c r="O1062" s="67" cm="1">
        <f t="array" ref="O1062">SUMPRODUCT((G1062=$G$7:$G$10000)*(M1062&lt;$M$7:$M$10000))+1</f>
        <v>33</v>
      </c>
      <c r="P1062" s="72"/>
      <c r="Q1062">
        <v>14</v>
      </c>
      <c r="R1062" t="str">
        <v>UTAH</v>
      </c>
      <c r="S1062" t="str">
        <v>Gavin Thornbury</v>
      </c>
      <c r="T1062" t="str">
        <v>NULL</v>
      </c>
      <c r="U1062" t="str">
        <v>Away</v>
      </c>
      <c r="V1062" t="str">
        <v>HOU</v>
      </c>
      <c r="W1062">
        <v>4.3561930752153621</v>
      </c>
      <c r="Y1062" s="1" cm="1">
        <f t="array" ref="Y1062">COUNT(_xlfn._xlws.FILTER($G$7:$G$10000,($I$7:$I$10000=X1062)*($J$7:$J$10000&lt;&gt;"NULL")*($G$7:$G$10000 &gt;= ($G$1-5))))/5</f>
        <v>0</v>
      </c>
    </row>
    <row r="1063" spans="7:25" x14ac:dyDescent="0.35">
      <c r="G1063" s="66">
        <v>12</v>
      </c>
      <c r="H1063" t="s">
        <v>34</v>
      </c>
      <c r="I1063" t="s">
        <v>174</v>
      </c>
      <c r="J1063" t="s">
        <v>256</v>
      </c>
      <c r="K1063" t="s">
        <v>3</v>
      </c>
      <c r="L1063" t="s">
        <v>4</v>
      </c>
      <c r="M1063">
        <f t="shared" ref="M1063:M1126" si="52">VLOOKUP($K1063,$F$3:$G$4,2,FALSE)+VLOOKUP($I1063,$A$20:$B$321,2,FALSE)+VLOOKUP($L1063,$A$6:$B$16,2,FALSE)</f>
        <v>7.3003703441121939</v>
      </c>
      <c r="N1063" t="str">
        <f t="shared" ref="N1063:N1126" si="53">IFERROR(($J1063-$M1063)^2,"")</f>
        <v/>
      </c>
      <c r="O1063" s="67" cm="1">
        <f t="array" ref="O1063">SUMPRODUCT((G1063=$G$7:$G$10000)*(M1063&lt;$M$7:$M$10000))+1</f>
        <v>34</v>
      </c>
      <c r="P1063" s="72"/>
      <c r="Q1063">
        <v>14</v>
      </c>
      <c r="R1063" t="str">
        <v>SDL</v>
      </c>
      <c r="S1063" t="str">
        <v>Darcy Breen</v>
      </c>
      <c r="T1063" t="str">
        <v>NULL</v>
      </c>
      <c r="U1063" t="str">
        <v>Away</v>
      </c>
      <c r="V1063" t="str">
        <v>SEA</v>
      </c>
      <c r="W1063">
        <v>4.3235938548961173</v>
      </c>
      <c r="Y1063" s="1" cm="1">
        <f t="array" ref="Y1063">COUNT(_xlfn._xlws.FILTER($G$7:$G$10000,($I$7:$I$10000=X1063)*($J$7:$J$10000&lt;&gt;"NULL")*($G$7:$G$10000 &gt;= ($G$1-5))))/5</f>
        <v>0</v>
      </c>
    </row>
    <row r="1064" spans="7:25" x14ac:dyDescent="0.35">
      <c r="G1064" s="66">
        <v>12</v>
      </c>
      <c r="H1064" t="s">
        <v>4</v>
      </c>
      <c r="I1064" t="s">
        <v>435</v>
      </c>
      <c r="J1064" t="s">
        <v>256</v>
      </c>
      <c r="K1064" t="s">
        <v>9</v>
      </c>
      <c r="L1064" t="s">
        <v>34</v>
      </c>
      <c r="M1064">
        <f t="shared" si="52"/>
        <v>7.227217560859474</v>
      </c>
      <c r="N1064" t="str">
        <f t="shared" si="53"/>
        <v/>
      </c>
      <c r="O1064" s="67" cm="1">
        <f t="array" ref="O1064">SUMPRODUCT((G1064=$G$7:$G$10000)*(M1064&lt;$M$7:$M$10000))+1</f>
        <v>35</v>
      </c>
      <c r="P1064" s="72"/>
      <c r="Q1064">
        <v>14</v>
      </c>
      <c r="R1064" t="str">
        <v>ARC</v>
      </c>
      <c r="S1064" t="str">
        <v>Sam Golla</v>
      </c>
      <c r="T1064" t="str">
        <v>NULL</v>
      </c>
      <c r="U1064" t="str">
        <v>Home</v>
      </c>
      <c r="V1064" t="str">
        <v>OGDC</v>
      </c>
      <c r="W1064">
        <v>4.2744487461617258</v>
      </c>
      <c r="Y1064" s="1" cm="1">
        <f t="array" ref="Y1064">COUNT(_xlfn._xlws.FILTER($G$7:$G$10000,($I$7:$I$10000=X1064)*($J$7:$J$10000&lt;&gt;"NULL")*($G$7:$G$10000 &gt;= ($G$1-5))))/5</f>
        <v>0</v>
      </c>
    </row>
    <row r="1065" spans="7:25" x14ac:dyDescent="0.35">
      <c r="G1065" s="66">
        <v>12</v>
      </c>
      <c r="H1065" t="s">
        <v>6</v>
      </c>
      <c r="I1065" t="s">
        <v>208</v>
      </c>
      <c r="J1065" t="s">
        <v>256</v>
      </c>
      <c r="K1065" t="s">
        <v>9</v>
      </c>
      <c r="L1065" t="s">
        <v>17</v>
      </c>
      <c r="M1065">
        <f t="shared" si="52"/>
        <v>7.2120644871391475</v>
      </c>
      <c r="N1065" t="str">
        <f t="shared" si="53"/>
        <v/>
      </c>
      <c r="O1065" s="67" cm="1">
        <f t="array" ref="O1065">SUMPRODUCT((G1065=$G$7:$G$10000)*(M1065&lt;$M$7:$M$10000))+1</f>
        <v>36</v>
      </c>
      <c r="P1065" s="72"/>
      <c r="Q1065">
        <v>14</v>
      </c>
      <c r="R1065" t="str">
        <v>ARC</v>
      </c>
      <c r="S1065" t="str">
        <v>Viliami Vuli</v>
      </c>
      <c r="T1065" t="str">
        <v>NULL</v>
      </c>
      <c r="U1065" t="str">
        <v>Home</v>
      </c>
      <c r="V1065" t="str">
        <v>OGDC</v>
      </c>
      <c r="W1065">
        <v>4.2163789115735559</v>
      </c>
      <c r="Y1065" s="1" cm="1">
        <f t="array" ref="Y1065">COUNT(_xlfn._xlws.FILTER($G$7:$G$10000,($I$7:$I$10000=X1065)*($J$7:$J$10000&lt;&gt;"NULL")*($G$7:$G$10000 &gt;= ($G$1-5))))/5</f>
        <v>0</v>
      </c>
    </row>
    <row r="1066" spans="7:25" x14ac:dyDescent="0.35">
      <c r="G1066" s="66">
        <v>12</v>
      </c>
      <c r="H1066" t="s">
        <v>23</v>
      </c>
      <c r="I1066" t="s">
        <v>421</v>
      </c>
      <c r="J1066" t="s">
        <v>256</v>
      </c>
      <c r="K1066" t="s">
        <v>3</v>
      </c>
      <c r="L1066" t="s">
        <v>36</v>
      </c>
      <c r="M1066">
        <f t="shared" si="52"/>
        <v>7.1389708167703283</v>
      </c>
      <c r="N1066" t="str">
        <f t="shared" si="53"/>
        <v/>
      </c>
      <c r="O1066" s="67" cm="1">
        <f t="array" ref="O1066">SUMPRODUCT((G1066=$G$7:$G$10000)*(M1066&lt;$M$7:$M$10000))+1</f>
        <v>37</v>
      </c>
      <c r="P1066" s="72"/>
      <c r="Q1066">
        <v>14</v>
      </c>
      <c r="R1066" t="str">
        <v>SEA</v>
      </c>
      <c r="S1066" t="str">
        <v>Juan Pablo Zeiss</v>
      </c>
      <c r="T1066" t="str">
        <v>NULL</v>
      </c>
      <c r="U1066" t="str">
        <v>Home</v>
      </c>
      <c r="V1066" t="str">
        <v>SDL</v>
      </c>
      <c r="W1066">
        <v>4.1946838478054218</v>
      </c>
      <c r="Y1066" s="1" cm="1">
        <f t="array" ref="Y1066">COUNT(_xlfn._xlws.FILTER($G$7:$G$10000,($I$7:$I$10000=X1066)*($J$7:$J$10000&lt;&gt;"NULL")*($G$7:$G$10000 &gt;= ($G$1-5))))/5</f>
        <v>0</v>
      </c>
    </row>
    <row r="1067" spans="7:25" x14ac:dyDescent="0.35">
      <c r="G1067" s="66">
        <v>12</v>
      </c>
      <c r="H1067" t="s">
        <v>24</v>
      </c>
      <c r="I1067" t="s">
        <v>419</v>
      </c>
      <c r="J1067" t="s">
        <v>256</v>
      </c>
      <c r="K1067" t="s">
        <v>9</v>
      </c>
      <c r="L1067" t="s">
        <v>2</v>
      </c>
      <c r="M1067">
        <f t="shared" si="52"/>
        <v>7.0928927173552179</v>
      </c>
      <c r="N1067" t="str">
        <f t="shared" si="53"/>
        <v/>
      </c>
      <c r="O1067" s="67" cm="1">
        <f t="array" ref="O1067">SUMPRODUCT((G1067=$G$7:$G$10000)*(M1067&lt;$M$7:$M$10000))+1</f>
        <v>38</v>
      </c>
      <c r="P1067" s="72"/>
      <c r="Q1067">
        <v>14</v>
      </c>
      <c r="R1067" t="str">
        <v>OGDC</v>
      </c>
      <c r="S1067" t="str">
        <v>Cory Daniel</v>
      </c>
      <c r="T1067" t="str">
        <v>NULL</v>
      </c>
      <c r="U1067" t="str">
        <v>Away</v>
      </c>
      <c r="V1067" t="str">
        <v>ARC</v>
      </c>
      <c r="W1067">
        <v>3.9793038678446089</v>
      </c>
      <c r="Y1067" s="1" cm="1">
        <f t="array" ref="Y1067">COUNT(_xlfn._xlws.FILTER($G$7:$G$10000,($I$7:$I$10000=X1067)*($J$7:$J$10000&lt;&gt;"NULL")*($G$7:$G$10000 &gt;= ($G$1-5))))/5</f>
        <v>0</v>
      </c>
    </row>
    <row r="1068" spans="7:25" x14ac:dyDescent="0.35">
      <c r="G1068" s="66">
        <v>12</v>
      </c>
      <c r="H1068" t="s">
        <v>24</v>
      </c>
      <c r="I1068" t="s">
        <v>465</v>
      </c>
      <c r="J1068" t="s">
        <v>256</v>
      </c>
      <c r="K1068" t="s">
        <v>9</v>
      </c>
      <c r="L1068" t="s">
        <v>2</v>
      </c>
      <c r="M1068">
        <f t="shared" si="52"/>
        <v>6.8572067135086137</v>
      </c>
      <c r="N1068" t="str">
        <f t="shared" si="53"/>
        <v/>
      </c>
      <c r="O1068" s="67" cm="1">
        <f t="array" ref="O1068">SUMPRODUCT((G1068=$G$7:$G$10000)*(M1068&lt;$M$7:$M$10000))+1</f>
        <v>39</v>
      </c>
      <c r="P1068" s="72"/>
      <c r="Q1068">
        <v>14</v>
      </c>
      <c r="R1068" t="str">
        <v>CHI</v>
      </c>
      <c r="S1068" t="str">
        <v>Hamish Bain</v>
      </c>
      <c r="T1068" t="str">
        <v>NULL</v>
      </c>
      <c r="U1068" t="str">
        <v>Home</v>
      </c>
      <c r="V1068" t="str">
        <v>LA</v>
      </c>
      <c r="W1068">
        <v>3.9774381423866316</v>
      </c>
      <c r="Y1068" s="1" cm="1">
        <f t="array" ref="Y1068">COUNT(_xlfn._xlws.FILTER($G$7:$G$10000,($I$7:$I$10000=X1068)*($J$7:$J$10000&lt;&gt;"NULL")*($G$7:$G$10000 &gt;= ($G$1-5))))/5</f>
        <v>0</v>
      </c>
    </row>
    <row r="1069" spans="7:25" x14ac:dyDescent="0.35">
      <c r="G1069" s="66">
        <v>12</v>
      </c>
      <c r="H1069" t="s">
        <v>4</v>
      </c>
      <c r="I1069" t="s">
        <v>434</v>
      </c>
      <c r="J1069" t="s">
        <v>256</v>
      </c>
      <c r="K1069" t="s">
        <v>9</v>
      </c>
      <c r="L1069" t="s">
        <v>34</v>
      </c>
      <c r="M1069">
        <f t="shared" si="52"/>
        <v>6.6858799682960814</v>
      </c>
      <c r="N1069" t="str">
        <f t="shared" si="53"/>
        <v/>
      </c>
      <c r="O1069" s="67" cm="1">
        <f t="array" ref="O1069">SUMPRODUCT((G1069=$G$7:$G$10000)*(M1069&lt;$M$7:$M$10000))+1</f>
        <v>40</v>
      </c>
      <c r="P1069" s="72"/>
      <c r="Q1069">
        <v>14</v>
      </c>
      <c r="R1069" t="str">
        <v>CHI</v>
      </c>
      <c r="S1069" t="str">
        <v>Faka'osi Pifeleti</v>
      </c>
      <c r="T1069" t="str">
        <v>NULL</v>
      </c>
      <c r="U1069" t="str">
        <v>Home</v>
      </c>
      <c r="V1069" t="str">
        <v>LA</v>
      </c>
      <c r="W1069">
        <v>3.8393096676106602</v>
      </c>
      <c r="Y1069" s="1" cm="1">
        <f t="array" ref="Y1069">COUNT(_xlfn._xlws.FILTER($G$7:$G$10000,($I$7:$I$10000=X1069)*($J$7:$J$10000&lt;&gt;"NULL")*($G$7:$G$10000 &gt;= ($G$1-5))))/5</f>
        <v>0</v>
      </c>
    </row>
    <row r="1070" spans="7:25" x14ac:dyDescent="0.35">
      <c r="G1070" s="66">
        <v>12</v>
      </c>
      <c r="H1070" t="s">
        <v>17</v>
      </c>
      <c r="I1070" t="s">
        <v>206</v>
      </c>
      <c r="J1070" t="s">
        <v>256</v>
      </c>
      <c r="K1070" t="s">
        <v>3</v>
      </c>
      <c r="L1070" t="s">
        <v>6</v>
      </c>
      <c r="M1070">
        <f t="shared" si="52"/>
        <v>6.6709721558187622</v>
      </c>
      <c r="N1070" t="str">
        <f t="shared" si="53"/>
        <v/>
      </c>
      <c r="O1070" s="67" cm="1">
        <f t="array" ref="O1070">SUMPRODUCT((G1070=$G$7:$G$10000)*(M1070&lt;$M$7:$M$10000))+1</f>
        <v>41</v>
      </c>
      <c r="P1070" s="72"/>
      <c r="Q1070">
        <v>14</v>
      </c>
      <c r="R1070" t="str">
        <v>LA</v>
      </c>
      <c r="S1070" t="str">
        <v>Ben Sugars</v>
      </c>
      <c r="T1070" t="str">
        <v>NULL</v>
      </c>
      <c r="U1070" t="str">
        <v>Away</v>
      </c>
      <c r="V1070" t="str">
        <v>CHI</v>
      </c>
      <c r="W1070">
        <v>3.7132252028136157</v>
      </c>
      <c r="Y1070" s="1" cm="1">
        <f t="array" ref="Y1070">COUNT(_xlfn._xlws.FILTER($G$7:$G$10000,($I$7:$I$10000=X1070)*($J$7:$J$10000&lt;&gt;"NULL")*($G$7:$G$10000 &gt;= ($G$1-5))))/5</f>
        <v>0</v>
      </c>
    </row>
    <row r="1071" spans="7:25" x14ac:dyDescent="0.35">
      <c r="G1071" s="66">
        <v>12</v>
      </c>
      <c r="H1071" t="s">
        <v>34</v>
      </c>
      <c r="I1071" t="s">
        <v>227</v>
      </c>
      <c r="J1071" t="s">
        <v>256</v>
      </c>
      <c r="K1071" t="s">
        <v>3</v>
      </c>
      <c r="L1071" t="s">
        <v>4</v>
      </c>
      <c r="M1071">
        <f t="shared" si="52"/>
        <v>6.6432988037191993</v>
      </c>
      <c r="N1071" t="str">
        <f t="shared" si="53"/>
        <v/>
      </c>
      <c r="O1071" s="67" cm="1">
        <f t="array" ref="O1071">SUMPRODUCT((G1071=$G$7:$G$10000)*(M1071&lt;$M$7:$M$10000))+1</f>
        <v>42</v>
      </c>
      <c r="P1071" s="72"/>
      <c r="Q1071">
        <v>14</v>
      </c>
      <c r="R1071" t="str">
        <v>MIA</v>
      </c>
      <c r="S1071" t="str">
        <v>Federico Gutíerrez</v>
      </c>
      <c r="T1071" t="str">
        <v>NULL</v>
      </c>
      <c r="U1071" t="str">
        <v>Home</v>
      </c>
      <c r="V1071" t="str">
        <v>NEFJ</v>
      </c>
      <c r="W1071">
        <v>3.6975100505044898</v>
      </c>
      <c r="Y1071" s="1" cm="1">
        <f t="array" ref="Y1071">COUNT(_xlfn._xlws.FILTER($G$7:$G$10000,($I$7:$I$10000=X1071)*($J$7:$J$10000&lt;&gt;"NULL")*($G$7:$G$10000 &gt;= ($G$1-5))))/5</f>
        <v>0</v>
      </c>
    </row>
    <row r="1072" spans="7:25" x14ac:dyDescent="0.35">
      <c r="G1072" s="66">
        <v>12</v>
      </c>
      <c r="H1072" t="s">
        <v>23</v>
      </c>
      <c r="I1072" t="s">
        <v>431</v>
      </c>
      <c r="J1072" t="s">
        <v>256</v>
      </c>
      <c r="K1072" t="s">
        <v>3</v>
      </c>
      <c r="L1072" t="s">
        <v>36</v>
      </c>
      <c r="M1072">
        <f t="shared" si="52"/>
        <v>6.464147741325788</v>
      </c>
      <c r="N1072" t="str">
        <f t="shared" si="53"/>
        <v/>
      </c>
      <c r="O1072" s="67" cm="1">
        <f t="array" ref="O1072">SUMPRODUCT((G1072=$G$7:$G$10000)*(M1072&lt;$M$7:$M$10000))+1</f>
        <v>43</v>
      </c>
      <c r="P1072" s="72"/>
      <c r="Q1072">
        <v>14</v>
      </c>
      <c r="R1072" t="str">
        <v>NEFJ</v>
      </c>
      <c r="S1072" t="str">
        <v>Malakai Hala-Ngatai</v>
      </c>
      <c r="T1072" t="str">
        <v>NULL</v>
      </c>
      <c r="U1072" t="str">
        <v>Away</v>
      </c>
      <c r="V1072" t="str">
        <v>MIA</v>
      </c>
      <c r="W1072">
        <v>3.6963729972206094</v>
      </c>
      <c r="Y1072" s="1" cm="1">
        <f t="array" ref="Y1072">COUNT(_xlfn._xlws.FILTER($G$7:$G$10000,($I$7:$I$10000=X1072)*($J$7:$J$10000&lt;&gt;"NULL")*($G$7:$G$10000 &gt;= ($G$1-5))))/5</f>
        <v>0</v>
      </c>
    </row>
    <row r="1073" spans="7:25" x14ac:dyDescent="0.35">
      <c r="G1073" s="66">
        <v>12</v>
      </c>
      <c r="H1073" t="s">
        <v>13</v>
      </c>
      <c r="I1073" t="s">
        <v>464</v>
      </c>
      <c r="J1073" t="s">
        <v>256</v>
      </c>
      <c r="K1073" t="s">
        <v>9</v>
      </c>
      <c r="L1073" t="s">
        <v>7</v>
      </c>
      <c r="M1073">
        <f t="shared" si="52"/>
        <v>6.3783988319335041</v>
      </c>
      <c r="N1073" t="str">
        <f t="shared" si="53"/>
        <v/>
      </c>
      <c r="O1073" s="67" cm="1">
        <f t="array" ref="O1073">SUMPRODUCT((G1073=$G$7:$G$10000)*(M1073&lt;$M$7:$M$10000))+1</f>
        <v>44</v>
      </c>
      <c r="P1073" s="72"/>
      <c r="Q1073">
        <v>14</v>
      </c>
      <c r="R1073" t="str">
        <v>UTAH</v>
      </c>
      <c r="S1073" t="str">
        <v>Kalisi Moli</v>
      </c>
      <c r="T1073" t="str">
        <v>NULL</v>
      </c>
      <c r="U1073" t="str">
        <v>Away</v>
      </c>
      <c r="V1073" t="str">
        <v>HOU</v>
      </c>
      <c r="W1073">
        <v>3.6707442373024368</v>
      </c>
      <c r="Y1073" s="1" cm="1">
        <f t="array" ref="Y1073">COUNT(_xlfn._xlws.FILTER($G$7:$G$10000,($I$7:$I$10000=X1073)*($J$7:$J$10000&lt;&gt;"NULL")*($G$7:$G$10000 &gt;= ($G$1-5))))/5</f>
        <v>0</v>
      </c>
    </row>
    <row r="1074" spans="7:25" x14ac:dyDescent="0.35">
      <c r="G1074" s="66">
        <v>12</v>
      </c>
      <c r="H1074" t="s">
        <v>4</v>
      </c>
      <c r="I1074" t="s">
        <v>481</v>
      </c>
      <c r="J1074" t="s">
        <v>256</v>
      </c>
      <c r="K1074" t="s">
        <v>9</v>
      </c>
      <c r="L1074" t="s">
        <v>34</v>
      </c>
      <c r="M1074">
        <f t="shared" si="52"/>
        <v>6.3036266932440119</v>
      </c>
      <c r="N1074" t="str">
        <f t="shared" si="53"/>
        <v/>
      </c>
      <c r="O1074" s="67" cm="1">
        <f t="array" ref="O1074">SUMPRODUCT((G1074=$G$7:$G$10000)*(M1074&lt;$M$7:$M$10000))+1</f>
        <v>45</v>
      </c>
      <c r="P1074" s="72"/>
      <c r="Q1074">
        <v>14</v>
      </c>
      <c r="R1074" t="str">
        <v>SEA</v>
      </c>
      <c r="S1074" t="str">
        <v>Malembe Mpofu</v>
      </c>
      <c r="T1074" t="str">
        <v>NULL</v>
      </c>
      <c r="U1074" t="str">
        <v>Home</v>
      </c>
      <c r="V1074" t="str">
        <v>SDL</v>
      </c>
      <c r="W1074">
        <v>3.5496299579609376</v>
      </c>
      <c r="Y1074" s="1" cm="1">
        <f t="array" ref="Y1074">COUNT(_xlfn._xlws.FILTER($G$7:$G$10000,($I$7:$I$10000=X1074)*($J$7:$J$10000&lt;&gt;"NULL")*($G$7:$G$10000 &gt;= ($G$1-5))))/5</f>
        <v>0</v>
      </c>
    </row>
    <row r="1075" spans="7:25" x14ac:dyDescent="0.35">
      <c r="G1075" s="66">
        <v>12</v>
      </c>
      <c r="H1075" t="s">
        <v>23</v>
      </c>
      <c r="I1075" t="s">
        <v>412</v>
      </c>
      <c r="J1075" t="s">
        <v>256</v>
      </c>
      <c r="K1075" t="s">
        <v>3</v>
      </c>
      <c r="L1075" t="s">
        <v>36</v>
      </c>
      <c r="M1075">
        <f t="shared" si="52"/>
        <v>6.1887067714170101</v>
      </c>
      <c r="N1075" t="str">
        <f t="shared" si="53"/>
        <v/>
      </c>
      <c r="O1075" s="67" cm="1">
        <f t="array" ref="O1075">SUMPRODUCT((G1075=$G$7:$G$10000)*(M1075&lt;$M$7:$M$10000))+1</f>
        <v>46</v>
      </c>
      <c r="P1075" s="72"/>
      <c r="Q1075">
        <v>14</v>
      </c>
      <c r="R1075" t="str">
        <v>ARC</v>
      </c>
      <c r="S1075" t="str">
        <v>Alex Maughan</v>
      </c>
      <c r="T1075" t="str">
        <v>NULL</v>
      </c>
      <c r="U1075" t="str">
        <v>Home</v>
      </c>
      <c r="V1075" t="str">
        <v>OGDC</v>
      </c>
      <c r="W1075">
        <v>3.4677930648965498</v>
      </c>
      <c r="Y1075" s="1" cm="1">
        <f t="array" ref="Y1075">COUNT(_xlfn._xlws.FILTER($G$7:$G$10000,($I$7:$I$10000=X1075)*($J$7:$J$10000&lt;&gt;"NULL")*($G$7:$G$10000 &gt;= ($G$1-5))))/5</f>
        <v>0</v>
      </c>
    </row>
    <row r="1076" spans="7:25" x14ac:dyDescent="0.35">
      <c r="G1076" s="66">
        <v>12</v>
      </c>
      <c r="H1076" t="s">
        <v>4</v>
      </c>
      <c r="I1076" t="s">
        <v>109</v>
      </c>
      <c r="J1076" t="s">
        <v>256</v>
      </c>
      <c r="K1076" t="s">
        <v>9</v>
      </c>
      <c r="L1076" t="s">
        <v>34</v>
      </c>
      <c r="M1076">
        <f t="shared" si="52"/>
        <v>6.1254007806870252</v>
      </c>
      <c r="N1076" t="str">
        <f t="shared" si="53"/>
        <v/>
      </c>
      <c r="O1076" s="67" cm="1">
        <f t="array" ref="O1076">SUMPRODUCT((G1076=$G$7:$G$10000)*(M1076&lt;$M$7:$M$10000))+1</f>
        <v>47</v>
      </c>
      <c r="P1076" s="72"/>
      <c r="Q1076">
        <v>14</v>
      </c>
      <c r="R1076" t="str">
        <v>NEFJ</v>
      </c>
      <c r="S1076" t="str">
        <v>Wian Conradie</v>
      </c>
      <c r="T1076" t="str">
        <v>NULL</v>
      </c>
      <c r="U1076" t="str">
        <v>Away</v>
      </c>
      <c r="V1076" t="str">
        <v>MIA</v>
      </c>
      <c r="W1076">
        <v>3.4572621443565152</v>
      </c>
      <c r="Y1076" s="1" cm="1">
        <f t="array" ref="Y1076">COUNT(_xlfn._xlws.FILTER($G$7:$G$10000,($I$7:$I$10000=X1076)*($J$7:$J$10000&lt;&gt;"NULL")*($G$7:$G$10000 &gt;= ($G$1-5))))/5</f>
        <v>0</v>
      </c>
    </row>
    <row r="1077" spans="7:25" x14ac:dyDescent="0.35">
      <c r="G1077" s="66">
        <v>12</v>
      </c>
      <c r="H1077" t="s">
        <v>13</v>
      </c>
      <c r="I1077" t="s">
        <v>103</v>
      </c>
      <c r="J1077" t="s">
        <v>256</v>
      </c>
      <c r="K1077" t="s">
        <v>9</v>
      </c>
      <c r="L1077" t="s">
        <v>7</v>
      </c>
      <c r="M1077">
        <f t="shared" si="52"/>
        <v>5.9748209298780512</v>
      </c>
      <c r="N1077" t="str">
        <f t="shared" si="53"/>
        <v/>
      </c>
      <c r="O1077" s="67" cm="1">
        <f t="array" ref="O1077">SUMPRODUCT((G1077=$G$7:$G$10000)*(M1077&lt;$M$7:$M$10000))+1</f>
        <v>48</v>
      </c>
      <c r="P1077" s="72"/>
      <c r="Q1077">
        <v>14</v>
      </c>
      <c r="R1077" t="str">
        <v>ARC</v>
      </c>
      <c r="S1077" t="str">
        <v>Ethan Howard</v>
      </c>
      <c r="T1077" t="str">
        <v>NULL</v>
      </c>
      <c r="U1077" t="str">
        <v>Home</v>
      </c>
      <c r="V1077" t="str">
        <v>OGDC</v>
      </c>
      <c r="W1077">
        <v>3.1190332249242916</v>
      </c>
      <c r="Y1077" s="1" cm="1">
        <f t="array" ref="Y1077">COUNT(_xlfn._xlws.FILTER($G$7:$G$10000,($I$7:$I$10000=X1077)*($J$7:$J$10000&lt;&gt;"NULL")*($G$7:$G$10000 &gt;= ($G$1-5))))/5</f>
        <v>0</v>
      </c>
    </row>
    <row r="1078" spans="7:25" x14ac:dyDescent="0.35">
      <c r="G1078" s="66">
        <v>12</v>
      </c>
      <c r="H1078" t="s">
        <v>24</v>
      </c>
      <c r="I1078" t="s">
        <v>422</v>
      </c>
      <c r="J1078" t="s">
        <v>256</v>
      </c>
      <c r="K1078" t="s">
        <v>9</v>
      </c>
      <c r="L1078" t="s">
        <v>2</v>
      </c>
      <c r="M1078">
        <f t="shared" si="52"/>
        <v>5.5874599077627822</v>
      </c>
      <c r="N1078" t="str">
        <f t="shared" si="53"/>
        <v/>
      </c>
      <c r="O1078" s="67" cm="1">
        <f t="array" ref="O1078">SUMPRODUCT((G1078=$G$7:$G$10000)*(M1078&lt;$M$7:$M$10000))+1</f>
        <v>49</v>
      </c>
      <c r="P1078" s="72"/>
      <c r="Q1078">
        <v>14</v>
      </c>
      <c r="R1078" t="str">
        <v>ARC</v>
      </c>
      <c r="S1078" t="str">
        <v>Mikey Grandy</v>
      </c>
      <c r="T1078" t="str">
        <v>NULL</v>
      </c>
      <c r="U1078" t="str">
        <v>Home</v>
      </c>
      <c r="V1078" t="str">
        <v>OGDC</v>
      </c>
      <c r="W1078">
        <v>3.1028111400914034</v>
      </c>
      <c r="Y1078" s="1" cm="1">
        <f t="array" ref="Y1078">COUNT(_xlfn._xlws.FILTER($G$7:$G$10000,($I$7:$I$10000=X1078)*($J$7:$J$10000&lt;&gt;"NULL")*($G$7:$G$10000 &gt;= ($G$1-5))))/5</f>
        <v>0</v>
      </c>
    </row>
    <row r="1079" spans="7:25" x14ac:dyDescent="0.35">
      <c r="G1079" s="66">
        <v>12</v>
      </c>
      <c r="H1079" t="s">
        <v>17</v>
      </c>
      <c r="I1079" t="s">
        <v>149</v>
      </c>
      <c r="J1079" t="s">
        <v>256</v>
      </c>
      <c r="K1079" t="s">
        <v>3</v>
      </c>
      <c r="L1079" t="s">
        <v>6</v>
      </c>
      <c r="M1079">
        <f t="shared" si="52"/>
        <v>5.5719643521204736</v>
      </c>
      <c r="N1079" t="str">
        <f t="shared" si="53"/>
        <v/>
      </c>
      <c r="O1079" s="67" cm="1">
        <f t="array" ref="O1079">SUMPRODUCT((G1079=$G$7:$G$10000)*(M1079&lt;$M$7:$M$10000))+1</f>
        <v>50</v>
      </c>
      <c r="P1079" s="72"/>
      <c r="Q1079">
        <v>14</v>
      </c>
      <c r="R1079" t="str">
        <v>ARC</v>
      </c>
      <c r="S1079" t="str">
        <v>Jake Turnbull</v>
      </c>
      <c r="T1079" t="str">
        <v>NULL</v>
      </c>
      <c r="U1079" t="str">
        <v>Home</v>
      </c>
      <c r="V1079" t="str">
        <v>OGDC</v>
      </c>
      <c r="W1079">
        <v>3.09156105561825</v>
      </c>
      <c r="Y1079" s="1" cm="1">
        <f t="array" ref="Y1079">COUNT(_xlfn._xlws.FILTER($G$7:$G$10000,($I$7:$I$10000=X1079)*($J$7:$J$10000&lt;&gt;"NULL")*($G$7:$G$10000 &gt;= ($G$1-5))))/5</f>
        <v>0</v>
      </c>
    </row>
    <row r="1080" spans="7:25" x14ac:dyDescent="0.35">
      <c r="G1080" s="66">
        <v>12</v>
      </c>
      <c r="H1080" t="s">
        <v>7</v>
      </c>
      <c r="I1080" t="s">
        <v>207</v>
      </c>
      <c r="J1080" t="s">
        <v>256</v>
      </c>
      <c r="K1080" t="s">
        <v>3</v>
      </c>
      <c r="L1080" t="s">
        <v>13</v>
      </c>
      <c r="M1080">
        <f t="shared" si="52"/>
        <v>5.2434323974106869</v>
      </c>
      <c r="N1080" t="str">
        <f t="shared" si="53"/>
        <v/>
      </c>
      <c r="O1080" s="67" cm="1">
        <f t="array" ref="O1080">SUMPRODUCT((G1080=$G$7:$G$10000)*(M1080&lt;$M$7:$M$10000))+1</f>
        <v>51</v>
      </c>
      <c r="P1080" s="72"/>
      <c r="Q1080">
        <v>14</v>
      </c>
      <c r="R1080" t="str">
        <v>LA</v>
      </c>
      <c r="S1080" t="str">
        <v>Alessandro Heaney</v>
      </c>
      <c r="T1080" t="str">
        <v>NULL</v>
      </c>
      <c r="U1080" t="str">
        <v>Away</v>
      </c>
      <c r="V1080" t="str">
        <v>CHI</v>
      </c>
      <c r="W1080">
        <v>3.0228235057363593</v>
      </c>
      <c r="Y1080" s="1" cm="1">
        <f t="array" ref="Y1080">COUNT(_xlfn._xlws.FILTER($G$7:$G$10000,($I$7:$I$10000=X1080)*($J$7:$J$10000&lt;&gt;"NULL")*($G$7:$G$10000 &gt;= ($G$1-5))))/5</f>
        <v>0</v>
      </c>
    </row>
    <row r="1081" spans="7:25" x14ac:dyDescent="0.35">
      <c r="G1081" s="66">
        <v>12</v>
      </c>
      <c r="H1081" t="s">
        <v>17</v>
      </c>
      <c r="I1081" t="s">
        <v>105</v>
      </c>
      <c r="J1081" t="s">
        <v>256</v>
      </c>
      <c r="K1081" t="s">
        <v>3</v>
      </c>
      <c r="L1081" t="s">
        <v>6</v>
      </c>
      <c r="M1081">
        <f t="shared" si="52"/>
        <v>5.2028926591718534</v>
      </c>
      <c r="N1081" t="str">
        <f t="shared" si="53"/>
        <v/>
      </c>
      <c r="O1081" s="67" cm="1">
        <f t="array" ref="O1081">SUMPRODUCT((G1081=$G$7:$G$10000)*(M1081&lt;$M$7:$M$10000))+1</f>
        <v>52</v>
      </c>
      <c r="P1081" s="72"/>
      <c r="Q1081">
        <v>14</v>
      </c>
      <c r="R1081" t="str">
        <v>MIA</v>
      </c>
      <c r="S1081" t="str">
        <v>Marques Fuala'au</v>
      </c>
      <c r="T1081" t="str">
        <v>NULL</v>
      </c>
      <c r="U1081" t="str">
        <v>Home</v>
      </c>
      <c r="V1081" t="str">
        <v>NEFJ</v>
      </c>
      <c r="W1081">
        <v>2.9548959975723443</v>
      </c>
      <c r="Y1081" s="1" cm="1">
        <f t="array" ref="Y1081">COUNT(_xlfn._xlws.FILTER($G$7:$G$10000,($I$7:$I$10000=X1081)*($J$7:$J$10000&lt;&gt;"NULL")*($G$7:$G$10000 &gt;= ($G$1-5))))/5</f>
        <v>0</v>
      </c>
    </row>
    <row r="1082" spans="7:25" x14ac:dyDescent="0.35">
      <c r="G1082" s="66">
        <v>12</v>
      </c>
      <c r="H1082" t="s">
        <v>4</v>
      </c>
      <c r="I1082" t="s">
        <v>176</v>
      </c>
      <c r="J1082" t="s">
        <v>256</v>
      </c>
      <c r="K1082" t="s">
        <v>9</v>
      </c>
      <c r="L1082" t="s">
        <v>34</v>
      </c>
      <c r="M1082">
        <f t="shared" si="52"/>
        <v>5.0290792427507114</v>
      </c>
      <c r="N1082" t="str">
        <f t="shared" si="53"/>
        <v/>
      </c>
      <c r="O1082" s="67" cm="1">
        <f t="array" ref="O1082">SUMPRODUCT((G1082=$G$7:$G$10000)*(M1082&lt;$M$7:$M$10000))+1</f>
        <v>53</v>
      </c>
      <c r="P1082" s="72"/>
      <c r="Q1082">
        <v>14</v>
      </c>
      <c r="R1082" t="str">
        <v>MIA</v>
      </c>
      <c r="S1082" t="str">
        <v>Ma'ake Muti</v>
      </c>
      <c r="T1082" t="str">
        <v>NULL</v>
      </c>
      <c r="U1082" t="str">
        <v>Home</v>
      </c>
      <c r="V1082" t="str">
        <v>NEFJ</v>
      </c>
      <c r="W1082">
        <v>2.8078722751444949</v>
      </c>
      <c r="Y1082" s="1" cm="1">
        <f t="array" ref="Y1082">COUNT(_xlfn._xlws.FILTER($G$7:$G$10000,($I$7:$I$10000=X1082)*($J$7:$J$10000&lt;&gt;"NULL")*($G$7:$G$10000 &gt;= ($G$1-5))))/5</f>
        <v>0</v>
      </c>
    </row>
    <row r="1083" spans="7:25" x14ac:dyDescent="0.35">
      <c r="G1083" s="66">
        <v>12</v>
      </c>
      <c r="H1083" t="s">
        <v>17</v>
      </c>
      <c r="I1083" t="s">
        <v>483</v>
      </c>
      <c r="J1083" t="s">
        <v>256</v>
      </c>
      <c r="K1083" t="s">
        <v>3</v>
      </c>
      <c r="L1083" t="s">
        <v>6</v>
      </c>
      <c r="M1083">
        <f t="shared" si="52"/>
        <v>4.932131047138574</v>
      </c>
      <c r="N1083" t="str">
        <f t="shared" si="53"/>
        <v/>
      </c>
      <c r="O1083" s="67" cm="1">
        <f t="array" ref="O1083">SUMPRODUCT((G1083=$G$7:$G$10000)*(M1083&lt;$M$7:$M$10000))+1</f>
        <v>54</v>
      </c>
      <c r="P1083" s="72"/>
      <c r="Q1083">
        <v>14</v>
      </c>
      <c r="R1083" t="str">
        <v>MIA</v>
      </c>
      <c r="S1083" t="str">
        <v>Kirby Myhill</v>
      </c>
      <c r="T1083" t="str">
        <v>NULL</v>
      </c>
      <c r="U1083" t="str">
        <v>Home</v>
      </c>
      <c r="V1083" t="str">
        <v>NEFJ</v>
      </c>
      <c r="W1083">
        <v>2.480462236932178</v>
      </c>
      <c r="Y1083" s="1" cm="1">
        <f t="array" ref="Y1083">COUNT(_xlfn._xlws.FILTER($G$7:$G$10000,($I$7:$I$10000=X1083)*($J$7:$J$10000&lt;&gt;"NULL")*($G$7:$G$10000 &gt;= ($G$1-5))))/5</f>
        <v>0</v>
      </c>
    </row>
    <row r="1084" spans="7:25" x14ac:dyDescent="0.35">
      <c r="G1084" s="66">
        <v>12</v>
      </c>
      <c r="H1084" t="s">
        <v>24</v>
      </c>
      <c r="I1084" t="s">
        <v>217</v>
      </c>
      <c r="J1084" t="s">
        <v>256</v>
      </c>
      <c r="K1084" t="s">
        <v>9</v>
      </c>
      <c r="L1084" t="s">
        <v>2</v>
      </c>
      <c r="M1084">
        <f t="shared" si="52"/>
        <v>4.8448458548306368</v>
      </c>
      <c r="N1084" t="str">
        <f t="shared" si="53"/>
        <v/>
      </c>
      <c r="O1084" s="67" cm="1">
        <f t="array" ref="O1084">SUMPRODUCT((G1084=$G$7:$G$10000)*(M1084&lt;$M$7:$M$10000))+1</f>
        <v>55</v>
      </c>
      <c r="P1084" s="72"/>
      <c r="Q1084">
        <v>14</v>
      </c>
      <c r="R1084" t="str">
        <v>SEA</v>
      </c>
      <c r="S1084" t="str">
        <v>Dewald Kotze</v>
      </c>
      <c r="T1084" t="str">
        <v>NULL</v>
      </c>
      <c r="U1084" t="str">
        <v>Home</v>
      </c>
      <c r="V1084" t="str">
        <v>SDL</v>
      </c>
      <c r="W1084">
        <v>2.3731875601038626</v>
      </c>
      <c r="Y1084" s="1" cm="1">
        <f t="array" ref="Y1084">COUNT(_xlfn._xlws.FILTER($G$7:$G$10000,($I$7:$I$10000=X1084)*($J$7:$J$10000&lt;&gt;"NULL")*($G$7:$G$10000 &gt;= ($G$1-5))))/5</f>
        <v>0</v>
      </c>
    </row>
    <row r="1085" spans="7:25" x14ac:dyDescent="0.35">
      <c r="G1085" s="66">
        <v>12</v>
      </c>
      <c r="H1085" t="s">
        <v>24</v>
      </c>
      <c r="I1085" t="s">
        <v>411</v>
      </c>
      <c r="J1085" t="s">
        <v>256</v>
      </c>
      <c r="K1085" t="s">
        <v>9</v>
      </c>
      <c r="L1085" t="s">
        <v>2</v>
      </c>
      <c r="M1085">
        <f t="shared" si="52"/>
        <v>4.6978221324027878</v>
      </c>
      <c r="N1085" t="str">
        <f t="shared" si="53"/>
        <v/>
      </c>
      <c r="O1085" s="67" cm="1">
        <f t="array" ref="O1085">SUMPRODUCT((G1085=$G$7:$G$10000)*(M1085&lt;$M$7:$M$10000))+1</f>
        <v>56</v>
      </c>
      <c r="P1085" s="72"/>
      <c r="Q1085">
        <v>14</v>
      </c>
      <c r="R1085" t="str">
        <v>ARC</v>
      </c>
      <c r="S1085" t="str">
        <v>Shawn Clark</v>
      </c>
      <c r="T1085" t="str">
        <v>NULL</v>
      </c>
      <c r="U1085" t="str">
        <v>Home</v>
      </c>
      <c r="V1085" t="str">
        <v>OGDC</v>
      </c>
      <c r="W1085">
        <v>2.2919650063333981</v>
      </c>
      <c r="Y1085" s="1" cm="1">
        <f t="array" ref="Y1085">COUNT(_xlfn._xlws.FILTER($G$7:$G$10000,($I$7:$I$10000=X1085)*($J$7:$J$10000&lt;&gt;"NULL")*($G$7:$G$10000 &gt;= ($G$1-5))))/5</f>
        <v>0</v>
      </c>
    </row>
    <row r="1086" spans="7:25" x14ac:dyDescent="0.35">
      <c r="G1086" s="66">
        <v>12</v>
      </c>
      <c r="H1086" t="s">
        <v>4</v>
      </c>
      <c r="I1086" t="s">
        <v>172</v>
      </c>
      <c r="J1086" t="s">
        <v>256</v>
      </c>
      <c r="K1086" t="s">
        <v>9</v>
      </c>
      <c r="L1086" t="s">
        <v>34</v>
      </c>
      <c r="M1086">
        <f t="shared" si="52"/>
        <v>4.6476358456520082</v>
      </c>
      <c r="N1086" t="str">
        <f t="shared" si="53"/>
        <v/>
      </c>
      <c r="O1086" s="67" cm="1">
        <f t="array" ref="O1086">SUMPRODUCT((G1086=$G$7:$G$10000)*(M1086&lt;$M$7:$M$10000))+1</f>
        <v>57</v>
      </c>
      <c r="P1086" s="72"/>
      <c r="Q1086">
        <v>14</v>
      </c>
      <c r="R1086" t="str">
        <v>ARC</v>
      </c>
      <c r="S1086" t="str">
        <v>Joe Apikotoa</v>
      </c>
      <c r="T1086" t="str">
        <v>NULL</v>
      </c>
      <c r="U1086" t="str">
        <v>Home</v>
      </c>
      <c r="V1086" t="str">
        <v>OGDC</v>
      </c>
      <c r="W1086">
        <v>2.2752217158691854</v>
      </c>
      <c r="Y1086" s="1" cm="1">
        <f t="array" ref="Y1086">COUNT(_xlfn._xlws.FILTER($G$7:$G$10000,($I$7:$I$10000=X1086)*($J$7:$J$10000&lt;&gt;"NULL")*($G$7:$G$10000 &gt;= ($G$1-5))))/5</f>
        <v>0</v>
      </c>
    </row>
    <row r="1087" spans="7:25" x14ac:dyDescent="0.35">
      <c r="G1087" s="66">
        <v>12</v>
      </c>
      <c r="H1087" t="s">
        <v>34</v>
      </c>
      <c r="I1087" t="s">
        <v>436</v>
      </c>
      <c r="J1087" t="s">
        <v>256</v>
      </c>
      <c r="K1087" t="s">
        <v>3</v>
      </c>
      <c r="L1087" t="s">
        <v>4</v>
      </c>
      <c r="M1087">
        <f t="shared" si="52"/>
        <v>4.5860185088143846</v>
      </c>
      <c r="N1087" t="str">
        <f t="shared" si="53"/>
        <v/>
      </c>
      <c r="O1087" s="67" cm="1">
        <f t="array" ref="O1087">SUMPRODUCT((G1087=$G$7:$G$10000)*(M1087&lt;$M$7:$M$10000))+1</f>
        <v>58</v>
      </c>
      <c r="P1087" s="72"/>
      <c r="Q1087">
        <v>14</v>
      </c>
      <c r="R1087" t="str">
        <v>LA</v>
      </c>
      <c r="S1087" t="str">
        <v>Reegan O'Gorman</v>
      </c>
      <c r="T1087" t="str">
        <v>NULL</v>
      </c>
      <c r="U1087" t="str">
        <v>Away</v>
      </c>
      <c r="V1087" t="str">
        <v>CHI</v>
      </c>
      <c r="W1087">
        <v>2.2507666701516937</v>
      </c>
      <c r="Y1087" s="1" cm="1">
        <f t="array" ref="Y1087">COUNT(_xlfn._xlws.FILTER($G$7:$G$10000,($I$7:$I$10000=X1087)*($J$7:$J$10000&lt;&gt;"NULL")*($G$7:$G$10000 &gt;= ($G$1-5))))/5</f>
        <v>0</v>
      </c>
    </row>
    <row r="1088" spans="7:25" x14ac:dyDescent="0.35">
      <c r="G1088" s="66">
        <v>12</v>
      </c>
      <c r="H1088" t="s">
        <v>13</v>
      </c>
      <c r="I1088" t="s">
        <v>120</v>
      </c>
      <c r="J1088" t="s">
        <v>256</v>
      </c>
      <c r="K1088" t="s">
        <v>9</v>
      </c>
      <c r="L1088" t="s">
        <v>7</v>
      </c>
      <c r="M1088">
        <f t="shared" si="52"/>
        <v>4.5249583242229336</v>
      </c>
      <c r="N1088" t="str">
        <f t="shared" si="53"/>
        <v/>
      </c>
      <c r="O1088" s="67" cm="1">
        <f t="array" ref="O1088">SUMPRODUCT((G1088=$G$7:$G$10000)*(M1088&lt;$M$7:$M$10000))+1</f>
        <v>59</v>
      </c>
      <c r="P1088" s="72"/>
      <c r="Q1088">
        <v>14</v>
      </c>
      <c r="R1088" t="str">
        <v>ARC</v>
      </c>
      <c r="S1088" t="str">
        <v>Albert O'Shannessey</v>
      </c>
      <c r="T1088" t="str">
        <v>NULL</v>
      </c>
      <c r="U1088" t="str">
        <v>Home</v>
      </c>
      <c r="V1088" t="str">
        <v>OGDC</v>
      </c>
      <c r="W1088">
        <v>2.1473507297439456</v>
      </c>
      <c r="Y1088" s="1" cm="1">
        <f t="array" ref="Y1088">COUNT(_xlfn._xlws.FILTER($G$7:$G$10000,($I$7:$I$10000=X1088)*($J$7:$J$10000&lt;&gt;"NULL")*($G$7:$G$10000 &gt;= ($G$1-5))))/5</f>
        <v>0</v>
      </c>
    </row>
    <row r="1089" spans="7:25" x14ac:dyDescent="0.35">
      <c r="G1089" s="66">
        <v>12</v>
      </c>
      <c r="H1089" t="s">
        <v>24</v>
      </c>
      <c r="I1089" t="s">
        <v>168</v>
      </c>
      <c r="J1089" t="s">
        <v>256</v>
      </c>
      <c r="K1089" t="s">
        <v>9</v>
      </c>
      <c r="L1089" t="s">
        <v>2</v>
      </c>
      <c r="M1089">
        <f t="shared" si="52"/>
        <v>4.3704120941904705</v>
      </c>
      <c r="N1089" t="str">
        <f t="shared" si="53"/>
        <v/>
      </c>
      <c r="O1089" s="67" cm="1">
        <f t="array" ref="O1089">SUMPRODUCT((G1089=$G$7:$G$10000)*(M1089&lt;$M$7:$M$10000))+1</f>
        <v>60</v>
      </c>
      <c r="P1089" s="72"/>
      <c r="Q1089">
        <v>14</v>
      </c>
      <c r="R1089" t="str">
        <v>SDL</v>
      </c>
      <c r="S1089" t="str">
        <v>Hugh Roach</v>
      </c>
      <c r="T1089" t="str">
        <v>NULL</v>
      </c>
      <c r="U1089" t="str">
        <v>Away</v>
      </c>
      <c r="V1089" t="str">
        <v>SEA</v>
      </c>
      <c r="W1089">
        <v>2.0812099755310323</v>
      </c>
      <c r="Y1089" s="1" cm="1">
        <f t="array" ref="Y1089">COUNT(_xlfn._xlws.FILTER($G$7:$G$10000,($I$7:$I$10000=X1089)*($J$7:$J$10000&lt;&gt;"NULL")*($G$7:$G$10000 &gt;= ($G$1-5))))/5</f>
        <v>0</v>
      </c>
    </row>
    <row r="1090" spans="7:25" x14ac:dyDescent="0.35">
      <c r="G1090" s="66">
        <v>12</v>
      </c>
      <c r="H1090" t="s">
        <v>34</v>
      </c>
      <c r="I1090" t="s">
        <v>177</v>
      </c>
      <c r="J1090" t="s">
        <v>256</v>
      </c>
      <c r="K1090" t="s">
        <v>3</v>
      </c>
      <c r="L1090" t="s">
        <v>4</v>
      </c>
      <c r="M1090">
        <f t="shared" si="52"/>
        <v>4.3646140266993614</v>
      </c>
      <c r="N1090" t="str">
        <f t="shared" si="53"/>
        <v/>
      </c>
      <c r="O1090" s="67" cm="1">
        <f t="array" ref="O1090">SUMPRODUCT((G1090=$G$7:$G$10000)*(M1090&lt;$M$7:$M$10000))+1</f>
        <v>61</v>
      </c>
      <c r="P1090" s="72"/>
      <c r="Q1090">
        <v>14</v>
      </c>
      <c r="R1090" t="str">
        <v>OGDC</v>
      </c>
      <c r="S1090" t="str">
        <v>Facundo Gattas</v>
      </c>
      <c r="T1090" t="str">
        <v>NULL</v>
      </c>
      <c r="U1090" t="str">
        <v>Away</v>
      </c>
      <c r="V1090" t="str">
        <v>ARC</v>
      </c>
      <c r="W1090">
        <v>1.8600449402305728</v>
      </c>
      <c r="Y1090" s="1" cm="1">
        <f t="array" ref="Y1090">COUNT(_xlfn._xlws.FILTER($G$7:$G$10000,($I$7:$I$10000=X1090)*($J$7:$J$10000&lt;&gt;"NULL")*($G$7:$G$10000 &gt;= ($G$1-5))))/5</f>
        <v>0</v>
      </c>
    </row>
    <row r="1091" spans="7:25" x14ac:dyDescent="0.35">
      <c r="G1091" s="66">
        <v>12</v>
      </c>
      <c r="H1091" t="s">
        <v>34</v>
      </c>
      <c r="I1091" t="s">
        <v>153</v>
      </c>
      <c r="J1091" t="s">
        <v>256</v>
      </c>
      <c r="K1091" t="s">
        <v>3</v>
      </c>
      <c r="L1091" t="s">
        <v>4</v>
      </c>
      <c r="M1091">
        <f t="shared" si="52"/>
        <v>4.2642050333575501</v>
      </c>
      <c r="N1091" t="str">
        <f t="shared" si="53"/>
        <v/>
      </c>
      <c r="O1091" s="67" cm="1">
        <f t="array" ref="O1091">SUMPRODUCT((G1091=$G$7:$G$10000)*(M1091&lt;$M$7:$M$10000))+1</f>
        <v>62</v>
      </c>
      <c r="P1091" s="72"/>
      <c r="Q1091">
        <v>14</v>
      </c>
      <c r="R1091" t="str">
        <v>OGDC</v>
      </c>
      <c r="S1091" t="str">
        <v>Jack Iscaro</v>
      </c>
      <c r="T1091" t="str">
        <v>NULL</v>
      </c>
      <c r="U1091" t="str">
        <v>Away</v>
      </c>
      <c r="V1091" t="str">
        <v>ARC</v>
      </c>
      <c r="W1091">
        <v>1.8075279105472726</v>
      </c>
      <c r="Y1091" s="1" cm="1">
        <f t="array" ref="Y1091">COUNT(_xlfn._xlws.FILTER($G$7:$G$10000,($I$7:$I$10000=X1091)*($J$7:$J$10000&lt;&gt;"NULL")*($G$7:$G$10000 &gt;= ($G$1-5))))/5</f>
        <v>0</v>
      </c>
    </row>
    <row r="1092" spans="7:25" x14ac:dyDescent="0.35">
      <c r="G1092" s="66">
        <v>12</v>
      </c>
      <c r="H1092" t="s">
        <v>4</v>
      </c>
      <c r="I1092" t="s">
        <v>118</v>
      </c>
      <c r="J1092" t="s">
        <v>256</v>
      </c>
      <c r="K1092" t="s">
        <v>9</v>
      </c>
      <c r="L1092" t="s">
        <v>34</v>
      </c>
      <c r="M1092">
        <f t="shared" si="52"/>
        <v>4.2435579208066345</v>
      </c>
      <c r="N1092" t="str">
        <f t="shared" si="53"/>
        <v/>
      </c>
      <c r="O1092" s="67" cm="1">
        <f t="array" ref="O1092">SUMPRODUCT((G1092=$G$7:$G$10000)*(M1092&lt;$M$7:$M$10000))+1</f>
        <v>63</v>
      </c>
      <c r="P1092" s="72"/>
      <c r="Q1092">
        <v>14</v>
      </c>
      <c r="R1092" t="str">
        <v>CHI</v>
      </c>
      <c r="S1092" t="str">
        <v>Charlie Abel</v>
      </c>
      <c r="T1092" t="str">
        <v>NULL</v>
      </c>
      <c r="U1092" t="str">
        <v>Home</v>
      </c>
      <c r="V1092" t="str">
        <v>LA</v>
      </c>
      <c r="W1092">
        <v>1.7353797058041627</v>
      </c>
      <c r="Y1092" s="1" cm="1">
        <f t="array" ref="Y1092">COUNT(_xlfn._xlws.FILTER($G$7:$G$10000,($I$7:$I$10000=X1092)*($J$7:$J$10000&lt;&gt;"NULL")*($G$7:$G$10000 &gt;= ($G$1-5))))/5</f>
        <v>0</v>
      </c>
    </row>
    <row r="1093" spans="7:25" x14ac:dyDescent="0.35">
      <c r="G1093" s="66">
        <v>12</v>
      </c>
      <c r="H1093" t="s">
        <v>2</v>
      </c>
      <c r="I1093" t="s">
        <v>426</v>
      </c>
      <c r="J1093" t="s">
        <v>256</v>
      </c>
      <c r="K1093" t="s">
        <v>3</v>
      </c>
      <c r="L1093" t="s">
        <v>24</v>
      </c>
      <c r="M1093">
        <f t="shared" si="52"/>
        <v>4.1577966041816552</v>
      </c>
      <c r="N1093" t="str">
        <f t="shared" si="53"/>
        <v/>
      </c>
      <c r="O1093" s="67" cm="1">
        <f t="array" ref="O1093">SUMPRODUCT((G1093=$G$7:$G$10000)*(M1093&lt;$M$7:$M$10000))+1</f>
        <v>64</v>
      </c>
      <c r="P1093" s="72"/>
      <c r="Q1093">
        <v>14</v>
      </c>
      <c r="R1093" t="str">
        <v>SDL</v>
      </c>
      <c r="S1093" t="str">
        <v>Brandon Harvey</v>
      </c>
      <c r="T1093" t="str">
        <v>NULL</v>
      </c>
      <c r="U1093" t="str">
        <v>Away</v>
      </c>
      <c r="V1093" t="str">
        <v>SEA</v>
      </c>
      <c r="W1093">
        <v>1.7022028893102146</v>
      </c>
      <c r="Y1093" s="1" cm="1">
        <f t="array" ref="Y1093">COUNT(_xlfn._xlws.FILTER($G$7:$G$10000,($I$7:$I$10000=X1093)*($J$7:$J$10000&lt;&gt;"NULL")*($G$7:$G$10000 &gt;= ($G$1-5))))/5</f>
        <v>0</v>
      </c>
    </row>
    <row r="1094" spans="7:25" x14ac:dyDescent="0.35">
      <c r="G1094" s="66">
        <v>12</v>
      </c>
      <c r="H1094" t="s">
        <v>13</v>
      </c>
      <c r="I1094" t="s">
        <v>469</v>
      </c>
      <c r="J1094" t="s">
        <v>256</v>
      </c>
      <c r="K1094" t="s">
        <v>9</v>
      </c>
      <c r="L1094" t="s">
        <v>7</v>
      </c>
      <c r="M1094">
        <f t="shared" si="52"/>
        <v>4.0346583784313452</v>
      </c>
      <c r="N1094" t="str">
        <f t="shared" si="53"/>
        <v/>
      </c>
      <c r="O1094" s="67" cm="1">
        <f t="array" ref="O1094">SUMPRODUCT((G1094=$G$7:$G$10000)*(M1094&lt;$M$7:$M$10000))+1</f>
        <v>65</v>
      </c>
      <c r="P1094" s="72"/>
      <c r="Q1094">
        <v>14</v>
      </c>
      <c r="R1094" t="str">
        <v>LA</v>
      </c>
      <c r="S1094" t="str">
        <v>Cronan Gleeson</v>
      </c>
      <c r="T1094" t="str">
        <v>NULL</v>
      </c>
      <c r="U1094" t="str">
        <v>Away</v>
      </c>
      <c r="V1094" t="str">
        <v>CHI</v>
      </c>
      <c r="W1094">
        <v>1.5754006034057273</v>
      </c>
      <c r="Y1094" s="1" cm="1">
        <f t="array" ref="Y1094">COUNT(_xlfn._xlws.FILTER($G$7:$G$10000,($I$7:$I$10000=X1094)*($J$7:$J$10000&lt;&gt;"NULL")*($G$7:$G$10000 &gt;= ($G$1-5))))/5</f>
        <v>0</v>
      </c>
    </row>
    <row r="1095" spans="7:25" x14ac:dyDescent="0.35">
      <c r="G1095" s="66">
        <v>12</v>
      </c>
      <c r="H1095" t="s">
        <v>2</v>
      </c>
      <c r="I1095" t="s">
        <v>159</v>
      </c>
      <c r="J1095" t="s">
        <v>256</v>
      </c>
      <c r="K1095" t="s">
        <v>3</v>
      </c>
      <c r="L1095" t="s">
        <v>24</v>
      </c>
      <c r="M1095">
        <f t="shared" si="52"/>
        <v>4.0196681294056837</v>
      </c>
      <c r="N1095" t="str">
        <f t="shared" si="53"/>
        <v/>
      </c>
      <c r="O1095" s="67" cm="1">
        <f t="array" ref="O1095">SUMPRODUCT((G1095=$G$7:$G$10000)*(M1095&lt;$M$7:$M$10000))+1</f>
        <v>66</v>
      </c>
      <c r="P1095" s="72"/>
      <c r="Q1095">
        <v>14</v>
      </c>
      <c r="R1095" t="str">
        <v>HOU</v>
      </c>
      <c r="S1095" t="str">
        <v>Emmanuel Albert</v>
      </c>
      <c r="T1095" t="str">
        <v>NULL</v>
      </c>
      <c r="U1095" t="str">
        <v>Home</v>
      </c>
      <c r="V1095" t="str">
        <v>UTAH</v>
      </c>
      <c r="W1095">
        <v>1.5537713555719752</v>
      </c>
      <c r="Y1095" s="1" cm="1">
        <f t="array" ref="Y1095">COUNT(_xlfn._xlws.FILTER($G$7:$G$10000,($I$7:$I$10000=X1095)*($J$7:$J$10000&lt;&gt;"NULL")*($G$7:$G$10000 &gt;= ($G$1-5))))/5</f>
        <v>0</v>
      </c>
    </row>
    <row r="1096" spans="7:25" x14ac:dyDescent="0.35">
      <c r="G1096" s="66">
        <v>12</v>
      </c>
      <c r="H1096" t="s">
        <v>17</v>
      </c>
      <c r="I1096" t="s">
        <v>284</v>
      </c>
      <c r="J1096" t="s">
        <v>256</v>
      </c>
      <c r="K1096" t="s">
        <v>3</v>
      </c>
      <c r="L1096" t="s">
        <v>6</v>
      </c>
      <c r="M1096">
        <f t="shared" si="52"/>
        <v>3.969396099479666</v>
      </c>
      <c r="N1096" t="str">
        <f t="shared" si="53"/>
        <v/>
      </c>
      <c r="O1096" s="67" cm="1">
        <f t="array" ref="O1096">SUMPRODUCT((G1096=$G$7:$G$10000)*(M1096&lt;$M$7:$M$10000))+1</f>
        <v>67</v>
      </c>
      <c r="P1096" s="72"/>
      <c r="Q1096">
        <v>14</v>
      </c>
      <c r="R1096" t="str">
        <v>OGDC</v>
      </c>
      <c r="S1096" t="str">
        <v>Lautaro Bavaro</v>
      </c>
      <c r="T1096" t="str">
        <v>NULL</v>
      </c>
      <c r="U1096" t="str">
        <v>Away</v>
      </c>
      <c r="V1096" t="str">
        <v>ARC</v>
      </c>
      <c r="W1096">
        <v>1.4913962946842174</v>
      </c>
      <c r="Y1096" s="1" cm="1">
        <f t="array" ref="Y1096">COUNT(_xlfn._xlws.FILTER($G$7:$G$10000,($I$7:$I$10000=X1096)*($J$7:$J$10000&lt;&gt;"NULL")*($G$7:$G$10000 &gt;= ($G$1-5))))/5</f>
        <v>0</v>
      </c>
    </row>
    <row r="1097" spans="7:25" x14ac:dyDescent="0.35">
      <c r="G1097" s="66">
        <v>12</v>
      </c>
      <c r="H1097" t="s">
        <v>4</v>
      </c>
      <c r="I1097" t="s">
        <v>335</v>
      </c>
      <c r="J1097" t="s">
        <v>256</v>
      </c>
      <c r="K1097" t="s">
        <v>9</v>
      </c>
      <c r="L1097" t="s">
        <v>34</v>
      </c>
      <c r="M1097">
        <f t="shared" si="52"/>
        <v>3.9228118369430875</v>
      </c>
      <c r="N1097" t="str">
        <f t="shared" si="53"/>
        <v/>
      </c>
      <c r="O1097" s="67" cm="1">
        <f t="array" ref="O1097">SUMPRODUCT((G1097=$G$7:$G$10000)*(M1097&lt;$M$7:$M$10000))+1</f>
        <v>68</v>
      </c>
      <c r="P1097" s="72"/>
      <c r="Q1097">
        <v>14</v>
      </c>
      <c r="R1097" t="str">
        <v>OGDC</v>
      </c>
      <c r="S1097" t="str">
        <v>Rob Harley</v>
      </c>
      <c r="T1097" t="str">
        <v>NULL</v>
      </c>
      <c r="U1097" t="str">
        <v>Away</v>
      </c>
      <c r="V1097" t="str">
        <v>ARC</v>
      </c>
      <c r="W1097">
        <v>1.3332886206105279</v>
      </c>
      <c r="Y1097" s="1" cm="1">
        <f t="array" ref="Y1097">COUNT(_xlfn._xlws.FILTER($G$7:$G$10000,($I$7:$I$10000=X1097)*($J$7:$J$10000&lt;&gt;"NULL")*($G$7:$G$10000 &gt;= ($G$1-5))))/5</f>
        <v>0</v>
      </c>
    </row>
    <row r="1098" spans="7:25" x14ac:dyDescent="0.35">
      <c r="G1098" s="66">
        <v>12</v>
      </c>
      <c r="H1098" t="s">
        <v>6</v>
      </c>
      <c r="I1098" t="s">
        <v>417</v>
      </c>
      <c r="J1098" t="s">
        <v>256</v>
      </c>
      <c r="K1098" t="s">
        <v>9</v>
      </c>
      <c r="L1098" t="s">
        <v>17</v>
      </c>
      <c r="M1098">
        <f t="shared" si="52"/>
        <v>3.7305757122042809</v>
      </c>
      <c r="N1098" t="str">
        <f t="shared" si="53"/>
        <v/>
      </c>
      <c r="O1098" s="67" cm="1">
        <f t="array" ref="O1098">SUMPRODUCT((G1098=$G$7:$G$10000)*(M1098&lt;$M$7:$M$10000))+1</f>
        <v>69</v>
      </c>
      <c r="P1098" s="72"/>
      <c r="Q1098">
        <v>14</v>
      </c>
      <c r="R1098" t="str">
        <v>OGDC</v>
      </c>
      <c r="S1098" t="str">
        <v>Cali Martinez</v>
      </c>
      <c r="T1098" t="str">
        <v>NULL</v>
      </c>
      <c r="U1098" t="str">
        <v>Away</v>
      </c>
      <c r="V1098" t="str">
        <v>ARC</v>
      </c>
      <c r="W1098">
        <v>1.1333482103045442</v>
      </c>
      <c r="Y1098" s="1" cm="1">
        <f t="array" ref="Y1098">COUNT(_xlfn._xlws.FILTER($G$7:$G$10000,($I$7:$I$10000=X1098)*($J$7:$J$10000&lt;&gt;"NULL")*($G$7:$G$10000 &gt;= ($G$1-5))))/5</f>
        <v>0</v>
      </c>
    </row>
    <row r="1099" spans="7:25" x14ac:dyDescent="0.35">
      <c r="G1099" s="66">
        <v>12</v>
      </c>
      <c r="H1099" t="s">
        <v>13</v>
      </c>
      <c r="I1099" t="s">
        <v>210</v>
      </c>
      <c r="J1099" t="s">
        <v>256</v>
      </c>
      <c r="K1099" t="s">
        <v>9</v>
      </c>
      <c r="L1099" t="s">
        <v>7</v>
      </c>
      <c r="M1099">
        <f t="shared" si="52"/>
        <v>3.3492095405184208</v>
      </c>
      <c r="N1099" t="str">
        <f t="shared" si="53"/>
        <v/>
      </c>
      <c r="O1099" s="67" cm="1">
        <f t="array" ref="O1099">SUMPRODUCT((G1099=$G$7:$G$10000)*(M1099&lt;$M$7:$M$10000))+1</f>
        <v>70</v>
      </c>
      <c r="P1099" s="72"/>
      <c r="Q1099">
        <v>14</v>
      </c>
      <c r="R1099" t="str">
        <v>HOU</v>
      </c>
      <c r="S1099" t="str">
        <v>Johan Momsen</v>
      </c>
      <c r="T1099" t="str">
        <v>NULL</v>
      </c>
      <c r="U1099" t="str">
        <v>Home</v>
      </c>
      <c r="V1099" t="str">
        <v>UTAH</v>
      </c>
      <c r="W1099">
        <v>0.98860227650153432</v>
      </c>
      <c r="Y1099" s="1" cm="1">
        <f t="array" ref="Y1099">COUNT(_xlfn._xlws.FILTER($G$7:$G$10000,($I$7:$I$10000=X1099)*($J$7:$J$10000&lt;&gt;"NULL")*($G$7:$G$10000 &gt;= ($G$1-5))))/5</f>
        <v>0</v>
      </c>
    </row>
    <row r="1100" spans="7:25" x14ac:dyDescent="0.35">
      <c r="G1100" s="66">
        <v>12</v>
      </c>
      <c r="H1100" t="s">
        <v>23</v>
      </c>
      <c r="I1100" t="s">
        <v>252</v>
      </c>
      <c r="J1100" t="s">
        <v>256</v>
      </c>
      <c r="K1100" t="s">
        <v>3</v>
      </c>
      <c r="L1100" t="s">
        <v>36</v>
      </c>
      <c r="M1100">
        <f t="shared" si="52"/>
        <v>3.1951446228230296</v>
      </c>
      <c r="N1100" t="str">
        <f t="shared" si="53"/>
        <v/>
      </c>
      <c r="O1100" s="67" cm="1">
        <f t="array" ref="O1100">SUMPRODUCT((G1100=$G$7:$G$10000)*(M1100&lt;$M$7:$M$10000))+1</f>
        <v>71</v>
      </c>
      <c r="P1100" s="72"/>
      <c r="Q1100">
        <v>14</v>
      </c>
      <c r="R1100" t="str">
        <v>MIA</v>
      </c>
      <c r="S1100" t="str">
        <v>Tau Koloamatangi</v>
      </c>
      <c r="T1100" t="str">
        <v>NULL</v>
      </c>
      <c r="U1100" t="str">
        <v>Home</v>
      </c>
      <c r="V1100" t="str">
        <v>NEFJ</v>
      </c>
      <c r="W1100">
        <v>0.94769813964688332</v>
      </c>
      <c r="Y1100" s="1" cm="1">
        <f t="array" ref="Y1100">COUNT(_xlfn._xlws.FILTER($G$7:$G$10000,($I$7:$I$10000=X1100)*($J$7:$J$10000&lt;&gt;"NULL")*($G$7:$G$10000 &gt;= ($G$1-5))))/5</f>
        <v>0</v>
      </c>
    </row>
    <row r="1101" spans="7:25" x14ac:dyDescent="0.35">
      <c r="G1101" s="66">
        <v>12</v>
      </c>
      <c r="H1101" t="s">
        <v>6</v>
      </c>
      <c r="I1101" t="s">
        <v>416</v>
      </c>
      <c r="J1101" t="s">
        <v>256</v>
      </c>
      <c r="K1101" t="s">
        <v>9</v>
      </c>
      <c r="L1101" t="s">
        <v>17</v>
      </c>
      <c r="M1101">
        <f t="shared" si="52"/>
        <v>3.0401740151270245</v>
      </c>
      <c r="N1101" t="str">
        <f t="shared" si="53"/>
        <v/>
      </c>
      <c r="O1101" s="67" cm="1">
        <f t="array" ref="O1101">SUMPRODUCT((G1101=$G$7:$G$10000)*(M1101&lt;$M$7:$M$10000))+1</f>
        <v>72</v>
      </c>
      <c r="P1101" s="72"/>
      <c r="Q1101">
        <v>14</v>
      </c>
      <c r="R1101" t="str">
        <v>UTAH</v>
      </c>
      <c r="S1101" t="str">
        <v>Tonga Kofe</v>
      </c>
      <c r="T1101" t="str">
        <v>NULL</v>
      </c>
      <c r="U1101" t="str">
        <v>Away</v>
      </c>
      <c r="V1101" t="str">
        <v>HOU</v>
      </c>
      <c r="W1101">
        <v>0.74655351464507014</v>
      </c>
      <c r="Y1101" s="1" cm="1">
        <f t="array" ref="Y1101">COUNT(_xlfn._xlws.FILTER($G$7:$G$10000,($I$7:$I$10000=X1101)*($J$7:$J$10000&lt;&gt;"NULL")*($G$7:$G$10000 &gt;= ($G$1-5))))/5</f>
        <v>0</v>
      </c>
    </row>
    <row r="1102" spans="7:25" x14ac:dyDescent="0.35">
      <c r="G1102" s="66">
        <v>12</v>
      </c>
      <c r="H1102" t="s">
        <v>17</v>
      </c>
      <c r="I1102" t="s">
        <v>167</v>
      </c>
      <c r="J1102" t="s">
        <v>256</v>
      </c>
      <c r="K1102" t="s">
        <v>3</v>
      </c>
      <c r="L1102" t="s">
        <v>6</v>
      </c>
      <c r="M1102">
        <f t="shared" si="52"/>
        <v>3.0133070598043208</v>
      </c>
      <c r="N1102" t="str">
        <f t="shared" si="53"/>
        <v/>
      </c>
      <c r="O1102" s="67" cm="1">
        <f t="array" ref="O1102">SUMPRODUCT((G1102=$G$7:$G$10000)*(M1102&lt;$M$7:$M$10000))+1</f>
        <v>73</v>
      </c>
      <c r="P1102" s="72"/>
      <c r="Q1102">
        <v>14</v>
      </c>
      <c r="R1102" t="str">
        <v>OGDC</v>
      </c>
      <c r="S1102" t="str">
        <v>Tevita Naqali</v>
      </c>
      <c r="T1102" t="str">
        <v>NULL</v>
      </c>
      <c r="U1102" t="str">
        <v>Away</v>
      </c>
      <c r="V1102" t="str">
        <v>ARC</v>
      </c>
      <c r="W1102">
        <v>0.70710303877448233</v>
      </c>
      <c r="Y1102" s="1" cm="1">
        <f t="array" ref="Y1102">COUNT(_xlfn._xlws.FILTER($G$7:$G$10000,($I$7:$I$10000=X1102)*($J$7:$J$10000&lt;&gt;"NULL")*($G$7:$G$10000 &gt;= ($G$1-5))))/5</f>
        <v>0</v>
      </c>
    </row>
    <row r="1103" spans="7:25" x14ac:dyDescent="0.35">
      <c r="G1103" s="66">
        <v>12</v>
      </c>
      <c r="H1103" t="s">
        <v>23</v>
      </c>
      <c r="I1103" t="s">
        <v>229</v>
      </c>
      <c r="J1103" t="s">
        <v>256</v>
      </c>
      <c r="K1103" t="s">
        <v>3</v>
      </c>
      <c r="L1103" t="s">
        <v>36</v>
      </c>
      <c r="M1103">
        <f t="shared" si="52"/>
        <v>2.9560337699589354</v>
      </c>
      <c r="N1103" t="str">
        <f t="shared" si="53"/>
        <v/>
      </c>
      <c r="O1103" s="67" cm="1">
        <f t="array" ref="O1103">SUMPRODUCT((G1103=$G$7:$G$10000)*(M1103&lt;$M$7:$M$10000))+1</f>
        <v>74</v>
      </c>
      <c r="P1103" s="72"/>
      <c r="Q1103">
        <v>14</v>
      </c>
      <c r="R1103" t="str">
        <v>HOU</v>
      </c>
      <c r="S1103" t="str">
        <v>Nathan Den Hoedt</v>
      </c>
      <c r="T1103" t="str">
        <v>NULL</v>
      </c>
      <c r="U1103" t="str">
        <v>Home</v>
      </c>
      <c r="V1103" t="str">
        <v>UTAH</v>
      </c>
      <c r="W1103">
        <v>0.65781594744291949</v>
      </c>
      <c r="Y1103" s="1" cm="1">
        <f t="array" ref="Y1103">COUNT(_xlfn._xlws.FILTER($G$7:$G$10000,($I$7:$I$10000=X1103)*($J$7:$J$10000&lt;&gt;"NULL")*($G$7:$G$10000 &gt;= ($G$1-5))))/5</f>
        <v>0</v>
      </c>
    </row>
    <row r="1104" spans="7:25" x14ac:dyDescent="0.35">
      <c r="G1104" s="66">
        <v>12</v>
      </c>
      <c r="H1104" t="s">
        <v>24</v>
      </c>
      <c r="I1104" t="s">
        <v>482</v>
      </c>
      <c r="J1104" t="s">
        <v>256</v>
      </c>
      <c r="K1104" t="s">
        <v>9</v>
      </c>
      <c r="L1104" t="s">
        <v>2</v>
      </c>
      <c r="M1104">
        <f t="shared" si="52"/>
        <v>2.8376479969051767</v>
      </c>
      <c r="N1104" t="str">
        <f t="shared" si="53"/>
        <v/>
      </c>
      <c r="O1104" s="67" cm="1">
        <f t="array" ref="O1104">SUMPRODUCT((G1104=$G$7:$G$10000)*(M1104&lt;$M$7:$M$10000))+1</f>
        <v>75</v>
      </c>
      <c r="P1104" s="72"/>
      <c r="Q1104">
        <v>14</v>
      </c>
      <c r="R1104" t="str">
        <v>HOU</v>
      </c>
      <c r="S1104" t="str">
        <v>Marno Redelinghuys</v>
      </c>
      <c r="T1104" t="str">
        <v>NULL</v>
      </c>
      <c r="U1104" t="str">
        <v>Home</v>
      </c>
      <c r="V1104" t="str">
        <v>UTAH</v>
      </c>
      <c r="W1104">
        <v>0.43527413634917966</v>
      </c>
      <c r="Y1104" s="1" cm="1">
        <f t="array" ref="Y1104">COUNT(_xlfn._xlws.FILTER($G$7:$G$10000,($I$7:$I$10000=X1104)*($J$7:$J$10000&lt;&gt;"NULL")*($G$7:$G$10000 &gt;= ($G$1-5))))/5</f>
        <v>0</v>
      </c>
    </row>
    <row r="1105" spans="7:25" x14ac:dyDescent="0.35">
      <c r="G1105" s="66">
        <v>12</v>
      </c>
      <c r="H1105" t="s">
        <v>7</v>
      </c>
      <c r="I1105" t="s">
        <v>202</v>
      </c>
      <c r="J1105" t="s">
        <v>256</v>
      </c>
      <c r="K1105" t="s">
        <v>3</v>
      </c>
      <c r="L1105" t="s">
        <v>13</v>
      </c>
      <c r="M1105">
        <f t="shared" si="52"/>
        <v>2.7103244917523144</v>
      </c>
      <c r="N1105" t="str">
        <f t="shared" si="53"/>
        <v/>
      </c>
      <c r="O1105" s="67" cm="1">
        <f t="array" ref="O1105">SUMPRODUCT((G1105=$G$7:$G$10000)*(M1105&lt;$M$7:$M$10000))+1</f>
        <v>76</v>
      </c>
      <c r="P1105" s="72"/>
      <c r="Q1105">
        <v>14</v>
      </c>
      <c r="R1105" t="str">
        <v>MIA</v>
      </c>
      <c r="S1105" t="str">
        <v>Sean McNulty</v>
      </c>
      <c r="T1105" t="str">
        <v>NULL</v>
      </c>
      <c r="U1105" t="str">
        <v>Home</v>
      </c>
      <c r="V1105" t="str">
        <v>NEFJ</v>
      </c>
      <c r="W1105">
        <v>0.21495704147590988</v>
      </c>
      <c r="Y1105" s="1" cm="1">
        <f t="array" ref="Y1105">COUNT(_xlfn._xlws.FILTER($G$7:$G$10000,($I$7:$I$10000=X1105)*($J$7:$J$10000&lt;&gt;"NULL")*($G$7:$G$10000 &gt;= ($G$1-5))))/5</f>
        <v>0</v>
      </c>
    </row>
    <row r="1106" spans="7:25" x14ac:dyDescent="0.35">
      <c r="G1106" s="66">
        <v>12</v>
      </c>
      <c r="H1106" t="s">
        <v>17</v>
      </c>
      <c r="I1106" t="s">
        <v>423</v>
      </c>
      <c r="J1106" t="s">
        <v>256</v>
      </c>
      <c r="K1106" t="s">
        <v>3</v>
      </c>
      <c r="L1106" t="s">
        <v>6</v>
      </c>
      <c r="M1106">
        <f t="shared" si="52"/>
        <v>2.3682531699598366</v>
      </c>
      <c r="N1106" t="str">
        <f t="shared" si="53"/>
        <v/>
      </c>
      <c r="O1106" s="67" cm="1">
        <f t="array" ref="O1106">SUMPRODUCT((G1106=$G$7:$G$10000)*(M1106&lt;$M$7:$M$10000))+1</f>
        <v>77</v>
      </c>
      <c r="P1106" s="72"/>
      <c r="Q1106">
        <v>14</v>
      </c>
      <c r="R1106" t="str">
        <v>HOU</v>
      </c>
      <c r="S1106" t="str">
        <v>Pono Davis</v>
      </c>
      <c r="T1106" t="str">
        <v>NULL</v>
      </c>
      <c r="U1106" t="str">
        <v>Home</v>
      </c>
      <c r="V1106" t="str">
        <v>UTAH</v>
      </c>
      <c r="W1106">
        <v>-0.71592027096093869</v>
      </c>
      <c r="Y1106" s="1" cm="1">
        <f t="array" ref="Y1106">COUNT(_xlfn._xlws.FILTER($G$7:$G$10000,($I$7:$I$10000=X1106)*($J$7:$J$10000&lt;&gt;"NULL")*($G$7:$G$10000 &gt;= ($G$1-5))))/5</f>
        <v>0</v>
      </c>
    </row>
    <row r="1107" spans="7:25" x14ac:dyDescent="0.35">
      <c r="G1107" s="66">
        <v>12</v>
      </c>
      <c r="H1107" t="s">
        <v>36</v>
      </c>
      <c r="I1107" t="s">
        <v>205</v>
      </c>
      <c r="J1107" t="s">
        <v>256</v>
      </c>
      <c r="K1107" t="s">
        <v>9</v>
      </c>
      <c r="L1107" t="s">
        <v>23</v>
      </c>
      <c r="M1107">
        <f t="shared" si="52"/>
        <v>2.3596825579605913</v>
      </c>
      <c r="N1107" t="str">
        <f t="shared" si="53"/>
        <v/>
      </c>
      <c r="O1107" s="67" cm="1">
        <f t="array" ref="O1107">SUMPRODUCT((G1107=$G$7:$G$10000)*(M1107&lt;$M$7:$M$10000))+1</f>
        <v>78</v>
      </c>
      <c r="P1107" s="72"/>
      <c r="Q1107">
        <v>14</v>
      </c>
      <c r="R1107" t="str">
        <v>HOU</v>
      </c>
      <c r="S1107" t="str">
        <v>Ronan Murphy</v>
      </c>
      <c r="T1107" t="str">
        <v>NULL</v>
      </c>
      <c r="U1107" t="str">
        <v>Home</v>
      </c>
      <c r="V1107" t="str">
        <v>UTAH</v>
      </c>
      <c r="W1107">
        <v>-0.76694811933520679</v>
      </c>
      <c r="Y1107" s="1" cm="1">
        <f t="array" ref="Y1107">COUNT(_xlfn._xlws.FILTER($G$7:$G$10000,($I$7:$I$10000=X1107)*($J$7:$J$10000&lt;&gt;"NULL")*($G$7:$G$10000 &gt;= ($G$1-5))))/5</f>
        <v>0</v>
      </c>
    </row>
    <row r="1108" spans="7:25" x14ac:dyDescent="0.35">
      <c r="G1108" s="66">
        <v>12</v>
      </c>
      <c r="H1108" t="s">
        <v>6</v>
      </c>
      <c r="I1108" t="s">
        <v>116</v>
      </c>
      <c r="J1108" t="s">
        <v>256</v>
      </c>
      <c r="K1108" t="s">
        <v>9</v>
      </c>
      <c r="L1108" t="s">
        <v>17</v>
      </c>
      <c r="M1108">
        <f t="shared" si="52"/>
        <v>2.2681171795423589</v>
      </c>
      <c r="N1108" t="str">
        <f t="shared" si="53"/>
        <v/>
      </c>
      <c r="O1108" s="67" cm="1">
        <f t="array" ref="O1108">SUMPRODUCT((G1108=$G$7:$G$10000)*(M1108&lt;$M$7:$M$10000))+1</f>
        <v>79</v>
      </c>
      <c r="P1108" s="72"/>
      <c r="Q1108">
        <v>14</v>
      </c>
      <c r="R1108" t="str">
        <v>HOU</v>
      </c>
      <c r="S1108" t="str">
        <v>Seth Smith</v>
      </c>
      <c r="T1108" t="str">
        <v>NULL</v>
      </c>
      <c r="U1108" t="str">
        <v>Home</v>
      </c>
      <c r="V1108" t="str">
        <v>UTAH</v>
      </c>
      <c r="W1108">
        <v>-1.0599511986576031</v>
      </c>
      <c r="Y1108" s="1" cm="1">
        <f t="array" ref="Y1108">COUNT(_xlfn._xlws.FILTER($G$7:$G$10000,($I$7:$I$10000=X1108)*($J$7:$J$10000&lt;&gt;"NULL")*($G$7:$G$10000 &gt;= ($G$1-5))))/5</f>
        <v>0</v>
      </c>
    </row>
    <row r="1109" spans="7:25" x14ac:dyDescent="0.35">
      <c r="G1109" s="66">
        <v>12</v>
      </c>
      <c r="H1109" t="s">
        <v>24</v>
      </c>
      <c r="I1109" t="s">
        <v>179</v>
      </c>
      <c r="J1109" t="s">
        <v>256</v>
      </c>
      <c r="K1109" t="s">
        <v>9</v>
      </c>
      <c r="L1109" t="s">
        <v>2</v>
      </c>
      <c r="M1109">
        <f t="shared" si="52"/>
        <v>2.1049068987342032</v>
      </c>
      <c r="N1109" t="str">
        <f t="shared" si="53"/>
        <v/>
      </c>
      <c r="O1109" s="67" cm="1">
        <f t="array" ref="O1109">SUMPRODUCT((G1109=$G$7:$G$10000)*(M1109&lt;$M$7:$M$10000))+1</f>
        <v>80</v>
      </c>
      <c r="P1109" s="72"/>
      <c r="Q1109">
        <v>14</v>
      </c>
      <c r="R1109" t="str">
        <v>HOU</v>
      </c>
      <c r="S1109" t="str">
        <v>Val Lee-Lo</v>
      </c>
      <c r="T1109" t="str">
        <v>NULL</v>
      </c>
      <c r="U1109" t="str">
        <v>Home</v>
      </c>
      <c r="V1109" t="str">
        <v>UTAH</v>
      </c>
      <c r="W1109">
        <v>-1.6863562251648085</v>
      </c>
      <c r="Y1109" s="1" cm="1">
        <f t="array" ref="Y1109">COUNT(_xlfn._xlws.FILTER($G$7:$G$10000,($I$7:$I$10000=X1109)*($J$7:$J$10000&lt;&gt;"NULL")*($G$7:$G$10000 &gt;= ($G$1-5))))/5</f>
        <v>0</v>
      </c>
    </row>
    <row r="1110" spans="7:25" x14ac:dyDescent="0.35">
      <c r="G1110" s="66">
        <v>12</v>
      </c>
      <c r="H1110" t="s">
        <v>34</v>
      </c>
      <c r="I1110" t="s">
        <v>161</v>
      </c>
      <c r="J1110" t="s">
        <v>256</v>
      </c>
      <c r="K1110" t="s">
        <v>3</v>
      </c>
      <c r="L1110" t="s">
        <v>4</v>
      </c>
      <c r="M1110">
        <f t="shared" si="52"/>
        <v>2.0218211539924642</v>
      </c>
      <c r="N1110" t="str">
        <f t="shared" si="53"/>
        <v/>
      </c>
      <c r="O1110" s="67" cm="1">
        <f t="array" ref="O1110">SUMPRODUCT((G1110=$G$7:$G$10000)*(M1110&lt;$M$7:$M$10000))+1</f>
        <v>81</v>
      </c>
      <c r="P1110" s="72"/>
      <c r="Q1110">
        <v>14</v>
      </c>
      <c r="R1110" t="str">
        <v>HOU</v>
      </c>
      <c r="S1110" t="str">
        <v>Justin Basson</v>
      </c>
      <c r="T1110" t="str">
        <v>NULL</v>
      </c>
      <c r="U1110" t="str">
        <v>Home</v>
      </c>
      <c r="V1110" t="str">
        <v>UTAH</v>
      </c>
      <c r="W1110">
        <v>-6.2274717684791741</v>
      </c>
      <c r="Y1110" s="1" cm="1">
        <f t="array" ref="Y1110">COUNT(_xlfn._xlws.FILTER($G$7:$G$10000,($I$7:$I$10000=X1110)*($J$7:$J$10000&lt;&gt;"NULL")*($G$7:$G$10000 &gt;= ($G$1-5))))/5</f>
        <v>0</v>
      </c>
    </row>
    <row r="1111" spans="7:25" x14ac:dyDescent="0.35">
      <c r="G1111" s="66">
        <v>12</v>
      </c>
      <c r="H1111" t="s">
        <v>2</v>
      </c>
      <c r="I1111" t="s">
        <v>185</v>
      </c>
      <c r="J1111" t="s">
        <v>256</v>
      </c>
      <c r="K1111" t="s">
        <v>3</v>
      </c>
      <c r="L1111" t="s">
        <v>24</v>
      </c>
      <c r="M1111">
        <f t="shared" si="52"/>
        <v>1.9157381675991862</v>
      </c>
      <c r="N1111" t="str">
        <f t="shared" si="53"/>
        <v/>
      </c>
      <c r="O1111" s="67" cm="1">
        <f t="array" ref="O1111">SUMPRODUCT((G1111=$G$7:$G$10000)*(M1111&lt;$M$7:$M$10000))+1</f>
        <v>82</v>
      </c>
      <c r="P1111" s="72"/>
      <c r="Q1111">
        <v>14</v>
      </c>
      <c r="R1111" t="str">
        <v>MIA</v>
      </c>
      <c r="S1111" t="str">
        <v>Alec McDonnell</v>
      </c>
      <c r="T1111" t="str">
        <v>NULL</v>
      </c>
      <c r="U1111" t="str">
        <v>Home</v>
      </c>
      <c r="V1111" t="str">
        <v>NEFJ</v>
      </c>
      <c r="W1111">
        <v>-9.2481296097012962</v>
      </c>
      <c r="Y1111" s="1" cm="1">
        <f t="array" ref="Y1111">COUNT(_xlfn._xlws.FILTER($G$7:$G$10000,($I$7:$I$10000=X1111)*($J$7:$J$10000&lt;&gt;"NULL")*($G$7:$G$10000 &gt;= ($G$1-5))))/5</f>
        <v>0</v>
      </c>
    </row>
    <row r="1112" spans="7:25" x14ac:dyDescent="0.35">
      <c r="G1112" s="66">
        <v>12</v>
      </c>
      <c r="H1112" t="s">
        <v>36</v>
      </c>
      <c r="I1112" t="s">
        <v>112</v>
      </c>
      <c r="J1112" t="s">
        <v>256</v>
      </c>
      <c r="K1112" t="s">
        <v>9</v>
      </c>
      <c r="L1112" t="s">
        <v>23</v>
      </c>
      <c r="M1112">
        <f t="shared" si="52"/>
        <v>1.7945134788901504</v>
      </c>
      <c r="N1112" t="str">
        <f t="shared" si="53"/>
        <v/>
      </c>
      <c r="O1112" s="67" cm="1">
        <f t="array" ref="O1112">SUMPRODUCT((G1112=$G$7:$G$10000)*(M1112&lt;$M$7:$M$10000))+1</f>
        <v>83</v>
      </c>
      <c r="P1112" s="72"/>
      <c r="Q1112">
        <v>15</v>
      </c>
      <c r="R1112" t="str">
        <v>SEA</v>
      </c>
      <c r="S1112" t="str">
        <v>Devin Short</v>
      </c>
      <c r="T1112" t="str">
        <v>NULL</v>
      </c>
      <c r="U1112" t="str">
        <v>Home</v>
      </c>
      <c r="V1112" t="str">
        <v>HOU</v>
      </c>
      <c r="W1112">
        <v>19.081672248563923</v>
      </c>
      <c r="Y1112" s="1" cm="1">
        <f t="array" ref="Y1112">COUNT(_xlfn._xlws.FILTER($G$7:$G$10000,($I$7:$I$10000=X1112)*($J$7:$J$10000&lt;&gt;"NULL")*($G$7:$G$10000 &gt;= ($G$1-5))))/5</f>
        <v>0</v>
      </c>
    </row>
    <row r="1113" spans="7:25" x14ac:dyDescent="0.35">
      <c r="G1113" s="66">
        <v>12</v>
      </c>
      <c r="H1113" t="s">
        <v>34</v>
      </c>
      <c r="I1113" t="s">
        <v>424</v>
      </c>
      <c r="J1113" t="s">
        <v>256</v>
      </c>
      <c r="K1113" t="s">
        <v>3</v>
      </c>
      <c r="L1113" t="s">
        <v>4</v>
      </c>
      <c r="M1113">
        <f t="shared" si="52"/>
        <v>1.6428140677716465</v>
      </c>
      <c r="N1113" t="str">
        <f t="shared" si="53"/>
        <v/>
      </c>
      <c r="O1113" s="67" cm="1">
        <f t="array" ref="O1113">SUMPRODUCT((G1113=$G$7:$G$10000)*(M1113&lt;$M$7:$M$10000))+1</f>
        <v>84</v>
      </c>
      <c r="P1113" s="72"/>
      <c r="Q1113">
        <v>15</v>
      </c>
      <c r="R1113" t="str">
        <v>NEFJ</v>
      </c>
      <c r="S1113" t="str">
        <v>Joe Johnston</v>
      </c>
      <c r="T1113" t="str">
        <v>NULL</v>
      </c>
      <c r="U1113" t="str">
        <v>Home</v>
      </c>
      <c r="V1113" t="str">
        <v>OGDC</v>
      </c>
      <c r="W1113">
        <v>11.706135478451635</v>
      </c>
      <c r="Y1113" s="1" cm="1">
        <f t="array" ref="Y1113">COUNT(_xlfn._xlws.FILTER($G$7:$G$10000,($I$7:$I$10000=X1113)*($J$7:$J$10000&lt;&gt;"NULL")*($G$7:$G$10000 &gt;= ($G$1-5))))/5</f>
        <v>0</v>
      </c>
    </row>
    <row r="1114" spans="7:25" x14ac:dyDescent="0.35">
      <c r="G1114" s="66">
        <v>12</v>
      </c>
      <c r="H1114" t="s">
        <v>6</v>
      </c>
      <c r="I1114" t="s">
        <v>418</v>
      </c>
      <c r="J1114" t="s">
        <v>256</v>
      </c>
      <c r="K1114" t="s">
        <v>9</v>
      </c>
      <c r="L1114" t="s">
        <v>17</v>
      </c>
      <c r="M1114">
        <f t="shared" si="52"/>
        <v>1.5927511127963925</v>
      </c>
      <c r="N1114" t="str">
        <f t="shared" si="53"/>
        <v/>
      </c>
      <c r="O1114" s="67" cm="1">
        <f t="array" ref="O1114">SUMPRODUCT((G1114=$G$7:$G$10000)*(M1114&lt;$M$7:$M$10000))+1</f>
        <v>85</v>
      </c>
      <c r="P1114" s="72"/>
      <c r="Q1114">
        <v>15</v>
      </c>
      <c r="R1114" t="str">
        <v>HOU</v>
      </c>
      <c r="S1114" t="str">
        <v>Pita Anae-Ah Sue</v>
      </c>
      <c r="T1114" t="str">
        <v>NULL</v>
      </c>
      <c r="U1114" t="str">
        <v>Away</v>
      </c>
      <c r="V1114" t="str">
        <v>SEA</v>
      </c>
      <c r="W1114">
        <v>11.563384885026323</v>
      </c>
      <c r="Y1114" s="1" cm="1">
        <f t="array" ref="Y1114">COUNT(_xlfn._xlws.FILTER($G$7:$G$10000,($I$7:$I$10000=X1114)*($J$7:$J$10000&lt;&gt;"NULL")*($G$7:$G$10000 &gt;= ($G$1-5))))/5</f>
        <v>0</v>
      </c>
    </row>
    <row r="1115" spans="7:25" x14ac:dyDescent="0.35">
      <c r="G1115" s="66">
        <v>12</v>
      </c>
      <c r="H1115" t="s">
        <v>36</v>
      </c>
      <c r="I1115" t="s">
        <v>117</v>
      </c>
      <c r="J1115" t="s">
        <v>256</v>
      </c>
      <c r="K1115" t="s">
        <v>9</v>
      </c>
      <c r="L1115" t="s">
        <v>23</v>
      </c>
      <c r="M1115">
        <f t="shared" si="52"/>
        <v>1.4637271498315361</v>
      </c>
      <c r="N1115" t="str">
        <f t="shared" si="53"/>
        <v/>
      </c>
      <c r="O1115" s="67" cm="1">
        <f t="array" ref="O1115">SUMPRODUCT((G1115=$G$7:$G$10000)*(M1115&lt;$M$7:$M$10000))+1</f>
        <v>86</v>
      </c>
      <c r="P1115" s="72"/>
      <c r="Q1115">
        <v>15</v>
      </c>
      <c r="R1115" t="str">
        <v>HOU</v>
      </c>
      <c r="S1115" t="str">
        <v>Sam Tuifua</v>
      </c>
      <c r="T1115" t="str">
        <v>NULL</v>
      </c>
      <c r="U1115" t="str">
        <v>Away</v>
      </c>
      <c r="V1115" t="str">
        <v>SEA</v>
      </c>
      <c r="W1115">
        <v>11.203670781099254</v>
      </c>
      <c r="Y1115" s="1" cm="1">
        <f t="array" ref="Y1115">COUNT(_xlfn._xlws.FILTER($G$7:$G$10000,($I$7:$I$10000=X1115)*($J$7:$J$10000&lt;&gt;"NULL")*($G$7:$G$10000 &gt;= ($G$1-5))))/5</f>
        <v>0</v>
      </c>
    </row>
    <row r="1116" spans="7:25" x14ac:dyDescent="0.35">
      <c r="G1116" s="66">
        <v>12</v>
      </c>
      <c r="H1116" t="s">
        <v>36</v>
      </c>
      <c r="I1116" t="s">
        <v>216</v>
      </c>
      <c r="J1116" t="s">
        <v>256</v>
      </c>
      <c r="K1116" t="s">
        <v>9</v>
      </c>
      <c r="L1116" t="s">
        <v>23</v>
      </c>
      <c r="M1116">
        <f t="shared" si="52"/>
        <v>1.2411853387377967</v>
      </c>
      <c r="N1116" t="str">
        <f t="shared" si="53"/>
        <v/>
      </c>
      <c r="O1116" s="67" cm="1">
        <f t="array" ref="O1116">SUMPRODUCT((G1116=$G$7:$G$10000)*(M1116&lt;$M$7:$M$10000))+1</f>
        <v>87</v>
      </c>
      <c r="P1116" s="72"/>
      <c r="Q1116">
        <v>15</v>
      </c>
      <c r="R1116" t="str">
        <v>NEFJ</v>
      </c>
      <c r="S1116" t="str">
        <v>Jed Melvin</v>
      </c>
      <c r="T1116" t="str">
        <v>NULL</v>
      </c>
      <c r="U1116" t="str">
        <v>Home</v>
      </c>
      <c r="V1116" t="str">
        <v>OGDC</v>
      </c>
      <c r="W1116">
        <v>10.888647350064785</v>
      </c>
      <c r="Y1116" s="1" cm="1">
        <f t="array" ref="Y1116">COUNT(_xlfn._xlws.FILTER($G$7:$G$10000,($I$7:$I$10000=X1116)*($J$7:$J$10000&lt;&gt;"NULL")*($G$7:$G$10000 &gt;= ($G$1-5))))/5</f>
        <v>0</v>
      </c>
    </row>
    <row r="1117" spans="7:25" x14ac:dyDescent="0.35">
      <c r="G1117" s="66">
        <v>12</v>
      </c>
      <c r="H1117" t="s">
        <v>17</v>
      </c>
      <c r="I1117" t="s">
        <v>155</v>
      </c>
      <c r="J1117" t="s">
        <v>256</v>
      </c>
      <c r="K1117" t="s">
        <v>3</v>
      </c>
      <c r="L1117" t="s">
        <v>6</v>
      </c>
      <c r="M1117">
        <f t="shared" si="52"/>
        <v>1.1918107721027615</v>
      </c>
      <c r="N1117" t="str">
        <f t="shared" si="53"/>
        <v/>
      </c>
      <c r="O1117" s="67" cm="1">
        <f t="array" ref="O1117">SUMPRODUCT((G1117=$G$7:$G$10000)*(M1117&lt;$M$7:$M$10000))+1</f>
        <v>88</v>
      </c>
      <c r="P1117" s="72"/>
      <c r="Q1117">
        <v>15</v>
      </c>
      <c r="R1117" t="str">
        <v>LA</v>
      </c>
      <c r="S1117" t="str">
        <v>Tim Anstee</v>
      </c>
      <c r="T1117" t="str">
        <v>NULL</v>
      </c>
      <c r="U1117" t="str">
        <v>Home</v>
      </c>
      <c r="V1117" t="str">
        <v>MIA</v>
      </c>
      <c r="W1117">
        <v>10.766570756888418</v>
      </c>
      <c r="Y1117" s="1" cm="1">
        <f t="array" ref="Y1117">COUNT(_xlfn._xlws.FILTER($G$7:$G$10000,($I$7:$I$10000=X1117)*($J$7:$J$10000&lt;&gt;"NULL")*($G$7:$G$10000 &gt;= ($G$1-5))))/5</f>
        <v>0</v>
      </c>
    </row>
    <row r="1118" spans="7:25" x14ac:dyDescent="0.35">
      <c r="G1118" s="66">
        <v>12</v>
      </c>
      <c r="H1118" t="s">
        <v>7</v>
      </c>
      <c r="I1118" t="s">
        <v>158</v>
      </c>
      <c r="J1118" t="s">
        <v>256</v>
      </c>
      <c r="K1118" t="s">
        <v>3</v>
      </c>
      <c r="L1118" t="s">
        <v>13</v>
      </c>
      <c r="M1118">
        <f t="shared" si="52"/>
        <v>0.59106556413827827</v>
      </c>
      <c r="N1118" t="str">
        <f t="shared" si="53"/>
        <v/>
      </c>
      <c r="O1118" s="67" cm="1">
        <f t="array" ref="O1118">SUMPRODUCT((G1118=$G$7:$G$10000)*(M1118&lt;$M$7:$M$10000))+1</f>
        <v>89</v>
      </c>
      <c r="P1118" s="72"/>
      <c r="Q1118">
        <v>15</v>
      </c>
      <c r="R1118" t="str">
        <v>SEA</v>
      </c>
      <c r="S1118" t="str">
        <v>Kerron van Vuuren</v>
      </c>
      <c r="T1118" t="str">
        <v>NULL</v>
      </c>
      <c r="U1118" t="str">
        <v>Home</v>
      </c>
      <c r="V1118" t="str">
        <v>HOU</v>
      </c>
      <c r="W1118">
        <v>10.547889978526113</v>
      </c>
      <c r="Y1118" s="1" cm="1">
        <f t="array" ref="Y1118">COUNT(_xlfn._xlws.FILTER($G$7:$G$10000,($I$7:$I$10000=X1118)*($J$7:$J$10000&lt;&gt;"NULL")*($G$7:$G$10000 &gt;= ($G$1-5))))/5</f>
        <v>0</v>
      </c>
    </row>
    <row r="1119" spans="7:25" x14ac:dyDescent="0.35">
      <c r="G1119" s="66">
        <v>12</v>
      </c>
      <c r="H1119" t="s">
        <v>7</v>
      </c>
      <c r="I1119" t="s">
        <v>163</v>
      </c>
      <c r="J1119" t="s">
        <v>256</v>
      </c>
      <c r="K1119" t="s">
        <v>3</v>
      </c>
      <c r="L1119" t="s">
        <v>13</v>
      </c>
      <c r="M1119">
        <f t="shared" si="52"/>
        <v>0.53854853445497808</v>
      </c>
      <c r="N1119" t="str">
        <f t="shared" si="53"/>
        <v/>
      </c>
      <c r="O1119" s="67" cm="1">
        <f t="array" ref="O1119">SUMPRODUCT((G1119=$G$7:$G$10000)*(M1119&lt;$M$7:$M$10000))+1</f>
        <v>90</v>
      </c>
      <c r="P1119" s="72"/>
      <c r="Q1119">
        <v>15</v>
      </c>
      <c r="R1119" t="str">
        <v>MIA</v>
      </c>
      <c r="S1119" t="str">
        <v>Benjamin Bonasso</v>
      </c>
      <c r="T1119" t="str">
        <v>NULL</v>
      </c>
      <c r="U1119" t="str">
        <v>Away</v>
      </c>
      <c r="V1119" t="str">
        <v>LA</v>
      </c>
      <c r="W1119">
        <v>10.526223242712341</v>
      </c>
      <c r="Y1119" s="1" cm="1">
        <f t="array" ref="Y1119">COUNT(_xlfn._xlws.FILTER($G$7:$G$10000,($I$7:$I$10000=X1119)*($J$7:$J$10000&lt;&gt;"NULL")*($G$7:$G$10000 &gt;= ($G$1-5))))/5</f>
        <v>0</v>
      </c>
    </row>
    <row r="1120" spans="7:25" x14ac:dyDescent="0.35">
      <c r="G1120">
        <v>12</v>
      </c>
      <c r="H1120" t="s">
        <v>13</v>
      </c>
      <c r="I1120" t="s">
        <v>467</v>
      </c>
      <c r="J1120" t="s">
        <v>256</v>
      </c>
      <c r="K1120" t="s">
        <v>9</v>
      </c>
      <c r="L1120" t="s">
        <v>7</v>
      </c>
      <c r="M1120">
        <f t="shared" si="52"/>
        <v>0.42501881786105411</v>
      </c>
      <c r="N1120" t="str">
        <f t="shared" si="53"/>
        <v/>
      </c>
      <c r="O1120" s="67" cm="1">
        <f t="array" ref="O1120">SUMPRODUCT((G1120=$G$7:$G$10000)*(M1120&lt;$M$7:$M$10000))+1</f>
        <v>91</v>
      </c>
      <c r="P1120" s="72"/>
      <c r="Q1120">
        <v>15</v>
      </c>
      <c r="R1120" t="str">
        <v>MIA</v>
      </c>
      <c r="S1120" t="str">
        <v>Manuel Ardao</v>
      </c>
      <c r="T1120" t="str">
        <v>NULL</v>
      </c>
      <c r="U1120" t="str">
        <v>Away</v>
      </c>
      <c r="V1120" t="str">
        <v>LA</v>
      </c>
      <c r="W1120">
        <v>9.8115028876225594</v>
      </c>
      <c r="Y1120" s="1" cm="1">
        <f t="array" ref="Y1120">COUNT(_xlfn._xlws.FILTER($G$7:$G$10000,($I$7:$I$10000=X1120)*($J$7:$J$10000&lt;&gt;"NULL")*($G$7:$G$10000 &gt;= ($G$1-5))))/5</f>
        <v>0</v>
      </c>
    </row>
    <row r="1121" spans="7:25" x14ac:dyDescent="0.35">
      <c r="G1121">
        <v>12</v>
      </c>
      <c r="H1121" t="s">
        <v>7</v>
      </c>
      <c r="I1121" t="s">
        <v>211</v>
      </c>
      <c r="J1121" t="s">
        <v>256</v>
      </c>
      <c r="K1121" t="s">
        <v>3</v>
      </c>
      <c r="L1121" t="s">
        <v>13</v>
      </c>
      <c r="M1121">
        <f t="shared" si="52"/>
        <v>0.22241691859192247</v>
      </c>
      <c r="N1121" t="str">
        <f t="shared" si="53"/>
        <v/>
      </c>
      <c r="O1121" s="67" cm="1">
        <f t="array" ref="O1121">SUMPRODUCT((G1121=$G$7:$G$10000)*(M1121&lt;$M$7:$M$10000))+1</f>
        <v>92</v>
      </c>
      <c r="P1121" s="72"/>
      <c r="Q1121">
        <v>15</v>
      </c>
      <c r="R1121" t="str">
        <v>SEA</v>
      </c>
      <c r="S1121" t="str">
        <v>OJ Noa</v>
      </c>
      <c r="T1121" t="str">
        <v>NULL</v>
      </c>
      <c r="U1121" t="str">
        <v>Home</v>
      </c>
      <c r="V1121" t="str">
        <v>HOU</v>
      </c>
      <c r="W1121">
        <v>8.8433728860281597</v>
      </c>
      <c r="Y1121" s="1" cm="1">
        <f t="array" ref="Y1121">COUNT(_xlfn._xlws.FILTER($G$7:$G$10000,($I$7:$I$10000=X1121)*($J$7:$J$10000&lt;&gt;"NULL")*($G$7:$G$10000 &gt;= ($G$1-5))))/5</f>
        <v>0</v>
      </c>
    </row>
    <row r="1122" spans="7:25" x14ac:dyDescent="0.35">
      <c r="G1122" s="66">
        <v>12</v>
      </c>
      <c r="H1122" t="s">
        <v>36</v>
      </c>
      <c r="I1122" t="s">
        <v>415</v>
      </c>
      <c r="J1122" t="s">
        <v>256</v>
      </c>
      <c r="K1122" t="s">
        <v>9</v>
      </c>
      <c r="L1122" t="s">
        <v>23</v>
      </c>
      <c r="M1122">
        <f t="shared" si="52"/>
        <v>8.9990931427678333E-2</v>
      </c>
      <c r="N1122" t="str">
        <f t="shared" si="53"/>
        <v/>
      </c>
      <c r="O1122" s="67" cm="1">
        <f t="array" ref="O1122">SUMPRODUCT((G1122=$G$7:$G$10000)*(M1122&lt;$M$7:$M$10000))+1</f>
        <v>93</v>
      </c>
      <c r="P1122" s="72"/>
      <c r="Q1122">
        <v>15</v>
      </c>
      <c r="R1122" t="str">
        <v>LA</v>
      </c>
      <c r="S1122" t="str">
        <v>Ben Houston</v>
      </c>
      <c r="T1122" t="str">
        <v>NULL</v>
      </c>
      <c r="U1122" t="str">
        <v>Home</v>
      </c>
      <c r="V1122" t="str">
        <v>MIA</v>
      </c>
      <c r="W1122">
        <v>8.7899423073179559</v>
      </c>
      <c r="Y1122" s="1" cm="1">
        <f t="array" ref="Y1122">COUNT(_xlfn._xlws.FILTER($G$7:$G$10000,($I$7:$I$10000=X1122)*($J$7:$J$10000&lt;&gt;"NULL")*($G$7:$G$10000 &gt;= ($G$1-5))))/5</f>
        <v>0</v>
      </c>
    </row>
    <row r="1123" spans="7:25" x14ac:dyDescent="0.35">
      <c r="G1123" s="66">
        <v>12</v>
      </c>
      <c r="H1123" t="s">
        <v>7</v>
      </c>
      <c r="I1123" t="s">
        <v>104</v>
      </c>
      <c r="J1123" t="s">
        <v>256</v>
      </c>
      <c r="K1123" t="s">
        <v>3</v>
      </c>
      <c r="L1123" t="s">
        <v>13</v>
      </c>
      <c r="M1123">
        <f t="shared" si="52"/>
        <v>6.4309244518232944E-2</v>
      </c>
      <c r="N1123" t="str">
        <f t="shared" si="53"/>
        <v/>
      </c>
      <c r="O1123" s="67" cm="1">
        <f t="array" ref="O1123">SUMPRODUCT((G1123=$G$7:$G$10000)*(M1123&lt;$M$7:$M$10000))+1</f>
        <v>94</v>
      </c>
      <c r="P1123" s="72"/>
      <c r="Q1123">
        <v>15</v>
      </c>
      <c r="R1123" t="str">
        <v>NOLA</v>
      </c>
      <c r="S1123" t="str">
        <v>Pat O'Toole</v>
      </c>
      <c r="T1123" t="str">
        <v>NULL</v>
      </c>
      <c r="U1123" t="str">
        <v>Home</v>
      </c>
      <c r="V1123" t="str">
        <v>UTAH</v>
      </c>
      <c r="W1123">
        <v>8.7553918299001978</v>
      </c>
      <c r="Y1123" s="1" cm="1">
        <f t="array" ref="Y1123">COUNT(_xlfn._xlws.FILTER($G$7:$G$10000,($I$7:$I$10000=X1123)*($J$7:$J$10000&lt;&gt;"NULL")*($G$7:$G$10000 &gt;= ($G$1-5))))/5</f>
        <v>0</v>
      </c>
    </row>
    <row r="1124" spans="7:25" x14ac:dyDescent="0.35">
      <c r="G1124" s="66">
        <v>12</v>
      </c>
      <c r="H1124" t="s">
        <v>36</v>
      </c>
      <c r="I1124" t="s">
        <v>224</v>
      </c>
      <c r="J1124" t="s">
        <v>256</v>
      </c>
      <c r="K1124" t="s">
        <v>9</v>
      </c>
      <c r="L1124" t="s">
        <v>23</v>
      </c>
      <c r="M1124">
        <f t="shared" si="52"/>
        <v>3.896308305341023E-2</v>
      </c>
      <c r="N1124" t="str">
        <f t="shared" si="53"/>
        <v/>
      </c>
      <c r="O1124" s="67" cm="1">
        <f t="array" ref="O1124">SUMPRODUCT((G1124=$G$7:$G$10000)*(M1124&lt;$M$7:$M$10000))+1</f>
        <v>95</v>
      </c>
      <c r="P1124" s="72"/>
      <c r="Q1124">
        <v>15</v>
      </c>
      <c r="R1124" t="str">
        <v>LA</v>
      </c>
      <c r="S1124" t="str">
        <v>Ed Timpson</v>
      </c>
      <c r="T1124" t="str">
        <v>NULL</v>
      </c>
      <c r="U1124" t="str">
        <v>Home</v>
      </c>
      <c r="V1124" t="str">
        <v>MIA</v>
      </c>
      <c r="W1124">
        <v>8.4192893618565918</v>
      </c>
      <c r="Y1124" s="1" cm="1">
        <f t="array" ref="Y1124">COUNT(_xlfn._xlws.FILTER($G$7:$G$10000,($I$7:$I$10000=X1124)*($J$7:$J$10000&lt;&gt;"NULL")*($G$7:$G$10000 &gt;= ($G$1-5))))/5</f>
        <v>0</v>
      </c>
    </row>
    <row r="1125" spans="7:25" x14ac:dyDescent="0.35">
      <c r="G1125" s="66">
        <v>12</v>
      </c>
      <c r="H1125" t="s">
        <v>7</v>
      </c>
      <c r="I1125" t="s">
        <v>148</v>
      </c>
      <c r="J1125" t="s">
        <v>256</v>
      </c>
      <c r="K1125" t="s">
        <v>3</v>
      </c>
      <c r="L1125" t="s">
        <v>13</v>
      </c>
      <c r="M1125">
        <f t="shared" si="52"/>
        <v>-0.1356311657877507</v>
      </c>
      <c r="N1125" t="str">
        <f t="shared" si="53"/>
        <v/>
      </c>
      <c r="O1125" s="67" cm="1">
        <f t="array" ref="O1125">SUMPRODUCT((G1125=$G$7:$G$10000)*(M1125&lt;$M$7:$M$10000))+1</f>
        <v>96</v>
      </c>
      <c r="P1125" s="72"/>
      <c r="Q1125">
        <v>15</v>
      </c>
      <c r="R1125" t="str">
        <v>CHI</v>
      </c>
      <c r="S1125" t="str">
        <v>Lucas Rumball</v>
      </c>
      <c r="T1125" t="str">
        <v>NULL</v>
      </c>
      <c r="U1125" t="str">
        <v>Away</v>
      </c>
      <c r="V1125" t="str">
        <v>ARC</v>
      </c>
      <c r="W1125">
        <v>8.2820528072417847</v>
      </c>
      <c r="Y1125" s="1" cm="1">
        <f t="array" ref="Y1125">COUNT(_xlfn._xlws.FILTER($G$7:$G$10000,($I$7:$I$10000=X1125)*($J$7:$J$10000&lt;&gt;"NULL")*($G$7:$G$10000 &gt;= ($G$1-5))))/5</f>
        <v>0</v>
      </c>
    </row>
    <row r="1126" spans="7:25" x14ac:dyDescent="0.35">
      <c r="G1126" s="66">
        <v>12</v>
      </c>
      <c r="H1126" t="s">
        <v>36</v>
      </c>
      <c r="I1126" t="s">
        <v>283</v>
      </c>
      <c r="J1126" t="s">
        <v>256</v>
      </c>
      <c r="K1126" t="s">
        <v>9</v>
      </c>
      <c r="L1126" t="s">
        <v>23</v>
      </c>
      <c r="M1126">
        <f t="shared" si="52"/>
        <v>-0.2540399962689861</v>
      </c>
      <c r="N1126" t="str">
        <f t="shared" si="53"/>
        <v/>
      </c>
      <c r="O1126" s="67" cm="1">
        <f t="array" ref="O1126">SUMPRODUCT((G1126=$G$7:$G$10000)*(M1126&lt;$M$7:$M$10000))+1</f>
        <v>97</v>
      </c>
      <c r="P1126" s="72"/>
      <c r="Q1126">
        <v>15</v>
      </c>
      <c r="R1126" t="str">
        <v>LA</v>
      </c>
      <c r="S1126" t="str">
        <v>Jason Damm</v>
      </c>
      <c r="T1126" t="str">
        <v>NULL</v>
      </c>
      <c r="U1126" t="str">
        <v>Home</v>
      </c>
      <c r="V1126" t="str">
        <v>MIA</v>
      </c>
      <c r="W1126">
        <v>7.9174363909865129</v>
      </c>
      <c r="Y1126" s="1" cm="1">
        <f t="array" ref="Y1126">COUNT(_xlfn._xlws.FILTER($G$7:$G$10000,($I$7:$I$10000=X1126)*($J$7:$J$10000&lt;&gt;"NULL")*($G$7:$G$10000 &gt;= ($G$1-5))))/5</f>
        <v>0</v>
      </c>
    </row>
    <row r="1127" spans="7:25" x14ac:dyDescent="0.35">
      <c r="G1127" s="66">
        <v>12</v>
      </c>
      <c r="H1127" t="s">
        <v>7</v>
      </c>
      <c r="I1127" t="s">
        <v>277</v>
      </c>
      <c r="J1127" t="s">
        <v>256</v>
      </c>
      <c r="K1127" t="s">
        <v>3</v>
      </c>
      <c r="L1127" t="s">
        <v>13</v>
      </c>
      <c r="M1127">
        <f t="shared" ref="M1127:M1190" si="54">VLOOKUP($K1127,$F$3:$G$4,2,FALSE)+VLOOKUP($I1127,$A$20:$B$321,2,FALSE)+VLOOKUP($L1127,$A$6:$B$16,2,FALSE)</f>
        <v>-0.56187633731781261</v>
      </c>
      <c r="N1127" t="str">
        <f t="shared" ref="N1127:N1190" si="55">IFERROR(($J1127-$M1127)^2,"")</f>
        <v/>
      </c>
      <c r="O1127" s="67" cm="1">
        <f t="array" ref="O1127">SUMPRODUCT((G1127=$G$7:$G$10000)*(M1127&lt;$M$7:$M$10000))+1</f>
        <v>98</v>
      </c>
      <c r="P1127" s="72"/>
      <c r="Q1127">
        <v>15</v>
      </c>
      <c r="R1127" t="str">
        <v>CHI</v>
      </c>
      <c r="S1127" t="str">
        <v>Dylan Fawsitt</v>
      </c>
      <c r="T1127" t="str">
        <v>NULL</v>
      </c>
      <c r="U1127" t="str">
        <v>Away</v>
      </c>
      <c r="V1127" t="str">
        <v>ARC</v>
      </c>
      <c r="W1127">
        <v>7.8818951308879583</v>
      </c>
      <c r="Y1127" s="1" cm="1">
        <f t="array" ref="Y1127">COUNT(_xlfn._xlws.FILTER($G$7:$G$10000,($I$7:$I$10000=X1127)*($J$7:$J$10000&lt;&gt;"NULL")*($G$7:$G$10000 &gt;= ($G$1-5))))/5</f>
        <v>0</v>
      </c>
    </row>
    <row r="1128" spans="7:25" x14ac:dyDescent="0.35">
      <c r="G1128" s="66">
        <v>12</v>
      </c>
      <c r="H1128" t="s">
        <v>36</v>
      </c>
      <c r="I1128" t="s">
        <v>414</v>
      </c>
      <c r="J1128" t="s">
        <v>256</v>
      </c>
      <c r="K1128" t="s">
        <v>9</v>
      </c>
      <c r="L1128" t="s">
        <v>23</v>
      </c>
      <c r="M1128">
        <f t="shared" si="54"/>
        <v>-0.88044502277619152</v>
      </c>
      <c r="N1128" t="str">
        <f t="shared" si="55"/>
        <v/>
      </c>
      <c r="O1128" s="67" cm="1">
        <f t="array" ref="O1128">SUMPRODUCT((G1128=$G$7:$G$10000)*(M1128&lt;$M$7:$M$10000))+1</f>
        <v>99</v>
      </c>
      <c r="P1128" s="72"/>
      <c r="Q1128">
        <v>15</v>
      </c>
      <c r="R1128" t="str">
        <v>NOLA</v>
      </c>
      <c r="S1128" t="str">
        <v>Jonah Mau'u</v>
      </c>
      <c r="T1128" t="str">
        <v>NULL</v>
      </c>
      <c r="U1128" t="str">
        <v>Home</v>
      </c>
      <c r="V1128" t="str">
        <v>UTAH</v>
      </c>
      <c r="W1128">
        <v>7.8631042910815943</v>
      </c>
      <c r="Y1128" s="1" cm="1">
        <f t="array" ref="Y1128">COUNT(_xlfn._xlws.FILTER($G$7:$G$10000,($I$7:$I$10000=X1128)*($J$7:$J$10000&lt;&gt;"NULL")*($G$7:$G$10000 &gt;= ($G$1-5))))/5</f>
        <v>0</v>
      </c>
    </row>
    <row r="1129" spans="7:25" x14ac:dyDescent="0.35">
      <c r="G1129" s="66">
        <v>12</v>
      </c>
      <c r="H1129" t="s">
        <v>36</v>
      </c>
      <c r="I1129" t="s">
        <v>106</v>
      </c>
      <c r="J1129" t="s">
        <v>256</v>
      </c>
      <c r="K1129" t="s">
        <v>9</v>
      </c>
      <c r="L1129" t="s">
        <v>23</v>
      </c>
      <c r="M1129">
        <f t="shared" si="54"/>
        <v>-5.421560566090557</v>
      </c>
      <c r="N1129" t="str">
        <f t="shared" si="55"/>
        <v/>
      </c>
      <c r="O1129" s="67" cm="1">
        <f t="array" ref="O1129">SUMPRODUCT((G1129=$G$7:$G$10000)*(M1129&lt;$M$7:$M$10000))+1</f>
        <v>100</v>
      </c>
      <c r="P1129" s="72"/>
      <c r="Q1129">
        <v>15</v>
      </c>
      <c r="R1129" t="str">
        <v>MIA</v>
      </c>
      <c r="S1129" t="str">
        <v>Mauro Rebussone</v>
      </c>
      <c r="T1129" t="str">
        <v>NULL</v>
      </c>
      <c r="U1129" t="str">
        <v>Away</v>
      </c>
      <c r="V1129" t="str">
        <v>LA</v>
      </c>
      <c r="W1129">
        <v>7.4267427377216757</v>
      </c>
      <c r="Y1129" s="1" cm="1">
        <f t="array" ref="Y1129">COUNT(_xlfn._xlws.FILTER($G$7:$G$10000,($I$7:$I$10000=X1129)*($J$7:$J$10000&lt;&gt;"NULL")*($G$7:$G$10000 &gt;= ($G$1-5))))/5</f>
        <v>0</v>
      </c>
    </row>
    <row r="1130" spans="7:25" x14ac:dyDescent="0.35">
      <c r="G1130" s="66">
        <v>12</v>
      </c>
      <c r="H1130" t="s">
        <v>24</v>
      </c>
      <c r="I1130" t="s">
        <v>142</v>
      </c>
      <c r="J1130" t="s">
        <v>256</v>
      </c>
      <c r="K1130" t="s">
        <v>9</v>
      </c>
      <c r="L1130" t="s">
        <v>2</v>
      </c>
      <c r="M1130">
        <f t="shared" si="54"/>
        <v>-7.3581797524430028</v>
      </c>
      <c r="N1130" t="str">
        <f t="shared" si="55"/>
        <v/>
      </c>
      <c r="O1130" s="67" cm="1">
        <f t="array" ref="O1130">SUMPRODUCT((G1130=$G$7:$G$10000)*(M1130&lt;$M$7:$M$10000))+1</f>
        <v>101</v>
      </c>
      <c r="P1130" s="72"/>
      <c r="Q1130">
        <v>15</v>
      </c>
      <c r="R1130" t="str">
        <v>NEFJ</v>
      </c>
      <c r="S1130" t="str">
        <v>Piers von Dadelszen</v>
      </c>
      <c r="T1130" t="str">
        <v>NULL</v>
      </c>
      <c r="U1130" t="str">
        <v>Home</v>
      </c>
      <c r="V1130" t="str">
        <v>OGDC</v>
      </c>
      <c r="W1130">
        <v>7.2038485858834811</v>
      </c>
      <c r="Y1130" s="1" cm="1">
        <f t="array" ref="Y1130">COUNT(_xlfn._xlws.FILTER($G$7:$G$10000,($I$7:$I$10000=X1130)*($J$7:$J$10000&lt;&gt;"NULL")*($G$7:$G$10000 &gt;= ($G$1-5))))/5</f>
        <v>0</v>
      </c>
    </row>
    <row r="1131" spans="7:25" x14ac:dyDescent="0.35">
      <c r="G1131">
        <v>13</v>
      </c>
      <c r="H1131" t="s">
        <v>17</v>
      </c>
      <c r="I1131" t="s">
        <v>485</v>
      </c>
      <c r="J1131" t="s">
        <v>256</v>
      </c>
      <c r="K1131" t="s">
        <v>9</v>
      </c>
      <c r="L1131" t="s">
        <v>13</v>
      </c>
      <c r="M1131">
        <f t="shared" si="54"/>
        <v>15.955803219000011</v>
      </c>
      <c r="N1131" t="str">
        <f t="shared" si="55"/>
        <v/>
      </c>
      <c r="O1131" s="67" cm="1">
        <f t="array" ref="O1131">SUMPRODUCT((G1131=$G$7:$G$10000)*(M1131&lt;$M$7:$M$10000))+1</f>
        <v>1</v>
      </c>
      <c r="P1131" s="72"/>
      <c r="Q1131">
        <v>15</v>
      </c>
      <c r="R1131" t="str">
        <v>MIA</v>
      </c>
      <c r="S1131" t="str">
        <v>Alex Tucci</v>
      </c>
      <c r="T1131" t="str">
        <v>NULL</v>
      </c>
      <c r="U1131" t="str">
        <v>Away</v>
      </c>
      <c r="V1131" t="str">
        <v>LA</v>
      </c>
      <c r="W1131">
        <v>7.1910567338750715</v>
      </c>
      <c r="Y1131" s="1" cm="1">
        <f t="array" ref="Y1131">COUNT(_xlfn._xlws.FILTER($G$7:$G$10000,($I$7:$I$10000=X1131)*($J$7:$J$10000&lt;&gt;"NULL")*($G$7:$G$10000 &gt;= ($G$1-5))))/5</f>
        <v>0</v>
      </c>
    </row>
    <row r="1132" spans="7:25" x14ac:dyDescent="0.35">
      <c r="G1132">
        <v>13</v>
      </c>
      <c r="H1132" t="s">
        <v>34</v>
      </c>
      <c r="I1132" t="s">
        <v>228</v>
      </c>
      <c r="J1132" t="s">
        <v>256</v>
      </c>
      <c r="K1132" t="s">
        <v>3</v>
      </c>
      <c r="L1132" t="s">
        <v>36</v>
      </c>
      <c r="M1132">
        <f t="shared" si="54"/>
        <v>15.128826339000074</v>
      </c>
      <c r="N1132" t="str">
        <f t="shared" si="55"/>
        <v/>
      </c>
      <c r="O1132" s="67" cm="1">
        <f t="array" ref="O1132">SUMPRODUCT((G1132=$G$7:$G$10000)*(M1132&lt;$M$7:$M$10000))+1</f>
        <v>2</v>
      </c>
      <c r="P1132" s="72"/>
      <c r="Q1132">
        <v>15</v>
      </c>
      <c r="R1132" t="str">
        <v>NEFJ</v>
      </c>
      <c r="S1132" t="str">
        <v>Andrew Quattrin</v>
      </c>
      <c r="T1132" t="str">
        <v>NULL</v>
      </c>
      <c r="U1132" t="str">
        <v>Home</v>
      </c>
      <c r="V1132" t="str">
        <v>OGDC</v>
      </c>
      <c r="W1132">
        <v>7.0892144745772887</v>
      </c>
      <c r="Y1132" s="1" cm="1">
        <f t="array" ref="Y1132">COUNT(_xlfn._xlws.FILTER($G$7:$G$10000,($I$7:$I$10000=X1132)*($J$7:$J$10000&lt;&gt;"NULL")*($G$7:$G$10000 &gt;= ($G$1-5))))/5</f>
        <v>0</v>
      </c>
    </row>
    <row r="1133" spans="7:25" x14ac:dyDescent="0.35">
      <c r="G1133">
        <v>13</v>
      </c>
      <c r="H1133" t="s">
        <v>34</v>
      </c>
      <c r="I1133" t="s">
        <v>462</v>
      </c>
      <c r="J1133" t="s">
        <v>256</v>
      </c>
      <c r="K1133" t="s">
        <v>3</v>
      </c>
      <c r="L1133" t="s">
        <v>36</v>
      </c>
      <c r="M1133">
        <f t="shared" si="54"/>
        <v>14.771193966784534</v>
      </c>
      <c r="N1133" t="str">
        <f t="shared" si="55"/>
        <v/>
      </c>
      <c r="O1133" s="67" cm="1">
        <f t="array" ref="O1133">SUMPRODUCT((G1133=$G$7:$G$10000)*(M1133&lt;$M$7:$M$10000))+1</f>
        <v>3</v>
      </c>
      <c r="P1133" s="72"/>
      <c r="Q1133">
        <v>15</v>
      </c>
      <c r="R1133" t="str">
        <v>CHI</v>
      </c>
      <c r="S1133" t="str">
        <v>Maclean Jones</v>
      </c>
      <c r="T1133" t="str">
        <v>NULL</v>
      </c>
      <c r="U1133" t="str">
        <v>Away</v>
      </c>
      <c r="V1133" t="str">
        <v>ARC</v>
      </c>
      <c r="W1133">
        <v>6.9190019196183385</v>
      </c>
      <c r="Y1133" s="1" cm="1">
        <f t="array" ref="Y1133">COUNT(_xlfn._xlws.FILTER($G$7:$G$10000,($I$7:$I$10000=X1133)*($J$7:$J$10000&lt;&gt;"NULL")*($G$7:$G$10000 &gt;= ($G$1-5))))/5</f>
        <v>0</v>
      </c>
    </row>
    <row r="1134" spans="7:25" x14ac:dyDescent="0.35">
      <c r="G1134">
        <v>13</v>
      </c>
      <c r="H1134" t="s">
        <v>34</v>
      </c>
      <c r="I1134" t="s">
        <v>429</v>
      </c>
      <c r="J1134" t="s">
        <v>256</v>
      </c>
      <c r="K1134" t="s">
        <v>3</v>
      </c>
      <c r="L1134" t="s">
        <v>36</v>
      </c>
      <c r="M1134">
        <f t="shared" si="54"/>
        <v>13.760728052979175</v>
      </c>
      <c r="N1134" t="str">
        <f t="shared" si="55"/>
        <v/>
      </c>
      <c r="O1134" s="67" cm="1">
        <f t="array" ref="O1134">SUMPRODUCT((G1134=$G$7:$G$10000)*(M1134&lt;$M$7:$M$10000))+1</f>
        <v>4</v>
      </c>
      <c r="P1134" s="72"/>
      <c r="Q1134">
        <v>15</v>
      </c>
      <c r="R1134" t="str">
        <v>ARC</v>
      </c>
      <c r="S1134" t="str">
        <v>Makeen Alikhan</v>
      </c>
      <c r="T1134" t="str">
        <v>NULL</v>
      </c>
      <c r="U1134" t="str">
        <v>Home</v>
      </c>
      <c r="V1134" t="str">
        <v>CHI</v>
      </c>
      <c r="W1134">
        <v>6.8912420889457762</v>
      </c>
      <c r="Y1134" s="1" cm="1">
        <f t="array" ref="Y1134">COUNT(_xlfn._xlws.FILTER($G$7:$G$10000,($I$7:$I$10000=X1134)*($J$7:$J$10000&lt;&gt;"NULL")*($G$7:$G$10000 &gt;= ($G$1-5))))/5</f>
        <v>0</v>
      </c>
    </row>
    <row r="1135" spans="7:25" x14ac:dyDescent="0.35">
      <c r="G1135">
        <v>13</v>
      </c>
      <c r="H1135" t="s">
        <v>36</v>
      </c>
      <c r="I1135" t="s">
        <v>466</v>
      </c>
      <c r="J1135" t="s">
        <v>256</v>
      </c>
      <c r="K1135" t="s">
        <v>9</v>
      </c>
      <c r="L1135" t="s">
        <v>34</v>
      </c>
      <c r="M1135">
        <f t="shared" si="54"/>
        <v>13.061261184003218</v>
      </c>
      <c r="N1135" t="str">
        <f t="shared" si="55"/>
        <v/>
      </c>
      <c r="O1135" s="67" cm="1">
        <f t="array" ref="O1135">SUMPRODUCT((G1135=$G$7:$G$10000)*(M1135&lt;$M$7:$M$10000))+1</f>
        <v>5</v>
      </c>
      <c r="P1135" s="72"/>
      <c r="Q1135">
        <v>15</v>
      </c>
      <c r="R1135" t="str">
        <v>NEFJ</v>
      </c>
      <c r="S1135" t="str">
        <v>Sam Caird</v>
      </c>
      <c r="T1135" t="str">
        <v>NULL</v>
      </c>
      <c r="U1135" t="str">
        <v>Home</v>
      </c>
      <c r="V1135" t="str">
        <v>OGDC</v>
      </c>
      <c r="W1135">
        <v>6.8174361199863123</v>
      </c>
      <c r="Y1135" s="1" cm="1">
        <f t="array" ref="Y1135">COUNT(_xlfn._xlws.FILTER($G$7:$G$10000,($I$7:$I$10000=X1135)*($J$7:$J$10000&lt;&gt;"NULL")*($G$7:$G$10000 &gt;= ($G$1-5))))/5</f>
        <v>0</v>
      </c>
    </row>
    <row r="1136" spans="7:25" x14ac:dyDescent="0.35">
      <c r="G1136">
        <v>13</v>
      </c>
      <c r="H1136" t="s">
        <v>34</v>
      </c>
      <c r="I1136" t="s">
        <v>200</v>
      </c>
      <c r="J1136" t="s">
        <v>256</v>
      </c>
      <c r="K1136" t="s">
        <v>3</v>
      </c>
      <c r="L1136" t="s">
        <v>36</v>
      </c>
      <c r="M1136">
        <f t="shared" si="54"/>
        <v>12.909490273366572</v>
      </c>
      <c r="N1136" t="str">
        <f t="shared" si="55"/>
        <v/>
      </c>
      <c r="O1136" s="67" cm="1">
        <f t="array" ref="O1136">SUMPRODUCT((G1136=$G$7:$G$10000)*(M1136&lt;$M$7:$M$10000))+1</f>
        <v>6</v>
      </c>
      <c r="P1136" s="72"/>
      <c r="Q1136">
        <v>15</v>
      </c>
      <c r="R1136" t="str">
        <v>CHI</v>
      </c>
      <c r="S1136" t="str">
        <v>James Scott</v>
      </c>
      <c r="T1136" t="str">
        <v>NULL</v>
      </c>
      <c r="U1136" t="str">
        <v>Away</v>
      </c>
      <c r="V1136" t="str">
        <v>ARC</v>
      </c>
      <c r="W1136">
        <v>6.472358941033467</v>
      </c>
      <c r="Y1136" s="1" cm="1">
        <f t="array" ref="Y1136">COUNT(_xlfn._xlws.FILTER($G$7:$G$10000,($I$7:$I$10000=X1136)*($J$7:$J$10000&lt;&gt;"NULL")*($G$7:$G$10000 &gt;= ($G$1-5))))/5</f>
        <v>0</v>
      </c>
    </row>
    <row r="1137" spans="7:25" x14ac:dyDescent="0.35">
      <c r="G1137">
        <v>13</v>
      </c>
      <c r="H1137" t="s">
        <v>36</v>
      </c>
      <c r="I1137" t="s">
        <v>225</v>
      </c>
      <c r="J1137" t="s">
        <v>256</v>
      </c>
      <c r="K1137" t="s">
        <v>9</v>
      </c>
      <c r="L1137" t="s">
        <v>34</v>
      </c>
      <c r="M1137">
        <f t="shared" si="54"/>
        <v>12.701547080076146</v>
      </c>
      <c r="N1137" t="str">
        <f t="shared" si="55"/>
        <v/>
      </c>
      <c r="O1137" s="67" cm="1">
        <f t="array" ref="O1137">SUMPRODUCT((G1137=$G$7:$G$10000)*(M1137&lt;$M$7:$M$10000))+1</f>
        <v>7</v>
      </c>
      <c r="P1137" s="72"/>
      <c r="Q1137">
        <v>15</v>
      </c>
      <c r="R1137" t="str">
        <v>CHI</v>
      </c>
      <c r="S1137" t="str">
        <v>Mason Flesch</v>
      </c>
      <c r="T1137" t="str">
        <v>NULL</v>
      </c>
      <c r="U1137" t="str">
        <v>Away</v>
      </c>
      <c r="V1137" t="str">
        <v>ARC</v>
      </c>
      <c r="W1137">
        <v>6.2620517764948138</v>
      </c>
      <c r="Y1137" s="1" cm="1">
        <f t="array" ref="Y1137">COUNT(_xlfn._xlws.FILTER($G$7:$G$10000,($I$7:$I$10000=X1137)*($J$7:$J$10000&lt;&gt;"NULL")*($G$7:$G$10000 &gt;= ($G$1-5))))/5</f>
        <v>0</v>
      </c>
    </row>
    <row r="1138" spans="7:25" x14ac:dyDescent="0.35">
      <c r="G1138">
        <v>13</v>
      </c>
      <c r="H1138" t="s">
        <v>4</v>
      </c>
      <c r="I1138" t="s">
        <v>175</v>
      </c>
      <c r="J1138" t="s">
        <v>256</v>
      </c>
      <c r="K1138" t="s">
        <v>3</v>
      </c>
      <c r="L1138" t="s">
        <v>24</v>
      </c>
      <c r="M1138">
        <f t="shared" si="54"/>
        <v>12.382489233861687</v>
      </c>
      <c r="N1138" t="str">
        <f t="shared" si="55"/>
        <v/>
      </c>
      <c r="O1138" s="67" cm="1">
        <f t="array" ref="O1138">SUMPRODUCT((G1138=$G$7:$G$10000)*(M1138&lt;$M$7:$M$10000))+1</f>
        <v>8</v>
      </c>
      <c r="P1138" s="72"/>
      <c r="Q1138">
        <v>15</v>
      </c>
      <c r="R1138" t="str">
        <v>NEFJ</v>
      </c>
      <c r="S1138" t="str">
        <v>Jero Gomez Vara</v>
      </c>
      <c r="T1138" t="str">
        <v>NULL</v>
      </c>
      <c r="U1138" t="str">
        <v>Home</v>
      </c>
      <c r="V1138" t="str">
        <v>OGDC</v>
      </c>
      <c r="W1138">
        <v>6.1426130445417719</v>
      </c>
      <c r="Y1138" s="1" cm="1">
        <f t="array" ref="Y1138">COUNT(_xlfn._xlws.FILTER($G$7:$G$10000,($I$7:$I$10000=X1138)*($J$7:$J$10000&lt;&gt;"NULL")*($G$7:$G$10000 &gt;= ($G$1-5))))/5</f>
        <v>0</v>
      </c>
    </row>
    <row r="1139" spans="7:25" x14ac:dyDescent="0.35">
      <c r="G1139">
        <v>13</v>
      </c>
      <c r="H1139" t="s">
        <v>34</v>
      </c>
      <c r="I1139" t="s">
        <v>351</v>
      </c>
      <c r="J1139" t="s">
        <v>256</v>
      </c>
      <c r="K1139" t="s">
        <v>3</v>
      </c>
      <c r="L1139" t="s">
        <v>36</v>
      </c>
      <c r="M1139">
        <f t="shared" si="54"/>
        <v>12.353713134699991</v>
      </c>
      <c r="N1139" t="str">
        <f t="shared" si="55"/>
        <v/>
      </c>
      <c r="O1139" s="67" cm="1">
        <f t="array" ref="O1139">SUMPRODUCT((G1139=$G$7:$G$10000)*(M1139&lt;$M$7:$M$10000))+1</f>
        <v>9</v>
      </c>
      <c r="P1139" s="72"/>
      <c r="Q1139">
        <v>15</v>
      </c>
      <c r="R1139" t="str">
        <v>SEA</v>
      </c>
      <c r="S1139" t="str">
        <v>Huw Taylor</v>
      </c>
      <c r="T1139" t="str">
        <v>NULL</v>
      </c>
      <c r="U1139" t="str">
        <v>Home</v>
      </c>
      <c r="V1139" t="str">
        <v>HOU</v>
      </c>
      <c r="W1139">
        <v>6.1415883121396568</v>
      </c>
      <c r="Y1139" s="1" cm="1">
        <f t="array" ref="Y1139">COUNT(_xlfn._xlws.FILTER($G$7:$G$10000,($I$7:$I$10000=X1139)*($J$7:$J$10000&lt;&gt;"NULL")*($G$7:$G$10000 &gt;= ($G$1-5))))/5</f>
        <v>0</v>
      </c>
    </row>
    <row r="1140" spans="7:25" x14ac:dyDescent="0.35">
      <c r="G1140">
        <v>13</v>
      </c>
      <c r="H1140" t="s">
        <v>23</v>
      </c>
      <c r="I1140" t="s">
        <v>428</v>
      </c>
      <c r="J1140" t="s">
        <v>256</v>
      </c>
      <c r="K1140" t="s">
        <v>3</v>
      </c>
      <c r="L1140" t="s">
        <v>2</v>
      </c>
      <c r="M1140">
        <f t="shared" si="54"/>
        <v>12.2232039985483</v>
      </c>
      <c r="N1140" t="str">
        <f t="shared" si="55"/>
        <v/>
      </c>
      <c r="O1140" s="67" cm="1">
        <f t="array" ref="O1140">SUMPRODUCT((G1140=$G$7:$G$10000)*(M1140&lt;$M$7:$M$10000))+1</f>
        <v>10</v>
      </c>
      <c r="P1140" s="72"/>
      <c r="Q1140">
        <v>15</v>
      </c>
      <c r="R1140" t="str">
        <v>OGDC</v>
      </c>
      <c r="S1140" t="str">
        <v>Jamason Fa'anana-Schultz</v>
      </c>
      <c r="T1140" t="str">
        <v>NULL</v>
      </c>
      <c r="U1140" t="str">
        <v>Away</v>
      </c>
      <c r="V1140" t="str">
        <v>NEFJ</v>
      </c>
      <c r="W1140">
        <v>6.0493435997993039</v>
      </c>
      <c r="Y1140" s="1" cm="1">
        <f t="array" ref="Y1140">COUNT(_xlfn._xlws.FILTER($G$7:$G$10000,($I$7:$I$10000=X1140)*($J$7:$J$10000&lt;&gt;"NULL")*($G$7:$G$10000 &gt;= ($G$1-5))))/5</f>
        <v>0</v>
      </c>
    </row>
    <row r="1141" spans="7:25" x14ac:dyDescent="0.35">
      <c r="G1141">
        <v>13</v>
      </c>
      <c r="H1141" t="s">
        <v>4</v>
      </c>
      <c r="I1141" t="s">
        <v>209</v>
      </c>
      <c r="J1141" t="s">
        <v>256</v>
      </c>
      <c r="K1141" t="s">
        <v>3</v>
      </c>
      <c r="L1141" t="s">
        <v>24</v>
      </c>
      <c r="M1141">
        <f t="shared" si="54"/>
        <v>11.490201695043085</v>
      </c>
      <c r="N1141" t="str">
        <f t="shared" si="55"/>
        <v/>
      </c>
      <c r="O1141" s="67" cm="1">
        <f t="array" ref="O1141">SUMPRODUCT((G1141=$G$7:$G$10000)*(M1141&lt;$M$7:$M$10000))+1</f>
        <v>11</v>
      </c>
      <c r="P1141" s="72"/>
      <c r="Q1141">
        <v>15</v>
      </c>
      <c r="R1141" t="str">
        <v>MIA</v>
      </c>
      <c r="S1141" t="str">
        <v>Federico Gutíerrez</v>
      </c>
      <c r="T1141" t="str">
        <v>NULL</v>
      </c>
      <c r="U1141" t="str">
        <v>Away</v>
      </c>
      <c r="V1141" t="str">
        <v>LA</v>
      </c>
      <c r="W1141">
        <v>5.9213099281292401</v>
      </c>
      <c r="Y1141" s="1" cm="1">
        <f t="array" ref="Y1141">COUNT(_xlfn._xlws.FILTER($G$7:$G$10000,($I$7:$I$10000=X1141)*($J$7:$J$10000&lt;&gt;"NULL")*($G$7:$G$10000 &gt;= ($G$1-5))))/5</f>
        <v>0</v>
      </c>
    </row>
    <row r="1142" spans="7:25" x14ac:dyDescent="0.35">
      <c r="G1142">
        <v>13</v>
      </c>
      <c r="H1142" t="s">
        <v>23</v>
      </c>
      <c r="I1142" t="s">
        <v>389</v>
      </c>
      <c r="J1142" t="s">
        <v>256</v>
      </c>
      <c r="K1142" t="s">
        <v>3</v>
      </c>
      <c r="L1142" t="s">
        <v>2</v>
      </c>
      <c r="M1142">
        <f t="shared" si="54"/>
        <v>11.405715870161448</v>
      </c>
      <c r="N1142" t="str">
        <f t="shared" si="55"/>
        <v/>
      </c>
      <c r="O1142" s="67" cm="1">
        <f t="array" ref="O1142">SUMPRODUCT((G1142=$G$7:$G$10000)*(M1142&lt;$M$7:$M$10000))+1</f>
        <v>12</v>
      </c>
      <c r="P1142" s="72"/>
      <c r="Q1142">
        <v>15</v>
      </c>
      <c r="R1142" t="str">
        <v>NEFJ</v>
      </c>
      <c r="S1142" t="str">
        <v>Kaleb Geiger</v>
      </c>
      <c r="T1142" t="str">
        <v>NULL</v>
      </c>
      <c r="U1142" t="str">
        <v>Home</v>
      </c>
      <c r="V1142" t="str">
        <v>OGDC</v>
      </c>
      <c r="W1142">
        <v>5.8671720746329949</v>
      </c>
      <c r="Y1142" s="1" cm="1">
        <f t="array" ref="Y1142">COUNT(_xlfn._xlws.FILTER($G$7:$G$10000,($I$7:$I$10000=X1142)*($J$7:$J$10000&lt;&gt;"NULL")*($G$7:$G$10000 &gt;= ($G$1-5))))/5</f>
        <v>0</v>
      </c>
    </row>
    <row r="1143" spans="7:25" x14ac:dyDescent="0.35">
      <c r="G1143">
        <v>13</v>
      </c>
      <c r="H1143" t="s">
        <v>13</v>
      </c>
      <c r="I1143" t="s">
        <v>463</v>
      </c>
      <c r="J1143" t="s">
        <v>256</v>
      </c>
      <c r="K1143" t="s">
        <v>3</v>
      </c>
      <c r="L1143" t="s">
        <v>17</v>
      </c>
      <c r="M1143">
        <f t="shared" si="54"/>
        <v>10.614602326953232</v>
      </c>
      <c r="N1143" t="str">
        <f t="shared" si="55"/>
        <v/>
      </c>
      <c r="O1143" s="67" cm="1">
        <f t="array" ref="O1143">SUMPRODUCT((G1143=$G$7:$G$10000)*(M1143&lt;$M$7:$M$10000))+1</f>
        <v>13</v>
      </c>
      <c r="P1143" s="72"/>
      <c r="Q1143">
        <v>15</v>
      </c>
      <c r="R1143" t="str">
        <v>ARC</v>
      </c>
      <c r="S1143" t="str">
        <v>Connor Robinson</v>
      </c>
      <c r="T1143" t="str">
        <v>NULL</v>
      </c>
      <c r="U1143" t="str">
        <v>Home</v>
      </c>
      <c r="V1143" t="str">
        <v>CHI</v>
      </c>
      <c r="W1143">
        <v>5.7622958831767077</v>
      </c>
    </row>
    <row r="1144" spans="7:25" x14ac:dyDescent="0.35">
      <c r="G1144">
        <v>13</v>
      </c>
      <c r="H1144" t="s">
        <v>24</v>
      </c>
      <c r="I1144" t="s">
        <v>199</v>
      </c>
      <c r="J1144" t="s">
        <v>256</v>
      </c>
      <c r="K1144" t="s">
        <v>9</v>
      </c>
      <c r="L1144" t="s">
        <v>4</v>
      </c>
      <c r="M1144">
        <f t="shared" si="54"/>
        <v>9.9418209791214309</v>
      </c>
      <c r="N1144" t="str">
        <f t="shared" si="55"/>
        <v/>
      </c>
      <c r="O1144" s="67" cm="1">
        <f t="array" ref="O1144">SUMPRODUCT((G1144=$G$7:$G$10000)*(M1144&lt;$M$7:$M$10000))+1</f>
        <v>14</v>
      </c>
      <c r="P1144" s="72"/>
      <c r="Q1144">
        <v>15</v>
      </c>
      <c r="R1144" t="str">
        <v>CHI</v>
      </c>
      <c r="S1144" t="str">
        <v>Paddy Ryan</v>
      </c>
      <c r="T1144" t="str">
        <v>NULL</v>
      </c>
      <c r="U1144" t="str">
        <v>Away</v>
      </c>
      <c r="V1144" t="str">
        <v>ARC</v>
      </c>
      <c r="W1144">
        <v>5.7070130416289313</v>
      </c>
    </row>
    <row r="1145" spans="7:25" x14ac:dyDescent="0.35">
      <c r="G1145">
        <v>13</v>
      </c>
      <c r="H1145" t="s">
        <v>34</v>
      </c>
      <c r="I1145" t="s">
        <v>420</v>
      </c>
      <c r="J1145" t="s">
        <v>256</v>
      </c>
      <c r="K1145" t="s">
        <v>3</v>
      </c>
      <c r="L1145" t="s">
        <v>36</v>
      </c>
      <c r="M1145">
        <f t="shared" si="54"/>
        <v>9.2386001469091958</v>
      </c>
      <c r="N1145" t="str">
        <f t="shared" si="55"/>
        <v/>
      </c>
      <c r="O1145" s="67" cm="1">
        <f t="array" ref="O1145">SUMPRODUCT((G1145=$G$7:$G$10000)*(M1145&lt;$M$7:$M$10000))+1</f>
        <v>15</v>
      </c>
      <c r="P1145" s="72"/>
      <c r="Q1145">
        <v>15</v>
      </c>
      <c r="R1145" t="str">
        <v>MIA</v>
      </c>
      <c r="S1145" t="str">
        <v>Marques Fuala'au</v>
      </c>
      <c r="T1145" t="str">
        <v>NULL</v>
      </c>
      <c r="U1145" t="str">
        <v>Away</v>
      </c>
      <c r="V1145" t="str">
        <v>LA</v>
      </c>
      <c r="W1145">
        <v>5.1786958751970946</v>
      </c>
    </row>
    <row r="1146" spans="7:25" x14ac:dyDescent="0.35">
      <c r="G1146">
        <v>13</v>
      </c>
      <c r="H1146" t="s">
        <v>24</v>
      </c>
      <c r="I1146" t="s">
        <v>215</v>
      </c>
      <c r="J1146" t="s">
        <v>256</v>
      </c>
      <c r="K1146" t="s">
        <v>9</v>
      </c>
      <c r="L1146" t="s">
        <v>4</v>
      </c>
      <c r="M1146">
        <f t="shared" si="54"/>
        <v>9.2271006240316495</v>
      </c>
      <c r="N1146" t="str">
        <f t="shared" si="55"/>
        <v/>
      </c>
      <c r="O1146" s="67" cm="1">
        <f t="array" ref="O1146">SUMPRODUCT((G1146=$G$7:$G$10000)*(M1146&lt;$M$7:$M$10000))+1</f>
        <v>16</v>
      </c>
      <c r="P1146" s="72"/>
      <c r="Q1146">
        <v>15</v>
      </c>
      <c r="R1146" t="str">
        <v>SEA</v>
      </c>
      <c r="S1146" t="str">
        <v>Cameron Orr</v>
      </c>
      <c r="T1146" t="str">
        <v>NULL</v>
      </c>
      <c r="U1146" t="str">
        <v>Home</v>
      </c>
      <c r="V1146" t="str">
        <v>HOU</v>
      </c>
      <c r="W1146">
        <v>5.0425805084413682</v>
      </c>
    </row>
    <row r="1147" spans="7:25" x14ac:dyDescent="0.35">
      <c r="G1147">
        <v>13</v>
      </c>
      <c r="H1147" t="s">
        <v>6</v>
      </c>
      <c r="I1147" t="s">
        <v>430</v>
      </c>
      <c r="J1147" t="s">
        <v>256</v>
      </c>
      <c r="K1147" t="s">
        <v>3</v>
      </c>
      <c r="L1147" t="s">
        <v>14</v>
      </c>
      <c r="M1147">
        <f t="shared" si="54"/>
        <v>8.6169666600957715</v>
      </c>
      <c r="N1147" t="str">
        <f t="shared" si="55"/>
        <v/>
      </c>
      <c r="O1147" s="67" cm="1">
        <f t="array" ref="O1147">SUMPRODUCT((G1147=$G$7:$G$10000)*(M1147&lt;$M$7:$M$10000))+1</f>
        <v>17</v>
      </c>
      <c r="P1147" s="72"/>
      <c r="Q1147">
        <v>15</v>
      </c>
      <c r="R1147" t="str">
        <v>MIA</v>
      </c>
      <c r="S1147" t="str">
        <v>Ma'ake Muti</v>
      </c>
      <c r="T1147" t="str">
        <v>NULL</v>
      </c>
      <c r="U1147" t="str">
        <v>Away</v>
      </c>
      <c r="V1147" t="str">
        <v>LA</v>
      </c>
      <c r="W1147">
        <v>5.0316721527692447</v>
      </c>
    </row>
    <row r="1148" spans="7:25" x14ac:dyDescent="0.35">
      <c r="G1148">
        <v>13</v>
      </c>
      <c r="H1148" t="s">
        <v>13</v>
      </c>
      <c r="I1148" t="s">
        <v>204</v>
      </c>
      <c r="J1148" t="s">
        <v>256</v>
      </c>
      <c r="K1148" t="s">
        <v>3</v>
      </c>
      <c r="L1148" t="s">
        <v>17</v>
      </c>
      <c r="M1148">
        <f t="shared" si="54"/>
        <v>8.4089090629572159</v>
      </c>
      <c r="N1148" t="str">
        <f t="shared" si="55"/>
        <v/>
      </c>
      <c r="O1148" s="67" cm="1">
        <f t="array" ref="O1148">SUMPRODUCT((G1148=$G$7:$G$10000)*(M1148&lt;$M$7:$M$10000))+1</f>
        <v>18</v>
      </c>
      <c r="P1148" s="72"/>
      <c r="Q1148">
        <v>15</v>
      </c>
      <c r="R1148" t="str">
        <v>ARC</v>
      </c>
      <c r="S1148" t="str">
        <v>Dylan Fortune</v>
      </c>
      <c r="T1148" t="str">
        <v>NULL</v>
      </c>
      <c r="U1148" t="str">
        <v>Home</v>
      </c>
      <c r="V1148" t="str">
        <v>CHI</v>
      </c>
      <c r="W1148">
        <v>4.907896417434765</v>
      </c>
    </row>
    <row r="1149" spans="7:25" x14ac:dyDescent="0.35">
      <c r="G1149" s="66">
        <v>13</v>
      </c>
      <c r="H1149" t="s">
        <v>2</v>
      </c>
      <c r="I1149" t="s">
        <v>212</v>
      </c>
      <c r="J1149" t="s">
        <v>256</v>
      </c>
      <c r="K1149" t="s">
        <v>9</v>
      </c>
      <c r="L1149" t="s">
        <v>23</v>
      </c>
      <c r="M1149">
        <f t="shared" si="54"/>
        <v>7.8189846335381059</v>
      </c>
      <c r="N1149" t="str">
        <f t="shared" si="55"/>
        <v/>
      </c>
      <c r="O1149" s="67" cm="1">
        <f t="array" ref="O1149">SUMPRODUCT((G1149=$G$7:$G$10000)*(M1149&lt;$M$7:$M$10000))+1</f>
        <v>19</v>
      </c>
      <c r="P1149" s="72"/>
      <c r="Q1149">
        <v>15</v>
      </c>
      <c r="R1149" t="str">
        <v>ARC</v>
      </c>
      <c r="S1149" t="str">
        <v>Sam Golla</v>
      </c>
      <c r="T1149" t="str">
        <v>NULL</v>
      </c>
      <c r="U1149" t="str">
        <v>Home</v>
      </c>
      <c r="V1149" t="str">
        <v>CHI</v>
      </c>
      <c r="W1149">
        <v>4.7915172662583903</v>
      </c>
    </row>
    <row r="1150" spans="7:25" x14ac:dyDescent="0.35">
      <c r="G1150">
        <v>13</v>
      </c>
      <c r="H1150" t="s">
        <v>23</v>
      </c>
      <c r="I1150" t="s">
        <v>221</v>
      </c>
      <c r="J1150" t="s">
        <v>256</v>
      </c>
      <c r="K1150" t="s">
        <v>3</v>
      </c>
      <c r="L1150" t="s">
        <v>2</v>
      </c>
      <c r="M1150">
        <f t="shared" si="54"/>
        <v>7.7209171059801447</v>
      </c>
      <c r="N1150" t="str">
        <f t="shared" si="55"/>
        <v/>
      </c>
      <c r="O1150" s="67" cm="1">
        <f t="array" ref="O1150">SUMPRODUCT((G1150=$G$7:$G$10000)*(M1150&lt;$M$7:$M$10000))+1</f>
        <v>20</v>
      </c>
      <c r="P1150" s="72"/>
      <c r="Q1150">
        <v>15</v>
      </c>
      <c r="R1150" t="str">
        <v>ARC</v>
      </c>
      <c r="S1150" t="str">
        <v>Viliami Vuli</v>
      </c>
      <c r="T1150" t="str">
        <v>NULL</v>
      </c>
      <c r="U1150" t="str">
        <v>Home</v>
      </c>
      <c r="V1150" t="str">
        <v>CHI</v>
      </c>
      <c r="W1150">
        <v>4.7334474316702195</v>
      </c>
    </row>
    <row r="1151" spans="7:25" x14ac:dyDescent="0.35">
      <c r="G1151">
        <v>13</v>
      </c>
      <c r="H1151" t="s">
        <v>23</v>
      </c>
      <c r="I1151" t="s">
        <v>144</v>
      </c>
      <c r="J1151" t="s">
        <v>256</v>
      </c>
      <c r="K1151" t="s">
        <v>3</v>
      </c>
      <c r="L1151" t="s">
        <v>2</v>
      </c>
      <c r="M1151">
        <f t="shared" si="54"/>
        <v>7.6062829946739523</v>
      </c>
      <c r="N1151" t="str">
        <f t="shared" si="55"/>
        <v/>
      </c>
      <c r="O1151" s="67" cm="1">
        <f t="array" ref="O1151">SUMPRODUCT((G1151=$G$7:$G$10000)*(M1151&lt;$M$7:$M$10000))+1</f>
        <v>21</v>
      </c>
      <c r="P1151" s="72"/>
      <c r="Q1151">
        <v>15</v>
      </c>
      <c r="R1151" t="str">
        <v>MIA</v>
      </c>
      <c r="S1151" t="str">
        <v>Kirby Myhill</v>
      </c>
      <c r="T1151" t="str">
        <v>NULL</v>
      </c>
      <c r="U1151" t="str">
        <v>Away</v>
      </c>
      <c r="V1151" t="str">
        <v>LA</v>
      </c>
      <c r="W1151">
        <v>4.7042621145569283</v>
      </c>
    </row>
    <row r="1152" spans="7:25" x14ac:dyDescent="0.35">
      <c r="G1152">
        <v>13</v>
      </c>
      <c r="H1152" t="s">
        <v>4</v>
      </c>
      <c r="I1152" t="s">
        <v>486</v>
      </c>
      <c r="J1152" t="s">
        <v>256</v>
      </c>
      <c r="K1152" t="s">
        <v>3</v>
      </c>
      <c r="L1152" t="s">
        <v>24</v>
      </c>
      <c r="M1152">
        <f t="shared" si="54"/>
        <v>7.5197447968208779</v>
      </c>
      <c r="N1152" t="str">
        <f t="shared" si="55"/>
        <v/>
      </c>
      <c r="O1152" s="67" cm="1">
        <f t="array" ref="O1152">SUMPRODUCT((G1152=$G$7:$G$10000)*(M1152&lt;$M$7:$M$10000))+1</f>
        <v>22</v>
      </c>
      <c r="P1152" s="72"/>
      <c r="Q1152">
        <v>15</v>
      </c>
      <c r="R1152" t="str">
        <v>HOU</v>
      </c>
      <c r="S1152" t="str">
        <v>Emmanuel Albert</v>
      </c>
      <c r="T1152" t="str">
        <v>NULL</v>
      </c>
      <c r="U1152" t="str">
        <v>Away</v>
      </c>
      <c r="V1152" t="str">
        <v>SEA</v>
      </c>
      <c r="W1152">
        <v>4.4754968556860995</v>
      </c>
    </row>
    <row r="1153" spans="7:23" x14ac:dyDescent="0.35">
      <c r="G1153">
        <v>13</v>
      </c>
      <c r="H1153" t="s">
        <v>17</v>
      </c>
      <c r="I1153" t="s">
        <v>480</v>
      </c>
      <c r="J1153" t="s">
        <v>256</v>
      </c>
      <c r="K1153" t="s">
        <v>9</v>
      </c>
      <c r="L1153" t="s">
        <v>13</v>
      </c>
      <c r="M1153">
        <f t="shared" si="54"/>
        <v>7.4220209489622029</v>
      </c>
      <c r="N1153" t="str">
        <f t="shared" si="55"/>
        <v/>
      </c>
      <c r="O1153" s="67" cm="1">
        <f t="array" ref="O1153">SUMPRODUCT((G1153=$G$7:$G$10000)*(M1153&lt;$M$7:$M$10000))+1</f>
        <v>23</v>
      </c>
      <c r="P1153" s="72"/>
      <c r="Q1153">
        <v>15</v>
      </c>
      <c r="R1153" t="str">
        <v>LA</v>
      </c>
      <c r="S1153" t="str">
        <v>Ben Sugars</v>
      </c>
      <c r="T1153" t="str">
        <v>NULL</v>
      </c>
      <c r="U1153" t="str">
        <v>Home</v>
      </c>
      <c r="V1153" t="str">
        <v>MIA</v>
      </c>
      <c r="W1153">
        <v>4.4359476160516476</v>
      </c>
    </row>
    <row r="1154" spans="7:23" x14ac:dyDescent="0.35">
      <c r="G1154">
        <v>13</v>
      </c>
      <c r="H1154" t="s">
        <v>2</v>
      </c>
      <c r="I1154" t="s">
        <v>156</v>
      </c>
      <c r="J1154" t="s">
        <v>256</v>
      </c>
      <c r="K1154" t="s">
        <v>9</v>
      </c>
      <c r="L1154" t="s">
        <v>23</v>
      </c>
      <c r="M1154">
        <f t="shared" si="54"/>
        <v>7.4188269571842795</v>
      </c>
      <c r="N1154" t="str">
        <f t="shared" si="55"/>
        <v/>
      </c>
      <c r="O1154" s="67" cm="1">
        <f t="array" ref="O1154">SUMPRODUCT((G1154=$G$7:$G$10000)*(M1154&lt;$M$7:$M$10000))+1</f>
        <v>24</v>
      </c>
      <c r="P1154" s="72"/>
      <c r="Q1154">
        <v>15</v>
      </c>
      <c r="R1154" t="str">
        <v>ARC</v>
      </c>
      <c r="S1154" t="str">
        <v>Alex Maughan</v>
      </c>
      <c r="T1154" t="str">
        <v>NULL</v>
      </c>
      <c r="U1154" t="str">
        <v>Home</v>
      </c>
      <c r="V1154" t="str">
        <v>CHI</v>
      </c>
      <c r="W1154">
        <v>3.9848615849932134</v>
      </c>
    </row>
    <row r="1155" spans="7:23" x14ac:dyDescent="0.35">
      <c r="G1155">
        <v>13</v>
      </c>
      <c r="H1155" t="s">
        <v>34</v>
      </c>
      <c r="I1155" t="s">
        <v>174</v>
      </c>
      <c r="J1155" t="s">
        <v>256</v>
      </c>
      <c r="K1155" t="s">
        <v>3</v>
      </c>
      <c r="L1155" t="s">
        <v>36</v>
      </c>
      <c r="M1155">
        <f t="shared" si="54"/>
        <v>7.3553887640239983</v>
      </c>
      <c r="N1155" t="str">
        <f t="shared" si="55"/>
        <v/>
      </c>
      <c r="O1155" s="67" cm="1">
        <f t="array" ref="O1155">SUMPRODUCT((G1155=$G$7:$G$10000)*(M1155&lt;$M$7:$M$10000))+1</f>
        <v>25</v>
      </c>
      <c r="P1155" s="72"/>
      <c r="Q1155">
        <v>15</v>
      </c>
      <c r="R1155" t="str">
        <v>HOU</v>
      </c>
      <c r="S1155" t="str">
        <v>Johan Momsen</v>
      </c>
      <c r="T1155" t="str">
        <v>NULL</v>
      </c>
      <c r="U1155" t="str">
        <v>Away</v>
      </c>
      <c r="V1155" t="str">
        <v>SEA</v>
      </c>
      <c r="W1155">
        <v>3.9103277766156581</v>
      </c>
    </row>
    <row r="1156" spans="7:23" x14ac:dyDescent="0.35">
      <c r="G1156">
        <v>13</v>
      </c>
      <c r="H1156" t="s">
        <v>23</v>
      </c>
      <c r="I1156" t="s">
        <v>421</v>
      </c>
      <c r="J1156" t="s">
        <v>256</v>
      </c>
      <c r="K1156" t="s">
        <v>3</v>
      </c>
      <c r="L1156" t="s">
        <v>2</v>
      </c>
      <c r="M1156">
        <f t="shared" si="54"/>
        <v>7.3345046400829759</v>
      </c>
      <c r="N1156" t="str">
        <f t="shared" si="55"/>
        <v/>
      </c>
      <c r="O1156" s="67" cm="1">
        <f t="array" ref="O1156">SUMPRODUCT((G1156=$G$7:$G$10000)*(M1156&lt;$M$7:$M$10000))+1</f>
        <v>26</v>
      </c>
      <c r="P1156" s="72"/>
      <c r="Q1156">
        <v>15</v>
      </c>
      <c r="R1156" t="str">
        <v>NOLA</v>
      </c>
      <c r="S1156" t="str">
        <v>Tupou Ma'afu Afungia</v>
      </c>
      <c r="T1156" t="str">
        <v>NULL</v>
      </c>
      <c r="U1156" t="str">
        <v>Home</v>
      </c>
      <c r="V1156" t="str">
        <v>UTAH</v>
      </c>
      <c r="W1156">
        <v>3.8926473928593874</v>
      </c>
    </row>
    <row r="1157" spans="7:23" x14ac:dyDescent="0.35">
      <c r="G1157">
        <v>13</v>
      </c>
      <c r="H1157" t="s">
        <v>13</v>
      </c>
      <c r="I1157" t="s">
        <v>464</v>
      </c>
      <c r="J1157" t="s">
        <v>256</v>
      </c>
      <c r="K1157" t="s">
        <v>3</v>
      </c>
      <c r="L1157" t="s">
        <v>17</v>
      </c>
      <c r="M1157">
        <f t="shared" si="54"/>
        <v>7.121331792497382</v>
      </c>
      <c r="N1157" t="str">
        <f t="shared" si="55"/>
        <v/>
      </c>
      <c r="O1157" s="67" cm="1">
        <f t="array" ref="O1157">SUMPRODUCT((G1157=$G$7:$G$10000)*(M1157&lt;$M$7:$M$10000))+1</f>
        <v>27</v>
      </c>
      <c r="P1157" s="72"/>
      <c r="Q1157">
        <v>15</v>
      </c>
      <c r="R1157" t="str">
        <v>LA</v>
      </c>
      <c r="S1157" t="str">
        <v>Alessandro Heaney</v>
      </c>
      <c r="T1157" t="str">
        <v>NULL</v>
      </c>
      <c r="U1157" t="str">
        <v>Home</v>
      </c>
      <c r="V1157" t="str">
        <v>MIA</v>
      </c>
      <c r="W1157">
        <v>3.7455459189743898</v>
      </c>
    </row>
    <row r="1158" spans="7:23" x14ac:dyDescent="0.35">
      <c r="G1158">
        <v>13</v>
      </c>
      <c r="H1158" t="s">
        <v>4</v>
      </c>
      <c r="I1158" t="s">
        <v>114</v>
      </c>
      <c r="J1158" t="s">
        <v>256</v>
      </c>
      <c r="K1158" t="s">
        <v>3</v>
      </c>
      <c r="L1158" t="s">
        <v>24</v>
      </c>
      <c r="M1158">
        <f t="shared" si="54"/>
        <v>7.1158562318345684</v>
      </c>
      <c r="N1158" t="str">
        <f t="shared" si="55"/>
        <v/>
      </c>
      <c r="O1158" s="67" cm="1">
        <f t="array" ref="O1158">SUMPRODUCT((G1158=$G$7:$G$10000)*(M1158&lt;$M$7:$M$10000))+1</f>
        <v>28</v>
      </c>
      <c r="P1158" s="72"/>
      <c r="Q1158">
        <v>15</v>
      </c>
      <c r="R1158" t="str">
        <v>ARC</v>
      </c>
      <c r="S1158" t="str">
        <v>Ethan Howard</v>
      </c>
      <c r="T1158" t="str">
        <v>NULL</v>
      </c>
      <c r="U1158" t="str">
        <v>Home</v>
      </c>
      <c r="V1158" t="str">
        <v>CHI</v>
      </c>
      <c r="W1158">
        <v>3.6361017450209552</v>
      </c>
    </row>
    <row r="1159" spans="7:23" x14ac:dyDescent="0.35">
      <c r="G1159">
        <v>13</v>
      </c>
      <c r="H1159" t="s">
        <v>14</v>
      </c>
      <c r="I1159" t="s">
        <v>396</v>
      </c>
      <c r="J1159" t="s">
        <v>256</v>
      </c>
      <c r="K1159" t="s">
        <v>9</v>
      </c>
      <c r="L1159" t="s">
        <v>6</v>
      </c>
      <c r="M1159">
        <f t="shared" si="54"/>
        <v>7.016578178235684</v>
      </c>
      <c r="N1159" t="str">
        <f t="shared" si="55"/>
        <v/>
      </c>
      <c r="O1159" s="67" cm="1">
        <f t="array" ref="O1159">SUMPRODUCT((G1159=$G$7:$G$10000)*(M1159&lt;$M$7:$M$10000))+1</f>
        <v>29</v>
      </c>
      <c r="P1159" s="72"/>
      <c r="Q1159">
        <v>15</v>
      </c>
      <c r="R1159" t="str">
        <v>ARC</v>
      </c>
      <c r="S1159" t="str">
        <v>Mikey Grandy</v>
      </c>
      <c r="T1159" t="str">
        <v>NULL</v>
      </c>
      <c r="U1159" t="str">
        <v>Home</v>
      </c>
      <c r="V1159" t="str">
        <v>CHI</v>
      </c>
      <c r="W1159">
        <v>3.6198796601880669</v>
      </c>
    </row>
    <row r="1160" spans="7:23" x14ac:dyDescent="0.35">
      <c r="G1160">
        <v>13</v>
      </c>
      <c r="H1160" t="s">
        <v>24</v>
      </c>
      <c r="I1160" t="s">
        <v>419</v>
      </c>
      <c r="J1160" t="s">
        <v>256</v>
      </c>
      <c r="K1160" t="s">
        <v>9</v>
      </c>
      <c r="L1160" t="s">
        <v>4</v>
      </c>
      <c r="M1160">
        <f t="shared" si="54"/>
        <v>6.8423404741307658</v>
      </c>
      <c r="N1160" t="str">
        <f t="shared" si="55"/>
        <v/>
      </c>
      <c r="O1160" s="67" cm="1">
        <f t="array" ref="O1160">SUMPRODUCT((G1160=$G$7:$G$10000)*(M1160&lt;$M$7:$M$10000))+1</f>
        <v>30</v>
      </c>
      <c r="P1160" s="72"/>
      <c r="Q1160">
        <v>15</v>
      </c>
      <c r="R1160" t="str">
        <v>ARC</v>
      </c>
      <c r="S1160" t="str">
        <v>Jake Turnbull</v>
      </c>
      <c r="T1160" t="str">
        <v>NULL</v>
      </c>
      <c r="U1160" t="str">
        <v>Home</v>
      </c>
      <c r="V1160" t="str">
        <v>CHI</v>
      </c>
      <c r="W1160">
        <v>3.6086295757149136</v>
      </c>
    </row>
    <row r="1161" spans="7:23" x14ac:dyDescent="0.35">
      <c r="G1161">
        <v>13</v>
      </c>
      <c r="H1161" t="s">
        <v>13</v>
      </c>
      <c r="I1161" t="s">
        <v>103</v>
      </c>
      <c r="J1161" t="s">
        <v>256</v>
      </c>
      <c r="K1161" t="s">
        <v>3</v>
      </c>
      <c r="L1161" t="s">
        <v>17</v>
      </c>
      <c r="M1161">
        <f t="shared" si="54"/>
        <v>6.7177538904419301</v>
      </c>
      <c r="N1161" t="str">
        <f t="shared" si="55"/>
        <v/>
      </c>
      <c r="O1161" s="67" cm="1">
        <f t="array" ref="O1161">SUMPRODUCT((G1161=$G$7:$G$10000)*(M1161&lt;$M$7:$M$10000))+1</f>
        <v>31</v>
      </c>
      <c r="P1161" s="72"/>
      <c r="Q1161">
        <v>15</v>
      </c>
      <c r="R1161" t="str">
        <v>HOU</v>
      </c>
      <c r="S1161" t="str">
        <v>Nathan Den Hoedt</v>
      </c>
      <c r="T1161" t="str">
        <v>NULL</v>
      </c>
      <c r="U1161" t="str">
        <v>Away</v>
      </c>
      <c r="V1161" t="str">
        <v>SEA</v>
      </c>
      <c r="W1161">
        <v>3.5795414475570437</v>
      </c>
    </row>
    <row r="1162" spans="7:23" x14ac:dyDescent="0.35">
      <c r="G1162">
        <v>13</v>
      </c>
      <c r="H1162" t="s">
        <v>34</v>
      </c>
      <c r="I1162" t="s">
        <v>227</v>
      </c>
      <c r="J1162" t="s">
        <v>256</v>
      </c>
      <c r="K1162" t="s">
        <v>3</v>
      </c>
      <c r="L1162" t="s">
        <v>36</v>
      </c>
      <c r="M1162">
        <f t="shared" si="54"/>
        <v>6.6983172236310038</v>
      </c>
      <c r="N1162" t="str">
        <f t="shared" si="55"/>
        <v/>
      </c>
      <c r="O1162" s="67" cm="1">
        <f t="array" ref="O1162">SUMPRODUCT((G1162=$G$7:$G$10000)*(M1162&lt;$M$7:$M$10000))+1</f>
        <v>32</v>
      </c>
      <c r="P1162" s="72"/>
      <c r="Q1162">
        <v>15</v>
      </c>
      <c r="R1162" t="str">
        <v>OGDC</v>
      </c>
      <c r="S1162" t="str">
        <v>Cory Daniel</v>
      </c>
      <c r="T1162" t="str">
        <v>NULL</v>
      </c>
      <c r="U1162" t="str">
        <v>Away</v>
      </c>
      <c r="V1162" t="str">
        <v>NEFJ</v>
      </c>
      <c r="W1162">
        <v>3.516235694140931</v>
      </c>
    </row>
    <row r="1163" spans="7:23" x14ac:dyDescent="0.35">
      <c r="G1163">
        <v>13</v>
      </c>
      <c r="H1163" t="s">
        <v>23</v>
      </c>
      <c r="I1163" t="s">
        <v>431</v>
      </c>
      <c r="J1163" t="s">
        <v>256</v>
      </c>
      <c r="K1163" t="s">
        <v>3</v>
      </c>
      <c r="L1163" t="s">
        <v>2</v>
      </c>
      <c r="M1163">
        <f t="shared" si="54"/>
        <v>6.6596815646384355</v>
      </c>
      <c r="N1163" t="str">
        <f t="shared" si="55"/>
        <v/>
      </c>
      <c r="O1163" s="67" cm="1">
        <f t="array" ref="O1163">SUMPRODUCT((G1163=$G$7:$G$10000)*(M1163&lt;$M$7:$M$10000))+1</f>
        <v>33</v>
      </c>
      <c r="P1163" s="72"/>
      <c r="Q1163">
        <v>15</v>
      </c>
      <c r="R1163" t="str">
        <v>NOLA</v>
      </c>
      <c r="S1163" t="str">
        <v>William Waguespack</v>
      </c>
      <c r="T1163" t="str">
        <v>NULL</v>
      </c>
      <c r="U1163" t="str">
        <v>Home</v>
      </c>
      <c r="V1163" t="str">
        <v>UTAH</v>
      </c>
      <c r="W1163">
        <v>3.4887588278730779</v>
      </c>
    </row>
    <row r="1164" spans="7:23" x14ac:dyDescent="0.35">
      <c r="G1164">
        <v>13</v>
      </c>
      <c r="H1164" t="s">
        <v>6</v>
      </c>
      <c r="I1164" t="s">
        <v>432</v>
      </c>
      <c r="J1164" t="s">
        <v>256</v>
      </c>
      <c r="K1164" t="s">
        <v>3</v>
      </c>
      <c r="L1164" t="s">
        <v>14</v>
      </c>
      <c r="M1164">
        <f t="shared" si="54"/>
        <v>6.640338210525309</v>
      </c>
      <c r="N1164" t="str">
        <f t="shared" si="55"/>
        <v/>
      </c>
      <c r="O1164" s="67" cm="1">
        <f t="array" ref="O1164">SUMPRODUCT((G1164=$G$7:$G$10000)*(M1164&lt;$M$7:$M$10000))+1</f>
        <v>34</v>
      </c>
      <c r="P1164" s="72"/>
      <c r="Q1164">
        <v>15</v>
      </c>
      <c r="R1164" t="str">
        <v>HOU</v>
      </c>
      <c r="S1164" t="str">
        <v>Marno Redelinghuys</v>
      </c>
      <c r="T1164" t="str">
        <v>NULL</v>
      </c>
      <c r="U1164" t="str">
        <v>Away</v>
      </c>
      <c r="V1164" t="str">
        <v>SEA</v>
      </c>
      <c r="W1164">
        <v>3.3569996364633043</v>
      </c>
    </row>
    <row r="1165" spans="7:23" x14ac:dyDescent="0.35">
      <c r="G1165">
        <v>13</v>
      </c>
      <c r="H1165" t="s">
        <v>24</v>
      </c>
      <c r="I1165" t="s">
        <v>465</v>
      </c>
      <c r="J1165" t="s">
        <v>256</v>
      </c>
      <c r="K1165" t="s">
        <v>9</v>
      </c>
      <c r="L1165" t="s">
        <v>4</v>
      </c>
      <c r="M1165">
        <f t="shared" si="54"/>
        <v>6.6066544702841616</v>
      </c>
      <c r="N1165" t="str">
        <f t="shared" si="55"/>
        <v/>
      </c>
      <c r="O1165" s="67" cm="1">
        <f t="array" ref="O1165">SUMPRODUCT((G1165=$G$7:$G$10000)*(M1165&lt;$M$7:$M$10000))+1</f>
        <v>35</v>
      </c>
      <c r="P1165" s="72"/>
      <c r="Q1165">
        <v>15</v>
      </c>
      <c r="R1165" t="str">
        <v>MIA</v>
      </c>
      <c r="S1165" t="str">
        <v>Tau Koloamatangi</v>
      </c>
      <c r="T1165" t="str">
        <v>NULL</v>
      </c>
      <c r="U1165" t="str">
        <v>Away</v>
      </c>
      <c r="V1165" t="str">
        <v>LA</v>
      </c>
      <c r="W1165">
        <v>3.1714980172716345</v>
      </c>
    </row>
    <row r="1166" spans="7:23" x14ac:dyDescent="0.35">
      <c r="G1166">
        <v>13</v>
      </c>
      <c r="H1166" t="s">
        <v>4</v>
      </c>
      <c r="I1166" t="s">
        <v>484</v>
      </c>
      <c r="J1166" t="s">
        <v>256</v>
      </c>
      <c r="K1166" t="s">
        <v>3</v>
      </c>
      <c r="L1166" t="s">
        <v>24</v>
      </c>
      <c r="M1166">
        <f t="shared" si="54"/>
        <v>6.5354894337509455</v>
      </c>
      <c r="N1166" t="str">
        <f t="shared" si="55"/>
        <v/>
      </c>
      <c r="O1166" s="67" cm="1">
        <f t="array" ref="O1166">SUMPRODUCT((G1166=$G$7:$G$10000)*(M1166&lt;$M$7:$M$10000))+1</f>
        <v>36</v>
      </c>
      <c r="P1166" s="72"/>
      <c r="Q1166">
        <v>15</v>
      </c>
      <c r="R1166" t="str">
        <v>LA</v>
      </c>
      <c r="S1166" t="str">
        <v>Reegan O'Gorman</v>
      </c>
      <c r="T1166" t="str">
        <v>NULL</v>
      </c>
      <c r="U1166" t="str">
        <v>Home</v>
      </c>
      <c r="V1166" t="str">
        <v>MIA</v>
      </c>
      <c r="W1166">
        <v>2.9734890833897243</v>
      </c>
    </row>
    <row r="1167" spans="7:23" x14ac:dyDescent="0.35">
      <c r="G1167">
        <v>13</v>
      </c>
      <c r="H1167" t="s">
        <v>2</v>
      </c>
      <c r="I1167" t="s">
        <v>213</v>
      </c>
      <c r="J1167" t="s">
        <v>256</v>
      </c>
      <c r="K1167" t="s">
        <v>9</v>
      </c>
      <c r="L1167" t="s">
        <v>23</v>
      </c>
      <c r="M1167">
        <f t="shared" si="54"/>
        <v>6.4559337459146606</v>
      </c>
      <c r="N1167" t="str">
        <f t="shared" si="55"/>
        <v/>
      </c>
      <c r="O1167" s="67" cm="1">
        <f t="array" ref="O1167">SUMPRODUCT((G1167=$G$7:$G$10000)*(M1167&lt;$M$7:$M$10000))+1</f>
        <v>37</v>
      </c>
      <c r="P1167" s="72"/>
      <c r="Q1167">
        <v>15</v>
      </c>
      <c r="R1167" t="str">
        <v>NOLA</v>
      </c>
      <c r="S1167" t="str">
        <v>Chase Jones</v>
      </c>
      <c r="T1167" t="str">
        <v>NULL</v>
      </c>
      <c r="U1167" t="str">
        <v>Home</v>
      </c>
      <c r="V1167" t="str">
        <v>UTAH</v>
      </c>
      <c r="W1167">
        <v>2.9083920297894554</v>
      </c>
    </row>
    <row r="1168" spans="7:23" x14ac:dyDescent="0.35">
      <c r="G1168">
        <v>13</v>
      </c>
      <c r="H1168" t="s">
        <v>4</v>
      </c>
      <c r="I1168" t="s">
        <v>435</v>
      </c>
      <c r="J1168" t="s">
        <v>256</v>
      </c>
      <c r="K1168" t="s">
        <v>3</v>
      </c>
      <c r="L1168" t="s">
        <v>24</v>
      </c>
      <c r="M1168">
        <f t="shared" si="54"/>
        <v>6.4347131657299466</v>
      </c>
      <c r="N1168" t="str">
        <f t="shared" si="55"/>
        <v/>
      </c>
      <c r="O1168" s="67" cm="1">
        <f t="array" ref="O1168">SUMPRODUCT((G1168=$G$7:$G$10000)*(M1168&lt;$M$7:$M$10000))+1</f>
        <v>38</v>
      </c>
      <c r="P1168" s="72"/>
      <c r="Q1168">
        <v>15</v>
      </c>
      <c r="R1168" t="str">
        <v>NEFJ</v>
      </c>
      <c r="S1168" t="str">
        <v>Malakai Hala-Ngatai</v>
      </c>
      <c r="T1168" t="str">
        <v>NULL</v>
      </c>
      <c r="U1168" t="str">
        <v>Home</v>
      </c>
      <c r="V1168" t="str">
        <v>OGDC</v>
      </c>
      <c r="W1168">
        <v>2.8736099260390136</v>
      </c>
    </row>
    <row r="1169" spans="7:23" x14ac:dyDescent="0.35">
      <c r="G1169">
        <v>13</v>
      </c>
      <c r="H1169" t="s">
        <v>23</v>
      </c>
      <c r="I1169" t="s">
        <v>412</v>
      </c>
      <c r="J1169" t="s">
        <v>256</v>
      </c>
      <c r="K1169" t="s">
        <v>3</v>
      </c>
      <c r="L1169" t="s">
        <v>2</v>
      </c>
      <c r="M1169">
        <f t="shared" si="54"/>
        <v>6.3842405947296577</v>
      </c>
      <c r="N1169" t="str">
        <f t="shared" si="55"/>
        <v/>
      </c>
      <c r="O1169" s="67" cm="1">
        <f t="array" ref="O1169">SUMPRODUCT((G1169=$G$7:$G$10000)*(M1169&lt;$M$7:$M$10000))+1</f>
        <v>39</v>
      </c>
      <c r="P1169" s="72"/>
      <c r="Q1169">
        <v>15</v>
      </c>
      <c r="R1169" t="str">
        <v>ARC</v>
      </c>
      <c r="S1169" t="str">
        <v>Shawn Clark</v>
      </c>
      <c r="T1169" t="str">
        <v>NULL</v>
      </c>
      <c r="U1169" t="str">
        <v>Home</v>
      </c>
      <c r="V1169" t="str">
        <v>CHI</v>
      </c>
      <c r="W1169">
        <v>2.8090335264300617</v>
      </c>
    </row>
    <row r="1170" spans="7:23" x14ac:dyDescent="0.35">
      <c r="G1170">
        <v>13</v>
      </c>
      <c r="H1170" t="s">
        <v>6</v>
      </c>
      <c r="I1170" t="s">
        <v>433</v>
      </c>
      <c r="J1170" t="s">
        <v>256</v>
      </c>
      <c r="K1170" t="s">
        <v>3</v>
      </c>
      <c r="L1170" t="s">
        <v>14</v>
      </c>
      <c r="M1170">
        <f t="shared" si="54"/>
        <v>6.269685265063945</v>
      </c>
      <c r="N1170" t="str">
        <f t="shared" si="55"/>
        <v/>
      </c>
      <c r="O1170" s="67" cm="1">
        <f t="array" ref="O1170">SUMPRODUCT((G1170=$G$7:$G$10000)*(M1170&lt;$M$7:$M$10000))+1</f>
        <v>40</v>
      </c>
      <c r="P1170" s="72"/>
      <c r="Q1170">
        <v>15</v>
      </c>
      <c r="R1170" t="str">
        <v>NOLA</v>
      </c>
      <c r="S1170" t="str">
        <v>Kellen Galletier</v>
      </c>
      <c r="T1170" t="str">
        <v>NULL</v>
      </c>
      <c r="U1170" t="str">
        <v>Home</v>
      </c>
      <c r="V1170" t="str">
        <v>UTAH</v>
      </c>
      <c r="W1170">
        <v>2.8076157617684565</v>
      </c>
    </row>
    <row r="1171" spans="7:23" x14ac:dyDescent="0.35">
      <c r="G1171" s="66">
        <v>13</v>
      </c>
      <c r="H1171" t="s">
        <v>2</v>
      </c>
      <c r="I1171" t="s">
        <v>108</v>
      </c>
      <c r="J1171" t="s">
        <v>256</v>
      </c>
      <c r="K1171" t="s">
        <v>9</v>
      </c>
      <c r="L1171" t="s">
        <v>23</v>
      </c>
      <c r="M1171">
        <f t="shared" si="54"/>
        <v>6.0092907673297891</v>
      </c>
      <c r="N1171" t="str">
        <f t="shared" si="55"/>
        <v/>
      </c>
      <c r="O1171" s="67" cm="1">
        <f t="array" ref="O1171">SUMPRODUCT((G1171=$G$7:$G$10000)*(M1171&lt;$M$7:$M$10000))+1</f>
        <v>41</v>
      </c>
      <c r="P1171" s="72"/>
      <c r="Q1171">
        <v>15</v>
      </c>
      <c r="R1171" t="str">
        <v>ARC</v>
      </c>
      <c r="S1171" t="str">
        <v>Joe Apikotoa</v>
      </c>
      <c r="T1171" t="str">
        <v>NULL</v>
      </c>
      <c r="U1171" t="str">
        <v>Home</v>
      </c>
      <c r="V1171" t="str">
        <v>CHI</v>
      </c>
      <c r="W1171">
        <v>2.792290235965849</v>
      </c>
    </row>
    <row r="1172" spans="7:23" x14ac:dyDescent="0.35">
      <c r="G1172">
        <v>13</v>
      </c>
      <c r="H1172" t="s">
        <v>36</v>
      </c>
      <c r="I1172" t="s">
        <v>205</v>
      </c>
      <c r="J1172" t="s">
        <v>256</v>
      </c>
      <c r="K1172" t="s">
        <v>9</v>
      </c>
      <c r="L1172" t="s">
        <v>34</v>
      </c>
      <c r="M1172">
        <f t="shared" si="54"/>
        <v>5.9733731546629922</v>
      </c>
      <c r="N1172" t="str">
        <f t="shared" si="55"/>
        <v/>
      </c>
      <c r="O1172" s="67" cm="1">
        <f t="array" ref="O1172">SUMPRODUCT((G1172=$G$7:$G$10000)*(M1172&lt;$M$7:$M$10000))+1</f>
        <v>42</v>
      </c>
      <c r="P1172" s="72"/>
      <c r="Q1172">
        <v>15</v>
      </c>
      <c r="R1172" t="str">
        <v>ARC</v>
      </c>
      <c r="S1172" t="str">
        <v>Albert O'Shannessey</v>
      </c>
      <c r="T1172" t="str">
        <v>NULL</v>
      </c>
      <c r="U1172" t="str">
        <v>Home</v>
      </c>
      <c r="V1172" t="str">
        <v>CHI</v>
      </c>
      <c r="W1172">
        <v>2.6644192498406092</v>
      </c>
    </row>
    <row r="1173" spans="7:23" x14ac:dyDescent="0.35">
      <c r="G1173">
        <v>13</v>
      </c>
      <c r="H1173" t="s">
        <v>4</v>
      </c>
      <c r="I1173" t="s">
        <v>434</v>
      </c>
      <c r="J1173" t="s">
        <v>256</v>
      </c>
      <c r="K1173" t="s">
        <v>3</v>
      </c>
      <c r="L1173" t="s">
        <v>24</v>
      </c>
      <c r="M1173">
        <f t="shared" si="54"/>
        <v>5.8933755731665531</v>
      </c>
      <c r="N1173" t="str">
        <f t="shared" si="55"/>
        <v/>
      </c>
      <c r="O1173" s="67" cm="1">
        <f t="array" ref="O1173">SUMPRODUCT((G1173=$G$7:$G$10000)*(M1173&lt;$M$7:$M$10000))+1</f>
        <v>43</v>
      </c>
      <c r="P1173" s="72"/>
      <c r="Q1173">
        <v>15</v>
      </c>
      <c r="R1173" t="str">
        <v>NEFJ</v>
      </c>
      <c r="S1173" t="str">
        <v>Wian Conradie</v>
      </c>
      <c r="T1173" t="str">
        <v>NULL</v>
      </c>
      <c r="U1173" t="str">
        <v>Home</v>
      </c>
      <c r="V1173" t="str">
        <v>OGDC</v>
      </c>
      <c r="W1173">
        <v>2.6344990731749194</v>
      </c>
    </row>
    <row r="1174" spans="7:23" x14ac:dyDescent="0.35">
      <c r="G1174" s="66">
        <v>13</v>
      </c>
      <c r="H1174" t="s">
        <v>14</v>
      </c>
      <c r="I1174" t="s">
        <v>248</v>
      </c>
      <c r="J1174" t="s">
        <v>256</v>
      </c>
      <c r="K1174" t="s">
        <v>9</v>
      </c>
      <c r="L1174" t="s">
        <v>6</v>
      </c>
      <c r="M1174">
        <f t="shared" si="54"/>
        <v>5.8876319724666155</v>
      </c>
      <c r="N1174" t="str">
        <f t="shared" si="55"/>
        <v/>
      </c>
      <c r="O1174" s="67" cm="1">
        <f t="array" ref="O1174">SUMPRODUCT((G1174=$G$7:$G$10000)*(M1174&lt;$M$7:$M$10000))+1</f>
        <v>44</v>
      </c>
      <c r="P1174" s="72"/>
      <c r="Q1174">
        <v>15</v>
      </c>
      <c r="R1174" t="str">
        <v>SEA</v>
      </c>
      <c r="S1174" t="str">
        <v>Juan Pablo Zeiss</v>
      </c>
      <c r="T1174" t="str">
        <v>NULL</v>
      </c>
      <c r="U1174" t="str">
        <v>Home</v>
      </c>
      <c r="V1174" t="str">
        <v>HOU</v>
      </c>
      <c r="W1174">
        <v>2.4839232161252154</v>
      </c>
    </row>
    <row r="1175" spans="7:23" x14ac:dyDescent="0.35">
      <c r="G1175" s="66">
        <v>13</v>
      </c>
      <c r="H1175" t="s">
        <v>2</v>
      </c>
      <c r="I1175" t="s">
        <v>115</v>
      </c>
      <c r="J1175" t="s">
        <v>256</v>
      </c>
      <c r="K1175" t="s">
        <v>9</v>
      </c>
      <c r="L1175" t="s">
        <v>23</v>
      </c>
      <c r="M1175">
        <f t="shared" si="54"/>
        <v>5.7989836027911359</v>
      </c>
      <c r="N1175" t="str">
        <f t="shared" si="55"/>
        <v/>
      </c>
      <c r="O1175" s="67" cm="1">
        <f t="array" ref="O1175">SUMPRODUCT((G1175=$G$7:$G$10000)*(M1175&lt;$M$7:$M$10000))+1</f>
        <v>45</v>
      </c>
      <c r="P1175" s="72"/>
      <c r="Q1175">
        <v>15</v>
      </c>
      <c r="R1175" t="str">
        <v>MIA</v>
      </c>
      <c r="S1175" t="str">
        <v>Sean McNulty</v>
      </c>
      <c r="T1175" t="str">
        <v>NULL</v>
      </c>
      <c r="U1175" t="str">
        <v>Away</v>
      </c>
      <c r="V1175" t="str">
        <v>LA</v>
      </c>
      <c r="W1175">
        <v>2.4387569191006611</v>
      </c>
    </row>
    <row r="1176" spans="7:23" x14ac:dyDescent="0.35">
      <c r="G1176">
        <v>13</v>
      </c>
      <c r="H1176" t="s">
        <v>6</v>
      </c>
      <c r="I1176" t="s">
        <v>208</v>
      </c>
      <c r="J1176" t="s">
        <v>256</v>
      </c>
      <c r="K1176" t="s">
        <v>3</v>
      </c>
      <c r="L1176" t="s">
        <v>14</v>
      </c>
      <c r="M1176">
        <f t="shared" si="54"/>
        <v>5.7678322941938678</v>
      </c>
      <c r="N1176" t="str">
        <f t="shared" si="55"/>
        <v/>
      </c>
      <c r="O1176" s="67" cm="1">
        <f t="array" ref="O1176">SUMPRODUCT((G1176=$G$7:$G$10000)*(M1176&lt;$M$7:$M$10000))+1</f>
        <v>46</v>
      </c>
      <c r="P1176" s="72"/>
      <c r="Q1176">
        <v>15</v>
      </c>
      <c r="R1176" t="str">
        <v>LA</v>
      </c>
      <c r="S1176" t="str">
        <v>Cronan Gleeson</v>
      </c>
      <c r="T1176" t="str">
        <v>NULL</v>
      </c>
      <c r="U1176" t="str">
        <v>Home</v>
      </c>
      <c r="V1176" t="str">
        <v>MIA</v>
      </c>
      <c r="W1176">
        <v>2.2981230166437578</v>
      </c>
    </row>
    <row r="1177" spans="7:23" x14ac:dyDescent="0.35">
      <c r="G1177">
        <v>13</v>
      </c>
      <c r="H1177" t="s">
        <v>17</v>
      </c>
      <c r="I1177" t="s">
        <v>427</v>
      </c>
      <c r="J1177" t="s">
        <v>256</v>
      </c>
      <c r="K1177" t="s">
        <v>9</v>
      </c>
      <c r="L1177" t="s">
        <v>13</v>
      </c>
      <c r="M1177">
        <f t="shared" si="54"/>
        <v>5.7175038564642495</v>
      </c>
      <c r="N1177" t="str">
        <f t="shared" si="55"/>
        <v/>
      </c>
      <c r="O1177" s="67" cm="1">
        <f t="array" ref="O1177">SUMPRODUCT((G1177=$G$7:$G$10000)*(M1177&lt;$M$7:$M$10000))+1</f>
        <v>47</v>
      </c>
      <c r="P1177" s="72"/>
      <c r="Q1177">
        <v>15</v>
      </c>
      <c r="R1177" t="str">
        <v>NOLA</v>
      </c>
      <c r="S1177" t="str">
        <v>Tesimoni Tonga'uiha</v>
      </c>
      <c r="T1177" t="str">
        <v>NULL</v>
      </c>
      <c r="U1177" t="str">
        <v>Home</v>
      </c>
      <c r="V1177" t="str">
        <v>UTAH</v>
      </c>
      <c r="W1177">
        <v>2.2662781692050635</v>
      </c>
    </row>
    <row r="1178" spans="7:23" x14ac:dyDescent="0.35">
      <c r="G1178">
        <v>13</v>
      </c>
      <c r="H1178" t="s">
        <v>4</v>
      </c>
      <c r="I1178" t="s">
        <v>481</v>
      </c>
      <c r="J1178" t="s">
        <v>256</v>
      </c>
      <c r="K1178" t="s">
        <v>3</v>
      </c>
      <c r="L1178" t="s">
        <v>24</v>
      </c>
      <c r="M1178">
        <f t="shared" si="54"/>
        <v>5.5111222981144845</v>
      </c>
      <c r="N1178" t="str">
        <f t="shared" si="55"/>
        <v/>
      </c>
      <c r="O1178" s="67" cm="1">
        <f t="array" ref="O1178">SUMPRODUCT((G1178=$G$7:$G$10000)*(M1178&lt;$M$7:$M$10000))+1</f>
        <v>48</v>
      </c>
      <c r="P1178" s="72"/>
      <c r="Q1178">
        <v>15</v>
      </c>
      <c r="R1178" t="str">
        <v>HOU</v>
      </c>
      <c r="S1178" t="str">
        <v>Pono Davis</v>
      </c>
      <c r="T1178" t="str">
        <v>NULL</v>
      </c>
      <c r="U1178" t="str">
        <v>Away</v>
      </c>
      <c r="V1178" t="str">
        <v>SEA</v>
      </c>
      <c r="W1178">
        <v>2.205805229153186</v>
      </c>
    </row>
    <row r="1179" spans="7:23" x14ac:dyDescent="0.35">
      <c r="G1179">
        <v>13</v>
      </c>
      <c r="H1179" t="s">
        <v>36</v>
      </c>
      <c r="I1179" t="s">
        <v>112</v>
      </c>
      <c r="J1179" t="s">
        <v>256</v>
      </c>
      <c r="K1179" t="s">
        <v>9</v>
      </c>
      <c r="L1179" t="s">
        <v>34</v>
      </c>
      <c r="M1179">
        <f t="shared" si="54"/>
        <v>5.4082040755925522</v>
      </c>
      <c r="N1179" t="str">
        <f t="shared" si="55"/>
        <v/>
      </c>
      <c r="O1179" s="67" cm="1">
        <f t="array" ref="O1179">SUMPRODUCT((G1179=$G$7:$G$10000)*(M1179&lt;$M$7:$M$10000))+1</f>
        <v>49</v>
      </c>
      <c r="P1179" s="72"/>
      <c r="Q1179">
        <v>15</v>
      </c>
      <c r="R1179" t="str">
        <v>HOU</v>
      </c>
      <c r="S1179" t="str">
        <v>Ronan Murphy</v>
      </c>
      <c r="T1179" t="str">
        <v>NULL</v>
      </c>
      <c r="U1179" t="str">
        <v>Away</v>
      </c>
      <c r="V1179" t="str">
        <v>SEA</v>
      </c>
      <c r="W1179">
        <v>2.1547773807789179</v>
      </c>
    </row>
    <row r="1180" spans="7:23" x14ac:dyDescent="0.35">
      <c r="G1180">
        <v>13</v>
      </c>
      <c r="H1180" t="s">
        <v>24</v>
      </c>
      <c r="I1180" t="s">
        <v>422</v>
      </c>
      <c r="J1180" t="s">
        <v>256</v>
      </c>
      <c r="K1180" t="s">
        <v>9</v>
      </c>
      <c r="L1180" t="s">
        <v>4</v>
      </c>
      <c r="M1180">
        <f t="shared" si="54"/>
        <v>5.3369076645383302</v>
      </c>
      <c r="N1180" t="str">
        <f t="shared" si="55"/>
        <v/>
      </c>
      <c r="O1180" s="67" cm="1">
        <f t="array" ref="O1180">SUMPRODUCT((G1180=$G$7:$G$10000)*(M1180&lt;$M$7:$M$10000))+1</f>
        <v>50</v>
      </c>
      <c r="P1180" s="72"/>
      <c r="Q1180">
        <v>15</v>
      </c>
      <c r="R1180" t="str">
        <v>NOLA</v>
      </c>
      <c r="S1180" t="str">
        <v>Alex Lopeti</v>
      </c>
      <c r="T1180" t="str">
        <v>NULL</v>
      </c>
      <c r="U1180" t="str">
        <v>Home</v>
      </c>
      <c r="V1180" t="str">
        <v>UTAH</v>
      </c>
      <c r="W1180">
        <v>1.8840248941529945</v>
      </c>
    </row>
    <row r="1181" spans="7:23" x14ac:dyDescent="0.35">
      <c r="G1181">
        <v>13</v>
      </c>
      <c r="H1181" t="s">
        <v>4</v>
      </c>
      <c r="I1181" t="s">
        <v>109</v>
      </c>
      <c r="J1181" t="s">
        <v>256</v>
      </c>
      <c r="K1181" t="s">
        <v>3</v>
      </c>
      <c r="L1181" t="s">
        <v>24</v>
      </c>
      <c r="M1181">
        <f t="shared" si="54"/>
        <v>5.3328963855574987</v>
      </c>
      <c r="N1181" t="str">
        <f t="shared" si="55"/>
        <v/>
      </c>
      <c r="O1181" s="67" cm="1">
        <f t="array" ref="O1181">SUMPRODUCT((G1181=$G$7:$G$10000)*(M1181&lt;$M$7:$M$10000))+1</f>
        <v>51</v>
      </c>
      <c r="P1181" s="72"/>
      <c r="Q1181">
        <v>15</v>
      </c>
      <c r="R1181" t="str">
        <v>HOU</v>
      </c>
      <c r="S1181" t="str">
        <v>Seth Smith</v>
      </c>
      <c r="T1181" t="str">
        <v>NULL</v>
      </c>
      <c r="U1181" t="str">
        <v>Away</v>
      </c>
      <c r="V1181" t="str">
        <v>SEA</v>
      </c>
      <c r="W1181">
        <v>1.8617743014565216</v>
      </c>
    </row>
    <row r="1182" spans="7:23" x14ac:dyDescent="0.35">
      <c r="G1182">
        <v>13</v>
      </c>
      <c r="H1182" t="s">
        <v>13</v>
      </c>
      <c r="I1182" t="s">
        <v>120</v>
      </c>
      <c r="J1182" t="s">
        <v>256</v>
      </c>
      <c r="K1182" t="s">
        <v>3</v>
      </c>
      <c r="L1182" t="s">
        <v>17</v>
      </c>
      <c r="M1182">
        <f t="shared" si="54"/>
        <v>5.2678912847868125</v>
      </c>
      <c r="N1182" t="str">
        <f t="shared" si="55"/>
        <v/>
      </c>
      <c r="O1182" s="67" cm="1">
        <f t="array" ref="O1182">SUMPRODUCT((G1182=$G$7:$G$10000)*(M1182&lt;$M$7:$M$10000))+1</f>
        <v>52</v>
      </c>
      <c r="P1182" s="72"/>
      <c r="Q1182">
        <v>15</v>
      </c>
      <c r="R1182" t="str">
        <v>SEA</v>
      </c>
      <c r="S1182" t="str">
        <v>Malembe Mpofu</v>
      </c>
      <c r="T1182" t="str">
        <v>NULL</v>
      </c>
      <c r="U1182" t="str">
        <v>Home</v>
      </c>
      <c r="V1182" t="str">
        <v>HOU</v>
      </c>
      <c r="W1182">
        <v>1.8388693262807312</v>
      </c>
    </row>
    <row r="1183" spans="7:23" x14ac:dyDescent="0.35">
      <c r="G1183" s="66">
        <v>13</v>
      </c>
      <c r="H1183" t="s">
        <v>2</v>
      </c>
      <c r="I1183" t="s">
        <v>174</v>
      </c>
      <c r="J1183" t="s">
        <v>256</v>
      </c>
      <c r="K1183" t="s">
        <v>9</v>
      </c>
      <c r="L1183" t="s">
        <v>23</v>
      </c>
      <c r="M1183">
        <f t="shared" si="54"/>
        <v>5.2439448679252534</v>
      </c>
      <c r="N1183" t="str">
        <f t="shared" si="55"/>
        <v/>
      </c>
      <c r="O1183" s="67" cm="1">
        <f t="array" ref="O1183">SUMPRODUCT((G1183=$G$7:$G$10000)*(M1183&lt;$M$7:$M$10000))+1</f>
        <v>53</v>
      </c>
      <c r="P1183" s="72"/>
      <c r="Q1183">
        <v>15</v>
      </c>
      <c r="R1183" t="str">
        <v>CHI</v>
      </c>
      <c r="S1183" t="str">
        <v>Hamish Bain</v>
      </c>
      <c r="T1183" t="str">
        <v>NULL</v>
      </c>
      <c r="U1183" t="str">
        <v>Away</v>
      </c>
      <c r="V1183" t="str">
        <v>ARC</v>
      </c>
      <c r="W1183">
        <v>1.7996785763124601</v>
      </c>
    </row>
    <row r="1184" spans="7:23" x14ac:dyDescent="0.35">
      <c r="G1184">
        <v>13</v>
      </c>
      <c r="H1184" t="s">
        <v>36</v>
      </c>
      <c r="I1184" t="s">
        <v>117</v>
      </c>
      <c r="J1184" t="s">
        <v>256</v>
      </c>
      <c r="K1184" t="s">
        <v>9</v>
      </c>
      <c r="L1184" t="s">
        <v>34</v>
      </c>
      <c r="M1184">
        <f t="shared" si="54"/>
        <v>5.0774177465339374</v>
      </c>
      <c r="N1184" t="str">
        <f t="shared" si="55"/>
        <v/>
      </c>
      <c r="O1184" s="67" cm="1">
        <f t="array" ref="O1184">SUMPRODUCT((G1184=$G$7:$G$10000)*(M1184&lt;$M$7:$M$10000))+1</f>
        <v>54</v>
      </c>
      <c r="P1184" s="72"/>
      <c r="Q1184">
        <v>15</v>
      </c>
      <c r="R1184" t="str">
        <v>NOLA</v>
      </c>
      <c r="S1184" t="str">
        <v>Malcolm May</v>
      </c>
      <c r="T1184" t="str">
        <v>NULL</v>
      </c>
      <c r="U1184" t="str">
        <v>Home</v>
      </c>
      <c r="V1184" t="str">
        <v>UTAH</v>
      </c>
      <c r="W1184">
        <v>1.7057989815960082</v>
      </c>
    </row>
    <row r="1185" spans="7:23" x14ac:dyDescent="0.35">
      <c r="G1185">
        <v>13</v>
      </c>
      <c r="H1185" t="s">
        <v>14</v>
      </c>
      <c r="I1185" t="s">
        <v>203</v>
      </c>
      <c r="J1185" t="s">
        <v>256</v>
      </c>
      <c r="K1185" t="s">
        <v>9</v>
      </c>
      <c r="L1185" t="s">
        <v>6</v>
      </c>
      <c r="M1185">
        <f t="shared" si="54"/>
        <v>5.0332325067246728</v>
      </c>
      <c r="N1185" t="str">
        <f t="shared" si="55"/>
        <v/>
      </c>
      <c r="O1185" s="67" cm="1">
        <f t="array" ref="O1185">SUMPRODUCT((G1185=$G$7:$G$10000)*(M1185&lt;$M$7:$M$10000))+1</f>
        <v>55</v>
      </c>
      <c r="P1185" s="72"/>
      <c r="Q1185">
        <v>15</v>
      </c>
      <c r="R1185" t="str">
        <v>CHI</v>
      </c>
      <c r="S1185" t="str">
        <v>Faka'osi Pifeleti</v>
      </c>
      <c r="T1185" t="str">
        <v>NULL</v>
      </c>
      <c r="U1185" t="str">
        <v>Away</v>
      </c>
      <c r="V1185" t="str">
        <v>ARC</v>
      </c>
      <c r="W1185">
        <v>1.6615501015364886</v>
      </c>
    </row>
    <row r="1186" spans="7:23" x14ac:dyDescent="0.35">
      <c r="G1186" s="66">
        <v>13</v>
      </c>
      <c r="H1186" t="s">
        <v>14</v>
      </c>
      <c r="I1186" t="s">
        <v>107</v>
      </c>
      <c r="J1186" t="s">
        <v>256</v>
      </c>
      <c r="K1186" t="s">
        <v>9</v>
      </c>
      <c r="L1186" t="s">
        <v>6</v>
      </c>
      <c r="M1186">
        <f t="shared" si="54"/>
        <v>4.9168533555482981</v>
      </c>
      <c r="N1186" t="str">
        <f t="shared" si="55"/>
        <v/>
      </c>
      <c r="O1186" s="67" cm="1">
        <f t="array" ref="O1186">SUMPRODUCT((G1186=$G$7:$G$10000)*(M1186&lt;$M$7:$M$10000))+1</f>
        <v>56</v>
      </c>
      <c r="P1186" s="72"/>
      <c r="Q1186">
        <v>15</v>
      </c>
      <c r="R1186" t="str">
        <v>OGDC</v>
      </c>
      <c r="S1186" t="str">
        <v>Facundo Gattas</v>
      </c>
      <c r="T1186" t="str">
        <v>NULL</v>
      </c>
      <c r="U1186" t="str">
        <v>Away</v>
      </c>
      <c r="V1186" t="str">
        <v>NEFJ</v>
      </c>
      <c r="W1186">
        <v>1.3969767665268948</v>
      </c>
    </row>
    <row r="1187" spans="7:23" x14ac:dyDescent="0.35">
      <c r="G1187" s="66">
        <v>13</v>
      </c>
      <c r="H1187" t="s">
        <v>14</v>
      </c>
      <c r="I1187" t="s">
        <v>471</v>
      </c>
      <c r="J1187" t="s">
        <v>256</v>
      </c>
      <c r="K1187" t="s">
        <v>9</v>
      </c>
      <c r="L1187" t="s">
        <v>6</v>
      </c>
      <c r="M1187">
        <f t="shared" si="54"/>
        <v>4.8587835209601273</v>
      </c>
      <c r="N1187" t="str">
        <f t="shared" si="55"/>
        <v/>
      </c>
      <c r="O1187" s="67" cm="1">
        <f t="array" ref="O1187">SUMPRODUCT((G1187=$G$7:$G$10000)*(M1187&lt;$M$7:$M$10000))+1</f>
        <v>57</v>
      </c>
      <c r="P1187" s="72"/>
      <c r="Q1187">
        <v>15</v>
      </c>
      <c r="R1187" t="str">
        <v>OGDC</v>
      </c>
      <c r="S1187" t="str">
        <v>Jack Iscaro</v>
      </c>
      <c r="T1187" t="str">
        <v>NULL</v>
      </c>
      <c r="U1187" t="str">
        <v>Away</v>
      </c>
      <c r="V1187" t="str">
        <v>NEFJ</v>
      </c>
      <c r="W1187">
        <v>1.3444597368435947</v>
      </c>
    </row>
    <row r="1188" spans="7:23" x14ac:dyDescent="0.35">
      <c r="G1188">
        <v>13</v>
      </c>
      <c r="H1188" t="s">
        <v>36</v>
      </c>
      <c r="I1188" t="s">
        <v>216</v>
      </c>
      <c r="J1188" t="s">
        <v>256</v>
      </c>
      <c r="K1188" t="s">
        <v>9</v>
      </c>
      <c r="L1188" t="s">
        <v>34</v>
      </c>
      <c r="M1188">
        <f t="shared" si="54"/>
        <v>4.854875935440198</v>
      </c>
      <c r="N1188" t="str">
        <f t="shared" si="55"/>
        <v/>
      </c>
      <c r="O1188" s="67" cm="1">
        <f t="array" ref="O1188">SUMPRODUCT((G1188=$G$7:$G$10000)*(M1188&lt;$M$7:$M$10000))+1</f>
        <v>58</v>
      </c>
      <c r="P1188" s="72"/>
      <c r="Q1188">
        <v>15</v>
      </c>
      <c r="R1188" t="str">
        <v>HOU</v>
      </c>
      <c r="S1188" t="str">
        <v>Val Lee-Lo</v>
      </c>
      <c r="T1188" t="str">
        <v>NULL</v>
      </c>
      <c r="U1188" t="str">
        <v>Away</v>
      </c>
      <c r="V1188" t="str">
        <v>SEA</v>
      </c>
      <c r="W1188">
        <v>1.2353692749493161</v>
      </c>
    </row>
    <row r="1189" spans="7:23" x14ac:dyDescent="0.35">
      <c r="G1189">
        <v>13</v>
      </c>
      <c r="H1189" t="s">
        <v>13</v>
      </c>
      <c r="I1189" t="s">
        <v>469</v>
      </c>
      <c r="J1189" t="s">
        <v>256</v>
      </c>
      <c r="K1189" t="s">
        <v>3</v>
      </c>
      <c r="L1189" t="s">
        <v>17</v>
      </c>
      <c r="M1189">
        <f t="shared" si="54"/>
        <v>4.777591338995224</v>
      </c>
      <c r="N1189" t="str">
        <f t="shared" si="55"/>
        <v/>
      </c>
      <c r="O1189" s="67" cm="1">
        <f t="array" ref="O1189">SUMPRODUCT((G1189=$G$7:$G$10000)*(M1189&lt;$M$7:$M$10000))+1</f>
        <v>59</v>
      </c>
      <c r="P1189" s="72"/>
      <c r="Q1189">
        <v>15</v>
      </c>
      <c r="R1189" t="str">
        <v>OGDC</v>
      </c>
      <c r="S1189" t="str">
        <v>Lautaro Bavaro</v>
      </c>
      <c r="T1189" t="str">
        <v>NULL</v>
      </c>
      <c r="U1189" t="str">
        <v>Away</v>
      </c>
      <c r="V1189" t="str">
        <v>NEFJ</v>
      </c>
      <c r="W1189">
        <v>1.0283281209805395</v>
      </c>
    </row>
    <row r="1190" spans="7:23" x14ac:dyDescent="0.35">
      <c r="G1190">
        <v>13</v>
      </c>
      <c r="H1190" t="s">
        <v>34</v>
      </c>
      <c r="I1190" t="s">
        <v>436</v>
      </c>
      <c r="J1190" t="s">
        <v>256</v>
      </c>
      <c r="K1190" t="s">
        <v>3</v>
      </c>
      <c r="L1190" t="s">
        <v>36</v>
      </c>
      <c r="M1190">
        <f t="shared" si="54"/>
        <v>4.641036928726189</v>
      </c>
      <c r="N1190" t="str">
        <f t="shared" si="55"/>
        <v/>
      </c>
      <c r="O1190" s="67" cm="1">
        <f t="array" ref="O1190">SUMPRODUCT((G1190=$G$7:$G$10000)*(M1190&lt;$M$7:$M$10000))+1</f>
        <v>60</v>
      </c>
      <c r="P1190" s="72"/>
      <c r="Q1190">
        <v>15</v>
      </c>
      <c r="R1190" t="str">
        <v>OGDC</v>
      </c>
      <c r="S1190" t="str">
        <v>Rob Harley</v>
      </c>
      <c r="T1190" t="str">
        <v>NULL</v>
      </c>
      <c r="U1190" t="str">
        <v>Away</v>
      </c>
      <c r="V1190" t="str">
        <v>NEFJ</v>
      </c>
      <c r="W1190">
        <v>0.87022044690684996</v>
      </c>
    </row>
    <row r="1191" spans="7:23" x14ac:dyDescent="0.35">
      <c r="G1191">
        <v>13</v>
      </c>
      <c r="H1191" t="s">
        <v>24</v>
      </c>
      <c r="I1191" t="s">
        <v>217</v>
      </c>
      <c r="J1191" t="s">
        <v>256</v>
      </c>
      <c r="K1191" t="s">
        <v>9</v>
      </c>
      <c r="L1191" t="s">
        <v>4</v>
      </c>
      <c r="M1191">
        <f t="shared" ref="M1191:M1254" si="56">VLOOKUP($K1191,$F$3:$G$4,2,FALSE)+VLOOKUP($I1191,$A$20:$B$321,2,FALSE)+VLOOKUP($L1191,$A$6:$B$16,2,FALSE)</f>
        <v>4.5942936116061848</v>
      </c>
      <c r="N1191" t="str">
        <f t="shared" ref="N1191:N1254" si="57">IFERROR(($J1191-$M1191)^2,"")</f>
        <v/>
      </c>
      <c r="O1191" s="67" cm="1">
        <f t="array" ref="O1191">SUMPRODUCT((G1191=$G$7:$G$10000)*(M1191&lt;$M$7:$M$10000))+1</f>
        <v>61</v>
      </c>
      <c r="P1191" s="72"/>
      <c r="Q1191">
        <v>15</v>
      </c>
      <c r="R1191" t="str">
        <v>OGDC</v>
      </c>
      <c r="S1191" t="str">
        <v>Cali Martinez</v>
      </c>
      <c r="T1191" t="str">
        <v>NULL</v>
      </c>
      <c r="U1191" t="str">
        <v>Away</v>
      </c>
      <c r="V1191" t="str">
        <v>NEFJ</v>
      </c>
      <c r="W1191">
        <v>0.67028003660086632</v>
      </c>
    </row>
    <row r="1192" spans="7:23" x14ac:dyDescent="0.35">
      <c r="G1192">
        <v>13</v>
      </c>
      <c r="H1192" t="s">
        <v>24</v>
      </c>
      <c r="I1192" t="s">
        <v>411</v>
      </c>
      <c r="J1192" t="s">
        <v>256</v>
      </c>
      <c r="K1192" t="s">
        <v>9</v>
      </c>
      <c r="L1192" t="s">
        <v>4</v>
      </c>
      <c r="M1192">
        <f t="shared" si="56"/>
        <v>4.4472698891783349</v>
      </c>
      <c r="N1192" t="str">
        <f t="shared" si="57"/>
        <v/>
      </c>
      <c r="O1192" s="67" cm="1">
        <f t="array" ref="O1192">SUMPRODUCT((G1192=$G$7:$G$10000)*(M1192&lt;$M$7:$M$10000))+1</f>
        <v>62</v>
      </c>
      <c r="P1192" s="72"/>
      <c r="Q1192">
        <v>15</v>
      </c>
      <c r="R1192" t="str">
        <v>SEA</v>
      </c>
      <c r="S1192" t="str">
        <v>Dewald Kotze</v>
      </c>
      <c r="T1192" t="str">
        <v>NULL</v>
      </c>
      <c r="U1192" t="str">
        <v>Home</v>
      </c>
      <c r="V1192" t="str">
        <v>HOU</v>
      </c>
      <c r="W1192">
        <v>0.66242692842365614</v>
      </c>
    </row>
    <row r="1193" spans="7:23" x14ac:dyDescent="0.35">
      <c r="G1193">
        <v>13</v>
      </c>
      <c r="H1193" t="s">
        <v>34</v>
      </c>
      <c r="I1193" t="s">
        <v>177</v>
      </c>
      <c r="J1193" t="s">
        <v>256</v>
      </c>
      <c r="K1193" t="s">
        <v>3</v>
      </c>
      <c r="L1193" t="s">
        <v>36</v>
      </c>
      <c r="M1193">
        <f t="shared" si="56"/>
        <v>4.4196324466111658</v>
      </c>
      <c r="N1193" t="str">
        <f t="shared" si="57"/>
        <v/>
      </c>
      <c r="O1193" s="67" cm="1">
        <f t="array" ref="O1193">SUMPRODUCT((G1193=$G$7:$G$10000)*(M1193&lt;$M$7:$M$10000))+1</f>
        <v>63</v>
      </c>
      <c r="P1193" s="72"/>
      <c r="Q1193">
        <v>15</v>
      </c>
      <c r="R1193" t="str">
        <v>NOLA</v>
      </c>
      <c r="S1193" t="str">
        <v>Paul Mullen</v>
      </c>
      <c r="T1193" t="str">
        <v>NULL</v>
      </c>
      <c r="U1193" t="str">
        <v>Home</v>
      </c>
      <c r="V1193" t="str">
        <v>UTAH</v>
      </c>
      <c r="W1193">
        <v>0.60947744365969347</v>
      </c>
    </row>
    <row r="1194" spans="7:23" x14ac:dyDescent="0.35">
      <c r="G1194">
        <v>13</v>
      </c>
      <c r="H1194" t="s">
        <v>34</v>
      </c>
      <c r="I1194" t="s">
        <v>153</v>
      </c>
      <c r="J1194" t="s">
        <v>256</v>
      </c>
      <c r="K1194" t="s">
        <v>3</v>
      </c>
      <c r="L1194" t="s">
        <v>36</v>
      </c>
      <c r="M1194">
        <f t="shared" si="56"/>
        <v>4.3192234532693545</v>
      </c>
      <c r="N1194" t="str">
        <f t="shared" si="57"/>
        <v/>
      </c>
      <c r="O1194" s="67" cm="1">
        <f t="array" ref="O1194">SUMPRODUCT((G1194=$G$7:$G$10000)*(M1194&lt;$M$7:$M$10000))+1</f>
        <v>64</v>
      </c>
      <c r="P1194" s="72"/>
      <c r="Q1194">
        <v>15</v>
      </c>
      <c r="R1194" t="str">
        <v>OGDC</v>
      </c>
      <c r="S1194" t="str">
        <v>Tevita Naqali</v>
      </c>
      <c r="T1194" t="str">
        <v>NULL</v>
      </c>
      <c r="U1194" t="str">
        <v>Away</v>
      </c>
      <c r="V1194" t="str">
        <v>NEFJ</v>
      </c>
      <c r="W1194">
        <v>0.24403486507080441</v>
      </c>
    </row>
    <row r="1195" spans="7:23" x14ac:dyDescent="0.35">
      <c r="G1195">
        <v>13</v>
      </c>
      <c r="H1195" t="s">
        <v>4</v>
      </c>
      <c r="I1195" t="s">
        <v>176</v>
      </c>
      <c r="J1195" t="s">
        <v>256</v>
      </c>
      <c r="K1195" t="s">
        <v>3</v>
      </c>
      <c r="L1195" t="s">
        <v>24</v>
      </c>
      <c r="M1195">
        <f t="shared" si="56"/>
        <v>4.2365748476211831</v>
      </c>
      <c r="N1195" t="str">
        <f t="shared" si="57"/>
        <v/>
      </c>
      <c r="O1195" s="67" cm="1">
        <f t="array" ref="O1195">SUMPRODUCT((G1195=$G$7:$G$10000)*(M1195&lt;$M$7:$M$10000))+1</f>
        <v>65</v>
      </c>
      <c r="P1195" s="72"/>
      <c r="Q1195">
        <v>15</v>
      </c>
      <c r="R1195" t="str">
        <v>NOLA</v>
      </c>
      <c r="S1195" t="str">
        <v>Matt Harmon</v>
      </c>
      <c r="T1195" t="str">
        <v>NULL</v>
      </c>
      <c r="U1195" t="str">
        <v>Home</v>
      </c>
      <c r="V1195" t="str">
        <v>UTAH</v>
      </c>
      <c r="W1195">
        <v>0.2280340465609898</v>
      </c>
    </row>
    <row r="1196" spans="7:23" x14ac:dyDescent="0.35">
      <c r="G1196">
        <v>13</v>
      </c>
      <c r="H1196" t="s">
        <v>24</v>
      </c>
      <c r="I1196" t="s">
        <v>168</v>
      </c>
      <c r="J1196" t="s">
        <v>256</v>
      </c>
      <c r="K1196" t="s">
        <v>9</v>
      </c>
      <c r="L1196" t="s">
        <v>4</v>
      </c>
      <c r="M1196">
        <f t="shared" si="56"/>
        <v>4.1198598509660185</v>
      </c>
      <c r="N1196" t="str">
        <f t="shared" si="57"/>
        <v/>
      </c>
      <c r="O1196" s="67" cm="1">
        <f t="array" ref="O1196">SUMPRODUCT((G1196=$G$7:$G$10000)*(M1196&lt;$M$7:$M$10000))+1</f>
        <v>66</v>
      </c>
      <c r="P1196" s="72"/>
      <c r="Q1196">
        <v>15</v>
      </c>
      <c r="R1196" t="str">
        <v>NOLA</v>
      </c>
      <c r="S1196" t="str">
        <v>Callum Botchar</v>
      </c>
      <c r="T1196" t="str">
        <v>NULL</v>
      </c>
      <c r="U1196" t="str">
        <v>Home</v>
      </c>
      <c r="V1196" t="str">
        <v>UTAH</v>
      </c>
      <c r="W1196">
        <v>-0.17604387828438384</v>
      </c>
    </row>
    <row r="1197" spans="7:23" x14ac:dyDescent="0.35">
      <c r="G1197">
        <v>13</v>
      </c>
      <c r="H1197" t="s">
        <v>14</v>
      </c>
      <c r="I1197" t="s">
        <v>143</v>
      </c>
      <c r="J1197" t="s">
        <v>256</v>
      </c>
      <c r="K1197" t="s">
        <v>9</v>
      </c>
      <c r="L1197" t="s">
        <v>6</v>
      </c>
      <c r="M1197">
        <f t="shared" si="56"/>
        <v>4.1101976742831212</v>
      </c>
      <c r="N1197" t="str">
        <f t="shared" si="57"/>
        <v/>
      </c>
      <c r="O1197" s="67" cm="1">
        <f t="array" ref="O1197">SUMPRODUCT((G1197=$G$7:$G$10000)*(M1197&lt;$M$7:$M$10000))+1</f>
        <v>67</v>
      </c>
      <c r="P1197" s="72"/>
      <c r="Q1197">
        <v>15</v>
      </c>
      <c r="R1197" t="str">
        <v>CHI</v>
      </c>
      <c r="S1197" t="str">
        <v>Charlie Abel</v>
      </c>
      <c r="T1197" t="str">
        <v>NULL</v>
      </c>
      <c r="U1197" t="str">
        <v>Away</v>
      </c>
      <c r="V1197" t="str">
        <v>ARC</v>
      </c>
      <c r="W1197">
        <v>-0.44237986027000886</v>
      </c>
    </row>
    <row r="1198" spans="7:23" x14ac:dyDescent="0.35">
      <c r="G1198">
        <v>13</v>
      </c>
      <c r="H1198" t="s">
        <v>13</v>
      </c>
      <c r="I1198" t="s">
        <v>210</v>
      </c>
      <c r="J1198" t="s">
        <v>256</v>
      </c>
      <c r="K1198" t="s">
        <v>3</v>
      </c>
      <c r="L1198" t="s">
        <v>17</v>
      </c>
      <c r="M1198">
        <f t="shared" si="56"/>
        <v>4.0921425010823</v>
      </c>
      <c r="N1198" t="str">
        <f t="shared" si="57"/>
        <v/>
      </c>
      <c r="O1198" s="67" cm="1">
        <f t="array" ref="O1198">SUMPRODUCT((G1198=$G$7:$G$10000)*(M1198&lt;$M$7:$M$10000))+1</f>
        <v>68</v>
      </c>
      <c r="P1198" s="72"/>
      <c r="Q1198">
        <v>15</v>
      </c>
      <c r="R1198" t="str">
        <v>NOLA</v>
      </c>
      <c r="S1198" t="str">
        <v>Cam Dolan</v>
      </c>
      <c r="T1198" t="str">
        <v>NULL</v>
      </c>
      <c r="U1198" t="str">
        <v>Home</v>
      </c>
      <c r="V1198" t="str">
        <v>UTAH</v>
      </c>
      <c r="W1198">
        <v>-0.49678996214793081</v>
      </c>
    </row>
    <row r="1199" spans="7:23" x14ac:dyDescent="0.35">
      <c r="G1199">
        <v>13</v>
      </c>
      <c r="H1199" t="s">
        <v>4</v>
      </c>
      <c r="I1199" t="s">
        <v>172</v>
      </c>
      <c r="J1199" t="s">
        <v>256</v>
      </c>
      <c r="K1199" t="s">
        <v>3</v>
      </c>
      <c r="L1199" t="s">
        <v>24</v>
      </c>
      <c r="M1199">
        <f t="shared" si="56"/>
        <v>3.8551314505224799</v>
      </c>
      <c r="N1199" t="str">
        <f t="shared" si="57"/>
        <v/>
      </c>
      <c r="O1199" s="67" cm="1">
        <f t="array" ref="O1199">SUMPRODUCT((G1199=$G$7:$G$10000)*(M1199&lt;$M$7:$M$10000))+1</f>
        <v>69</v>
      </c>
      <c r="P1199" s="72"/>
      <c r="Q1199">
        <v>15</v>
      </c>
      <c r="R1199" t="str">
        <v>HOU</v>
      </c>
      <c r="S1199" t="str">
        <v>Justin Basson</v>
      </c>
      <c r="T1199" t="str">
        <v>NULL</v>
      </c>
      <c r="U1199" t="str">
        <v>Away</v>
      </c>
      <c r="V1199" t="str">
        <v>SEA</v>
      </c>
      <c r="W1199">
        <v>-3.3057462683650494</v>
      </c>
    </row>
    <row r="1200" spans="7:23" x14ac:dyDescent="0.35">
      <c r="G1200" s="66">
        <v>13</v>
      </c>
      <c r="H1200" t="s">
        <v>14</v>
      </c>
      <c r="I1200" t="s">
        <v>413</v>
      </c>
      <c r="J1200" t="s">
        <v>256</v>
      </c>
      <c r="K1200" t="s">
        <v>9</v>
      </c>
      <c r="L1200" t="s">
        <v>6</v>
      </c>
      <c r="M1200">
        <f t="shared" si="56"/>
        <v>3.7614378343108639</v>
      </c>
      <c r="N1200" t="str">
        <f t="shared" si="57"/>
        <v/>
      </c>
      <c r="O1200" s="67" cm="1">
        <f t="array" ref="O1200">SUMPRODUCT((G1200=$G$7:$G$10000)*(M1200&lt;$M$7:$M$10000))+1</f>
        <v>70</v>
      </c>
      <c r="P1200" s="72"/>
      <c r="Q1200">
        <v>15</v>
      </c>
      <c r="R1200" t="str">
        <v>MIA</v>
      </c>
      <c r="S1200" t="str">
        <v>Alec McDonnell</v>
      </c>
      <c r="T1200" t="str">
        <v>NULL</v>
      </c>
      <c r="U1200" t="str">
        <v>Away</v>
      </c>
      <c r="V1200" t="str">
        <v>LA</v>
      </c>
      <c r="W1200">
        <v>-7.024329732076545</v>
      </c>
    </row>
    <row r="1201" spans="7:23" x14ac:dyDescent="0.35">
      <c r="G1201">
        <v>13</v>
      </c>
      <c r="H1201" t="s">
        <v>14</v>
      </c>
      <c r="I1201" t="s">
        <v>470</v>
      </c>
      <c r="J1201" t="s">
        <v>256</v>
      </c>
      <c r="K1201" t="s">
        <v>9</v>
      </c>
      <c r="L1201" t="s">
        <v>6</v>
      </c>
      <c r="M1201">
        <f t="shared" si="56"/>
        <v>3.7452157494779756</v>
      </c>
      <c r="N1201" t="str">
        <f t="shared" si="57"/>
        <v/>
      </c>
      <c r="O1201" s="67" cm="1">
        <f t="array" ref="O1201">SUMPRODUCT((G1201=$G$7:$G$10000)*(M1201&lt;$M$7:$M$10000))+1</f>
        <v>71</v>
      </c>
      <c r="P1201" s="72"/>
      <c r="Q1201">
        <v>15</v>
      </c>
      <c r="R1201" t="str">
        <v>SEA</v>
      </c>
      <c r="S1201" t="str">
        <v>Rhyno Herbst</v>
      </c>
      <c r="T1201" t="str">
        <v>NULL</v>
      </c>
      <c r="U1201" t="str">
        <v>Home</v>
      </c>
      <c r="V1201" t="str">
        <v>HOU</v>
      </c>
      <c r="W1201">
        <v>0</v>
      </c>
    </row>
    <row r="1202" spans="7:23" x14ac:dyDescent="0.35">
      <c r="G1202">
        <v>13</v>
      </c>
      <c r="H1202" t="s">
        <v>14</v>
      </c>
      <c r="I1202" t="s">
        <v>164</v>
      </c>
      <c r="J1202" t="s">
        <v>256</v>
      </c>
      <c r="K1202" t="s">
        <v>9</v>
      </c>
      <c r="L1202" t="s">
        <v>6</v>
      </c>
      <c r="M1202">
        <f t="shared" si="56"/>
        <v>3.7339656650048223</v>
      </c>
      <c r="N1202" t="str">
        <f t="shared" si="57"/>
        <v/>
      </c>
      <c r="O1202" s="67" cm="1">
        <f t="array" ref="O1202">SUMPRODUCT((G1202=$G$7:$G$10000)*(M1202&lt;$M$7:$M$10000))+1</f>
        <v>72</v>
      </c>
      <c r="P1202" s="72"/>
      <c r="Q1202">
        <v>15</v>
      </c>
      <c r="R1202" t="str">
        <v>SEA</v>
      </c>
      <c r="S1202" t="str">
        <v>Siaosi Mahoni</v>
      </c>
      <c r="T1202" t="str">
        <v>NULL</v>
      </c>
      <c r="U1202" t="str">
        <v>Home</v>
      </c>
      <c r="V1202" t="str">
        <v>HOU</v>
      </c>
      <c r="W1202">
        <v>0</v>
      </c>
    </row>
    <row r="1203" spans="7:23" x14ac:dyDescent="0.35">
      <c r="G1203">
        <v>13</v>
      </c>
      <c r="H1203" t="s">
        <v>36</v>
      </c>
      <c r="I1203" t="s">
        <v>415</v>
      </c>
      <c r="J1203" t="s">
        <v>256</v>
      </c>
      <c r="K1203" t="s">
        <v>9</v>
      </c>
      <c r="L1203" t="s">
        <v>34</v>
      </c>
      <c r="M1203">
        <f t="shared" si="56"/>
        <v>3.7036815281300797</v>
      </c>
      <c r="N1203" t="str">
        <f t="shared" si="57"/>
        <v/>
      </c>
      <c r="O1203" s="67" cm="1">
        <f t="array" ref="O1203">SUMPRODUCT((G1203=$G$7:$G$10000)*(M1203&lt;$M$7:$M$10000))+1</f>
        <v>73</v>
      </c>
      <c r="P1203" s="72"/>
      <c r="Q1203">
        <v>15</v>
      </c>
      <c r="R1203" t="str">
        <v>SEA</v>
      </c>
      <c r="S1203" t="str">
        <v>Taylor Krumrei</v>
      </c>
      <c r="T1203" t="str">
        <v>NULL</v>
      </c>
      <c r="U1203" t="str">
        <v>Home</v>
      </c>
      <c r="V1203" t="str">
        <v>HOU</v>
      </c>
      <c r="W1203">
        <v>0</v>
      </c>
    </row>
    <row r="1204" spans="7:23" x14ac:dyDescent="0.35">
      <c r="G1204">
        <v>13</v>
      </c>
      <c r="H1204" t="s">
        <v>36</v>
      </c>
      <c r="I1204" t="s">
        <v>224</v>
      </c>
      <c r="J1204" t="s">
        <v>256</v>
      </c>
      <c r="K1204" t="s">
        <v>9</v>
      </c>
      <c r="L1204" t="s">
        <v>34</v>
      </c>
      <c r="M1204">
        <f t="shared" si="56"/>
        <v>3.6526536797558116</v>
      </c>
      <c r="N1204" t="str">
        <f t="shared" si="57"/>
        <v/>
      </c>
      <c r="O1204" s="67" cm="1">
        <f t="array" ref="O1204">SUMPRODUCT((G1204=$G$7:$G$10000)*(M1204&lt;$M$7:$M$10000))+1</f>
        <v>74</v>
      </c>
      <c r="P1204" s="72"/>
      <c r="Q1204">
        <v>15</v>
      </c>
      <c r="R1204" t="str">
        <v>UTAH</v>
      </c>
      <c r="S1204" t="str">
        <v>Aki Seiuli</v>
      </c>
      <c r="T1204" t="str">
        <v>NULL</v>
      </c>
      <c r="U1204" t="str">
        <v>Away</v>
      </c>
      <c r="V1204" t="str">
        <v>NOLA</v>
      </c>
      <c r="W1204">
        <v>0</v>
      </c>
    </row>
    <row r="1205" spans="7:23" x14ac:dyDescent="0.35">
      <c r="G1205">
        <v>13</v>
      </c>
      <c r="H1205" t="s">
        <v>4</v>
      </c>
      <c r="I1205" t="s">
        <v>118</v>
      </c>
      <c r="J1205" t="s">
        <v>256</v>
      </c>
      <c r="K1205" t="s">
        <v>3</v>
      </c>
      <c r="L1205" t="s">
        <v>24</v>
      </c>
      <c r="M1205">
        <f t="shared" si="56"/>
        <v>3.4510535256771062</v>
      </c>
      <c r="N1205" t="str">
        <f t="shared" si="57"/>
        <v/>
      </c>
      <c r="O1205" s="67" cm="1">
        <f t="array" ref="O1205">SUMPRODUCT((G1205=$G$7:$G$10000)*(M1205&lt;$M$7:$M$10000))+1</f>
        <v>75</v>
      </c>
      <c r="P1205" s="72"/>
      <c r="Q1205">
        <v>15</v>
      </c>
      <c r="R1205" t="str">
        <v>UTAH</v>
      </c>
      <c r="S1205" t="str">
        <v>Dylan Nel</v>
      </c>
      <c r="T1205" t="str">
        <v>NULL</v>
      </c>
      <c r="U1205" t="str">
        <v>Away</v>
      </c>
      <c r="V1205" t="str">
        <v>NOLA</v>
      </c>
      <c r="W1205">
        <v>0</v>
      </c>
    </row>
    <row r="1206" spans="7:23" x14ac:dyDescent="0.35">
      <c r="G1206">
        <v>13</v>
      </c>
      <c r="H1206" t="s">
        <v>23</v>
      </c>
      <c r="I1206" t="s">
        <v>252</v>
      </c>
      <c r="J1206" t="s">
        <v>256</v>
      </c>
      <c r="K1206" t="s">
        <v>3</v>
      </c>
      <c r="L1206" t="s">
        <v>2</v>
      </c>
      <c r="M1206">
        <f t="shared" si="56"/>
        <v>3.3906784461356771</v>
      </c>
      <c r="N1206" t="str">
        <f t="shared" si="57"/>
        <v/>
      </c>
      <c r="O1206" s="67" cm="1">
        <f t="array" ref="O1206">SUMPRODUCT((G1206=$G$7:$G$10000)*(M1206&lt;$M$7:$M$10000))+1</f>
        <v>76</v>
      </c>
      <c r="P1206" s="72"/>
      <c r="Q1206">
        <v>15</v>
      </c>
      <c r="R1206" t="str">
        <v>UTAH</v>
      </c>
      <c r="S1206" t="str">
        <v>Frank Lochore</v>
      </c>
      <c r="T1206" t="str">
        <v>NULL</v>
      </c>
      <c r="U1206" t="str">
        <v>Away</v>
      </c>
      <c r="V1206" t="str">
        <v>NOLA</v>
      </c>
      <c r="W1206">
        <v>0</v>
      </c>
    </row>
    <row r="1207" spans="7:23" x14ac:dyDescent="0.35">
      <c r="G1207">
        <v>13</v>
      </c>
      <c r="H1207" t="s">
        <v>36</v>
      </c>
      <c r="I1207" t="s">
        <v>283</v>
      </c>
      <c r="J1207" t="s">
        <v>256</v>
      </c>
      <c r="K1207" t="s">
        <v>9</v>
      </c>
      <c r="L1207" t="s">
        <v>34</v>
      </c>
      <c r="M1207">
        <f t="shared" si="56"/>
        <v>3.3596506004334152</v>
      </c>
      <c r="N1207" t="str">
        <f t="shared" si="57"/>
        <v/>
      </c>
      <c r="O1207" s="67" cm="1">
        <f t="array" ref="O1207">SUMPRODUCT((G1207=$G$7:$G$10000)*(M1207&lt;$M$7:$M$10000))+1</f>
        <v>77</v>
      </c>
      <c r="P1207" s="72"/>
      <c r="Q1207">
        <v>15</v>
      </c>
      <c r="R1207" t="str">
        <v>UTAH</v>
      </c>
      <c r="S1207" t="str">
        <v>Gavin Thornbury</v>
      </c>
      <c r="T1207" t="str">
        <v>NULL</v>
      </c>
      <c r="U1207" t="str">
        <v>Away</v>
      </c>
      <c r="V1207" t="str">
        <v>NOLA</v>
      </c>
      <c r="W1207">
        <v>0</v>
      </c>
    </row>
    <row r="1208" spans="7:23" x14ac:dyDescent="0.35">
      <c r="G1208">
        <v>13</v>
      </c>
      <c r="H1208" t="s">
        <v>23</v>
      </c>
      <c r="I1208" t="s">
        <v>229</v>
      </c>
      <c r="J1208" t="s">
        <v>256</v>
      </c>
      <c r="K1208" t="s">
        <v>3</v>
      </c>
      <c r="L1208" t="s">
        <v>2</v>
      </c>
      <c r="M1208">
        <f t="shared" si="56"/>
        <v>3.151567593271583</v>
      </c>
      <c r="N1208" t="str">
        <f t="shared" si="57"/>
        <v/>
      </c>
      <c r="O1208" s="67" cm="1">
        <f t="array" ref="O1208">SUMPRODUCT((G1208=$G$7:$G$10000)*(M1208&lt;$M$7:$M$10000))+1</f>
        <v>78</v>
      </c>
      <c r="P1208" s="72"/>
      <c r="Q1208">
        <v>15</v>
      </c>
      <c r="R1208" t="str">
        <v>UTAH</v>
      </c>
      <c r="S1208" t="str">
        <v>Kalisi Moli</v>
      </c>
      <c r="T1208" t="str">
        <v>NULL</v>
      </c>
      <c r="U1208" t="str">
        <v>Away</v>
      </c>
      <c r="V1208" t="str">
        <v>NOLA</v>
      </c>
      <c r="W1208">
        <v>0</v>
      </c>
    </row>
    <row r="1209" spans="7:23" x14ac:dyDescent="0.35">
      <c r="G1209">
        <v>13</v>
      </c>
      <c r="H1209" t="s">
        <v>4</v>
      </c>
      <c r="I1209" t="s">
        <v>335</v>
      </c>
      <c r="J1209" t="s">
        <v>256</v>
      </c>
      <c r="K1209" t="s">
        <v>3</v>
      </c>
      <c r="L1209" t="s">
        <v>24</v>
      </c>
      <c r="M1209">
        <f t="shared" si="56"/>
        <v>3.1303074418135592</v>
      </c>
      <c r="N1209" t="str">
        <f t="shared" si="57"/>
        <v/>
      </c>
      <c r="O1209" s="67" cm="1">
        <f t="array" ref="O1209">SUMPRODUCT((G1209=$G$7:$G$10000)*(M1209&lt;$M$7:$M$10000))+1</f>
        <v>79</v>
      </c>
      <c r="P1209" s="72"/>
      <c r="Q1209">
        <v>15</v>
      </c>
      <c r="R1209" t="str">
        <v>UTAH</v>
      </c>
      <c r="S1209" t="str">
        <v>Liam Coltman</v>
      </c>
      <c r="T1209" t="str">
        <v>NULL</v>
      </c>
      <c r="U1209" t="str">
        <v>Away</v>
      </c>
      <c r="V1209" t="str">
        <v>NOLA</v>
      </c>
      <c r="W1209">
        <v>0</v>
      </c>
    </row>
    <row r="1210" spans="7:23" x14ac:dyDescent="0.35">
      <c r="G1210">
        <v>13</v>
      </c>
      <c r="H1210" t="s">
        <v>17</v>
      </c>
      <c r="I1210" t="s">
        <v>206</v>
      </c>
      <c r="J1210" t="s">
        <v>256</v>
      </c>
      <c r="K1210" t="s">
        <v>9</v>
      </c>
      <c r="L1210" t="s">
        <v>13</v>
      </c>
      <c r="M1210">
        <f t="shared" si="56"/>
        <v>3.0157192825757462</v>
      </c>
      <c r="N1210" t="str">
        <f t="shared" si="57"/>
        <v/>
      </c>
      <c r="O1210" s="67" cm="1">
        <f t="array" ref="O1210">SUMPRODUCT((G1210=$G$7:$G$10000)*(M1210&lt;$M$7:$M$10000))+1</f>
        <v>80</v>
      </c>
      <c r="P1210" s="72"/>
      <c r="Q1210">
        <v>15</v>
      </c>
      <c r="R1210" t="str">
        <v>UTAH</v>
      </c>
      <c r="S1210" t="str">
        <v>Matt Jenson</v>
      </c>
      <c r="T1210" t="str">
        <v>NULL</v>
      </c>
      <c r="U1210" t="str">
        <v>Away</v>
      </c>
      <c r="V1210" t="str">
        <v>NOLA</v>
      </c>
      <c r="W1210">
        <v>0</v>
      </c>
    </row>
    <row r="1211" spans="7:23" x14ac:dyDescent="0.35">
      <c r="G1211" s="66">
        <v>13</v>
      </c>
      <c r="H1211" t="s">
        <v>14</v>
      </c>
      <c r="I1211" t="s">
        <v>425</v>
      </c>
      <c r="J1211" t="s">
        <v>256</v>
      </c>
      <c r="K1211" t="s">
        <v>9</v>
      </c>
      <c r="L1211" t="s">
        <v>6</v>
      </c>
      <c r="M1211">
        <f t="shared" si="56"/>
        <v>2.9343696157199703</v>
      </c>
      <c r="N1211" t="str">
        <f t="shared" si="57"/>
        <v/>
      </c>
      <c r="O1211" s="67" cm="1">
        <f t="array" ref="O1211">SUMPRODUCT((G1211=$G$7:$G$10000)*(M1211&lt;$M$7:$M$10000))+1</f>
        <v>81</v>
      </c>
      <c r="P1211" s="72"/>
      <c r="Q1211">
        <v>15</v>
      </c>
      <c r="R1211" t="str">
        <v>UTAH</v>
      </c>
      <c r="S1211" t="str">
        <v>Tonga Kofe</v>
      </c>
      <c r="T1211" t="str">
        <v>NULL</v>
      </c>
      <c r="U1211" t="str">
        <v>Away</v>
      </c>
      <c r="V1211" t="str">
        <v>NOLA</v>
      </c>
      <c r="W1211">
        <v>0</v>
      </c>
    </row>
    <row r="1212" spans="7:23" x14ac:dyDescent="0.35">
      <c r="G1212" s="66">
        <v>13</v>
      </c>
      <c r="H1212" t="s">
        <v>14</v>
      </c>
      <c r="I1212" t="s">
        <v>181</v>
      </c>
      <c r="J1212" t="s">
        <v>256</v>
      </c>
      <c r="K1212" t="s">
        <v>9</v>
      </c>
      <c r="L1212" t="s">
        <v>6</v>
      </c>
      <c r="M1212">
        <f t="shared" si="56"/>
        <v>2.9176263252557577</v>
      </c>
      <c r="N1212" t="str">
        <f t="shared" si="57"/>
        <v/>
      </c>
      <c r="O1212" s="67" cm="1">
        <f t="array" ref="O1212">SUMPRODUCT((G1212=$G$7:$G$10000)*(M1212&lt;$M$7:$M$10000))+1</f>
        <v>82</v>
      </c>
      <c r="P1212" s="72"/>
      <c r="Q1212">
        <v>16</v>
      </c>
      <c r="R1212" t="str">
        <v>ARC</v>
      </c>
      <c r="S1212" t="str">
        <v>Albert O'Shannessey</v>
      </c>
      <c r="T1212" t="str">
        <v>NULL</v>
      </c>
      <c r="U1212" t="str">
        <v>Away</v>
      </c>
      <c r="V1212" t="str">
        <v>UTAH</v>
      </c>
      <c r="W1212">
        <v>0</v>
      </c>
    </row>
    <row r="1213" spans="7:23" x14ac:dyDescent="0.35">
      <c r="G1213" s="66">
        <v>13</v>
      </c>
      <c r="H1213" t="s">
        <v>14</v>
      </c>
      <c r="I1213" t="s">
        <v>197</v>
      </c>
      <c r="J1213" t="s">
        <v>256</v>
      </c>
      <c r="K1213" t="s">
        <v>9</v>
      </c>
      <c r="L1213" t="s">
        <v>6</v>
      </c>
      <c r="M1213">
        <f t="shared" si="56"/>
        <v>2.7897553391305179</v>
      </c>
      <c r="N1213" t="str">
        <f t="shared" si="57"/>
        <v/>
      </c>
      <c r="O1213" s="67" cm="1">
        <f t="array" ref="O1213">SUMPRODUCT((G1213=$G$7:$G$10000)*(M1213&lt;$M$7:$M$10000))+1</f>
        <v>83</v>
      </c>
      <c r="P1213" s="72"/>
      <c r="Q1213">
        <v>16</v>
      </c>
      <c r="R1213" t="str">
        <v>ARC</v>
      </c>
      <c r="S1213" t="str">
        <v>Alex Maughan</v>
      </c>
      <c r="T1213" t="str">
        <v>NULL</v>
      </c>
      <c r="U1213" t="str">
        <v>Away</v>
      </c>
      <c r="V1213" t="str">
        <v>UTAH</v>
      </c>
      <c r="W1213">
        <v>0</v>
      </c>
    </row>
    <row r="1214" spans="7:23" x14ac:dyDescent="0.35">
      <c r="G1214">
        <v>13</v>
      </c>
      <c r="H1214" t="s">
        <v>36</v>
      </c>
      <c r="I1214" t="s">
        <v>414</v>
      </c>
      <c r="J1214" t="s">
        <v>256</v>
      </c>
      <c r="K1214" t="s">
        <v>9</v>
      </c>
      <c r="L1214" t="s">
        <v>34</v>
      </c>
      <c r="M1214">
        <f t="shared" si="56"/>
        <v>2.7332455739262098</v>
      </c>
      <c r="N1214" t="str">
        <f t="shared" si="57"/>
        <v/>
      </c>
      <c r="O1214" s="67" cm="1">
        <f t="array" ref="O1214">SUMPRODUCT((G1214=$G$7:$G$10000)*(M1214&lt;$M$7:$M$10000))+1</f>
        <v>84</v>
      </c>
      <c r="P1214" s="72"/>
      <c r="Q1214">
        <v>16</v>
      </c>
      <c r="R1214" t="str">
        <v>ARC</v>
      </c>
      <c r="S1214" t="str">
        <v>Connor Robinson</v>
      </c>
      <c r="T1214" t="str">
        <v>NULL</v>
      </c>
      <c r="U1214" t="str">
        <v>Away</v>
      </c>
      <c r="V1214" t="str">
        <v>UTAH</v>
      </c>
      <c r="W1214">
        <v>0</v>
      </c>
    </row>
    <row r="1215" spans="7:23" x14ac:dyDescent="0.35">
      <c r="G1215">
        <v>13</v>
      </c>
      <c r="H1215" t="s">
        <v>24</v>
      </c>
      <c r="I1215" t="s">
        <v>482</v>
      </c>
      <c r="J1215" t="s">
        <v>256</v>
      </c>
      <c r="K1215" t="s">
        <v>9</v>
      </c>
      <c r="L1215" t="s">
        <v>4</v>
      </c>
      <c r="M1215">
        <f t="shared" si="56"/>
        <v>2.5870957536807246</v>
      </c>
      <c r="N1215" t="str">
        <f t="shared" si="57"/>
        <v/>
      </c>
      <c r="O1215" s="67" cm="1">
        <f t="array" ref="O1215">SUMPRODUCT((G1215=$G$7:$G$10000)*(M1215&lt;$M$7:$M$10000))+1</f>
        <v>85</v>
      </c>
      <c r="P1215" s="72"/>
      <c r="Q1215">
        <v>16</v>
      </c>
      <c r="R1215" t="str">
        <v>ARC</v>
      </c>
      <c r="S1215" t="str">
        <v>Dylan Fortune</v>
      </c>
      <c r="T1215" t="str">
        <v>NULL</v>
      </c>
      <c r="U1215" t="str">
        <v>Away</v>
      </c>
      <c r="V1215" t="str">
        <v>UTAH</v>
      </c>
      <c r="W1215">
        <v>0</v>
      </c>
    </row>
    <row r="1216" spans="7:23" x14ac:dyDescent="0.35">
      <c r="G1216">
        <v>13</v>
      </c>
      <c r="H1216" t="s">
        <v>6</v>
      </c>
      <c r="I1216" t="s">
        <v>417</v>
      </c>
      <c r="J1216" t="s">
        <v>256</v>
      </c>
      <c r="K1216" t="s">
        <v>3</v>
      </c>
      <c r="L1216" t="s">
        <v>14</v>
      </c>
      <c r="M1216">
        <f t="shared" si="56"/>
        <v>2.2863435192590011</v>
      </c>
      <c r="N1216" t="str">
        <f t="shared" si="57"/>
        <v/>
      </c>
      <c r="O1216" s="67" cm="1">
        <f t="array" ref="O1216">SUMPRODUCT((G1216=$G$7:$G$10000)*(M1216&lt;$M$7:$M$10000))+1</f>
        <v>86</v>
      </c>
      <c r="P1216" s="72"/>
      <c r="Q1216">
        <v>16</v>
      </c>
      <c r="R1216" t="str">
        <v>ARC</v>
      </c>
      <c r="S1216" t="str">
        <v>Ethan Howard</v>
      </c>
      <c r="T1216" t="str">
        <v>NULL</v>
      </c>
      <c r="U1216" t="str">
        <v>Away</v>
      </c>
      <c r="V1216" t="str">
        <v>UTAH</v>
      </c>
      <c r="W1216">
        <v>0</v>
      </c>
    </row>
    <row r="1217" spans="7:23" x14ac:dyDescent="0.35">
      <c r="G1217">
        <v>13</v>
      </c>
      <c r="H1217" t="s">
        <v>34</v>
      </c>
      <c r="I1217" t="s">
        <v>161</v>
      </c>
      <c r="J1217" t="s">
        <v>256</v>
      </c>
      <c r="K1217" t="s">
        <v>3</v>
      </c>
      <c r="L1217" t="s">
        <v>36</v>
      </c>
      <c r="M1217">
        <f t="shared" si="56"/>
        <v>2.0768395739042687</v>
      </c>
      <c r="N1217" t="str">
        <f t="shared" si="57"/>
        <v/>
      </c>
      <c r="O1217" s="67" cm="1">
        <f t="array" ref="O1217">SUMPRODUCT((G1217=$G$7:$G$10000)*(M1217&lt;$M$7:$M$10000))+1</f>
        <v>87</v>
      </c>
      <c r="P1217" s="72"/>
      <c r="Q1217">
        <v>16</v>
      </c>
      <c r="R1217" t="str">
        <v>ARC</v>
      </c>
      <c r="S1217" t="str">
        <v>Jake Turnbull</v>
      </c>
      <c r="T1217" t="str">
        <v>NULL</v>
      </c>
      <c r="U1217" t="str">
        <v>Away</v>
      </c>
      <c r="V1217" t="str">
        <v>UTAH</v>
      </c>
      <c r="W1217">
        <v>0</v>
      </c>
    </row>
    <row r="1218" spans="7:23" x14ac:dyDescent="0.35">
      <c r="G1218">
        <v>13</v>
      </c>
      <c r="H1218" t="s">
        <v>17</v>
      </c>
      <c r="I1218" t="s">
        <v>149</v>
      </c>
      <c r="J1218" t="s">
        <v>256</v>
      </c>
      <c r="K1218" t="s">
        <v>9</v>
      </c>
      <c r="L1218" t="s">
        <v>13</v>
      </c>
      <c r="M1218">
        <f t="shared" si="56"/>
        <v>1.9167114788774571</v>
      </c>
      <c r="N1218" t="str">
        <f t="shared" si="57"/>
        <v/>
      </c>
      <c r="O1218" s="67" cm="1">
        <f t="array" ref="O1218">SUMPRODUCT((G1218=$G$7:$G$10000)*(M1218&lt;$M$7:$M$10000))+1</f>
        <v>88</v>
      </c>
      <c r="P1218" s="72"/>
      <c r="Q1218">
        <v>16</v>
      </c>
      <c r="R1218" t="str">
        <v>ARC</v>
      </c>
      <c r="S1218" t="str">
        <v>Joe Apikotoa</v>
      </c>
      <c r="T1218" t="str">
        <v>NULL</v>
      </c>
      <c r="U1218" t="str">
        <v>Away</v>
      </c>
      <c r="V1218" t="str">
        <v>UTAH</v>
      </c>
      <c r="W1218">
        <v>0</v>
      </c>
    </row>
    <row r="1219" spans="7:23" x14ac:dyDescent="0.35">
      <c r="G1219">
        <v>13</v>
      </c>
      <c r="H1219" t="s">
        <v>24</v>
      </c>
      <c r="I1219" t="s">
        <v>179</v>
      </c>
      <c r="J1219" t="s">
        <v>256</v>
      </c>
      <c r="K1219" t="s">
        <v>9</v>
      </c>
      <c r="L1219" t="s">
        <v>4</v>
      </c>
      <c r="M1219">
        <f t="shared" si="56"/>
        <v>1.8543546555097512</v>
      </c>
      <c r="N1219" t="str">
        <f t="shared" si="57"/>
        <v/>
      </c>
      <c r="O1219" s="67" cm="1">
        <f t="array" ref="O1219">SUMPRODUCT((G1219=$G$7:$G$10000)*(M1219&lt;$M$7:$M$10000))+1</f>
        <v>89</v>
      </c>
      <c r="P1219" s="72"/>
      <c r="Q1219">
        <v>16</v>
      </c>
      <c r="R1219" t="str">
        <v>ARC</v>
      </c>
      <c r="S1219" t="str">
        <v>Makeen Alikhan</v>
      </c>
      <c r="T1219" t="str">
        <v>NULL</v>
      </c>
      <c r="U1219" t="str">
        <v>Away</v>
      </c>
      <c r="V1219" t="str">
        <v>UTAH</v>
      </c>
      <c r="W1219">
        <v>0</v>
      </c>
    </row>
    <row r="1220" spans="7:23" x14ac:dyDescent="0.35">
      <c r="G1220">
        <v>13</v>
      </c>
      <c r="H1220" t="s">
        <v>34</v>
      </c>
      <c r="I1220" t="s">
        <v>424</v>
      </c>
      <c r="J1220" t="s">
        <v>256</v>
      </c>
      <c r="K1220" t="s">
        <v>3</v>
      </c>
      <c r="L1220" t="s">
        <v>36</v>
      </c>
      <c r="M1220">
        <f t="shared" si="56"/>
        <v>1.697832487683451</v>
      </c>
      <c r="N1220" t="str">
        <f t="shared" si="57"/>
        <v/>
      </c>
      <c r="O1220" s="67" cm="1">
        <f t="array" ref="O1220">SUMPRODUCT((G1220=$G$7:$G$10000)*(M1220&lt;$M$7:$M$10000))+1</f>
        <v>90</v>
      </c>
      <c r="P1220" s="72"/>
      <c r="Q1220">
        <v>16</v>
      </c>
      <c r="R1220" t="str">
        <v>ARC</v>
      </c>
      <c r="S1220" t="str">
        <v>Mikey Grandy</v>
      </c>
      <c r="T1220" t="str">
        <v>NULL</v>
      </c>
      <c r="U1220" t="str">
        <v>Away</v>
      </c>
      <c r="V1220" t="str">
        <v>UTAH</v>
      </c>
      <c r="W1220">
        <v>0</v>
      </c>
    </row>
    <row r="1221" spans="7:23" x14ac:dyDescent="0.35">
      <c r="G1221">
        <v>13</v>
      </c>
      <c r="H1221" t="s">
        <v>6</v>
      </c>
      <c r="I1221" t="s">
        <v>416</v>
      </c>
      <c r="J1221" t="s">
        <v>256</v>
      </c>
      <c r="K1221" t="s">
        <v>3</v>
      </c>
      <c r="L1221" t="s">
        <v>14</v>
      </c>
      <c r="M1221">
        <f t="shared" si="56"/>
        <v>1.5959418221817439</v>
      </c>
      <c r="N1221" t="str">
        <f t="shared" si="57"/>
        <v/>
      </c>
      <c r="O1221" s="67" cm="1">
        <f t="array" ref="O1221">SUMPRODUCT((G1221=$G$7:$G$10000)*(M1221&lt;$M$7:$M$10000))+1</f>
        <v>91</v>
      </c>
      <c r="P1221" s="72"/>
      <c r="Q1221">
        <v>16</v>
      </c>
      <c r="R1221" t="str">
        <v>ARC</v>
      </c>
      <c r="S1221" t="str">
        <v>Sam Golla</v>
      </c>
      <c r="T1221" t="str">
        <v>NULL</v>
      </c>
      <c r="U1221" t="str">
        <v>Away</v>
      </c>
      <c r="V1221" t="str">
        <v>UTAH</v>
      </c>
      <c r="W1221">
        <v>0</v>
      </c>
    </row>
    <row r="1222" spans="7:23" x14ac:dyDescent="0.35">
      <c r="G1222">
        <v>13</v>
      </c>
      <c r="H1222" t="s">
        <v>17</v>
      </c>
      <c r="I1222" t="s">
        <v>105</v>
      </c>
      <c r="J1222" t="s">
        <v>256</v>
      </c>
      <c r="K1222" t="s">
        <v>9</v>
      </c>
      <c r="L1222" t="s">
        <v>13</v>
      </c>
      <c r="M1222">
        <f t="shared" si="56"/>
        <v>1.5476397859288373</v>
      </c>
      <c r="N1222" t="str">
        <f t="shared" si="57"/>
        <v/>
      </c>
      <c r="O1222" s="67" cm="1">
        <f t="array" ref="O1222">SUMPRODUCT((G1222=$G$7:$G$10000)*(M1222&lt;$M$7:$M$10000))+1</f>
        <v>92</v>
      </c>
      <c r="P1222" s="72"/>
      <c r="Q1222">
        <v>16</v>
      </c>
      <c r="R1222" t="str">
        <v>ARC</v>
      </c>
      <c r="S1222" t="str">
        <v>Shawn Clark</v>
      </c>
      <c r="T1222" t="str">
        <v>NULL</v>
      </c>
      <c r="U1222" t="str">
        <v>Away</v>
      </c>
      <c r="V1222" t="str">
        <v>UTAH</v>
      </c>
      <c r="W1222">
        <v>0</v>
      </c>
    </row>
    <row r="1223" spans="7:23" x14ac:dyDescent="0.35">
      <c r="G1223" s="66">
        <v>13</v>
      </c>
      <c r="H1223" t="s">
        <v>2</v>
      </c>
      <c r="I1223" t="s">
        <v>426</v>
      </c>
      <c r="J1223" t="s">
        <v>256</v>
      </c>
      <c r="K1223" t="s">
        <v>9</v>
      </c>
      <c r="L1223" t="s">
        <v>23</v>
      </c>
      <c r="M1223">
        <f t="shared" si="56"/>
        <v>1.3366104026087822</v>
      </c>
      <c r="N1223" t="str">
        <f t="shared" si="57"/>
        <v/>
      </c>
      <c r="O1223" s="67" cm="1">
        <f t="array" ref="O1223">SUMPRODUCT((G1223=$G$7:$G$10000)*(M1223&lt;$M$7:$M$10000))+1</f>
        <v>93</v>
      </c>
      <c r="P1223" s="72"/>
      <c r="Q1223">
        <v>16</v>
      </c>
      <c r="R1223" t="str">
        <v>ARC</v>
      </c>
      <c r="S1223" t="str">
        <v>Viliami Vuli</v>
      </c>
      <c r="T1223" t="str">
        <v>NULL</v>
      </c>
      <c r="U1223" t="str">
        <v>Away</v>
      </c>
      <c r="V1223" t="str">
        <v>UTAH</v>
      </c>
      <c r="W1223">
        <v>0</v>
      </c>
    </row>
    <row r="1224" spans="7:23" x14ac:dyDescent="0.35">
      <c r="G1224">
        <v>13</v>
      </c>
      <c r="H1224" t="s">
        <v>17</v>
      </c>
      <c r="I1224" t="s">
        <v>483</v>
      </c>
      <c r="J1224" t="s">
        <v>256</v>
      </c>
      <c r="K1224" t="s">
        <v>9</v>
      </c>
      <c r="L1224" t="s">
        <v>13</v>
      </c>
      <c r="M1224">
        <f t="shared" si="56"/>
        <v>1.2768781738955579</v>
      </c>
      <c r="N1224" t="str">
        <f t="shared" si="57"/>
        <v/>
      </c>
      <c r="O1224" s="67" cm="1">
        <f t="array" ref="O1224">SUMPRODUCT((G1224=$G$7:$G$10000)*(M1224&lt;$M$7:$M$10000))+1</f>
        <v>94</v>
      </c>
      <c r="P1224" s="72"/>
      <c r="Q1224">
        <v>16</v>
      </c>
      <c r="R1224" t="str">
        <v>CHI</v>
      </c>
      <c r="S1224" t="str">
        <v>Charlie Abel</v>
      </c>
      <c r="T1224" t="str">
        <v>NULL</v>
      </c>
      <c r="U1224" t="str">
        <v>Home</v>
      </c>
      <c r="V1224" t="str">
        <v>NOLA</v>
      </c>
      <c r="W1224">
        <v>0</v>
      </c>
    </row>
    <row r="1225" spans="7:23" x14ac:dyDescent="0.35">
      <c r="G1225" s="66">
        <v>13</v>
      </c>
      <c r="H1225" t="s">
        <v>2</v>
      </c>
      <c r="I1225" t="s">
        <v>159</v>
      </c>
      <c r="J1225" t="s">
        <v>256</v>
      </c>
      <c r="K1225" t="s">
        <v>9</v>
      </c>
      <c r="L1225" t="s">
        <v>23</v>
      </c>
      <c r="M1225">
        <f t="shared" si="56"/>
        <v>1.1984819278328107</v>
      </c>
      <c r="N1225" t="str">
        <f t="shared" si="57"/>
        <v/>
      </c>
      <c r="O1225" s="67" cm="1">
        <f t="array" ref="O1225">SUMPRODUCT((G1225=$G$7:$G$10000)*(M1225&lt;$M$7:$M$10000))+1</f>
        <v>95</v>
      </c>
      <c r="P1225" s="72"/>
      <c r="Q1225">
        <v>16</v>
      </c>
      <c r="R1225" t="str">
        <v>CHI</v>
      </c>
      <c r="S1225" t="str">
        <v>Dylan Fawsitt</v>
      </c>
      <c r="T1225" t="str">
        <v>NULL</v>
      </c>
      <c r="U1225" t="str">
        <v>Home</v>
      </c>
      <c r="V1225" t="str">
        <v>NOLA</v>
      </c>
      <c r="W1225">
        <v>0</v>
      </c>
    </row>
    <row r="1226" spans="7:23" x14ac:dyDescent="0.35">
      <c r="G1226">
        <v>13</v>
      </c>
      <c r="H1226" t="s">
        <v>13</v>
      </c>
      <c r="I1226" t="s">
        <v>467</v>
      </c>
      <c r="J1226" t="s">
        <v>256</v>
      </c>
      <c r="K1226" t="s">
        <v>3</v>
      </c>
      <c r="L1226" t="s">
        <v>17</v>
      </c>
      <c r="M1226">
        <f t="shared" si="56"/>
        <v>1.167951778424932</v>
      </c>
      <c r="N1226" t="str">
        <f t="shared" si="57"/>
        <v/>
      </c>
      <c r="O1226" s="67" cm="1">
        <f t="array" ref="O1226">SUMPRODUCT((G1226=$G$7:$G$10000)*(M1226&lt;$M$7:$M$10000))+1</f>
        <v>96</v>
      </c>
      <c r="P1226" s="72"/>
      <c r="Q1226">
        <v>16</v>
      </c>
      <c r="R1226" t="str">
        <v>CHI</v>
      </c>
      <c r="S1226" t="str">
        <v>Faka'osi Pifeleti</v>
      </c>
      <c r="T1226" t="str">
        <v>NULL</v>
      </c>
      <c r="U1226" t="str">
        <v>Home</v>
      </c>
      <c r="V1226" t="str">
        <v>NOLA</v>
      </c>
      <c r="W1226">
        <v>0</v>
      </c>
    </row>
    <row r="1227" spans="7:23" x14ac:dyDescent="0.35">
      <c r="G1227">
        <v>13</v>
      </c>
      <c r="H1227" t="s">
        <v>6</v>
      </c>
      <c r="I1227" t="s">
        <v>116</v>
      </c>
      <c r="J1227" t="s">
        <v>256</v>
      </c>
      <c r="K1227" t="s">
        <v>3</v>
      </c>
      <c r="L1227" t="s">
        <v>14</v>
      </c>
      <c r="M1227">
        <f t="shared" si="56"/>
        <v>0.82388498659707832</v>
      </c>
      <c r="N1227" t="str">
        <f t="shared" si="57"/>
        <v/>
      </c>
      <c r="O1227" s="67" cm="1">
        <f t="array" ref="O1227">SUMPRODUCT((G1227=$G$7:$G$10000)*(M1227&lt;$M$7:$M$10000))+1</f>
        <v>97</v>
      </c>
      <c r="P1227" s="72"/>
      <c r="Q1227">
        <v>16</v>
      </c>
      <c r="R1227" t="str">
        <v>CHI</v>
      </c>
      <c r="S1227" t="str">
        <v>Hamish Bain</v>
      </c>
      <c r="T1227" t="str">
        <v>NULL</v>
      </c>
      <c r="U1227" t="str">
        <v>Home</v>
      </c>
      <c r="V1227" t="str">
        <v>NOLA</v>
      </c>
      <c r="W1227">
        <v>0</v>
      </c>
    </row>
    <row r="1228" spans="7:23" x14ac:dyDescent="0.35">
      <c r="G1228">
        <v>13</v>
      </c>
      <c r="H1228" t="s">
        <v>17</v>
      </c>
      <c r="I1228" t="s">
        <v>284</v>
      </c>
      <c r="J1228" t="s">
        <v>256</v>
      </c>
      <c r="K1228" t="s">
        <v>9</v>
      </c>
      <c r="L1228" t="s">
        <v>13</v>
      </c>
      <c r="M1228">
        <f t="shared" si="56"/>
        <v>0.31414322623665036</v>
      </c>
      <c r="N1228" t="str">
        <f t="shared" si="57"/>
        <v/>
      </c>
      <c r="O1228" s="67" cm="1">
        <f t="array" ref="O1228">SUMPRODUCT((G1228=$G$7:$G$10000)*(M1228&lt;$M$7:$M$10000))+1</f>
        <v>98</v>
      </c>
      <c r="P1228" s="72"/>
      <c r="Q1228">
        <v>16</v>
      </c>
      <c r="R1228" t="str">
        <v>CHI</v>
      </c>
      <c r="S1228" t="str">
        <v>James Scott</v>
      </c>
      <c r="T1228" t="str">
        <v>NULL</v>
      </c>
      <c r="U1228" t="str">
        <v>Home</v>
      </c>
      <c r="V1228" t="str">
        <v>NOLA</v>
      </c>
      <c r="W1228">
        <v>0</v>
      </c>
    </row>
    <row r="1229" spans="7:23" x14ac:dyDescent="0.35">
      <c r="G1229">
        <v>13</v>
      </c>
      <c r="H1229" t="s">
        <v>6</v>
      </c>
      <c r="I1229" t="s">
        <v>418</v>
      </c>
      <c r="J1229" t="s">
        <v>256</v>
      </c>
      <c r="K1229" t="s">
        <v>3</v>
      </c>
      <c r="L1229" t="s">
        <v>14</v>
      </c>
      <c r="M1229">
        <f t="shared" si="56"/>
        <v>0.14851891985111187</v>
      </c>
      <c r="N1229" t="str">
        <f t="shared" si="57"/>
        <v/>
      </c>
      <c r="O1229" s="67" cm="1">
        <f t="array" ref="O1229">SUMPRODUCT((G1229=$G$7:$G$10000)*(M1229&lt;$M$7:$M$10000))+1</f>
        <v>99</v>
      </c>
      <c r="P1229" s="72"/>
      <c r="Q1229">
        <v>16</v>
      </c>
      <c r="R1229" t="str">
        <v>CHI</v>
      </c>
      <c r="S1229" t="str">
        <v>Lucas Rumball</v>
      </c>
      <c r="T1229" t="str">
        <v>NULL</v>
      </c>
      <c r="U1229" t="str">
        <v>Home</v>
      </c>
      <c r="V1229" t="str">
        <v>NOLA</v>
      </c>
      <c r="W1229">
        <v>0</v>
      </c>
    </row>
    <row r="1230" spans="7:23" x14ac:dyDescent="0.35">
      <c r="G1230">
        <v>13</v>
      </c>
      <c r="H1230" t="s">
        <v>17</v>
      </c>
      <c r="I1230" t="s">
        <v>167</v>
      </c>
      <c r="J1230" t="s">
        <v>256</v>
      </c>
      <c r="K1230" t="s">
        <v>9</v>
      </c>
      <c r="L1230" t="s">
        <v>13</v>
      </c>
      <c r="M1230">
        <f t="shared" si="56"/>
        <v>-0.64194581343869483</v>
      </c>
      <c r="N1230" t="str">
        <f t="shared" si="57"/>
        <v/>
      </c>
      <c r="O1230" s="67" cm="1">
        <f t="array" ref="O1230">SUMPRODUCT((G1230=$G$7:$G$10000)*(M1230&lt;$M$7:$M$10000))+1</f>
        <v>100</v>
      </c>
      <c r="P1230" s="72"/>
      <c r="Q1230">
        <v>16</v>
      </c>
      <c r="R1230" t="str">
        <v>CHI</v>
      </c>
      <c r="S1230" t="str">
        <v>Maclean Jones</v>
      </c>
      <c r="T1230" t="str">
        <v>NULL</v>
      </c>
      <c r="U1230" t="str">
        <v>Home</v>
      </c>
      <c r="V1230" t="str">
        <v>NOLA</v>
      </c>
      <c r="W1230">
        <v>0</v>
      </c>
    </row>
    <row r="1231" spans="7:23" x14ac:dyDescent="0.35">
      <c r="G1231" s="66">
        <v>13</v>
      </c>
      <c r="H1231" t="s">
        <v>2</v>
      </c>
      <c r="I1231" t="s">
        <v>185</v>
      </c>
      <c r="J1231" t="s">
        <v>256</v>
      </c>
      <c r="K1231" t="s">
        <v>9</v>
      </c>
      <c r="L1231" t="s">
        <v>23</v>
      </c>
      <c r="M1231">
        <f t="shared" si="56"/>
        <v>-0.90544803397368678</v>
      </c>
      <c r="N1231" t="str">
        <f t="shared" si="57"/>
        <v/>
      </c>
      <c r="O1231" s="67" cm="1">
        <f t="array" ref="O1231">SUMPRODUCT((G1231=$G$7:$G$10000)*(M1231&lt;$M$7:$M$10000))+1</f>
        <v>101</v>
      </c>
      <c r="P1231" s="72"/>
      <c r="Q1231">
        <v>16</v>
      </c>
      <c r="R1231" t="str">
        <v>CHI</v>
      </c>
      <c r="S1231" t="str">
        <v>Mason Flesch</v>
      </c>
      <c r="T1231" t="str">
        <v>NULL</v>
      </c>
      <c r="U1231" t="str">
        <v>Home</v>
      </c>
      <c r="V1231" t="str">
        <v>NOLA</v>
      </c>
      <c r="W1231">
        <v>0</v>
      </c>
    </row>
    <row r="1232" spans="7:23" x14ac:dyDescent="0.35">
      <c r="G1232">
        <v>13</v>
      </c>
      <c r="H1232" t="s">
        <v>17</v>
      </c>
      <c r="I1232" t="s">
        <v>423</v>
      </c>
      <c r="J1232" t="s">
        <v>256</v>
      </c>
      <c r="K1232" t="s">
        <v>9</v>
      </c>
      <c r="L1232" t="s">
        <v>13</v>
      </c>
      <c r="M1232">
        <f t="shared" si="56"/>
        <v>-1.286999703283179</v>
      </c>
      <c r="N1232" t="str">
        <f t="shared" si="57"/>
        <v/>
      </c>
      <c r="O1232" s="67" cm="1">
        <f t="array" ref="O1232">SUMPRODUCT((G1232=$G$7:$G$10000)*(M1232&lt;$M$7:$M$10000))+1</f>
        <v>102</v>
      </c>
      <c r="P1232" s="72"/>
      <c r="Q1232">
        <v>16</v>
      </c>
      <c r="R1232" t="str">
        <v>CHI</v>
      </c>
      <c r="S1232" t="str">
        <v>Paddy Ryan</v>
      </c>
      <c r="T1232" t="str">
        <v>NULL</v>
      </c>
      <c r="U1232" t="str">
        <v>Home</v>
      </c>
      <c r="V1232" t="str">
        <v>NOLA</v>
      </c>
      <c r="W1232">
        <v>0</v>
      </c>
    </row>
    <row r="1233" spans="7:23" x14ac:dyDescent="0.35">
      <c r="G1233">
        <v>13</v>
      </c>
      <c r="H1233" t="s">
        <v>36</v>
      </c>
      <c r="I1233" t="s">
        <v>106</v>
      </c>
      <c r="J1233" t="s">
        <v>256</v>
      </c>
      <c r="K1233" t="s">
        <v>9</v>
      </c>
      <c r="L1233" t="s">
        <v>34</v>
      </c>
      <c r="M1233">
        <f t="shared" si="56"/>
        <v>-1.8078699693881557</v>
      </c>
      <c r="N1233" t="str">
        <f t="shared" si="57"/>
        <v/>
      </c>
      <c r="O1233" s="67" cm="1">
        <f t="array" ref="O1233">SUMPRODUCT((G1233=$G$7:$G$10000)*(M1233&lt;$M$7:$M$10000))+1</f>
        <v>103</v>
      </c>
      <c r="P1233" s="72"/>
      <c r="Q1233">
        <v>16</v>
      </c>
      <c r="R1233" t="str">
        <v>LA</v>
      </c>
      <c r="S1233" t="str">
        <v>Alessandro Heaney</v>
      </c>
      <c r="T1233" t="str">
        <v>NULL</v>
      </c>
      <c r="U1233" t="str">
        <v>Away</v>
      </c>
      <c r="V1233" t="str">
        <v>OGDC</v>
      </c>
      <c r="W1233">
        <v>0</v>
      </c>
    </row>
    <row r="1234" spans="7:23" x14ac:dyDescent="0.35">
      <c r="G1234">
        <v>13</v>
      </c>
      <c r="H1234" t="s">
        <v>17</v>
      </c>
      <c r="I1234" t="s">
        <v>155</v>
      </c>
      <c r="J1234" t="s">
        <v>256</v>
      </c>
      <c r="K1234" t="s">
        <v>9</v>
      </c>
      <c r="L1234" t="s">
        <v>13</v>
      </c>
      <c r="M1234">
        <f t="shared" si="56"/>
        <v>-2.4634421011402541</v>
      </c>
      <c r="N1234" t="str">
        <f t="shared" si="57"/>
        <v/>
      </c>
      <c r="O1234" s="67" cm="1">
        <f t="array" ref="O1234">SUMPRODUCT((G1234=$G$7:$G$10000)*(M1234&lt;$M$7:$M$10000))+1</f>
        <v>104</v>
      </c>
      <c r="P1234" s="72"/>
      <c r="Q1234">
        <v>16</v>
      </c>
      <c r="R1234" t="str">
        <v>LA</v>
      </c>
      <c r="S1234" t="str">
        <v>Ben Houston</v>
      </c>
      <c r="T1234" t="str">
        <v>NULL</v>
      </c>
      <c r="U1234" t="str">
        <v>Away</v>
      </c>
      <c r="V1234" t="str">
        <v>OGDC</v>
      </c>
      <c r="W1234">
        <v>0</v>
      </c>
    </row>
    <row r="1235" spans="7:23" x14ac:dyDescent="0.35">
      <c r="G1235">
        <v>13</v>
      </c>
      <c r="H1235" t="s">
        <v>24</v>
      </c>
      <c r="I1235" t="s">
        <v>142</v>
      </c>
      <c r="J1235" t="s">
        <v>256</v>
      </c>
      <c r="K1235" t="s">
        <v>9</v>
      </c>
      <c r="L1235" t="s">
        <v>4</v>
      </c>
      <c r="M1235">
        <f t="shared" si="56"/>
        <v>-7.6087319956674548</v>
      </c>
      <c r="N1235" t="str">
        <f t="shared" si="57"/>
        <v/>
      </c>
      <c r="O1235" s="67" cm="1">
        <f t="array" ref="O1235">SUMPRODUCT((G1235=$G$7:$G$10000)*(M1235&lt;$M$7:$M$10000))+1</f>
        <v>105</v>
      </c>
      <c r="P1235" s="72"/>
      <c r="Q1235">
        <v>16</v>
      </c>
      <c r="R1235" t="str">
        <v>LA</v>
      </c>
      <c r="S1235" t="str">
        <v>Ben Sugars</v>
      </c>
      <c r="T1235" t="str">
        <v>NULL</v>
      </c>
      <c r="U1235" t="str">
        <v>Away</v>
      </c>
      <c r="V1235" t="str">
        <v>OGDC</v>
      </c>
      <c r="W1235">
        <v>0</v>
      </c>
    </row>
    <row r="1236" spans="7:23" x14ac:dyDescent="0.35">
      <c r="G1236">
        <v>14</v>
      </c>
      <c r="H1236" t="s">
        <v>17</v>
      </c>
      <c r="I1236" t="s">
        <v>485</v>
      </c>
      <c r="J1236" t="s">
        <v>256</v>
      </c>
      <c r="K1236" t="s">
        <v>3</v>
      </c>
      <c r="L1236" t="s">
        <v>34</v>
      </c>
      <c r="M1236">
        <f t="shared" si="56"/>
        <v>20.792432880244128</v>
      </c>
      <c r="N1236" t="str">
        <f t="shared" si="57"/>
        <v/>
      </c>
      <c r="O1236" s="67" cm="1">
        <f t="array" ref="O1236">SUMPRODUCT((G1236=$G$7:$G$10000)*(M1236&lt;$M$7:$M$10000))+1</f>
        <v>1</v>
      </c>
      <c r="P1236" s="72"/>
      <c r="Q1236">
        <v>16</v>
      </c>
      <c r="R1236" t="str">
        <v>LA</v>
      </c>
      <c r="S1236" t="str">
        <v>Cronan Gleeson</v>
      </c>
      <c r="T1236" t="str">
        <v>NULL</v>
      </c>
      <c r="U1236" t="str">
        <v>Away</v>
      </c>
      <c r="V1236" t="str">
        <v>OGDC</v>
      </c>
      <c r="W1236">
        <v>0</v>
      </c>
    </row>
    <row r="1237" spans="7:23" x14ac:dyDescent="0.35">
      <c r="G1237">
        <v>14</v>
      </c>
      <c r="H1237" t="s">
        <v>34</v>
      </c>
      <c r="I1237" t="s">
        <v>228</v>
      </c>
      <c r="J1237" t="s">
        <v>256</v>
      </c>
      <c r="K1237" t="s">
        <v>9</v>
      </c>
      <c r="L1237" t="s">
        <v>17</v>
      </c>
      <c r="M1237">
        <f t="shared" si="56"/>
        <v>15.13319674062684</v>
      </c>
      <c r="N1237" t="str">
        <f t="shared" si="57"/>
        <v/>
      </c>
      <c r="O1237" s="67" cm="1">
        <f t="array" ref="O1237">SUMPRODUCT((G1237=$G$7:$G$10000)*(M1237&lt;$M$7:$M$10000))+1</f>
        <v>2</v>
      </c>
      <c r="P1237" s="72"/>
      <c r="Q1237">
        <v>16</v>
      </c>
      <c r="R1237" t="str">
        <v>LA</v>
      </c>
      <c r="S1237" t="str">
        <v>Ed Timpson</v>
      </c>
      <c r="T1237" t="str">
        <v>NULL</v>
      </c>
      <c r="U1237" t="str">
        <v>Away</v>
      </c>
      <c r="V1237" t="str">
        <v>OGDC</v>
      </c>
      <c r="W1237">
        <v>0</v>
      </c>
    </row>
    <row r="1238" spans="7:23" x14ac:dyDescent="0.35">
      <c r="G1238">
        <v>14</v>
      </c>
      <c r="H1238" t="s">
        <v>34</v>
      </c>
      <c r="I1238" t="s">
        <v>462</v>
      </c>
      <c r="J1238" t="s">
        <v>256</v>
      </c>
      <c r="K1238" t="s">
        <v>9</v>
      </c>
      <c r="L1238" t="s">
        <v>17</v>
      </c>
      <c r="M1238">
        <f t="shared" si="56"/>
        <v>14.775564368411299</v>
      </c>
      <c r="N1238" t="str">
        <f t="shared" si="57"/>
        <v/>
      </c>
      <c r="O1238" s="67" cm="1">
        <f t="array" ref="O1238">SUMPRODUCT((G1238=$G$7:$G$10000)*(M1238&lt;$M$7:$M$10000))+1</f>
        <v>3</v>
      </c>
      <c r="P1238" s="72"/>
      <c r="Q1238">
        <v>16</v>
      </c>
      <c r="R1238" t="str">
        <v>LA</v>
      </c>
      <c r="S1238" t="str">
        <v>Jason Damm</v>
      </c>
      <c r="T1238" t="str">
        <v>NULL</v>
      </c>
      <c r="U1238" t="str">
        <v>Away</v>
      </c>
      <c r="V1238" t="str">
        <v>OGDC</v>
      </c>
      <c r="W1238">
        <v>0</v>
      </c>
    </row>
    <row r="1239" spans="7:23" x14ac:dyDescent="0.35">
      <c r="G1239">
        <v>14</v>
      </c>
      <c r="H1239" t="s">
        <v>34</v>
      </c>
      <c r="I1239" t="s">
        <v>429</v>
      </c>
      <c r="J1239" t="s">
        <v>256</v>
      </c>
      <c r="K1239" t="s">
        <v>9</v>
      </c>
      <c r="L1239" t="s">
        <v>17</v>
      </c>
      <c r="M1239">
        <f t="shared" si="56"/>
        <v>13.765098454605937</v>
      </c>
      <c r="N1239" t="str">
        <f t="shared" si="57"/>
        <v/>
      </c>
      <c r="O1239" s="67" cm="1">
        <f t="array" ref="O1239">SUMPRODUCT((G1239=$G$7:$G$10000)*(M1239&lt;$M$7:$M$10000))+1</f>
        <v>4</v>
      </c>
      <c r="P1239" s="72"/>
      <c r="Q1239">
        <v>16</v>
      </c>
      <c r="R1239" t="str">
        <v>LA</v>
      </c>
      <c r="S1239" t="str">
        <v>Reegan O'Gorman</v>
      </c>
      <c r="T1239" t="str">
        <v>NULL</v>
      </c>
      <c r="U1239" t="str">
        <v>Away</v>
      </c>
      <c r="V1239" t="str">
        <v>OGDC</v>
      </c>
      <c r="W1239">
        <v>0</v>
      </c>
    </row>
    <row r="1240" spans="7:23" x14ac:dyDescent="0.35">
      <c r="G1240">
        <v>14</v>
      </c>
      <c r="H1240" t="s">
        <v>34</v>
      </c>
      <c r="I1240" t="s">
        <v>200</v>
      </c>
      <c r="J1240" t="s">
        <v>256</v>
      </c>
      <c r="K1240" t="s">
        <v>9</v>
      </c>
      <c r="L1240" t="s">
        <v>17</v>
      </c>
      <c r="M1240">
        <f t="shared" si="56"/>
        <v>12.913860674993334</v>
      </c>
      <c r="N1240" t="str">
        <f t="shared" si="57"/>
        <v/>
      </c>
      <c r="O1240" s="67" cm="1">
        <f t="array" ref="O1240">SUMPRODUCT((G1240=$G$7:$G$10000)*(M1240&lt;$M$7:$M$10000))+1</f>
        <v>5</v>
      </c>
      <c r="P1240" s="72"/>
      <c r="Q1240">
        <v>16</v>
      </c>
      <c r="R1240" t="str">
        <v>LA</v>
      </c>
      <c r="S1240" t="str">
        <v>Tim Anstee</v>
      </c>
      <c r="T1240" t="str">
        <v>NULL</v>
      </c>
      <c r="U1240" t="str">
        <v>Away</v>
      </c>
      <c r="V1240" t="str">
        <v>OGDC</v>
      </c>
      <c r="W1240">
        <v>0</v>
      </c>
    </row>
    <row r="1241" spans="7:23" x14ac:dyDescent="0.35">
      <c r="G1241">
        <v>14</v>
      </c>
      <c r="H1241" t="s">
        <v>23</v>
      </c>
      <c r="I1241" t="s">
        <v>428</v>
      </c>
      <c r="J1241" t="s">
        <v>256</v>
      </c>
      <c r="K1241" t="s">
        <v>9</v>
      </c>
      <c r="L1241" t="s">
        <v>24</v>
      </c>
      <c r="M1241">
        <f t="shared" si="56"/>
        <v>12.528898549633231</v>
      </c>
      <c r="N1241" t="str">
        <f t="shared" si="57"/>
        <v/>
      </c>
      <c r="O1241" s="67" cm="1">
        <f t="array" ref="O1241">SUMPRODUCT((G1241=$G$7:$G$10000)*(M1241&lt;$M$7:$M$10000))+1</f>
        <v>6</v>
      </c>
      <c r="P1241" s="72"/>
      <c r="Q1241">
        <v>16</v>
      </c>
      <c r="R1241" t="str">
        <v>MIA</v>
      </c>
      <c r="S1241" t="str">
        <v>Alec McDonnell</v>
      </c>
      <c r="T1241" t="str">
        <v>NULL</v>
      </c>
      <c r="U1241" t="str">
        <v>Home</v>
      </c>
      <c r="V1241" t="str">
        <v>SDL</v>
      </c>
      <c r="W1241">
        <v>0</v>
      </c>
    </row>
    <row r="1242" spans="7:23" x14ac:dyDescent="0.35">
      <c r="G1242">
        <v>14</v>
      </c>
      <c r="H1242" t="s">
        <v>34</v>
      </c>
      <c r="I1242" t="s">
        <v>351</v>
      </c>
      <c r="J1242" t="s">
        <v>256</v>
      </c>
      <c r="K1242" t="s">
        <v>9</v>
      </c>
      <c r="L1242" t="s">
        <v>17</v>
      </c>
      <c r="M1242">
        <f t="shared" si="56"/>
        <v>12.358083536326754</v>
      </c>
      <c r="N1242" t="str">
        <f t="shared" si="57"/>
        <v/>
      </c>
      <c r="O1242" s="67" cm="1">
        <f t="array" ref="O1242">SUMPRODUCT((G1242=$G$7:$G$10000)*(M1242&lt;$M$7:$M$10000))+1</f>
        <v>7</v>
      </c>
      <c r="P1242" s="72"/>
      <c r="Q1242">
        <v>16</v>
      </c>
      <c r="R1242" t="str">
        <v>MIA</v>
      </c>
      <c r="S1242" t="str">
        <v>Alex Tucci</v>
      </c>
      <c r="T1242" t="str">
        <v>NULL</v>
      </c>
      <c r="U1242" t="str">
        <v>Home</v>
      </c>
      <c r="V1242" t="str">
        <v>SDL</v>
      </c>
      <c r="W1242">
        <v>0</v>
      </c>
    </row>
    <row r="1243" spans="7:23" x14ac:dyDescent="0.35">
      <c r="G1243">
        <v>14</v>
      </c>
      <c r="H1243" t="s">
        <v>17</v>
      </c>
      <c r="I1243" t="s">
        <v>480</v>
      </c>
      <c r="J1243" t="s">
        <v>256</v>
      </c>
      <c r="K1243" t="s">
        <v>3</v>
      </c>
      <c r="L1243" t="s">
        <v>34</v>
      </c>
      <c r="M1243">
        <f t="shared" si="56"/>
        <v>12.25865061020632</v>
      </c>
      <c r="N1243" t="str">
        <f t="shared" si="57"/>
        <v/>
      </c>
      <c r="O1243" s="67" cm="1">
        <f t="array" ref="O1243">SUMPRODUCT((G1243=$G$7:$G$10000)*(M1243&lt;$M$7:$M$10000))+1</f>
        <v>8</v>
      </c>
      <c r="P1243" s="72"/>
      <c r="Q1243">
        <v>16</v>
      </c>
      <c r="R1243" t="str">
        <v>MIA</v>
      </c>
      <c r="S1243" t="str">
        <v>Benjamin Bonasso</v>
      </c>
      <c r="T1243" t="str">
        <v>NULL</v>
      </c>
      <c r="U1243" t="str">
        <v>Home</v>
      </c>
      <c r="V1243" t="str">
        <v>SDL</v>
      </c>
      <c r="W1243">
        <v>0</v>
      </c>
    </row>
    <row r="1244" spans="7:23" x14ac:dyDescent="0.35">
      <c r="G1244">
        <v>14</v>
      </c>
      <c r="H1244" t="s">
        <v>23</v>
      </c>
      <c r="I1244" t="s">
        <v>389</v>
      </c>
      <c r="J1244" t="s">
        <v>256</v>
      </c>
      <c r="K1244" t="s">
        <v>9</v>
      </c>
      <c r="L1244" t="s">
        <v>24</v>
      </c>
      <c r="M1244">
        <f t="shared" si="56"/>
        <v>11.711410421246381</v>
      </c>
      <c r="N1244" t="str">
        <f t="shared" si="57"/>
        <v/>
      </c>
      <c r="O1244" s="67" cm="1">
        <f t="array" ref="O1244">SUMPRODUCT((G1244=$G$7:$G$10000)*(M1244&lt;$M$7:$M$10000))+1</f>
        <v>9</v>
      </c>
      <c r="P1244" s="72"/>
      <c r="Q1244">
        <v>16</v>
      </c>
      <c r="R1244" t="str">
        <v>MIA</v>
      </c>
      <c r="S1244" t="str">
        <v>Federico Gutíerrez</v>
      </c>
      <c r="T1244" t="str">
        <v>NULL</v>
      </c>
      <c r="U1244" t="str">
        <v>Home</v>
      </c>
      <c r="V1244" t="str">
        <v>SDL</v>
      </c>
      <c r="W1244">
        <v>0</v>
      </c>
    </row>
    <row r="1245" spans="7:23" x14ac:dyDescent="0.35">
      <c r="G1245">
        <v>14</v>
      </c>
      <c r="H1245" t="s">
        <v>17</v>
      </c>
      <c r="I1245" t="s">
        <v>427</v>
      </c>
      <c r="J1245" t="s">
        <v>256</v>
      </c>
      <c r="K1245" t="s">
        <v>3</v>
      </c>
      <c r="L1245" t="s">
        <v>34</v>
      </c>
      <c r="M1245">
        <f t="shared" si="56"/>
        <v>10.554133517708367</v>
      </c>
      <c r="N1245" t="str">
        <f t="shared" si="57"/>
        <v/>
      </c>
      <c r="O1245" s="67" cm="1">
        <f t="array" ref="O1245">SUMPRODUCT((G1245=$G$7:$G$10000)*(M1245&lt;$M$7:$M$10000))+1</f>
        <v>10</v>
      </c>
      <c r="P1245" s="72"/>
      <c r="Q1245">
        <v>16</v>
      </c>
      <c r="R1245" t="str">
        <v>MIA</v>
      </c>
      <c r="S1245" t="str">
        <v>Kirby Myhill</v>
      </c>
      <c r="T1245" t="str">
        <v>NULL</v>
      </c>
      <c r="U1245" t="str">
        <v>Home</v>
      </c>
      <c r="V1245" t="str">
        <v>SDL</v>
      </c>
      <c r="W1245">
        <v>0</v>
      </c>
    </row>
    <row r="1246" spans="7:23" x14ac:dyDescent="0.35">
      <c r="G1246">
        <v>14</v>
      </c>
      <c r="H1246" t="s">
        <v>2</v>
      </c>
      <c r="I1246" t="s">
        <v>212</v>
      </c>
      <c r="J1246" t="s">
        <v>256</v>
      </c>
      <c r="K1246" t="s">
        <v>3</v>
      </c>
      <c r="L1246" t="s">
        <v>6</v>
      </c>
      <c r="M1246">
        <f t="shared" si="56"/>
        <v>10.459812373315957</v>
      </c>
      <c r="N1246" t="str">
        <f t="shared" si="57"/>
        <v/>
      </c>
      <c r="O1246" s="67" cm="1">
        <f t="array" ref="O1246">SUMPRODUCT((G1246=$G$7:$G$10000)*(M1246&lt;$M$7:$M$10000))+1</f>
        <v>11</v>
      </c>
      <c r="P1246" s="72"/>
      <c r="Q1246">
        <v>16</v>
      </c>
      <c r="R1246" t="str">
        <v>MIA</v>
      </c>
      <c r="S1246" t="str">
        <v>Ma'ake Muti</v>
      </c>
      <c r="T1246" t="str">
        <v>NULL</v>
      </c>
      <c r="U1246" t="str">
        <v>Home</v>
      </c>
      <c r="V1246" t="str">
        <v>SDL</v>
      </c>
      <c r="W1246">
        <v>0</v>
      </c>
    </row>
    <row r="1247" spans="7:23" x14ac:dyDescent="0.35">
      <c r="G1247">
        <v>14</v>
      </c>
      <c r="H1247" t="s">
        <v>13</v>
      </c>
      <c r="I1247" t="s">
        <v>463</v>
      </c>
      <c r="J1247" t="s">
        <v>256</v>
      </c>
      <c r="K1247" t="s">
        <v>9</v>
      </c>
      <c r="L1247" t="s">
        <v>36</v>
      </c>
      <c r="M1247">
        <f t="shared" si="56"/>
        <v>10.193204063173368</v>
      </c>
      <c r="N1247" t="str">
        <f t="shared" si="57"/>
        <v/>
      </c>
      <c r="O1247" s="67" cm="1">
        <f t="array" ref="O1247">SUMPRODUCT((G1247=$G$7:$G$10000)*(M1247&lt;$M$7:$M$10000))+1</f>
        <v>12</v>
      </c>
      <c r="P1247" s="72"/>
      <c r="Q1247">
        <v>16</v>
      </c>
      <c r="R1247" t="str">
        <v>MIA</v>
      </c>
      <c r="S1247" t="str">
        <v>Manuel Ardao</v>
      </c>
      <c r="T1247" t="str">
        <v>NULL</v>
      </c>
      <c r="U1247" t="str">
        <v>Home</v>
      </c>
      <c r="V1247" t="str">
        <v>SDL</v>
      </c>
      <c r="W1247">
        <v>0</v>
      </c>
    </row>
    <row r="1248" spans="7:23" x14ac:dyDescent="0.35">
      <c r="G1248">
        <v>14</v>
      </c>
      <c r="H1248" t="s">
        <v>2</v>
      </c>
      <c r="I1248" t="s">
        <v>156</v>
      </c>
      <c r="J1248" t="s">
        <v>256</v>
      </c>
      <c r="K1248" t="s">
        <v>3</v>
      </c>
      <c r="L1248" t="s">
        <v>6</v>
      </c>
      <c r="M1248">
        <f t="shared" si="56"/>
        <v>10.059654696962131</v>
      </c>
      <c r="N1248" t="str">
        <f t="shared" si="57"/>
        <v/>
      </c>
      <c r="O1248" s="67" cm="1">
        <f t="array" ref="O1248">SUMPRODUCT((G1248=$G$7:$G$10000)*(M1248&lt;$M$7:$M$10000))+1</f>
        <v>13</v>
      </c>
      <c r="P1248" s="72"/>
      <c r="Q1248">
        <v>16</v>
      </c>
      <c r="R1248" t="str">
        <v>MIA</v>
      </c>
      <c r="S1248" t="str">
        <v>Marques Fuala'au</v>
      </c>
      <c r="T1248" t="str">
        <v>NULL</v>
      </c>
      <c r="U1248" t="str">
        <v>Home</v>
      </c>
      <c r="V1248" t="str">
        <v>SDL</v>
      </c>
      <c r="W1248">
        <v>0</v>
      </c>
    </row>
    <row r="1249" spans="7:23" x14ac:dyDescent="0.35">
      <c r="G1249">
        <v>14</v>
      </c>
      <c r="H1249" t="s">
        <v>6</v>
      </c>
      <c r="I1249" t="s">
        <v>430</v>
      </c>
      <c r="J1249" t="s">
        <v>256</v>
      </c>
      <c r="K1249" t="s">
        <v>9</v>
      </c>
      <c r="L1249" t="s">
        <v>2</v>
      </c>
      <c r="M1249">
        <f t="shared" si="56"/>
        <v>10.043848343650387</v>
      </c>
      <c r="N1249" t="str">
        <f t="shared" si="57"/>
        <v/>
      </c>
      <c r="O1249" s="67" cm="1">
        <f t="array" ref="O1249">SUMPRODUCT((G1249=$G$7:$G$10000)*(M1249&lt;$M$7:$M$10000))+1</f>
        <v>14</v>
      </c>
      <c r="P1249" s="72"/>
      <c r="Q1249">
        <v>16</v>
      </c>
      <c r="R1249" t="str">
        <v>MIA</v>
      </c>
      <c r="S1249" t="str">
        <v>Mauro Rebussone</v>
      </c>
      <c r="T1249" t="str">
        <v>NULL</v>
      </c>
      <c r="U1249" t="str">
        <v>Home</v>
      </c>
      <c r="V1249" t="str">
        <v>SDL</v>
      </c>
      <c r="W1249">
        <v>0</v>
      </c>
    </row>
    <row r="1250" spans="7:23" x14ac:dyDescent="0.35">
      <c r="G1250">
        <v>14</v>
      </c>
      <c r="H1250" t="s">
        <v>34</v>
      </c>
      <c r="I1250" t="s">
        <v>420</v>
      </c>
      <c r="J1250" t="s">
        <v>256</v>
      </c>
      <c r="K1250" t="s">
        <v>9</v>
      </c>
      <c r="L1250" t="s">
        <v>17</v>
      </c>
      <c r="M1250">
        <f t="shared" si="56"/>
        <v>9.2429705485359595</v>
      </c>
      <c r="N1250" t="str">
        <f t="shared" si="57"/>
        <v/>
      </c>
      <c r="O1250" s="67" cm="1">
        <f t="array" ref="O1250">SUMPRODUCT((G1250=$G$7:$G$10000)*(M1250&lt;$M$7:$M$10000))+1</f>
        <v>15</v>
      </c>
      <c r="P1250" s="72"/>
      <c r="Q1250">
        <v>16</v>
      </c>
      <c r="R1250" t="str">
        <v>MIA</v>
      </c>
      <c r="S1250" t="str">
        <v>Sean McNulty</v>
      </c>
      <c r="T1250" t="str">
        <v>NULL</v>
      </c>
      <c r="U1250" t="str">
        <v>Home</v>
      </c>
      <c r="V1250" t="str">
        <v>SDL</v>
      </c>
      <c r="W1250">
        <v>0</v>
      </c>
    </row>
    <row r="1251" spans="7:23" x14ac:dyDescent="0.35">
      <c r="G1251">
        <v>14</v>
      </c>
      <c r="H1251" t="s">
        <v>2</v>
      </c>
      <c r="I1251" t="s">
        <v>213</v>
      </c>
      <c r="J1251" t="s">
        <v>256</v>
      </c>
      <c r="K1251" t="s">
        <v>3</v>
      </c>
      <c r="L1251" t="s">
        <v>6</v>
      </c>
      <c r="M1251">
        <f t="shared" si="56"/>
        <v>9.096761485692511</v>
      </c>
      <c r="N1251" t="str">
        <f t="shared" si="57"/>
        <v/>
      </c>
      <c r="O1251" s="67" cm="1">
        <f t="array" ref="O1251">SUMPRODUCT((G1251=$G$7:$G$10000)*(M1251&lt;$M$7:$M$10000))+1</f>
        <v>16</v>
      </c>
      <c r="P1251" s="72"/>
      <c r="Q1251">
        <v>16</v>
      </c>
      <c r="R1251" t="str">
        <v>MIA</v>
      </c>
      <c r="S1251" t="str">
        <v>Tau Koloamatangi</v>
      </c>
      <c r="T1251" t="str">
        <v>NULL</v>
      </c>
      <c r="U1251" t="str">
        <v>Home</v>
      </c>
      <c r="V1251" t="str">
        <v>SDL</v>
      </c>
      <c r="W1251">
        <v>0</v>
      </c>
    </row>
    <row r="1252" spans="7:23" x14ac:dyDescent="0.35">
      <c r="G1252">
        <v>14</v>
      </c>
      <c r="H1252" t="s">
        <v>2</v>
      </c>
      <c r="I1252" t="s">
        <v>108</v>
      </c>
      <c r="J1252" t="s">
        <v>256</v>
      </c>
      <c r="K1252" t="s">
        <v>3</v>
      </c>
      <c r="L1252" t="s">
        <v>6</v>
      </c>
      <c r="M1252">
        <f t="shared" si="56"/>
        <v>8.6501185071076385</v>
      </c>
      <c r="N1252" t="str">
        <f t="shared" si="57"/>
        <v/>
      </c>
      <c r="O1252" s="67" cm="1">
        <f t="array" ref="O1252">SUMPRODUCT((G1252=$G$7:$G$10000)*(M1252&lt;$M$7:$M$10000))+1</f>
        <v>17</v>
      </c>
      <c r="P1252" s="72"/>
      <c r="Q1252">
        <v>16</v>
      </c>
      <c r="R1252" t="str">
        <v>NEFJ</v>
      </c>
      <c r="S1252" t="str">
        <v>Andrew Quattrin</v>
      </c>
      <c r="T1252" t="str">
        <v>NULL</v>
      </c>
      <c r="U1252" t="str">
        <v>Home</v>
      </c>
      <c r="V1252" t="str">
        <v>SEA</v>
      </c>
      <c r="W1252">
        <v>0</v>
      </c>
    </row>
    <row r="1253" spans="7:23" x14ac:dyDescent="0.35">
      <c r="G1253">
        <v>14</v>
      </c>
      <c r="H1253" t="s">
        <v>36</v>
      </c>
      <c r="I1253" t="s">
        <v>466</v>
      </c>
      <c r="J1253" t="s">
        <v>256</v>
      </c>
      <c r="K1253" t="s">
        <v>3</v>
      </c>
      <c r="L1253" t="s">
        <v>13</v>
      </c>
      <c r="M1253">
        <f t="shared" si="56"/>
        <v>8.6416593849121988</v>
      </c>
      <c r="N1253" t="str">
        <f t="shared" si="57"/>
        <v/>
      </c>
      <c r="O1253" s="67" cm="1">
        <f t="array" ref="O1253">SUMPRODUCT((G1253=$G$7:$G$10000)*(M1253&lt;$M$7:$M$10000))+1</f>
        <v>18</v>
      </c>
      <c r="P1253" s="72"/>
      <c r="Q1253">
        <v>16</v>
      </c>
      <c r="R1253" t="str">
        <v>NEFJ</v>
      </c>
      <c r="S1253" t="str">
        <v>Jed Melvin</v>
      </c>
      <c r="T1253" t="str">
        <v>NULL</v>
      </c>
      <c r="U1253" t="str">
        <v>Home</v>
      </c>
      <c r="V1253" t="str">
        <v>SEA</v>
      </c>
      <c r="W1253">
        <v>0</v>
      </c>
    </row>
    <row r="1254" spans="7:23" x14ac:dyDescent="0.35">
      <c r="G1254">
        <v>14</v>
      </c>
      <c r="H1254" t="s">
        <v>2</v>
      </c>
      <c r="I1254" t="s">
        <v>115</v>
      </c>
      <c r="J1254" t="s">
        <v>256</v>
      </c>
      <c r="K1254" t="s">
        <v>3</v>
      </c>
      <c r="L1254" t="s">
        <v>6</v>
      </c>
      <c r="M1254">
        <f t="shared" si="56"/>
        <v>8.4398113425689854</v>
      </c>
      <c r="N1254" t="str">
        <f t="shared" si="57"/>
        <v/>
      </c>
      <c r="O1254" s="67" cm="1">
        <f t="array" ref="O1254">SUMPRODUCT((G1254=$G$7:$G$10000)*(M1254&lt;$M$7:$M$10000))+1</f>
        <v>19</v>
      </c>
      <c r="P1254" s="72"/>
      <c r="Q1254">
        <v>16</v>
      </c>
      <c r="R1254" t="str">
        <v>NEFJ</v>
      </c>
      <c r="S1254" t="str">
        <v>Jero Gomez Vara</v>
      </c>
      <c r="T1254" t="str">
        <v>NULL</v>
      </c>
      <c r="U1254" t="str">
        <v>Home</v>
      </c>
      <c r="V1254" t="str">
        <v>SEA</v>
      </c>
      <c r="W1254">
        <v>0</v>
      </c>
    </row>
    <row r="1255" spans="7:23" x14ac:dyDescent="0.35">
      <c r="G1255">
        <v>14</v>
      </c>
      <c r="H1255" t="s">
        <v>24</v>
      </c>
      <c r="I1255" t="s">
        <v>199</v>
      </c>
      <c r="J1255" t="s">
        <v>256</v>
      </c>
      <c r="K1255" t="s">
        <v>3</v>
      </c>
      <c r="L1255" t="s">
        <v>23</v>
      </c>
      <c r="M1255">
        <f t="shared" ref="M1255:M1318" si="58">VLOOKUP($K1255,$F$3:$G$4,2,FALSE)+VLOOKUP($I1255,$A$20:$B$321,2,FALSE)+VLOOKUP($L1255,$A$6:$B$16,2,FALSE)</f>
        <v>8.3024233650875914</v>
      </c>
      <c r="N1255" t="str">
        <f t="shared" ref="N1255:N1318" si="59">IFERROR(($J1255-$M1255)^2,"")</f>
        <v/>
      </c>
      <c r="O1255" s="67" cm="1">
        <f t="array" ref="O1255">SUMPRODUCT((G1255=$G$7:$G$10000)*(M1255&lt;$M$7:$M$10000))+1</f>
        <v>20</v>
      </c>
      <c r="P1255" s="72"/>
      <c r="Q1255">
        <v>16</v>
      </c>
      <c r="R1255" t="str">
        <v>NEFJ</v>
      </c>
      <c r="S1255" t="str">
        <v>Joe Johnston</v>
      </c>
      <c r="T1255" t="str">
        <v>NULL</v>
      </c>
      <c r="U1255" t="str">
        <v>Home</v>
      </c>
      <c r="V1255" t="str">
        <v>SEA</v>
      </c>
      <c r="W1255">
        <v>0</v>
      </c>
    </row>
    <row r="1256" spans="7:23" x14ac:dyDescent="0.35">
      <c r="G1256">
        <v>14</v>
      </c>
      <c r="H1256" t="s">
        <v>36</v>
      </c>
      <c r="I1256" t="s">
        <v>225</v>
      </c>
      <c r="J1256" t="s">
        <v>256</v>
      </c>
      <c r="K1256" t="s">
        <v>3</v>
      </c>
      <c r="L1256" t="s">
        <v>13</v>
      </c>
      <c r="M1256">
        <f t="shared" si="58"/>
        <v>8.2819452809851306</v>
      </c>
      <c r="N1256" t="str">
        <f t="shared" si="59"/>
        <v/>
      </c>
      <c r="O1256" s="67" cm="1">
        <f t="array" ref="O1256">SUMPRODUCT((G1256=$G$7:$G$10000)*(M1256&lt;$M$7:$M$10000))+1</f>
        <v>21</v>
      </c>
      <c r="P1256" s="72"/>
      <c r="Q1256">
        <v>16</v>
      </c>
      <c r="R1256" t="str">
        <v>NEFJ</v>
      </c>
      <c r="S1256" t="str">
        <v>Kaleb Geiger</v>
      </c>
      <c r="T1256" t="str">
        <v>NULL</v>
      </c>
      <c r="U1256" t="str">
        <v>Home</v>
      </c>
      <c r="V1256" t="str">
        <v>SEA</v>
      </c>
      <c r="W1256">
        <v>0</v>
      </c>
    </row>
    <row r="1257" spans="7:23" x14ac:dyDescent="0.35">
      <c r="G1257">
        <v>14</v>
      </c>
      <c r="H1257" t="s">
        <v>6</v>
      </c>
      <c r="I1257" t="s">
        <v>432</v>
      </c>
      <c r="J1257" t="s">
        <v>256</v>
      </c>
      <c r="K1257" t="s">
        <v>9</v>
      </c>
      <c r="L1257" t="s">
        <v>2</v>
      </c>
      <c r="M1257">
        <f t="shared" si="58"/>
        <v>8.0672198940799245</v>
      </c>
      <c r="N1257" t="str">
        <f t="shared" si="59"/>
        <v/>
      </c>
      <c r="O1257" s="67" cm="1">
        <f t="array" ref="O1257">SUMPRODUCT((G1257=$G$7:$G$10000)*(M1257&lt;$M$7:$M$10000))+1</f>
        <v>22</v>
      </c>
      <c r="P1257" s="72"/>
      <c r="Q1257">
        <v>16</v>
      </c>
      <c r="R1257" t="str">
        <v>NEFJ</v>
      </c>
      <c r="S1257" t="str">
        <v>Malakai Hala-Ngatai</v>
      </c>
      <c r="T1257" t="str">
        <v>NULL</v>
      </c>
      <c r="U1257" t="str">
        <v>Home</v>
      </c>
      <c r="V1257" t="str">
        <v>SEA</v>
      </c>
      <c r="W1257">
        <v>0</v>
      </c>
    </row>
    <row r="1258" spans="7:23" x14ac:dyDescent="0.35">
      <c r="G1258">
        <v>14</v>
      </c>
      <c r="H1258" t="s">
        <v>23</v>
      </c>
      <c r="I1258" t="s">
        <v>221</v>
      </c>
      <c r="J1258" t="s">
        <v>256</v>
      </c>
      <c r="K1258" t="s">
        <v>9</v>
      </c>
      <c r="L1258" t="s">
        <v>24</v>
      </c>
      <c r="M1258">
        <f t="shared" si="58"/>
        <v>8.026611657065077</v>
      </c>
      <c r="N1258" t="str">
        <f t="shared" si="59"/>
        <v/>
      </c>
      <c r="O1258" s="67" cm="1">
        <f t="array" ref="O1258">SUMPRODUCT((G1258=$G$7:$G$10000)*(M1258&lt;$M$7:$M$10000))+1</f>
        <v>23</v>
      </c>
      <c r="P1258" s="72"/>
      <c r="Q1258">
        <v>16</v>
      </c>
      <c r="R1258" t="str">
        <v>NEFJ</v>
      </c>
      <c r="S1258" t="str">
        <v>Piers von Dadelszen</v>
      </c>
      <c r="T1258" t="str">
        <v>NULL</v>
      </c>
      <c r="U1258" t="str">
        <v>Home</v>
      </c>
      <c r="V1258" t="str">
        <v>SEA</v>
      </c>
      <c r="W1258">
        <v>0</v>
      </c>
    </row>
    <row r="1259" spans="7:23" x14ac:dyDescent="0.35">
      <c r="G1259">
        <v>14</v>
      </c>
      <c r="H1259" t="s">
        <v>13</v>
      </c>
      <c r="I1259" t="s">
        <v>204</v>
      </c>
      <c r="J1259" t="s">
        <v>256</v>
      </c>
      <c r="K1259" t="s">
        <v>9</v>
      </c>
      <c r="L1259" t="s">
        <v>36</v>
      </c>
      <c r="M1259">
        <f t="shared" si="58"/>
        <v>7.9875107991773531</v>
      </c>
      <c r="N1259" t="str">
        <f t="shared" si="59"/>
        <v/>
      </c>
      <c r="O1259" s="67" cm="1">
        <f t="array" ref="O1259">SUMPRODUCT((G1259=$G$7:$G$10000)*(M1259&lt;$M$7:$M$10000))+1</f>
        <v>24</v>
      </c>
      <c r="P1259" s="72"/>
      <c r="Q1259">
        <v>16</v>
      </c>
      <c r="R1259" t="str">
        <v>NEFJ</v>
      </c>
      <c r="S1259" t="str">
        <v>Sam Caird</v>
      </c>
      <c r="T1259" t="str">
        <v>NULL</v>
      </c>
      <c r="U1259" t="str">
        <v>Home</v>
      </c>
      <c r="V1259" t="str">
        <v>SEA</v>
      </c>
      <c r="W1259">
        <v>0</v>
      </c>
    </row>
    <row r="1260" spans="7:23" x14ac:dyDescent="0.35">
      <c r="G1260">
        <v>14</v>
      </c>
      <c r="H1260" t="s">
        <v>23</v>
      </c>
      <c r="I1260" t="s">
        <v>144</v>
      </c>
      <c r="J1260" t="s">
        <v>256</v>
      </c>
      <c r="K1260" t="s">
        <v>9</v>
      </c>
      <c r="L1260" t="s">
        <v>24</v>
      </c>
      <c r="M1260">
        <f t="shared" si="58"/>
        <v>7.9119775457588846</v>
      </c>
      <c r="N1260" t="str">
        <f t="shared" si="59"/>
        <v/>
      </c>
      <c r="O1260" s="67" cm="1">
        <f t="array" ref="O1260">SUMPRODUCT((G1260=$G$7:$G$10000)*(M1260&lt;$M$7:$M$10000))+1</f>
        <v>25</v>
      </c>
      <c r="P1260" s="72"/>
      <c r="Q1260">
        <v>16</v>
      </c>
      <c r="R1260" t="str">
        <v>NEFJ</v>
      </c>
      <c r="S1260" t="str">
        <v>Wian Conradie</v>
      </c>
      <c r="T1260" t="str">
        <v>NULL</v>
      </c>
      <c r="U1260" t="str">
        <v>Home</v>
      </c>
      <c r="V1260" t="str">
        <v>SEA</v>
      </c>
      <c r="W1260">
        <v>0</v>
      </c>
    </row>
    <row r="1261" spans="7:23" x14ac:dyDescent="0.35">
      <c r="G1261">
        <v>14</v>
      </c>
      <c r="H1261" t="s">
        <v>2</v>
      </c>
      <c r="I1261" t="s">
        <v>174</v>
      </c>
      <c r="J1261" t="s">
        <v>256</v>
      </c>
      <c r="K1261" t="s">
        <v>3</v>
      </c>
      <c r="L1261" t="s">
        <v>6</v>
      </c>
      <c r="M1261">
        <f t="shared" si="58"/>
        <v>7.8847726077031037</v>
      </c>
      <c r="N1261" t="str">
        <f t="shared" si="59"/>
        <v/>
      </c>
      <c r="O1261" s="67" cm="1">
        <f t="array" ref="O1261">SUMPRODUCT((G1261=$G$7:$G$10000)*(M1261&lt;$M$7:$M$10000))+1</f>
        <v>26</v>
      </c>
      <c r="P1261" s="72"/>
      <c r="Q1261">
        <v>16</v>
      </c>
      <c r="R1261" t="str">
        <v>NOLA</v>
      </c>
      <c r="S1261" t="str">
        <v>Alex Lopeti</v>
      </c>
      <c r="T1261" t="str">
        <v>NULL</v>
      </c>
      <c r="U1261" t="str">
        <v>Away</v>
      </c>
      <c r="V1261" t="str">
        <v>CHI</v>
      </c>
      <c r="W1261">
        <v>0</v>
      </c>
    </row>
    <row r="1262" spans="7:23" x14ac:dyDescent="0.35">
      <c r="G1262">
        <v>14</v>
      </c>
      <c r="H1262" t="s">
        <v>17</v>
      </c>
      <c r="I1262" t="s">
        <v>206</v>
      </c>
      <c r="J1262" t="s">
        <v>256</v>
      </c>
      <c r="K1262" t="s">
        <v>3</v>
      </c>
      <c r="L1262" t="s">
        <v>34</v>
      </c>
      <c r="M1262">
        <f t="shared" si="58"/>
        <v>7.8523489438198633</v>
      </c>
      <c r="N1262" t="str">
        <f t="shared" si="59"/>
        <v/>
      </c>
      <c r="O1262" s="67" cm="1">
        <f t="array" ref="O1262">SUMPRODUCT((G1262=$G$7:$G$10000)*(M1262&lt;$M$7:$M$10000))+1</f>
        <v>27</v>
      </c>
      <c r="P1262" s="72"/>
      <c r="Q1262">
        <v>16</v>
      </c>
      <c r="R1262" t="str">
        <v>NOLA</v>
      </c>
      <c r="S1262" t="str">
        <v>Callum Botchar</v>
      </c>
      <c r="T1262" t="str">
        <v>NULL</v>
      </c>
      <c r="U1262" t="str">
        <v>Away</v>
      </c>
      <c r="V1262" t="str">
        <v>CHI</v>
      </c>
      <c r="W1262">
        <v>0</v>
      </c>
    </row>
    <row r="1263" spans="7:23" x14ac:dyDescent="0.35">
      <c r="G1263">
        <v>14</v>
      </c>
      <c r="H1263" t="s">
        <v>6</v>
      </c>
      <c r="I1263" t="s">
        <v>433</v>
      </c>
      <c r="J1263" t="s">
        <v>256</v>
      </c>
      <c r="K1263" t="s">
        <v>9</v>
      </c>
      <c r="L1263" t="s">
        <v>2</v>
      </c>
      <c r="M1263">
        <f t="shared" si="58"/>
        <v>7.6965669486185604</v>
      </c>
      <c r="N1263" t="str">
        <f t="shared" si="59"/>
        <v/>
      </c>
      <c r="O1263" s="67" cm="1">
        <f t="array" ref="O1263">SUMPRODUCT((G1263=$G$7:$G$10000)*(M1263&lt;$M$7:$M$10000))+1</f>
        <v>28</v>
      </c>
      <c r="P1263" s="72"/>
      <c r="Q1263">
        <v>16</v>
      </c>
      <c r="R1263" t="str">
        <v>NOLA</v>
      </c>
      <c r="S1263" t="str">
        <v>Cam Dolan</v>
      </c>
      <c r="T1263" t="str">
        <v>NULL</v>
      </c>
      <c r="U1263" t="str">
        <v>Away</v>
      </c>
      <c r="V1263" t="str">
        <v>CHI</v>
      </c>
      <c r="W1263">
        <v>0</v>
      </c>
    </row>
    <row r="1264" spans="7:23" x14ac:dyDescent="0.35">
      <c r="G1264">
        <v>14</v>
      </c>
      <c r="H1264" t="s">
        <v>23</v>
      </c>
      <c r="I1264" t="s">
        <v>421</v>
      </c>
      <c r="J1264" t="s">
        <v>256</v>
      </c>
      <c r="K1264" t="s">
        <v>9</v>
      </c>
      <c r="L1264" t="s">
        <v>24</v>
      </c>
      <c r="M1264">
        <f t="shared" si="58"/>
        <v>7.6401991911679081</v>
      </c>
      <c r="N1264" t="str">
        <f t="shared" si="59"/>
        <v/>
      </c>
      <c r="O1264" s="67" cm="1">
        <f t="array" ref="O1264">SUMPRODUCT((G1264=$G$7:$G$10000)*(M1264&lt;$M$7:$M$10000))+1</f>
        <v>29</v>
      </c>
      <c r="P1264" s="72"/>
      <c r="Q1264">
        <v>16</v>
      </c>
      <c r="R1264" t="str">
        <v>NOLA</v>
      </c>
      <c r="S1264" t="str">
        <v>Chase Jones</v>
      </c>
      <c r="T1264" t="str">
        <v>NULL</v>
      </c>
      <c r="U1264" t="str">
        <v>Away</v>
      </c>
      <c r="V1264" t="str">
        <v>CHI</v>
      </c>
      <c r="W1264">
        <v>0</v>
      </c>
    </row>
    <row r="1265" spans="7:23" x14ac:dyDescent="0.35">
      <c r="G1265">
        <v>14</v>
      </c>
      <c r="H1265" t="s">
        <v>24</v>
      </c>
      <c r="I1265" t="s">
        <v>215</v>
      </c>
      <c r="J1265" t="s">
        <v>256</v>
      </c>
      <c r="K1265" t="s">
        <v>3</v>
      </c>
      <c r="L1265" t="s">
        <v>23</v>
      </c>
      <c r="M1265">
        <f t="shared" si="58"/>
        <v>7.58770300999781</v>
      </c>
      <c r="N1265" t="str">
        <f t="shared" si="59"/>
        <v/>
      </c>
      <c r="O1265" s="67" cm="1">
        <f t="array" ref="O1265">SUMPRODUCT((G1265=$G$7:$G$10000)*(M1265&lt;$M$7:$M$10000))+1</f>
        <v>30</v>
      </c>
      <c r="P1265" s="72"/>
      <c r="Q1265">
        <v>16</v>
      </c>
      <c r="R1265" t="str">
        <v>NOLA</v>
      </c>
      <c r="S1265" t="str">
        <v>Jonah Mau'u</v>
      </c>
      <c r="T1265" t="str">
        <v>NULL</v>
      </c>
      <c r="U1265" t="str">
        <v>Away</v>
      </c>
      <c r="V1265" t="str">
        <v>CHI</v>
      </c>
      <c r="W1265">
        <v>0</v>
      </c>
    </row>
    <row r="1266" spans="7:23" x14ac:dyDescent="0.35">
      <c r="G1266">
        <v>14</v>
      </c>
      <c r="H1266" t="s">
        <v>34</v>
      </c>
      <c r="I1266" t="s">
        <v>174</v>
      </c>
      <c r="J1266" t="s">
        <v>256</v>
      </c>
      <c r="K1266" t="s">
        <v>9</v>
      </c>
      <c r="L1266" t="s">
        <v>17</v>
      </c>
      <c r="M1266">
        <f t="shared" si="58"/>
        <v>7.359759165650761</v>
      </c>
      <c r="N1266" t="str">
        <f t="shared" si="59"/>
        <v/>
      </c>
      <c r="O1266" s="67" cm="1">
        <f t="array" ref="O1266">SUMPRODUCT((G1266=$G$7:$G$10000)*(M1266&lt;$M$7:$M$10000))+1</f>
        <v>31</v>
      </c>
      <c r="P1266" s="72"/>
      <c r="Q1266">
        <v>16</v>
      </c>
      <c r="R1266" t="str">
        <v>NOLA</v>
      </c>
      <c r="S1266" t="str">
        <v>Kellen Galletier</v>
      </c>
      <c r="T1266" t="str">
        <v>NULL</v>
      </c>
      <c r="U1266" t="str">
        <v>Away</v>
      </c>
      <c r="V1266" t="str">
        <v>CHI</v>
      </c>
      <c r="W1266">
        <v>0</v>
      </c>
    </row>
    <row r="1267" spans="7:23" x14ac:dyDescent="0.35">
      <c r="G1267">
        <v>14</v>
      </c>
      <c r="H1267" t="s">
        <v>6</v>
      </c>
      <c r="I1267" t="s">
        <v>208</v>
      </c>
      <c r="J1267" t="s">
        <v>256</v>
      </c>
      <c r="K1267" t="s">
        <v>9</v>
      </c>
      <c r="L1267" t="s">
        <v>2</v>
      </c>
      <c r="M1267">
        <f t="shared" si="58"/>
        <v>7.1947139777484823</v>
      </c>
      <c r="N1267" t="str">
        <f t="shared" si="59"/>
        <v/>
      </c>
      <c r="O1267" s="67" cm="1">
        <f t="array" ref="O1267">SUMPRODUCT((G1267=$G$7:$G$10000)*(M1267&lt;$M$7:$M$10000))+1</f>
        <v>32</v>
      </c>
      <c r="P1267" s="72"/>
      <c r="Q1267">
        <v>16</v>
      </c>
      <c r="R1267" t="str">
        <v>NOLA</v>
      </c>
      <c r="S1267" t="str">
        <v>Malcolm May</v>
      </c>
      <c r="T1267" t="str">
        <v>NULL</v>
      </c>
      <c r="U1267" t="str">
        <v>Away</v>
      </c>
      <c r="V1267" t="str">
        <v>CHI</v>
      </c>
      <c r="W1267">
        <v>0</v>
      </c>
    </row>
    <row r="1268" spans="7:23" x14ac:dyDescent="0.35">
      <c r="G1268">
        <v>14</v>
      </c>
      <c r="H1268" t="s">
        <v>23</v>
      </c>
      <c r="I1268" t="s">
        <v>431</v>
      </c>
      <c r="J1268" t="s">
        <v>256</v>
      </c>
      <c r="K1268" t="s">
        <v>9</v>
      </c>
      <c r="L1268" t="s">
        <v>24</v>
      </c>
      <c r="M1268">
        <f t="shared" si="58"/>
        <v>6.9653761157233669</v>
      </c>
      <c r="N1268" t="str">
        <f t="shared" si="59"/>
        <v/>
      </c>
      <c r="O1268" s="67" cm="1">
        <f t="array" ref="O1268">SUMPRODUCT((G1268=$G$7:$G$10000)*(M1268&lt;$M$7:$M$10000))+1</f>
        <v>33</v>
      </c>
      <c r="P1268" s="72"/>
      <c r="Q1268">
        <v>16</v>
      </c>
      <c r="R1268" t="str">
        <v>NOLA</v>
      </c>
      <c r="S1268" t="str">
        <v>Matt Harmon</v>
      </c>
      <c r="T1268" t="str">
        <v>NULL</v>
      </c>
      <c r="U1268" t="str">
        <v>Away</v>
      </c>
      <c r="V1268" t="str">
        <v>CHI</v>
      </c>
      <c r="W1268">
        <v>0</v>
      </c>
    </row>
    <row r="1269" spans="7:23" x14ac:dyDescent="0.35">
      <c r="G1269">
        <v>14</v>
      </c>
      <c r="H1269" t="s">
        <v>17</v>
      </c>
      <c r="I1269" t="s">
        <v>149</v>
      </c>
      <c r="J1269" t="s">
        <v>256</v>
      </c>
      <c r="K1269" t="s">
        <v>3</v>
      </c>
      <c r="L1269" t="s">
        <v>34</v>
      </c>
      <c r="M1269">
        <f t="shared" si="58"/>
        <v>6.7533411401215746</v>
      </c>
      <c r="N1269" t="str">
        <f t="shared" si="59"/>
        <v/>
      </c>
      <c r="O1269" s="67" cm="1">
        <f t="array" ref="O1269">SUMPRODUCT((G1269=$G$7:$G$10000)*(M1269&lt;$M$7:$M$10000))+1</f>
        <v>34</v>
      </c>
      <c r="P1269" s="72"/>
      <c r="Q1269">
        <v>16</v>
      </c>
      <c r="R1269" t="str">
        <v>NOLA</v>
      </c>
      <c r="S1269" t="str">
        <v>Pat O'Toole</v>
      </c>
      <c r="T1269" t="str">
        <v>NULL</v>
      </c>
      <c r="U1269" t="str">
        <v>Away</v>
      </c>
      <c r="V1269" t="str">
        <v>CHI</v>
      </c>
      <c r="W1269">
        <v>0</v>
      </c>
    </row>
    <row r="1270" spans="7:23" x14ac:dyDescent="0.35">
      <c r="G1270">
        <v>14</v>
      </c>
      <c r="H1270" t="s">
        <v>34</v>
      </c>
      <c r="I1270" t="s">
        <v>227</v>
      </c>
      <c r="J1270" t="s">
        <v>256</v>
      </c>
      <c r="K1270" t="s">
        <v>9</v>
      </c>
      <c r="L1270" t="s">
        <v>17</v>
      </c>
      <c r="M1270">
        <f t="shared" si="58"/>
        <v>6.7026876252577674</v>
      </c>
      <c r="N1270" t="str">
        <f t="shared" si="59"/>
        <v/>
      </c>
      <c r="O1270" s="67" cm="1">
        <f t="array" ref="O1270">SUMPRODUCT((G1270=$G$7:$G$10000)*(M1270&lt;$M$7:$M$10000))+1</f>
        <v>35</v>
      </c>
      <c r="P1270" s="72"/>
      <c r="Q1270">
        <v>16</v>
      </c>
      <c r="R1270" t="str">
        <v>NOLA</v>
      </c>
      <c r="S1270" t="str">
        <v>Paul Mullen</v>
      </c>
      <c r="T1270" t="str">
        <v>NULL</v>
      </c>
      <c r="U1270" t="str">
        <v>Away</v>
      </c>
      <c r="V1270" t="str">
        <v>CHI</v>
      </c>
      <c r="W1270">
        <v>0</v>
      </c>
    </row>
    <row r="1271" spans="7:23" x14ac:dyDescent="0.35">
      <c r="G1271">
        <v>14</v>
      </c>
      <c r="H1271" t="s">
        <v>13</v>
      </c>
      <c r="I1271" t="s">
        <v>464</v>
      </c>
      <c r="J1271" t="s">
        <v>256</v>
      </c>
      <c r="K1271" t="s">
        <v>9</v>
      </c>
      <c r="L1271" t="s">
        <v>36</v>
      </c>
      <c r="M1271">
        <f t="shared" si="58"/>
        <v>6.6999335287175201</v>
      </c>
      <c r="N1271" t="str">
        <f t="shared" si="59"/>
        <v/>
      </c>
      <c r="O1271" s="67" cm="1">
        <f t="array" ref="O1271">SUMPRODUCT((G1271=$G$7:$G$10000)*(M1271&lt;$M$7:$M$10000))+1</f>
        <v>36</v>
      </c>
      <c r="P1271" s="72"/>
      <c r="Q1271">
        <v>16</v>
      </c>
      <c r="R1271" t="str">
        <v>NOLA</v>
      </c>
      <c r="S1271" t="str">
        <v>Tesimoni Tonga'uiha</v>
      </c>
      <c r="T1271" t="str">
        <v>NULL</v>
      </c>
      <c r="U1271" t="str">
        <v>Away</v>
      </c>
      <c r="V1271" t="str">
        <v>CHI</v>
      </c>
      <c r="W1271">
        <v>0</v>
      </c>
    </row>
    <row r="1272" spans="7:23" x14ac:dyDescent="0.35">
      <c r="G1272">
        <v>14</v>
      </c>
      <c r="H1272" t="s">
        <v>23</v>
      </c>
      <c r="I1272" t="s">
        <v>412</v>
      </c>
      <c r="J1272" t="s">
        <v>256</v>
      </c>
      <c r="K1272" t="s">
        <v>9</v>
      </c>
      <c r="L1272" t="s">
        <v>24</v>
      </c>
      <c r="M1272">
        <f t="shared" si="58"/>
        <v>6.6899351458145899</v>
      </c>
      <c r="N1272" t="str">
        <f t="shared" si="59"/>
        <v/>
      </c>
      <c r="O1272" s="67" cm="1">
        <f t="array" ref="O1272">SUMPRODUCT((G1272=$G$7:$G$10000)*(M1272&lt;$M$7:$M$10000))+1</f>
        <v>37</v>
      </c>
      <c r="P1272" s="72"/>
      <c r="Q1272">
        <v>16</v>
      </c>
      <c r="R1272" t="str">
        <v>NOLA</v>
      </c>
      <c r="S1272" t="str">
        <v>Tupou Ma'afu Afungia</v>
      </c>
      <c r="T1272" t="str">
        <v>NULL</v>
      </c>
      <c r="U1272" t="str">
        <v>Away</v>
      </c>
      <c r="V1272" t="str">
        <v>CHI</v>
      </c>
      <c r="W1272">
        <v>0</v>
      </c>
    </row>
    <row r="1273" spans="7:23" x14ac:dyDescent="0.35">
      <c r="G1273">
        <v>14</v>
      </c>
      <c r="H1273" t="s">
        <v>7</v>
      </c>
      <c r="I1273" t="s">
        <v>207</v>
      </c>
      <c r="J1273" t="s">
        <v>256</v>
      </c>
      <c r="K1273" t="s">
        <v>9</v>
      </c>
      <c r="L1273" t="s">
        <v>14</v>
      </c>
      <c r="M1273">
        <f t="shared" si="58"/>
        <v>6.5124117735029818</v>
      </c>
      <c r="N1273" t="str">
        <f t="shared" si="59"/>
        <v/>
      </c>
      <c r="O1273" s="67" cm="1">
        <f t="array" ref="O1273">SUMPRODUCT((G1273=$G$7:$G$10000)*(M1273&lt;$M$7:$M$10000))+1</f>
        <v>38</v>
      </c>
      <c r="P1273" s="72"/>
      <c r="Q1273">
        <v>16</v>
      </c>
      <c r="R1273" t="str">
        <v>NOLA</v>
      </c>
      <c r="S1273" t="str">
        <v>William Waguespack</v>
      </c>
      <c r="T1273" t="str">
        <v>NULL</v>
      </c>
      <c r="U1273" t="str">
        <v>Away</v>
      </c>
      <c r="V1273" t="str">
        <v>CHI</v>
      </c>
      <c r="W1273">
        <v>0</v>
      </c>
    </row>
    <row r="1274" spans="7:23" x14ac:dyDescent="0.35">
      <c r="G1274">
        <v>14</v>
      </c>
      <c r="H1274" t="s">
        <v>17</v>
      </c>
      <c r="I1274" t="s">
        <v>105</v>
      </c>
      <c r="J1274" t="s">
        <v>256</v>
      </c>
      <c r="K1274" t="s">
        <v>3</v>
      </c>
      <c r="L1274" t="s">
        <v>34</v>
      </c>
      <c r="M1274">
        <f t="shared" si="58"/>
        <v>6.3842694471729544</v>
      </c>
      <c r="N1274" t="str">
        <f t="shared" si="59"/>
        <v/>
      </c>
      <c r="O1274" s="67" cm="1">
        <f t="array" ref="O1274">SUMPRODUCT((G1274=$G$7:$G$10000)*(M1274&lt;$M$7:$M$10000))+1</f>
        <v>39</v>
      </c>
      <c r="P1274" s="72"/>
      <c r="Q1274">
        <v>16</v>
      </c>
      <c r="R1274" t="str">
        <v>OGDC</v>
      </c>
      <c r="S1274" t="str">
        <v>Cali Martinez</v>
      </c>
      <c r="T1274" t="str">
        <v>NULL</v>
      </c>
      <c r="U1274" t="str">
        <v>Home</v>
      </c>
      <c r="V1274" t="str">
        <v>LA</v>
      </c>
      <c r="W1274">
        <v>0</v>
      </c>
    </row>
    <row r="1275" spans="7:23" x14ac:dyDescent="0.35">
      <c r="G1275">
        <v>14</v>
      </c>
      <c r="H1275" t="s">
        <v>14</v>
      </c>
      <c r="I1275" t="s">
        <v>396</v>
      </c>
      <c r="J1275" t="s">
        <v>256</v>
      </c>
      <c r="K1275" t="s">
        <v>3</v>
      </c>
      <c r="L1275" t="s">
        <v>7</v>
      </c>
      <c r="M1275">
        <f t="shared" si="58"/>
        <v>6.3741735688491126</v>
      </c>
      <c r="N1275" t="str">
        <f t="shared" si="59"/>
        <v/>
      </c>
      <c r="O1275" s="67" cm="1">
        <f t="array" ref="O1275">SUMPRODUCT((G1275=$G$7:$G$10000)*(M1275&lt;$M$7:$M$10000))+1</f>
        <v>40</v>
      </c>
      <c r="P1275" s="72"/>
      <c r="Q1275">
        <v>16</v>
      </c>
      <c r="R1275" t="str">
        <v>OGDC</v>
      </c>
      <c r="S1275" t="str">
        <v>Cory Daniel</v>
      </c>
      <c r="T1275" t="str">
        <v>NULL</v>
      </c>
      <c r="U1275" t="str">
        <v>Home</v>
      </c>
      <c r="V1275" t="str">
        <v>LA</v>
      </c>
      <c r="W1275">
        <v>0</v>
      </c>
    </row>
    <row r="1276" spans="7:23" x14ac:dyDescent="0.35">
      <c r="G1276">
        <v>14</v>
      </c>
      <c r="H1276" t="s">
        <v>13</v>
      </c>
      <c r="I1276" t="s">
        <v>103</v>
      </c>
      <c r="J1276" t="s">
        <v>256</v>
      </c>
      <c r="K1276" t="s">
        <v>9</v>
      </c>
      <c r="L1276" t="s">
        <v>36</v>
      </c>
      <c r="M1276">
        <f t="shared" si="58"/>
        <v>6.2963556266620682</v>
      </c>
      <c r="N1276" t="str">
        <f t="shared" si="59"/>
        <v/>
      </c>
      <c r="O1276" s="67" cm="1">
        <f t="array" ref="O1276">SUMPRODUCT((G1276=$G$7:$G$10000)*(M1276&lt;$M$7:$M$10000))+1</f>
        <v>41</v>
      </c>
      <c r="P1276" s="72"/>
      <c r="Q1276">
        <v>16</v>
      </c>
      <c r="R1276" t="str">
        <v>OGDC</v>
      </c>
      <c r="S1276" t="str">
        <v>Facundo Gattas</v>
      </c>
      <c r="T1276" t="str">
        <v>NULL</v>
      </c>
      <c r="U1276" t="str">
        <v>Home</v>
      </c>
      <c r="V1276" t="str">
        <v>LA</v>
      </c>
      <c r="W1276">
        <v>0</v>
      </c>
    </row>
    <row r="1277" spans="7:23" x14ac:dyDescent="0.35">
      <c r="G1277">
        <v>14</v>
      </c>
      <c r="H1277" t="s">
        <v>17</v>
      </c>
      <c r="I1277" t="s">
        <v>483</v>
      </c>
      <c r="J1277" t="s">
        <v>256</v>
      </c>
      <c r="K1277" t="s">
        <v>3</v>
      </c>
      <c r="L1277" t="s">
        <v>34</v>
      </c>
      <c r="M1277">
        <f t="shared" si="58"/>
        <v>6.113507835139675</v>
      </c>
      <c r="N1277" t="str">
        <f t="shared" si="59"/>
        <v/>
      </c>
      <c r="O1277" s="67" cm="1">
        <f t="array" ref="O1277">SUMPRODUCT((G1277=$G$7:$G$10000)*(M1277&lt;$M$7:$M$10000))+1</f>
        <v>42</v>
      </c>
      <c r="P1277" s="72"/>
      <c r="Q1277">
        <v>16</v>
      </c>
      <c r="R1277" t="str">
        <v>OGDC</v>
      </c>
      <c r="S1277" t="str">
        <v>Jack Iscaro</v>
      </c>
      <c r="T1277" t="str">
        <v>NULL</v>
      </c>
      <c r="U1277" t="str">
        <v>Home</v>
      </c>
      <c r="V1277" t="str">
        <v>LA</v>
      </c>
      <c r="W1277">
        <v>0</v>
      </c>
    </row>
    <row r="1278" spans="7:23" x14ac:dyDescent="0.35">
      <c r="G1278">
        <v>14</v>
      </c>
      <c r="H1278" t="s">
        <v>14</v>
      </c>
      <c r="I1278" t="s">
        <v>248</v>
      </c>
      <c r="J1278" t="s">
        <v>256</v>
      </c>
      <c r="K1278" t="s">
        <v>3</v>
      </c>
      <c r="L1278" t="s">
        <v>7</v>
      </c>
      <c r="M1278">
        <f t="shared" si="58"/>
        <v>5.2452273630800441</v>
      </c>
      <c r="N1278" t="str">
        <f t="shared" si="59"/>
        <v/>
      </c>
      <c r="O1278" s="67" cm="1">
        <f t="array" ref="O1278">SUMPRODUCT((G1278=$G$7:$G$10000)*(M1278&lt;$M$7:$M$10000))+1</f>
        <v>43</v>
      </c>
      <c r="P1278" s="72"/>
      <c r="Q1278">
        <v>16</v>
      </c>
      <c r="R1278" t="str">
        <v>OGDC</v>
      </c>
      <c r="S1278" t="str">
        <v>Jamason Fa'anana-Schultz</v>
      </c>
      <c r="T1278" t="str">
        <v>NULL</v>
      </c>
      <c r="U1278" t="str">
        <v>Home</v>
      </c>
      <c r="V1278" t="str">
        <v>LA</v>
      </c>
      <c r="W1278">
        <v>0</v>
      </c>
    </row>
    <row r="1279" spans="7:23" x14ac:dyDescent="0.35">
      <c r="G1279">
        <v>14</v>
      </c>
      <c r="H1279" t="s">
        <v>24</v>
      </c>
      <c r="I1279" t="s">
        <v>419</v>
      </c>
      <c r="J1279" t="s">
        <v>256</v>
      </c>
      <c r="K1279" t="s">
        <v>3</v>
      </c>
      <c r="L1279" t="s">
        <v>23</v>
      </c>
      <c r="M1279">
        <f t="shared" si="58"/>
        <v>5.2029428600969254</v>
      </c>
      <c r="N1279" t="str">
        <f t="shared" si="59"/>
        <v/>
      </c>
      <c r="O1279" s="67" cm="1">
        <f t="array" ref="O1279">SUMPRODUCT((G1279=$G$7:$G$10000)*(M1279&lt;$M$7:$M$10000))+1</f>
        <v>44</v>
      </c>
      <c r="P1279" s="72"/>
      <c r="Q1279">
        <v>16</v>
      </c>
      <c r="R1279" t="str">
        <v>OGDC</v>
      </c>
      <c r="S1279" t="str">
        <v>Lautaro Bavaro</v>
      </c>
      <c r="T1279" t="str">
        <v>NULL</v>
      </c>
      <c r="U1279" t="str">
        <v>Home</v>
      </c>
      <c r="V1279" t="str">
        <v>LA</v>
      </c>
      <c r="W1279">
        <v>0</v>
      </c>
    </row>
    <row r="1280" spans="7:23" x14ac:dyDescent="0.35">
      <c r="G1280">
        <v>14</v>
      </c>
      <c r="H1280" t="s">
        <v>17</v>
      </c>
      <c r="I1280" t="s">
        <v>284</v>
      </c>
      <c r="J1280" t="s">
        <v>256</v>
      </c>
      <c r="K1280" t="s">
        <v>3</v>
      </c>
      <c r="L1280" t="s">
        <v>34</v>
      </c>
      <c r="M1280">
        <f t="shared" si="58"/>
        <v>5.150772887480767</v>
      </c>
      <c r="N1280" t="str">
        <f t="shared" si="59"/>
        <v/>
      </c>
      <c r="O1280" s="67" cm="1">
        <f t="array" ref="O1280">SUMPRODUCT((G1280=$G$7:$G$10000)*(M1280&lt;$M$7:$M$10000))+1</f>
        <v>45</v>
      </c>
      <c r="P1280" s="72"/>
      <c r="Q1280">
        <v>16</v>
      </c>
      <c r="R1280" t="str">
        <v>OGDC</v>
      </c>
      <c r="S1280" t="str">
        <v>Rob Harley</v>
      </c>
      <c r="T1280" t="str">
        <v>NULL</v>
      </c>
      <c r="U1280" t="str">
        <v>Home</v>
      </c>
      <c r="V1280" t="str">
        <v>LA</v>
      </c>
      <c r="W1280">
        <v>0</v>
      </c>
    </row>
    <row r="1281" spans="7:23" x14ac:dyDescent="0.35">
      <c r="G1281">
        <v>14</v>
      </c>
      <c r="H1281" t="s">
        <v>24</v>
      </c>
      <c r="I1281" t="s">
        <v>465</v>
      </c>
      <c r="J1281" t="s">
        <v>256</v>
      </c>
      <c r="K1281" t="s">
        <v>3</v>
      </c>
      <c r="L1281" t="s">
        <v>23</v>
      </c>
      <c r="M1281">
        <f t="shared" si="58"/>
        <v>4.9672568562503203</v>
      </c>
      <c r="N1281" t="str">
        <f t="shared" si="59"/>
        <v/>
      </c>
      <c r="O1281" s="67" cm="1">
        <f t="array" ref="O1281">SUMPRODUCT((G1281=$G$7:$G$10000)*(M1281&lt;$M$7:$M$10000))+1</f>
        <v>46</v>
      </c>
      <c r="P1281" s="72"/>
      <c r="Q1281">
        <v>16</v>
      </c>
      <c r="R1281" t="str">
        <v>OGDC</v>
      </c>
      <c r="S1281" t="str">
        <v>Tevita Naqali</v>
      </c>
      <c r="T1281" t="str">
        <v>NULL</v>
      </c>
      <c r="U1281" t="str">
        <v>Home</v>
      </c>
      <c r="V1281" t="str">
        <v>LA</v>
      </c>
      <c r="W1281">
        <v>0</v>
      </c>
    </row>
    <row r="1282" spans="7:23" x14ac:dyDescent="0.35">
      <c r="G1282">
        <v>14</v>
      </c>
      <c r="H1282" t="s">
        <v>13</v>
      </c>
      <c r="I1282" t="s">
        <v>120</v>
      </c>
      <c r="J1282" t="s">
        <v>256</v>
      </c>
      <c r="K1282" t="s">
        <v>9</v>
      </c>
      <c r="L1282" t="s">
        <v>36</v>
      </c>
      <c r="M1282">
        <f t="shared" si="58"/>
        <v>4.8464930210069497</v>
      </c>
      <c r="N1282" t="str">
        <f t="shared" si="59"/>
        <v/>
      </c>
      <c r="O1282" s="67" cm="1">
        <f t="array" ref="O1282">SUMPRODUCT((G1282=$G$7:$G$10000)*(M1282&lt;$M$7:$M$10000))+1</f>
        <v>47</v>
      </c>
      <c r="P1282" s="72"/>
      <c r="Q1282">
        <v>16</v>
      </c>
      <c r="R1282" t="str">
        <v>SDL</v>
      </c>
      <c r="S1282" t="str">
        <v>Brad Wilkin</v>
      </c>
      <c r="T1282" t="str">
        <v>NULL</v>
      </c>
      <c r="U1282" t="str">
        <v>Away</v>
      </c>
      <c r="V1282" t="str">
        <v>MIA</v>
      </c>
      <c r="W1282">
        <v>0</v>
      </c>
    </row>
    <row r="1283" spans="7:23" x14ac:dyDescent="0.35">
      <c r="G1283">
        <v>14</v>
      </c>
      <c r="H1283" t="s">
        <v>34</v>
      </c>
      <c r="I1283" t="s">
        <v>436</v>
      </c>
      <c r="J1283" t="s">
        <v>256</v>
      </c>
      <c r="K1283" t="s">
        <v>9</v>
      </c>
      <c r="L1283" t="s">
        <v>17</v>
      </c>
      <c r="M1283">
        <f t="shared" si="58"/>
        <v>4.6454073303529517</v>
      </c>
      <c r="N1283" t="str">
        <f t="shared" si="59"/>
        <v/>
      </c>
      <c r="O1283" s="67" cm="1">
        <f t="array" ref="O1283">SUMPRODUCT((G1283=$G$7:$G$10000)*(M1283&lt;$M$7:$M$10000))+1</f>
        <v>48</v>
      </c>
      <c r="P1283" s="72"/>
      <c r="Q1283">
        <v>16</v>
      </c>
      <c r="R1283" t="str">
        <v>SDL</v>
      </c>
      <c r="S1283" t="str">
        <v>Brandon Harvey</v>
      </c>
      <c r="T1283" t="str">
        <v>NULL</v>
      </c>
      <c r="U1283" t="str">
        <v>Away</v>
      </c>
      <c r="V1283" t="str">
        <v>MIA</v>
      </c>
      <c r="W1283">
        <v>0</v>
      </c>
    </row>
    <row r="1284" spans="7:23" x14ac:dyDescent="0.35">
      <c r="G1284">
        <v>14</v>
      </c>
      <c r="H1284" t="s">
        <v>34</v>
      </c>
      <c r="I1284" t="s">
        <v>177</v>
      </c>
      <c r="J1284" t="s">
        <v>256</v>
      </c>
      <c r="K1284" t="s">
        <v>9</v>
      </c>
      <c r="L1284" t="s">
        <v>17</v>
      </c>
      <c r="M1284">
        <f t="shared" si="58"/>
        <v>4.4240028482379286</v>
      </c>
      <c r="N1284" t="str">
        <f t="shared" si="59"/>
        <v/>
      </c>
      <c r="O1284" s="67" cm="1">
        <f t="array" ref="O1284">SUMPRODUCT((G1284=$G$7:$G$10000)*(M1284&lt;$M$7:$M$10000))+1</f>
        <v>49</v>
      </c>
      <c r="P1284" s="72"/>
      <c r="Q1284">
        <v>16</v>
      </c>
      <c r="R1284" t="str">
        <v>SDL</v>
      </c>
      <c r="S1284" t="str">
        <v>Christian Poidevin</v>
      </c>
      <c r="T1284" t="str">
        <v>NULL</v>
      </c>
      <c r="U1284" t="str">
        <v>Away</v>
      </c>
      <c r="V1284" t="str">
        <v>MIA</v>
      </c>
      <c r="W1284">
        <v>0</v>
      </c>
    </row>
    <row r="1285" spans="7:23" x14ac:dyDescent="0.35">
      <c r="G1285">
        <v>14</v>
      </c>
      <c r="H1285" t="s">
        <v>14</v>
      </c>
      <c r="I1285" t="s">
        <v>203</v>
      </c>
      <c r="J1285" t="s">
        <v>256</v>
      </c>
      <c r="K1285" t="s">
        <v>3</v>
      </c>
      <c r="L1285" t="s">
        <v>7</v>
      </c>
      <c r="M1285">
        <f t="shared" si="58"/>
        <v>4.3908278973381023</v>
      </c>
      <c r="N1285" t="str">
        <f t="shared" si="59"/>
        <v/>
      </c>
      <c r="O1285" s="67" cm="1">
        <f t="array" ref="O1285">SUMPRODUCT((G1285=$G$7:$G$10000)*(M1285&lt;$M$7:$M$10000))+1</f>
        <v>50</v>
      </c>
      <c r="P1285" s="72"/>
      <c r="Q1285">
        <v>16</v>
      </c>
      <c r="R1285" t="str">
        <v>SDL</v>
      </c>
      <c r="S1285" t="str">
        <v>Darcy Breen</v>
      </c>
      <c r="T1285" t="str">
        <v>NULL</v>
      </c>
      <c r="U1285" t="str">
        <v>Away</v>
      </c>
      <c r="V1285" t="str">
        <v>MIA</v>
      </c>
      <c r="W1285">
        <v>0</v>
      </c>
    </row>
    <row r="1286" spans="7:23" x14ac:dyDescent="0.35">
      <c r="G1286">
        <v>14</v>
      </c>
      <c r="H1286" t="s">
        <v>13</v>
      </c>
      <c r="I1286" t="s">
        <v>469</v>
      </c>
      <c r="J1286" t="s">
        <v>256</v>
      </c>
      <c r="K1286" t="s">
        <v>9</v>
      </c>
      <c r="L1286" t="s">
        <v>36</v>
      </c>
      <c r="M1286">
        <f t="shared" si="58"/>
        <v>4.3561930752153621</v>
      </c>
      <c r="N1286" t="str">
        <f t="shared" si="59"/>
        <v/>
      </c>
      <c r="O1286" s="67" cm="1">
        <f t="array" ref="O1286">SUMPRODUCT((G1286=$G$7:$G$10000)*(M1286&lt;$M$7:$M$10000))+1</f>
        <v>51</v>
      </c>
      <c r="P1286" s="72"/>
      <c r="Q1286">
        <v>16</v>
      </c>
      <c r="R1286" t="str">
        <v>SDL</v>
      </c>
      <c r="S1286" t="str">
        <v>Djustice Sears-Duru</v>
      </c>
      <c r="T1286" t="str">
        <v>NULL</v>
      </c>
      <c r="U1286" t="str">
        <v>Away</v>
      </c>
      <c r="V1286" t="str">
        <v>MIA</v>
      </c>
      <c r="W1286">
        <v>0</v>
      </c>
    </row>
    <row r="1287" spans="7:23" x14ac:dyDescent="0.35">
      <c r="G1287">
        <v>14</v>
      </c>
      <c r="H1287" t="s">
        <v>34</v>
      </c>
      <c r="I1287" t="s">
        <v>153</v>
      </c>
      <c r="J1287" t="s">
        <v>256</v>
      </c>
      <c r="K1287" t="s">
        <v>9</v>
      </c>
      <c r="L1287" t="s">
        <v>17</v>
      </c>
      <c r="M1287">
        <f t="shared" si="58"/>
        <v>4.3235938548961173</v>
      </c>
      <c r="N1287" t="str">
        <f t="shared" si="59"/>
        <v/>
      </c>
      <c r="O1287" s="67" cm="1">
        <f t="array" ref="O1287">SUMPRODUCT((G1287=$G$7:$G$10000)*(M1287&lt;$M$7:$M$10000))+1</f>
        <v>52</v>
      </c>
      <c r="P1287" s="72"/>
      <c r="Q1287">
        <v>16</v>
      </c>
      <c r="R1287" t="str">
        <v>SDL</v>
      </c>
      <c r="S1287" t="str">
        <v>Hugh Roach</v>
      </c>
      <c r="T1287" t="str">
        <v>NULL</v>
      </c>
      <c r="U1287" t="str">
        <v>Away</v>
      </c>
      <c r="V1287" t="str">
        <v>MIA</v>
      </c>
      <c r="W1287">
        <v>0</v>
      </c>
    </row>
    <row r="1288" spans="7:23" x14ac:dyDescent="0.35">
      <c r="G1288">
        <v>14</v>
      </c>
      <c r="H1288" t="s">
        <v>14</v>
      </c>
      <c r="I1288" t="s">
        <v>107</v>
      </c>
      <c r="J1288" t="s">
        <v>256</v>
      </c>
      <c r="K1288" t="s">
        <v>3</v>
      </c>
      <c r="L1288" t="s">
        <v>7</v>
      </c>
      <c r="M1288">
        <f t="shared" si="58"/>
        <v>4.2744487461617258</v>
      </c>
      <c r="N1288" t="str">
        <f t="shared" si="59"/>
        <v/>
      </c>
      <c r="O1288" s="67" cm="1">
        <f t="array" ref="O1288">SUMPRODUCT((G1288=$G$7:$G$10000)*(M1288&lt;$M$7:$M$10000))+1</f>
        <v>53</v>
      </c>
      <c r="P1288" s="72"/>
      <c r="Q1288">
        <v>16</v>
      </c>
      <c r="R1288" t="str">
        <v>SDL</v>
      </c>
      <c r="S1288" t="str">
        <v>Jed Holloway</v>
      </c>
      <c r="T1288" t="str">
        <v>NULL</v>
      </c>
      <c r="U1288" t="str">
        <v>Away</v>
      </c>
      <c r="V1288" t="str">
        <v>MIA</v>
      </c>
      <c r="W1288">
        <v>0</v>
      </c>
    </row>
    <row r="1289" spans="7:23" x14ac:dyDescent="0.35">
      <c r="G1289">
        <v>14</v>
      </c>
      <c r="H1289" t="s">
        <v>14</v>
      </c>
      <c r="I1289" t="s">
        <v>471</v>
      </c>
      <c r="J1289" t="s">
        <v>256</v>
      </c>
      <c r="K1289" t="s">
        <v>3</v>
      </c>
      <c r="L1289" t="s">
        <v>7</v>
      </c>
      <c r="M1289">
        <f t="shared" si="58"/>
        <v>4.2163789115735559</v>
      </c>
      <c r="N1289" t="str">
        <f t="shared" si="59"/>
        <v/>
      </c>
      <c r="O1289" s="67" cm="1">
        <f t="array" ref="O1289">SUMPRODUCT((G1289=$G$7:$G$10000)*(M1289&lt;$M$7:$M$10000))+1</f>
        <v>54</v>
      </c>
      <c r="P1289" s="72"/>
      <c r="Q1289">
        <v>16</v>
      </c>
      <c r="R1289" t="str">
        <v>SDL</v>
      </c>
      <c r="S1289" t="str">
        <v>Jimmy Hokafonu</v>
      </c>
      <c r="T1289" t="str">
        <v>NULL</v>
      </c>
      <c r="U1289" t="str">
        <v>Away</v>
      </c>
      <c r="V1289" t="str">
        <v>MIA</v>
      </c>
      <c r="W1289">
        <v>0</v>
      </c>
    </row>
    <row r="1290" spans="7:23" x14ac:dyDescent="0.35">
      <c r="G1290">
        <v>14</v>
      </c>
      <c r="H1290" t="s">
        <v>17</v>
      </c>
      <c r="I1290" t="s">
        <v>167</v>
      </c>
      <c r="J1290" t="s">
        <v>256</v>
      </c>
      <c r="K1290" t="s">
        <v>3</v>
      </c>
      <c r="L1290" t="s">
        <v>34</v>
      </c>
      <c r="M1290">
        <f t="shared" si="58"/>
        <v>4.1946838478054218</v>
      </c>
      <c r="N1290" t="str">
        <f t="shared" si="59"/>
        <v/>
      </c>
      <c r="O1290" s="67" cm="1">
        <f t="array" ref="O1290">SUMPRODUCT((G1290=$G$7:$G$10000)*(M1290&lt;$M$7:$M$10000))+1</f>
        <v>55</v>
      </c>
      <c r="P1290" s="72"/>
      <c r="Q1290">
        <v>16</v>
      </c>
      <c r="R1290" t="str">
        <v>SDL</v>
      </c>
      <c r="S1290" t="str">
        <v>Paddy Ryan</v>
      </c>
      <c r="T1290" t="str">
        <v>NULL</v>
      </c>
      <c r="U1290" t="str">
        <v>Away</v>
      </c>
      <c r="V1290" t="str">
        <v>MIA</v>
      </c>
      <c r="W1290">
        <v>0</v>
      </c>
    </row>
    <row r="1291" spans="7:23" x14ac:dyDescent="0.35">
      <c r="G1291">
        <v>14</v>
      </c>
      <c r="H1291" t="s">
        <v>7</v>
      </c>
      <c r="I1291" t="s">
        <v>202</v>
      </c>
      <c r="J1291" t="s">
        <v>256</v>
      </c>
      <c r="K1291" t="s">
        <v>9</v>
      </c>
      <c r="L1291" t="s">
        <v>14</v>
      </c>
      <c r="M1291">
        <f t="shared" si="58"/>
        <v>3.9793038678446089</v>
      </c>
      <c r="N1291" t="str">
        <f t="shared" si="59"/>
        <v/>
      </c>
      <c r="O1291" s="67" cm="1">
        <f t="array" ref="O1291">SUMPRODUCT((G1291=$G$7:$G$10000)*(M1291&lt;$M$7:$M$10000))+1</f>
        <v>56</v>
      </c>
      <c r="P1291" s="72"/>
      <c r="Q1291">
        <v>16</v>
      </c>
      <c r="R1291" t="str">
        <v>SDL</v>
      </c>
      <c r="S1291" t="str">
        <v>Payton Telea-Ilalio</v>
      </c>
      <c r="T1291" t="str">
        <v>NULL</v>
      </c>
      <c r="U1291" t="str">
        <v>Away</v>
      </c>
      <c r="V1291" t="str">
        <v>MIA</v>
      </c>
      <c r="W1291">
        <v>0</v>
      </c>
    </row>
    <row r="1292" spans="7:23" x14ac:dyDescent="0.35">
      <c r="G1292">
        <v>14</v>
      </c>
      <c r="H1292" t="s">
        <v>2</v>
      </c>
      <c r="I1292" t="s">
        <v>426</v>
      </c>
      <c r="J1292" t="s">
        <v>256</v>
      </c>
      <c r="K1292" t="s">
        <v>3</v>
      </c>
      <c r="L1292" t="s">
        <v>6</v>
      </c>
      <c r="M1292">
        <f t="shared" si="58"/>
        <v>3.9774381423866316</v>
      </c>
      <c r="N1292" t="str">
        <f t="shared" si="59"/>
        <v/>
      </c>
      <c r="O1292" s="67" cm="1">
        <f t="array" ref="O1292">SUMPRODUCT((G1292=$G$7:$G$10000)*(M1292&lt;$M$7:$M$10000))+1</f>
        <v>57</v>
      </c>
      <c r="P1292" s="72"/>
      <c r="Q1292">
        <v>16</v>
      </c>
      <c r="R1292" t="str">
        <v>SDL</v>
      </c>
      <c r="S1292" t="str">
        <v>Shilo Klein</v>
      </c>
      <c r="T1292" t="str">
        <v>NULL</v>
      </c>
      <c r="U1292" t="str">
        <v>Away</v>
      </c>
      <c r="V1292" t="str">
        <v>MIA</v>
      </c>
      <c r="W1292">
        <v>0</v>
      </c>
    </row>
    <row r="1293" spans="7:23" x14ac:dyDescent="0.35">
      <c r="G1293">
        <v>14</v>
      </c>
      <c r="H1293" t="s">
        <v>2</v>
      </c>
      <c r="I1293" t="s">
        <v>159</v>
      </c>
      <c r="J1293" t="s">
        <v>256</v>
      </c>
      <c r="K1293" t="s">
        <v>3</v>
      </c>
      <c r="L1293" t="s">
        <v>6</v>
      </c>
      <c r="M1293">
        <f t="shared" si="58"/>
        <v>3.8393096676106602</v>
      </c>
      <c r="N1293" t="str">
        <f t="shared" si="59"/>
        <v/>
      </c>
      <c r="O1293" s="67" cm="1">
        <f t="array" ref="O1293">SUMPRODUCT((G1293=$G$7:$G$10000)*(M1293&lt;$M$7:$M$10000))+1</f>
        <v>58</v>
      </c>
      <c r="P1293" s="72"/>
      <c r="Q1293">
        <v>16</v>
      </c>
      <c r="R1293" t="str">
        <v>SDL</v>
      </c>
      <c r="S1293" t="str">
        <v>Tevita Tameilau</v>
      </c>
      <c r="T1293" t="str">
        <v>NULL</v>
      </c>
      <c r="U1293" t="str">
        <v>Away</v>
      </c>
      <c r="V1293" t="str">
        <v>MIA</v>
      </c>
      <c r="W1293">
        <v>0</v>
      </c>
    </row>
    <row r="1294" spans="7:23" x14ac:dyDescent="0.35">
      <c r="G1294">
        <v>14</v>
      </c>
      <c r="H1294" t="s">
        <v>6</v>
      </c>
      <c r="I1294" t="s">
        <v>417</v>
      </c>
      <c r="J1294" t="s">
        <v>256</v>
      </c>
      <c r="K1294" t="s">
        <v>9</v>
      </c>
      <c r="L1294" t="s">
        <v>2</v>
      </c>
      <c r="M1294">
        <f t="shared" si="58"/>
        <v>3.7132252028136157</v>
      </c>
      <c r="N1294" t="str">
        <f t="shared" si="59"/>
        <v/>
      </c>
      <c r="O1294" s="67" cm="1">
        <f t="array" ref="O1294">SUMPRODUCT((G1294=$G$7:$G$10000)*(M1294&lt;$M$7:$M$10000))+1</f>
        <v>59</v>
      </c>
      <c r="P1294" s="72"/>
      <c r="Q1294">
        <v>16</v>
      </c>
      <c r="R1294" t="str">
        <v>SDL</v>
      </c>
      <c r="S1294" t="str">
        <v>Vili Helu</v>
      </c>
      <c r="T1294" t="str">
        <v>NULL</v>
      </c>
      <c r="U1294" t="str">
        <v>Away</v>
      </c>
      <c r="V1294" t="str">
        <v>MIA</v>
      </c>
      <c r="W1294">
        <v>0</v>
      </c>
    </row>
    <row r="1295" spans="7:23" x14ac:dyDescent="0.35">
      <c r="G1295">
        <v>14</v>
      </c>
      <c r="H1295" t="s">
        <v>24</v>
      </c>
      <c r="I1295" t="s">
        <v>422</v>
      </c>
      <c r="J1295" t="s">
        <v>256</v>
      </c>
      <c r="K1295" t="s">
        <v>3</v>
      </c>
      <c r="L1295" t="s">
        <v>23</v>
      </c>
      <c r="M1295">
        <f t="shared" si="58"/>
        <v>3.6975100505044898</v>
      </c>
      <c r="N1295" t="str">
        <f t="shared" si="59"/>
        <v/>
      </c>
      <c r="O1295" s="67" cm="1">
        <f t="array" ref="O1295">SUMPRODUCT((G1295=$G$7:$G$10000)*(M1295&lt;$M$7:$M$10000))+1</f>
        <v>60</v>
      </c>
      <c r="P1295" s="72"/>
      <c r="Q1295">
        <v>16</v>
      </c>
      <c r="R1295" t="str">
        <v>SEA</v>
      </c>
      <c r="S1295" t="str">
        <v>Cameron Orr</v>
      </c>
      <c r="T1295" t="str">
        <v>NULL</v>
      </c>
      <c r="U1295" t="str">
        <v>Away</v>
      </c>
      <c r="V1295" t="str">
        <v>NEFJ</v>
      </c>
      <c r="W1295">
        <v>0</v>
      </c>
    </row>
    <row r="1296" spans="7:23" x14ac:dyDescent="0.35">
      <c r="G1296">
        <v>14</v>
      </c>
      <c r="H1296" t="s">
        <v>23</v>
      </c>
      <c r="I1296" t="s">
        <v>252</v>
      </c>
      <c r="J1296" t="s">
        <v>256</v>
      </c>
      <c r="K1296" t="s">
        <v>9</v>
      </c>
      <c r="L1296" t="s">
        <v>24</v>
      </c>
      <c r="M1296">
        <f t="shared" si="58"/>
        <v>3.6963729972206094</v>
      </c>
      <c r="N1296" t="str">
        <f t="shared" si="59"/>
        <v/>
      </c>
      <c r="O1296" s="67" cm="1">
        <f t="array" ref="O1296">SUMPRODUCT((G1296=$G$7:$G$10000)*(M1296&lt;$M$7:$M$10000))+1</f>
        <v>61</v>
      </c>
      <c r="P1296" s="72"/>
      <c r="Q1296">
        <v>16</v>
      </c>
      <c r="R1296" t="str">
        <v>SEA</v>
      </c>
      <c r="S1296" t="str">
        <v>Devin Short</v>
      </c>
      <c r="T1296" t="str">
        <v>NULL</v>
      </c>
      <c r="U1296" t="str">
        <v>Away</v>
      </c>
      <c r="V1296" t="str">
        <v>NEFJ</v>
      </c>
      <c r="W1296">
        <v>0</v>
      </c>
    </row>
    <row r="1297" spans="7:23" x14ac:dyDescent="0.35">
      <c r="G1297">
        <v>14</v>
      </c>
      <c r="H1297" t="s">
        <v>13</v>
      </c>
      <c r="I1297" t="s">
        <v>210</v>
      </c>
      <c r="J1297" t="s">
        <v>256</v>
      </c>
      <c r="K1297" t="s">
        <v>9</v>
      </c>
      <c r="L1297" t="s">
        <v>36</v>
      </c>
      <c r="M1297">
        <f t="shared" si="58"/>
        <v>3.6707442373024368</v>
      </c>
      <c r="N1297" t="str">
        <f t="shared" si="59"/>
        <v/>
      </c>
      <c r="O1297" s="67" cm="1">
        <f t="array" ref="O1297">SUMPRODUCT((G1297=$G$7:$G$10000)*(M1297&lt;$M$7:$M$10000))+1</f>
        <v>62</v>
      </c>
      <c r="P1297" s="72"/>
      <c r="Q1297">
        <v>16</v>
      </c>
      <c r="R1297" t="str">
        <v>SEA</v>
      </c>
      <c r="S1297" t="str">
        <v>Dewald Kotze</v>
      </c>
      <c r="T1297" t="str">
        <v>NULL</v>
      </c>
      <c r="U1297" t="str">
        <v>Away</v>
      </c>
      <c r="V1297" t="str">
        <v>NEFJ</v>
      </c>
      <c r="W1297">
        <v>0</v>
      </c>
    </row>
    <row r="1298" spans="7:23" x14ac:dyDescent="0.35">
      <c r="G1298">
        <v>14</v>
      </c>
      <c r="H1298" t="s">
        <v>17</v>
      </c>
      <c r="I1298" t="s">
        <v>423</v>
      </c>
      <c r="J1298" t="s">
        <v>256</v>
      </c>
      <c r="K1298" t="s">
        <v>3</v>
      </c>
      <c r="L1298" t="s">
        <v>34</v>
      </c>
      <c r="M1298">
        <f t="shared" si="58"/>
        <v>3.5496299579609376</v>
      </c>
      <c r="N1298" t="str">
        <f t="shared" si="59"/>
        <v/>
      </c>
      <c r="O1298" s="67" cm="1">
        <f t="array" ref="O1298">SUMPRODUCT((G1298=$G$7:$G$10000)*(M1298&lt;$M$7:$M$10000))+1</f>
        <v>63</v>
      </c>
      <c r="P1298" s="72"/>
      <c r="Q1298">
        <v>16</v>
      </c>
      <c r="R1298" t="str">
        <v>SEA</v>
      </c>
      <c r="S1298" t="str">
        <v>Huw Taylor</v>
      </c>
      <c r="T1298" t="str">
        <v>NULL</v>
      </c>
      <c r="U1298" t="str">
        <v>Away</v>
      </c>
      <c r="V1298" t="str">
        <v>NEFJ</v>
      </c>
      <c r="W1298">
        <v>0</v>
      </c>
    </row>
    <row r="1299" spans="7:23" x14ac:dyDescent="0.35">
      <c r="G1299">
        <v>14</v>
      </c>
      <c r="H1299" t="s">
        <v>14</v>
      </c>
      <c r="I1299" t="s">
        <v>143</v>
      </c>
      <c r="J1299" t="s">
        <v>256</v>
      </c>
      <c r="K1299" t="s">
        <v>3</v>
      </c>
      <c r="L1299" t="s">
        <v>7</v>
      </c>
      <c r="M1299">
        <f t="shared" si="58"/>
        <v>3.4677930648965498</v>
      </c>
      <c r="N1299" t="str">
        <f t="shared" si="59"/>
        <v/>
      </c>
      <c r="O1299" s="67" cm="1">
        <f t="array" ref="O1299">SUMPRODUCT((G1299=$G$7:$G$10000)*(M1299&lt;$M$7:$M$10000))+1</f>
        <v>64</v>
      </c>
      <c r="P1299" s="72"/>
      <c r="Q1299">
        <v>16</v>
      </c>
      <c r="R1299" t="str">
        <v>SEA</v>
      </c>
      <c r="S1299" t="str">
        <v>Juan Pablo Zeiss</v>
      </c>
      <c r="T1299" t="str">
        <v>NULL</v>
      </c>
      <c r="U1299" t="str">
        <v>Away</v>
      </c>
      <c r="V1299" t="str">
        <v>NEFJ</v>
      </c>
      <c r="W1299">
        <v>0</v>
      </c>
    </row>
    <row r="1300" spans="7:23" x14ac:dyDescent="0.35">
      <c r="G1300">
        <v>14</v>
      </c>
      <c r="H1300" t="s">
        <v>23</v>
      </c>
      <c r="I1300" t="s">
        <v>229</v>
      </c>
      <c r="J1300" t="s">
        <v>256</v>
      </c>
      <c r="K1300" t="s">
        <v>9</v>
      </c>
      <c r="L1300" t="s">
        <v>24</v>
      </c>
      <c r="M1300">
        <f t="shared" si="58"/>
        <v>3.4572621443565152</v>
      </c>
      <c r="N1300" t="str">
        <f t="shared" si="59"/>
        <v/>
      </c>
      <c r="O1300" s="67" cm="1">
        <f t="array" ref="O1300">SUMPRODUCT((G1300=$G$7:$G$10000)*(M1300&lt;$M$7:$M$10000))+1</f>
        <v>65</v>
      </c>
      <c r="P1300" s="72"/>
      <c r="Q1300">
        <v>16</v>
      </c>
      <c r="R1300" t="str">
        <v>SEA</v>
      </c>
      <c r="S1300" t="str">
        <v>Kerron van Vuuren</v>
      </c>
      <c r="T1300" t="str">
        <v>NULL</v>
      </c>
      <c r="U1300" t="str">
        <v>Away</v>
      </c>
      <c r="V1300" t="str">
        <v>NEFJ</v>
      </c>
      <c r="W1300">
        <v>0</v>
      </c>
    </row>
    <row r="1301" spans="7:23" x14ac:dyDescent="0.35">
      <c r="G1301">
        <v>14</v>
      </c>
      <c r="H1301" t="s">
        <v>14</v>
      </c>
      <c r="I1301" t="s">
        <v>413</v>
      </c>
      <c r="J1301" t="s">
        <v>256</v>
      </c>
      <c r="K1301" t="s">
        <v>3</v>
      </c>
      <c r="L1301" t="s">
        <v>7</v>
      </c>
      <c r="M1301">
        <f t="shared" si="58"/>
        <v>3.1190332249242916</v>
      </c>
      <c r="N1301" t="str">
        <f t="shared" si="59"/>
        <v/>
      </c>
      <c r="O1301" s="67" cm="1">
        <f t="array" ref="O1301">SUMPRODUCT((G1301=$G$7:$G$10000)*(M1301&lt;$M$7:$M$10000))+1</f>
        <v>66</v>
      </c>
      <c r="P1301" s="72"/>
      <c r="Q1301">
        <v>16</v>
      </c>
      <c r="R1301" t="str">
        <v>SEA</v>
      </c>
      <c r="S1301" t="str">
        <v>Malembe Mpofu</v>
      </c>
      <c r="T1301" t="str">
        <v>NULL</v>
      </c>
      <c r="U1301" t="str">
        <v>Away</v>
      </c>
      <c r="V1301" t="str">
        <v>NEFJ</v>
      </c>
      <c r="W1301">
        <v>0</v>
      </c>
    </row>
    <row r="1302" spans="7:23" x14ac:dyDescent="0.35">
      <c r="G1302">
        <v>14</v>
      </c>
      <c r="H1302" t="s">
        <v>14</v>
      </c>
      <c r="I1302" t="s">
        <v>470</v>
      </c>
      <c r="J1302" t="s">
        <v>256</v>
      </c>
      <c r="K1302" t="s">
        <v>3</v>
      </c>
      <c r="L1302" t="s">
        <v>7</v>
      </c>
      <c r="M1302">
        <f t="shared" si="58"/>
        <v>3.1028111400914034</v>
      </c>
      <c r="N1302" t="str">
        <f t="shared" si="59"/>
        <v/>
      </c>
      <c r="O1302" s="67" cm="1">
        <f t="array" ref="O1302">SUMPRODUCT((G1302=$G$7:$G$10000)*(M1302&lt;$M$7:$M$10000))+1</f>
        <v>67</v>
      </c>
      <c r="P1302" s="72"/>
      <c r="Q1302">
        <v>16</v>
      </c>
      <c r="R1302" t="str">
        <v>SEA</v>
      </c>
      <c r="S1302" t="str">
        <v>OJ Noa</v>
      </c>
      <c r="T1302" t="str">
        <v>NULL</v>
      </c>
      <c r="U1302" t="str">
        <v>Away</v>
      </c>
      <c r="V1302" t="str">
        <v>NEFJ</v>
      </c>
      <c r="W1302">
        <v>0</v>
      </c>
    </row>
    <row r="1303" spans="7:23" x14ac:dyDescent="0.35">
      <c r="G1303">
        <v>14</v>
      </c>
      <c r="H1303" t="s">
        <v>14</v>
      </c>
      <c r="I1303" t="s">
        <v>164</v>
      </c>
      <c r="J1303" t="s">
        <v>256</v>
      </c>
      <c r="K1303" t="s">
        <v>3</v>
      </c>
      <c r="L1303" t="s">
        <v>7</v>
      </c>
      <c r="M1303">
        <f t="shared" si="58"/>
        <v>3.09156105561825</v>
      </c>
      <c r="N1303" t="str">
        <f t="shared" si="59"/>
        <v/>
      </c>
      <c r="O1303" s="67" cm="1">
        <f t="array" ref="O1303">SUMPRODUCT((G1303=$G$7:$G$10000)*(M1303&lt;$M$7:$M$10000))+1</f>
        <v>68</v>
      </c>
      <c r="P1303" s="72"/>
      <c r="Q1303">
        <v>16</v>
      </c>
      <c r="R1303" t="str">
        <v>SEA</v>
      </c>
      <c r="S1303" t="str">
        <v>Rhyno Herbst</v>
      </c>
      <c r="T1303" t="str">
        <v>NULL</v>
      </c>
      <c r="U1303" t="str">
        <v>Away</v>
      </c>
      <c r="V1303" t="str">
        <v>NEFJ</v>
      </c>
      <c r="W1303">
        <v>0</v>
      </c>
    </row>
    <row r="1304" spans="7:23" x14ac:dyDescent="0.35">
      <c r="G1304">
        <v>14</v>
      </c>
      <c r="H1304" t="s">
        <v>6</v>
      </c>
      <c r="I1304" t="s">
        <v>416</v>
      </c>
      <c r="J1304" t="s">
        <v>256</v>
      </c>
      <c r="K1304" t="s">
        <v>9</v>
      </c>
      <c r="L1304" t="s">
        <v>2</v>
      </c>
      <c r="M1304">
        <f t="shared" si="58"/>
        <v>3.0228235057363593</v>
      </c>
      <c r="N1304" t="str">
        <f t="shared" si="59"/>
        <v/>
      </c>
      <c r="O1304" s="67" cm="1">
        <f t="array" ref="O1304">SUMPRODUCT((G1304=$G$7:$G$10000)*(M1304&lt;$M$7:$M$10000))+1</f>
        <v>69</v>
      </c>
      <c r="P1304" s="72"/>
      <c r="Q1304">
        <v>16</v>
      </c>
      <c r="R1304" t="str">
        <v>SEA</v>
      </c>
      <c r="S1304" t="str">
        <v>Siaosi Mahoni</v>
      </c>
      <c r="T1304" t="str">
        <v>NULL</v>
      </c>
      <c r="U1304" t="str">
        <v>Away</v>
      </c>
      <c r="V1304" t="str">
        <v>NEFJ</v>
      </c>
      <c r="W1304">
        <v>0</v>
      </c>
    </row>
    <row r="1305" spans="7:23" x14ac:dyDescent="0.35">
      <c r="G1305">
        <v>14</v>
      </c>
      <c r="H1305" t="s">
        <v>24</v>
      </c>
      <c r="I1305" t="s">
        <v>217</v>
      </c>
      <c r="J1305" t="s">
        <v>256</v>
      </c>
      <c r="K1305" t="s">
        <v>3</v>
      </c>
      <c r="L1305" t="s">
        <v>23</v>
      </c>
      <c r="M1305">
        <f t="shared" si="58"/>
        <v>2.9548959975723443</v>
      </c>
      <c r="N1305" t="str">
        <f t="shared" si="59"/>
        <v/>
      </c>
      <c r="O1305" s="67" cm="1">
        <f t="array" ref="O1305">SUMPRODUCT((G1305=$G$7:$G$10000)*(M1305&lt;$M$7:$M$10000))+1</f>
        <v>70</v>
      </c>
      <c r="P1305" s="72"/>
      <c r="Q1305">
        <v>16</v>
      </c>
      <c r="R1305" t="str">
        <v>SEA</v>
      </c>
      <c r="S1305" t="str">
        <v>Taylor Krumrei</v>
      </c>
      <c r="T1305" t="str">
        <v>NULL</v>
      </c>
      <c r="U1305" t="str">
        <v>Away</v>
      </c>
      <c r="V1305" t="str">
        <v>NEFJ</v>
      </c>
      <c r="W1305">
        <v>0</v>
      </c>
    </row>
    <row r="1306" spans="7:23" x14ac:dyDescent="0.35">
      <c r="G1306">
        <v>14</v>
      </c>
      <c r="H1306" t="s">
        <v>24</v>
      </c>
      <c r="I1306" t="s">
        <v>411</v>
      </c>
      <c r="J1306" t="s">
        <v>256</v>
      </c>
      <c r="K1306" t="s">
        <v>3</v>
      </c>
      <c r="L1306" t="s">
        <v>23</v>
      </c>
      <c r="M1306">
        <f t="shared" si="58"/>
        <v>2.8078722751444949</v>
      </c>
      <c r="N1306" t="str">
        <f t="shared" si="59"/>
        <v/>
      </c>
      <c r="O1306" s="67" cm="1">
        <f t="array" ref="O1306">SUMPRODUCT((G1306=$G$7:$G$10000)*(M1306&lt;$M$7:$M$10000))+1</f>
        <v>71</v>
      </c>
      <c r="P1306" s="72"/>
      <c r="Q1306">
        <v>16</v>
      </c>
      <c r="R1306" t="str">
        <v>UTAH</v>
      </c>
      <c r="S1306" t="str">
        <v>Aki Seiuli</v>
      </c>
      <c r="T1306" t="str">
        <v>NULL</v>
      </c>
      <c r="U1306" t="str">
        <v>Home</v>
      </c>
      <c r="V1306" t="str">
        <v>ARC</v>
      </c>
      <c r="W1306">
        <v>0</v>
      </c>
    </row>
    <row r="1307" spans="7:23" x14ac:dyDescent="0.35">
      <c r="G1307">
        <v>14</v>
      </c>
      <c r="H1307" t="s">
        <v>24</v>
      </c>
      <c r="I1307" t="s">
        <v>168</v>
      </c>
      <c r="J1307" t="s">
        <v>256</v>
      </c>
      <c r="K1307" t="s">
        <v>3</v>
      </c>
      <c r="L1307" t="s">
        <v>23</v>
      </c>
      <c r="M1307">
        <f t="shared" si="58"/>
        <v>2.480462236932178</v>
      </c>
      <c r="N1307" t="str">
        <f t="shared" si="59"/>
        <v/>
      </c>
      <c r="O1307" s="67" cm="1">
        <f t="array" ref="O1307">SUMPRODUCT((G1307=$G$7:$G$10000)*(M1307&lt;$M$7:$M$10000))+1</f>
        <v>72</v>
      </c>
      <c r="P1307" s="72"/>
      <c r="Q1307">
        <v>16</v>
      </c>
      <c r="R1307" t="str">
        <v>UTAH</v>
      </c>
      <c r="S1307" t="str">
        <v>Dylan Nel</v>
      </c>
      <c r="T1307" t="str">
        <v>NULL</v>
      </c>
      <c r="U1307" t="str">
        <v>Home</v>
      </c>
      <c r="V1307" t="str">
        <v>ARC</v>
      </c>
      <c r="W1307">
        <v>0</v>
      </c>
    </row>
    <row r="1308" spans="7:23" x14ac:dyDescent="0.35">
      <c r="G1308">
        <v>14</v>
      </c>
      <c r="H1308" t="s">
        <v>17</v>
      </c>
      <c r="I1308" t="s">
        <v>155</v>
      </c>
      <c r="J1308" t="s">
        <v>256</v>
      </c>
      <c r="K1308" t="s">
        <v>3</v>
      </c>
      <c r="L1308" t="s">
        <v>34</v>
      </c>
      <c r="M1308">
        <f t="shared" si="58"/>
        <v>2.3731875601038626</v>
      </c>
      <c r="N1308" t="str">
        <f t="shared" si="59"/>
        <v/>
      </c>
      <c r="O1308" s="67" cm="1">
        <f t="array" ref="O1308">SUMPRODUCT((G1308=$G$7:$G$10000)*(M1308&lt;$M$7:$M$10000))+1</f>
        <v>73</v>
      </c>
      <c r="P1308" s="72"/>
      <c r="Q1308">
        <v>16</v>
      </c>
      <c r="R1308" t="str">
        <v>UTAH</v>
      </c>
      <c r="S1308" t="str">
        <v>Frank Lochore</v>
      </c>
      <c r="T1308" t="str">
        <v>NULL</v>
      </c>
      <c r="U1308" t="str">
        <v>Home</v>
      </c>
      <c r="V1308" t="str">
        <v>ARC</v>
      </c>
      <c r="W1308">
        <v>0</v>
      </c>
    </row>
    <row r="1309" spans="7:23" x14ac:dyDescent="0.35">
      <c r="G1309">
        <v>14</v>
      </c>
      <c r="H1309" t="s">
        <v>14</v>
      </c>
      <c r="I1309" t="s">
        <v>425</v>
      </c>
      <c r="J1309" t="s">
        <v>256</v>
      </c>
      <c r="K1309" t="s">
        <v>3</v>
      </c>
      <c r="L1309" t="s">
        <v>7</v>
      </c>
      <c r="M1309">
        <f t="shared" si="58"/>
        <v>2.2919650063333981</v>
      </c>
      <c r="N1309" t="str">
        <f t="shared" si="59"/>
        <v/>
      </c>
      <c r="O1309" s="67" cm="1">
        <f t="array" ref="O1309">SUMPRODUCT((G1309=$G$7:$G$10000)*(M1309&lt;$M$7:$M$10000))+1</f>
        <v>74</v>
      </c>
      <c r="P1309" s="72"/>
      <c r="Q1309">
        <v>16</v>
      </c>
      <c r="R1309" t="str">
        <v>UTAH</v>
      </c>
      <c r="S1309" t="str">
        <v>Gavin Thornbury</v>
      </c>
      <c r="T1309" t="str">
        <v>NULL</v>
      </c>
      <c r="U1309" t="str">
        <v>Home</v>
      </c>
      <c r="V1309" t="str">
        <v>ARC</v>
      </c>
      <c r="W1309">
        <v>0</v>
      </c>
    </row>
    <row r="1310" spans="7:23" x14ac:dyDescent="0.35">
      <c r="G1310">
        <v>14</v>
      </c>
      <c r="H1310" t="s">
        <v>14</v>
      </c>
      <c r="I1310" t="s">
        <v>181</v>
      </c>
      <c r="J1310" t="s">
        <v>256</v>
      </c>
      <c r="K1310" t="s">
        <v>3</v>
      </c>
      <c r="L1310" t="s">
        <v>7</v>
      </c>
      <c r="M1310">
        <f t="shared" si="58"/>
        <v>2.2752217158691854</v>
      </c>
      <c r="N1310" t="str">
        <f t="shared" si="59"/>
        <v/>
      </c>
      <c r="O1310" s="67" cm="1">
        <f t="array" ref="O1310">SUMPRODUCT((G1310=$G$7:$G$10000)*(M1310&lt;$M$7:$M$10000))+1</f>
        <v>75</v>
      </c>
      <c r="P1310" s="72"/>
      <c r="Q1310">
        <v>16</v>
      </c>
      <c r="R1310" t="str">
        <v>UTAH</v>
      </c>
      <c r="S1310" t="str">
        <v>Kalisi Moli</v>
      </c>
      <c r="T1310" t="str">
        <v>NULL</v>
      </c>
      <c r="U1310" t="str">
        <v>Home</v>
      </c>
      <c r="V1310" t="str">
        <v>ARC</v>
      </c>
      <c r="W1310">
        <v>0</v>
      </c>
    </row>
    <row r="1311" spans="7:23" x14ac:dyDescent="0.35">
      <c r="G1311">
        <v>14</v>
      </c>
      <c r="H1311" t="s">
        <v>6</v>
      </c>
      <c r="I1311" t="s">
        <v>116</v>
      </c>
      <c r="J1311" t="s">
        <v>256</v>
      </c>
      <c r="K1311" t="s">
        <v>9</v>
      </c>
      <c r="L1311" t="s">
        <v>2</v>
      </c>
      <c r="M1311">
        <f t="shared" si="58"/>
        <v>2.2507666701516937</v>
      </c>
      <c r="N1311" t="str">
        <f t="shared" si="59"/>
        <v/>
      </c>
      <c r="O1311" s="67" cm="1">
        <f t="array" ref="O1311">SUMPRODUCT((G1311=$G$7:$G$10000)*(M1311&lt;$M$7:$M$10000))+1</f>
        <v>76</v>
      </c>
      <c r="P1311" s="72"/>
      <c r="Q1311">
        <v>16</v>
      </c>
      <c r="R1311" t="str">
        <v>UTAH</v>
      </c>
      <c r="S1311" t="str">
        <v>Liam Coltman</v>
      </c>
      <c r="T1311" t="str">
        <v>NULL</v>
      </c>
      <c r="U1311" t="str">
        <v>Home</v>
      </c>
      <c r="V1311" t="str">
        <v>ARC</v>
      </c>
      <c r="W1311">
        <v>0</v>
      </c>
    </row>
    <row r="1312" spans="7:23" x14ac:dyDescent="0.35">
      <c r="G1312">
        <v>14</v>
      </c>
      <c r="H1312" t="s">
        <v>14</v>
      </c>
      <c r="I1312" t="s">
        <v>197</v>
      </c>
      <c r="J1312" t="s">
        <v>256</v>
      </c>
      <c r="K1312" t="s">
        <v>3</v>
      </c>
      <c r="L1312" t="s">
        <v>7</v>
      </c>
      <c r="M1312">
        <f t="shared" si="58"/>
        <v>2.1473507297439456</v>
      </c>
      <c r="N1312" t="str">
        <f t="shared" si="59"/>
        <v/>
      </c>
      <c r="O1312" s="67" cm="1">
        <f t="array" ref="O1312">SUMPRODUCT((G1312=$G$7:$G$10000)*(M1312&lt;$M$7:$M$10000))+1</f>
        <v>77</v>
      </c>
      <c r="P1312" s="72"/>
      <c r="Q1312">
        <v>16</v>
      </c>
      <c r="R1312" t="str">
        <v>UTAH</v>
      </c>
      <c r="S1312" t="str">
        <v>Matt Jenson</v>
      </c>
      <c r="T1312" t="str">
        <v>NULL</v>
      </c>
      <c r="U1312" t="str">
        <v>Home</v>
      </c>
      <c r="V1312" t="str">
        <v>ARC</v>
      </c>
      <c r="W1312">
        <v>0</v>
      </c>
    </row>
    <row r="1313" spans="7:23" x14ac:dyDescent="0.35">
      <c r="G1313">
        <v>14</v>
      </c>
      <c r="H1313" t="s">
        <v>34</v>
      </c>
      <c r="I1313" t="s">
        <v>161</v>
      </c>
      <c r="J1313" t="s">
        <v>256</v>
      </c>
      <c r="K1313" t="s">
        <v>9</v>
      </c>
      <c r="L1313" t="s">
        <v>17</v>
      </c>
      <c r="M1313">
        <f t="shared" si="58"/>
        <v>2.0812099755310323</v>
      </c>
      <c r="N1313" t="str">
        <f t="shared" si="59"/>
        <v/>
      </c>
      <c r="O1313" s="67" cm="1">
        <f t="array" ref="O1313">SUMPRODUCT((G1313=$G$7:$G$10000)*(M1313&lt;$M$7:$M$10000))+1</f>
        <v>78</v>
      </c>
      <c r="P1313" s="72"/>
      <c r="Q1313">
        <v>16</v>
      </c>
      <c r="R1313" t="str">
        <v>UTAH</v>
      </c>
      <c r="S1313" t="str">
        <v>Tonga Kofe</v>
      </c>
      <c r="T1313" t="str">
        <v>NULL</v>
      </c>
      <c r="U1313" t="str">
        <v>Home</v>
      </c>
      <c r="V1313" t="str">
        <v>ARC</v>
      </c>
      <c r="W1313">
        <v>0</v>
      </c>
    </row>
    <row r="1314" spans="7:23" x14ac:dyDescent="0.35">
      <c r="G1314">
        <v>14</v>
      </c>
      <c r="H1314" t="s">
        <v>7</v>
      </c>
      <c r="I1314" t="s">
        <v>158</v>
      </c>
      <c r="J1314" t="s">
        <v>256</v>
      </c>
      <c r="K1314" t="s">
        <v>9</v>
      </c>
      <c r="L1314" t="s">
        <v>14</v>
      </c>
      <c r="M1314">
        <f t="shared" si="58"/>
        <v>1.8600449402305728</v>
      </c>
      <c r="N1314" t="str">
        <f t="shared" si="59"/>
        <v/>
      </c>
      <c r="O1314" s="67" cm="1">
        <f t="array" ref="O1314">SUMPRODUCT((G1314=$G$7:$G$10000)*(M1314&lt;$M$7:$M$10000))+1</f>
        <v>79</v>
      </c>
      <c r="P1314" s="72"/>
    </row>
    <row r="1315" spans="7:23" x14ac:dyDescent="0.35">
      <c r="G1315">
        <v>14</v>
      </c>
      <c r="H1315" t="s">
        <v>7</v>
      </c>
      <c r="I1315" t="s">
        <v>163</v>
      </c>
      <c r="J1315" t="s">
        <v>256</v>
      </c>
      <c r="K1315" t="s">
        <v>9</v>
      </c>
      <c r="L1315" t="s">
        <v>14</v>
      </c>
      <c r="M1315">
        <f t="shared" si="58"/>
        <v>1.8075279105472726</v>
      </c>
      <c r="N1315" t="str">
        <f t="shared" si="59"/>
        <v/>
      </c>
      <c r="O1315" s="67" cm="1">
        <f t="array" ref="O1315">SUMPRODUCT((G1315=$G$7:$G$10000)*(M1315&lt;$M$7:$M$10000))+1</f>
        <v>80</v>
      </c>
      <c r="P1315" s="72"/>
    </row>
    <row r="1316" spans="7:23" x14ac:dyDescent="0.35">
      <c r="G1316">
        <v>14</v>
      </c>
      <c r="H1316" t="s">
        <v>2</v>
      </c>
      <c r="I1316" t="s">
        <v>185</v>
      </c>
      <c r="J1316" t="s">
        <v>256</v>
      </c>
      <c r="K1316" t="s">
        <v>3</v>
      </c>
      <c r="L1316" t="s">
        <v>6</v>
      </c>
      <c r="M1316">
        <f t="shared" si="58"/>
        <v>1.7353797058041627</v>
      </c>
      <c r="N1316" t="str">
        <f t="shared" si="59"/>
        <v/>
      </c>
      <c r="O1316" s="67" cm="1">
        <f t="array" ref="O1316">SUMPRODUCT((G1316=$G$7:$G$10000)*(M1316&lt;$M$7:$M$10000))+1</f>
        <v>81</v>
      </c>
      <c r="P1316" s="72"/>
    </row>
    <row r="1317" spans="7:23" x14ac:dyDescent="0.35">
      <c r="G1317">
        <v>14</v>
      </c>
      <c r="H1317" t="s">
        <v>34</v>
      </c>
      <c r="I1317" t="s">
        <v>424</v>
      </c>
      <c r="J1317" t="s">
        <v>256</v>
      </c>
      <c r="K1317" t="s">
        <v>9</v>
      </c>
      <c r="L1317" t="s">
        <v>17</v>
      </c>
      <c r="M1317">
        <f t="shared" si="58"/>
        <v>1.7022028893102146</v>
      </c>
      <c r="N1317" t="str">
        <f t="shared" si="59"/>
        <v/>
      </c>
      <c r="O1317" s="67" cm="1">
        <f t="array" ref="O1317">SUMPRODUCT((G1317=$G$7:$G$10000)*(M1317&lt;$M$7:$M$10000))+1</f>
        <v>82</v>
      </c>
      <c r="P1317" s="72"/>
    </row>
    <row r="1318" spans="7:23" x14ac:dyDescent="0.35">
      <c r="G1318">
        <v>14</v>
      </c>
      <c r="H1318" t="s">
        <v>6</v>
      </c>
      <c r="I1318" t="s">
        <v>418</v>
      </c>
      <c r="J1318" t="s">
        <v>256</v>
      </c>
      <c r="K1318" t="s">
        <v>9</v>
      </c>
      <c r="L1318" t="s">
        <v>2</v>
      </c>
      <c r="M1318">
        <f t="shared" si="58"/>
        <v>1.5754006034057273</v>
      </c>
      <c r="N1318" t="str">
        <f t="shared" si="59"/>
        <v/>
      </c>
      <c r="O1318" s="67" cm="1">
        <f t="array" ref="O1318">SUMPRODUCT((G1318=$G$7:$G$10000)*(M1318&lt;$M$7:$M$10000))+1</f>
        <v>83</v>
      </c>
      <c r="P1318" s="72"/>
    </row>
    <row r="1319" spans="7:23" x14ac:dyDescent="0.35">
      <c r="G1319">
        <v>14</v>
      </c>
      <c r="H1319" t="s">
        <v>36</v>
      </c>
      <c r="I1319" t="s">
        <v>205</v>
      </c>
      <c r="J1319" t="s">
        <v>256</v>
      </c>
      <c r="K1319" t="s">
        <v>3</v>
      </c>
      <c r="L1319" t="s">
        <v>13</v>
      </c>
      <c r="M1319">
        <f t="shared" ref="M1319:M1382" si="60">VLOOKUP($K1319,$F$3:$G$4,2,FALSE)+VLOOKUP($I1319,$A$20:$B$321,2,FALSE)+VLOOKUP($L1319,$A$6:$B$16,2,FALSE)</f>
        <v>1.5537713555719752</v>
      </c>
      <c r="N1319" t="str">
        <f t="shared" ref="N1319:N1382" si="61">IFERROR(($J1319-$M1319)^2,"")</f>
        <v/>
      </c>
      <c r="O1319" s="67" cm="1">
        <f t="array" ref="O1319">SUMPRODUCT((G1319=$G$7:$G$10000)*(M1319&lt;$M$7:$M$10000))+1</f>
        <v>84</v>
      </c>
      <c r="P1319" s="72"/>
    </row>
    <row r="1320" spans="7:23" x14ac:dyDescent="0.35">
      <c r="G1320">
        <v>14</v>
      </c>
      <c r="H1320" t="s">
        <v>7</v>
      </c>
      <c r="I1320" t="s">
        <v>211</v>
      </c>
      <c r="J1320" t="s">
        <v>256</v>
      </c>
      <c r="K1320" t="s">
        <v>9</v>
      </c>
      <c r="L1320" t="s">
        <v>14</v>
      </c>
      <c r="M1320">
        <f t="shared" si="60"/>
        <v>1.4913962946842174</v>
      </c>
      <c r="N1320" t="str">
        <f t="shared" si="61"/>
        <v/>
      </c>
      <c r="O1320" s="67" cm="1">
        <f t="array" ref="O1320">SUMPRODUCT((G1320=$G$7:$G$10000)*(M1320&lt;$M$7:$M$10000))+1</f>
        <v>85</v>
      </c>
      <c r="P1320" s="72"/>
    </row>
    <row r="1321" spans="7:23" x14ac:dyDescent="0.35">
      <c r="G1321">
        <v>14</v>
      </c>
      <c r="H1321" t="s">
        <v>7</v>
      </c>
      <c r="I1321" t="s">
        <v>104</v>
      </c>
      <c r="J1321" t="s">
        <v>256</v>
      </c>
      <c r="K1321" t="s">
        <v>9</v>
      </c>
      <c r="L1321" t="s">
        <v>14</v>
      </c>
      <c r="M1321">
        <f t="shared" si="60"/>
        <v>1.3332886206105279</v>
      </c>
      <c r="N1321" t="str">
        <f t="shared" si="61"/>
        <v/>
      </c>
      <c r="O1321" s="67" cm="1">
        <f t="array" ref="O1321">SUMPRODUCT((G1321=$G$7:$G$10000)*(M1321&lt;$M$7:$M$10000))+1</f>
        <v>86</v>
      </c>
      <c r="P1321" s="72"/>
    </row>
    <row r="1322" spans="7:23" x14ac:dyDescent="0.35">
      <c r="G1322">
        <v>14</v>
      </c>
      <c r="H1322" t="s">
        <v>7</v>
      </c>
      <c r="I1322" t="s">
        <v>148</v>
      </c>
      <c r="J1322" t="s">
        <v>256</v>
      </c>
      <c r="K1322" t="s">
        <v>9</v>
      </c>
      <c r="L1322" t="s">
        <v>14</v>
      </c>
      <c r="M1322">
        <f t="shared" si="60"/>
        <v>1.1333482103045442</v>
      </c>
      <c r="N1322" t="str">
        <f t="shared" si="61"/>
        <v/>
      </c>
      <c r="O1322" s="67" cm="1">
        <f t="array" ref="O1322">SUMPRODUCT((G1322=$G$7:$G$10000)*(M1322&lt;$M$7:$M$10000))+1</f>
        <v>87</v>
      </c>
      <c r="P1322" s="72"/>
    </row>
    <row r="1323" spans="7:23" x14ac:dyDescent="0.35">
      <c r="G1323">
        <v>14</v>
      </c>
      <c r="H1323" t="s">
        <v>36</v>
      </c>
      <c r="I1323" t="s">
        <v>112</v>
      </c>
      <c r="J1323" t="s">
        <v>256</v>
      </c>
      <c r="K1323" t="s">
        <v>3</v>
      </c>
      <c r="L1323" t="s">
        <v>13</v>
      </c>
      <c r="M1323">
        <f t="shared" si="60"/>
        <v>0.98860227650153432</v>
      </c>
      <c r="N1323" t="str">
        <f t="shared" si="61"/>
        <v/>
      </c>
      <c r="O1323" s="67" cm="1">
        <f t="array" ref="O1323">SUMPRODUCT((G1323=$G$7:$G$10000)*(M1323&lt;$M$7:$M$10000))+1</f>
        <v>88</v>
      </c>
      <c r="P1323" s="72"/>
    </row>
    <row r="1324" spans="7:23" x14ac:dyDescent="0.35">
      <c r="G1324">
        <v>14</v>
      </c>
      <c r="H1324" t="s">
        <v>24</v>
      </c>
      <c r="I1324" t="s">
        <v>482</v>
      </c>
      <c r="J1324" t="s">
        <v>256</v>
      </c>
      <c r="K1324" t="s">
        <v>3</v>
      </c>
      <c r="L1324" t="s">
        <v>23</v>
      </c>
      <c r="M1324">
        <f t="shared" si="60"/>
        <v>0.94769813964688332</v>
      </c>
      <c r="N1324" t="str">
        <f t="shared" si="61"/>
        <v/>
      </c>
      <c r="O1324" s="67" cm="1">
        <f t="array" ref="O1324">SUMPRODUCT((G1324=$G$7:$G$10000)*(M1324&lt;$M$7:$M$10000))+1</f>
        <v>89</v>
      </c>
      <c r="P1324" s="72"/>
    </row>
    <row r="1325" spans="7:23" x14ac:dyDescent="0.35">
      <c r="G1325">
        <v>14</v>
      </c>
      <c r="H1325" t="s">
        <v>13</v>
      </c>
      <c r="I1325" t="s">
        <v>467</v>
      </c>
      <c r="J1325" t="s">
        <v>256</v>
      </c>
      <c r="K1325" t="s">
        <v>9</v>
      </c>
      <c r="L1325" t="s">
        <v>36</v>
      </c>
      <c r="M1325">
        <f t="shared" si="60"/>
        <v>0.74655351464507014</v>
      </c>
      <c r="N1325" t="str">
        <f t="shared" si="61"/>
        <v/>
      </c>
      <c r="O1325" s="67" cm="1">
        <f t="array" ref="O1325">SUMPRODUCT((G1325=$G$7:$G$10000)*(M1325&lt;$M$7:$M$10000))+1</f>
        <v>90</v>
      </c>
      <c r="P1325" s="72"/>
    </row>
    <row r="1326" spans="7:23" x14ac:dyDescent="0.35">
      <c r="G1326">
        <v>14</v>
      </c>
      <c r="H1326" t="s">
        <v>7</v>
      </c>
      <c r="I1326" t="s">
        <v>277</v>
      </c>
      <c r="J1326" t="s">
        <v>256</v>
      </c>
      <c r="K1326" t="s">
        <v>9</v>
      </c>
      <c r="L1326" t="s">
        <v>14</v>
      </c>
      <c r="M1326">
        <f t="shared" si="60"/>
        <v>0.70710303877448233</v>
      </c>
      <c r="N1326" t="str">
        <f t="shared" si="61"/>
        <v/>
      </c>
      <c r="O1326" s="67" cm="1">
        <f t="array" ref="O1326">SUMPRODUCT((G1326=$G$7:$G$10000)*(M1326&lt;$M$7:$M$10000))+1</f>
        <v>91</v>
      </c>
      <c r="P1326" s="72"/>
    </row>
    <row r="1327" spans="7:23" x14ac:dyDescent="0.35">
      <c r="G1327">
        <v>14</v>
      </c>
      <c r="H1327" t="s">
        <v>36</v>
      </c>
      <c r="I1327" t="s">
        <v>117</v>
      </c>
      <c r="J1327" t="s">
        <v>256</v>
      </c>
      <c r="K1327" t="s">
        <v>3</v>
      </c>
      <c r="L1327" t="s">
        <v>13</v>
      </c>
      <c r="M1327">
        <f t="shared" si="60"/>
        <v>0.65781594744291949</v>
      </c>
      <c r="N1327" t="str">
        <f t="shared" si="61"/>
        <v/>
      </c>
      <c r="O1327" s="67" cm="1">
        <f t="array" ref="O1327">SUMPRODUCT((G1327=$G$7:$G$10000)*(M1327&lt;$M$7:$M$10000))+1</f>
        <v>92</v>
      </c>
      <c r="P1327" s="72"/>
    </row>
    <row r="1328" spans="7:23" x14ac:dyDescent="0.35">
      <c r="G1328">
        <v>14</v>
      </c>
      <c r="H1328" t="s">
        <v>36</v>
      </c>
      <c r="I1328" t="s">
        <v>216</v>
      </c>
      <c r="J1328" t="s">
        <v>256</v>
      </c>
      <c r="K1328" t="s">
        <v>3</v>
      </c>
      <c r="L1328" t="s">
        <v>13</v>
      </c>
      <c r="M1328">
        <f t="shared" si="60"/>
        <v>0.43527413634917966</v>
      </c>
      <c r="N1328" t="str">
        <f t="shared" si="61"/>
        <v/>
      </c>
      <c r="O1328" s="67" cm="1">
        <f t="array" ref="O1328">SUMPRODUCT((G1328=$G$7:$G$10000)*(M1328&lt;$M$7:$M$10000))+1</f>
        <v>93</v>
      </c>
      <c r="P1328" s="72"/>
    </row>
    <row r="1329" spans="7:16" x14ac:dyDescent="0.35">
      <c r="G1329">
        <v>14</v>
      </c>
      <c r="H1329" t="s">
        <v>24</v>
      </c>
      <c r="I1329" t="s">
        <v>179</v>
      </c>
      <c r="J1329" t="s">
        <v>256</v>
      </c>
      <c r="K1329" t="s">
        <v>3</v>
      </c>
      <c r="L1329" t="s">
        <v>23</v>
      </c>
      <c r="M1329">
        <f t="shared" si="60"/>
        <v>0.21495704147590988</v>
      </c>
      <c r="N1329" t="str">
        <f t="shared" si="61"/>
        <v/>
      </c>
      <c r="O1329" s="67" cm="1">
        <f t="array" ref="O1329">SUMPRODUCT((G1329=$G$7:$G$10000)*(M1329&lt;$M$7:$M$10000))+1</f>
        <v>94</v>
      </c>
      <c r="P1329" s="72"/>
    </row>
    <row r="1330" spans="7:16" x14ac:dyDescent="0.35">
      <c r="G1330">
        <v>14</v>
      </c>
      <c r="H1330" t="s">
        <v>36</v>
      </c>
      <c r="I1330" t="s">
        <v>415</v>
      </c>
      <c r="J1330" t="s">
        <v>256</v>
      </c>
      <c r="K1330" t="s">
        <v>3</v>
      </c>
      <c r="L1330" t="s">
        <v>13</v>
      </c>
      <c r="M1330">
        <f t="shared" si="60"/>
        <v>-0.71592027096093869</v>
      </c>
      <c r="N1330" t="str">
        <f t="shared" si="61"/>
        <v/>
      </c>
      <c r="O1330" s="67" cm="1">
        <f t="array" ref="O1330">SUMPRODUCT((G1330=$G$7:$G$10000)*(M1330&lt;$M$7:$M$10000))+1</f>
        <v>95</v>
      </c>
      <c r="P1330" s="72"/>
    </row>
    <row r="1331" spans="7:16" x14ac:dyDescent="0.35">
      <c r="G1331">
        <v>14</v>
      </c>
      <c r="H1331" t="s">
        <v>36</v>
      </c>
      <c r="I1331" t="s">
        <v>224</v>
      </c>
      <c r="J1331" t="s">
        <v>256</v>
      </c>
      <c r="K1331" t="s">
        <v>3</v>
      </c>
      <c r="L1331" t="s">
        <v>13</v>
      </c>
      <c r="M1331">
        <f t="shared" si="60"/>
        <v>-0.76694811933520679</v>
      </c>
      <c r="N1331" t="str">
        <f t="shared" si="61"/>
        <v/>
      </c>
      <c r="O1331" s="67" cm="1">
        <f t="array" ref="O1331">SUMPRODUCT((G1331=$G$7:$G$10000)*(M1331&lt;$M$7:$M$10000))+1</f>
        <v>96</v>
      </c>
      <c r="P1331" s="72"/>
    </row>
    <row r="1332" spans="7:16" x14ac:dyDescent="0.35">
      <c r="G1332">
        <v>14</v>
      </c>
      <c r="H1332" t="s">
        <v>36</v>
      </c>
      <c r="I1332" t="s">
        <v>283</v>
      </c>
      <c r="J1332" t="s">
        <v>256</v>
      </c>
      <c r="K1332" t="s">
        <v>3</v>
      </c>
      <c r="L1332" t="s">
        <v>13</v>
      </c>
      <c r="M1332">
        <f t="shared" si="60"/>
        <v>-1.0599511986576031</v>
      </c>
      <c r="N1332" t="str">
        <f t="shared" si="61"/>
        <v/>
      </c>
      <c r="O1332" s="67" cm="1">
        <f t="array" ref="O1332">SUMPRODUCT((G1332=$G$7:$G$10000)*(M1332&lt;$M$7:$M$10000))+1</f>
        <v>97</v>
      </c>
      <c r="P1332" s="72"/>
    </row>
    <row r="1333" spans="7:16" x14ac:dyDescent="0.35">
      <c r="G1333">
        <v>14</v>
      </c>
      <c r="H1333" t="s">
        <v>36</v>
      </c>
      <c r="I1333" t="s">
        <v>414</v>
      </c>
      <c r="J1333" t="s">
        <v>256</v>
      </c>
      <c r="K1333" t="s">
        <v>3</v>
      </c>
      <c r="L1333" t="s">
        <v>13</v>
      </c>
      <c r="M1333">
        <f t="shared" si="60"/>
        <v>-1.6863562251648085</v>
      </c>
      <c r="N1333" t="str">
        <f t="shared" si="61"/>
        <v/>
      </c>
      <c r="O1333" s="67" cm="1">
        <f t="array" ref="O1333">SUMPRODUCT((G1333=$G$7:$G$10000)*(M1333&lt;$M$7:$M$10000))+1</f>
        <v>98</v>
      </c>
      <c r="P1333" s="72"/>
    </row>
    <row r="1334" spans="7:16" x14ac:dyDescent="0.35">
      <c r="G1334">
        <v>14</v>
      </c>
      <c r="H1334" t="s">
        <v>36</v>
      </c>
      <c r="I1334" t="s">
        <v>106</v>
      </c>
      <c r="J1334" t="s">
        <v>256</v>
      </c>
      <c r="K1334" t="s">
        <v>3</v>
      </c>
      <c r="L1334" t="s">
        <v>13</v>
      </c>
      <c r="M1334">
        <f t="shared" si="60"/>
        <v>-6.2274717684791741</v>
      </c>
      <c r="N1334" t="str">
        <f t="shared" si="61"/>
        <v/>
      </c>
      <c r="O1334" s="67" cm="1">
        <f t="array" ref="O1334">SUMPRODUCT((G1334=$G$7:$G$10000)*(M1334&lt;$M$7:$M$10000))+1</f>
        <v>99</v>
      </c>
      <c r="P1334" s="72"/>
    </row>
    <row r="1335" spans="7:16" x14ac:dyDescent="0.35">
      <c r="G1335">
        <v>14</v>
      </c>
      <c r="H1335" t="s">
        <v>24</v>
      </c>
      <c r="I1335" t="s">
        <v>142</v>
      </c>
      <c r="J1335" t="s">
        <v>256</v>
      </c>
      <c r="K1335" t="s">
        <v>3</v>
      </c>
      <c r="L1335" t="s">
        <v>23</v>
      </c>
      <c r="M1335">
        <f t="shared" si="60"/>
        <v>-9.2481296097012962</v>
      </c>
      <c r="N1335" t="str">
        <f t="shared" si="61"/>
        <v/>
      </c>
      <c r="O1335" s="67" cm="1">
        <f t="array" ref="O1335">SUMPRODUCT((G1335=$G$7:$G$10000)*(M1335&lt;$M$7:$M$10000))+1</f>
        <v>100</v>
      </c>
      <c r="P1335" s="72"/>
    </row>
    <row r="1336" spans="7:16" x14ac:dyDescent="0.35">
      <c r="G1336">
        <v>15</v>
      </c>
      <c r="H1336" t="s">
        <v>17</v>
      </c>
      <c r="I1336" t="s">
        <v>485</v>
      </c>
      <c r="J1336" t="s">
        <v>256</v>
      </c>
      <c r="K1336" t="s">
        <v>3</v>
      </c>
      <c r="L1336" t="s">
        <v>36</v>
      </c>
      <c r="M1336">
        <f t="shared" si="60"/>
        <v>19.081672248563923</v>
      </c>
      <c r="N1336" t="str">
        <f t="shared" si="61"/>
        <v/>
      </c>
      <c r="O1336" s="67" cm="1">
        <f t="array" ref="O1336">SUMPRODUCT((G1336=$G$7:$G$10000)*(M1336&lt;$M$7:$M$10000))+1</f>
        <v>1</v>
      </c>
      <c r="P1336" s="72"/>
    </row>
    <row r="1337" spans="7:16" x14ac:dyDescent="0.35">
      <c r="G1337">
        <v>15</v>
      </c>
      <c r="H1337" t="s">
        <v>23</v>
      </c>
      <c r="I1337" t="s">
        <v>428</v>
      </c>
      <c r="J1337" t="s">
        <v>256</v>
      </c>
      <c r="K1337" t="s">
        <v>3</v>
      </c>
      <c r="L1337" t="s">
        <v>7</v>
      </c>
      <c r="M1337">
        <f t="shared" si="60"/>
        <v>11.706135478451635</v>
      </c>
      <c r="N1337" t="str">
        <f t="shared" si="61"/>
        <v/>
      </c>
      <c r="O1337" s="67" cm="1">
        <f t="array" ref="O1337">SUMPRODUCT((G1337=$G$7:$G$10000)*(M1337&lt;$M$7:$M$10000))+1</f>
        <v>2</v>
      </c>
      <c r="P1337" s="72"/>
    </row>
    <row r="1338" spans="7:16" x14ac:dyDescent="0.35">
      <c r="G1338">
        <v>15</v>
      </c>
      <c r="H1338" t="s">
        <v>36</v>
      </c>
      <c r="I1338" t="s">
        <v>466</v>
      </c>
      <c r="J1338" t="s">
        <v>256</v>
      </c>
      <c r="K1338" t="s">
        <v>9</v>
      </c>
      <c r="L1338" t="s">
        <v>17</v>
      </c>
      <c r="M1338">
        <f t="shared" si="60"/>
        <v>11.563384885026323</v>
      </c>
      <c r="N1338" t="str">
        <f t="shared" si="61"/>
        <v/>
      </c>
      <c r="O1338" s="67" cm="1">
        <f t="array" ref="O1338">SUMPRODUCT((G1338=$G$7:$G$10000)*(M1338&lt;$M$7:$M$10000))+1</f>
        <v>3</v>
      </c>
      <c r="P1338" s="72"/>
    </row>
    <row r="1339" spans="7:16" x14ac:dyDescent="0.35">
      <c r="G1339">
        <v>15</v>
      </c>
      <c r="H1339" t="s">
        <v>36</v>
      </c>
      <c r="I1339" t="s">
        <v>225</v>
      </c>
      <c r="J1339" t="s">
        <v>256</v>
      </c>
      <c r="K1339" t="s">
        <v>9</v>
      </c>
      <c r="L1339" t="s">
        <v>17</v>
      </c>
      <c r="M1339">
        <f t="shared" si="60"/>
        <v>11.203670781099254</v>
      </c>
      <c r="N1339" t="str">
        <f t="shared" si="61"/>
        <v/>
      </c>
      <c r="O1339" s="67" cm="1">
        <f t="array" ref="O1339">SUMPRODUCT((G1339=$G$7:$G$10000)*(M1339&lt;$M$7:$M$10000))+1</f>
        <v>4</v>
      </c>
      <c r="P1339" s="72"/>
    </row>
    <row r="1340" spans="7:16" x14ac:dyDescent="0.35">
      <c r="G1340">
        <v>15</v>
      </c>
      <c r="H1340" t="s">
        <v>23</v>
      </c>
      <c r="I1340" t="s">
        <v>389</v>
      </c>
      <c r="J1340" t="s">
        <v>256</v>
      </c>
      <c r="K1340" t="s">
        <v>3</v>
      </c>
      <c r="L1340" t="s">
        <v>7</v>
      </c>
      <c r="M1340">
        <f t="shared" si="60"/>
        <v>10.888647350064785</v>
      </c>
      <c r="N1340" t="str">
        <f t="shared" si="61"/>
        <v/>
      </c>
      <c r="O1340" s="67" cm="1">
        <f t="array" ref="O1340">SUMPRODUCT((G1340=$G$7:$G$10000)*(M1340&lt;$M$7:$M$10000))+1</f>
        <v>5</v>
      </c>
      <c r="P1340" s="72"/>
    </row>
    <row r="1341" spans="7:16" x14ac:dyDescent="0.35">
      <c r="G1341">
        <v>15</v>
      </c>
      <c r="H1341" t="s">
        <v>6</v>
      </c>
      <c r="I1341" t="s">
        <v>430</v>
      </c>
      <c r="J1341" t="s">
        <v>256</v>
      </c>
      <c r="K1341" t="s">
        <v>3</v>
      </c>
      <c r="L1341" t="s">
        <v>24</v>
      </c>
      <c r="M1341">
        <f t="shared" si="60"/>
        <v>10.766570756888418</v>
      </c>
      <c r="N1341" t="str">
        <f t="shared" si="61"/>
        <v/>
      </c>
      <c r="O1341" s="67" cm="1">
        <f t="array" ref="O1341">SUMPRODUCT((G1341=$G$7:$G$10000)*(M1341&lt;$M$7:$M$10000))+1</f>
        <v>6</v>
      </c>
      <c r="P1341" s="72"/>
    </row>
    <row r="1342" spans="7:16" x14ac:dyDescent="0.35">
      <c r="G1342">
        <v>15</v>
      </c>
      <c r="H1342" t="s">
        <v>17</v>
      </c>
      <c r="I1342" t="s">
        <v>480</v>
      </c>
      <c r="J1342" t="s">
        <v>256</v>
      </c>
      <c r="K1342" t="s">
        <v>3</v>
      </c>
      <c r="L1342" t="s">
        <v>36</v>
      </c>
      <c r="M1342">
        <f t="shared" si="60"/>
        <v>10.547889978526113</v>
      </c>
      <c r="N1342" t="str">
        <f t="shared" si="61"/>
        <v/>
      </c>
      <c r="O1342" s="67" cm="1">
        <f t="array" ref="O1342">SUMPRODUCT((G1342=$G$7:$G$10000)*(M1342&lt;$M$7:$M$10000))+1</f>
        <v>7</v>
      </c>
      <c r="P1342" s="72"/>
    </row>
    <row r="1343" spans="7:16" x14ac:dyDescent="0.35">
      <c r="G1343">
        <v>15</v>
      </c>
      <c r="H1343" t="s">
        <v>24</v>
      </c>
      <c r="I1343" t="s">
        <v>199</v>
      </c>
      <c r="J1343" t="s">
        <v>256</v>
      </c>
      <c r="K1343" t="s">
        <v>9</v>
      </c>
      <c r="L1343" t="s">
        <v>6</v>
      </c>
      <c r="M1343">
        <f t="shared" si="60"/>
        <v>10.526223242712341</v>
      </c>
      <c r="N1343" t="str">
        <f t="shared" si="61"/>
        <v/>
      </c>
      <c r="O1343" s="67" cm="1">
        <f t="array" ref="O1343">SUMPRODUCT((G1343=$G$7:$G$10000)*(M1343&lt;$M$7:$M$10000))+1</f>
        <v>8</v>
      </c>
      <c r="P1343" s="72"/>
    </row>
    <row r="1344" spans="7:16" x14ac:dyDescent="0.35">
      <c r="G1344">
        <v>15</v>
      </c>
      <c r="H1344" t="s">
        <v>24</v>
      </c>
      <c r="I1344" t="s">
        <v>215</v>
      </c>
      <c r="J1344" t="s">
        <v>256</v>
      </c>
      <c r="K1344" t="s">
        <v>9</v>
      </c>
      <c r="L1344" t="s">
        <v>6</v>
      </c>
      <c r="M1344">
        <f t="shared" si="60"/>
        <v>9.8115028876225594</v>
      </c>
      <c r="N1344" t="str">
        <f t="shared" si="61"/>
        <v/>
      </c>
      <c r="O1344" s="67" cm="1">
        <f t="array" ref="O1344">SUMPRODUCT((G1344=$G$7:$G$10000)*(M1344&lt;$M$7:$M$10000))+1</f>
        <v>9</v>
      </c>
      <c r="P1344" s="72"/>
    </row>
    <row r="1345" spans="7:16" x14ac:dyDescent="0.35">
      <c r="G1345">
        <v>15</v>
      </c>
      <c r="H1345" t="s">
        <v>17</v>
      </c>
      <c r="I1345" t="s">
        <v>427</v>
      </c>
      <c r="J1345" t="s">
        <v>256</v>
      </c>
      <c r="K1345" t="s">
        <v>3</v>
      </c>
      <c r="L1345" t="s">
        <v>36</v>
      </c>
      <c r="M1345">
        <f t="shared" si="60"/>
        <v>8.8433728860281597</v>
      </c>
      <c r="N1345" t="str">
        <f t="shared" si="61"/>
        <v/>
      </c>
      <c r="O1345" s="67" cm="1">
        <f t="array" ref="O1345">SUMPRODUCT((G1345=$G$7:$G$10000)*(M1345&lt;$M$7:$M$10000))+1</f>
        <v>10</v>
      </c>
      <c r="P1345" s="72"/>
    </row>
    <row r="1346" spans="7:16" x14ac:dyDescent="0.35">
      <c r="G1346">
        <v>15</v>
      </c>
      <c r="H1346" t="s">
        <v>6</v>
      </c>
      <c r="I1346" t="s">
        <v>432</v>
      </c>
      <c r="J1346" t="s">
        <v>256</v>
      </c>
      <c r="K1346" t="s">
        <v>3</v>
      </c>
      <c r="L1346" t="s">
        <v>24</v>
      </c>
      <c r="M1346">
        <f t="shared" si="60"/>
        <v>8.7899423073179559</v>
      </c>
      <c r="N1346" t="str">
        <f t="shared" si="61"/>
        <v/>
      </c>
      <c r="O1346" s="67" cm="1">
        <f t="array" ref="O1346">SUMPRODUCT((G1346=$G$7:$G$10000)*(M1346&lt;$M$7:$M$10000))+1</f>
        <v>11</v>
      </c>
      <c r="P1346" s="72"/>
    </row>
    <row r="1347" spans="7:16" x14ac:dyDescent="0.35">
      <c r="G1347">
        <v>15</v>
      </c>
      <c r="H1347" t="s">
        <v>4</v>
      </c>
      <c r="I1347" t="s">
        <v>175</v>
      </c>
      <c r="J1347" t="s">
        <v>256</v>
      </c>
      <c r="K1347" t="s">
        <v>3</v>
      </c>
      <c r="L1347" t="s">
        <v>13</v>
      </c>
      <c r="M1347">
        <f t="shared" si="60"/>
        <v>8.7553918299001978</v>
      </c>
      <c r="N1347" t="str">
        <f t="shared" si="61"/>
        <v/>
      </c>
      <c r="O1347" s="67" cm="1">
        <f t="array" ref="O1347">SUMPRODUCT((G1347=$G$7:$G$10000)*(M1347&lt;$M$7:$M$10000))+1</f>
        <v>12</v>
      </c>
      <c r="P1347" s="72"/>
    </row>
    <row r="1348" spans="7:16" x14ac:dyDescent="0.35">
      <c r="G1348">
        <v>15</v>
      </c>
      <c r="H1348" t="s">
        <v>6</v>
      </c>
      <c r="I1348" t="s">
        <v>433</v>
      </c>
      <c r="J1348" t="s">
        <v>256</v>
      </c>
      <c r="K1348" t="s">
        <v>3</v>
      </c>
      <c r="L1348" t="s">
        <v>24</v>
      </c>
      <c r="M1348">
        <f t="shared" si="60"/>
        <v>8.4192893618565918</v>
      </c>
      <c r="N1348" t="str">
        <f t="shared" si="61"/>
        <v/>
      </c>
      <c r="O1348" s="67" cm="1">
        <f t="array" ref="O1348">SUMPRODUCT((G1348=$G$7:$G$10000)*(M1348&lt;$M$7:$M$10000))+1</f>
        <v>13</v>
      </c>
      <c r="P1348" s="72"/>
    </row>
    <row r="1349" spans="7:16" x14ac:dyDescent="0.35">
      <c r="G1349">
        <v>15</v>
      </c>
      <c r="H1349" t="s">
        <v>2</v>
      </c>
      <c r="I1349" t="s">
        <v>212</v>
      </c>
      <c r="J1349" t="s">
        <v>256</v>
      </c>
      <c r="K1349" t="s">
        <v>9</v>
      </c>
      <c r="L1349" t="s">
        <v>14</v>
      </c>
      <c r="M1349">
        <f t="shared" si="60"/>
        <v>8.2820528072417847</v>
      </c>
      <c r="N1349" t="str">
        <f t="shared" si="61"/>
        <v/>
      </c>
      <c r="O1349" s="67" cm="1">
        <f t="array" ref="O1349">SUMPRODUCT((G1349=$G$7:$G$10000)*(M1349&lt;$M$7:$M$10000))+1</f>
        <v>14</v>
      </c>
      <c r="P1349" s="72"/>
    </row>
    <row r="1350" spans="7:16" x14ac:dyDescent="0.35">
      <c r="G1350">
        <v>15</v>
      </c>
      <c r="H1350" t="s">
        <v>6</v>
      </c>
      <c r="I1350" t="s">
        <v>208</v>
      </c>
      <c r="J1350" t="s">
        <v>256</v>
      </c>
      <c r="K1350" t="s">
        <v>3</v>
      </c>
      <c r="L1350" t="s">
        <v>24</v>
      </c>
      <c r="M1350">
        <f t="shared" si="60"/>
        <v>7.9174363909865129</v>
      </c>
      <c r="N1350" t="str">
        <f t="shared" si="61"/>
        <v/>
      </c>
      <c r="O1350" s="67" cm="1">
        <f t="array" ref="O1350">SUMPRODUCT((G1350=$G$7:$G$10000)*(M1350&lt;$M$7:$M$10000))+1</f>
        <v>15</v>
      </c>
      <c r="P1350" s="72"/>
    </row>
    <row r="1351" spans="7:16" x14ac:dyDescent="0.35">
      <c r="G1351">
        <v>15</v>
      </c>
      <c r="H1351" t="s">
        <v>2</v>
      </c>
      <c r="I1351" t="s">
        <v>156</v>
      </c>
      <c r="J1351" t="s">
        <v>256</v>
      </c>
      <c r="K1351" t="s">
        <v>9</v>
      </c>
      <c r="L1351" t="s">
        <v>14</v>
      </c>
      <c r="M1351">
        <f t="shared" si="60"/>
        <v>7.8818951308879583</v>
      </c>
      <c r="N1351" t="str">
        <f t="shared" si="61"/>
        <v/>
      </c>
      <c r="O1351" s="67" cm="1">
        <f t="array" ref="O1351">SUMPRODUCT((G1351=$G$7:$G$10000)*(M1351&lt;$M$7:$M$10000))+1</f>
        <v>16</v>
      </c>
      <c r="P1351" s="72"/>
    </row>
    <row r="1352" spans="7:16" x14ac:dyDescent="0.35">
      <c r="G1352">
        <v>15</v>
      </c>
      <c r="H1352" t="s">
        <v>4</v>
      </c>
      <c r="I1352" t="s">
        <v>209</v>
      </c>
      <c r="J1352" t="s">
        <v>256</v>
      </c>
      <c r="K1352" t="s">
        <v>3</v>
      </c>
      <c r="L1352" t="s">
        <v>13</v>
      </c>
      <c r="M1352">
        <f t="shared" si="60"/>
        <v>7.8631042910815943</v>
      </c>
      <c r="N1352" t="str">
        <f t="shared" si="61"/>
        <v/>
      </c>
      <c r="O1352" s="67" cm="1">
        <f t="array" ref="O1352">SUMPRODUCT((G1352=$G$7:$G$10000)*(M1352&lt;$M$7:$M$10000))+1</f>
        <v>17</v>
      </c>
      <c r="P1352" s="72"/>
    </row>
    <row r="1353" spans="7:16" x14ac:dyDescent="0.35">
      <c r="G1353">
        <v>15</v>
      </c>
      <c r="H1353" t="s">
        <v>24</v>
      </c>
      <c r="I1353" t="s">
        <v>419</v>
      </c>
      <c r="J1353" t="s">
        <v>256</v>
      </c>
      <c r="K1353" t="s">
        <v>9</v>
      </c>
      <c r="L1353" t="s">
        <v>6</v>
      </c>
      <c r="M1353">
        <f t="shared" si="60"/>
        <v>7.4267427377216757</v>
      </c>
      <c r="N1353" t="str">
        <f t="shared" si="61"/>
        <v/>
      </c>
      <c r="O1353" s="67" cm="1">
        <f t="array" ref="O1353">SUMPRODUCT((G1353=$G$7:$G$10000)*(M1353&lt;$M$7:$M$10000))+1</f>
        <v>18</v>
      </c>
      <c r="P1353" s="72"/>
    </row>
    <row r="1354" spans="7:16" x14ac:dyDescent="0.35">
      <c r="G1354">
        <v>15</v>
      </c>
      <c r="H1354" t="s">
        <v>23</v>
      </c>
      <c r="I1354" t="s">
        <v>221</v>
      </c>
      <c r="J1354" t="s">
        <v>256</v>
      </c>
      <c r="K1354" t="s">
        <v>3</v>
      </c>
      <c r="L1354" t="s">
        <v>7</v>
      </c>
      <c r="M1354">
        <f t="shared" si="60"/>
        <v>7.2038485858834811</v>
      </c>
      <c r="N1354" t="str">
        <f t="shared" si="61"/>
        <v/>
      </c>
      <c r="O1354" s="67" cm="1">
        <f t="array" ref="O1354">SUMPRODUCT((G1354=$G$7:$G$10000)*(M1354&lt;$M$7:$M$10000))+1</f>
        <v>19</v>
      </c>
      <c r="P1354" s="72"/>
    </row>
    <row r="1355" spans="7:16" x14ac:dyDescent="0.35">
      <c r="G1355">
        <v>15</v>
      </c>
      <c r="H1355" t="s">
        <v>24</v>
      </c>
      <c r="I1355" t="s">
        <v>465</v>
      </c>
      <c r="J1355" t="s">
        <v>256</v>
      </c>
      <c r="K1355" t="s">
        <v>9</v>
      </c>
      <c r="L1355" t="s">
        <v>6</v>
      </c>
      <c r="M1355">
        <f t="shared" si="60"/>
        <v>7.1910567338750715</v>
      </c>
      <c r="N1355" t="str">
        <f t="shared" si="61"/>
        <v/>
      </c>
      <c r="O1355" s="67" cm="1">
        <f t="array" ref="O1355">SUMPRODUCT((G1355=$G$7:$G$10000)*(M1355&lt;$M$7:$M$10000))+1</f>
        <v>20</v>
      </c>
      <c r="P1355" s="72"/>
    </row>
    <row r="1356" spans="7:16" x14ac:dyDescent="0.35">
      <c r="G1356">
        <v>15</v>
      </c>
      <c r="H1356" t="s">
        <v>23</v>
      </c>
      <c r="I1356" t="s">
        <v>144</v>
      </c>
      <c r="J1356" t="s">
        <v>256</v>
      </c>
      <c r="K1356" t="s">
        <v>3</v>
      </c>
      <c r="L1356" t="s">
        <v>7</v>
      </c>
      <c r="M1356">
        <f t="shared" si="60"/>
        <v>7.0892144745772887</v>
      </c>
      <c r="N1356" t="str">
        <f t="shared" si="61"/>
        <v/>
      </c>
      <c r="O1356" s="67" cm="1">
        <f t="array" ref="O1356">SUMPRODUCT((G1356=$G$7:$G$10000)*(M1356&lt;$M$7:$M$10000))+1</f>
        <v>21</v>
      </c>
      <c r="P1356" s="72"/>
    </row>
    <row r="1357" spans="7:16" x14ac:dyDescent="0.35">
      <c r="G1357">
        <v>15</v>
      </c>
      <c r="H1357" t="s">
        <v>2</v>
      </c>
      <c r="I1357" t="s">
        <v>213</v>
      </c>
      <c r="J1357" t="s">
        <v>256</v>
      </c>
      <c r="K1357" t="s">
        <v>9</v>
      </c>
      <c r="L1357" t="s">
        <v>14</v>
      </c>
      <c r="M1357">
        <f t="shared" si="60"/>
        <v>6.9190019196183385</v>
      </c>
      <c r="N1357" t="str">
        <f t="shared" si="61"/>
        <v/>
      </c>
      <c r="O1357" s="67" cm="1">
        <f t="array" ref="O1357">SUMPRODUCT((G1357=$G$7:$G$10000)*(M1357&lt;$M$7:$M$10000))+1</f>
        <v>22</v>
      </c>
      <c r="P1357" s="72"/>
    </row>
    <row r="1358" spans="7:16" x14ac:dyDescent="0.35">
      <c r="G1358">
        <v>15</v>
      </c>
      <c r="H1358" t="s">
        <v>14</v>
      </c>
      <c r="I1358" t="s">
        <v>396</v>
      </c>
      <c r="J1358" t="s">
        <v>256</v>
      </c>
      <c r="K1358" t="s">
        <v>3</v>
      </c>
      <c r="L1358" t="s">
        <v>2</v>
      </c>
      <c r="M1358">
        <f t="shared" si="60"/>
        <v>6.8912420889457762</v>
      </c>
      <c r="N1358" t="str">
        <f t="shared" si="61"/>
        <v/>
      </c>
      <c r="O1358" s="67" cm="1">
        <f t="array" ref="O1358">SUMPRODUCT((G1358=$G$7:$G$10000)*(M1358&lt;$M$7:$M$10000))+1</f>
        <v>23</v>
      </c>
      <c r="P1358" s="72"/>
    </row>
    <row r="1359" spans="7:16" x14ac:dyDescent="0.35">
      <c r="G1359">
        <v>15</v>
      </c>
      <c r="H1359" t="s">
        <v>23</v>
      </c>
      <c r="I1359" t="s">
        <v>421</v>
      </c>
      <c r="J1359" t="s">
        <v>256</v>
      </c>
      <c r="K1359" t="s">
        <v>3</v>
      </c>
      <c r="L1359" t="s">
        <v>7</v>
      </c>
      <c r="M1359">
        <f t="shared" si="60"/>
        <v>6.8174361199863123</v>
      </c>
      <c r="N1359" t="str">
        <f t="shared" si="61"/>
        <v/>
      </c>
      <c r="O1359" s="67" cm="1">
        <f t="array" ref="O1359">SUMPRODUCT((G1359=$G$7:$G$10000)*(M1359&lt;$M$7:$M$10000))+1</f>
        <v>24</v>
      </c>
      <c r="P1359" s="72"/>
    </row>
    <row r="1360" spans="7:16" x14ac:dyDescent="0.35">
      <c r="G1360">
        <v>15</v>
      </c>
      <c r="H1360" t="s">
        <v>2</v>
      </c>
      <c r="I1360" t="s">
        <v>108</v>
      </c>
      <c r="J1360" t="s">
        <v>256</v>
      </c>
      <c r="K1360" t="s">
        <v>9</v>
      </c>
      <c r="L1360" t="s">
        <v>14</v>
      </c>
      <c r="M1360">
        <f t="shared" si="60"/>
        <v>6.472358941033467</v>
      </c>
      <c r="N1360" t="str">
        <f t="shared" si="61"/>
        <v/>
      </c>
      <c r="O1360" s="67" cm="1">
        <f t="array" ref="O1360">SUMPRODUCT((G1360=$G$7:$G$10000)*(M1360&lt;$M$7:$M$10000))+1</f>
        <v>25</v>
      </c>
      <c r="P1360" s="72"/>
    </row>
    <row r="1361" spans="7:16" x14ac:dyDescent="0.35">
      <c r="G1361">
        <v>15</v>
      </c>
      <c r="H1361" t="s">
        <v>2</v>
      </c>
      <c r="I1361" t="s">
        <v>115</v>
      </c>
      <c r="J1361" t="s">
        <v>256</v>
      </c>
      <c r="K1361" t="s">
        <v>9</v>
      </c>
      <c r="L1361" t="s">
        <v>14</v>
      </c>
      <c r="M1361">
        <f t="shared" si="60"/>
        <v>6.2620517764948138</v>
      </c>
      <c r="N1361" t="str">
        <f t="shared" si="61"/>
        <v/>
      </c>
      <c r="O1361" s="67" cm="1">
        <f t="array" ref="O1361">SUMPRODUCT((G1361=$G$7:$G$10000)*(M1361&lt;$M$7:$M$10000))+1</f>
        <v>26</v>
      </c>
      <c r="P1361" s="72"/>
    </row>
    <row r="1362" spans="7:16" x14ac:dyDescent="0.35">
      <c r="G1362">
        <v>15</v>
      </c>
      <c r="H1362" t="s">
        <v>23</v>
      </c>
      <c r="I1362" t="s">
        <v>431</v>
      </c>
      <c r="J1362" t="s">
        <v>256</v>
      </c>
      <c r="K1362" t="s">
        <v>3</v>
      </c>
      <c r="L1362" t="s">
        <v>7</v>
      </c>
      <c r="M1362">
        <f t="shared" si="60"/>
        <v>6.1426130445417719</v>
      </c>
      <c r="N1362" t="str">
        <f t="shared" si="61"/>
        <v/>
      </c>
      <c r="O1362" s="67" cm="1">
        <f t="array" ref="O1362">SUMPRODUCT((G1362=$G$7:$G$10000)*(M1362&lt;$M$7:$M$10000))+1</f>
        <v>27</v>
      </c>
      <c r="P1362" s="72"/>
    </row>
    <row r="1363" spans="7:16" x14ac:dyDescent="0.35">
      <c r="G1363">
        <v>15</v>
      </c>
      <c r="H1363" t="s">
        <v>17</v>
      </c>
      <c r="I1363" t="s">
        <v>206</v>
      </c>
      <c r="J1363" t="s">
        <v>256</v>
      </c>
      <c r="K1363" t="s">
        <v>3</v>
      </c>
      <c r="L1363" t="s">
        <v>36</v>
      </c>
      <c r="M1363">
        <f t="shared" si="60"/>
        <v>6.1415883121396568</v>
      </c>
      <c r="N1363" t="str">
        <f t="shared" si="61"/>
        <v/>
      </c>
      <c r="O1363" s="67" cm="1">
        <f t="array" ref="O1363">SUMPRODUCT((G1363=$G$7:$G$10000)*(M1363&lt;$M$7:$M$10000))+1</f>
        <v>28</v>
      </c>
      <c r="P1363" s="72"/>
    </row>
    <row r="1364" spans="7:16" x14ac:dyDescent="0.35">
      <c r="G1364">
        <v>15</v>
      </c>
      <c r="H1364" t="s">
        <v>7</v>
      </c>
      <c r="I1364" t="s">
        <v>207</v>
      </c>
      <c r="J1364" t="s">
        <v>256</v>
      </c>
      <c r="K1364" t="s">
        <v>9</v>
      </c>
      <c r="L1364" t="s">
        <v>23</v>
      </c>
      <c r="M1364">
        <f t="shared" si="60"/>
        <v>6.0493435997993039</v>
      </c>
      <c r="N1364" t="str">
        <f t="shared" si="61"/>
        <v/>
      </c>
      <c r="O1364" s="67" cm="1">
        <f t="array" ref="O1364">SUMPRODUCT((G1364=$G$7:$G$10000)*(M1364&lt;$M$7:$M$10000))+1</f>
        <v>29</v>
      </c>
      <c r="P1364" s="72"/>
    </row>
    <row r="1365" spans="7:16" x14ac:dyDescent="0.35">
      <c r="G1365">
        <v>15</v>
      </c>
      <c r="H1365" t="s">
        <v>24</v>
      </c>
      <c r="I1365" t="s">
        <v>422</v>
      </c>
      <c r="J1365" t="s">
        <v>256</v>
      </c>
      <c r="K1365" t="s">
        <v>9</v>
      </c>
      <c r="L1365" t="s">
        <v>6</v>
      </c>
      <c r="M1365">
        <f t="shared" si="60"/>
        <v>5.9213099281292401</v>
      </c>
      <c r="N1365" t="str">
        <f t="shared" si="61"/>
        <v/>
      </c>
      <c r="O1365" s="67" cm="1">
        <f t="array" ref="O1365">SUMPRODUCT((G1365=$G$7:$G$10000)*(M1365&lt;$M$7:$M$10000))+1</f>
        <v>30</v>
      </c>
      <c r="P1365" s="72"/>
    </row>
    <row r="1366" spans="7:16" x14ac:dyDescent="0.35">
      <c r="G1366">
        <v>15</v>
      </c>
      <c r="H1366" t="s">
        <v>23</v>
      </c>
      <c r="I1366" t="s">
        <v>412</v>
      </c>
      <c r="J1366" t="s">
        <v>256</v>
      </c>
      <c r="K1366" t="s">
        <v>3</v>
      </c>
      <c r="L1366" t="s">
        <v>7</v>
      </c>
      <c r="M1366">
        <f t="shared" si="60"/>
        <v>5.8671720746329949</v>
      </c>
      <c r="N1366" t="str">
        <f t="shared" si="61"/>
        <v/>
      </c>
      <c r="O1366" s="67" cm="1">
        <f t="array" ref="O1366">SUMPRODUCT((G1366=$G$7:$G$10000)*(M1366&lt;$M$7:$M$10000))+1</f>
        <v>31</v>
      </c>
      <c r="P1366" s="72"/>
    </row>
    <row r="1367" spans="7:16" x14ac:dyDescent="0.35">
      <c r="G1367">
        <v>15</v>
      </c>
      <c r="H1367" t="s">
        <v>14</v>
      </c>
      <c r="I1367" t="s">
        <v>248</v>
      </c>
      <c r="J1367" t="s">
        <v>256</v>
      </c>
      <c r="K1367" t="s">
        <v>3</v>
      </c>
      <c r="L1367" t="s">
        <v>2</v>
      </c>
      <c r="M1367">
        <f t="shared" si="60"/>
        <v>5.7622958831767077</v>
      </c>
      <c r="N1367" t="str">
        <f t="shared" si="61"/>
        <v/>
      </c>
      <c r="O1367" s="67" cm="1">
        <f t="array" ref="O1367">SUMPRODUCT((G1367=$G$7:$G$10000)*(M1367&lt;$M$7:$M$10000))+1</f>
        <v>32</v>
      </c>
      <c r="P1367" s="72"/>
    </row>
    <row r="1368" spans="7:16" x14ac:dyDescent="0.35">
      <c r="G1368">
        <v>15</v>
      </c>
      <c r="H1368" t="s">
        <v>2</v>
      </c>
      <c r="I1368" t="s">
        <v>174</v>
      </c>
      <c r="J1368" t="s">
        <v>256</v>
      </c>
      <c r="K1368" t="s">
        <v>9</v>
      </c>
      <c r="L1368" t="s">
        <v>14</v>
      </c>
      <c r="M1368">
        <f t="shared" si="60"/>
        <v>5.7070130416289313</v>
      </c>
      <c r="N1368" t="str">
        <f t="shared" si="61"/>
        <v/>
      </c>
      <c r="O1368" s="67" cm="1">
        <f t="array" ref="O1368">SUMPRODUCT((G1368=$G$7:$G$10000)*(M1368&lt;$M$7:$M$10000))+1</f>
        <v>33</v>
      </c>
      <c r="P1368" s="72"/>
    </row>
    <row r="1369" spans="7:16" x14ac:dyDescent="0.35">
      <c r="G1369">
        <v>15</v>
      </c>
      <c r="H1369" t="s">
        <v>24</v>
      </c>
      <c r="I1369" t="s">
        <v>217</v>
      </c>
      <c r="J1369" t="s">
        <v>256</v>
      </c>
      <c r="K1369" t="s">
        <v>9</v>
      </c>
      <c r="L1369" t="s">
        <v>6</v>
      </c>
      <c r="M1369">
        <f t="shared" si="60"/>
        <v>5.1786958751970946</v>
      </c>
      <c r="N1369" t="str">
        <f t="shared" si="61"/>
        <v/>
      </c>
      <c r="O1369" s="67" cm="1">
        <f t="array" ref="O1369">SUMPRODUCT((G1369=$G$7:$G$10000)*(M1369&lt;$M$7:$M$10000))+1</f>
        <v>34</v>
      </c>
      <c r="P1369" s="72"/>
    </row>
    <row r="1370" spans="7:16" x14ac:dyDescent="0.35">
      <c r="G1370">
        <v>15</v>
      </c>
      <c r="H1370" t="s">
        <v>17</v>
      </c>
      <c r="I1370" t="s">
        <v>149</v>
      </c>
      <c r="J1370" t="s">
        <v>256</v>
      </c>
      <c r="K1370" t="s">
        <v>3</v>
      </c>
      <c r="L1370" t="s">
        <v>36</v>
      </c>
      <c r="M1370">
        <f t="shared" si="60"/>
        <v>5.0425805084413682</v>
      </c>
      <c r="N1370" t="str">
        <f t="shared" si="61"/>
        <v/>
      </c>
      <c r="O1370" s="67" cm="1">
        <f t="array" ref="O1370">SUMPRODUCT((G1370=$G$7:$G$10000)*(M1370&lt;$M$7:$M$10000))+1</f>
        <v>35</v>
      </c>
      <c r="P1370" s="72"/>
    </row>
    <row r="1371" spans="7:16" x14ac:dyDescent="0.35">
      <c r="G1371">
        <v>15</v>
      </c>
      <c r="H1371" t="s">
        <v>24</v>
      </c>
      <c r="I1371" t="s">
        <v>411</v>
      </c>
      <c r="J1371" t="s">
        <v>256</v>
      </c>
      <c r="K1371" t="s">
        <v>9</v>
      </c>
      <c r="L1371" t="s">
        <v>6</v>
      </c>
      <c r="M1371">
        <f t="shared" si="60"/>
        <v>5.0316721527692447</v>
      </c>
      <c r="N1371" t="str">
        <f t="shared" si="61"/>
        <v/>
      </c>
      <c r="O1371" s="67" cm="1">
        <f t="array" ref="O1371">SUMPRODUCT((G1371=$G$7:$G$10000)*(M1371&lt;$M$7:$M$10000))+1</f>
        <v>36</v>
      </c>
      <c r="P1371" s="72"/>
    </row>
    <row r="1372" spans="7:16" x14ac:dyDescent="0.35">
      <c r="G1372">
        <v>15</v>
      </c>
      <c r="H1372" t="s">
        <v>14</v>
      </c>
      <c r="I1372" t="s">
        <v>203</v>
      </c>
      <c r="J1372" t="s">
        <v>256</v>
      </c>
      <c r="K1372" t="s">
        <v>3</v>
      </c>
      <c r="L1372" t="s">
        <v>2</v>
      </c>
      <c r="M1372">
        <f t="shared" si="60"/>
        <v>4.907896417434765</v>
      </c>
      <c r="N1372" t="str">
        <f t="shared" si="61"/>
        <v/>
      </c>
      <c r="O1372" s="67" cm="1">
        <f t="array" ref="O1372">SUMPRODUCT((G1372=$G$7:$G$10000)*(M1372&lt;$M$7:$M$10000))+1</f>
        <v>37</v>
      </c>
      <c r="P1372" s="72"/>
    </row>
    <row r="1373" spans="7:16" x14ac:dyDescent="0.35">
      <c r="G1373">
        <v>15</v>
      </c>
      <c r="H1373" t="s">
        <v>14</v>
      </c>
      <c r="I1373" t="s">
        <v>107</v>
      </c>
      <c r="J1373" t="s">
        <v>256</v>
      </c>
      <c r="K1373" t="s">
        <v>3</v>
      </c>
      <c r="L1373" t="s">
        <v>2</v>
      </c>
      <c r="M1373">
        <f t="shared" si="60"/>
        <v>4.7915172662583903</v>
      </c>
      <c r="N1373" t="str">
        <f t="shared" si="61"/>
        <v/>
      </c>
      <c r="O1373" s="67" cm="1">
        <f t="array" ref="O1373">SUMPRODUCT((G1373=$G$7:$G$10000)*(M1373&lt;$M$7:$M$10000))+1</f>
        <v>38</v>
      </c>
      <c r="P1373" s="72"/>
    </row>
    <row r="1374" spans="7:16" x14ac:dyDescent="0.35">
      <c r="G1374">
        <v>15</v>
      </c>
      <c r="H1374" t="s">
        <v>14</v>
      </c>
      <c r="I1374" t="s">
        <v>471</v>
      </c>
      <c r="J1374" t="s">
        <v>256</v>
      </c>
      <c r="K1374" t="s">
        <v>3</v>
      </c>
      <c r="L1374" t="s">
        <v>2</v>
      </c>
      <c r="M1374">
        <f t="shared" si="60"/>
        <v>4.7334474316702195</v>
      </c>
      <c r="N1374" t="str">
        <f t="shared" si="61"/>
        <v/>
      </c>
      <c r="O1374" s="67" cm="1">
        <f t="array" ref="O1374">SUMPRODUCT((G1374=$G$7:$G$10000)*(M1374&lt;$M$7:$M$10000))+1</f>
        <v>39</v>
      </c>
      <c r="P1374" s="72"/>
    </row>
    <row r="1375" spans="7:16" x14ac:dyDescent="0.35">
      <c r="G1375">
        <v>15</v>
      </c>
      <c r="H1375" t="s">
        <v>24</v>
      </c>
      <c r="I1375" t="s">
        <v>168</v>
      </c>
      <c r="J1375" t="s">
        <v>256</v>
      </c>
      <c r="K1375" t="s">
        <v>9</v>
      </c>
      <c r="L1375" t="s">
        <v>6</v>
      </c>
      <c r="M1375">
        <f t="shared" si="60"/>
        <v>4.7042621145569283</v>
      </c>
      <c r="N1375" t="str">
        <f t="shared" si="61"/>
        <v/>
      </c>
      <c r="O1375" s="67" cm="1">
        <f t="array" ref="O1375">SUMPRODUCT((G1375=$G$7:$G$10000)*(M1375&lt;$M$7:$M$10000))+1</f>
        <v>40</v>
      </c>
      <c r="P1375" s="72"/>
    </row>
    <row r="1376" spans="7:16" x14ac:dyDescent="0.35">
      <c r="G1376">
        <v>15</v>
      </c>
      <c r="H1376" t="s">
        <v>36</v>
      </c>
      <c r="I1376" t="s">
        <v>205</v>
      </c>
      <c r="J1376" t="s">
        <v>256</v>
      </c>
      <c r="K1376" t="s">
        <v>9</v>
      </c>
      <c r="L1376" t="s">
        <v>17</v>
      </c>
      <c r="M1376">
        <f t="shared" si="60"/>
        <v>4.4754968556860995</v>
      </c>
      <c r="N1376" t="str">
        <f t="shared" si="61"/>
        <v/>
      </c>
      <c r="O1376" s="67" cm="1">
        <f t="array" ref="O1376">SUMPRODUCT((G1376=$G$7:$G$10000)*(M1376&lt;$M$7:$M$10000))+1</f>
        <v>41</v>
      </c>
      <c r="P1376" s="72"/>
    </row>
    <row r="1377" spans="7:16" x14ac:dyDescent="0.35">
      <c r="G1377">
        <v>15</v>
      </c>
      <c r="H1377" t="s">
        <v>6</v>
      </c>
      <c r="I1377" t="s">
        <v>417</v>
      </c>
      <c r="J1377" t="s">
        <v>256</v>
      </c>
      <c r="K1377" t="s">
        <v>3</v>
      </c>
      <c r="L1377" t="s">
        <v>24</v>
      </c>
      <c r="M1377">
        <f t="shared" si="60"/>
        <v>4.4359476160516476</v>
      </c>
      <c r="N1377" t="str">
        <f t="shared" si="61"/>
        <v/>
      </c>
      <c r="O1377" s="67" cm="1">
        <f t="array" ref="O1377">SUMPRODUCT((G1377=$G$7:$G$10000)*(M1377&lt;$M$7:$M$10000))+1</f>
        <v>42</v>
      </c>
      <c r="P1377" s="72"/>
    </row>
    <row r="1378" spans="7:16" x14ac:dyDescent="0.35">
      <c r="G1378">
        <v>15</v>
      </c>
      <c r="H1378" t="s">
        <v>14</v>
      </c>
      <c r="I1378" t="s">
        <v>143</v>
      </c>
      <c r="J1378" t="s">
        <v>256</v>
      </c>
      <c r="K1378" t="s">
        <v>3</v>
      </c>
      <c r="L1378" t="s">
        <v>2</v>
      </c>
      <c r="M1378">
        <f t="shared" si="60"/>
        <v>3.9848615849932134</v>
      </c>
      <c r="N1378" t="str">
        <f t="shared" si="61"/>
        <v/>
      </c>
      <c r="O1378" s="67" cm="1">
        <f t="array" ref="O1378">SUMPRODUCT((G1378=$G$7:$G$10000)*(M1378&lt;$M$7:$M$10000))+1</f>
        <v>43</v>
      </c>
      <c r="P1378" s="72"/>
    </row>
    <row r="1379" spans="7:16" x14ac:dyDescent="0.35">
      <c r="G1379">
        <v>15</v>
      </c>
      <c r="H1379" t="s">
        <v>36</v>
      </c>
      <c r="I1379" t="s">
        <v>112</v>
      </c>
      <c r="J1379" t="s">
        <v>256</v>
      </c>
      <c r="K1379" t="s">
        <v>9</v>
      </c>
      <c r="L1379" t="s">
        <v>17</v>
      </c>
      <c r="M1379">
        <f t="shared" si="60"/>
        <v>3.9103277766156581</v>
      </c>
      <c r="N1379" t="str">
        <f t="shared" si="61"/>
        <v/>
      </c>
      <c r="O1379" s="67" cm="1">
        <f t="array" ref="O1379">SUMPRODUCT((G1379=$G$7:$G$10000)*(M1379&lt;$M$7:$M$10000))+1</f>
        <v>44</v>
      </c>
      <c r="P1379" s="72"/>
    </row>
    <row r="1380" spans="7:16" x14ac:dyDescent="0.35">
      <c r="G1380">
        <v>15</v>
      </c>
      <c r="H1380" t="s">
        <v>4</v>
      </c>
      <c r="I1380" t="s">
        <v>486</v>
      </c>
      <c r="J1380" t="s">
        <v>256</v>
      </c>
      <c r="K1380" t="s">
        <v>3</v>
      </c>
      <c r="L1380" t="s">
        <v>13</v>
      </c>
      <c r="M1380">
        <f t="shared" si="60"/>
        <v>3.8926473928593874</v>
      </c>
      <c r="N1380" t="str">
        <f t="shared" si="61"/>
        <v/>
      </c>
      <c r="O1380" s="67" cm="1">
        <f t="array" ref="O1380">SUMPRODUCT((G1380=$G$7:$G$10000)*(M1380&lt;$M$7:$M$10000))+1</f>
        <v>45</v>
      </c>
      <c r="P1380" s="72"/>
    </row>
    <row r="1381" spans="7:16" x14ac:dyDescent="0.35">
      <c r="G1381">
        <v>15</v>
      </c>
      <c r="H1381" t="s">
        <v>6</v>
      </c>
      <c r="I1381" t="s">
        <v>416</v>
      </c>
      <c r="J1381" t="s">
        <v>256</v>
      </c>
      <c r="K1381" t="s">
        <v>3</v>
      </c>
      <c r="L1381" t="s">
        <v>24</v>
      </c>
      <c r="M1381">
        <f t="shared" si="60"/>
        <v>3.7455459189743898</v>
      </c>
      <c r="N1381" t="str">
        <f t="shared" si="61"/>
        <v/>
      </c>
      <c r="O1381" s="67" cm="1">
        <f t="array" ref="O1381">SUMPRODUCT((G1381=$G$7:$G$10000)*(M1381&lt;$M$7:$M$10000))+1</f>
        <v>46</v>
      </c>
      <c r="P1381" s="72"/>
    </row>
    <row r="1382" spans="7:16" x14ac:dyDescent="0.35">
      <c r="G1382">
        <v>15</v>
      </c>
      <c r="H1382" t="s">
        <v>14</v>
      </c>
      <c r="I1382" t="s">
        <v>413</v>
      </c>
      <c r="J1382" t="s">
        <v>256</v>
      </c>
      <c r="K1382" t="s">
        <v>3</v>
      </c>
      <c r="L1382" t="s">
        <v>2</v>
      </c>
      <c r="M1382">
        <f t="shared" si="60"/>
        <v>3.6361017450209552</v>
      </c>
      <c r="N1382" t="str">
        <f t="shared" si="61"/>
        <v/>
      </c>
      <c r="O1382" s="67" cm="1">
        <f t="array" ref="O1382">SUMPRODUCT((G1382=$G$7:$G$10000)*(M1382&lt;$M$7:$M$10000))+1</f>
        <v>47</v>
      </c>
      <c r="P1382" s="72"/>
    </row>
    <row r="1383" spans="7:16" x14ac:dyDescent="0.35">
      <c r="G1383">
        <v>15</v>
      </c>
      <c r="H1383" t="s">
        <v>14</v>
      </c>
      <c r="I1383" t="s">
        <v>470</v>
      </c>
      <c r="J1383" t="s">
        <v>256</v>
      </c>
      <c r="K1383" t="s">
        <v>3</v>
      </c>
      <c r="L1383" t="s">
        <v>2</v>
      </c>
      <c r="M1383">
        <f t="shared" ref="M1383:M1424" si="62">VLOOKUP($K1383,$F$3:$G$4,2,FALSE)+VLOOKUP($I1383,$A$20:$B$321,2,FALSE)+VLOOKUP($L1383,$A$6:$B$16,2,FALSE)</f>
        <v>3.6198796601880669</v>
      </c>
      <c r="N1383" t="str">
        <f t="shared" ref="N1383:N1424" si="63">IFERROR(($J1383-$M1383)^2,"")</f>
        <v/>
      </c>
      <c r="O1383" s="67" cm="1">
        <f t="array" ref="O1383">SUMPRODUCT((G1383=$G$7:$G$10000)*(M1383&lt;$M$7:$M$10000))+1</f>
        <v>48</v>
      </c>
      <c r="P1383" s="72"/>
    </row>
    <row r="1384" spans="7:16" x14ac:dyDescent="0.35">
      <c r="G1384">
        <v>15</v>
      </c>
      <c r="H1384" t="s">
        <v>14</v>
      </c>
      <c r="I1384" t="s">
        <v>164</v>
      </c>
      <c r="J1384" t="s">
        <v>256</v>
      </c>
      <c r="K1384" t="s">
        <v>3</v>
      </c>
      <c r="L1384" t="s">
        <v>2</v>
      </c>
      <c r="M1384">
        <f t="shared" si="62"/>
        <v>3.6086295757149136</v>
      </c>
      <c r="N1384" t="str">
        <f t="shared" si="63"/>
        <v/>
      </c>
      <c r="O1384" s="67" cm="1">
        <f t="array" ref="O1384">SUMPRODUCT((G1384=$G$7:$G$10000)*(M1384&lt;$M$7:$M$10000))+1</f>
        <v>49</v>
      </c>
      <c r="P1384" s="72"/>
    </row>
    <row r="1385" spans="7:16" x14ac:dyDescent="0.35">
      <c r="G1385">
        <v>15</v>
      </c>
      <c r="H1385" t="s">
        <v>36</v>
      </c>
      <c r="I1385" t="s">
        <v>117</v>
      </c>
      <c r="J1385" t="s">
        <v>256</v>
      </c>
      <c r="K1385" t="s">
        <v>9</v>
      </c>
      <c r="L1385" t="s">
        <v>17</v>
      </c>
      <c r="M1385">
        <f t="shared" si="62"/>
        <v>3.5795414475570437</v>
      </c>
      <c r="N1385" t="str">
        <f t="shared" si="63"/>
        <v/>
      </c>
      <c r="O1385" s="67" cm="1">
        <f t="array" ref="O1385">SUMPRODUCT((G1385=$G$7:$G$10000)*(M1385&lt;$M$7:$M$10000))+1</f>
        <v>50</v>
      </c>
      <c r="P1385" s="72"/>
    </row>
    <row r="1386" spans="7:16" x14ac:dyDescent="0.35">
      <c r="G1386">
        <v>15</v>
      </c>
      <c r="H1386" t="s">
        <v>7</v>
      </c>
      <c r="I1386" t="s">
        <v>202</v>
      </c>
      <c r="J1386" t="s">
        <v>256</v>
      </c>
      <c r="K1386" t="s">
        <v>9</v>
      </c>
      <c r="L1386" t="s">
        <v>23</v>
      </c>
      <c r="M1386">
        <f t="shared" si="62"/>
        <v>3.516235694140931</v>
      </c>
      <c r="N1386" t="str">
        <f t="shared" si="63"/>
        <v/>
      </c>
      <c r="O1386" s="67" cm="1">
        <f t="array" ref="O1386">SUMPRODUCT((G1386=$G$7:$G$10000)*(M1386&lt;$M$7:$M$10000))+1</f>
        <v>51</v>
      </c>
      <c r="P1386" s="72"/>
    </row>
    <row r="1387" spans="7:16" x14ac:dyDescent="0.35">
      <c r="G1387">
        <v>15</v>
      </c>
      <c r="H1387" t="s">
        <v>4</v>
      </c>
      <c r="I1387" t="s">
        <v>114</v>
      </c>
      <c r="J1387" t="s">
        <v>256</v>
      </c>
      <c r="K1387" t="s">
        <v>3</v>
      </c>
      <c r="L1387" t="s">
        <v>13</v>
      </c>
      <c r="M1387">
        <f t="shared" si="62"/>
        <v>3.4887588278730779</v>
      </c>
      <c r="N1387" t="str">
        <f t="shared" si="63"/>
        <v/>
      </c>
      <c r="O1387" s="67" cm="1">
        <f t="array" ref="O1387">SUMPRODUCT((G1387=$G$7:$G$10000)*(M1387&lt;$M$7:$M$10000))+1</f>
        <v>52</v>
      </c>
      <c r="P1387" s="72"/>
    </row>
    <row r="1388" spans="7:16" x14ac:dyDescent="0.35">
      <c r="G1388">
        <v>15</v>
      </c>
      <c r="H1388" t="s">
        <v>36</v>
      </c>
      <c r="I1388" t="s">
        <v>216</v>
      </c>
      <c r="J1388" t="s">
        <v>256</v>
      </c>
      <c r="K1388" t="s">
        <v>9</v>
      </c>
      <c r="L1388" t="s">
        <v>17</v>
      </c>
      <c r="M1388">
        <f t="shared" si="62"/>
        <v>3.3569996364633043</v>
      </c>
      <c r="N1388" t="str">
        <f t="shared" si="63"/>
        <v/>
      </c>
      <c r="O1388" s="67" cm="1">
        <f t="array" ref="O1388">SUMPRODUCT((G1388=$G$7:$G$10000)*(M1388&lt;$M$7:$M$10000))+1</f>
        <v>53</v>
      </c>
      <c r="P1388" s="72"/>
    </row>
    <row r="1389" spans="7:16" x14ac:dyDescent="0.35">
      <c r="G1389">
        <v>15</v>
      </c>
      <c r="H1389" t="s">
        <v>24</v>
      </c>
      <c r="I1389" t="s">
        <v>482</v>
      </c>
      <c r="J1389" t="s">
        <v>256</v>
      </c>
      <c r="K1389" t="s">
        <v>9</v>
      </c>
      <c r="L1389" t="s">
        <v>6</v>
      </c>
      <c r="M1389">
        <f t="shared" si="62"/>
        <v>3.1714980172716345</v>
      </c>
      <c r="N1389" t="str">
        <f t="shared" si="63"/>
        <v/>
      </c>
      <c r="O1389" s="67" cm="1">
        <f t="array" ref="O1389">SUMPRODUCT((G1389=$G$7:$G$10000)*(M1389&lt;$M$7:$M$10000))+1</f>
        <v>54</v>
      </c>
      <c r="P1389" s="72"/>
    </row>
    <row r="1390" spans="7:16" x14ac:dyDescent="0.35">
      <c r="G1390">
        <v>15</v>
      </c>
      <c r="H1390" t="s">
        <v>6</v>
      </c>
      <c r="I1390" t="s">
        <v>116</v>
      </c>
      <c r="J1390" t="s">
        <v>256</v>
      </c>
      <c r="K1390" t="s">
        <v>3</v>
      </c>
      <c r="L1390" t="s">
        <v>24</v>
      </c>
      <c r="M1390">
        <f t="shared" si="62"/>
        <v>2.9734890833897243</v>
      </c>
      <c r="N1390" t="str">
        <f t="shared" si="63"/>
        <v/>
      </c>
      <c r="O1390" s="67" cm="1">
        <f t="array" ref="O1390">SUMPRODUCT((G1390=$G$7:$G$10000)*(M1390&lt;$M$7:$M$10000))+1</f>
        <v>55</v>
      </c>
      <c r="P1390" s="72"/>
    </row>
    <row r="1391" spans="7:16" x14ac:dyDescent="0.35">
      <c r="G1391">
        <v>15</v>
      </c>
      <c r="H1391" t="s">
        <v>4</v>
      </c>
      <c r="I1391" t="s">
        <v>484</v>
      </c>
      <c r="J1391" t="s">
        <v>256</v>
      </c>
      <c r="K1391" t="s">
        <v>3</v>
      </c>
      <c r="L1391" t="s">
        <v>13</v>
      </c>
      <c r="M1391">
        <f t="shared" si="62"/>
        <v>2.9083920297894554</v>
      </c>
      <c r="N1391" t="str">
        <f t="shared" si="63"/>
        <v/>
      </c>
      <c r="O1391" s="67" cm="1">
        <f t="array" ref="O1391">SUMPRODUCT((G1391=$G$7:$G$10000)*(M1391&lt;$M$7:$M$10000))+1</f>
        <v>56</v>
      </c>
      <c r="P1391" s="72"/>
    </row>
    <row r="1392" spans="7:16" x14ac:dyDescent="0.35">
      <c r="G1392">
        <v>15</v>
      </c>
      <c r="H1392" t="s">
        <v>23</v>
      </c>
      <c r="I1392" t="s">
        <v>252</v>
      </c>
      <c r="J1392" t="s">
        <v>256</v>
      </c>
      <c r="K1392" t="s">
        <v>3</v>
      </c>
      <c r="L1392" t="s">
        <v>7</v>
      </c>
      <c r="M1392">
        <f t="shared" si="62"/>
        <v>2.8736099260390136</v>
      </c>
      <c r="N1392" t="str">
        <f t="shared" si="63"/>
        <v/>
      </c>
      <c r="O1392" s="67" cm="1">
        <f t="array" ref="O1392">SUMPRODUCT((G1392=$G$7:$G$10000)*(M1392&lt;$M$7:$M$10000))+1</f>
        <v>57</v>
      </c>
      <c r="P1392" s="72"/>
    </row>
    <row r="1393" spans="7:16" x14ac:dyDescent="0.35">
      <c r="G1393">
        <v>15</v>
      </c>
      <c r="H1393" t="s">
        <v>14</v>
      </c>
      <c r="I1393" t="s">
        <v>425</v>
      </c>
      <c r="J1393" t="s">
        <v>256</v>
      </c>
      <c r="K1393" t="s">
        <v>3</v>
      </c>
      <c r="L1393" t="s">
        <v>2</v>
      </c>
      <c r="M1393">
        <f t="shared" si="62"/>
        <v>2.8090335264300617</v>
      </c>
      <c r="N1393" t="str">
        <f t="shared" si="63"/>
        <v/>
      </c>
      <c r="O1393" s="67" cm="1">
        <f t="array" ref="O1393">SUMPRODUCT((G1393=$G$7:$G$10000)*(M1393&lt;$M$7:$M$10000))+1</f>
        <v>58</v>
      </c>
      <c r="P1393" s="72"/>
    </row>
    <row r="1394" spans="7:16" x14ac:dyDescent="0.35">
      <c r="G1394">
        <v>15</v>
      </c>
      <c r="H1394" t="s">
        <v>4</v>
      </c>
      <c r="I1394" t="s">
        <v>435</v>
      </c>
      <c r="J1394" t="s">
        <v>256</v>
      </c>
      <c r="K1394" t="s">
        <v>3</v>
      </c>
      <c r="L1394" t="s">
        <v>13</v>
      </c>
      <c r="M1394">
        <f t="shared" si="62"/>
        <v>2.8076157617684565</v>
      </c>
      <c r="N1394" t="str">
        <f t="shared" si="63"/>
        <v/>
      </c>
      <c r="O1394" s="67" cm="1">
        <f t="array" ref="O1394">SUMPRODUCT((G1394=$G$7:$G$10000)*(M1394&lt;$M$7:$M$10000))+1</f>
        <v>59</v>
      </c>
      <c r="P1394" s="72"/>
    </row>
    <row r="1395" spans="7:16" x14ac:dyDescent="0.35">
      <c r="G1395">
        <v>15</v>
      </c>
      <c r="H1395" t="s">
        <v>14</v>
      </c>
      <c r="I1395" t="s">
        <v>181</v>
      </c>
      <c r="J1395" t="s">
        <v>256</v>
      </c>
      <c r="K1395" t="s">
        <v>3</v>
      </c>
      <c r="L1395" t="s">
        <v>2</v>
      </c>
      <c r="M1395">
        <f t="shared" si="62"/>
        <v>2.792290235965849</v>
      </c>
      <c r="N1395" t="str">
        <f t="shared" si="63"/>
        <v/>
      </c>
      <c r="O1395" s="67" cm="1">
        <f t="array" ref="O1395">SUMPRODUCT((G1395=$G$7:$G$10000)*(M1395&lt;$M$7:$M$10000))+1</f>
        <v>60</v>
      </c>
      <c r="P1395" s="72"/>
    </row>
    <row r="1396" spans="7:16" x14ac:dyDescent="0.35">
      <c r="G1396">
        <v>15</v>
      </c>
      <c r="H1396" t="s">
        <v>14</v>
      </c>
      <c r="I1396" t="s">
        <v>197</v>
      </c>
      <c r="J1396" t="s">
        <v>256</v>
      </c>
      <c r="K1396" t="s">
        <v>3</v>
      </c>
      <c r="L1396" t="s">
        <v>2</v>
      </c>
      <c r="M1396">
        <f t="shared" si="62"/>
        <v>2.6644192498406092</v>
      </c>
      <c r="N1396" t="str">
        <f t="shared" si="63"/>
        <v/>
      </c>
      <c r="O1396" s="67" cm="1">
        <f t="array" ref="O1396">SUMPRODUCT((G1396=$G$7:$G$10000)*(M1396&lt;$M$7:$M$10000))+1</f>
        <v>61</v>
      </c>
      <c r="P1396" s="72"/>
    </row>
    <row r="1397" spans="7:16" x14ac:dyDescent="0.35">
      <c r="G1397">
        <v>15</v>
      </c>
      <c r="H1397" t="s">
        <v>23</v>
      </c>
      <c r="I1397" t="s">
        <v>229</v>
      </c>
      <c r="J1397" t="s">
        <v>256</v>
      </c>
      <c r="K1397" t="s">
        <v>3</v>
      </c>
      <c r="L1397" t="s">
        <v>7</v>
      </c>
      <c r="M1397">
        <f t="shared" si="62"/>
        <v>2.6344990731749194</v>
      </c>
      <c r="N1397" t="str">
        <f t="shared" si="63"/>
        <v/>
      </c>
      <c r="O1397" s="67" cm="1">
        <f t="array" ref="O1397">SUMPRODUCT((G1397=$G$7:$G$10000)*(M1397&lt;$M$7:$M$10000))+1</f>
        <v>62</v>
      </c>
      <c r="P1397" s="72"/>
    </row>
    <row r="1398" spans="7:16" x14ac:dyDescent="0.35">
      <c r="G1398">
        <v>15</v>
      </c>
      <c r="H1398" t="s">
        <v>17</v>
      </c>
      <c r="I1398" t="s">
        <v>167</v>
      </c>
      <c r="J1398" t="s">
        <v>256</v>
      </c>
      <c r="K1398" t="s">
        <v>3</v>
      </c>
      <c r="L1398" t="s">
        <v>36</v>
      </c>
      <c r="M1398">
        <f t="shared" si="62"/>
        <v>2.4839232161252154</v>
      </c>
      <c r="N1398" t="str">
        <f t="shared" si="63"/>
        <v/>
      </c>
      <c r="O1398" s="67" cm="1">
        <f t="array" ref="O1398">SUMPRODUCT((G1398=$G$7:$G$10000)*(M1398&lt;$M$7:$M$10000))+1</f>
        <v>63</v>
      </c>
      <c r="P1398" s="72"/>
    </row>
    <row r="1399" spans="7:16" x14ac:dyDescent="0.35">
      <c r="G1399">
        <v>15</v>
      </c>
      <c r="H1399" t="s">
        <v>24</v>
      </c>
      <c r="I1399" t="s">
        <v>179</v>
      </c>
      <c r="J1399" t="s">
        <v>256</v>
      </c>
      <c r="K1399" t="s">
        <v>9</v>
      </c>
      <c r="L1399" t="s">
        <v>6</v>
      </c>
      <c r="M1399">
        <f t="shared" si="62"/>
        <v>2.4387569191006611</v>
      </c>
      <c r="N1399" t="str">
        <f t="shared" si="63"/>
        <v/>
      </c>
      <c r="O1399" s="67" cm="1">
        <f t="array" ref="O1399">SUMPRODUCT((G1399=$G$7:$G$10000)*(M1399&lt;$M$7:$M$10000))+1</f>
        <v>64</v>
      </c>
      <c r="P1399" s="72"/>
    </row>
    <row r="1400" spans="7:16" x14ac:dyDescent="0.35">
      <c r="G1400">
        <v>15</v>
      </c>
      <c r="H1400" t="s">
        <v>6</v>
      </c>
      <c r="I1400" t="s">
        <v>418</v>
      </c>
      <c r="J1400" t="s">
        <v>256</v>
      </c>
      <c r="K1400" t="s">
        <v>3</v>
      </c>
      <c r="L1400" t="s">
        <v>24</v>
      </c>
      <c r="M1400">
        <f t="shared" si="62"/>
        <v>2.2981230166437578</v>
      </c>
      <c r="N1400" t="str">
        <f t="shared" si="63"/>
        <v/>
      </c>
      <c r="O1400" s="67" cm="1">
        <f t="array" ref="O1400">SUMPRODUCT((G1400=$G$7:$G$10000)*(M1400&lt;$M$7:$M$10000))+1</f>
        <v>65</v>
      </c>
      <c r="P1400" s="72"/>
    </row>
    <row r="1401" spans="7:16" x14ac:dyDescent="0.35">
      <c r="G1401">
        <v>15</v>
      </c>
      <c r="H1401" t="s">
        <v>4</v>
      </c>
      <c r="I1401" t="s">
        <v>434</v>
      </c>
      <c r="J1401" t="s">
        <v>256</v>
      </c>
      <c r="K1401" t="s">
        <v>3</v>
      </c>
      <c r="L1401" t="s">
        <v>13</v>
      </c>
      <c r="M1401">
        <f t="shared" si="62"/>
        <v>2.2662781692050635</v>
      </c>
      <c r="N1401" t="str">
        <f t="shared" si="63"/>
        <v/>
      </c>
      <c r="O1401" s="67" cm="1">
        <f t="array" ref="O1401">SUMPRODUCT((G1401=$G$7:$G$10000)*(M1401&lt;$M$7:$M$10000))+1</f>
        <v>66</v>
      </c>
      <c r="P1401" s="72"/>
    </row>
    <row r="1402" spans="7:16" x14ac:dyDescent="0.35">
      <c r="G1402">
        <v>15</v>
      </c>
      <c r="H1402" t="s">
        <v>36</v>
      </c>
      <c r="I1402" t="s">
        <v>415</v>
      </c>
      <c r="J1402" t="s">
        <v>256</v>
      </c>
      <c r="K1402" t="s">
        <v>9</v>
      </c>
      <c r="L1402" t="s">
        <v>17</v>
      </c>
      <c r="M1402">
        <f t="shared" si="62"/>
        <v>2.205805229153186</v>
      </c>
      <c r="N1402" t="str">
        <f t="shared" si="63"/>
        <v/>
      </c>
      <c r="O1402" s="67" cm="1">
        <f t="array" ref="O1402">SUMPRODUCT((G1402=$G$7:$G$10000)*(M1402&lt;$M$7:$M$10000))+1</f>
        <v>67</v>
      </c>
      <c r="P1402" s="72"/>
    </row>
    <row r="1403" spans="7:16" x14ac:dyDescent="0.35">
      <c r="G1403">
        <v>15</v>
      </c>
      <c r="H1403" t="s">
        <v>36</v>
      </c>
      <c r="I1403" t="s">
        <v>224</v>
      </c>
      <c r="J1403" t="s">
        <v>256</v>
      </c>
      <c r="K1403" t="s">
        <v>9</v>
      </c>
      <c r="L1403" t="s">
        <v>17</v>
      </c>
      <c r="M1403">
        <f t="shared" si="62"/>
        <v>2.1547773807789179</v>
      </c>
      <c r="N1403" t="str">
        <f t="shared" si="63"/>
        <v/>
      </c>
      <c r="O1403" s="67" cm="1">
        <f t="array" ref="O1403">SUMPRODUCT((G1403=$G$7:$G$10000)*(M1403&lt;$M$7:$M$10000))+1</f>
        <v>68</v>
      </c>
      <c r="P1403" s="72"/>
    </row>
    <row r="1404" spans="7:16" x14ac:dyDescent="0.35">
      <c r="G1404">
        <v>15</v>
      </c>
      <c r="H1404" t="s">
        <v>4</v>
      </c>
      <c r="I1404" t="s">
        <v>481</v>
      </c>
      <c r="J1404" t="s">
        <v>256</v>
      </c>
      <c r="K1404" t="s">
        <v>3</v>
      </c>
      <c r="L1404" t="s">
        <v>13</v>
      </c>
      <c r="M1404">
        <f t="shared" si="62"/>
        <v>1.8840248941529945</v>
      </c>
      <c r="N1404" t="str">
        <f t="shared" si="63"/>
        <v/>
      </c>
      <c r="O1404" s="67" cm="1">
        <f t="array" ref="O1404">SUMPRODUCT((G1404=$G$7:$G$10000)*(M1404&lt;$M$7:$M$10000))+1</f>
        <v>69</v>
      </c>
      <c r="P1404" s="72"/>
    </row>
    <row r="1405" spans="7:16" x14ac:dyDescent="0.35">
      <c r="G1405">
        <v>15</v>
      </c>
      <c r="H1405" t="s">
        <v>36</v>
      </c>
      <c r="I1405" t="s">
        <v>283</v>
      </c>
      <c r="J1405" t="s">
        <v>256</v>
      </c>
      <c r="K1405" t="s">
        <v>9</v>
      </c>
      <c r="L1405" t="s">
        <v>17</v>
      </c>
      <c r="M1405">
        <f t="shared" si="62"/>
        <v>1.8617743014565216</v>
      </c>
      <c r="N1405" t="str">
        <f t="shared" si="63"/>
        <v/>
      </c>
      <c r="O1405" s="67" cm="1">
        <f t="array" ref="O1405">SUMPRODUCT((G1405=$G$7:$G$10000)*(M1405&lt;$M$7:$M$10000))+1</f>
        <v>70</v>
      </c>
      <c r="P1405" s="72"/>
    </row>
    <row r="1406" spans="7:16" x14ac:dyDescent="0.35">
      <c r="G1406">
        <v>15</v>
      </c>
      <c r="H1406" t="s">
        <v>17</v>
      </c>
      <c r="I1406" t="s">
        <v>423</v>
      </c>
      <c r="J1406" t="s">
        <v>256</v>
      </c>
      <c r="K1406" t="s">
        <v>3</v>
      </c>
      <c r="L1406" t="s">
        <v>36</v>
      </c>
      <c r="M1406">
        <f t="shared" si="62"/>
        <v>1.8388693262807312</v>
      </c>
      <c r="N1406" t="str">
        <f t="shared" si="63"/>
        <v/>
      </c>
      <c r="O1406" s="67" cm="1">
        <f t="array" ref="O1406">SUMPRODUCT((G1406=$G$7:$G$10000)*(M1406&lt;$M$7:$M$10000))+1</f>
        <v>71</v>
      </c>
      <c r="P1406" s="72"/>
    </row>
    <row r="1407" spans="7:16" x14ac:dyDescent="0.35">
      <c r="G1407">
        <v>15</v>
      </c>
      <c r="H1407" t="s">
        <v>2</v>
      </c>
      <c r="I1407" t="s">
        <v>426</v>
      </c>
      <c r="J1407" t="s">
        <v>256</v>
      </c>
      <c r="K1407" t="s">
        <v>9</v>
      </c>
      <c r="L1407" t="s">
        <v>14</v>
      </c>
      <c r="M1407">
        <f t="shared" si="62"/>
        <v>1.7996785763124601</v>
      </c>
      <c r="N1407" t="str">
        <f t="shared" si="63"/>
        <v/>
      </c>
      <c r="O1407" s="67" cm="1">
        <f t="array" ref="O1407">SUMPRODUCT((G1407=$G$7:$G$10000)*(M1407&lt;$M$7:$M$10000))+1</f>
        <v>72</v>
      </c>
      <c r="P1407" s="72"/>
    </row>
    <row r="1408" spans="7:16" x14ac:dyDescent="0.35">
      <c r="G1408">
        <v>15</v>
      </c>
      <c r="H1408" t="s">
        <v>4</v>
      </c>
      <c r="I1408" t="s">
        <v>109</v>
      </c>
      <c r="J1408" t="s">
        <v>256</v>
      </c>
      <c r="K1408" t="s">
        <v>3</v>
      </c>
      <c r="L1408" t="s">
        <v>13</v>
      </c>
      <c r="M1408">
        <f t="shared" si="62"/>
        <v>1.7057989815960082</v>
      </c>
      <c r="N1408" t="str">
        <f t="shared" si="63"/>
        <v/>
      </c>
      <c r="O1408" s="67" cm="1">
        <f t="array" ref="O1408">SUMPRODUCT((G1408=$G$7:$G$10000)*(M1408&lt;$M$7:$M$10000))+1</f>
        <v>73</v>
      </c>
      <c r="P1408" s="72"/>
    </row>
    <row r="1409" spans="7:16" x14ac:dyDescent="0.35">
      <c r="G1409">
        <v>15</v>
      </c>
      <c r="H1409" t="s">
        <v>2</v>
      </c>
      <c r="I1409" t="s">
        <v>159</v>
      </c>
      <c r="J1409" t="s">
        <v>256</v>
      </c>
      <c r="K1409" t="s">
        <v>9</v>
      </c>
      <c r="L1409" t="s">
        <v>14</v>
      </c>
      <c r="M1409">
        <f t="shared" si="62"/>
        <v>1.6615501015364886</v>
      </c>
      <c r="N1409" t="str">
        <f t="shared" si="63"/>
        <v/>
      </c>
      <c r="O1409" s="67" cm="1">
        <f t="array" ref="O1409">SUMPRODUCT((G1409=$G$7:$G$10000)*(M1409&lt;$M$7:$M$10000))+1</f>
        <v>74</v>
      </c>
      <c r="P1409" s="72"/>
    </row>
    <row r="1410" spans="7:16" x14ac:dyDescent="0.35">
      <c r="G1410">
        <v>15</v>
      </c>
      <c r="H1410" t="s">
        <v>7</v>
      </c>
      <c r="I1410" t="s">
        <v>158</v>
      </c>
      <c r="J1410" t="s">
        <v>256</v>
      </c>
      <c r="K1410" t="s">
        <v>9</v>
      </c>
      <c r="L1410" t="s">
        <v>23</v>
      </c>
      <c r="M1410">
        <f t="shared" si="62"/>
        <v>1.3969767665268948</v>
      </c>
      <c r="N1410" t="str">
        <f t="shared" si="63"/>
        <v/>
      </c>
      <c r="O1410" s="67" cm="1">
        <f t="array" ref="O1410">SUMPRODUCT((G1410=$G$7:$G$10000)*(M1410&lt;$M$7:$M$10000))+1</f>
        <v>75</v>
      </c>
      <c r="P1410" s="72"/>
    </row>
    <row r="1411" spans="7:16" x14ac:dyDescent="0.35">
      <c r="G1411">
        <v>15</v>
      </c>
      <c r="H1411" t="s">
        <v>7</v>
      </c>
      <c r="I1411" t="s">
        <v>163</v>
      </c>
      <c r="J1411" t="s">
        <v>256</v>
      </c>
      <c r="K1411" t="s">
        <v>9</v>
      </c>
      <c r="L1411" t="s">
        <v>23</v>
      </c>
      <c r="M1411">
        <f t="shared" si="62"/>
        <v>1.3444597368435947</v>
      </c>
      <c r="N1411" t="str">
        <f t="shared" si="63"/>
        <v/>
      </c>
      <c r="O1411" s="67" cm="1">
        <f t="array" ref="O1411">SUMPRODUCT((G1411=$G$7:$G$10000)*(M1411&lt;$M$7:$M$10000))+1</f>
        <v>76</v>
      </c>
      <c r="P1411" s="72"/>
    </row>
    <row r="1412" spans="7:16" x14ac:dyDescent="0.35">
      <c r="G1412">
        <v>15</v>
      </c>
      <c r="H1412" t="s">
        <v>36</v>
      </c>
      <c r="I1412" t="s">
        <v>414</v>
      </c>
      <c r="J1412" t="s">
        <v>256</v>
      </c>
      <c r="K1412" t="s">
        <v>9</v>
      </c>
      <c r="L1412" t="s">
        <v>17</v>
      </c>
      <c r="M1412">
        <f t="shared" si="62"/>
        <v>1.2353692749493161</v>
      </c>
      <c r="N1412" t="str">
        <f t="shared" si="63"/>
        <v/>
      </c>
      <c r="O1412" s="67" cm="1">
        <f t="array" ref="O1412">SUMPRODUCT((G1412=$G$7:$G$10000)*(M1412&lt;$M$7:$M$10000))+1</f>
        <v>77</v>
      </c>
      <c r="P1412" s="72"/>
    </row>
    <row r="1413" spans="7:16" x14ac:dyDescent="0.35">
      <c r="G1413">
        <v>15</v>
      </c>
      <c r="H1413" t="s">
        <v>7</v>
      </c>
      <c r="I1413" t="s">
        <v>211</v>
      </c>
      <c r="J1413" t="s">
        <v>256</v>
      </c>
      <c r="K1413" t="s">
        <v>9</v>
      </c>
      <c r="L1413" t="s">
        <v>23</v>
      </c>
      <c r="M1413">
        <f t="shared" si="62"/>
        <v>1.0283281209805395</v>
      </c>
      <c r="N1413" t="str">
        <f t="shared" si="63"/>
        <v/>
      </c>
      <c r="O1413" s="67" cm="1">
        <f t="array" ref="O1413">SUMPRODUCT((G1413=$G$7:$G$10000)*(M1413&lt;$M$7:$M$10000))+1</f>
        <v>78</v>
      </c>
      <c r="P1413" s="72"/>
    </row>
    <row r="1414" spans="7:16" x14ac:dyDescent="0.35">
      <c r="G1414">
        <v>15</v>
      </c>
      <c r="H1414" t="s">
        <v>7</v>
      </c>
      <c r="I1414" t="s">
        <v>104</v>
      </c>
      <c r="J1414" t="s">
        <v>256</v>
      </c>
      <c r="K1414" t="s">
        <v>9</v>
      </c>
      <c r="L1414" t="s">
        <v>23</v>
      </c>
      <c r="M1414">
        <f t="shared" si="62"/>
        <v>0.87022044690684996</v>
      </c>
      <c r="N1414" t="str">
        <f t="shared" si="63"/>
        <v/>
      </c>
      <c r="O1414" s="67" cm="1">
        <f t="array" ref="O1414">SUMPRODUCT((G1414=$G$7:$G$10000)*(M1414&lt;$M$7:$M$10000))+1</f>
        <v>79</v>
      </c>
      <c r="P1414" s="72"/>
    </row>
    <row r="1415" spans="7:16" x14ac:dyDescent="0.35">
      <c r="G1415">
        <v>15</v>
      </c>
      <c r="H1415" t="s">
        <v>7</v>
      </c>
      <c r="I1415" t="s">
        <v>148</v>
      </c>
      <c r="J1415" t="s">
        <v>256</v>
      </c>
      <c r="K1415" t="s">
        <v>9</v>
      </c>
      <c r="L1415" t="s">
        <v>23</v>
      </c>
      <c r="M1415">
        <f t="shared" si="62"/>
        <v>0.67028003660086632</v>
      </c>
      <c r="N1415" t="str">
        <f t="shared" si="63"/>
        <v/>
      </c>
      <c r="O1415" s="67" cm="1">
        <f t="array" ref="O1415">SUMPRODUCT((G1415=$G$7:$G$10000)*(M1415&lt;$M$7:$M$10000))+1</f>
        <v>80</v>
      </c>
      <c r="P1415" s="72"/>
    </row>
    <row r="1416" spans="7:16" x14ac:dyDescent="0.35">
      <c r="G1416">
        <v>15</v>
      </c>
      <c r="H1416" t="s">
        <v>17</v>
      </c>
      <c r="I1416" t="s">
        <v>155</v>
      </c>
      <c r="J1416" t="s">
        <v>256</v>
      </c>
      <c r="K1416" t="s">
        <v>3</v>
      </c>
      <c r="L1416" t="s">
        <v>36</v>
      </c>
      <c r="M1416">
        <f t="shared" si="62"/>
        <v>0.66242692842365614</v>
      </c>
      <c r="N1416" t="str">
        <f t="shared" si="63"/>
        <v/>
      </c>
      <c r="O1416" s="67" cm="1">
        <f t="array" ref="O1416">SUMPRODUCT((G1416=$G$7:$G$10000)*(M1416&lt;$M$7:$M$10000))+1</f>
        <v>81</v>
      </c>
      <c r="P1416" s="72"/>
    </row>
    <row r="1417" spans="7:16" x14ac:dyDescent="0.35">
      <c r="G1417">
        <v>15</v>
      </c>
      <c r="H1417" t="s">
        <v>4</v>
      </c>
      <c r="I1417" t="s">
        <v>176</v>
      </c>
      <c r="J1417" t="s">
        <v>256</v>
      </c>
      <c r="K1417" t="s">
        <v>3</v>
      </c>
      <c r="L1417" t="s">
        <v>13</v>
      </c>
      <c r="M1417">
        <f t="shared" si="62"/>
        <v>0.60947744365969347</v>
      </c>
      <c r="N1417" t="str">
        <f t="shared" si="63"/>
        <v/>
      </c>
      <c r="O1417" s="67" cm="1">
        <f t="array" ref="O1417">SUMPRODUCT((G1417=$G$7:$G$10000)*(M1417&lt;$M$7:$M$10000))+1</f>
        <v>82</v>
      </c>
      <c r="P1417" s="72"/>
    </row>
    <row r="1418" spans="7:16" x14ac:dyDescent="0.35">
      <c r="G1418">
        <v>15</v>
      </c>
      <c r="H1418" t="s">
        <v>7</v>
      </c>
      <c r="I1418" t="s">
        <v>277</v>
      </c>
      <c r="J1418" t="s">
        <v>256</v>
      </c>
      <c r="K1418" t="s">
        <v>9</v>
      </c>
      <c r="L1418" t="s">
        <v>23</v>
      </c>
      <c r="M1418">
        <f t="shared" si="62"/>
        <v>0.24403486507080441</v>
      </c>
      <c r="N1418" t="str">
        <f t="shared" si="63"/>
        <v/>
      </c>
      <c r="O1418" s="67" cm="1">
        <f t="array" ref="O1418">SUMPRODUCT((G1418=$G$7:$G$10000)*(M1418&lt;$M$7:$M$10000))+1</f>
        <v>83</v>
      </c>
      <c r="P1418" s="72"/>
    </row>
    <row r="1419" spans="7:16" x14ac:dyDescent="0.35">
      <c r="G1419">
        <v>15</v>
      </c>
      <c r="H1419" t="s">
        <v>4</v>
      </c>
      <c r="I1419" t="s">
        <v>172</v>
      </c>
      <c r="J1419" t="s">
        <v>256</v>
      </c>
      <c r="K1419" t="s">
        <v>3</v>
      </c>
      <c r="L1419" t="s">
        <v>13</v>
      </c>
      <c r="M1419">
        <f t="shared" si="62"/>
        <v>0.2280340465609898</v>
      </c>
      <c r="N1419" t="str">
        <f t="shared" si="63"/>
        <v/>
      </c>
      <c r="O1419" s="67" cm="1">
        <f t="array" ref="O1419">SUMPRODUCT((G1419=$G$7:$G$10000)*(M1419&lt;$M$7:$M$10000))+1</f>
        <v>84</v>
      </c>
      <c r="P1419" s="72"/>
    </row>
    <row r="1420" spans="7:16" x14ac:dyDescent="0.35">
      <c r="G1420">
        <v>15</v>
      </c>
      <c r="H1420" t="s">
        <v>4</v>
      </c>
      <c r="I1420" t="s">
        <v>118</v>
      </c>
      <c r="J1420" t="s">
        <v>256</v>
      </c>
      <c r="K1420" t="s">
        <v>3</v>
      </c>
      <c r="L1420" t="s">
        <v>13</v>
      </c>
      <c r="M1420">
        <f t="shared" si="62"/>
        <v>-0.17604387828438384</v>
      </c>
      <c r="N1420" t="str">
        <f t="shared" si="63"/>
        <v/>
      </c>
      <c r="O1420" s="67" cm="1">
        <f t="array" ref="O1420">SUMPRODUCT((G1420=$G$7:$G$10000)*(M1420&lt;$M$7:$M$10000))+1</f>
        <v>96</v>
      </c>
      <c r="P1420" s="72"/>
    </row>
    <row r="1421" spans="7:16" x14ac:dyDescent="0.35">
      <c r="G1421">
        <v>15</v>
      </c>
      <c r="H1421" t="s">
        <v>2</v>
      </c>
      <c r="I1421" t="s">
        <v>185</v>
      </c>
      <c r="J1421" t="s">
        <v>256</v>
      </c>
      <c r="K1421" t="s">
        <v>9</v>
      </c>
      <c r="L1421" t="s">
        <v>14</v>
      </c>
      <c r="M1421">
        <f t="shared" si="62"/>
        <v>-0.44237986027000886</v>
      </c>
      <c r="N1421" t="str">
        <f t="shared" si="63"/>
        <v/>
      </c>
      <c r="O1421" s="67" cm="1">
        <f t="array" ref="O1421">SUMPRODUCT((G1421=$G$7:$G$10000)*(M1421&lt;$M$7:$M$10000))+1</f>
        <v>97</v>
      </c>
      <c r="P1421" s="72"/>
    </row>
    <row r="1422" spans="7:16" x14ac:dyDescent="0.35">
      <c r="G1422">
        <v>15</v>
      </c>
      <c r="H1422" t="s">
        <v>4</v>
      </c>
      <c r="I1422" t="s">
        <v>335</v>
      </c>
      <c r="J1422" t="s">
        <v>256</v>
      </c>
      <c r="K1422" t="s">
        <v>3</v>
      </c>
      <c r="L1422" t="s">
        <v>13</v>
      </c>
      <c r="M1422">
        <f t="shared" si="62"/>
        <v>-0.49678996214793081</v>
      </c>
      <c r="N1422" t="str">
        <f t="shared" si="63"/>
        <v/>
      </c>
      <c r="O1422" s="67" cm="1">
        <f t="array" ref="O1422">SUMPRODUCT((G1422=$G$7:$G$10000)*(M1422&lt;$M$7:$M$10000))+1</f>
        <v>98</v>
      </c>
      <c r="P1422" s="72"/>
    </row>
    <row r="1423" spans="7:16" x14ac:dyDescent="0.35">
      <c r="G1423">
        <v>15</v>
      </c>
      <c r="H1423" t="s">
        <v>36</v>
      </c>
      <c r="I1423" t="s">
        <v>106</v>
      </c>
      <c r="J1423" t="s">
        <v>256</v>
      </c>
      <c r="K1423" t="s">
        <v>9</v>
      </c>
      <c r="L1423" t="s">
        <v>17</v>
      </c>
      <c r="M1423">
        <f t="shared" si="62"/>
        <v>-3.3057462683650494</v>
      </c>
      <c r="N1423" t="str">
        <f t="shared" si="63"/>
        <v/>
      </c>
      <c r="O1423" s="67" cm="1">
        <f t="array" ref="O1423">SUMPRODUCT((G1423=$G$7:$G$10000)*(M1423&lt;$M$7:$M$10000))+1</f>
        <v>99</v>
      </c>
      <c r="P1423" s="72"/>
    </row>
    <row r="1424" spans="7:16" x14ac:dyDescent="0.35">
      <c r="G1424">
        <v>15</v>
      </c>
      <c r="H1424" t="s">
        <v>24</v>
      </c>
      <c r="I1424" t="s">
        <v>142</v>
      </c>
      <c r="J1424" t="s">
        <v>256</v>
      </c>
      <c r="K1424" t="s">
        <v>9</v>
      </c>
      <c r="L1424" t="s">
        <v>6</v>
      </c>
      <c r="M1424">
        <f t="shared" si="62"/>
        <v>-7.024329732076545</v>
      </c>
      <c r="N1424" t="str">
        <f t="shared" si="63"/>
        <v/>
      </c>
      <c r="O1424" s="67" cm="1">
        <f t="array" ref="O1424">SUMPRODUCT((G1424=$G$7:$G$10000)*(M1424&lt;$M$7:$M$10000))+1</f>
        <v>100</v>
      </c>
      <c r="P1424" s="72"/>
    </row>
    <row r="1425" spans="7:12" x14ac:dyDescent="0.35">
      <c r="G1425">
        <v>15</v>
      </c>
      <c r="H1425" t="s">
        <v>17</v>
      </c>
      <c r="I1425" t="s">
        <v>105</v>
      </c>
      <c r="J1425" t="s">
        <v>256</v>
      </c>
      <c r="K1425" t="s">
        <v>3</v>
      </c>
      <c r="L1425" t="s">
        <v>36</v>
      </c>
    </row>
    <row r="1426" spans="7:12" x14ac:dyDescent="0.35">
      <c r="G1426">
        <v>15</v>
      </c>
      <c r="H1426" t="s">
        <v>17</v>
      </c>
      <c r="I1426" t="s">
        <v>483</v>
      </c>
      <c r="J1426" t="s">
        <v>256</v>
      </c>
      <c r="K1426" t="s">
        <v>3</v>
      </c>
      <c r="L1426" t="s">
        <v>36</v>
      </c>
    </row>
    <row r="1427" spans="7:12" x14ac:dyDescent="0.35">
      <c r="G1427">
        <v>15</v>
      </c>
      <c r="H1427" t="s">
        <v>17</v>
      </c>
      <c r="I1427" t="s">
        <v>284</v>
      </c>
      <c r="J1427" t="s">
        <v>256</v>
      </c>
      <c r="K1427" t="s">
        <v>3</v>
      </c>
      <c r="L1427" t="s">
        <v>36</v>
      </c>
    </row>
    <row r="1428" spans="7:12" x14ac:dyDescent="0.35">
      <c r="G1428">
        <v>15</v>
      </c>
      <c r="H1428" t="s">
        <v>13</v>
      </c>
      <c r="I1428" t="s">
        <v>464</v>
      </c>
      <c r="J1428" t="s">
        <v>256</v>
      </c>
      <c r="K1428" t="s">
        <v>9</v>
      </c>
      <c r="L1428" t="s">
        <v>4</v>
      </c>
    </row>
    <row r="1429" spans="7:12" x14ac:dyDescent="0.35">
      <c r="G1429">
        <v>15</v>
      </c>
      <c r="H1429" t="s">
        <v>13</v>
      </c>
      <c r="I1429" t="s">
        <v>204</v>
      </c>
      <c r="J1429" t="s">
        <v>256</v>
      </c>
      <c r="K1429" t="s">
        <v>9</v>
      </c>
      <c r="L1429" t="s">
        <v>4</v>
      </c>
    </row>
    <row r="1430" spans="7:12" x14ac:dyDescent="0.35">
      <c r="G1430">
        <v>15</v>
      </c>
      <c r="H1430" t="s">
        <v>13</v>
      </c>
      <c r="I1430" t="s">
        <v>103</v>
      </c>
      <c r="J1430" t="s">
        <v>256</v>
      </c>
      <c r="K1430" t="s">
        <v>9</v>
      </c>
      <c r="L1430" t="s">
        <v>4</v>
      </c>
    </row>
    <row r="1431" spans="7:12" x14ac:dyDescent="0.35">
      <c r="G1431">
        <v>15</v>
      </c>
      <c r="H1431" t="s">
        <v>13</v>
      </c>
      <c r="I1431" t="s">
        <v>469</v>
      </c>
      <c r="J1431" t="s">
        <v>256</v>
      </c>
      <c r="K1431" t="s">
        <v>9</v>
      </c>
      <c r="L1431" t="s">
        <v>4</v>
      </c>
    </row>
    <row r="1432" spans="7:12" x14ac:dyDescent="0.35">
      <c r="G1432">
        <v>15</v>
      </c>
      <c r="H1432" t="s">
        <v>13</v>
      </c>
      <c r="I1432" t="s">
        <v>210</v>
      </c>
      <c r="J1432" t="s">
        <v>256</v>
      </c>
      <c r="K1432" t="s">
        <v>9</v>
      </c>
      <c r="L1432" t="s">
        <v>4</v>
      </c>
    </row>
    <row r="1433" spans="7:12" x14ac:dyDescent="0.35">
      <c r="G1433">
        <v>15</v>
      </c>
      <c r="H1433" t="s">
        <v>13</v>
      </c>
      <c r="I1433" t="s">
        <v>463</v>
      </c>
      <c r="J1433" t="s">
        <v>256</v>
      </c>
      <c r="K1433" t="s">
        <v>9</v>
      </c>
      <c r="L1433" t="s">
        <v>4</v>
      </c>
    </row>
    <row r="1434" spans="7:12" x14ac:dyDescent="0.35">
      <c r="G1434">
        <v>15</v>
      </c>
      <c r="H1434" t="s">
        <v>13</v>
      </c>
      <c r="I1434" t="s">
        <v>120</v>
      </c>
      <c r="J1434" t="s">
        <v>256</v>
      </c>
      <c r="K1434" t="s">
        <v>9</v>
      </c>
      <c r="L1434" t="s">
        <v>4</v>
      </c>
    </row>
    <row r="1435" spans="7:12" x14ac:dyDescent="0.35">
      <c r="G1435">
        <v>15</v>
      </c>
      <c r="H1435" t="s">
        <v>13</v>
      </c>
      <c r="I1435" t="s">
        <v>467</v>
      </c>
      <c r="J1435" t="s">
        <v>256</v>
      </c>
      <c r="K1435" t="s">
        <v>9</v>
      </c>
      <c r="L1435" t="s">
        <v>4</v>
      </c>
    </row>
    <row r="1436" spans="7:12" x14ac:dyDescent="0.35">
      <c r="G1436">
        <v>16</v>
      </c>
      <c r="H1436" t="s">
        <v>14</v>
      </c>
      <c r="I1436" t="s">
        <v>197</v>
      </c>
      <c r="J1436" t="s">
        <v>256</v>
      </c>
      <c r="K1436" t="s">
        <v>9</v>
      </c>
      <c r="L1436" t="s">
        <v>13</v>
      </c>
    </row>
    <row r="1437" spans="7:12" x14ac:dyDescent="0.35">
      <c r="G1437">
        <v>16</v>
      </c>
      <c r="H1437" t="s">
        <v>14</v>
      </c>
      <c r="I1437" t="s">
        <v>143</v>
      </c>
      <c r="J1437" t="s">
        <v>256</v>
      </c>
      <c r="K1437" t="s">
        <v>9</v>
      </c>
      <c r="L1437" t="s">
        <v>13</v>
      </c>
    </row>
    <row r="1438" spans="7:12" x14ac:dyDescent="0.35">
      <c r="G1438">
        <v>16</v>
      </c>
      <c r="H1438" t="s">
        <v>14</v>
      </c>
      <c r="I1438" t="s">
        <v>248</v>
      </c>
      <c r="J1438" t="s">
        <v>256</v>
      </c>
      <c r="K1438" t="s">
        <v>9</v>
      </c>
      <c r="L1438" t="s">
        <v>13</v>
      </c>
    </row>
    <row r="1439" spans="7:12" x14ac:dyDescent="0.35">
      <c r="G1439">
        <v>16</v>
      </c>
      <c r="H1439" t="s">
        <v>14</v>
      </c>
      <c r="I1439" t="s">
        <v>203</v>
      </c>
      <c r="J1439" t="s">
        <v>256</v>
      </c>
      <c r="K1439" t="s">
        <v>9</v>
      </c>
      <c r="L1439" t="s">
        <v>13</v>
      </c>
    </row>
    <row r="1440" spans="7:12" x14ac:dyDescent="0.35">
      <c r="G1440">
        <v>16</v>
      </c>
      <c r="H1440" t="s">
        <v>14</v>
      </c>
      <c r="I1440" t="s">
        <v>413</v>
      </c>
      <c r="J1440" t="s">
        <v>256</v>
      </c>
      <c r="K1440" t="s">
        <v>9</v>
      </c>
      <c r="L1440" t="s">
        <v>13</v>
      </c>
    </row>
    <row r="1441" spans="7:12" x14ac:dyDescent="0.35">
      <c r="G1441">
        <v>16</v>
      </c>
      <c r="H1441" t="s">
        <v>14</v>
      </c>
      <c r="I1441" t="s">
        <v>164</v>
      </c>
      <c r="J1441" t="s">
        <v>256</v>
      </c>
      <c r="K1441" t="s">
        <v>9</v>
      </c>
      <c r="L1441" t="s">
        <v>13</v>
      </c>
    </row>
    <row r="1442" spans="7:12" x14ac:dyDescent="0.35">
      <c r="G1442">
        <v>16</v>
      </c>
      <c r="H1442" t="s">
        <v>14</v>
      </c>
      <c r="I1442" t="s">
        <v>181</v>
      </c>
      <c r="J1442" t="s">
        <v>256</v>
      </c>
      <c r="K1442" t="s">
        <v>9</v>
      </c>
      <c r="L1442" t="s">
        <v>13</v>
      </c>
    </row>
    <row r="1443" spans="7:12" x14ac:dyDescent="0.35">
      <c r="G1443">
        <v>16</v>
      </c>
      <c r="H1443" t="s">
        <v>14</v>
      </c>
      <c r="I1443" t="s">
        <v>396</v>
      </c>
      <c r="J1443" t="s">
        <v>256</v>
      </c>
      <c r="K1443" t="s">
        <v>9</v>
      </c>
      <c r="L1443" t="s">
        <v>13</v>
      </c>
    </row>
    <row r="1444" spans="7:12" x14ac:dyDescent="0.35">
      <c r="G1444">
        <v>16</v>
      </c>
      <c r="H1444" t="s">
        <v>14</v>
      </c>
      <c r="I1444" t="s">
        <v>470</v>
      </c>
      <c r="J1444" t="s">
        <v>256</v>
      </c>
      <c r="K1444" t="s">
        <v>9</v>
      </c>
      <c r="L1444" t="s">
        <v>13</v>
      </c>
    </row>
    <row r="1445" spans="7:12" x14ac:dyDescent="0.35">
      <c r="G1445">
        <v>16</v>
      </c>
      <c r="H1445" t="s">
        <v>14</v>
      </c>
      <c r="I1445" t="s">
        <v>107</v>
      </c>
      <c r="J1445" t="s">
        <v>256</v>
      </c>
      <c r="K1445" t="s">
        <v>9</v>
      </c>
      <c r="L1445" t="s">
        <v>13</v>
      </c>
    </row>
    <row r="1446" spans="7:12" x14ac:dyDescent="0.35">
      <c r="G1446">
        <v>16</v>
      </c>
      <c r="H1446" t="s">
        <v>14</v>
      </c>
      <c r="I1446" t="s">
        <v>425</v>
      </c>
      <c r="J1446" t="s">
        <v>256</v>
      </c>
      <c r="K1446" t="s">
        <v>9</v>
      </c>
      <c r="L1446" t="s">
        <v>13</v>
      </c>
    </row>
    <row r="1447" spans="7:12" x14ac:dyDescent="0.35">
      <c r="G1447">
        <v>16</v>
      </c>
      <c r="H1447" t="s">
        <v>14</v>
      </c>
      <c r="I1447" t="s">
        <v>471</v>
      </c>
      <c r="J1447" t="s">
        <v>256</v>
      </c>
      <c r="K1447" t="s">
        <v>9</v>
      </c>
      <c r="L1447" t="s">
        <v>13</v>
      </c>
    </row>
    <row r="1448" spans="7:12" x14ac:dyDescent="0.35">
      <c r="G1448">
        <v>16</v>
      </c>
      <c r="H1448" t="s">
        <v>2</v>
      </c>
      <c r="I1448" t="s">
        <v>185</v>
      </c>
      <c r="J1448" t="s">
        <v>256</v>
      </c>
      <c r="K1448" t="s">
        <v>3</v>
      </c>
      <c r="L1448" t="s">
        <v>4</v>
      </c>
    </row>
    <row r="1449" spans="7:12" x14ac:dyDescent="0.35">
      <c r="G1449">
        <v>16</v>
      </c>
      <c r="H1449" t="s">
        <v>2</v>
      </c>
      <c r="I1449" t="s">
        <v>156</v>
      </c>
      <c r="J1449" t="s">
        <v>256</v>
      </c>
      <c r="K1449" t="s">
        <v>3</v>
      </c>
      <c r="L1449" t="s">
        <v>4</v>
      </c>
    </row>
    <row r="1450" spans="7:12" x14ac:dyDescent="0.35">
      <c r="G1450">
        <v>16</v>
      </c>
      <c r="H1450" t="s">
        <v>2</v>
      </c>
      <c r="I1450" t="s">
        <v>159</v>
      </c>
      <c r="J1450" t="s">
        <v>256</v>
      </c>
      <c r="K1450" t="s">
        <v>3</v>
      </c>
      <c r="L1450" t="s">
        <v>4</v>
      </c>
    </row>
    <row r="1451" spans="7:12" x14ac:dyDescent="0.35">
      <c r="G1451">
        <v>16</v>
      </c>
      <c r="H1451" t="s">
        <v>2</v>
      </c>
      <c r="I1451" t="s">
        <v>426</v>
      </c>
      <c r="J1451" t="s">
        <v>256</v>
      </c>
      <c r="K1451" t="s">
        <v>3</v>
      </c>
      <c r="L1451" t="s">
        <v>4</v>
      </c>
    </row>
    <row r="1452" spans="7:12" x14ac:dyDescent="0.35">
      <c r="G1452">
        <v>16</v>
      </c>
      <c r="H1452" t="s">
        <v>2</v>
      </c>
      <c r="I1452" t="s">
        <v>108</v>
      </c>
      <c r="J1452" t="s">
        <v>256</v>
      </c>
      <c r="K1452" t="s">
        <v>3</v>
      </c>
      <c r="L1452" t="s">
        <v>4</v>
      </c>
    </row>
    <row r="1453" spans="7:12" x14ac:dyDescent="0.35">
      <c r="G1453">
        <v>16</v>
      </c>
      <c r="H1453" t="s">
        <v>2</v>
      </c>
      <c r="I1453" t="s">
        <v>212</v>
      </c>
      <c r="J1453" t="s">
        <v>256</v>
      </c>
      <c r="K1453" t="s">
        <v>3</v>
      </c>
      <c r="L1453" t="s">
        <v>4</v>
      </c>
    </row>
    <row r="1454" spans="7:12" x14ac:dyDescent="0.35">
      <c r="G1454">
        <v>16</v>
      </c>
      <c r="H1454" t="s">
        <v>2</v>
      </c>
      <c r="I1454" t="s">
        <v>213</v>
      </c>
      <c r="J1454" t="s">
        <v>256</v>
      </c>
      <c r="K1454" t="s">
        <v>3</v>
      </c>
      <c r="L1454" t="s">
        <v>4</v>
      </c>
    </row>
    <row r="1455" spans="7:12" x14ac:dyDescent="0.35">
      <c r="G1455">
        <v>16</v>
      </c>
      <c r="H1455" t="s">
        <v>2</v>
      </c>
      <c r="I1455" t="s">
        <v>115</v>
      </c>
      <c r="J1455" t="s">
        <v>256</v>
      </c>
      <c r="K1455" t="s">
        <v>3</v>
      </c>
      <c r="L1455" t="s">
        <v>4</v>
      </c>
    </row>
    <row r="1456" spans="7:12" x14ac:dyDescent="0.35">
      <c r="G1456">
        <v>16</v>
      </c>
      <c r="H1456" t="s">
        <v>2</v>
      </c>
      <c r="I1456" t="s">
        <v>174</v>
      </c>
      <c r="J1456" t="s">
        <v>256</v>
      </c>
      <c r="K1456" t="s">
        <v>3</v>
      </c>
      <c r="L1456" t="s">
        <v>4</v>
      </c>
    </row>
    <row r="1457" spans="7:12" x14ac:dyDescent="0.35">
      <c r="G1457">
        <v>16</v>
      </c>
      <c r="H1457" t="s">
        <v>6</v>
      </c>
      <c r="I1457" t="s">
        <v>416</v>
      </c>
      <c r="J1457" t="s">
        <v>256</v>
      </c>
      <c r="K1457" t="s">
        <v>9</v>
      </c>
      <c r="L1457" t="s">
        <v>7</v>
      </c>
    </row>
    <row r="1458" spans="7:12" x14ac:dyDescent="0.35">
      <c r="G1458">
        <v>16</v>
      </c>
      <c r="H1458" t="s">
        <v>6</v>
      </c>
      <c r="I1458" t="s">
        <v>432</v>
      </c>
      <c r="J1458" t="s">
        <v>256</v>
      </c>
      <c r="K1458" t="s">
        <v>9</v>
      </c>
      <c r="L1458" t="s">
        <v>7</v>
      </c>
    </row>
    <row r="1459" spans="7:12" x14ac:dyDescent="0.35">
      <c r="G1459">
        <v>16</v>
      </c>
      <c r="H1459" t="s">
        <v>6</v>
      </c>
      <c r="I1459" t="s">
        <v>417</v>
      </c>
      <c r="J1459" t="s">
        <v>256</v>
      </c>
      <c r="K1459" t="s">
        <v>9</v>
      </c>
      <c r="L1459" t="s">
        <v>7</v>
      </c>
    </row>
    <row r="1460" spans="7:12" x14ac:dyDescent="0.35">
      <c r="G1460">
        <v>16</v>
      </c>
      <c r="H1460" t="s">
        <v>6</v>
      </c>
      <c r="I1460" t="s">
        <v>418</v>
      </c>
      <c r="J1460" t="s">
        <v>256</v>
      </c>
      <c r="K1460" t="s">
        <v>9</v>
      </c>
      <c r="L1460" t="s">
        <v>7</v>
      </c>
    </row>
    <row r="1461" spans="7:12" x14ac:dyDescent="0.35">
      <c r="G1461">
        <v>16</v>
      </c>
      <c r="H1461" t="s">
        <v>6</v>
      </c>
      <c r="I1461" t="s">
        <v>433</v>
      </c>
      <c r="J1461" t="s">
        <v>256</v>
      </c>
      <c r="K1461" t="s">
        <v>9</v>
      </c>
      <c r="L1461" t="s">
        <v>7</v>
      </c>
    </row>
    <row r="1462" spans="7:12" x14ac:dyDescent="0.35">
      <c r="G1462">
        <v>16</v>
      </c>
      <c r="H1462" t="s">
        <v>6</v>
      </c>
      <c r="I1462" t="s">
        <v>208</v>
      </c>
      <c r="J1462" t="s">
        <v>256</v>
      </c>
      <c r="K1462" t="s">
        <v>9</v>
      </c>
      <c r="L1462" t="s">
        <v>7</v>
      </c>
    </row>
    <row r="1463" spans="7:12" x14ac:dyDescent="0.35">
      <c r="G1463">
        <v>16</v>
      </c>
      <c r="H1463" t="s">
        <v>6</v>
      </c>
      <c r="I1463" t="s">
        <v>116</v>
      </c>
      <c r="J1463" t="s">
        <v>256</v>
      </c>
      <c r="K1463" t="s">
        <v>9</v>
      </c>
      <c r="L1463" t="s">
        <v>7</v>
      </c>
    </row>
    <row r="1464" spans="7:12" x14ac:dyDescent="0.35">
      <c r="G1464">
        <v>16</v>
      </c>
      <c r="H1464" t="s">
        <v>6</v>
      </c>
      <c r="I1464" t="s">
        <v>430</v>
      </c>
      <c r="J1464" t="s">
        <v>256</v>
      </c>
      <c r="K1464" t="s">
        <v>9</v>
      </c>
      <c r="L1464" t="s">
        <v>7</v>
      </c>
    </row>
    <row r="1465" spans="7:12" x14ac:dyDescent="0.35">
      <c r="G1465">
        <v>16</v>
      </c>
      <c r="H1465" t="s">
        <v>24</v>
      </c>
      <c r="I1465" t="s">
        <v>142</v>
      </c>
      <c r="J1465" t="s">
        <v>256</v>
      </c>
      <c r="K1465" t="s">
        <v>3</v>
      </c>
      <c r="L1465" t="s">
        <v>34</v>
      </c>
    </row>
    <row r="1466" spans="7:12" x14ac:dyDescent="0.35">
      <c r="G1466">
        <v>16</v>
      </c>
      <c r="H1466" t="s">
        <v>24</v>
      </c>
      <c r="I1466" t="s">
        <v>465</v>
      </c>
      <c r="J1466" t="s">
        <v>256</v>
      </c>
      <c r="K1466" t="s">
        <v>3</v>
      </c>
      <c r="L1466" t="s">
        <v>34</v>
      </c>
    </row>
    <row r="1467" spans="7:12" x14ac:dyDescent="0.35">
      <c r="G1467">
        <v>16</v>
      </c>
      <c r="H1467" t="s">
        <v>24</v>
      </c>
      <c r="I1467" t="s">
        <v>199</v>
      </c>
      <c r="J1467" t="s">
        <v>256</v>
      </c>
      <c r="K1467" t="s">
        <v>3</v>
      </c>
      <c r="L1467" t="s">
        <v>34</v>
      </c>
    </row>
    <row r="1468" spans="7:12" x14ac:dyDescent="0.35">
      <c r="G1468">
        <v>16</v>
      </c>
      <c r="H1468" t="s">
        <v>24</v>
      </c>
      <c r="I1468" t="s">
        <v>422</v>
      </c>
      <c r="J1468" t="s">
        <v>256</v>
      </c>
      <c r="K1468" t="s">
        <v>3</v>
      </c>
      <c r="L1468" t="s">
        <v>34</v>
      </c>
    </row>
    <row r="1469" spans="7:12" x14ac:dyDescent="0.35">
      <c r="G1469">
        <v>16</v>
      </c>
      <c r="H1469" t="s">
        <v>24</v>
      </c>
      <c r="I1469" t="s">
        <v>168</v>
      </c>
      <c r="J1469" t="s">
        <v>256</v>
      </c>
      <c r="K1469" t="s">
        <v>3</v>
      </c>
      <c r="L1469" t="s">
        <v>34</v>
      </c>
    </row>
    <row r="1470" spans="7:12" x14ac:dyDescent="0.35">
      <c r="G1470">
        <v>16</v>
      </c>
      <c r="H1470" t="s">
        <v>24</v>
      </c>
      <c r="I1470" t="s">
        <v>411</v>
      </c>
      <c r="J1470" t="s">
        <v>256</v>
      </c>
      <c r="K1470" t="s">
        <v>3</v>
      </c>
      <c r="L1470" t="s">
        <v>34</v>
      </c>
    </row>
    <row r="1471" spans="7:12" x14ac:dyDescent="0.35">
      <c r="G1471">
        <v>16</v>
      </c>
      <c r="H1471" t="s">
        <v>24</v>
      </c>
      <c r="I1471" t="s">
        <v>215</v>
      </c>
      <c r="J1471" t="s">
        <v>256</v>
      </c>
      <c r="K1471" t="s">
        <v>3</v>
      </c>
      <c r="L1471" t="s">
        <v>34</v>
      </c>
    </row>
    <row r="1472" spans="7:12" x14ac:dyDescent="0.35">
      <c r="G1472">
        <v>16</v>
      </c>
      <c r="H1472" t="s">
        <v>24</v>
      </c>
      <c r="I1472" t="s">
        <v>217</v>
      </c>
      <c r="J1472" t="s">
        <v>256</v>
      </c>
      <c r="K1472" t="s">
        <v>3</v>
      </c>
      <c r="L1472" t="s">
        <v>34</v>
      </c>
    </row>
    <row r="1473" spans="7:12" x14ac:dyDescent="0.35">
      <c r="G1473">
        <v>16</v>
      </c>
      <c r="H1473" t="s">
        <v>24</v>
      </c>
      <c r="I1473" t="s">
        <v>419</v>
      </c>
      <c r="J1473" t="s">
        <v>256</v>
      </c>
      <c r="K1473" t="s">
        <v>3</v>
      </c>
      <c r="L1473" t="s">
        <v>34</v>
      </c>
    </row>
    <row r="1474" spans="7:12" x14ac:dyDescent="0.35">
      <c r="G1474">
        <v>16</v>
      </c>
      <c r="H1474" t="s">
        <v>24</v>
      </c>
      <c r="I1474" t="s">
        <v>179</v>
      </c>
      <c r="J1474" t="s">
        <v>256</v>
      </c>
      <c r="K1474" t="s">
        <v>3</v>
      </c>
      <c r="L1474" t="s">
        <v>34</v>
      </c>
    </row>
    <row r="1475" spans="7:12" x14ac:dyDescent="0.35">
      <c r="G1475">
        <v>16</v>
      </c>
      <c r="H1475" t="s">
        <v>24</v>
      </c>
      <c r="I1475" t="s">
        <v>482</v>
      </c>
      <c r="J1475" t="s">
        <v>256</v>
      </c>
      <c r="K1475" t="s">
        <v>3</v>
      </c>
      <c r="L1475" t="s">
        <v>34</v>
      </c>
    </row>
    <row r="1476" spans="7:12" x14ac:dyDescent="0.35">
      <c r="G1476">
        <v>16</v>
      </c>
      <c r="H1476" t="s">
        <v>23</v>
      </c>
      <c r="I1476" t="s">
        <v>144</v>
      </c>
      <c r="J1476" t="s">
        <v>256</v>
      </c>
      <c r="K1476" t="s">
        <v>3</v>
      </c>
      <c r="L1476" t="s">
        <v>17</v>
      </c>
    </row>
    <row r="1477" spans="7:12" x14ac:dyDescent="0.35">
      <c r="G1477">
        <v>16</v>
      </c>
      <c r="H1477" t="s">
        <v>23</v>
      </c>
      <c r="I1477" t="s">
        <v>389</v>
      </c>
      <c r="J1477" t="s">
        <v>256</v>
      </c>
      <c r="K1477" t="s">
        <v>3</v>
      </c>
      <c r="L1477" t="s">
        <v>17</v>
      </c>
    </row>
    <row r="1478" spans="7:12" x14ac:dyDescent="0.35">
      <c r="G1478">
        <v>16</v>
      </c>
      <c r="H1478" t="s">
        <v>23</v>
      </c>
      <c r="I1478" t="s">
        <v>431</v>
      </c>
      <c r="J1478" t="s">
        <v>256</v>
      </c>
      <c r="K1478" t="s">
        <v>3</v>
      </c>
      <c r="L1478" t="s">
        <v>17</v>
      </c>
    </row>
    <row r="1479" spans="7:12" x14ac:dyDescent="0.35">
      <c r="G1479">
        <v>16</v>
      </c>
      <c r="H1479" t="s">
        <v>23</v>
      </c>
      <c r="I1479" t="s">
        <v>428</v>
      </c>
      <c r="J1479" t="s">
        <v>256</v>
      </c>
      <c r="K1479" t="s">
        <v>3</v>
      </c>
      <c r="L1479" t="s">
        <v>17</v>
      </c>
    </row>
    <row r="1480" spans="7:12" x14ac:dyDescent="0.35">
      <c r="G1480">
        <v>16</v>
      </c>
      <c r="H1480" t="s">
        <v>23</v>
      </c>
      <c r="I1480" t="s">
        <v>412</v>
      </c>
      <c r="J1480" t="s">
        <v>256</v>
      </c>
      <c r="K1480" t="s">
        <v>3</v>
      </c>
      <c r="L1480" t="s">
        <v>17</v>
      </c>
    </row>
    <row r="1481" spans="7:12" x14ac:dyDescent="0.35">
      <c r="G1481">
        <v>16</v>
      </c>
      <c r="H1481" t="s">
        <v>23</v>
      </c>
      <c r="I1481" t="s">
        <v>252</v>
      </c>
      <c r="J1481" t="s">
        <v>256</v>
      </c>
      <c r="K1481" t="s">
        <v>3</v>
      </c>
      <c r="L1481" t="s">
        <v>17</v>
      </c>
    </row>
    <row r="1482" spans="7:12" x14ac:dyDescent="0.35">
      <c r="G1482">
        <v>16</v>
      </c>
      <c r="H1482" t="s">
        <v>23</v>
      </c>
      <c r="I1482" t="s">
        <v>221</v>
      </c>
      <c r="J1482" t="s">
        <v>256</v>
      </c>
      <c r="K1482" t="s">
        <v>3</v>
      </c>
      <c r="L1482" t="s">
        <v>17</v>
      </c>
    </row>
    <row r="1483" spans="7:12" x14ac:dyDescent="0.35">
      <c r="G1483">
        <v>16</v>
      </c>
      <c r="H1483" t="s">
        <v>23</v>
      </c>
      <c r="I1483" t="s">
        <v>421</v>
      </c>
      <c r="J1483" t="s">
        <v>256</v>
      </c>
      <c r="K1483" t="s">
        <v>3</v>
      </c>
      <c r="L1483" t="s">
        <v>17</v>
      </c>
    </row>
    <row r="1484" spans="7:12" x14ac:dyDescent="0.35">
      <c r="G1484">
        <v>16</v>
      </c>
      <c r="H1484" t="s">
        <v>23</v>
      </c>
      <c r="I1484" t="s">
        <v>229</v>
      </c>
      <c r="J1484" t="s">
        <v>256</v>
      </c>
      <c r="K1484" t="s">
        <v>3</v>
      </c>
      <c r="L1484" t="s">
        <v>17</v>
      </c>
    </row>
    <row r="1485" spans="7:12" x14ac:dyDescent="0.35">
      <c r="G1485">
        <v>16</v>
      </c>
      <c r="H1485" t="s">
        <v>4</v>
      </c>
      <c r="I1485" t="s">
        <v>481</v>
      </c>
      <c r="J1485" t="s">
        <v>256</v>
      </c>
      <c r="K1485" t="s">
        <v>9</v>
      </c>
      <c r="L1485" t="s">
        <v>2</v>
      </c>
    </row>
    <row r="1486" spans="7:12" x14ac:dyDescent="0.35">
      <c r="G1486">
        <v>16</v>
      </c>
      <c r="H1486" t="s">
        <v>4</v>
      </c>
      <c r="I1486" t="s">
        <v>118</v>
      </c>
      <c r="J1486" t="s">
        <v>256</v>
      </c>
      <c r="K1486" t="s">
        <v>9</v>
      </c>
      <c r="L1486" t="s">
        <v>2</v>
      </c>
    </row>
    <row r="1487" spans="7:12" x14ac:dyDescent="0.35">
      <c r="G1487">
        <v>16</v>
      </c>
      <c r="H1487" t="s">
        <v>4</v>
      </c>
      <c r="I1487" t="s">
        <v>335</v>
      </c>
      <c r="J1487" t="s">
        <v>256</v>
      </c>
      <c r="K1487" t="s">
        <v>9</v>
      </c>
      <c r="L1487" t="s">
        <v>2</v>
      </c>
    </row>
    <row r="1488" spans="7:12" x14ac:dyDescent="0.35">
      <c r="G1488">
        <v>16</v>
      </c>
      <c r="H1488" t="s">
        <v>4</v>
      </c>
      <c r="I1488" t="s">
        <v>484</v>
      </c>
      <c r="J1488" t="s">
        <v>256</v>
      </c>
      <c r="K1488" t="s">
        <v>9</v>
      </c>
      <c r="L1488" t="s">
        <v>2</v>
      </c>
    </row>
    <row r="1489" spans="7:12" x14ac:dyDescent="0.35">
      <c r="G1489">
        <v>16</v>
      </c>
      <c r="H1489" t="s">
        <v>4</v>
      </c>
      <c r="I1489" t="s">
        <v>209</v>
      </c>
      <c r="J1489" t="s">
        <v>256</v>
      </c>
      <c r="K1489" t="s">
        <v>9</v>
      </c>
      <c r="L1489" t="s">
        <v>2</v>
      </c>
    </row>
    <row r="1490" spans="7:12" x14ac:dyDescent="0.35">
      <c r="G1490">
        <v>16</v>
      </c>
      <c r="H1490" t="s">
        <v>4</v>
      </c>
      <c r="I1490" t="s">
        <v>435</v>
      </c>
      <c r="J1490" t="s">
        <v>256</v>
      </c>
      <c r="K1490" t="s">
        <v>9</v>
      </c>
      <c r="L1490" t="s">
        <v>2</v>
      </c>
    </row>
    <row r="1491" spans="7:12" x14ac:dyDescent="0.35">
      <c r="G1491">
        <v>16</v>
      </c>
      <c r="H1491" t="s">
        <v>4</v>
      </c>
      <c r="I1491" t="s">
        <v>109</v>
      </c>
      <c r="J1491" t="s">
        <v>256</v>
      </c>
      <c r="K1491" t="s">
        <v>9</v>
      </c>
      <c r="L1491" t="s">
        <v>2</v>
      </c>
    </row>
    <row r="1492" spans="7:12" x14ac:dyDescent="0.35">
      <c r="G1492">
        <v>16</v>
      </c>
      <c r="H1492" t="s">
        <v>4</v>
      </c>
      <c r="I1492" t="s">
        <v>172</v>
      </c>
      <c r="J1492" t="s">
        <v>256</v>
      </c>
      <c r="K1492" t="s">
        <v>9</v>
      </c>
      <c r="L1492" t="s">
        <v>2</v>
      </c>
    </row>
    <row r="1493" spans="7:12" x14ac:dyDescent="0.35">
      <c r="G1493">
        <v>16</v>
      </c>
      <c r="H1493" t="s">
        <v>4</v>
      </c>
      <c r="I1493" t="s">
        <v>175</v>
      </c>
      <c r="J1493" t="s">
        <v>256</v>
      </c>
      <c r="K1493" t="s">
        <v>9</v>
      </c>
      <c r="L1493" t="s">
        <v>2</v>
      </c>
    </row>
    <row r="1494" spans="7:12" x14ac:dyDescent="0.35">
      <c r="G1494">
        <v>16</v>
      </c>
      <c r="H1494" t="s">
        <v>4</v>
      </c>
      <c r="I1494" t="s">
        <v>176</v>
      </c>
      <c r="J1494" t="s">
        <v>256</v>
      </c>
      <c r="K1494" t="s">
        <v>9</v>
      </c>
      <c r="L1494" t="s">
        <v>2</v>
      </c>
    </row>
    <row r="1495" spans="7:12" x14ac:dyDescent="0.35">
      <c r="G1495">
        <v>16</v>
      </c>
      <c r="H1495" t="s">
        <v>4</v>
      </c>
      <c r="I1495" t="s">
        <v>434</v>
      </c>
      <c r="J1495" t="s">
        <v>256</v>
      </c>
      <c r="K1495" t="s">
        <v>9</v>
      </c>
      <c r="L1495" t="s">
        <v>2</v>
      </c>
    </row>
    <row r="1496" spans="7:12" x14ac:dyDescent="0.35">
      <c r="G1496">
        <v>16</v>
      </c>
      <c r="H1496" t="s">
        <v>4</v>
      </c>
      <c r="I1496" t="s">
        <v>486</v>
      </c>
      <c r="J1496" t="s">
        <v>256</v>
      </c>
      <c r="K1496" t="s">
        <v>9</v>
      </c>
      <c r="L1496" t="s">
        <v>2</v>
      </c>
    </row>
    <row r="1497" spans="7:12" x14ac:dyDescent="0.35">
      <c r="G1497">
        <v>16</v>
      </c>
      <c r="H1497" t="s">
        <v>4</v>
      </c>
      <c r="I1497" t="s">
        <v>114</v>
      </c>
      <c r="J1497" t="s">
        <v>256</v>
      </c>
      <c r="K1497" t="s">
        <v>9</v>
      </c>
      <c r="L1497" t="s">
        <v>2</v>
      </c>
    </row>
    <row r="1498" spans="7:12" x14ac:dyDescent="0.35">
      <c r="G1498">
        <v>16</v>
      </c>
      <c r="H1498" t="s">
        <v>7</v>
      </c>
      <c r="I1498" t="s">
        <v>148</v>
      </c>
      <c r="J1498" t="s">
        <v>256</v>
      </c>
      <c r="K1498" t="s">
        <v>3</v>
      </c>
      <c r="L1498" t="s">
        <v>6</v>
      </c>
    </row>
    <row r="1499" spans="7:12" x14ac:dyDescent="0.35">
      <c r="G1499">
        <v>16</v>
      </c>
      <c r="H1499" t="s">
        <v>7</v>
      </c>
      <c r="I1499" t="s">
        <v>202</v>
      </c>
      <c r="J1499" t="s">
        <v>256</v>
      </c>
      <c r="K1499" t="s">
        <v>3</v>
      </c>
      <c r="L1499" t="s">
        <v>6</v>
      </c>
    </row>
    <row r="1500" spans="7:12" x14ac:dyDescent="0.35">
      <c r="G1500">
        <v>16</v>
      </c>
      <c r="H1500" t="s">
        <v>7</v>
      </c>
      <c r="I1500" t="s">
        <v>158</v>
      </c>
      <c r="J1500" t="s">
        <v>256</v>
      </c>
      <c r="K1500" t="s">
        <v>3</v>
      </c>
      <c r="L1500" t="s">
        <v>6</v>
      </c>
    </row>
    <row r="1501" spans="7:12" x14ac:dyDescent="0.35">
      <c r="G1501">
        <v>16</v>
      </c>
      <c r="H1501" t="s">
        <v>7</v>
      </c>
      <c r="I1501" t="s">
        <v>163</v>
      </c>
      <c r="J1501" t="s">
        <v>256</v>
      </c>
      <c r="K1501" t="s">
        <v>3</v>
      </c>
      <c r="L1501" t="s">
        <v>6</v>
      </c>
    </row>
    <row r="1502" spans="7:12" x14ac:dyDescent="0.35">
      <c r="G1502">
        <v>16</v>
      </c>
      <c r="H1502" t="s">
        <v>7</v>
      </c>
      <c r="I1502" t="s">
        <v>207</v>
      </c>
      <c r="J1502" t="s">
        <v>256</v>
      </c>
      <c r="K1502" t="s">
        <v>3</v>
      </c>
      <c r="L1502" t="s">
        <v>6</v>
      </c>
    </row>
    <row r="1503" spans="7:12" x14ac:dyDescent="0.35">
      <c r="G1503">
        <v>16</v>
      </c>
      <c r="H1503" t="s">
        <v>7</v>
      </c>
      <c r="I1503" t="s">
        <v>211</v>
      </c>
      <c r="J1503" t="s">
        <v>256</v>
      </c>
      <c r="K1503" t="s">
        <v>3</v>
      </c>
      <c r="L1503" t="s">
        <v>6</v>
      </c>
    </row>
    <row r="1504" spans="7:12" x14ac:dyDescent="0.35">
      <c r="G1504">
        <v>16</v>
      </c>
      <c r="H1504" t="s">
        <v>7</v>
      </c>
      <c r="I1504" t="s">
        <v>104</v>
      </c>
      <c r="J1504" t="s">
        <v>256</v>
      </c>
      <c r="K1504" t="s">
        <v>3</v>
      </c>
      <c r="L1504" t="s">
        <v>6</v>
      </c>
    </row>
    <row r="1505" spans="7:12" x14ac:dyDescent="0.35">
      <c r="G1505">
        <v>16</v>
      </c>
      <c r="H1505" t="s">
        <v>7</v>
      </c>
      <c r="I1505" t="s">
        <v>277</v>
      </c>
      <c r="J1505" t="s">
        <v>256</v>
      </c>
      <c r="K1505" t="s">
        <v>3</v>
      </c>
      <c r="L1505" t="s">
        <v>6</v>
      </c>
    </row>
    <row r="1506" spans="7:12" x14ac:dyDescent="0.35">
      <c r="G1506">
        <v>16</v>
      </c>
      <c r="H1506" t="s">
        <v>34</v>
      </c>
      <c r="I1506" t="s">
        <v>429</v>
      </c>
      <c r="J1506" t="s">
        <v>256</v>
      </c>
      <c r="K1506" t="s">
        <v>9</v>
      </c>
      <c r="L1506" t="s">
        <v>24</v>
      </c>
    </row>
    <row r="1507" spans="7:12" x14ac:dyDescent="0.35">
      <c r="G1507">
        <v>16</v>
      </c>
      <c r="H1507" t="s">
        <v>34</v>
      </c>
      <c r="I1507" t="s">
        <v>424</v>
      </c>
      <c r="J1507" t="s">
        <v>256</v>
      </c>
      <c r="K1507" t="s">
        <v>9</v>
      </c>
      <c r="L1507" t="s">
        <v>24</v>
      </c>
    </row>
    <row r="1508" spans="7:12" x14ac:dyDescent="0.35">
      <c r="G1508">
        <v>16</v>
      </c>
      <c r="H1508" t="s">
        <v>34</v>
      </c>
      <c r="I1508" t="s">
        <v>200</v>
      </c>
      <c r="J1508" t="s">
        <v>256</v>
      </c>
      <c r="K1508" t="s">
        <v>9</v>
      </c>
      <c r="L1508" t="s">
        <v>24</v>
      </c>
    </row>
    <row r="1509" spans="7:12" x14ac:dyDescent="0.35">
      <c r="G1509">
        <v>16</v>
      </c>
      <c r="H1509" t="s">
        <v>34</v>
      </c>
      <c r="I1509" t="s">
        <v>153</v>
      </c>
      <c r="J1509" t="s">
        <v>256</v>
      </c>
      <c r="K1509" t="s">
        <v>9</v>
      </c>
      <c r="L1509" t="s">
        <v>24</v>
      </c>
    </row>
    <row r="1510" spans="7:12" x14ac:dyDescent="0.35">
      <c r="G1510">
        <v>16</v>
      </c>
      <c r="H1510" t="s">
        <v>34</v>
      </c>
      <c r="I1510" t="s">
        <v>351</v>
      </c>
      <c r="J1510" t="s">
        <v>256</v>
      </c>
      <c r="K1510" t="s">
        <v>9</v>
      </c>
      <c r="L1510" t="s">
        <v>24</v>
      </c>
    </row>
    <row r="1511" spans="7:12" x14ac:dyDescent="0.35">
      <c r="G1511">
        <v>16</v>
      </c>
      <c r="H1511" t="s">
        <v>34</v>
      </c>
      <c r="I1511" t="s">
        <v>161</v>
      </c>
      <c r="J1511" t="s">
        <v>256</v>
      </c>
      <c r="K1511" t="s">
        <v>9</v>
      </c>
      <c r="L1511" t="s">
        <v>24</v>
      </c>
    </row>
    <row r="1512" spans="7:12" x14ac:dyDescent="0.35">
      <c r="G1512">
        <v>16</v>
      </c>
      <c r="H1512" t="s">
        <v>34</v>
      </c>
      <c r="I1512" t="s">
        <v>420</v>
      </c>
      <c r="J1512" t="s">
        <v>256</v>
      </c>
      <c r="K1512" t="s">
        <v>9</v>
      </c>
      <c r="L1512" t="s">
        <v>24</v>
      </c>
    </row>
    <row r="1513" spans="7:12" x14ac:dyDescent="0.35">
      <c r="G1513">
        <v>16</v>
      </c>
      <c r="H1513" t="s">
        <v>34</v>
      </c>
      <c r="I1513" t="s">
        <v>436</v>
      </c>
      <c r="J1513" t="s">
        <v>256</v>
      </c>
      <c r="K1513" t="s">
        <v>9</v>
      </c>
      <c r="L1513" t="s">
        <v>24</v>
      </c>
    </row>
    <row r="1514" spans="7:12" x14ac:dyDescent="0.35">
      <c r="G1514">
        <v>16</v>
      </c>
      <c r="H1514" t="s">
        <v>34</v>
      </c>
      <c r="I1514" t="s">
        <v>174</v>
      </c>
      <c r="J1514" t="s">
        <v>256</v>
      </c>
      <c r="K1514" t="s">
        <v>9</v>
      </c>
      <c r="L1514" t="s">
        <v>24</v>
      </c>
    </row>
    <row r="1515" spans="7:12" x14ac:dyDescent="0.35">
      <c r="G1515">
        <v>16</v>
      </c>
      <c r="H1515" t="s">
        <v>34</v>
      </c>
      <c r="I1515" t="s">
        <v>177</v>
      </c>
      <c r="J1515" t="s">
        <v>256</v>
      </c>
      <c r="K1515" t="s">
        <v>9</v>
      </c>
      <c r="L1515" t="s">
        <v>24</v>
      </c>
    </row>
    <row r="1516" spans="7:12" x14ac:dyDescent="0.35">
      <c r="G1516">
        <v>16</v>
      </c>
      <c r="H1516" t="s">
        <v>34</v>
      </c>
      <c r="I1516" t="s">
        <v>462</v>
      </c>
      <c r="J1516" t="s">
        <v>256</v>
      </c>
      <c r="K1516" t="s">
        <v>9</v>
      </c>
      <c r="L1516" t="s">
        <v>24</v>
      </c>
    </row>
    <row r="1517" spans="7:12" x14ac:dyDescent="0.35">
      <c r="G1517">
        <v>16</v>
      </c>
      <c r="H1517" t="s">
        <v>34</v>
      </c>
      <c r="I1517" t="s">
        <v>227</v>
      </c>
      <c r="J1517" t="s">
        <v>256</v>
      </c>
      <c r="K1517" t="s">
        <v>9</v>
      </c>
      <c r="L1517" t="s">
        <v>24</v>
      </c>
    </row>
    <row r="1518" spans="7:12" x14ac:dyDescent="0.35">
      <c r="G1518">
        <v>16</v>
      </c>
      <c r="H1518" t="s">
        <v>34</v>
      </c>
      <c r="I1518" t="s">
        <v>228</v>
      </c>
      <c r="J1518" t="s">
        <v>256</v>
      </c>
      <c r="K1518" t="s">
        <v>9</v>
      </c>
      <c r="L1518" t="s">
        <v>24</v>
      </c>
    </row>
    <row r="1519" spans="7:12" x14ac:dyDescent="0.35">
      <c r="G1519">
        <v>16</v>
      </c>
      <c r="H1519" t="s">
        <v>17</v>
      </c>
      <c r="I1519" t="s">
        <v>149</v>
      </c>
      <c r="J1519" t="s">
        <v>256</v>
      </c>
      <c r="K1519" t="s">
        <v>9</v>
      </c>
      <c r="L1519" t="s">
        <v>23</v>
      </c>
    </row>
    <row r="1520" spans="7:12" x14ac:dyDescent="0.35">
      <c r="G1520">
        <v>16</v>
      </c>
      <c r="H1520" t="s">
        <v>17</v>
      </c>
      <c r="I1520" t="s">
        <v>485</v>
      </c>
      <c r="J1520" t="s">
        <v>256</v>
      </c>
      <c r="K1520" t="s">
        <v>9</v>
      </c>
      <c r="L1520" t="s">
        <v>23</v>
      </c>
    </row>
    <row r="1521" spans="7:12" x14ac:dyDescent="0.35">
      <c r="G1521">
        <v>16</v>
      </c>
      <c r="H1521" t="s">
        <v>17</v>
      </c>
      <c r="I1521" t="s">
        <v>155</v>
      </c>
      <c r="J1521" t="s">
        <v>256</v>
      </c>
      <c r="K1521" t="s">
        <v>9</v>
      </c>
      <c r="L1521" t="s">
        <v>23</v>
      </c>
    </row>
    <row r="1522" spans="7:12" x14ac:dyDescent="0.35">
      <c r="G1522">
        <v>16</v>
      </c>
      <c r="H1522" t="s">
        <v>17</v>
      </c>
      <c r="I1522" t="s">
        <v>206</v>
      </c>
      <c r="J1522" t="s">
        <v>256</v>
      </c>
      <c r="K1522" t="s">
        <v>9</v>
      </c>
      <c r="L1522" t="s">
        <v>23</v>
      </c>
    </row>
    <row r="1523" spans="7:12" x14ac:dyDescent="0.35">
      <c r="G1523">
        <v>16</v>
      </c>
      <c r="H1523" t="s">
        <v>17</v>
      </c>
      <c r="I1523" t="s">
        <v>167</v>
      </c>
      <c r="J1523" t="s">
        <v>256</v>
      </c>
      <c r="K1523" t="s">
        <v>9</v>
      </c>
      <c r="L1523" t="s">
        <v>23</v>
      </c>
    </row>
    <row r="1524" spans="7:12" x14ac:dyDescent="0.35">
      <c r="G1524">
        <v>16</v>
      </c>
      <c r="H1524" t="s">
        <v>17</v>
      </c>
      <c r="I1524" t="s">
        <v>480</v>
      </c>
      <c r="J1524" t="s">
        <v>256</v>
      </c>
      <c r="K1524" t="s">
        <v>9</v>
      </c>
      <c r="L1524" t="s">
        <v>23</v>
      </c>
    </row>
    <row r="1525" spans="7:12" x14ac:dyDescent="0.35">
      <c r="G1525">
        <v>16</v>
      </c>
      <c r="H1525" t="s">
        <v>17</v>
      </c>
      <c r="I1525" t="s">
        <v>423</v>
      </c>
      <c r="J1525" t="s">
        <v>256</v>
      </c>
      <c r="K1525" t="s">
        <v>9</v>
      </c>
      <c r="L1525" t="s">
        <v>23</v>
      </c>
    </row>
    <row r="1526" spans="7:12" x14ac:dyDescent="0.35">
      <c r="G1526">
        <v>16</v>
      </c>
      <c r="H1526" t="s">
        <v>17</v>
      </c>
      <c r="I1526" t="s">
        <v>427</v>
      </c>
      <c r="J1526" t="s">
        <v>256</v>
      </c>
      <c r="K1526" t="s">
        <v>9</v>
      </c>
      <c r="L1526" t="s">
        <v>23</v>
      </c>
    </row>
    <row r="1527" spans="7:12" x14ac:dyDescent="0.35">
      <c r="G1527">
        <v>16</v>
      </c>
      <c r="H1527" t="s">
        <v>17</v>
      </c>
      <c r="I1527" t="s">
        <v>105</v>
      </c>
      <c r="J1527" t="s">
        <v>256</v>
      </c>
      <c r="K1527" t="s">
        <v>9</v>
      </c>
      <c r="L1527" t="s">
        <v>23</v>
      </c>
    </row>
    <row r="1528" spans="7:12" x14ac:dyDescent="0.35">
      <c r="G1528">
        <v>16</v>
      </c>
      <c r="H1528" t="s">
        <v>17</v>
      </c>
      <c r="I1528" t="s">
        <v>483</v>
      </c>
      <c r="J1528" t="s">
        <v>256</v>
      </c>
      <c r="K1528" t="s">
        <v>9</v>
      </c>
      <c r="L1528" t="s">
        <v>23</v>
      </c>
    </row>
    <row r="1529" spans="7:12" x14ac:dyDescent="0.35">
      <c r="G1529">
        <v>16</v>
      </c>
      <c r="H1529" t="s">
        <v>17</v>
      </c>
      <c r="I1529" t="s">
        <v>284</v>
      </c>
      <c r="J1529" t="s">
        <v>256</v>
      </c>
      <c r="K1529" t="s">
        <v>9</v>
      </c>
      <c r="L1529" t="s">
        <v>23</v>
      </c>
    </row>
    <row r="1530" spans="7:12" x14ac:dyDescent="0.35">
      <c r="G1530">
        <v>16</v>
      </c>
      <c r="H1530" t="s">
        <v>13</v>
      </c>
      <c r="I1530" t="s">
        <v>464</v>
      </c>
      <c r="J1530" t="s">
        <v>256</v>
      </c>
      <c r="K1530" t="s">
        <v>3</v>
      </c>
      <c r="L1530" t="s">
        <v>14</v>
      </c>
    </row>
    <row r="1531" spans="7:12" x14ac:dyDescent="0.35">
      <c r="G1531">
        <v>16</v>
      </c>
      <c r="H1531" t="s">
        <v>13</v>
      </c>
      <c r="I1531" t="s">
        <v>204</v>
      </c>
      <c r="J1531" t="s">
        <v>256</v>
      </c>
      <c r="K1531" t="s">
        <v>3</v>
      </c>
      <c r="L1531" t="s">
        <v>14</v>
      </c>
    </row>
    <row r="1532" spans="7:12" x14ac:dyDescent="0.35">
      <c r="G1532">
        <v>16</v>
      </c>
      <c r="H1532" t="s">
        <v>13</v>
      </c>
      <c r="I1532" t="s">
        <v>103</v>
      </c>
      <c r="J1532" t="s">
        <v>256</v>
      </c>
      <c r="K1532" t="s">
        <v>3</v>
      </c>
      <c r="L1532" t="s">
        <v>14</v>
      </c>
    </row>
    <row r="1533" spans="7:12" x14ac:dyDescent="0.35">
      <c r="G1533">
        <v>16</v>
      </c>
      <c r="H1533" t="s">
        <v>13</v>
      </c>
      <c r="I1533" t="s">
        <v>469</v>
      </c>
      <c r="J1533" t="s">
        <v>256</v>
      </c>
      <c r="K1533" t="s">
        <v>3</v>
      </c>
      <c r="L1533" t="s">
        <v>14</v>
      </c>
    </row>
    <row r="1534" spans="7:12" x14ac:dyDescent="0.35">
      <c r="G1534">
        <v>16</v>
      </c>
      <c r="H1534" t="s">
        <v>13</v>
      </c>
      <c r="I1534" t="s">
        <v>210</v>
      </c>
      <c r="J1534" t="s">
        <v>256</v>
      </c>
      <c r="K1534" t="s">
        <v>3</v>
      </c>
      <c r="L1534" t="s">
        <v>14</v>
      </c>
    </row>
    <row r="1535" spans="7:12" x14ac:dyDescent="0.35">
      <c r="G1535">
        <v>16</v>
      </c>
      <c r="H1535" t="s">
        <v>13</v>
      </c>
      <c r="I1535" t="s">
        <v>463</v>
      </c>
      <c r="J1535" t="s">
        <v>256</v>
      </c>
      <c r="K1535" t="s">
        <v>3</v>
      </c>
      <c r="L1535" t="s">
        <v>14</v>
      </c>
    </row>
    <row r="1536" spans="7:12" x14ac:dyDescent="0.35">
      <c r="G1536">
        <v>16</v>
      </c>
      <c r="H1536" t="s">
        <v>13</v>
      </c>
      <c r="I1536" t="s">
        <v>120</v>
      </c>
      <c r="J1536" t="s">
        <v>256</v>
      </c>
      <c r="K1536" t="s">
        <v>3</v>
      </c>
      <c r="L1536" t="s">
        <v>14</v>
      </c>
    </row>
    <row r="1537" spans="7:12" x14ac:dyDescent="0.35">
      <c r="G1537">
        <v>16</v>
      </c>
      <c r="H1537" t="s">
        <v>13</v>
      </c>
      <c r="I1537" t="s">
        <v>467</v>
      </c>
      <c r="J1537" t="s">
        <v>256</v>
      </c>
      <c r="K1537" t="s">
        <v>3</v>
      </c>
      <c r="L1537" t="s">
        <v>14</v>
      </c>
    </row>
  </sheetData>
  <sortState xmlns:xlrd2="http://schemas.microsoft.com/office/spreadsheetml/2017/richdata2" ref="G231:O1537">
    <sortCondition ref="G231:G1537"/>
    <sortCondition ref="O231:O1537"/>
  </sortState>
  <mergeCells count="1">
    <mergeCell ref="J4:L4"/>
  </mergeCells>
  <conditionalFormatting sqref="B6:B16">
    <cfRule type="colorScale" priority="20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B212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0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212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21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24:E774 E779:E821 E824:E1142 E689:E720 E574:E613 E20:E45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0:F174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:R17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689:U759 D615:D688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689:V759 E615:E688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Y7:Y114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D601-CCAF-4585-A87E-AF66D5031FDF}">
  <dimension ref="A1:Z1447"/>
  <sheetViews>
    <sheetView zoomScaleNormal="100" workbookViewId="0">
      <selection activeCell="F13" sqref="F13"/>
    </sheetView>
  </sheetViews>
  <sheetFormatPr defaultRowHeight="14.5" x14ac:dyDescent="0.35"/>
  <cols>
    <col min="1" max="1" width="23.81640625" customWidth="1"/>
    <col min="2" max="2" width="23.08984375" bestFit="1" customWidth="1"/>
    <col min="3" max="3" width="13.6328125" bestFit="1" customWidth="1"/>
    <col min="5" max="5" width="10.08984375" customWidth="1"/>
    <col min="7" max="7" width="16.7265625" bestFit="1" customWidth="1"/>
    <col min="8" max="8" width="8" customWidth="1"/>
    <col min="9" max="9" width="23" bestFit="1" customWidth="1"/>
    <col min="10" max="10" width="23.26953125" bestFit="1" customWidth="1"/>
    <col min="11" max="11" width="10.1796875" customWidth="1"/>
    <col min="13" max="13" width="12.54296875" bestFit="1" customWidth="1"/>
  </cols>
  <sheetData>
    <row r="1" spans="1:26" x14ac:dyDescent="0.35">
      <c r="A1" s="3" t="s">
        <v>405</v>
      </c>
      <c r="F1" s="3" t="s">
        <v>352</v>
      </c>
      <c r="G1">
        <v>3</v>
      </c>
    </row>
    <row r="2" spans="1:26" x14ac:dyDescent="0.35">
      <c r="B2">
        <v>0</v>
      </c>
    </row>
    <row r="3" spans="1:26" x14ac:dyDescent="0.35">
      <c r="A3" s="3" t="s">
        <v>62</v>
      </c>
      <c r="B3" s="4">
        <f>AVERAGE(B6:B100)</f>
        <v>0.93391946129553693</v>
      </c>
      <c r="F3" s="3" t="s">
        <v>3</v>
      </c>
      <c r="G3" s="4">
        <v>0.35559847591148797</v>
      </c>
    </row>
    <row r="4" spans="1:26" x14ac:dyDescent="0.35">
      <c r="F4" t="s">
        <v>9</v>
      </c>
      <c r="G4">
        <f>-G3</f>
        <v>-0.35559847591148797</v>
      </c>
    </row>
    <row r="5" spans="1:26" x14ac:dyDescent="0.35">
      <c r="A5" s="3" t="s">
        <v>60</v>
      </c>
      <c r="B5" s="3" t="s">
        <v>29</v>
      </c>
      <c r="C5" s="3" t="s">
        <v>31</v>
      </c>
      <c r="D5" s="3"/>
      <c r="E5" s="3"/>
      <c r="F5" s="3"/>
      <c r="O5" s="4">
        <f>SUM($O$7:$O1000)</f>
        <v>2358.4174757556984</v>
      </c>
    </row>
    <row r="6" spans="1:26" x14ac:dyDescent="0.35">
      <c r="A6" s="1" t="s">
        <v>24</v>
      </c>
      <c r="B6" s="1">
        <v>13.764451255541294</v>
      </c>
      <c r="C6" s="1">
        <f t="shared" ref="C6:C16" si="0">RANK($B6,$B$6:$B$16,0)</f>
        <v>1</v>
      </c>
      <c r="H6" s="64" t="s">
        <v>61</v>
      </c>
      <c r="I6" s="64" t="s">
        <v>60</v>
      </c>
      <c r="J6" s="64" t="s">
        <v>30</v>
      </c>
      <c r="K6" s="64" t="s">
        <v>59</v>
      </c>
      <c r="L6" s="64" t="s">
        <v>58</v>
      </c>
      <c r="M6" s="64" t="s">
        <v>57</v>
      </c>
      <c r="N6" s="64" t="s">
        <v>56</v>
      </c>
      <c r="O6" s="64" t="s">
        <v>55</v>
      </c>
      <c r="P6" s="64" t="s">
        <v>468</v>
      </c>
      <c r="Q6" s="71"/>
      <c r="R6" s="3" t="s">
        <v>353</v>
      </c>
      <c r="S6" s="3"/>
      <c r="T6" s="3"/>
      <c r="Y6" s="32" t="s">
        <v>357</v>
      </c>
      <c r="Z6" s="32" t="s">
        <v>61</v>
      </c>
    </row>
    <row r="7" spans="1:26" x14ac:dyDescent="0.35">
      <c r="A7" s="1" t="s">
        <v>6</v>
      </c>
      <c r="B7" s="1">
        <v>13.166761023892402</v>
      </c>
      <c r="C7" s="1">
        <f t="shared" si="0"/>
        <v>2</v>
      </c>
      <c r="H7" s="65">
        <v>1</v>
      </c>
      <c r="I7" t="s">
        <v>7</v>
      </c>
      <c r="J7" t="s">
        <v>65</v>
      </c>
      <c r="K7">
        <v>32.9</v>
      </c>
      <c r="L7" t="s">
        <v>9</v>
      </c>
      <c r="M7" t="s">
        <v>24</v>
      </c>
      <c r="N7">
        <f>VLOOKUP($L7,$F$3:$G$4,2,FALSE)+VLOOKUP($J7,$A$20:$B$131,2,FALSE)+VLOOKUP($M7,$A$6:$B$16,2,FALSE)</f>
        <v>21.366825482509761</v>
      </c>
      <c r="O7">
        <f>IFERROR(($K7-$N7)^2,"")</f>
        <v>133.01411445088618</v>
      </c>
      <c r="P7" s="67" cm="1">
        <f t="array" ref="P7">SUMPRODUCT((H7=$H$7:$H$10000)*(N7&lt;$N$7:$N$10000))+1</f>
        <v>1</v>
      </c>
      <c r="Q7" s="72"/>
      <c r="R7" cm="1">
        <f t="array" ref="R7:X1250">_xlfn._xlws.FILTER($H$7:$N$10000,($H$7:$H$10000&gt;$G$1)*($H$7:$H$10000&lt;18))</f>
        <v>4</v>
      </c>
      <c r="S7" t="str">
        <v>SDL</v>
      </c>
      <c r="T7" t="str">
        <v>Ryan James</v>
      </c>
      <c r="U7" t="str">
        <v>NULL</v>
      </c>
      <c r="V7" t="str">
        <v>Home</v>
      </c>
      <c r="W7" t="str">
        <v>LA</v>
      </c>
      <c r="X7">
        <v>20.647649009189855</v>
      </c>
      <c r="Y7" s="1" t="str" cm="1">
        <f t="array" ref="Y7:Y114">_xlfn._xlws.SORT(_xlfn.UNIQUE($J$7:$J$10000))</f>
        <v>Adriaan Carelse</v>
      </c>
      <c r="Z7" s="1" cm="1">
        <f t="array" ref="Z7">COUNT(_xlfn._xlws.FILTER($H$7:$H$10000,($J$7:$J$10000=Y7)*($K$7:$K$10000&lt;&gt;"NULL")*($H$7:$H$10000 &gt;= ($G$1-5))))/5</f>
        <v>0.4</v>
      </c>
    </row>
    <row r="8" spans="1:26" x14ac:dyDescent="0.35">
      <c r="A8" s="1" t="s">
        <v>23</v>
      </c>
      <c r="B8" s="1">
        <v>11.097552475606987</v>
      </c>
      <c r="C8" s="1">
        <f t="shared" si="0"/>
        <v>3</v>
      </c>
      <c r="H8" s="65">
        <v>1</v>
      </c>
      <c r="I8" t="s">
        <v>34</v>
      </c>
      <c r="J8" t="s">
        <v>95</v>
      </c>
      <c r="K8">
        <v>19.7</v>
      </c>
      <c r="L8" t="s">
        <v>3</v>
      </c>
      <c r="M8" t="s">
        <v>17</v>
      </c>
      <c r="N8">
        <f t="shared" ref="N8:N71" si="1">VLOOKUP($L8,$F$3:$G$4,2,FALSE)+VLOOKUP($J8,$A$20:$B$131,2,FALSE)+VLOOKUP($M8,$A$6:$B$16,2,FALSE)</f>
        <v>17.56040806343804</v>
      </c>
      <c r="O8">
        <f t="shared" ref="O8:O71" si="2">IFERROR(($K8-$N8)^2,"")</f>
        <v>4.5778536550009576</v>
      </c>
      <c r="P8" s="67" cm="1">
        <f t="array" ref="P8">SUMPRODUCT((H8=$H$7:$H$10000)*(N8&lt;$N$7:$N$10000))+1</f>
        <v>2</v>
      </c>
      <c r="Q8" s="72"/>
      <c r="R8">
        <v>4</v>
      </c>
      <c r="S8" t="str">
        <v>OGDC</v>
      </c>
      <c r="T8" t="str">
        <v>Axel Muller</v>
      </c>
      <c r="U8" t="str">
        <v>NULL</v>
      </c>
      <c r="V8" t="str">
        <v>Home</v>
      </c>
      <c r="W8" t="str">
        <v>ARC</v>
      </c>
      <c r="X8">
        <v>18.94916269520413</v>
      </c>
      <c r="Y8" t="str">
        <v>AJ Alatimu</v>
      </c>
      <c r="Z8" s="1" cm="1">
        <f t="array" ref="Z8">COUNT(_xlfn._xlws.FILTER($H$7:$H$10000,($J$7:$J$10000=Y8)*($K$7:$K$10000&lt;&gt;"NULL")*($H$7:$H$10000 &gt;= ($G$1-5))))/5</f>
        <v>0.2</v>
      </c>
    </row>
    <row r="9" spans="1:26" x14ac:dyDescent="0.35">
      <c r="A9" s="1" t="s">
        <v>13</v>
      </c>
      <c r="B9" s="1">
        <v>10.798368013599305</v>
      </c>
      <c r="C9" s="1">
        <f t="shared" si="0"/>
        <v>4</v>
      </c>
      <c r="H9" s="65">
        <v>1</v>
      </c>
      <c r="I9" t="s">
        <v>7</v>
      </c>
      <c r="J9" t="s">
        <v>67</v>
      </c>
      <c r="K9">
        <v>18.100000000000001</v>
      </c>
      <c r="L9" t="s">
        <v>9</v>
      </c>
      <c r="M9" t="s">
        <v>24</v>
      </c>
      <c r="N9">
        <f t="shared" si="1"/>
        <v>14.107492947125193</v>
      </c>
      <c r="O9">
        <f t="shared" si="2"/>
        <v>15.940112567255088</v>
      </c>
      <c r="P9" s="67" cm="1">
        <f t="array" ref="P9">SUMPRODUCT((H9=$H$7:$H$10000)*(N9&lt;$N$7:$N$10000))+1</f>
        <v>4</v>
      </c>
      <c r="Q9" s="72"/>
      <c r="R9">
        <v>4</v>
      </c>
      <c r="S9" t="str">
        <v>LA</v>
      </c>
      <c r="T9" t="str">
        <v>Rory van Vugt</v>
      </c>
      <c r="U9" t="str">
        <v>NULL</v>
      </c>
      <c r="V9" t="str">
        <v>Away</v>
      </c>
      <c r="W9" t="str">
        <v>SDL</v>
      </c>
      <c r="X9">
        <v>18.140720595589848</v>
      </c>
      <c r="Y9" t="str">
        <v>Andre Warner</v>
      </c>
      <c r="Z9" s="1" cm="1">
        <f t="array" ref="Z9">COUNT(_xlfn._xlws.FILTER($H$7:$H$10000,($J$7:$J$10000=Y9)*($K$7:$K$10000&lt;&gt;"NULL")*($H$7:$H$10000 &gt;= ($G$1-5))))/5</f>
        <v>0.6</v>
      </c>
    </row>
    <row r="10" spans="1:26" x14ac:dyDescent="0.35">
      <c r="A10" s="1" t="s">
        <v>14</v>
      </c>
      <c r="B10" s="1">
        <v>10.635591516412688</v>
      </c>
      <c r="C10" s="1">
        <f t="shared" si="0"/>
        <v>5</v>
      </c>
      <c r="H10" s="65">
        <v>1</v>
      </c>
      <c r="I10" t="s">
        <v>7</v>
      </c>
      <c r="J10" t="s">
        <v>77</v>
      </c>
      <c r="K10">
        <v>16.3</v>
      </c>
      <c r="L10" t="s">
        <v>9</v>
      </c>
      <c r="M10" t="s">
        <v>24</v>
      </c>
      <c r="N10">
        <f t="shared" si="1"/>
        <v>12.39931864680441</v>
      </c>
      <c r="O10">
        <f t="shared" si="2"/>
        <v>15.215315019167784</v>
      </c>
      <c r="P10" s="67" cm="1">
        <f t="array" ref="P10">SUMPRODUCT((H10=$H$7:$H$10000)*(N10&lt;$N$7:$N$10000))+1</f>
        <v>12</v>
      </c>
      <c r="Q10" s="72"/>
      <c r="R10">
        <v>4</v>
      </c>
      <c r="S10" t="str">
        <v>UTAH</v>
      </c>
      <c r="T10" t="str">
        <v>Joe Mano</v>
      </c>
      <c r="U10" t="str">
        <v>NULL</v>
      </c>
      <c r="V10" t="str">
        <v>Home</v>
      </c>
      <c r="W10" t="str">
        <v>HOU</v>
      </c>
      <c r="X10">
        <v>17.180255774422886</v>
      </c>
      <c r="Y10" t="str">
        <v>Andrew Coe</v>
      </c>
      <c r="Z10" s="1" cm="1">
        <f t="array" ref="Z10">COUNT(_xlfn._xlws.FILTER($H$7:$H$10000,($J$7:$J$10000=Y10)*($K$7:$K$10000&lt;&gt;"NULL")*($H$7:$H$10000 &gt;= ($G$1-5))))/5</f>
        <v>0.2</v>
      </c>
    </row>
    <row r="11" spans="1:26" x14ac:dyDescent="0.35">
      <c r="A11" s="1" t="s">
        <v>2</v>
      </c>
      <c r="B11" s="1">
        <v>10.211605753705413</v>
      </c>
      <c r="C11" s="1">
        <f t="shared" si="0"/>
        <v>6</v>
      </c>
      <c r="H11" s="65">
        <v>1</v>
      </c>
      <c r="I11" t="s">
        <v>6</v>
      </c>
      <c r="J11" t="s">
        <v>445</v>
      </c>
      <c r="K11">
        <v>15.5</v>
      </c>
      <c r="L11" t="s">
        <v>3</v>
      </c>
      <c r="M11" t="s">
        <v>23</v>
      </c>
      <c r="N11">
        <f t="shared" si="1"/>
        <v>14.80587461765333</v>
      </c>
      <c r="O11">
        <f t="shared" si="2"/>
        <v>0.4818100464179102</v>
      </c>
      <c r="P11" s="67" cm="1">
        <f t="array" ref="P11">SUMPRODUCT((H11=$H$7:$H$10000)*(N11&lt;$N$7:$N$10000))+1</f>
        <v>3</v>
      </c>
      <c r="Q11" s="72"/>
      <c r="R11">
        <v>4</v>
      </c>
      <c r="S11" t="str">
        <v>SDL</v>
      </c>
      <c r="T11" t="str">
        <v>Ethan Grayson</v>
      </c>
      <c r="U11" t="str">
        <v>NULL</v>
      </c>
      <c r="V11" t="str">
        <v>Home</v>
      </c>
      <c r="W11" t="str">
        <v>LA</v>
      </c>
      <c r="X11">
        <v>16.44695380901042</v>
      </c>
      <c r="Y11" t="str">
        <v>Ashawnty Staples Flowers</v>
      </c>
      <c r="Z11" s="1" cm="1">
        <f t="array" ref="Z11">COUNT(_xlfn._xlws.FILTER($H$7:$H$10000,($J$7:$J$10000=Y11)*($K$7:$K$10000&lt;&gt;"NULL")*($H$7:$H$10000 &gt;= ($G$1-5))))/5</f>
        <v>0.2</v>
      </c>
    </row>
    <row r="12" spans="1:26" x14ac:dyDescent="0.35">
      <c r="A12" s="1" t="s">
        <v>17</v>
      </c>
      <c r="B12" s="1">
        <v>10.079520078140584</v>
      </c>
      <c r="C12" s="1">
        <f t="shared" si="0"/>
        <v>7</v>
      </c>
      <c r="H12" s="65">
        <v>1</v>
      </c>
      <c r="I12" t="s">
        <v>6</v>
      </c>
      <c r="J12" t="s">
        <v>442</v>
      </c>
      <c r="K12">
        <v>13.7</v>
      </c>
      <c r="L12" t="s">
        <v>3</v>
      </c>
      <c r="M12" t="s">
        <v>23</v>
      </c>
      <c r="N12">
        <f t="shared" si="1"/>
        <v>13.654641995685523</v>
      </c>
      <c r="O12">
        <f t="shared" si="2"/>
        <v>2.0573485553920341E-3</v>
      </c>
      <c r="P12" s="67" cm="1">
        <f t="array" ref="P12">SUMPRODUCT((H12=$H$7:$H$10000)*(N12&lt;$N$7:$N$10000))+1</f>
        <v>5</v>
      </c>
      <c r="Q12" s="72"/>
      <c r="R12">
        <v>4</v>
      </c>
      <c r="S12" t="str">
        <v>CHI</v>
      </c>
      <c r="T12" t="str">
        <v>Nate Augspurger</v>
      </c>
      <c r="U12" t="str">
        <v>NULL</v>
      </c>
      <c r="V12" t="str">
        <v>Away</v>
      </c>
      <c r="W12" t="str">
        <v>MIA</v>
      </c>
      <c r="X12">
        <v>15.498208557247722</v>
      </c>
      <c r="Y12" t="str">
        <v>Axel Muller</v>
      </c>
      <c r="Z12" s="1" cm="1">
        <f t="array" ref="Z12">COUNT(_xlfn._xlws.FILTER($H$7:$H$10000,($J$7:$J$10000=Y12)*($K$7:$K$10000&lt;&gt;"NULL")*($H$7:$H$10000 &gt;= ($G$1-5))))/5</f>
        <v>0.4</v>
      </c>
    </row>
    <row r="13" spans="1:26" x14ac:dyDescent="0.35">
      <c r="A13" s="1" t="s">
        <v>34</v>
      </c>
      <c r="B13" s="1">
        <v>9.5042247416683612</v>
      </c>
      <c r="C13" s="1">
        <f t="shared" si="0"/>
        <v>8</v>
      </c>
      <c r="H13" s="65">
        <v>1</v>
      </c>
      <c r="I13" t="s">
        <v>23</v>
      </c>
      <c r="J13" t="s">
        <v>46</v>
      </c>
      <c r="K13">
        <v>13.7</v>
      </c>
      <c r="L13" t="s">
        <v>9</v>
      </c>
      <c r="M13" t="s">
        <v>6</v>
      </c>
      <c r="N13">
        <f t="shared" si="1"/>
        <v>12.996953414164599</v>
      </c>
      <c r="O13">
        <f t="shared" si="2"/>
        <v>0.49427450185481281</v>
      </c>
      <c r="P13" s="67" cm="1">
        <f t="array" ref="P13">SUMPRODUCT((H13=$H$7:$H$10000)*(N13&lt;$N$7:$N$10000))+1</f>
        <v>8</v>
      </c>
      <c r="Q13" s="72"/>
      <c r="R13">
        <v>4</v>
      </c>
      <c r="S13" t="str">
        <v>SDL</v>
      </c>
      <c r="T13" t="str">
        <v>Tomas Aoake</v>
      </c>
      <c r="U13" t="str">
        <v>NULL</v>
      </c>
      <c r="V13" t="str">
        <v>Home</v>
      </c>
      <c r="W13" t="str">
        <v>LA</v>
      </c>
      <c r="X13">
        <v>15.282664499328861</v>
      </c>
      <c r="Y13" t="str">
        <v>Ben Pollack</v>
      </c>
      <c r="Z13" s="1" cm="1">
        <f t="array" ref="Z13">COUNT(_xlfn._xlws.FILTER($H$7:$H$10000,($J$7:$J$10000=Y13)*($K$7:$K$10000&lt;&gt;"NULL")*($H$7:$H$10000 &gt;= ($G$1-5))))/5</f>
        <v>0.4</v>
      </c>
    </row>
    <row r="14" spans="1:26" x14ac:dyDescent="0.35">
      <c r="A14" s="1" t="s">
        <v>4</v>
      </c>
      <c r="B14" s="1">
        <v>8.7965729737248974</v>
      </c>
      <c r="C14" s="1">
        <f t="shared" si="0"/>
        <v>9</v>
      </c>
      <c r="H14" s="65">
        <v>1</v>
      </c>
      <c r="I14" t="s">
        <v>6</v>
      </c>
      <c r="J14" t="s">
        <v>437</v>
      </c>
      <c r="K14">
        <v>13.1</v>
      </c>
      <c r="L14" t="s">
        <v>3</v>
      </c>
      <c r="M14" t="s">
        <v>23</v>
      </c>
      <c r="N14">
        <f t="shared" si="1"/>
        <v>12.684860080257536</v>
      </c>
      <c r="O14">
        <f t="shared" si="2"/>
        <v>0.172341152963779</v>
      </c>
      <c r="P14" s="67" cm="1">
        <f t="array" ref="P14">SUMPRODUCT((H14=$H$7:$H$10000)*(N14&lt;$N$7:$N$10000))+1</f>
        <v>11</v>
      </c>
      <c r="Q14" s="72"/>
      <c r="R14">
        <v>4</v>
      </c>
      <c r="S14" t="str">
        <v>CHI</v>
      </c>
      <c r="T14" t="str">
        <v>Michael Hand</v>
      </c>
      <c r="U14" t="str">
        <v>NULL</v>
      </c>
      <c r="V14" t="str">
        <v>Away</v>
      </c>
      <c r="W14" t="str">
        <v>MIA</v>
      </c>
      <c r="X14">
        <v>14.945474803577103</v>
      </c>
      <c r="Y14" t="str">
        <v>Billy Meakes</v>
      </c>
      <c r="Z14" s="1" cm="1">
        <f t="array" ref="Z14">COUNT(_xlfn._xlws.FILTER($H$7:$H$10000,($J$7:$J$10000=Y14)*($K$7:$K$10000&lt;&gt;"NULL")*($H$7:$H$10000 &gt;= ($G$1-5))))/5</f>
        <v>0.2</v>
      </c>
    </row>
    <row r="15" spans="1:26" x14ac:dyDescent="0.35">
      <c r="A15" s="1" t="s">
        <v>7</v>
      </c>
      <c r="B15" s="1">
        <v>7.2391392484848769</v>
      </c>
      <c r="C15" s="1">
        <f t="shared" si="0"/>
        <v>10</v>
      </c>
      <c r="H15" s="65">
        <v>1</v>
      </c>
      <c r="I15" t="s">
        <v>34</v>
      </c>
      <c r="J15" t="s">
        <v>100</v>
      </c>
      <c r="K15">
        <v>12.8</v>
      </c>
      <c r="L15" t="s">
        <v>3</v>
      </c>
      <c r="M15" t="s">
        <v>17</v>
      </c>
      <c r="N15">
        <f t="shared" si="1"/>
        <v>12.195423553577044</v>
      </c>
      <c r="O15">
        <f t="shared" si="2"/>
        <v>0.36551267956941064</v>
      </c>
      <c r="P15" s="67" cm="1">
        <f t="array" ref="P15">SUMPRODUCT((H15=$H$7:$H$10000)*(N15&lt;$N$7:$N$10000))+1</f>
        <v>13</v>
      </c>
      <c r="Q15" s="72"/>
      <c r="R15">
        <v>4</v>
      </c>
      <c r="S15" t="str">
        <v>LA</v>
      </c>
      <c r="T15" t="str">
        <v>Billy Meakes</v>
      </c>
      <c r="U15" t="str">
        <v>NULL</v>
      </c>
      <c r="V15" t="str">
        <v>Away</v>
      </c>
      <c r="W15" t="str">
        <v>SDL</v>
      </c>
      <c r="X15">
        <v>14.46510780909612</v>
      </c>
      <c r="Y15" t="str">
        <v>Blake Makiri</v>
      </c>
      <c r="Z15" s="1" cm="1">
        <f t="array" ref="Z15">COUNT(_xlfn._xlws.FILTER($H$7:$H$10000,($J$7:$J$10000=Y15)*($K$7:$K$10000&lt;&gt;"NULL")*($H$7:$H$10000 &gt;= ($G$1-5))))/5</f>
        <v>0.2</v>
      </c>
    </row>
    <row r="16" spans="1:26" x14ac:dyDescent="0.35">
      <c r="A16" s="1" t="s">
        <v>36</v>
      </c>
      <c r="B16" s="1">
        <v>7.2047991332175769</v>
      </c>
      <c r="C16" s="1">
        <f t="shared" si="0"/>
        <v>11</v>
      </c>
      <c r="H16" s="65">
        <v>1</v>
      </c>
      <c r="I16" t="s">
        <v>14</v>
      </c>
      <c r="J16" t="s">
        <v>438</v>
      </c>
      <c r="K16">
        <v>12.3</v>
      </c>
      <c r="L16" t="s">
        <v>9</v>
      </c>
      <c r="M16" t="s">
        <v>4</v>
      </c>
      <c r="N16">
        <f t="shared" si="1"/>
        <v>7.6775941017963758</v>
      </c>
      <c r="O16">
        <f t="shared" si="2"/>
        <v>21.36663628774766</v>
      </c>
      <c r="P16" s="67" cm="1">
        <f t="array" ref="P16">SUMPRODUCT((H16=$H$7:$H$10000)*(N16&lt;$N$7:$N$10000))+1</f>
        <v>36</v>
      </c>
      <c r="Q16" s="72"/>
      <c r="R16">
        <v>4</v>
      </c>
      <c r="S16" t="str">
        <v>SDL</v>
      </c>
      <c r="T16" t="str">
        <v>Tavite Lopeti</v>
      </c>
      <c r="U16" t="str">
        <v>NULL</v>
      </c>
      <c r="V16" t="str">
        <v>Home</v>
      </c>
      <c r="W16" t="str">
        <v>LA</v>
      </c>
      <c r="X16">
        <v>13.954333895821115</v>
      </c>
      <c r="Y16" t="str">
        <v>Bryce Campbell</v>
      </c>
      <c r="Z16" s="1" cm="1">
        <f t="array" ref="Z16">COUNT(_xlfn._xlws.FILTER($H$7:$H$10000,($J$7:$J$10000=Y16)*($K$7:$K$10000&lt;&gt;"NULL")*($H$7:$H$10000 &gt;= ($G$1-5))))/5</f>
        <v>0.6</v>
      </c>
    </row>
    <row r="17" spans="1:26" x14ac:dyDescent="0.35">
      <c r="H17" s="65">
        <v>1</v>
      </c>
      <c r="I17" t="s">
        <v>17</v>
      </c>
      <c r="J17" t="s">
        <v>37</v>
      </c>
      <c r="K17">
        <v>12.2</v>
      </c>
      <c r="L17" t="s">
        <v>9</v>
      </c>
      <c r="M17" t="s">
        <v>34</v>
      </c>
      <c r="N17">
        <f t="shared" si="1"/>
        <v>8.6652238277847413</v>
      </c>
      <c r="O17">
        <f t="shared" si="2"/>
        <v>12.494642587660751</v>
      </c>
      <c r="P17" s="67" cm="1">
        <f t="array" ref="P17">SUMPRODUCT((H17=$H$7:$H$10000)*(N17&lt;$N$7:$N$10000))+1</f>
        <v>32</v>
      </c>
      <c r="Q17" s="72"/>
      <c r="R17">
        <v>4</v>
      </c>
      <c r="S17" t="str">
        <v>SDL</v>
      </c>
      <c r="T17" t="str">
        <v>Lincoln McClutchie</v>
      </c>
      <c r="U17" t="str">
        <v>NULL</v>
      </c>
      <c r="V17" t="str">
        <v>Home</v>
      </c>
      <c r="W17" t="str">
        <v>LA</v>
      </c>
      <c r="X17">
        <v>13.795555634682142</v>
      </c>
      <c r="Y17" t="str">
        <v>Cameron Gerlach</v>
      </c>
      <c r="Z17" s="1" cm="1">
        <f t="array" ref="Z17">COUNT(_xlfn._xlws.FILTER($H$7:$H$10000,($J$7:$J$10000=Y17)*($K$7:$K$10000&lt;&gt;"NULL")*($H$7:$H$10000 &gt;= ($G$1-5))))/5</f>
        <v>0.2</v>
      </c>
    </row>
    <row r="18" spans="1:26" x14ac:dyDescent="0.35">
      <c r="H18" s="65">
        <v>1</v>
      </c>
      <c r="I18" t="s">
        <v>34</v>
      </c>
      <c r="J18" t="s">
        <v>41</v>
      </c>
      <c r="K18">
        <v>12.1</v>
      </c>
      <c r="L18" t="s">
        <v>3</v>
      </c>
      <c r="M18" t="s">
        <v>17</v>
      </c>
      <c r="N18">
        <f t="shared" si="1"/>
        <v>13.359712863258601</v>
      </c>
      <c r="O18">
        <f t="shared" si="2"/>
        <v>1.5868764978591827</v>
      </c>
      <c r="P18" s="67" cm="1">
        <f t="array" ref="P18">SUMPRODUCT((H18=$H$7:$H$10000)*(N18&lt;$N$7:$N$10000))+1</f>
        <v>7</v>
      </c>
      <c r="Q18" s="72"/>
      <c r="R18">
        <v>4</v>
      </c>
      <c r="S18" t="str">
        <v>SDL</v>
      </c>
      <c r="T18" t="str">
        <v>James Vaifale</v>
      </c>
      <c r="U18" t="str">
        <v>NULL</v>
      </c>
      <c r="V18" t="str">
        <v>Home</v>
      </c>
      <c r="W18" t="str">
        <v>LA</v>
      </c>
      <c r="X18">
        <v>13.638446777282086</v>
      </c>
      <c r="Y18" t="str">
        <v>Carlo de Nysschen</v>
      </c>
      <c r="Z18" s="1" cm="1">
        <f t="array" ref="Z18">COUNT(_xlfn._xlws.FILTER($H$7:$H$10000,($J$7:$J$10000=Y18)*($K$7:$K$10000&lt;&gt;"NULL")*($H$7:$H$10000 &gt;= ($G$1-5))))/5</f>
        <v>0.2</v>
      </c>
    </row>
    <row r="19" spans="1:26" x14ac:dyDescent="0.35">
      <c r="A19" s="32" t="s">
        <v>30</v>
      </c>
      <c r="B19" s="32" t="s">
        <v>29</v>
      </c>
      <c r="C19" s="32" t="s">
        <v>281</v>
      </c>
      <c r="D19" s="32" t="s">
        <v>346</v>
      </c>
      <c r="E19" s="32" t="s">
        <v>347</v>
      </c>
      <c r="F19" s="32" t="s">
        <v>342</v>
      </c>
      <c r="G19" s="3" t="s">
        <v>356</v>
      </c>
      <c r="H19" s="65">
        <v>1</v>
      </c>
      <c r="I19" t="s">
        <v>24</v>
      </c>
      <c r="J19" t="s">
        <v>446</v>
      </c>
      <c r="K19">
        <v>11.5</v>
      </c>
      <c r="L19" t="s">
        <v>3</v>
      </c>
      <c r="M19" t="s">
        <v>7</v>
      </c>
      <c r="N19">
        <f t="shared" si="1"/>
        <v>10.05512678165676</v>
      </c>
      <c r="O19">
        <f t="shared" si="2"/>
        <v>2.0876586170855513</v>
      </c>
      <c r="P19" s="67" cm="1">
        <f t="array" ref="P19">SUMPRODUCT((H19=$H$7:$H$10000)*(N19&lt;$N$7:$N$10000))+1</f>
        <v>25</v>
      </c>
      <c r="Q19" s="72"/>
      <c r="R19">
        <v>4</v>
      </c>
      <c r="S19" t="str">
        <v>UTAH</v>
      </c>
      <c r="T19" t="str">
        <v>Nic Benn</v>
      </c>
      <c r="U19" t="str">
        <v>NULL</v>
      </c>
      <c r="V19" t="str">
        <v>Home</v>
      </c>
      <c r="W19" t="str">
        <v>HOU</v>
      </c>
      <c r="X19">
        <v>13.369720323712286</v>
      </c>
      <c r="Y19" t="str">
        <v>Christian Dyer</v>
      </c>
      <c r="Z19" s="1" cm="1">
        <f t="array" ref="Z19">COUNT(_xlfn._xlws.FILTER($H$7:$H$10000,($J$7:$J$10000=Y19)*($K$7:$K$10000&lt;&gt;"NULL")*($H$7:$H$10000 &gt;= ($G$1-5))))/5</f>
        <v>0.2</v>
      </c>
    </row>
    <row r="20" spans="1:26" x14ac:dyDescent="0.35">
      <c r="A20" t="s">
        <v>79</v>
      </c>
      <c r="B20" s="1">
        <v>9.6198581652938202</v>
      </c>
      <c r="C20" s="1">
        <f t="shared" ref="C20:C51" si="3">RANK($B20,$B$20:$B$188,0)</f>
        <v>1</v>
      </c>
      <c r="D20" s="1">
        <f t="shared" ref="D20:D51" ca="1" si="4">SUMIF(R:V,$A20,V:V)</f>
        <v>233.71163844345611</v>
      </c>
      <c r="E20" s="1">
        <f t="shared" ref="E20:E51" ca="1" si="5">RANK($D20,$D$20:$D$188,0)</f>
        <v>1</v>
      </c>
      <c r="F20" s="1"/>
      <c r="G20">
        <f t="shared" ref="G20:G51" si="6">VLOOKUP($A20,$Y$7:$Z$1000,2,FALSE)</f>
        <v>0.4</v>
      </c>
      <c r="H20" s="65">
        <v>1</v>
      </c>
      <c r="I20" t="s">
        <v>4</v>
      </c>
      <c r="J20" t="s">
        <v>453</v>
      </c>
      <c r="K20">
        <v>11.2</v>
      </c>
      <c r="L20" t="s">
        <v>3</v>
      </c>
      <c r="M20" t="s">
        <v>14</v>
      </c>
      <c r="N20">
        <f t="shared" si="1"/>
        <v>11.065507309762804</v>
      </c>
      <c r="O20">
        <f t="shared" si="2"/>
        <v>1.8088283727238152E-2</v>
      </c>
      <c r="P20" s="67" cm="1">
        <f t="array" ref="P20">SUMPRODUCT((H20=$H$7:$H$10000)*(N20&lt;$N$7:$N$10000))+1</f>
        <v>17</v>
      </c>
      <c r="Q20" s="72"/>
      <c r="R20">
        <v>4</v>
      </c>
      <c r="S20" t="str">
        <v>MIA</v>
      </c>
      <c r="T20" t="str">
        <v>Tomás Cubilla</v>
      </c>
      <c r="U20" t="str">
        <v>NULL</v>
      </c>
      <c r="V20" t="str">
        <v>Home</v>
      </c>
      <c r="W20" t="str">
        <v>CHI</v>
      </c>
      <c r="X20">
        <v>13.027593286877295</v>
      </c>
      <c r="Y20" t="str">
        <v>Christian Leali'ifano</v>
      </c>
      <c r="Z20" s="1" cm="1">
        <f t="array" ref="Z20">COUNT(_xlfn._xlws.FILTER($H$7:$H$10000,($J$7:$J$10000=Y20)*($K$7:$K$10000&lt;&gt;"NULL")*($H$7:$H$10000 &gt;= ($G$1-5))))/5</f>
        <v>0.4</v>
      </c>
    </row>
    <row r="21" spans="1:26" x14ac:dyDescent="0.35">
      <c r="A21" t="s">
        <v>94</v>
      </c>
      <c r="B21" s="1">
        <v>8.9920943298329732</v>
      </c>
      <c r="C21" s="1">
        <f t="shared" si="3"/>
        <v>2</v>
      </c>
      <c r="D21" s="1">
        <f t="shared" ca="1" si="4"/>
        <v>222.96228874078452</v>
      </c>
      <c r="E21" s="1">
        <f t="shared" ca="1" si="5"/>
        <v>3</v>
      </c>
      <c r="F21" s="1"/>
      <c r="G21">
        <f t="shared" si="6"/>
        <v>0.2</v>
      </c>
      <c r="H21" s="65">
        <v>1</v>
      </c>
      <c r="I21" t="s">
        <v>6</v>
      </c>
      <c r="J21" t="s">
        <v>64</v>
      </c>
      <c r="K21">
        <v>11</v>
      </c>
      <c r="L21" t="s">
        <v>3</v>
      </c>
      <c r="M21" t="s">
        <v>23</v>
      </c>
      <c r="N21">
        <f t="shared" si="1"/>
        <v>10.985761406849484</v>
      </c>
      <c r="O21">
        <f t="shared" si="2"/>
        <v>2.0273753490592143E-4</v>
      </c>
      <c r="P21" s="67" cm="1">
        <f t="array" ref="P21">SUMPRODUCT((H21=$H$7:$H$10000)*(N21&lt;$N$7:$N$10000))+1</f>
        <v>19</v>
      </c>
      <c r="Q21" s="72"/>
      <c r="R21">
        <v>4</v>
      </c>
      <c r="S21" t="str">
        <v>CHI</v>
      </c>
      <c r="T21" t="str">
        <v>Ollie Devoto</v>
      </c>
      <c r="U21" t="str">
        <v>NULL</v>
      </c>
      <c r="V21" t="str">
        <v>Away</v>
      </c>
      <c r="W21" t="str">
        <v>MIA</v>
      </c>
      <c r="X21">
        <v>12.836577295235603</v>
      </c>
      <c r="Y21" t="str">
        <v>Conner Mooneyham</v>
      </c>
      <c r="Z21" s="1" cm="1">
        <f t="array" ref="Z21">COUNT(_xlfn._xlws.FILTER($H$7:$H$10000,($J$7:$J$10000=Y21)*($K$7:$K$10000&lt;&gt;"NULL")*($H$7:$H$10000 &gt;= ($G$1-5))))/5</f>
        <v>0.4</v>
      </c>
    </row>
    <row r="22" spans="1:26" x14ac:dyDescent="0.35">
      <c r="A22" t="s">
        <v>65</v>
      </c>
      <c r="B22" s="1">
        <v>7.9579727028799523</v>
      </c>
      <c r="C22" s="1">
        <f t="shared" si="3"/>
        <v>3</v>
      </c>
      <c r="D22" s="1">
        <f t="shared" ca="1" si="4"/>
        <v>226.15079967431268</v>
      </c>
      <c r="E22" s="1">
        <f t="shared" ca="1" si="5"/>
        <v>2</v>
      </c>
      <c r="F22" s="1"/>
      <c r="G22">
        <f t="shared" si="6"/>
        <v>0.4</v>
      </c>
      <c r="H22" s="65">
        <v>1</v>
      </c>
      <c r="I22" t="s">
        <v>36</v>
      </c>
      <c r="J22" t="s">
        <v>38</v>
      </c>
      <c r="K22">
        <v>10.9</v>
      </c>
      <c r="L22" t="s">
        <v>3</v>
      </c>
      <c r="M22" t="s">
        <v>2</v>
      </c>
      <c r="N22">
        <f t="shared" si="1"/>
        <v>11.153898369683152</v>
      </c>
      <c r="O22">
        <f t="shared" si="2"/>
        <v>6.4464382127762093E-2</v>
      </c>
      <c r="P22" s="67" cm="1">
        <f t="array" ref="P22">SUMPRODUCT((H22=$H$7:$H$10000)*(N22&lt;$N$7:$N$10000))+1</f>
        <v>16</v>
      </c>
      <c r="Q22" s="72"/>
      <c r="R22">
        <v>4</v>
      </c>
      <c r="S22" t="str">
        <v>SDL</v>
      </c>
      <c r="T22" t="str">
        <v>Richard Judd</v>
      </c>
      <c r="U22" t="str">
        <v>NULL</v>
      </c>
      <c r="V22" t="str">
        <v>Home</v>
      </c>
      <c r="W22" t="str">
        <v>LA</v>
      </c>
      <c r="X22">
        <v>12.520516886115155</v>
      </c>
      <c r="Y22" t="str">
        <v>Connor Buckley</v>
      </c>
      <c r="Z22" s="1" cm="1">
        <f t="array" ref="Z22">COUNT(_xlfn._xlws.FILTER($H$7:$H$10000,($J$7:$J$10000=Y22)*($K$7:$K$10000&lt;&gt;"NULL")*($H$7:$H$10000 &gt;= ($G$1-5))))/5</f>
        <v>0.2</v>
      </c>
    </row>
    <row r="23" spans="1:26" x14ac:dyDescent="0.35">
      <c r="A23" t="s">
        <v>95</v>
      </c>
      <c r="B23" s="1">
        <v>7.1252895093859658</v>
      </c>
      <c r="C23" s="1">
        <f t="shared" si="3"/>
        <v>4</v>
      </c>
      <c r="D23" s="1">
        <f t="shared" ca="1" si="4"/>
        <v>197.98942519923685</v>
      </c>
      <c r="E23" s="1">
        <f t="shared" ca="1" si="5"/>
        <v>4</v>
      </c>
      <c r="F23" s="1"/>
      <c r="G23">
        <f t="shared" si="6"/>
        <v>0.6</v>
      </c>
      <c r="H23" s="65">
        <v>1</v>
      </c>
      <c r="I23" t="s">
        <v>7</v>
      </c>
      <c r="J23" t="s">
        <v>447</v>
      </c>
      <c r="K23">
        <v>10.3</v>
      </c>
      <c r="L23" t="s">
        <v>9</v>
      </c>
      <c r="M23" t="s">
        <v>24</v>
      </c>
      <c r="N23">
        <f t="shared" si="1"/>
        <v>13.41985188645914</v>
      </c>
      <c r="O23">
        <f t="shared" si="2"/>
        <v>9.7334757934426523</v>
      </c>
      <c r="P23" s="67" cm="1">
        <f t="array" ref="P23">SUMPRODUCT((H23=$H$7:$H$10000)*(N23&lt;$N$7:$N$10000))+1</f>
        <v>6</v>
      </c>
      <c r="Q23" s="72"/>
      <c r="R23">
        <v>4</v>
      </c>
      <c r="S23" t="str">
        <v>LA</v>
      </c>
      <c r="T23" t="str">
        <v>Matias Jensen</v>
      </c>
      <c r="U23" t="str">
        <v>NULL</v>
      </c>
      <c r="V23" t="str">
        <v>Away</v>
      </c>
      <c r="W23" t="str">
        <v>SDL</v>
      </c>
      <c r="X23">
        <v>12.501349931891729</v>
      </c>
      <c r="Y23" t="str">
        <v>Connor Burns</v>
      </c>
      <c r="Z23" s="1" cm="1">
        <f t="array" ref="Z23">COUNT(_xlfn._xlws.FILTER($H$7:$H$10000,($J$7:$J$10000=Y23)*($K$7:$K$10000&lt;&gt;"NULL")*($H$7:$H$10000 &gt;= ($G$1-5))))/5</f>
        <v>0.4</v>
      </c>
    </row>
    <row r="24" spans="1:26" x14ac:dyDescent="0.35">
      <c r="A24" t="s">
        <v>494</v>
      </c>
      <c r="B24" s="1">
        <v>5.8093227145832209</v>
      </c>
      <c r="C24" s="1">
        <f t="shared" si="3"/>
        <v>5</v>
      </c>
      <c r="D24" s="1">
        <f t="shared" ca="1" si="4"/>
        <v>187.9852130349289</v>
      </c>
      <c r="E24" s="1">
        <f t="shared" ca="1" si="5"/>
        <v>5</v>
      </c>
      <c r="F24" s="1"/>
      <c r="G24">
        <f t="shared" si="6"/>
        <v>0.2</v>
      </c>
      <c r="H24" s="65">
        <v>1</v>
      </c>
      <c r="I24" t="s">
        <v>36</v>
      </c>
      <c r="J24" t="s">
        <v>71</v>
      </c>
      <c r="K24">
        <v>10</v>
      </c>
      <c r="L24" t="s">
        <v>3</v>
      </c>
      <c r="M24" t="s">
        <v>2</v>
      </c>
      <c r="N24">
        <f t="shared" si="1"/>
        <v>10.574338977568313</v>
      </c>
      <c r="O24">
        <f t="shared" si="2"/>
        <v>0.32986526115421561</v>
      </c>
      <c r="P24" s="67" cm="1">
        <f t="array" ref="P24">SUMPRODUCT((H24=$H$7:$H$10000)*(N24&lt;$N$7:$N$10000))+1</f>
        <v>23</v>
      </c>
      <c r="Q24" s="72"/>
      <c r="R24">
        <v>4</v>
      </c>
      <c r="S24" t="str">
        <v>SDL</v>
      </c>
      <c r="T24" t="str">
        <v>Tiaan Loots</v>
      </c>
      <c r="U24" t="str">
        <v>NULL</v>
      </c>
      <c r="V24" t="str">
        <v>Home</v>
      </c>
      <c r="W24" t="str">
        <v>LA</v>
      </c>
      <c r="X24">
        <v>12.425445617417115</v>
      </c>
      <c r="Y24" t="str">
        <v>Cooper Coats</v>
      </c>
      <c r="Z24" s="1" cm="1">
        <f t="array" ref="Z24">COUNT(_xlfn._xlws.FILTER($H$7:$H$10000,($J$7:$J$10000=Y24)*($K$7:$K$10000&lt;&gt;"NULL")*($H$7:$H$10000 &gt;= ($G$1-5))))/5</f>
        <v>0.6</v>
      </c>
    </row>
    <row r="25" spans="1:26" x14ac:dyDescent="0.35">
      <c r="A25" t="s">
        <v>8</v>
      </c>
      <c r="B25" s="1">
        <v>5.3164815433392461</v>
      </c>
      <c r="C25" s="1">
        <f t="shared" si="3"/>
        <v>6</v>
      </c>
      <c r="D25" s="1">
        <f t="shared" ca="1" si="4"/>
        <v>178.85493530285979</v>
      </c>
      <c r="E25" s="1">
        <f t="shared" ca="1" si="5"/>
        <v>6</v>
      </c>
      <c r="F25" s="1"/>
      <c r="G25">
        <f t="shared" si="6"/>
        <v>0.2</v>
      </c>
      <c r="H25" s="65">
        <v>1</v>
      </c>
      <c r="I25" t="s">
        <v>36</v>
      </c>
      <c r="J25" t="s">
        <v>78</v>
      </c>
      <c r="K25">
        <v>10</v>
      </c>
      <c r="L25" t="s">
        <v>3</v>
      </c>
      <c r="M25" t="s">
        <v>2</v>
      </c>
      <c r="N25">
        <f t="shared" si="1"/>
        <v>10.56795246034836</v>
      </c>
      <c r="O25">
        <f t="shared" si="2"/>
        <v>0.3225699972157558</v>
      </c>
      <c r="P25" s="67" cm="1">
        <f t="array" ref="P25">SUMPRODUCT((H25=$H$7:$H$10000)*(N25&lt;$N$7:$N$10000))+1</f>
        <v>24</v>
      </c>
      <c r="Q25" s="72"/>
      <c r="R25">
        <v>4</v>
      </c>
      <c r="S25" t="str">
        <v>SEA</v>
      </c>
      <c r="T25" t="str">
        <v>Eddie Fouche</v>
      </c>
      <c r="U25" t="str">
        <v>NULL</v>
      </c>
      <c r="V25" t="str">
        <v>Home</v>
      </c>
      <c r="W25" t="str">
        <v>NEFJ</v>
      </c>
      <c r="X25">
        <v>12.392351707710759</v>
      </c>
      <c r="Y25" t="str">
        <v>Damien Hoyland</v>
      </c>
      <c r="Z25" s="1" cm="1">
        <f t="array" ref="Z25">COUNT(_xlfn._xlws.FILTER($H$7:$H$10000,($J$7:$J$10000=Y25)*($K$7:$K$10000&lt;&gt;"NULL")*($H$7:$H$10000 &gt;= ($G$1-5))))/5</f>
        <v>0.4</v>
      </c>
    </row>
    <row r="26" spans="1:26" x14ac:dyDescent="0.35">
      <c r="A26" t="s">
        <v>445</v>
      </c>
      <c r="B26" s="1">
        <v>3.3527236661348558</v>
      </c>
      <c r="C26" s="1">
        <f t="shared" si="3"/>
        <v>7</v>
      </c>
      <c r="D26" s="1">
        <f t="shared" ca="1" si="4"/>
        <v>155.28984077640709</v>
      </c>
      <c r="E26" s="1">
        <f t="shared" ca="1" si="5"/>
        <v>7</v>
      </c>
      <c r="F26" s="1"/>
      <c r="G26">
        <f t="shared" si="6"/>
        <v>0.2</v>
      </c>
      <c r="H26" s="65">
        <v>1</v>
      </c>
      <c r="I26" t="s">
        <v>24</v>
      </c>
      <c r="J26" t="s">
        <v>439</v>
      </c>
      <c r="K26">
        <v>10</v>
      </c>
      <c r="L26" t="s">
        <v>3</v>
      </c>
      <c r="M26" t="s">
        <v>7</v>
      </c>
      <c r="N26">
        <f t="shared" si="1"/>
        <v>7.5551178689254765</v>
      </c>
      <c r="O26">
        <f t="shared" si="2"/>
        <v>5.9774486348475033</v>
      </c>
      <c r="P26" s="67" cm="1">
        <f t="array" ref="P26">SUMPRODUCT((H26=$H$7:$H$10000)*(N26&lt;$N$7:$N$10000))+1</f>
        <v>38</v>
      </c>
      <c r="Q26" s="72"/>
      <c r="R26">
        <v>4</v>
      </c>
      <c r="S26" t="str">
        <v>CHI</v>
      </c>
      <c r="T26" t="str">
        <v>Adriaan Carelse</v>
      </c>
      <c r="U26" t="str">
        <v>NULL</v>
      </c>
      <c r="V26" t="str">
        <v>Away</v>
      </c>
      <c r="W26" t="str">
        <v>MIA</v>
      </c>
      <c r="X26">
        <v>11.945308259438686</v>
      </c>
      <c r="Y26" t="str">
        <v>Dan Kriel</v>
      </c>
      <c r="Z26" s="1" cm="1">
        <f t="array" ref="Z26">COUNT(_xlfn._xlws.FILTER($H$7:$H$10000,($J$7:$J$10000=Y26)*($K$7:$K$10000&lt;&gt;"NULL")*($H$7:$H$10000 &gt;= ($G$1-5))))/5</f>
        <v>0.2</v>
      </c>
    </row>
    <row r="27" spans="1:26" x14ac:dyDescent="0.35">
      <c r="A27" t="s">
        <v>41</v>
      </c>
      <c r="B27" s="1">
        <v>2.9245943092065292</v>
      </c>
      <c r="C27" s="1">
        <f t="shared" si="3"/>
        <v>8</v>
      </c>
      <c r="D27" s="1">
        <f t="shared" ca="1" si="4"/>
        <v>151.78177799726302</v>
      </c>
      <c r="E27" s="1">
        <f t="shared" ca="1" si="5"/>
        <v>9</v>
      </c>
      <c r="F27" s="1"/>
      <c r="G27">
        <f t="shared" si="6"/>
        <v>0.6</v>
      </c>
      <c r="H27" s="65">
        <v>1</v>
      </c>
      <c r="I27" t="s">
        <v>24</v>
      </c>
      <c r="J27" t="s">
        <v>96</v>
      </c>
      <c r="K27">
        <v>9.6</v>
      </c>
      <c r="L27" t="s">
        <v>3</v>
      </c>
      <c r="M27" t="s">
        <v>7</v>
      </c>
      <c r="N27">
        <f t="shared" si="1"/>
        <v>6.7551046092666924</v>
      </c>
      <c r="O27">
        <f t="shared" si="2"/>
        <v>8.0934297842156173</v>
      </c>
      <c r="P27" s="67" cm="1">
        <f t="array" ref="P27">SUMPRODUCT((H27=$H$7:$H$10000)*(N27&lt;$N$7:$N$10000))+1</f>
        <v>39</v>
      </c>
      <c r="Q27" s="72"/>
      <c r="R27">
        <v>4</v>
      </c>
      <c r="S27" t="str">
        <v>OGDC</v>
      </c>
      <c r="T27" t="str">
        <v>Damien Hoyland</v>
      </c>
      <c r="U27" t="str">
        <v>NULL</v>
      </c>
      <c r="V27" t="str">
        <v>Home</v>
      </c>
      <c r="W27" t="str">
        <v>ARC</v>
      </c>
      <c r="X27">
        <v>11.689830159819564</v>
      </c>
      <c r="Y27" t="str">
        <v>D'Angelo Leuila</v>
      </c>
      <c r="Z27" s="1" cm="1">
        <f t="array" ref="Z27">COUNT(_xlfn._xlws.FILTER($H$7:$H$10000,($J$7:$J$10000=Y27)*($K$7:$K$10000&lt;&gt;"NULL")*($H$7:$H$10000 &gt;= ($G$1-5))))/5</f>
        <v>0.4</v>
      </c>
    </row>
    <row r="28" spans="1:26" x14ac:dyDescent="0.35">
      <c r="A28" t="s">
        <v>446</v>
      </c>
      <c r="B28" s="1">
        <v>2.4603890572603944</v>
      </c>
      <c r="C28" s="1">
        <f t="shared" si="3"/>
        <v>9</v>
      </c>
      <c r="D28" s="1">
        <f t="shared" ca="1" si="4"/>
        <v>148.99266653841801</v>
      </c>
      <c r="E28" s="1">
        <f t="shared" ca="1" si="5"/>
        <v>10</v>
      </c>
      <c r="F28" s="1"/>
      <c r="G28">
        <f t="shared" si="6"/>
        <v>0.4</v>
      </c>
      <c r="H28" s="65">
        <v>1</v>
      </c>
      <c r="I28" t="s">
        <v>4</v>
      </c>
      <c r="J28" t="s">
        <v>74</v>
      </c>
      <c r="K28">
        <v>9.5</v>
      </c>
      <c r="L28" t="s">
        <v>3</v>
      </c>
      <c r="M28" t="s">
        <v>14</v>
      </c>
      <c r="N28">
        <f t="shared" si="1"/>
        <v>10.79313997132386</v>
      </c>
      <c r="O28">
        <f t="shared" si="2"/>
        <v>1.6722109854354748</v>
      </c>
      <c r="P28" s="67" cm="1">
        <f t="array" ref="P28">SUMPRODUCT((H28=$H$7:$H$10000)*(N28&lt;$N$7:$N$10000))+1</f>
        <v>21</v>
      </c>
      <c r="Q28" s="72"/>
      <c r="R28">
        <v>4</v>
      </c>
      <c r="S28" t="str">
        <v>SEA</v>
      </c>
      <c r="T28" t="str">
        <v>Rodney Iona</v>
      </c>
      <c r="U28" t="str">
        <v>NULL</v>
      </c>
      <c r="V28" t="str">
        <v>Home</v>
      </c>
      <c r="W28" t="str">
        <v>NEFJ</v>
      </c>
      <c r="X28">
        <v>11.537266442154936</v>
      </c>
      <c r="Y28" t="str">
        <v>Davy Coetzer</v>
      </c>
      <c r="Z28" s="1" cm="1">
        <f t="array" ref="Z28">COUNT(_xlfn._xlws.FILTER($H$7:$H$10000,($J$7:$J$10000=Y28)*($K$7:$K$10000&lt;&gt;"NULL")*($H$7:$H$10000 &gt;= ($G$1-5))))/5</f>
        <v>0.6</v>
      </c>
    </row>
    <row r="29" spans="1:26" x14ac:dyDescent="0.35">
      <c r="A29" t="s">
        <v>442</v>
      </c>
      <c r="B29" s="1">
        <v>2.2014910441670477</v>
      </c>
      <c r="C29" s="1">
        <f t="shared" si="3"/>
        <v>10</v>
      </c>
      <c r="D29" s="1">
        <f t="shared" ca="1" si="4"/>
        <v>141.4750493127934</v>
      </c>
      <c r="E29" s="1">
        <f t="shared" ca="1" si="5"/>
        <v>13</v>
      </c>
      <c r="F29" s="1"/>
      <c r="G29">
        <f t="shared" si="6"/>
        <v>0.4</v>
      </c>
      <c r="H29" s="65">
        <v>1</v>
      </c>
      <c r="I29" t="s">
        <v>23</v>
      </c>
      <c r="J29" t="s">
        <v>32</v>
      </c>
      <c r="K29">
        <v>9.4</v>
      </c>
      <c r="L29" t="s">
        <v>9</v>
      </c>
      <c r="M29" t="s">
        <v>6</v>
      </c>
      <c r="N29">
        <f t="shared" si="1"/>
        <v>12.816749452830727</v>
      </c>
      <c r="O29">
        <f t="shared" si="2"/>
        <v>11.674176823419073</v>
      </c>
      <c r="P29" s="67" cm="1">
        <f t="array" ref="P29">SUMPRODUCT((H29=$H$7:$H$10000)*(N29&lt;$N$7:$N$10000))+1</f>
        <v>9</v>
      </c>
      <c r="Q29" s="72"/>
      <c r="R29">
        <v>4</v>
      </c>
      <c r="S29" t="str">
        <v>LA</v>
      </c>
      <c r="T29" t="str">
        <v>Christian Leali'ifano</v>
      </c>
      <c r="U29" t="str">
        <v>NULL</v>
      </c>
      <c r="V29" t="str">
        <v>Away</v>
      </c>
      <c r="W29" t="str">
        <v>SDL</v>
      </c>
      <c r="X29">
        <v>11.35011730992392</v>
      </c>
      <c r="Y29" t="str">
        <v>Divan Rossouw</v>
      </c>
      <c r="Z29" s="1" cm="1">
        <f t="array" ref="Z29">COUNT(_xlfn._xlws.FILTER($H$7:$H$10000,($J$7:$J$10000=Y29)*($K$7:$K$10000&lt;&gt;"NULL")*($H$7:$H$10000 &gt;= ($G$1-5))))/5</f>
        <v>0.4</v>
      </c>
    </row>
    <row r="30" spans="1:26" x14ac:dyDescent="0.35">
      <c r="A30" t="s">
        <v>473</v>
      </c>
      <c r="B30" s="1">
        <v>2.1465675017978696</v>
      </c>
      <c r="C30" s="1">
        <f t="shared" si="3"/>
        <v>11</v>
      </c>
      <c r="D30" s="1">
        <f t="shared" ca="1" si="4"/>
        <v>144.03215048150469</v>
      </c>
      <c r="E30" s="1">
        <f t="shared" ca="1" si="5"/>
        <v>12</v>
      </c>
      <c r="F30" s="1"/>
      <c r="G30">
        <f t="shared" si="6"/>
        <v>0.4</v>
      </c>
      <c r="H30" s="65">
        <v>1</v>
      </c>
      <c r="I30" t="s">
        <v>23</v>
      </c>
      <c r="J30" t="s">
        <v>91</v>
      </c>
      <c r="K30">
        <v>9.4</v>
      </c>
      <c r="L30" t="s">
        <v>9</v>
      </c>
      <c r="M30" t="s">
        <v>6</v>
      </c>
      <c r="N30">
        <f t="shared" si="1"/>
        <v>12.774947262124801</v>
      </c>
      <c r="O30">
        <f t="shared" si="2"/>
        <v>11.390269022123688</v>
      </c>
      <c r="P30" s="67" cm="1">
        <f t="array" ref="P30">SUMPRODUCT((H30=$H$7:$H$10000)*(N30&lt;$N$7:$N$10000))+1</f>
        <v>10</v>
      </c>
      <c r="Q30" s="72"/>
      <c r="R30">
        <v>4</v>
      </c>
      <c r="S30" t="str">
        <v>NEFJ</v>
      </c>
      <c r="T30" t="str">
        <v>Jayson Potroz</v>
      </c>
      <c r="U30" t="str">
        <v>NULL</v>
      </c>
      <c r="V30" t="str">
        <v>Away</v>
      </c>
      <c r="W30" t="str">
        <v>SEA</v>
      </c>
      <c r="X30">
        <v>11.110502870194406</v>
      </c>
      <c r="Y30" t="str">
        <v>Dom Akina</v>
      </c>
      <c r="Z30" s="1" cm="1">
        <f t="array" ref="Z30">COUNT(_xlfn._xlws.FILTER($H$7:$H$10000,($J$7:$J$10000=Y30)*($K$7:$K$10000&lt;&gt;"NULL")*($H$7:$H$10000 &gt;= ($G$1-5))))/5</f>
        <v>0.6</v>
      </c>
    </row>
    <row r="31" spans="1:26" x14ac:dyDescent="0.35">
      <c r="A31" t="s">
        <v>88</v>
      </c>
      <c r="B31" s="1">
        <v>2.0893557776179161</v>
      </c>
      <c r="C31" s="1">
        <f t="shared" si="3"/>
        <v>12</v>
      </c>
      <c r="D31" s="1">
        <f t="shared" ca="1" si="4"/>
        <v>152.63986945234225</v>
      </c>
      <c r="E31" s="1">
        <f t="shared" ca="1" si="5"/>
        <v>8</v>
      </c>
      <c r="F31" s="1"/>
      <c r="G31">
        <f t="shared" si="6"/>
        <v>0.2</v>
      </c>
      <c r="H31" s="65">
        <v>1</v>
      </c>
      <c r="I31" t="s">
        <v>14</v>
      </c>
      <c r="J31" t="s">
        <v>448</v>
      </c>
      <c r="K31">
        <v>9.1999999999999993</v>
      </c>
      <c r="L31" t="s">
        <v>9</v>
      </c>
      <c r="M31" t="s">
        <v>4</v>
      </c>
      <c r="N31">
        <f t="shared" si="1"/>
        <v>9.2377228150931217</v>
      </c>
      <c r="O31">
        <f t="shared" si="2"/>
        <v>1.4230107785499005E-3</v>
      </c>
      <c r="P31" s="67" cm="1">
        <f t="array" ref="P31">SUMPRODUCT((H31=$H$7:$H$10000)*(N31&lt;$N$7:$N$10000))+1</f>
        <v>29</v>
      </c>
      <c r="Q31" s="72"/>
      <c r="R31">
        <v>4</v>
      </c>
      <c r="S31" t="str">
        <v>SEA</v>
      </c>
      <c r="T31" t="str">
        <v>Duncan Matthews</v>
      </c>
      <c r="U31" t="str">
        <v>NULL</v>
      </c>
      <c r="V31" t="str">
        <v>Home</v>
      </c>
      <c r="W31" t="str">
        <v>NEFJ</v>
      </c>
      <c r="X31">
        <v>11.087848690205936</v>
      </c>
      <c r="Y31" t="str">
        <v>Dorian Jones</v>
      </c>
      <c r="Z31" s="1" cm="1">
        <f t="array" ref="Z31">COUNT(_xlfn._xlws.FILTER($H$7:$H$10000,($J$7:$J$10000=Y31)*($K$7:$K$10000&lt;&gt;"NULL")*($H$7:$H$10000 &gt;= ($G$1-5))))/5</f>
        <v>0.6</v>
      </c>
    </row>
    <row r="32" spans="1:26" x14ac:dyDescent="0.35">
      <c r="A32" t="s">
        <v>100</v>
      </c>
      <c r="B32" s="1">
        <v>1.7603049995249713</v>
      </c>
      <c r="C32" s="1">
        <f t="shared" si="3"/>
        <v>13</v>
      </c>
      <c r="D32" s="1">
        <f t="shared" ca="1" si="4"/>
        <v>138.97459559076592</v>
      </c>
      <c r="E32" s="1">
        <f t="shared" ca="1" si="5"/>
        <v>15</v>
      </c>
      <c r="F32" s="1"/>
      <c r="G32">
        <f t="shared" si="6"/>
        <v>0.6</v>
      </c>
      <c r="H32" s="65">
        <v>1</v>
      </c>
      <c r="I32" t="s">
        <v>17</v>
      </c>
      <c r="J32" t="s">
        <v>196</v>
      </c>
      <c r="K32">
        <v>8.6999999999999993</v>
      </c>
      <c r="L32" t="s">
        <v>9</v>
      </c>
      <c r="M32" t="s">
        <v>34</v>
      </c>
      <c r="N32">
        <f t="shared" si="1"/>
        <v>9.2327417563933345</v>
      </c>
      <c r="O32">
        <f t="shared" si="2"/>
        <v>0.28381377900505572</v>
      </c>
      <c r="P32" s="67" cm="1">
        <f t="array" ref="P32">SUMPRODUCT((H32=$H$7:$H$10000)*(N32&lt;$N$7:$N$10000))+1</f>
        <v>30</v>
      </c>
      <c r="Q32" s="72"/>
      <c r="R32">
        <v>4</v>
      </c>
      <c r="S32" t="str">
        <v>SDL</v>
      </c>
      <c r="T32" t="str">
        <v>Marcel Brache</v>
      </c>
      <c r="U32" t="str">
        <v>NULL</v>
      </c>
      <c r="V32" t="str">
        <v>Home</v>
      </c>
      <c r="W32" t="str">
        <v>LA</v>
      </c>
      <c r="X32">
        <v>11.072263304135666</v>
      </c>
      <c r="Y32" t="str">
        <v>Drew Wild</v>
      </c>
      <c r="Z32" s="1" cm="1">
        <f t="array" ref="Z32">COUNT(_xlfn._xlws.FILTER($H$7:$H$10000,($J$7:$J$10000=Y32)*($K$7:$K$10000&lt;&gt;"NULL")*($H$7:$H$10000 &gt;= ($G$1-5))))/5</f>
        <v>0.2</v>
      </c>
    </row>
    <row r="33" spans="1:26" x14ac:dyDescent="0.35">
      <c r="A33" t="s">
        <v>495</v>
      </c>
      <c r="B33" s="1">
        <v>1.5366220239472965</v>
      </c>
      <c r="C33" s="1">
        <f t="shared" si="3"/>
        <v>14</v>
      </c>
      <c r="D33" s="1">
        <f t="shared" ca="1" si="4"/>
        <v>146.00706440829487</v>
      </c>
      <c r="E33" s="1">
        <f t="shared" ca="1" si="5"/>
        <v>11</v>
      </c>
      <c r="F33" s="1"/>
      <c r="G33">
        <f t="shared" si="6"/>
        <v>0.2</v>
      </c>
      <c r="H33" s="65">
        <v>1</v>
      </c>
      <c r="I33" t="s">
        <v>6</v>
      </c>
      <c r="J33" t="s">
        <v>454</v>
      </c>
      <c r="K33">
        <v>8.5</v>
      </c>
      <c r="L33" t="s">
        <v>3</v>
      </c>
      <c r="M33" t="s">
        <v>23</v>
      </c>
      <c r="N33">
        <f t="shared" si="1"/>
        <v>11.637989904879033</v>
      </c>
      <c r="O33">
        <f t="shared" si="2"/>
        <v>9.8469806431227234</v>
      </c>
      <c r="P33" s="67" cm="1">
        <f t="array" ref="P33">SUMPRODUCT((H33=$H$7:$H$10000)*(N33&lt;$N$7:$N$10000))+1</f>
        <v>15</v>
      </c>
      <c r="Q33" s="72"/>
      <c r="R33">
        <v>4</v>
      </c>
      <c r="S33" t="str">
        <v>MIA</v>
      </c>
      <c r="T33" t="str">
        <v>Marcos Young</v>
      </c>
      <c r="U33" t="str">
        <v>NULL</v>
      </c>
      <c r="V33" t="str">
        <v>Home</v>
      </c>
      <c r="W33" t="str">
        <v>CHI</v>
      </c>
      <c r="X33">
        <v>11.048784121857814</v>
      </c>
      <c r="Y33" t="str">
        <v>Duncan Matthews</v>
      </c>
      <c r="Z33" s="1" cm="1">
        <f t="array" ref="Z33">COUNT(_xlfn._xlws.FILTER($H$7:$H$10000,($J$7:$J$10000=Y33)*($K$7:$K$10000&lt;&gt;"NULL")*($H$7:$H$10000 &gt;= ($G$1-5))))/5</f>
        <v>0.2</v>
      </c>
    </row>
    <row r="34" spans="1:26" x14ac:dyDescent="0.35">
      <c r="A34" t="s">
        <v>190</v>
      </c>
      <c r="B34" s="1">
        <v>1.3865812679653098</v>
      </c>
      <c r="C34" s="1">
        <f t="shared" si="3"/>
        <v>15</v>
      </c>
      <c r="D34" s="1">
        <f t="shared" ca="1" si="4"/>
        <v>136.66755546406844</v>
      </c>
      <c r="E34" s="1">
        <f t="shared" ca="1" si="5"/>
        <v>16</v>
      </c>
      <c r="F34" s="1"/>
      <c r="G34">
        <f t="shared" si="6"/>
        <v>0.2</v>
      </c>
      <c r="H34" s="65">
        <v>1</v>
      </c>
      <c r="I34" t="s">
        <v>34</v>
      </c>
      <c r="J34" t="s">
        <v>192</v>
      </c>
      <c r="K34">
        <v>8.5</v>
      </c>
      <c r="L34" t="s">
        <v>3</v>
      </c>
      <c r="M34" t="s">
        <v>17</v>
      </c>
      <c r="N34">
        <f t="shared" si="1"/>
        <v>10.708314688930324</v>
      </c>
      <c r="O34">
        <f t="shared" si="2"/>
        <v>4.8766537653454334</v>
      </c>
      <c r="P34" s="67" cm="1">
        <f t="array" ref="P34">SUMPRODUCT((H34=$H$7:$H$10000)*(N34&lt;$N$7:$N$10000))+1</f>
        <v>22</v>
      </c>
      <c r="Q34" s="72"/>
      <c r="R34">
        <v>4</v>
      </c>
      <c r="S34" t="str">
        <v>HOU</v>
      </c>
      <c r="T34" t="str">
        <v>Dom Akina</v>
      </c>
      <c r="U34" t="str">
        <v>NULL</v>
      </c>
      <c r="V34" t="str">
        <v>Away</v>
      </c>
      <c r="W34" t="str">
        <v>UTAH</v>
      </c>
      <c r="X34">
        <v>11.029463677754068</v>
      </c>
      <c r="Y34" t="str">
        <v>Ed Fidow</v>
      </c>
      <c r="Z34" s="1" cm="1">
        <f t="array" ref="Z34">COUNT(_xlfn._xlws.FILTER($H$7:$H$10000,($J$7:$J$10000=Y34)*($K$7:$K$10000&lt;&gt;"NULL")*($H$7:$H$10000 &gt;= ($G$1-5))))/5</f>
        <v>0.4</v>
      </c>
    </row>
    <row r="35" spans="1:26" x14ac:dyDescent="0.35">
      <c r="A35" t="s">
        <v>437</v>
      </c>
      <c r="B35" s="1">
        <v>1.2317091287390616</v>
      </c>
      <c r="C35" s="1">
        <f t="shared" si="3"/>
        <v>16</v>
      </c>
      <c r="D35" s="1">
        <f t="shared" ca="1" si="4"/>
        <v>129.83766632765753</v>
      </c>
      <c r="E35" s="1">
        <f t="shared" ca="1" si="5"/>
        <v>19</v>
      </c>
      <c r="F35" s="1"/>
      <c r="G35">
        <f t="shared" si="6"/>
        <v>0.4</v>
      </c>
      <c r="H35" s="65">
        <v>1</v>
      </c>
      <c r="I35" t="s">
        <v>4</v>
      </c>
      <c r="J35" t="s">
        <v>1</v>
      </c>
      <c r="K35">
        <v>8.3000000000000007</v>
      </c>
      <c r="L35" t="s">
        <v>3</v>
      </c>
      <c r="M35" t="s">
        <v>14</v>
      </c>
      <c r="N35">
        <f t="shared" si="1"/>
        <v>9.9669514516440287</v>
      </c>
      <c r="O35">
        <f t="shared" si="2"/>
        <v>2.7787271421381323</v>
      </c>
      <c r="P35" s="67" cm="1">
        <f t="array" ref="P35">SUMPRODUCT((H35=$H$7:$H$10000)*(N35&lt;$N$7:$N$10000))+1</f>
        <v>26</v>
      </c>
      <c r="Q35" s="72"/>
      <c r="R35">
        <v>4</v>
      </c>
      <c r="S35" t="str">
        <v>MIA</v>
      </c>
      <c r="T35" t="str">
        <v>Martin Elias</v>
      </c>
      <c r="U35" t="str">
        <v>NULL</v>
      </c>
      <c r="V35" t="str">
        <v>Home</v>
      </c>
      <c r="W35" t="str">
        <v>CHI</v>
      </c>
      <c r="X35">
        <v>11.017720254255316</v>
      </c>
      <c r="Y35" t="str">
        <v>Eddie Fouche</v>
      </c>
      <c r="Z35" s="1" cm="1">
        <f t="array" ref="Z35">COUNT(_xlfn._xlws.FILTER($H$7:$H$10000,($J$7:$J$10000=Y35)*($K$7:$K$10000&lt;&gt;"NULL")*($H$7:$H$10000 &gt;= ($G$1-5))))/5</f>
        <v>0.2</v>
      </c>
    </row>
    <row r="36" spans="1:26" x14ac:dyDescent="0.35">
      <c r="A36" t="s">
        <v>457</v>
      </c>
      <c r="B36" s="1">
        <v>1.1630050357089807</v>
      </c>
      <c r="C36" s="1">
        <f t="shared" si="3"/>
        <v>17</v>
      </c>
      <c r="D36" s="1">
        <f t="shared" ca="1" si="4"/>
        <v>127.06227286268518</v>
      </c>
      <c r="E36" s="1">
        <f t="shared" ca="1" si="5"/>
        <v>20</v>
      </c>
      <c r="F36" s="1"/>
      <c r="G36">
        <f t="shared" si="6"/>
        <v>0.6</v>
      </c>
      <c r="H36" s="65">
        <v>1</v>
      </c>
      <c r="I36" t="s">
        <v>34</v>
      </c>
      <c r="J36" t="s">
        <v>52</v>
      </c>
      <c r="K36">
        <v>8.3000000000000007</v>
      </c>
      <c r="L36" t="s">
        <v>3</v>
      </c>
      <c r="M36" t="s">
        <v>17</v>
      </c>
      <c r="N36">
        <f t="shared" si="1"/>
        <v>10.867092950069297</v>
      </c>
      <c r="O36">
        <f t="shared" si="2"/>
        <v>6.5899662142954849</v>
      </c>
      <c r="P36" s="67" cm="1">
        <f t="array" ref="P36">SUMPRODUCT((H36=$H$7:$H$10000)*(N36&lt;$N$7:$N$10000))+1</f>
        <v>20</v>
      </c>
      <c r="Q36" s="72"/>
      <c r="R36">
        <v>4</v>
      </c>
      <c r="S36" t="str">
        <v>OGDC</v>
      </c>
      <c r="T36" t="str">
        <v>Steffan Hughes</v>
      </c>
      <c r="U36" t="str">
        <v>NULL</v>
      </c>
      <c r="V36" t="str">
        <v>Home</v>
      </c>
      <c r="W36" t="str">
        <v>ARC</v>
      </c>
      <c r="X36">
        <v>11.00218909915351</v>
      </c>
      <c r="Y36" t="str">
        <v>Erich Storti</v>
      </c>
      <c r="Z36" s="1" cm="1">
        <f t="array" ref="Z36">COUNT(_xlfn._xlws.FILTER($H$7:$H$10000,($J$7:$J$10000=Y36)*($K$7:$K$10000&lt;&gt;"NULL")*($H$7:$H$10000 &gt;= ($G$1-5))))/5</f>
        <v>0.6</v>
      </c>
    </row>
    <row r="37" spans="1:26" x14ac:dyDescent="0.35">
      <c r="A37" t="s">
        <v>75</v>
      </c>
      <c r="B37" s="1">
        <v>0.97659491659452846</v>
      </c>
      <c r="C37" s="1">
        <f t="shared" si="3"/>
        <v>18</v>
      </c>
      <c r="D37" s="1">
        <f t="shared" ca="1" si="4"/>
        <v>126.77629578192315</v>
      </c>
      <c r="E37" s="1">
        <f t="shared" ca="1" si="5"/>
        <v>21</v>
      </c>
      <c r="F37" s="1"/>
      <c r="G37">
        <f t="shared" si="6"/>
        <v>0.2</v>
      </c>
      <c r="H37" s="65">
        <v>1</v>
      </c>
      <c r="I37" t="s">
        <v>23</v>
      </c>
      <c r="J37" t="s">
        <v>127</v>
      </c>
      <c r="K37">
        <v>8.1999999999999993</v>
      </c>
      <c r="L37" t="s">
        <v>9</v>
      </c>
      <c r="M37" t="s">
        <v>6</v>
      </c>
      <c r="N37">
        <f t="shared" si="1"/>
        <v>5.4726441204371072</v>
      </c>
      <c r="O37">
        <f t="shared" si="2"/>
        <v>7.4384700937862762</v>
      </c>
      <c r="P37" s="67" cm="1">
        <f t="array" ref="P37">SUMPRODUCT((H37=$H$7:$H$10000)*(N37&lt;$N$7:$N$10000))+1</f>
        <v>46</v>
      </c>
      <c r="Q37" s="72"/>
      <c r="R37">
        <v>4</v>
      </c>
      <c r="S37" t="str">
        <v>SEA</v>
      </c>
      <c r="T37" t="str">
        <v>Divan Rossouw</v>
      </c>
      <c r="U37" t="str">
        <v>NULL</v>
      </c>
      <c r="V37" t="str">
        <v>Home</v>
      </c>
      <c r="W37" t="str">
        <v>NEFJ</v>
      </c>
      <c r="X37">
        <v>10.969748513546342</v>
      </c>
      <c r="Y37" t="str">
        <v>Ethan Grayson</v>
      </c>
      <c r="Z37" s="1" cm="1">
        <f t="array" ref="Z37">COUNT(_xlfn._xlws.FILTER($H$7:$H$10000,($J$7:$J$10000=Y37)*($K$7:$K$10000&lt;&gt;"NULL")*($H$7:$H$10000 &gt;= ($G$1-5))))/5</f>
        <v>0.6</v>
      </c>
    </row>
    <row r="38" spans="1:26" x14ac:dyDescent="0.35">
      <c r="A38" t="s">
        <v>492</v>
      </c>
      <c r="B38" s="1">
        <v>0.93920075619228505</v>
      </c>
      <c r="C38" s="1">
        <f t="shared" si="3"/>
        <v>19</v>
      </c>
      <c r="D38" s="1">
        <f t="shared" ca="1" si="4"/>
        <v>135.69890241954158</v>
      </c>
      <c r="E38" s="1">
        <f t="shared" ca="1" si="5"/>
        <v>17</v>
      </c>
      <c r="F38" s="1"/>
      <c r="G38">
        <f t="shared" si="6"/>
        <v>0.2</v>
      </c>
      <c r="H38" s="65">
        <v>1</v>
      </c>
      <c r="I38" t="s">
        <v>34</v>
      </c>
      <c r="J38" t="s">
        <v>39</v>
      </c>
      <c r="K38">
        <v>8</v>
      </c>
      <c r="L38" t="s">
        <v>3</v>
      </c>
      <c r="M38" t="s">
        <v>17</v>
      </c>
      <c r="N38">
        <f t="shared" si="1"/>
        <v>9.3382046716652969</v>
      </c>
      <c r="O38">
        <f t="shared" si="2"/>
        <v>1.790791743266825</v>
      </c>
      <c r="P38" s="67" cm="1">
        <f t="array" ref="P38">SUMPRODUCT((H38=$H$7:$H$10000)*(N38&lt;$N$7:$N$10000))+1</f>
        <v>28</v>
      </c>
      <c r="Q38" s="72"/>
      <c r="R38">
        <v>4</v>
      </c>
      <c r="S38" t="str">
        <v>CHI</v>
      </c>
      <c r="T38" t="str">
        <v>Ben Pollack</v>
      </c>
      <c r="U38" t="str">
        <v>NULL</v>
      </c>
      <c r="V38" t="str">
        <v>Away</v>
      </c>
      <c r="W38" t="str">
        <v>MIA</v>
      </c>
      <c r="X38">
        <v>10.91789041872612</v>
      </c>
      <c r="Y38" t="str">
        <v>Ethan McVeigh</v>
      </c>
      <c r="Z38" s="1" cm="1">
        <f t="array" ref="Z38">COUNT(_xlfn._xlws.FILTER($H$7:$H$10000,($J$7:$J$10000=Y38)*($K$7:$K$10000&lt;&gt;"NULL")*($H$7:$H$10000 &gt;= ($G$1-5))))/5</f>
        <v>0.2</v>
      </c>
    </row>
    <row r="39" spans="1:26" x14ac:dyDescent="0.35">
      <c r="A39" t="s">
        <v>448</v>
      </c>
      <c r="B39" s="1">
        <v>0.79674831727971163</v>
      </c>
      <c r="C39" s="1">
        <f t="shared" si="3"/>
        <v>20</v>
      </c>
      <c r="D39" s="1">
        <f t="shared" ca="1" si="4"/>
        <v>118.21814797226897</v>
      </c>
      <c r="E39" s="1">
        <f t="shared" ca="1" si="5"/>
        <v>42</v>
      </c>
      <c r="F39" s="1"/>
      <c r="G39">
        <f t="shared" si="6"/>
        <v>0.6</v>
      </c>
      <c r="H39" s="65">
        <v>1</v>
      </c>
      <c r="I39" t="s">
        <v>2</v>
      </c>
      <c r="J39" t="s">
        <v>449</v>
      </c>
      <c r="K39">
        <v>7.7</v>
      </c>
      <c r="L39" t="s">
        <v>9</v>
      </c>
      <c r="M39" t="s">
        <v>36</v>
      </c>
      <c r="N39">
        <f t="shared" si="1"/>
        <v>6.276925172911886</v>
      </c>
      <c r="O39">
        <f t="shared" si="2"/>
        <v>2.0251419634918659</v>
      </c>
      <c r="P39" s="67" cm="1">
        <f t="array" ref="P39">SUMPRODUCT((H39=$H$7:$H$10000)*(N39&lt;$N$7:$N$10000))+1</f>
        <v>43</v>
      </c>
      <c r="Q39" s="72"/>
      <c r="R39">
        <v>4</v>
      </c>
      <c r="S39" t="str">
        <v>MIA</v>
      </c>
      <c r="T39" t="str">
        <v>Tomas Malanos</v>
      </c>
      <c r="U39" t="str">
        <v>NULL</v>
      </c>
      <c r="V39" t="str">
        <v>Home</v>
      </c>
      <c r="W39" t="str">
        <v>CHI</v>
      </c>
      <c r="X39">
        <v>10.867295859868696</v>
      </c>
      <c r="Y39" t="str">
        <v>Gonzalo Bertranou</v>
      </c>
      <c r="Z39" s="1" cm="1">
        <f t="array" ref="Z39">COUNT(_xlfn._xlws.FILTER($H$7:$H$10000,($J$7:$J$10000=Y39)*($K$7:$K$10000&lt;&gt;"NULL")*($H$7:$H$10000 &gt;= ($G$1-5))))/5</f>
        <v>0.4</v>
      </c>
    </row>
    <row r="40" spans="1:26" x14ac:dyDescent="0.35">
      <c r="A40" t="s">
        <v>67</v>
      </c>
      <c r="B40" s="1">
        <v>0.6986401674953876</v>
      </c>
      <c r="C40" s="1">
        <f t="shared" si="3"/>
        <v>21</v>
      </c>
      <c r="D40" s="1">
        <f t="shared" ca="1" si="4"/>
        <v>139.03880924969786</v>
      </c>
      <c r="E40" s="1">
        <f t="shared" ca="1" si="5"/>
        <v>14</v>
      </c>
      <c r="F40" s="1"/>
      <c r="G40">
        <f t="shared" si="6"/>
        <v>0.4</v>
      </c>
      <c r="H40" s="65">
        <v>1</v>
      </c>
      <c r="I40" t="s">
        <v>17</v>
      </c>
      <c r="J40" t="s">
        <v>450</v>
      </c>
      <c r="K40">
        <v>7.6</v>
      </c>
      <c r="L40" t="s">
        <v>9</v>
      </c>
      <c r="M40" t="s">
        <v>34</v>
      </c>
      <c r="N40">
        <f t="shared" si="1"/>
        <v>7.6634584124155154</v>
      </c>
      <c r="O40">
        <f t="shared" si="2"/>
        <v>4.0269701062976837E-3</v>
      </c>
      <c r="P40" s="67" cm="1">
        <f t="array" ref="P40">SUMPRODUCT((H40=$H$7:$H$10000)*(N40&lt;$N$7:$N$10000))+1</f>
        <v>37</v>
      </c>
      <c r="Q40" s="72"/>
      <c r="R40">
        <v>4</v>
      </c>
      <c r="S40" t="str">
        <v>MIA</v>
      </c>
      <c r="T40" t="str">
        <v>Tomás Inciarte</v>
      </c>
      <c r="U40" t="str">
        <v>NULL</v>
      </c>
      <c r="V40" t="str">
        <v>Home</v>
      </c>
      <c r="W40" t="str">
        <v>CHI</v>
      </c>
      <c r="X40">
        <v>10.69827301263401</v>
      </c>
      <c r="Y40" t="str">
        <v>Guiseppe du Toit</v>
      </c>
      <c r="Z40" s="1" cm="1">
        <f t="array" ref="Z40">COUNT(_xlfn._xlws.FILTER($H$7:$H$10000,($J$7:$J$10000=Y40)*($K$7:$K$10000&lt;&gt;"NULL")*($H$7:$H$10000 &gt;= ($G$1-5))))/5</f>
        <v>0.4</v>
      </c>
    </row>
    <row r="41" spans="1:26" x14ac:dyDescent="0.35">
      <c r="A41" t="s">
        <v>38</v>
      </c>
      <c r="B41" s="1">
        <v>0.58669414006625054</v>
      </c>
      <c r="C41" s="1">
        <f t="shared" si="3"/>
        <v>22</v>
      </c>
      <c r="D41" s="1">
        <f t="shared" ca="1" si="4"/>
        <v>121.48281114715633</v>
      </c>
      <c r="E41" s="1">
        <f t="shared" ca="1" si="5"/>
        <v>29</v>
      </c>
      <c r="F41" s="1"/>
      <c r="G41">
        <f t="shared" si="6"/>
        <v>0.6</v>
      </c>
      <c r="H41" s="65">
        <v>1</v>
      </c>
      <c r="I41" t="s">
        <v>6</v>
      </c>
      <c r="J41" t="s">
        <v>451</v>
      </c>
      <c r="K41">
        <v>7.5</v>
      </c>
      <c r="L41" t="s">
        <v>3</v>
      </c>
      <c r="M41" t="s">
        <v>23</v>
      </c>
      <c r="N41">
        <f t="shared" si="1"/>
        <v>11.026694951892685</v>
      </c>
      <c r="O41">
        <f t="shared" si="2"/>
        <v>12.437577283705345</v>
      </c>
      <c r="P41" s="67" cm="1">
        <f t="array" ref="P41">SUMPRODUCT((H41=$H$7:$H$10000)*(N41&lt;$N$7:$N$10000))+1</f>
        <v>18</v>
      </c>
      <c r="Q41" s="72"/>
      <c r="R41">
        <v>4</v>
      </c>
      <c r="S41" t="str">
        <v>MIA</v>
      </c>
      <c r="T41" t="str">
        <v>Tomás Cubelli</v>
      </c>
      <c r="U41" t="str">
        <v>NULL</v>
      </c>
      <c r="V41" t="str">
        <v>Home</v>
      </c>
      <c r="W41" t="str">
        <v>CHI</v>
      </c>
      <c r="X41">
        <v>10.527584374146013</v>
      </c>
      <c r="Y41" t="str">
        <v>Harrison Boyle</v>
      </c>
      <c r="Z41" s="1" cm="1">
        <f t="array" ref="Z41">COUNT(_xlfn._xlws.FILTER($H$7:$H$10000,($J$7:$J$10000=Y41)*($K$7:$K$10000&lt;&gt;"NULL")*($H$7:$H$10000 &gt;= ($G$1-5))))/5</f>
        <v>0.2</v>
      </c>
    </row>
    <row r="42" spans="1:26" x14ac:dyDescent="0.35">
      <c r="A42" t="s">
        <v>286</v>
      </c>
      <c r="B42" s="1">
        <v>0.51736052744346916</v>
      </c>
      <c r="C42" s="1">
        <f t="shared" si="3"/>
        <v>23</v>
      </c>
      <c r="D42" s="1">
        <f t="shared" ca="1" si="4"/>
        <v>119.96018327176456</v>
      </c>
      <c r="E42" s="1">
        <f t="shared" ca="1" si="5"/>
        <v>37</v>
      </c>
      <c r="F42" s="1"/>
      <c r="G42">
        <f t="shared" si="6"/>
        <v>0.2</v>
      </c>
      <c r="H42" s="65">
        <v>1</v>
      </c>
      <c r="I42" t="s">
        <v>14</v>
      </c>
      <c r="J42" t="s">
        <v>11</v>
      </c>
      <c r="K42">
        <v>7.2</v>
      </c>
      <c r="L42" t="s">
        <v>9</v>
      </c>
      <c r="M42" t="s">
        <v>4</v>
      </c>
      <c r="N42">
        <f t="shared" si="1"/>
        <v>2.9854287188070128</v>
      </c>
      <c r="O42">
        <f t="shared" si="2"/>
        <v>17.762611084256701</v>
      </c>
      <c r="P42" s="67" cm="1">
        <f t="array" ref="P42">SUMPRODUCT((H42=$H$7:$H$10000)*(N42&lt;$N$7:$N$10000))+1</f>
        <v>58</v>
      </c>
      <c r="Q42" s="72"/>
      <c r="R42">
        <v>4</v>
      </c>
      <c r="S42" t="str">
        <v>HOU</v>
      </c>
      <c r="T42" t="str">
        <v>Davy Coetzer</v>
      </c>
      <c r="U42" t="str">
        <v>NULL</v>
      </c>
      <c r="V42" t="str">
        <v>Away</v>
      </c>
      <c r="W42" t="str">
        <v>UTAH</v>
      </c>
      <c r="X42">
        <v>10.44990428563923</v>
      </c>
      <c r="Y42" t="str">
        <v>Isaac Olson</v>
      </c>
      <c r="Z42" s="1" cm="1">
        <f t="array" ref="Z42">COUNT(_xlfn._xlws.FILTER($H$7:$H$10000,($J$7:$J$10000=Y42)*($K$7:$K$10000&lt;&gt;"NULL")*($H$7:$H$10000 &gt;= ($G$1-5))))/5</f>
        <v>0.4</v>
      </c>
    </row>
    <row r="43" spans="1:26" x14ac:dyDescent="0.35">
      <c r="A43" t="s">
        <v>43</v>
      </c>
      <c r="B43" s="1">
        <v>0.48350462101030289</v>
      </c>
      <c r="C43" s="1">
        <f t="shared" si="3"/>
        <v>24</v>
      </c>
      <c r="D43" s="1">
        <f t="shared" ca="1" si="4"/>
        <v>120.85921223491245</v>
      </c>
      <c r="E43" s="1">
        <f t="shared" ca="1" si="5"/>
        <v>32</v>
      </c>
      <c r="F43" s="1"/>
      <c r="G43">
        <f t="shared" si="6"/>
        <v>0.2</v>
      </c>
      <c r="H43" s="65">
        <v>1</v>
      </c>
      <c r="I43" t="s">
        <v>24</v>
      </c>
      <c r="J43" t="s">
        <v>101</v>
      </c>
      <c r="K43">
        <v>7</v>
      </c>
      <c r="L43" t="s">
        <v>3</v>
      </c>
      <c r="M43" t="s">
        <v>7</v>
      </c>
      <c r="N43">
        <f t="shared" si="1"/>
        <v>7.8948293546481594</v>
      </c>
      <c r="O43">
        <f t="shared" si="2"/>
        <v>0.80071957394004145</v>
      </c>
      <c r="P43" s="67" cm="1">
        <f t="array" ref="P43">SUMPRODUCT((H43=$H$7:$H$10000)*(N43&lt;$N$7:$N$10000))+1</f>
        <v>35</v>
      </c>
      <c r="Q43" s="72"/>
      <c r="R43">
        <v>4</v>
      </c>
      <c r="S43" t="str">
        <v>HOU</v>
      </c>
      <c r="T43" t="str">
        <v>Jeremy Misailegalu</v>
      </c>
      <c r="U43" t="str">
        <v>NULL</v>
      </c>
      <c r="V43" t="str">
        <v>Away</v>
      </c>
      <c r="W43" t="str">
        <v>UTAH</v>
      </c>
      <c r="X43">
        <v>10.443517768419277</v>
      </c>
      <c r="Y43" t="str">
        <v>Isaac Te Tamaki</v>
      </c>
      <c r="Z43" s="1" cm="1">
        <f t="array" ref="Z43">COUNT(_xlfn._xlws.FILTER($H$7:$H$10000,($J$7:$J$10000=Y43)*($K$7:$K$10000&lt;&gt;"NULL")*($H$7:$H$10000 &gt;= ($G$1-5))))/5</f>
        <v>0.6</v>
      </c>
    </row>
    <row r="44" spans="1:26" x14ac:dyDescent="0.35">
      <c r="A44" t="s">
        <v>84</v>
      </c>
      <c r="B44" s="1">
        <v>0.48157989224091247</v>
      </c>
      <c r="C44" s="1">
        <f t="shared" si="3"/>
        <v>25</v>
      </c>
      <c r="D44" s="1">
        <f t="shared" ca="1" si="4"/>
        <v>125.24695655818421</v>
      </c>
      <c r="E44" s="1">
        <f t="shared" ca="1" si="5"/>
        <v>23</v>
      </c>
      <c r="F44" s="1"/>
      <c r="G44">
        <f t="shared" si="6"/>
        <v>0.4</v>
      </c>
      <c r="H44" s="65">
        <v>1</v>
      </c>
      <c r="I44" t="s">
        <v>4</v>
      </c>
      <c r="J44" t="s">
        <v>188</v>
      </c>
      <c r="K44">
        <v>6.9</v>
      </c>
      <c r="L44" t="s">
        <v>3</v>
      </c>
      <c r="M44" t="s">
        <v>14</v>
      </c>
      <c r="N44">
        <f t="shared" si="1"/>
        <v>6.7292527615271069</v>
      </c>
      <c r="O44">
        <f t="shared" si="2"/>
        <v>2.9154619446119134E-2</v>
      </c>
      <c r="P44" s="67" cm="1">
        <f t="array" ref="P44">SUMPRODUCT((H44=$H$7:$H$10000)*(N44&lt;$N$7:$N$10000))+1</f>
        <v>40</v>
      </c>
      <c r="Q44" s="72"/>
      <c r="R44">
        <v>4</v>
      </c>
      <c r="S44" t="str">
        <v>LA</v>
      </c>
      <c r="T44" t="str">
        <v>Gonzalo Bertranou</v>
      </c>
      <c r="U44" t="str">
        <v>NULL</v>
      </c>
      <c r="V44" t="str">
        <v>Away</v>
      </c>
      <c r="W44" t="str">
        <v>SDL</v>
      </c>
      <c r="X44">
        <v>10.380335394495935</v>
      </c>
      <c r="Y44" t="str">
        <v>Jack Shaw</v>
      </c>
      <c r="Z44" s="1" cm="1">
        <f t="array" ref="Z44">COUNT(_xlfn._xlws.FILTER($H$7:$H$10000,($J$7:$J$10000=Y44)*($K$7:$K$10000&lt;&gt;"NULL")*($H$7:$H$10000 &gt;= ($G$1-5))))/5</f>
        <v>0.2</v>
      </c>
    </row>
    <row r="45" spans="1:26" x14ac:dyDescent="0.35">
      <c r="A45" t="s">
        <v>194</v>
      </c>
      <c r="B45" s="1">
        <v>0.45051602463841472</v>
      </c>
      <c r="C45" s="1">
        <f t="shared" si="3"/>
        <v>26</v>
      </c>
      <c r="D45" s="1">
        <f t="shared" ca="1" si="4"/>
        <v>124.87419014695425</v>
      </c>
      <c r="E45" s="1">
        <f t="shared" ca="1" si="5"/>
        <v>24</v>
      </c>
      <c r="F45" s="1"/>
      <c r="G45">
        <f t="shared" si="6"/>
        <v>0.6</v>
      </c>
      <c r="H45" s="65">
        <v>1</v>
      </c>
      <c r="I45" t="s">
        <v>17</v>
      </c>
      <c r="J45" t="s">
        <v>81</v>
      </c>
      <c r="K45">
        <v>6.8</v>
      </c>
      <c r="L45" t="s">
        <v>9</v>
      </c>
      <c r="M45" t="s">
        <v>34</v>
      </c>
      <c r="N45">
        <f t="shared" si="1"/>
        <v>6.6453885122907161</v>
      </c>
      <c r="O45">
        <f t="shared" si="2"/>
        <v>2.3904712131677979E-2</v>
      </c>
      <c r="P45" s="67" cm="1">
        <f t="array" ref="P45">SUMPRODUCT((H45=$H$7:$H$10000)*(N45&lt;$N$7:$N$10000))+1</f>
        <v>41</v>
      </c>
      <c r="Q45" s="72"/>
      <c r="R45">
        <v>4</v>
      </c>
      <c r="S45" t="str">
        <v>CHI</v>
      </c>
      <c r="T45" t="str">
        <v>Bryce Campbell</v>
      </c>
      <c r="U45" t="str">
        <v>NULL</v>
      </c>
      <c r="V45" t="str">
        <v>Away</v>
      </c>
      <c r="W45" t="str">
        <v>MIA</v>
      </c>
      <c r="X45">
        <v>10.287004031474437</v>
      </c>
      <c r="Y45" t="str">
        <v>Jade Stighling</v>
      </c>
      <c r="Z45" s="1" cm="1">
        <f t="array" ref="Z45">COUNT(_xlfn._xlws.FILTER($H$7:$H$10000,($J$7:$J$10000=Y45)*($K$7:$K$10000&lt;&gt;"NULL")*($H$7:$H$10000 &gt;= ($G$1-5))))/5</f>
        <v>0.2</v>
      </c>
    </row>
    <row r="46" spans="1:26" x14ac:dyDescent="0.35">
      <c r="A46" t="s">
        <v>52</v>
      </c>
      <c r="B46" s="1">
        <v>0.43197439601722526</v>
      </c>
      <c r="C46" s="1">
        <f t="shared" si="3"/>
        <v>27</v>
      </c>
      <c r="D46" s="1">
        <f t="shared" ca="1" si="4"/>
        <v>124.3629589521807</v>
      </c>
      <c r="E46" s="1">
        <f t="shared" ca="1" si="5"/>
        <v>25</v>
      </c>
      <c r="F46" s="1"/>
      <c r="G46">
        <f t="shared" si="6"/>
        <v>0.4</v>
      </c>
      <c r="H46" s="65">
        <v>1</v>
      </c>
      <c r="I46" t="s">
        <v>36</v>
      </c>
      <c r="J46" t="s">
        <v>123</v>
      </c>
      <c r="K46">
        <v>6.7</v>
      </c>
      <c r="L46" t="s">
        <v>3</v>
      </c>
      <c r="M46" t="s">
        <v>2</v>
      </c>
      <c r="N46">
        <f t="shared" si="1"/>
        <v>3.5184790536870016</v>
      </c>
      <c r="O46">
        <f t="shared" si="2"/>
        <v>10.122075531828358</v>
      </c>
      <c r="P46" s="67" cm="1">
        <f t="array" ref="P46">SUMPRODUCT((H46=$H$7:$H$10000)*(N46&lt;$N$7:$N$10000))+1</f>
        <v>57</v>
      </c>
      <c r="Q46" s="72"/>
      <c r="R46">
        <v>4</v>
      </c>
      <c r="S46" t="str">
        <v>LA</v>
      </c>
      <c r="T46" t="str">
        <v>Jack Shaw</v>
      </c>
      <c r="U46" t="str">
        <v>NULL</v>
      </c>
      <c r="V46" t="str">
        <v>Away</v>
      </c>
      <c r="W46" t="str">
        <v>SDL</v>
      </c>
      <c r="X46">
        <v>10.125221182351401</v>
      </c>
      <c r="Y46" t="str">
        <v>James Vaifale</v>
      </c>
      <c r="Z46" s="1" cm="1">
        <f t="array" ref="Z46">COUNT(_xlfn._xlws.FILTER($H$7:$H$10000,($J$7:$J$10000=Y46)*($K$7:$K$10000&lt;&gt;"NULL")*($H$7:$H$10000 &gt;= ($G$1-5))))/5</f>
        <v>0.2</v>
      </c>
    </row>
    <row r="47" spans="1:26" x14ac:dyDescent="0.35">
      <c r="A47" t="s">
        <v>87</v>
      </c>
      <c r="B47" s="1">
        <v>0.40807906106541852</v>
      </c>
      <c r="C47" s="1">
        <f t="shared" si="3"/>
        <v>28</v>
      </c>
      <c r="D47" s="1">
        <f t="shared" ca="1" si="4"/>
        <v>113.94278615391175</v>
      </c>
      <c r="E47" s="1">
        <f t="shared" ca="1" si="5"/>
        <v>48</v>
      </c>
      <c r="F47" s="1"/>
      <c r="G47">
        <f t="shared" si="6"/>
        <v>0.4</v>
      </c>
      <c r="H47" s="65">
        <v>1</v>
      </c>
      <c r="I47" t="s">
        <v>7</v>
      </c>
      <c r="J47" t="s">
        <v>92</v>
      </c>
      <c r="K47">
        <v>6.5</v>
      </c>
      <c r="L47" t="s">
        <v>9</v>
      </c>
      <c r="M47" t="s">
        <v>24</v>
      </c>
      <c r="N47">
        <f t="shared" si="1"/>
        <v>4.2516586387040061</v>
      </c>
      <c r="O47">
        <f t="shared" si="2"/>
        <v>5.0550388769143231</v>
      </c>
      <c r="P47" s="67" cm="1">
        <f t="array" ref="P47">SUMPRODUCT((H47=$H$7:$H$10000)*(N47&lt;$N$7:$N$10000))+1</f>
        <v>51</v>
      </c>
      <c r="Q47" s="72"/>
      <c r="R47">
        <v>4</v>
      </c>
      <c r="S47" t="str">
        <v>OGDC</v>
      </c>
      <c r="T47" t="str">
        <v>Jason Robertson</v>
      </c>
      <c r="U47" t="str">
        <v>NULL</v>
      </c>
      <c r="V47" t="str">
        <v>Home</v>
      </c>
      <c r="W47" t="str">
        <v>ARC</v>
      </c>
      <c r="X47">
        <v>9.9816558594987814</v>
      </c>
      <c r="Y47" t="str">
        <v>Jason Emery</v>
      </c>
      <c r="Z47" s="1" cm="1">
        <f t="array" ref="Z47">COUNT(_xlfn._xlws.FILTER($H$7:$H$10000,($J$7:$J$10000=Y47)*($K$7:$K$10000&lt;&gt;"NULL")*($H$7:$H$10000 &gt;= ($G$1-5))))/5</f>
        <v>0.4</v>
      </c>
    </row>
    <row r="48" spans="1:26" x14ac:dyDescent="0.35">
      <c r="A48" t="s">
        <v>101</v>
      </c>
      <c r="B48" s="1">
        <v>0.30009163025179453</v>
      </c>
      <c r="C48" s="1">
        <f t="shared" si="3"/>
        <v>29</v>
      </c>
      <c r="D48" s="1">
        <f t="shared" ca="1" si="4"/>
        <v>123.0690974143148</v>
      </c>
      <c r="E48" s="1">
        <f t="shared" ca="1" si="5"/>
        <v>26</v>
      </c>
      <c r="F48" s="1"/>
      <c r="G48">
        <f t="shared" si="6"/>
        <v>0.4</v>
      </c>
      <c r="H48" s="65">
        <v>1</v>
      </c>
      <c r="I48" t="s">
        <v>2</v>
      </c>
      <c r="J48" t="s">
        <v>455</v>
      </c>
      <c r="K48">
        <v>6.4</v>
      </c>
      <c r="L48" t="s">
        <v>9</v>
      </c>
      <c r="M48" t="s">
        <v>36</v>
      </c>
      <c r="N48">
        <f t="shared" si="1"/>
        <v>4.3582382964024031</v>
      </c>
      <c r="O48">
        <f t="shared" si="2"/>
        <v>4.1687908542777627</v>
      </c>
      <c r="P48" s="67" cm="1">
        <f t="array" ref="P48">SUMPRODUCT((H48=$H$7:$H$10000)*(N48&lt;$N$7:$N$10000))+1</f>
        <v>50</v>
      </c>
      <c r="Q48" s="72"/>
      <c r="R48">
        <v>4</v>
      </c>
      <c r="S48" t="str">
        <v>SEA</v>
      </c>
      <c r="T48" t="str">
        <v>Mikaela Kruse</v>
      </c>
      <c r="U48" t="str">
        <v>NULL</v>
      </c>
      <c r="V48" t="str">
        <v>Home</v>
      </c>
      <c r="W48" t="str">
        <v>NEFJ</v>
      </c>
      <c r="X48">
        <v>9.9679830981771183</v>
      </c>
      <c r="Y48" t="str">
        <v>Jason Robertson</v>
      </c>
      <c r="Z48" s="1" cm="1">
        <f t="array" ref="Z48">COUNT(_xlfn._xlws.FILTER($H$7:$H$10000,($J$7:$J$10000=Y48)*($K$7:$K$10000&lt;&gt;"NULL")*($H$7:$H$10000 &gt;= ($G$1-5))))/5</f>
        <v>0.4</v>
      </c>
    </row>
    <row r="49" spans="1:26" x14ac:dyDescent="0.35">
      <c r="A49" t="s">
        <v>192</v>
      </c>
      <c r="B49" s="1">
        <v>0.27319613487825117</v>
      </c>
      <c r="C49" s="1">
        <f t="shared" si="3"/>
        <v>30</v>
      </c>
      <c r="D49" s="1">
        <f t="shared" ca="1" si="4"/>
        <v>122.61639807965197</v>
      </c>
      <c r="E49" s="1">
        <f t="shared" ca="1" si="5"/>
        <v>27</v>
      </c>
      <c r="F49" s="1"/>
      <c r="G49">
        <f t="shared" si="6"/>
        <v>0.6</v>
      </c>
      <c r="H49" s="65">
        <v>1</v>
      </c>
      <c r="I49" t="s">
        <v>14</v>
      </c>
      <c r="J49" t="s">
        <v>87</v>
      </c>
      <c r="K49">
        <v>6.2</v>
      </c>
      <c r="L49" t="s">
        <v>9</v>
      </c>
      <c r="M49" t="s">
        <v>4</v>
      </c>
      <c r="N49">
        <f t="shared" si="1"/>
        <v>8.8490535588788273</v>
      </c>
      <c r="O49">
        <f t="shared" si="2"/>
        <v>7.0174847578085791</v>
      </c>
      <c r="P49" s="67" cm="1">
        <f t="array" ref="P49">SUMPRODUCT((H49=$H$7:$H$10000)*(N49&lt;$N$7:$N$10000))+1</f>
        <v>31</v>
      </c>
      <c r="Q49" s="72"/>
      <c r="R49">
        <v>4</v>
      </c>
      <c r="S49" t="str">
        <v>NEFJ</v>
      </c>
      <c r="T49" t="str">
        <v>Wayne van der Bank</v>
      </c>
      <c r="U49" t="str">
        <v>NULL</v>
      </c>
      <c r="V49" t="str">
        <v>Away</v>
      </c>
      <c r="W49" t="str">
        <v>SEA</v>
      </c>
      <c r="X49">
        <v>9.9097124684127813</v>
      </c>
      <c r="Y49" t="str">
        <v>Jason Tidwell</v>
      </c>
      <c r="Z49" s="1" cm="1">
        <f t="array" ref="Z49">COUNT(_xlfn._xlws.FILTER($H$7:$H$10000,($J$7:$J$10000=Y49)*($K$7:$K$10000&lt;&gt;"NULL")*($H$7:$H$10000 &gt;= ($G$1-5))))/5</f>
        <v>0.6</v>
      </c>
    </row>
    <row r="50" spans="1:26" x14ac:dyDescent="0.35">
      <c r="A50" t="s">
        <v>46</v>
      </c>
      <c r="B50" s="1">
        <v>0.18579086618368512</v>
      </c>
      <c r="C50" s="1">
        <f t="shared" si="3"/>
        <v>31</v>
      </c>
      <c r="D50" s="1">
        <f t="shared" ca="1" si="4"/>
        <v>122.25807064268895</v>
      </c>
      <c r="E50" s="1">
        <f t="shared" ca="1" si="5"/>
        <v>28</v>
      </c>
      <c r="F50" s="1"/>
      <c r="G50">
        <f t="shared" si="6"/>
        <v>0.4</v>
      </c>
      <c r="H50" s="65">
        <v>1</v>
      </c>
      <c r="I50" t="s">
        <v>14</v>
      </c>
      <c r="J50" t="s">
        <v>285</v>
      </c>
      <c r="K50">
        <v>5.7</v>
      </c>
      <c r="L50" t="s">
        <v>9</v>
      </c>
      <c r="M50" t="s">
        <v>4</v>
      </c>
      <c r="N50">
        <f t="shared" si="1"/>
        <v>3.6353854975197333</v>
      </c>
      <c r="O50">
        <f t="shared" si="2"/>
        <v>4.2626330438518396</v>
      </c>
      <c r="P50" s="67" cm="1">
        <f t="array" ref="P50">SUMPRODUCT((H50=$H$7:$H$10000)*(N50&lt;$N$7:$N$10000))+1</f>
        <v>56</v>
      </c>
      <c r="Q50" s="72"/>
      <c r="R50">
        <v>4</v>
      </c>
      <c r="S50" t="str">
        <v>NEFJ</v>
      </c>
      <c r="T50" t="str">
        <v>Le Roux Malan</v>
      </c>
      <c r="U50" t="str">
        <v>NULL</v>
      </c>
      <c r="V50" t="str">
        <v>Away</v>
      </c>
      <c r="W50" t="str">
        <v>SEA</v>
      </c>
      <c r="X50">
        <v>9.7295085070789114</v>
      </c>
      <c r="Y50" t="str">
        <v>Jayson Potroz</v>
      </c>
      <c r="Z50" s="1" cm="1">
        <f t="array" ref="Z50">COUNT(_xlfn._xlws.FILTER($H$7:$H$10000,($J$7:$J$10000=Y50)*($K$7:$K$10000&lt;&gt;"NULL")*($H$7:$H$10000 &gt;= ($G$1-5))))/5</f>
        <v>0.2</v>
      </c>
    </row>
    <row r="51" spans="1:26" x14ac:dyDescent="0.35">
      <c r="A51" t="s">
        <v>454</v>
      </c>
      <c r="B51" s="1">
        <v>0.18483895336055797</v>
      </c>
      <c r="C51" s="1">
        <f t="shared" si="3"/>
        <v>32</v>
      </c>
      <c r="D51" s="1">
        <f t="shared" ca="1" si="4"/>
        <v>117.2752242231155</v>
      </c>
      <c r="E51" s="1">
        <f t="shared" ca="1" si="5"/>
        <v>43</v>
      </c>
      <c r="F51" s="1"/>
      <c r="G51">
        <f t="shared" si="6"/>
        <v>0.2</v>
      </c>
      <c r="H51" s="65">
        <v>1</v>
      </c>
      <c r="I51" t="s">
        <v>17</v>
      </c>
      <c r="J51" t="s">
        <v>16</v>
      </c>
      <c r="K51">
        <v>5.7</v>
      </c>
      <c r="L51" t="s">
        <v>9</v>
      </c>
      <c r="M51" t="s">
        <v>34</v>
      </c>
      <c r="N51">
        <f t="shared" si="1"/>
        <v>3.8927576127314891</v>
      </c>
      <c r="O51">
        <f t="shared" si="2"/>
        <v>3.2661250463399867</v>
      </c>
      <c r="P51" s="67" cm="1">
        <f t="array" ref="P51">SUMPRODUCT((H51=$H$7:$H$10000)*(N51&lt;$N$7:$N$10000))+1</f>
        <v>52</v>
      </c>
      <c r="Q51" s="72"/>
      <c r="R51">
        <v>4</v>
      </c>
      <c r="S51" t="str">
        <v>MIA</v>
      </c>
      <c r="T51" t="str">
        <v>Santiago Videla</v>
      </c>
      <c r="U51" t="str">
        <v>NULL</v>
      </c>
      <c r="V51" t="str">
        <v>Home</v>
      </c>
      <c r="W51" t="str">
        <v>CHI</v>
      </c>
      <c r="X51">
        <v>9.7275711144872297</v>
      </c>
      <c r="Y51" t="str">
        <v>Jeremiah Sio</v>
      </c>
      <c r="Z51" s="1" cm="1">
        <f t="array" ref="Z51">COUNT(_xlfn._xlws.FILTER($H$7:$H$10000,($J$7:$J$10000=Y51)*($K$7:$K$10000&lt;&gt;"NULL")*($H$7:$H$10000 &gt;= ($G$1-5))))/5</f>
        <v>0.2</v>
      </c>
    </row>
    <row r="52" spans="1:26" x14ac:dyDescent="0.35">
      <c r="A52" t="s">
        <v>83</v>
      </c>
      <c r="B52" s="1">
        <v>0.14648447550224983</v>
      </c>
      <c r="C52" s="1">
        <f t="shared" ref="C52:C83" si="7">RANK($B52,$B$20:$B$188,0)</f>
        <v>33</v>
      </c>
      <c r="D52" s="1">
        <f t="shared" ref="D52:D83" ca="1" si="8">SUMIF(R:V,$A52,V:V)</f>
        <v>111.0652457127169</v>
      </c>
      <c r="E52" s="1">
        <f t="shared" ref="E52:E83" ca="1" si="9">RANK($D52,$D$20:$D$188,0)</f>
        <v>50</v>
      </c>
      <c r="F52" s="1"/>
      <c r="G52">
        <f t="shared" ref="G52:G83" si="10">VLOOKUP($A52,$Y$7:$Z$1000,2,FALSE)</f>
        <v>0.6</v>
      </c>
      <c r="H52" s="65">
        <v>1</v>
      </c>
      <c r="I52" t="s">
        <v>24</v>
      </c>
      <c r="J52" t="s">
        <v>194</v>
      </c>
      <c r="K52">
        <v>5.6</v>
      </c>
      <c r="L52" t="s">
        <v>3</v>
      </c>
      <c r="M52" t="s">
        <v>7</v>
      </c>
      <c r="N52">
        <f t="shared" si="1"/>
        <v>8.0452537490347797</v>
      </c>
      <c r="O52">
        <f t="shared" si="2"/>
        <v>5.9792658971686476</v>
      </c>
      <c r="P52" s="67" cm="1">
        <f t="array" ref="P52">SUMPRODUCT((H52=$H$7:$H$10000)*(N52&lt;$N$7:$N$10000))+1</f>
        <v>34</v>
      </c>
      <c r="Q52" s="72"/>
      <c r="R52">
        <v>4</v>
      </c>
      <c r="S52" t="str">
        <v>UTAH</v>
      </c>
      <c r="T52" t="str">
        <v>D'Angelo Leuila</v>
      </c>
      <c r="U52" t="str">
        <v>NULL</v>
      </c>
      <c r="V52" t="str">
        <v>Home</v>
      </c>
      <c r="W52" t="str">
        <v>HOU</v>
      </c>
      <c r="X52">
        <v>9.7069651109269337</v>
      </c>
      <c r="Y52" t="str">
        <v>Jeremy Misailegalu</v>
      </c>
      <c r="Z52" s="1" cm="1">
        <f t="array" ref="Z52">COUNT(_xlfn._xlws.FILTER($H$7:$H$10000,($J$7:$J$10000=Y52)*($K$7:$K$10000&lt;&gt;"NULL")*($H$7:$H$10000 &gt;= ($G$1-5))))/5</f>
        <v>0.4</v>
      </c>
    </row>
    <row r="53" spans="1:26" x14ac:dyDescent="0.35">
      <c r="A53" t="s">
        <v>487</v>
      </c>
      <c r="B53" s="1">
        <v>0.13106878301710939</v>
      </c>
      <c r="C53" s="1">
        <f t="shared" si="7"/>
        <v>34</v>
      </c>
      <c r="D53" s="1">
        <f t="shared" ca="1" si="8"/>
        <v>121.04082324749857</v>
      </c>
      <c r="E53" s="1">
        <f t="shared" ca="1" si="9"/>
        <v>30</v>
      </c>
      <c r="F53" s="1"/>
      <c r="G53">
        <f t="shared" si="10"/>
        <v>0.2</v>
      </c>
      <c r="H53" s="65">
        <v>1</v>
      </c>
      <c r="I53" t="s">
        <v>23</v>
      </c>
      <c r="J53" t="s">
        <v>443</v>
      </c>
      <c r="K53">
        <v>5.6</v>
      </c>
      <c r="L53" t="s">
        <v>9</v>
      </c>
      <c r="M53" t="s">
        <v>6</v>
      </c>
      <c r="N53">
        <f t="shared" si="1"/>
        <v>6.0195482023043745</v>
      </c>
      <c r="O53">
        <f t="shared" si="2"/>
        <v>0.17602069405683263</v>
      </c>
      <c r="P53" s="67" cm="1">
        <f t="array" ref="P53">SUMPRODUCT((H53=$H$7:$H$10000)*(N53&lt;$N$7:$N$10000))+1</f>
        <v>45</v>
      </c>
      <c r="Q53" s="72"/>
      <c r="R53">
        <v>4</v>
      </c>
      <c r="S53" t="str">
        <v>NEFJ</v>
      </c>
      <c r="T53" t="str">
        <v>Paula Balekana</v>
      </c>
      <c r="U53" t="str">
        <v>NULL</v>
      </c>
      <c r="V53" t="str">
        <v>Away</v>
      </c>
      <c r="W53" t="str">
        <v>SEA</v>
      </c>
      <c r="X53">
        <v>9.6877063163729833</v>
      </c>
      <c r="Y53" t="str">
        <v>Joe Mano</v>
      </c>
      <c r="Z53" s="1" cm="1">
        <f t="array" ref="Z53">COUNT(_xlfn._xlws.FILTER($H$7:$H$10000,($J$7:$J$10000=Y53)*($K$7:$K$10000&lt;&gt;"NULL")*($H$7:$H$10000 &gt;= ($G$1-5))))/5</f>
        <v>0.4</v>
      </c>
    </row>
    <row r="54" spans="1:26" x14ac:dyDescent="0.35">
      <c r="A54" t="s">
        <v>496</v>
      </c>
      <c r="B54" s="1">
        <v>0.11608727747819572</v>
      </c>
      <c r="C54" s="1">
        <f t="shared" si="7"/>
        <v>35</v>
      </c>
      <c r="D54" s="1">
        <f t="shared" ca="1" si="8"/>
        <v>120.88820064825138</v>
      </c>
      <c r="E54" s="1">
        <f t="shared" ca="1" si="9"/>
        <v>31</v>
      </c>
      <c r="F54" s="1"/>
      <c r="G54">
        <f t="shared" si="10"/>
        <v>0.2</v>
      </c>
      <c r="H54" s="65">
        <v>1</v>
      </c>
      <c r="I54" t="s">
        <v>4</v>
      </c>
      <c r="J54" t="s">
        <v>452</v>
      </c>
      <c r="K54">
        <v>5.3</v>
      </c>
      <c r="L54" t="s">
        <v>3</v>
      </c>
      <c r="M54" t="s">
        <v>14</v>
      </c>
      <c r="N54">
        <f t="shared" si="1"/>
        <v>6.2818795138902219</v>
      </c>
      <c r="O54">
        <f t="shared" si="2"/>
        <v>0.96408737979729886</v>
      </c>
      <c r="P54" s="67" cm="1">
        <f t="array" ref="P54">SUMPRODUCT((H54=$H$7:$H$10000)*(N54&lt;$N$7:$N$10000))+1</f>
        <v>42</v>
      </c>
      <c r="Q54" s="72"/>
      <c r="R54">
        <v>4</v>
      </c>
      <c r="S54" t="str">
        <v>LA</v>
      </c>
      <c r="T54" t="str">
        <v>Seth Purdey</v>
      </c>
      <c r="U54" t="str">
        <v>NULL</v>
      </c>
      <c r="V54" t="str">
        <v>Away</v>
      </c>
      <c r="W54" t="str">
        <v>SDL</v>
      </c>
      <c r="X54">
        <v>9.6321308867671753</v>
      </c>
      <c r="Y54" t="str">
        <v>John Poland</v>
      </c>
      <c r="Z54" s="1" cm="1">
        <f t="array" ref="Z54">COUNT(_xlfn._xlws.FILTER($H$7:$H$10000,($J$7:$J$10000=Y54)*($K$7:$K$10000&lt;&gt;"NULL")*($H$7:$H$10000 &gt;= ($G$1-5))))/5</f>
        <v>0.4</v>
      </c>
    </row>
    <row r="55" spans="1:26" x14ac:dyDescent="0.35">
      <c r="A55" t="s">
        <v>196</v>
      </c>
      <c r="B55" s="1">
        <v>8.411549063646083E-2</v>
      </c>
      <c r="C55" s="1">
        <f t="shared" si="7"/>
        <v>36</v>
      </c>
      <c r="D55" s="1">
        <f t="shared" ca="1" si="8"/>
        <v>125.43787923287171</v>
      </c>
      <c r="E55" s="1">
        <f t="shared" ca="1" si="9"/>
        <v>22</v>
      </c>
      <c r="F55" s="1"/>
      <c r="G55">
        <f t="shared" si="10"/>
        <v>0.4</v>
      </c>
      <c r="H55" s="65">
        <v>1</v>
      </c>
      <c r="I55" t="s">
        <v>34</v>
      </c>
      <c r="J55" t="s">
        <v>440</v>
      </c>
      <c r="K55">
        <v>4.7</v>
      </c>
      <c r="L55" t="s">
        <v>3</v>
      </c>
      <c r="M55" t="s">
        <v>17</v>
      </c>
      <c r="N55">
        <f t="shared" si="1"/>
        <v>9.4332759403633375</v>
      </c>
      <c r="O55">
        <f t="shared" si="2"/>
        <v>22.403901127622436</v>
      </c>
      <c r="P55" s="67" cm="1">
        <f t="array" ref="P55">SUMPRODUCT((H55=$H$7:$H$10000)*(N55&lt;$N$7:$N$10000))+1</f>
        <v>27</v>
      </c>
      <c r="Q55" s="72"/>
      <c r="R55">
        <v>4</v>
      </c>
      <c r="S55" t="str">
        <v>CHI</v>
      </c>
      <c r="T55" t="str">
        <v>Mitch Short</v>
      </c>
      <c r="U55" t="str">
        <v>NULL</v>
      </c>
      <c r="V55" t="str">
        <v>Away</v>
      </c>
      <c r="W55" t="str">
        <v>MIA</v>
      </c>
      <c r="X55">
        <v>9.4203123161330584</v>
      </c>
      <c r="Y55" t="str">
        <v>Jordan Trainor</v>
      </c>
      <c r="Z55" s="1" cm="1">
        <f t="array" ref="Z55">COUNT(_xlfn._xlws.FILTER($H$7:$H$10000,($J$7:$J$10000=Y55)*($K$7:$K$10000&lt;&gt;"NULL")*($H$7:$H$10000 &gt;= ($G$1-5))))/5</f>
        <v>0.4</v>
      </c>
    </row>
    <row r="56" spans="1:26" x14ac:dyDescent="0.35">
      <c r="A56" t="s">
        <v>453</v>
      </c>
      <c r="B56" s="1">
        <v>7.4317317438627226E-2</v>
      </c>
      <c r="C56" s="1">
        <f t="shared" si="7"/>
        <v>37</v>
      </c>
      <c r="D56" s="1">
        <f t="shared" ca="1" si="8"/>
        <v>115.08670796171128</v>
      </c>
      <c r="E56" s="1">
        <f t="shared" ca="1" si="9"/>
        <v>45</v>
      </c>
      <c r="F56" s="1"/>
      <c r="G56">
        <f t="shared" si="10"/>
        <v>0.4</v>
      </c>
      <c r="H56" s="65">
        <v>1</v>
      </c>
      <c r="I56" t="s">
        <v>36</v>
      </c>
      <c r="J56" t="s">
        <v>334</v>
      </c>
      <c r="K56">
        <v>4.3</v>
      </c>
      <c r="L56" t="s">
        <v>3</v>
      </c>
      <c r="M56" t="s">
        <v>2</v>
      </c>
      <c r="N56">
        <f t="shared" si="1"/>
        <v>2.2392634288156783</v>
      </c>
      <c r="O56">
        <f t="shared" si="2"/>
        <v>4.2466352158165144</v>
      </c>
      <c r="P56" s="67" cm="1">
        <f t="array" ref="P56">SUMPRODUCT((H56=$H$7:$H$10000)*(N56&lt;$N$7:$N$10000))+1</f>
        <v>60</v>
      </c>
      <c r="Q56" s="72"/>
      <c r="R56">
        <v>4</v>
      </c>
      <c r="S56" t="str">
        <v>LA</v>
      </c>
      <c r="T56" t="str">
        <v>Cameron Gerlach</v>
      </c>
      <c r="U56" t="str">
        <v>NULL</v>
      </c>
      <c r="V56" t="str">
        <v>Away</v>
      </c>
      <c r="W56" t="str">
        <v>SDL</v>
      </c>
      <c r="X56">
        <v>9.3334652191174303</v>
      </c>
      <c r="Y56" t="str">
        <v>JP Du Plessis</v>
      </c>
      <c r="Z56" s="1" cm="1">
        <f t="array" ref="Z56">COUNT(_xlfn._xlws.FILTER($H$7:$H$10000,($J$7:$J$10000=Y56)*($K$7:$K$10000&lt;&gt;"NULL")*($H$7:$H$10000 &gt;= ($G$1-5))))/5</f>
        <v>0.4</v>
      </c>
    </row>
    <row r="57" spans="1:26" x14ac:dyDescent="0.35">
      <c r="A57" t="s">
        <v>447</v>
      </c>
      <c r="B57" s="1">
        <v>1.0999106829333605E-2</v>
      </c>
      <c r="C57" s="1">
        <f t="shared" si="7"/>
        <v>38</v>
      </c>
      <c r="D57" s="1">
        <f t="shared" ca="1" si="8"/>
        <v>130.7871165217052</v>
      </c>
      <c r="E57" s="1">
        <f t="shared" ca="1" si="9"/>
        <v>18</v>
      </c>
      <c r="F57" s="1"/>
      <c r="G57">
        <f t="shared" si="10"/>
        <v>0.4</v>
      </c>
      <c r="H57" s="65">
        <v>1</v>
      </c>
      <c r="I57" t="s">
        <v>23</v>
      </c>
      <c r="J57" t="s">
        <v>456</v>
      </c>
      <c r="K57">
        <v>4.3</v>
      </c>
      <c r="L57" t="s">
        <v>9</v>
      </c>
      <c r="M57" t="s">
        <v>6</v>
      </c>
      <c r="N57">
        <f t="shared" si="1"/>
        <v>4.7099096018732656</v>
      </c>
      <c r="O57">
        <f t="shared" si="2"/>
        <v>0.16802588170789923</v>
      </c>
      <c r="P57" s="67" cm="1">
        <f t="array" ref="P57">SUMPRODUCT((H57=$H$7:$H$10000)*(N57&lt;$N$7:$N$10000))+1</f>
        <v>48</v>
      </c>
      <c r="Q57" s="72"/>
      <c r="R57">
        <v>4</v>
      </c>
      <c r="S57" t="str">
        <v>SEA</v>
      </c>
      <c r="T57" t="str">
        <v>JP Smith</v>
      </c>
      <c r="U57" t="str">
        <v>NULL</v>
      </c>
      <c r="V57" t="str">
        <v>Home</v>
      </c>
      <c r="W57" t="str">
        <v>NEFJ</v>
      </c>
      <c r="X57">
        <v>8.9499131980523181</v>
      </c>
      <c r="Y57" t="str">
        <v>JP Smith</v>
      </c>
      <c r="Z57" s="1" cm="1">
        <f t="array" ref="Z57">COUNT(_xlfn._xlws.FILTER($H$7:$H$10000,($J$7:$J$10000=Y57)*($K$7:$K$10000&lt;&gt;"NULL")*($H$7:$H$10000 &gt;= ($G$1-5))))/5</f>
        <v>0.4</v>
      </c>
    </row>
    <row r="58" spans="1:26" x14ac:dyDescent="0.35">
      <c r="A58" t="s">
        <v>71</v>
      </c>
      <c r="B58" s="1">
        <v>7.1347479514126061E-3</v>
      </c>
      <c r="C58" s="1">
        <f t="shared" si="7"/>
        <v>39</v>
      </c>
      <c r="D58" s="1">
        <f t="shared" ca="1" si="8"/>
        <v>115.10765783389311</v>
      </c>
      <c r="E58" s="1">
        <f t="shared" ca="1" si="9"/>
        <v>44</v>
      </c>
      <c r="F58" s="1"/>
      <c r="G58">
        <f t="shared" si="10"/>
        <v>0.6</v>
      </c>
      <c r="H58" s="65">
        <v>1</v>
      </c>
      <c r="I58" t="s">
        <v>17</v>
      </c>
      <c r="J58" t="s">
        <v>76</v>
      </c>
      <c r="K58">
        <v>3.8</v>
      </c>
      <c r="L58" t="s">
        <v>9</v>
      </c>
      <c r="M58" t="s">
        <v>34</v>
      </c>
      <c r="N58">
        <f t="shared" si="1"/>
        <v>1.6174017767944511</v>
      </c>
      <c r="O58">
        <f t="shared" si="2"/>
        <v>4.7637350039400186</v>
      </c>
      <c r="P58" s="67" cm="1">
        <f t="array" ref="P58">SUMPRODUCT((H58=$H$7:$H$10000)*(N58&lt;$N$7:$N$10000))+1</f>
        <v>61</v>
      </c>
      <c r="Q58" s="72"/>
      <c r="R58">
        <v>4</v>
      </c>
      <c r="S58" t="str">
        <v>LA</v>
      </c>
      <c r="T58" t="str">
        <v>Nick Chan</v>
      </c>
      <c r="U58" t="str">
        <v>NULL</v>
      </c>
      <c r="V58" t="str">
        <v>Away</v>
      </c>
      <c r="W58" t="str">
        <v>SDL</v>
      </c>
      <c r="X58">
        <v>8.7221702661310836</v>
      </c>
      <c r="Y58" t="str">
        <v>Julian Dominguez</v>
      </c>
      <c r="Z58" s="1" cm="1">
        <f t="array" ref="Z58">COUNT(_xlfn._xlws.FILTER($H$7:$H$10000,($J$7:$J$10000=Y58)*($K$7:$K$10000&lt;&gt;"NULL")*($H$7:$H$10000 &gt;= ($G$1-5))))/5</f>
        <v>0.2</v>
      </c>
    </row>
    <row r="59" spans="1:26" x14ac:dyDescent="0.35">
      <c r="A59" t="s">
        <v>32</v>
      </c>
      <c r="B59" s="1">
        <v>5.5869048498141645E-3</v>
      </c>
      <c r="C59" s="1">
        <f t="shared" si="7"/>
        <v>40</v>
      </c>
      <c r="D59" s="1">
        <f t="shared" ca="1" si="8"/>
        <v>120.09562310668248</v>
      </c>
      <c r="E59" s="1">
        <f t="shared" ca="1" si="9"/>
        <v>35</v>
      </c>
      <c r="F59" s="1"/>
      <c r="G59">
        <f t="shared" si="10"/>
        <v>0.4</v>
      </c>
      <c r="H59" s="65">
        <v>1</v>
      </c>
      <c r="I59" t="s">
        <v>36</v>
      </c>
      <c r="J59" t="s">
        <v>48</v>
      </c>
      <c r="K59">
        <v>3.7</v>
      </c>
      <c r="L59" t="s">
        <v>3</v>
      </c>
      <c r="M59" t="s">
        <v>2</v>
      </c>
      <c r="N59">
        <f t="shared" si="1"/>
        <v>3.766041955057279</v>
      </c>
      <c r="O59">
        <f t="shared" si="2"/>
        <v>4.3615398277876373E-3</v>
      </c>
      <c r="P59" s="67" cm="1">
        <f t="array" ref="P59">SUMPRODUCT((H59=$H$7:$H$10000)*(N59&lt;$N$7:$N$10000))+1</f>
        <v>54</v>
      </c>
      <c r="Q59" s="72"/>
      <c r="R59">
        <v>4</v>
      </c>
      <c r="S59" t="str">
        <v>LA</v>
      </c>
      <c r="T59" t="str">
        <v>Andrew Coe</v>
      </c>
      <c r="U59" t="str">
        <v>NULL</v>
      </c>
      <c r="V59" t="str">
        <v>Away</v>
      </c>
      <c r="W59" t="str">
        <v>SDL</v>
      </c>
      <c r="X59">
        <v>8.6812367210878829</v>
      </c>
      <c r="Y59" t="str">
        <v>Julian Roberts</v>
      </c>
      <c r="Z59" s="1" cm="1">
        <f t="array" ref="Z59">COUNT(_xlfn._xlws.FILTER($H$7:$H$10000,($J$7:$J$10000=Y59)*($K$7:$K$10000&lt;&gt;"NULL")*($H$7:$H$10000 &gt;= ($G$1-5))))/5</f>
        <v>0.2</v>
      </c>
    </row>
    <row r="60" spans="1:26" x14ac:dyDescent="0.35">
      <c r="A60" t="s">
        <v>78</v>
      </c>
      <c r="B60" s="1">
        <v>7.4823073145997268E-4</v>
      </c>
      <c r="C60" s="1">
        <f t="shared" si="7"/>
        <v>41</v>
      </c>
      <c r="D60" s="1">
        <f t="shared" ca="1" si="8"/>
        <v>115.03740614447364</v>
      </c>
      <c r="E60" s="1">
        <f t="shared" ca="1" si="9"/>
        <v>46</v>
      </c>
      <c r="F60" s="1"/>
      <c r="G60">
        <f t="shared" si="10"/>
        <v>0.4</v>
      </c>
      <c r="H60" s="65">
        <v>1</v>
      </c>
      <c r="I60" t="s">
        <v>6</v>
      </c>
      <c r="J60" t="s">
        <v>66</v>
      </c>
      <c r="K60">
        <v>3.7</v>
      </c>
      <c r="L60" t="s">
        <v>3</v>
      </c>
      <c r="M60" t="s">
        <v>23</v>
      </c>
      <c r="N60">
        <f t="shared" si="1"/>
        <v>5.0147917223827436</v>
      </c>
      <c r="O60">
        <f t="shared" si="2"/>
        <v>1.728677273246181</v>
      </c>
      <c r="P60" s="67" cm="1">
        <f t="array" ref="P60">SUMPRODUCT((H60=$H$7:$H$10000)*(N60&lt;$N$7:$N$10000))+1</f>
        <v>47</v>
      </c>
      <c r="Q60" s="72"/>
      <c r="R60">
        <v>4</v>
      </c>
      <c r="S60" t="str">
        <v>HOU</v>
      </c>
      <c r="T60" t="str">
        <v>AJ Alatimu</v>
      </c>
      <c r="U60" t="str">
        <v>NULL</v>
      </c>
      <c r="V60" t="str">
        <v>Away</v>
      </c>
      <c r="W60" t="str">
        <v>UTAH</v>
      </c>
      <c r="X60">
        <v>8.1144936913855226</v>
      </c>
      <c r="Y60" t="str">
        <v>Junior Gafa</v>
      </c>
      <c r="Z60" s="1" cm="1">
        <f t="array" ref="Z60">COUNT(_xlfn._xlws.FILTER($H$7:$H$10000,($J$7:$J$10000=Y60)*($K$7:$K$10000&lt;&gt;"NULL")*($H$7:$H$10000 &gt;= ($G$1-5))))/5</f>
        <v>0.6</v>
      </c>
    </row>
    <row r="61" spans="1:26" x14ac:dyDescent="0.35">
      <c r="A61" t="s">
        <v>91</v>
      </c>
      <c r="B61" s="1">
        <v>-3.6215285856113763E-2</v>
      </c>
      <c r="C61" s="1">
        <f t="shared" si="7"/>
        <v>42</v>
      </c>
      <c r="D61" s="1">
        <f t="shared" ca="1" si="8"/>
        <v>119.59399681821137</v>
      </c>
      <c r="E61" s="1">
        <f t="shared" ca="1" si="9"/>
        <v>38</v>
      </c>
      <c r="F61" s="1"/>
      <c r="G61">
        <f t="shared" si="10"/>
        <v>0.4</v>
      </c>
      <c r="H61" s="65">
        <v>1</v>
      </c>
      <c r="I61" t="s">
        <v>2</v>
      </c>
      <c r="J61" t="s">
        <v>441</v>
      </c>
      <c r="K61">
        <v>3.6</v>
      </c>
      <c r="L61" t="s">
        <v>9</v>
      </c>
      <c r="M61" t="s">
        <v>36</v>
      </c>
      <c r="N61">
        <f t="shared" si="1"/>
        <v>2.8606601938093412</v>
      </c>
      <c r="O61">
        <f t="shared" si="2"/>
        <v>0.54662334901804099</v>
      </c>
      <c r="P61" s="67" cm="1">
        <f t="array" ref="P61">SUMPRODUCT((H61=$H$7:$H$10000)*(N61&lt;$N$7:$N$10000))+1</f>
        <v>59</v>
      </c>
      <c r="Q61" s="72"/>
      <c r="R61">
        <v>4</v>
      </c>
      <c r="S61" t="str">
        <v>ARC</v>
      </c>
      <c r="T61" t="str">
        <v>Erich Storti</v>
      </c>
      <c r="U61" t="str">
        <v>NULL</v>
      </c>
      <c r="V61" t="str">
        <v>Away</v>
      </c>
      <c r="W61" t="str">
        <v>OGDC</v>
      </c>
      <c r="X61">
        <v>7.6802890898531002</v>
      </c>
      <c r="Y61" t="str">
        <v>Karl Keane</v>
      </c>
      <c r="Z61" s="1" cm="1">
        <f t="array" ref="Z61">COUNT(_xlfn._xlws.FILTER($H$7:$H$10000,($J$7:$J$10000=Y61)*($K$7:$K$10000&lt;&gt;"NULL")*($H$7:$H$10000 &gt;= ($G$1-5))))/5</f>
        <v>0.6</v>
      </c>
    </row>
    <row r="62" spans="1:26" x14ac:dyDescent="0.35">
      <c r="A62" t="s">
        <v>439</v>
      </c>
      <c r="B62" s="1">
        <v>-3.9619855470887914E-2</v>
      </c>
      <c r="C62" s="1">
        <f t="shared" si="7"/>
        <v>43</v>
      </c>
      <c r="D62" s="1">
        <f t="shared" ca="1" si="8"/>
        <v>118.99255958564261</v>
      </c>
      <c r="E62" s="1">
        <f t="shared" ca="1" si="9"/>
        <v>39</v>
      </c>
      <c r="F62" s="1"/>
      <c r="G62">
        <f t="shared" si="10"/>
        <v>0.4</v>
      </c>
      <c r="H62" s="65">
        <v>1</v>
      </c>
      <c r="I62" t="s">
        <v>4</v>
      </c>
      <c r="J62" t="s">
        <v>457</v>
      </c>
      <c r="K62">
        <v>3.5</v>
      </c>
      <c r="L62" t="s">
        <v>3</v>
      </c>
      <c r="M62" t="s">
        <v>14</v>
      </c>
      <c r="N62">
        <f t="shared" si="1"/>
        <v>12.154195028033158</v>
      </c>
      <c r="O62">
        <f t="shared" si="2"/>
        <v>74.895091583233821</v>
      </c>
      <c r="P62" s="67" cm="1">
        <f t="array" ref="P62">SUMPRODUCT((H62=$H$7:$H$10000)*(N62&lt;$N$7:$N$10000))+1</f>
        <v>14</v>
      </c>
      <c r="Q62" s="72"/>
      <c r="R62">
        <v>4</v>
      </c>
      <c r="S62" t="str">
        <v>SEA</v>
      </c>
      <c r="T62" t="str">
        <v>Lauina Futi</v>
      </c>
      <c r="U62" t="str">
        <v>NULL</v>
      </c>
      <c r="V62" t="str">
        <v>Home</v>
      </c>
      <c r="W62" t="str">
        <v>NEFJ</v>
      </c>
      <c r="X62">
        <v>7.5550373547366352</v>
      </c>
      <c r="Y62" t="str">
        <v>Killian Coghlan</v>
      </c>
      <c r="Z62" s="1" cm="1">
        <f t="array" ref="Z62">COUNT(_xlfn._xlws.FILTER($H$7:$H$10000,($J$7:$J$10000=Y62)*($K$7:$K$10000&lt;&gt;"NULL")*($H$7:$H$10000 &gt;= ($G$1-5))))/5</f>
        <v>0.2</v>
      </c>
    </row>
    <row r="63" spans="1:26" x14ac:dyDescent="0.35">
      <c r="A63" t="s">
        <v>74</v>
      </c>
      <c r="B63" s="1">
        <v>-0.19805002100031674</v>
      </c>
      <c r="C63" s="1">
        <f t="shared" si="7"/>
        <v>44</v>
      </c>
      <c r="D63" s="1">
        <f t="shared" ca="1" si="8"/>
        <v>112.09066723888292</v>
      </c>
      <c r="E63" s="1">
        <f t="shared" ca="1" si="9"/>
        <v>49</v>
      </c>
      <c r="F63" s="1"/>
      <c r="G63">
        <f t="shared" si="10"/>
        <v>0.4</v>
      </c>
      <c r="H63" s="65">
        <v>1</v>
      </c>
      <c r="I63" t="s">
        <v>2</v>
      </c>
      <c r="J63" t="s">
        <v>44</v>
      </c>
      <c r="K63">
        <v>3.3</v>
      </c>
      <c r="L63" t="s">
        <v>9</v>
      </c>
      <c r="M63" t="s">
        <v>36</v>
      </c>
      <c r="N63">
        <f t="shared" si="1"/>
        <v>3.7273519091507201</v>
      </c>
      <c r="O63">
        <f t="shared" si="2"/>
        <v>0.18262965425476549</v>
      </c>
      <c r="P63" s="67" cm="1">
        <f t="array" ref="P63">SUMPRODUCT((H63=$H$7:$H$10000)*(N63&lt;$N$7:$N$10000))+1</f>
        <v>55</v>
      </c>
      <c r="Q63" s="72"/>
      <c r="R63">
        <v>4</v>
      </c>
      <c r="S63" t="str">
        <v>CHI</v>
      </c>
      <c r="T63" t="str">
        <v>Noah Brown</v>
      </c>
      <c r="U63" t="str">
        <v>NULL</v>
      </c>
      <c r="V63" t="str">
        <v>Away</v>
      </c>
      <c r="W63" t="str">
        <v>MIA</v>
      </c>
      <c r="X63">
        <v>7.4884650797931318</v>
      </c>
      <c r="Y63" t="str">
        <v>Kyle Brown</v>
      </c>
      <c r="Z63" s="1" cm="1">
        <f t="array" ref="Z63">COUNT(_xlfn._xlws.FILTER($H$7:$H$10000,($J$7:$J$10000=Y63)*($K$7:$K$10000&lt;&gt;"NULL")*($H$7:$H$10000 &gt;= ($G$1-5))))/5</f>
        <v>0.4</v>
      </c>
    </row>
    <row r="64" spans="1:26" x14ac:dyDescent="0.35">
      <c r="A64" t="s">
        <v>477</v>
      </c>
      <c r="B64" s="1">
        <v>-0.35592663833256616</v>
      </c>
      <c r="C64" s="1">
        <f t="shared" si="7"/>
        <v>45</v>
      </c>
      <c r="D64" s="1">
        <f t="shared" ca="1" si="8"/>
        <v>114.00222079993947</v>
      </c>
      <c r="E64" s="1">
        <f t="shared" ca="1" si="9"/>
        <v>47</v>
      </c>
      <c r="F64" s="1"/>
      <c r="G64">
        <f t="shared" si="10"/>
        <v>0.4</v>
      </c>
      <c r="H64" s="65">
        <v>1</v>
      </c>
      <c r="I64" t="s">
        <v>4</v>
      </c>
      <c r="J64" t="s">
        <v>125</v>
      </c>
      <c r="K64">
        <v>3.1</v>
      </c>
      <c r="L64" t="s">
        <v>3</v>
      </c>
      <c r="M64" t="s">
        <v>14</v>
      </c>
      <c r="N64">
        <f t="shared" si="1"/>
        <v>1.251678830497708</v>
      </c>
      <c r="O64">
        <f t="shared" si="2"/>
        <v>3.4162911456303209</v>
      </c>
      <c r="P64" s="67" cm="1">
        <f t="array" ref="P64">SUMPRODUCT((H64=$H$7:$H$10000)*(N64&lt;$N$7:$N$10000))+1</f>
        <v>62</v>
      </c>
      <c r="Q64" s="72"/>
      <c r="R64">
        <v>4</v>
      </c>
      <c r="S64" t="str">
        <v>ARC</v>
      </c>
      <c r="T64" t="str">
        <v>Mitch Wilson</v>
      </c>
      <c r="U64" t="str">
        <v>NULL</v>
      </c>
      <c r="V64" t="str">
        <v>Away</v>
      </c>
      <c r="W64" t="str">
        <v>OGDC</v>
      </c>
      <c r="X64">
        <v>7.2916198336388076</v>
      </c>
      <c r="Y64" t="str">
        <v>Lauina Futi</v>
      </c>
      <c r="Z64" s="1" cm="1">
        <f t="array" ref="Z64">COUNT(_xlfn._xlws.FILTER($H$7:$H$10000,($J$7:$J$10000=Y64)*($K$7:$K$10000&lt;&gt;"NULL")*($H$7:$H$10000 &gt;= ($G$1-5))))/5</f>
        <v>0.2</v>
      </c>
    </row>
    <row r="65" spans="1:26" x14ac:dyDescent="0.35">
      <c r="A65" t="s">
        <v>497</v>
      </c>
      <c r="B65" s="1">
        <v>-0.36530226131253879</v>
      </c>
      <c r="C65" s="1">
        <f t="shared" si="7"/>
        <v>46</v>
      </c>
      <c r="D65" s="1">
        <f t="shared" ca="1" si="8"/>
        <v>120.04486620948371</v>
      </c>
      <c r="E65" s="1">
        <f t="shared" ca="1" si="9"/>
        <v>36</v>
      </c>
      <c r="F65" s="1"/>
      <c r="G65">
        <f t="shared" si="10"/>
        <v>0.2</v>
      </c>
      <c r="H65" s="65">
        <v>1</v>
      </c>
      <c r="I65" t="s">
        <v>14</v>
      </c>
      <c r="J65" t="s">
        <v>83</v>
      </c>
      <c r="K65">
        <v>3</v>
      </c>
      <c r="L65" t="s">
        <v>9</v>
      </c>
      <c r="M65" t="s">
        <v>4</v>
      </c>
      <c r="N65">
        <f t="shared" si="1"/>
        <v>8.587458973315659</v>
      </c>
      <c r="O65">
        <f t="shared" si="2"/>
        <v>31.219697778485678</v>
      </c>
      <c r="P65" s="67" cm="1">
        <f t="array" ref="P65">SUMPRODUCT((H65=$H$7:$H$10000)*(N65&lt;$N$7:$N$10000))+1</f>
        <v>33</v>
      </c>
      <c r="Q65" s="72"/>
      <c r="R65">
        <v>4</v>
      </c>
      <c r="S65" t="str">
        <v>CHI</v>
      </c>
      <c r="T65" t="str">
        <v>Mark O'Keeffe</v>
      </c>
      <c r="U65" t="str">
        <v>NULL</v>
      </c>
      <c r="V65" t="str">
        <v>Away</v>
      </c>
      <c r="W65" t="str">
        <v>MIA</v>
      </c>
      <c r="X65">
        <v>7.228648525453794</v>
      </c>
      <c r="Y65" t="str">
        <v>Le Roux Malan</v>
      </c>
      <c r="Z65" s="1" cm="1">
        <f t="array" ref="Z65">COUNT(_xlfn._xlws.FILTER($H$7:$H$10000,($J$7:$J$10000=Y65)*($K$7:$K$10000&lt;&gt;"NULL")*($H$7:$H$10000 &gt;= ($G$1-5))))/5</f>
        <v>0.4</v>
      </c>
    </row>
    <row r="66" spans="1:26" x14ac:dyDescent="0.35">
      <c r="A66" t="s">
        <v>451</v>
      </c>
      <c r="B66" s="1">
        <v>-0.42645599962578945</v>
      </c>
      <c r="C66" s="1">
        <f t="shared" si="7"/>
        <v>47</v>
      </c>
      <c r="D66" s="1">
        <f t="shared" ca="1" si="8"/>
        <v>109.93968478727933</v>
      </c>
      <c r="E66" s="1">
        <f t="shared" ca="1" si="9"/>
        <v>52</v>
      </c>
      <c r="F66" s="1"/>
      <c r="G66">
        <f t="shared" si="10"/>
        <v>0.4</v>
      </c>
      <c r="H66" s="65">
        <v>1</v>
      </c>
      <c r="I66" t="s">
        <v>24</v>
      </c>
      <c r="J66" t="s">
        <v>402</v>
      </c>
      <c r="K66">
        <v>2.6</v>
      </c>
      <c r="L66" t="s">
        <v>3</v>
      </c>
      <c r="M66" t="s">
        <v>7</v>
      </c>
      <c r="N66">
        <f t="shared" si="1"/>
        <v>3.8636932465834604</v>
      </c>
      <c r="O66">
        <f t="shared" si="2"/>
        <v>1.5969206214606462</v>
      </c>
      <c r="P66" s="67" cm="1">
        <f t="array" ref="P66">SUMPRODUCT((H66=$H$7:$H$10000)*(N66&lt;$N$7:$N$10000))+1</f>
        <v>53</v>
      </c>
      <c r="Q66" s="72"/>
      <c r="R66">
        <v>4</v>
      </c>
      <c r="S66" t="str">
        <v>CHI</v>
      </c>
      <c r="T66" t="str">
        <v>Tim Swiel</v>
      </c>
      <c r="U66" t="str">
        <v>NULL</v>
      </c>
      <c r="V66" t="str">
        <v>Away</v>
      </c>
      <c r="W66" t="str">
        <v>MIA</v>
      </c>
      <c r="X66">
        <v>7.2185611835421275</v>
      </c>
      <c r="Y66" t="str">
        <v>Lincoln McClutchie</v>
      </c>
      <c r="Z66" s="1" cm="1">
        <f t="array" ref="Z66">COUNT(_xlfn._xlws.FILTER($H$7:$H$10000,($J$7:$J$10000=Y66)*($K$7:$K$10000&lt;&gt;"NULL")*($H$7:$H$10000 &gt;= ($G$1-5))))/5</f>
        <v>0.6</v>
      </c>
    </row>
    <row r="67" spans="1:26" x14ac:dyDescent="0.35">
      <c r="A67" t="s">
        <v>64</v>
      </c>
      <c r="B67" s="1">
        <v>-0.46738954466899008</v>
      </c>
      <c r="C67" s="1">
        <f t="shared" si="7"/>
        <v>48</v>
      </c>
      <c r="D67" s="1">
        <f t="shared" ca="1" si="8"/>
        <v>109.44848224676093</v>
      </c>
      <c r="E67" s="1">
        <f t="shared" ca="1" si="9"/>
        <v>53</v>
      </c>
      <c r="F67" s="1"/>
      <c r="G67">
        <f t="shared" si="10"/>
        <v>0.2</v>
      </c>
      <c r="H67" s="65">
        <v>1</v>
      </c>
      <c r="I67" t="s">
        <v>7</v>
      </c>
      <c r="J67" t="s">
        <v>19</v>
      </c>
      <c r="K67">
        <v>2.6</v>
      </c>
      <c r="L67" t="s">
        <v>9</v>
      </c>
      <c r="M67" t="s">
        <v>24</v>
      </c>
      <c r="N67">
        <f t="shared" si="1"/>
        <v>6.0356535175564821</v>
      </c>
      <c r="O67">
        <f t="shared" si="2"/>
        <v>11.803715092698228</v>
      </c>
      <c r="P67" s="67" cm="1">
        <f t="array" ref="P67">SUMPRODUCT((H67=$H$7:$H$10000)*(N67&lt;$N$7:$N$10000))+1</f>
        <v>44</v>
      </c>
      <c r="Q67" s="72"/>
      <c r="R67">
        <v>4</v>
      </c>
      <c r="S67" t="str">
        <v>UTAH</v>
      </c>
      <c r="T67" t="str">
        <v>Jordan Trainor</v>
      </c>
      <c r="U67" t="str">
        <v>NULL</v>
      </c>
      <c r="V67" t="str">
        <v>Home</v>
      </c>
      <c r="W67" t="str">
        <v>HOU</v>
      </c>
      <c r="X67">
        <v>7.2044709707964989</v>
      </c>
      <c r="Y67" t="str">
        <v>Line Latu</v>
      </c>
      <c r="Z67" s="1" cm="1">
        <f t="array" ref="Z67">COUNT(_xlfn._xlws.FILTER($H$7:$H$10000,($J$7:$J$10000=Y67)*($K$7:$K$10000&lt;&gt;"NULL")*($H$7:$H$10000 &gt;= ($G$1-5))))/5</f>
        <v>0.6</v>
      </c>
    </row>
    <row r="68" spans="1:26" x14ac:dyDescent="0.35">
      <c r="A68" t="s">
        <v>37</v>
      </c>
      <c r="B68" s="1">
        <v>-0.48340243797213173</v>
      </c>
      <c r="C68" s="1">
        <f t="shared" si="7"/>
        <v>49</v>
      </c>
      <c r="D68" s="1">
        <f t="shared" ca="1" si="8"/>
        <v>118.6276640895686</v>
      </c>
      <c r="E68" s="1">
        <f t="shared" ca="1" si="9"/>
        <v>40</v>
      </c>
      <c r="F68" s="1"/>
      <c r="G68">
        <f t="shared" si="10"/>
        <v>0.4</v>
      </c>
      <c r="H68" s="65">
        <v>1</v>
      </c>
      <c r="I68" t="s">
        <v>17</v>
      </c>
      <c r="J68" t="s">
        <v>458</v>
      </c>
      <c r="K68">
        <v>2.4</v>
      </c>
      <c r="L68" t="s">
        <v>9</v>
      </c>
      <c r="M68" t="s">
        <v>34</v>
      </c>
      <c r="N68">
        <f t="shared" si="1"/>
        <v>0.99137189855935759</v>
      </c>
      <c r="O68">
        <f t="shared" si="2"/>
        <v>1.9842331281682686</v>
      </c>
      <c r="P68" s="67" cm="1">
        <f t="array" ref="P68">SUMPRODUCT((H68=$H$7:$H$10000)*(N68&lt;$N$7:$N$10000))+1</f>
        <v>63</v>
      </c>
      <c r="Q68" s="72"/>
      <c r="R68">
        <v>4</v>
      </c>
      <c r="S68" t="str">
        <v>ARC</v>
      </c>
      <c r="T68" t="str">
        <v>Line Latu</v>
      </c>
      <c r="U68" t="str">
        <v>NULL</v>
      </c>
      <c r="V68" t="str">
        <v>Away</v>
      </c>
      <c r="W68" t="str">
        <v>OGDC</v>
      </c>
      <c r="X68">
        <v>7.0300252480756384</v>
      </c>
      <c r="Y68" t="str">
        <v>Logan Crowley</v>
      </c>
      <c r="Z68" s="1" cm="1">
        <f t="array" ref="Z68">COUNT(_xlfn._xlws.FILTER($H$7:$H$10000,($J$7:$J$10000=Y68)*($K$7:$K$10000&lt;&gt;"NULL")*($H$7:$H$10000 &gt;= ($G$1-5))))/5</f>
        <v>0.4</v>
      </c>
    </row>
    <row r="69" spans="1:26" x14ac:dyDescent="0.35">
      <c r="A69" t="s">
        <v>449</v>
      </c>
      <c r="B69" s="1">
        <v>-0.57227548439420328</v>
      </c>
      <c r="C69" s="1">
        <f t="shared" si="7"/>
        <v>50</v>
      </c>
      <c r="D69" s="1">
        <f t="shared" ca="1" si="8"/>
        <v>120.70029430819687</v>
      </c>
      <c r="E69" s="1">
        <f t="shared" ca="1" si="9"/>
        <v>33</v>
      </c>
      <c r="F69" s="1"/>
      <c r="G69">
        <f t="shared" si="10"/>
        <v>0.6</v>
      </c>
      <c r="H69" s="65">
        <v>1</v>
      </c>
      <c r="I69" t="s">
        <v>2</v>
      </c>
      <c r="J69" t="s">
        <v>12</v>
      </c>
      <c r="K69">
        <v>2.2999999999999998</v>
      </c>
      <c r="L69" t="s">
        <v>9</v>
      </c>
      <c r="M69" t="s">
        <v>36</v>
      </c>
      <c r="N69">
        <f t="shared" si="1"/>
        <v>0.6689964031300768</v>
      </c>
      <c r="O69">
        <f t="shared" si="2"/>
        <v>2.6601727330026264</v>
      </c>
      <c r="P69" s="67" cm="1">
        <f t="array" ref="P69">SUMPRODUCT((H69=$H$7:$H$10000)*(N69&lt;$N$7:$N$10000))+1</f>
        <v>66</v>
      </c>
      <c r="Q69" s="72"/>
      <c r="R69">
        <v>4</v>
      </c>
      <c r="S69" t="str">
        <v>MIA</v>
      </c>
      <c r="T69" t="str">
        <v>Matias Orlando</v>
      </c>
      <c r="U69" t="str">
        <v>NULL</v>
      </c>
      <c r="V69" t="str">
        <v>Home</v>
      </c>
      <c r="W69" t="str">
        <v>CHI</v>
      </c>
      <c r="X69">
        <v>6.8361597518039972</v>
      </c>
      <c r="Y69" t="str">
        <v>Luke Campbell</v>
      </c>
      <c r="Z69" s="1" cm="1">
        <f t="array" ref="Z69">COUNT(_xlfn._xlws.FILTER($H$7:$H$10000,($J$7:$J$10000=Y69)*($K$7:$K$10000&lt;&gt;"NULL")*($H$7:$H$10000 &gt;= ($G$1-5))))/5</f>
        <v>0.4</v>
      </c>
    </row>
    <row r="70" spans="1:26" x14ac:dyDescent="0.35">
      <c r="A70" t="s">
        <v>438</v>
      </c>
      <c r="B70" s="1">
        <v>-0.76338039601703356</v>
      </c>
      <c r="C70" s="1">
        <f t="shared" si="7"/>
        <v>51</v>
      </c>
      <c r="D70" s="1">
        <f t="shared" ca="1" si="8"/>
        <v>101.05673212600475</v>
      </c>
      <c r="E70" s="1">
        <f t="shared" ca="1" si="9"/>
        <v>59</v>
      </c>
      <c r="F70" s="1"/>
      <c r="G70">
        <f t="shared" si="10"/>
        <v>0.6</v>
      </c>
      <c r="H70" s="65">
        <v>1</v>
      </c>
      <c r="I70" t="s">
        <v>24</v>
      </c>
      <c r="J70" t="s">
        <v>459</v>
      </c>
      <c r="K70">
        <v>2.2000000000000002</v>
      </c>
      <c r="L70" t="s">
        <v>3</v>
      </c>
      <c r="M70" t="s">
        <v>7</v>
      </c>
      <c r="N70">
        <f t="shared" si="1"/>
        <v>0.73479976631311938</v>
      </c>
      <c r="O70">
        <f t="shared" si="2"/>
        <v>2.1468117247960903</v>
      </c>
      <c r="P70" s="67" cm="1">
        <f t="array" ref="P70">SUMPRODUCT((H70=$H$7:$H$10000)*(N70&lt;$N$7:$N$10000))+1</f>
        <v>65</v>
      </c>
      <c r="Q70" s="72"/>
      <c r="R70">
        <v>4</v>
      </c>
      <c r="S70" t="str">
        <v>HOU</v>
      </c>
      <c r="T70" t="str">
        <v>Rufus McLean</v>
      </c>
      <c r="U70" t="str">
        <v>NULL</v>
      </c>
      <c r="V70" t="str">
        <v>Away</v>
      </c>
      <c r="W70" t="str">
        <v>UTAH</v>
      </c>
      <c r="X70">
        <v>6.6351513271359135</v>
      </c>
      <c r="Y70" t="str">
        <v>Luke Carty</v>
      </c>
      <c r="Z70" s="1" cm="1">
        <f t="array" ref="Z70">COUNT(_xlfn._xlws.FILTER($H$7:$H$10000,($J$7:$J$10000=Y70)*($K$7:$K$10000&lt;&gt;"NULL")*($H$7:$H$10000 &gt;= ($G$1-5))))/5</f>
        <v>0.2</v>
      </c>
    </row>
    <row r="71" spans="1:26" x14ac:dyDescent="0.35">
      <c r="A71" t="s">
        <v>96</v>
      </c>
      <c r="B71" s="1">
        <v>-0.83963311512967231</v>
      </c>
      <c r="C71" s="1">
        <f t="shared" si="7"/>
        <v>52</v>
      </c>
      <c r="D71" s="1">
        <f t="shared" ca="1" si="8"/>
        <v>109.3924004697372</v>
      </c>
      <c r="E71" s="1">
        <f t="shared" ca="1" si="9"/>
        <v>54</v>
      </c>
      <c r="F71" s="1"/>
      <c r="G71">
        <f t="shared" si="10"/>
        <v>0.6</v>
      </c>
      <c r="H71" s="65">
        <v>1</v>
      </c>
      <c r="I71" t="s">
        <v>36</v>
      </c>
      <c r="J71" t="s">
        <v>73</v>
      </c>
      <c r="K71">
        <v>0.9</v>
      </c>
      <c r="L71" t="s">
        <v>3</v>
      </c>
      <c r="M71" t="s">
        <v>2</v>
      </c>
      <c r="N71">
        <f t="shared" si="1"/>
        <v>0.40914584942488474</v>
      </c>
      <c r="O71">
        <f t="shared" si="2"/>
        <v>0.24093779713681795</v>
      </c>
      <c r="P71" s="67" cm="1">
        <f t="array" ref="P71">SUMPRODUCT((H71=$H$7:$H$10000)*(N71&lt;$N$7:$N$10000))+1</f>
        <v>68</v>
      </c>
      <c r="Q71" s="72"/>
      <c r="R71">
        <v>4</v>
      </c>
      <c r="S71" t="str">
        <v>HOU</v>
      </c>
      <c r="T71" t="str">
        <v>Max Schumacher</v>
      </c>
      <c r="U71" t="str">
        <v>NULL</v>
      </c>
      <c r="V71" t="str">
        <v>Away</v>
      </c>
      <c r="W71" t="str">
        <v>UTAH</v>
      </c>
      <c r="X71">
        <v>6.488318166972932</v>
      </c>
      <c r="Y71" t="str">
        <v>Marcel Brache</v>
      </c>
      <c r="Z71" s="1" cm="1">
        <f t="array" ref="Z71">COUNT(_xlfn._xlws.FILTER($H$7:$H$10000,($J$7:$J$10000=Y71)*($K$7:$K$10000&lt;&gt;"NULL")*($H$7:$H$10000 &gt;= ($G$1-5))))/5</f>
        <v>0.2</v>
      </c>
    </row>
    <row r="72" spans="1:26" x14ac:dyDescent="0.35">
      <c r="A72" t="s">
        <v>440</v>
      </c>
      <c r="B72" s="1">
        <v>-1.0018426136887353</v>
      </c>
      <c r="C72" s="1">
        <f t="shared" si="7"/>
        <v>53</v>
      </c>
      <c r="D72" s="1">
        <f t="shared" ca="1" si="8"/>
        <v>108.59097184541514</v>
      </c>
      <c r="E72" s="1">
        <f t="shared" ca="1" si="9"/>
        <v>55</v>
      </c>
      <c r="F72" s="1"/>
      <c r="G72">
        <f t="shared" si="10"/>
        <v>0.6</v>
      </c>
      <c r="H72" s="65">
        <v>1</v>
      </c>
      <c r="I72" t="s">
        <v>14</v>
      </c>
      <c r="J72" t="s">
        <v>460</v>
      </c>
      <c r="K72">
        <v>0.7</v>
      </c>
      <c r="L72" t="s">
        <v>9</v>
      </c>
      <c r="M72" t="s">
        <v>4</v>
      </c>
      <c r="N72">
        <f t="shared" ref="N72:N135" si="11">VLOOKUP($L72,$F$3:$G$4,2,FALSE)+VLOOKUP($J72,$A$20:$B$131,2,FALSE)+VLOOKUP($M72,$A$6:$B$16,2,FALSE)</f>
        <v>-1.033388047821445</v>
      </c>
      <c r="O72">
        <f t="shared" ref="O72:O133" si="12">IFERROR(($K72-$N72)^2,"")</f>
        <v>3.0046341243302401</v>
      </c>
      <c r="P72" s="67" cm="1">
        <f t="array" ref="P72">SUMPRODUCT((H72=$H$7:$H$10000)*(N72&lt;$N$7:$N$10000))+1</f>
        <v>70</v>
      </c>
      <c r="Q72" s="72"/>
      <c r="R72">
        <v>4</v>
      </c>
      <c r="S72" t="str">
        <v>SEA</v>
      </c>
      <c r="T72" t="str">
        <v>Dan Kriel</v>
      </c>
      <c r="U72" t="str">
        <v>NULL</v>
      </c>
      <c r="V72" t="str">
        <v>Home</v>
      </c>
      <c r="W72" t="str">
        <v>NEFJ</v>
      </c>
      <c r="X72">
        <v>6.1972822984930902</v>
      </c>
      <c r="Y72" t="str">
        <v>Marcos Young</v>
      </c>
      <c r="Z72" s="1" cm="1">
        <f t="array" ref="Z72">COUNT(_xlfn._xlws.FILTER($H$7:$H$10000,($J$7:$J$10000=Y72)*($K$7:$K$10000&lt;&gt;"NULL")*($H$7:$H$10000 &gt;= ($G$1-5))))/5</f>
        <v>0.4</v>
      </c>
    </row>
    <row r="73" spans="1:26" x14ac:dyDescent="0.35">
      <c r="A73" t="s">
        <v>77</v>
      </c>
      <c r="B73" s="1">
        <v>-1.0095341328253953</v>
      </c>
      <c r="C73" s="1">
        <f t="shared" si="7"/>
        <v>54</v>
      </c>
      <c r="D73" s="1">
        <f t="shared" ca="1" si="8"/>
        <v>118.54071764584847</v>
      </c>
      <c r="E73" s="1">
        <f t="shared" ca="1" si="9"/>
        <v>41</v>
      </c>
      <c r="F73" s="1"/>
      <c r="G73">
        <f t="shared" si="10"/>
        <v>0.4</v>
      </c>
      <c r="H73" s="65">
        <v>1</v>
      </c>
      <c r="I73" t="s">
        <v>2</v>
      </c>
      <c r="J73" t="s">
        <v>444</v>
      </c>
      <c r="K73">
        <v>0.6</v>
      </c>
      <c r="L73" t="s">
        <v>9</v>
      </c>
      <c r="M73" t="s">
        <v>36</v>
      </c>
      <c r="N73">
        <f t="shared" si="11"/>
        <v>0.65890906121841031</v>
      </c>
      <c r="O73">
        <f t="shared" si="12"/>
        <v>3.4702774936344158E-3</v>
      </c>
      <c r="P73" s="67" cm="1">
        <f t="array" ref="P73">SUMPRODUCT((H73=$H$7:$H$10000)*(N73&lt;$N$7:$N$10000))+1</f>
        <v>67</v>
      </c>
      <c r="Q73" s="72"/>
      <c r="R73">
        <v>4</v>
      </c>
      <c r="S73" t="str">
        <v>ARC</v>
      </c>
      <c r="T73" t="str">
        <v>Karl Keane</v>
      </c>
      <c r="U73" t="str">
        <v>NULL</v>
      </c>
      <c r="V73" t="str">
        <v>Away</v>
      </c>
      <c r="W73" t="str">
        <v>OGDC</v>
      </c>
      <c r="X73">
        <v>6.1201603765563553</v>
      </c>
      <c r="Y73" t="str">
        <v>Mark O'Keeffe</v>
      </c>
      <c r="Z73" s="1" cm="1">
        <f t="array" ref="Z73">COUNT(_xlfn._xlws.FILTER($H$7:$H$10000,($J$7:$J$10000=Y73)*($K$7:$K$10000&lt;&gt;"NULL")*($H$7:$H$10000 &gt;= ($G$1-5))))/5</f>
        <v>0.2</v>
      </c>
    </row>
    <row r="74" spans="1:26" x14ac:dyDescent="0.35">
      <c r="A74" t="s">
        <v>1</v>
      </c>
      <c r="B74" s="1">
        <v>-1.0242385406801475</v>
      </c>
      <c r="C74" s="1">
        <f t="shared" si="7"/>
        <v>55</v>
      </c>
      <c r="D74" s="1">
        <f t="shared" ca="1" si="8"/>
        <v>103.00259352240477</v>
      </c>
      <c r="E74" s="1">
        <f t="shared" ca="1" si="9"/>
        <v>58</v>
      </c>
      <c r="F74" s="1"/>
      <c r="G74">
        <f t="shared" si="10"/>
        <v>0.4</v>
      </c>
      <c r="H74" s="65">
        <v>1</v>
      </c>
      <c r="I74" t="s">
        <v>23</v>
      </c>
      <c r="J74" t="s">
        <v>340</v>
      </c>
      <c r="K74">
        <v>-0.2</v>
      </c>
      <c r="L74" t="s">
        <v>9</v>
      </c>
      <c r="M74" t="s">
        <v>6</v>
      </c>
      <c r="N74">
        <f t="shared" si="11"/>
        <v>4.4046661730642374</v>
      </c>
      <c r="O74">
        <f t="shared" si="12"/>
        <v>21.202950565362052</v>
      </c>
      <c r="P74" s="67" cm="1">
        <f t="array" ref="P74">SUMPRODUCT((H74=$H$7:$H$10000)*(N74&lt;$N$7:$N$10000))+1</f>
        <v>49</v>
      </c>
      <c r="Q74" s="72"/>
      <c r="R74">
        <v>4</v>
      </c>
      <c r="S74" t="str">
        <v>MIA</v>
      </c>
      <c r="T74" t="str">
        <v>Guiseppe du Toit</v>
      </c>
      <c r="U74" t="str">
        <v>NULL</v>
      </c>
      <c r="V74" t="str">
        <v>Home</v>
      </c>
      <c r="W74" t="str">
        <v>CHI</v>
      </c>
      <c r="X74">
        <v>6.029861405887706</v>
      </c>
      <c r="Y74" t="str">
        <v>Martin Elias</v>
      </c>
      <c r="Z74" s="1" cm="1">
        <f t="array" ref="Z74">COUNT(_xlfn._xlws.FILTER($H$7:$H$10000,($J$7:$J$10000=Y74)*($K$7:$K$10000&lt;&gt;"NULL")*($H$7:$H$10000 &gt;= ($G$1-5))))/5</f>
        <v>0.6</v>
      </c>
    </row>
    <row r="75" spans="1:26" x14ac:dyDescent="0.35">
      <c r="A75" t="s">
        <v>39</v>
      </c>
      <c r="B75" s="1">
        <v>-1.0969138823867761</v>
      </c>
      <c r="C75" s="1">
        <f t="shared" si="7"/>
        <v>56</v>
      </c>
      <c r="D75" s="1">
        <f t="shared" ca="1" si="8"/>
        <v>107.54518788973668</v>
      </c>
      <c r="E75" s="1">
        <f t="shared" ca="1" si="9"/>
        <v>56</v>
      </c>
      <c r="F75" s="1"/>
      <c r="G75">
        <f t="shared" si="10"/>
        <v>0.4</v>
      </c>
      <c r="H75" s="65">
        <v>1</v>
      </c>
      <c r="I75" t="s">
        <v>7</v>
      </c>
      <c r="J75" t="s">
        <v>126</v>
      </c>
      <c r="K75">
        <v>-0.3</v>
      </c>
      <c r="L75" t="s">
        <v>9</v>
      </c>
      <c r="M75" t="s">
        <v>24</v>
      </c>
      <c r="N75">
        <f t="shared" si="11"/>
        <v>-0.24265705940080196</v>
      </c>
      <c r="O75">
        <f t="shared" si="12"/>
        <v>3.2882128365631542E-3</v>
      </c>
      <c r="P75" s="67" cm="1">
        <f t="array" ref="P75">SUMPRODUCT((H75=$H$7:$H$10000)*(N75&lt;$N$7:$N$10000))+1</f>
        <v>69</v>
      </c>
      <c r="Q75" s="72"/>
      <c r="R75">
        <v>4</v>
      </c>
      <c r="S75" t="str">
        <v>CHI</v>
      </c>
      <c r="T75" t="str">
        <v>Julian Dominguez</v>
      </c>
      <c r="U75" t="str">
        <v>NULL</v>
      </c>
      <c r="V75" t="str">
        <v>Away</v>
      </c>
      <c r="W75" t="str">
        <v>MIA</v>
      </c>
      <c r="X75">
        <v>5.8490317957354581</v>
      </c>
      <c r="Y75" t="str">
        <v>Matias Jensen</v>
      </c>
      <c r="Z75" s="1" cm="1">
        <f t="array" ref="Z75">COUNT(_xlfn._xlws.FILTER($H$7:$H$10000,($J$7:$J$10000=Y75)*($K$7:$K$10000&lt;&gt;"NULL")*($H$7:$H$10000 &gt;= ($G$1-5))))/5</f>
        <v>0.2</v>
      </c>
    </row>
    <row r="76" spans="1:26" x14ac:dyDescent="0.35">
      <c r="A76" t="s">
        <v>63</v>
      </c>
      <c r="B76" s="1">
        <v>-1.4635445201911188</v>
      </c>
      <c r="C76" s="1">
        <f t="shared" si="7"/>
        <v>57</v>
      </c>
      <c r="D76" s="1">
        <f t="shared" ca="1" si="8"/>
        <v>110.00506587863387</v>
      </c>
      <c r="E76" s="1">
        <f t="shared" ca="1" si="9"/>
        <v>51</v>
      </c>
      <c r="F76" s="1"/>
      <c r="G76">
        <f t="shared" si="10"/>
        <v>0.4</v>
      </c>
      <c r="H76" s="65">
        <v>1</v>
      </c>
      <c r="I76" t="s">
        <v>2</v>
      </c>
      <c r="J76" t="s">
        <v>90</v>
      </c>
      <c r="K76">
        <v>-9.8000000000000007</v>
      </c>
      <c r="L76" t="s">
        <v>9</v>
      </c>
      <c r="M76" t="s">
        <v>36</v>
      </c>
      <c r="N76">
        <f t="shared" si="11"/>
        <v>0.92881295746941461</v>
      </c>
      <c r="O76">
        <f t="shared" si="12"/>
        <v>115.10742747636363</v>
      </c>
      <c r="P76" s="67" cm="1">
        <f t="array" ref="P76">SUMPRODUCT((H76=$H$7:$H$10000)*(N76&lt;$N$7:$N$10000))+1</f>
        <v>64</v>
      </c>
      <c r="Q76" s="72"/>
      <c r="R76">
        <v>4</v>
      </c>
      <c r="S76" t="str">
        <v>NEFJ</v>
      </c>
      <c r="T76" t="str">
        <v>Killian Coghlan</v>
      </c>
      <c r="U76" t="str">
        <v>NULL</v>
      </c>
      <c r="V76" t="str">
        <v>Away</v>
      </c>
      <c r="W76" t="str">
        <v>SEA</v>
      </c>
      <c r="X76">
        <v>5.3428553794818683</v>
      </c>
      <c r="Y76" t="str">
        <v>Matias Orlando</v>
      </c>
      <c r="Z76" s="1" cm="1">
        <f t="array" ref="Z76">COUNT(_xlfn._xlws.FILTER($H$7:$H$10000,($J$7:$J$10000=Y76)*($K$7:$K$10000&lt;&gt;"NULL")*($H$7:$H$10000 &gt;= ($G$1-5))))/5</f>
        <v>0.4</v>
      </c>
    </row>
    <row r="77" spans="1:26" x14ac:dyDescent="0.35">
      <c r="A77" t="s">
        <v>450</v>
      </c>
      <c r="B77" s="1">
        <v>-1.4851678533413577</v>
      </c>
      <c r="C77" s="1">
        <f t="shared" si="7"/>
        <v>58</v>
      </c>
      <c r="D77" s="1">
        <f t="shared" ca="1" si="8"/>
        <v>106.60647910513788</v>
      </c>
      <c r="E77" s="1">
        <f t="shared" ca="1" si="9"/>
        <v>57</v>
      </c>
      <c r="F77" s="1"/>
      <c r="G77">
        <f t="shared" si="10"/>
        <v>0.4</v>
      </c>
      <c r="H77" s="65">
        <v>2</v>
      </c>
      <c r="I77" t="s">
        <v>4</v>
      </c>
      <c r="J77" t="s">
        <v>457</v>
      </c>
      <c r="K77">
        <v>24.2</v>
      </c>
      <c r="L77" t="s">
        <v>9</v>
      </c>
      <c r="M77" t="s">
        <v>24</v>
      </c>
      <c r="N77">
        <f t="shared" si="11"/>
        <v>14.571857815338786</v>
      </c>
      <c r="O77">
        <f t="shared" si="12"/>
        <v>92.7011219280528</v>
      </c>
      <c r="P77" s="67" cm="1">
        <f t="array" ref="P77">SUMPRODUCT((H77=$H$7:$H$10000)*(N77&lt;$N$7:$N$10000))+1</f>
        <v>4</v>
      </c>
      <c r="Q77" s="72"/>
      <c r="R77">
        <v>4</v>
      </c>
      <c r="S77" t="str">
        <v>HOU</v>
      </c>
      <c r="T77" t="str">
        <v>Tautalatasi Tasi</v>
      </c>
      <c r="U77" t="str">
        <v>NULL</v>
      </c>
      <c r="V77" t="str">
        <v>Away</v>
      </c>
      <c r="W77" t="str">
        <v>UTAH</v>
      </c>
      <c r="X77">
        <v>5.2129654307313702</v>
      </c>
      <c r="Y77" t="str">
        <v>Max Schumacher</v>
      </c>
      <c r="Z77" s="1" cm="1">
        <f t="array" ref="Z77">COUNT(_xlfn._xlws.FILTER($H$7:$H$10000,($J$7:$J$10000=Y77)*($K$7:$K$10000&lt;&gt;"NULL")*($H$7:$H$10000 &gt;= ($G$1-5))))/5</f>
        <v>0.4</v>
      </c>
    </row>
    <row r="78" spans="1:26" x14ac:dyDescent="0.35">
      <c r="A78" t="s">
        <v>491</v>
      </c>
      <c r="B78" s="1">
        <v>-2.3282758463022937</v>
      </c>
      <c r="C78" s="1">
        <f t="shared" si="7"/>
        <v>59</v>
      </c>
      <c r="D78" s="1">
        <f t="shared" ca="1" si="8"/>
        <v>89.418141297102366</v>
      </c>
      <c r="E78" s="1">
        <f t="shared" ca="1" si="9"/>
        <v>66</v>
      </c>
      <c r="F78" s="1"/>
      <c r="G78">
        <f t="shared" si="10"/>
        <v>0.2</v>
      </c>
      <c r="H78" s="65">
        <v>2</v>
      </c>
      <c r="I78" t="s">
        <v>36</v>
      </c>
      <c r="J78" t="s">
        <v>38</v>
      </c>
      <c r="K78">
        <v>23.6</v>
      </c>
      <c r="L78" t="s">
        <v>9</v>
      </c>
      <c r="M78" t="s">
        <v>6</v>
      </c>
      <c r="N78">
        <f t="shared" si="11"/>
        <v>13.397856688047165</v>
      </c>
      <c r="O78">
        <f t="shared" si="12"/>
        <v>104.08372815762399</v>
      </c>
      <c r="P78" s="67" cm="1">
        <f t="array" ref="P78">SUMPRODUCT((H78=$H$7:$H$10000)*(N78&lt;$N$7:$N$10000))+1</f>
        <v>7</v>
      </c>
      <c r="Q78" s="72"/>
      <c r="R78">
        <v>4</v>
      </c>
      <c r="S78" t="str">
        <v>UTAH</v>
      </c>
      <c r="T78" t="str">
        <v>Blake Makiri</v>
      </c>
      <c r="U78" t="str">
        <v>NULL</v>
      </c>
      <c r="V78" t="str">
        <v>Home</v>
      </c>
      <c r="W78" t="str">
        <v>HOU</v>
      </c>
      <c r="X78">
        <v>5.1206532933107916</v>
      </c>
      <c r="Y78" t="str">
        <v>Michael Hand</v>
      </c>
      <c r="Z78" s="1" cm="1">
        <f t="array" ref="Z78">COUNT(_xlfn._xlws.FILTER($H$7:$H$10000,($J$7:$J$10000=Y78)*($K$7:$K$10000&lt;&gt;"NULL")*($H$7:$H$10000 &gt;= ($G$1-5))))/5</f>
        <v>0.2</v>
      </c>
    </row>
    <row r="79" spans="1:26" x14ac:dyDescent="0.35">
      <c r="A79" t="s">
        <v>478</v>
      </c>
      <c r="B79" s="1">
        <v>-2.439744315818273</v>
      </c>
      <c r="C79" s="1">
        <f t="shared" si="7"/>
        <v>60</v>
      </c>
      <c r="D79" s="1">
        <f t="shared" ca="1" si="8"/>
        <v>88.996408670110995</v>
      </c>
      <c r="E79" s="1">
        <f t="shared" ca="1" si="9"/>
        <v>67</v>
      </c>
      <c r="F79" s="1"/>
      <c r="G79">
        <f t="shared" si="10"/>
        <v>0.2</v>
      </c>
      <c r="H79" s="65">
        <v>2</v>
      </c>
      <c r="I79" t="s">
        <v>34</v>
      </c>
      <c r="J79" t="s">
        <v>41</v>
      </c>
      <c r="K79">
        <v>21.2</v>
      </c>
      <c r="L79" t="s">
        <v>9</v>
      </c>
      <c r="M79" t="s">
        <v>14</v>
      </c>
      <c r="N79">
        <f t="shared" si="11"/>
        <v>13.20458734970773</v>
      </c>
      <c r="O79">
        <f t="shared" si="12"/>
        <v>63.926623448453654</v>
      </c>
      <c r="P79" s="67" cm="1">
        <f t="array" ref="P79">SUMPRODUCT((H79=$H$7:$H$10000)*(N79&lt;$N$7:$N$10000))+1</f>
        <v>9</v>
      </c>
      <c r="Q79" s="72"/>
      <c r="R79">
        <v>4</v>
      </c>
      <c r="S79" t="str">
        <v>UTAH</v>
      </c>
      <c r="T79" t="str">
        <v>Spencer Jones</v>
      </c>
      <c r="U79" t="str">
        <v>NULL</v>
      </c>
      <c r="V79" t="str">
        <v>Home</v>
      </c>
      <c r="W79" t="str">
        <v>HOU</v>
      </c>
      <c r="X79">
        <v>4.4674023663009637</v>
      </c>
      <c r="Y79" t="str">
        <v>Mikaela Kruse</v>
      </c>
      <c r="Z79" s="1" cm="1">
        <f t="array" ref="Z79">COUNT(_xlfn._xlws.FILTER($H$7:$H$10000,($J$7:$J$10000=Y79)*($K$7:$K$10000&lt;&gt;"NULL")*($H$7:$H$10000 &gt;= ($G$1-5))))/5</f>
        <v>0.4</v>
      </c>
    </row>
    <row r="80" spans="1:26" x14ac:dyDescent="0.35">
      <c r="A80" t="s">
        <v>51</v>
      </c>
      <c r="B80" s="1">
        <v>-2.4500961956682246</v>
      </c>
      <c r="C80" s="1">
        <f t="shared" si="7"/>
        <v>61</v>
      </c>
      <c r="D80" s="1">
        <f t="shared" ca="1" si="8"/>
        <v>92.660182443640764</v>
      </c>
      <c r="E80" s="1">
        <f t="shared" ca="1" si="9"/>
        <v>63</v>
      </c>
      <c r="F80" s="1"/>
      <c r="G80">
        <f t="shared" si="10"/>
        <v>0.2</v>
      </c>
      <c r="H80" s="65">
        <v>2</v>
      </c>
      <c r="I80" t="s">
        <v>34</v>
      </c>
      <c r="J80" t="s">
        <v>95</v>
      </c>
      <c r="K80">
        <v>18.5</v>
      </c>
      <c r="L80" t="s">
        <v>9</v>
      </c>
      <c r="M80" t="s">
        <v>14</v>
      </c>
      <c r="N80">
        <f t="shared" si="11"/>
        <v>17.405282549887168</v>
      </c>
      <c r="O80">
        <f t="shared" si="12"/>
        <v>1.19840629558154</v>
      </c>
      <c r="P80" s="67" cm="1">
        <f t="array" ref="P80">SUMPRODUCT((H80=$H$7:$H$10000)*(N80&lt;$N$7:$N$10000))+1</f>
        <v>2</v>
      </c>
      <c r="Q80" s="72"/>
      <c r="R80">
        <v>4</v>
      </c>
      <c r="S80" t="str">
        <v>SEA</v>
      </c>
      <c r="T80" t="str">
        <v>Jade Stighling</v>
      </c>
      <c r="U80" t="str">
        <v>NULL</v>
      </c>
      <c r="V80" t="str">
        <v>Home</v>
      </c>
      <c r="W80" t="str">
        <v>NEFJ</v>
      </c>
      <c r="X80">
        <v>3.9219264625560522</v>
      </c>
      <c r="Y80" t="str">
        <v>Mitch Short</v>
      </c>
      <c r="Z80" s="1" cm="1">
        <f t="array" ref="Z80">COUNT(_xlfn._xlws.FILTER($H$7:$H$10000,($J$7:$J$10000=Y80)*($K$7:$K$10000&lt;&gt;"NULL")*($H$7:$H$10000 &gt;= ($G$1-5))))/5</f>
        <v>0.6</v>
      </c>
    </row>
    <row r="81" spans="1:26" x14ac:dyDescent="0.35">
      <c r="A81" t="s">
        <v>455</v>
      </c>
      <c r="B81" s="1">
        <v>-2.4909623609036857</v>
      </c>
      <c r="C81" s="1">
        <f t="shared" si="7"/>
        <v>62</v>
      </c>
      <c r="D81" s="1">
        <f t="shared" ca="1" si="8"/>
        <v>97.676051790083079</v>
      </c>
      <c r="E81" s="1">
        <f t="shared" ca="1" si="9"/>
        <v>60</v>
      </c>
      <c r="F81" s="1"/>
      <c r="G81">
        <f t="shared" si="10"/>
        <v>0.4</v>
      </c>
      <c r="H81" s="65">
        <v>2</v>
      </c>
      <c r="I81" t="s">
        <v>6</v>
      </c>
      <c r="J81" t="s">
        <v>94</v>
      </c>
      <c r="K81">
        <v>18</v>
      </c>
      <c r="L81" t="s">
        <v>3</v>
      </c>
      <c r="M81" t="s">
        <v>36</v>
      </c>
      <c r="N81">
        <f t="shared" si="11"/>
        <v>16.552491938962039</v>
      </c>
      <c r="O81">
        <f t="shared" si="12"/>
        <v>2.0952795867698786</v>
      </c>
      <c r="P81" s="67" cm="1">
        <f t="array" ref="P81">SUMPRODUCT((H81=$H$7:$H$10000)*(N81&lt;$N$7:$N$10000))+1</f>
        <v>3</v>
      </c>
      <c r="Q81" s="72"/>
      <c r="R81">
        <v>4</v>
      </c>
      <c r="S81" t="str">
        <v>MIA</v>
      </c>
      <c r="T81" t="str">
        <v>Connor Burns</v>
      </c>
      <c r="U81" t="str">
        <v>NULL</v>
      </c>
      <c r="V81" t="str">
        <v>Home</v>
      </c>
      <c r="W81" t="str">
        <v>CHI</v>
      </c>
      <c r="X81">
        <v>3.7072662715336557</v>
      </c>
      <c r="Y81" t="str">
        <v>Mitch Wilson</v>
      </c>
      <c r="Z81" s="1" cm="1">
        <f t="array" ref="Z81">COUNT(_xlfn._xlws.FILTER($H$7:$H$10000,($J$7:$J$10000=Y81)*($K$7:$K$10000&lt;&gt;"NULL")*($H$7:$H$10000 &gt;= ($G$1-5))))/5</f>
        <v>0.4</v>
      </c>
    </row>
    <row r="82" spans="1:26" x14ac:dyDescent="0.35">
      <c r="A82" t="s">
        <v>81</v>
      </c>
      <c r="B82" s="1">
        <v>-2.503237753466157</v>
      </c>
      <c r="C82" s="1">
        <f t="shared" si="7"/>
        <v>63</v>
      </c>
      <c r="D82" s="1">
        <f t="shared" ca="1" si="8"/>
        <v>94.389640303640292</v>
      </c>
      <c r="E82" s="1">
        <f t="shared" ca="1" si="9"/>
        <v>62</v>
      </c>
      <c r="F82" s="1"/>
      <c r="G82">
        <f t="shared" si="10"/>
        <v>0.4</v>
      </c>
      <c r="H82" s="65">
        <v>2</v>
      </c>
      <c r="I82" t="s">
        <v>36</v>
      </c>
      <c r="J82" t="s">
        <v>71</v>
      </c>
      <c r="K82">
        <v>16.2</v>
      </c>
      <c r="L82" t="s">
        <v>9</v>
      </c>
      <c r="M82" t="s">
        <v>6</v>
      </c>
      <c r="N82">
        <f t="shared" si="11"/>
        <v>12.818297295932327</v>
      </c>
      <c r="O82">
        <f t="shared" si="12"/>
        <v>11.435913178698607</v>
      </c>
      <c r="P82" s="67" cm="1">
        <f t="array" ref="P82">SUMPRODUCT((H82=$H$7:$H$10000)*(N82&lt;$N$7:$N$10000))+1</f>
        <v>11</v>
      </c>
      <c r="Q82" s="72"/>
      <c r="R82">
        <v>4</v>
      </c>
      <c r="S82" t="str">
        <v>HOU</v>
      </c>
      <c r="T82" t="str">
        <v>Sam Hill</v>
      </c>
      <c r="U82" t="str">
        <v>NULL</v>
      </c>
      <c r="V82" t="str">
        <v>Away</v>
      </c>
      <c r="W82" t="str">
        <v>UTAH</v>
      </c>
      <c r="X82">
        <v>3.6416072631281953</v>
      </c>
      <c r="Y82" t="str">
        <v>Nate Augspurger</v>
      </c>
      <c r="Z82" s="1" cm="1">
        <f t="array" ref="Z82">COUNT(_xlfn._xlws.FILTER($H$7:$H$10000,($J$7:$J$10000=Y82)*($K$7:$K$10000&lt;&gt;"NULL")*($H$7:$H$10000 &gt;= ($G$1-5))))/5</f>
        <v>0.2</v>
      </c>
    </row>
    <row r="83" spans="1:26" x14ac:dyDescent="0.35">
      <c r="A83" t="s">
        <v>53</v>
      </c>
      <c r="B83" s="1">
        <v>-3.0929952428281013</v>
      </c>
      <c r="C83" s="1">
        <f t="shared" si="7"/>
        <v>64</v>
      </c>
      <c r="D83" s="1">
        <f t="shared" ca="1" si="8"/>
        <v>81.157397545993049</v>
      </c>
      <c r="E83" s="1">
        <f t="shared" ca="1" si="9"/>
        <v>68</v>
      </c>
      <c r="F83" s="1"/>
      <c r="G83">
        <f t="shared" si="10"/>
        <v>0.4</v>
      </c>
      <c r="H83" s="65">
        <v>2</v>
      </c>
      <c r="I83" t="s">
        <v>34</v>
      </c>
      <c r="J83" t="s">
        <v>440</v>
      </c>
      <c r="K83">
        <v>16.2</v>
      </c>
      <c r="L83" t="s">
        <v>9</v>
      </c>
      <c r="M83" t="s">
        <v>14</v>
      </c>
      <c r="N83">
        <f t="shared" si="11"/>
        <v>9.2781504268124646</v>
      </c>
      <c r="O83">
        <f t="shared" si="12"/>
        <v>47.912001513836458</v>
      </c>
      <c r="P83" s="67" cm="1">
        <f t="array" ref="P83">SUMPRODUCT((H83=$H$7:$H$10000)*(N83&lt;$N$7:$N$10000))+1</f>
        <v>27</v>
      </c>
      <c r="Q83" s="72"/>
      <c r="R83">
        <v>4</v>
      </c>
      <c r="S83" t="str">
        <v>OGDC</v>
      </c>
      <c r="T83" t="str">
        <v>Jason Emery</v>
      </c>
      <c r="U83" t="str">
        <v>NULL</v>
      </c>
      <c r="V83" t="str">
        <v>Home</v>
      </c>
      <c r="W83" t="str">
        <v>ARC</v>
      </c>
      <c r="X83">
        <v>3.6179907302508516</v>
      </c>
      <c r="Y83" t="str">
        <v>Nic Benn</v>
      </c>
      <c r="Z83" s="1" cm="1">
        <f t="array" ref="Z83">COUNT(_xlfn._xlws.FILTER($H$7:$H$10000,($J$7:$J$10000=Y83)*($K$7:$K$10000&lt;&gt;"NULL")*($H$7:$H$10000 &gt;= ($G$1-5))))/5</f>
        <v>0.2</v>
      </c>
    </row>
    <row r="84" spans="1:26" x14ac:dyDescent="0.35">
      <c r="A84" t="s">
        <v>44</v>
      </c>
      <c r="B84" s="1">
        <v>-3.1218487481553687</v>
      </c>
      <c r="C84" s="1">
        <f t="shared" ref="C84:C115" si="13">RANK($B84,$B$20:$B$188,0)</f>
        <v>65</v>
      </c>
      <c r="D84" s="1">
        <f t="shared" ref="D84:D115" ca="1" si="14">SUMIF(R:V,$A84,V:V)</f>
        <v>90.105415143062871</v>
      </c>
      <c r="E84" s="1">
        <f t="shared" ref="E84:E115" ca="1" si="15">RANK($D84,$D$20:$D$188,0)</f>
        <v>64</v>
      </c>
      <c r="F84" s="1"/>
      <c r="G84">
        <f t="shared" ref="G84:G115" si="16">VLOOKUP($A84,$Y$7:$Z$1000,2,FALSE)</f>
        <v>0.6</v>
      </c>
      <c r="H84" s="65">
        <v>2</v>
      </c>
      <c r="I84" t="s">
        <v>13</v>
      </c>
      <c r="J84" t="s">
        <v>473</v>
      </c>
      <c r="K84">
        <v>16.100000000000001</v>
      </c>
      <c r="L84" t="s">
        <v>9</v>
      </c>
      <c r="M84" t="s">
        <v>2</v>
      </c>
      <c r="N84">
        <f t="shared" si="11"/>
        <v>12.002574779591795</v>
      </c>
      <c r="O84">
        <f t="shared" si="12"/>
        <v>16.788893436837242</v>
      </c>
      <c r="P84" s="67" cm="1">
        <f t="array" ref="P84">SUMPRODUCT((H84=$H$7:$H$10000)*(N84&lt;$N$7:$N$10000))+1</f>
        <v>14</v>
      </c>
      <c r="Q84" s="72"/>
      <c r="R84">
        <v>4</v>
      </c>
      <c r="S84" t="str">
        <v>HOU</v>
      </c>
      <c r="T84" t="str">
        <v>Andre Warner</v>
      </c>
      <c r="U84" t="str">
        <v>NULL</v>
      </c>
      <c r="V84" t="str">
        <v>Away</v>
      </c>
      <c r="W84" t="str">
        <v>UTAH</v>
      </c>
      <c r="X84">
        <v>3.3940443617579179</v>
      </c>
      <c r="Y84" t="str">
        <v>Nick Chan</v>
      </c>
      <c r="Z84" s="1" cm="1">
        <f t="array" ref="Z84">COUNT(_xlfn._xlws.FILTER($H$7:$H$10000,($J$7:$J$10000=Y84)*($K$7:$K$10000&lt;&gt;"NULL")*($H$7:$H$10000 &gt;= ($G$1-5))))/5</f>
        <v>0.4</v>
      </c>
    </row>
    <row r="85" spans="1:26" x14ac:dyDescent="0.35">
      <c r="A85" t="s">
        <v>402</v>
      </c>
      <c r="B85" s="1">
        <v>-3.7310444778129046</v>
      </c>
      <c r="C85" s="1">
        <f t="shared" si="13"/>
        <v>66</v>
      </c>
      <c r="D85" s="1">
        <f t="shared" ca="1" si="14"/>
        <v>74.695464117538421</v>
      </c>
      <c r="E85" s="1">
        <f t="shared" ca="1" si="15"/>
        <v>72</v>
      </c>
      <c r="F85" s="1"/>
      <c r="G85">
        <f t="shared" si="16"/>
        <v>0.4</v>
      </c>
      <c r="H85" s="65">
        <v>2</v>
      </c>
      <c r="I85" t="s">
        <v>34</v>
      </c>
      <c r="J85" t="s">
        <v>52</v>
      </c>
      <c r="K85">
        <v>15.9</v>
      </c>
      <c r="L85" t="s">
        <v>9</v>
      </c>
      <c r="M85" t="s">
        <v>14</v>
      </c>
      <c r="N85">
        <f t="shared" si="11"/>
        <v>10.711967436518426</v>
      </c>
      <c r="O85">
        <f t="shared" si="12"/>
        <v>26.915681879745193</v>
      </c>
      <c r="P85" s="67" cm="1">
        <f t="array" ref="P85">SUMPRODUCT((H85=$H$7:$H$10000)*(N85&lt;$N$7:$N$10000))+1</f>
        <v>15</v>
      </c>
      <c r="Q85" s="72"/>
      <c r="R85">
        <v>4</v>
      </c>
      <c r="S85" t="str">
        <v>SEA</v>
      </c>
      <c r="T85" t="str">
        <v>Jeremiah Sio</v>
      </c>
      <c r="U85" t="str">
        <v>NULL</v>
      </c>
      <c r="V85" t="str">
        <v>Home</v>
      </c>
      <c r="W85" t="str">
        <v>NEFJ</v>
      </c>
      <c r="X85">
        <v>3.2958965843209596</v>
      </c>
      <c r="Y85" t="str">
        <v>Nikolai Foliaki</v>
      </c>
      <c r="Z85" s="1" cm="1">
        <f t="array" ref="Z85">COUNT(_xlfn._xlws.FILTER($H$7:$H$10000,($J$7:$J$10000=Y85)*($K$7:$K$10000&lt;&gt;"NULL")*($H$7:$H$10000 &gt;= ($G$1-5))))/5</f>
        <v>0.4</v>
      </c>
    </row>
    <row r="86" spans="1:26" x14ac:dyDescent="0.35">
      <c r="A86" t="s">
        <v>493</v>
      </c>
      <c r="B86" s="1">
        <v>-3.7639481273652242</v>
      </c>
      <c r="C86" s="1">
        <f t="shared" si="13"/>
        <v>67</v>
      </c>
      <c r="D86" s="1">
        <f t="shared" ca="1" si="14"/>
        <v>72.865788068868923</v>
      </c>
      <c r="E86" s="1">
        <f t="shared" ca="1" si="15"/>
        <v>74</v>
      </c>
      <c r="F86" s="1"/>
      <c r="G86">
        <f t="shared" si="16"/>
        <v>0.2</v>
      </c>
      <c r="H86" s="65">
        <v>2</v>
      </c>
      <c r="I86" t="s">
        <v>4</v>
      </c>
      <c r="J86" t="s">
        <v>453</v>
      </c>
      <c r="K86">
        <v>15</v>
      </c>
      <c r="L86" t="s">
        <v>9</v>
      </c>
      <c r="M86" t="s">
        <v>24</v>
      </c>
      <c r="N86">
        <f t="shared" si="11"/>
        <v>13.483170097068433</v>
      </c>
      <c r="O86">
        <f t="shared" si="12"/>
        <v>2.3007729544273876</v>
      </c>
      <c r="P86" s="67" cm="1">
        <f t="array" ref="P86">SUMPRODUCT((H86=$H$7:$H$10000)*(N86&lt;$N$7:$N$10000))+1</f>
        <v>6</v>
      </c>
      <c r="Q86" s="72"/>
      <c r="R86">
        <v>4</v>
      </c>
      <c r="S86" t="str">
        <v>NEFJ</v>
      </c>
      <c r="T86" t="str">
        <v>Harrison Boyle</v>
      </c>
      <c r="U86" t="str">
        <v>NULL</v>
      </c>
      <c r="V86" t="str">
        <v>Away</v>
      </c>
      <c r="W86" t="str">
        <v>SEA</v>
      </c>
      <c r="X86">
        <v>2.9323072565525568</v>
      </c>
      <c r="Y86" t="str">
        <v>Noah Brown</v>
      </c>
      <c r="Z86" s="1" cm="1">
        <f t="array" ref="Z86">COUNT(_xlfn._xlws.FILTER($H$7:$H$10000,($J$7:$J$10000=Y86)*($K$7:$K$10000&lt;&gt;"NULL")*($H$7:$H$10000 &gt;= ($G$1-5))))/5</f>
        <v>0.6</v>
      </c>
    </row>
    <row r="87" spans="1:26" x14ac:dyDescent="0.35">
      <c r="A87" t="s">
        <v>479</v>
      </c>
      <c r="B87" s="1">
        <v>-3.8076182105519036</v>
      </c>
      <c r="C87" s="1">
        <f t="shared" si="13"/>
        <v>68</v>
      </c>
      <c r="D87" s="1">
        <f t="shared" ca="1" si="14"/>
        <v>73.145375290356625</v>
      </c>
      <c r="E87" s="1">
        <f t="shared" ca="1" si="15"/>
        <v>73</v>
      </c>
      <c r="F87" s="1"/>
      <c r="G87">
        <f t="shared" si="16"/>
        <v>0.4</v>
      </c>
      <c r="H87" s="65">
        <v>2</v>
      </c>
      <c r="I87" t="s">
        <v>2</v>
      </c>
      <c r="J87" t="s">
        <v>88</v>
      </c>
      <c r="K87">
        <v>14.9</v>
      </c>
      <c r="L87" t="s">
        <v>3</v>
      </c>
      <c r="M87" t="s">
        <v>13</v>
      </c>
      <c r="N87">
        <f t="shared" si="11"/>
        <v>13.243322267128709</v>
      </c>
      <c r="O87">
        <f t="shared" si="12"/>
        <v>2.7445811105915605</v>
      </c>
      <c r="P87" s="67" cm="1">
        <f t="array" ref="P87">SUMPRODUCT((H87=$H$7:$H$10000)*(N87&lt;$N$7:$N$10000))+1</f>
        <v>8</v>
      </c>
      <c r="Q87" s="72"/>
      <c r="R87">
        <v>4</v>
      </c>
      <c r="S87" t="str">
        <v>UTAH</v>
      </c>
      <c r="T87" t="str">
        <v>Kyle Brown</v>
      </c>
      <c r="U87" t="str">
        <v>NULL</v>
      </c>
      <c r="V87" t="str">
        <v>Home</v>
      </c>
      <c r="W87" t="str">
        <v>HOU</v>
      </c>
      <c r="X87">
        <v>2.8630966662460571</v>
      </c>
      <c r="Y87" t="str">
        <v>Ollie Devoto</v>
      </c>
      <c r="Z87" s="1" cm="1">
        <f t="array" ref="Z87">COUNT(_xlfn._xlws.FILTER($H$7:$H$10000,($J$7:$J$10000=Y87)*($K$7:$K$10000&lt;&gt;"NULL")*($H$7:$H$10000 &gt;= ($G$1-5))))/5</f>
        <v>0.6</v>
      </c>
    </row>
    <row r="88" spans="1:26" x14ac:dyDescent="0.35">
      <c r="A88" t="s">
        <v>82</v>
      </c>
      <c r="B88" s="1">
        <v>-3.8981135967818399</v>
      </c>
      <c r="C88" s="1">
        <f t="shared" si="13"/>
        <v>69</v>
      </c>
      <c r="D88" s="1">
        <f t="shared" ca="1" si="14"/>
        <v>77.651130183852089</v>
      </c>
      <c r="E88" s="1">
        <f t="shared" ca="1" si="15"/>
        <v>71</v>
      </c>
      <c r="F88" s="1"/>
      <c r="G88">
        <f t="shared" si="16"/>
        <v>0.2</v>
      </c>
      <c r="H88" s="65">
        <v>2</v>
      </c>
      <c r="I88" t="s">
        <v>14</v>
      </c>
      <c r="J88" t="s">
        <v>83</v>
      </c>
      <c r="K88">
        <v>14.7</v>
      </c>
      <c r="L88" t="s">
        <v>3</v>
      </c>
      <c r="M88" t="s">
        <v>34</v>
      </c>
      <c r="N88">
        <f t="shared" si="11"/>
        <v>10.0063076930821</v>
      </c>
      <c r="O88">
        <f t="shared" si="12"/>
        <v>22.030747472020273</v>
      </c>
      <c r="P88" s="67" cm="1">
        <f t="array" ref="P88">SUMPRODUCT((H88=$H$7:$H$10000)*(N88&lt;$N$7:$N$10000))+1</f>
        <v>20</v>
      </c>
      <c r="Q88" s="72"/>
      <c r="R88">
        <v>4</v>
      </c>
      <c r="S88" t="str">
        <v>LA</v>
      </c>
      <c r="T88" t="str">
        <v>Christian Dyer</v>
      </c>
      <c r="U88" t="str">
        <v>NULL</v>
      </c>
      <c r="V88" t="str">
        <v>Away</v>
      </c>
      <c r="W88" t="str">
        <v>SDL</v>
      </c>
      <c r="X88">
        <v>2.7102670366211425</v>
      </c>
      <c r="Y88" t="str">
        <v>Paula Balekana</v>
      </c>
      <c r="Z88" s="1" cm="1">
        <f t="array" ref="Z88">COUNT(_xlfn._xlws.FILTER($H$7:$H$10000,($J$7:$J$10000=Y88)*($K$7:$K$10000&lt;&gt;"NULL")*($H$7:$H$10000 &gt;= ($G$1-5))))/5</f>
        <v>0.4</v>
      </c>
    </row>
    <row r="89" spans="1:26" x14ac:dyDescent="0.35">
      <c r="A89" t="s">
        <v>476</v>
      </c>
      <c r="B89" s="1">
        <v>-3.9544513707148847</v>
      </c>
      <c r="C89" s="1">
        <f t="shared" si="13"/>
        <v>70</v>
      </c>
      <c r="D89" s="1">
        <f t="shared" ca="1" si="14"/>
        <v>71.530210528563842</v>
      </c>
      <c r="E89" s="1">
        <f t="shared" ca="1" si="15"/>
        <v>75</v>
      </c>
      <c r="F89" s="1"/>
      <c r="G89">
        <f t="shared" si="16"/>
        <v>0.4</v>
      </c>
      <c r="H89" s="65">
        <v>2</v>
      </c>
      <c r="I89" t="s">
        <v>13</v>
      </c>
      <c r="J89" t="s">
        <v>53</v>
      </c>
      <c r="K89">
        <v>14.7</v>
      </c>
      <c r="L89" t="s">
        <v>9</v>
      </c>
      <c r="M89" t="s">
        <v>2</v>
      </c>
      <c r="N89">
        <f t="shared" si="11"/>
        <v>6.7630120349658238</v>
      </c>
      <c r="O89">
        <f t="shared" si="12"/>
        <v>62.995777957097339</v>
      </c>
      <c r="P89" s="67" cm="1">
        <f t="array" ref="P89">SUMPRODUCT((H89=$H$7:$H$10000)*(N89&lt;$N$7:$N$10000))+1</f>
        <v>45</v>
      </c>
      <c r="Q89" s="72"/>
      <c r="R89">
        <v>4</v>
      </c>
      <c r="S89" t="str">
        <v>NEFJ</v>
      </c>
      <c r="T89" t="str">
        <v>John Poland</v>
      </c>
      <c r="U89" t="str">
        <v>NULL</v>
      </c>
      <c r="V89" t="str">
        <v>Away</v>
      </c>
      <c r="W89" t="str">
        <v>SEA</v>
      </c>
      <c r="X89">
        <v>2.3854031746852895</v>
      </c>
      <c r="Y89" t="str">
        <v>Perry Humphreys</v>
      </c>
      <c r="Z89" s="1" cm="1">
        <f t="array" ref="Z89">COUNT(_xlfn._xlws.FILTER($H$7:$H$10000,($J$7:$J$10000=Y89)*($K$7:$K$10000&lt;&gt;"NULL")*($H$7:$H$10000 &gt;= ($G$1-5))))/5</f>
        <v>0.4</v>
      </c>
    </row>
    <row r="90" spans="1:26" x14ac:dyDescent="0.35">
      <c r="A90" t="s">
        <v>441</v>
      </c>
      <c r="B90" s="1">
        <v>-3.9885404634967476</v>
      </c>
      <c r="C90" s="1">
        <f t="shared" si="13"/>
        <v>71</v>
      </c>
      <c r="D90" s="1">
        <f t="shared" ca="1" si="14"/>
        <v>79.705114558966329</v>
      </c>
      <c r="E90" s="1">
        <f t="shared" ca="1" si="15"/>
        <v>69</v>
      </c>
      <c r="F90" s="1"/>
      <c r="G90">
        <f t="shared" si="16"/>
        <v>0.6</v>
      </c>
      <c r="H90" s="65">
        <v>2</v>
      </c>
      <c r="I90" t="s">
        <v>13</v>
      </c>
      <c r="J90" t="s">
        <v>79</v>
      </c>
      <c r="K90">
        <v>14.6</v>
      </c>
      <c r="L90" t="s">
        <v>9</v>
      </c>
      <c r="M90" t="s">
        <v>2</v>
      </c>
      <c r="N90">
        <f t="shared" si="11"/>
        <v>19.475865443087745</v>
      </c>
      <c r="O90">
        <f t="shared" si="12"/>
        <v>23.774063819097254</v>
      </c>
      <c r="P90" s="67" cm="1">
        <f t="array" ref="P90">SUMPRODUCT((H90=$H$7:$H$10000)*(N90&lt;$N$7:$N$10000))+1</f>
        <v>1</v>
      </c>
      <c r="Q90" s="72"/>
      <c r="R90">
        <v>4</v>
      </c>
      <c r="S90" t="str">
        <v>UTAH</v>
      </c>
      <c r="T90" t="str">
        <v>Logan Crowley</v>
      </c>
      <c r="U90" t="str">
        <v>NULL</v>
      </c>
      <c r="V90" t="str">
        <v>Home</v>
      </c>
      <c r="W90" t="str">
        <v>HOU</v>
      </c>
      <c r="X90">
        <v>2.1502208484174643</v>
      </c>
      <c r="Y90" t="str">
        <v>Richard Judd</v>
      </c>
      <c r="Z90" s="1" cm="1">
        <f t="array" ref="Z90">COUNT(_xlfn._xlws.FILTER($H$7:$H$10000,($J$7:$J$10000=Y90)*($K$7:$K$10000&lt;&gt;"NULL")*($H$7:$H$10000 &gt;= ($G$1-5))))/5</f>
        <v>0.6</v>
      </c>
    </row>
    <row r="91" spans="1:26" x14ac:dyDescent="0.35">
      <c r="A91" t="s">
        <v>188</v>
      </c>
      <c r="B91" s="1">
        <v>-4.2619372307970691</v>
      </c>
      <c r="C91" s="1">
        <f t="shared" si="13"/>
        <v>72</v>
      </c>
      <c r="D91" s="1">
        <f t="shared" ca="1" si="14"/>
        <v>67.387907931118647</v>
      </c>
      <c r="E91" s="1">
        <f t="shared" ca="1" si="15"/>
        <v>77</v>
      </c>
      <c r="F91" s="1"/>
      <c r="G91">
        <f t="shared" si="16"/>
        <v>0.6</v>
      </c>
      <c r="H91" s="65">
        <v>2</v>
      </c>
      <c r="I91" t="s">
        <v>6</v>
      </c>
      <c r="J91" t="s">
        <v>8</v>
      </c>
      <c r="K91">
        <v>13.8</v>
      </c>
      <c r="L91" t="s">
        <v>3</v>
      </c>
      <c r="M91" t="s">
        <v>36</v>
      </c>
      <c r="N91">
        <f t="shared" si="11"/>
        <v>12.876879152468311</v>
      </c>
      <c r="O91">
        <f t="shared" si="12"/>
        <v>0.8521520991476258</v>
      </c>
      <c r="P91" s="67" cm="1">
        <f t="array" ref="P91">SUMPRODUCT((H91=$H$7:$H$10000)*(N91&lt;$N$7:$N$10000))+1</f>
        <v>10</v>
      </c>
      <c r="Q91" s="72"/>
      <c r="R91">
        <v>4</v>
      </c>
      <c r="S91" t="str">
        <v>HOU</v>
      </c>
      <c r="T91" t="str">
        <v>Seimou Smith</v>
      </c>
      <c r="U91" t="str">
        <v>NULL</v>
      </c>
      <c r="V91" t="str">
        <v>Away</v>
      </c>
      <c r="W91" t="str">
        <v>UTAH</v>
      </c>
      <c r="X91">
        <v>2.1148287368865937</v>
      </c>
      <c r="Y91" t="str">
        <v>Rodney Iona</v>
      </c>
      <c r="Z91" s="1" cm="1">
        <f t="array" ref="Z91">COUNT(_xlfn._xlws.FILTER($H$7:$H$10000,($J$7:$J$10000=Y91)*($K$7:$K$10000&lt;&gt;"NULL")*($H$7:$H$10000 &gt;= ($G$1-5))))/5</f>
        <v>0.4</v>
      </c>
    </row>
    <row r="92" spans="1:26" x14ac:dyDescent="0.35">
      <c r="A92" t="s">
        <v>498</v>
      </c>
      <c r="B92" s="1">
        <v>-4.3810662227472283</v>
      </c>
      <c r="C92" s="1">
        <f t="shared" si="13"/>
        <v>73</v>
      </c>
      <c r="D92" s="1">
        <f t="shared" ca="1" si="14"/>
        <v>67.455785575517979</v>
      </c>
      <c r="E92" s="1">
        <f t="shared" ca="1" si="15"/>
        <v>76</v>
      </c>
      <c r="F92" s="1"/>
      <c r="G92">
        <f t="shared" si="16"/>
        <v>0.2</v>
      </c>
      <c r="H92" s="65">
        <v>2</v>
      </c>
      <c r="I92" t="s">
        <v>24</v>
      </c>
      <c r="J92" t="s">
        <v>194</v>
      </c>
      <c r="K92">
        <v>12.3</v>
      </c>
      <c r="L92" t="s">
        <v>3</v>
      </c>
      <c r="M92" t="s">
        <v>4</v>
      </c>
      <c r="N92">
        <f t="shared" si="11"/>
        <v>9.6026874742748003</v>
      </c>
      <c r="O92">
        <f t="shared" si="12"/>
        <v>7.2754948614340602</v>
      </c>
      <c r="P92" s="67" cm="1">
        <f t="array" ref="P92">SUMPRODUCT((H92=$H$7:$H$10000)*(N92&lt;$N$7:$N$10000))+1</f>
        <v>24</v>
      </c>
      <c r="Q92" s="72"/>
      <c r="R92">
        <v>4</v>
      </c>
      <c r="S92" t="str">
        <v>ARC</v>
      </c>
      <c r="T92" t="str">
        <v>Jason Tidwell</v>
      </c>
      <c r="U92" t="str">
        <v>NULL</v>
      </c>
      <c r="V92" t="str">
        <v>Away</v>
      </c>
      <c r="W92" t="str">
        <v>OGDC</v>
      </c>
      <c r="X92">
        <v>2.0779517722797127</v>
      </c>
      <c r="Y92" t="str">
        <v>Rory van Vugt</v>
      </c>
      <c r="Z92" s="1" cm="1">
        <f t="array" ref="Z92">COUNT(_xlfn._xlws.FILTER($H$7:$H$10000,($J$7:$J$10000=Y92)*($K$7:$K$10000&lt;&gt;"NULL")*($H$7:$H$10000 &gt;= ($G$1-5))))/5</f>
        <v>0.2</v>
      </c>
    </row>
    <row r="93" spans="1:26" x14ac:dyDescent="0.35">
      <c r="A93" t="s">
        <v>35</v>
      </c>
      <c r="B93" s="1">
        <v>-4.5373428237291948</v>
      </c>
      <c r="C93" s="1">
        <f t="shared" si="13"/>
        <v>74</v>
      </c>
      <c r="D93" s="1">
        <f t="shared" ca="1" si="14"/>
        <v>65.019883966542935</v>
      </c>
      <c r="E93" s="1">
        <f t="shared" ca="1" si="15"/>
        <v>78</v>
      </c>
      <c r="F93" s="1"/>
      <c r="G93">
        <f t="shared" si="16"/>
        <v>0.4</v>
      </c>
      <c r="H93" s="65">
        <v>2</v>
      </c>
      <c r="I93" t="s">
        <v>4</v>
      </c>
      <c r="J93" t="s">
        <v>286</v>
      </c>
      <c r="K93">
        <v>12.3</v>
      </c>
      <c r="L93" t="s">
        <v>9</v>
      </c>
      <c r="M93" t="s">
        <v>24</v>
      </c>
      <c r="N93">
        <f t="shared" si="11"/>
        <v>13.926213307073276</v>
      </c>
      <c r="O93">
        <f t="shared" si="12"/>
        <v>2.6445697201021985</v>
      </c>
      <c r="P93" s="67" cm="1">
        <f t="array" ref="P93">SUMPRODUCT((H93=$H$7:$H$10000)*(N93&lt;$N$7:$N$10000))+1</f>
        <v>5</v>
      </c>
      <c r="Q93" s="72"/>
      <c r="R93">
        <v>4</v>
      </c>
      <c r="S93" t="str">
        <v>OGDC</v>
      </c>
      <c r="T93" t="str">
        <v>Perry Humphreys</v>
      </c>
      <c r="U93" t="str">
        <v>NULL</v>
      </c>
      <c r="V93" t="str">
        <v>Home</v>
      </c>
      <c r="W93" t="str">
        <v>ARC</v>
      </c>
      <c r="X93">
        <v>1.8339958513983774</v>
      </c>
      <c r="Y93" t="str">
        <v>Ruben de Haas</v>
      </c>
      <c r="Z93" s="1" cm="1">
        <f t="array" ref="Z93">COUNT(_xlfn._xlws.FILTER($H$7:$H$10000,($J$7:$J$10000=Y93)*($K$7:$K$10000&lt;&gt;"NULL")*($H$7:$H$10000 &gt;= ($G$1-5))))/5</f>
        <v>0.2</v>
      </c>
    </row>
    <row r="94" spans="1:26" x14ac:dyDescent="0.35">
      <c r="A94" t="s">
        <v>474</v>
      </c>
      <c r="B94" s="1">
        <v>-4.6973009428830075</v>
      </c>
      <c r="C94" s="1">
        <f t="shared" si="13"/>
        <v>75</v>
      </c>
      <c r="D94" s="1">
        <f t="shared" ca="1" si="14"/>
        <v>61.905729145334178</v>
      </c>
      <c r="E94" s="1">
        <f t="shared" ca="1" si="15"/>
        <v>80</v>
      </c>
      <c r="F94" s="1"/>
      <c r="G94">
        <f t="shared" si="16"/>
        <v>0.4</v>
      </c>
      <c r="H94" s="65">
        <v>2</v>
      </c>
      <c r="I94" t="s">
        <v>14</v>
      </c>
      <c r="J94" t="s">
        <v>87</v>
      </c>
      <c r="K94">
        <v>12.1</v>
      </c>
      <c r="L94" t="s">
        <v>3</v>
      </c>
      <c r="M94" t="s">
        <v>34</v>
      </c>
      <c r="N94">
        <f t="shared" si="11"/>
        <v>10.267902278645268</v>
      </c>
      <c r="O94">
        <f t="shared" si="12"/>
        <v>3.3565820605931997</v>
      </c>
      <c r="P94" s="67" cm="1">
        <f t="array" ref="P94">SUMPRODUCT((H94=$H$7:$H$10000)*(N94&lt;$N$7:$N$10000))+1</f>
        <v>19</v>
      </c>
      <c r="Q94" s="72"/>
      <c r="R94">
        <v>4</v>
      </c>
      <c r="S94" t="str">
        <v>OGDC</v>
      </c>
      <c r="T94" t="str">
        <v>Ethan McVeigh</v>
      </c>
      <c r="U94" t="str">
        <v>NULL</v>
      </c>
      <c r="V94" t="str">
        <v>Home</v>
      </c>
      <c r="W94" t="str">
        <v>ARC</v>
      </c>
      <c r="X94">
        <v>1.8011381594503924</v>
      </c>
      <c r="Y94" t="str">
        <v>Rufus McLean</v>
      </c>
      <c r="Z94" s="1" cm="1">
        <f t="array" ref="Z94">COUNT(_xlfn._xlws.FILTER($H$7:$H$10000,($J$7:$J$10000=Y94)*($K$7:$K$10000&lt;&gt;"NULL")*($H$7:$H$10000 &gt;= ($G$1-5))))/5</f>
        <v>0.4</v>
      </c>
    </row>
    <row r="95" spans="1:26" x14ac:dyDescent="0.35">
      <c r="A95" t="s">
        <v>452</v>
      </c>
      <c r="B95" s="1">
        <v>-4.7093104784339541</v>
      </c>
      <c r="C95" s="1">
        <f t="shared" si="13"/>
        <v>76</v>
      </c>
      <c r="D95" s="1">
        <f t="shared" ca="1" si="14"/>
        <v>62.466802207112899</v>
      </c>
      <c r="E95" s="1">
        <f t="shared" ca="1" si="15"/>
        <v>79</v>
      </c>
      <c r="F95" s="1"/>
      <c r="G95">
        <f t="shared" si="16"/>
        <v>0.6</v>
      </c>
      <c r="H95" s="65">
        <v>2</v>
      </c>
      <c r="I95" t="s">
        <v>6</v>
      </c>
      <c r="J95" t="s">
        <v>451</v>
      </c>
      <c r="K95">
        <v>11.9</v>
      </c>
      <c r="L95" t="s">
        <v>3</v>
      </c>
      <c r="M95" t="s">
        <v>36</v>
      </c>
      <c r="N95">
        <f t="shared" si="11"/>
        <v>7.1339416095032755</v>
      </c>
      <c r="O95">
        <f t="shared" si="12"/>
        <v>22.715312581624232</v>
      </c>
      <c r="P95" s="67" cm="1">
        <f t="array" ref="P95">SUMPRODUCT((H95=$H$7:$H$10000)*(N95&lt;$N$7:$N$10000))+1</f>
        <v>44</v>
      </c>
      <c r="Q95" s="72"/>
      <c r="R95">
        <v>4</v>
      </c>
      <c r="S95" t="str">
        <v>NEFJ</v>
      </c>
      <c r="T95" t="str">
        <v>Simon-Peter Toleafoa</v>
      </c>
      <c r="U95" t="str">
        <v>NULL</v>
      </c>
      <c r="V95" t="str">
        <v>Away</v>
      </c>
      <c r="W95" t="str">
        <v>SEA</v>
      </c>
      <c r="X95">
        <v>1.6226686561214478</v>
      </c>
      <c r="Y95" t="str">
        <v>Ryan James</v>
      </c>
      <c r="Z95" s="1" cm="1">
        <f t="array" ref="Z95">COUNT(_xlfn._xlws.FILTER($H$7:$H$10000,($J$7:$J$10000=Y95)*($K$7:$K$10000&lt;&gt;"NULL")*($H$7:$H$10000 &gt;= ($G$1-5))))/5</f>
        <v>0.6</v>
      </c>
    </row>
    <row r="96" spans="1:26" x14ac:dyDescent="0.35">
      <c r="A96" t="s">
        <v>285</v>
      </c>
      <c r="B96" s="1">
        <v>-4.8055890002936765</v>
      </c>
      <c r="C96" s="1">
        <f t="shared" si="13"/>
        <v>77</v>
      </c>
      <c r="D96" s="1">
        <f t="shared" ca="1" si="14"/>
        <v>56.592437478961699</v>
      </c>
      <c r="E96" s="1">
        <f t="shared" ca="1" si="15"/>
        <v>83</v>
      </c>
      <c r="F96" s="1"/>
      <c r="G96">
        <f t="shared" si="16"/>
        <v>0.6</v>
      </c>
      <c r="H96" s="65">
        <v>2</v>
      </c>
      <c r="I96" t="s">
        <v>14</v>
      </c>
      <c r="J96" t="s">
        <v>448</v>
      </c>
      <c r="K96">
        <v>11.3</v>
      </c>
      <c r="L96" t="s">
        <v>3</v>
      </c>
      <c r="M96" t="s">
        <v>34</v>
      </c>
      <c r="N96">
        <f t="shared" si="11"/>
        <v>10.656571534859561</v>
      </c>
      <c r="O96">
        <f t="shared" si="12"/>
        <v>0.41400018975298247</v>
      </c>
      <c r="P96" s="67" cm="1">
        <f t="array" ref="P96">SUMPRODUCT((H96=$H$7:$H$10000)*(N96&lt;$N$7:$N$10000))+1</f>
        <v>16</v>
      </c>
      <c r="Q96" s="72"/>
      <c r="R96">
        <v>4</v>
      </c>
      <c r="S96" t="str">
        <v>ARC</v>
      </c>
      <c r="T96" t="str">
        <v>Junior Gafa</v>
      </c>
      <c r="U96" t="str">
        <v>NULL</v>
      </c>
      <c r="V96" t="str">
        <v>Away</v>
      </c>
      <c r="W96" t="str">
        <v>OGDC</v>
      </c>
      <c r="X96">
        <v>1.4279949935669922</v>
      </c>
      <c r="Y96" t="str">
        <v>Sam Hill</v>
      </c>
      <c r="Z96" s="1" cm="1">
        <f t="array" ref="Z96">COUNT(_xlfn._xlws.FILTER($H$7:$H$10000,($J$7:$J$10000=Y96)*($K$7:$K$10000&lt;&gt;"NULL")*($H$7:$H$10000 &gt;= ($G$1-5))))/5</f>
        <v>0.4</v>
      </c>
    </row>
    <row r="97" spans="1:26" x14ac:dyDescent="0.35">
      <c r="A97" t="s">
        <v>490</v>
      </c>
      <c r="B97" s="1">
        <v>-5.2298041069564469</v>
      </c>
      <c r="C97" s="1">
        <f t="shared" si="13"/>
        <v>78</v>
      </c>
      <c r="D97" s="1">
        <f t="shared" ca="1" si="14"/>
        <v>57.501330429906652</v>
      </c>
      <c r="E97" s="1">
        <f t="shared" ca="1" si="15"/>
        <v>82</v>
      </c>
      <c r="F97" s="1"/>
      <c r="G97">
        <f t="shared" si="16"/>
        <v>0.2</v>
      </c>
      <c r="H97" s="65">
        <v>2</v>
      </c>
      <c r="I97" t="s">
        <v>6</v>
      </c>
      <c r="J97" t="s">
        <v>442</v>
      </c>
      <c r="K97">
        <v>11.2</v>
      </c>
      <c r="L97" t="s">
        <v>3</v>
      </c>
      <c r="M97" t="s">
        <v>36</v>
      </c>
      <c r="N97">
        <f t="shared" si="11"/>
        <v>9.7618886532961131</v>
      </c>
      <c r="O97">
        <f t="shared" si="12"/>
        <v>2.068164245518465</v>
      </c>
      <c r="P97" s="67" cm="1">
        <f t="array" ref="P97">SUMPRODUCT((H97=$H$7:$H$10000)*(N97&lt;$N$7:$N$10000))+1</f>
        <v>21</v>
      </c>
      <c r="Q97" s="72"/>
      <c r="R97">
        <v>4</v>
      </c>
      <c r="S97" t="str">
        <v>NEFJ</v>
      </c>
      <c r="T97" t="str">
        <v>Isaac Olson</v>
      </c>
      <c r="U97" t="str">
        <v>NULL</v>
      </c>
      <c r="V97" t="str">
        <v>Away</v>
      </c>
      <c r="W97" t="str">
        <v>SEA</v>
      </c>
      <c r="X97">
        <v>1.3174252273124196</v>
      </c>
      <c r="Y97" t="str">
        <v>Santiago Videla</v>
      </c>
      <c r="Z97" s="1" cm="1">
        <f t="array" ref="Z97">COUNT(_xlfn._xlws.FILTER($H$7:$H$10000,($J$7:$J$10000=Y97)*($K$7:$K$10000&lt;&gt;"NULL")*($H$7:$H$10000 &gt;= ($G$1-5))))/5</f>
        <v>0.6</v>
      </c>
    </row>
    <row r="98" spans="1:26" x14ac:dyDescent="0.35">
      <c r="A98" t="s">
        <v>16</v>
      </c>
      <c r="B98" s="1">
        <v>-5.2558686530253844</v>
      </c>
      <c r="C98" s="1">
        <f t="shared" si="13"/>
        <v>79</v>
      </c>
      <c r="D98" s="1">
        <f t="shared" ca="1" si="14"/>
        <v>61.358069508929574</v>
      </c>
      <c r="E98" s="1">
        <f t="shared" ca="1" si="15"/>
        <v>81</v>
      </c>
      <c r="F98" s="1"/>
      <c r="G98">
        <f t="shared" si="16"/>
        <v>0.2</v>
      </c>
      <c r="H98" s="65">
        <v>2</v>
      </c>
      <c r="I98" t="s">
        <v>2</v>
      </c>
      <c r="J98" t="s">
        <v>90</v>
      </c>
      <c r="K98">
        <v>11.1</v>
      </c>
      <c r="L98" t="s">
        <v>3</v>
      </c>
      <c r="M98" t="s">
        <v>13</v>
      </c>
      <c r="N98">
        <f t="shared" si="11"/>
        <v>5.2335787896741177</v>
      </c>
      <c r="O98">
        <f t="shared" si="12"/>
        <v>34.414897816961386</v>
      </c>
      <c r="P98" s="67" cm="1">
        <f t="array" ref="P98">SUMPRODUCT((H98=$H$7:$H$10000)*(N98&lt;$N$7:$N$10000))+1</f>
        <v>49</v>
      </c>
      <c r="Q98" s="72"/>
      <c r="R98">
        <v>4</v>
      </c>
      <c r="S98" t="str">
        <v>HOU</v>
      </c>
      <c r="T98" t="str">
        <v>Drew Wild</v>
      </c>
      <c r="U98" t="str">
        <v>NULL</v>
      </c>
      <c r="V98" t="str">
        <v>Away</v>
      </c>
      <c r="W98" t="str">
        <v>UTAH</v>
      </c>
      <c r="X98">
        <v>0.28471115749579923</v>
      </c>
      <c r="Y98" t="str">
        <v>Seimou Smith</v>
      </c>
      <c r="Z98" s="1" cm="1">
        <f t="array" ref="Z98">COUNT(_xlfn._xlws.FILTER($H$7:$H$10000,($J$7:$J$10000=Y98)*($K$7:$K$10000&lt;&gt;"NULL")*($H$7:$H$10000 &gt;= ($G$1-5))))/5</f>
        <v>0.2</v>
      </c>
    </row>
    <row r="99" spans="1:26" x14ac:dyDescent="0.35">
      <c r="A99" t="s">
        <v>472</v>
      </c>
      <c r="B99" s="1">
        <v>-5.4101767607116003</v>
      </c>
      <c r="C99" s="1">
        <f t="shared" si="13"/>
        <v>80</v>
      </c>
      <c r="D99" s="1">
        <f t="shared" ca="1" si="14"/>
        <v>53.351219331391064</v>
      </c>
      <c r="E99" s="1">
        <f t="shared" ca="1" si="15"/>
        <v>87</v>
      </c>
      <c r="F99" s="1"/>
      <c r="G99">
        <f t="shared" si="16"/>
        <v>0.4</v>
      </c>
      <c r="H99" s="65">
        <v>2</v>
      </c>
      <c r="I99" t="s">
        <v>6</v>
      </c>
      <c r="J99" t="s">
        <v>75</v>
      </c>
      <c r="K99">
        <v>10.9</v>
      </c>
      <c r="L99" t="s">
        <v>3</v>
      </c>
      <c r="M99" t="s">
        <v>36</v>
      </c>
      <c r="N99">
        <f t="shared" si="11"/>
        <v>8.5369925257235941</v>
      </c>
      <c r="O99">
        <f t="shared" si="12"/>
        <v>5.5838043234861603</v>
      </c>
      <c r="P99" s="67" cm="1">
        <f t="array" ref="P99">SUMPRODUCT((H99=$H$7:$H$10000)*(N99&lt;$N$7:$N$10000))+1</f>
        <v>37</v>
      </c>
      <c r="Q99" s="72"/>
      <c r="R99">
        <v>4</v>
      </c>
      <c r="S99" t="str">
        <v>ARC</v>
      </c>
      <c r="T99" t="str">
        <v>Conner Mooneyham</v>
      </c>
      <c r="U99" t="str">
        <v>NULL</v>
      </c>
      <c r="V99" t="str">
        <v>Away</v>
      </c>
      <c r="W99" t="str">
        <v>OGDC</v>
      </c>
      <c r="X99">
        <v>-0.44877192303699953</v>
      </c>
      <c r="Y99" t="str">
        <v>Seth Purdey</v>
      </c>
      <c r="Z99" s="1" cm="1">
        <f t="array" ref="Z99">COUNT(_xlfn._xlws.FILTER($H$7:$H$10000,($J$7:$J$10000=Y99)*($K$7:$K$10000&lt;&gt;"NULL")*($H$7:$H$10000 &gt;= ($G$1-5))))/5</f>
        <v>0.2</v>
      </c>
    </row>
    <row r="100" spans="1:26" x14ac:dyDescent="0.35">
      <c r="A100" t="s">
        <v>11</v>
      </c>
      <c r="B100" s="1">
        <v>-5.455545779006397</v>
      </c>
      <c r="C100" s="1">
        <f t="shared" si="13"/>
        <v>81</v>
      </c>
      <c r="D100" s="1">
        <f t="shared" ca="1" si="14"/>
        <v>49.442912913121773</v>
      </c>
      <c r="E100" s="1">
        <f t="shared" ca="1" si="15"/>
        <v>89</v>
      </c>
      <c r="F100" s="1"/>
      <c r="G100">
        <f t="shared" si="16"/>
        <v>0.6</v>
      </c>
      <c r="H100" s="65">
        <v>2</v>
      </c>
      <c r="I100" t="s">
        <v>34</v>
      </c>
      <c r="J100" t="s">
        <v>100</v>
      </c>
      <c r="K100">
        <v>10.7</v>
      </c>
      <c r="L100" t="s">
        <v>9</v>
      </c>
      <c r="M100" t="s">
        <v>14</v>
      </c>
      <c r="N100">
        <f t="shared" si="11"/>
        <v>12.040298040026173</v>
      </c>
      <c r="O100">
        <f t="shared" si="12"/>
        <v>1.7963988360980014</v>
      </c>
      <c r="P100" s="67" cm="1">
        <f t="array" ref="P100">SUMPRODUCT((H100=$H$7:$H$10000)*(N100&lt;$N$7:$N$10000))+1</f>
        <v>13</v>
      </c>
      <c r="Q100" s="72"/>
      <c r="R100">
        <v>4</v>
      </c>
      <c r="S100" t="str">
        <v>ARC</v>
      </c>
      <c r="T100" t="str">
        <v>Carlo de Nysschen</v>
      </c>
      <c r="U100" t="str">
        <v>NULL</v>
      </c>
      <c r="V100" t="str">
        <v>Away</v>
      </c>
      <c r="W100" t="str">
        <v>OGDC</v>
      </c>
      <c r="X100">
        <v>-1.4021987409989229</v>
      </c>
      <c r="Y100" t="str">
        <v>Simon-Peter Toleafoa</v>
      </c>
      <c r="Z100" s="1" cm="1">
        <f t="array" ref="Z100">COUNT(_xlfn._xlws.FILTER($H$7:$H$10000,($J$7:$J$10000=Y100)*($K$7:$K$10000&lt;&gt;"NULL")*($H$7:$H$10000 &gt;= ($G$1-5))))/5</f>
        <v>0.2</v>
      </c>
    </row>
    <row r="101" spans="1:26" x14ac:dyDescent="0.35">
      <c r="A101" t="s">
        <v>90</v>
      </c>
      <c r="B101" s="1">
        <v>-5.9203876998366747</v>
      </c>
      <c r="C101" s="1">
        <f t="shared" si="13"/>
        <v>82</v>
      </c>
      <c r="D101" s="1">
        <f t="shared" ca="1" si="14"/>
        <v>56.522947722887203</v>
      </c>
      <c r="E101" s="1">
        <f t="shared" ca="1" si="15"/>
        <v>84</v>
      </c>
      <c r="F101" s="1"/>
      <c r="G101">
        <f t="shared" si="16"/>
        <v>0.6</v>
      </c>
      <c r="H101" s="65">
        <v>2</v>
      </c>
      <c r="I101" t="s">
        <v>6</v>
      </c>
      <c r="J101" t="s">
        <v>437</v>
      </c>
      <c r="K101">
        <v>10.5</v>
      </c>
      <c r="L101" t="s">
        <v>3</v>
      </c>
      <c r="M101" t="s">
        <v>36</v>
      </c>
      <c r="N101">
        <f t="shared" si="11"/>
        <v>8.7921067378681261</v>
      </c>
      <c r="O101">
        <f t="shared" si="12"/>
        <v>2.9168993948354536</v>
      </c>
      <c r="P101" s="67" cm="1">
        <f t="array" ref="P101">SUMPRODUCT((H101=$H$7:$H$10000)*(N101&lt;$N$7:$N$10000))+1</f>
        <v>34</v>
      </c>
      <c r="Q101" s="72"/>
      <c r="R101">
        <v>4</v>
      </c>
      <c r="S101" t="str">
        <v>ARC</v>
      </c>
      <c r="T101" t="str">
        <v>Ashawnty Staples Flowers</v>
      </c>
      <c r="U101" t="str">
        <v>NULL</v>
      </c>
      <c r="V101" t="str">
        <v>Away</v>
      </c>
      <c r="W101" t="str">
        <v>OGDC</v>
      </c>
      <c r="X101">
        <v>-2.5908217730614655</v>
      </c>
      <c r="Y101" t="str">
        <v>Spencer Jones</v>
      </c>
      <c r="Z101" s="1" cm="1">
        <f t="array" ref="Z101">COUNT(_xlfn._xlws.FILTER($H$7:$H$10000,($J$7:$J$10000=Y101)*($K$7:$K$10000&lt;&gt;"NULL")*($H$7:$H$10000 &gt;= ($G$1-5))))/5</f>
        <v>0.4</v>
      </c>
    </row>
    <row r="102" spans="1:26" x14ac:dyDescent="0.35">
      <c r="A102" t="s">
        <v>12</v>
      </c>
      <c r="B102" s="1">
        <v>-6.1802042541760125</v>
      </c>
      <c r="C102" s="1">
        <f t="shared" si="13"/>
        <v>83</v>
      </c>
      <c r="D102" s="1">
        <f t="shared" ca="1" si="14"/>
        <v>53.405149070815149</v>
      </c>
      <c r="E102" s="1">
        <f t="shared" ca="1" si="15"/>
        <v>86</v>
      </c>
      <c r="F102" s="1"/>
      <c r="G102">
        <f t="shared" si="16"/>
        <v>0.2</v>
      </c>
      <c r="H102" s="65">
        <v>2</v>
      </c>
      <c r="I102" t="s">
        <v>4</v>
      </c>
      <c r="J102" t="s">
        <v>188</v>
      </c>
      <c r="K102">
        <v>10.5</v>
      </c>
      <c r="L102" t="s">
        <v>9</v>
      </c>
      <c r="M102" t="s">
        <v>24</v>
      </c>
      <c r="N102">
        <f t="shared" si="11"/>
        <v>9.1469155488327374</v>
      </c>
      <c r="O102">
        <f t="shared" si="12"/>
        <v>1.8308375319906123</v>
      </c>
      <c r="P102" s="67" cm="1">
        <f t="array" ref="P102">SUMPRODUCT((H102=$H$7:$H$10000)*(N102&lt;$N$7:$N$10000))+1</f>
        <v>28</v>
      </c>
      <c r="Q102" s="72"/>
      <c r="R102">
        <v>4</v>
      </c>
      <c r="S102" t="str">
        <v>OGDC</v>
      </c>
      <c r="T102" t="str">
        <v>Connor Buckley</v>
      </c>
      <c r="U102" t="str">
        <v>NULL</v>
      </c>
      <c r="V102" t="str">
        <v>Home</v>
      </c>
      <c r="W102" t="str">
        <v>ARC</v>
      </c>
      <c r="X102">
        <v>-2.6603198467064306</v>
      </c>
      <c r="Y102" t="str">
        <v>Steffan Hughes</v>
      </c>
      <c r="Z102" s="1" cm="1">
        <f t="array" ref="Z102">COUNT(_xlfn._xlws.FILTER($H$7:$H$10000,($J$7:$J$10000=Y102)*($K$7:$K$10000&lt;&gt;"NULL")*($H$7:$H$10000 &gt;= ($G$1-5))))/5</f>
        <v>0.4</v>
      </c>
    </row>
    <row r="103" spans="1:26" x14ac:dyDescent="0.35">
      <c r="A103" t="s">
        <v>444</v>
      </c>
      <c r="B103" s="1">
        <v>-6.190291596087679</v>
      </c>
      <c r="C103" s="1">
        <f t="shared" si="13"/>
        <v>84</v>
      </c>
      <c r="D103" s="1">
        <f t="shared" ca="1" si="14"/>
        <v>53.284100967875155</v>
      </c>
      <c r="E103" s="1">
        <f t="shared" ca="1" si="15"/>
        <v>88</v>
      </c>
      <c r="F103" s="1"/>
      <c r="G103">
        <f t="shared" si="16"/>
        <v>0.2</v>
      </c>
      <c r="H103" s="66">
        <v>2</v>
      </c>
      <c r="I103" t="s">
        <v>24</v>
      </c>
      <c r="J103" t="s">
        <v>101</v>
      </c>
      <c r="K103">
        <v>10.4</v>
      </c>
      <c r="L103" t="s">
        <v>3</v>
      </c>
      <c r="M103" t="s">
        <v>4</v>
      </c>
      <c r="N103">
        <f t="shared" si="11"/>
        <v>9.4522630798881799</v>
      </c>
      <c r="O103">
        <f t="shared" si="12"/>
        <v>0.89820526974303905</v>
      </c>
      <c r="P103" s="67" cm="1">
        <f t="array" ref="P103">SUMPRODUCT((H103=$H$7:$H$10000)*(N103&lt;$N$7:$N$10000))+1</f>
        <v>26</v>
      </c>
      <c r="Q103" s="72"/>
      <c r="R103">
        <v>5</v>
      </c>
      <c r="S103" t="str">
        <v>UTAH</v>
      </c>
      <c r="T103" t="str">
        <v>Joe Mano</v>
      </c>
      <c r="U103" t="str">
        <v>NULL</v>
      </c>
      <c r="V103" t="str">
        <v>Away</v>
      </c>
      <c r="W103" t="str">
        <v>MIA</v>
      </c>
      <c r="X103">
        <v>23.028710944923624</v>
      </c>
      <c r="Y103" t="str">
        <v>Tautalatasi Tasi</v>
      </c>
      <c r="Z103" s="1" cm="1">
        <f t="array" ref="Z103">COUNT(_xlfn._xlws.FILTER($H$7:$H$10000,($J$7:$J$10000=Y103)*($K$7:$K$10000&lt;&gt;"NULL")*($H$7:$H$10000 &gt;= ($G$1-5))))/5</f>
        <v>0.2</v>
      </c>
    </row>
    <row r="104" spans="1:26" x14ac:dyDescent="0.35">
      <c r="A104" t="s">
        <v>66</v>
      </c>
      <c r="B104" s="1">
        <v>-6.438359229135731</v>
      </c>
      <c r="C104" s="1">
        <f t="shared" si="13"/>
        <v>85</v>
      </c>
      <c r="D104" s="1">
        <f t="shared" ca="1" si="14"/>
        <v>37.796846033160044</v>
      </c>
      <c r="E104" s="1">
        <f t="shared" ca="1" si="15"/>
        <v>93</v>
      </c>
      <c r="F104" s="1"/>
      <c r="G104">
        <f t="shared" si="16"/>
        <v>0.2</v>
      </c>
      <c r="H104" s="66">
        <v>2</v>
      </c>
      <c r="I104" t="s">
        <v>36</v>
      </c>
      <c r="J104" t="s">
        <v>78</v>
      </c>
      <c r="K104">
        <v>10.199999999999999</v>
      </c>
      <c r="L104" t="s">
        <v>9</v>
      </c>
      <c r="M104" t="s">
        <v>6</v>
      </c>
      <c r="N104">
        <f t="shared" si="11"/>
        <v>12.811910778712374</v>
      </c>
      <c r="O104">
        <f t="shared" si="12"/>
        <v>6.8220779159538827</v>
      </c>
      <c r="P104" s="67" cm="1">
        <f t="array" ref="P104">SUMPRODUCT((H104=$H$7:$H$10000)*(N104&lt;$N$7:$N$10000))+1</f>
        <v>12</v>
      </c>
      <c r="Q104" s="72"/>
      <c r="R104">
        <v>5</v>
      </c>
      <c r="S104" t="str">
        <v>LA</v>
      </c>
      <c r="T104" t="str">
        <v>Rory van Vugt</v>
      </c>
      <c r="U104" t="str">
        <v>NULL</v>
      </c>
      <c r="V104" t="str">
        <v>Home</v>
      </c>
      <c r="W104" t="str">
        <v>SEA</v>
      </c>
      <c r="X104">
        <v>19.427212883885048</v>
      </c>
      <c r="Y104" t="str">
        <v>Tavite Lopeti</v>
      </c>
      <c r="Z104" s="1" cm="1">
        <f t="array" ref="Z104">COUNT(_xlfn._xlws.FILTER($H$7:$H$10000,($J$7:$J$10000=Y104)*($K$7:$K$10000&lt;&gt;"NULL")*($H$7:$H$10000 &gt;= ($G$1-5))))/5</f>
        <v>0.4</v>
      </c>
    </row>
    <row r="105" spans="1:26" x14ac:dyDescent="0.35">
      <c r="A105" t="s">
        <v>443</v>
      </c>
      <c r="B105" s="1">
        <v>-6.7916143456765399</v>
      </c>
      <c r="C105" s="1">
        <f t="shared" si="13"/>
        <v>86</v>
      </c>
      <c r="D105" s="1">
        <f t="shared" ca="1" si="14"/>
        <v>38.529208100366255</v>
      </c>
      <c r="E105" s="1">
        <f t="shared" ca="1" si="15"/>
        <v>92</v>
      </c>
      <c r="F105" s="1"/>
      <c r="G105">
        <f t="shared" si="16"/>
        <v>0.2</v>
      </c>
      <c r="H105" s="66">
        <v>2</v>
      </c>
      <c r="I105" t="s">
        <v>36</v>
      </c>
      <c r="J105" t="s">
        <v>476</v>
      </c>
      <c r="K105">
        <v>10.199999999999999</v>
      </c>
      <c r="L105" t="s">
        <v>9</v>
      </c>
      <c r="M105" t="s">
        <v>6</v>
      </c>
      <c r="N105">
        <f t="shared" si="11"/>
        <v>8.8567111772660283</v>
      </c>
      <c r="O105">
        <f t="shared" si="12"/>
        <v>1.8044248612820177</v>
      </c>
      <c r="P105" s="67" cm="1">
        <f t="array" ref="P105">SUMPRODUCT((H105=$H$7:$H$10000)*(N105&lt;$N$7:$N$10000))+1</f>
        <v>33</v>
      </c>
      <c r="Q105" s="72"/>
      <c r="R105">
        <v>5</v>
      </c>
      <c r="S105" t="str">
        <v>UTAH</v>
      </c>
      <c r="T105" t="str">
        <v>Nic Benn</v>
      </c>
      <c r="U105" t="str">
        <v>NULL</v>
      </c>
      <c r="V105" t="str">
        <v>Away</v>
      </c>
      <c r="W105" t="str">
        <v>MIA</v>
      </c>
      <c r="X105">
        <v>19.218175494213028</v>
      </c>
      <c r="Y105" t="str">
        <v>Tiaan Loots</v>
      </c>
      <c r="Z105" s="1" cm="1">
        <f t="array" ref="Z105">COUNT(_xlfn._xlws.FILTER($H$7:$H$10000,($J$7:$J$10000=Y105)*($K$7:$K$10000&lt;&gt;"NULL")*($H$7:$H$10000 &gt;= ($G$1-5))))/5</f>
        <v>0.4</v>
      </c>
    </row>
    <row r="106" spans="1:26" x14ac:dyDescent="0.35">
      <c r="A106" t="s">
        <v>48</v>
      </c>
      <c r="B106" s="1">
        <v>-6.8011622745596219</v>
      </c>
      <c r="C106" s="1">
        <f t="shared" si="13"/>
        <v>87</v>
      </c>
      <c r="D106" s="1">
        <f t="shared" ca="1" si="14"/>
        <v>40.216390586271743</v>
      </c>
      <c r="E106" s="1">
        <f t="shared" ca="1" si="15"/>
        <v>91</v>
      </c>
      <c r="F106" s="1"/>
      <c r="G106">
        <f t="shared" si="16"/>
        <v>0.4</v>
      </c>
      <c r="H106" s="66">
        <v>2</v>
      </c>
      <c r="I106" t="s">
        <v>2</v>
      </c>
      <c r="J106" t="s">
        <v>63</v>
      </c>
      <c r="K106">
        <v>10.1</v>
      </c>
      <c r="L106" t="s">
        <v>3</v>
      </c>
      <c r="M106" t="s">
        <v>13</v>
      </c>
      <c r="N106">
        <f t="shared" si="11"/>
        <v>9.690421969319674</v>
      </c>
      <c r="O106">
        <f t="shared" si="12"/>
        <v>0.16775416321597375</v>
      </c>
      <c r="P106" s="67" cm="1">
        <f t="array" ref="P106">SUMPRODUCT((H106=$H$7:$H$10000)*(N106&lt;$N$7:$N$10000))+1</f>
        <v>22</v>
      </c>
      <c r="Q106" s="72"/>
      <c r="R106">
        <v>5</v>
      </c>
      <c r="S106" t="str">
        <v>OGDC</v>
      </c>
      <c r="T106" t="str">
        <v>Axel Muller</v>
      </c>
      <c r="U106" t="str">
        <v>NULL</v>
      </c>
      <c r="V106" t="str">
        <v>Away</v>
      </c>
      <c r="W106" t="str">
        <v>CHI</v>
      </c>
      <c r="X106">
        <v>17.813979980673878</v>
      </c>
      <c r="Y106" t="str">
        <v>Tim Swiel</v>
      </c>
      <c r="Z106" s="1" cm="1">
        <f t="array" ref="Z106">COUNT(_xlfn._xlws.FILTER($H$7:$H$10000,($J$7:$J$10000=Y106)*($K$7:$K$10000&lt;&gt;"NULL")*($H$7:$H$10000 &gt;= ($G$1-5))))/5</f>
        <v>0.2</v>
      </c>
    </row>
    <row r="107" spans="1:26" x14ac:dyDescent="0.35">
      <c r="A107" t="s">
        <v>459</v>
      </c>
      <c r="B107" s="1">
        <v>-6.8599379580832451</v>
      </c>
      <c r="C107" s="1">
        <f t="shared" si="13"/>
        <v>88</v>
      </c>
      <c r="D107" s="1">
        <f t="shared" ca="1" si="14"/>
        <v>37.14874235429432</v>
      </c>
      <c r="E107" s="1">
        <f t="shared" ca="1" si="15"/>
        <v>95</v>
      </c>
      <c r="F107" s="1"/>
      <c r="G107">
        <f t="shared" si="16"/>
        <v>0.4</v>
      </c>
      <c r="H107" s="66">
        <v>2</v>
      </c>
      <c r="I107" t="s">
        <v>13</v>
      </c>
      <c r="J107" t="s">
        <v>477</v>
      </c>
      <c r="K107">
        <v>9.6999999999999993</v>
      </c>
      <c r="L107" t="s">
        <v>9</v>
      </c>
      <c r="M107" t="s">
        <v>2</v>
      </c>
      <c r="N107">
        <f t="shared" si="11"/>
        <v>9.5000806394613591</v>
      </c>
      <c r="O107">
        <f t="shared" si="12"/>
        <v>3.9967750718178825E-2</v>
      </c>
      <c r="P107" s="67" cm="1">
        <f t="array" ref="P107">SUMPRODUCT((H107=$H$7:$H$10000)*(N107&lt;$N$7:$N$10000))+1</f>
        <v>25</v>
      </c>
      <c r="Q107" s="72"/>
      <c r="R107">
        <v>5</v>
      </c>
      <c r="S107" t="str">
        <v>LA</v>
      </c>
      <c r="T107" t="str">
        <v>Billy Meakes</v>
      </c>
      <c r="U107" t="str">
        <v>NULL</v>
      </c>
      <c r="V107" t="str">
        <v>Home</v>
      </c>
      <c r="W107" t="str">
        <v>SEA</v>
      </c>
      <c r="X107">
        <v>15.751600097391318</v>
      </c>
      <c r="Y107" t="str">
        <v>Tomas Aoake</v>
      </c>
      <c r="Z107" s="1" cm="1">
        <f t="array" ref="Z107">COUNT(_xlfn._xlws.FILTER($H$7:$H$10000,($J$7:$J$10000=Y107)*($K$7:$K$10000&lt;&gt;"NULL")*($H$7:$H$10000 &gt;= ($G$1-5))))/5</f>
        <v>0.6</v>
      </c>
    </row>
    <row r="108" spans="1:26" x14ac:dyDescent="0.35">
      <c r="A108" t="s">
        <v>123</v>
      </c>
      <c r="B108" s="1">
        <v>-7.0487251759298992</v>
      </c>
      <c r="C108" s="1">
        <f t="shared" si="13"/>
        <v>89</v>
      </c>
      <c r="D108" s="1">
        <f t="shared" ca="1" si="14"/>
        <v>37.493198671198684</v>
      </c>
      <c r="E108" s="1">
        <f t="shared" ca="1" si="15"/>
        <v>94</v>
      </c>
      <c r="F108" s="1"/>
      <c r="G108">
        <f t="shared" si="16"/>
        <v>0.6</v>
      </c>
      <c r="H108" s="66">
        <v>2</v>
      </c>
      <c r="I108" t="s">
        <v>6</v>
      </c>
      <c r="J108" t="s">
        <v>43</v>
      </c>
      <c r="K108">
        <v>9.4</v>
      </c>
      <c r="L108" t="s">
        <v>3</v>
      </c>
      <c r="M108" t="s">
        <v>36</v>
      </c>
      <c r="N108">
        <f t="shared" si="11"/>
        <v>8.0439022301393681</v>
      </c>
      <c r="O108">
        <f t="shared" si="12"/>
        <v>1.8390011614209802</v>
      </c>
      <c r="P108" s="67" cm="1">
        <f t="array" ref="P108">SUMPRODUCT((H108=$H$7:$H$10000)*(N108&lt;$N$7:$N$10000))+1</f>
        <v>39</v>
      </c>
      <c r="Q108" s="72"/>
      <c r="R108">
        <v>5</v>
      </c>
      <c r="S108" t="str">
        <v>UTAH</v>
      </c>
      <c r="T108" t="str">
        <v>D'Angelo Leuila</v>
      </c>
      <c r="U108" t="str">
        <v>NULL</v>
      </c>
      <c r="V108" t="str">
        <v>Away</v>
      </c>
      <c r="W108" t="str">
        <v>MIA</v>
      </c>
      <c r="X108">
        <v>15.555420281427676</v>
      </c>
      <c r="Y108" t="str">
        <v>Tomás Cubelli</v>
      </c>
      <c r="Z108" s="1" cm="1">
        <f t="array" ref="Z108">COUNT(_xlfn._xlws.FILTER($H$7:$H$10000,($J$7:$J$10000=Y108)*($K$7:$K$10000&lt;&gt;"NULL")*($H$7:$H$10000 &gt;= ($G$1-5))))/5</f>
        <v>0.4</v>
      </c>
    </row>
    <row r="109" spans="1:26" x14ac:dyDescent="0.35">
      <c r="A109" t="s">
        <v>475</v>
      </c>
      <c r="B109" s="1">
        <v>-7.1237107875596513</v>
      </c>
      <c r="C109" s="1">
        <f t="shared" si="13"/>
        <v>90</v>
      </c>
      <c r="D109" s="1">
        <f t="shared" ca="1" si="14"/>
        <v>35.908398806730233</v>
      </c>
      <c r="E109" s="1">
        <f t="shared" ca="1" si="15"/>
        <v>97</v>
      </c>
      <c r="F109" s="1"/>
      <c r="G109">
        <f t="shared" si="16"/>
        <v>0.4</v>
      </c>
      <c r="H109" s="66">
        <v>2</v>
      </c>
      <c r="I109" t="s">
        <v>24</v>
      </c>
      <c r="J109" t="s">
        <v>84</v>
      </c>
      <c r="K109">
        <v>9.1</v>
      </c>
      <c r="L109" t="s">
        <v>3</v>
      </c>
      <c r="M109" t="s">
        <v>4</v>
      </c>
      <c r="N109">
        <f t="shared" si="11"/>
        <v>9.6337513418772982</v>
      </c>
      <c r="O109">
        <f t="shared" si="12"/>
        <v>0.28489049495581686</v>
      </c>
      <c r="P109" s="67" cm="1">
        <f t="array" ref="P109">SUMPRODUCT((H109=$H$7:$H$10000)*(N109&lt;$N$7:$N$10000))+1</f>
        <v>23</v>
      </c>
      <c r="Q109" s="72"/>
      <c r="R109">
        <v>5</v>
      </c>
      <c r="S109" t="str">
        <v>LA</v>
      </c>
      <c r="T109" t="str">
        <v>Matias Jensen</v>
      </c>
      <c r="U109" t="str">
        <v>NULL</v>
      </c>
      <c r="V109" t="str">
        <v>Home</v>
      </c>
      <c r="W109" t="str">
        <v>SEA</v>
      </c>
      <c r="X109">
        <v>13.787842220186928</v>
      </c>
      <c r="Y109" t="str">
        <v>Tomás Cubilla</v>
      </c>
      <c r="Z109" s="1" cm="1">
        <f t="array" ref="Z109">COUNT(_xlfn._xlws.FILTER($H$7:$H$10000,($J$7:$J$10000=Y109)*($K$7:$K$10000&lt;&gt;"NULL")*($H$7:$H$10000 &gt;= ($G$1-5))))/5</f>
        <v>0.4</v>
      </c>
    </row>
    <row r="110" spans="1:26" x14ac:dyDescent="0.35">
      <c r="A110" t="s">
        <v>278</v>
      </c>
      <c r="B110" s="1">
        <v>-7.3323126956103888</v>
      </c>
      <c r="C110" s="1">
        <f t="shared" si="13"/>
        <v>91</v>
      </c>
      <c r="D110" s="1">
        <f t="shared" ca="1" si="14"/>
        <v>28.798476830477863</v>
      </c>
      <c r="E110" s="1">
        <f t="shared" ca="1" si="15"/>
        <v>100</v>
      </c>
      <c r="F110" s="1"/>
      <c r="G110">
        <f t="shared" si="16"/>
        <v>0.4</v>
      </c>
      <c r="H110" s="66">
        <v>2</v>
      </c>
      <c r="I110" t="s">
        <v>4</v>
      </c>
      <c r="J110" t="s">
        <v>452</v>
      </c>
      <c r="K110">
        <v>8.9</v>
      </c>
      <c r="L110" t="s">
        <v>9</v>
      </c>
      <c r="M110" t="s">
        <v>24</v>
      </c>
      <c r="N110">
        <f t="shared" si="11"/>
        <v>8.6995423011958515</v>
      </c>
      <c r="O110">
        <f t="shared" si="12"/>
        <v>4.0183289009854871E-2</v>
      </c>
      <c r="P110" s="67" cm="1">
        <f t="array" ref="P110">SUMPRODUCT((H110=$H$7:$H$10000)*(N110&lt;$N$7:$N$10000))+1</f>
        <v>35</v>
      </c>
      <c r="Q110" s="72"/>
      <c r="R110">
        <v>5</v>
      </c>
      <c r="S110" t="str">
        <v>SEA</v>
      </c>
      <c r="T110" t="str">
        <v>Eddie Fouche</v>
      </c>
      <c r="U110" t="str">
        <v>NULL</v>
      </c>
      <c r="V110" t="str">
        <v>Away</v>
      </c>
      <c r="W110" t="str">
        <v>LA</v>
      </c>
      <c r="X110">
        <v>13.750363304173199</v>
      </c>
      <c r="Y110" t="str">
        <v>Tomás Inciarte</v>
      </c>
      <c r="Z110" s="1" cm="1">
        <f t="array" ref="Z110">COUNT(_xlfn._xlws.FILTER($H$7:$H$10000,($J$7:$J$10000=Y110)*($K$7:$K$10000&lt;&gt;"NULL")*($H$7:$H$10000 &gt;= ($G$1-5))))/5</f>
        <v>0.2</v>
      </c>
    </row>
    <row r="111" spans="1:26" x14ac:dyDescent="0.35">
      <c r="A111" t="s">
        <v>127</v>
      </c>
      <c r="B111" s="1">
        <v>-7.3385184275438071</v>
      </c>
      <c r="C111" s="1">
        <f t="shared" si="13"/>
        <v>92</v>
      </c>
      <c r="D111" s="1">
        <f t="shared" ca="1" si="14"/>
        <v>31.966359117959041</v>
      </c>
      <c r="E111" s="1">
        <f t="shared" ca="1" si="15"/>
        <v>99</v>
      </c>
      <c r="F111" s="1"/>
      <c r="G111">
        <f t="shared" si="16"/>
        <v>0.4</v>
      </c>
      <c r="H111" s="66">
        <v>2</v>
      </c>
      <c r="I111" t="s">
        <v>13</v>
      </c>
      <c r="J111" t="s">
        <v>478</v>
      </c>
      <c r="K111">
        <v>8.3000000000000007</v>
      </c>
      <c r="L111" t="s">
        <v>9</v>
      </c>
      <c r="M111" t="s">
        <v>2</v>
      </c>
      <c r="N111">
        <f t="shared" si="11"/>
        <v>7.4162629619756526</v>
      </c>
      <c r="O111">
        <f t="shared" si="12"/>
        <v>0.7809911523760481</v>
      </c>
      <c r="P111" s="67" cm="1">
        <f t="array" ref="P111">SUMPRODUCT((H111=$H$7:$H$10000)*(N111&lt;$N$7:$N$10000))+1</f>
        <v>42</v>
      </c>
      <c r="Q111" s="72"/>
      <c r="R111">
        <v>5</v>
      </c>
      <c r="S111" t="str">
        <v>MIA</v>
      </c>
      <c r="T111" t="str">
        <v>Tomás Cubilla</v>
      </c>
      <c r="U111" t="str">
        <v>NULL</v>
      </c>
      <c r="V111" t="str">
        <v>Home</v>
      </c>
      <c r="W111" t="str">
        <v>UTAH</v>
      </c>
      <c r="X111">
        <v>13.614355546771186</v>
      </c>
      <c r="Y111" t="str">
        <v>Tomas Malanos</v>
      </c>
      <c r="Z111" s="1" cm="1">
        <f t="array" ref="Z111">COUNT(_xlfn._xlws.FILTER($H$7:$H$10000,($J$7:$J$10000=Y111)*($K$7:$K$10000&lt;&gt;"NULL")*($H$7:$H$10000 &gt;= ($G$1-5))))/5</f>
        <v>0.4</v>
      </c>
    </row>
    <row r="112" spans="1:26" x14ac:dyDescent="0.35">
      <c r="A112" t="s">
        <v>19</v>
      </c>
      <c r="B112" s="1">
        <v>-7.3731992620733244</v>
      </c>
      <c r="C112" s="1">
        <f t="shared" si="13"/>
        <v>93</v>
      </c>
      <c r="D112" s="1">
        <f t="shared" ca="1" si="14"/>
        <v>42.176736094873327</v>
      </c>
      <c r="E112" s="1">
        <f t="shared" ca="1" si="15"/>
        <v>90</v>
      </c>
      <c r="F112" s="1"/>
      <c r="G112">
        <f t="shared" si="16"/>
        <v>0.4</v>
      </c>
      <c r="H112" s="66">
        <v>2</v>
      </c>
      <c r="I112" t="s">
        <v>2</v>
      </c>
      <c r="J112" t="s">
        <v>441</v>
      </c>
      <c r="K112">
        <v>8.1999999999999993</v>
      </c>
      <c r="L112" t="s">
        <v>3</v>
      </c>
      <c r="M112" t="s">
        <v>13</v>
      </c>
      <c r="N112">
        <f t="shared" si="11"/>
        <v>7.1654260260140452</v>
      </c>
      <c r="O112">
        <f t="shared" si="12"/>
        <v>1.0703433076490896</v>
      </c>
      <c r="P112" s="67" cm="1">
        <f t="array" ref="P112">SUMPRODUCT((H112=$H$7:$H$10000)*(N112&lt;$N$7:$N$10000))+1</f>
        <v>43</v>
      </c>
      <c r="Q112" s="72"/>
      <c r="R112">
        <v>5</v>
      </c>
      <c r="S112" t="str">
        <v>UTAH</v>
      </c>
      <c r="T112" t="str">
        <v>Jordan Trainor</v>
      </c>
      <c r="U112" t="str">
        <v>NULL</v>
      </c>
      <c r="V112" t="str">
        <v>Away</v>
      </c>
      <c r="W112" t="str">
        <v>MIA</v>
      </c>
      <c r="X112">
        <v>13.05292614129724</v>
      </c>
      <c r="Y112" t="str">
        <v>Wayne van der Bank</v>
      </c>
      <c r="Z112" s="1" cm="1">
        <f t="array" ref="Z112">COUNT(_xlfn._xlws.FILTER($H$7:$H$10000,($J$7:$J$10000=Y112)*($K$7:$K$10000&lt;&gt;"NULL")*($H$7:$H$10000 &gt;= ($G$1-5))))/5</f>
        <v>0.4</v>
      </c>
    </row>
    <row r="113" spans="1:26" x14ac:dyDescent="0.35">
      <c r="A113" t="s">
        <v>76</v>
      </c>
      <c r="B113" s="1">
        <v>-7.5312244889624225</v>
      </c>
      <c r="C113" s="1">
        <f t="shared" si="13"/>
        <v>94</v>
      </c>
      <c r="D113" s="1">
        <f t="shared" ca="1" si="14"/>
        <v>34.053799477685111</v>
      </c>
      <c r="E113" s="1">
        <f t="shared" ca="1" si="15"/>
        <v>98</v>
      </c>
      <c r="F113" s="1"/>
      <c r="G113">
        <f t="shared" si="16"/>
        <v>0.2</v>
      </c>
      <c r="H113" s="66">
        <v>2</v>
      </c>
      <c r="I113" t="s">
        <v>24</v>
      </c>
      <c r="J113" t="s">
        <v>439</v>
      </c>
      <c r="K113">
        <v>7.8</v>
      </c>
      <c r="L113" t="s">
        <v>3</v>
      </c>
      <c r="M113" t="s">
        <v>4</v>
      </c>
      <c r="N113">
        <f t="shared" si="11"/>
        <v>9.1125515941654971</v>
      </c>
      <c r="O113">
        <f t="shared" si="12"/>
        <v>1.7227916873463882</v>
      </c>
      <c r="P113" s="67" cm="1">
        <f t="array" ref="P113">SUMPRODUCT((H113=$H$7:$H$10000)*(N113&lt;$N$7:$N$10000))+1</f>
        <v>30</v>
      </c>
      <c r="Q113" s="72"/>
      <c r="R113">
        <v>5</v>
      </c>
      <c r="S113" t="str">
        <v>SEA</v>
      </c>
      <c r="T113" t="str">
        <v>Rodney Iona</v>
      </c>
      <c r="U113" t="str">
        <v>NULL</v>
      </c>
      <c r="V113" t="str">
        <v>Away</v>
      </c>
      <c r="W113" t="str">
        <v>LA</v>
      </c>
      <c r="X113">
        <v>12.895278038617375</v>
      </c>
      <c r="Y113" t="str">
        <v>Xavier Mignot</v>
      </c>
      <c r="Z113" s="1" cm="1">
        <f t="array" ref="Z113">COUNT(_xlfn._xlws.FILTER($H$7:$H$10000,($J$7:$J$10000=Y113)*($K$7:$K$10000&lt;&gt;"NULL")*($H$7:$H$10000 &gt;= ($G$1-5))))/5</f>
        <v>0.4</v>
      </c>
    </row>
    <row r="114" spans="1:26" x14ac:dyDescent="0.35">
      <c r="A114" t="s">
        <v>499</v>
      </c>
      <c r="B114" s="1">
        <v>-7.5598209838943484</v>
      </c>
      <c r="C114" s="1">
        <f t="shared" si="13"/>
        <v>95</v>
      </c>
      <c r="D114" s="1">
        <f t="shared" ca="1" si="14"/>
        <v>36.849748314195118</v>
      </c>
      <c r="E114" s="1">
        <f t="shared" ca="1" si="15"/>
        <v>96</v>
      </c>
      <c r="F114" s="1"/>
      <c r="G114">
        <f t="shared" si="16"/>
        <v>0.2</v>
      </c>
      <c r="H114" s="66">
        <v>2</v>
      </c>
      <c r="I114" t="s">
        <v>2</v>
      </c>
      <c r="J114" t="s">
        <v>449</v>
      </c>
      <c r="K114">
        <v>7.6</v>
      </c>
      <c r="L114" t="s">
        <v>3</v>
      </c>
      <c r="M114" t="s">
        <v>13</v>
      </c>
      <c r="N114">
        <f t="shared" si="11"/>
        <v>10.581691005116589</v>
      </c>
      <c r="O114">
        <f t="shared" si="12"/>
        <v>8.8904812499931776</v>
      </c>
      <c r="P114" s="67" cm="1">
        <f t="array" ref="P114">SUMPRODUCT((H114=$H$7:$H$10000)*(N114&lt;$N$7:$N$10000))+1</f>
        <v>17</v>
      </c>
      <c r="Q114" s="72"/>
      <c r="R114">
        <v>5</v>
      </c>
      <c r="S114" t="str">
        <v>LA</v>
      </c>
      <c r="T114" t="str">
        <v>Christian Leali'ifano</v>
      </c>
      <c r="U114" t="str">
        <v>NULL</v>
      </c>
      <c r="V114" t="str">
        <v>Home</v>
      </c>
      <c r="W114" t="str">
        <v>SEA</v>
      </c>
      <c r="X114">
        <v>12.63660959821912</v>
      </c>
      <c r="Y114">
        <v>0</v>
      </c>
      <c r="Z114" s="1" cm="1">
        <f t="array" ref="Z114">COUNT(_xlfn._xlws.FILTER($H$7:$H$10000,($J$7:$J$10000=Y114)*($K$7:$K$10000&lt;&gt;"NULL")*($H$7:$H$10000 &gt;= ($G$1-5))))/5</f>
        <v>0</v>
      </c>
    </row>
    <row r="115" spans="1:26" x14ac:dyDescent="0.35">
      <c r="A115" t="s">
        <v>456</v>
      </c>
      <c r="B115" s="1">
        <v>-8.1012529461076479</v>
      </c>
      <c r="C115" s="1">
        <f t="shared" si="13"/>
        <v>96</v>
      </c>
      <c r="D115" s="1">
        <f t="shared" ca="1" si="14"/>
        <v>22.813544895192951</v>
      </c>
      <c r="E115" s="1">
        <f t="shared" ca="1" si="15"/>
        <v>103</v>
      </c>
      <c r="F115" s="1"/>
      <c r="G115">
        <f t="shared" si="16"/>
        <v>0.2</v>
      </c>
      <c r="H115" s="66">
        <v>2</v>
      </c>
      <c r="I115" t="s">
        <v>14</v>
      </c>
      <c r="J115" t="s">
        <v>285</v>
      </c>
      <c r="K115">
        <v>7.3</v>
      </c>
      <c r="L115" t="s">
        <v>3</v>
      </c>
      <c r="M115" t="s">
        <v>34</v>
      </c>
      <c r="N115">
        <f t="shared" si="11"/>
        <v>5.0542342172861723</v>
      </c>
      <c r="O115">
        <f t="shared" si="12"/>
        <v>5.0434639508082508</v>
      </c>
      <c r="P115" s="67" cm="1">
        <f t="array" ref="P115">SUMPRODUCT((H115=$H$7:$H$10000)*(N115&lt;$N$7:$N$10000))+1</f>
        <v>51</v>
      </c>
      <c r="Q115" s="72"/>
      <c r="R115">
        <v>5</v>
      </c>
      <c r="S115" t="str">
        <v>SEA</v>
      </c>
      <c r="T115" t="str">
        <v>Duncan Matthews</v>
      </c>
      <c r="U115" t="str">
        <v>NULL</v>
      </c>
      <c r="V115" t="str">
        <v>Away</v>
      </c>
      <c r="W115" t="str">
        <v>LA</v>
      </c>
      <c r="X115">
        <v>12.445860286668376</v>
      </c>
      <c r="Z115" s="1" cm="1">
        <f t="array" ref="Z115">COUNT(_xlfn._xlws.FILTER($H$7:$H$10000,($J$7:$J$10000=Y115)*($K$7:$K$10000&lt;&gt;"NULL")*($H$7:$H$10000 &gt;= ($G$1-5))))/5</f>
        <v>0</v>
      </c>
    </row>
    <row r="116" spans="1:26" x14ac:dyDescent="0.35">
      <c r="A116" t="s">
        <v>458</v>
      </c>
      <c r="B116" s="1">
        <v>-8.1572543671975151</v>
      </c>
      <c r="C116" s="1">
        <f t="shared" ref="C116:C131" si="17">RANK($B116,$B$20:$B$188,0)</f>
        <v>97</v>
      </c>
      <c r="D116" s="1">
        <f t="shared" ref="D116:D131" ca="1" si="18">SUMIF(R:V,$A116,V:V)</f>
        <v>26.541440938863992</v>
      </c>
      <c r="E116" s="1">
        <f t="shared" ref="E116:E131" ca="1" si="19">RANK($D116,$D$20:$D$188,0)</f>
        <v>101</v>
      </c>
      <c r="F116" s="1"/>
      <c r="G116">
        <f t="shared" ref="G116:G131" si="20">VLOOKUP($A116,$Y$7:$Z$1000,2,FALSE)</f>
        <v>0.2</v>
      </c>
      <c r="H116" s="66">
        <v>2</v>
      </c>
      <c r="I116" t="s">
        <v>2</v>
      </c>
      <c r="J116" t="s">
        <v>44</v>
      </c>
      <c r="K116">
        <v>7.2</v>
      </c>
      <c r="L116" t="s">
        <v>3</v>
      </c>
      <c r="M116" t="s">
        <v>13</v>
      </c>
      <c r="N116">
        <f t="shared" si="11"/>
        <v>8.0321177413554246</v>
      </c>
      <c r="O116">
        <f t="shared" si="12"/>
        <v>0.69241993547845293</v>
      </c>
      <c r="P116" s="67" cm="1">
        <f t="array" ref="P116">SUMPRODUCT((H116=$H$7:$H$10000)*(N116&lt;$N$7:$N$10000))+1</f>
        <v>40</v>
      </c>
      <c r="Q116" s="72"/>
      <c r="R116">
        <v>5</v>
      </c>
      <c r="S116" t="str">
        <v>SEA</v>
      </c>
      <c r="T116" t="str">
        <v>Divan Rossouw</v>
      </c>
      <c r="U116" t="str">
        <v>NULL</v>
      </c>
      <c r="V116" t="str">
        <v>Away</v>
      </c>
      <c r="W116" t="str">
        <v>LA</v>
      </c>
      <c r="X116">
        <v>12.327760110008782</v>
      </c>
      <c r="Z116" s="1" cm="1">
        <f t="array" ref="Z116">COUNT(_xlfn._xlws.FILTER($H$7:$H$10000,($J$7:$J$10000=Y116)*($K$7:$K$10000&lt;&gt;"NULL")*($H$7:$H$10000 &gt;= ($G$1-5))))/5</f>
        <v>0</v>
      </c>
    </row>
    <row r="117" spans="1:26" x14ac:dyDescent="0.35">
      <c r="A117" t="s">
        <v>488</v>
      </c>
      <c r="B117" s="1">
        <v>-8.2857395135723113</v>
      </c>
      <c r="C117" s="1">
        <f t="shared" si="17"/>
        <v>98</v>
      </c>
      <c r="D117" s="1">
        <f t="shared" ca="1" si="18"/>
        <v>18.310781832896708</v>
      </c>
      <c r="E117" s="1">
        <f t="shared" ca="1" si="19"/>
        <v>107</v>
      </c>
      <c r="F117" s="1"/>
      <c r="G117">
        <f t="shared" si="20"/>
        <v>0.2</v>
      </c>
      <c r="H117" s="66">
        <v>2</v>
      </c>
      <c r="I117" t="s">
        <v>2</v>
      </c>
      <c r="J117" t="s">
        <v>455</v>
      </c>
      <c r="K117">
        <v>6.6</v>
      </c>
      <c r="L117" t="s">
        <v>3</v>
      </c>
      <c r="M117" t="s">
        <v>13</v>
      </c>
      <c r="N117">
        <f t="shared" si="11"/>
        <v>8.6630041286071062</v>
      </c>
      <c r="O117">
        <f t="shared" si="12"/>
        <v>4.2559860346499674</v>
      </c>
      <c r="P117" s="67" cm="1">
        <f t="array" ref="P117">SUMPRODUCT((H117=$H$7:$H$10000)*(N117&lt;$N$7:$N$10000))+1</f>
        <v>36</v>
      </c>
      <c r="Q117" s="72"/>
      <c r="R117">
        <v>5</v>
      </c>
      <c r="S117" t="str">
        <v>NOLA</v>
      </c>
      <c r="T117" t="str">
        <v>Cooper Coats</v>
      </c>
      <c r="U117" t="str">
        <v>NULL</v>
      </c>
      <c r="V117" t="str">
        <v>Away</v>
      </c>
      <c r="W117" t="str">
        <v>NEFJ</v>
      </c>
      <c r="X117">
        <v>11.904959035404479</v>
      </c>
      <c r="Z117" s="1" cm="1">
        <f t="array" ref="Z117">COUNT(_xlfn._xlws.FILTER($H$7:$H$10000,($J$7:$J$10000=Y117)*($K$7:$K$10000&lt;&gt;"NULL")*($H$7:$H$10000 &gt;= ($G$1-5))))/5</f>
        <v>0</v>
      </c>
    </row>
    <row r="118" spans="1:26" x14ac:dyDescent="0.35">
      <c r="A118" t="s">
        <v>334</v>
      </c>
      <c r="B118" s="1">
        <v>-8.3279408008012226</v>
      </c>
      <c r="C118" s="1">
        <f t="shared" si="17"/>
        <v>99</v>
      </c>
      <c r="D118" s="1">
        <f t="shared" ca="1" si="18"/>
        <v>23.421826797614123</v>
      </c>
      <c r="E118" s="1">
        <f t="shared" ca="1" si="19"/>
        <v>102</v>
      </c>
      <c r="F118" s="1"/>
      <c r="G118">
        <f t="shared" si="20"/>
        <v>0.2</v>
      </c>
      <c r="H118" s="66">
        <v>2</v>
      </c>
      <c r="I118" t="s">
        <v>14</v>
      </c>
      <c r="J118" t="s">
        <v>278</v>
      </c>
      <c r="K118">
        <v>6.4</v>
      </c>
      <c r="L118" t="s">
        <v>3</v>
      </c>
      <c r="M118" t="s">
        <v>34</v>
      </c>
      <c r="N118">
        <f t="shared" si="11"/>
        <v>2.52751052196946</v>
      </c>
      <c r="O118">
        <f t="shared" si="12"/>
        <v>14.996174757457247</v>
      </c>
      <c r="P118" s="67" cm="1">
        <f t="array" ref="P118">SUMPRODUCT((H118=$H$7:$H$10000)*(N118&lt;$N$7:$N$10000))+1</f>
        <v>56</v>
      </c>
      <c r="Q118" s="72"/>
      <c r="R118">
        <v>5</v>
      </c>
      <c r="S118" t="str">
        <v>LA</v>
      </c>
      <c r="T118" t="str">
        <v>Gonzalo Bertranou</v>
      </c>
      <c r="U118" t="str">
        <v>NULL</v>
      </c>
      <c r="V118" t="str">
        <v>Home</v>
      </c>
      <c r="W118" t="str">
        <v>SEA</v>
      </c>
      <c r="X118">
        <v>11.666827682791133</v>
      </c>
      <c r="Z118" s="1" cm="1">
        <f t="array" ref="Z118">COUNT(_xlfn._xlws.FILTER($H$7:$H$10000,($J$7:$J$10000=Y118)*($K$7:$K$10000&lt;&gt;"NULL")*($H$7:$H$10000 &gt;= ($G$1-5))))/5</f>
        <v>0</v>
      </c>
    </row>
    <row r="119" spans="1:26" x14ac:dyDescent="0.35">
      <c r="A119" t="s">
        <v>340</v>
      </c>
      <c r="B119" s="1">
        <v>-8.4064963749166761</v>
      </c>
      <c r="C119" s="1">
        <f t="shared" si="17"/>
        <v>100</v>
      </c>
      <c r="D119" s="1">
        <f t="shared" ca="1" si="18"/>
        <v>19.150623749484616</v>
      </c>
      <c r="E119" s="1">
        <f t="shared" ca="1" si="19"/>
        <v>106</v>
      </c>
      <c r="F119" s="1"/>
      <c r="G119">
        <f t="shared" si="20"/>
        <v>0.4</v>
      </c>
      <c r="H119" s="66">
        <v>2</v>
      </c>
      <c r="I119" t="s">
        <v>36</v>
      </c>
      <c r="J119" t="s">
        <v>123</v>
      </c>
      <c r="K119">
        <v>6.4</v>
      </c>
      <c r="L119" t="s">
        <v>9</v>
      </c>
      <c r="M119" t="s">
        <v>6</v>
      </c>
      <c r="N119">
        <f t="shared" si="11"/>
        <v>5.7624373720510151</v>
      </c>
      <c r="O119">
        <f t="shared" si="12"/>
        <v>0.40648610455721612</v>
      </c>
      <c r="P119" s="67" cm="1">
        <f t="array" ref="P119">SUMPRODUCT((H119=$H$7:$H$10000)*(N119&lt;$N$7:$N$10000))+1</f>
        <v>48</v>
      </c>
      <c r="Q119" s="72"/>
      <c r="R119">
        <v>5</v>
      </c>
      <c r="S119" t="str">
        <v>MIA</v>
      </c>
      <c r="T119" t="str">
        <v>Marcos Young</v>
      </c>
      <c r="U119" t="str">
        <v>NULL</v>
      </c>
      <c r="V119" t="str">
        <v>Home</v>
      </c>
      <c r="W119" t="str">
        <v>UTAH</v>
      </c>
      <c r="X119">
        <v>11.635546381751706</v>
      </c>
      <c r="Z119" s="1" cm="1">
        <f t="array" ref="Z119">COUNT(_xlfn._xlws.FILTER($H$7:$H$10000,($J$7:$J$10000=Y119)*($K$7:$K$10000&lt;&gt;"NULL")*($H$7:$H$10000 &gt;= ($G$1-5))))/5</f>
        <v>0</v>
      </c>
    </row>
    <row r="120" spans="1:26" x14ac:dyDescent="0.35">
      <c r="A120" t="s">
        <v>92</v>
      </c>
      <c r="B120" s="1">
        <v>-9.1571941409257995</v>
      </c>
      <c r="C120" s="1">
        <f t="shared" si="17"/>
        <v>101</v>
      </c>
      <c r="D120" s="1">
        <f t="shared" ca="1" si="18"/>
        <v>20.768797548643629</v>
      </c>
      <c r="E120" s="1">
        <f t="shared" ca="1" si="19"/>
        <v>104</v>
      </c>
      <c r="F120" s="1"/>
      <c r="G120">
        <f t="shared" si="20"/>
        <v>0.4</v>
      </c>
      <c r="H120" s="66">
        <v>2</v>
      </c>
      <c r="I120" t="s">
        <v>13</v>
      </c>
      <c r="J120" t="s">
        <v>472</v>
      </c>
      <c r="K120">
        <v>6.3</v>
      </c>
      <c r="L120" t="s">
        <v>9</v>
      </c>
      <c r="M120" t="s">
        <v>2</v>
      </c>
      <c r="N120">
        <f t="shared" si="11"/>
        <v>4.4458305170823254</v>
      </c>
      <c r="O120">
        <f t="shared" si="12"/>
        <v>3.4379444713831964</v>
      </c>
      <c r="P120" s="67" cm="1">
        <f t="array" ref="P120">SUMPRODUCT((H120=$H$7:$H$10000)*(N120&lt;$N$7:$N$10000))+1</f>
        <v>53</v>
      </c>
      <c r="Q120" s="72"/>
      <c r="R120">
        <v>5</v>
      </c>
      <c r="S120" t="str">
        <v>MIA</v>
      </c>
      <c r="T120" t="str">
        <v>Martin Elias</v>
      </c>
      <c r="U120" t="str">
        <v>NULL</v>
      </c>
      <c r="V120" t="str">
        <v>Home</v>
      </c>
      <c r="W120" t="str">
        <v>UTAH</v>
      </c>
      <c r="X120">
        <v>11.604482514149208</v>
      </c>
      <c r="Z120" s="1" cm="1">
        <f t="array" ref="Z120">COUNT(_xlfn._xlws.FILTER($H$7:$H$10000,($J$7:$J$10000=Y120)*($K$7:$K$10000&lt;&gt;"NULL")*($H$7:$H$10000 &gt;= ($G$1-5))))/5</f>
        <v>0</v>
      </c>
    </row>
    <row r="121" spans="1:26" x14ac:dyDescent="0.35">
      <c r="A121" t="s">
        <v>131</v>
      </c>
      <c r="B121" s="1">
        <v>-9.1900518328737846</v>
      </c>
      <c r="C121" s="1">
        <f t="shared" si="17"/>
        <v>102</v>
      </c>
      <c r="D121" s="1">
        <f t="shared" ca="1" si="18"/>
        <v>20.374505245267812</v>
      </c>
      <c r="E121" s="1">
        <f t="shared" ca="1" si="19"/>
        <v>105</v>
      </c>
      <c r="F121" s="1"/>
      <c r="G121">
        <f t="shared" si="20"/>
        <v>0.2</v>
      </c>
      <c r="H121" s="66">
        <v>2</v>
      </c>
      <c r="I121" t="s">
        <v>36</v>
      </c>
      <c r="J121" t="s">
        <v>48</v>
      </c>
      <c r="K121">
        <v>6.1</v>
      </c>
      <c r="L121" t="s">
        <v>9</v>
      </c>
      <c r="M121" t="s">
        <v>6</v>
      </c>
      <c r="N121">
        <f t="shared" si="11"/>
        <v>6.0100002734212925</v>
      </c>
      <c r="O121">
        <f t="shared" si="12"/>
        <v>8.0999507842420444E-3</v>
      </c>
      <c r="P121" s="67" cm="1">
        <f t="array" ref="P121">SUMPRODUCT((H121=$H$7:$H$10000)*(N121&lt;$N$7:$N$10000))+1</f>
        <v>47</v>
      </c>
      <c r="Q121" s="72"/>
      <c r="R121">
        <v>5</v>
      </c>
      <c r="S121" t="str">
        <v>MIA</v>
      </c>
      <c r="T121" t="str">
        <v>Tomas Malanos</v>
      </c>
      <c r="U121" t="str">
        <v>NULL</v>
      </c>
      <c r="V121" t="str">
        <v>Home</v>
      </c>
      <c r="W121" t="str">
        <v>UTAH</v>
      </c>
      <c r="X121">
        <v>11.454058119762587</v>
      </c>
      <c r="Z121" s="1" cm="1">
        <f t="array" ref="Z121">COUNT(_xlfn._xlws.FILTER($H$7:$H$10000,($J$7:$J$10000=Y121)*($K$7:$K$10000&lt;&gt;"NULL")*($H$7:$H$10000 &gt;= ($G$1-5))))/5</f>
        <v>0</v>
      </c>
    </row>
    <row r="122" spans="1:26" x14ac:dyDescent="0.35">
      <c r="A122" t="s">
        <v>460</v>
      </c>
      <c r="B122" s="1">
        <v>-9.4743625456348539</v>
      </c>
      <c r="C122" s="1">
        <f t="shared" si="17"/>
        <v>103</v>
      </c>
      <c r="D122" s="1">
        <f t="shared" ca="1" si="18"/>
        <v>5.2359284802087451</v>
      </c>
      <c r="E122" s="1">
        <f t="shared" ca="1" si="19"/>
        <v>110</v>
      </c>
      <c r="F122" s="1"/>
      <c r="G122">
        <f t="shared" si="20"/>
        <v>0.2</v>
      </c>
      <c r="H122" s="66">
        <v>2</v>
      </c>
      <c r="I122" t="s">
        <v>4</v>
      </c>
      <c r="J122" t="s">
        <v>188</v>
      </c>
      <c r="K122">
        <v>6</v>
      </c>
      <c r="L122" t="s">
        <v>9</v>
      </c>
      <c r="M122" t="s">
        <v>24</v>
      </c>
      <c r="N122">
        <f t="shared" si="11"/>
        <v>9.1469155488327374</v>
      </c>
      <c r="O122">
        <f t="shared" si="12"/>
        <v>9.9030774714852488</v>
      </c>
      <c r="P122" s="67" cm="1">
        <f t="array" ref="P122">SUMPRODUCT((H122=$H$7:$H$10000)*(N122&lt;$N$7:$N$10000))+1</f>
        <v>28</v>
      </c>
      <c r="Q122" s="72"/>
      <c r="R122">
        <v>5</v>
      </c>
      <c r="S122" t="str">
        <v>LA</v>
      </c>
      <c r="T122" t="str">
        <v>Jack Shaw</v>
      </c>
      <c r="U122" t="str">
        <v>NULL</v>
      </c>
      <c r="V122" t="str">
        <v>Home</v>
      </c>
      <c r="W122" t="str">
        <v>SEA</v>
      </c>
      <c r="X122">
        <v>11.4117134706466</v>
      </c>
      <c r="Z122" s="1" cm="1">
        <f t="array" ref="Z122">COUNT(_xlfn._xlws.FILTER($H$7:$H$10000,($J$7:$J$10000=Y122)*($K$7:$K$10000&lt;&gt;"NULL")*($H$7:$H$10000 &gt;= ($G$1-5))))/5</f>
        <v>0</v>
      </c>
    </row>
    <row r="123" spans="1:26" x14ac:dyDescent="0.35">
      <c r="A123" t="s">
        <v>125</v>
      </c>
      <c r="B123" s="1">
        <v>-9.7395111618264689</v>
      </c>
      <c r="C123" s="1">
        <f t="shared" si="17"/>
        <v>104</v>
      </c>
      <c r="D123" s="1">
        <f t="shared" ca="1" si="18"/>
        <v>7.1345946897952324</v>
      </c>
      <c r="E123" s="1">
        <f t="shared" ca="1" si="19"/>
        <v>108</v>
      </c>
      <c r="F123" s="1"/>
      <c r="G123">
        <f t="shared" si="20"/>
        <v>0.4</v>
      </c>
      <c r="H123" s="66">
        <v>2</v>
      </c>
      <c r="I123" t="s">
        <v>24</v>
      </c>
      <c r="J123" t="s">
        <v>35</v>
      </c>
      <c r="K123">
        <v>5.6</v>
      </c>
      <c r="L123" t="s">
        <v>3</v>
      </c>
      <c r="M123" t="s">
        <v>4</v>
      </c>
      <c r="N123">
        <f t="shared" si="11"/>
        <v>4.6148286259071902</v>
      </c>
      <c r="O123">
        <f t="shared" si="12"/>
        <v>0.9705626363319142</v>
      </c>
      <c r="P123" s="67" cm="1">
        <f t="array" ref="P123">SUMPRODUCT((H123=$H$7:$H$10000)*(N123&lt;$N$7:$N$10000))+1</f>
        <v>52</v>
      </c>
      <c r="Q123" s="72"/>
      <c r="R123">
        <v>5</v>
      </c>
      <c r="S123" t="str">
        <v>SEA</v>
      </c>
      <c r="T123" t="str">
        <v>Mikaela Kruse</v>
      </c>
      <c r="U123" t="str">
        <v>NULL</v>
      </c>
      <c r="V123" t="str">
        <v>Away</v>
      </c>
      <c r="W123" t="str">
        <v>LA</v>
      </c>
      <c r="X123">
        <v>11.325994694639556</v>
      </c>
      <c r="Z123" s="1" cm="1">
        <f t="array" ref="Z123">COUNT(_xlfn._xlws.FILTER($H$7:$H$10000,($J$7:$J$10000=Y123)*($K$7:$K$10000&lt;&gt;"NULL")*($H$7:$H$10000 &gt;= ($G$1-5))))/5</f>
        <v>0</v>
      </c>
    </row>
    <row r="124" spans="1:26" x14ac:dyDescent="0.35">
      <c r="A124" t="s">
        <v>489</v>
      </c>
      <c r="B124" s="1">
        <v>-9.7862411036081536</v>
      </c>
      <c r="C124" s="1">
        <f t="shared" si="17"/>
        <v>105</v>
      </c>
      <c r="D124" s="1">
        <f t="shared" ca="1" si="18"/>
        <v>6.6205653301967011</v>
      </c>
      <c r="E124" s="1">
        <f t="shared" ca="1" si="19"/>
        <v>109</v>
      </c>
      <c r="F124" s="1"/>
      <c r="G124">
        <f t="shared" si="20"/>
        <v>0.2</v>
      </c>
      <c r="H124" s="66">
        <v>2</v>
      </c>
      <c r="I124" t="s">
        <v>36</v>
      </c>
      <c r="J124" t="s">
        <v>479</v>
      </c>
      <c r="K124">
        <v>5.5</v>
      </c>
      <c r="L124" t="s">
        <v>9</v>
      </c>
      <c r="M124" t="s">
        <v>6</v>
      </c>
      <c r="N124">
        <f t="shared" si="11"/>
        <v>9.0035443374290107</v>
      </c>
      <c r="O124">
        <f t="shared" si="12"/>
        <v>12.274822924330886</v>
      </c>
      <c r="P124" s="67" cm="1">
        <f t="array" ref="P124">SUMPRODUCT((H124=$H$7:$H$10000)*(N124&lt;$N$7:$N$10000))+1</f>
        <v>32</v>
      </c>
      <c r="Q124" s="72"/>
      <c r="R124">
        <v>5</v>
      </c>
      <c r="S124" t="str">
        <v>MIA</v>
      </c>
      <c r="T124" t="str">
        <v>Tomás Inciarte</v>
      </c>
      <c r="U124" t="str">
        <v>NULL</v>
      </c>
      <c r="V124" t="str">
        <v>Home</v>
      </c>
      <c r="W124" t="str">
        <v>UTAH</v>
      </c>
      <c r="X124">
        <v>11.285035272527901</v>
      </c>
      <c r="Z124" s="1" cm="1">
        <f t="array" ref="Z124">COUNT(_xlfn._xlws.FILTER($H$7:$H$10000,($J$7:$J$10000=Y124)*($K$7:$K$10000&lt;&gt;"NULL")*($H$7:$H$10000 &gt;= ($G$1-5))))/5</f>
        <v>0</v>
      </c>
    </row>
    <row r="125" spans="1:26" x14ac:dyDescent="0.35">
      <c r="A125" t="s">
        <v>73</v>
      </c>
      <c r="B125" s="1">
        <v>-10.158058380192017</v>
      </c>
      <c r="C125" s="1">
        <f t="shared" si="17"/>
        <v>106</v>
      </c>
      <c r="D125" s="1">
        <f t="shared" ca="1" si="18"/>
        <v>3.2905334243153863</v>
      </c>
      <c r="E125" s="1">
        <f t="shared" ca="1" si="19"/>
        <v>111</v>
      </c>
      <c r="F125" s="1"/>
      <c r="G125">
        <f t="shared" si="20"/>
        <v>0.2</v>
      </c>
      <c r="H125" s="66">
        <v>2</v>
      </c>
      <c r="I125" t="s">
        <v>13</v>
      </c>
      <c r="J125" t="s">
        <v>474</v>
      </c>
      <c r="K125">
        <v>5.0999999999999996</v>
      </c>
      <c r="L125" t="s">
        <v>9</v>
      </c>
      <c r="M125" t="s">
        <v>2</v>
      </c>
      <c r="N125">
        <f t="shared" si="11"/>
        <v>5.1587063349109181</v>
      </c>
      <c r="O125">
        <f t="shared" si="12"/>
        <v>3.4464337586729257E-3</v>
      </c>
      <c r="P125" s="67" cm="1">
        <f t="array" ref="P125">SUMPRODUCT((H125=$H$7:$H$10000)*(N125&lt;$N$7:$N$10000))+1</f>
        <v>50</v>
      </c>
      <c r="Q125" s="72"/>
      <c r="R125">
        <v>5</v>
      </c>
      <c r="S125" t="str">
        <v>NOLA</v>
      </c>
      <c r="T125" t="str">
        <v>Julian Roberts</v>
      </c>
      <c r="U125" t="str">
        <v>NULL</v>
      </c>
      <c r="V125" t="str">
        <v>Away</v>
      </c>
      <c r="W125" t="str">
        <v>NEFJ</v>
      </c>
      <c r="X125">
        <v>11.259314527138969</v>
      </c>
      <c r="Z125" s="1" cm="1">
        <f t="array" ref="Z125">COUNT(_xlfn._xlws.FILTER($H$7:$H$10000,($J$7:$J$10000=Y125)*($K$7:$K$10000&lt;&gt;"NULL")*($H$7:$H$10000 &gt;= ($G$1-5))))/5</f>
        <v>0</v>
      </c>
    </row>
    <row r="126" spans="1:26" x14ac:dyDescent="0.35">
      <c r="A126" t="s">
        <v>126</v>
      </c>
      <c r="B126" s="1">
        <v>-13.651509839030608</v>
      </c>
      <c r="C126" s="1">
        <f t="shared" si="17"/>
        <v>107</v>
      </c>
      <c r="D126" s="1">
        <f t="shared" ca="1" si="18"/>
        <v>-33.162990828614063</v>
      </c>
      <c r="E126" s="1">
        <f t="shared" ca="1" si="19"/>
        <v>112</v>
      </c>
      <c r="F126" s="1"/>
      <c r="G126">
        <f t="shared" si="20"/>
        <v>0.2</v>
      </c>
      <c r="H126" s="66">
        <v>2</v>
      </c>
      <c r="I126" t="s">
        <v>34</v>
      </c>
      <c r="J126" t="s">
        <v>51</v>
      </c>
      <c r="K126">
        <v>4.7</v>
      </c>
      <c r="L126" t="s">
        <v>9</v>
      </c>
      <c r="M126" t="s">
        <v>14</v>
      </c>
      <c r="N126">
        <f t="shared" si="11"/>
        <v>7.8298968448329758</v>
      </c>
      <c r="O126">
        <f t="shared" si="12"/>
        <v>9.7962542592954165</v>
      </c>
      <c r="P126" s="67" cm="1">
        <f t="array" ref="P126">SUMPRODUCT((H126=$H$7:$H$10000)*(N126&lt;$N$7:$N$10000))+1</f>
        <v>41</v>
      </c>
      <c r="Q126" s="72"/>
      <c r="R126">
        <v>5</v>
      </c>
      <c r="S126" t="str">
        <v>MIA</v>
      </c>
      <c r="T126" t="str">
        <v>Tomás Cubelli</v>
      </c>
      <c r="U126" t="str">
        <v>NULL</v>
      </c>
      <c r="V126" t="str">
        <v>Home</v>
      </c>
      <c r="W126" t="str">
        <v>UTAH</v>
      </c>
      <c r="X126">
        <v>11.114346634039904</v>
      </c>
      <c r="Z126" s="1" cm="1">
        <f t="array" ref="Z126">COUNT(_xlfn._xlws.FILTER($H$7:$H$10000,($J$7:$J$10000=Y126)*($K$7:$K$10000&lt;&gt;"NULL")*($H$7:$H$10000 &gt;= ($G$1-5))))/5</f>
        <v>0</v>
      </c>
    </row>
    <row r="127" spans="1:26" x14ac:dyDescent="0.35">
      <c r="A127" t="s">
        <v>441</v>
      </c>
      <c r="B127" s="1">
        <v>-21.5447823694672</v>
      </c>
      <c r="C127" s="1">
        <f t="shared" si="17"/>
        <v>108</v>
      </c>
      <c r="D127" s="1">
        <f t="shared" ca="1" si="18"/>
        <v>79.705114558966329</v>
      </c>
      <c r="E127" s="1">
        <f t="shared" ca="1" si="19"/>
        <v>69</v>
      </c>
      <c r="F127" s="1"/>
      <c r="G127">
        <f t="shared" si="20"/>
        <v>0.6</v>
      </c>
      <c r="H127" s="66">
        <v>2</v>
      </c>
      <c r="I127" t="s">
        <v>14</v>
      </c>
      <c r="J127" t="s">
        <v>11</v>
      </c>
      <c r="K127">
        <v>4</v>
      </c>
      <c r="L127" t="s">
        <v>3</v>
      </c>
      <c r="M127" t="s">
        <v>34</v>
      </c>
      <c r="N127">
        <f t="shared" si="11"/>
        <v>4.4042774385734518</v>
      </c>
      <c r="O127">
        <f t="shared" si="12"/>
        <v>0.16344024733951107</v>
      </c>
      <c r="P127" s="67" cm="1">
        <f t="array" ref="P127">SUMPRODUCT((H127=$H$7:$H$10000)*(N127&lt;$N$7:$N$10000))+1</f>
        <v>54</v>
      </c>
      <c r="Q127" s="72"/>
      <c r="R127">
        <v>5</v>
      </c>
      <c r="S127" t="str">
        <v>UTAH</v>
      </c>
      <c r="T127" t="str">
        <v>Blake Makiri</v>
      </c>
      <c r="U127" t="str">
        <v>NULL</v>
      </c>
      <c r="V127" t="str">
        <v>Away</v>
      </c>
      <c r="W127" t="str">
        <v>MIA</v>
      </c>
      <c r="X127">
        <v>10.969108463811533</v>
      </c>
      <c r="Z127" s="1" cm="1">
        <f t="array" ref="Z127">COUNT(_xlfn._xlws.FILTER($H$7:$H$10000,($J$7:$J$10000=Y127)*($K$7:$K$10000&lt;&gt;"NULL")*($H$7:$H$10000 &gt;= ($G$1-5))))/5</f>
        <v>0</v>
      </c>
    </row>
    <row r="128" spans="1:26" x14ac:dyDescent="0.35">
      <c r="A128" t="s">
        <v>449</v>
      </c>
      <c r="B128" s="1">
        <v>-22.199921841331999</v>
      </c>
      <c r="C128" s="1">
        <f t="shared" si="17"/>
        <v>109</v>
      </c>
      <c r="D128" s="1">
        <f t="shared" ca="1" si="18"/>
        <v>120.70029430819687</v>
      </c>
      <c r="E128" s="1">
        <f t="shared" ca="1" si="19"/>
        <v>33</v>
      </c>
      <c r="F128" s="1"/>
      <c r="G128">
        <f t="shared" si="20"/>
        <v>0.6</v>
      </c>
      <c r="H128" s="66">
        <v>2</v>
      </c>
      <c r="I128" t="s">
        <v>14</v>
      </c>
      <c r="J128" t="s">
        <v>438</v>
      </c>
      <c r="K128">
        <v>4</v>
      </c>
      <c r="L128" t="s">
        <v>3</v>
      </c>
      <c r="M128" t="s">
        <v>34</v>
      </c>
      <c r="N128">
        <f t="shared" si="11"/>
        <v>9.0964428215628157</v>
      </c>
      <c r="O128">
        <f t="shared" si="12"/>
        <v>25.973729433459155</v>
      </c>
      <c r="P128" s="67" cm="1">
        <f t="array" ref="P128">SUMPRODUCT((H128=$H$7:$H$10000)*(N128&lt;$N$7:$N$10000))+1</f>
        <v>31</v>
      </c>
      <c r="Q128" s="72"/>
      <c r="R128">
        <v>5</v>
      </c>
      <c r="S128" t="str">
        <v>LA</v>
      </c>
      <c r="T128" t="str">
        <v>Seth Purdey</v>
      </c>
      <c r="U128" t="str">
        <v>NULL</v>
      </c>
      <c r="V128" t="str">
        <v>Home</v>
      </c>
      <c r="W128" t="str">
        <v>SEA</v>
      </c>
      <c r="X128">
        <v>10.918623175062375</v>
      </c>
      <c r="Z128" s="1" cm="1">
        <f t="array" ref="Z128">COUNT(_xlfn._xlws.FILTER($H$7:$H$10000,($J$7:$J$10000=Y128)*($K$7:$K$10000&lt;&gt;"NULL")*($H$7:$H$10000 &gt;= ($G$1-5))))/5</f>
        <v>0</v>
      </c>
    </row>
    <row r="129" spans="1:26" x14ac:dyDescent="0.35">
      <c r="A129" t="s">
        <v>44</v>
      </c>
      <c r="B129" s="1">
        <v>-22.8550613131967</v>
      </c>
      <c r="C129" s="1">
        <f t="shared" si="17"/>
        <v>110</v>
      </c>
      <c r="D129" s="1">
        <f t="shared" ca="1" si="18"/>
        <v>90.105415143062871</v>
      </c>
      <c r="E129" s="1">
        <f t="shared" ca="1" si="19"/>
        <v>64</v>
      </c>
      <c r="F129" s="1"/>
      <c r="G129">
        <f t="shared" si="20"/>
        <v>0.6</v>
      </c>
      <c r="H129" s="66">
        <v>2</v>
      </c>
      <c r="I129" t="s">
        <v>24</v>
      </c>
      <c r="J129" t="s">
        <v>96</v>
      </c>
      <c r="K129">
        <v>2.8</v>
      </c>
      <c r="L129" t="s">
        <v>3</v>
      </c>
      <c r="M129" t="s">
        <v>4</v>
      </c>
      <c r="N129">
        <f t="shared" si="11"/>
        <v>8.3125383345067139</v>
      </c>
      <c r="O129">
        <f t="shared" si="12"/>
        <v>30.388078889406057</v>
      </c>
      <c r="P129" s="67" cm="1">
        <f t="array" ref="P129">SUMPRODUCT((H129=$H$7:$H$10000)*(N129&lt;$N$7:$N$10000))+1</f>
        <v>38</v>
      </c>
      <c r="Q129" s="72"/>
      <c r="R129">
        <v>5</v>
      </c>
      <c r="S129" t="str">
        <v>NOLA</v>
      </c>
      <c r="T129" t="str">
        <v>Xavier Mignot</v>
      </c>
      <c r="U129" t="str">
        <v>NULL</v>
      </c>
      <c r="V129" t="str">
        <v>Away</v>
      </c>
      <c r="W129" t="str">
        <v>NEFJ</v>
      </c>
      <c r="X129">
        <v>10.816271317134126</v>
      </c>
      <c r="Z129" s="1" cm="1">
        <f t="array" ref="Z129">COUNT(_xlfn._xlws.FILTER($H$7:$H$10000,($J$7:$J$10000=Y129)*($K$7:$K$10000&lt;&gt;"NULL")*($H$7:$H$10000 &gt;= ($G$1-5))))/5</f>
        <v>0</v>
      </c>
    </row>
    <row r="130" spans="1:26" x14ac:dyDescent="0.35">
      <c r="A130" t="s">
        <v>455</v>
      </c>
      <c r="B130" s="1">
        <v>-23.5102007850615</v>
      </c>
      <c r="C130" s="1">
        <f t="shared" si="17"/>
        <v>111</v>
      </c>
      <c r="D130" s="1">
        <f t="shared" ca="1" si="18"/>
        <v>97.676051790083079</v>
      </c>
      <c r="E130" s="1">
        <f t="shared" ca="1" si="19"/>
        <v>60</v>
      </c>
      <c r="F130" s="1"/>
      <c r="G130">
        <f t="shared" si="20"/>
        <v>0.4</v>
      </c>
      <c r="H130" s="66">
        <v>2</v>
      </c>
      <c r="I130" t="s">
        <v>4</v>
      </c>
      <c r="J130" t="s">
        <v>125</v>
      </c>
      <c r="K130">
        <v>2</v>
      </c>
      <c r="L130" t="s">
        <v>9</v>
      </c>
      <c r="M130" t="s">
        <v>24</v>
      </c>
      <c r="N130">
        <f t="shared" si="11"/>
        <v>3.6693416178033367</v>
      </c>
      <c r="O130">
        <f t="shared" si="12"/>
        <v>2.7867014369302612</v>
      </c>
      <c r="P130" s="67" cm="1">
        <f t="array" ref="P130">SUMPRODUCT((H130=$H$7:$H$10000)*(N130&lt;$N$7:$N$10000))+1</f>
        <v>55</v>
      </c>
      <c r="Q130" s="72"/>
      <c r="R130">
        <v>5</v>
      </c>
      <c r="S130" t="str">
        <v>LA</v>
      </c>
      <c r="T130" t="str">
        <v>Cameron Gerlach</v>
      </c>
      <c r="U130" t="str">
        <v>NULL</v>
      </c>
      <c r="V130" t="str">
        <v>Home</v>
      </c>
      <c r="W130" t="str">
        <v>SEA</v>
      </c>
      <c r="X130">
        <v>10.61995750741263</v>
      </c>
      <c r="Z130" s="1" cm="1">
        <f t="array" ref="Z130">COUNT(_xlfn._xlws.FILTER($H$7:$H$10000,($J$7:$J$10000=Y130)*($K$7:$K$10000&lt;&gt;"NULL")*($H$7:$H$10000 &gt;= ($G$1-5))))/5</f>
        <v>0</v>
      </c>
    </row>
    <row r="131" spans="1:26" x14ac:dyDescent="0.35">
      <c r="A131" t="s">
        <v>90</v>
      </c>
      <c r="B131" s="1">
        <v>-95.85317609157876</v>
      </c>
      <c r="C131" s="1">
        <f t="shared" si="17"/>
        <v>112</v>
      </c>
      <c r="D131" s="1">
        <f t="shared" ca="1" si="18"/>
        <v>56.522947722887203</v>
      </c>
      <c r="E131" s="1">
        <f t="shared" ca="1" si="19"/>
        <v>84</v>
      </c>
      <c r="F131" s="1"/>
      <c r="G131">
        <f t="shared" si="20"/>
        <v>0.6</v>
      </c>
      <c r="H131" s="66">
        <v>2</v>
      </c>
      <c r="I131" t="s">
        <v>4</v>
      </c>
      <c r="J131" t="s">
        <v>475</v>
      </c>
      <c r="K131">
        <v>2</v>
      </c>
      <c r="L131" t="s">
        <v>9</v>
      </c>
      <c r="M131" t="s">
        <v>24</v>
      </c>
      <c r="N131">
        <f t="shared" si="11"/>
        <v>6.2851419920701552</v>
      </c>
      <c r="O131">
        <f t="shared" si="12"/>
        <v>18.362441892202977</v>
      </c>
      <c r="P131" s="67" cm="1">
        <f t="array" ref="P131">SUMPRODUCT((H131=$H$7:$H$10000)*(N131&lt;$N$7:$N$10000))+1</f>
        <v>46</v>
      </c>
      <c r="Q131" s="72"/>
      <c r="R131">
        <v>5</v>
      </c>
      <c r="S131" t="str">
        <v>OGDC</v>
      </c>
      <c r="T131" t="str">
        <v>Damien Hoyland</v>
      </c>
      <c r="U131" t="str">
        <v>NULL</v>
      </c>
      <c r="V131" t="str">
        <v>Away</v>
      </c>
      <c r="W131" t="str">
        <v>CHI</v>
      </c>
      <c r="X131">
        <v>10.554647445289312</v>
      </c>
      <c r="Z131" s="1" cm="1">
        <f t="array" ref="Z131">COUNT(_xlfn._xlws.FILTER($H$7:$H$10000,($J$7:$J$10000=Y131)*($K$7:$K$10000&lt;&gt;"NULL")*($H$7:$H$10000 &gt;= ($G$1-5))))/5</f>
        <v>0</v>
      </c>
    </row>
    <row r="132" spans="1:26" x14ac:dyDescent="0.35">
      <c r="H132" s="66">
        <v>2</v>
      </c>
      <c r="I132" t="s">
        <v>34</v>
      </c>
      <c r="J132" t="s">
        <v>192</v>
      </c>
      <c r="K132">
        <v>1.8</v>
      </c>
      <c r="L132" t="s">
        <v>9</v>
      </c>
      <c r="M132" t="s">
        <v>14</v>
      </c>
      <c r="N132">
        <f t="shared" si="11"/>
        <v>10.553189175379451</v>
      </c>
      <c r="O132">
        <f t="shared" si="12"/>
        <v>76.618320739979978</v>
      </c>
      <c r="P132" s="67" cm="1">
        <f t="array" ref="P132">SUMPRODUCT((H132=$H$7:$H$10000)*(N132&lt;$N$7:$N$10000))+1</f>
        <v>18</v>
      </c>
      <c r="Q132" s="72"/>
      <c r="R132">
        <v>5</v>
      </c>
      <c r="S132" t="str">
        <v>NOLA</v>
      </c>
      <c r="T132" t="str">
        <v>Ed Fidow</v>
      </c>
      <c r="U132" t="str">
        <v>NULL</v>
      </c>
      <c r="V132" t="str">
        <v>Away</v>
      </c>
      <c r="W132" t="str">
        <v>NEFJ</v>
      </c>
      <c r="X132">
        <v>10.543903978695182</v>
      </c>
      <c r="Z132" s="1" cm="1">
        <f t="array" ref="Z132">COUNT(_xlfn._xlws.FILTER($H$7:$H$10000,($J$7:$J$10000=Y132)*($K$7:$K$10000&lt;&gt;"NULL")*($H$7:$H$10000 &gt;= ($G$1-5))))/5</f>
        <v>0</v>
      </c>
    </row>
    <row r="133" spans="1:26" x14ac:dyDescent="0.35">
      <c r="H133" s="66">
        <v>2</v>
      </c>
      <c r="I133" t="s">
        <v>24</v>
      </c>
      <c r="J133" t="s">
        <v>459</v>
      </c>
      <c r="K133">
        <v>1</v>
      </c>
      <c r="L133" t="s">
        <v>3</v>
      </c>
      <c r="M133" t="s">
        <v>4</v>
      </c>
      <c r="N133">
        <f t="shared" si="11"/>
        <v>2.2922334915531399</v>
      </c>
      <c r="O133">
        <f t="shared" si="12"/>
        <v>1.6698673966916189</v>
      </c>
      <c r="P133" s="67" cm="1">
        <f t="array" ref="P133">SUMPRODUCT((H133=$H$7:$H$10000)*(N133&lt;$N$7:$N$10000))+1</f>
        <v>57</v>
      </c>
      <c r="Q133" s="72"/>
      <c r="R133">
        <v>5</v>
      </c>
      <c r="S133" t="str">
        <v>NEFJ</v>
      </c>
      <c r="T133" t="str">
        <v>Jayson Potroz</v>
      </c>
      <c r="U133" t="str">
        <v>NULL</v>
      </c>
      <c r="V133" t="str">
        <v>Home</v>
      </c>
      <c r="W133" t="str">
        <v>NOLA</v>
      </c>
      <c r="X133">
        <v>10.538752717601696</v>
      </c>
      <c r="Z133" s="1" cm="1">
        <f t="array" ref="Z133">COUNT(_xlfn._xlws.FILTER($H$7:$H$10000,($J$7:$J$10000=Y133)*($K$7:$K$10000&lt;&gt;"NULL")*($H$7:$H$10000 &gt;= ($G$1-5))))/5</f>
        <v>0</v>
      </c>
    </row>
    <row r="134" spans="1:26" x14ac:dyDescent="0.35">
      <c r="H134" s="66">
        <v>3</v>
      </c>
      <c r="I134" t="s">
        <v>13</v>
      </c>
      <c r="J134" t="s">
        <v>79</v>
      </c>
      <c r="K134">
        <v>24.3</v>
      </c>
      <c r="L134" t="s">
        <v>3</v>
      </c>
      <c r="M134" t="s">
        <v>4</v>
      </c>
      <c r="N134">
        <f t="shared" si="11"/>
        <v>18.772029614930204</v>
      </c>
      <c r="O134">
        <f t="shared" ref="O134:O197" si="21">IFERROR(($K134-$N134)^2,"")</f>
        <v>30.558456578208713</v>
      </c>
      <c r="P134" s="67" cm="1">
        <f t="array" ref="P134">SUMPRODUCT((H134=$H$7:$H$10000)*(N134&lt;$N$7:$N$10000))+1</f>
        <v>1</v>
      </c>
      <c r="Q134" s="72"/>
      <c r="R134">
        <v>5</v>
      </c>
      <c r="S134" t="str">
        <v>UTAH</v>
      </c>
      <c r="T134" t="str">
        <v>Spencer Jones</v>
      </c>
      <c r="U134" t="str">
        <v>NULL</v>
      </c>
      <c r="V134" t="str">
        <v>Away</v>
      </c>
      <c r="W134" t="str">
        <v>MIA</v>
      </c>
      <c r="X134">
        <v>10.315857536801705</v>
      </c>
      <c r="Z134" s="1" cm="1">
        <f t="array" ref="Z134">COUNT(_xlfn._xlws.FILTER($H$7:$H$10000,($J$7:$J$10000=Y134)*($K$7:$K$10000&lt;&gt;"NULL")*($H$7:$H$10000 &gt;= ($G$1-5))))/5</f>
        <v>0</v>
      </c>
    </row>
    <row r="135" spans="1:26" x14ac:dyDescent="0.35">
      <c r="H135" s="66">
        <v>3</v>
      </c>
      <c r="I135" t="s">
        <v>14</v>
      </c>
      <c r="J135" t="s">
        <v>83</v>
      </c>
      <c r="K135">
        <v>17.600000000000001</v>
      </c>
      <c r="L135" t="s">
        <v>3</v>
      </c>
      <c r="M135" t="s">
        <v>24</v>
      </c>
      <c r="N135">
        <f t="shared" si="11"/>
        <v>14.266534206955033</v>
      </c>
      <c r="O135">
        <f t="shared" si="21"/>
        <v>11.111994193400923</v>
      </c>
      <c r="P135" s="67" cm="1">
        <f t="array" ref="P135">SUMPRODUCT((H135=$H$7:$H$10000)*(N135&lt;$N$7:$N$10000))+1</f>
        <v>5</v>
      </c>
      <c r="Q135" s="72"/>
      <c r="R135">
        <v>5</v>
      </c>
      <c r="S135" t="str">
        <v>MIA</v>
      </c>
      <c r="T135" t="str">
        <v>Santiago Videla</v>
      </c>
      <c r="U135" t="str">
        <v>NULL</v>
      </c>
      <c r="V135" t="str">
        <v>Home</v>
      </c>
      <c r="W135" t="str">
        <v>UTAH</v>
      </c>
      <c r="X135">
        <v>10.314333374381121</v>
      </c>
      <c r="Z135" s="1" cm="1">
        <f t="array" ref="Z135">COUNT(_xlfn._xlws.FILTER($H$7:$H$10000,($J$7:$J$10000=Y135)*($K$7:$K$10000&lt;&gt;"NULL")*($H$7:$H$10000 &gt;= ($G$1-5))))/5</f>
        <v>0</v>
      </c>
    </row>
    <row r="136" spans="1:26" x14ac:dyDescent="0.35">
      <c r="H136" s="66">
        <v>3</v>
      </c>
      <c r="I136" t="s">
        <v>24</v>
      </c>
      <c r="J136" t="s">
        <v>96</v>
      </c>
      <c r="K136">
        <v>16.2</v>
      </c>
      <c r="L136" t="s">
        <v>9</v>
      </c>
      <c r="M136" t="s">
        <v>14</v>
      </c>
      <c r="N136">
        <f t="shared" ref="N136:N199" si="22">VLOOKUP($L136,$F$3:$G$4,2,FALSE)+VLOOKUP($J136,$A$20:$B$131,2,FALSE)+VLOOKUP($M136,$A$6:$B$16,2,FALSE)</f>
        <v>9.4403599253715278</v>
      </c>
      <c r="O136">
        <f t="shared" si="21"/>
        <v>45.692733938523205</v>
      </c>
      <c r="P136" s="67" cm="1">
        <f t="array" ref="P136">SUMPRODUCT((H136=$H$7:$H$10000)*(N136&lt;$N$7:$N$10000))+1</f>
        <v>27</v>
      </c>
      <c r="Q136" s="72"/>
      <c r="R136">
        <v>5</v>
      </c>
      <c r="S136" t="str">
        <v>SEA</v>
      </c>
      <c r="T136" t="str">
        <v>JP Smith</v>
      </c>
      <c r="U136" t="str">
        <v>NULL</v>
      </c>
      <c r="V136" t="str">
        <v>Away</v>
      </c>
      <c r="W136" t="str">
        <v>LA</v>
      </c>
      <c r="X136">
        <v>10.307924794514758</v>
      </c>
      <c r="Z136" s="1" cm="1">
        <f t="array" ref="Z136">COUNT(_xlfn._xlws.FILTER($H$7:$H$10000,($J$7:$J$10000=Y136)*($K$7:$K$10000&lt;&gt;"NULL")*($H$7:$H$10000 &gt;= ($G$1-5))))/5</f>
        <v>0</v>
      </c>
    </row>
    <row r="137" spans="1:26" x14ac:dyDescent="0.35">
      <c r="H137" s="66">
        <v>3</v>
      </c>
      <c r="I137" t="s">
        <v>2</v>
      </c>
      <c r="J137" t="s">
        <v>449</v>
      </c>
      <c r="K137">
        <v>15.6</v>
      </c>
      <c r="L137" t="s">
        <v>3</v>
      </c>
      <c r="M137" t="s">
        <v>23</v>
      </c>
      <c r="N137">
        <f t="shared" si="22"/>
        <v>10.880875467124271</v>
      </c>
      <c r="O137">
        <f t="shared" si="21"/>
        <v>22.27013635678956</v>
      </c>
      <c r="P137" s="67" cm="1">
        <f t="array" ref="P137">SUMPRODUCT((H137=$H$7:$H$10000)*(N137&lt;$N$7:$N$10000))+1</f>
        <v>14</v>
      </c>
      <c r="Q137" s="72"/>
      <c r="R137">
        <v>5</v>
      </c>
      <c r="S137" t="str">
        <v>LA</v>
      </c>
      <c r="T137" t="str">
        <v>Nick Chan</v>
      </c>
      <c r="U137" t="str">
        <v>NULL</v>
      </c>
      <c r="V137" t="str">
        <v>Home</v>
      </c>
      <c r="W137" t="str">
        <v>SEA</v>
      </c>
      <c r="X137">
        <v>10.008662554426282</v>
      </c>
      <c r="Z137" s="1" cm="1">
        <f t="array" ref="Z137">COUNT(_xlfn._xlws.FILTER($H$7:$H$10000,($J$7:$J$10000=Y137)*($K$7:$K$10000&lt;&gt;"NULL")*($H$7:$H$10000 &gt;= ($G$1-5))))/5</f>
        <v>0</v>
      </c>
    </row>
    <row r="138" spans="1:26" x14ac:dyDescent="0.35">
      <c r="H138" s="66">
        <v>3</v>
      </c>
      <c r="I138" t="s">
        <v>36</v>
      </c>
      <c r="J138" t="s">
        <v>71</v>
      </c>
      <c r="K138">
        <v>15.2</v>
      </c>
      <c r="L138" t="s">
        <v>3</v>
      </c>
      <c r="M138" t="s">
        <v>17</v>
      </c>
      <c r="N138">
        <f t="shared" si="22"/>
        <v>10.442253302003484</v>
      </c>
      <c r="O138">
        <f t="shared" si="21"/>
        <v>22.63615364229674</v>
      </c>
      <c r="P138" s="67" cm="1">
        <f t="array" ref="P138">SUMPRODUCT((H138=$H$7:$H$10000)*(N138&lt;$N$7:$N$10000))+1</f>
        <v>18</v>
      </c>
      <c r="Q138" s="72"/>
      <c r="R138">
        <v>5</v>
      </c>
      <c r="S138" t="str">
        <v>LA</v>
      </c>
      <c r="T138" t="str">
        <v>Andrew Coe</v>
      </c>
      <c r="U138" t="str">
        <v>NULL</v>
      </c>
      <c r="V138" t="str">
        <v>Home</v>
      </c>
      <c r="W138" t="str">
        <v>SEA</v>
      </c>
      <c r="X138">
        <v>9.9677290093830813</v>
      </c>
      <c r="Z138" s="1" cm="1">
        <f t="array" ref="Z138">COUNT(_xlfn._xlws.FILTER($H$7:$H$10000,($J$7:$J$10000=Y138)*($K$7:$K$10000&lt;&gt;"NULL")*($H$7:$H$10000 &gt;= ($G$1-5))))/5</f>
        <v>0</v>
      </c>
    </row>
    <row r="139" spans="1:26" x14ac:dyDescent="0.35">
      <c r="H139" s="66">
        <v>3</v>
      </c>
      <c r="I139" t="s">
        <v>14</v>
      </c>
      <c r="J139" t="s">
        <v>448</v>
      </c>
      <c r="K139">
        <v>15.1</v>
      </c>
      <c r="L139" t="s">
        <v>3</v>
      </c>
      <c r="M139" t="s">
        <v>24</v>
      </c>
      <c r="N139">
        <f t="shared" si="22"/>
        <v>14.916798048732494</v>
      </c>
      <c r="O139">
        <f t="shared" si="21"/>
        <v>3.356295494822166E-2</v>
      </c>
      <c r="P139" s="67" cm="1">
        <f t="array" ref="P139">SUMPRODUCT((H139=$H$7:$H$10000)*(N139&lt;$N$7:$N$10000))+1</f>
        <v>4</v>
      </c>
      <c r="Q139" s="72"/>
      <c r="R139">
        <v>5</v>
      </c>
      <c r="S139" t="str">
        <v>OGDC</v>
      </c>
      <c r="T139" t="str">
        <v>Steffan Hughes</v>
      </c>
      <c r="U139" t="str">
        <v>NULL</v>
      </c>
      <c r="V139" t="str">
        <v>Away</v>
      </c>
      <c r="W139" t="str">
        <v>CHI</v>
      </c>
      <c r="X139">
        <v>9.8670063846232594</v>
      </c>
      <c r="Z139" s="1" cm="1">
        <f t="array" ref="Z139">COUNT(_xlfn._xlws.FILTER($H$7:$H$10000,($J$7:$J$10000=Y139)*($K$7:$K$10000&lt;&gt;"NULL")*($H$7:$H$10000 &gt;= ($G$1-5))))/5</f>
        <v>0</v>
      </c>
    </row>
    <row r="140" spans="1:26" x14ac:dyDescent="0.35">
      <c r="H140" s="66">
        <v>3</v>
      </c>
      <c r="I140" t="s">
        <v>13</v>
      </c>
      <c r="J140" t="s">
        <v>494</v>
      </c>
      <c r="K140">
        <v>15</v>
      </c>
      <c r="L140" t="s">
        <v>3</v>
      </c>
      <c r="M140" t="s">
        <v>4</v>
      </c>
      <c r="N140">
        <f t="shared" si="22"/>
        <v>14.961494164219605</v>
      </c>
      <c r="O140">
        <f t="shared" si="21"/>
        <v>1.4826993891467403E-3</v>
      </c>
      <c r="P140" s="67" cm="1">
        <f t="array" ref="P140">SUMPRODUCT((H140=$H$7:$H$10000)*(N140&lt;$N$7:$N$10000))+1</f>
        <v>3</v>
      </c>
      <c r="Q140" s="72"/>
      <c r="R140">
        <v>5</v>
      </c>
      <c r="S140" t="str">
        <v>NOLA</v>
      </c>
      <c r="T140" t="str">
        <v>JP Du Plessis</v>
      </c>
      <c r="U140" t="str">
        <v>NULL</v>
      </c>
      <c r="V140" t="str">
        <v>Away</v>
      </c>
      <c r="W140" t="str">
        <v>NEFJ</v>
      </c>
      <c r="X140">
        <v>9.7177154590153521</v>
      </c>
      <c r="Z140" s="1" cm="1">
        <f t="array" ref="Z140">COUNT(_xlfn._xlws.FILTER($H$7:$H$10000,($J$7:$J$10000=Y140)*($K$7:$K$10000&lt;&gt;"NULL")*($H$7:$H$10000 &gt;= ($G$1-5))))/5</f>
        <v>0</v>
      </c>
    </row>
    <row r="141" spans="1:26" x14ac:dyDescent="0.35">
      <c r="H141" s="66">
        <v>3</v>
      </c>
      <c r="I141" t="s">
        <v>2</v>
      </c>
      <c r="J141" t="s">
        <v>495</v>
      </c>
      <c r="K141">
        <v>13.4</v>
      </c>
      <c r="L141" t="s">
        <v>3</v>
      </c>
      <c r="M141" t="s">
        <v>23</v>
      </c>
      <c r="N141">
        <f t="shared" si="22"/>
        <v>12.989772975465772</v>
      </c>
      <c r="O141">
        <f t="shared" si="21"/>
        <v>0.16828621165820601</v>
      </c>
      <c r="P141" s="67" cm="1">
        <f t="array" ref="P141">SUMPRODUCT((H141=$H$7:$H$10000)*(N141&lt;$N$7:$N$10000))+1</f>
        <v>8</v>
      </c>
      <c r="Q141" s="72"/>
      <c r="R141">
        <v>5</v>
      </c>
      <c r="S141" t="str">
        <v>CHI</v>
      </c>
      <c r="T141" t="str">
        <v>Nate Augspurger</v>
      </c>
      <c r="U141" t="str">
        <v>NULL</v>
      </c>
      <c r="V141" t="str">
        <v>Home</v>
      </c>
      <c r="W141" t="str">
        <v>OGDC</v>
      </c>
      <c r="X141">
        <v>9.6840935020142815</v>
      </c>
      <c r="Z141" s="1" cm="1">
        <f t="array" ref="Z141">COUNT(_xlfn._xlws.FILTER($H$7:$H$10000,($J$7:$J$10000=Y141)*($K$7:$K$10000&lt;&gt;"NULL")*($H$7:$H$10000 &gt;= ($G$1-5))))/5</f>
        <v>0</v>
      </c>
    </row>
    <row r="142" spans="1:26" x14ac:dyDescent="0.35">
      <c r="H142" s="66">
        <v>3</v>
      </c>
      <c r="I142" t="s">
        <v>24</v>
      </c>
      <c r="J142" t="s">
        <v>446</v>
      </c>
      <c r="K142">
        <v>13.3</v>
      </c>
      <c r="L142" t="s">
        <v>9</v>
      </c>
      <c r="M142" t="s">
        <v>14</v>
      </c>
      <c r="N142">
        <f t="shared" si="22"/>
        <v>12.740382097761595</v>
      </c>
      <c r="O142">
        <f t="shared" si="21"/>
        <v>0.31317219650571415</v>
      </c>
      <c r="P142" s="67" cm="1">
        <f t="array" ref="P142">SUMPRODUCT((H142=$H$7:$H$10000)*(N142&lt;$N$7:$N$10000))+1</f>
        <v>9</v>
      </c>
      <c r="Q142" s="72"/>
      <c r="R142">
        <v>5</v>
      </c>
      <c r="S142" t="str">
        <v>NEFJ</v>
      </c>
      <c r="T142" t="str">
        <v>Wayne van der Bank</v>
      </c>
      <c r="U142" t="str">
        <v>NULL</v>
      </c>
      <c r="V142" t="str">
        <v>Home</v>
      </c>
      <c r="W142" t="str">
        <v>NOLA</v>
      </c>
      <c r="X142">
        <v>9.3379623158200697</v>
      </c>
      <c r="Z142" s="1" cm="1">
        <f t="array" ref="Z142">COUNT(_xlfn._xlws.FILTER($H$7:$H$10000,($J$7:$J$10000=Y142)*($K$7:$K$10000&lt;&gt;"NULL")*($H$7:$H$10000 &gt;= ($G$1-5))))/5</f>
        <v>0</v>
      </c>
    </row>
    <row r="143" spans="1:26" x14ac:dyDescent="0.35">
      <c r="H143" s="66">
        <v>3</v>
      </c>
      <c r="I143" t="s">
        <v>36</v>
      </c>
      <c r="J143" t="s">
        <v>479</v>
      </c>
      <c r="K143">
        <v>13.2</v>
      </c>
      <c r="L143" t="s">
        <v>3</v>
      </c>
      <c r="M143" t="s">
        <v>17</v>
      </c>
      <c r="N143">
        <f t="shared" si="22"/>
        <v>6.6275003435001683</v>
      </c>
      <c r="O143">
        <f t="shared" si="21"/>
        <v>43.197751734690399</v>
      </c>
      <c r="P143" s="67" cm="1">
        <f t="array" ref="P143">SUMPRODUCT((H143=$H$7:$H$10000)*(N143&lt;$N$7:$N$10000))+1</f>
        <v>43</v>
      </c>
      <c r="Q143" s="72"/>
      <c r="R143">
        <v>5</v>
      </c>
      <c r="S143" t="str">
        <v>NEFJ</v>
      </c>
      <c r="T143" t="str">
        <v>Le Roux Malan</v>
      </c>
      <c r="U143" t="str">
        <v>NULL</v>
      </c>
      <c r="V143" t="str">
        <v>Home</v>
      </c>
      <c r="W143" t="str">
        <v>NOLA</v>
      </c>
      <c r="X143">
        <v>9.1577583544861998</v>
      </c>
      <c r="Z143" s="1" cm="1">
        <f t="array" ref="Z143">COUNT(_xlfn._xlws.FILTER($H$7:$H$10000,($J$7:$J$10000=Y143)*($K$7:$K$10000&lt;&gt;"NULL")*($H$7:$H$10000 &gt;= ($G$1-5))))/5</f>
        <v>0</v>
      </c>
    </row>
    <row r="144" spans="1:26" x14ac:dyDescent="0.35">
      <c r="H144" s="66">
        <v>3</v>
      </c>
      <c r="I144" t="s">
        <v>34</v>
      </c>
      <c r="J144" t="s">
        <v>100</v>
      </c>
      <c r="K144">
        <v>13</v>
      </c>
      <c r="L144" t="s">
        <v>9</v>
      </c>
      <c r="M144" t="s">
        <v>7</v>
      </c>
      <c r="N144">
        <f t="shared" si="22"/>
        <v>8.6438457720983592</v>
      </c>
      <c r="O144">
        <f t="shared" si="21"/>
        <v>18.976079657265341</v>
      </c>
      <c r="P144" s="67" cm="1">
        <f t="array" ref="P144">SUMPRODUCT((H144=$H$7:$H$10000)*(N144&lt;$N$7:$N$10000))+1</f>
        <v>33</v>
      </c>
      <c r="Q144" s="72"/>
      <c r="R144">
        <v>5</v>
      </c>
      <c r="S144" t="str">
        <v>CHI</v>
      </c>
      <c r="T144" t="str">
        <v>Michael Hand</v>
      </c>
      <c r="U144" t="str">
        <v>NULL</v>
      </c>
      <c r="V144" t="str">
        <v>Home</v>
      </c>
      <c r="W144" t="str">
        <v>OGDC</v>
      </c>
      <c r="X144">
        <v>9.1313597483436624</v>
      </c>
      <c r="Z144" s="1" cm="1">
        <f t="array" ref="Z144">COUNT(_xlfn._xlws.FILTER($H$7:$H$10000,($J$7:$J$10000=Y144)*($K$7:$K$10000&lt;&gt;"NULL")*($H$7:$H$10000 &gt;= ($G$1-5))))/5</f>
        <v>0</v>
      </c>
    </row>
    <row r="145" spans="8:26" x14ac:dyDescent="0.35">
      <c r="H145" s="66">
        <v>3</v>
      </c>
      <c r="I145" t="s">
        <v>34</v>
      </c>
      <c r="J145" t="s">
        <v>95</v>
      </c>
      <c r="K145">
        <v>11.8</v>
      </c>
      <c r="L145" t="s">
        <v>9</v>
      </c>
      <c r="M145" t="s">
        <v>7</v>
      </c>
      <c r="N145">
        <f t="shared" si="22"/>
        <v>14.008830281959355</v>
      </c>
      <c r="O145">
        <f t="shared" si="21"/>
        <v>4.8789312145006409</v>
      </c>
      <c r="P145" s="67" cm="1">
        <f t="array" ref="P145">SUMPRODUCT((H145=$H$7:$H$10000)*(N145&lt;$N$7:$N$10000))+1</f>
        <v>6</v>
      </c>
      <c r="Q145" s="72"/>
      <c r="R145">
        <v>5</v>
      </c>
      <c r="S145" t="str">
        <v>NEFJ</v>
      </c>
      <c r="T145" t="str">
        <v>Paula Balekana</v>
      </c>
      <c r="U145" t="str">
        <v>NULL</v>
      </c>
      <c r="V145" t="str">
        <v>Home</v>
      </c>
      <c r="W145" t="str">
        <v>NOLA</v>
      </c>
      <c r="X145">
        <v>9.1159561637802717</v>
      </c>
      <c r="Z145" s="1" cm="1">
        <f t="array" ref="Z145">COUNT(_xlfn._xlws.FILTER($H$7:$H$10000,($J$7:$J$10000=Y145)*($K$7:$K$10000&lt;&gt;"NULL")*($H$7:$H$10000 &gt;= ($G$1-5))))/5</f>
        <v>0</v>
      </c>
    </row>
    <row r="146" spans="8:26" x14ac:dyDescent="0.35">
      <c r="H146" s="66">
        <v>3</v>
      </c>
      <c r="I146" t="s">
        <v>4</v>
      </c>
      <c r="J146" t="s">
        <v>457</v>
      </c>
      <c r="K146">
        <v>11.7</v>
      </c>
      <c r="L146" t="s">
        <v>9</v>
      </c>
      <c r="M146" t="s">
        <v>13</v>
      </c>
      <c r="N146">
        <f t="shared" si="22"/>
        <v>11.605774573396797</v>
      </c>
      <c r="O146">
        <f t="shared" si="21"/>
        <v>8.8784310185554688E-3</v>
      </c>
      <c r="P146" s="67" cm="1">
        <f t="array" ref="P146">SUMPRODUCT((H146=$H$7:$H$10000)*(N146&lt;$N$7:$N$10000))+1</f>
        <v>10</v>
      </c>
      <c r="Q146" s="72"/>
      <c r="R146">
        <v>5</v>
      </c>
      <c r="S146" t="str">
        <v>SEA</v>
      </c>
      <c r="T146" t="str">
        <v>Lauina Futi</v>
      </c>
      <c r="U146" t="str">
        <v>NULL</v>
      </c>
      <c r="V146" t="str">
        <v>Away</v>
      </c>
      <c r="W146" t="str">
        <v>LA</v>
      </c>
      <c r="X146">
        <v>8.9130489511990731</v>
      </c>
      <c r="Z146" s="1" cm="1">
        <f t="array" ref="Z146">COUNT(_xlfn._xlws.FILTER($H$7:$H$10000,($J$7:$J$10000=Y146)*($K$7:$K$10000&lt;&gt;"NULL")*($H$7:$H$10000 &gt;= ($G$1-5))))/5</f>
        <v>0</v>
      </c>
    </row>
    <row r="147" spans="8:26" x14ac:dyDescent="0.35">
      <c r="H147" s="66">
        <v>3</v>
      </c>
      <c r="I147" t="s">
        <v>13</v>
      </c>
      <c r="J147" t="s">
        <v>477</v>
      </c>
      <c r="K147">
        <v>11.3</v>
      </c>
      <c r="L147" t="s">
        <v>3</v>
      </c>
      <c r="M147" t="s">
        <v>4</v>
      </c>
      <c r="N147">
        <f t="shared" si="22"/>
        <v>8.7962448113038185</v>
      </c>
      <c r="O147">
        <f t="shared" si="21"/>
        <v>6.2687900449230547</v>
      </c>
      <c r="P147" s="67" cm="1">
        <f t="array" ref="P147">SUMPRODUCT((H147=$H$7:$H$10000)*(N147&lt;$N$7:$N$10000))+1</f>
        <v>31</v>
      </c>
      <c r="Q147" s="72"/>
      <c r="R147">
        <v>5</v>
      </c>
      <c r="S147" t="str">
        <v>OGDC</v>
      </c>
      <c r="T147" t="str">
        <v>Jason Robertson</v>
      </c>
      <c r="U147" t="str">
        <v>NULL</v>
      </c>
      <c r="V147" t="str">
        <v>Away</v>
      </c>
      <c r="W147" t="str">
        <v>CHI</v>
      </c>
      <c r="X147">
        <v>8.846473144968531</v>
      </c>
      <c r="Z147" s="1" cm="1">
        <f t="array" ref="Z147">COUNT(_xlfn._xlws.FILTER($H$7:$H$10000,($J$7:$J$10000=Y147)*($K$7:$K$10000&lt;&gt;"NULL")*($H$7:$H$10000 &gt;= ($G$1-5))))/5</f>
        <v>0</v>
      </c>
    </row>
    <row r="148" spans="8:26" x14ac:dyDescent="0.35">
      <c r="H148" s="66">
        <v>3</v>
      </c>
      <c r="I148" t="s">
        <v>23</v>
      </c>
      <c r="J148" t="s">
        <v>190</v>
      </c>
      <c r="K148">
        <v>11.2</v>
      </c>
      <c r="L148" t="s">
        <v>9</v>
      </c>
      <c r="M148" t="s">
        <v>2</v>
      </c>
      <c r="N148">
        <f t="shared" si="22"/>
        <v>11.242588545759235</v>
      </c>
      <c r="O148">
        <f t="shared" si="21"/>
        <v>1.8137842298864902E-3</v>
      </c>
      <c r="P148" s="67" cm="1">
        <f t="array" ref="P148">SUMPRODUCT((H148=$H$7:$H$10000)*(N148&lt;$N$7:$N$10000))+1</f>
        <v>12</v>
      </c>
      <c r="Q148" s="72"/>
      <c r="R148">
        <v>5</v>
      </c>
      <c r="S148" t="str">
        <v>UTAH</v>
      </c>
      <c r="T148" t="str">
        <v>Kyle Brown</v>
      </c>
      <c r="U148" t="str">
        <v>NULL</v>
      </c>
      <c r="V148" t="str">
        <v>Away</v>
      </c>
      <c r="W148" t="str">
        <v>MIA</v>
      </c>
      <c r="X148">
        <v>8.7115518367467999</v>
      </c>
      <c r="Z148" s="1" cm="1">
        <f t="array" ref="Z148">COUNT(_xlfn._xlws.FILTER($H$7:$H$10000,($J$7:$J$10000=Y148)*($K$7:$K$10000&lt;&gt;"NULL")*($H$7:$H$10000 &gt;= ($G$1-5))))/5</f>
        <v>0</v>
      </c>
    </row>
    <row r="149" spans="8:26" x14ac:dyDescent="0.35">
      <c r="H149" s="66">
        <v>3</v>
      </c>
      <c r="I149" t="s">
        <v>2</v>
      </c>
      <c r="J149" t="s">
        <v>44</v>
      </c>
      <c r="K149">
        <v>10.6</v>
      </c>
      <c r="L149" t="s">
        <v>3</v>
      </c>
      <c r="M149" t="s">
        <v>23</v>
      </c>
      <c r="N149">
        <f t="shared" si="22"/>
        <v>8.3313022033631068</v>
      </c>
      <c r="O149">
        <f t="shared" si="21"/>
        <v>5.1469896924650929</v>
      </c>
      <c r="P149" s="67" cm="1">
        <f t="array" ref="P149">SUMPRODUCT((H149=$H$7:$H$10000)*(N149&lt;$N$7:$N$10000))+1</f>
        <v>34</v>
      </c>
      <c r="Q149" s="72"/>
      <c r="R149">
        <v>5</v>
      </c>
      <c r="S149" t="str">
        <v>UTAH</v>
      </c>
      <c r="T149" t="str">
        <v>Logan Crowley</v>
      </c>
      <c r="U149" t="str">
        <v>NULL</v>
      </c>
      <c r="V149" t="str">
        <v>Away</v>
      </c>
      <c r="W149" t="str">
        <v>MIA</v>
      </c>
      <c r="X149">
        <v>7.9986760189182062</v>
      </c>
      <c r="Z149" s="1" cm="1">
        <f t="array" ref="Z149">COUNT(_xlfn._xlws.FILTER($H$7:$H$10000,($J$7:$J$10000=Y149)*($K$7:$K$10000&lt;&gt;"NULL")*($H$7:$H$10000 &gt;= ($G$1-5))))/5</f>
        <v>0</v>
      </c>
    </row>
    <row r="150" spans="8:26" x14ac:dyDescent="0.35">
      <c r="H150" s="66">
        <v>3</v>
      </c>
      <c r="I150" t="s">
        <v>36</v>
      </c>
      <c r="J150" t="s">
        <v>38</v>
      </c>
      <c r="K150">
        <v>10.6</v>
      </c>
      <c r="L150" t="s">
        <v>3</v>
      </c>
      <c r="M150" t="s">
        <v>17</v>
      </c>
      <c r="N150">
        <f t="shared" si="22"/>
        <v>11.021812694118323</v>
      </c>
      <c r="O150">
        <f t="shared" si="21"/>
        <v>0.17792594891935784</v>
      </c>
      <c r="P150" s="67" cm="1">
        <f t="array" ref="P150">SUMPRODUCT((H150=$H$7:$H$10000)*(N150&lt;$N$7:$N$10000))+1</f>
        <v>13</v>
      </c>
      <c r="Q150" s="72"/>
      <c r="R150">
        <v>5</v>
      </c>
      <c r="S150" t="str">
        <v>SEA</v>
      </c>
      <c r="T150" t="str">
        <v>Dan Kriel</v>
      </c>
      <c r="U150" t="str">
        <v>NULL</v>
      </c>
      <c r="V150" t="str">
        <v>Away</v>
      </c>
      <c r="W150" t="str">
        <v>LA</v>
      </c>
      <c r="X150">
        <v>7.5552938949555299</v>
      </c>
      <c r="Z150" s="1" cm="1">
        <f t="array" ref="Z150">COUNT(_xlfn._xlws.FILTER($H$7:$H$10000,($J$7:$J$10000=Y150)*($K$7:$K$10000&lt;&gt;"NULL")*($H$7:$H$10000 &gt;= ($G$1-5))))/5</f>
        <v>0</v>
      </c>
    </row>
    <row r="151" spans="8:26" x14ac:dyDescent="0.35">
      <c r="H151" s="66">
        <v>3</v>
      </c>
      <c r="I151" t="s">
        <v>24</v>
      </c>
      <c r="J151" t="s">
        <v>487</v>
      </c>
      <c r="K151">
        <v>10.4</v>
      </c>
      <c r="L151" t="s">
        <v>9</v>
      </c>
      <c r="M151" t="s">
        <v>14</v>
      </c>
      <c r="N151">
        <f t="shared" si="22"/>
        <v>10.41106182351831</v>
      </c>
      <c r="O151">
        <f t="shared" si="21"/>
        <v>1.2236393955022097E-4</v>
      </c>
      <c r="P151" s="67" cm="1">
        <f t="array" ref="P151">SUMPRODUCT((H151=$H$7:$H$10000)*(N151&lt;$N$7:$N$10000))+1</f>
        <v>19</v>
      </c>
      <c r="Q151" s="72"/>
      <c r="R151">
        <v>5</v>
      </c>
      <c r="S151" t="str">
        <v>MIA</v>
      </c>
      <c r="T151" t="str">
        <v>Matias Orlando</v>
      </c>
      <c r="U151" t="str">
        <v>NULL</v>
      </c>
      <c r="V151" t="str">
        <v>Home</v>
      </c>
      <c r="W151" t="str">
        <v>UTAH</v>
      </c>
      <c r="X151">
        <v>7.4229220116978887</v>
      </c>
      <c r="Z151" s="1" cm="1">
        <f t="array" ref="Z151">COUNT(_xlfn._xlws.FILTER($H$7:$H$10000,($J$7:$J$10000=Y151)*($K$7:$K$10000&lt;&gt;"NULL")*($H$7:$H$10000 &gt;= ($G$1-5))))/5</f>
        <v>0</v>
      </c>
    </row>
    <row r="152" spans="8:26" x14ac:dyDescent="0.35">
      <c r="H152" s="66">
        <v>3</v>
      </c>
      <c r="I152" t="s">
        <v>2</v>
      </c>
      <c r="J152" t="s">
        <v>90</v>
      </c>
      <c r="K152">
        <v>10.199999999999999</v>
      </c>
      <c r="L152" t="s">
        <v>3</v>
      </c>
      <c r="M152" t="s">
        <v>23</v>
      </c>
      <c r="N152">
        <f t="shared" si="22"/>
        <v>5.5327632516817999</v>
      </c>
      <c r="O152">
        <f t="shared" si="21"/>
        <v>21.783098864851837</v>
      </c>
      <c r="P152" s="67" cm="1">
        <f t="array" ref="P152">SUMPRODUCT((H152=$H$7:$H$10000)*(N152&lt;$N$7:$N$10000))+1</f>
        <v>54</v>
      </c>
      <c r="Q152" s="72"/>
      <c r="R152">
        <v>5</v>
      </c>
      <c r="S152" t="str">
        <v>CHI</v>
      </c>
      <c r="T152" t="str">
        <v>Ollie Devoto</v>
      </c>
      <c r="U152" t="str">
        <v>NULL</v>
      </c>
      <c r="V152" t="str">
        <v>Home</v>
      </c>
      <c r="W152" t="str">
        <v>OGDC</v>
      </c>
      <c r="X152">
        <v>7.0224622400021612</v>
      </c>
      <c r="Z152" s="1" cm="1">
        <f t="array" ref="Z152">COUNT(_xlfn._xlws.FILTER($H$7:$H$10000,($J$7:$J$10000=Y152)*($K$7:$K$10000&lt;&gt;"NULL")*($H$7:$H$10000 &gt;= ($G$1-5))))/5</f>
        <v>0</v>
      </c>
    </row>
    <row r="153" spans="8:26" x14ac:dyDescent="0.35">
      <c r="H153" s="66">
        <v>3</v>
      </c>
      <c r="I153" t="s">
        <v>4</v>
      </c>
      <c r="J153" t="s">
        <v>74</v>
      </c>
      <c r="K153">
        <v>9.9</v>
      </c>
      <c r="L153" t="s">
        <v>9</v>
      </c>
      <c r="M153" t="s">
        <v>13</v>
      </c>
      <c r="N153">
        <f t="shared" si="22"/>
        <v>10.2447195166875</v>
      </c>
      <c r="O153">
        <f t="shared" si="21"/>
        <v>0.11883154518526322</v>
      </c>
      <c r="P153" s="67" cm="1">
        <f t="array" ref="P153">SUMPRODUCT((H153=$H$7:$H$10000)*(N153&lt;$N$7:$N$10000))+1</f>
        <v>20</v>
      </c>
      <c r="Q153" s="72"/>
      <c r="R153">
        <v>5</v>
      </c>
      <c r="S153" t="str">
        <v>NOLA</v>
      </c>
      <c r="T153" t="str">
        <v>Luke Carty</v>
      </c>
      <c r="U153" t="str">
        <v>NULL</v>
      </c>
      <c r="V153" t="str">
        <v>Away</v>
      </c>
      <c r="W153" t="str">
        <v>NEFJ</v>
      </c>
      <c r="X153">
        <v>6.9780058723302751</v>
      </c>
      <c r="Z153" s="1" cm="1">
        <f t="array" ref="Z153">COUNT(_xlfn._xlws.FILTER($H$7:$H$10000,($J$7:$J$10000=Y153)*($K$7:$K$10000&lt;&gt;"NULL")*($H$7:$H$10000 &gt;= ($G$1-5))))/5</f>
        <v>0</v>
      </c>
    </row>
    <row r="154" spans="8:26" x14ac:dyDescent="0.35">
      <c r="H154" s="66">
        <v>3</v>
      </c>
      <c r="I154" t="s">
        <v>13</v>
      </c>
      <c r="J154" t="s">
        <v>473</v>
      </c>
      <c r="K154">
        <v>9.4</v>
      </c>
      <c r="L154" t="s">
        <v>3</v>
      </c>
      <c r="M154" t="s">
        <v>4</v>
      </c>
      <c r="N154">
        <f t="shared" si="22"/>
        <v>11.298738951434256</v>
      </c>
      <c r="O154">
        <f t="shared" si="21"/>
        <v>3.6052096056936564</v>
      </c>
      <c r="P154" s="67" cm="1">
        <f t="array" ref="P154">SUMPRODUCT((H154=$H$7:$H$10000)*(N154&lt;$N$7:$N$10000))+1</f>
        <v>11</v>
      </c>
      <c r="Q154" s="72"/>
      <c r="R154">
        <v>5</v>
      </c>
      <c r="S154" t="str">
        <v>MIA</v>
      </c>
      <c r="T154" t="str">
        <v>Guiseppe du Toit</v>
      </c>
      <c r="U154" t="str">
        <v>NULL</v>
      </c>
      <c r="V154" t="str">
        <v>Home</v>
      </c>
      <c r="W154" t="str">
        <v>UTAH</v>
      </c>
      <c r="X154">
        <v>6.6166236657815976</v>
      </c>
      <c r="Z154" s="1" cm="1">
        <f t="array" ref="Z154">COUNT(_xlfn._xlws.FILTER($H$7:$H$10000,($J$7:$J$10000=Y154)*($K$7:$K$10000&lt;&gt;"NULL")*($H$7:$H$10000 &gt;= ($G$1-5))))/5</f>
        <v>0</v>
      </c>
    </row>
    <row r="155" spans="8:26" x14ac:dyDescent="0.35">
      <c r="H155" s="66">
        <v>3</v>
      </c>
      <c r="I155" t="s">
        <v>24</v>
      </c>
      <c r="J155" t="s">
        <v>84</v>
      </c>
      <c r="K155">
        <v>9.1</v>
      </c>
      <c r="L155" t="s">
        <v>9</v>
      </c>
      <c r="M155" t="s">
        <v>14</v>
      </c>
      <c r="N155">
        <f t="shared" si="22"/>
        <v>10.761572932742112</v>
      </c>
      <c r="O155">
        <f t="shared" si="21"/>
        <v>2.7608246108212247</v>
      </c>
      <c r="P155" s="67" cm="1">
        <f t="array" ref="P155">SUMPRODUCT((H155=$H$7:$H$10000)*(N155&lt;$N$7:$N$10000))+1</f>
        <v>15</v>
      </c>
      <c r="Q155" s="72"/>
      <c r="R155">
        <v>5</v>
      </c>
      <c r="S155" t="str">
        <v>NOLA</v>
      </c>
      <c r="T155" t="str">
        <v>Dorian Jones</v>
      </c>
      <c r="U155" t="str">
        <v>NULL</v>
      </c>
      <c r="V155" t="str">
        <v>Away</v>
      </c>
      <c r="W155" t="str">
        <v>NEFJ</v>
      </c>
      <c r="X155">
        <v>6.4800167688984303</v>
      </c>
      <c r="Z155" s="1" cm="1">
        <f t="array" ref="Z155">COUNT(_xlfn._xlws.FILTER($H$7:$H$10000,($J$7:$J$10000=Y155)*($K$7:$K$10000&lt;&gt;"NULL")*($H$7:$H$10000 &gt;= ($G$1-5))))/5</f>
        <v>0</v>
      </c>
    </row>
    <row r="156" spans="8:26" x14ac:dyDescent="0.35">
      <c r="H156" s="66">
        <v>3</v>
      </c>
      <c r="I156" t="s">
        <v>34</v>
      </c>
      <c r="J156" t="s">
        <v>39</v>
      </c>
      <c r="K156">
        <v>8.9</v>
      </c>
      <c r="L156" t="s">
        <v>9</v>
      </c>
      <c r="M156" t="s">
        <v>7</v>
      </c>
      <c r="N156">
        <f t="shared" si="22"/>
        <v>5.7866268901866125</v>
      </c>
      <c r="O156">
        <f t="shared" si="21"/>
        <v>9.6930921209090855</v>
      </c>
      <c r="P156" s="67" cm="1">
        <f t="array" ref="P156">SUMPRODUCT((H156=$H$7:$H$10000)*(N156&lt;$N$7:$N$10000))+1</f>
        <v>51</v>
      </c>
      <c r="Q156" s="72"/>
      <c r="R156">
        <v>5</v>
      </c>
      <c r="S156" t="str">
        <v>CHI</v>
      </c>
      <c r="T156" t="str">
        <v>Adriaan Carelse</v>
      </c>
      <c r="U156" t="str">
        <v>NULL</v>
      </c>
      <c r="V156" t="str">
        <v>Home</v>
      </c>
      <c r="W156" t="str">
        <v>OGDC</v>
      </c>
      <c r="X156">
        <v>6.1311932042052462</v>
      </c>
      <c r="Z156" s="1" cm="1">
        <f t="array" ref="Z156">COUNT(_xlfn._xlws.FILTER($H$7:$H$10000,($J$7:$J$10000=Y156)*($K$7:$K$10000&lt;&gt;"NULL")*($H$7:$H$10000 &gt;= ($G$1-5))))/5</f>
        <v>0</v>
      </c>
    </row>
    <row r="157" spans="8:26" x14ac:dyDescent="0.35">
      <c r="H157" s="66">
        <v>3</v>
      </c>
      <c r="I157" t="s">
        <v>4</v>
      </c>
      <c r="J157" t="s">
        <v>475</v>
      </c>
      <c r="K157">
        <v>8.3000000000000007</v>
      </c>
      <c r="L157" t="s">
        <v>9</v>
      </c>
      <c r="M157" t="s">
        <v>13</v>
      </c>
      <c r="N157">
        <f t="shared" si="22"/>
        <v>3.3190587501281659</v>
      </c>
      <c r="O157">
        <f t="shared" si="21"/>
        <v>24.809775734674798</v>
      </c>
      <c r="P157" s="67" cm="1">
        <f t="array" ref="P157">SUMPRODUCT((H157=$H$7:$H$10000)*(N157&lt;$N$7:$N$10000))+1</f>
        <v>63</v>
      </c>
      <c r="Q157" s="72"/>
      <c r="R157">
        <v>5</v>
      </c>
      <c r="S157" t="str">
        <v>NOLA</v>
      </c>
      <c r="T157" t="str">
        <v>Isaac Te Tamaki</v>
      </c>
      <c r="U157" t="str">
        <v>NULL</v>
      </c>
      <c r="V157" t="str">
        <v>Away</v>
      </c>
      <c r="W157" t="str">
        <v>NEFJ</v>
      </c>
      <c r="X157">
        <v>6.0326435212615452</v>
      </c>
      <c r="Z157" s="1" cm="1">
        <f t="array" ref="Z157">COUNT(_xlfn._xlws.FILTER($H$7:$H$10000,($J$7:$J$10000=Y157)*($K$7:$K$10000&lt;&gt;"NULL")*($H$7:$H$10000 &gt;= ($G$1-5))))/5</f>
        <v>0</v>
      </c>
    </row>
    <row r="158" spans="8:26" x14ac:dyDescent="0.35">
      <c r="H158" s="66">
        <v>3</v>
      </c>
      <c r="I158" t="s">
        <v>36</v>
      </c>
      <c r="J158" t="s">
        <v>491</v>
      </c>
      <c r="K158">
        <v>8.1</v>
      </c>
      <c r="L158" t="s">
        <v>3</v>
      </c>
      <c r="M158" t="s">
        <v>17</v>
      </c>
      <c r="N158">
        <f t="shared" si="22"/>
        <v>8.1068427077497791</v>
      </c>
      <c r="O158">
        <f t="shared" si="21"/>
        <v>4.6822649348891938E-5</v>
      </c>
      <c r="P158" s="67" cm="1">
        <f t="array" ref="P158">SUMPRODUCT((H158=$H$7:$H$10000)*(N158&lt;$N$7:$N$10000))+1</f>
        <v>35</v>
      </c>
      <c r="Q158" s="72"/>
      <c r="R158">
        <v>5</v>
      </c>
      <c r="S158" t="str">
        <v>SEA</v>
      </c>
      <c r="T158" t="str">
        <v>Jade Stighling</v>
      </c>
      <c r="U158" t="str">
        <v>NULL</v>
      </c>
      <c r="V158" t="str">
        <v>Away</v>
      </c>
      <c r="W158" t="str">
        <v>LA</v>
      </c>
      <c r="X158">
        <v>5.2799380590184919</v>
      </c>
      <c r="Z158" s="1" cm="1">
        <f t="array" ref="Z158">COUNT(_xlfn._xlws.FILTER($H$7:$H$10000,($J$7:$J$10000=Y158)*($K$7:$K$10000&lt;&gt;"NULL")*($H$7:$H$10000 &gt;= ($G$1-5))))/5</f>
        <v>0</v>
      </c>
    </row>
    <row r="159" spans="8:26" x14ac:dyDescent="0.35">
      <c r="H159" s="66">
        <v>3</v>
      </c>
      <c r="I159" t="s">
        <v>2</v>
      </c>
      <c r="J159" t="s">
        <v>63</v>
      </c>
      <c r="K159">
        <v>7.8</v>
      </c>
      <c r="L159" t="s">
        <v>3</v>
      </c>
      <c r="M159" t="s">
        <v>23</v>
      </c>
      <c r="N159">
        <f t="shared" si="22"/>
        <v>9.9896064313273563</v>
      </c>
      <c r="O159">
        <f t="shared" si="21"/>
        <v>4.7943763241101216</v>
      </c>
      <c r="P159" s="67" cm="1">
        <f t="array" ref="P159">SUMPRODUCT((H159=$H$7:$H$10000)*(N159&lt;$N$7:$N$10000))+1</f>
        <v>22</v>
      </c>
      <c r="Q159" s="72"/>
      <c r="R159">
        <v>5</v>
      </c>
      <c r="S159" t="str">
        <v>CHI</v>
      </c>
      <c r="T159" t="str">
        <v>Ben Pollack</v>
      </c>
      <c r="U159" t="str">
        <v>NULL</v>
      </c>
      <c r="V159" t="str">
        <v>Home</v>
      </c>
      <c r="W159" t="str">
        <v>OGDC</v>
      </c>
      <c r="X159">
        <v>5.1037753634926792</v>
      </c>
      <c r="Z159" s="1" cm="1">
        <f t="array" ref="Z159">COUNT(_xlfn._xlws.FILTER($H$7:$H$10000,($J$7:$J$10000=Y159)*($K$7:$K$10000&lt;&gt;"NULL")*($H$7:$H$10000 &gt;= ($G$1-5))))/5</f>
        <v>0</v>
      </c>
    </row>
    <row r="160" spans="8:26" x14ac:dyDescent="0.35">
      <c r="H160" s="66">
        <v>3</v>
      </c>
      <c r="I160" t="s">
        <v>7</v>
      </c>
      <c r="J160" t="s">
        <v>67</v>
      </c>
      <c r="K160">
        <v>7.8</v>
      </c>
      <c r="L160" t="s">
        <v>3</v>
      </c>
      <c r="M160" t="s">
        <v>34</v>
      </c>
      <c r="N160">
        <f t="shared" si="22"/>
        <v>10.558463385075237</v>
      </c>
      <c r="O160">
        <f t="shared" si="21"/>
        <v>7.6091202468007371</v>
      </c>
      <c r="P160" s="67" cm="1">
        <f t="array" ref="P160">SUMPRODUCT((H160=$H$7:$H$10000)*(N160&lt;$N$7:$N$10000))+1</f>
        <v>17</v>
      </c>
      <c r="Q160" s="72"/>
      <c r="R160">
        <v>5</v>
      </c>
      <c r="S160" t="str">
        <v>NEFJ</v>
      </c>
      <c r="T160" t="str">
        <v>Killian Coghlan</v>
      </c>
      <c r="U160" t="str">
        <v>NULL</v>
      </c>
      <c r="V160" t="str">
        <v>Home</v>
      </c>
      <c r="W160" t="str">
        <v>NOLA</v>
      </c>
      <c r="X160">
        <v>4.7711052268891567</v>
      </c>
      <c r="Z160" s="1" cm="1">
        <f t="array" ref="Z160">COUNT(_xlfn._xlws.FILTER($H$7:$H$10000,($J$7:$J$10000=Y160)*($K$7:$K$10000&lt;&gt;"NULL")*($H$7:$H$10000 &gt;= ($G$1-5))))/5</f>
        <v>0</v>
      </c>
    </row>
    <row r="161" spans="8:26" x14ac:dyDescent="0.35">
      <c r="H161" s="66">
        <v>3</v>
      </c>
      <c r="I161" t="s">
        <v>17</v>
      </c>
      <c r="J161" t="s">
        <v>492</v>
      </c>
      <c r="K161">
        <v>7.6</v>
      </c>
      <c r="L161" t="s">
        <v>9</v>
      </c>
      <c r="M161" t="s">
        <v>36</v>
      </c>
      <c r="N161">
        <f t="shared" si="22"/>
        <v>7.7884014134983737</v>
      </c>
      <c r="O161">
        <f t="shared" si="21"/>
        <v>3.5495092608185314E-2</v>
      </c>
      <c r="P161" s="67" cm="1">
        <f t="array" ref="P161">SUMPRODUCT((H161=$H$7:$H$10000)*(N161&lt;$N$7:$N$10000))+1</f>
        <v>36</v>
      </c>
      <c r="Q161" s="72"/>
      <c r="R161">
        <v>5</v>
      </c>
      <c r="S161" t="str">
        <v>SEA</v>
      </c>
      <c r="T161" t="str">
        <v>Jeremiah Sio</v>
      </c>
      <c r="U161" t="str">
        <v>NULL</v>
      </c>
      <c r="V161" t="str">
        <v>Away</v>
      </c>
      <c r="W161" t="str">
        <v>LA</v>
      </c>
      <c r="X161">
        <v>4.6539081807833984</v>
      </c>
      <c r="Z161" s="1" cm="1">
        <f t="array" ref="Z161">COUNT(_xlfn._xlws.FILTER($H$7:$H$10000,($J$7:$J$10000=Y161)*($K$7:$K$10000&lt;&gt;"NULL")*($H$7:$H$10000 &gt;= ($G$1-5))))/5</f>
        <v>0</v>
      </c>
    </row>
    <row r="162" spans="8:26" x14ac:dyDescent="0.35">
      <c r="H162" s="66">
        <v>3</v>
      </c>
      <c r="I162" t="s">
        <v>7</v>
      </c>
      <c r="J162" t="s">
        <v>65</v>
      </c>
      <c r="K162">
        <v>7.5</v>
      </c>
      <c r="L162" t="s">
        <v>3</v>
      </c>
      <c r="M162" t="s">
        <v>34</v>
      </c>
      <c r="N162">
        <f t="shared" si="22"/>
        <v>17.817795920459801</v>
      </c>
      <c r="O162">
        <f t="shared" si="21"/>
        <v>106.45691265625692</v>
      </c>
      <c r="P162" s="67" cm="1">
        <f t="array" ref="P162">SUMPRODUCT((H162=$H$7:$H$10000)*(N162&lt;$N$7:$N$10000))+1</f>
        <v>2</v>
      </c>
      <c r="Q162" s="72"/>
      <c r="R162">
        <v>5</v>
      </c>
      <c r="S162" t="str">
        <v>CHI</v>
      </c>
      <c r="T162" t="str">
        <v>Bryce Campbell</v>
      </c>
      <c r="U162" t="str">
        <v>NULL</v>
      </c>
      <c r="V162" t="str">
        <v>Home</v>
      </c>
      <c r="W162" t="str">
        <v>OGDC</v>
      </c>
      <c r="X162">
        <v>4.4728889762409967</v>
      </c>
      <c r="Z162" s="1" cm="1">
        <f t="array" ref="Z162">COUNT(_xlfn._xlws.FILTER($H$7:$H$10000,($J$7:$J$10000=Y162)*($K$7:$K$10000&lt;&gt;"NULL")*($H$7:$H$10000 &gt;= ($G$1-5))))/5</f>
        <v>0</v>
      </c>
    </row>
    <row r="163" spans="8:26" x14ac:dyDescent="0.35">
      <c r="H163" s="66">
        <v>3</v>
      </c>
      <c r="I163" t="s">
        <v>7</v>
      </c>
      <c r="J163" t="s">
        <v>77</v>
      </c>
      <c r="K163">
        <v>7.5</v>
      </c>
      <c r="L163" t="s">
        <v>3</v>
      </c>
      <c r="M163" t="s">
        <v>34</v>
      </c>
      <c r="N163">
        <f t="shared" si="22"/>
        <v>8.8502890847544542</v>
      </c>
      <c r="O163">
        <f t="shared" si="21"/>
        <v>1.8232806124070216</v>
      </c>
      <c r="P163" s="67" cm="1">
        <f t="array" ref="P163">SUMPRODUCT((H163=$H$7:$H$10000)*(N163&lt;$N$7:$N$10000))+1</f>
        <v>30</v>
      </c>
      <c r="Q163" s="72"/>
      <c r="R163">
        <v>5</v>
      </c>
      <c r="S163" t="str">
        <v>MIA</v>
      </c>
      <c r="T163" t="str">
        <v>Connor Burns</v>
      </c>
      <c r="U163" t="str">
        <v>NULL</v>
      </c>
      <c r="V163" t="str">
        <v>Home</v>
      </c>
      <c r="W163" t="str">
        <v>UTAH</v>
      </c>
      <c r="X163">
        <v>4.2940285314275473</v>
      </c>
      <c r="Z163" s="1" cm="1">
        <f t="array" ref="Z163">COUNT(_xlfn._xlws.FILTER($H$7:$H$10000,($J$7:$J$10000=Y163)*($K$7:$K$10000&lt;&gt;"NULL")*($H$7:$H$10000 &gt;= ($G$1-5))))/5</f>
        <v>0</v>
      </c>
    </row>
    <row r="164" spans="8:26" x14ac:dyDescent="0.35">
      <c r="H164" s="66">
        <v>3</v>
      </c>
      <c r="I164" t="s">
        <v>17</v>
      </c>
      <c r="J164" t="s">
        <v>81</v>
      </c>
      <c r="K164">
        <v>7.4</v>
      </c>
      <c r="L164" t="s">
        <v>9</v>
      </c>
      <c r="M164" t="s">
        <v>36</v>
      </c>
      <c r="N164">
        <f t="shared" si="22"/>
        <v>4.3459629038399319</v>
      </c>
      <c r="O164">
        <f t="shared" si="21"/>
        <v>9.3271425847218232</v>
      </c>
      <c r="P164" s="67" cm="1">
        <f t="array" ref="P164">SUMPRODUCT((H164=$H$7:$H$10000)*(N164&lt;$N$7:$N$10000))+1</f>
        <v>59</v>
      </c>
      <c r="Q164" s="72"/>
      <c r="R164">
        <v>5</v>
      </c>
      <c r="S164" t="str">
        <v>LA</v>
      </c>
      <c r="T164" t="str">
        <v>Christian Dyer</v>
      </c>
      <c r="U164" t="str">
        <v>NULL</v>
      </c>
      <c r="V164" t="str">
        <v>Home</v>
      </c>
      <c r="W164" t="str">
        <v>SEA</v>
      </c>
      <c r="X164">
        <v>3.9967593249163409</v>
      </c>
      <c r="Z164" s="1" cm="1">
        <f t="array" ref="Z164">COUNT(_xlfn._xlws.FILTER($H$7:$H$10000,($J$7:$J$10000=Y164)*($K$7:$K$10000&lt;&gt;"NULL")*($H$7:$H$10000 &gt;= ($G$1-5))))/5</f>
        <v>0</v>
      </c>
    </row>
    <row r="165" spans="8:26" x14ac:dyDescent="0.35">
      <c r="H165" s="66">
        <v>3</v>
      </c>
      <c r="I165" t="s">
        <v>23</v>
      </c>
      <c r="J165" t="s">
        <v>46</v>
      </c>
      <c r="K165">
        <v>7.3</v>
      </c>
      <c r="L165" t="s">
        <v>9</v>
      </c>
      <c r="M165" t="s">
        <v>2</v>
      </c>
      <c r="N165">
        <f t="shared" si="22"/>
        <v>10.04179814397761</v>
      </c>
      <c r="O165">
        <f t="shared" si="21"/>
        <v>7.5174570623190693</v>
      </c>
      <c r="P165" s="67" cm="1">
        <f t="array" ref="P165">SUMPRODUCT((H165=$H$7:$H$10000)*(N165&lt;$N$7:$N$10000))+1</f>
        <v>21</v>
      </c>
      <c r="Q165" s="72"/>
      <c r="R165">
        <v>5</v>
      </c>
      <c r="S165" t="str">
        <v>NOLA</v>
      </c>
      <c r="T165" t="str">
        <v>Nikolai Foliaki</v>
      </c>
      <c r="U165" t="str">
        <v>NULL</v>
      </c>
      <c r="V165" t="str">
        <v>Away</v>
      </c>
      <c r="W165" t="str">
        <v>NEFJ</v>
      </c>
      <c r="X165">
        <v>3.6182432121358481</v>
      </c>
      <c r="Z165" s="1" cm="1">
        <f t="array" ref="Z165">COUNT(_xlfn._xlws.FILTER($H$7:$H$10000,($J$7:$J$10000=Y165)*($K$7:$K$10000&lt;&gt;"NULL")*($H$7:$H$10000 &gt;= ($G$1-5))))/5</f>
        <v>0</v>
      </c>
    </row>
    <row r="166" spans="8:26" x14ac:dyDescent="0.35">
      <c r="H166" s="66">
        <v>3</v>
      </c>
      <c r="I166" t="s">
        <v>14</v>
      </c>
      <c r="J166" t="s">
        <v>11</v>
      </c>
      <c r="K166">
        <v>7.1</v>
      </c>
      <c r="L166" t="s">
        <v>3</v>
      </c>
      <c r="M166" t="s">
        <v>24</v>
      </c>
      <c r="N166">
        <f t="shared" si="22"/>
        <v>8.6645039524463847</v>
      </c>
      <c r="O166">
        <f t="shared" si="21"/>
        <v>2.4476726172203609</v>
      </c>
      <c r="P166" s="67" cm="1">
        <f t="array" ref="P166">SUMPRODUCT((H166=$H$7:$H$10000)*(N166&lt;$N$7:$N$10000))+1</f>
        <v>32</v>
      </c>
      <c r="Q166" s="72"/>
      <c r="R166">
        <v>5</v>
      </c>
      <c r="S166" t="str">
        <v>CHI</v>
      </c>
      <c r="T166" t="str">
        <v>Mitch Short</v>
      </c>
      <c r="U166" t="str">
        <v>NULL</v>
      </c>
      <c r="V166" t="str">
        <v>Home</v>
      </c>
      <c r="W166" t="str">
        <v>OGDC</v>
      </c>
      <c r="X166">
        <v>3.6061972608996173</v>
      </c>
      <c r="Z166" s="1" cm="1">
        <f t="array" ref="Z166">COUNT(_xlfn._xlws.FILTER($H$7:$H$10000,($J$7:$J$10000=Y166)*($K$7:$K$10000&lt;&gt;"NULL")*($H$7:$H$10000 &gt;= ($G$1-5))))/5</f>
        <v>0</v>
      </c>
    </row>
    <row r="167" spans="8:26" x14ac:dyDescent="0.35">
      <c r="H167" s="66">
        <v>3</v>
      </c>
      <c r="I167" t="s">
        <v>34</v>
      </c>
      <c r="J167" t="s">
        <v>496</v>
      </c>
      <c r="K167">
        <v>7</v>
      </c>
      <c r="L167" t="s">
        <v>9</v>
      </c>
      <c r="M167" t="s">
        <v>7</v>
      </c>
      <c r="N167">
        <f t="shared" si="22"/>
        <v>6.9996280500515846</v>
      </c>
      <c r="O167">
        <f t="shared" si="21"/>
        <v>1.3834676412620704E-7</v>
      </c>
      <c r="P167" s="67" cm="1">
        <f t="array" ref="P167">SUMPRODUCT((H167=$H$7:$H$10000)*(N167&lt;$N$7:$N$10000))+1</f>
        <v>39</v>
      </c>
      <c r="Q167" s="72"/>
      <c r="R167">
        <v>5</v>
      </c>
      <c r="S167" t="str">
        <v>OGDC</v>
      </c>
      <c r="T167" t="str">
        <v>Jason Emery</v>
      </c>
      <c r="U167" t="str">
        <v>NULL</v>
      </c>
      <c r="V167" t="str">
        <v>Away</v>
      </c>
      <c r="W167" t="str">
        <v>CHI</v>
      </c>
      <c r="X167">
        <v>2.4828080157206012</v>
      </c>
      <c r="Z167" s="1" cm="1">
        <f t="array" ref="Z167">COUNT(_xlfn._xlws.FILTER($H$7:$H$10000,($J$7:$J$10000=Y167)*($K$7:$K$10000&lt;&gt;"NULL")*($H$7:$H$10000 &gt;= ($G$1-5))))/5</f>
        <v>0</v>
      </c>
    </row>
    <row r="168" spans="8:26" x14ac:dyDescent="0.35">
      <c r="H168" s="66">
        <v>3</v>
      </c>
      <c r="I168" t="s">
        <v>24</v>
      </c>
      <c r="J168" t="s">
        <v>194</v>
      </c>
      <c r="K168">
        <v>6.9</v>
      </c>
      <c r="L168" t="s">
        <v>9</v>
      </c>
      <c r="M168" t="s">
        <v>14</v>
      </c>
      <c r="N168">
        <f t="shared" si="22"/>
        <v>10.730509065139616</v>
      </c>
      <c r="O168">
        <f t="shared" si="21"/>
        <v>14.672799698116773</v>
      </c>
      <c r="P168" s="67" cm="1">
        <f t="array" ref="P168">SUMPRODUCT((H168=$H$7:$H$10000)*(N168&lt;$N$7:$N$10000))+1</f>
        <v>16</v>
      </c>
      <c r="Q168" s="72"/>
      <c r="R168">
        <v>5</v>
      </c>
      <c r="S168" t="str">
        <v>NEFJ</v>
      </c>
      <c r="T168" t="str">
        <v>Harrison Boyle</v>
      </c>
      <c r="U168" t="str">
        <v>NULL</v>
      </c>
      <c r="V168" t="str">
        <v>Home</v>
      </c>
      <c r="W168" t="str">
        <v>NOLA</v>
      </c>
      <c r="X168">
        <v>2.3605571039598452</v>
      </c>
      <c r="Z168" s="1" cm="1">
        <f t="array" ref="Z168">COUNT(_xlfn._xlws.FILTER($H$7:$H$10000,($J$7:$J$10000=Y168)*($K$7:$K$10000&lt;&gt;"NULL")*($H$7:$H$10000 &gt;= ($G$1-5))))/5</f>
        <v>0</v>
      </c>
    </row>
    <row r="169" spans="8:26" x14ac:dyDescent="0.35">
      <c r="H169" s="66">
        <v>3</v>
      </c>
      <c r="I169" t="s">
        <v>7</v>
      </c>
      <c r="J169" t="s">
        <v>19</v>
      </c>
      <c r="K169">
        <v>6.9</v>
      </c>
      <c r="L169" t="s">
        <v>3</v>
      </c>
      <c r="M169" t="s">
        <v>34</v>
      </c>
      <c r="N169">
        <f t="shared" si="22"/>
        <v>2.4866239555065244</v>
      </c>
      <c r="O169">
        <f t="shared" si="21"/>
        <v>19.477888110108879</v>
      </c>
      <c r="P169" s="67" cm="1">
        <f t="array" ref="P169">SUMPRODUCT((H169=$H$7:$H$10000)*(N169&lt;$N$7:$N$10000))+1</f>
        <v>66</v>
      </c>
      <c r="Q169" s="72"/>
      <c r="R169">
        <v>5</v>
      </c>
      <c r="S169" t="str">
        <v>NEFJ</v>
      </c>
      <c r="T169" t="str">
        <v>John Poland</v>
      </c>
      <c r="U169" t="str">
        <v>NULL</v>
      </c>
      <c r="V169" t="str">
        <v>Home</v>
      </c>
      <c r="W169" t="str">
        <v>NOLA</v>
      </c>
      <c r="X169">
        <v>1.8136530220925779</v>
      </c>
      <c r="Z169" s="1" cm="1">
        <f t="array" ref="Z169">COUNT(_xlfn._xlws.FILTER($H$7:$H$10000,($J$7:$J$10000=Y169)*($K$7:$K$10000&lt;&gt;"NULL")*($H$7:$H$10000 &gt;= ($G$1-5))))/5</f>
        <v>0</v>
      </c>
    </row>
    <row r="170" spans="8:26" x14ac:dyDescent="0.35">
      <c r="H170" s="66">
        <v>3</v>
      </c>
      <c r="I170" t="s">
        <v>24</v>
      </c>
      <c r="J170" t="s">
        <v>402</v>
      </c>
      <c r="K170">
        <v>6.8</v>
      </c>
      <c r="L170" t="s">
        <v>9</v>
      </c>
      <c r="M170" t="s">
        <v>14</v>
      </c>
      <c r="N170">
        <f t="shared" si="22"/>
        <v>6.5489485626882962</v>
      </c>
      <c r="O170">
        <f t="shared" si="21"/>
        <v>6.302682417627227E-2</v>
      </c>
      <c r="P170" s="67" cm="1">
        <f t="array" ref="P170">SUMPRODUCT((H170=$H$7:$H$10000)*(N170&lt;$N$7:$N$10000))+1</f>
        <v>44</v>
      </c>
      <c r="Q170" s="72"/>
      <c r="R170">
        <v>5</v>
      </c>
      <c r="S170" t="str">
        <v>CHI</v>
      </c>
      <c r="T170" t="str">
        <v>Noah Brown</v>
      </c>
      <c r="U170" t="str">
        <v>NULL</v>
      </c>
      <c r="V170" t="str">
        <v>Home</v>
      </c>
      <c r="W170" t="str">
        <v>OGDC</v>
      </c>
      <c r="X170">
        <v>1.6743500245596898</v>
      </c>
      <c r="Z170" s="1" cm="1">
        <f t="array" ref="Z170">COUNT(_xlfn._xlws.FILTER($H$7:$H$10000,($J$7:$J$10000=Y170)*($K$7:$K$10000&lt;&gt;"NULL")*($H$7:$H$10000 &gt;= ($G$1-5))))/5</f>
        <v>0</v>
      </c>
    </row>
    <row r="171" spans="8:26" x14ac:dyDescent="0.35">
      <c r="H171" s="66">
        <v>3</v>
      </c>
      <c r="I171" t="s">
        <v>24</v>
      </c>
      <c r="J171" t="s">
        <v>35</v>
      </c>
      <c r="K171">
        <v>6.7</v>
      </c>
      <c r="L171" t="s">
        <v>9</v>
      </c>
      <c r="M171" t="s">
        <v>14</v>
      </c>
      <c r="N171">
        <f t="shared" si="22"/>
        <v>5.7426502167720059</v>
      </c>
      <c r="O171">
        <f t="shared" si="21"/>
        <v>0.91651860744668756</v>
      </c>
      <c r="P171" s="67" cm="1">
        <f t="array" ref="P171">SUMPRODUCT((H171=$H$7:$H$10000)*(N171&lt;$N$7:$N$10000))+1</f>
        <v>52</v>
      </c>
      <c r="Q171" s="72"/>
      <c r="R171">
        <v>5</v>
      </c>
      <c r="S171" t="str">
        <v>CHI</v>
      </c>
      <c r="T171" t="str">
        <v>Mark O'Keeffe</v>
      </c>
      <c r="U171" t="str">
        <v>NULL</v>
      </c>
      <c r="V171" t="str">
        <v>Home</v>
      </c>
      <c r="W171" t="str">
        <v>OGDC</v>
      </c>
      <c r="X171">
        <v>1.414533470220352</v>
      </c>
      <c r="Z171" s="1" cm="1">
        <f t="array" ref="Z171">COUNT(_xlfn._xlws.FILTER($H$7:$H$10000,($J$7:$J$10000=Y171)*($K$7:$K$10000&lt;&gt;"NULL")*($H$7:$H$10000 &gt;= ($G$1-5))))/5</f>
        <v>0</v>
      </c>
    </row>
    <row r="172" spans="8:26" x14ac:dyDescent="0.35">
      <c r="H172" s="66">
        <v>3</v>
      </c>
      <c r="I172" t="s">
        <v>4</v>
      </c>
      <c r="J172" t="s">
        <v>493</v>
      </c>
      <c r="K172">
        <v>6.7</v>
      </c>
      <c r="L172" t="s">
        <v>9</v>
      </c>
      <c r="M172" t="s">
        <v>13</v>
      </c>
      <c r="N172">
        <f t="shared" si="22"/>
        <v>6.6788214103225929</v>
      </c>
      <c r="O172">
        <f t="shared" si="21"/>
        <v>4.4853266072398162E-4</v>
      </c>
      <c r="P172" s="67" cm="1">
        <f t="array" ref="P172">SUMPRODUCT((H172=$H$7:$H$10000)*(N172&lt;$N$7:$N$10000))+1</f>
        <v>42</v>
      </c>
      <c r="Q172" s="72"/>
      <c r="R172">
        <v>5</v>
      </c>
      <c r="S172" t="str">
        <v>CHI</v>
      </c>
      <c r="T172" t="str">
        <v>Tim Swiel</v>
      </c>
      <c r="U172" t="str">
        <v>NULL</v>
      </c>
      <c r="V172" t="str">
        <v>Home</v>
      </c>
      <c r="W172" t="str">
        <v>OGDC</v>
      </c>
      <c r="X172">
        <v>1.4044461283086855</v>
      </c>
      <c r="Z172" s="1" cm="1">
        <f t="array" ref="Z172">COUNT(_xlfn._xlws.FILTER($H$7:$H$10000,($J$7:$J$10000=Y172)*($K$7:$K$10000&lt;&gt;"NULL")*($H$7:$H$10000 &gt;= ($G$1-5))))/5</f>
        <v>0</v>
      </c>
    </row>
    <row r="173" spans="8:26" x14ac:dyDescent="0.35">
      <c r="H173" s="66">
        <v>3</v>
      </c>
      <c r="I173" t="s">
        <v>34</v>
      </c>
      <c r="J173" t="s">
        <v>440</v>
      </c>
      <c r="K173">
        <v>6.6</v>
      </c>
      <c r="L173" t="s">
        <v>9</v>
      </c>
      <c r="M173" t="s">
        <v>7</v>
      </c>
      <c r="N173">
        <f t="shared" si="22"/>
        <v>5.8816981588846531</v>
      </c>
      <c r="O173">
        <f t="shared" si="21"/>
        <v>0.51595753494969654</v>
      </c>
      <c r="P173" s="67" cm="1">
        <f t="array" ref="P173">SUMPRODUCT((H173=$H$7:$H$10000)*(N173&lt;$N$7:$N$10000))+1</f>
        <v>49</v>
      </c>
      <c r="Q173" s="72"/>
      <c r="R173">
        <v>5</v>
      </c>
      <c r="S173" t="str">
        <v>NEFJ</v>
      </c>
      <c r="T173" t="str">
        <v>Simon-Peter Toleafoa</v>
      </c>
      <c r="U173" t="str">
        <v>NULL</v>
      </c>
      <c r="V173" t="str">
        <v>Home</v>
      </c>
      <c r="W173" t="str">
        <v>NOLA</v>
      </c>
      <c r="X173">
        <v>1.0509185035287372</v>
      </c>
      <c r="Z173" s="1" cm="1">
        <f t="array" ref="Z173">COUNT(_xlfn._xlws.FILTER($H$7:$H$10000,($J$7:$J$10000=Y173)*($K$7:$K$10000&lt;&gt;"NULL")*($H$7:$H$10000 &gt;= ($G$1-5))))/5</f>
        <v>0</v>
      </c>
    </row>
    <row r="174" spans="8:26" x14ac:dyDescent="0.35">
      <c r="H174" s="66">
        <v>3</v>
      </c>
      <c r="I174" t="s">
        <v>17</v>
      </c>
      <c r="J174" t="s">
        <v>497</v>
      </c>
      <c r="K174">
        <v>6.5</v>
      </c>
      <c r="L174" t="s">
        <v>9</v>
      </c>
      <c r="M174" t="s">
        <v>36</v>
      </c>
      <c r="N174">
        <f t="shared" si="22"/>
        <v>6.4838983959935499</v>
      </c>
      <c r="O174">
        <f t="shared" si="21"/>
        <v>2.5926165158053025E-4</v>
      </c>
      <c r="P174" s="67" cm="1">
        <f t="array" ref="P174">SUMPRODUCT((H174=$H$7:$H$10000)*(N174&lt;$N$7:$N$10000))+1</f>
        <v>45</v>
      </c>
      <c r="Q174" s="72"/>
      <c r="R174">
        <v>5</v>
      </c>
      <c r="S174" t="str">
        <v>NOLA</v>
      </c>
      <c r="T174" t="str">
        <v>Luke Campbell</v>
      </c>
      <c r="U174" t="str">
        <v>NULL</v>
      </c>
      <c r="V174" t="str">
        <v>Away</v>
      </c>
      <c r="W174" t="str">
        <v>NEFJ</v>
      </c>
      <c r="X174">
        <v>1.0024428378690295</v>
      </c>
    </row>
    <row r="175" spans="8:26" x14ac:dyDescent="0.35">
      <c r="H175" s="66">
        <v>3</v>
      </c>
      <c r="I175" t="s">
        <v>7</v>
      </c>
      <c r="J175" t="s">
        <v>447</v>
      </c>
      <c r="K175">
        <v>6.3</v>
      </c>
      <c r="L175" t="s">
        <v>3</v>
      </c>
      <c r="M175" t="s">
        <v>34</v>
      </c>
      <c r="N175">
        <f t="shared" si="22"/>
        <v>9.8708223244091826</v>
      </c>
      <c r="O175">
        <f t="shared" si="21"/>
        <v>12.750772072498998</v>
      </c>
      <c r="P175" s="67" cm="1">
        <f t="array" ref="P175">SUMPRODUCT((H175=$H$7:$H$10000)*(N175&lt;$N$7:$N$10000))+1</f>
        <v>23</v>
      </c>
      <c r="Q175" s="72"/>
      <c r="R175">
        <v>5</v>
      </c>
      <c r="S175" t="str">
        <v>NOLA</v>
      </c>
      <c r="T175" t="str">
        <v>Ruben de Haas</v>
      </c>
      <c r="U175" t="str">
        <v>NULL</v>
      </c>
      <c r="V175" t="str">
        <v>Away</v>
      </c>
      <c r="W175" t="str">
        <v>NEFJ</v>
      </c>
      <c r="X175">
        <v>0.95571289608734489</v>
      </c>
    </row>
    <row r="176" spans="8:26" x14ac:dyDescent="0.35">
      <c r="H176" s="66">
        <v>3</v>
      </c>
      <c r="I176" t="s">
        <v>34</v>
      </c>
      <c r="J176" t="s">
        <v>192</v>
      </c>
      <c r="K176">
        <v>6.3</v>
      </c>
      <c r="L176" t="s">
        <v>9</v>
      </c>
      <c r="M176" t="s">
        <v>7</v>
      </c>
      <c r="N176">
        <f t="shared" si="22"/>
        <v>7.1567369074516405</v>
      </c>
      <c r="O176">
        <f t="shared" si="21"/>
        <v>0.73399812858980107</v>
      </c>
      <c r="P176" s="67" cm="1">
        <f t="array" ref="P176">SUMPRODUCT((H176=$H$7:$H$10000)*(N176&lt;$N$7:$N$10000))+1</f>
        <v>38</v>
      </c>
      <c r="Q176" s="72"/>
      <c r="R176">
        <v>5</v>
      </c>
      <c r="S176" t="str">
        <v>NEFJ</v>
      </c>
      <c r="T176" t="str">
        <v>Isaac Olson</v>
      </c>
      <c r="U176" t="str">
        <v>NULL</v>
      </c>
      <c r="V176" t="str">
        <v>Home</v>
      </c>
      <c r="W176" t="str">
        <v>NOLA</v>
      </c>
      <c r="X176">
        <v>0.74567507471970984</v>
      </c>
    </row>
    <row r="177" spans="8:24" x14ac:dyDescent="0.35">
      <c r="H177" s="66">
        <v>3</v>
      </c>
      <c r="I177" t="s">
        <v>13</v>
      </c>
      <c r="J177" t="s">
        <v>474</v>
      </c>
      <c r="K177">
        <v>6.3</v>
      </c>
      <c r="L177" t="s">
        <v>3</v>
      </c>
      <c r="M177" t="s">
        <v>4</v>
      </c>
      <c r="N177">
        <f t="shared" si="22"/>
        <v>4.4548705067533776</v>
      </c>
      <c r="O177">
        <f t="shared" si="21"/>
        <v>3.404502846848537</v>
      </c>
      <c r="P177" s="67" cm="1">
        <f t="array" ref="P177">SUMPRODUCT((H177=$H$7:$H$10000)*(N177&lt;$N$7:$N$10000))+1</f>
        <v>58</v>
      </c>
      <c r="Q177" s="72"/>
      <c r="R177">
        <v>5</v>
      </c>
      <c r="S177" t="str">
        <v>OGDC</v>
      </c>
      <c r="T177" t="str">
        <v>Perry Humphreys</v>
      </c>
      <c r="U177" t="str">
        <v>NULL</v>
      </c>
      <c r="V177" t="str">
        <v>Away</v>
      </c>
      <c r="W177" t="str">
        <v>CHI</v>
      </c>
      <c r="X177">
        <v>0.69881313686812518</v>
      </c>
    </row>
    <row r="178" spans="8:24" x14ac:dyDescent="0.35">
      <c r="H178" s="66">
        <v>3</v>
      </c>
      <c r="I178" t="s">
        <v>23</v>
      </c>
      <c r="J178" t="s">
        <v>340</v>
      </c>
      <c r="K178">
        <v>5.9</v>
      </c>
      <c r="L178" t="s">
        <v>9</v>
      </c>
      <c r="M178" t="s">
        <v>2</v>
      </c>
      <c r="N178">
        <f t="shared" si="22"/>
        <v>1.4495109028772486</v>
      </c>
      <c r="O178">
        <f t="shared" si="21"/>
        <v>19.806853203608487</v>
      </c>
      <c r="P178" s="67" cm="1">
        <f t="array" ref="P178">SUMPRODUCT((H178=$H$7:$H$10000)*(N178&lt;$N$7:$N$10000))+1</f>
        <v>67</v>
      </c>
      <c r="Q178" s="72"/>
      <c r="R178">
        <v>5</v>
      </c>
      <c r="S178" t="str">
        <v>OGDC</v>
      </c>
      <c r="T178" t="str">
        <v>Ethan McVeigh</v>
      </c>
      <c r="U178" t="str">
        <v>NULL</v>
      </c>
      <c r="V178" t="str">
        <v>Away</v>
      </c>
      <c r="W178" t="str">
        <v>CHI</v>
      </c>
      <c r="X178">
        <v>0.66595544492014014</v>
      </c>
    </row>
    <row r="179" spans="8:24" x14ac:dyDescent="0.35">
      <c r="H179" s="66">
        <v>3</v>
      </c>
      <c r="I179" t="s">
        <v>14</v>
      </c>
      <c r="J179" t="s">
        <v>488</v>
      </c>
      <c r="K179">
        <v>5.8</v>
      </c>
      <c r="L179" t="s">
        <v>3</v>
      </c>
      <c r="M179" t="s">
        <v>24</v>
      </c>
      <c r="N179">
        <f t="shared" si="22"/>
        <v>5.8343102178804704</v>
      </c>
      <c r="O179">
        <f t="shared" si="21"/>
        <v>1.1771910510053657E-3</v>
      </c>
      <c r="P179" s="67" cm="1">
        <f t="array" ref="P179">SUMPRODUCT((H179=$H$7:$H$10000)*(N179&lt;$N$7:$N$10000))+1</f>
        <v>50</v>
      </c>
      <c r="Q179" s="72"/>
      <c r="R179">
        <v>5</v>
      </c>
      <c r="S179" t="str">
        <v>CHI</v>
      </c>
      <c r="T179" t="str">
        <v>Julian Dominguez</v>
      </c>
      <c r="U179" t="str">
        <v>NULL</v>
      </c>
      <c r="V179" t="str">
        <v>Home</v>
      </c>
      <c r="W179" t="str">
        <v>OGDC</v>
      </c>
      <c r="X179">
        <v>3.4916740502016097E-2</v>
      </c>
    </row>
    <row r="180" spans="8:24" x14ac:dyDescent="0.35">
      <c r="H180" s="66">
        <v>3</v>
      </c>
      <c r="I180" t="s">
        <v>2</v>
      </c>
      <c r="J180" t="s">
        <v>441</v>
      </c>
      <c r="K180">
        <v>5.5</v>
      </c>
      <c r="L180" t="s">
        <v>3</v>
      </c>
      <c r="M180" t="s">
        <v>23</v>
      </c>
      <c r="N180">
        <f t="shared" si="22"/>
        <v>7.4646104880217274</v>
      </c>
      <c r="O180">
        <f t="shared" si="21"/>
        <v>3.8596943696449699</v>
      </c>
      <c r="P180" s="67" cm="1">
        <f t="array" ref="P180">SUMPRODUCT((H180=$H$7:$H$10000)*(N180&lt;$N$7:$N$10000))+1</f>
        <v>37</v>
      </c>
      <c r="Q180" s="72"/>
      <c r="R180">
        <v>5</v>
      </c>
      <c r="S180" t="str">
        <v>OGDC</v>
      </c>
      <c r="T180" t="str">
        <v>Connor Buckley</v>
      </c>
      <c r="U180" t="str">
        <v>NULL</v>
      </c>
      <c r="V180" t="str">
        <v>Away</v>
      </c>
      <c r="W180" t="str">
        <v>CHI</v>
      </c>
      <c r="X180">
        <v>-3.7955025612366828</v>
      </c>
    </row>
    <row r="181" spans="8:24" x14ac:dyDescent="0.35">
      <c r="H181" s="66">
        <v>3</v>
      </c>
      <c r="I181" t="s">
        <v>23</v>
      </c>
      <c r="J181" t="s">
        <v>32</v>
      </c>
      <c r="K181">
        <v>5.5</v>
      </c>
      <c r="L181" t="s">
        <v>9</v>
      </c>
      <c r="M181" t="s">
        <v>2</v>
      </c>
      <c r="N181">
        <f t="shared" si="22"/>
        <v>9.8615941826437385</v>
      </c>
      <c r="O181">
        <f t="shared" si="21"/>
        <v>19.023503814071702</v>
      </c>
      <c r="P181" s="67" cm="1">
        <f t="array" ref="P181">SUMPRODUCT((H181=$H$7:$H$10000)*(N181&lt;$N$7:$N$10000))+1</f>
        <v>24</v>
      </c>
      <c r="Q181" s="72"/>
      <c r="R181">
        <v>6</v>
      </c>
      <c r="S181" t="str">
        <v>SDL</v>
      </c>
      <c r="T181" t="str">
        <v>Ryan James</v>
      </c>
      <c r="U181" t="str">
        <v>NULL</v>
      </c>
      <c r="V181" t="str">
        <v>Home</v>
      </c>
      <c r="W181" t="str">
        <v>MIA</v>
      </c>
      <c r="X181">
        <v>21.245339240838746</v>
      </c>
    </row>
    <row r="182" spans="8:24" x14ac:dyDescent="0.35">
      <c r="H182" s="66">
        <v>3</v>
      </c>
      <c r="I182" t="s">
        <v>36</v>
      </c>
      <c r="J182" t="s">
        <v>476</v>
      </c>
      <c r="K182">
        <v>5.4</v>
      </c>
      <c r="L182" t="s">
        <v>3</v>
      </c>
      <c r="M182" t="s">
        <v>17</v>
      </c>
      <c r="N182">
        <f t="shared" si="22"/>
        <v>6.4806671833371876</v>
      </c>
      <c r="O182">
        <f t="shared" si="21"/>
        <v>1.1678415611419299</v>
      </c>
      <c r="P182" s="67" cm="1">
        <f t="array" ref="P182">SUMPRODUCT((H182=$H$7:$H$10000)*(N182&lt;$N$7:$N$10000))+1</f>
        <v>46</v>
      </c>
      <c r="Q182" s="72"/>
      <c r="R182">
        <v>6</v>
      </c>
      <c r="S182" t="str">
        <v>OGDC</v>
      </c>
      <c r="T182" t="str">
        <v>Axel Muller</v>
      </c>
      <c r="U182" t="str">
        <v>NULL</v>
      </c>
      <c r="V182" t="str">
        <v>Home</v>
      </c>
      <c r="W182" t="str">
        <v>NEFJ</v>
      </c>
      <c r="X182">
        <v>19.411123654398427</v>
      </c>
    </row>
    <row r="183" spans="8:24" x14ac:dyDescent="0.35">
      <c r="H183" s="66">
        <v>3</v>
      </c>
      <c r="I183" t="s">
        <v>23</v>
      </c>
      <c r="J183" t="s">
        <v>498</v>
      </c>
      <c r="K183">
        <v>5.4</v>
      </c>
      <c r="L183" t="s">
        <v>9</v>
      </c>
      <c r="M183" t="s">
        <v>2</v>
      </c>
      <c r="N183">
        <f t="shared" si="22"/>
        <v>5.4749410550466973</v>
      </c>
      <c r="O183">
        <f t="shared" si="21"/>
        <v>5.6161617315120555E-3</v>
      </c>
      <c r="P183" s="67" cm="1">
        <f t="array" ref="P183">SUMPRODUCT((H183=$H$7:$H$10000)*(N183&lt;$N$7:$N$10000))+1</f>
        <v>55</v>
      </c>
      <c r="Q183" s="72"/>
      <c r="R183">
        <v>6</v>
      </c>
      <c r="S183" t="str">
        <v>UTAH</v>
      </c>
      <c r="T183" t="str">
        <v>Joe Mano</v>
      </c>
      <c r="U183" t="str">
        <v>NULL</v>
      </c>
      <c r="V183" t="str">
        <v>Away</v>
      </c>
      <c r="W183" t="str">
        <v>SEA</v>
      </c>
      <c r="X183">
        <v>19.343779767522918</v>
      </c>
    </row>
    <row r="184" spans="8:24" x14ac:dyDescent="0.35">
      <c r="H184" s="66">
        <v>3</v>
      </c>
      <c r="I184" t="s">
        <v>36</v>
      </c>
      <c r="J184" t="s">
        <v>490</v>
      </c>
      <c r="K184">
        <v>5.2</v>
      </c>
      <c r="L184" t="s">
        <v>3</v>
      </c>
      <c r="M184" t="s">
        <v>17</v>
      </c>
      <c r="N184">
        <f t="shared" si="22"/>
        <v>5.205314447095625</v>
      </c>
      <c r="O184">
        <f t="shared" si="21"/>
        <v>2.824334793219472E-5</v>
      </c>
      <c r="P184" s="67" cm="1">
        <f t="array" ref="P184">SUMPRODUCT((H184=$H$7:$H$10000)*(N184&lt;$N$7:$N$10000))+1</f>
        <v>57</v>
      </c>
      <c r="Q184" s="72"/>
      <c r="R184">
        <v>6</v>
      </c>
      <c r="S184" t="str">
        <v>LA</v>
      </c>
      <c r="T184" t="str">
        <v>Rory van Vugt</v>
      </c>
      <c r="U184" t="str">
        <v>NULL</v>
      </c>
      <c r="V184" t="str">
        <v>Away</v>
      </c>
      <c r="W184" t="str">
        <v>NOLA</v>
      </c>
      <c r="X184">
        <v>17.43306882764638</v>
      </c>
    </row>
    <row r="185" spans="8:24" x14ac:dyDescent="0.35">
      <c r="H185" s="66">
        <v>3</v>
      </c>
      <c r="I185" t="s">
        <v>13</v>
      </c>
      <c r="J185" t="s">
        <v>472</v>
      </c>
      <c r="K185">
        <v>5.0999999999999996</v>
      </c>
      <c r="L185" t="s">
        <v>3</v>
      </c>
      <c r="M185" t="s">
        <v>4</v>
      </c>
      <c r="N185">
        <f t="shared" si="22"/>
        <v>3.7419946889247848</v>
      </c>
      <c r="O185">
        <f t="shared" si="21"/>
        <v>1.8441784249084909</v>
      </c>
      <c r="P185" s="67" cm="1">
        <f t="array" ref="P185">SUMPRODUCT((H185=$H$7:$H$10000)*(N185&lt;$N$7:$N$10000))+1</f>
        <v>61</v>
      </c>
      <c r="Q185" s="72"/>
      <c r="R185">
        <v>6</v>
      </c>
      <c r="S185" t="str">
        <v>SDL</v>
      </c>
      <c r="T185" t="str">
        <v>Ethan Grayson</v>
      </c>
      <c r="U185" t="str">
        <v>NULL</v>
      </c>
      <c r="V185" t="str">
        <v>Home</v>
      </c>
      <c r="W185" t="str">
        <v>MIA</v>
      </c>
      <c r="X185">
        <v>17.04464404065931</v>
      </c>
    </row>
    <row r="186" spans="8:24" x14ac:dyDescent="0.35">
      <c r="H186" s="66">
        <v>3</v>
      </c>
      <c r="I186" t="s">
        <v>17</v>
      </c>
      <c r="J186" t="s">
        <v>196</v>
      </c>
      <c r="K186">
        <v>4.9000000000000004</v>
      </c>
      <c r="L186" t="s">
        <v>9</v>
      </c>
      <c r="M186" t="s">
        <v>36</v>
      </c>
      <c r="N186">
        <f t="shared" si="22"/>
        <v>6.9333161479425502</v>
      </c>
      <c r="O186">
        <f t="shared" si="21"/>
        <v>4.1343745574839295</v>
      </c>
      <c r="P186" s="67" cm="1">
        <f t="array" ref="P186">SUMPRODUCT((H186=$H$7:$H$10000)*(N186&lt;$N$7:$N$10000))+1</f>
        <v>40</v>
      </c>
      <c r="Q186" s="72"/>
      <c r="R186">
        <v>6</v>
      </c>
      <c r="S186" t="str">
        <v>SDL</v>
      </c>
      <c r="T186" t="str">
        <v>Tomas Aoake</v>
      </c>
      <c r="U186" t="str">
        <v>NULL</v>
      </c>
      <c r="V186" t="str">
        <v>Home</v>
      </c>
      <c r="W186" t="str">
        <v>MIA</v>
      </c>
      <c r="X186">
        <v>15.880354730977754</v>
      </c>
    </row>
    <row r="187" spans="8:24" x14ac:dyDescent="0.35">
      <c r="H187" s="66">
        <v>3</v>
      </c>
      <c r="I187" t="s">
        <v>14</v>
      </c>
      <c r="J187" t="s">
        <v>438</v>
      </c>
      <c r="K187">
        <v>4.4000000000000004</v>
      </c>
      <c r="L187" t="s">
        <v>3</v>
      </c>
      <c r="M187" t="s">
        <v>24</v>
      </c>
      <c r="N187">
        <f t="shared" si="22"/>
        <v>13.356669335435749</v>
      </c>
      <c r="O187">
        <f t="shared" si="21"/>
        <v>80.221925584335054</v>
      </c>
      <c r="P187" s="67" cm="1">
        <f t="array" ref="P187">SUMPRODUCT((H187=$H$7:$H$10000)*(N187&lt;$N$7:$N$10000))+1</f>
        <v>7</v>
      </c>
      <c r="Q187" s="72"/>
      <c r="R187">
        <v>6</v>
      </c>
      <c r="S187" t="str">
        <v>UTAH</v>
      </c>
      <c r="T187" t="str">
        <v>Nic Benn</v>
      </c>
      <c r="U187" t="str">
        <v>NULL</v>
      </c>
      <c r="V187" t="str">
        <v>Away</v>
      </c>
      <c r="W187" t="str">
        <v>SEA</v>
      </c>
      <c r="X187">
        <v>15.533244316812318</v>
      </c>
    </row>
    <row r="188" spans="8:24" x14ac:dyDescent="0.35">
      <c r="H188" s="66">
        <v>3</v>
      </c>
      <c r="I188" t="s">
        <v>17</v>
      </c>
      <c r="J188" t="s">
        <v>37</v>
      </c>
      <c r="K188">
        <v>4.4000000000000004</v>
      </c>
      <c r="L188" t="s">
        <v>9</v>
      </c>
      <c r="M188" t="s">
        <v>36</v>
      </c>
      <c r="N188">
        <f t="shared" si="22"/>
        <v>6.3657982193339571</v>
      </c>
      <c r="O188">
        <f t="shared" si="21"/>
        <v>3.8643626391365551</v>
      </c>
      <c r="P188" s="67" cm="1">
        <f t="array" ref="P188">SUMPRODUCT((H188=$H$7:$H$10000)*(N188&lt;$N$7:$N$10000))+1</f>
        <v>47</v>
      </c>
      <c r="Q188" s="72"/>
      <c r="R188">
        <v>6</v>
      </c>
      <c r="S188" t="str">
        <v>NOLA</v>
      </c>
      <c r="T188" t="str">
        <v>Cooper Coats</v>
      </c>
      <c r="U188" t="str">
        <v>NULL</v>
      </c>
      <c r="V188" t="str">
        <v>Home</v>
      </c>
      <c r="W188" t="str">
        <v>LA</v>
      </c>
      <c r="X188">
        <v>14.685364535512871</v>
      </c>
    </row>
    <row r="189" spans="8:24" x14ac:dyDescent="0.35">
      <c r="H189" s="66">
        <v>3</v>
      </c>
      <c r="I189" t="s">
        <v>14</v>
      </c>
      <c r="J189" t="s">
        <v>285</v>
      </c>
      <c r="K189">
        <v>4.0999999999999996</v>
      </c>
      <c r="L189" t="s">
        <v>3</v>
      </c>
      <c r="M189" t="s">
        <v>24</v>
      </c>
      <c r="N189">
        <f t="shared" si="22"/>
        <v>9.3144607311591052</v>
      </c>
      <c r="O189">
        <f t="shared" si="21"/>
        <v>27.190600716800354</v>
      </c>
      <c r="P189" s="67" cm="1">
        <f t="array" ref="P189">SUMPRODUCT((H189=$H$7:$H$10000)*(N189&lt;$N$7:$N$10000))+1</f>
        <v>29</v>
      </c>
      <c r="Q189" s="72"/>
      <c r="R189">
        <v>6</v>
      </c>
      <c r="S189" t="str">
        <v>SDL</v>
      </c>
      <c r="T189" t="str">
        <v>Tavite Lopeti</v>
      </c>
      <c r="U189" t="str">
        <v>NULL</v>
      </c>
      <c r="V189" t="str">
        <v>Home</v>
      </c>
      <c r="W189" t="str">
        <v>MIA</v>
      </c>
      <c r="X189">
        <v>14.552024127470007</v>
      </c>
    </row>
    <row r="190" spans="8:24" x14ac:dyDescent="0.35">
      <c r="H190" s="66">
        <v>3</v>
      </c>
      <c r="I190" t="s">
        <v>2</v>
      </c>
      <c r="J190" t="s">
        <v>499</v>
      </c>
      <c r="K190">
        <v>3.9</v>
      </c>
      <c r="L190" t="s">
        <v>3</v>
      </c>
      <c r="M190" t="s">
        <v>23</v>
      </c>
      <c r="N190">
        <f t="shared" si="22"/>
        <v>3.8933299676241262</v>
      </c>
      <c r="O190">
        <f t="shared" si="21"/>
        <v>4.4489331895203534E-5</v>
      </c>
      <c r="P190" s="67" cm="1">
        <f t="array" ref="P190">SUMPRODUCT((H190=$H$7:$H$10000)*(N190&lt;$N$7:$N$10000))+1</f>
        <v>60</v>
      </c>
      <c r="Q190" s="72"/>
      <c r="R190">
        <v>6</v>
      </c>
      <c r="S190" t="str">
        <v>SDL</v>
      </c>
      <c r="T190" t="str">
        <v>Lincoln McClutchie</v>
      </c>
      <c r="U190" t="str">
        <v>NULL</v>
      </c>
      <c r="V190" t="str">
        <v>Home</v>
      </c>
      <c r="W190" t="str">
        <v>MIA</v>
      </c>
      <c r="X190">
        <v>14.393245866331034</v>
      </c>
    </row>
    <row r="191" spans="8:24" x14ac:dyDescent="0.35">
      <c r="H191" s="66">
        <v>3</v>
      </c>
      <c r="I191" t="s">
        <v>14</v>
      </c>
      <c r="J191" t="s">
        <v>278</v>
      </c>
      <c r="K191">
        <v>3.5</v>
      </c>
      <c r="L191" t="s">
        <v>3</v>
      </c>
      <c r="M191" t="s">
        <v>24</v>
      </c>
      <c r="N191">
        <f t="shared" si="22"/>
        <v>6.787737035842393</v>
      </c>
      <c r="O191">
        <f t="shared" si="21"/>
        <v>10.809214816849725</v>
      </c>
      <c r="P191" s="67" cm="1">
        <f t="array" ref="P191">SUMPRODUCT((H191=$H$7:$H$10000)*(N191&lt;$N$7:$N$10000))+1</f>
        <v>41</v>
      </c>
      <c r="Q191" s="72"/>
      <c r="R191">
        <v>6</v>
      </c>
      <c r="S191" t="str">
        <v>SDL</v>
      </c>
      <c r="T191" t="str">
        <v>James Vaifale</v>
      </c>
      <c r="U191" t="str">
        <v>NULL</v>
      </c>
      <c r="V191" t="str">
        <v>Home</v>
      </c>
      <c r="W191" t="str">
        <v>MIA</v>
      </c>
      <c r="X191">
        <v>14.236137008930978</v>
      </c>
    </row>
    <row r="192" spans="8:24" x14ac:dyDescent="0.35">
      <c r="H192" s="66">
        <v>3</v>
      </c>
      <c r="I192" t="s">
        <v>17</v>
      </c>
      <c r="J192" t="s">
        <v>82</v>
      </c>
      <c r="K192">
        <v>3.5</v>
      </c>
      <c r="L192" t="s">
        <v>9</v>
      </c>
      <c r="M192" t="s">
        <v>36</v>
      </c>
      <c r="N192">
        <f t="shared" si="22"/>
        <v>2.951087060524249</v>
      </c>
      <c r="O192">
        <f t="shared" si="21"/>
        <v>0.30130541512390951</v>
      </c>
      <c r="P192" s="67" cm="1">
        <f t="array" ref="P192">SUMPRODUCT((H192=$H$7:$H$10000)*(N192&lt;$N$7:$N$10000))+1</f>
        <v>64</v>
      </c>
      <c r="Q192" s="72"/>
      <c r="R192">
        <v>6</v>
      </c>
      <c r="S192" t="str">
        <v>NOLA</v>
      </c>
      <c r="T192" t="str">
        <v>Julian Roberts</v>
      </c>
      <c r="U192" t="str">
        <v>NULL</v>
      </c>
      <c r="V192" t="str">
        <v>Home</v>
      </c>
      <c r="W192" t="str">
        <v>LA</v>
      </c>
      <c r="X192">
        <v>14.039720027247359</v>
      </c>
    </row>
    <row r="193" spans="8:24" x14ac:dyDescent="0.35">
      <c r="H193" s="66">
        <v>3</v>
      </c>
      <c r="I193" t="s">
        <v>13</v>
      </c>
      <c r="J193" t="s">
        <v>53</v>
      </c>
      <c r="K193">
        <v>2.9</v>
      </c>
      <c r="L193" t="s">
        <v>3</v>
      </c>
      <c r="M193" t="s">
        <v>4</v>
      </c>
      <c r="N193">
        <f t="shared" si="22"/>
        <v>6.0591762068082842</v>
      </c>
      <c r="O193">
        <f t="shared" si="21"/>
        <v>9.9803943056635784</v>
      </c>
      <c r="P193" s="67" cm="1">
        <f t="array" ref="P193">SUMPRODUCT((H193=$H$7:$H$10000)*(N193&lt;$N$7:$N$10000))+1</f>
        <v>48</v>
      </c>
      <c r="Q193" s="72"/>
      <c r="R193">
        <v>6</v>
      </c>
      <c r="S193" t="str">
        <v>LA</v>
      </c>
      <c r="T193" t="str">
        <v>Billy Meakes</v>
      </c>
      <c r="U193" t="str">
        <v>NULL</v>
      </c>
      <c r="V193" t="str">
        <v>Away</v>
      </c>
      <c r="W193" t="str">
        <v>NOLA</v>
      </c>
      <c r="X193">
        <v>13.757456041152656</v>
      </c>
    </row>
    <row r="194" spans="8:24" x14ac:dyDescent="0.35">
      <c r="H194" s="66">
        <v>3</v>
      </c>
      <c r="I194" t="s">
        <v>4</v>
      </c>
      <c r="J194" t="s">
        <v>452</v>
      </c>
      <c r="K194">
        <v>2.7</v>
      </c>
      <c r="L194" t="s">
        <v>9</v>
      </c>
      <c r="M194" t="s">
        <v>13</v>
      </c>
      <c r="N194">
        <f t="shared" si="22"/>
        <v>5.733459059253863</v>
      </c>
      <c r="O194">
        <f t="shared" si="21"/>
        <v>9.2018738641693307</v>
      </c>
      <c r="P194" s="67" cm="1">
        <f t="array" ref="P194">SUMPRODUCT((H194=$H$7:$H$10000)*(N194&lt;$N$7:$N$10000))+1</f>
        <v>53</v>
      </c>
      <c r="Q194" s="72"/>
      <c r="R194">
        <v>6</v>
      </c>
      <c r="S194" t="str">
        <v>NOLA</v>
      </c>
      <c r="T194" t="str">
        <v>Xavier Mignot</v>
      </c>
      <c r="U194" t="str">
        <v>NULL</v>
      </c>
      <c r="V194" t="str">
        <v>Home</v>
      </c>
      <c r="W194" t="str">
        <v>LA</v>
      </c>
      <c r="X194">
        <v>13.596676817242518</v>
      </c>
    </row>
    <row r="195" spans="8:24" x14ac:dyDescent="0.35">
      <c r="H195" s="66">
        <v>3</v>
      </c>
      <c r="I195" t="s">
        <v>4</v>
      </c>
      <c r="J195" t="s">
        <v>1</v>
      </c>
      <c r="K195">
        <v>2.2000000000000002</v>
      </c>
      <c r="L195" t="s">
        <v>9</v>
      </c>
      <c r="M195" t="s">
        <v>13</v>
      </c>
      <c r="N195">
        <f t="shared" si="22"/>
        <v>9.4185309970076698</v>
      </c>
      <c r="O195">
        <f t="shared" si="21"/>
        <v>52.10718975476054</v>
      </c>
      <c r="P195" s="67" cm="1">
        <f t="array" ref="P195">SUMPRODUCT((H195=$H$7:$H$10000)*(N195&lt;$N$7:$N$10000))+1</f>
        <v>28</v>
      </c>
      <c r="Q195" s="72"/>
      <c r="R195">
        <v>6</v>
      </c>
      <c r="S195" t="str">
        <v>NOLA</v>
      </c>
      <c r="T195" t="str">
        <v>Ed Fidow</v>
      </c>
      <c r="U195" t="str">
        <v>NULL</v>
      </c>
      <c r="V195" t="str">
        <v>Home</v>
      </c>
      <c r="W195" t="str">
        <v>LA</v>
      </c>
      <c r="X195">
        <v>13.324309478803574</v>
      </c>
    </row>
    <row r="196" spans="8:24" x14ac:dyDescent="0.35">
      <c r="H196" s="66">
        <v>3</v>
      </c>
      <c r="I196" t="s">
        <v>34</v>
      </c>
      <c r="J196" t="s">
        <v>41</v>
      </c>
      <c r="K196">
        <v>2.2000000000000002</v>
      </c>
      <c r="L196" t="s">
        <v>9</v>
      </c>
      <c r="M196" t="s">
        <v>7</v>
      </c>
      <c r="N196">
        <f t="shared" si="22"/>
        <v>9.808135081779918</v>
      </c>
      <c r="O196">
        <f t="shared" si="21"/>
        <v>57.883719422610319</v>
      </c>
      <c r="P196" s="67" cm="1">
        <f t="array" ref="P196">SUMPRODUCT((H196=$H$7:$H$10000)*(N196&lt;$N$7:$N$10000))+1</f>
        <v>26</v>
      </c>
      <c r="Q196" s="72"/>
      <c r="R196">
        <v>6</v>
      </c>
      <c r="S196" t="str">
        <v>SDL</v>
      </c>
      <c r="T196" t="str">
        <v>Richard Judd</v>
      </c>
      <c r="U196" t="str">
        <v>NULL</v>
      </c>
      <c r="V196" t="str">
        <v>Home</v>
      </c>
      <c r="W196" t="str">
        <v>MIA</v>
      </c>
      <c r="X196">
        <v>13.118207117764047</v>
      </c>
    </row>
    <row r="197" spans="8:24" x14ac:dyDescent="0.35">
      <c r="H197" s="66">
        <v>3</v>
      </c>
      <c r="I197" t="s">
        <v>17</v>
      </c>
      <c r="J197" t="s">
        <v>450</v>
      </c>
      <c r="K197">
        <v>1.4</v>
      </c>
      <c r="L197" t="s">
        <v>9</v>
      </c>
      <c r="M197" t="s">
        <v>36</v>
      </c>
      <c r="N197">
        <f t="shared" si="22"/>
        <v>5.3640328039647311</v>
      </c>
      <c r="O197">
        <f t="shared" si="21"/>
        <v>15.713556070908488</v>
      </c>
      <c r="P197" s="67" cm="1">
        <f t="array" ref="P197">SUMPRODUCT((H197=$H$7:$H$10000)*(N197&lt;$N$7:$N$10000))+1</f>
        <v>56</v>
      </c>
      <c r="Q197" s="72"/>
      <c r="R197">
        <v>6</v>
      </c>
      <c r="S197" t="str">
        <v>SDL</v>
      </c>
      <c r="T197" t="str">
        <v>Tiaan Loots</v>
      </c>
      <c r="U197" t="str">
        <v>NULL</v>
      </c>
      <c r="V197" t="str">
        <v>Home</v>
      </c>
      <c r="W197" t="str">
        <v>MIA</v>
      </c>
      <c r="X197">
        <v>13.023135849066007</v>
      </c>
    </row>
    <row r="198" spans="8:24" x14ac:dyDescent="0.35">
      <c r="H198" s="66">
        <v>3</v>
      </c>
      <c r="I198" t="s">
        <v>36</v>
      </c>
      <c r="J198" t="s">
        <v>123</v>
      </c>
      <c r="K198">
        <v>1</v>
      </c>
      <c r="L198" t="s">
        <v>3</v>
      </c>
      <c r="M198" t="s">
        <v>17</v>
      </c>
      <c r="N198">
        <f t="shared" si="22"/>
        <v>3.3863933781221727</v>
      </c>
      <c r="O198">
        <f t="shared" ref="O198:O203" si="23">IFERROR(($K198-$N198)^2,"")</f>
        <v>5.6948733551453552</v>
      </c>
      <c r="P198" s="67" cm="1">
        <f t="array" ref="P198">SUMPRODUCT((H198=$H$7:$H$10000)*(N198&lt;$N$7:$N$10000))+1</f>
        <v>62</v>
      </c>
      <c r="Q198" s="72"/>
      <c r="R198">
        <v>6</v>
      </c>
      <c r="S198" t="str">
        <v>NOLA</v>
      </c>
      <c r="T198" t="str">
        <v>JP Du Plessis</v>
      </c>
      <c r="U198" t="str">
        <v>NULL</v>
      </c>
      <c r="V198" t="str">
        <v>Home</v>
      </c>
      <c r="W198" t="str">
        <v>LA</v>
      </c>
      <c r="X198">
        <v>12.498120959123742</v>
      </c>
    </row>
    <row r="199" spans="8:24" x14ac:dyDescent="0.35">
      <c r="H199" s="66">
        <v>3</v>
      </c>
      <c r="I199" t="s">
        <v>23</v>
      </c>
      <c r="J199" t="s">
        <v>127</v>
      </c>
      <c r="K199">
        <v>0.8</v>
      </c>
      <c r="L199" t="s">
        <v>9</v>
      </c>
      <c r="M199" t="s">
        <v>2</v>
      </c>
      <c r="N199">
        <f t="shared" si="22"/>
        <v>2.5174888502501185</v>
      </c>
      <c r="O199">
        <f t="shared" si="23"/>
        <v>2.9497679507334738</v>
      </c>
      <c r="P199" s="67" cm="1">
        <f t="array" ref="P199">SUMPRODUCT((H199=$H$7:$H$10000)*(N199&lt;$N$7:$N$10000))+1</f>
        <v>65</v>
      </c>
      <c r="Q199" s="72"/>
      <c r="R199">
        <v>6</v>
      </c>
      <c r="S199" t="str">
        <v>OGDC</v>
      </c>
      <c r="T199" t="str">
        <v>Damien Hoyland</v>
      </c>
      <c r="U199" t="str">
        <v>NULL</v>
      </c>
      <c r="V199" t="str">
        <v>Home</v>
      </c>
      <c r="W199" t="str">
        <v>NEFJ</v>
      </c>
      <c r="X199">
        <v>12.151791119013863</v>
      </c>
    </row>
    <row r="200" spans="8:24" x14ac:dyDescent="0.35">
      <c r="H200" s="66">
        <v>3</v>
      </c>
      <c r="I200" t="s">
        <v>4</v>
      </c>
      <c r="J200" t="s">
        <v>489</v>
      </c>
      <c r="K200">
        <v>0.7</v>
      </c>
      <c r="L200" t="s">
        <v>9</v>
      </c>
      <c r="M200" t="s">
        <v>13</v>
      </c>
      <c r="N200">
        <f>VLOOKUP($L200,$F$3:$G$4,2,FALSE)+VLOOKUP($J200,$A$20:$B$131,2,FALSE)+VLOOKUP($M200,$A$6:$B$16,2,FALSE)</f>
        <v>0.65652843407966266</v>
      </c>
      <c r="O200">
        <f t="shared" si="23"/>
        <v>1.889777043566231E-3</v>
      </c>
      <c r="P200" s="67" cm="1">
        <f t="array" ref="P200">SUMPRODUCT((H200=$H$7:$H$10000)*(N200&lt;$N$7:$N$10000))+1</f>
        <v>70</v>
      </c>
      <c r="Q200" s="72"/>
      <c r="R200">
        <v>6</v>
      </c>
      <c r="S200" t="str">
        <v>SEA</v>
      </c>
      <c r="T200" t="str">
        <v>Eddie Fouche</v>
      </c>
      <c r="U200" t="str">
        <v>NULL</v>
      </c>
      <c r="V200" t="str">
        <v>Home</v>
      </c>
      <c r="W200" t="str">
        <v>UTAH</v>
      </c>
      <c r="X200">
        <v>12.093167245703079</v>
      </c>
    </row>
    <row r="201" spans="8:24" x14ac:dyDescent="0.35">
      <c r="H201" s="66">
        <v>3</v>
      </c>
      <c r="I201" t="s">
        <v>7</v>
      </c>
      <c r="J201" t="s">
        <v>131</v>
      </c>
      <c r="K201">
        <v>0.6</v>
      </c>
      <c r="L201" t="s">
        <v>3</v>
      </c>
      <c r="M201" t="s">
        <v>34</v>
      </c>
      <c r="N201">
        <f>VLOOKUP($L201,$F$3:$G$4,2,FALSE)+VLOOKUP($J201,$A$20:$B$131,2,FALSE)+VLOOKUP($M201,$A$6:$B$16,2,FALSE)</f>
        <v>0.66977138470606512</v>
      </c>
      <c r="O201">
        <f t="shared" si="23"/>
        <v>4.8680461238017406E-3</v>
      </c>
      <c r="P201" s="67" cm="1">
        <f t="array" ref="P201">SUMPRODUCT((H201=$H$7:$H$10000)*(N201&lt;$N$7:$N$10000))+1</f>
        <v>69</v>
      </c>
      <c r="Q201" s="72"/>
      <c r="R201">
        <v>6</v>
      </c>
      <c r="S201" t="str">
        <v>UTAH</v>
      </c>
      <c r="T201" t="str">
        <v>D'Angelo Leuila</v>
      </c>
      <c r="U201" t="str">
        <v>NULL</v>
      </c>
      <c r="V201" t="str">
        <v>Away</v>
      </c>
      <c r="W201" t="str">
        <v>SEA</v>
      </c>
      <c r="X201">
        <v>11.870489104026966</v>
      </c>
    </row>
    <row r="202" spans="8:24" x14ac:dyDescent="0.35">
      <c r="H202" s="66">
        <v>3</v>
      </c>
      <c r="I202" t="s">
        <v>23</v>
      </c>
      <c r="J202" t="s">
        <v>91</v>
      </c>
      <c r="K202">
        <v>0.4</v>
      </c>
      <c r="L202" t="s">
        <v>9</v>
      </c>
      <c r="M202" t="s">
        <v>2</v>
      </c>
      <c r="N202">
        <f>VLOOKUP($L202,$F$3:$G$4,2,FALSE)+VLOOKUP($J202,$A$20:$B$131,2,FALSE)+VLOOKUP($M202,$A$6:$B$16,2,FALSE)</f>
        <v>9.8197919919378123</v>
      </c>
      <c r="O202">
        <f t="shared" si="23"/>
        <v>88.732481171375724</v>
      </c>
      <c r="P202" s="67" cm="1">
        <f t="array" ref="P202">SUMPRODUCT((H202=$H$7:$H$10000)*(N202&lt;$N$7:$N$10000))+1</f>
        <v>25</v>
      </c>
      <c r="Q202" s="72"/>
      <c r="R202">
        <v>6</v>
      </c>
      <c r="S202" t="str">
        <v>LA</v>
      </c>
      <c r="T202" t="str">
        <v>Matias Jensen</v>
      </c>
      <c r="U202" t="str">
        <v>NULL</v>
      </c>
      <c r="V202" t="str">
        <v>Away</v>
      </c>
      <c r="W202" t="str">
        <v>NOLA</v>
      </c>
      <c r="X202">
        <v>11.793698163948266</v>
      </c>
    </row>
    <row r="203" spans="8:24" x14ac:dyDescent="0.35">
      <c r="H203" s="66">
        <v>3</v>
      </c>
      <c r="I203" t="s">
        <v>7</v>
      </c>
      <c r="J203" t="s">
        <v>92</v>
      </c>
      <c r="K203">
        <v>0.3</v>
      </c>
      <c r="L203" t="s">
        <v>3</v>
      </c>
      <c r="M203" t="s">
        <v>34</v>
      </c>
      <c r="N203">
        <f>VLOOKUP($L203,$F$3:$G$4,2,FALSE)+VLOOKUP($J203,$A$20:$B$131,2,FALSE)+VLOOKUP($M203,$A$6:$B$16,2,FALSE)</f>
        <v>0.70262907665405017</v>
      </c>
      <c r="O203">
        <f t="shared" si="23"/>
        <v>0.16211017336729303</v>
      </c>
      <c r="P203" s="67" cm="1">
        <f t="array" ref="P203">SUMPRODUCT((H203=$H$7:$H$10000)*(N203&lt;$N$7:$N$10000))+1</f>
        <v>68</v>
      </c>
      <c r="Q203" s="72"/>
      <c r="R203">
        <v>6</v>
      </c>
      <c r="S203" t="str">
        <v>SDL</v>
      </c>
      <c r="T203" t="str">
        <v>Marcel Brache</v>
      </c>
      <c r="U203" t="str">
        <v>NULL</v>
      </c>
      <c r="V203" t="str">
        <v>Home</v>
      </c>
      <c r="W203" t="str">
        <v>MIA</v>
      </c>
      <c r="X203">
        <v>11.669953535784558</v>
      </c>
    </row>
    <row r="204" spans="8:24" x14ac:dyDescent="0.35">
      <c r="H204" s="66">
        <v>4</v>
      </c>
      <c r="I204" t="s">
        <v>34</v>
      </c>
      <c r="J204" t="s">
        <v>95</v>
      </c>
      <c r="K204" t="s">
        <v>256</v>
      </c>
      <c r="L204" t="s">
        <v>3</v>
      </c>
      <c r="M204" t="s">
        <v>6</v>
      </c>
      <c r="N204">
        <f t="shared" ref="N204:N267" si="24">VLOOKUP($L204,$F$3:$G$4,2,FALSE)+VLOOKUP($J204,$A$20:$B$131,2,FALSE)+VLOOKUP($M204,$A$6:$B$16,2,FALSE)</f>
        <v>20.647649009189855</v>
      </c>
      <c r="O204" t="str">
        <f t="shared" ref="O204:O267" si="25">IFERROR(($K204-$N204)^2,"")</f>
        <v/>
      </c>
      <c r="P204" s="67" cm="1">
        <f t="array" ref="P204">SUMPRODUCT((H204=$H$7:$H$10000)*(N204&lt;$N$7:$N$10000))+1</f>
        <v>1</v>
      </c>
      <c r="Q204" s="72"/>
      <c r="R204">
        <v>6</v>
      </c>
      <c r="S204" t="str">
        <v>MIA</v>
      </c>
      <c r="T204" t="str">
        <v>Tomás Cubilla</v>
      </c>
      <c r="U204" t="str">
        <v>NULL</v>
      </c>
      <c r="V204" t="str">
        <v>Away</v>
      </c>
      <c r="W204" t="str">
        <v>SDL</v>
      </c>
      <c r="X204">
        <v>11.609015323017267</v>
      </c>
    </row>
    <row r="205" spans="8:24" x14ac:dyDescent="0.35">
      <c r="H205" s="66">
        <v>4</v>
      </c>
      <c r="I205" t="s">
        <v>7</v>
      </c>
      <c r="J205" t="s">
        <v>65</v>
      </c>
      <c r="K205" t="s">
        <v>256</v>
      </c>
      <c r="L205" t="s">
        <v>3</v>
      </c>
      <c r="M205" t="s">
        <v>14</v>
      </c>
      <c r="N205">
        <f t="shared" si="24"/>
        <v>18.94916269520413</v>
      </c>
      <c r="O205" t="str">
        <f t="shared" si="25"/>
        <v/>
      </c>
      <c r="P205" s="67" cm="1">
        <f t="array" ref="P205">SUMPRODUCT((H205=$H$7:$H$10000)*(N205&lt;$N$7:$N$10000))+1</f>
        <v>2</v>
      </c>
      <c r="Q205" s="72"/>
      <c r="R205">
        <v>6</v>
      </c>
      <c r="S205" t="str">
        <v>OGDC</v>
      </c>
      <c r="T205" t="str">
        <v>Steffan Hughes</v>
      </c>
      <c r="U205" t="str">
        <v>NULL</v>
      </c>
      <c r="V205" t="str">
        <v>Home</v>
      </c>
      <c r="W205" t="str">
        <v>NEFJ</v>
      </c>
      <c r="X205">
        <v>11.464150058347808</v>
      </c>
    </row>
    <row r="206" spans="8:24" x14ac:dyDescent="0.35">
      <c r="H206" s="66">
        <v>4</v>
      </c>
      <c r="I206" t="s">
        <v>6</v>
      </c>
      <c r="J206" t="s">
        <v>94</v>
      </c>
      <c r="K206" t="s">
        <v>256</v>
      </c>
      <c r="L206" t="s">
        <v>9</v>
      </c>
      <c r="M206" t="s">
        <v>34</v>
      </c>
      <c r="N206">
        <f t="shared" si="24"/>
        <v>18.140720595589848</v>
      </c>
      <c r="O206" t="str">
        <f t="shared" si="25"/>
        <v/>
      </c>
      <c r="P206" s="67" cm="1">
        <f t="array" ref="P206">SUMPRODUCT((H206=$H$7:$H$10000)*(N206&lt;$N$7:$N$10000))+1</f>
        <v>3</v>
      </c>
      <c r="Q206" s="72"/>
      <c r="R206">
        <v>6</v>
      </c>
      <c r="S206" t="str">
        <v>SEA</v>
      </c>
      <c r="T206" t="str">
        <v>Rodney Iona</v>
      </c>
      <c r="U206" t="str">
        <v>NULL</v>
      </c>
      <c r="V206" t="str">
        <v>Home</v>
      </c>
      <c r="W206" t="str">
        <v>UTAH</v>
      </c>
      <c r="X206">
        <v>11.238081980147253</v>
      </c>
    </row>
    <row r="207" spans="8:24" x14ac:dyDescent="0.35">
      <c r="H207" s="66">
        <v>4</v>
      </c>
      <c r="I207" t="s">
        <v>13</v>
      </c>
      <c r="J207" t="s">
        <v>79</v>
      </c>
      <c r="K207" t="s">
        <v>256</v>
      </c>
      <c r="L207" t="s">
        <v>3</v>
      </c>
      <c r="M207" t="s">
        <v>36</v>
      </c>
      <c r="N207">
        <f t="shared" si="24"/>
        <v>17.180255774422886</v>
      </c>
      <c r="O207" t="str">
        <f t="shared" si="25"/>
        <v/>
      </c>
      <c r="P207" s="67" cm="1">
        <f t="array" ref="P207">SUMPRODUCT((H207=$H$7:$H$10000)*(N207&lt;$N$7:$N$10000))+1</f>
        <v>4</v>
      </c>
      <c r="Q207" s="72"/>
      <c r="R207">
        <v>6</v>
      </c>
      <c r="S207" t="str">
        <v>HOU</v>
      </c>
      <c r="T207" t="str">
        <v>Dom Akina</v>
      </c>
      <c r="U207" t="str">
        <v>NULL</v>
      </c>
      <c r="V207" t="str">
        <v>Away</v>
      </c>
      <c r="W207" t="str">
        <v>ARC</v>
      </c>
      <c r="X207">
        <v>10.866687180567451</v>
      </c>
    </row>
    <row r="208" spans="8:24" x14ac:dyDescent="0.35">
      <c r="H208" s="66">
        <v>4</v>
      </c>
      <c r="I208" t="s">
        <v>34</v>
      </c>
      <c r="J208" t="s">
        <v>41</v>
      </c>
      <c r="K208" t="s">
        <v>256</v>
      </c>
      <c r="L208" t="s">
        <v>3</v>
      </c>
      <c r="M208" t="s">
        <v>6</v>
      </c>
      <c r="N208">
        <f t="shared" si="24"/>
        <v>16.44695380901042</v>
      </c>
      <c r="O208" t="str">
        <f t="shared" si="25"/>
        <v/>
      </c>
      <c r="P208" s="67" cm="1">
        <f t="array" ref="P208">SUMPRODUCT((H208=$H$7:$H$10000)*(N208&lt;$N$7:$N$10000))+1</f>
        <v>5</v>
      </c>
      <c r="Q208" s="72"/>
      <c r="R208">
        <v>6</v>
      </c>
      <c r="S208" t="str">
        <v>SEA</v>
      </c>
      <c r="T208" t="str">
        <v>Duncan Matthews</v>
      </c>
      <c r="U208" t="str">
        <v>NULL</v>
      </c>
      <c r="V208" t="str">
        <v>Home</v>
      </c>
      <c r="W208" t="str">
        <v>UTAH</v>
      </c>
      <c r="X208">
        <v>10.788664228198254</v>
      </c>
    </row>
    <row r="209" spans="8:24" x14ac:dyDescent="0.35">
      <c r="H209" s="66">
        <v>4</v>
      </c>
      <c r="I209" t="s">
        <v>2</v>
      </c>
      <c r="J209" t="s">
        <v>88</v>
      </c>
      <c r="K209" t="s">
        <v>256</v>
      </c>
      <c r="L209" t="s">
        <v>9</v>
      </c>
      <c r="M209" t="s">
        <v>24</v>
      </c>
      <c r="N209">
        <f t="shared" si="24"/>
        <v>15.498208557247722</v>
      </c>
      <c r="O209" t="str">
        <f t="shared" si="25"/>
        <v/>
      </c>
      <c r="P209" s="67" cm="1">
        <f t="array" ref="P209">SUMPRODUCT((H209=$H$7:$H$10000)*(N209&lt;$N$7:$N$10000))+1</f>
        <v>6</v>
      </c>
      <c r="Q209" s="72"/>
      <c r="R209">
        <v>6</v>
      </c>
      <c r="S209" t="str">
        <v>SEA</v>
      </c>
      <c r="T209" t="str">
        <v>Divan Rossouw</v>
      </c>
      <c r="U209" t="str">
        <v>NULL</v>
      </c>
      <c r="V209" t="str">
        <v>Home</v>
      </c>
      <c r="W209" t="str">
        <v>UTAH</v>
      </c>
      <c r="X209">
        <v>10.67056405153866</v>
      </c>
    </row>
    <row r="210" spans="8:24" x14ac:dyDescent="0.35">
      <c r="H210" s="66">
        <v>4</v>
      </c>
      <c r="I210" t="s">
        <v>34</v>
      </c>
      <c r="J210" t="s">
        <v>100</v>
      </c>
      <c r="K210" t="s">
        <v>256</v>
      </c>
      <c r="L210" t="s">
        <v>3</v>
      </c>
      <c r="M210" t="s">
        <v>6</v>
      </c>
      <c r="N210">
        <f t="shared" si="24"/>
        <v>15.282664499328861</v>
      </c>
      <c r="O210" t="str">
        <f t="shared" si="25"/>
        <v/>
      </c>
      <c r="P210" s="67" cm="1">
        <f t="array" ref="P210">SUMPRODUCT((H210=$H$7:$H$10000)*(N210&lt;$N$7:$N$10000))+1</f>
        <v>7</v>
      </c>
      <c r="Q210" s="72"/>
      <c r="R210">
        <v>6</v>
      </c>
      <c r="S210" t="str">
        <v>LA</v>
      </c>
      <c r="T210" t="str">
        <v>Christian Leali'ifano</v>
      </c>
      <c r="U210" t="str">
        <v>NULL</v>
      </c>
      <c r="V210" t="str">
        <v>Away</v>
      </c>
      <c r="W210" t="str">
        <v>NOLA</v>
      </c>
      <c r="X210">
        <v>10.642465541980457</v>
      </c>
    </row>
    <row r="211" spans="8:24" x14ac:dyDescent="0.35">
      <c r="H211" s="66">
        <v>4</v>
      </c>
      <c r="I211" t="s">
        <v>2</v>
      </c>
      <c r="J211" t="s">
        <v>495</v>
      </c>
      <c r="K211" t="s">
        <v>256</v>
      </c>
      <c r="L211" t="s">
        <v>9</v>
      </c>
      <c r="M211" t="s">
        <v>24</v>
      </c>
      <c r="N211">
        <f t="shared" si="24"/>
        <v>14.945474803577103</v>
      </c>
      <c r="O211" t="str">
        <f t="shared" si="25"/>
        <v/>
      </c>
      <c r="P211" s="67" cm="1">
        <f t="array" ref="P211">SUMPRODUCT((H211=$H$7:$H$10000)*(N211&lt;$N$7:$N$10000))+1</f>
        <v>8</v>
      </c>
      <c r="Q211" s="72"/>
      <c r="R211">
        <v>6</v>
      </c>
      <c r="S211" t="str">
        <v>OGDC</v>
      </c>
      <c r="T211" t="str">
        <v>Jason Robertson</v>
      </c>
      <c r="U211" t="str">
        <v>NULL</v>
      </c>
      <c r="V211" t="str">
        <v>Home</v>
      </c>
      <c r="W211" t="str">
        <v>NEFJ</v>
      </c>
      <c r="X211">
        <v>10.44361681869308</v>
      </c>
    </row>
    <row r="212" spans="8:24" x14ac:dyDescent="0.35">
      <c r="H212" s="66">
        <v>4</v>
      </c>
      <c r="I212" t="s">
        <v>6</v>
      </c>
      <c r="J212" t="s">
        <v>8</v>
      </c>
      <c r="K212" t="s">
        <v>256</v>
      </c>
      <c r="L212" t="s">
        <v>9</v>
      </c>
      <c r="M212" t="s">
        <v>34</v>
      </c>
      <c r="N212">
        <f t="shared" si="24"/>
        <v>14.46510780909612</v>
      </c>
      <c r="O212" t="str">
        <f t="shared" si="25"/>
        <v/>
      </c>
      <c r="P212" s="67" cm="1">
        <f t="array" ref="P212">SUMPRODUCT((H212=$H$7:$H$10000)*(N212&lt;$N$7:$N$10000))+1</f>
        <v>9</v>
      </c>
      <c r="Q212" s="72"/>
      <c r="R212">
        <v>6</v>
      </c>
      <c r="S212" t="str">
        <v>HOU</v>
      </c>
      <c r="T212" t="str">
        <v>Davy Coetzer</v>
      </c>
      <c r="U212" t="str">
        <v>NULL</v>
      </c>
      <c r="V212" t="str">
        <v>Away</v>
      </c>
      <c r="W212" t="str">
        <v>ARC</v>
      </c>
      <c r="X212">
        <v>10.287127788452613</v>
      </c>
    </row>
    <row r="213" spans="8:24" x14ac:dyDescent="0.35">
      <c r="H213" s="66">
        <v>4</v>
      </c>
      <c r="I213" t="s">
        <v>34</v>
      </c>
      <c r="J213" t="s">
        <v>52</v>
      </c>
      <c r="K213" t="s">
        <v>256</v>
      </c>
      <c r="L213" t="s">
        <v>3</v>
      </c>
      <c r="M213" t="s">
        <v>6</v>
      </c>
      <c r="N213">
        <f t="shared" si="24"/>
        <v>13.954333895821115</v>
      </c>
      <c r="O213" t="str">
        <f t="shared" si="25"/>
        <v/>
      </c>
      <c r="P213" s="67" cm="1">
        <f t="array" ref="P213">SUMPRODUCT((H213=$H$7:$H$10000)*(N213&lt;$N$7:$N$10000))+1</f>
        <v>10</v>
      </c>
      <c r="Q213" s="72"/>
      <c r="R213">
        <v>6</v>
      </c>
      <c r="S213" t="str">
        <v>HOU</v>
      </c>
      <c r="T213" t="str">
        <v>Jeremy Misailegalu</v>
      </c>
      <c r="U213" t="str">
        <v>NULL</v>
      </c>
      <c r="V213" t="str">
        <v>Away</v>
      </c>
      <c r="W213" t="str">
        <v>ARC</v>
      </c>
      <c r="X213">
        <v>10.28074127123266</v>
      </c>
    </row>
    <row r="214" spans="8:24" x14ac:dyDescent="0.35">
      <c r="H214" s="66">
        <v>4</v>
      </c>
      <c r="I214" t="s">
        <v>34</v>
      </c>
      <c r="J214" t="s">
        <v>192</v>
      </c>
      <c r="K214" t="s">
        <v>256</v>
      </c>
      <c r="L214" t="s">
        <v>3</v>
      </c>
      <c r="M214" t="s">
        <v>6</v>
      </c>
      <c r="N214">
        <f t="shared" si="24"/>
        <v>13.795555634682142</v>
      </c>
      <c r="O214" t="str">
        <f t="shared" si="25"/>
        <v/>
      </c>
      <c r="P214" s="67" cm="1">
        <f t="array" ref="P214">SUMPRODUCT((H214=$H$7:$H$10000)*(N214&lt;$N$7:$N$10000))+1</f>
        <v>11</v>
      </c>
      <c r="Q214" s="72"/>
      <c r="R214">
        <v>6</v>
      </c>
      <c r="S214" t="str">
        <v>NOLA</v>
      </c>
      <c r="T214" t="str">
        <v>Luke Carty</v>
      </c>
      <c r="U214" t="str">
        <v>NULL</v>
      </c>
      <c r="V214" t="str">
        <v>Home</v>
      </c>
      <c r="W214" t="str">
        <v>LA</v>
      </c>
      <c r="X214">
        <v>9.7584113724386654</v>
      </c>
    </row>
    <row r="215" spans="8:24" x14ac:dyDescent="0.35">
      <c r="H215" s="66">
        <v>4</v>
      </c>
      <c r="I215" t="s">
        <v>34</v>
      </c>
      <c r="J215" t="s">
        <v>496</v>
      </c>
      <c r="K215" t="s">
        <v>256</v>
      </c>
      <c r="L215" t="s">
        <v>3</v>
      </c>
      <c r="M215" t="s">
        <v>6</v>
      </c>
      <c r="N215">
        <f t="shared" si="24"/>
        <v>13.638446777282086</v>
      </c>
      <c r="O215" t="str">
        <f t="shared" si="25"/>
        <v/>
      </c>
      <c r="P215" s="67" cm="1">
        <f t="array" ref="P215">SUMPRODUCT((H215=$H$7:$H$10000)*(N215&lt;$N$7:$N$10000))+1</f>
        <v>12</v>
      </c>
      <c r="Q215" s="72"/>
      <c r="R215">
        <v>6</v>
      </c>
      <c r="S215" t="str">
        <v>LA</v>
      </c>
      <c r="T215" t="str">
        <v>Gonzalo Bertranou</v>
      </c>
      <c r="U215" t="str">
        <v>NULL</v>
      </c>
      <c r="V215" t="str">
        <v>Away</v>
      </c>
      <c r="W215" t="str">
        <v>NOLA</v>
      </c>
      <c r="X215">
        <v>9.6726836265524714</v>
      </c>
    </row>
    <row r="216" spans="8:24" x14ac:dyDescent="0.35">
      <c r="H216" s="66">
        <v>4</v>
      </c>
      <c r="I216" t="s">
        <v>13</v>
      </c>
      <c r="J216" t="s">
        <v>494</v>
      </c>
      <c r="K216" t="s">
        <v>256</v>
      </c>
      <c r="L216" t="s">
        <v>3</v>
      </c>
      <c r="M216" t="s">
        <v>36</v>
      </c>
      <c r="N216">
        <f t="shared" si="24"/>
        <v>13.369720323712286</v>
      </c>
      <c r="O216" t="str">
        <f t="shared" si="25"/>
        <v/>
      </c>
      <c r="P216" s="67" cm="1">
        <f t="array" ref="P216">SUMPRODUCT((H216=$H$7:$H$10000)*(N216&lt;$N$7:$N$10000))+1</f>
        <v>13</v>
      </c>
      <c r="Q216" s="72"/>
      <c r="R216">
        <v>6</v>
      </c>
      <c r="S216" t="str">
        <v>SEA</v>
      </c>
      <c r="T216" t="str">
        <v>Mikaela Kruse</v>
      </c>
      <c r="U216" t="str">
        <v>NULL</v>
      </c>
      <c r="V216" t="str">
        <v>Home</v>
      </c>
      <c r="W216" t="str">
        <v>UTAH</v>
      </c>
      <c r="X216">
        <v>9.6687986361694342</v>
      </c>
    </row>
    <row r="217" spans="8:24" x14ac:dyDescent="0.35">
      <c r="H217" s="66">
        <v>4</v>
      </c>
      <c r="I217" t="s">
        <v>24</v>
      </c>
      <c r="J217" t="s">
        <v>446</v>
      </c>
      <c r="K217" t="s">
        <v>256</v>
      </c>
      <c r="L217" t="s">
        <v>3</v>
      </c>
      <c r="M217" t="s">
        <v>2</v>
      </c>
      <c r="N217">
        <f t="shared" si="24"/>
        <v>13.027593286877295</v>
      </c>
      <c r="O217" t="str">
        <f t="shared" si="25"/>
        <v/>
      </c>
      <c r="P217" s="67" cm="1">
        <f t="array" ref="P217">SUMPRODUCT((H217=$H$7:$H$10000)*(N217&lt;$N$7:$N$10000))+1</f>
        <v>14</v>
      </c>
      <c r="Q217" s="72"/>
      <c r="R217">
        <v>6</v>
      </c>
      <c r="S217" t="str">
        <v>MIA</v>
      </c>
      <c r="T217" t="str">
        <v>Marcos Young</v>
      </c>
      <c r="U217" t="str">
        <v>NULL</v>
      </c>
      <c r="V217" t="str">
        <v>Away</v>
      </c>
      <c r="W217" t="str">
        <v>SDL</v>
      </c>
      <c r="X217">
        <v>9.6302061579977849</v>
      </c>
    </row>
    <row r="218" spans="8:24" x14ac:dyDescent="0.35">
      <c r="H218" s="66">
        <v>4</v>
      </c>
      <c r="I218" t="s">
        <v>2</v>
      </c>
      <c r="J218" t="s">
        <v>449</v>
      </c>
      <c r="K218" t="s">
        <v>256</v>
      </c>
      <c r="L218" t="s">
        <v>9</v>
      </c>
      <c r="M218" t="s">
        <v>24</v>
      </c>
      <c r="N218">
        <f t="shared" si="24"/>
        <v>12.836577295235603</v>
      </c>
      <c r="O218" t="str">
        <f t="shared" si="25"/>
        <v/>
      </c>
      <c r="P218" s="67" cm="1">
        <f t="array" ref="P218">SUMPRODUCT((H218=$H$7:$H$10000)*(N218&lt;$N$7:$N$10000))+1</f>
        <v>15</v>
      </c>
      <c r="Q218" s="72"/>
      <c r="R218">
        <v>6</v>
      </c>
      <c r="S218" t="str">
        <v>MIA</v>
      </c>
      <c r="T218" t="str">
        <v>Martin Elias</v>
      </c>
      <c r="U218" t="str">
        <v>NULL</v>
      </c>
      <c r="V218" t="str">
        <v>Away</v>
      </c>
      <c r="W218" t="str">
        <v>SDL</v>
      </c>
      <c r="X218">
        <v>9.5991422903952888</v>
      </c>
    </row>
    <row r="219" spans="8:24" x14ac:dyDescent="0.35">
      <c r="H219" s="66">
        <v>4</v>
      </c>
      <c r="I219" t="s">
        <v>34</v>
      </c>
      <c r="J219" t="s">
        <v>440</v>
      </c>
      <c r="K219" t="s">
        <v>256</v>
      </c>
      <c r="L219" t="s">
        <v>3</v>
      </c>
      <c r="M219" t="s">
        <v>6</v>
      </c>
      <c r="N219">
        <f t="shared" si="24"/>
        <v>12.520516886115155</v>
      </c>
      <c r="O219" t="str">
        <f t="shared" si="25"/>
        <v/>
      </c>
      <c r="P219" s="67" cm="1">
        <f t="array" ref="P219">SUMPRODUCT((H219=$H$7:$H$10000)*(N219&lt;$N$7:$N$10000))+1</f>
        <v>16</v>
      </c>
      <c r="Q219" s="72"/>
      <c r="R219">
        <v>6</v>
      </c>
      <c r="S219" t="str">
        <v>MIA</v>
      </c>
      <c r="T219" t="str">
        <v>Tomas Malanos</v>
      </c>
      <c r="U219" t="str">
        <v>NULL</v>
      </c>
      <c r="V219" t="str">
        <v>Away</v>
      </c>
      <c r="W219" t="str">
        <v>SDL</v>
      </c>
      <c r="X219">
        <v>9.4487178960086684</v>
      </c>
    </row>
    <row r="220" spans="8:24" x14ac:dyDescent="0.35">
      <c r="H220" s="66">
        <v>4</v>
      </c>
      <c r="I220" t="s">
        <v>6</v>
      </c>
      <c r="J220" t="s">
        <v>445</v>
      </c>
      <c r="K220" t="s">
        <v>256</v>
      </c>
      <c r="L220" t="s">
        <v>9</v>
      </c>
      <c r="M220" t="s">
        <v>34</v>
      </c>
      <c r="N220">
        <f t="shared" si="24"/>
        <v>12.501349931891729</v>
      </c>
      <c r="O220" t="str">
        <f t="shared" si="25"/>
        <v/>
      </c>
      <c r="P220" s="67" cm="1">
        <f t="array" ref="P220">SUMPRODUCT((H220=$H$7:$H$10000)*(N220&lt;$N$7:$N$10000))+1</f>
        <v>17</v>
      </c>
      <c r="Q220" s="72"/>
      <c r="R220">
        <v>6</v>
      </c>
      <c r="S220" t="str">
        <v>LA</v>
      </c>
      <c r="T220" t="str">
        <v>Jack Shaw</v>
      </c>
      <c r="U220" t="str">
        <v>NULL</v>
      </c>
      <c r="V220" t="str">
        <v>Away</v>
      </c>
      <c r="W220" t="str">
        <v>NOLA</v>
      </c>
      <c r="X220">
        <v>9.4175694144079376</v>
      </c>
    </row>
    <row r="221" spans="8:24" x14ac:dyDescent="0.35">
      <c r="H221" s="66">
        <v>4</v>
      </c>
      <c r="I221" t="s">
        <v>34</v>
      </c>
      <c r="J221" t="s">
        <v>39</v>
      </c>
      <c r="K221" t="s">
        <v>256</v>
      </c>
      <c r="L221" t="s">
        <v>3</v>
      </c>
      <c r="M221" t="s">
        <v>6</v>
      </c>
      <c r="N221">
        <f t="shared" si="24"/>
        <v>12.425445617417115</v>
      </c>
      <c r="O221" t="str">
        <f t="shared" si="25"/>
        <v/>
      </c>
      <c r="P221" s="67" cm="1">
        <f t="array" ref="P221">SUMPRODUCT((H221=$H$7:$H$10000)*(N221&lt;$N$7:$N$10000))+1</f>
        <v>18</v>
      </c>
      <c r="Q221" s="72"/>
      <c r="R221">
        <v>6</v>
      </c>
      <c r="S221" t="str">
        <v>UTAH</v>
      </c>
      <c r="T221" t="str">
        <v>Jordan Trainor</v>
      </c>
      <c r="U221" t="str">
        <v>NULL</v>
      </c>
      <c r="V221" t="str">
        <v>Away</v>
      </c>
      <c r="W221" t="str">
        <v>SEA</v>
      </c>
      <c r="X221">
        <v>9.3679949638965301</v>
      </c>
    </row>
    <row r="222" spans="8:24" x14ac:dyDescent="0.35">
      <c r="H222" s="66">
        <v>4</v>
      </c>
      <c r="I222" t="s">
        <v>17</v>
      </c>
      <c r="J222" t="s">
        <v>492</v>
      </c>
      <c r="K222" t="s">
        <v>256</v>
      </c>
      <c r="L222" t="s">
        <v>3</v>
      </c>
      <c r="M222" t="s">
        <v>23</v>
      </c>
      <c r="N222">
        <f t="shared" si="24"/>
        <v>12.392351707710759</v>
      </c>
      <c r="O222" t="str">
        <f t="shared" si="25"/>
        <v/>
      </c>
      <c r="P222" s="67" cm="1">
        <f t="array" ref="P222">SUMPRODUCT((H222=$H$7:$H$10000)*(N222&lt;$N$7:$N$10000))+1</f>
        <v>19</v>
      </c>
      <c r="Q222" s="72"/>
      <c r="R222">
        <v>6</v>
      </c>
      <c r="S222" t="str">
        <v>MIA</v>
      </c>
      <c r="T222" t="str">
        <v>Tomás Inciarte</v>
      </c>
      <c r="U222" t="str">
        <v>NULL</v>
      </c>
      <c r="V222" t="str">
        <v>Away</v>
      </c>
      <c r="W222" t="str">
        <v>SDL</v>
      </c>
      <c r="X222">
        <v>9.2796950487739824</v>
      </c>
    </row>
    <row r="223" spans="8:24" x14ac:dyDescent="0.35">
      <c r="H223" s="66">
        <v>4</v>
      </c>
      <c r="I223" t="s">
        <v>2</v>
      </c>
      <c r="J223" t="s">
        <v>63</v>
      </c>
      <c r="K223" t="s">
        <v>256</v>
      </c>
      <c r="L223" t="s">
        <v>9</v>
      </c>
      <c r="M223" t="s">
        <v>24</v>
      </c>
      <c r="N223">
        <f t="shared" si="24"/>
        <v>11.945308259438686</v>
      </c>
      <c r="O223" t="str">
        <f t="shared" si="25"/>
        <v/>
      </c>
      <c r="P223" s="67" cm="1">
        <f t="array" ref="P223">SUMPRODUCT((H223=$H$7:$H$10000)*(N223&lt;$N$7:$N$10000))+1</f>
        <v>20</v>
      </c>
      <c r="Q223" s="72"/>
      <c r="R223">
        <v>6</v>
      </c>
      <c r="S223" t="str">
        <v>NOLA</v>
      </c>
      <c r="T223" t="str">
        <v>Dorian Jones</v>
      </c>
      <c r="U223" t="str">
        <v>NULL</v>
      </c>
      <c r="V223" t="str">
        <v>Home</v>
      </c>
      <c r="W223" t="str">
        <v>LA</v>
      </c>
      <c r="X223">
        <v>9.2604222690068205</v>
      </c>
    </row>
    <row r="224" spans="8:24" x14ac:dyDescent="0.35">
      <c r="H224" s="66">
        <v>4</v>
      </c>
      <c r="I224" t="s">
        <v>7</v>
      </c>
      <c r="J224" t="s">
        <v>67</v>
      </c>
      <c r="K224" t="s">
        <v>256</v>
      </c>
      <c r="L224" t="s">
        <v>3</v>
      </c>
      <c r="M224" t="s">
        <v>14</v>
      </c>
      <c r="N224">
        <f t="shared" si="24"/>
        <v>11.689830159819564</v>
      </c>
      <c r="O224" t="str">
        <f t="shared" si="25"/>
        <v/>
      </c>
      <c r="P224" s="67" cm="1">
        <f t="array" ref="P224">SUMPRODUCT((H224=$H$7:$H$10000)*(N224&lt;$N$7:$N$10000))+1</f>
        <v>21</v>
      </c>
      <c r="Q224" s="72"/>
      <c r="R224">
        <v>6</v>
      </c>
      <c r="S224" t="str">
        <v>MIA</v>
      </c>
      <c r="T224" t="str">
        <v>Tomás Cubelli</v>
      </c>
      <c r="U224" t="str">
        <v>NULL</v>
      </c>
      <c r="V224" t="str">
        <v>Away</v>
      </c>
      <c r="W224" t="str">
        <v>SDL</v>
      </c>
      <c r="X224">
        <v>9.1090064102859856</v>
      </c>
    </row>
    <row r="225" spans="8:24" x14ac:dyDescent="0.35">
      <c r="H225" s="66">
        <v>4</v>
      </c>
      <c r="I225" t="s">
        <v>17</v>
      </c>
      <c r="J225" t="s">
        <v>196</v>
      </c>
      <c r="K225" t="s">
        <v>256</v>
      </c>
      <c r="L225" t="s">
        <v>3</v>
      </c>
      <c r="M225" t="s">
        <v>23</v>
      </c>
      <c r="N225">
        <f t="shared" si="24"/>
        <v>11.537266442154936</v>
      </c>
      <c r="O225" t="str">
        <f t="shared" si="25"/>
        <v/>
      </c>
      <c r="P225" s="67" cm="1">
        <f t="array" ref="P225">SUMPRODUCT((H225=$H$7:$H$10000)*(N225&lt;$N$7:$N$10000))+1</f>
        <v>22</v>
      </c>
      <c r="Q225" s="72"/>
      <c r="R225">
        <v>6</v>
      </c>
      <c r="S225" t="str">
        <v>LA</v>
      </c>
      <c r="T225" t="str">
        <v>Seth Purdey</v>
      </c>
      <c r="U225" t="str">
        <v>NULL</v>
      </c>
      <c r="V225" t="str">
        <v>Away</v>
      </c>
      <c r="W225" t="str">
        <v>NOLA</v>
      </c>
      <c r="X225">
        <v>8.9244791188237116</v>
      </c>
    </row>
    <row r="226" spans="8:24" x14ac:dyDescent="0.35">
      <c r="H226" s="66">
        <v>4</v>
      </c>
      <c r="I226" t="s">
        <v>6</v>
      </c>
      <c r="J226" t="s">
        <v>442</v>
      </c>
      <c r="K226" t="s">
        <v>256</v>
      </c>
      <c r="L226" t="s">
        <v>9</v>
      </c>
      <c r="M226" t="s">
        <v>34</v>
      </c>
      <c r="N226">
        <f t="shared" si="24"/>
        <v>11.35011730992392</v>
      </c>
      <c r="O226" t="str">
        <f t="shared" si="25"/>
        <v/>
      </c>
      <c r="P226" s="67" cm="1">
        <f t="array" ref="P226">SUMPRODUCT((H226=$H$7:$H$10000)*(N226&lt;$N$7:$N$10000))+1</f>
        <v>23</v>
      </c>
      <c r="Q226" s="72"/>
      <c r="R226">
        <v>6</v>
      </c>
      <c r="S226" t="str">
        <v>NOLA</v>
      </c>
      <c r="T226" t="str">
        <v>Isaac Te Tamaki</v>
      </c>
      <c r="U226" t="str">
        <v>NULL</v>
      </c>
      <c r="V226" t="str">
        <v>Home</v>
      </c>
      <c r="W226" t="str">
        <v>LA</v>
      </c>
      <c r="X226">
        <v>8.8130490213699346</v>
      </c>
    </row>
    <row r="227" spans="8:24" x14ac:dyDescent="0.35">
      <c r="H227" s="66">
        <v>4</v>
      </c>
      <c r="I227" t="s">
        <v>23</v>
      </c>
      <c r="J227" t="s">
        <v>190</v>
      </c>
      <c r="K227" t="s">
        <v>256</v>
      </c>
      <c r="L227" t="s">
        <v>9</v>
      </c>
      <c r="M227" t="s">
        <v>17</v>
      </c>
      <c r="N227">
        <f t="shared" si="24"/>
        <v>11.110502870194406</v>
      </c>
      <c r="O227" t="str">
        <f t="shared" si="25"/>
        <v/>
      </c>
      <c r="P227" s="67" cm="1">
        <f t="array" ref="P227">SUMPRODUCT((H227=$H$7:$H$10000)*(N227&lt;$N$7:$N$10000))+1</f>
        <v>24</v>
      </c>
      <c r="Q227" s="72"/>
      <c r="R227">
        <v>6</v>
      </c>
      <c r="S227" t="str">
        <v>SEA</v>
      </c>
      <c r="T227" t="str">
        <v>JP Smith</v>
      </c>
      <c r="U227" t="str">
        <v>NULL</v>
      </c>
      <c r="V227" t="str">
        <v>Home</v>
      </c>
      <c r="W227" t="str">
        <v>UTAH</v>
      </c>
      <c r="X227">
        <v>8.6507287360446359</v>
      </c>
    </row>
    <row r="228" spans="8:24" x14ac:dyDescent="0.35">
      <c r="H228" s="66">
        <v>4</v>
      </c>
      <c r="I228" t="s">
        <v>17</v>
      </c>
      <c r="J228" t="s">
        <v>497</v>
      </c>
      <c r="K228" t="s">
        <v>256</v>
      </c>
      <c r="L228" t="s">
        <v>3</v>
      </c>
      <c r="M228" t="s">
        <v>23</v>
      </c>
      <c r="N228">
        <f t="shared" si="24"/>
        <v>11.087848690205936</v>
      </c>
      <c r="O228" t="str">
        <f t="shared" si="25"/>
        <v/>
      </c>
      <c r="P228" s="67" cm="1">
        <f t="array" ref="P228">SUMPRODUCT((H228=$H$7:$H$10000)*(N228&lt;$N$7:$N$10000))+1</f>
        <v>25</v>
      </c>
      <c r="Q228" s="72"/>
      <c r="R228">
        <v>6</v>
      </c>
      <c r="S228" t="str">
        <v>LA</v>
      </c>
      <c r="T228" t="str">
        <v>Cameron Gerlach</v>
      </c>
      <c r="U228" t="str">
        <v>NULL</v>
      </c>
      <c r="V228" t="str">
        <v>Away</v>
      </c>
      <c r="W228" t="str">
        <v>NOLA</v>
      </c>
      <c r="X228">
        <v>8.6258134511739666</v>
      </c>
    </row>
    <row r="229" spans="8:24" x14ac:dyDescent="0.35">
      <c r="H229" s="66">
        <v>4</v>
      </c>
      <c r="I229" t="s">
        <v>34</v>
      </c>
      <c r="J229" t="s">
        <v>51</v>
      </c>
      <c r="K229" t="s">
        <v>256</v>
      </c>
      <c r="L229" t="s">
        <v>3</v>
      </c>
      <c r="M229" t="s">
        <v>6</v>
      </c>
      <c r="N229">
        <f t="shared" si="24"/>
        <v>11.072263304135666</v>
      </c>
      <c r="O229" t="str">
        <f t="shared" si="25"/>
        <v/>
      </c>
      <c r="P229" s="67" cm="1">
        <f t="array" ref="P229">SUMPRODUCT((H229=$H$7:$H$10000)*(N229&lt;$N$7:$N$10000))+1</f>
        <v>26</v>
      </c>
      <c r="Q229" s="72"/>
      <c r="R229">
        <v>6</v>
      </c>
      <c r="S229" t="str">
        <v>ARC</v>
      </c>
      <c r="T229" t="str">
        <v>Erich Storti</v>
      </c>
      <c r="U229" t="str">
        <v>NULL</v>
      </c>
      <c r="V229" t="str">
        <v>Home</v>
      </c>
      <c r="W229" t="str">
        <v>HOU</v>
      </c>
      <c r="X229">
        <v>8.3571459264087764</v>
      </c>
    </row>
    <row r="230" spans="8:24" x14ac:dyDescent="0.35">
      <c r="H230" s="66">
        <v>4</v>
      </c>
      <c r="I230" t="s">
        <v>24</v>
      </c>
      <c r="J230" t="s">
        <v>84</v>
      </c>
      <c r="K230" t="s">
        <v>256</v>
      </c>
      <c r="L230" t="s">
        <v>3</v>
      </c>
      <c r="M230" t="s">
        <v>2</v>
      </c>
      <c r="N230">
        <f t="shared" si="24"/>
        <v>11.048784121857814</v>
      </c>
      <c r="O230" t="str">
        <f t="shared" si="25"/>
        <v/>
      </c>
      <c r="P230" s="67" cm="1">
        <f t="array" ref="P230">SUMPRODUCT((H230=$H$7:$H$10000)*(N230&lt;$N$7:$N$10000))+1</f>
        <v>27</v>
      </c>
      <c r="Q230" s="72"/>
      <c r="R230">
        <v>6</v>
      </c>
      <c r="S230" t="str">
        <v>MIA</v>
      </c>
      <c r="T230" t="str">
        <v>Santiago Videla</v>
      </c>
      <c r="U230" t="str">
        <v>NULL</v>
      </c>
      <c r="V230" t="str">
        <v>Away</v>
      </c>
      <c r="W230" t="str">
        <v>SDL</v>
      </c>
      <c r="X230">
        <v>8.3089931506272006</v>
      </c>
    </row>
    <row r="231" spans="8:24" x14ac:dyDescent="0.35">
      <c r="H231" s="66">
        <v>4</v>
      </c>
      <c r="I231" t="s">
        <v>36</v>
      </c>
      <c r="J231" t="s">
        <v>38</v>
      </c>
      <c r="K231" t="s">
        <v>256</v>
      </c>
      <c r="L231" t="s">
        <v>9</v>
      </c>
      <c r="M231" t="s">
        <v>13</v>
      </c>
      <c r="N231">
        <f t="shared" si="24"/>
        <v>11.029463677754068</v>
      </c>
      <c r="O231" t="str">
        <f t="shared" si="25"/>
        <v/>
      </c>
      <c r="P231" s="67" cm="1">
        <f t="array" ref="P231">SUMPRODUCT((H231=$H$7:$H$10000)*(N231&lt;$N$7:$N$10000))+1</f>
        <v>28</v>
      </c>
      <c r="Q231" s="72"/>
      <c r="R231">
        <v>6</v>
      </c>
      <c r="S231" t="str">
        <v>NEFJ</v>
      </c>
      <c r="T231" t="str">
        <v>Jayson Potroz</v>
      </c>
      <c r="U231" t="str">
        <v>NULL</v>
      </c>
      <c r="V231" t="str">
        <v>Away</v>
      </c>
      <c r="W231" t="str">
        <v>OGDC</v>
      </c>
      <c r="X231">
        <v>8.2701220405386984</v>
      </c>
    </row>
    <row r="232" spans="8:24" x14ac:dyDescent="0.35">
      <c r="H232" s="66">
        <v>4</v>
      </c>
      <c r="I232" t="s">
        <v>24</v>
      </c>
      <c r="J232" t="s">
        <v>194</v>
      </c>
      <c r="K232" t="s">
        <v>256</v>
      </c>
      <c r="L232" t="s">
        <v>3</v>
      </c>
      <c r="M232" t="s">
        <v>2</v>
      </c>
      <c r="N232">
        <f t="shared" si="24"/>
        <v>11.017720254255316</v>
      </c>
      <c r="O232" t="str">
        <f t="shared" si="25"/>
        <v/>
      </c>
      <c r="P232" s="67" cm="1">
        <f t="array" ref="P232">SUMPRODUCT((H232=$H$7:$H$10000)*(N232&lt;$N$7:$N$10000))+1</f>
        <v>29</v>
      </c>
      <c r="Q232" s="72"/>
      <c r="R232">
        <v>6</v>
      </c>
      <c r="S232" t="str">
        <v>LA</v>
      </c>
      <c r="T232" t="str">
        <v>Nick Chan</v>
      </c>
      <c r="U232" t="str">
        <v>NULL</v>
      </c>
      <c r="V232" t="str">
        <v>Away</v>
      </c>
      <c r="W232" t="str">
        <v>NOLA</v>
      </c>
      <c r="X232">
        <v>8.0145184981876199</v>
      </c>
    </row>
    <row r="233" spans="8:24" x14ac:dyDescent="0.35">
      <c r="H233" s="66">
        <v>4</v>
      </c>
      <c r="I233" t="s">
        <v>7</v>
      </c>
      <c r="J233" t="s">
        <v>447</v>
      </c>
      <c r="K233" t="s">
        <v>256</v>
      </c>
      <c r="L233" t="s">
        <v>3</v>
      </c>
      <c r="M233" t="s">
        <v>14</v>
      </c>
      <c r="N233">
        <f t="shared" si="24"/>
        <v>11.00218909915351</v>
      </c>
      <c r="O233" t="str">
        <f t="shared" si="25"/>
        <v/>
      </c>
      <c r="P233" s="67" cm="1">
        <f t="array" ref="P233">SUMPRODUCT((H233=$H$7:$H$10000)*(N233&lt;$N$7:$N$10000))+1</f>
        <v>30</v>
      </c>
      <c r="Q233" s="72"/>
      <c r="R233">
        <v>6</v>
      </c>
      <c r="S233" t="str">
        <v>LA</v>
      </c>
      <c r="T233" t="str">
        <v>Andrew Coe</v>
      </c>
      <c r="U233" t="str">
        <v>NULL</v>
      </c>
      <c r="V233" t="str">
        <v>Away</v>
      </c>
      <c r="W233" t="str">
        <v>NOLA</v>
      </c>
      <c r="X233">
        <v>7.9735849531444192</v>
      </c>
    </row>
    <row r="234" spans="8:24" x14ac:dyDescent="0.35">
      <c r="H234" s="66">
        <v>4</v>
      </c>
      <c r="I234" t="s">
        <v>17</v>
      </c>
      <c r="J234" t="s">
        <v>37</v>
      </c>
      <c r="K234" t="s">
        <v>256</v>
      </c>
      <c r="L234" t="s">
        <v>3</v>
      </c>
      <c r="M234" t="s">
        <v>23</v>
      </c>
      <c r="N234">
        <f t="shared" si="24"/>
        <v>10.969748513546342</v>
      </c>
      <c r="O234" t="str">
        <f t="shared" si="25"/>
        <v/>
      </c>
      <c r="P234" s="67" cm="1">
        <f t="array" ref="P234">SUMPRODUCT((H234=$H$7:$H$10000)*(N234&lt;$N$7:$N$10000))+1</f>
        <v>31</v>
      </c>
      <c r="Q234" s="72"/>
      <c r="R234">
        <v>6</v>
      </c>
      <c r="S234" t="str">
        <v>ARC</v>
      </c>
      <c r="T234" t="str">
        <v>Mitch Wilson</v>
      </c>
      <c r="U234" t="str">
        <v>NULL</v>
      </c>
      <c r="V234" t="str">
        <v>Home</v>
      </c>
      <c r="W234" t="str">
        <v>HOU</v>
      </c>
      <c r="X234">
        <v>7.9684766701944838</v>
      </c>
    </row>
    <row r="235" spans="8:24" x14ac:dyDescent="0.35">
      <c r="H235" s="66">
        <v>4</v>
      </c>
      <c r="I235" t="s">
        <v>2</v>
      </c>
      <c r="J235" t="s">
        <v>455</v>
      </c>
      <c r="K235" t="s">
        <v>256</v>
      </c>
      <c r="L235" t="s">
        <v>9</v>
      </c>
      <c r="M235" t="s">
        <v>24</v>
      </c>
      <c r="N235">
        <f t="shared" si="24"/>
        <v>10.91789041872612</v>
      </c>
      <c r="O235" t="str">
        <f t="shared" si="25"/>
        <v/>
      </c>
      <c r="P235" s="67" cm="1">
        <f t="array" ref="P235">SUMPRODUCT((H235=$H$7:$H$10000)*(N235&lt;$N$7:$N$10000))+1</f>
        <v>32</v>
      </c>
      <c r="Q235" s="72"/>
      <c r="R235">
        <v>6</v>
      </c>
      <c r="S235" t="str">
        <v>HOU</v>
      </c>
      <c r="T235" t="str">
        <v>AJ Alatimu</v>
      </c>
      <c r="U235" t="str">
        <v>NULL</v>
      </c>
      <c r="V235" t="str">
        <v>Away</v>
      </c>
      <c r="W235" t="str">
        <v>ARC</v>
      </c>
      <c r="X235">
        <v>7.9517171941989062</v>
      </c>
    </row>
    <row r="236" spans="8:24" x14ac:dyDescent="0.35">
      <c r="H236" s="66">
        <v>4</v>
      </c>
      <c r="I236" t="s">
        <v>24</v>
      </c>
      <c r="J236" t="s">
        <v>101</v>
      </c>
      <c r="K236" t="s">
        <v>256</v>
      </c>
      <c r="L236" t="s">
        <v>3</v>
      </c>
      <c r="M236" t="s">
        <v>2</v>
      </c>
      <c r="N236">
        <f t="shared" si="24"/>
        <v>10.867295859868696</v>
      </c>
      <c r="O236" t="str">
        <f t="shared" si="25"/>
        <v/>
      </c>
      <c r="P236" s="67" cm="1">
        <f t="array" ref="P236">SUMPRODUCT((H236=$H$7:$H$10000)*(N236&lt;$N$7:$N$10000))+1</f>
        <v>33</v>
      </c>
      <c r="Q236" s="72"/>
      <c r="R236">
        <v>6</v>
      </c>
      <c r="S236" t="str">
        <v>ARC</v>
      </c>
      <c r="T236" t="str">
        <v>Line Latu</v>
      </c>
      <c r="U236" t="str">
        <v>NULL</v>
      </c>
      <c r="V236" t="str">
        <v>Home</v>
      </c>
      <c r="W236" t="str">
        <v>HOU</v>
      </c>
      <c r="X236">
        <v>7.7068820846313146</v>
      </c>
    </row>
    <row r="237" spans="8:24" x14ac:dyDescent="0.35">
      <c r="H237" s="66">
        <v>4</v>
      </c>
      <c r="I237" t="s">
        <v>24</v>
      </c>
      <c r="J237" t="s">
        <v>487</v>
      </c>
      <c r="K237" t="s">
        <v>256</v>
      </c>
      <c r="L237" t="s">
        <v>3</v>
      </c>
      <c r="M237" t="s">
        <v>2</v>
      </c>
      <c r="N237">
        <f t="shared" si="24"/>
        <v>10.69827301263401</v>
      </c>
      <c r="O237" t="str">
        <f t="shared" si="25"/>
        <v/>
      </c>
      <c r="P237" s="67" cm="1">
        <f t="array" ref="P237">SUMPRODUCT((H237=$H$7:$H$10000)*(N237&lt;$N$7:$N$10000))+1</f>
        <v>34</v>
      </c>
      <c r="Q237" s="72"/>
      <c r="R237">
        <v>6</v>
      </c>
      <c r="S237" t="str">
        <v>UTAH</v>
      </c>
      <c r="T237" t="str">
        <v>Blake Makiri</v>
      </c>
      <c r="U237" t="str">
        <v>NULL</v>
      </c>
      <c r="V237" t="str">
        <v>Away</v>
      </c>
      <c r="W237" t="str">
        <v>SEA</v>
      </c>
      <c r="X237">
        <v>7.2841772864108236</v>
      </c>
    </row>
    <row r="238" spans="8:24" x14ac:dyDescent="0.35">
      <c r="H238" s="66">
        <v>4</v>
      </c>
      <c r="I238" t="s">
        <v>24</v>
      </c>
      <c r="J238" t="s">
        <v>439</v>
      </c>
      <c r="K238" t="s">
        <v>256</v>
      </c>
      <c r="L238" t="s">
        <v>3</v>
      </c>
      <c r="M238" t="s">
        <v>2</v>
      </c>
      <c r="N238">
        <f t="shared" si="24"/>
        <v>10.527584374146013</v>
      </c>
      <c r="O238" t="str">
        <f t="shared" si="25"/>
        <v/>
      </c>
      <c r="P238" s="67" cm="1">
        <f t="array" ref="P238">SUMPRODUCT((H238=$H$7:$H$10000)*(N238&lt;$N$7:$N$10000))+1</f>
        <v>35</v>
      </c>
      <c r="Q238" s="72"/>
      <c r="R238">
        <v>6</v>
      </c>
      <c r="S238" t="str">
        <v>SEA</v>
      </c>
      <c r="T238" t="str">
        <v>Lauina Futi</v>
      </c>
      <c r="U238" t="str">
        <v>NULL</v>
      </c>
      <c r="V238" t="str">
        <v>Home</v>
      </c>
      <c r="W238" t="str">
        <v>UTAH</v>
      </c>
      <c r="X238">
        <v>7.255852892728953</v>
      </c>
    </row>
    <row r="239" spans="8:24" x14ac:dyDescent="0.35">
      <c r="H239" s="66">
        <v>4</v>
      </c>
      <c r="I239" t="s">
        <v>36</v>
      </c>
      <c r="J239" t="s">
        <v>71</v>
      </c>
      <c r="K239" t="s">
        <v>256</v>
      </c>
      <c r="L239" t="s">
        <v>9</v>
      </c>
      <c r="M239" t="s">
        <v>13</v>
      </c>
      <c r="N239">
        <f t="shared" si="24"/>
        <v>10.44990428563923</v>
      </c>
      <c r="O239" t="str">
        <f t="shared" si="25"/>
        <v/>
      </c>
      <c r="P239" s="67" cm="1">
        <f t="array" ref="P239">SUMPRODUCT((H239=$H$7:$H$10000)*(N239&lt;$N$7:$N$10000))+1</f>
        <v>36</v>
      </c>
      <c r="Q239" s="72"/>
      <c r="R239">
        <v>6</v>
      </c>
      <c r="S239" t="str">
        <v>NEFJ</v>
      </c>
      <c r="T239" t="str">
        <v>Wayne van der Bank</v>
      </c>
      <c r="U239" t="str">
        <v>NULL</v>
      </c>
      <c r="V239" t="str">
        <v>Away</v>
      </c>
      <c r="W239" t="str">
        <v>OGDC</v>
      </c>
      <c r="X239">
        <v>7.0693316387570739</v>
      </c>
    </row>
    <row r="240" spans="8:24" x14ac:dyDescent="0.35">
      <c r="H240" s="66">
        <v>4</v>
      </c>
      <c r="I240" t="s">
        <v>36</v>
      </c>
      <c r="J240" t="s">
        <v>78</v>
      </c>
      <c r="K240" t="s">
        <v>256</v>
      </c>
      <c r="L240" t="s">
        <v>9</v>
      </c>
      <c r="M240" t="s">
        <v>13</v>
      </c>
      <c r="N240">
        <f t="shared" si="24"/>
        <v>10.443517768419277</v>
      </c>
      <c r="O240" t="str">
        <f t="shared" si="25"/>
        <v/>
      </c>
      <c r="P240" s="67" cm="1">
        <f t="array" ref="P240">SUMPRODUCT((H240=$H$7:$H$10000)*(N240&lt;$N$7:$N$10000))+1</f>
        <v>37</v>
      </c>
      <c r="Q240" s="72"/>
      <c r="R240">
        <v>6</v>
      </c>
      <c r="S240" t="str">
        <v>NEFJ</v>
      </c>
      <c r="T240" t="str">
        <v>Le Roux Malan</v>
      </c>
      <c r="U240" t="str">
        <v>NULL</v>
      </c>
      <c r="V240" t="str">
        <v>Away</v>
      </c>
      <c r="W240" t="str">
        <v>OGDC</v>
      </c>
      <c r="X240">
        <v>6.8891276774232031</v>
      </c>
    </row>
    <row r="241" spans="8:24" x14ac:dyDescent="0.35">
      <c r="H241" s="66">
        <v>4</v>
      </c>
      <c r="I241" t="s">
        <v>6</v>
      </c>
      <c r="J241" t="s">
        <v>437</v>
      </c>
      <c r="K241" t="s">
        <v>256</v>
      </c>
      <c r="L241" t="s">
        <v>9</v>
      </c>
      <c r="M241" t="s">
        <v>34</v>
      </c>
      <c r="N241">
        <f t="shared" si="24"/>
        <v>10.380335394495935</v>
      </c>
      <c r="O241" t="str">
        <f t="shared" si="25"/>
        <v/>
      </c>
      <c r="P241" s="67" cm="1">
        <f t="array" ref="P241">SUMPRODUCT((H241=$H$7:$H$10000)*(N241&lt;$N$7:$N$10000))+1</f>
        <v>38</v>
      </c>
      <c r="Q241" s="72"/>
      <c r="R241">
        <v>6</v>
      </c>
      <c r="S241" t="str">
        <v>NEFJ</v>
      </c>
      <c r="T241" t="str">
        <v>Paula Balekana</v>
      </c>
      <c r="U241" t="str">
        <v>NULL</v>
      </c>
      <c r="V241" t="str">
        <v>Away</v>
      </c>
      <c r="W241" t="str">
        <v>OGDC</v>
      </c>
      <c r="X241">
        <v>6.847325486717275</v>
      </c>
    </row>
    <row r="242" spans="8:24" x14ac:dyDescent="0.35">
      <c r="H242" s="66">
        <v>4</v>
      </c>
      <c r="I242" t="s">
        <v>2</v>
      </c>
      <c r="J242" t="s">
        <v>44</v>
      </c>
      <c r="K242" t="s">
        <v>256</v>
      </c>
      <c r="L242" t="s">
        <v>9</v>
      </c>
      <c r="M242" t="s">
        <v>24</v>
      </c>
      <c r="N242">
        <f t="shared" si="24"/>
        <v>10.287004031474437</v>
      </c>
      <c r="O242" t="str">
        <f t="shared" si="25"/>
        <v/>
      </c>
      <c r="P242" s="67" cm="1">
        <f t="array" ref="P242">SUMPRODUCT((H242=$H$7:$H$10000)*(N242&lt;$N$7:$N$10000))+1</f>
        <v>39</v>
      </c>
      <c r="Q242" s="72"/>
      <c r="R242">
        <v>6</v>
      </c>
      <c r="S242" t="str">
        <v>ARC</v>
      </c>
      <c r="T242" t="str">
        <v>Karl Keane</v>
      </c>
      <c r="U242" t="str">
        <v>NULL</v>
      </c>
      <c r="V242" t="str">
        <v>Home</v>
      </c>
      <c r="W242" t="str">
        <v>HOU</v>
      </c>
      <c r="X242">
        <v>6.7970172131120314</v>
      </c>
    </row>
    <row r="243" spans="8:24" x14ac:dyDescent="0.35">
      <c r="H243" s="66">
        <v>4</v>
      </c>
      <c r="I243" t="s">
        <v>6</v>
      </c>
      <c r="J243" t="s">
        <v>75</v>
      </c>
      <c r="K243" t="s">
        <v>256</v>
      </c>
      <c r="L243" t="s">
        <v>9</v>
      </c>
      <c r="M243" t="s">
        <v>34</v>
      </c>
      <c r="N243">
        <f t="shared" si="24"/>
        <v>10.125221182351401</v>
      </c>
      <c r="O243" t="str">
        <f t="shared" si="25"/>
        <v/>
      </c>
      <c r="P243" s="67" cm="1">
        <f t="array" ref="P243">SUMPRODUCT((H243=$H$7:$H$10000)*(N243&lt;$N$7:$N$10000))+1</f>
        <v>40</v>
      </c>
      <c r="Q243" s="72"/>
      <c r="R243">
        <v>6</v>
      </c>
      <c r="S243" t="str">
        <v>UTAH</v>
      </c>
      <c r="T243" t="str">
        <v>Spencer Jones</v>
      </c>
      <c r="U243" t="str">
        <v>NULL</v>
      </c>
      <c r="V243" t="str">
        <v>Away</v>
      </c>
      <c r="W243" t="str">
        <v>SEA</v>
      </c>
      <c r="X243">
        <v>6.6309263594009948</v>
      </c>
    </row>
    <row r="244" spans="8:24" x14ac:dyDescent="0.35">
      <c r="H244" s="66">
        <v>4</v>
      </c>
      <c r="I244" t="s">
        <v>7</v>
      </c>
      <c r="J244" t="s">
        <v>77</v>
      </c>
      <c r="K244" t="s">
        <v>256</v>
      </c>
      <c r="L244" t="s">
        <v>3</v>
      </c>
      <c r="M244" t="s">
        <v>14</v>
      </c>
      <c r="N244">
        <f t="shared" si="24"/>
        <v>9.9816558594987814</v>
      </c>
      <c r="O244" t="str">
        <f t="shared" si="25"/>
        <v/>
      </c>
      <c r="P244" s="67" cm="1">
        <f t="array" ref="P244">SUMPRODUCT((H244=$H$7:$H$10000)*(N244&lt;$N$7:$N$10000))+1</f>
        <v>41</v>
      </c>
      <c r="Q244" s="72"/>
      <c r="R244">
        <v>6</v>
      </c>
      <c r="S244" t="str">
        <v>HOU</v>
      </c>
      <c r="T244" t="str">
        <v>Rufus McLean</v>
      </c>
      <c r="U244" t="str">
        <v>NULL</v>
      </c>
      <c r="V244" t="str">
        <v>Away</v>
      </c>
      <c r="W244" t="str">
        <v>ARC</v>
      </c>
      <c r="X244">
        <v>6.4723748299492971</v>
      </c>
    </row>
    <row r="245" spans="8:24" x14ac:dyDescent="0.35">
      <c r="H245" s="66">
        <v>4</v>
      </c>
      <c r="I245" t="s">
        <v>17</v>
      </c>
      <c r="J245" t="s">
        <v>450</v>
      </c>
      <c r="K245" t="s">
        <v>256</v>
      </c>
      <c r="L245" t="s">
        <v>3</v>
      </c>
      <c r="M245" t="s">
        <v>23</v>
      </c>
      <c r="N245">
        <f t="shared" si="24"/>
        <v>9.9679830981771183</v>
      </c>
      <c r="O245" t="str">
        <f t="shared" si="25"/>
        <v/>
      </c>
      <c r="P245" s="67" cm="1">
        <f t="array" ref="P245">SUMPRODUCT((H245=$H$7:$H$10000)*(N245&lt;$N$7:$N$10000))+1</f>
        <v>42</v>
      </c>
      <c r="Q245" s="72"/>
      <c r="R245">
        <v>6</v>
      </c>
      <c r="S245" t="str">
        <v>NOLA</v>
      </c>
      <c r="T245" t="str">
        <v>Nikolai Foliaki</v>
      </c>
      <c r="U245" t="str">
        <v>NULL</v>
      </c>
      <c r="V245" t="str">
        <v>Home</v>
      </c>
      <c r="W245" t="str">
        <v>LA</v>
      </c>
      <c r="X245">
        <v>6.3986487122442384</v>
      </c>
    </row>
    <row r="246" spans="8:24" x14ac:dyDescent="0.35">
      <c r="H246" s="66">
        <v>4</v>
      </c>
      <c r="I246" t="s">
        <v>23</v>
      </c>
      <c r="J246" t="s">
        <v>46</v>
      </c>
      <c r="K246" t="s">
        <v>256</v>
      </c>
      <c r="L246" t="s">
        <v>9</v>
      </c>
      <c r="M246" t="s">
        <v>17</v>
      </c>
      <c r="N246">
        <f t="shared" si="24"/>
        <v>9.9097124684127813</v>
      </c>
      <c r="O246" t="str">
        <f t="shared" si="25"/>
        <v/>
      </c>
      <c r="P246" s="67" cm="1">
        <f t="array" ref="P246">SUMPRODUCT((H246=$H$7:$H$10000)*(N246&lt;$N$7:$N$10000))+1</f>
        <v>43</v>
      </c>
      <c r="Q246" s="72"/>
      <c r="R246">
        <v>6</v>
      </c>
      <c r="S246" t="str">
        <v>HOU</v>
      </c>
      <c r="T246" t="str">
        <v>Max Schumacher</v>
      </c>
      <c r="U246" t="str">
        <v>NULL</v>
      </c>
      <c r="V246" t="str">
        <v>Away</v>
      </c>
      <c r="W246" t="str">
        <v>ARC</v>
      </c>
      <c r="X246">
        <v>6.3255416697863156</v>
      </c>
    </row>
    <row r="247" spans="8:24" x14ac:dyDescent="0.35">
      <c r="H247" s="66">
        <v>4</v>
      </c>
      <c r="I247" t="s">
        <v>23</v>
      </c>
      <c r="J247" t="s">
        <v>32</v>
      </c>
      <c r="K247" t="s">
        <v>256</v>
      </c>
      <c r="L247" t="s">
        <v>9</v>
      </c>
      <c r="M247" t="s">
        <v>17</v>
      </c>
      <c r="N247">
        <f t="shared" si="24"/>
        <v>9.7295085070789114</v>
      </c>
      <c r="O247" t="str">
        <f t="shared" si="25"/>
        <v/>
      </c>
      <c r="P247" s="67" cm="1">
        <f t="array" ref="P247">SUMPRODUCT((H247=$H$7:$H$10000)*(N247&lt;$N$7:$N$10000))+1</f>
        <v>44</v>
      </c>
      <c r="Q247" s="72"/>
      <c r="R247">
        <v>6</v>
      </c>
      <c r="S247" t="str">
        <v>SEA</v>
      </c>
      <c r="T247" t="str">
        <v>Dan Kriel</v>
      </c>
      <c r="U247" t="str">
        <v>NULL</v>
      </c>
      <c r="V247" t="str">
        <v>Home</v>
      </c>
      <c r="W247" t="str">
        <v>UTAH</v>
      </c>
      <c r="X247">
        <v>5.898097836485408</v>
      </c>
    </row>
    <row r="248" spans="8:24" x14ac:dyDescent="0.35">
      <c r="H248" s="66">
        <v>4</v>
      </c>
      <c r="I248" t="s">
        <v>24</v>
      </c>
      <c r="J248" t="s">
        <v>96</v>
      </c>
      <c r="K248" t="s">
        <v>256</v>
      </c>
      <c r="L248" t="s">
        <v>3</v>
      </c>
      <c r="M248" t="s">
        <v>2</v>
      </c>
      <c r="N248">
        <f t="shared" si="24"/>
        <v>9.7275711144872297</v>
      </c>
      <c r="O248" t="str">
        <f t="shared" si="25"/>
        <v/>
      </c>
      <c r="P248" s="67" cm="1">
        <f t="array" ref="P248">SUMPRODUCT((H248=$H$7:$H$10000)*(N248&lt;$N$7:$N$10000))+1</f>
        <v>45</v>
      </c>
      <c r="Q248" s="72"/>
      <c r="R248">
        <v>6</v>
      </c>
      <c r="S248" t="str">
        <v>MIA</v>
      </c>
      <c r="T248" t="str">
        <v>Matias Orlando</v>
      </c>
      <c r="U248" t="str">
        <v>NULL</v>
      </c>
      <c r="V248" t="str">
        <v>Away</v>
      </c>
      <c r="W248" t="str">
        <v>SDL</v>
      </c>
      <c r="X248">
        <v>5.4175817879439689</v>
      </c>
    </row>
    <row r="249" spans="8:24" x14ac:dyDescent="0.35">
      <c r="H249" s="66">
        <v>4</v>
      </c>
      <c r="I249" t="s">
        <v>13</v>
      </c>
      <c r="J249" t="s">
        <v>473</v>
      </c>
      <c r="K249" t="s">
        <v>256</v>
      </c>
      <c r="L249" t="s">
        <v>3</v>
      </c>
      <c r="M249" t="s">
        <v>36</v>
      </c>
      <c r="N249">
        <f t="shared" si="24"/>
        <v>9.7069651109269337</v>
      </c>
      <c r="O249" t="str">
        <f t="shared" si="25"/>
        <v/>
      </c>
      <c r="P249" s="67" cm="1">
        <f t="array" ref="P249">SUMPRODUCT((H249=$H$7:$H$10000)*(N249&lt;$N$7:$N$10000))+1</f>
        <v>46</v>
      </c>
      <c r="Q249" s="72"/>
      <c r="R249">
        <v>6</v>
      </c>
      <c r="S249" t="str">
        <v>HOU</v>
      </c>
      <c r="T249" t="str">
        <v>Tautalatasi Tasi</v>
      </c>
      <c r="U249" t="str">
        <v>NULL</v>
      </c>
      <c r="V249" t="str">
        <v>Away</v>
      </c>
      <c r="W249" t="str">
        <v>ARC</v>
      </c>
      <c r="X249">
        <v>5.0501889335447538</v>
      </c>
    </row>
    <row r="250" spans="8:24" x14ac:dyDescent="0.35">
      <c r="H250" s="66">
        <v>4</v>
      </c>
      <c r="I250" t="s">
        <v>23</v>
      </c>
      <c r="J250" t="s">
        <v>91</v>
      </c>
      <c r="K250" t="s">
        <v>256</v>
      </c>
      <c r="L250" t="s">
        <v>9</v>
      </c>
      <c r="M250" t="s">
        <v>17</v>
      </c>
      <c r="N250">
        <f t="shared" si="24"/>
        <v>9.6877063163729833</v>
      </c>
      <c r="O250" t="str">
        <f t="shared" si="25"/>
        <v/>
      </c>
      <c r="P250" s="67" cm="1">
        <f t="array" ref="P250">SUMPRODUCT((H250=$H$7:$H$10000)*(N250&lt;$N$7:$N$10000))+1</f>
        <v>47</v>
      </c>
      <c r="Q250" s="72"/>
      <c r="R250">
        <v>6</v>
      </c>
      <c r="S250" t="str">
        <v>UTAH</v>
      </c>
      <c r="T250" t="str">
        <v>Kyle Brown</v>
      </c>
      <c r="U250" t="str">
        <v>NULL</v>
      </c>
      <c r="V250" t="str">
        <v>Away</v>
      </c>
      <c r="W250" t="str">
        <v>SEA</v>
      </c>
      <c r="X250">
        <v>5.0266206593460891</v>
      </c>
    </row>
    <row r="251" spans="8:24" x14ac:dyDescent="0.35">
      <c r="H251" s="66">
        <v>4</v>
      </c>
      <c r="I251" t="s">
        <v>6</v>
      </c>
      <c r="J251" t="s">
        <v>43</v>
      </c>
      <c r="K251" t="s">
        <v>256</v>
      </c>
      <c r="L251" t="s">
        <v>9</v>
      </c>
      <c r="M251" t="s">
        <v>34</v>
      </c>
      <c r="N251">
        <f t="shared" si="24"/>
        <v>9.6321308867671753</v>
      </c>
      <c r="O251" t="str">
        <f t="shared" si="25"/>
        <v/>
      </c>
      <c r="P251" s="67" cm="1">
        <f t="array" ref="P251">SUMPRODUCT((H251=$H$7:$H$10000)*(N251&lt;$N$7:$N$10000))+1</f>
        <v>48</v>
      </c>
      <c r="Q251" s="72"/>
      <c r="R251">
        <v>6</v>
      </c>
      <c r="S251" t="str">
        <v>MIA</v>
      </c>
      <c r="T251" t="str">
        <v>Guiseppe du Toit</v>
      </c>
      <c r="U251" t="str">
        <v>NULL</v>
      </c>
      <c r="V251" t="str">
        <v>Away</v>
      </c>
      <c r="W251" t="str">
        <v>SDL</v>
      </c>
      <c r="X251">
        <v>4.6112834420276787</v>
      </c>
    </row>
    <row r="252" spans="8:24" x14ac:dyDescent="0.35">
      <c r="H252" s="66">
        <v>4</v>
      </c>
      <c r="I252" t="s">
        <v>2</v>
      </c>
      <c r="J252" t="s">
        <v>441</v>
      </c>
      <c r="K252" t="s">
        <v>256</v>
      </c>
      <c r="L252" t="s">
        <v>9</v>
      </c>
      <c r="M252" t="s">
        <v>24</v>
      </c>
      <c r="N252">
        <f t="shared" si="24"/>
        <v>9.4203123161330584</v>
      </c>
      <c r="O252" t="str">
        <f t="shared" si="25"/>
        <v/>
      </c>
      <c r="P252" s="67" cm="1">
        <f t="array" ref="P252">SUMPRODUCT((H252=$H$7:$H$10000)*(N252&lt;$N$7:$N$10000))+1</f>
        <v>49</v>
      </c>
      <c r="Q252" s="72"/>
      <c r="R252">
        <v>6</v>
      </c>
      <c r="S252" t="str">
        <v>UTAH</v>
      </c>
      <c r="T252" t="str">
        <v>Logan Crowley</v>
      </c>
      <c r="U252" t="str">
        <v>NULL</v>
      </c>
      <c r="V252" t="str">
        <v>Away</v>
      </c>
      <c r="W252" t="str">
        <v>SEA</v>
      </c>
      <c r="X252">
        <v>4.3137448415174964</v>
      </c>
    </row>
    <row r="253" spans="8:24" x14ac:dyDescent="0.35">
      <c r="H253" s="66">
        <v>4</v>
      </c>
      <c r="I253" t="s">
        <v>6</v>
      </c>
      <c r="J253" t="s">
        <v>454</v>
      </c>
      <c r="K253" t="s">
        <v>256</v>
      </c>
      <c r="L253" t="s">
        <v>9</v>
      </c>
      <c r="M253" t="s">
        <v>34</v>
      </c>
      <c r="N253">
        <f t="shared" si="24"/>
        <v>9.3334652191174303</v>
      </c>
      <c r="O253" t="str">
        <f t="shared" si="25"/>
        <v/>
      </c>
      <c r="P253" s="67" cm="1">
        <f t="array" ref="P253">SUMPRODUCT((H253=$H$7:$H$10000)*(N253&lt;$N$7:$N$10000))+1</f>
        <v>50</v>
      </c>
      <c r="Q253" s="72"/>
      <c r="R253">
        <v>6</v>
      </c>
      <c r="S253" t="str">
        <v>OGDC</v>
      </c>
      <c r="T253" t="str">
        <v>Jason Emery</v>
      </c>
      <c r="U253" t="str">
        <v>NULL</v>
      </c>
      <c r="V253" t="str">
        <v>Home</v>
      </c>
      <c r="W253" t="str">
        <v>NEFJ</v>
      </c>
      <c r="X253">
        <v>4.0799516894451502</v>
      </c>
    </row>
    <row r="254" spans="8:24" x14ac:dyDescent="0.35">
      <c r="H254" s="66">
        <v>4</v>
      </c>
      <c r="I254" t="s">
        <v>17</v>
      </c>
      <c r="J254" t="s">
        <v>81</v>
      </c>
      <c r="K254" t="s">
        <v>256</v>
      </c>
      <c r="L254" t="s">
        <v>3</v>
      </c>
      <c r="M254" t="s">
        <v>23</v>
      </c>
      <c r="N254">
        <f t="shared" si="24"/>
        <v>8.9499131980523181</v>
      </c>
      <c r="O254" t="str">
        <f t="shared" si="25"/>
        <v/>
      </c>
      <c r="P254" s="67" cm="1">
        <f t="array" ref="P254">SUMPRODUCT((H254=$H$7:$H$10000)*(N254&lt;$N$7:$N$10000))+1</f>
        <v>51</v>
      </c>
      <c r="Q254" s="72"/>
      <c r="R254">
        <v>6</v>
      </c>
      <c r="S254" t="str">
        <v>NOLA</v>
      </c>
      <c r="T254" t="str">
        <v>Luke Campbell</v>
      </c>
      <c r="U254" t="str">
        <v>NULL</v>
      </c>
      <c r="V254" t="str">
        <v>Home</v>
      </c>
      <c r="W254" t="str">
        <v>LA</v>
      </c>
      <c r="X254">
        <v>3.7828483379774216</v>
      </c>
    </row>
    <row r="255" spans="8:24" x14ac:dyDescent="0.35">
      <c r="H255" s="66">
        <v>4</v>
      </c>
      <c r="I255" t="s">
        <v>6</v>
      </c>
      <c r="J255" t="s">
        <v>451</v>
      </c>
      <c r="K255" t="s">
        <v>256</v>
      </c>
      <c r="L255" t="s">
        <v>9</v>
      </c>
      <c r="M255" t="s">
        <v>34</v>
      </c>
      <c r="N255">
        <f t="shared" si="24"/>
        <v>8.7221702661310836</v>
      </c>
      <c r="O255" t="str">
        <f t="shared" si="25"/>
        <v/>
      </c>
      <c r="P255" s="67" cm="1">
        <f t="array" ref="P255">SUMPRODUCT((H255=$H$7:$H$10000)*(N255&lt;$N$7:$N$10000))+1</f>
        <v>52</v>
      </c>
      <c r="Q255" s="72"/>
      <c r="R255">
        <v>6</v>
      </c>
      <c r="S255" t="str">
        <v>NOLA</v>
      </c>
      <c r="T255" t="str">
        <v>Ruben de Haas</v>
      </c>
      <c r="U255" t="str">
        <v>NULL</v>
      </c>
      <c r="V255" t="str">
        <v>Home</v>
      </c>
      <c r="W255" t="str">
        <v>LA</v>
      </c>
      <c r="X255">
        <v>3.7361183961957369</v>
      </c>
    </row>
    <row r="256" spans="8:24" x14ac:dyDescent="0.35">
      <c r="H256" s="66">
        <v>4</v>
      </c>
      <c r="I256" t="s">
        <v>6</v>
      </c>
      <c r="J256" t="s">
        <v>64</v>
      </c>
      <c r="K256" t="s">
        <v>256</v>
      </c>
      <c r="L256" t="s">
        <v>9</v>
      </c>
      <c r="M256" t="s">
        <v>34</v>
      </c>
      <c r="N256">
        <f t="shared" si="24"/>
        <v>8.6812367210878829</v>
      </c>
      <c r="O256" t="str">
        <f t="shared" si="25"/>
        <v/>
      </c>
      <c r="P256" s="67" cm="1">
        <f t="array" ref="P256">SUMPRODUCT((H256=$H$7:$H$10000)*(N256&lt;$N$7:$N$10000))+1</f>
        <v>53</v>
      </c>
      <c r="Q256" s="72"/>
      <c r="R256">
        <v>6</v>
      </c>
      <c r="S256" t="str">
        <v>SEA</v>
      </c>
      <c r="T256" t="str">
        <v>Jade Stighling</v>
      </c>
      <c r="U256" t="str">
        <v>NULL</v>
      </c>
      <c r="V256" t="str">
        <v>Home</v>
      </c>
      <c r="W256" t="str">
        <v>UTAH</v>
      </c>
      <c r="X256">
        <v>3.6227420005483699</v>
      </c>
    </row>
    <row r="257" spans="8:24" x14ac:dyDescent="0.35">
      <c r="H257" s="66">
        <v>4</v>
      </c>
      <c r="I257" t="s">
        <v>36</v>
      </c>
      <c r="J257" t="s">
        <v>491</v>
      </c>
      <c r="K257" t="s">
        <v>256</v>
      </c>
      <c r="L257" t="s">
        <v>9</v>
      </c>
      <c r="M257" t="s">
        <v>13</v>
      </c>
      <c r="N257">
        <f t="shared" si="24"/>
        <v>8.1144936913855226</v>
      </c>
      <c r="O257" t="str">
        <f t="shared" si="25"/>
        <v/>
      </c>
      <c r="P257" s="67" cm="1">
        <f t="array" ref="P257">SUMPRODUCT((H257=$H$7:$H$10000)*(N257&lt;$N$7:$N$10000))+1</f>
        <v>54</v>
      </c>
      <c r="Q257" s="72"/>
      <c r="R257">
        <v>6</v>
      </c>
      <c r="S257" t="str">
        <v>HOU</v>
      </c>
      <c r="T257" t="str">
        <v>Sam Hill</v>
      </c>
      <c r="U257" t="str">
        <v>NULL</v>
      </c>
      <c r="V257" t="str">
        <v>Away</v>
      </c>
      <c r="W257" t="str">
        <v>ARC</v>
      </c>
      <c r="X257">
        <v>3.4788307659415789</v>
      </c>
    </row>
    <row r="258" spans="8:24" x14ac:dyDescent="0.35">
      <c r="H258" s="66">
        <v>4</v>
      </c>
      <c r="I258" t="s">
        <v>14</v>
      </c>
      <c r="J258" t="s">
        <v>448</v>
      </c>
      <c r="K258" t="s">
        <v>256</v>
      </c>
      <c r="L258" t="s">
        <v>9</v>
      </c>
      <c r="M258" t="s">
        <v>7</v>
      </c>
      <c r="N258">
        <f t="shared" si="24"/>
        <v>7.6802890898531002</v>
      </c>
      <c r="O258" t="str">
        <f t="shared" si="25"/>
        <v/>
      </c>
      <c r="P258" s="67" cm="1">
        <f t="array" ref="P258">SUMPRODUCT((H258=$H$7:$H$10000)*(N258&lt;$N$7:$N$10000))+1</f>
        <v>55</v>
      </c>
      <c r="Q258" s="72"/>
      <c r="R258">
        <v>6</v>
      </c>
      <c r="S258" t="str">
        <v>HOU</v>
      </c>
      <c r="T258" t="str">
        <v>Andre Warner</v>
      </c>
      <c r="U258" t="str">
        <v>NULL</v>
      </c>
      <c r="V258" t="str">
        <v>Away</v>
      </c>
      <c r="W258" t="str">
        <v>ARC</v>
      </c>
      <c r="X258">
        <v>3.2312678645713016</v>
      </c>
    </row>
    <row r="259" spans="8:24" x14ac:dyDescent="0.35">
      <c r="H259" s="66">
        <v>4</v>
      </c>
      <c r="I259" t="s">
        <v>17</v>
      </c>
      <c r="J259" t="s">
        <v>82</v>
      </c>
      <c r="K259" t="s">
        <v>256</v>
      </c>
      <c r="L259" t="s">
        <v>3</v>
      </c>
      <c r="M259" t="s">
        <v>23</v>
      </c>
      <c r="N259">
        <f t="shared" si="24"/>
        <v>7.5550373547366352</v>
      </c>
      <c r="O259" t="str">
        <f t="shared" si="25"/>
        <v/>
      </c>
      <c r="P259" s="67" cm="1">
        <f t="array" ref="P259">SUMPRODUCT((H259=$H$7:$H$10000)*(N259&lt;$N$7:$N$10000))+1</f>
        <v>56</v>
      </c>
      <c r="Q259" s="72"/>
      <c r="R259">
        <v>6</v>
      </c>
      <c r="S259" t="str">
        <v>SEA</v>
      </c>
      <c r="T259" t="str">
        <v>Jeremiah Sio</v>
      </c>
      <c r="U259" t="str">
        <v>NULL</v>
      </c>
      <c r="V259" t="str">
        <v>Home</v>
      </c>
      <c r="W259" t="str">
        <v>UTAH</v>
      </c>
      <c r="X259">
        <v>2.9967121223132773</v>
      </c>
    </row>
    <row r="260" spans="8:24" x14ac:dyDescent="0.35">
      <c r="H260" s="66">
        <v>4</v>
      </c>
      <c r="I260" t="s">
        <v>2</v>
      </c>
      <c r="J260" t="s">
        <v>90</v>
      </c>
      <c r="K260" t="s">
        <v>256</v>
      </c>
      <c r="L260" t="s">
        <v>9</v>
      </c>
      <c r="M260" t="s">
        <v>24</v>
      </c>
      <c r="N260">
        <f t="shared" si="24"/>
        <v>7.4884650797931318</v>
      </c>
      <c r="O260" t="str">
        <f t="shared" si="25"/>
        <v/>
      </c>
      <c r="P260" s="67" cm="1">
        <f t="array" ref="P260">SUMPRODUCT((H260=$H$7:$H$10000)*(N260&lt;$N$7:$N$10000))+1</f>
        <v>57</v>
      </c>
      <c r="Q260" s="72"/>
      <c r="R260">
        <v>6</v>
      </c>
      <c r="S260" t="str">
        <v>ARC</v>
      </c>
      <c r="T260" t="str">
        <v>Jason Tidwell</v>
      </c>
      <c r="U260" t="str">
        <v>NULL</v>
      </c>
      <c r="V260" t="str">
        <v>Home</v>
      </c>
      <c r="W260" t="str">
        <v>HOU</v>
      </c>
      <c r="X260">
        <v>2.754808608835388</v>
      </c>
    </row>
    <row r="261" spans="8:24" x14ac:dyDescent="0.35">
      <c r="H261" s="66">
        <v>4</v>
      </c>
      <c r="I261" t="s">
        <v>14</v>
      </c>
      <c r="J261" t="s">
        <v>87</v>
      </c>
      <c r="K261" t="s">
        <v>256</v>
      </c>
      <c r="L261" t="s">
        <v>9</v>
      </c>
      <c r="M261" t="s">
        <v>7</v>
      </c>
      <c r="N261">
        <f t="shared" si="24"/>
        <v>7.2916198336388076</v>
      </c>
      <c r="O261" t="str">
        <f t="shared" si="25"/>
        <v/>
      </c>
      <c r="P261" s="67" cm="1">
        <f t="array" ref="P261">SUMPRODUCT((H261=$H$7:$H$10000)*(N261&lt;$N$7:$N$10000))+1</f>
        <v>58</v>
      </c>
      <c r="Q261" s="72"/>
      <c r="R261">
        <v>6</v>
      </c>
      <c r="S261" t="str">
        <v>NEFJ</v>
      </c>
      <c r="T261" t="str">
        <v>Killian Coghlan</v>
      </c>
      <c r="U261" t="str">
        <v>NULL</v>
      </c>
      <c r="V261" t="str">
        <v>Away</v>
      </c>
      <c r="W261" t="str">
        <v>OGDC</v>
      </c>
      <c r="X261">
        <v>2.5024745498261609</v>
      </c>
    </row>
    <row r="262" spans="8:24" x14ac:dyDescent="0.35">
      <c r="H262" s="66">
        <v>4</v>
      </c>
      <c r="I262" t="s">
        <v>2</v>
      </c>
      <c r="J262" t="s">
        <v>12</v>
      </c>
      <c r="K262" t="s">
        <v>256</v>
      </c>
      <c r="L262" t="s">
        <v>9</v>
      </c>
      <c r="M262" t="s">
        <v>24</v>
      </c>
      <c r="N262">
        <f t="shared" si="24"/>
        <v>7.228648525453794</v>
      </c>
      <c r="O262" t="str">
        <f t="shared" si="25"/>
        <v/>
      </c>
      <c r="P262" s="67" cm="1">
        <f t="array" ref="P262">SUMPRODUCT((H262=$H$7:$H$10000)*(N262&lt;$N$7:$N$10000))+1</f>
        <v>59</v>
      </c>
      <c r="Q262" s="72"/>
      <c r="R262">
        <v>6</v>
      </c>
      <c r="S262" t="str">
        <v>OGDC</v>
      </c>
      <c r="T262" t="str">
        <v>Perry Humphreys</v>
      </c>
      <c r="U262" t="str">
        <v>NULL</v>
      </c>
      <c r="V262" t="str">
        <v>Home</v>
      </c>
      <c r="W262" t="str">
        <v>NEFJ</v>
      </c>
      <c r="X262">
        <v>2.295956810592676</v>
      </c>
    </row>
    <row r="263" spans="8:24" x14ac:dyDescent="0.35">
      <c r="H263" s="66">
        <v>4</v>
      </c>
      <c r="I263" t="s">
        <v>2</v>
      </c>
      <c r="J263" t="s">
        <v>444</v>
      </c>
      <c r="K263" t="s">
        <v>256</v>
      </c>
      <c r="L263" t="s">
        <v>9</v>
      </c>
      <c r="M263" t="s">
        <v>24</v>
      </c>
      <c r="N263">
        <f t="shared" si="24"/>
        <v>7.2185611835421275</v>
      </c>
      <c r="O263" t="str">
        <f t="shared" si="25"/>
        <v/>
      </c>
      <c r="P263" s="67" cm="1">
        <f t="array" ref="P263">SUMPRODUCT((H263=$H$7:$H$10000)*(N263&lt;$N$7:$N$10000))+1</f>
        <v>60</v>
      </c>
      <c r="Q263" s="72"/>
      <c r="R263">
        <v>6</v>
      </c>
      <c r="S263" t="str">
        <v>MIA</v>
      </c>
      <c r="T263" t="str">
        <v>Connor Burns</v>
      </c>
      <c r="U263" t="str">
        <v>NULL</v>
      </c>
      <c r="V263" t="str">
        <v>Away</v>
      </c>
      <c r="W263" t="str">
        <v>SDL</v>
      </c>
      <c r="X263">
        <v>2.2886883076736284</v>
      </c>
    </row>
    <row r="264" spans="8:24" x14ac:dyDescent="0.35">
      <c r="H264" s="66">
        <v>4</v>
      </c>
      <c r="I264" t="s">
        <v>13</v>
      </c>
      <c r="J264" t="s">
        <v>477</v>
      </c>
      <c r="K264" t="s">
        <v>256</v>
      </c>
      <c r="L264" t="s">
        <v>3</v>
      </c>
      <c r="M264" t="s">
        <v>36</v>
      </c>
      <c r="N264">
        <f t="shared" si="24"/>
        <v>7.2044709707964989</v>
      </c>
      <c r="O264" t="str">
        <f t="shared" si="25"/>
        <v/>
      </c>
      <c r="P264" s="67" cm="1">
        <f t="array" ref="P264">SUMPRODUCT((H264=$H$7:$H$10000)*(N264&lt;$N$7:$N$10000))+1</f>
        <v>61</v>
      </c>
      <c r="Q264" s="72"/>
      <c r="R264">
        <v>6</v>
      </c>
      <c r="S264" t="str">
        <v>OGDC</v>
      </c>
      <c r="T264" t="str">
        <v>Ethan McVeigh</v>
      </c>
      <c r="U264" t="str">
        <v>NULL</v>
      </c>
      <c r="V264" t="str">
        <v>Home</v>
      </c>
      <c r="W264" t="str">
        <v>NEFJ</v>
      </c>
      <c r="X264">
        <v>2.2630991186446909</v>
      </c>
    </row>
    <row r="265" spans="8:24" x14ac:dyDescent="0.35">
      <c r="H265" s="66">
        <v>4</v>
      </c>
      <c r="I265" t="s">
        <v>14</v>
      </c>
      <c r="J265" t="s">
        <v>83</v>
      </c>
      <c r="K265" t="s">
        <v>256</v>
      </c>
      <c r="L265" t="s">
        <v>9</v>
      </c>
      <c r="M265" t="s">
        <v>7</v>
      </c>
      <c r="N265">
        <f t="shared" si="24"/>
        <v>7.0300252480756384</v>
      </c>
      <c r="O265" t="str">
        <f t="shared" si="25"/>
        <v/>
      </c>
      <c r="P265" s="67" cm="1">
        <f t="array" ref="P265">SUMPRODUCT((H265=$H$7:$H$10000)*(N265&lt;$N$7:$N$10000))+1</f>
        <v>62</v>
      </c>
      <c r="Q265" s="72"/>
      <c r="R265">
        <v>6</v>
      </c>
      <c r="S265" t="str">
        <v>ARC</v>
      </c>
      <c r="T265" t="str">
        <v>Junior Gafa</v>
      </c>
      <c r="U265" t="str">
        <v>NULL</v>
      </c>
      <c r="V265" t="str">
        <v>Home</v>
      </c>
      <c r="W265" t="str">
        <v>HOU</v>
      </c>
      <c r="X265">
        <v>2.1048518301226675</v>
      </c>
    </row>
    <row r="266" spans="8:24" x14ac:dyDescent="0.35">
      <c r="H266" s="66">
        <v>4</v>
      </c>
      <c r="I266" t="s">
        <v>24</v>
      </c>
      <c r="J266" t="s">
        <v>402</v>
      </c>
      <c r="K266" t="s">
        <v>256</v>
      </c>
      <c r="L266" t="s">
        <v>3</v>
      </c>
      <c r="M266" t="s">
        <v>2</v>
      </c>
      <c r="N266">
        <f t="shared" si="24"/>
        <v>6.8361597518039972</v>
      </c>
      <c r="O266" t="str">
        <f t="shared" si="25"/>
        <v/>
      </c>
      <c r="P266" s="67" cm="1">
        <f t="array" ref="P266">SUMPRODUCT((H266=$H$7:$H$10000)*(N266&lt;$N$7:$N$10000))+1</f>
        <v>63</v>
      </c>
      <c r="Q266" s="72"/>
      <c r="R266">
        <v>6</v>
      </c>
      <c r="S266" t="str">
        <v>LA</v>
      </c>
      <c r="T266" t="str">
        <v>Christian Dyer</v>
      </c>
      <c r="U266" t="str">
        <v>NULL</v>
      </c>
      <c r="V266" t="str">
        <v>Away</v>
      </c>
      <c r="W266" t="str">
        <v>NOLA</v>
      </c>
      <c r="X266">
        <v>2.0026152686776788</v>
      </c>
    </row>
    <row r="267" spans="8:24" x14ac:dyDescent="0.35">
      <c r="H267" s="66">
        <v>4</v>
      </c>
      <c r="I267" t="s">
        <v>36</v>
      </c>
      <c r="J267" t="s">
        <v>479</v>
      </c>
      <c r="K267" t="s">
        <v>256</v>
      </c>
      <c r="L267" t="s">
        <v>9</v>
      </c>
      <c r="M267" t="s">
        <v>13</v>
      </c>
      <c r="N267">
        <f t="shared" si="24"/>
        <v>6.6351513271359135</v>
      </c>
      <c r="O267" t="str">
        <f t="shared" si="25"/>
        <v/>
      </c>
      <c r="P267" s="67" cm="1">
        <f t="array" ref="P267">SUMPRODUCT((H267=$H$7:$H$10000)*(N267&lt;$N$7:$N$10000))+1</f>
        <v>64</v>
      </c>
      <c r="Q267" s="72"/>
      <c r="R267">
        <v>6</v>
      </c>
      <c r="S267" t="str">
        <v>HOU</v>
      </c>
      <c r="T267" t="str">
        <v>Seimou Smith</v>
      </c>
      <c r="U267" t="str">
        <v>NULL</v>
      </c>
      <c r="V267" t="str">
        <v>Away</v>
      </c>
      <c r="W267" t="str">
        <v>ARC</v>
      </c>
      <c r="X267">
        <v>1.9520522396999773</v>
      </c>
    </row>
    <row r="268" spans="8:24" x14ac:dyDescent="0.35">
      <c r="H268" s="66">
        <v>4</v>
      </c>
      <c r="I268" t="s">
        <v>36</v>
      </c>
      <c r="J268" t="s">
        <v>476</v>
      </c>
      <c r="K268" t="s">
        <v>256</v>
      </c>
      <c r="L268" t="s">
        <v>9</v>
      </c>
      <c r="M268" t="s">
        <v>13</v>
      </c>
      <c r="N268">
        <f t="shared" ref="N268:N331" si="26">VLOOKUP($L268,$F$3:$G$4,2,FALSE)+VLOOKUP($J268,$A$20:$B$131,2,FALSE)+VLOOKUP($M268,$A$6:$B$16,2,FALSE)</f>
        <v>6.488318166972932</v>
      </c>
      <c r="O268" t="str">
        <f t="shared" ref="O268:O331" si="27">IFERROR(($K268-$N268)^2,"")</f>
        <v/>
      </c>
      <c r="P268" s="67" cm="1">
        <f t="array" ref="P268">SUMPRODUCT((H268=$H$7:$H$10000)*(N268&lt;$N$7:$N$10000))+1</f>
        <v>65</v>
      </c>
      <c r="Q268" s="72"/>
      <c r="R268">
        <v>6</v>
      </c>
      <c r="S268" t="str">
        <v>ARC</v>
      </c>
      <c r="T268" t="str">
        <v>Conner Mooneyham</v>
      </c>
      <c r="U268" t="str">
        <v>NULL</v>
      </c>
      <c r="V268" t="str">
        <v>Home</v>
      </c>
      <c r="W268" t="str">
        <v>HOU</v>
      </c>
      <c r="X268">
        <v>0.22808491351867577</v>
      </c>
    </row>
    <row r="269" spans="8:24" x14ac:dyDescent="0.35">
      <c r="H269" s="66">
        <v>4</v>
      </c>
      <c r="I269" t="s">
        <v>17</v>
      </c>
      <c r="J269" t="s">
        <v>16</v>
      </c>
      <c r="K269" t="s">
        <v>256</v>
      </c>
      <c r="L269" t="s">
        <v>3</v>
      </c>
      <c r="M269" t="s">
        <v>23</v>
      </c>
      <c r="N269">
        <f t="shared" si="26"/>
        <v>6.1972822984930902</v>
      </c>
      <c r="O269" t="str">
        <f t="shared" si="27"/>
        <v/>
      </c>
      <c r="P269" s="67" cm="1">
        <f t="array" ref="P269">SUMPRODUCT((H269=$H$7:$H$10000)*(N269&lt;$N$7:$N$10000))+1</f>
        <v>66</v>
      </c>
      <c r="Q269" s="72"/>
      <c r="R269">
        <v>6</v>
      </c>
      <c r="S269" t="str">
        <v>HOU</v>
      </c>
      <c r="T269" t="str">
        <v>Drew Wild</v>
      </c>
      <c r="U269" t="str">
        <v>NULL</v>
      </c>
      <c r="V269" t="str">
        <v>Away</v>
      </c>
      <c r="W269" t="str">
        <v>ARC</v>
      </c>
      <c r="X269">
        <v>0.12193466030918287</v>
      </c>
    </row>
    <row r="270" spans="8:24" x14ac:dyDescent="0.35">
      <c r="H270" s="66">
        <v>4</v>
      </c>
      <c r="I270" t="s">
        <v>14</v>
      </c>
      <c r="J270" t="s">
        <v>438</v>
      </c>
      <c r="K270" t="s">
        <v>256</v>
      </c>
      <c r="L270" t="s">
        <v>9</v>
      </c>
      <c r="M270" t="s">
        <v>7</v>
      </c>
      <c r="N270">
        <f t="shared" si="26"/>
        <v>6.1201603765563553</v>
      </c>
      <c r="O270" t="str">
        <f t="shared" si="27"/>
        <v/>
      </c>
      <c r="P270" s="67" cm="1">
        <f t="array" ref="P270">SUMPRODUCT((H270=$H$7:$H$10000)*(N270&lt;$N$7:$N$10000))+1</f>
        <v>67</v>
      </c>
      <c r="Q270" s="72"/>
      <c r="R270">
        <v>6</v>
      </c>
      <c r="S270" t="str">
        <v>NEFJ</v>
      </c>
      <c r="T270" t="str">
        <v>Harrison Boyle</v>
      </c>
      <c r="U270" t="str">
        <v>NULL</v>
      </c>
      <c r="V270" t="str">
        <v>Away</v>
      </c>
      <c r="W270" t="str">
        <v>OGDC</v>
      </c>
      <c r="X270">
        <v>9.1926426896849378E-2</v>
      </c>
    </row>
    <row r="271" spans="8:24" x14ac:dyDescent="0.35">
      <c r="H271" s="66">
        <v>4</v>
      </c>
      <c r="I271" t="s">
        <v>24</v>
      </c>
      <c r="J271" t="s">
        <v>35</v>
      </c>
      <c r="K271" t="s">
        <v>256</v>
      </c>
      <c r="L271" t="s">
        <v>3</v>
      </c>
      <c r="M271" t="s">
        <v>2</v>
      </c>
      <c r="N271">
        <f t="shared" si="26"/>
        <v>6.029861405887706</v>
      </c>
      <c r="O271" t="str">
        <f t="shared" si="27"/>
        <v/>
      </c>
      <c r="P271" s="67" cm="1">
        <f t="array" ref="P271">SUMPRODUCT((H271=$H$7:$H$10000)*(N271&lt;$N$7:$N$10000))+1</f>
        <v>68</v>
      </c>
      <c r="Q271" s="72"/>
      <c r="R271">
        <v>6</v>
      </c>
      <c r="S271" t="str">
        <v>NEFJ</v>
      </c>
      <c r="T271" t="str">
        <v>John Poland</v>
      </c>
      <c r="U271" t="str">
        <v>NULL</v>
      </c>
      <c r="V271" t="str">
        <v>Away</v>
      </c>
      <c r="W271" t="str">
        <v>OGDC</v>
      </c>
      <c r="X271">
        <v>-0.45497765497041787</v>
      </c>
    </row>
    <row r="272" spans="8:24" x14ac:dyDescent="0.35">
      <c r="H272" s="66">
        <v>4</v>
      </c>
      <c r="I272" t="s">
        <v>2</v>
      </c>
      <c r="J272" t="s">
        <v>499</v>
      </c>
      <c r="K272" t="s">
        <v>256</v>
      </c>
      <c r="L272" t="s">
        <v>9</v>
      </c>
      <c r="M272" t="s">
        <v>24</v>
      </c>
      <c r="N272">
        <f t="shared" si="26"/>
        <v>5.8490317957354581</v>
      </c>
      <c r="O272" t="str">
        <f t="shared" si="27"/>
        <v/>
      </c>
      <c r="P272" s="67" cm="1">
        <f t="array" ref="P272">SUMPRODUCT((H272=$H$7:$H$10000)*(N272&lt;$N$7:$N$10000))+1</f>
        <v>69</v>
      </c>
      <c r="Q272" s="72"/>
      <c r="R272">
        <v>6</v>
      </c>
      <c r="S272" t="str">
        <v>ARC</v>
      </c>
      <c r="T272" t="str">
        <v>Carlo de Nysschen</v>
      </c>
      <c r="U272" t="str">
        <v>NULL</v>
      </c>
      <c r="V272" t="str">
        <v>Home</v>
      </c>
      <c r="W272" t="str">
        <v>HOU</v>
      </c>
      <c r="X272">
        <v>-0.72534190444324675</v>
      </c>
    </row>
    <row r="273" spans="8:24" x14ac:dyDescent="0.35">
      <c r="H273" s="66">
        <v>4</v>
      </c>
      <c r="I273" t="s">
        <v>23</v>
      </c>
      <c r="J273" t="s">
        <v>498</v>
      </c>
      <c r="K273" t="s">
        <v>256</v>
      </c>
      <c r="L273" t="s">
        <v>9</v>
      </c>
      <c r="M273" t="s">
        <v>17</v>
      </c>
      <c r="N273">
        <f t="shared" si="26"/>
        <v>5.3428553794818683</v>
      </c>
      <c r="O273" t="str">
        <f t="shared" si="27"/>
        <v/>
      </c>
      <c r="P273" s="67" cm="1">
        <f t="array" ref="P273">SUMPRODUCT((H273=$H$7:$H$10000)*(N273&lt;$N$7:$N$10000))+1</f>
        <v>70</v>
      </c>
      <c r="Q273" s="72"/>
      <c r="R273">
        <v>6</v>
      </c>
      <c r="S273" t="str">
        <v>NEFJ</v>
      </c>
      <c r="T273" t="str">
        <v>Simon-Peter Toleafoa</v>
      </c>
      <c r="U273" t="str">
        <v>NULL</v>
      </c>
      <c r="V273" t="str">
        <v>Away</v>
      </c>
      <c r="W273" t="str">
        <v>OGDC</v>
      </c>
      <c r="X273">
        <v>-1.2177121735342595</v>
      </c>
    </row>
    <row r="274" spans="8:24" x14ac:dyDescent="0.35">
      <c r="H274" s="66">
        <v>4</v>
      </c>
      <c r="I274" t="s">
        <v>36</v>
      </c>
      <c r="J274" t="s">
        <v>490</v>
      </c>
      <c r="K274" t="s">
        <v>256</v>
      </c>
      <c r="L274" t="s">
        <v>9</v>
      </c>
      <c r="M274" t="s">
        <v>13</v>
      </c>
      <c r="N274">
        <f t="shared" si="26"/>
        <v>5.2129654307313702</v>
      </c>
      <c r="O274" t="str">
        <f t="shared" si="27"/>
        <v/>
      </c>
      <c r="P274" s="67" cm="1">
        <f t="array" ref="P274">SUMPRODUCT((H274=$H$7:$H$10000)*(N274&lt;$N$7:$N$10000))+1</f>
        <v>71</v>
      </c>
      <c r="Q274" s="72"/>
      <c r="R274">
        <v>6</v>
      </c>
      <c r="S274" t="str">
        <v>NEFJ</v>
      </c>
      <c r="T274" t="str">
        <v>Isaac Olson</v>
      </c>
      <c r="U274" t="str">
        <v>NULL</v>
      </c>
      <c r="V274" t="str">
        <v>Away</v>
      </c>
      <c r="W274" t="str">
        <v>OGDC</v>
      </c>
      <c r="X274">
        <v>-1.5229556023432878</v>
      </c>
    </row>
    <row r="275" spans="8:24" x14ac:dyDescent="0.35">
      <c r="H275" s="66">
        <v>4</v>
      </c>
      <c r="I275" t="s">
        <v>13</v>
      </c>
      <c r="J275" t="s">
        <v>478</v>
      </c>
      <c r="K275" t="s">
        <v>256</v>
      </c>
      <c r="L275" t="s">
        <v>3</v>
      </c>
      <c r="M275" t="s">
        <v>36</v>
      </c>
      <c r="N275">
        <f t="shared" si="26"/>
        <v>5.1206532933107916</v>
      </c>
      <c r="O275" t="str">
        <f t="shared" si="27"/>
        <v/>
      </c>
      <c r="P275" s="67" cm="1">
        <f t="array" ref="P275">SUMPRODUCT((H275=$H$7:$H$10000)*(N275&lt;$N$7:$N$10000))+1</f>
        <v>72</v>
      </c>
      <c r="Q275" s="72"/>
      <c r="R275">
        <v>6</v>
      </c>
      <c r="S275" t="str">
        <v>ARC</v>
      </c>
      <c r="T275" t="str">
        <v>Ashawnty Staples Flowers</v>
      </c>
      <c r="U275" t="str">
        <v>NULL</v>
      </c>
      <c r="V275" t="str">
        <v>Home</v>
      </c>
      <c r="W275" t="str">
        <v>HOU</v>
      </c>
      <c r="X275">
        <v>-1.9139649365057885</v>
      </c>
    </row>
    <row r="276" spans="8:24" x14ac:dyDescent="0.35">
      <c r="H276" s="66">
        <v>4</v>
      </c>
      <c r="I276" t="s">
        <v>13</v>
      </c>
      <c r="J276" t="s">
        <v>53</v>
      </c>
      <c r="K276" t="s">
        <v>256</v>
      </c>
      <c r="L276" t="s">
        <v>3</v>
      </c>
      <c r="M276" t="s">
        <v>36</v>
      </c>
      <c r="N276">
        <f t="shared" si="26"/>
        <v>4.4674023663009637</v>
      </c>
      <c r="O276" t="str">
        <f t="shared" si="27"/>
        <v/>
      </c>
      <c r="P276" s="67" cm="1">
        <f t="array" ref="P276">SUMPRODUCT((H276=$H$7:$H$10000)*(N276&lt;$N$7:$N$10000))+1</f>
        <v>73</v>
      </c>
      <c r="Q276" s="72"/>
      <c r="R276">
        <v>6</v>
      </c>
      <c r="S276" t="str">
        <v>OGDC</v>
      </c>
      <c r="T276" t="str">
        <v>Connor Buckley</v>
      </c>
      <c r="U276" t="str">
        <v>NULL</v>
      </c>
      <c r="V276" t="str">
        <v>Home</v>
      </c>
      <c r="W276" t="str">
        <v>NEFJ</v>
      </c>
      <c r="X276">
        <v>-2.198358887512132</v>
      </c>
    </row>
    <row r="277" spans="8:24" x14ac:dyDescent="0.35">
      <c r="H277" s="66">
        <v>4</v>
      </c>
      <c r="I277" t="s">
        <v>17</v>
      </c>
      <c r="J277" t="s">
        <v>76</v>
      </c>
      <c r="K277" t="s">
        <v>256</v>
      </c>
      <c r="L277" t="s">
        <v>3</v>
      </c>
      <c r="M277" t="s">
        <v>23</v>
      </c>
      <c r="N277">
        <f t="shared" si="26"/>
        <v>3.9219264625560522</v>
      </c>
      <c r="O277" t="str">
        <f t="shared" si="27"/>
        <v/>
      </c>
      <c r="P277" s="67" cm="1">
        <f t="array" ref="P277">SUMPRODUCT((H277=$H$7:$H$10000)*(N277&lt;$N$7:$N$10000))+1</f>
        <v>74</v>
      </c>
      <c r="Q277" s="72"/>
      <c r="R277">
        <v>7</v>
      </c>
      <c r="S277" t="str">
        <v>UTAH</v>
      </c>
      <c r="T277" t="str">
        <v>Joe Mano</v>
      </c>
      <c r="U277" t="str">
        <v>NULL</v>
      </c>
      <c r="V277" t="str">
        <v>Home</v>
      </c>
      <c r="W277" t="str">
        <v>NEFJ</v>
      </c>
      <c r="X277">
        <v>21.073009116812294</v>
      </c>
    </row>
    <row r="278" spans="8:24" x14ac:dyDescent="0.35">
      <c r="H278" s="66">
        <v>4</v>
      </c>
      <c r="I278" t="s">
        <v>24</v>
      </c>
      <c r="J278" t="s">
        <v>459</v>
      </c>
      <c r="K278" t="s">
        <v>256</v>
      </c>
      <c r="L278" t="s">
        <v>3</v>
      </c>
      <c r="M278" t="s">
        <v>2</v>
      </c>
      <c r="N278">
        <f t="shared" si="26"/>
        <v>3.7072662715336557</v>
      </c>
      <c r="O278" t="str">
        <f t="shared" si="27"/>
        <v/>
      </c>
      <c r="P278" s="67" cm="1">
        <f t="array" ref="P278">SUMPRODUCT((H278=$H$7:$H$10000)*(N278&lt;$N$7:$N$10000))+1</f>
        <v>75</v>
      </c>
      <c r="Q278" s="72"/>
      <c r="R278">
        <v>7</v>
      </c>
      <c r="S278" t="str">
        <v>OGDC</v>
      </c>
      <c r="T278" t="str">
        <v>Axel Muller</v>
      </c>
      <c r="U278" t="str">
        <v>NULL</v>
      </c>
      <c r="V278" t="str">
        <v>Away</v>
      </c>
      <c r="W278" t="str">
        <v>LA</v>
      </c>
      <c r="X278">
        <v>20.769135250860867</v>
      </c>
    </row>
    <row r="279" spans="8:24" x14ac:dyDescent="0.35">
      <c r="H279" s="66">
        <v>4</v>
      </c>
      <c r="I279" t="s">
        <v>36</v>
      </c>
      <c r="J279" t="s">
        <v>48</v>
      </c>
      <c r="K279" t="s">
        <v>256</v>
      </c>
      <c r="L279" t="s">
        <v>9</v>
      </c>
      <c r="M279" t="s">
        <v>13</v>
      </c>
      <c r="N279">
        <f t="shared" si="26"/>
        <v>3.6416072631281953</v>
      </c>
      <c r="O279" t="str">
        <f t="shared" si="27"/>
        <v/>
      </c>
      <c r="P279" s="67" cm="1">
        <f t="array" ref="P279">SUMPRODUCT((H279=$H$7:$H$10000)*(N279&lt;$N$7:$N$10000))+1</f>
        <v>76</v>
      </c>
      <c r="Q279" s="72"/>
      <c r="R279">
        <v>7</v>
      </c>
      <c r="S279" t="str">
        <v>UTAH</v>
      </c>
      <c r="T279" t="str">
        <v>Nic Benn</v>
      </c>
      <c r="U279" t="str">
        <v>NULL</v>
      </c>
      <c r="V279" t="str">
        <v>Home</v>
      </c>
      <c r="W279" t="str">
        <v>NEFJ</v>
      </c>
      <c r="X279">
        <v>17.262473666101695</v>
      </c>
    </row>
    <row r="280" spans="8:24" x14ac:dyDescent="0.35">
      <c r="H280" s="66">
        <v>4</v>
      </c>
      <c r="I280" t="s">
        <v>7</v>
      </c>
      <c r="J280" t="s">
        <v>19</v>
      </c>
      <c r="K280" t="s">
        <v>256</v>
      </c>
      <c r="L280" t="s">
        <v>3</v>
      </c>
      <c r="M280" t="s">
        <v>14</v>
      </c>
      <c r="N280">
        <f t="shared" si="26"/>
        <v>3.6179907302508516</v>
      </c>
      <c r="O280" t="str">
        <f t="shared" si="27"/>
        <v/>
      </c>
      <c r="P280" s="67" cm="1">
        <f t="array" ref="P280">SUMPRODUCT((H280=$H$7:$H$10000)*(N280&lt;$N$7:$N$10000))+1</f>
        <v>77</v>
      </c>
      <c r="Q280" s="72"/>
      <c r="R280">
        <v>7</v>
      </c>
      <c r="S280" t="str">
        <v>LA</v>
      </c>
      <c r="T280" t="str">
        <v>Rory van Vugt</v>
      </c>
      <c r="U280" t="str">
        <v>NULL</v>
      </c>
      <c r="V280" t="str">
        <v>Home</v>
      </c>
      <c r="W280" t="str">
        <v>OGDC</v>
      </c>
      <c r="X280">
        <v>16.58683205422934</v>
      </c>
    </row>
    <row r="281" spans="8:24" x14ac:dyDescent="0.35">
      <c r="H281" s="66">
        <v>4</v>
      </c>
      <c r="I281" t="s">
        <v>36</v>
      </c>
      <c r="J281" t="s">
        <v>123</v>
      </c>
      <c r="K281" t="s">
        <v>256</v>
      </c>
      <c r="L281" t="s">
        <v>9</v>
      </c>
      <c r="M281" t="s">
        <v>13</v>
      </c>
      <c r="N281">
        <f t="shared" si="26"/>
        <v>3.3940443617579179</v>
      </c>
      <c r="O281" t="str">
        <f t="shared" si="27"/>
        <v/>
      </c>
      <c r="P281" s="67" cm="1">
        <f t="array" ref="P281">SUMPRODUCT((H281=$H$7:$H$10000)*(N281&lt;$N$7:$N$10000))+1</f>
        <v>78</v>
      </c>
      <c r="Q281" s="72"/>
      <c r="R281">
        <v>7</v>
      </c>
      <c r="S281" t="str">
        <v>SDL</v>
      </c>
      <c r="T281" t="str">
        <v>Ryan James</v>
      </c>
      <c r="U281" t="str">
        <v>NULL</v>
      </c>
      <c r="V281" t="str">
        <v>Away</v>
      </c>
      <c r="W281" t="str">
        <v>HOU</v>
      </c>
      <c r="X281">
        <v>13.974490166692055</v>
      </c>
    </row>
    <row r="282" spans="8:24" x14ac:dyDescent="0.35">
      <c r="H282" s="66">
        <v>4</v>
      </c>
      <c r="I282" t="s">
        <v>17</v>
      </c>
      <c r="J282" t="s">
        <v>458</v>
      </c>
      <c r="K282" t="s">
        <v>256</v>
      </c>
      <c r="L282" t="s">
        <v>3</v>
      </c>
      <c r="M282" t="s">
        <v>23</v>
      </c>
      <c r="N282">
        <f t="shared" si="26"/>
        <v>3.2958965843209596</v>
      </c>
      <c r="O282" t="str">
        <f t="shared" si="27"/>
        <v/>
      </c>
      <c r="P282" s="67" cm="1">
        <f t="array" ref="P282">SUMPRODUCT((H282=$H$7:$H$10000)*(N282&lt;$N$7:$N$10000))+1</f>
        <v>79</v>
      </c>
      <c r="Q282" s="72"/>
      <c r="R282">
        <v>7</v>
      </c>
      <c r="S282" t="str">
        <v>UTAH</v>
      </c>
      <c r="T282" t="str">
        <v>D'Angelo Leuila</v>
      </c>
      <c r="U282" t="str">
        <v>NULL</v>
      </c>
      <c r="V282" t="str">
        <v>Home</v>
      </c>
      <c r="W282" t="str">
        <v>NEFJ</v>
      </c>
      <c r="X282">
        <v>13.599718453316346</v>
      </c>
    </row>
    <row r="283" spans="8:24" x14ac:dyDescent="0.35">
      <c r="H283" s="66">
        <v>4</v>
      </c>
      <c r="I283" t="s">
        <v>23</v>
      </c>
      <c r="J283" t="s">
        <v>443</v>
      </c>
      <c r="K283" t="s">
        <v>256</v>
      </c>
      <c r="L283" t="s">
        <v>9</v>
      </c>
      <c r="M283" t="s">
        <v>17</v>
      </c>
      <c r="N283">
        <f t="shared" si="26"/>
        <v>2.9323072565525568</v>
      </c>
      <c r="O283" t="str">
        <f t="shared" si="27"/>
        <v/>
      </c>
      <c r="P283" s="67" cm="1">
        <f t="array" ref="P283">SUMPRODUCT((H283=$H$7:$H$10000)*(N283&lt;$N$7:$N$10000))+1</f>
        <v>80</v>
      </c>
      <c r="Q283" s="72"/>
      <c r="R283">
        <v>7</v>
      </c>
      <c r="S283" t="str">
        <v>OGDC</v>
      </c>
      <c r="T283" t="str">
        <v>Damien Hoyland</v>
      </c>
      <c r="U283" t="str">
        <v>NULL</v>
      </c>
      <c r="V283" t="str">
        <v>Away</v>
      </c>
      <c r="W283" t="str">
        <v>LA</v>
      </c>
      <c r="X283">
        <v>13.509802715476301</v>
      </c>
    </row>
    <row r="284" spans="8:24" x14ac:dyDescent="0.35">
      <c r="H284" s="66">
        <v>4</v>
      </c>
      <c r="I284" t="s">
        <v>13</v>
      </c>
      <c r="J284" t="s">
        <v>474</v>
      </c>
      <c r="K284" t="s">
        <v>256</v>
      </c>
      <c r="L284" t="s">
        <v>3</v>
      </c>
      <c r="M284" t="s">
        <v>36</v>
      </c>
      <c r="N284">
        <f t="shared" si="26"/>
        <v>2.8630966662460571</v>
      </c>
      <c r="O284" t="str">
        <f t="shared" si="27"/>
        <v/>
      </c>
      <c r="P284" s="67" cm="1">
        <f t="array" ref="P284">SUMPRODUCT((H284=$H$7:$H$10000)*(N284&lt;$N$7:$N$10000))+1</f>
        <v>81</v>
      </c>
      <c r="Q284" s="72"/>
      <c r="R284">
        <v>7</v>
      </c>
      <c r="S284" t="str">
        <v>LA</v>
      </c>
      <c r="T284" t="str">
        <v>Billy Meakes</v>
      </c>
      <c r="U284" t="str">
        <v>NULL</v>
      </c>
      <c r="V284" t="str">
        <v>Home</v>
      </c>
      <c r="W284" t="str">
        <v>OGDC</v>
      </c>
      <c r="X284">
        <v>12.911219267735611</v>
      </c>
    </row>
    <row r="285" spans="8:24" x14ac:dyDescent="0.35">
      <c r="H285" s="66">
        <v>4</v>
      </c>
      <c r="I285" t="s">
        <v>6</v>
      </c>
      <c r="J285" t="s">
        <v>66</v>
      </c>
      <c r="K285" t="s">
        <v>256</v>
      </c>
      <c r="L285" t="s">
        <v>9</v>
      </c>
      <c r="M285" t="s">
        <v>34</v>
      </c>
      <c r="N285">
        <f t="shared" si="26"/>
        <v>2.7102670366211425</v>
      </c>
      <c r="O285" t="str">
        <f t="shared" si="27"/>
        <v/>
      </c>
      <c r="P285" s="67" cm="1">
        <f t="array" ref="P285">SUMPRODUCT((H285=$H$7:$H$10000)*(N285&lt;$N$7:$N$10000))+1</f>
        <v>82</v>
      </c>
      <c r="Q285" s="72"/>
      <c r="R285">
        <v>7</v>
      </c>
      <c r="S285" t="str">
        <v>OGDC</v>
      </c>
      <c r="T285" t="str">
        <v>Steffan Hughes</v>
      </c>
      <c r="U285" t="str">
        <v>NULL</v>
      </c>
      <c r="V285" t="str">
        <v>Away</v>
      </c>
      <c r="W285" t="str">
        <v>LA</v>
      </c>
      <c r="X285">
        <v>12.822161654810248</v>
      </c>
    </row>
    <row r="286" spans="8:24" x14ac:dyDescent="0.35">
      <c r="H286" s="66">
        <v>4</v>
      </c>
      <c r="I286" t="s">
        <v>23</v>
      </c>
      <c r="J286" t="s">
        <v>127</v>
      </c>
      <c r="K286" t="s">
        <v>256</v>
      </c>
      <c r="L286" t="s">
        <v>9</v>
      </c>
      <c r="M286" t="s">
        <v>17</v>
      </c>
      <c r="N286">
        <f t="shared" si="26"/>
        <v>2.3854031746852895</v>
      </c>
      <c r="O286" t="str">
        <f t="shared" si="27"/>
        <v/>
      </c>
      <c r="P286" s="67" cm="1">
        <f t="array" ref="P286">SUMPRODUCT((H286=$H$7:$H$10000)*(N286&lt;$N$7:$N$10000))+1</f>
        <v>83</v>
      </c>
      <c r="Q286" s="72"/>
      <c r="R286">
        <v>7</v>
      </c>
      <c r="S286" t="str">
        <v>SEA</v>
      </c>
      <c r="T286" t="str">
        <v>Eddie Fouche</v>
      </c>
      <c r="U286" t="str">
        <v>NULL</v>
      </c>
      <c r="V286" t="str">
        <v>Home</v>
      </c>
      <c r="W286" t="str">
        <v>ARC</v>
      </c>
      <c r="X286">
        <v>11.930390748516462</v>
      </c>
    </row>
    <row r="287" spans="8:24" x14ac:dyDescent="0.35">
      <c r="H287" s="66">
        <v>4</v>
      </c>
      <c r="I287" t="s">
        <v>13</v>
      </c>
      <c r="J287" t="s">
        <v>472</v>
      </c>
      <c r="K287" t="s">
        <v>256</v>
      </c>
      <c r="L287" t="s">
        <v>3</v>
      </c>
      <c r="M287" t="s">
        <v>36</v>
      </c>
      <c r="N287">
        <f t="shared" si="26"/>
        <v>2.1502208484174643</v>
      </c>
      <c r="O287" t="str">
        <f t="shared" si="27"/>
        <v/>
      </c>
      <c r="P287" s="67" cm="1">
        <f t="array" ref="P287">SUMPRODUCT((H287=$H$7:$H$10000)*(N287&lt;$N$7:$N$10000))+1</f>
        <v>84</v>
      </c>
      <c r="Q287" s="72"/>
      <c r="R287">
        <v>7</v>
      </c>
      <c r="S287" t="str">
        <v>NEFJ</v>
      </c>
      <c r="T287" t="str">
        <v>Jayson Potroz</v>
      </c>
      <c r="U287" t="str">
        <v>NULL</v>
      </c>
      <c r="V287" t="str">
        <v>Away</v>
      </c>
      <c r="W287" t="str">
        <v>UTAH</v>
      </c>
      <c r="X287">
        <v>11.829350805653126</v>
      </c>
    </row>
    <row r="288" spans="8:24" x14ac:dyDescent="0.35">
      <c r="H288" s="66">
        <v>4</v>
      </c>
      <c r="I288" t="s">
        <v>36</v>
      </c>
      <c r="J288" t="s">
        <v>334</v>
      </c>
      <c r="K288" t="s">
        <v>256</v>
      </c>
      <c r="L288" t="s">
        <v>9</v>
      </c>
      <c r="M288" t="s">
        <v>13</v>
      </c>
      <c r="N288">
        <f t="shared" si="26"/>
        <v>2.1148287368865937</v>
      </c>
      <c r="O288" t="str">
        <f t="shared" si="27"/>
        <v/>
      </c>
      <c r="P288" s="67" cm="1">
        <f t="array" ref="P288">SUMPRODUCT((H288=$H$7:$H$10000)*(N288&lt;$N$7:$N$10000))+1</f>
        <v>85</v>
      </c>
      <c r="Q288" s="72"/>
      <c r="R288">
        <v>7</v>
      </c>
      <c r="S288" t="str">
        <v>OGDC</v>
      </c>
      <c r="T288" t="str">
        <v>Jason Robertson</v>
      </c>
      <c r="U288" t="str">
        <v>NULL</v>
      </c>
      <c r="V288" t="str">
        <v>Away</v>
      </c>
      <c r="W288" t="str">
        <v>LA</v>
      </c>
      <c r="X288">
        <v>11.80162841515552</v>
      </c>
    </row>
    <row r="289" spans="8:24" x14ac:dyDescent="0.35">
      <c r="H289" s="66">
        <v>4</v>
      </c>
      <c r="I289" t="s">
        <v>14</v>
      </c>
      <c r="J289" t="s">
        <v>285</v>
      </c>
      <c r="K289" t="s">
        <v>256</v>
      </c>
      <c r="L289" t="s">
        <v>9</v>
      </c>
      <c r="M289" t="s">
        <v>7</v>
      </c>
      <c r="N289">
        <f t="shared" si="26"/>
        <v>2.0779517722797127</v>
      </c>
      <c r="O289" t="str">
        <f t="shared" si="27"/>
        <v/>
      </c>
      <c r="P289" s="67" cm="1">
        <f t="array" ref="P289">SUMPRODUCT((H289=$H$7:$H$10000)*(N289&lt;$N$7:$N$10000))+1</f>
        <v>86</v>
      </c>
      <c r="Q289" s="72"/>
      <c r="R289">
        <v>7</v>
      </c>
      <c r="S289" t="str">
        <v>NOLA</v>
      </c>
      <c r="T289" t="str">
        <v>Cooper Coats</v>
      </c>
      <c r="U289" t="str">
        <v>NULL</v>
      </c>
      <c r="V289" t="str">
        <v>Home</v>
      </c>
      <c r="W289" t="str">
        <v>CHI</v>
      </c>
      <c r="X289">
        <v>11.730209265325882</v>
      </c>
    </row>
    <row r="290" spans="8:24" x14ac:dyDescent="0.35">
      <c r="H290" s="66">
        <v>4</v>
      </c>
      <c r="I290" t="s">
        <v>7</v>
      </c>
      <c r="J290" t="s">
        <v>92</v>
      </c>
      <c r="K290" t="s">
        <v>256</v>
      </c>
      <c r="L290" t="s">
        <v>3</v>
      </c>
      <c r="M290" t="s">
        <v>14</v>
      </c>
      <c r="N290">
        <f t="shared" si="26"/>
        <v>1.8339958513983774</v>
      </c>
      <c r="O290" t="str">
        <f t="shared" si="27"/>
        <v/>
      </c>
      <c r="P290" s="67" cm="1">
        <f t="array" ref="P290">SUMPRODUCT((H290=$H$7:$H$10000)*(N290&lt;$N$7:$N$10000))+1</f>
        <v>87</v>
      </c>
      <c r="Q290" s="72"/>
      <c r="R290">
        <v>7</v>
      </c>
      <c r="S290" t="str">
        <v>UTAH</v>
      </c>
      <c r="T290" t="str">
        <v>Jordan Trainor</v>
      </c>
      <c r="U290" t="str">
        <v>NULL</v>
      </c>
      <c r="V290" t="str">
        <v>Home</v>
      </c>
      <c r="W290" t="str">
        <v>NEFJ</v>
      </c>
      <c r="X290">
        <v>11.097224313185908</v>
      </c>
    </row>
    <row r="291" spans="8:24" x14ac:dyDescent="0.35">
      <c r="H291" s="66">
        <v>4</v>
      </c>
      <c r="I291" t="s">
        <v>7</v>
      </c>
      <c r="J291" t="s">
        <v>131</v>
      </c>
      <c r="K291" t="s">
        <v>256</v>
      </c>
      <c r="L291" t="s">
        <v>3</v>
      </c>
      <c r="M291" t="s">
        <v>14</v>
      </c>
      <c r="N291">
        <f t="shared" si="26"/>
        <v>1.8011381594503924</v>
      </c>
      <c r="O291" t="str">
        <f t="shared" si="27"/>
        <v/>
      </c>
      <c r="P291" s="67" cm="1">
        <f t="array" ref="P291">SUMPRODUCT((H291=$H$7:$H$10000)*(N291&lt;$N$7:$N$10000))+1</f>
        <v>88</v>
      </c>
      <c r="Q291" s="72"/>
      <c r="R291">
        <v>7</v>
      </c>
      <c r="S291" t="str">
        <v>NOLA</v>
      </c>
      <c r="T291" t="str">
        <v>Julian Roberts</v>
      </c>
      <c r="U291" t="str">
        <v>NULL</v>
      </c>
      <c r="V291" t="str">
        <v>Home</v>
      </c>
      <c r="W291" t="str">
        <v>CHI</v>
      </c>
      <c r="X291">
        <v>11.08456475706037</v>
      </c>
    </row>
    <row r="292" spans="8:24" x14ac:dyDescent="0.35">
      <c r="H292" s="66">
        <v>4</v>
      </c>
      <c r="I292" t="s">
        <v>23</v>
      </c>
      <c r="J292" t="s">
        <v>456</v>
      </c>
      <c r="K292" t="s">
        <v>256</v>
      </c>
      <c r="L292" t="s">
        <v>9</v>
      </c>
      <c r="M292" t="s">
        <v>17</v>
      </c>
      <c r="N292">
        <f t="shared" si="26"/>
        <v>1.6226686561214478</v>
      </c>
      <c r="O292" t="str">
        <f t="shared" si="27"/>
        <v/>
      </c>
      <c r="P292" s="67" cm="1">
        <f t="array" ref="P292">SUMPRODUCT((H292=$H$7:$H$10000)*(N292&lt;$N$7:$N$10000))+1</f>
        <v>89</v>
      </c>
      <c r="Q292" s="72"/>
      <c r="R292">
        <v>7</v>
      </c>
      <c r="S292" t="str">
        <v>SEA</v>
      </c>
      <c r="T292" t="str">
        <v>Rodney Iona</v>
      </c>
      <c r="U292" t="str">
        <v>NULL</v>
      </c>
      <c r="V292" t="str">
        <v>Home</v>
      </c>
      <c r="W292" t="str">
        <v>ARC</v>
      </c>
      <c r="X292">
        <v>11.075305482960637</v>
      </c>
    </row>
    <row r="293" spans="8:24" x14ac:dyDescent="0.35">
      <c r="H293" s="66">
        <v>4</v>
      </c>
      <c r="I293" t="s">
        <v>14</v>
      </c>
      <c r="J293" t="s">
        <v>11</v>
      </c>
      <c r="K293" t="s">
        <v>256</v>
      </c>
      <c r="L293" t="s">
        <v>9</v>
      </c>
      <c r="M293" t="s">
        <v>7</v>
      </c>
      <c r="N293">
        <f t="shared" si="26"/>
        <v>1.4279949935669922</v>
      </c>
      <c r="O293" t="str">
        <f t="shared" si="27"/>
        <v/>
      </c>
      <c r="P293" s="67" cm="1">
        <f t="array" ref="P293">SUMPRODUCT((H293=$H$7:$H$10000)*(N293&lt;$N$7:$N$10000))+1</f>
        <v>90</v>
      </c>
      <c r="Q293" s="72"/>
      <c r="R293">
        <v>7</v>
      </c>
      <c r="S293" t="str">
        <v>LA</v>
      </c>
      <c r="T293" t="str">
        <v>Matias Jensen</v>
      </c>
      <c r="U293" t="str">
        <v>NULL</v>
      </c>
      <c r="V293" t="str">
        <v>Home</v>
      </c>
      <c r="W293" t="str">
        <v>OGDC</v>
      </c>
      <c r="X293">
        <v>10.94746139053122</v>
      </c>
    </row>
    <row r="294" spans="8:24" x14ac:dyDescent="0.35">
      <c r="H294" s="66">
        <v>4</v>
      </c>
      <c r="I294" t="s">
        <v>23</v>
      </c>
      <c r="J294" t="s">
        <v>340</v>
      </c>
      <c r="K294" t="s">
        <v>256</v>
      </c>
      <c r="L294" t="s">
        <v>9</v>
      </c>
      <c r="M294" t="s">
        <v>17</v>
      </c>
      <c r="N294">
        <f t="shared" si="26"/>
        <v>1.3174252273124196</v>
      </c>
      <c r="O294" t="str">
        <f t="shared" si="27"/>
        <v/>
      </c>
      <c r="P294" s="67" cm="1">
        <f t="array" ref="P294">SUMPRODUCT((H294=$H$7:$H$10000)*(N294&lt;$N$7:$N$10000))+1</f>
        <v>91</v>
      </c>
      <c r="Q294" s="72"/>
      <c r="R294">
        <v>7</v>
      </c>
      <c r="S294" t="str">
        <v>NOLA</v>
      </c>
      <c r="T294" t="str">
        <v>Xavier Mignot</v>
      </c>
      <c r="U294" t="str">
        <v>NULL</v>
      </c>
      <c r="V294" t="str">
        <v>Home</v>
      </c>
      <c r="W294" t="str">
        <v>CHI</v>
      </c>
      <c r="X294">
        <v>10.641521547055529</v>
      </c>
    </row>
    <row r="295" spans="8:24" x14ac:dyDescent="0.35">
      <c r="H295" s="66">
        <v>4</v>
      </c>
      <c r="I295" t="s">
        <v>36</v>
      </c>
      <c r="J295" t="s">
        <v>73</v>
      </c>
      <c r="K295" t="s">
        <v>256</v>
      </c>
      <c r="L295" t="s">
        <v>9</v>
      </c>
      <c r="M295" t="s">
        <v>13</v>
      </c>
      <c r="N295">
        <f t="shared" si="26"/>
        <v>0.28471115749579923</v>
      </c>
      <c r="O295" t="str">
        <f t="shared" si="27"/>
        <v/>
      </c>
      <c r="P295" s="67" cm="1">
        <f t="array" ref="P295">SUMPRODUCT((H295=$H$7:$H$10000)*(N295&lt;$N$7:$N$10000))+1</f>
        <v>92</v>
      </c>
      <c r="Q295" s="72"/>
      <c r="R295">
        <v>7</v>
      </c>
      <c r="S295" t="str">
        <v>NEFJ</v>
      </c>
      <c r="T295" t="str">
        <v>Wayne van der Bank</v>
      </c>
      <c r="U295" t="str">
        <v>NULL</v>
      </c>
      <c r="V295" t="str">
        <v>Away</v>
      </c>
      <c r="W295" t="str">
        <v>UTAH</v>
      </c>
      <c r="X295">
        <v>10.628560403871502</v>
      </c>
    </row>
    <row r="296" spans="8:24" x14ac:dyDescent="0.35">
      <c r="H296" s="66">
        <v>4</v>
      </c>
      <c r="I296" t="s">
        <v>14</v>
      </c>
      <c r="J296" t="s">
        <v>278</v>
      </c>
      <c r="K296" t="s">
        <v>256</v>
      </c>
      <c r="L296" t="s">
        <v>9</v>
      </c>
      <c r="M296" t="s">
        <v>7</v>
      </c>
      <c r="N296">
        <f t="shared" si="26"/>
        <v>-0.44877192303699953</v>
      </c>
      <c r="O296" t="str">
        <f t="shared" si="27"/>
        <v/>
      </c>
      <c r="P296" s="67" cm="1">
        <f t="array" ref="P296">SUMPRODUCT((H296=$H$7:$H$10000)*(N296&lt;$N$7:$N$10000))+1</f>
        <v>93</v>
      </c>
      <c r="Q296" s="72"/>
      <c r="R296">
        <v>7</v>
      </c>
      <c r="S296" t="str">
        <v>SEA</v>
      </c>
      <c r="T296" t="str">
        <v>Duncan Matthews</v>
      </c>
      <c r="U296" t="str">
        <v>NULL</v>
      </c>
      <c r="V296" t="str">
        <v>Home</v>
      </c>
      <c r="W296" t="str">
        <v>ARC</v>
      </c>
      <c r="X296">
        <v>10.625887731011638</v>
      </c>
    </row>
    <row r="297" spans="8:24" x14ac:dyDescent="0.35">
      <c r="H297" s="66">
        <v>4</v>
      </c>
      <c r="I297" t="s">
        <v>14</v>
      </c>
      <c r="J297" t="s">
        <v>488</v>
      </c>
      <c r="K297" t="s">
        <v>256</v>
      </c>
      <c r="L297" t="s">
        <v>9</v>
      </c>
      <c r="M297" t="s">
        <v>7</v>
      </c>
      <c r="N297">
        <f t="shared" si="26"/>
        <v>-1.4021987409989229</v>
      </c>
      <c r="O297" t="str">
        <f t="shared" si="27"/>
        <v/>
      </c>
      <c r="P297" s="67" cm="1">
        <f t="array" ref="P297">SUMPRODUCT((H297=$H$7:$H$10000)*(N297&lt;$N$7:$N$10000))+1</f>
        <v>94</v>
      </c>
      <c r="Q297" s="72"/>
      <c r="R297">
        <v>7</v>
      </c>
      <c r="S297" t="str">
        <v>CHI</v>
      </c>
      <c r="T297" t="str">
        <v>Nate Augspurger</v>
      </c>
      <c r="U297" t="str">
        <v>NULL</v>
      </c>
      <c r="V297" t="str">
        <v>Away</v>
      </c>
      <c r="W297" t="str">
        <v>NOLA</v>
      </c>
      <c r="X297">
        <v>10.530330275431325</v>
      </c>
    </row>
    <row r="298" spans="8:24" x14ac:dyDescent="0.35">
      <c r="H298" s="66">
        <v>4</v>
      </c>
      <c r="I298" t="s">
        <v>14</v>
      </c>
      <c r="J298" t="s">
        <v>460</v>
      </c>
      <c r="K298" t="s">
        <v>256</v>
      </c>
      <c r="L298" t="s">
        <v>9</v>
      </c>
      <c r="M298" t="s">
        <v>7</v>
      </c>
      <c r="N298">
        <f t="shared" si="26"/>
        <v>-2.5908217730614655</v>
      </c>
      <c r="O298" t="str">
        <f t="shared" si="27"/>
        <v/>
      </c>
      <c r="P298" s="67" cm="1">
        <f t="array" ref="P298">SUMPRODUCT((H298=$H$7:$H$10000)*(N298&lt;$N$7:$N$10000))+1</f>
        <v>95</v>
      </c>
      <c r="Q298" s="72"/>
      <c r="R298">
        <v>7</v>
      </c>
      <c r="S298" t="str">
        <v>ARC</v>
      </c>
      <c r="T298" t="str">
        <v>Erich Storti</v>
      </c>
      <c r="U298" t="str">
        <v>NULL</v>
      </c>
      <c r="V298" t="str">
        <v>Away</v>
      </c>
      <c r="W298" t="str">
        <v>SEA</v>
      </c>
      <c r="X298">
        <v>10.520669919508808</v>
      </c>
    </row>
    <row r="299" spans="8:24" x14ac:dyDescent="0.35">
      <c r="H299" s="66">
        <v>4</v>
      </c>
      <c r="I299" t="s">
        <v>7</v>
      </c>
      <c r="J299" t="s">
        <v>126</v>
      </c>
      <c r="K299" t="s">
        <v>256</v>
      </c>
      <c r="L299" t="s">
        <v>3</v>
      </c>
      <c r="M299" t="s">
        <v>14</v>
      </c>
      <c r="N299">
        <f t="shared" si="26"/>
        <v>-2.6603198467064306</v>
      </c>
      <c r="O299" t="str">
        <f t="shared" si="27"/>
        <v/>
      </c>
      <c r="P299" s="67" cm="1">
        <f t="array" ref="P299">SUMPRODUCT((H299=$H$7:$H$10000)*(N299&lt;$N$7:$N$10000))+1</f>
        <v>96</v>
      </c>
      <c r="Q299" s="72"/>
      <c r="R299">
        <v>7</v>
      </c>
      <c r="S299" t="str">
        <v>SEA</v>
      </c>
      <c r="T299" t="str">
        <v>Divan Rossouw</v>
      </c>
      <c r="U299" t="str">
        <v>NULL</v>
      </c>
      <c r="V299" t="str">
        <v>Home</v>
      </c>
      <c r="W299" t="str">
        <v>ARC</v>
      </c>
      <c r="X299">
        <v>10.507787554352044</v>
      </c>
    </row>
    <row r="300" spans="8:24" x14ac:dyDescent="0.35">
      <c r="H300" s="66">
        <v>5</v>
      </c>
      <c r="I300" t="s">
        <v>13</v>
      </c>
      <c r="J300" t="s">
        <v>79</v>
      </c>
      <c r="K300" t="s">
        <v>256</v>
      </c>
      <c r="L300" t="s">
        <v>9</v>
      </c>
      <c r="M300" t="s">
        <v>24</v>
      </c>
      <c r="N300">
        <f t="shared" si="26"/>
        <v>23.028710944923624</v>
      </c>
      <c r="O300" t="str">
        <f t="shared" si="27"/>
        <v/>
      </c>
      <c r="P300" s="67" cm="1">
        <f t="array" ref="P300">SUMPRODUCT((H300=$H$7:$H$10000)*(N300&lt;$N$7:$N$10000))+1</f>
        <v>1</v>
      </c>
      <c r="Q300" s="72"/>
      <c r="R300">
        <v>7</v>
      </c>
      <c r="S300" t="str">
        <v>NEFJ</v>
      </c>
      <c r="T300" t="str">
        <v>Le Roux Malan</v>
      </c>
      <c r="U300" t="str">
        <v>NULL</v>
      </c>
      <c r="V300" t="str">
        <v>Away</v>
      </c>
      <c r="W300" t="str">
        <v>UTAH</v>
      </c>
      <c r="X300">
        <v>10.44835644253763</v>
      </c>
    </row>
    <row r="301" spans="8:24" x14ac:dyDescent="0.35">
      <c r="H301" s="66">
        <v>5</v>
      </c>
      <c r="I301" t="s">
        <v>6</v>
      </c>
      <c r="J301" t="s">
        <v>94</v>
      </c>
      <c r="K301" t="s">
        <v>256</v>
      </c>
      <c r="L301" t="s">
        <v>3</v>
      </c>
      <c r="M301" t="s">
        <v>17</v>
      </c>
      <c r="N301">
        <f t="shared" si="26"/>
        <v>19.427212883885048</v>
      </c>
      <c r="O301" t="str">
        <f t="shared" si="27"/>
        <v/>
      </c>
      <c r="P301" s="67" cm="1">
        <f t="array" ref="P301">SUMPRODUCT((H301=$H$7:$H$10000)*(N301&lt;$N$7:$N$10000))+1</f>
        <v>2</v>
      </c>
      <c r="Q301" s="72"/>
      <c r="R301">
        <v>7</v>
      </c>
      <c r="S301" t="str">
        <v>HOU</v>
      </c>
      <c r="T301" t="str">
        <v>Dom Akina</v>
      </c>
      <c r="U301" t="str">
        <v>NULL</v>
      </c>
      <c r="V301" t="str">
        <v>Home</v>
      </c>
      <c r="W301" t="str">
        <v>SDL</v>
      </c>
      <c r="X301">
        <v>10.446517357646099</v>
      </c>
    </row>
    <row r="302" spans="8:24" x14ac:dyDescent="0.35">
      <c r="H302" s="66">
        <v>5</v>
      </c>
      <c r="I302" t="s">
        <v>13</v>
      </c>
      <c r="J302" t="s">
        <v>494</v>
      </c>
      <c r="K302" t="s">
        <v>256</v>
      </c>
      <c r="L302" t="s">
        <v>9</v>
      </c>
      <c r="M302" t="s">
        <v>24</v>
      </c>
      <c r="N302">
        <f t="shared" si="26"/>
        <v>19.218175494213028</v>
      </c>
      <c r="O302" t="str">
        <f t="shared" si="27"/>
        <v/>
      </c>
      <c r="P302" s="67" cm="1">
        <f t="array" ref="P302">SUMPRODUCT((H302=$H$7:$H$10000)*(N302&lt;$N$7:$N$10000))+1</f>
        <v>3</v>
      </c>
      <c r="Q302" s="72"/>
      <c r="R302">
        <v>7</v>
      </c>
      <c r="S302" t="str">
        <v>NEFJ</v>
      </c>
      <c r="T302" t="str">
        <v>Paula Balekana</v>
      </c>
      <c r="U302" t="str">
        <v>NULL</v>
      </c>
      <c r="V302" t="str">
        <v>Away</v>
      </c>
      <c r="W302" t="str">
        <v>UTAH</v>
      </c>
      <c r="X302">
        <v>10.406554251831704</v>
      </c>
    </row>
    <row r="303" spans="8:24" x14ac:dyDescent="0.35">
      <c r="H303" s="66">
        <v>5</v>
      </c>
      <c r="I303" t="s">
        <v>7</v>
      </c>
      <c r="J303" t="s">
        <v>65</v>
      </c>
      <c r="K303" t="s">
        <v>256</v>
      </c>
      <c r="L303" t="s">
        <v>9</v>
      </c>
      <c r="M303" t="s">
        <v>2</v>
      </c>
      <c r="N303">
        <f t="shared" si="26"/>
        <v>17.813979980673878</v>
      </c>
      <c r="O303" t="str">
        <f t="shared" si="27"/>
        <v/>
      </c>
      <c r="P303" s="67" cm="1">
        <f t="array" ref="P303">SUMPRODUCT((H303=$H$7:$H$10000)*(N303&lt;$N$7:$N$10000))+1</f>
        <v>4</v>
      </c>
      <c r="Q303" s="72"/>
      <c r="R303">
        <v>7</v>
      </c>
      <c r="S303" t="str">
        <v>NOLA</v>
      </c>
      <c r="T303" t="str">
        <v>Ed Fidow</v>
      </c>
      <c r="U303" t="str">
        <v>NULL</v>
      </c>
      <c r="V303" t="str">
        <v>Home</v>
      </c>
      <c r="W303" t="str">
        <v>CHI</v>
      </c>
      <c r="X303">
        <v>10.369154208616585</v>
      </c>
    </row>
    <row r="304" spans="8:24" x14ac:dyDescent="0.35">
      <c r="H304" s="66">
        <v>5</v>
      </c>
      <c r="I304" t="s">
        <v>6</v>
      </c>
      <c r="J304" t="s">
        <v>8</v>
      </c>
      <c r="K304" t="s">
        <v>256</v>
      </c>
      <c r="L304" t="s">
        <v>3</v>
      </c>
      <c r="M304" t="s">
        <v>17</v>
      </c>
      <c r="N304">
        <f t="shared" si="26"/>
        <v>15.751600097391318</v>
      </c>
      <c r="O304" t="str">
        <f t="shared" si="27"/>
        <v/>
      </c>
      <c r="P304" s="67" cm="1">
        <f t="array" ref="P304">SUMPRODUCT((H304=$H$7:$H$10000)*(N304&lt;$N$7:$N$10000))+1</f>
        <v>5</v>
      </c>
      <c r="Q304" s="72"/>
      <c r="R304">
        <v>7</v>
      </c>
      <c r="S304" t="str">
        <v>ARC</v>
      </c>
      <c r="T304" t="str">
        <v>Mitch Wilson</v>
      </c>
      <c r="U304" t="str">
        <v>NULL</v>
      </c>
      <c r="V304" t="str">
        <v>Away</v>
      </c>
      <c r="W304" t="str">
        <v>SEA</v>
      </c>
      <c r="X304">
        <v>10.132000663294514</v>
      </c>
    </row>
    <row r="305" spans="8:24" x14ac:dyDescent="0.35">
      <c r="H305" s="66">
        <v>5</v>
      </c>
      <c r="I305" t="s">
        <v>13</v>
      </c>
      <c r="J305" t="s">
        <v>473</v>
      </c>
      <c r="K305" t="s">
        <v>256</v>
      </c>
      <c r="L305" t="s">
        <v>9</v>
      </c>
      <c r="M305" t="s">
        <v>24</v>
      </c>
      <c r="N305">
        <f t="shared" si="26"/>
        <v>15.555420281427676</v>
      </c>
      <c r="O305" t="str">
        <f t="shared" si="27"/>
        <v/>
      </c>
      <c r="P305" s="67" cm="1">
        <f t="array" ref="P305">SUMPRODUCT((H305=$H$7:$H$10000)*(N305&lt;$N$7:$N$10000))+1</f>
        <v>6</v>
      </c>
      <c r="Q305" s="72"/>
      <c r="R305">
        <v>7</v>
      </c>
      <c r="S305" t="str">
        <v>CHI</v>
      </c>
      <c r="T305" t="str">
        <v>Michael Hand</v>
      </c>
      <c r="U305" t="str">
        <v>NULL</v>
      </c>
      <c r="V305" t="str">
        <v>Away</v>
      </c>
      <c r="W305" t="str">
        <v>NOLA</v>
      </c>
      <c r="X305">
        <v>9.9775965217607059</v>
      </c>
    </row>
    <row r="306" spans="8:24" x14ac:dyDescent="0.35">
      <c r="H306" s="66">
        <v>5</v>
      </c>
      <c r="I306" t="s">
        <v>6</v>
      </c>
      <c r="J306" t="s">
        <v>445</v>
      </c>
      <c r="K306" t="s">
        <v>256</v>
      </c>
      <c r="L306" t="s">
        <v>3</v>
      </c>
      <c r="M306" t="s">
        <v>17</v>
      </c>
      <c r="N306">
        <f t="shared" si="26"/>
        <v>13.787842220186928</v>
      </c>
      <c r="O306" t="str">
        <f t="shared" si="27"/>
        <v/>
      </c>
      <c r="P306" s="67" cm="1">
        <f t="array" ref="P306">SUMPRODUCT((H306=$H$7:$H$10000)*(N306&lt;$N$7:$N$10000))+1</f>
        <v>7</v>
      </c>
      <c r="Q306" s="72"/>
      <c r="R306">
        <v>7</v>
      </c>
      <c r="S306" t="str">
        <v>ARC</v>
      </c>
      <c r="T306" t="str">
        <v>Line Latu</v>
      </c>
      <c r="U306" t="str">
        <v>NULL</v>
      </c>
      <c r="V306" t="str">
        <v>Away</v>
      </c>
      <c r="W306" t="str">
        <v>SEA</v>
      </c>
      <c r="X306">
        <v>9.8704060777313458</v>
      </c>
    </row>
    <row r="307" spans="8:24" x14ac:dyDescent="0.35">
      <c r="H307" s="65">
        <v>5</v>
      </c>
      <c r="I307" t="s">
        <v>17</v>
      </c>
      <c r="J307" t="s">
        <v>492</v>
      </c>
      <c r="K307" t="s">
        <v>256</v>
      </c>
      <c r="L307" t="s">
        <v>9</v>
      </c>
      <c r="M307" t="s">
        <v>6</v>
      </c>
      <c r="N307">
        <f t="shared" si="26"/>
        <v>13.750363304173199</v>
      </c>
      <c r="O307" t="str">
        <f t="shared" si="27"/>
        <v/>
      </c>
      <c r="P307" s="67" cm="1">
        <f t="array" ref="P307">SUMPRODUCT((H307=$H$7:$H$10000)*(N307&lt;$N$7:$N$10000))+1</f>
        <v>8</v>
      </c>
      <c r="Q307" s="72"/>
      <c r="R307">
        <v>7</v>
      </c>
      <c r="S307" t="str">
        <v>HOU</v>
      </c>
      <c r="T307" t="str">
        <v>Davy Coetzer</v>
      </c>
      <c r="U307" t="str">
        <v>NULL</v>
      </c>
      <c r="V307" t="str">
        <v>Home</v>
      </c>
      <c r="W307" t="str">
        <v>SDL</v>
      </c>
      <c r="X307">
        <v>9.8669579655312614</v>
      </c>
    </row>
    <row r="308" spans="8:24" x14ac:dyDescent="0.35">
      <c r="H308" s="66">
        <v>5</v>
      </c>
      <c r="I308" t="s">
        <v>24</v>
      </c>
      <c r="J308" t="s">
        <v>446</v>
      </c>
      <c r="K308" t="s">
        <v>256</v>
      </c>
      <c r="L308" t="s">
        <v>3</v>
      </c>
      <c r="M308" t="s">
        <v>13</v>
      </c>
      <c r="N308">
        <f t="shared" si="26"/>
        <v>13.614355546771186</v>
      </c>
      <c r="O308" t="str">
        <f t="shared" si="27"/>
        <v/>
      </c>
      <c r="P308" s="67" cm="1">
        <f t="array" ref="P308">SUMPRODUCT((H308=$H$7:$H$10000)*(N308&lt;$N$7:$N$10000))+1</f>
        <v>9</v>
      </c>
      <c r="Q308" s="72"/>
      <c r="R308">
        <v>7</v>
      </c>
      <c r="S308" t="str">
        <v>HOU</v>
      </c>
      <c r="T308" t="str">
        <v>Jeremy Misailegalu</v>
      </c>
      <c r="U308" t="str">
        <v>NULL</v>
      </c>
      <c r="V308" t="str">
        <v>Home</v>
      </c>
      <c r="W308" t="str">
        <v>SDL</v>
      </c>
      <c r="X308">
        <v>9.8605714483113083</v>
      </c>
    </row>
    <row r="309" spans="8:24" x14ac:dyDescent="0.35">
      <c r="H309" s="66">
        <v>5</v>
      </c>
      <c r="I309" t="s">
        <v>13</v>
      </c>
      <c r="J309" t="s">
        <v>477</v>
      </c>
      <c r="K309" t="s">
        <v>256</v>
      </c>
      <c r="L309" t="s">
        <v>9</v>
      </c>
      <c r="M309" t="s">
        <v>24</v>
      </c>
      <c r="N309">
        <f t="shared" si="26"/>
        <v>13.05292614129724</v>
      </c>
      <c r="O309" t="str">
        <f t="shared" si="27"/>
        <v/>
      </c>
      <c r="P309" s="67" cm="1">
        <f t="array" ref="P309">SUMPRODUCT((H309=$H$7:$H$10000)*(N309&lt;$N$7:$N$10000))+1</f>
        <v>10</v>
      </c>
      <c r="Q309" s="72"/>
      <c r="R309">
        <v>7</v>
      </c>
      <c r="S309" t="str">
        <v>LA</v>
      </c>
      <c r="T309" t="str">
        <v>Christian Leali'ifano</v>
      </c>
      <c r="U309" t="str">
        <v>NULL</v>
      </c>
      <c r="V309" t="str">
        <v>Home</v>
      </c>
      <c r="W309" t="str">
        <v>OGDC</v>
      </c>
      <c r="X309">
        <v>9.7962287685634131</v>
      </c>
    </row>
    <row r="310" spans="8:24" x14ac:dyDescent="0.35">
      <c r="H310" s="66">
        <v>5</v>
      </c>
      <c r="I310" t="s">
        <v>17</v>
      </c>
      <c r="J310" t="s">
        <v>196</v>
      </c>
      <c r="K310" t="s">
        <v>256</v>
      </c>
      <c r="L310" t="s">
        <v>9</v>
      </c>
      <c r="M310" t="s">
        <v>6</v>
      </c>
      <c r="N310">
        <f t="shared" si="26"/>
        <v>12.895278038617375</v>
      </c>
      <c r="O310" t="str">
        <f t="shared" si="27"/>
        <v/>
      </c>
      <c r="P310" s="67" cm="1">
        <f t="array" ref="P310">SUMPRODUCT((H310=$H$7:$H$10000)*(N310&lt;$N$7:$N$10000))+1</f>
        <v>11</v>
      </c>
      <c r="Q310" s="72"/>
      <c r="R310">
        <v>7</v>
      </c>
      <c r="S310" t="str">
        <v>SDL</v>
      </c>
      <c r="T310" t="str">
        <v>Ethan Grayson</v>
      </c>
      <c r="U310" t="str">
        <v>NULL</v>
      </c>
      <c r="V310" t="str">
        <v>Away</v>
      </c>
      <c r="W310" t="str">
        <v>HOU</v>
      </c>
      <c r="X310">
        <v>9.773794966512618</v>
      </c>
    </row>
    <row r="311" spans="8:24" x14ac:dyDescent="0.35">
      <c r="H311" s="66">
        <v>5</v>
      </c>
      <c r="I311" t="s">
        <v>6</v>
      </c>
      <c r="J311" t="s">
        <v>442</v>
      </c>
      <c r="K311" t="s">
        <v>256</v>
      </c>
      <c r="L311" t="s">
        <v>3</v>
      </c>
      <c r="M311" t="s">
        <v>17</v>
      </c>
      <c r="N311">
        <f t="shared" si="26"/>
        <v>12.63660959821912</v>
      </c>
      <c r="O311" t="str">
        <f t="shared" si="27"/>
        <v/>
      </c>
      <c r="P311" s="67" cm="1">
        <f t="array" ref="P311">SUMPRODUCT((H311=$H$7:$H$10000)*(N311&lt;$N$7:$N$10000))+1</f>
        <v>12</v>
      </c>
      <c r="Q311" s="72"/>
      <c r="R311">
        <v>7</v>
      </c>
      <c r="S311" t="str">
        <v>NOLA</v>
      </c>
      <c r="T311" t="str">
        <v>JP Du Plessis</v>
      </c>
      <c r="U311" t="str">
        <v>NULL</v>
      </c>
      <c r="V311" t="str">
        <v>Home</v>
      </c>
      <c r="W311" t="str">
        <v>CHI</v>
      </c>
      <c r="X311">
        <v>9.5429656889367536</v>
      </c>
    </row>
    <row r="312" spans="8:24" x14ac:dyDescent="0.35">
      <c r="H312" s="66">
        <v>5</v>
      </c>
      <c r="I312" t="s">
        <v>17</v>
      </c>
      <c r="J312" t="s">
        <v>497</v>
      </c>
      <c r="K312" t="s">
        <v>256</v>
      </c>
      <c r="L312" t="s">
        <v>9</v>
      </c>
      <c r="M312" t="s">
        <v>6</v>
      </c>
      <c r="N312">
        <f t="shared" si="26"/>
        <v>12.445860286668376</v>
      </c>
      <c r="O312" t="str">
        <f t="shared" si="27"/>
        <v/>
      </c>
      <c r="P312" s="67" cm="1">
        <f t="array" ref="P312">SUMPRODUCT((H312=$H$7:$H$10000)*(N312&lt;$N$7:$N$10000))+1</f>
        <v>13</v>
      </c>
      <c r="Q312" s="72"/>
      <c r="R312">
        <v>7</v>
      </c>
      <c r="S312" t="str">
        <v>SEA</v>
      </c>
      <c r="T312" t="str">
        <v>Mikaela Kruse</v>
      </c>
      <c r="U312" t="str">
        <v>NULL</v>
      </c>
      <c r="V312" t="str">
        <v>Home</v>
      </c>
      <c r="W312" t="str">
        <v>ARC</v>
      </c>
      <c r="X312">
        <v>9.5060221389828179</v>
      </c>
    </row>
    <row r="313" spans="8:24" x14ac:dyDescent="0.35">
      <c r="H313" s="66">
        <v>5</v>
      </c>
      <c r="I313" t="s">
        <v>17</v>
      </c>
      <c r="J313" t="s">
        <v>37</v>
      </c>
      <c r="K313" t="s">
        <v>256</v>
      </c>
      <c r="L313" t="s">
        <v>9</v>
      </c>
      <c r="M313" t="s">
        <v>6</v>
      </c>
      <c r="N313">
        <f t="shared" si="26"/>
        <v>12.327760110008782</v>
      </c>
      <c r="O313" t="str">
        <f t="shared" si="27"/>
        <v/>
      </c>
      <c r="P313" s="67" cm="1">
        <f t="array" ref="P313">SUMPRODUCT((H313=$H$7:$H$10000)*(N313&lt;$N$7:$N$10000))+1</f>
        <v>14</v>
      </c>
      <c r="Q313" s="72"/>
      <c r="R313">
        <v>7</v>
      </c>
      <c r="S313" t="str">
        <v>UTAH</v>
      </c>
      <c r="T313" t="str">
        <v>Blake Makiri</v>
      </c>
      <c r="U313" t="str">
        <v>NULL</v>
      </c>
      <c r="V313" t="str">
        <v>Home</v>
      </c>
      <c r="W313" t="str">
        <v>NEFJ</v>
      </c>
      <c r="X313">
        <v>9.0134066357002016</v>
      </c>
    </row>
    <row r="314" spans="8:24" x14ac:dyDescent="0.35">
      <c r="H314" s="66">
        <v>5</v>
      </c>
      <c r="I314" t="s">
        <v>4</v>
      </c>
      <c r="J314" t="s">
        <v>457</v>
      </c>
      <c r="K314" t="s">
        <v>256</v>
      </c>
      <c r="L314" t="s">
        <v>9</v>
      </c>
      <c r="M314" t="s">
        <v>23</v>
      </c>
      <c r="N314">
        <f t="shared" si="26"/>
        <v>11.904959035404479</v>
      </c>
      <c r="O314" t="str">
        <f t="shared" si="27"/>
        <v/>
      </c>
      <c r="P314" s="67" cm="1">
        <f t="array" ref="P314">SUMPRODUCT((H314=$H$7:$H$10000)*(N314&lt;$N$7:$N$10000))+1</f>
        <v>15</v>
      </c>
      <c r="Q314" s="72"/>
      <c r="R314">
        <v>7</v>
      </c>
      <c r="S314" t="str">
        <v>ARC</v>
      </c>
      <c r="T314" t="str">
        <v>Karl Keane</v>
      </c>
      <c r="U314" t="str">
        <v>NULL</v>
      </c>
      <c r="V314" t="str">
        <v>Away</v>
      </c>
      <c r="W314" t="str">
        <v>SEA</v>
      </c>
      <c r="X314">
        <v>8.9605412062120635</v>
      </c>
    </row>
    <row r="315" spans="8:24" x14ac:dyDescent="0.35">
      <c r="H315" s="66">
        <v>5</v>
      </c>
      <c r="I315" t="s">
        <v>6</v>
      </c>
      <c r="J315" t="s">
        <v>437</v>
      </c>
      <c r="K315" t="s">
        <v>256</v>
      </c>
      <c r="L315" t="s">
        <v>3</v>
      </c>
      <c r="M315" t="s">
        <v>17</v>
      </c>
      <c r="N315">
        <f t="shared" si="26"/>
        <v>11.666827682791133</v>
      </c>
      <c r="O315" t="str">
        <f t="shared" si="27"/>
        <v/>
      </c>
      <c r="P315" s="67" cm="1">
        <f t="array" ref="P315">SUMPRODUCT((H315=$H$7:$H$10000)*(N315&lt;$N$7:$N$10000))+1</f>
        <v>16</v>
      </c>
      <c r="Q315" s="72"/>
      <c r="R315">
        <v>7</v>
      </c>
      <c r="S315" t="str">
        <v>LA</v>
      </c>
      <c r="T315" t="str">
        <v>Gonzalo Bertranou</v>
      </c>
      <c r="U315" t="str">
        <v>NULL</v>
      </c>
      <c r="V315" t="str">
        <v>Home</v>
      </c>
      <c r="W315" t="str">
        <v>OGDC</v>
      </c>
      <c r="X315">
        <v>8.8264468531354261</v>
      </c>
    </row>
    <row r="316" spans="8:24" x14ac:dyDescent="0.35">
      <c r="H316" s="66">
        <v>5</v>
      </c>
      <c r="I316" t="s">
        <v>24</v>
      </c>
      <c r="J316" t="s">
        <v>84</v>
      </c>
      <c r="K316" t="s">
        <v>256</v>
      </c>
      <c r="L316" t="s">
        <v>3</v>
      </c>
      <c r="M316" t="s">
        <v>13</v>
      </c>
      <c r="N316">
        <f t="shared" si="26"/>
        <v>11.635546381751706</v>
      </c>
      <c r="O316" t="str">
        <f t="shared" si="27"/>
        <v/>
      </c>
      <c r="P316" s="67" cm="1">
        <f t="array" ref="P316">SUMPRODUCT((H316=$H$7:$H$10000)*(N316&lt;$N$7:$N$10000))+1</f>
        <v>17</v>
      </c>
      <c r="Q316" s="72"/>
      <c r="R316">
        <v>7</v>
      </c>
      <c r="S316" t="str">
        <v>SDL</v>
      </c>
      <c r="T316" t="str">
        <v>Tomas Aoake</v>
      </c>
      <c r="U316" t="str">
        <v>NULL</v>
      </c>
      <c r="V316" t="str">
        <v>Away</v>
      </c>
      <c r="W316" t="str">
        <v>HOU</v>
      </c>
      <c r="X316">
        <v>8.6095056568310611</v>
      </c>
    </row>
    <row r="317" spans="8:24" x14ac:dyDescent="0.35">
      <c r="H317" s="66">
        <v>5</v>
      </c>
      <c r="I317" t="s">
        <v>24</v>
      </c>
      <c r="J317" t="s">
        <v>194</v>
      </c>
      <c r="K317" t="s">
        <v>256</v>
      </c>
      <c r="L317" t="s">
        <v>3</v>
      </c>
      <c r="M317" t="s">
        <v>13</v>
      </c>
      <c r="N317">
        <f t="shared" si="26"/>
        <v>11.604482514149208</v>
      </c>
      <c r="O317" t="str">
        <f t="shared" si="27"/>
        <v/>
      </c>
      <c r="P317" s="67" cm="1">
        <f t="array" ref="P317">SUMPRODUCT((H317=$H$7:$H$10000)*(N317&lt;$N$7:$N$10000))+1</f>
        <v>18</v>
      </c>
      <c r="Q317" s="72"/>
      <c r="R317">
        <v>7</v>
      </c>
      <c r="S317" t="str">
        <v>LA</v>
      </c>
      <c r="T317" t="str">
        <v>Jack Shaw</v>
      </c>
      <c r="U317" t="str">
        <v>NULL</v>
      </c>
      <c r="V317" t="str">
        <v>Home</v>
      </c>
      <c r="W317" t="str">
        <v>OGDC</v>
      </c>
      <c r="X317">
        <v>8.5713326409908923</v>
      </c>
    </row>
    <row r="318" spans="8:24" x14ac:dyDescent="0.35">
      <c r="H318" s="66">
        <v>5</v>
      </c>
      <c r="I318" t="s">
        <v>24</v>
      </c>
      <c r="J318" t="s">
        <v>101</v>
      </c>
      <c r="K318" t="s">
        <v>256</v>
      </c>
      <c r="L318" t="s">
        <v>3</v>
      </c>
      <c r="M318" t="s">
        <v>13</v>
      </c>
      <c r="N318">
        <f t="shared" si="26"/>
        <v>11.454058119762587</v>
      </c>
      <c r="O318" t="str">
        <f t="shared" si="27"/>
        <v/>
      </c>
      <c r="P318" s="67" cm="1">
        <f t="array" ref="P318">SUMPRODUCT((H318=$H$7:$H$10000)*(N318&lt;$N$7:$N$10000))+1</f>
        <v>19</v>
      </c>
      <c r="Q318" s="72"/>
      <c r="R318">
        <v>7</v>
      </c>
      <c r="S318" t="str">
        <v>SEA</v>
      </c>
      <c r="T318" t="str">
        <v>JP Smith</v>
      </c>
      <c r="U318" t="str">
        <v>NULL</v>
      </c>
      <c r="V318" t="str">
        <v>Home</v>
      </c>
      <c r="W318" t="str">
        <v>ARC</v>
      </c>
      <c r="X318">
        <v>8.4879522388580195</v>
      </c>
    </row>
    <row r="319" spans="8:24" x14ac:dyDescent="0.35">
      <c r="H319" s="66">
        <v>5</v>
      </c>
      <c r="I319" t="s">
        <v>6</v>
      </c>
      <c r="J319" t="s">
        <v>75</v>
      </c>
      <c r="K319" t="s">
        <v>256</v>
      </c>
      <c r="L319" t="s">
        <v>3</v>
      </c>
      <c r="M319" t="s">
        <v>17</v>
      </c>
      <c r="N319">
        <f t="shared" si="26"/>
        <v>11.4117134706466</v>
      </c>
      <c r="O319" t="str">
        <f t="shared" si="27"/>
        <v/>
      </c>
      <c r="P319" s="67" cm="1">
        <f t="array" ref="P319">SUMPRODUCT((H319=$H$7:$H$10000)*(N319&lt;$N$7:$N$10000))+1</f>
        <v>20</v>
      </c>
      <c r="Q319" s="72"/>
      <c r="R319">
        <v>7</v>
      </c>
      <c r="S319" t="str">
        <v>UTAH</v>
      </c>
      <c r="T319" t="str">
        <v>Spencer Jones</v>
      </c>
      <c r="U319" t="str">
        <v>NULL</v>
      </c>
      <c r="V319" t="str">
        <v>Home</v>
      </c>
      <c r="W319" t="str">
        <v>NEFJ</v>
      </c>
      <c r="X319">
        <v>8.3601557086903746</v>
      </c>
    </row>
    <row r="320" spans="8:24" x14ac:dyDescent="0.35">
      <c r="H320" s="66">
        <v>5</v>
      </c>
      <c r="I320" t="s">
        <v>17</v>
      </c>
      <c r="J320" t="s">
        <v>450</v>
      </c>
      <c r="K320" t="s">
        <v>256</v>
      </c>
      <c r="L320" t="s">
        <v>9</v>
      </c>
      <c r="M320" t="s">
        <v>6</v>
      </c>
      <c r="N320">
        <f t="shared" si="26"/>
        <v>11.325994694639556</v>
      </c>
      <c r="O320" t="str">
        <f t="shared" si="27"/>
        <v/>
      </c>
      <c r="P320" s="67" cm="1">
        <f t="array" ref="P320">SUMPRODUCT((H320=$H$7:$H$10000)*(N320&lt;$N$7:$N$10000))+1</f>
        <v>21</v>
      </c>
      <c r="Q320" s="72"/>
      <c r="R320">
        <v>7</v>
      </c>
      <c r="S320" t="str">
        <v>LA</v>
      </c>
      <c r="T320" t="str">
        <v>Seth Purdey</v>
      </c>
      <c r="U320" t="str">
        <v>NULL</v>
      </c>
      <c r="V320" t="str">
        <v>Home</v>
      </c>
      <c r="W320" t="str">
        <v>OGDC</v>
      </c>
      <c r="X320">
        <v>8.0782423454066681</v>
      </c>
    </row>
    <row r="321" spans="8:24" x14ac:dyDescent="0.35">
      <c r="H321" s="66">
        <v>5</v>
      </c>
      <c r="I321" t="s">
        <v>24</v>
      </c>
      <c r="J321" t="s">
        <v>487</v>
      </c>
      <c r="K321" t="s">
        <v>256</v>
      </c>
      <c r="L321" t="s">
        <v>3</v>
      </c>
      <c r="M321" t="s">
        <v>13</v>
      </c>
      <c r="N321">
        <f t="shared" si="26"/>
        <v>11.285035272527901</v>
      </c>
      <c r="O321" t="str">
        <f t="shared" si="27"/>
        <v/>
      </c>
      <c r="P321" s="67" cm="1">
        <f t="array" ref="P321">SUMPRODUCT((H321=$H$7:$H$10000)*(N321&lt;$N$7:$N$10000))+1</f>
        <v>22</v>
      </c>
      <c r="Q321" s="72"/>
      <c r="R321">
        <v>7</v>
      </c>
      <c r="S321" t="str">
        <v>CHI</v>
      </c>
      <c r="T321" t="str">
        <v>Ollie Devoto</v>
      </c>
      <c r="U321" t="str">
        <v>NULL</v>
      </c>
      <c r="V321" t="str">
        <v>Away</v>
      </c>
      <c r="W321" t="str">
        <v>NOLA</v>
      </c>
      <c r="X321">
        <v>7.8686990134192065</v>
      </c>
    </row>
    <row r="322" spans="8:24" x14ac:dyDescent="0.35">
      <c r="H322" s="66">
        <v>5</v>
      </c>
      <c r="I322" t="s">
        <v>4</v>
      </c>
      <c r="J322" t="s">
        <v>286</v>
      </c>
      <c r="K322" t="s">
        <v>256</v>
      </c>
      <c r="L322" t="s">
        <v>9</v>
      </c>
      <c r="M322" t="s">
        <v>23</v>
      </c>
      <c r="N322">
        <f t="shared" si="26"/>
        <v>11.259314527138969</v>
      </c>
      <c r="O322" t="str">
        <f t="shared" si="27"/>
        <v/>
      </c>
      <c r="P322" s="67" cm="1">
        <f t="array" ref="P322">SUMPRODUCT((H322=$H$7:$H$10000)*(N322&lt;$N$7:$N$10000))+1</f>
        <v>23</v>
      </c>
      <c r="Q322" s="72"/>
      <c r="R322">
        <v>7</v>
      </c>
      <c r="S322" t="str">
        <v>LA</v>
      </c>
      <c r="T322" t="str">
        <v>Cameron Gerlach</v>
      </c>
      <c r="U322" t="str">
        <v>NULL</v>
      </c>
      <c r="V322" t="str">
        <v>Home</v>
      </c>
      <c r="W322" t="str">
        <v>OGDC</v>
      </c>
      <c r="X322">
        <v>7.7795766777569231</v>
      </c>
    </row>
    <row r="323" spans="8:24" x14ac:dyDescent="0.35">
      <c r="H323" s="66">
        <v>5</v>
      </c>
      <c r="I323" t="s">
        <v>24</v>
      </c>
      <c r="J323" t="s">
        <v>439</v>
      </c>
      <c r="K323" t="s">
        <v>256</v>
      </c>
      <c r="L323" t="s">
        <v>3</v>
      </c>
      <c r="M323" t="s">
        <v>13</v>
      </c>
      <c r="N323">
        <f t="shared" si="26"/>
        <v>11.114346634039904</v>
      </c>
      <c r="O323" t="str">
        <f t="shared" si="27"/>
        <v/>
      </c>
      <c r="P323" s="67" cm="1">
        <f t="array" ref="P323">SUMPRODUCT((H323=$H$7:$H$10000)*(N323&lt;$N$7:$N$10000))+1</f>
        <v>24</v>
      </c>
      <c r="Q323" s="72"/>
      <c r="R323">
        <v>7</v>
      </c>
      <c r="S323" t="str">
        <v>HOU</v>
      </c>
      <c r="T323" t="str">
        <v>AJ Alatimu</v>
      </c>
      <c r="U323" t="str">
        <v>NULL</v>
      </c>
      <c r="V323" t="str">
        <v>Home</v>
      </c>
      <c r="W323" t="str">
        <v>SDL</v>
      </c>
      <c r="X323">
        <v>7.531547371277556</v>
      </c>
    </row>
    <row r="324" spans="8:24" x14ac:dyDescent="0.35">
      <c r="H324" s="66">
        <v>5</v>
      </c>
      <c r="I324" t="s">
        <v>13</v>
      </c>
      <c r="J324" t="s">
        <v>478</v>
      </c>
      <c r="K324" t="s">
        <v>256</v>
      </c>
      <c r="L324" t="s">
        <v>9</v>
      </c>
      <c r="M324" t="s">
        <v>24</v>
      </c>
      <c r="N324">
        <f t="shared" si="26"/>
        <v>10.969108463811533</v>
      </c>
      <c r="O324" t="str">
        <f t="shared" si="27"/>
        <v/>
      </c>
      <c r="P324" s="67" cm="1">
        <f t="array" ref="P324">SUMPRODUCT((H324=$H$7:$H$10000)*(N324&lt;$N$7:$N$10000))+1</f>
        <v>25</v>
      </c>
      <c r="Q324" s="72"/>
      <c r="R324">
        <v>7</v>
      </c>
      <c r="S324" t="str">
        <v>SDL</v>
      </c>
      <c r="T324" t="str">
        <v>Tavite Lopeti</v>
      </c>
      <c r="U324" t="str">
        <v>NULL</v>
      </c>
      <c r="V324" t="str">
        <v>Away</v>
      </c>
      <c r="W324" t="str">
        <v>HOU</v>
      </c>
      <c r="X324">
        <v>7.2811750533233139</v>
      </c>
    </row>
    <row r="325" spans="8:24" x14ac:dyDescent="0.35">
      <c r="H325" s="66">
        <v>5</v>
      </c>
      <c r="I325" t="s">
        <v>6</v>
      </c>
      <c r="J325" t="s">
        <v>43</v>
      </c>
      <c r="K325" t="s">
        <v>256</v>
      </c>
      <c r="L325" t="s">
        <v>3</v>
      </c>
      <c r="M325" t="s">
        <v>17</v>
      </c>
      <c r="N325">
        <f t="shared" si="26"/>
        <v>10.918623175062375</v>
      </c>
      <c r="O325" t="str">
        <f t="shared" si="27"/>
        <v/>
      </c>
      <c r="P325" s="67" cm="1">
        <f t="array" ref="P325">SUMPRODUCT((H325=$H$7:$H$10000)*(N325&lt;$N$7:$N$10000))+1</f>
        <v>26</v>
      </c>
      <c r="Q325" s="72"/>
      <c r="R325">
        <v>7</v>
      </c>
      <c r="S325" t="str">
        <v>LA</v>
      </c>
      <c r="T325" t="str">
        <v>Nick Chan</v>
      </c>
      <c r="U325" t="str">
        <v>NULL</v>
      </c>
      <c r="V325" t="str">
        <v>Home</v>
      </c>
      <c r="W325" t="str">
        <v>OGDC</v>
      </c>
      <c r="X325">
        <v>7.1682817247705755</v>
      </c>
    </row>
    <row r="326" spans="8:24" x14ac:dyDescent="0.35">
      <c r="H326" s="66">
        <v>5</v>
      </c>
      <c r="I326" t="s">
        <v>4</v>
      </c>
      <c r="J326" t="s">
        <v>453</v>
      </c>
      <c r="K326" t="s">
        <v>256</v>
      </c>
      <c r="L326" t="s">
        <v>9</v>
      </c>
      <c r="M326" t="s">
        <v>23</v>
      </c>
      <c r="N326">
        <f t="shared" si="26"/>
        <v>10.816271317134126</v>
      </c>
      <c r="O326" t="str">
        <f t="shared" si="27"/>
        <v/>
      </c>
      <c r="P326" s="67" cm="1">
        <f t="array" ref="P326">SUMPRODUCT((H326=$H$7:$H$10000)*(N326&lt;$N$7:$N$10000))+1</f>
        <v>27</v>
      </c>
      <c r="Q326" s="72"/>
      <c r="R326">
        <v>7</v>
      </c>
      <c r="S326" t="str">
        <v>LA</v>
      </c>
      <c r="T326" t="str">
        <v>Andrew Coe</v>
      </c>
      <c r="U326" t="str">
        <v>NULL</v>
      </c>
      <c r="V326" t="str">
        <v>Home</v>
      </c>
      <c r="W326" t="str">
        <v>OGDC</v>
      </c>
      <c r="X326">
        <v>7.1273481797273748</v>
      </c>
    </row>
    <row r="327" spans="8:24" x14ac:dyDescent="0.35">
      <c r="H327" s="66">
        <v>5</v>
      </c>
      <c r="I327" t="s">
        <v>6</v>
      </c>
      <c r="J327" t="s">
        <v>454</v>
      </c>
      <c r="K327" t="s">
        <v>256</v>
      </c>
      <c r="L327" t="s">
        <v>3</v>
      </c>
      <c r="M327" t="s">
        <v>17</v>
      </c>
      <c r="N327">
        <f t="shared" si="26"/>
        <v>10.61995750741263</v>
      </c>
      <c r="O327" t="str">
        <f t="shared" si="27"/>
        <v/>
      </c>
      <c r="P327" s="67" cm="1">
        <f t="array" ref="P327">SUMPRODUCT((H327=$H$7:$H$10000)*(N327&lt;$N$7:$N$10000))+1</f>
        <v>28</v>
      </c>
      <c r="Q327" s="72"/>
      <c r="R327">
        <v>7</v>
      </c>
      <c r="S327" t="str">
        <v>SDL</v>
      </c>
      <c r="T327" t="str">
        <v>Lincoln McClutchie</v>
      </c>
      <c r="U327" t="str">
        <v>NULL</v>
      </c>
      <c r="V327" t="str">
        <v>Away</v>
      </c>
      <c r="W327" t="str">
        <v>HOU</v>
      </c>
      <c r="X327">
        <v>7.1223967921843405</v>
      </c>
    </row>
    <row r="328" spans="8:24" x14ac:dyDescent="0.35">
      <c r="H328" s="66">
        <v>5</v>
      </c>
      <c r="I328" t="s">
        <v>7</v>
      </c>
      <c r="J328" t="s">
        <v>67</v>
      </c>
      <c r="K328" t="s">
        <v>256</v>
      </c>
      <c r="L328" t="s">
        <v>9</v>
      </c>
      <c r="M328" t="s">
        <v>2</v>
      </c>
      <c r="N328">
        <f t="shared" si="26"/>
        <v>10.554647445289312</v>
      </c>
      <c r="O328" t="str">
        <f t="shared" si="27"/>
        <v/>
      </c>
      <c r="P328" s="67" cm="1">
        <f t="array" ref="P328">SUMPRODUCT((H328=$H$7:$H$10000)*(N328&lt;$N$7:$N$10000))+1</f>
        <v>29</v>
      </c>
      <c r="Q328" s="72"/>
      <c r="R328">
        <v>7</v>
      </c>
      <c r="S328" t="str">
        <v>SEA</v>
      </c>
      <c r="T328" t="str">
        <v>Lauina Futi</v>
      </c>
      <c r="U328" t="str">
        <v>NULL</v>
      </c>
      <c r="V328" t="str">
        <v>Home</v>
      </c>
      <c r="W328" t="str">
        <v>ARC</v>
      </c>
      <c r="X328">
        <v>7.0930763955423366</v>
      </c>
    </row>
    <row r="329" spans="8:24" x14ac:dyDescent="0.35">
      <c r="H329" s="66">
        <v>5</v>
      </c>
      <c r="I329" t="s">
        <v>4</v>
      </c>
      <c r="J329" t="s">
        <v>74</v>
      </c>
      <c r="K329" t="s">
        <v>256</v>
      </c>
      <c r="L329" t="s">
        <v>9</v>
      </c>
      <c r="M329" t="s">
        <v>23</v>
      </c>
      <c r="N329">
        <f t="shared" si="26"/>
        <v>10.543903978695182</v>
      </c>
      <c r="O329" t="str">
        <f t="shared" si="27"/>
        <v/>
      </c>
      <c r="P329" s="67" cm="1">
        <f t="array" ref="P329">SUMPRODUCT((H329=$H$7:$H$10000)*(N329&lt;$N$7:$N$10000))+1</f>
        <v>30</v>
      </c>
      <c r="Q329" s="72"/>
      <c r="R329">
        <v>7</v>
      </c>
      <c r="S329" t="str">
        <v>CHI</v>
      </c>
      <c r="T329" t="str">
        <v>Adriaan Carelse</v>
      </c>
      <c r="U329" t="str">
        <v>NULL</v>
      </c>
      <c r="V329" t="str">
        <v>Away</v>
      </c>
      <c r="W329" t="str">
        <v>NOLA</v>
      </c>
      <c r="X329">
        <v>6.9774299776222906</v>
      </c>
    </row>
    <row r="330" spans="8:24" x14ac:dyDescent="0.35">
      <c r="H330" s="66">
        <v>5</v>
      </c>
      <c r="I330" t="s">
        <v>23</v>
      </c>
      <c r="J330" t="s">
        <v>190</v>
      </c>
      <c r="K330" t="s">
        <v>256</v>
      </c>
      <c r="L330" t="s">
        <v>3</v>
      </c>
      <c r="M330" t="s">
        <v>4</v>
      </c>
      <c r="N330">
        <f t="shared" si="26"/>
        <v>10.538752717601696</v>
      </c>
      <c r="O330" t="str">
        <f t="shared" si="27"/>
        <v/>
      </c>
      <c r="P330" s="67" cm="1">
        <f t="array" ref="P330">SUMPRODUCT((H330=$H$7:$H$10000)*(N330&lt;$N$7:$N$10000))+1</f>
        <v>31</v>
      </c>
      <c r="Q330" s="72"/>
      <c r="R330">
        <v>7</v>
      </c>
      <c r="S330" t="str">
        <v>SDL</v>
      </c>
      <c r="T330" t="str">
        <v>James Vaifale</v>
      </c>
      <c r="U330" t="str">
        <v>NULL</v>
      </c>
      <c r="V330" t="str">
        <v>Away</v>
      </c>
      <c r="W330" t="str">
        <v>HOU</v>
      </c>
      <c r="X330">
        <v>6.9652879347842847</v>
      </c>
    </row>
    <row r="331" spans="8:24" x14ac:dyDescent="0.35">
      <c r="H331" s="66">
        <v>5</v>
      </c>
      <c r="I331" t="s">
        <v>13</v>
      </c>
      <c r="J331" t="s">
        <v>53</v>
      </c>
      <c r="K331" t="s">
        <v>256</v>
      </c>
      <c r="L331" t="s">
        <v>9</v>
      </c>
      <c r="M331" t="s">
        <v>24</v>
      </c>
      <c r="N331">
        <f t="shared" si="26"/>
        <v>10.315857536801705</v>
      </c>
      <c r="O331" t="str">
        <f t="shared" si="27"/>
        <v/>
      </c>
      <c r="P331" s="67" cm="1">
        <f t="array" ref="P331">SUMPRODUCT((H331=$H$7:$H$10000)*(N331&lt;$N$7:$N$10000))+1</f>
        <v>32</v>
      </c>
      <c r="Q331" s="72"/>
      <c r="R331">
        <v>7</v>
      </c>
      <c r="S331" t="str">
        <v>NOLA</v>
      </c>
      <c r="T331" t="str">
        <v>Luke Carty</v>
      </c>
      <c r="U331" t="str">
        <v>NULL</v>
      </c>
      <c r="V331" t="str">
        <v>Home</v>
      </c>
      <c r="W331" t="str">
        <v>CHI</v>
      </c>
      <c r="X331">
        <v>6.8032561022516767</v>
      </c>
    </row>
    <row r="332" spans="8:24" x14ac:dyDescent="0.35">
      <c r="H332" s="66">
        <v>5</v>
      </c>
      <c r="I332" t="s">
        <v>24</v>
      </c>
      <c r="J332" t="s">
        <v>96</v>
      </c>
      <c r="K332" t="s">
        <v>256</v>
      </c>
      <c r="L332" t="s">
        <v>3</v>
      </c>
      <c r="M332" t="s">
        <v>13</v>
      </c>
      <c r="N332">
        <f t="shared" ref="N332:N395" si="28">VLOOKUP($L332,$F$3:$G$4,2,FALSE)+VLOOKUP($J332,$A$20:$B$131,2,FALSE)+VLOOKUP($M332,$A$6:$B$16,2,FALSE)</f>
        <v>10.314333374381121</v>
      </c>
      <c r="O332" t="str">
        <f t="shared" ref="O332:O395" si="29">IFERROR(($K332-$N332)^2,"")</f>
        <v/>
      </c>
      <c r="P332" s="67" cm="1">
        <f t="array" ref="P332">SUMPRODUCT((H332=$H$7:$H$10000)*(N332&lt;$N$7:$N$10000))+1</f>
        <v>33</v>
      </c>
      <c r="Q332" s="72"/>
      <c r="R332">
        <v>7</v>
      </c>
      <c r="S332" t="str">
        <v>UTAH</v>
      </c>
      <c r="T332" t="str">
        <v>Kyle Brown</v>
      </c>
      <c r="U332" t="str">
        <v>NULL</v>
      </c>
      <c r="V332" t="str">
        <v>Home</v>
      </c>
      <c r="W332" t="str">
        <v>NEFJ</v>
      </c>
      <c r="X332">
        <v>6.7558500086354671</v>
      </c>
    </row>
    <row r="333" spans="8:24" x14ac:dyDescent="0.35">
      <c r="H333" s="66">
        <v>5</v>
      </c>
      <c r="I333" t="s">
        <v>17</v>
      </c>
      <c r="J333" t="s">
        <v>81</v>
      </c>
      <c r="K333" t="s">
        <v>256</v>
      </c>
      <c r="L333" t="s">
        <v>9</v>
      </c>
      <c r="M333" t="s">
        <v>6</v>
      </c>
      <c r="N333">
        <f t="shared" si="28"/>
        <v>10.307924794514758</v>
      </c>
      <c r="O333" t="str">
        <f t="shared" si="29"/>
        <v/>
      </c>
      <c r="P333" s="67" cm="1">
        <f t="array" ref="P333">SUMPRODUCT((H333=$H$7:$H$10000)*(N333&lt;$N$7:$N$10000))+1</f>
        <v>34</v>
      </c>
      <c r="Q333" s="72"/>
      <c r="R333">
        <v>7</v>
      </c>
      <c r="S333" t="str">
        <v>NOLA</v>
      </c>
      <c r="T333" t="str">
        <v>Dorian Jones</v>
      </c>
      <c r="U333" t="str">
        <v>NULL</v>
      </c>
      <c r="V333" t="str">
        <v>Home</v>
      </c>
      <c r="W333" t="str">
        <v>CHI</v>
      </c>
      <c r="X333">
        <v>6.3052669988198318</v>
      </c>
    </row>
    <row r="334" spans="8:24" x14ac:dyDescent="0.35">
      <c r="H334" s="66">
        <v>5</v>
      </c>
      <c r="I334" t="s">
        <v>6</v>
      </c>
      <c r="J334" t="s">
        <v>451</v>
      </c>
      <c r="K334" t="s">
        <v>256</v>
      </c>
      <c r="L334" t="s">
        <v>3</v>
      </c>
      <c r="M334" t="s">
        <v>17</v>
      </c>
      <c r="N334">
        <f t="shared" si="28"/>
        <v>10.008662554426282</v>
      </c>
      <c r="O334" t="str">
        <f t="shared" si="29"/>
        <v/>
      </c>
      <c r="P334" s="67" cm="1">
        <f t="array" ref="P334">SUMPRODUCT((H334=$H$7:$H$10000)*(N334&lt;$N$7:$N$10000))+1</f>
        <v>35</v>
      </c>
      <c r="Q334" s="72"/>
      <c r="R334">
        <v>7</v>
      </c>
      <c r="S334" t="str">
        <v>NEFJ</v>
      </c>
      <c r="T334" t="str">
        <v>Killian Coghlan</v>
      </c>
      <c r="U334" t="str">
        <v>NULL</v>
      </c>
      <c r="V334" t="str">
        <v>Away</v>
      </c>
      <c r="W334" t="str">
        <v>UTAH</v>
      </c>
      <c r="X334">
        <v>6.0617033149405888</v>
      </c>
    </row>
    <row r="335" spans="8:24" x14ac:dyDescent="0.35">
      <c r="H335" s="66">
        <v>5</v>
      </c>
      <c r="I335" t="s">
        <v>6</v>
      </c>
      <c r="J335" t="s">
        <v>64</v>
      </c>
      <c r="K335" t="s">
        <v>256</v>
      </c>
      <c r="L335" t="s">
        <v>3</v>
      </c>
      <c r="M335" t="s">
        <v>17</v>
      </c>
      <c r="N335">
        <f t="shared" si="28"/>
        <v>9.9677290093830813</v>
      </c>
      <c r="O335" t="str">
        <f t="shared" si="29"/>
        <v/>
      </c>
      <c r="P335" s="67" cm="1">
        <f t="array" ref="P335">SUMPRODUCT((H335=$H$7:$H$10000)*(N335&lt;$N$7:$N$10000))+1</f>
        <v>36</v>
      </c>
      <c r="Q335" s="72"/>
      <c r="R335">
        <v>7</v>
      </c>
      <c r="S335" t="str">
        <v>HOU</v>
      </c>
      <c r="T335" t="str">
        <v>Rufus McLean</v>
      </c>
      <c r="U335" t="str">
        <v>NULL</v>
      </c>
      <c r="V335" t="str">
        <v>Home</v>
      </c>
      <c r="W335" t="str">
        <v>SDL</v>
      </c>
      <c r="X335">
        <v>6.0522050070279452</v>
      </c>
    </row>
    <row r="336" spans="8:24" x14ac:dyDescent="0.35">
      <c r="H336" s="66">
        <v>5</v>
      </c>
      <c r="I336" t="s">
        <v>7</v>
      </c>
      <c r="J336" t="s">
        <v>447</v>
      </c>
      <c r="K336" t="s">
        <v>256</v>
      </c>
      <c r="L336" t="s">
        <v>9</v>
      </c>
      <c r="M336" t="s">
        <v>2</v>
      </c>
      <c r="N336">
        <f t="shared" si="28"/>
        <v>9.8670063846232594</v>
      </c>
      <c r="O336" t="str">
        <f t="shared" si="29"/>
        <v/>
      </c>
      <c r="P336" s="67" cm="1">
        <f t="array" ref="P336">SUMPRODUCT((H336=$H$7:$H$10000)*(N336&lt;$N$7:$N$10000))+1</f>
        <v>37</v>
      </c>
      <c r="Q336" s="72"/>
      <c r="R336">
        <v>7</v>
      </c>
      <c r="S336" t="str">
        <v>UTAH</v>
      </c>
      <c r="T336" t="str">
        <v>Logan Crowley</v>
      </c>
      <c r="U336" t="str">
        <v>NULL</v>
      </c>
      <c r="V336" t="str">
        <v>Home</v>
      </c>
      <c r="W336" t="str">
        <v>NEFJ</v>
      </c>
      <c r="X336">
        <v>6.0429741908068744</v>
      </c>
    </row>
    <row r="337" spans="8:24" x14ac:dyDescent="0.35">
      <c r="H337" s="66">
        <v>5</v>
      </c>
      <c r="I337" t="s">
        <v>4</v>
      </c>
      <c r="J337" t="s">
        <v>1</v>
      </c>
      <c r="K337" t="s">
        <v>256</v>
      </c>
      <c r="L337" t="s">
        <v>9</v>
      </c>
      <c r="M337" t="s">
        <v>23</v>
      </c>
      <c r="N337">
        <f t="shared" si="28"/>
        <v>9.7177154590153521</v>
      </c>
      <c r="O337" t="str">
        <f t="shared" si="29"/>
        <v/>
      </c>
      <c r="P337" s="67" cm="1">
        <f t="array" ref="P337">SUMPRODUCT((H337=$H$7:$H$10000)*(N337&lt;$N$7:$N$10000))+1</f>
        <v>38</v>
      </c>
      <c r="Q337" s="72"/>
      <c r="R337">
        <v>7</v>
      </c>
      <c r="S337" t="str">
        <v>CHI</v>
      </c>
      <c r="T337" t="str">
        <v>Ben Pollack</v>
      </c>
      <c r="U337" t="str">
        <v>NULL</v>
      </c>
      <c r="V337" t="str">
        <v>Away</v>
      </c>
      <c r="W337" t="str">
        <v>NOLA</v>
      </c>
      <c r="X337">
        <v>5.9500121369097236</v>
      </c>
    </row>
    <row r="338" spans="8:24" x14ac:dyDescent="0.35">
      <c r="H338" s="66">
        <v>5</v>
      </c>
      <c r="I338" t="s">
        <v>2</v>
      </c>
      <c r="J338" t="s">
        <v>88</v>
      </c>
      <c r="K338" t="s">
        <v>256</v>
      </c>
      <c r="L338" t="s">
        <v>3</v>
      </c>
      <c r="M338" t="s">
        <v>7</v>
      </c>
      <c r="N338">
        <f t="shared" si="28"/>
        <v>9.6840935020142815</v>
      </c>
      <c r="O338" t="str">
        <f t="shared" si="29"/>
        <v/>
      </c>
      <c r="P338" s="67" cm="1">
        <f t="array" ref="P338">SUMPRODUCT((H338=$H$7:$H$10000)*(N338&lt;$N$7:$N$10000))+1</f>
        <v>39</v>
      </c>
      <c r="Q338" s="72"/>
      <c r="R338">
        <v>7</v>
      </c>
      <c r="S338" t="str">
        <v>HOU</v>
      </c>
      <c r="T338" t="str">
        <v>Max Schumacher</v>
      </c>
      <c r="U338" t="str">
        <v>NULL</v>
      </c>
      <c r="V338" t="str">
        <v>Home</v>
      </c>
      <c r="W338" t="str">
        <v>SDL</v>
      </c>
      <c r="X338">
        <v>5.9053718468649645</v>
      </c>
    </row>
    <row r="339" spans="8:24" x14ac:dyDescent="0.35">
      <c r="H339" s="66">
        <v>5</v>
      </c>
      <c r="I339" t="s">
        <v>23</v>
      </c>
      <c r="J339" t="s">
        <v>46</v>
      </c>
      <c r="K339" t="s">
        <v>256</v>
      </c>
      <c r="L339" t="s">
        <v>3</v>
      </c>
      <c r="M339" t="s">
        <v>4</v>
      </c>
      <c r="N339">
        <f t="shared" si="28"/>
        <v>9.3379623158200697</v>
      </c>
      <c r="O339" t="str">
        <f t="shared" si="29"/>
        <v/>
      </c>
      <c r="P339" s="67" cm="1">
        <f t="array" ref="P339">SUMPRODUCT((H339=$H$7:$H$10000)*(N339&lt;$N$7:$N$10000))+1</f>
        <v>40</v>
      </c>
      <c r="Q339" s="72"/>
      <c r="R339">
        <v>7</v>
      </c>
      <c r="S339" t="str">
        <v>NOLA</v>
      </c>
      <c r="T339" t="str">
        <v>Isaac Te Tamaki</v>
      </c>
      <c r="U339" t="str">
        <v>NULL</v>
      </c>
      <c r="V339" t="str">
        <v>Home</v>
      </c>
      <c r="W339" t="str">
        <v>CHI</v>
      </c>
      <c r="X339">
        <v>5.8578937511829468</v>
      </c>
    </row>
    <row r="340" spans="8:24" x14ac:dyDescent="0.35">
      <c r="H340" s="66">
        <v>5</v>
      </c>
      <c r="I340" t="s">
        <v>23</v>
      </c>
      <c r="J340" t="s">
        <v>32</v>
      </c>
      <c r="K340" t="s">
        <v>256</v>
      </c>
      <c r="L340" t="s">
        <v>3</v>
      </c>
      <c r="M340" t="s">
        <v>4</v>
      </c>
      <c r="N340">
        <f t="shared" si="28"/>
        <v>9.1577583544861998</v>
      </c>
      <c r="O340" t="str">
        <f t="shared" si="29"/>
        <v/>
      </c>
      <c r="P340" s="67" cm="1">
        <f t="array" ref="P340">SUMPRODUCT((H340=$H$7:$H$10000)*(N340&lt;$N$7:$N$10000))+1</f>
        <v>41</v>
      </c>
      <c r="Q340" s="72"/>
      <c r="R340">
        <v>7</v>
      </c>
      <c r="S340" t="str">
        <v>SDL</v>
      </c>
      <c r="T340" t="str">
        <v>Richard Judd</v>
      </c>
      <c r="U340" t="str">
        <v>NULL</v>
      </c>
      <c r="V340" t="str">
        <v>Away</v>
      </c>
      <c r="W340" t="str">
        <v>HOU</v>
      </c>
      <c r="X340">
        <v>5.8473580436173531</v>
      </c>
    </row>
    <row r="341" spans="8:24" x14ac:dyDescent="0.35">
      <c r="H341" s="66">
        <v>5</v>
      </c>
      <c r="I341" t="s">
        <v>2</v>
      </c>
      <c r="J341" t="s">
        <v>495</v>
      </c>
      <c r="K341" t="s">
        <v>256</v>
      </c>
      <c r="L341" t="s">
        <v>3</v>
      </c>
      <c r="M341" t="s">
        <v>7</v>
      </c>
      <c r="N341">
        <f t="shared" si="28"/>
        <v>9.1313597483436624</v>
      </c>
      <c r="O341" t="str">
        <f t="shared" si="29"/>
        <v/>
      </c>
      <c r="P341" s="67" cm="1">
        <f t="array" ref="P341">SUMPRODUCT((H341=$H$7:$H$10000)*(N341&lt;$N$7:$N$10000))+1</f>
        <v>42</v>
      </c>
      <c r="Q341" s="72"/>
      <c r="R341">
        <v>7</v>
      </c>
      <c r="S341" t="str">
        <v>SDL</v>
      </c>
      <c r="T341" t="str">
        <v>Tiaan Loots</v>
      </c>
      <c r="U341" t="str">
        <v>NULL</v>
      </c>
      <c r="V341" t="str">
        <v>Away</v>
      </c>
      <c r="W341" t="str">
        <v>HOU</v>
      </c>
      <c r="X341">
        <v>5.7522867749193125</v>
      </c>
    </row>
    <row r="342" spans="8:24" x14ac:dyDescent="0.35">
      <c r="H342" s="66">
        <v>5</v>
      </c>
      <c r="I342" t="s">
        <v>23</v>
      </c>
      <c r="J342" t="s">
        <v>91</v>
      </c>
      <c r="K342" t="s">
        <v>256</v>
      </c>
      <c r="L342" t="s">
        <v>3</v>
      </c>
      <c r="M342" t="s">
        <v>4</v>
      </c>
      <c r="N342">
        <f t="shared" si="28"/>
        <v>9.1159561637802717</v>
      </c>
      <c r="O342" t="str">
        <f t="shared" si="29"/>
        <v/>
      </c>
      <c r="P342" s="67" cm="1">
        <f t="array" ref="P342">SUMPRODUCT((H342=$H$7:$H$10000)*(N342&lt;$N$7:$N$10000))+1</f>
        <v>43</v>
      </c>
      <c r="Q342" s="72"/>
      <c r="R342">
        <v>7</v>
      </c>
      <c r="S342" t="str">
        <v>SEA</v>
      </c>
      <c r="T342" t="str">
        <v>Dan Kriel</v>
      </c>
      <c r="U342" t="str">
        <v>NULL</v>
      </c>
      <c r="V342" t="str">
        <v>Home</v>
      </c>
      <c r="W342" t="str">
        <v>ARC</v>
      </c>
      <c r="X342">
        <v>5.7353213392987916</v>
      </c>
    </row>
    <row r="343" spans="8:24" x14ac:dyDescent="0.35">
      <c r="H343" s="66">
        <v>5</v>
      </c>
      <c r="I343" t="s">
        <v>17</v>
      </c>
      <c r="J343" t="s">
        <v>82</v>
      </c>
      <c r="K343" t="s">
        <v>256</v>
      </c>
      <c r="L343" t="s">
        <v>9</v>
      </c>
      <c r="M343" t="s">
        <v>6</v>
      </c>
      <c r="N343">
        <f t="shared" si="28"/>
        <v>8.9130489511990731</v>
      </c>
      <c r="O343" t="str">
        <f t="shared" si="29"/>
        <v/>
      </c>
      <c r="P343" s="67" cm="1">
        <f t="array" ref="P343">SUMPRODUCT((H343=$H$7:$H$10000)*(N343&lt;$N$7:$N$10000))+1</f>
        <v>44</v>
      </c>
      <c r="Q343" s="72"/>
      <c r="R343">
        <v>7</v>
      </c>
      <c r="S343" t="str">
        <v>OGDC</v>
      </c>
      <c r="T343" t="str">
        <v>Jason Emery</v>
      </c>
      <c r="U343" t="str">
        <v>NULL</v>
      </c>
      <c r="V343" t="str">
        <v>Away</v>
      </c>
      <c r="W343" t="str">
        <v>LA</v>
      </c>
      <c r="X343">
        <v>5.4379632859075899</v>
      </c>
    </row>
    <row r="344" spans="8:24" x14ac:dyDescent="0.35">
      <c r="H344" s="66">
        <v>5</v>
      </c>
      <c r="I344" t="s">
        <v>7</v>
      </c>
      <c r="J344" t="s">
        <v>77</v>
      </c>
      <c r="K344" t="s">
        <v>256</v>
      </c>
      <c r="L344" t="s">
        <v>9</v>
      </c>
      <c r="M344" t="s">
        <v>2</v>
      </c>
      <c r="N344">
        <f t="shared" si="28"/>
        <v>8.846473144968531</v>
      </c>
      <c r="O344" t="str">
        <f t="shared" si="29"/>
        <v/>
      </c>
      <c r="P344" s="67" cm="1">
        <f t="array" ref="P344">SUMPRODUCT((H344=$H$7:$H$10000)*(N344&lt;$N$7:$N$10000))+1</f>
        <v>45</v>
      </c>
      <c r="Q344" s="72"/>
      <c r="R344">
        <v>7</v>
      </c>
      <c r="S344" t="str">
        <v>CHI</v>
      </c>
      <c r="T344" t="str">
        <v>Bryce Campbell</v>
      </c>
      <c r="U344" t="str">
        <v>NULL</v>
      </c>
      <c r="V344" t="str">
        <v>Away</v>
      </c>
      <c r="W344" t="str">
        <v>NOLA</v>
      </c>
      <c r="X344">
        <v>5.3191257496580402</v>
      </c>
    </row>
    <row r="345" spans="8:24" x14ac:dyDescent="0.35">
      <c r="H345" s="66">
        <v>5</v>
      </c>
      <c r="I345" t="s">
        <v>13</v>
      </c>
      <c r="J345" t="s">
        <v>474</v>
      </c>
      <c r="K345" t="s">
        <v>256</v>
      </c>
      <c r="L345" t="s">
        <v>9</v>
      </c>
      <c r="M345" t="s">
        <v>24</v>
      </c>
      <c r="N345">
        <f t="shared" si="28"/>
        <v>8.7115518367467999</v>
      </c>
      <c r="O345" t="str">
        <f t="shared" si="29"/>
        <v/>
      </c>
      <c r="P345" s="67" cm="1">
        <f t="array" ref="P345">SUMPRODUCT((H345=$H$7:$H$10000)*(N345&lt;$N$7:$N$10000))+1</f>
        <v>46</v>
      </c>
      <c r="Q345" s="72"/>
      <c r="R345">
        <v>7</v>
      </c>
      <c r="S345" t="str">
        <v>ARC</v>
      </c>
      <c r="T345" t="str">
        <v>Jason Tidwell</v>
      </c>
      <c r="U345" t="str">
        <v>NULL</v>
      </c>
      <c r="V345" t="str">
        <v>Away</v>
      </c>
      <c r="W345" t="str">
        <v>SEA</v>
      </c>
      <c r="X345">
        <v>4.9183326019354201</v>
      </c>
    </row>
    <row r="346" spans="8:24" x14ac:dyDescent="0.35">
      <c r="H346" s="66">
        <v>5</v>
      </c>
      <c r="I346" t="s">
        <v>13</v>
      </c>
      <c r="J346" t="s">
        <v>472</v>
      </c>
      <c r="K346" t="s">
        <v>256</v>
      </c>
      <c r="L346" t="s">
        <v>9</v>
      </c>
      <c r="M346" t="s">
        <v>24</v>
      </c>
      <c r="N346">
        <f t="shared" si="28"/>
        <v>7.9986760189182062</v>
      </c>
      <c r="O346" t="str">
        <f t="shared" si="29"/>
        <v/>
      </c>
      <c r="P346" s="67" cm="1">
        <f t="array" ref="P346">SUMPRODUCT((H346=$H$7:$H$10000)*(N346&lt;$N$7:$N$10000))+1</f>
        <v>47</v>
      </c>
      <c r="Q346" s="72"/>
      <c r="R346">
        <v>7</v>
      </c>
      <c r="S346" t="str">
        <v>HOU</v>
      </c>
      <c r="T346" t="str">
        <v>Tautalatasi Tasi</v>
      </c>
      <c r="U346" t="str">
        <v>NULL</v>
      </c>
      <c r="V346" t="str">
        <v>Home</v>
      </c>
      <c r="W346" t="str">
        <v>SDL</v>
      </c>
      <c r="X346">
        <v>4.6300191106234019</v>
      </c>
    </row>
    <row r="347" spans="8:24" x14ac:dyDescent="0.35">
      <c r="H347" s="66">
        <v>5</v>
      </c>
      <c r="I347" t="s">
        <v>17</v>
      </c>
      <c r="J347" t="s">
        <v>16</v>
      </c>
      <c r="K347" t="s">
        <v>256</v>
      </c>
      <c r="L347" t="s">
        <v>9</v>
      </c>
      <c r="M347" t="s">
        <v>6</v>
      </c>
      <c r="N347">
        <f t="shared" si="28"/>
        <v>7.5552938949555299</v>
      </c>
      <c r="O347" t="str">
        <f t="shared" si="29"/>
        <v/>
      </c>
      <c r="P347" s="67" cm="1">
        <f t="array" ref="P347">SUMPRODUCT((H347=$H$7:$H$10000)*(N347&lt;$N$7:$N$10000))+1</f>
        <v>48</v>
      </c>
      <c r="Q347" s="72"/>
      <c r="R347">
        <v>7</v>
      </c>
      <c r="S347" t="str">
        <v>CHI</v>
      </c>
      <c r="T347" t="str">
        <v>Mitch Short</v>
      </c>
      <c r="U347" t="str">
        <v>NULL</v>
      </c>
      <c r="V347" t="str">
        <v>Away</v>
      </c>
      <c r="W347" t="str">
        <v>NOLA</v>
      </c>
      <c r="X347">
        <v>4.4524340343166617</v>
      </c>
    </row>
    <row r="348" spans="8:24" x14ac:dyDescent="0.35">
      <c r="H348" s="66">
        <v>5</v>
      </c>
      <c r="I348" t="s">
        <v>24</v>
      </c>
      <c r="J348" t="s">
        <v>402</v>
      </c>
      <c r="K348" t="s">
        <v>256</v>
      </c>
      <c r="L348" t="s">
        <v>3</v>
      </c>
      <c r="M348" t="s">
        <v>13</v>
      </c>
      <c r="N348">
        <f t="shared" si="28"/>
        <v>7.4229220116978887</v>
      </c>
      <c r="O348" t="str">
        <f t="shared" si="29"/>
        <v/>
      </c>
      <c r="P348" s="67" cm="1">
        <f t="array" ref="P348">SUMPRODUCT((H348=$H$7:$H$10000)*(N348&lt;$N$7:$N$10000))+1</f>
        <v>49</v>
      </c>
      <c r="Q348" s="72"/>
      <c r="R348">
        <v>7</v>
      </c>
      <c r="S348" t="str">
        <v>SDL</v>
      </c>
      <c r="T348" t="str">
        <v>Marcel Brache</v>
      </c>
      <c r="U348" t="str">
        <v>NULL</v>
      </c>
      <c r="V348" t="str">
        <v>Away</v>
      </c>
      <c r="W348" t="str">
        <v>HOU</v>
      </c>
      <c r="X348">
        <v>4.3991044616378643</v>
      </c>
    </row>
    <row r="349" spans="8:24" x14ac:dyDescent="0.35">
      <c r="H349" s="66">
        <v>5</v>
      </c>
      <c r="I349" t="s">
        <v>2</v>
      </c>
      <c r="J349" t="s">
        <v>449</v>
      </c>
      <c r="K349" t="s">
        <v>256</v>
      </c>
      <c r="L349" t="s">
        <v>3</v>
      </c>
      <c r="M349" t="s">
        <v>7</v>
      </c>
      <c r="N349">
        <f t="shared" si="28"/>
        <v>7.0224622400021612</v>
      </c>
      <c r="O349" t="str">
        <f t="shared" si="29"/>
        <v/>
      </c>
      <c r="P349" s="67" cm="1">
        <f t="array" ref="P349">SUMPRODUCT((H349=$H$7:$H$10000)*(N349&lt;$N$7:$N$10000))+1</f>
        <v>50</v>
      </c>
      <c r="Q349" s="72"/>
      <c r="R349">
        <v>7</v>
      </c>
      <c r="S349" t="str">
        <v>ARC</v>
      </c>
      <c r="T349" t="str">
        <v>Junior Gafa</v>
      </c>
      <c r="U349" t="str">
        <v>NULL</v>
      </c>
      <c r="V349" t="str">
        <v>Away</v>
      </c>
      <c r="W349" t="str">
        <v>SEA</v>
      </c>
      <c r="X349">
        <v>4.2683758232226996</v>
      </c>
    </row>
    <row r="350" spans="8:24" x14ac:dyDescent="0.35">
      <c r="H350" s="66">
        <v>5</v>
      </c>
      <c r="I350" t="s">
        <v>4</v>
      </c>
      <c r="J350" t="s">
        <v>493</v>
      </c>
      <c r="K350" t="s">
        <v>256</v>
      </c>
      <c r="L350" t="s">
        <v>9</v>
      </c>
      <c r="M350" t="s">
        <v>23</v>
      </c>
      <c r="N350">
        <f t="shared" si="28"/>
        <v>6.9780058723302751</v>
      </c>
      <c r="O350" t="str">
        <f t="shared" si="29"/>
        <v/>
      </c>
      <c r="P350" s="67" cm="1">
        <f t="array" ref="P350">SUMPRODUCT((H350=$H$7:$H$10000)*(N350&lt;$N$7:$N$10000))+1</f>
        <v>51</v>
      </c>
      <c r="Q350" s="72"/>
      <c r="R350">
        <v>7</v>
      </c>
      <c r="S350" t="str">
        <v>OGDC</v>
      </c>
      <c r="T350" t="str">
        <v>Perry Humphreys</v>
      </c>
      <c r="U350" t="str">
        <v>NULL</v>
      </c>
      <c r="V350" t="str">
        <v>Away</v>
      </c>
      <c r="W350" t="str">
        <v>LA</v>
      </c>
      <c r="X350">
        <v>3.6539684070551139</v>
      </c>
    </row>
    <row r="351" spans="8:24" x14ac:dyDescent="0.35">
      <c r="H351" s="66">
        <v>5</v>
      </c>
      <c r="I351" t="s">
        <v>24</v>
      </c>
      <c r="J351" t="s">
        <v>35</v>
      </c>
      <c r="K351" t="s">
        <v>256</v>
      </c>
      <c r="L351" t="s">
        <v>3</v>
      </c>
      <c r="M351" t="s">
        <v>13</v>
      </c>
      <c r="N351">
        <f t="shared" si="28"/>
        <v>6.6166236657815976</v>
      </c>
      <c r="O351" t="str">
        <f t="shared" si="29"/>
        <v/>
      </c>
      <c r="P351" s="67" cm="1">
        <f t="array" ref="P351">SUMPRODUCT((H351=$H$7:$H$10000)*(N351&lt;$N$7:$N$10000))+1</f>
        <v>52</v>
      </c>
      <c r="Q351" s="72"/>
      <c r="R351">
        <v>7</v>
      </c>
      <c r="S351" t="str">
        <v>NEFJ</v>
      </c>
      <c r="T351" t="str">
        <v>Harrison Boyle</v>
      </c>
      <c r="U351" t="str">
        <v>NULL</v>
      </c>
      <c r="V351" t="str">
        <v>Away</v>
      </c>
      <c r="W351" t="str">
        <v>UTAH</v>
      </c>
      <c r="X351">
        <v>3.6511551920112773</v>
      </c>
    </row>
    <row r="352" spans="8:24" x14ac:dyDescent="0.35">
      <c r="H352" s="66">
        <v>5</v>
      </c>
      <c r="I352" t="s">
        <v>4</v>
      </c>
      <c r="J352" t="s">
        <v>188</v>
      </c>
      <c r="K352" t="s">
        <v>256</v>
      </c>
      <c r="L352" t="s">
        <v>9</v>
      </c>
      <c r="M352" t="s">
        <v>23</v>
      </c>
      <c r="N352">
        <f t="shared" si="28"/>
        <v>6.4800167688984303</v>
      </c>
      <c r="O352" t="str">
        <f t="shared" si="29"/>
        <v/>
      </c>
      <c r="P352" s="67" cm="1">
        <f t="array" ref="P352">SUMPRODUCT((H352=$H$7:$H$10000)*(N352&lt;$N$7:$N$10000))+1</f>
        <v>53</v>
      </c>
      <c r="Q352" s="72"/>
      <c r="R352">
        <v>7</v>
      </c>
      <c r="S352" t="str">
        <v>OGDC</v>
      </c>
      <c r="T352" t="str">
        <v>Ethan McVeigh</v>
      </c>
      <c r="U352" t="str">
        <v>NULL</v>
      </c>
      <c r="V352" t="str">
        <v>Away</v>
      </c>
      <c r="W352" t="str">
        <v>LA</v>
      </c>
      <c r="X352">
        <v>3.6211107151071289</v>
      </c>
    </row>
    <row r="353" spans="8:24" x14ac:dyDescent="0.35">
      <c r="H353" s="66">
        <v>5</v>
      </c>
      <c r="I353" t="s">
        <v>2</v>
      </c>
      <c r="J353" t="s">
        <v>63</v>
      </c>
      <c r="K353" t="s">
        <v>256</v>
      </c>
      <c r="L353" t="s">
        <v>3</v>
      </c>
      <c r="M353" t="s">
        <v>7</v>
      </c>
      <c r="N353">
        <f t="shared" si="28"/>
        <v>6.1311932042052462</v>
      </c>
      <c r="O353" t="str">
        <f t="shared" si="29"/>
        <v/>
      </c>
      <c r="P353" s="67" cm="1">
        <f t="array" ref="P353">SUMPRODUCT((H353=$H$7:$H$10000)*(N353&lt;$N$7:$N$10000))+1</f>
        <v>54</v>
      </c>
      <c r="Q353" s="72"/>
      <c r="R353">
        <v>7</v>
      </c>
      <c r="S353" t="str">
        <v>SEA</v>
      </c>
      <c r="T353" t="str">
        <v>Jade Stighling</v>
      </c>
      <c r="U353" t="str">
        <v>NULL</v>
      </c>
      <c r="V353" t="str">
        <v>Home</v>
      </c>
      <c r="W353" t="str">
        <v>ARC</v>
      </c>
      <c r="X353">
        <v>3.4599655033617536</v>
      </c>
    </row>
    <row r="354" spans="8:24" x14ac:dyDescent="0.35">
      <c r="H354" s="66">
        <v>5</v>
      </c>
      <c r="I354" t="s">
        <v>4</v>
      </c>
      <c r="J354" t="s">
        <v>452</v>
      </c>
      <c r="K354" t="s">
        <v>256</v>
      </c>
      <c r="L354" t="s">
        <v>9</v>
      </c>
      <c r="M354" t="s">
        <v>23</v>
      </c>
      <c r="N354">
        <f t="shared" si="28"/>
        <v>6.0326435212615452</v>
      </c>
      <c r="O354" t="str">
        <f t="shared" si="29"/>
        <v/>
      </c>
      <c r="P354" s="67" cm="1">
        <f t="array" ref="P354">SUMPRODUCT((H354=$H$7:$H$10000)*(N354&lt;$N$7:$N$10000))+1</f>
        <v>55</v>
      </c>
      <c r="Q354" s="72"/>
      <c r="R354">
        <v>7</v>
      </c>
      <c r="S354" t="str">
        <v>NOLA</v>
      </c>
      <c r="T354" t="str">
        <v>Nikolai Foliaki</v>
      </c>
      <c r="U354" t="str">
        <v>NULL</v>
      </c>
      <c r="V354" t="str">
        <v>Home</v>
      </c>
      <c r="W354" t="str">
        <v>CHI</v>
      </c>
      <c r="X354">
        <v>3.4434934420572496</v>
      </c>
    </row>
    <row r="355" spans="8:24" x14ac:dyDescent="0.35">
      <c r="H355" s="65">
        <v>5</v>
      </c>
      <c r="I355" t="s">
        <v>17</v>
      </c>
      <c r="J355" t="s">
        <v>76</v>
      </c>
      <c r="K355" t="s">
        <v>256</v>
      </c>
      <c r="L355" t="s">
        <v>9</v>
      </c>
      <c r="M355" t="s">
        <v>6</v>
      </c>
      <c r="N355">
        <f t="shared" si="28"/>
        <v>5.2799380590184919</v>
      </c>
      <c r="O355" t="str">
        <f t="shared" si="29"/>
        <v/>
      </c>
      <c r="P355" s="67" cm="1">
        <f t="array" ref="P355">SUMPRODUCT((H355=$H$7:$H$10000)*(N355&lt;$N$7:$N$10000))+1</f>
        <v>56</v>
      </c>
      <c r="Q355" s="72"/>
      <c r="R355">
        <v>7</v>
      </c>
      <c r="S355" t="str">
        <v>NEFJ</v>
      </c>
      <c r="T355" t="str">
        <v>John Poland</v>
      </c>
      <c r="U355" t="str">
        <v>NULL</v>
      </c>
      <c r="V355" t="str">
        <v>Away</v>
      </c>
      <c r="W355" t="str">
        <v>UTAH</v>
      </c>
      <c r="X355">
        <v>3.10425111014401</v>
      </c>
    </row>
    <row r="356" spans="8:24" x14ac:dyDescent="0.35">
      <c r="H356" s="66">
        <v>5</v>
      </c>
      <c r="I356" t="s">
        <v>2</v>
      </c>
      <c r="J356" t="s">
        <v>455</v>
      </c>
      <c r="K356" t="s">
        <v>256</v>
      </c>
      <c r="L356" t="s">
        <v>3</v>
      </c>
      <c r="M356" t="s">
        <v>7</v>
      </c>
      <c r="N356">
        <f t="shared" si="28"/>
        <v>5.1037753634926792</v>
      </c>
      <c r="O356" t="str">
        <f t="shared" si="29"/>
        <v/>
      </c>
      <c r="P356" s="67" cm="1">
        <f t="array" ref="P356">SUMPRODUCT((H356=$H$7:$H$10000)*(N356&lt;$N$7:$N$10000))+1</f>
        <v>57</v>
      </c>
      <c r="Q356" s="72"/>
      <c r="R356">
        <v>7</v>
      </c>
      <c r="S356" t="str">
        <v>HOU</v>
      </c>
      <c r="T356" t="str">
        <v>Sam Hill</v>
      </c>
      <c r="U356" t="str">
        <v>NULL</v>
      </c>
      <c r="V356" t="str">
        <v>Home</v>
      </c>
      <c r="W356" t="str">
        <v>SDL</v>
      </c>
      <c r="X356">
        <v>3.058660943020227</v>
      </c>
    </row>
    <row r="357" spans="8:24" x14ac:dyDescent="0.35">
      <c r="H357" s="66">
        <v>5</v>
      </c>
      <c r="I357" t="s">
        <v>23</v>
      </c>
      <c r="J357" t="s">
        <v>498</v>
      </c>
      <c r="K357" t="s">
        <v>256</v>
      </c>
      <c r="L357" t="s">
        <v>3</v>
      </c>
      <c r="M357" t="s">
        <v>4</v>
      </c>
      <c r="N357">
        <f t="shared" si="28"/>
        <v>4.7711052268891567</v>
      </c>
      <c r="O357" t="str">
        <f t="shared" si="29"/>
        <v/>
      </c>
      <c r="P357" s="67" cm="1">
        <f t="array" ref="P357">SUMPRODUCT((H357=$H$7:$H$10000)*(N357&lt;$N$7:$N$10000))+1</f>
        <v>58</v>
      </c>
      <c r="Q357" s="72"/>
      <c r="R357">
        <v>7</v>
      </c>
      <c r="S357" t="str">
        <v>SEA</v>
      </c>
      <c r="T357" t="str">
        <v>Jeremiah Sio</v>
      </c>
      <c r="U357" t="str">
        <v>NULL</v>
      </c>
      <c r="V357" t="str">
        <v>Home</v>
      </c>
      <c r="W357" t="str">
        <v>ARC</v>
      </c>
      <c r="X357">
        <v>2.833935625126661</v>
      </c>
    </row>
    <row r="358" spans="8:24" x14ac:dyDescent="0.35">
      <c r="H358" s="66">
        <v>5</v>
      </c>
      <c r="I358" t="s">
        <v>17</v>
      </c>
      <c r="J358" t="s">
        <v>458</v>
      </c>
      <c r="K358" t="s">
        <v>256</v>
      </c>
      <c r="L358" t="s">
        <v>9</v>
      </c>
      <c r="M358" t="s">
        <v>6</v>
      </c>
      <c r="N358">
        <f t="shared" si="28"/>
        <v>4.6539081807833984</v>
      </c>
      <c r="O358" t="str">
        <f t="shared" si="29"/>
        <v/>
      </c>
      <c r="P358" s="67" cm="1">
        <f t="array" ref="P358">SUMPRODUCT((H358=$H$7:$H$10000)*(N358&lt;$N$7:$N$10000))+1</f>
        <v>59</v>
      </c>
      <c r="Q358" s="72"/>
      <c r="R358">
        <v>7</v>
      </c>
      <c r="S358" t="str">
        <v>HOU</v>
      </c>
      <c r="T358" t="str">
        <v>Andre Warner</v>
      </c>
      <c r="U358" t="str">
        <v>NULL</v>
      </c>
      <c r="V358" t="str">
        <v>Home</v>
      </c>
      <c r="W358" t="str">
        <v>SDL</v>
      </c>
      <c r="X358">
        <v>2.8110980416499496</v>
      </c>
    </row>
    <row r="359" spans="8:24" x14ac:dyDescent="0.35">
      <c r="H359" s="66">
        <v>5</v>
      </c>
      <c r="I359" t="s">
        <v>2</v>
      </c>
      <c r="J359" t="s">
        <v>44</v>
      </c>
      <c r="K359" t="s">
        <v>256</v>
      </c>
      <c r="L359" t="s">
        <v>3</v>
      </c>
      <c r="M359" t="s">
        <v>7</v>
      </c>
      <c r="N359">
        <f t="shared" si="28"/>
        <v>4.4728889762409967</v>
      </c>
      <c r="O359" t="str">
        <f t="shared" si="29"/>
        <v/>
      </c>
      <c r="P359" s="67" cm="1">
        <f t="array" ref="P359">SUMPRODUCT((H359=$H$7:$H$10000)*(N359&lt;$N$7:$N$10000))+1</f>
        <v>60</v>
      </c>
      <c r="Q359" s="72"/>
      <c r="R359">
        <v>7</v>
      </c>
      <c r="S359" t="str">
        <v>CHI</v>
      </c>
      <c r="T359" t="str">
        <v>Noah Brown</v>
      </c>
      <c r="U359" t="str">
        <v>NULL</v>
      </c>
      <c r="V359" t="str">
        <v>Away</v>
      </c>
      <c r="W359" t="str">
        <v>NOLA</v>
      </c>
      <c r="X359">
        <v>2.5205867979767351</v>
      </c>
    </row>
    <row r="360" spans="8:24" x14ac:dyDescent="0.35">
      <c r="H360" s="66">
        <v>5</v>
      </c>
      <c r="I360" t="s">
        <v>24</v>
      </c>
      <c r="J360" t="s">
        <v>459</v>
      </c>
      <c r="K360" t="s">
        <v>256</v>
      </c>
      <c r="L360" t="s">
        <v>3</v>
      </c>
      <c r="M360" t="s">
        <v>13</v>
      </c>
      <c r="N360">
        <f t="shared" si="28"/>
        <v>4.2940285314275473</v>
      </c>
      <c r="O360" t="str">
        <f t="shared" si="29"/>
        <v/>
      </c>
      <c r="P360" s="67" cm="1">
        <f t="array" ref="P360">SUMPRODUCT((H360=$H$7:$H$10000)*(N360&lt;$N$7:$N$10000))+1</f>
        <v>61</v>
      </c>
      <c r="Q360" s="72"/>
      <c r="R360">
        <v>7</v>
      </c>
      <c r="S360" t="str">
        <v>ARC</v>
      </c>
      <c r="T360" t="str">
        <v>Conner Mooneyham</v>
      </c>
      <c r="U360" t="str">
        <v>NULL</v>
      </c>
      <c r="V360" t="str">
        <v>Away</v>
      </c>
      <c r="W360" t="str">
        <v>SEA</v>
      </c>
      <c r="X360">
        <v>2.3916089066187078</v>
      </c>
    </row>
    <row r="361" spans="8:24" x14ac:dyDescent="0.35">
      <c r="H361" s="66">
        <v>5</v>
      </c>
      <c r="I361" t="s">
        <v>6</v>
      </c>
      <c r="J361" t="s">
        <v>66</v>
      </c>
      <c r="K361" t="s">
        <v>256</v>
      </c>
      <c r="L361" t="s">
        <v>3</v>
      </c>
      <c r="M361" t="s">
        <v>17</v>
      </c>
      <c r="N361">
        <f t="shared" si="28"/>
        <v>3.9967593249163409</v>
      </c>
      <c r="O361" t="str">
        <f t="shared" si="29"/>
        <v/>
      </c>
      <c r="P361" s="67" cm="1">
        <f t="array" ref="P361">SUMPRODUCT((H361=$H$7:$H$10000)*(N361&lt;$N$7:$N$10000))+1</f>
        <v>62</v>
      </c>
      <c r="Q361" s="72"/>
      <c r="R361">
        <v>7</v>
      </c>
      <c r="S361" t="str">
        <v>NEFJ</v>
      </c>
      <c r="T361" t="str">
        <v>Simon-Peter Toleafoa</v>
      </c>
      <c r="U361" t="str">
        <v>NULL</v>
      </c>
      <c r="V361" t="str">
        <v>Away</v>
      </c>
      <c r="W361" t="str">
        <v>UTAH</v>
      </c>
      <c r="X361">
        <v>2.3415165915801683</v>
      </c>
    </row>
    <row r="362" spans="8:24" x14ac:dyDescent="0.35">
      <c r="H362" s="66">
        <v>5</v>
      </c>
      <c r="I362" t="s">
        <v>4</v>
      </c>
      <c r="J362" t="s">
        <v>475</v>
      </c>
      <c r="K362" t="s">
        <v>256</v>
      </c>
      <c r="L362" t="s">
        <v>9</v>
      </c>
      <c r="M362" t="s">
        <v>23</v>
      </c>
      <c r="N362">
        <f t="shared" si="28"/>
        <v>3.6182432121358481</v>
      </c>
      <c r="O362" t="str">
        <f t="shared" si="29"/>
        <v/>
      </c>
      <c r="P362" s="67" cm="1">
        <f t="array" ref="P362">SUMPRODUCT((H362=$H$7:$H$10000)*(N362&lt;$N$7:$N$10000))+1</f>
        <v>63</v>
      </c>
      <c r="Q362" s="72"/>
      <c r="R362">
        <v>7</v>
      </c>
      <c r="S362" t="str">
        <v>CHI</v>
      </c>
      <c r="T362" t="str">
        <v>Mark O'Keeffe</v>
      </c>
      <c r="U362" t="str">
        <v>NULL</v>
      </c>
      <c r="V362" t="str">
        <v>Away</v>
      </c>
      <c r="W362" t="str">
        <v>NOLA</v>
      </c>
      <c r="X362">
        <v>2.2607702436373973</v>
      </c>
    </row>
    <row r="363" spans="8:24" x14ac:dyDescent="0.35">
      <c r="H363" s="66">
        <v>5</v>
      </c>
      <c r="I363" t="s">
        <v>2</v>
      </c>
      <c r="J363" t="s">
        <v>441</v>
      </c>
      <c r="K363" t="s">
        <v>256</v>
      </c>
      <c r="L363" t="s">
        <v>3</v>
      </c>
      <c r="M363" t="s">
        <v>7</v>
      </c>
      <c r="N363">
        <f t="shared" si="28"/>
        <v>3.6061972608996173</v>
      </c>
      <c r="O363" t="str">
        <f t="shared" si="29"/>
        <v/>
      </c>
      <c r="P363" s="67" cm="1">
        <f t="array" ref="P363">SUMPRODUCT((H363=$H$7:$H$10000)*(N363&lt;$N$7:$N$10000))+1</f>
        <v>64</v>
      </c>
      <c r="Q363" s="72"/>
      <c r="R363">
        <v>7</v>
      </c>
      <c r="S363" t="str">
        <v>CHI</v>
      </c>
      <c r="T363" t="str">
        <v>Tim Swiel</v>
      </c>
      <c r="U363" t="str">
        <v>NULL</v>
      </c>
      <c r="V363" t="str">
        <v>Away</v>
      </c>
      <c r="W363" t="str">
        <v>NOLA</v>
      </c>
      <c r="X363">
        <v>2.2506829017257308</v>
      </c>
    </row>
    <row r="364" spans="8:24" x14ac:dyDescent="0.35">
      <c r="H364" s="66">
        <v>5</v>
      </c>
      <c r="I364" t="s">
        <v>7</v>
      </c>
      <c r="J364" t="s">
        <v>19</v>
      </c>
      <c r="K364" t="s">
        <v>256</v>
      </c>
      <c r="L364" t="s">
        <v>9</v>
      </c>
      <c r="M364" t="s">
        <v>2</v>
      </c>
      <c r="N364">
        <f t="shared" si="28"/>
        <v>2.4828080157206012</v>
      </c>
      <c r="O364" t="str">
        <f t="shared" si="29"/>
        <v/>
      </c>
      <c r="P364" s="67" cm="1">
        <f t="array" ref="P364">SUMPRODUCT((H364=$H$7:$H$10000)*(N364&lt;$N$7:$N$10000))+1</f>
        <v>65</v>
      </c>
      <c r="Q364" s="72"/>
      <c r="R364">
        <v>7</v>
      </c>
      <c r="S364" t="str">
        <v>NEFJ</v>
      </c>
      <c r="T364" t="str">
        <v>Isaac Olson</v>
      </c>
      <c r="U364" t="str">
        <v>NULL</v>
      </c>
      <c r="V364" t="str">
        <v>Away</v>
      </c>
      <c r="W364" t="str">
        <v>UTAH</v>
      </c>
      <c r="X364">
        <v>2.0362731627711401</v>
      </c>
    </row>
    <row r="365" spans="8:24" x14ac:dyDescent="0.35">
      <c r="H365" s="66">
        <v>5</v>
      </c>
      <c r="I365" t="s">
        <v>23</v>
      </c>
      <c r="J365" t="s">
        <v>443</v>
      </c>
      <c r="K365" t="s">
        <v>256</v>
      </c>
      <c r="L365" t="s">
        <v>3</v>
      </c>
      <c r="M365" t="s">
        <v>4</v>
      </c>
      <c r="N365">
        <f t="shared" si="28"/>
        <v>2.3605571039598452</v>
      </c>
      <c r="O365" t="str">
        <f t="shared" si="29"/>
        <v/>
      </c>
      <c r="P365" s="67" cm="1">
        <f t="array" ref="P365">SUMPRODUCT((H365=$H$7:$H$10000)*(N365&lt;$N$7:$N$10000))+1</f>
        <v>66</v>
      </c>
      <c r="Q365" s="72"/>
      <c r="R365">
        <v>7</v>
      </c>
      <c r="S365" t="str">
        <v>HOU</v>
      </c>
      <c r="T365" t="str">
        <v>Seimou Smith</v>
      </c>
      <c r="U365" t="str">
        <v>NULL</v>
      </c>
      <c r="V365" t="str">
        <v>Home</v>
      </c>
      <c r="W365" t="str">
        <v>SDL</v>
      </c>
      <c r="X365">
        <v>1.5318824167786262</v>
      </c>
    </row>
    <row r="366" spans="8:24" x14ac:dyDescent="0.35">
      <c r="H366" s="66">
        <v>5</v>
      </c>
      <c r="I366" t="s">
        <v>23</v>
      </c>
      <c r="J366" t="s">
        <v>127</v>
      </c>
      <c r="K366" t="s">
        <v>256</v>
      </c>
      <c r="L366" t="s">
        <v>3</v>
      </c>
      <c r="M366" t="s">
        <v>4</v>
      </c>
      <c r="N366">
        <f t="shared" si="28"/>
        <v>1.8136530220925779</v>
      </c>
      <c r="O366" t="str">
        <f t="shared" si="29"/>
        <v/>
      </c>
      <c r="P366" s="67" cm="1">
        <f t="array" ref="P366">SUMPRODUCT((H366=$H$7:$H$10000)*(N366&lt;$N$7:$N$10000))+1</f>
        <v>67</v>
      </c>
      <c r="Q366" s="72"/>
      <c r="R366">
        <v>7</v>
      </c>
      <c r="S366" t="str">
        <v>ARC</v>
      </c>
      <c r="T366" t="str">
        <v>Carlo de Nysschen</v>
      </c>
      <c r="U366" t="str">
        <v>NULL</v>
      </c>
      <c r="V366" t="str">
        <v>Away</v>
      </c>
      <c r="W366" t="str">
        <v>SEA</v>
      </c>
      <c r="X366">
        <v>1.4381820886567844</v>
      </c>
    </row>
    <row r="367" spans="8:24" x14ac:dyDescent="0.35">
      <c r="H367" s="66">
        <v>5</v>
      </c>
      <c r="I367" t="s">
        <v>2</v>
      </c>
      <c r="J367" t="s">
        <v>90</v>
      </c>
      <c r="K367" t="s">
        <v>256</v>
      </c>
      <c r="L367" t="s">
        <v>3</v>
      </c>
      <c r="M367" t="s">
        <v>7</v>
      </c>
      <c r="N367">
        <f t="shared" si="28"/>
        <v>1.6743500245596898</v>
      </c>
      <c r="O367" t="str">
        <f t="shared" si="29"/>
        <v/>
      </c>
      <c r="P367" s="67" cm="1">
        <f t="array" ref="P367">SUMPRODUCT((H367=$H$7:$H$10000)*(N367&lt;$N$7:$N$10000))+1</f>
        <v>68</v>
      </c>
      <c r="Q367" s="72"/>
      <c r="R367">
        <v>7</v>
      </c>
      <c r="S367" t="str">
        <v>LA</v>
      </c>
      <c r="T367" t="str">
        <v>Christian Dyer</v>
      </c>
      <c r="U367" t="str">
        <v>NULL</v>
      </c>
      <c r="V367" t="str">
        <v>Home</v>
      </c>
      <c r="W367" t="str">
        <v>OGDC</v>
      </c>
      <c r="X367">
        <v>1.1563784952606335</v>
      </c>
    </row>
    <row r="368" spans="8:24" x14ac:dyDescent="0.35">
      <c r="H368" s="66">
        <v>5</v>
      </c>
      <c r="I368" t="s">
        <v>2</v>
      </c>
      <c r="J368" t="s">
        <v>12</v>
      </c>
      <c r="K368" t="s">
        <v>256</v>
      </c>
      <c r="L368" t="s">
        <v>3</v>
      </c>
      <c r="M368" t="s">
        <v>7</v>
      </c>
      <c r="N368">
        <f t="shared" si="28"/>
        <v>1.414533470220352</v>
      </c>
      <c r="O368" t="str">
        <f t="shared" si="29"/>
        <v/>
      </c>
      <c r="P368" s="67" cm="1">
        <f t="array" ref="P368">SUMPRODUCT((H368=$H$7:$H$10000)*(N368&lt;$N$7:$N$10000))+1</f>
        <v>69</v>
      </c>
      <c r="Q368" s="72"/>
      <c r="R368">
        <v>7</v>
      </c>
      <c r="S368" t="str">
        <v>CHI</v>
      </c>
      <c r="T368" t="str">
        <v>Julian Dominguez</v>
      </c>
      <c r="U368" t="str">
        <v>NULL</v>
      </c>
      <c r="V368" t="str">
        <v>Away</v>
      </c>
      <c r="W368" t="str">
        <v>NOLA</v>
      </c>
      <c r="X368">
        <v>0.88115351391906138</v>
      </c>
    </row>
    <row r="369" spans="8:24" x14ac:dyDescent="0.35">
      <c r="H369" s="66">
        <v>5</v>
      </c>
      <c r="I369" t="s">
        <v>2</v>
      </c>
      <c r="J369" t="s">
        <v>444</v>
      </c>
      <c r="K369" t="s">
        <v>256</v>
      </c>
      <c r="L369" t="s">
        <v>3</v>
      </c>
      <c r="M369" t="s">
        <v>7</v>
      </c>
      <c r="N369">
        <f t="shared" si="28"/>
        <v>1.4044461283086855</v>
      </c>
      <c r="O369" t="str">
        <f t="shared" si="29"/>
        <v/>
      </c>
      <c r="P369" s="67" cm="1">
        <f t="array" ref="P369">SUMPRODUCT((H369=$H$7:$H$10000)*(N369&lt;$N$7:$N$10000))+1</f>
        <v>70</v>
      </c>
      <c r="Q369" s="72"/>
      <c r="R369">
        <v>7</v>
      </c>
      <c r="S369" t="str">
        <v>NOLA</v>
      </c>
      <c r="T369" t="str">
        <v>Luke Campbell</v>
      </c>
      <c r="U369" t="str">
        <v>NULL</v>
      </c>
      <c r="V369" t="str">
        <v>Home</v>
      </c>
      <c r="W369" t="str">
        <v>CHI</v>
      </c>
      <c r="X369">
        <v>0.82769306779043283</v>
      </c>
    </row>
    <row r="370" spans="8:24" x14ac:dyDescent="0.35">
      <c r="H370" s="66">
        <v>5</v>
      </c>
      <c r="I370" t="s">
        <v>23</v>
      </c>
      <c r="J370" t="s">
        <v>456</v>
      </c>
      <c r="K370" t="s">
        <v>256</v>
      </c>
      <c r="L370" t="s">
        <v>3</v>
      </c>
      <c r="M370" t="s">
        <v>4</v>
      </c>
      <c r="N370">
        <f t="shared" si="28"/>
        <v>1.0509185035287372</v>
      </c>
      <c r="O370" t="str">
        <f t="shared" si="29"/>
        <v/>
      </c>
      <c r="P370" s="67" cm="1">
        <f t="array" ref="P370">SUMPRODUCT((H370=$H$7:$H$10000)*(N370&lt;$N$7:$N$10000))+1</f>
        <v>71</v>
      </c>
      <c r="Q370" s="72"/>
      <c r="R370">
        <v>7</v>
      </c>
      <c r="S370" t="str">
        <v>NOLA</v>
      </c>
      <c r="T370" t="str">
        <v>Ruben de Haas</v>
      </c>
      <c r="U370" t="str">
        <v>NULL</v>
      </c>
      <c r="V370" t="str">
        <v>Home</v>
      </c>
      <c r="W370" t="str">
        <v>CHI</v>
      </c>
      <c r="X370">
        <v>0.78096312600874818</v>
      </c>
    </row>
    <row r="371" spans="8:24" x14ac:dyDescent="0.35">
      <c r="H371" s="66">
        <v>5</v>
      </c>
      <c r="I371" t="s">
        <v>4</v>
      </c>
      <c r="J371" t="s">
        <v>125</v>
      </c>
      <c r="K371" t="s">
        <v>256</v>
      </c>
      <c r="L371" t="s">
        <v>9</v>
      </c>
      <c r="M371" t="s">
        <v>23</v>
      </c>
      <c r="N371">
        <f t="shared" si="28"/>
        <v>1.0024428378690295</v>
      </c>
      <c r="O371" t="str">
        <f t="shared" si="29"/>
        <v/>
      </c>
      <c r="P371" s="67" cm="1">
        <f t="array" ref="P371">SUMPRODUCT((H371=$H$7:$H$10000)*(N371&lt;$N$7:$N$10000))+1</f>
        <v>72</v>
      </c>
      <c r="Q371" s="72"/>
      <c r="R371">
        <v>7</v>
      </c>
      <c r="S371" t="str">
        <v>ARC</v>
      </c>
      <c r="T371" t="str">
        <v>Ashawnty Staples Flowers</v>
      </c>
      <c r="U371" t="str">
        <v>NULL</v>
      </c>
      <c r="V371" t="str">
        <v>Away</v>
      </c>
      <c r="W371" t="str">
        <v>SEA</v>
      </c>
      <c r="X371">
        <v>0.24955905659424182</v>
      </c>
    </row>
    <row r="372" spans="8:24" x14ac:dyDescent="0.35">
      <c r="H372" s="66">
        <v>5</v>
      </c>
      <c r="I372" t="s">
        <v>4</v>
      </c>
      <c r="J372" t="s">
        <v>489</v>
      </c>
      <c r="K372" t="s">
        <v>256</v>
      </c>
      <c r="L372" t="s">
        <v>9</v>
      </c>
      <c r="M372" t="s">
        <v>23</v>
      </c>
      <c r="N372">
        <f t="shared" si="28"/>
        <v>0.95571289608734489</v>
      </c>
      <c r="O372" t="str">
        <f t="shared" si="29"/>
        <v/>
      </c>
      <c r="P372" s="67" cm="1">
        <f t="array" ref="P372">SUMPRODUCT((H372=$H$7:$H$10000)*(N372&lt;$N$7:$N$10000))+1</f>
        <v>73</v>
      </c>
      <c r="Q372" s="72"/>
      <c r="R372">
        <v>7</v>
      </c>
      <c r="S372" t="str">
        <v>HOU</v>
      </c>
      <c r="T372" t="str">
        <v>Drew Wild</v>
      </c>
      <c r="U372" t="str">
        <v>NULL</v>
      </c>
      <c r="V372" t="str">
        <v>Home</v>
      </c>
      <c r="W372" t="str">
        <v>SDL</v>
      </c>
      <c r="X372">
        <v>-0.29823516261216731</v>
      </c>
    </row>
    <row r="373" spans="8:24" x14ac:dyDescent="0.35">
      <c r="H373" s="66">
        <v>5</v>
      </c>
      <c r="I373" t="s">
        <v>23</v>
      </c>
      <c r="J373" t="s">
        <v>340</v>
      </c>
      <c r="K373" t="s">
        <v>256</v>
      </c>
      <c r="L373" t="s">
        <v>3</v>
      </c>
      <c r="M373" t="s">
        <v>4</v>
      </c>
      <c r="N373">
        <f t="shared" si="28"/>
        <v>0.74567507471970984</v>
      </c>
      <c r="O373" t="str">
        <f t="shared" si="29"/>
        <v/>
      </c>
      <c r="P373" s="67" cm="1">
        <f t="array" ref="P373">SUMPRODUCT((H373=$H$7:$H$10000)*(N373&lt;$N$7:$N$10000))+1</f>
        <v>74</v>
      </c>
      <c r="Q373" s="72"/>
      <c r="R373">
        <v>7</v>
      </c>
      <c r="S373" t="str">
        <v>OGDC</v>
      </c>
      <c r="T373" t="str">
        <v>Connor Buckley</v>
      </c>
      <c r="U373" t="str">
        <v>NULL</v>
      </c>
      <c r="V373" t="str">
        <v>Away</v>
      </c>
      <c r="W373" t="str">
        <v>LA</v>
      </c>
      <c r="X373">
        <v>-0.84034729104969408</v>
      </c>
    </row>
    <row r="374" spans="8:24" x14ac:dyDescent="0.35">
      <c r="H374" s="66">
        <v>5</v>
      </c>
      <c r="I374" t="s">
        <v>7</v>
      </c>
      <c r="J374" t="s">
        <v>92</v>
      </c>
      <c r="K374" t="s">
        <v>256</v>
      </c>
      <c r="L374" t="s">
        <v>9</v>
      </c>
      <c r="M374" t="s">
        <v>2</v>
      </c>
      <c r="N374">
        <f t="shared" si="28"/>
        <v>0.69881313686812518</v>
      </c>
      <c r="O374" t="str">
        <f t="shared" si="29"/>
        <v/>
      </c>
      <c r="P374" s="67" cm="1">
        <f t="array" ref="P374">SUMPRODUCT((H374=$H$7:$H$10000)*(N374&lt;$N$7:$N$10000))+1</f>
        <v>75</v>
      </c>
      <c r="Q374" s="72"/>
      <c r="R374">
        <v>8</v>
      </c>
      <c r="S374" t="str">
        <v>OGDC</v>
      </c>
      <c r="T374" t="str">
        <v>Axel Muller</v>
      </c>
      <c r="U374" t="str">
        <v>NULL</v>
      </c>
      <c r="V374" t="str">
        <v>Home</v>
      </c>
      <c r="W374" t="str">
        <v>SEA</v>
      </c>
      <c r="X374">
        <v>18.393091256932024</v>
      </c>
    </row>
    <row r="375" spans="8:24" x14ac:dyDescent="0.35">
      <c r="H375" s="66">
        <v>5</v>
      </c>
      <c r="I375" t="s">
        <v>7</v>
      </c>
      <c r="J375" t="s">
        <v>131</v>
      </c>
      <c r="K375" t="s">
        <v>256</v>
      </c>
      <c r="L375" t="s">
        <v>9</v>
      </c>
      <c r="M375" t="s">
        <v>2</v>
      </c>
      <c r="N375">
        <f t="shared" si="28"/>
        <v>0.66595544492014014</v>
      </c>
      <c r="O375" t="str">
        <f t="shared" si="29"/>
        <v/>
      </c>
      <c r="P375" s="67" cm="1">
        <f t="array" ref="P375">SUMPRODUCT((H375=$H$7:$H$10000)*(N375&lt;$N$7:$N$10000))+1</f>
        <v>76</v>
      </c>
      <c r="Q375" s="72"/>
      <c r="R375">
        <v>8</v>
      </c>
      <c r="S375" t="str">
        <v>SDL</v>
      </c>
      <c r="T375" t="str">
        <v>Ryan James</v>
      </c>
      <c r="U375" t="str">
        <v>NULL</v>
      </c>
      <c r="V375" t="str">
        <v>Home</v>
      </c>
      <c r="W375" t="str">
        <v>CHI</v>
      </c>
      <c r="X375">
        <v>17.692493739002867</v>
      </c>
    </row>
    <row r="376" spans="8:24" x14ac:dyDescent="0.35">
      <c r="H376" s="66">
        <v>5</v>
      </c>
      <c r="I376" t="s">
        <v>2</v>
      </c>
      <c r="J376" t="s">
        <v>499</v>
      </c>
      <c r="K376" t="s">
        <v>256</v>
      </c>
      <c r="L376" t="s">
        <v>3</v>
      </c>
      <c r="M376" t="s">
        <v>7</v>
      </c>
      <c r="N376">
        <f t="shared" si="28"/>
        <v>3.4916740502016097E-2</v>
      </c>
      <c r="O376" t="str">
        <f t="shared" si="29"/>
        <v/>
      </c>
      <c r="P376" s="67" cm="1">
        <f t="array" ref="P376">SUMPRODUCT((H376=$H$7:$H$10000)*(N376&lt;$N$7:$N$10000))+1</f>
        <v>77</v>
      </c>
      <c r="Q376" s="72"/>
      <c r="R376">
        <v>8</v>
      </c>
      <c r="S376" t="str">
        <v>LA</v>
      </c>
      <c r="T376" t="str">
        <v>Rory van Vugt</v>
      </c>
      <c r="U376" t="str">
        <v>NULL</v>
      </c>
      <c r="V376" t="str">
        <v>Away</v>
      </c>
      <c r="W376" t="str">
        <v>HOU</v>
      </c>
      <c r="X376">
        <v>15.841294987139062</v>
      </c>
    </row>
    <row r="377" spans="8:24" x14ac:dyDescent="0.35">
      <c r="H377" s="66">
        <v>5</v>
      </c>
      <c r="I377" t="s">
        <v>7</v>
      </c>
      <c r="J377" t="s">
        <v>126</v>
      </c>
      <c r="K377" t="s">
        <v>256</v>
      </c>
      <c r="L377" t="s">
        <v>9</v>
      </c>
      <c r="M377" t="s">
        <v>2</v>
      </c>
      <c r="N377">
        <f t="shared" si="28"/>
        <v>-3.7955025612366828</v>
      </c>
      <c r="O377" t="str">
        <f t="shared" si="29"/>
        <v/>
      </c>
      <c r="P377" s="67" cm="1">
        <f t="array" ref="P377">SUMPRODUCT((H377=$H$7:$H$10000)*(N377&lt;$N$7:$N$10000))+1</f>
        <v>78</v>
      </c>
      <c r="Q377" s="72"/>
      <c r="R377">
        <v>8</v>
      </c>
      <c r="S377" t="str">
        <v>NEFJ</v>
      </c>
      <c r="T377" t="str">
        <v>Jayson Potroz</v>
      </c>
      <c r="U377" t="str">
        <v>NULL</v>
      </c>
      <c r="V377" t="str">
        <v>Home</v>
      </c>
      <c r="W377" t="str">
        <v>MIA</v>
      </c>
      <c r="X377">
        <v>15.506630999418093</v>
      </c>
    </row>
    <row r="378" spans="8:24" x14ac:dyDescent="0.35">
      <c r="H378" s="66">
        <v>6</v>
      </c>
      <c r="I378" t="s">
        <v>34</v>
      </c>
      <c r="J378" t="s">
        <v>95</v>
      </c>
      <c r="K378" t="s">
        <v>256</v>
      </c>
      <c r="L378" t="s">
        <v>3</v>
      </c>
      <c r="M378" t="s">
        <v>24</v>
      </c>
      <c r="N378">
        <f t="shared" si="28"/>
        <v>21.245339240838746</v>
      </c>
      <c r="O378" t="str">
        <f t="shared" si="29"/>
        <v/>
      </c>
      <c r="P378" s="67" cm="1">
        <f t="array" ref="P378">SUMPRODUCT((H378=$H$7:$H$10000)*(N378&lt;$N$7:$N$10000))+1</f>
        <v>1</v>
      </c>
      <c r="Q378" s="72"/>
      <c r="R378">
        <v>8</v>
      </c>
      <c r="S378" t="str">
        <v>NEFJ</v>
      </c>
      <c r="T378" t="str">
        <v>Wayne van der Bank</v>
      </c>
      <c r="U378" t="str">
        <v>NULL</v>
      </c>
      <c r="V378" t="str">
        <v>Home</v>
      </c>
      <c r="W378" t="str">
        <v>MIA</v>
      </c>
      <c r="X378">
        <v>14.305840597636466</v>
      </c>
    </row>
    <row r="379" spans="8:24" x14ac:dyDescent="0.35">
      <c r="H379" s="65">
        <v>6</v>
      </c>
      <c r="I379" t="s">
        <v>7</v>
      </c>
      <c r="J379" t="s">
        <v>65</v>
      </c>
      <c r="K379" t="s">
        <v>256</v>
      </c>
      <c r="L379" t="s">
        <v>3</v>
      </c>
      <c r="M379" t="s">
        <v>23</v>
      </c>
      <c r="N379">
        <f t="shared" si="28"/>
        <v>19.411123654398427</v>
      </c>
      <c r="O379" t="str">
        <f t="shared" si="29"/>
        <v/>
      </c>
      <c r="P379" s="67" cm="1">
        <f t="array" ref="P379">SUMPRODUCT((H379=$H$7:$H$10000)*(N379&lt;$N$7:$N$10000))+1</f>
        <v>2</v>
      </c>
      <c r="Q379" s="72"/>
      <c r="R379">
        <v>8</v>
      </c>
      <c r="S379" t="str">
        <v>NEFJ</v>
      </c>
      <c r="T379" t="str">
        <v>Le Roux Malan</v>
      </c>
      <c r="U379" t="str">
        <v>NULL</v>
      </c>
      <c r="V379" t="str">
        <v>Home</v>
      </c>
      <c r="W379" t="str">
        <v>MIA</v>
      </c>
      <c r="X379">
        <v>14.125636636302596</v>
      </c>
    </row>
    <row r="380" spans="8:24" x14ac:dyDescent="0.35">
      <c r="H380" s="66">
        <v>6</v>
      </c>
      <c r="I380" t="s">
        <v>13</v>
      </c>
      <c r="J380" t="s">
        <v>79</v>
      </c>
      <c r="K380" t="s">
        <v>256</v>
      </c>
      <c r="L380" t="s">
        <v>9</v>
      </c>
      <c r="M380" t="s">
        <v>17</v>
      </c>
      <c r="N380">
        <f t="shared" si="28"/>
        <v>19.343779767522918</v>
      </c>
      <c r="O380" t="str">
        <f t="shared" si="29"/>
        <v/>
      </c>
      <c r="P380" s="67" cm="1">
        <f t="array" ref="P380">SUMPRODUCT((H380=$H$7:$H$10000)*(N380&lt;$N$7:$N$10000))+1</f>
        <v>3</v>
      </c>
      <c r="Q380" s="72"/>
      <c r="R380">
        <v>8</v>
      </c>
      <c r="S380" t="str">
        <v>HOU</v>
      </c>
      <c r="T380" t="str">
        <v>Dom Akina</v>
      </c>
      <c r="U380" t="str">
        <v>NULL</v>
      </c>
      <c r="V380" t="str">
        <v>Home</v>
      </c>
      <c r="W380" t="str">
        <v>LA</v>
      </c>
      <c r="X380">
        <v>14.10905363987014</v>
      </c>
    </row>
    <row r="381" spans="8:24" x14ac:dyDescent="0.35">
      <c r="H381" s="66">
        <v>6</v>
      </c>
      <c r="I381" t="s">
        <v>6</v>
      </c>
      <c r="J381" t="s">
        <v>94</v>
      </c>
      <c r="K381" t="s">
        <v>256</v>
      </c>
      <c r="L381" t="s">
        <v>9</v>
      </c>
      <c r="M381" t="s">
        <v>4</v>
      </c>
      <c r="N381">
        <f t="shared" si="28"/>
        <v>17.43306882764638</v>
      </c>
      <c r="O381" t="str">
        <f t="shared" si="29"/>
        <v/>
      </c>
      <c r="P381" s="67" cm="1">
        <f t="array" ref="P381">SUMPRODUCT((H381=$H$7:$H$10000)*(N381&lt;$N$7:$N$10000))+1</f>
        <v>4</v>
      </c>
      <c r="Q381" s="72"/>
      <c r="R381">
        <v>8</v>
      </c>
      <c r="S381" t="str">
        <v>NEFJ</v>
      </c>
      <c r="T381" t="str">
        <v>Paula Balekana</v>
      </c>
      <c r="U381" t="str">
        <v>NULL</v>
      </c>
      <c r="V381" t="str">
        <v>Home</v>
      </c>
      <c r="W381" t="str">
        <v>MIA</v>
      </c>
      <c r="X381">
        <v>14.083834445596668</v>
      </c>
    </row>
    <row r="382" spans="8:24" x14ac:dyDescent="0.35">
      <c r="H382" s="66">
        <v>6</v>
      </c>
      <c r="I382" t="s">
        <v>34</v>
      </c>
      <c r="J382" t="s">
        <v>41</v>
      </c>
      <c r="K382" t="s">
        <v>256</v>
      </c>
      <c r="L382" t="s">
        <v>3</v>
      </c>
      <c r="M382" t="s">
        <v>24</v>
      </c>
      <c r="N382">
        <f t="shared" si="28"/>
        <v>17.04464404065931</v>
      </c>
      <c r="O382" t="str">
        <f t="shared" si="29"/>
        <v/>
      </c>
      <c r="P382" s="67" cm="1">
        <f t="array" ref="P382">SUMPRODUCT((H382=$H$7:$H$10000)*(N382&lt;$N$7:$N$10000))+1</f>
        <v>5</v>
      </c>
      <c r="Q382" s="72"/>
      <c r="R382">
        <v>8</v>
      </c>
      <c r="S382" t="str">
        <v>HOU</v>
      </c>
      <c r="T382" t="str">
        <v>Davy Coetzer</v>
      </c>
      <c r="U382" t="str">
        <v>NULL</v>
      </c>
      <c r="V382" t="str">
        <v>Home</v>
      </c>
      <c r="W382" t="str">
        <v>LA</v>
      </c>
      <c r="X382">
        <v>13.529494247755302</v>
      </c>
    </row>
    <row r="383" spans="8:24" x14ac:dyDescent="0.35">
      <c r="H383" s="65">
        <v>6</v>
      </c>
      <c r="I383" t="s">
        <v>34</v>
      </c>
      <c r="J383" t="s">
        <v>100</v>
      </c>
      <c r="K383" t="s">
        <v>256</v>
      </c>
      <c r="L383" t="s">
        <v>3</v>
      </c>
      <c r="M383" t="s">
        <v>24</v>
      </c>
      <c r="N383">
        <f t="shared" si="28"/>
        <v>15.880354730977754</v>
      </c>
      <c r="O383" t="str">
        <f t="shared" si="29"/>
        <v/>
      </c>
      <c r="P383" s="67" cm="1">
        <f t="array" ref="P383">SUMPRODUCT((H383=$H$7:$H$10000)*(N383&lt;$N$7:$N$10000))+1</f>
        <v>6</v>
      </c>
      <c r="Q383" s="72"/>
      <c r="R383">
        <v>8</v>
      </c>
      <c r="S383" t="str">
        <v>HOU</v>
      </c>
      <c r="T383" t="str">
        <v>Jeremy Misailegalu</v>
      </c>
      <c r="U383" t="str">
        <v>NULL</v>
      </c>
      <c r="V383" t="str">
        <v>Home</v>
      </c>
      <c r="W383" t="str">
        <v>LA</v>
      </c>
      <c r="X383">
        <v>13.523107730535349</v>
      </c>
    </row>
    <row r="384" spans="8:24" x14ac:dyDescent="0.35">
      <c r="H384" s="66">
        <v>6</v>
      </c>
      <c r="I384" t="s">
        <v>13</v>
      </c>
      <c r="J384" t="s">
        <v>494</v>
      </c>
      <c r="K384" t="s">
        <v>256</v>
      </c>
      <c r="L384" t="s">
        <v>9</v>
      </c>
      <c r="M384" t="s">
        <v>17</v>
      </c>
      <c r="N384">
        <f t="shared" si="28"/>
        <v>15.533244316812318</v>
      </c>
      <c r="O384" t="str">
        <f t="shared" si="29"/>
        <v/>
      </c>
      <c r="P384" s="67" cm="1">
        <f t="array" ref="P384">SUMPRODUCT((H384=$H$7:$H$10000)*(N384&lt;$N$7:$N$10000))+1</f>
        <v>7</v>
      </c>
      <c r="Q384" s="72"/>
      <c r="R384">
        <v>8</v>
      </c>
      <c r="S384" t="str">
        <v>SDL</v>
      </c>
      <c r="T384" t="str">
        <v>Ethan Grayson</v>
      </c>
      <c r="U384" t="str">
        <v>NULL</v>
      </c>
      <c r="V384" t="str">
        <v>Home</v>
      </c>
      <c r="W384" t="str">
        <v>CHI</v>
      </c>
      <c r="X384">
        <v>13.491798538823431</v>
      </c>
    </row>
    <row r="385" spans="1:24" x14ac:dyDescent="0.35">
      <c r="H385" s="66">
        <v>6</v>
      </c>
      <c r="I385" t="s">
        <v>4</v>
      </c>
      <c r="J385" t="s">
        <v>457</v>
      </c>
      <c r="K385" t="s">
        <v>256</v>
      </c>
      <c r="L385" t="s">
        <v>3</v>
      </c>
      <c r="M385" t="s">
        <v>6</v>
      </c>
      <c r="N385">
        <f t="shared" si="28"/>
        <v>14.685364535512871</v>
      </c>
      <c r="O385" t="str">
        <f t="shared" si="29"/>
        <v/>
      </c>
      <c r="P385" s="67" cm="1">
        <f t="array" ref="P385">SUMPRODUCT((H385=$H$7:$H$10000)*(N385&lt;$N$7:$N$10000))+1</f>
        <v>8</v>
      </c>
      <c r="Q385" s="72"/>
      <c r="R385">
        <v>8</v>
      </c>
      <c r="S385" t="str">
        <v>MIA</v>
      </c>
      <c r="T385" t="str">
        <v>Tomás Cubilla</v>
      </c>
      <c r="U385" t="str">
        <v>NULL</v>
      </c>
      <c r="V385" t="str">
        <v>Away</v>
      </c>
      <c r="W385" t="str">
        <v>NEFJ</v>
      </c>
      <c r="X385">
        <v>13.202343056955893</v>
      </c>
    </row>
    <row r="386" spans="1:24" x14ac:dyDescent="0.35">
      <c r="H386" s="66">
        <v>6</v>
      </c>
      <c r="I386" t="s">
        <v>34</v>
      </c>
      <c r="J386" t="s">
        <v>52</v>
      </c>
      <c r="K386" t="s">
        <v>256</v>
      </c>
      <c r="L386" t="s">
        <v>3</v>
      </c>
      <c r="M386" t="s">
        <v>24</v>
      </c>
      <c r="N386">
        <f t="shared" si="28"/>
        <v>14.552024127470007</v>
      </c>
      <c r="O386" t="str">
        <f t="shared" si="29"/>
        <v/>
      </c>
      <c r="P386" s="67" cm="1">
        <f t="array" ref="P386">SUMPRODUCT((H386=$H$7:$H$10000)*(N386&lt;$N$7:$N$10000))+1</f>
        <v>9</v>
      </c>
      <c r="Q386" s="72"/>
      <c r="R386">
        <v>8</v>
      </c>
      <c r="S386" t="str">
        <v>SDL</v>
      </c>
      <c r="T386" t="str">
        <v>Tomas Aoake</v>
      </c>
      <c r="U386" t="str">
        <v>NULL</v>
      </c>
      <c r="V386" t="str">
        <v>Home</v>
      </c>
      <c r="W386" t="str">
        <v>CHI</v>
      </c>
      <c r="X386">
        <v>12.327509229141873</v>
      </c>
    </row>
    <row r="387" spans="1:24" x14ac:dyDescent="0.35">
      <c r="H387" s="66">
        <v>6</v>
      </c>
      <c r="I387" t="s">
        <v>34</v>
      </c>
      <c r="J387" t="s">
        <v>192</v>
      </c>
      <c r="K387" t="s">
        <v>256</v>
      </c>
      <c r="L387" t="s">
        <v>3</v>
      </c>
      <c r="M387" t="s">
        <v>24</v>
      </c>
      <c r="N387">
        <f t="shared" si="28"/>
        <v>14.393245866331034</v>
      </c>
      <c r="O387" t="str">
        <f t="shared" si="29"/>
        <v/>
      </c>
      <c r="P387" s="67" cm="1">
        <f t="array" ref="P387">SUMPRODUCT((H387=$H$7:$H$10000)*(N387&lt;$N$7:$N$10000))+1</f>
        <v>10</v>
      </c>
      <c r="Q387" s="72"/>
      <c r="R387">
        <v>8</v>
      </c>
      <c r="S387" t="str">
        <v>LA</v>
      </c>
      <c r="T387" t="str">
        <v>Billy Meakes</v>
      </c>
      <c r="U387" t="str">
        <v>NULL</v>
      </c>
      <c r="V387" t="str">
        <v>Away</v>
      </c>
      <c r="W387" t="str">
        <v>HOU</v>
      </c>
      <c r="X387">
        <v>12.165682200645335</v>
      </c>
    </row>
    <row r="388" spans="1:24" x14ac:dyDescent="0.35">
      <c r="H388" s="66">
        <v>6</v>
      </c>
      <c r="I388" t="s">
        <v>34</v>
      </c>
      <c r="J388" t="s">
        <v>496</v>
      </c>
      <c r="K388" t="s">
        <v>256</v>
      </c>
      <c r="L388" t="s">
        <v>3</v>
      </c>
      <c r="M388" t="s">
        <v>24</v>
      </c>
      <c r="N388">
        <f t="shared" si="28"/>
        <v>14.236137008930978</v>
      </c>
      <c r="O388" t="str">
        <f t="shared" si="29"/>
        <v/>
      </c>
      <c r="P388" s="67" cm="1">
        <f t="array" ref="P388">SUMPRODUCT((H388=$H$7:$H$10000)*(N388&lt;$N$7:$N$10000))+1</f>
        <v>11</v>
      </c>
      <c r="Q388" s="72"/>
      <c r="R388">
        <v>8</v>
      </c>
      <c r="S388" t="str">
        <v>NOLA</v>
      </c>
      <c r="T388" t="str">
        <v>Cooper Coats</v>
      </c>
      <c r="U388" t="str">
        <v>NULL</v>
      </c>
      <c r="V388" t="str">
        <v>Away</v>
      </c>
      <c r="W388" t="str">
        <v>ARC</v>
      </c>
      <c r="X388">
        <v>11.442998076210181</v>
      </c>
    </row>
    <row r="389" spans="1:24" x14ac:dyDescent="0.35">
      <c r="H389" s="66">
        <v>6</v>
      </c>
      <c r="I389" t="s">
        <v>4</v>
      </c>
      <c r="J389" t="s">
        <v>286</v>
      </c>
      <c r="K389" t="s">
        <v>256</v>
      </c>
      <c r="L389" t="s">
        <v>3</v>
      </c>
      <c r="M389" t="s">
        <v>6</v>
      </c>
      <c r="N389">
        <f t="shared" si="28"/>
        <v>14.039720027247359</v>
      </c>
      <c r="O389" t="str">
        <f t="shared" si="29"/>
        <v/>
      </c>
      <c r="P389" s="67" cm="1">
        <f t="array" ref="P389">SUMPRODUCT((H389=$H$7:$H$10000)*(N389&lt;$N$7:$N$10000))+1</f>
        <v>12</v>
      </c>
      <c r="Q389" s="72"/>
      <c r="R389">
        <v>8</v>
      </c>
      <c r="S389" t="str">
        <v>CHI</v>
      </c>
      <c r="T389" t="str">
        <v>Nate Augspurger</v>
      </c>
      <c r="U389" t="str">
        <v>NULL</v>
      </c>
      <c r="V389" t="str">
        <v>Away</v>
      </c>
      <c r="W389" t="str">
        <v>SDL</v>
      </c>
      <c r="X389">
        <v>11.237982043374789</v>
      </c>
    </row>
    <row r="390" spans="1:24" x14ac:dyDescent="0.35">
      <c r="H390" s="66">
        <v>6</v>
      </c>
      <c r="I390" t="s">
        <v>6</v>
      </c>
      <c r="J390" t="s">
        <v>8</v>
      </c>
      <c r="K390" t="s">
        <v>256</v>
      </c>
      <c r="L390" t="s">
        <v>9</v>
      </c>
      <c r="M390" t="s">
        <v>4</v>
      </c>
      <c r="N390">
        <f t="shared" si="28"/>
        <v>13.757456041152656</v>
      </c>
      <c r="O390" t="str">
        <f t="shared" si="29"/>
        <v/>
      </c>
      <c r="P390" s="67" cm="1">
        <f t="array" ref="P390">SUMPRODUCT((H390=$H$7:$H$10000)*(N390&lt;$N$7:$N$10000))+1</f>
        <v>13</v>
      </c>
      <c r="Q390" s="72"/>
      <c r="R390">
        <v>8</v>
      </c>
      <c r="S390" t="str">
        <v>MIA</v>
      </c>
      <c r="T390" t="str">
        <v>Marcos Young</v>
      </c>
      <c r="U390" t="str">
        <v>NULL</v>
      </c>
      <c r="V390" t="str">
        <v>Away</v>
      </c>
      <c r="W390" t="str">
        <v>NEFJ</v>
      </c>
      <c r="X390">
        <v>11.223533891936411</v>
      </c>
    </row>
    <row r="391" spans="1:24" x14ac:dyDescent="0.35">
      <c r="H391" s="66">
        <v>6</v>
      </c>
      <c r="I391" t="s">
        <v>4</v>
      </c>
      <c r="J391" t="s">
        <v>453</v>
      </c>
      <c r="K391" t="s">
        <v>256</v>
      </c>
      <c r="L391" t="s">
        <v>3</v>
      </c>
      <c r="M391" t="s">
        <v>6</v>
      </c>
      <c r="N391">
        <f t="shared" si="28"/>
        <v>13.596676817242518</v>
      </c>
      <c r="O391" t="str">
        <f t="shared" si="29"/>
        <v/>
      </c>
      <c r="P391" s="67" cm="1">
        <f t="array" ref="P391">SUMPRODUCT((H391=$H$7:$H$10000)*(N391&lt;$N$7:$N$10000))+1</f>
        <v>14</v>
      </c>
      <c r="Q391" s="72"/>
      <c r="R391">
        <v>8</v>
      </c>
      <c r="S391" t="str">
        <v>HOU</v>
      </c>
      <c r="T391" t="str">
        <v>AJ Alatimu</v>
      </c>
      <c r="U391" t="str">
        <v>NULL</v>
      </c>
      <c r="V391" t="str">
        <v>Home</v>
      </c>
      <c r="W391" t="str">
        <v>LA</v>
      </c>
      <c r="X391">
        <v>11.194083653501597</v>
      </c>
    </row>
    <row r="392" spans="1:24" x14ac:dyDescent="0.35">
      <c r="H392" s="66">
        <v>6</v>
      </c>
      <c r="I392" t="s">
        <v>4</v>
      </c>
      <c r="J392" t="s">
        <v>74</v>
      </c>
      <c r="K392" t="s">
        <v>256</v>
      </c>
      <c r="L392" t="s">
        <v>3</v>
      </c>
      <c r="M392" t="s">
        <v>6</v>
      </c>
      <c r="N392">
        <f t="shared" si="28"/>
        <v>13.324309478803574</v>
      </c>
      <c r="O392" t="str">
        <f t="shared" si="29"/>
        <v/>
      </c>
      <c r="P392" s="67" cm="1">
        <f t="array" ref="P392">SUMPRODUCT((H392=$H$7:$H$10000)*(N392&lt;$N$7:$N$10000))+1</f>
        <v>15</v>
      </c>
      <c r="Q392" s="72"/>
      <c r="R392">
        <v>8</v>
      </c>
      <c r="S392" t="str">
        <v>MIA</v>
      </c>
      <c r="T392" t="str">
        <v>Martin Elias</v>
      </c>
      <c r="U392" t="str">
        <v>NULL</v>
      </c>
      <c r="V392" t="str">
        <v>Away</v>
      </c>
      <c r="W392" t="str">
        <v>NEFJ</v>
      </c>
      <c r="X392">
        <v>11.192470024333915</v>
      </c>
    </row>
    <row r="393" spans="1:24" x14ac:dyDescent="0.35">
      <c r="H393" s="65">
        <v>6</v>
      </c>
      <c r="I393" t="s">
        <v>34</v>
      </c>
      <c r="J393" t="s">
        <v>440</v>
      </c>
      <c r="K393" t="s">
        <v>256</v>
      </c>
      <c r="L393" t="s">
        <v>3</v>
      </c>
      <c r="M393" t="s">
        <v>24</v>
      </c>
      <c r="N393">
        <f t="shared" si="28"/>
        <v>13.118207117764047</v>
      </c>
      <c r="O393" t="str">
        <f t="shared" si="29"/>
        <v/>
      </c>
      <c r="P393" s="67" cm="1">
        <f t="array" ref="P393">SUMPRODUCT((H393=$H$7:$H$10000)*(N393&lt;$N$7:$N$10000))+1</f>
        <v>16</v>
      </c>
      <c r="Q393" s="72"/>
      <c r="R393">
        <v>8</v>
      </c>
      <c r="S393" t="str">
        <v>OGDC</v>
      </c>
      <c r="T393" t="str">
        <v>Damien Hoyland</v>
      </c>
      <c r="U393" t="str">
        <v>NULL</v>
      </c>
      <c r="V393" t="str">
        <v>Home</v>
      </c>
      <c r="W393" t="str">
        <v>SEA</v>
      </c>
      <c r="X393">
        <v>11.13375872154746</v>
      </c>
    </row>
    <row r="394" spans="1:24" x14ac:dyDescent="0.35">
      <c r="H394" s="65">
        <v>6</v>
      </c>
      <c r="I394" t="s">
        <v>34</v>
      </c>
      <c r="J394" t="s">
        <v>39</v>
      </c>
      <c r="K394" t="s">
        <v>256</v>
      </c>
      <c r="L394" t="s">
        <v>3</v>
      </c>
      <c r="M394" t="s">
        <v>24</v>
      </c>
      <c r="N394">
        <f t="shared" si="28"/>
        <v>13.023135849066007</v>
      </c>
      <c r="O394" t="str">
        <f t="shared" si="29"/>
        <v/>
      </c>
      <c r="P394" s="67" cm="1">
        <f t="array" ref="P394">SUMPRODUCT((H394=$H$7:$H$10000)*(N394&lt;$N$7:$N$10000))+1</f>
        <v>17</v>
      </c>
      <c r="Q394" s="72"/>
      <c r="R394">
        <v>8</v>
      </c>
      <c r="S394" t="str">
        <v>MIA</v>
      </c>
      <c r="T394" t="str">
        <v>Tomas Malanos</v>
      </c>
      <c r="U394" t="str">
        <v>NULL</v>
      </c>
      <c r="V394" t="str">
        <v>Away</v>
      </c>
      <c r="W394" t="str">
        <v>NEFJ</v>
      </c>
      <c r="X394">
        <v>11.042045629947294</v>
      </c>
    </row>
    <row r="395" spans="1:24" x14ac:dyDescent="0.35">
      <c r="H395" s="66">
        <v>6</v>
      </c>
      <c r="I395" t="s">
        <v>4</v>
      </c>
      <c r="J395" t="s">
        <v>1</v>
      </c>
      <c r="K395" t="s">
        <v>256</v>
      </c>
      <c r="L395" t="s">
        <v>3</v>
      </c>
      <c r="M395" t="s">
        <v>6</v>
      </c>
      <c r="N395">
        <f t="shared" si="28"/>
        <v>12.498120959123742</v>
      </c>
      <c r="O395" t="str">
        <f t="shared" si="29"/>
        <v/>
      </c>
      <c r="P395" s="67" cm="1">
        <f t="array" ref="P395">SUMPRODUCT((H395=$H$7:$H$10000)*(N395&lt;$N$7:$N$10000))+1</f>
        <v>18</v>
      </c>
      <c r="Q395" s="72"/>
      <c r="R395">
        <v>8</v>
      </c>
      <c r="S395" t="str">
        <v>SDL</v>
      </c>
      <c r="T395" t="str">
        <v>Tavite Lopeti</v>
      </c>
      <c r="U395" t="str">
        <v>NULL</v>
      </c>
      <c r="V395" t="str">
        <v>Home</v>
      </c>
      <c r="W395" t="str">
        <v>CHI</v>
      </c>
      <c r="X395">
        <v>10.999178625634126</v>
      </c>
    </row>
    <row r="396" spans="1:24" x14ac:dyDescent="0.35">
      <c r="H396" s="66">
        <v>6</v>
      </c>
      <c r="I396" t="s">
        <v>7</v>
      </c>
      <c r="J396" t="s">
        <v>67</v>
      </c>
      <c r="K396" t="s">
        <v>256</v>
      </c>
      <c r="L396" t="s">
        <v>3</v>
      </c>
      <c r="M396" t="s">
        <v>23</v>
      </c>
      <c r="N396">
        <f t="shared" ref="N396:N459" si="30">VLOOKUP($L396,$F$3:$G$4,2,FALSE)+VLOOKUP($J396,$A$20:$B$131,2,FALSE)+VLOOKUP($M396,$A$6:$B$16,2,FALSE)</f>
        <v>12.151791119013863</v>
      </c>
      <c r="O396" t="str">
        <f t="shared" ref="O396:O459" si="31">IFERROR(($K396-$N396)^2,"")</f>
        <v/>
      </c>
      <c r="P396" s="67" cm="1">
        <f t="array" ref="P396">SUMPRODUCT((H396=$H$7:$H$10000)*(N396&lt;$N$7:$N$10000))+1</f>
        <v>19</v>
      </c>
      <c r="Q396" s="72"/>
      <c r="R396">
        <v>8</v>
      </c>
      <c r="S396" t="str">
        <v>MIA</v>
      </c>
      <c r="T396" t="str">
        <v>Tomás Inciarte</v>
      </c>
      <c r="U396" t="str">
        <v>NULL</v>
      </c>
      <c r="V396" t="str">
        <v>Away</v>
      </c>
      <c r="W396" t="str">
        <v>NEFJ</v>
      </c>
      <c r="X396">
        <v>10.873022782712608</v>
      </c>
    </row>
    <row r="397" spans="1:24" x14ac:dyDescent="0.35">
      <c r="A397" t="s">
        <v>230</v>
      </c>
      <c r="H397" s="66">
        <v>6</v>
      </c>
      <c r="I397" t="s">
        <v>17</v>
      </c>
      <c r="J397" t="s">
        <v>492</v>
      </c>
      <c r="K397" t="s">
        <v>256</v>
      </c>
      <c r="L397" t="s">
        <v>3</v>
      </c>
      <c r="M397" t="s">
        <v>13</v>
      </c>
      <c r="N397">
        <f t="shared" si="30"/>
        <v>12.093167245703079</v>
      </c>
      <c r="O397" t="str">
        <f t="shared" si="31"/>
        <v/>
      </c>
      <c r="P397" s="67" cm="1">
        <f t="array" ref="P397">SUMPRODUCT((H397=$H$7:$H$10000)*(N397&lt;$N$7:$N$10000))+1</f>
        <v>20</v>
      </c>
      <c r="Q397" s="72"/>
      <c r="R397">
        <v>8</v>
      </c>
      <c r="S397" t="str">
        <v>SDL</v>
      </c>
      <c r="T397" t="str">
        <v>Lincoln McClutchie</v>
      </c>
      <c r="U397" t="str">
        <v>NULL</v>
      </c>
      <c r="V397" t="str">
        <v>Home</v>
      </c>
      <c r="W397" t="str">
        <v>CHI</v>
      </c>
      <c r="X397">
        <v>10.840400364495153</v>
      </c>
    </row>
    <row r="398" spans="1:24" x14ac:dyDescent="0.35">
      <c r="A398" s="2" t="s">
        <v>31</v>
      </c>
      <c r="B398" s="2" t="s">
        <v>30</v>
      </c>
      <c r="C398" s="2" t="s">
        <v>29</v>
      </c>
      <c r="F398" s="7"/>
      <c r="H398" s="66">
        <v>6</v>
      </c>
      <c r="I398" t="s">
        <v>13</v>
      </c>
      <c r="J398" t="s">
        <v>473</v>
      </c>
      <c r="K398" t="s">
        <v>256</v>
      </c>
      <c r="L398" t="s">
        <v>9</v>
      </c>
      <c r="M398" t="s">
        <v>17</v>
      </c>
      <c r="N398">
        <f t="shared" si="30"/>
        <v>11.870489104026966</v>
      </c>
      <c r="O398" t="str">
        <f t="shared" si="31"/>
        <v/>
      </c>
      <c r="P398" s="67" cm="1">
        <f t="array" ref="P398">SUMPRODUCT((H398=$H$7:$H$10000)*(N398&lt;$N$7:$N$10000))+1</f>
        <v>21</v>
      </c>
      <c r="Q398" s="72"/>
      <c r="R398">
        <v>8</v>
      </c>
      <c r="S398" t="str">
        <v>NOLA</v>
      </c>
      <c r="T398" t="str">
        <v>Julian Roberts</v>
      </c>
      <c r="U398" t="str">
        <v>NULL</v>
      </c>
      <c r="V398" t="str">
        <v>Away</v>
      </c>
      <c r="W398" t="str">
        <v>ARC</v>
      </c>
      <c r="X398">
        <v>10.79735356794467</v>
      </c>
    </row>
    <row r="399" spans="1:24" x14ac:dyDescent="0.35">
      <c r="A399" s="1">
        <v>1</v>
      </c>
      <c r="B399" s="1" t="s">
        <v>90</v>
      </c>
      <c r="C399" s="1">
        <v>34.879240872292456</v>
      </c>
      <c r="H399" s="66">
        <v>6</v>
      </c>
      <c r="I399" t="s">
        <v>6</v>
      </c>
      <c r="J399" t="s">
        <v>445</v>
      </c>
      <c r="K399" t="s">
        <v>256</v>
      </c>
      <c r="L399" t="s">
        <v>9</v>
      </c>
      <c r="M399" t="s">
        <v>4</v>
      </c>
      <c r="N399">
        <f t="shared" si="30"/>
        <v>11.793698163948266</v>
      </c>
      <c r="O399" t="str">
        <f t="shared" si="31"/>
        <v/>
      </c>
      <c r="P399" s="67" cm="1">
        <f t="array" ref="P399">SUMPRODUCT((H399=$H$7:$H$10000)*(N399&lt;$N$7:$N$10000))+1</f>
        <v>22</v>
      </c>
      <c r="Q399" s="72"/>
      <c r="R399">
        <v>8</v>
      </c>
      <c r="S399" t="str">
        <v>MIA</v>
      </c>
      <c r="T399" t="str">
        <v>Tomás Cubelli</v>
      </c>
      <c r="U399" t="str">
        <v>NULL</v>
      </c>
      <c r="V399" t="str">
        <v>Away</v>
      </c>
      <c r="W399" t="str">
        <v>NEFJ</v>
      </c>
      <c r="X399">
        <v>10.702334144224611</v>
      </c>
    </row>
    <row r="400" spans="1:24" x14ac:dyDescent="0.35">
      <c r="A400" s="1">
        <v>2</v>
      </c>
      <c r="B400" s="1" t="s">
        <v>86</v>
      </c>
      <c r="C400" s="1">
        <v>22.793016815358641</v>
      </c>
      <c r="D400" t="s">
        <v>242</v>
      </c>
      <c r="H400" s="65">
        <v>6</v>
      </c>
      <c r="I400" t="s">
        <v>34</v>
      </c>
      <c r="J400" t="s">
        <v>51</v>
      </c>
      <c r="K400" t="s">
        <v>256</v>
      </c>
      <c r="L400" s="10" t="s">
        <v>3</v>
      </c>
      <c r="M400" s="10" t="s">
        <v>24</v>
      </c>
      <c r="N400">
        <f t="shared" si="30"/>
        <v>11.669953535784558</v>
      </c>
      <c r="O400" t="str">
        <f t="shared" si="31"/>
        <v/>
      </c>
      <c r="P400" s="67" cm="1">
        <f t="array" ref="P400">SUMPRODUCT((H400=$H$7:$H$10000)*(N400&lt;$N$7:$N$10000))+1</f>
        <v>23</v>
      </c>
      <c r="Q400" s="72"/>
      <c r="R400">
        <v>8</v>
      </c>
      <c r="S400" t="str">
        <v>CHI</v>
      </c>
      <c r="T400" t="str">
        <v>Michael Hand</v>
      </c>
      <c r="U400" t="str">
        <v>NULL</v>
      </c>
      <c r="V400" t="str">
        <v>Away</v>
      </c>
      <c r="W400" t="str">
        <v>SDL</v>
      </c>
      <c r="X400">
        <v>10.68524828970417</v>
      </c>
    </row>
    <row r="401" spans="1:24" x14ac:dyDescent="0.35">
      <c r="A401" s="1">
        <v>3</v>
      </c>
      <c r="B401" s="1" t="s">
        <v>74</v>
      </c>
      <c r="C401" s="1">
        <v>20.341719908512005</v>
      </c>
      <c r="H401" s="66">
        <v>6</v>
      </c>
      <c r="I401" t="s">
        <v>24</v>
      </c>
      <c r="J401" t="s">
        <v>446</v>
      </c>
      <c r="K401" t="s">
        <v>256</v>
      </c>
      <c r="L401" t="s">
        <v>9</v>
      </c>
      <c r="M401" t="s">
        <v>34</v>
      </c>
      <c r="N401">
        <f t="shared" si="30"/>
        <v>11.609015323017267</v>
      </c>
      <c r="O401" t="str">
        <f t="shared" si="31"/>
        <v/>
      </c>
      <c r="P401" s="67" cm="1">
        <f t="array" ref="P401">SUMPRODUCT((H401=$H$7:$H$10000)*(N401&lt;$N$7:$N$10000))+1</f>
        <v>24</v>
      </c>
      <c r="Q401" s="72"/>
      <c r="R401">
        <v>8</v>
      </c>
      <c r="S401" t="str">
        <v>SDL</v>
      </c>
      <c r="T401" t="str">
        <v>James Vaifale</v>
      </c>
      <c r="U401" t="str">
        <v>NULL</v>
      </c>
      <c r="V401" t="str">
        <v>Home</v>
      </c>
      <c r="W401" t="str">
        <v>CHI</v>
      </c>
      <c r="X401">
        <v>10.683291507095097</v>
      </c>
    </row>
    <row r="402" spans="1:24" x14ac:dyDescent="0.35">
      <c r="A402" s="1">
        <v>4</v>
      </c>
      <c r="B402" s="1" t="s">
        <v>93</v>
      </c>
      <c r="C402" s="1">
        <v>19.542496489438207</v>
      </c>
      <c r="H402" s="65">
        <v>6</v>
      </c>
      <c r="I402" t="s">
        <v>7</v>
      </c>
      <c r="J402" t="s">
        <v>447</v>
      </c>
      <c r="K402" t="s">
        <v>256</v>
      </c>
      <c r="L402" s="10" t="s">
        <v>3</v>
      </c>
      <c r="M402" s="10" t="s">
        <v>23</v>
      </c>
      <c r="N402">
        <f t="shared" si="30"/>
        <v>11.464150058347808</v>
      </c>
      <c r="O402" t="str">
        <f t="shared" si="31"/>
        <v/>
      </c>
      <c r="P402" s="67" cm="1">
        <f t="array" ref="P402">SUMPRODUCT((H402=$H$7:$H$10000)*(N402&lt;$N$7:$N$10000))+1</f>
        <v>25</v>
      </c>
      <c r="Q402" s="72"/>
      <c r="R402">
        <v>8</v>
      </c>
      <c r="S402" t="str">
        <v>OGDC</v>
      </c>
      <c r="T402" t="str">
        <v>Steffan Hughes</v>
      </c>
      <c r="U402" t="str">
        <v>NULL</v>
      </c>
      <c r="V402" t="str">
        <v>Home</v>
      </c>
      <c r="W402" t="str">
        <v>SEA</v>
      </c>
      <c r="X402">
        <v>10.446117660881406</v>
      </c>
    </row>
    <row r="403" spans="1:24" x14ac:dyDescent="0.35">
      <c r="A403" s="1">
        <v>5</v>
      </c>
      <c r="B403" s="1" t="s">
        <v>64</v>
      </c>
      <c r="C403" s="1">
        <v>19.437498004284592</v>
      </c>
      <c r="H403" s="65">
        <v>6</v>
      </c>
      <c r="I403" t="s">
        <v>17</v>
      </c>
      <c r="J403" t="s">
        <v>196</v>
      </c>
      <c r="K403" t="s">
        <v>256</v>
      </c>
      <c r="L403" t="s">
        <v>3</v>
      </c>
      <c r="M403" t="s">
        <v>13</v>
      </c>
      <c r="N403">
        <f t="shared" si="30"/>
        <v>11.238081980147253</v>
      </c>
      <c r="O403" t="str">
        <f t="shared" si="31"/>
        <v/>
      </c>
      <c r="P403" s="67" cm="1">
        <f t="array" ref="P403">SUMPRODUCT((H403=$H$7:$H$10000)*(N403&lt;$N$7:$N$10000))+1</f>
        <v>26</v>
      </c>
      <c r="Q403" s="72"/>
      <c r="R403">
        <v>8</v>
      </c>
      <c r="S403" t="str">
        <v>NOLA</v>
      </c>
      <c r="T403" t="str">
        <v>Xavier Mignot</v>
      </c>
      <c r="U403" t="str">
        <v>NULL</v>
      </c>
      <c r="V403" t="str">
        <v>Away</v>
      </c>
      <c r="W403" t="str">
        <v>ARC</v>
      </c>
      <c r="X403">
        <v>10.354310357939827</v>
      </c>
    </row>
    <row r="404" spans="1:24" x14ac:dyDescent="0.35">
      <c r="A404" s="1">
        <v>6</v>
      </c>
      <c r="B404" s="1" t="s">
        <v>76</v>
      </c>
      <c r="C404" s="1">
        <v>18.456037935161561</v>
      </c>
      <c r="H404" s="66">
        <v>6</v>
      </c>
      <c r="I404" t="s">
        <v>36</v>
      </c>
      <c r="J404" t="s">
        <v>38</v>
      </c>
      <c r="K404" t="s">
        <v>256</v>
      </c>
      <c r="L404" t="s">
        <v>9</v>
      </c>
      <c r="M404" t="s">
        <v>14</v>
      </c>
      <c r="N404">
        <f t="shared" si="30"/>
        <v>10.866687180567451</v>
      </c>
      <c r="O404" t="str">
        <f t="shared" si="31"/>
        <v/>
      </c>
      <c r="P404" s="67" cm="1">
        <f t="array" ref="P404">SUMPRODUCT((H404=$H$7:$H$10000)*(N404&lt;$N$7:$N$10000))+1</f>
        <v>27</v>
      </c>
      <c r="Q404" s="72"/>
      <c r="R404">
        <v>8</v>
      </c>
      <c r="S404" t="str">
        <v>LA</v>
      </c>
      <c r="T404" t="str">
        <v>Matias Jensen</v>
      </c>
      <c r="U404" t="str">
        <v>NULL</v>
      </c>
      <c r="V404" t="str">
        <v>Away</v>
      </c>
      <c r="W404" t="str">
        <v>HOU</v>
      </c>
      <c r="X404">
        <v>10.201924323440945</v>
      </c>
    </row>
    <row r="405" spans="1:24" x14ac:dyDescent="0.35">
      <c r="A405" s="1">
        <v>7</v>
      </c>
      <c r="B405" s="1" t="s">
        <v>67</v>
      </c>
      <c r="C405" s="1">
        <v>17.309496134305967</v>
      </c>
      <c r="H405" s="66">
        <v>6</v>
      </c>
      <c r="I405" t="s">
        <v>17</v>
      </c>
      <c r="J405" t="s">
        <v>497</v>
      </c>
      <c r="K405" t="s">
        <v>256</v>
      </c>
      <c r="L405" t="s">
        <v>3</v>
      </c>
      <c r="M405" t="s">
        <v>13</v>
      </c>
      <c r="N405">
        <f t="shared" si="30"/>
        <v>10.788664228198254</v>
      </c>
      <c r="O405" t="str">
        <f t="shared" si="31"/>
        <v/>
      </c>
      <c r="P405" s="67" cm="1">
        <f t="array" ref="P405">SUMPRODUCT((H405=$H$7:$H$10000)*(N405&lt;$N$7:$N$10000))+1</f>
        <v>28</v>
      </c>
      <c r="Q405" s="72"/>
      <c r="R405">
        <v>8</v>
      </c>
      <c r="S405" t="str">
        <v>NOLA</v>
      </c>
      <c r="T405" t="str">
        <v>Ed Fidow</v>
      </c>
      <c r="U405" t="str">
        <v>NULL</v>
      </c>
      <c r="V405" t="str">
        <v>Away</v>
      </c>
      <c r="W405" t="str">
        <v>ARC</v>
      </c>
      <c r="X405">
        <v>10.081943019500883</v>
      </c>
    </row>
    <row r="406" spans="1:24" x14ac:dyDescent="0.35">
      <c r="A406" s="1">
        <v>8</v>
      </c>
      <c r="B406" s="1" t="s">
        <v>28</v>
      </c>
      <c r="C406" s="1">
        <v>16.484056461203643</v>
      </c>
      <c r="H406" s="65">
        <v>6</v>
      </c>
      <c r="I406" t="s">
        <v>17</v>
      </c>
      <c r="J406" t="s">
        <v>37</v>
      </c>
      <c r="K406" t="s">
        <v>256</v>
      </c>
      <c r="L406" t="s">
        <v>3</v>
      </c>
      <c r="M406" t="s">
        <v>13</v>
      </c>
      <c r="N406">
        <f t="shared" si="30"/>
        <v>10.67056405153866</v>
      </c>
      <c r="O406" t="str">
        <f t="shared" si="31"/>
        <v/>
      </c>
      <c r="P406" s="67" cm="1">
        <f t="array" ref="P406">SUMPRODUCT((H406=$H$7:$H$10000)*(N406&lt;$N$7:$N$10000))+1</f>
        <v>29</v>
      </c>
      <c r="Q406" s="72"/>
      <c r="R406">
        <v>8</v>
      </c>
      <c r="S406" t="str">
        <v>ARC</v>
      </c>
      <c r="T406" t="str">
        <v>Erich Storti</v>
      </c>
      <c r="U406" t="str">
        <v>NULL</v>
      </c>
      <c r="V406" t="str">
        <v>Home</v>
      </c>
      <c r="W406" t="str">
        <v>NOLA</v>
      </c>
      <c r="X406">
        <v>9.9489197669160969</v>
      </c>
    </row>
    <row r="407" spans="1:24" x14ac:dyDescent="0.35">
      <c r="A407" s="1">
        <v>9</v>
      </c>
      <c r="B407" s="1" t="s">
        <v>79</v>
      </c>
      <c r="C407" s="1">
        <v>15.349443614574902</v>
      </c>
      <c r="H407" s="66">
        <v>6</v>
      </c>
      <c r="I407" t="s">
        <v>6</v>
      </c>
      <c r="J407" t="s">
        <v>442</v>
      </c>
      <c r="K407" t="s">
        <v>256</v>
      </c>
      <c r="L407" t="s">
        <v>9</v>
      </c>
      <c r="M407" t="s">
        <v>4</v>
      </c>
      <c r="N407">
        <f t="shared" si="30"/>
        <v>10.642465541980457</v>
      </c>
      <c r="O407" t="str">
        <f t="shared" si="31"/>
        <v/>
      </c>
      <c r="P407" s="67" cm="1">
        <f t="array" ref="P407">SUMPRODUCT((H407=$H$7:$H$10000)*(N407&lt;$N$7:$N$10000))+1</f>
        <v>30</v>
      </c>
      <c r="Q407" s="72"/>
      <c r="R407">
        <v>8</v>
      </c>
      <c r="S407" t="str">
        <v>MIA</v>
      </c>
      <c r="T407" t="str">
        <v>Santiago Videla</v>
      </c>
      <c r="U407" t="str">
        <v>NULL</v>
      </c>
      <c r="V407" t="str">
        <v>Away</v>
      </c>
      <c r="W407" t="str">
        <v>NEFJ</v>
      </c>
      <c r="X407">
        <v>9.9023208845658264</v>
      </c>
    </row>
    <row r="408" spans="1:24" x14ac:dyDescent="0.35">
      <c r="A408" s="1">
        <v>10</v>
      </c>
      <c r="B408" s="1" t="s">
        <v>27</v>
      </c>
      <c r="C408" s="1">
        <v>14.831218567637375</v>
      </c>
      <c r="H408" s="66">
        <v>6</v>
      </c>
      <c r="I408" t="s">
        <v>7</v>
      </c>
      <c r="J408" t="s">
        <v>77</v>
      </c>
      <c r="K408" t="s">
        <v>256</v>
      </c>
      <c r="L408" t="s">
        <v>3</v>
      </c>
      <c r="M408" t="s">
        <v>23</v>
      </c>
      <c r="N408">
        <f t="shared" si="30"/>
        <v>10.44361681869308</v>
      </c>
      <c r="O408" t="str">
        <f t="shared" si="31"/>
        <v/>
      </c>
      <c r="P408" s="67" cm="1">
        <f t="array" ref="P408">SUMPRODUCT((H408=$H$7:$H$10000)*(N408&lt;$N$7:$N$10000))+1</f>
        <v>31</v>
      </c>
      <c r="Q408" s="72"/>
      <c r="R408">
        <v>8</v>
      </c>
      <c r="S408" t="str">
        <v>NEFJ</v>
      </c>
      <c r="T408" t="str">
        <v>Killian Coghlan</v>
      </c>
      <c r="U408" t="str">
        <v>NULL</v>
      </c>
      <c r="V408" t="str">
        <v>Home</v>
      </c>
      <c r="W408" t="str">
        <v>MIA</v>
      </c>
      <c r="X408">
        <v>9.7389835087055534</v>
      </c>
    </row>
    <row r="409" spans="1:24" x14ac:dyDescent="0.35">
      <c r="A409" s="1">
        <v>11</v>
      </c>
      <c r="B409" s="1" t="s">
        <v>47</v>
      </c>
      <c r="C409" s="1">
        <v>14.574709130212387</v>
      </c>
      <c r="H409" s="65">
        <v>6</v>
      </c>
      <c r="I409" t="s">
        <v>36</v>
      </c>
      <c r="J409" t="s">
        <v>71</v>
      </c>
      <c r="K409" t="s">
        <v>256</v>
      </c>
      <c r="L409" t="s">
        <v>9</v>
      </c>
      <c r="M409" t="s">
        <v>14</v>
      </c>
      <c r="N409">
        <f t="shared" si="30"/>
        <v>10.287127788452613</v>
      </c>
      <c r="O409" t="str">
        <f t="shared" si="31"/>
        <v/>
      </c>
      <c r="P409" s="67" cm="1">
        <f t="array" ref="P409">SUMPRODUCT((H409=$H$7:$H$10000)*(N409&lt;$N$7:$N$10000))+1</f>
        <v>32</v>
      </c>
      <c r="Q409" s="72"/>
      <c r="R409">
        <v>8</v>
      </c>
      <c r="S409" t="str">
        <v>HOU</v>
      </c>
      <c r="T409" t="str">
        <v>Rufus McLean</v>
      </c>
      <c r="U409" t="str">
        <v>NULL</v>
      </c>
      <c r="V409" t="str">
        <v>Home</v>
      </c>
      <c r="W409" t="str">
        <v>LA</v>
      </c>
      <c r="X409">
        <v>9.714741289251986</v>
      </c>
    </row>
    <row r="410" spans="1:24" x14ac:dyDescent="0.35">
      <c r="A410" s="1">
        <v>12</v>
      </c>
      <c r="B410" s="1" t="s">
        <v>102</v>
      </c>
      <c r="C410" s="1">
        <v>14.269645273023819</v>
      </c>
      <c r="H410" s="66">
        <v>6</v>
      </c>
      <c r="I410" t="s">
        <v>36</v>
      </c>
      <c r="J410" t="s">
        <v>78</v>
      </c>
      <c r="K410" t="s">
        <v>256</v>
      </c>
      <c r="L410" t="s">
        <v>9</v>
      </c>
      <c r="M410" t="s">
        <v>14</v>
      </c>
      <c r="N410">
        <f t="shared" si="30"/>
        <v>10.28074127123266</v>
      </c>
      <c r="O410" t="str">
        <f t="shared" si="31"/>
        <v/>
      </c>
      <c r="P410" s="67" cm="1">
        <f t="array" ref="P410">SUMPRODUCT((H410=$H$7:$H$10000)*(N410&lt;$N$7:$N$10000))+1</f>
        <v>33</v>
      </c>
      <c r="Q410" s="72"/>
      <c r="R410">
        <v>8</v>
      </c>
      <c r="S410" t="str">
        <v>HOU</v>
      </c>
      <c r="T410" t="str">
        <v>Max Schumacher</v>
      </c>
      <c r="U410" t="str">
        <v>NULL</v>
      </c>
      <c r="V410" t="str">
        <v>Home</v>
      </c>
      <c r="W410" t="str">
        <v>LA</v>
      </c>
      <c r="X410">
        <v>9.5679081290890053</v>
      </c>
    </row>
    <row r="411" spans="1:24" x14ac:dyDescent="0.35">
      <c r="A411" s="1">
        <v>13</v>
      </c>
      <c r="B411" s="1" t="s">
        <v>68</v>
      </c>
      <c r="C411" s="1">
        <v>14.26752966319812</v>
      </c>
      <c r="H411" s="66">
        <v>6</v>
      </c>
      <c r="I411" t="s">
        <v>4</v>
      </c>
      <c r="J411" t="s">
        <v>493</v>
      </c>
      <c r="K411" t="s">
        <v>256</v>
      </c>
      <c r="L411" t="s">
        <v>3</v>
      </c>
      <c r="M411" t="s">
        <v>6</v>
      </c>
      <c r="N411">
        <f t="shared" si="30"/>
        <v>9.7584113724386654</v>
      </c>
      <c r="O411" t="str">
        <f t="shared" si="31"/>
        <v/>
      </c>
      <c r="P411" s="67" cm="1">
        <f t="array" ref="P411">SUMPRODUCT((H411=$H$7:$H$10000)*(N411&lt;$N$7:$N$10000))+1</f>
        <v>34</v>
      </c>
      <c r="Q411" s="72"/>
      <c r="R411">
        <v>8</v>
      </c>
      <c r="S411" t="str">
        <v>SDL</v>
      </c>
      <c r="T411" t="str">
        <v>Richard Judd</v>
      </c>
      <c r="U411" t="str">
        <v>NULL</v>
      </c>
      <c r="V411" t="str">
        <v>Home</v>
      </c>
      <c r="W411" t="str">
        <v>CHI</v>
      </c>
      <c r="X411">
        <v>9.5653616159281665</v>
      </c>
    </row>
    <row r="412" spans="1:24" x14ac:dyDescent="0.35">
      <c r="A412" s="1">
        <v>14</v>
      </c>
      <c r="B412" s="1" t="s">
        <v>65</v>
      </c>
      <c r="C412" s="1">
        <v>14.225355204093171</v>
      </c>
      <c r="H412" s="66">
        <v>6</v>
      </c>
      <c r="I412" t="s">
        <v>6</v>
      </c>
      <c r="J412" t="s">
        <v>437</v>
      </c>
      <c r="K412" t="s">
        <v>256</v>
      </c>
      <c r="L412" t="s">
        <v>9</v>
      </c>
      <c r="M412" t="s">
        <v>4</v>
      </c>
      <c r="N412">
        <f t="shared" si="30"/>
        <v>9.6726836265524714</v>
      </c>
      <c r="O412" t="str">
        <f t="shared" si="31"/>
        <v/>
      </c>
      <c r="P412" s="67" cm="1">
        <f t="array" ref="P412">SUMPRODUCT((H412=$H$7:$H$10000)*(N412&lt;$N$7:$N$10000))+1</f>
        <v>35</v>
      </c>
      <c r="Q412" s="72"/>
      <c r="R412">
        <v>8</v>
      </c>
      <c r="S412" t="str">
        <v>ARC</v>
      </c>
      <c r="T412" t="str">
        <v>Mitch Wilson</v>
      </c>
      <c r="U412" t="str">
        <v>NULL</v>
      </c>
      <c r="V412" t="str">
        <v>Home</v>
      </c>
      <c r="W412" t="str">
        <v>NOLA</v>
      </c>
      <c r="X412">
        <v>9.5602505107018043</v>
      </c>
    </row>
    <row r="413" spans="1:24" x14ac:dyDescent="0.35">
      <c r="A413" s="1">
        <v>15</v>
      </c>
      <c r="B413" s="1" t="s">
        <v>189</v>
      </c>
      <c r="C413" s="1">
        <v>14.063400246070467</v>
      </c>
      <c r="H413" s="65">
        <v>6</v>
      </c>
      <c r="I413" t="s">
        <v>17</v>
      </c>
      <c r="J413" t="s">
        <v>450</v>
      </c>
      <c r="K413" t="s">
        <v>256</v>
      </c>
      <c r="L413" s="10" t="s">
        <v>3</v>
      </c>
      <c r="M413" s="10" t="s">
        <v>13</v>
      </c>
      <c r="N413">
        <f t="shared" si="30"/>
        <v>9.6687986361694342</v>
      </c>
      <c r="O413" t="str">
        <f t="shared" si="31"/>
        <v/>
      </c>
      <c r="P413" s="67" cm="1">
        <f t="array" ref="P413">SUMPRODUCT((H413=$H$7:$H$10000)*(N413&lt;$N$7:$N$10000))+1</f>
        <v>36</v>
      </c>
      <c r="Q413" s="72"/>
      <c r="R413">
        <v>8</v>
      </c>
      <c r="S413" t="str">
        <v>SDL</v>
      </c>
      <c r="T413" t="str">
        <v>Tiaan Loots</v>
      </c>
      <c r="U413" t="str">
        <v>NULL</v>
      </c>
      <c r="V413" t="str">
        <v>Home</v>
      </c>
      <c r="W413" t="str">
        <v>CHI</v>
      </c>
      <c r="X413">
        <v>9.4702903472301259</v>
      </c>
    </row>
    <row r="414" spans="1:24" x14ac:dyDescent="0.35">
      <c r="A414" s="1">
        <v>16</v>
      </c>
      <c r="B414" s="1" t="s">
        <v>94</v>
      </c>
      <c r="C414" s="1">
        <v>13.270456183060521</v>
      </c>
      <c r="H414" s="66">
        <v>6</v>
      </c>
      <c r="I414" t="s">
        <v>24</v>
      </c>
      <c r="J414" t="s">
        <v>84</v>
      </c>
      <c r="K414" t="s">
        <v>256</v>
      </c>
      <c r="L414" t="s">
        <v>9</v>
      </c>
      <c r="M414" t="s">
        <v>34</v>
      </c>
      <c r="N414">
        <f t="shared" si="30"/>
        <v>9.6302061579977849</v>
      </c>
      <c r="O414" t="str">
        <f t="shared" si="31"/>
        <v/>
      </c>
      <c r="P414" s="67" cm="1">
        <f t="array" ref="P414">SUMPRODUCT((H414=$H$7:$H$10000)*(N414&lt;$N$7:$N$10000))+1</f>
        <v>37</v>
      </c>
      <c r="Q414" s="72"/>
      <c r="R414">
        <v>8</v>
      </c>
      <c r="S414" t="str">
        <v>OGDC</v>
      </c>
      <c r="T414" t="str">
        <v>Jason Robertson</v>
      </c>
      <c r="U414" t="str">
        <v>NULL</v>
      </c>
      <c r="V414" t="str">
        <v>Home</v>
      </c>
      <c r="W414" t="str">
        <v>SEA</v>
      </c>
      <c r="X414">
        <v>9.4255844212266773</v>
      </c>
    </row>
    <row r="415" spans="1:24" x14ac:dyDescent="0.35">
      <c r="A415" s="1">
        <v>17</v>
      </c>
      <c r="B415" s="1" t="s">
        <v>195</v>
      </c>
      <c r="C415" s="1">
        <v>13.068405251317293</v>
      </c>
      <c r="H415" s="66">
        <v>6</v>
      </c>
      <c r="I415" t="s">
        <v>24</v>
      </c>
      <c r="J415" t="s">
        <v>194</v>
      </c>
      <c r="K415" t="s">
        <v>256</v>
      </c>
      <c r="L415" t="s">
        <v>9</v>
      </c>
      <c r="M415" t="s">
        <v>34</v>
      </c>
      <c r="N415">
        <f t="shared" si="30"/>
        <v>9.5991422903952888</v>
      </c>
      <c r="O415" t="str">
        <f t="shared" si="31"/>
        <v/>
      </c>
      <c r="P415" s="67" cm="1">
        <f t="array" ref="P415">SUMPRODUCT((H415=$H$7:$H$10000)*(N415&lt;$N$7:$N$10000))+1</f>
        <v>38</v>
      </c>
      <c r="Q415" s="72"/>
      <c r="R415">
        <v>8</v>
      </c>
      <c r="S415" t="str">
        <v>ARC</v>
      </c>
      <c r="T415" t="str">
        <v>Line Latu</v>
      </c>
      <c r="U415" t="str">
        <v>NULL</v>
      </c>
      <c r="V415" t="str">
        <v>Home</v>
      </c>
      <c r="W415" t="str">
        <v>NOLA</v>
      </c>
      <c r="X415">
        <v>9.298655925138636</v>
      </c>
    </row>
    <row r="416" spans="1:24" x14ac:dyDescent="0.35">
      <c r="A416" s="1">
        <v>18</v>
      </c>
      <c r="B416" s="1" t="s">
        <v>193</v>
      </c>
      <c r="C416" s="1">
        <v>12.96287948468267</v>
      </c>
      <c r="H416" s="66">
        <v>6</v>
      </c>
      <c r="I416" t="s">
        <v>24</v>
      </c>
      <c r="J416" t="s">
        <v>101</v>
      </c>
      <c r="K416" t="s">
        <v>256</v>
      </c>
      <c r="L416" t="s">
        <v>9</v>
      </c>
      <c r="M416" t="s">
        <v>34</v>
      </c>
      <c r="N416">
        <f t="shared" si="30"/>
        <v>9.4487178960086684</v>
      </c>
      <c r="O416" t="str">
        <f t="shared" si="31"/>
        <v/>
      </c>
      <c r="P416" s="67" cm="1">
        <f t="array" ref="P416">SUMPRODUCT((H416=$H$7:$H$10000)*(N416&lt;$N$7:$N$10000))+1</f>
        <v>39</v>
      </c>
      <c r="Q416" s="72"/>
      <c r="R416">
        <v>8</v>
      </c>
      <c r="S416" t="str">
        <v>NOLA</v>
      </c>
      <c r="T416" t="str">
        <v>JP Du Plessis</v>
      </c>
      <c r="U416" t="str">
        <v>NULL</v>
      </c>
      <c r="V416" t="str">
        <v>Away</v>
      </c>
      <c r="W416" t="str">
        <v>ARC</v>
      </c>
      <c r="X416">
        <v>9.2557544998210535</v>
      </c>
    </row>
    <row r="417" spans="1:24" x14ac:dyDescent="0.35">
      <c r="A417" s="1">
        <v>19</v>
      </c>
      <c r="B417" s="1" t="s">
        <v>99</v>
      </c>
      <c r="C417" s="1">
        <v>11.872000848227181</v>
      </c>
      <c r="H417" s="66">
        <v>6</v>
      </c>
      <c r="I417" t="s">
        <v>6</v>
      </c>
      <c r="J417" t="s">
        <v>75</v>
      </c>
      <c r="K417" t="s">
        <v>256</v>
      </c>
      <c r="L417" t="s">
        <v>9</v>
      </c>
      <c r="M417" t="s">
        <v>4</v>
      </c>
      <c r="N417">
        <f t="shared" si="30"/>
        <v>9.4175694144079376</v>
      </c>
      <c r="O417" t="str">
        <f t="shared" si="31"/>
        <v/>
      </c>
      <c r="P417" s="67" cm="1">
        <f t="array" ref="P417">SUMPRODUCT((H417=$H$7:$H$10000)*(N417&lt;$N$7:$N$10000))+1</f>
        <v>40</v>
      </c>
      <c r="Q417" s="72"/>
      <c r="R417">
        <v>8</v>
      </c>
      <c r="S417" t="str">
        <v>LA</v>
      </c>
      <c r="T417" t="str">
        <v>Christian Leali'ifano</v>
      </c>
      <c r="U417" t="str">
        <v>NULL</v>
      </c>
      <c r="V417" t="str">
        <v>Away</v>
      </c>
      <c r="W417" t="str">
        <v>HOU</v>
      </c>
      <c r="X417">
        <v>9.0506917014731361</v>
      </c>
    </row>
    <row r="418" spans="1:24" x14ac:dyDescent="0.35">
      <c r="A418" s="1">
        <v>20</v>
      </c>
      <c r="B418" s="1" t="s">
        <v>77</v>
      </c>
      <c r="C418" s="1">
        <v>11.819926349246138</v>
      </c>
      <c r="H418" s="65">
        <v>6</v>
      </c>
      <c r="I418" t="s">
        <v>13</v>
      </c>
      <c r="J418" t="s">
        <v>477</v>
      </c>
      <c r="K418" t="s">
        <v>256</v>
      </c>
      <c r="L418" s="10" t="s">
        <v>9</v>
      </c>
      <c r="M418" s="10" t="s">
        <v>17</v>
      </c>
      <c r="N418">
        <f t="shared" si="30"/>
        <v>9.3679949638965301</v>
      </c>
      <c r="O418" t="str">
        <f t="shared" si="31"/>
        <v/>
      </c>
      <c r="P418" s="67" cm="1">
        <f t="array" ref="P418">SUMPRODUCT((H418=$H$7:$H$10000)*(N418&lt;$N$7:$N$10000))+1</f>
        <v>41</v>
      </c>
      <c r="Q418" s="72"/>
      <c r="R418">
        <v>8</v>
      </c>
      <c r="S418" t="str">
        <v>CHI</v>
      </c>
      <c r="T418" t="str">
        <v>Ollie Devoto</v>
      </c>
      <c r="U418" t="str">
        <v>NULL</v>
      </c>
      <c r="V418" t="str">
        <v>Away</v>
      </c>
      <c r="W418" t="str">
        <v>SDL</v>
      </c>
      <c r="X418">
        <v>8.5763507813626703</v>
      </c>
    </row>
    <row r="419" spans="1:24" x14ac:dyDescent="0.35">
      <c r="A419" s="1">
        <v>21</v>
      </c>
      <c r="B419" s="1" t="s">
        <v>49</v>
      </c>
      <c r="C419" s="1">
        <v>11.793420228374526</v>
      </c>
      <c r="H419" s="66">
        <v>6</v>
      </c>
      <c r="I419" t="s">
        <v>24</v>
      </c>
      <c r="J419" t="s">
        <v>487</v>
      </c>
      <c r="K419" t="s">
        <v>256</v>
      </c>
      <c r="L419" t="s">
        <v>9</v>
      </c>
      <c r="M419" t="s">
        <v>34</v>
      </c>
      <c r="N419">
        <f t="shared" si="30"/>
        <v>9.2796950487739824</v>
      </c>
      <c r="O419" t="str">
        <f t="shared" si="31"/>
        <v/>
      </c>
      <c r="P419" s="67" cm="1">
        <f t="array" ref="P419">SUMPRODUCT((H419=$H$7:$H$10000)*(N419&lt;$N$7:$N$10000))+1</f>
        <v>42</v>
      </c>
      <c r="Q419" s="72"/>
      <c r="R419">
        <v>8</v>
      </c>
      <c r="S419" t="str">
        <v>ARC</v>
      </c>
      <c r="T419" t="str">
        <v>Karl Keane</v>
      </c>
      <c r="U419" t="str">
        <v>NULL</v>
      </c>
      <c r="V419" t="str">
        <v>Home</v>
      </c>
      <c r="W419" t="str">
        <v>NOLA</v>
      </c>
      <c r="X419">
        <v>8.388791053619352</v>
      </c>
    </row>
    <row r="420" spans="1:24" x14ac:dyDescent="0.35">
      <c r="A420" s="1">
        <v>22</v>
      </c>
      <c r="B420" s="1" t="s">
        <v>187</v>
      </c>
      <c r="C420" s="1">
        <v>11.695843617762058</v>
      </c>
      <c r="H420" s="66">
        <v>6</v>
      </c>
      <c r="I420" t="s">
        <v>4</v>
      </c>
      <c r="J420" t="s">
        <v>188</v>
      </c>
      <c r="K420" t="s">
        <v>256</v>
      </c>
      <c r="L420" t="s">
        <v>3</v>
      </c>
      <c r="M420" t="s">
        <v>6</v>
      </c>
      <c r="N420">
        <f t="shared" si="30"/>
        <v>9.2604222690068205</v>
      </c>
      <c r="O420" t="str">
        <f t="shared" si="31"/>
        <v/>
      </c>
      <c r="P420" s="67" cm="1">
        <f t="array" ref="P420">SUMPRODUCT((H420=$H$7:$H$10000)*(N420&lt;$N$7:$N$10000))+1</f>
        <v>43</v>
      </c>
      <c r="Q420" s="72"/>
      <c r="R420">
        <v>8</v>
      </c>
      <c r="S420" t="str">
        <v>HOU</v>
      </c>
      <c r="T420" t="str">
        <v>Tautalatasi Tasi</v>
      </c>
      <c r="U420" t="str">
        <v>NULL</v>
      </c>
      <c r="V420" t="str">
        <v>Home</v>
      </c>
      <c r="W420" t="str">
        <v>LA</v>
      </c>
      <c r="X420">
        <v>8.2925553928474436</v>
      </c>
    </row>
    <row r="421" spans="1:24" x14ac:dyDescent="0.35">
      <c r="A421" s="1">
        <v>23</v>
      </c>
      <c r="B421" s="1" t="s">
        <v>22</v>
      </c>
      <c r="C421" s="1">
        <v>11.16750790170178</v>
      </c>
      <c r="H421" s="65">
        <v>6</v>
      </c>
      <c r="I421" t="s">
        <v>24</v>
      </c>
      <c r="J421" t="s">
        <v>439</v>
      </c>
      <c r="K421" t="s">
        <v>256</v>
      </c>
      <c r="L421" t="s">
        <v>9</v>
      </c>
      <c r="M421" t="s">
        <v>34</v>
      </c>
      <c r="N421">
        <f t="shared" si="30"/>
        <v>9.1090064102859856</v>
      </c>
      <c r="O421" t="str">
        <f t="shared" si="31"/>
        <v/>
      </c>
      <c r="P421" s="67" cm="1">
        <f t="array" ref="P421">SUMPRODUCT((H421=$H$7:$H$10000)*(N421&lt;$N$7:$N$10000))+1</f>
        <v>44</v>
      </c>
      <c r="Q421" s="72"/>
      <c r="R421">
        <v>8</v>
      </c>
      <c r="S421" t="str">
        <v>SDL</v>
      </c>
      <c r="T421" t="str">
        <v>Marcel Brache</v>
      </c>
      <c r="U421" t="str">
        <v>NULL</v>
      </c>
      <c r="V421" t="str">
        <v>Home</v>
      </c>
      <c r="W421" t="str">
        <v>CHI</v>
      </c>
      <c r="X421">
        <v>8.1171080339486767</v>
      </c>
    </row>
    <row r="422" spans="1:24" x14ac:dyDescent="0.35">
      <c r="A422" s="1">
        <v>24</v>
      </c>
      <c r="B422" s="1" t="s">
        <v>26</v>
      </c>
      <c r="C422" s="1">
        <v>10.986631151449419</v>
      </c>
      <c r="H422" s="66">
        <v>6</v>
      </c>
      <c r="I422" t="s">
        <v>6</v>
      </c>
      <c r="J422" t="s">
        <v>43</v>
      </c>
      <c r="K422" t="s">
        <v>256</v>
      </c>
      <c r="L422" t="s">
        <v>9</v>
      </c>
      <c r="M422" t="s">
        <v>4</v>
      </c>
      <c r="N422">
        <f t="shared" si="30"/>
        <v>8.9244791188237116</v>
      </c>
      <c r="O422" t="str">
        <f t="shared" si="31"/>
        <v/>
      </c>
      <c r="P422" s="67" cm="1">
        <f t="array" ref="P422">SUMPRODUCT((H422=$H$7:$H$10000)*(N422&lt;$N$7:$N$10000))+1</f>
        <v>45</v>
      </c>
      <c r="Q422" s="72"/>
      <c r="R422">
        <v>8</v>
      </c>
      <c r="S422" t="str">
        <v>LA</v>
      </c>
      <c r="T422" t="str">
        <v>Gonzalo Bertranou</v>
      </c>
      <c r="U422" t="str">
        <v>NULL</v>
      </c>
      <c r="V422" t="str">
        <v>Away</v>
      </c>
      <c r="W422" t="str">
        <v>HOU</v>
      </c>
      <c r="X422">
        <v>8.0809097860451509</v>
      </c>
    </row>
    <row r="423" spans="1:24" x14ac:dyDescent="0.35">
      <c r="A423" s="1">
        <v>25</v>
      </c>
      <c r="B423" s="1" t="s">
        <v>63</v>
      </c>
      <c r="C423" s="1">
        <v>10.978350626639253</v>
      </c>
      <c r="H423" s="66">
        <v>6</v>
      </c>
      <c r="I423" t="s">
        <v>4</v>
      </c>
      <c r="J423" t="s">
        <v>452</v>
      </c>
      <c r="K423" t="s">
        <v>256</v>
      </c>
      <c r="L423" t="s">
        <v>3</v>
      </c>
      <c r="M423" t="s">
        <v>6</v>
      </c>
      <c r="N423">
        <f t="shared" si="30"/>
        <v>8.8130490213699346</v>
      </c>
      <c r="O423" t="str">
        <f t="shared" si="31"/>
        <v/>
      </c>
      <c r="P423" s="67" cm="1">
        <f t="array" ref="P423">SUMPRODUCT((H423=$H$7:$H$10000)*(N423&lt;$N$7:$N$10000))+1</f>
        <v>46</v>
      </c>
      <c r="Q423" s="72"/>
      <c r="R423">
        <v>8</v>
      </c>
      <c r="S423" t="str">
        <v>LA</v>
      </c>
      <c r="T423" t="str">
        <v>Jack Shaw</v>
      </c>
      <c r="U423" t="str">
        <v>NULL</v>
      </c>
      <c r="V423" t="str">
        <v>Away</v>
      </c>
      <c r="W423" t="str">
        <v>HOU</v>
      </c>
      <c r="X423">
        <v>7.8257955739006171</v>
      </c>
    </row>
    <row r="424" spans="1:24" x14ac:dyDescent="0.35">
      <c r="A424" s="1">
        <v>26</v>
      </c>
      <c r="B424" s="1" t="s">
        <v>16</v>
      </c>
      <c r="C424" s="1">
        <v>10.966784960542871</v>
      </c>
      <c r="H424" s="65">
        <v>6</v>
      </c>
      <c r="I424" t="s">
        <v>17</v>
      </c>
      <c r="J424" t="s">
        <v>81</v>
      </c>
      <c r="K424" t="s">
        <v>256</v>
      </c>
      <c r="L424" t="s">
        <v>3</v>
      </c>
      <c r="M424" t="s">
        <v>13</v>
      </c>
      <c r="N424">
        <f t="shared" si="30"/>
        <v>8.6507287360446359</v>
      </c>
      <c r="O424" t="str">
        <f t="shared" si="31"/>
        <v/>
      </c>
      <c r="P424" s="67" cm="1">
        <f t="array" ref="P424">SUMPRODUCT((H424=$H$7:$H$10000)*(N424&lt;$N$7:$N$10000))+1</f>
        <v>47</v>
      </c>
      <c r="Q424" s="72"/>
      <c r="R424">
        <v>8</v>
      </c>
      <c r="S424" t="str">
        <v>SEA</v>
      </c>
      <c r="T424" t="str">
        <v>Eddie Fouche</v>
      </c>
      <c r="U424" t="str">
        <v>NULL</v>
      </c>
      <c r="V424" t="str">
        <v>Away</v>
      </c>
      <c r="W424" t="str">
        <v>OGDC</v>
      </c>
      <c r="X424">
        <v>7.8227415287656736</v>
      </c>
    </row>
    <row r="425" spans="1:24" x14ac:dyDescent="0.35">
      <c r="A425" s="1">
        <v>27</v>
      </c>
      <c r="B425" s="1" t="s">
        <v>25</v>
      </c>
      <c r="C425" s="1">
        <v>10.885045146336187</v>
      </c>
      <c r="H425" s="66">
        <v>6</v>
      </c>
      <c r="I425" t="s">
        <v>6</v>
      </c>
      <c r="J425" t="s">
        <v>454</v>
      </c>
      <c r="K425" t="s">
        <v>256</v>
      </c>
      <c r="L425" t="s">
        <v>9</v>
      </c>
      <c r="M425" t="s">
        <v>4</v>
      </c>
      <c r="N425">
        <f t="shared" si="30"/>
        <v>8.6258134511739666</v>
      </c>
      <c r="O425" t="str">
        <f t="shared" si="31"/>
        <v/>
      </c>
      <c r="P425" s="67" cm="1">
        <f t="array" ref="P425">SUMPRODUCT((H425=$H$7:$H$10000)*(N425&lt;$N$7:$N$10000))+1</f>
        <v>48</v>
      </c>
      <c r="Q425" s="72"/>
      <c r="R425">
        <v>8</v>
      </c>
      <c r="S425" t="str">
        <v>CHI</v>
      </c>
      <c r="T425" t="str">
        <v>Adriaan Carelse</v>
      </c>
      <c r="U425" t="str">
        <v>NULL</v>
      </c>
      <c r="V425" t="str">
        <v>Away</v>
      </c>
      <c r="W425" t="str">
        <v>SDL</v>
      </c>
      <c r="X425">
        <v>7.6850817455657543</v>
      </c>
    </row>
    <row r="426" spans="1:24" x14ac:dyDescent="0.35">
      <c r="A426" s="1">
        <v>28</v>
      </c>
      <c r="B426" s="1" t="s">
        <v>98</v>
      </c>
      <c r="C426" s="1">
        <v>10.68398464944201</v>
      </c>
      <c r="H426" s="65">
        <v>6</v>
      </c>
      <c r="I426" t="s">
        <v>14</v>
      </c>
      <c r="J426" t="s">
        <v>448</v>
      </c>
      <c r="K426" t="s">
        <v>256</v>
      </c>
      <c r="L426" t="s">
        <v>3</v>
      </c>
      <c r="M426" t="s">
        <v>36</v>
      </c>
      <c r="N426">
        <f t="shared" si="30"/>
        <v>8.3571459264087764</v>
      </c>
      <c r="O426" t="str">
        <f t="shared" si="31"/>
        <v/>
      </c>
      <c r="P426" s="67" cm="1">
        <f t="array" ref="P426">SUMPRODUCT((H426=$H$7:$H$10000)*(N426&lt;$N$7:$N$10000))+1</f>
        <v>49</v>
      </c>
      <c r="Q426" s="72"/>
      <c r="R426">
        <v>8</v>
      </c>
      <c r="S426" t="str">
        <v>LA</v>
      </c>
      <c r="T426" t="str">
        <v>Seth Purdey</v>
      </c>
      <c r="U426" t="str">
        <v>NULL</v>
      </c>
      <c r="V426" t="str">
        <v>Away</v>
      </c>
      <c r="W426" t="str">
        <v>HOU</v>
      </c>
      <c r="X426">
        <v>7.332705278316392</v>
      </c>
    </row>
    <row r="427" spans="1:24" x14ac:dyDescent="0.35">
      <c r="A427" s="1">
        <v>29</v>
      </c>
      <c r="B427" s="1" t="s">
        <v>190</v>
      </c>
      <c r="C427" s="1">
        <v>10.353089283263355</v>
      </c>
      <c r="H427" s="66">
        <v>6</v>
      </c>
      <c r="I427" t="s">
        <v>24</v>
      </c>
      <c r="J427" t="s">
        <v>96</v>
      </c>
      <c r="K427" t="s">
        <v>256</v>
      </c>
      <c r="L427" t="s">
        <v>9</v>
      </c>
      <c r="M427" t="s">
        <v>34</v>
      </c>
      <c r="N427">
        <f t="shared" si="30"/>
        <v>8.3089931506272006</v>
      </c>
      <c r="O427" t="str">
        <f t="shared" si="31"/>
        <v/>
      </c>
      <c r="P427" s="67" cm="1">
        <f t="array" ref="P427">SUMPRODUCT((H427=$H$7:$H$10000)*(N427&lt;$N$7:$N$10000))+1</f>
        <v>50</v>
      </c>
      <c r="Q427" s="72"/>
      <c r="R427">
        <v>8</v>
      </c>
      <c r="S427" t="str">
        <v>NEFJ</v>
      </c>
      <c r="T427" t="str">
        <v>Harrison Boyle</v>
      </c>
      <c r="U427" t="str">
        <v>NULL</v>
      </c>
      <c r="V427" t="str">
        <v>Home</v>
      </c>
      <c r="W427" t="str">
        <v>MIA</v>
      </c>
      <c r="X427">
        <v>7.3284353857762419</v>
      </c>
    </row>
    <row r="428" spans="1:24" x14ac:dyDescent="0.35">
      <c r="A428" s="1">
        <v>30</v>
      </c>
      <c r="B428" s="1" t="s">
        <v>80</v>
      </c>
      <c r="C428" s="1">
        <v>10.14166498936858</v>
      </c>
      <c r="H428" s="66">
        <v>6</v>
      </c>
      <c r="I428" t="s">
        <v>23</v>
      </c>
      <c r="J428" t="s">
        <v>190</v>
      </c>
      <c r="K428" t="s">
        <v>256</v>
      </c>
      <c r="L428" t="s">
        <v>9</v>
      </c>
      <c r="M428" t="s">
        <v>7</v>
      </c>
      <c r="N428">
        <f t="shared" si="30"/>
        <v>8.2701220405386984</v>
      </c>
      <c r="O428" t="str">
        <f t="shared" si="31"/>
        <v/>
      </c>
      <c r="P428" s="67" cm="1">
        <f t="array" ref="P428">SUMPRODUCT((H428=$H$7:$H$10000)*(N428&lt;$N$7:$N$10000))+1</f>
        <v>51</v>
      </c>
      <c r="Q428" s="72"/>
      <c r="R428">
        <v>8</v>
      </c>
      <c r="S428" t="str">
        <v>LA</v>
      </c>
      <c r="T428" t="str">
        <v>Cameron Gerlach</v>
      </c>
      <c r="U428" t="str">
        <v>NULL</v>
      </c>
      <c r="V428" t="str">
        <v>Away</v>
      </c>
      <c r="W428" t="str">
        <v>HOU</v>
      </c>
      <c r="X428">
        <v>7.034039610666647</v>
      </c>
    </row>
    <row r="429" spans="1:24" x14ac:dyDescent="0.35">
      <c r="A429" s="1">
        <v>31</v>
      </c>
      <c r="B429" s="1" t="s">
        <v>129</v>
      </c>
      <c r="C429" s="1">
        <v>10.064096386661857</v>
      </c>
      <c r="H429" s="66">
        <v>6</v>
      </c>
      <c r="I429" t="s">
        <v>6</v>
      </c>
      <c r="J429" t="s">
        <v>451</v>
      </c>
      <c r="K429" t="s">
        <v>256</v>
      </c>
      <c r="L429" t="s">
        <v>9</v>
      </c>
      <c r="M429" t="s">
        <v>4</v>
      </c>
      <c r="N429">
        <f t="shared" si="30"/>
        <v>8.0145184981876199</v>
      </c>
      <c r="O429" t="str">
        <f t="shared" si="31"/>
        <v/>
      </c>
      <c r="P429" s="67" cm="1">
        <f t="array" ref="P429">SUMPRODUCT((H429=$H$7:$H$10000)*(N429&lt;$N$7:$N$10000))+1</f>
        <v>52</v>
      </c>
      <c r="Q429" s="72"/>
      <c r="R429">
        <v>8</v>
      </c>
      <c r="S429" t="str">
        <v>MIA</v>
      </c>
      <c r="T429" t="str">
        <v>Matias Orlando</v>
      </c>
      <c r="U429" t="str">
        <v>NULL</v>
      </c>
      <c r="V429" t="str">
        <v>Away</v>
      </c>
      <c r="W429" t="str">
        <v>NEFJ</v>
      </c>
      <c r="X429">
        <v>7.0109095218825948</v>
      </c>
    </row>
    <row r="430" spans="1:24" x14ac:dyDescent="0.35">
      <c r="A430" s="1">
        <v>32</v>
      </c>
      <c r="B430" s="1" t="s">
        <v>37</v>
      </c>
      <c r="C430" s="1">
        <v>10.044518196905569</v>
      </c>
      <c r="H430" s="66">
        <v>6</v>
      </c>
      <c r="I430" t="s">
        <v>6</v>
      </c>
      <c r="J430" t="s">
        <v>64</v>
      </c>
      <c r="K430" t="s">
        <v>256</v>
      </c>
      <c r="L430" t="s">
        <v>9</v>
      </c>
      <c r="M430" t="s">
        <v>4</v>
      </c>
      <c r="N430">
        <f t="shared" si="30"/>
        <v>7.9735849531444192</v>
      </c>
      <c r="O430" t="str">
        <f t="shared" si="31"/>
        <v/>
      </c>
      <c r="P430" s="67" cm="1">
        <f t="array" ref="P430">SUMPRODUCT((H430=$H$7:$H$10000)*(N430&lt;$N$7:$N$10000))+1</f>
        <v>53</v>
      </c>
      <c r="Q430" s="72"/>
      <c r="R430">
        <v>8</v>
      </c>
      <c r="S430" t="str">
        <v>SEA</v>
      </c>
      <c r="T430" t="str">
        <v>Rodney Iona</v>
      </c>
      <c r="U430" t="str">
        <v>NULL</v>
      </c>
      <c r="V430" t="str">
        <v>Away</v>
      </c>
      <c r="W430" t="str">
        <v>OGDC</v>
      </c>
      <c r="X430">
        <v>6.9676562632098502</v>
      </c>
    </row>
    <row r="431" spans="1:24" x14ac:dyDescent="0.35">
      <c r="A431" s="1">
        <v>33</v>
      </c>
      <c r="B431" s="1" t="s">
        <v>45</v>
      </c>
      <c r="C431" s="1">
        <v>9.9299147077613537</v>
      </c>
      <c r="H431" s="66">
        <v>6</v>
      </c>
      <c r="I431" t="s">
        <v>14</v>
      </c>
      <c r="J431" t="s">
        <v>87</v>
      </c>
      <c r="K431" t="s">
        <v>256</v>
      </c>
      <c r="L431" t="s">
        <v>3</v>
      </c>
      <c r="M431" t="s">
        <v>36</v>
      </c>
      <c r="N431">
        <f t="shared" si="30"/>
        <v>7.9684766701944838</v>
      </c>
      <c r="O431" t="str">
        <f t="shared" si="31"/>
        <v/>
      </c>
      <c r="P431" s="67" cm="1">
        <f t="array" ref="P431">SUMPRODUCT((H431=$H$7:$H$10000)*(N431&lt;$N$7:$N$10000))+1</f>
        <v>54</v>
      </c>
      <c r="Q431" s="72"/>
      <c r="R431">
        <v>8</v>
      </c>
      <c r="S431" t="str">
        <v>NEFJ</v>
      </c>
      <c r="T431" t="str">
        <v>John Poland</v>
      </c>
      <c r="U431" t="str">
        <v>NULL</v>
      </c>
      <c r="V431" t="str">
        <v>Home</v>
      </c>
      <c r="W431" t="str">
        <v>MIA</v>
      </c>
      <c r="X431">
        <v>6.7815313039089746</v>
      </c>
    </row>
    <row r="432" spans="1:24" x14ac:dyDescent="0.35">
      <c r="A432" s="1">
        <v>34</v>
      </c>
      <c r="B432" s="1" t="s">
        <v>72</v>
      </c>
      <c r="C432" s="1">
        <v>9.7766357128775248</v>
      </c>
      <c r="H432" s="66">
        <v>6</v>
      </c>
      <c r="I432" t="s">
        <v>36</v>
      </c>
      <c r="J432" t="s">
        <v>491</v>
      </c>
      <c r="K432" t="s">
        <v>256</v>
      </c>
      <c r="L432" t="s">
        <v>9</v>
      </c>
      <c r="M432" t="s">
        <v>14</v>
      </c>
      <c r="N432">
        <f t="shared" si="30"/>
        <v>7.9517171941989062</v>
      </c>
      <c r="O432" t="str">
        <f t="shared" si="31"/>
        <v/>
      </c>
      <c r="P432" s="67" cm="1">
        <f t="array" ref="P432">SUMPRODUCT((H432=$H$7:$H$10000)*(N432&lt;$N$7:$N$10000))+1</f>
        <v>55</v>
      </c>
      <c r="Q432" s="72"/>
      <c r="R432">
        <v>8</v>
      </c>
      <c r="S432" t="str">
        <v>HOU</v>
      </c>
      <c r="T432" t="str">
        <v>Sam Hill</v>
      </c>
      <c r="U432" t="str">
        <v>NULL</v>
      </c>
      <c r="V432" t="str">
        <v>Home</v>
      </c>
      <c r="W432" t="str">
        <v>LA</v>
      </c>
      <c r="X432">
        <v>6.7211972252442678</v>
      </c>
    </row>
    <row r="433" spans="1:24" x14ac:dyDescent="0.35">
      <c r="A433" s="1">
        <v>35</v>
      </c>
      <c r="B433" s="1" t="s">
        <v>82</v>
      </c>
      <c r="C433" s="1">
        <v>9.751524647376522</v>
      </c>
      <c r="H433" s="66">
        <v>6</v>
      </c>
      <c r="I433" t="s">
        <v>14</v>
      </c>
      <c r="J433" t="s">
        <v>83</v>
      </c>
      <c r="K433" t="s">
        <v>256</v>
      </c>
      <c r="L433" t="s">
        <v>3</v>
      </c>
      <c r="M433" t="s">
        <v>36</v>
      </c>
      <c r="N433">
        <f t="shared" si="30"/>
        <v>7.7068820846313146</v>
      </c>
      <c r="O433" t="str">
        <f t="shared" si="31"/>
        <v/>
      </c>
      <c r="P433" s="67" cm="1">
        <f t="array" ref="P433">SUMPRODUCT((H433=$H$7:$H$10000)*(N433&lt;$N$7:$N$10000))+1</f>
        <v>56</v>
      </c>
      <c r="Q433" s="72"/>
      <c r="R433">
        <v>8</v>
      </c>
      <c r="S433" t="str">
        <v>CHI</v>
      </c>
      <c r="T433" t="str">
        <v>Ben Pollack</v>
      </c>
      <c r="U433" t="str">
        <v>NULL</v>
      </c>
      <c r="V433" t="str">
        <v>Away</v>
      </c>
      <c r="W433" t="str">
        <v>SDL</v>
      </c>
      <c r="X433">
        <v>6.6576639048531874</v>
      </c>
    </row>
    <row r="434" spans="1:24" x14ac:dyDescent="0.35">
      <c r="A434" s="1">
        <v>36</v>
      </c>
      <c r="B434" s="1" t="s">
        <v>10</v>
      </c>
      <c r="C434" s="1">
        <v>9.7283423547045356</v>
      </c>
      <c r="H434" s="66">
        <v>6</v>
      </c>
      <c r="I434" t="s">
        <v>13</v>
      </c>
      <c r="J434" t="s">
        <v>478</v>
      </c>
      <c r="K434" t="s">
        <v>256</v>
      </c>
      <c r="L434" t="s">
        <v>9</v>
      </c>
      <c r="M434" t="s">
        <v>17</v>
      </c>
      <c r="N434">
        <f t="shared" si="30"/>
        <v>7.2841772864108236</v>
      </c>
      <c r="O434" t="str">
        <f t="shared" si="31"/>
        <v/>
      </c>
      <c r="P434" s="67" cm="1">
        <f t="array" ref="P434">SUMPRODUCT((H434=$H$7:$H$10000)*(N434&lt;$N$7:$N$10000))+1</f>
        <v>57</v>
      </c>
      <c r="Q434" s="72"/>
      <c r="R434">
        <v>8</v>
      </c>
      <c r="S434" t="str">
        <v>SEA</v>
      </c>
      <c r="T434" t="str">
        <v>Duncan Matthews</v>
      </c>
      <c r="U434" t="str">
        <v>NULL</v>
      </c>
      <c r="V434" t="str">
        <v>Away</v>
      </c>
      <c r="W434" t="str">
        <v>OGDC</v>
      </c>
      <c r="X434">
        <v>6.5182385112608499</v>
      </c>
    </row>
    <row r="435" spans="1:24" x14ac:dyDescent="0.35">
      <c r="A435" s="1">
        <v>37</v>
      </c>
      <c r="B435" s="1" t="s">
        <v>20</v>
      </c>
      <c r="C435" s="1">
        <v>9.4255358744194169</v>
      </c>
      <c r="H435" s="66">
        <v>6</v>
      </c>
      <c r="I435" t="s">
        <v>17</v>
      </c>
      <c r="J435" t="s">
        <v>82</v>
      </c>
      <c r="K435" t="s">
        <v>256</v>
      </c>
      <c r="L435" t="s">
        <v>3</v>
      </c>
      <c r="M435" t="s">
        <v>13</v>
      </c>
      <c r="N435">
        <f t="shared" si="30"/>
        <v>7.255852892728953</v>
      </c>
      <c r="O435" t="str">
        <f t="shared" si="31"/>
        <v/>
      </c>
      <c r="P435" s="67" cm="1">
        <f t="array" ref="P435">SUMPRODUCT((H435=$H$7:$H$10000)*(N435&lt;$N$7:$N$10000))+1</f>
        <v>58</v>
      </c>
      <c r="Q435" s="72"/>
      <c r="R435">
        <v>8</v>
      </c>
      <c r="S435" t="str">
        <v>NOLA</v>
      </c>
      <c r="T435" t="str">
        <v>Luke Carty</v>
      </c>
      <c r="U435" t="str">
        <v>NULL</v>
      </c>
      <c r="V435" t="str">
        <v>Away</v>
      </c>
      <c r="W435" t="str">
        <v>ARC</v>
      </c>
      <c r="X435">
        <v>6.5160449131359766</v>
      </c>
    </row>
    <row r="436" spans="1:24" x14ac:dyDescent="0.35">
      <c r="A436" s="1">
        <v>38</v>
      </c>
      <c r="B436" s="1" t="s">
        <v>11</v>
      </c>
      <c r="C436" s="1">
        <v>9.3326071790036877</v>
      </c>
      <c r="H436" s="66">
        <v>6</v>
      </c>
      <c r="I436" t="s">
        <v>23</v>
      </c>
      <c r="J436" t="s">
        <v>46</v>
      </c>
      <c r="K436" t="s">
        <v>256</v>
      </c>
      <c r="L436" t="s">
        <v>9</v>
      </c>
      <c r="M436" t="s">
        <v>7</v>
      </c>
      <c r="N436">
        <f t="shared" si="30"/>
        <v>7.0693316387570739</v>
      </c>
      <c r="O436" t="str">
        <f t="shared" si="31"/>
        <v/>
      </c>
      <c r="P436" s="67" cm="1">
        <f t="array" ref="P436">SUMPRODUCT((H436=$H$7:$H$10000)*(N436&lt;$N$7:$N$10000))+1</f>
        <v>59</v>
      </c>
      <c r="Q436" s="72"/>
      <c r="R436">
        <v>8</v>
      </c>
      <c r="S436" t="str">
        <v>HOU</v>
      </c>
      <c r="T436" t="str">
        <v>Andre Warner</v>
      </c>
      <c r="U436" t="str">
        <v>NULL</v>
      </c>
      <c r="V436" t="str">
        <v>Home</v>
      </c>
      <c r="W436" t="str">
        <v>LA</v>
      </c>
      <c r="X436">
        <v>6.4736343238739904</v>
      </c>
    </row>
    <row r="437" spans="1:24" x14ac:dyDescent="0.35">
      <c r="A437" s="1">
        <v>39</v>
      </c>
      <c r="B437" s="1" t="s">
        <v>12</v>
      </c>
      <c r="C437" s="1">
        <v>9.3000068582496915</v>
      </c>
      <c r="H437" s="66">
        <v>6</v>
      </c>
      <c r="I437" t="s">
        <v>23</v>
      </c>
      <c r="J437" t="s">
        <v>32</v>
      </c>
      <c r="K437" t="s">
        <v>256</v>
      </c>
      <c r="L437" t="s">
        <v>9</v>
      </c>
      <c r="M437" t="s">
        <v>7</v>
      </c>
      <c r="N437">
        <f t="shared" si="30"/>
        <v>6.8891276774232031</v>
      </c>
      <c r="O437" t="str">
        <f t="shared" si="31"/>
        <v/>
      </c>
      <c r="P437" s="67" cm="1">
        <f t="array" ref="P437">SUMPRODUCT((H437=$H$7:$H$10000)*(N437&lt;$N$7:$N$10000))+1</f>
        <v>60</v>
      </c>
      <c r="Q437" s="72"/>
      <c r="R437">
        <v>8</v>
      </c>
      <c r="S437" t="str">
        <v>LA</v>
      </c>
      <c r="T437" t="str">
        <v>Nick Chan</v>
      </c>
      <c r="U437" t="str">
        <v>NULL</v>
      </c>
      <c r="V437" t="str">
        <v>Away</v>
      </c>
      <c r="W437" t="str">
        <v>HOU</v>
      </c>
      <c r="X437">
        <v>6.4227446576802993</v>
      </c>
    </row>
    <row r="438" spans="1:24" x14ac:dyDescent="0.35">
      <c r="A438" s="1">
        <v>40</v>
      </c>
      <c r="B438" s="1" t="s">
        <v>122</v>
      </c>
      <c r="C438" s="1">
        <v>8.9342394777609258</v>
      </c>
      <c r="H438" s="66">
        <v>6</v>
      </c>
      <c r="I438" t="s">
        <v>23</v>
      </c>
      <c r="J438" t="s">
        <v>91</v>
      </c>
      <c r="K438" t="s">
        <v>256</v>
      </c>
      <c r="L438" t="s">
        <v>9</v>
      </c>
      <c r="M438" t="s">
        <v>7</v>
      </c>
      <c r="N438">
        <f t="shared" si="30"/>
        <v>6.847325486717275</v>
      </c>
      <c r="O438" t="str">
        <f t="shared" si="31"/>
        <v/>
      </c>
      <c r="P438" s="67" cm="1">
        <f t="array" ref="P438">SUMPRODUCT((H438=$H$7:$H$10000)*(N438&lt;$N$7:$N$10000))+1</f>
        <v>61</v>
      </c>
      <c r="Q438" s="72"/>
      <c r="R438">
        <v>8</v>
      </c>
      <c r="S438" t="str">
        <v>SEA</v>
      </c>
      <c r="T438" t="str">
        <v>Divan Rossouw</v>
      </c>
      <c r="U438" t="str">
        <v>NULL</v>
      </c>
      <c r="V438" t="str">
        <v>Away</v>
      </c>
      <c r="W438" t="str">
        <v>OGDC</v>
      </c>
      <c r="X438">
        <v>6.400138334601257</v>
      </c>
    </row>
    <row r="439" spans="1:24" x14ac:dyDescent="0.35">
      <c r="A439" s="1">
        <v>41</v>
      </c>
      <c r="B439" s="1" t="s">
        <v>70</v>
      </c>
      <c r="C439" s="1">
        <v>8.8971066307823747</v>
      </c>
      <c r="H439" s="66">
        <v>6</v>
      </c>
      <c r="I439" t="s">
        <v>14</v>
      </c>
      <c r="J439" t="s">
        <v>438</v>
      </c>
      <c r="K439" t="s">
        <v>256</v>
      </c>
      <c r="L439" t="s">
        <v>3</v>
      </c>
      <c r="M439" t="s">
        <v>36</v>
      </c>
      <c r="N439">
        <f t="shared" si="30"/>
        <v>6.7970172131120314</v>
      </c>
      <c r="O439" t="str">
        <f t="shared" si="31"/>
        <v/>
      </c>
      <c r="P439" s="67" cm="1">
        <f t="array" ref="P439">SUMPRODUCT((H439=$H$7:$H$10000)*(N439&lt;$N$7:$N$10000))+1</f>
        <v>62</v>
      </c>
      <c r="Q439" s="72"/>
      <c r="R439">
        <v>8</v>
      </c>
      <c r="S439" t="str">
        <v>LA</v>
      </c>
      <c r="T439" t="str">
        <v>Andrew Coe</v>
      </c>
      <c r="U439" t="str">
        <v>NULL</v>
      </c>
      <c r="V439" t="str">
        <v>Away</v>
      </c>
      <c r="W439" t="str">
        <v>HOU</v>
      </c>
      <c r="X439">
        <v>6.3818111126370987</v>
      </c>
    </row>
    <row r="440" spans="1:24" x14ac:dyDescent="0.35">
      <c r="A440" s="1">
        <v>42</v>
      </c>
      <c r="B440" s="1" t="s">
        <v>8</v>
      </c>
      <c r="C440" s="1">
        <v>8.7904522258145725</v>
      </c>
      <c r="H440" s="66">
        <v>6</v>
      </c>
      <c r="I440" t="s">
        <v>13</v>
      </c>
      <c r="J440" t="s">
        <v>53</v>
      </c>
      <c r="K440" t="s">
        <v>256</v>
      </c>
      <c r="L440" t="s">
        <v>9</v>
      </c>
      <c r="M440" t="s">
        <v>17</v>
      </c>
      <c r="N440">
        <f t="shared" si="30"/>
        <v>6.6309263594009948</v>
      </c>
      <c r="O440" t="str">
        <f t="shared" si="31"/>
        <v/>
      </c>
      <c r="P440" s="67" cm="1">
        <f t="array" ref="P440">SUMPRODUCT((H440=$H$7:$H$10000)*(N440&lt;$N$7:$N$10000))+1</f>
        <v>63</v>
      </c>
      <c r="Q440" s="72"/>
      <c r="R440">
        <v>8</v>
      </c>
      <c r="S440" t="str">
        <v>MIA</v>
      </c>
      <c r="T440" t="str">
        <v>Guiseppe du Toit</v>
      </c>
      <c r="U440" t="str">
        <v>NULL</v>
      </c>
      <c r="V440" t="str">
        <v>Away</v>
      </c>
      <c r="W440" t="str">
        <v>NEFJ</v>
      </c>
      <c r="X440">
        <v>6.2046111759663045</v>
      </c>
    </row>
    <row r="441" spans="1:24" x14ac:dyDescent="0.35">
      <c r="A441" s="1">
        <v>43</v>
      </c>
      <c r="B441" s="1" t="s">
        <v>19</v>
      </c>
      <c r="C441" s="1">
        <v>8.6273928900084123</v>
      </c>
      <c r="H441" s="66">
        <v>6</v>
      </c>
      <c r="I441" t="s">
        <v>36</v>
      </c>
      <c r="J441" t="s">
        <v>479</v>
      </c>
      <c r="K441" t="s">
        <v>256</v>
      </c>
      <c r="L441" t="s">
        <v>9</v>
      </c>
      <c r="M441" t="s">
        <v>14</v>
      </c>
      <c r="N441">
        <f t="shared" si="30"/>
        <v>6.4723748299492971</v>
      </c>
      <c r="O441" t="str">
        <f t="shared" si="31"/>
        <v/>
      </c>
      <c r="P441" s="67" cm="1">
        <f t="array" ref="P441">SUMPRODUCT((H441=$H$7:$H$10000)*(N441&lt;$N$7:$N$10000))+1</f>
        <v>64</v>
      </c>
      <c r="Q441" s="72"/>
      <c r="R441">
        <v>8</v>
      </c>
      <c r="S441" t="str">
        <v>CHI</v>
      </c>
      <c r="T441" t="str">
        <v>Bryce Campbell</v>
      </c>
      <c r="U441" t="str">
        <v>NULL</v>
      </c>
      <c r="V441" t="str">
        <v>Away</v>
      </c>
      <c r="W441" t="str">
        <v>SDL</v>
      </c>
      <c r="X441">
        <v>6.0267775176015039</v>
      </c>
    </row>
    <row r="442" spans="1:24" x14ac:dyDescent="0.35">
      <c r="A442" s="1">
        <v>44</v>
      </c>
      <c r="B442" s="1" t="s">
        <v>84</v>
      </c>
      <c r="C442" s="1">
        <v>8.2664442426238107</v>
      </c>
      <c r="H442" s="66">
        <v>6</v>
      </c>
      <c r="I442" t="s">
        <v>4</v>
      </c>
      <c r="J442" t="s">
        <v>475</v>
      </c>
      <c r="K442" t="s">
        <v>256</v>
      </c>
      <c r="L442" t="s">
        <v>3</v>
      </c>
      <c r="M442" t="s">
        <v>6</v>
      </c>
      <c r="N442">
        <f t="shared" si="30"/>
        <v>6.3986487122442384</v>
      </c>
      <c r="O442" t="str">
        <f t="shared" si="31"/>
        <v/>
      </c>
      <c r="P442" s="67" cm="1">
        <f t="array" ref="P442">SUMPRODUCT((H442=$H$7:$H$10000)*(N442&lt;$N$7:$N$10000))+1</f>
        <v>65</v>
      </c>
      <c r="Q442" s="72"/>
      <c r="R442">
        <v>8</v>
      </c>
      <c r="S442" t="str">
        <v>NEFJ</v>
      </c>
      <c r="T442" t="str">
        <v>Simon-Peter Toleafoa</v>
      </c>
      <c r="U442" t="str">
        <v>NULL</v>
      </c>
      <c r="V442" t="str">
        <v>Home</v>
      </c>
      <c r="W442" t="str">
        <v>MIA</v>
      </c>
      <c r="X442">
        <v>6.0187967853451338</v>
      </c>
    </row>
    <row r="443" spans="1:24" x14ac:dyDescent="0.35">
      <c r="A443" s="1">
        <v>45</v>
      </c>
      <c r="B443" s="1" t="s">
        <v>21</v>
      </c>
      <c r="C443" s="1">
        <v>7.6750402241676881</v>
      </c>
      <c r="H443" s="66">
        <v>6</v>
      </c>
      <c r="I443" t="s">
        <v>36</v>
      </c>
      <c r="J443" t="s">
        <v>476</v>
      </c>
      <c r="K443" t="s">
        <v>256</v>
      </c>
      <c r="L443" t="s">
        <v>9</v>
      </c>
      <c r="M443" t="s">
        <v>14</v>
      </c>
      <c r="N443">
        <f t="shared" si="30"/>
        <v>6.3255416697863156</v>
      </c>
      <c r="O443" t="str">
        <f t="shared" si="31"/>
        <v/>
      </c>
      <c r="P443" s="67" cm="1">
        <f t="array" ref="P443">SUMPRODUCT((H443=$H$7:$H$10000)*(N443&lt;$N$7:$N$10000))+1</f>
        <v>66</v>
      </c>
      <c r="Q443" s="72"/>
      <c r="R443">
        <v>8</v>
      </c>
      <c r="S443" t="str">
        <v>NOLA</v>
      </c>
      <c r="T443" t="str">
        <v>Dorian Jones</v>
      </c>
      <c r="U443" t="str">
        <v>NULL</v>
      </c>
      <c r="V443" t="str">
        <v>Away</v>
      </c>
      <c r="W443" t="str">
        <v>ARC</v>
      </c>
      <c r="X443">
        <v>6.0180558097041317</v>
      </c>
    </row>
    <row r="444" spans="1:24" x14ac:dyDescent="0.35">
      <c r="A444" s="1">
        <v>46</v>
      </c>
      <c r="B444" s="1" t="s">
        <v>75</v>
      </c>
      <c r="C444" s="1">
        <v>7.5025012292698925</v>
      </c>
      <c r="H444" s="65">
        <v>6</v>
      </c>
      <c r="I444" t="s">
        <v>17</v>
      </c>
      <c r="J444" t="s">
        <v>16</v>
      </c>
      <c r="K444" t="s">
        <v>256</v>
      </c>
      <c r="L444" s="10" t="s">
        <v>3</v>
      </c>
      <c r="M444" s="10" t="s">
        <v>13</v>
      </c>
      <c r="N444">
        <f t="shared" si="30"/>
        <v>5.898097836485408</v>
      </c>
      <c r="O444" t="str">
        <f t="shared" si="31"/>
        <v/>
      </c>
      <c r="P444" s="67" cm="1">
        <f t="array" ref="P444">SUMPRODUCT((H444=$H$7:$H$10000)*(N444&lt;$N$7:$N$10000))+1</f>
        <v>67</v>
      </c>
      <c r="Q444" s="72"/>
      <c r="R444">
        <v>8</v>
      </c>
      <c r="S444" t="str">
        <v>NEFJ</v>
      </c>
      <c r="T444" t="str">
        <v>Isaac Olson</v>
      </c>
      <c r="U444" t="str">
        <v>NULL</v>
      </c>
      <c r="V444" t="str">
        <v>Home</v>
      </c>
      <c r="W444" t="str">
        <v>MIA</v>
      </c>
      <c r="X444">
        <v>5.7135533565361065</v>
      </c>
    </row>
    <row r="445" spans="1:24" x14ac:dyDescent="0.35">
      <c r="A445" s="1">
        <v>47</v>
      </c>
      <c r="B445" s="1" t="s">
        <v>97</v>
      </c>
      <c r="C445" s="1">
        <v>7.1927968105255768</v>
      </c>
      <c r="H445" s="66">
        <v>6</v>
      </c>
      <c r="I445" t="s">
        <v>24</v>
      </c>
      <c r="J445" t="s">
        <v>402</v>
      </c>
      <c r="K445" t="s">
        <v>256</v>
      </c>
      <c r="L445" t="s">
        <v>9</v>
      </c>
      <c r="M445" t="s">
        <v>34</v>
      </c>
      <c r="N445">
        <f t="shared" si="30"/>
        <v>5.4175817879439689</v>
      </c>
      <c r="O445" t="str">
        <f t="shared" si="31"/>
        <v/>
      </c>
      <c r="P445" s="67" cm="1">
        <f t="array" ref="P445">SUMPRODUCT((H445=$H$7:$H$10000)*(N445&lt;$N$7:$N$10000))+1</f>
        <v>68</v>
      </c>
      <c r="Q445" s="72"/>
      <c r="R445">
        <v>8</v>
      </c>
      <c r="S445" t="str">
        <v>NOLA</v>
      </c>
      <c r="T445" t="str">
        <v>Isaac Te Tamaki</v>
      </c>
      <c r="U445" t="str">
        <v>NULL</v>
      </c>
      <c r="V445" t="str">
        <v>Away</v>
      </c>
      <c r="W445" t="str">
        <v>ARC</v>
      </c>
      <c r="X445">
        <v>5.5706825620672467</v>
      </c>
    </row>
    <row r="446" spans="1:24" x14ac:dyDescent="0.35">
      <c r="A446" s="1">
        <v>48</v>
      </c>
      <c r="B446" s="1" t="s">
        <v>91</v>
      </c>
      <c r="C446" s="1">
        <v>6.7416935518258274</v>
      </c>
      <c r="H446" s="66">
        <v>6</v>
      </c>
      <c r="I446" t="s">
        <v>36</v>
      </c>
      <c r="J446" t="s">
        <v>490</v>
      </c>
      <c r="K446" t="s">
        <v>256</v>
      </c>
      <c r="L446" t="s">
        <v>9</v>
      </c>
      <c r="M446" t="s">
        <v>14</v>
      </c>
      <c r="N446">
        <f t="shared" si="30"/>
        <v>5.0501889335447538</v>
      </c>
      <c r="O446" t="str">
        <f t="shared" si="31"/>
        <v/>
      </c>
      <c r="P446" s="67" cm="1">
        <f t="array" ref="P446">SUMPRODUCT((H446=$H$7:$H$10000)*(N446&lt;$N$7:$N$10000))+1</f>
        <v>69</v>
      </c>
      <c r="Q446" s="72"/>
      <c r="R446">
        <v>8</v>
      </c>
      <c r="S446" t="str">
        <v>SEA</v>
      </c>
      <c r="T446" t="str">
        <v>Mikaela Kruse</v>
      </c>
      <c r="U446" t="str">
        <v>NULL</v>
      </c>
      <c r="V446" t="str">
        <v>Away</v>
      </c>
      <c r="W446" t="str">
        <v>OGDC</v>
      </c>
      <c r="X446">
        <v>5.3983729192320311</v>
      </c>
    </row>
    <row r="447" spans="1:24" x14ac:dyDescent="0.35">
      <c r="A447" s="1">
        <v>49</v>
      </c>
      <c r="B447" s="1" t="s">
        <v>15</v>
      </c>
      <c r="C447" s="1">
        <v>6.2772599802466953</v>
      </c>
      <c r="H447" s="66">
        <v>6</v>
      </c>
      <c r="I447" t="s">
        <v>13</v>
      </c>
      <c r="J447" t="s">
        <v>474</v>
      </c>
      <c r="K447" t="s">
        <v>256</v>
      </c>
      <c r="L447" t="s">
        <v>9</v>
      </c>
      <c r="M447" t="s">
        <v>17</v>
      </c>
      <c r="N447">
        <f t="shared" si="30"/>
        <v>5.0266206593460891</v>
      </c>
      <c r="O447" t="str">
        <f t="shared" si="31"/>
        <v/>
      </c>
      <c r="P447" s="67" cm="1">
        <f t="array" ref="P447">SUMPRODUCT((H447=$H$7:$H$10000)*(N447&lt;$N$7:$N$10000))+1</f>
        <v>70</v>
      </c>
      <c r="Q447" s="72"/>
      <c r="R447">
        <v>8</v>
      </c>
      <c r="S447" t="str">
        <v>HOU</v>
      </c>
      <c r="T447" t="str">
        <v>Seimou Smith</v>
      </c>
      <c r="U447" t="str">
        <v>NULL</v>
      </c>
      <c r="V447" t="str">
        <v>Home</v>
      </c>
      <c r="W447" t="str">
        <v>LA</v>
      </c>
      <c r="X447">
        <v>5.1944186990026671</v>
      </c>
    </row>
    <row r="448" spans="1:24" x14ac:dyDescent="0.35">
      <c r="A448" s="1">
        <v>50</v>
      </c>
      <c r="B448" s="1" t="s">
        <v>125</v>
      </c>
      <c r="C448" s="1">
        <v>6.0328516360254971</v>
      </c>
      <c r="H448" s="66">
        <v>6</v>
      </c>
      <c r="I448" t="s">
        <v>24</v>
      </c>
      <c r="J448" t="s">
        <v>35</v>
      </c>
      <c r="K448" t="s">
        <v>256</v>
      </c>
      <c r="L448" t="s">
        <v>9</v>
      </c>
      <c r="M448" t="s">
        <v>34</v>
      </c>
      <c r="N448">
        <f t="shared" si="30"/>
        <v>4.6112834420276787</v>
      </c>
      <c r="O448" t="str">
        <f t="shared" si="31"/>
        <v/>
      </c>
      <c r="P448" s="67" cm="1">
        <f t="array" ref="P448">SUMPRODUCT((H448=$H$7:$H$10000)*(N448&lt;$N$7:$N$10000))+1</f>
        <v>71</v>
      </c>
      <c r="Q448" s="72"/>
      <c r="R448">
        <v>8</v>
      </c>
      <c r="S448" t="str">
        <v>CHI</v>
      </c>
      <c r="T448" t="str">
        <v>Mitch Short</v>
      </c>
      <c r="U448" t="str">
        <v>NULL</v>
      </c>
      <c r="V448" t="str">
        <v>Away</v>
      </c>
      <c r="W448" t="str">
        <v>SDL</v>
      </c>
      <c r="X448">
        <v>5.1600858022601255</v>
      </c>
    </row>
    <row r="449" spans="1:24" x14ac:dyDescent="0.35">
      <c r="A449" s="1">
        <v>51</v>
      </c>
      <c r="B449" s="1" t="s">
        <v>85</v>
      </c>
      <c r="C449" s="1">
        <v>5.96698089048623</v>
      </c>
      <c r="H449" s="66">
        <v>6</v>
      </c>
      <c r="I449" t="s">
        <v>13</v>
      </c>
      <c r="J449" t="s">
        <v>472</v>
      </c>
      <c r="K449" t="s">
        <v>256</v>
      </c>
      <c r="L449" t="s">
        <v>9</v>
      </c>
      <c r="M449" t="s">
        <v>17</v>
      </c>
      <c r="N449">
        <f t="shared" si="30"/>
        <v>4.3137448415174964</v>
      </c>
      <c r="O449" t="str">
        <f t="shared" si="31"/>
        <v/>
      </c>
      <c r="P449" s="67" cm="1">
        <f t="array" ref="P449">SUMPRODUCT((H449=$H$7:$H$10000)*(N449&lt;$N$7:$N$10000))+1</f>
        <v>72</v>
      </c>
      <c r="Q449" s="72"/>
      <c r="R449">
        <v>8</v>
      </c>
      <c r="S449" t="str">
        <v>SEA</v>
      </c>
      <c r="T449" t="str">
        <v>JP Smith</v>
      </c>
      <c r="U449" t="str">
        <v>NULL</v>
      </c>
      <c r="V449" t="str">
        <v>Away</v>
      </c>
      <c r="W449" t="str">
        <v>OGDC</v>
      </c>
      <c r="X449">
        <v>4.3803030191072319</v>
      </c>
    </row>
    <row r="450" spans="1:24" x14ac:dyDescent="0.35">
      <c r="A450" s="1">
        <v>52</v>
      </c>
      <c r="B450" s="1" t="s">
        <v>69</v>
      </c>
      <c r="C450" s="1">
        <v>5.8917430195195104</v>
      </c>
      <c r="H450" s="66">
        <v>6</v>
      </c>
      <c r="I450" t="s">
        <v>7</v>
      </c>
      <c r="J450" t="s">
        <v>19</v>
      </c>
      <c r="K450" t="s">
        <v>256</v>
      </c>
      <c r="L450" t="s">
        <v>3</v>
      </c>
      <c r="M450" t="s">
        <v>23</v>
      </c>
      <c r="N450">
        <f t="shared" si="30"/>
        <v>4.0799516894451502</v>
      </c>
      <c r="O450" t="str">
        <f t="shared" si="31"/>
        <v/>
      </c>
      <c r="P450" s="67" cm="1">
        <f t="array" ref="P450">SUMPRODUCT((H450=$H$7:$H$10000)*(N450&lt;$N$7:$N$10000))+1</f>
        <v>73</v>
      </c>
      <c r="Q450" s="72"/>
      <c r="R450">
        <v>8</v>
      </c>
      <c r="S450" t="str">
        <v>ARC</v>
      </c>
      <c r="T450" t="str">
        <v>Jason Tidwell</v>
      </c>
      <c r="U450" t="str">
        <v>NULL</v>
      </c>
      <c r="V450" t="str">
        <v>Home</v>
      </c>
      <c r="W450" t="str">
        <v>NOLA</v>
      </c>
      <c r="X450">
        <v>4.3465824493427085</v>
      </c>
    </row>
    <row r="451" spans="1:24" x14ac:dyDescent="0.35">
      <c r="A451" s="1">
        <v>53</v>
      </c>
      <c r="B451" s="1" t="s">
        <v>124</v>
      </c>
      <c r="C451" s="1">
        <v>5.3138820999620142</v>
      </c>
      <c r="H451" s="66">
        <v>6</v>
      </c>
      <c r="I451" t="s">
        <v>4</v>
      </c>
      <c r="J451" t="s">
        <v>125</v>
      </c>
      <c r="K451" t="s">
        <v>256</v>
      </c>
      <c r="L451" t="s">
        <v>3</v>
      </c>
      <c r="M451" t="s">
        <v>6</v>
      </c>
      <c r="N451">
        <f t="shared" si="30"/>
        <v>3.7828483379774216</v>
      </c>
      <c r="O451" t="str">
        <f t="shared" si="31"/>
        <v/>
      </c>
      <c r="P451" s="67" cm="1">
        <f t="array" ref="P451">SUMPRODUCT((H451=$H$7:$H$10000)*(N451&lt;$N$7:$N$10000))+1</f>
        <v>74</v>
      </c>
      <c r="Q451" s="72"/>
      <c r="R451">
        <v>8</v>
      </c>
      <c r="S451" t="str">
        <v>MIA</v>
      </c>
      <c r="T451" t="str">
        <v>Connor Burns</v>
      </c>
      <c r="U451" t="str">
        <v>NULL</v>
      </c>
      <c r="V451" t="str">
        <v>Away</v>
      </c>
      <c r="W451" t="str">
        <v>NEFJ</v>
      </c>
      <c r="X451">
        <v>3.8820160416122542</v>
      </c>
    </row>
    <row r="452" spans="1:24" x14ac:dyDescent="0.35">
      <c r="A452" s="1">
        <v>54</v>
      </c>
      <c r="B452" s="1" t="s">
        <v>130</v>
      </c>
      <c r="C452" s="1">
        <v>4.952155686243052</v>
      </c>
      <c r="H452" s="66">
        <v>6</v>
      </c>
      <c r="I452" t="s">
        <v>4</v>
      </c>
      <c r="J452" t="s">
        <v>489</v>
      </c>
      <c r="K452" t="s">
        <v>256</v>
      </c>
      <c r="L452" t="s">
        <v>3</v>
      </c>
      <c r="M452" t="s">
        <v>6</v>
      </c>
      <c r="N452">
        <f t="shared" si="30"/>
        <v>3.7361183961957369</v>
      </c>
      <c r="O452" t="str">
        <f t="shared" si="31"/>
        <v/>
      </c>
      <c r="P452" s="67" cm="1">
        <f t="array" ref="P452">SUMPRODUCT((H452=$H$7:$H$10000)*(N452&lt;$N$7:$N$10000))+1</f>
        <v>75</v>
      </c>
      <c r="Q452" s="72"/>
      <c r="R452">
        <v>8</v>
      </c>
      <c r="S452" t="str">
        <v>ARC</v>
      </c>
      <c r="T452" t="str">
        <v>Junior Gafa</v>
      </c>
      <c r="U452" t="str">
        <v>NULL</v>
      </c>
      <c r="V452" t="str">
        <v>Home</v>
      </c>
      <c r="W452" t="str">
        <v>NOLA</v>
      </c>
      <c r="X452">
        <v>3.696625670629988</v>
      </c>
    </row>
    <row r="453" spans="1:24" x14ac:dyDescent="0.35">
      <c r="A453" s="1">
        <v>55</v>
      </c>
      <c r="B453" s="1" t="s">
        <v>89</v>
      </c>
      <c r="C453" s="1">
        <v>4.4318520778307748</v>
      </c>
      <c r="H453" s="66">
        <v>6</v>
      </c>
      <c r="I453" t="s">
        <v>17</v>
      </c>
      <c r="J453" t="s">
        <v>76</v>
      </c>
      <c r="K453" t="s">
        <v>256</v>
      </c>
      <c r="L453" t="s">
        <v>3</v>
      </c>
      <c r="M453" t="s">
        <v>13</v>
      </c>
      <c r="N453">
        <f t="shared" si="30"/>
        <v>3.6227420005483699</v>
      </c>
      <c r="O453" t="str">
        <f t="shared" si="31"/>
        <v/>
      </c>
      <c r="P453" s="67" cm="1">
        <f t="array" ref="P453">SUMPRODUCT((H453=$H$7:$H$10000)*(N453&lt;$N$7:$N$10000))+1</f>
        <v>76</v>
      </c>
      <c r="Q453" s="72"/>
      <c r="R453">
        <v>8</v>
      </c>
      <c r="S453" t="str">
        <v>HOU</v>
      </c>
      <c r="T453" t="str">
        <v>Drew Wild</v>
      </c>
      <c r="U453" t="str">
        <v>NULL</v>
      </c>
      <c r="V453" t="str">
        <v>Home</v>
      </c>
      <c r="W453" t="str">
        <v>LA</v>
      </c>
      <c r="X453">
        <v>3.3643011196118735</v>
      </c>
    </row>
    <row r="454" spans="1:24" x14ac:dyDescent="0.35">
      <c r="A454" s="1">
        <v>56</v>
      </c>
      <c r="B454" s="1" t="s">
        <v>128</v>
      </c>
      <c r="C454" s="1">
        <v>3.8812415333164827</v>
      </c>
      <c r="H454" s="66">
        <v>6</v>
      </c>
      <c r="I454" t="s">
        <v>36</v>
      </c>
      <c r="J454" t="s">
        <v>48</v>
      </c>
      <c r="K454" t="s">
        <v>256</v>
      </c>
      <c r="L454" t="s">
        <v>9</v>
      </c>
      <c r="M454" t="s">
        <v>14</v>
      </c>
      <c r="N454">
        <f t="shared" si="30"/>
        <v>3.4788307659415789</v>
      </c>
      <c r="O454" t="str">
        <f t="shared" si="31"/>
        <v/>
      </c>
      <c r="P454" s="67" cm="1">
        <f t="array" ref="P454">SUMPRODUCT((H454=$H$7:$H$10000)*(N454&lt;$N$7:$N$10000))+1</f>
        <v>77</v>
      </c>
      <c r="Q454" s="72"/>
      <c r="R454">
        <v>8</v>
      </c>
      <c r="S454" t="str">
        <v>CHI</v>
      </c>
      <c r="T454" t="str">
        <v>Noah Brown</v>
      </c>
      <c r="U454" t="str">
        <v>NULL</v>
      </c>
      <c r="V454" t="str">
        <v>Away</v>
      </c>
      <c r="W454" t="str">
        <v>SDL</v>
      </c>
      <c r="X454">
        <v>3.2282385659201989</v>
      </c>
    </row>
    <row r="455" spans="1:24" x14ac:dyDescent="0.35">
      <c r="A455" s="1">
        <v>57</v>
      </c>
      <c r="B455" s="1" t="s">
        <v>88</v>
      </c>
      <c r="C455" s="1">
        <v>3.8752404986973215</v>
      </c>
      <c r="H455" s="66">
        <v>6</v>
      </c>
      <c r="I455" t="s">
        <v>36</v>
      </c>
      <c r="J455" t="s">
        <v>123</v>
      </c>
      <c r="K455" t="s">
        <v>256</v>
      </c>
      <c r="L455" t="s">
        <v>9</v>
      </c>
      <c r="M455" t="s">
        <v>14</v>
      </c>
      <c r="N455">
        <f t="shared" si="30"/>
        <v>3.2312678645713016</v>
      </c>
      <c r="O455" t="str">
        <f t="shared" si="31"/>
        <v/>
      </c>
      <c r="P455" s="67" cm="1">
        <f t="array" ref="P455">SUMPRODUCT((H455=$H$7:$H$10000)*(N455&lt;$N$7:$N$10000))+1</f>
        <v>78</v>
      </c>
      <c r="Q455" s="72"/>
      <c r="R455">
        <v>8</v>
      </c>
      <c r="S455" t="str">
        <v>NOLA</v>
      </c>
      <c r="T455" t="str">
        <v>Nikolai Foliaki</v>
      </c>
      <c r="U455" t="str">
        <v>NULL</v>
      </c>
      <c r="V455" t="str">
        <v>Away</v>
      </c>
      <c r="W455" t="str">
        <v>ARC</v>
      </c>
      <c r="X455">
        <v>3.1562822529415495</v>
      </c>
    </row>
    <row r="456" spans="1:24" x14ac:dyDescent="0.35">
      <c r="A456" s="1">
        <v>58</v>
      </c>
      <c r="B456" s="1" t="s">
        <v>1</v>
      </c>
      <c r="C456" s="1">
        <v>3.8282915171836835</v>
      </c>
      <c r="H456" s="66">
        <v>6</v>
      </c>
      <c r="I456" t="s">
        <v>17</v>
      </c>
      <c r="J456" t="s">
        <v>458</v>
      </c>
      <c r="K456" t="s">
        <v>256</v>
      </c>
      <c r="L456" t="s">
        <v>3</v>
      </c>
      <c r="M456" t="s">
        <v>13</v>
      </c>
      <c r="N456">
        <f t="shared" si="30"/>
        <v>2.9967121223132773</v>
      </c>
      <c r="O456" t="str">
        <f t="shared" si="31"/>
        <v/>
      </c>
      <c r="P456" s="67" cm="1">
        <f t="array" ref="P456">SUMPRODUCT((H456=$H$7:$H$10000)*(N456&lt;$N$7:$N$10000))+1</f>
        <v>79</v>
      </c>
      <c r="Q456" s="72"/>
      <c r="R456">
        <v>8</v>
      </c>
      <c r="S456" t="str">
        <v>OGDC</v>
      </c>
      <c r="T456" t="str">
        <v>Jason Emery</v>
      </c>
      <c r="U456" t="str">
        <v>NULL</v>
      </c>
      <c r="V456" t="str">
        <v>Home</v>
      </c>
      <c r="W456" t="str">
        <v>SEA</v>
      </c>
      <c r="X456">
        <v>3.0619192919787475</v>
      </c>
    </row>
    <row r="457" spans="1:24" x14ac:dyDescent="0.35">
      <c r="A457" s="1">
        <v>59</v>
      </c>
      <c r="B457" s="1" t="s">
        <v>131</v>
      </c>
      <c r="C457" s="1">
        <v>3.7231053959352085</v>
      </c>
      <c r="H457" s="66">
        <v>6</v>
      </c>
      <c r="I457" t="s">
        <v>14</v>
      </c>
      <c r="J457" t="s">
        <v>285</v>
      </c>
      <c r="K457" t="s">
        <v>256</v>
      </c>
      <c r="L457" t="s">
        <v>3</v>
      </c>
      <c r="M457" t="s">
        <v>36</v>
      </c>
      <c r="N457">
        <f t="shared" si="30"/>
        <v>2.754808608835388</v>
      </c>
      <c r="O457" t="str">
        <f t="shared" si="31"/>
        <v/>
      </c>
      <c r="P457" s="67" cm="1">
        <f t="array" ref="P457">SUMPRODUCT((H457=$H$7:$H$10000)*(N457&lt;$N$7:$N$10000))+1</f>
        <v>80</v>
      </c>
      <c r="Q457" s="72"/>
      <c r="R457">
        <v>8</v>
      </c>
      <c r="S457" t="str">
        <v>SEA</v>
      </c>
      <c r="T457" t="str">
        <v>Lauina Futi</v>
      </c>
      <c r="U457" t="str">
        <v>NULL</v>
      </c>
      <c r="V457" t="str">
        <v>Away</v>
      </c>
      <c r="W457" t="str">
        <v>OGDC</v>
      </c>
      <c r="X457">
        <v>2.9854271757915489</v>
      </c>
    </row>
    <row r="458" spans="1:24" x14ac:dyDescent="0.35">
      <c r="A458" s="1">
        <v>60</v>
      </c>
      <c r="B458" s="1" t="s">
        <v>5</v>
      </c>
      <c r="C458" s="1">
        <v>3.1734707543861074</v>
      </c>
      <c r="H458" s="66">
        <v>6</v>
      </c>
      <c r="I458" t="s">
        <v>23</v>
      </c>
      <c r="J458" t="s">
        <v>498</v>
      </c>
      <c r="K458" t="s">
        <v>256</v>
      </c>
      <c r="L458" t="s">
        <v>9</v>
      </c>
      <c r="M458" t="s">
        <v>7</v>
      </c>
      <c r="N458">
        <f t="shared" si="30"/>
        <v>2.5024745498261609</v>
      </c>
      <c r="O458" t="str">
        <f t="shared" si="31"/>
        <v/>
      </c>
      <c r="P458" s="67" cm="1">
        <f t="array" ref="P458">SUMPRODUCT((H458=$H$7:$H$10000)*(N458&lt;$N$7:$N$10000))+1</f>
        <v>81</v>
      </c>
      <c r="Q458" s="72"/>
      <c r="R458">
        <v>8</v>
      </c>
      <c r="S458" t="str">
        <v>CHI</v>
      </c>
      <c r="T458" t="str">
        <v>Mark O'Keeffe</v>
      </c>
      <c r="U458" t="str">
        <v>NULL</v>
      </c>
      <c r="V458" t="str">
        <v>Away</v>
      </c>
      <c r="W458" t="str">
        <v>SDL</v>
      </c>
      <c r="X458">
        <v>2.9684220115808611</v>
      </c>
    </row>
    <row r="459" spans="1:24" x14ac:dyDescent="0.35">
      <c r="A459" s="1">
        <v>61</v>
      </c>
      <c r="B459" s="1" t="s">
        <v>33</v>
      </c>
      <c r="C459" s="1">
        <v>3.1572310068328182</v>
      </c>
      <c r="H459" s="66">
        <v>6</v>
      </c>
      <c r="I459" t="s">
        <v>7</v>
      </c>
      <c r="J459" t="s">
        <v>92</v>
      </c>
      <c r="K459" t="s">
        <v>256</v>
      </c>
      <c r="L459" t="s">
        <v>3</v>
      </c>
      <c r="M459" t="s">
        <v>23</v>
      </c>
      <c r="N459">
        <f t="shared" si="30"/>
        <v>2.295956810592676</v>
      </c>
      <c r="O459" t="str">
        <f t="shared" si="31"/>
        <v/>
      </c>
      <c r="P459" s="67" cm="1">
        <f t="array" ref="P459">SUMPRODUCT((H459=$H$7:$H$10000)*(N459&lt;$N$7:$N$10000))+1</f>
        <v>82</v>
      </c>
      <c r="Q459" s="72"/>
      <c r="R459">
        <v>8</v>
      </c>
      <c r="S459" t="str">
        <v>CHI</v>
      </c>
      <c r="T459" t="str">
        <v>Tim Swiel</v>
      </c>
      <c r="U459" t="str">
        <v>NULL</v>
      </c>
      <c r="V459" t="str">
        <v>Away</v>
      </c>
      <c r="W459" t="str">
        <v>SDL</v>
      </c>
      <c r="X459">
        <v>2.9583346696691946</v>
      </c>
    </row>
    <row r="460" spans="1:24" x14ac:dyDescent="0.35">
      <c r="A460" s="1">
        <v>62</v>
      </c>
      <c r="B460" s="1" t="s">
        <v>132</v>
      </c>
      <c r="C460" s="1">
        <v>2.3831837688154103</v>
      </c>
      <c r="H460" s="65">
        <v>6</v>
      </c>
      <c r="I460" t="s">
        <v>24</v>
      </c>
      <c r="J460" t="s">
        <v>459</v>
      </c>
      <c r="K460" t="s">
        <v>256</v>
      </c>
      <c r="L460" t="s">
        <v>9</v>
      </c>
      <c r="M460" t="s">
        <v>34</v>
      </c>
      <c r="N460">
        <f t="shared" ref="N460:N523" si="32">VLOOKUP($L460,$F$3:$G$4,2,FALSE)+VLOOKUP($J460,$A$20:$B$131,2,FALSE)+VLOOKUP($M460,$A$6:$B$16,2,FALSE)</f>
        <v>2.2886883076736284</v>
      </c>
      <c r="O460" t="str">
        <f t="shared" ref="O460:O523" si="33">IFERROR(($K460-$N460)^2,"")</f>
        <v/>
      </c>
      <c r="P460" s="67" cm="1">
        <f t="array" ref="P460">SUMPRODUCT((H460=$H$7:$H$10000)*(N460&lt;$N$7:$N$10000))+1</f>
        <v>83</v>
      </c>
      <c r="Q460" s="72"/>
      <c r="R460">
        <v>8</v>
      </c>
      <c r="S460" t="str">
        <v>ARC</v>
      </c>
      <c r="T460" t="str">
        <v>Conner Mooneyham</v>
      </c>
      <c r="U460" t="str">
        <v>NULL</v>
      </c>
      <c r="V460" t="str">
        <v>Home</v>
      </c>
      <c r="W460" t="str">
        <v>NOLA</v>
      </c>
      <c r="X460">
        <v>1.8198587540259963</v>
      </c>
    </row>
    <row r="461" spans="1:24" x14ac:dyDescent="0.35">
      <c r="A461" s="1">
        <v>63</v>
      </c>
      <c r="B461" s="1" t="s">
        <v>133</v>
      </c>
      <c r="C461" s="1">
        <v>1.3476176174041861</v>
      </c>
      <c r="H461" s="65">
        <v>6</v>
      </c>
      <c r="I461" t="s">
        <v>7</v>
      </c>
      <c r="J461" t="s">
        <v>131</v>
      </c>
      <c r="K461" t="s">
        <v>256</v>
      </c>
      <c r="L461" t="s">
        <v>3</v>
      </c>
      <c r="M461" t="s">
        <v>23</v>
      </c>
      <c r="N461">
        <f t="shared" si="32"/>
        <v>2.2630991186446909</v>
      </c>
      <c r="O461" t="str">
        <f t="shared" si="33"/>
        <v/>
      </c>
      <c r="P461" s="67" cm="1">
        <f t="array" ref="P461">SUMPRODUCT((H461=$H$7:$H$10000)*(N461&lt;$N$7:$N$10000))+1</f>
        <v>84</v>
      </c>
      <c r="Q461" s="72"/>
      <c r="R461">
        <v>8</v>
      </c>
      <c r="S461" t="str">
        <v>SEA</v>
      </c>
      <c r="T461" t="str">
        <v>Dan Kriel</v>
      </c>
      <c r="U461" t="str">
        <v>NULL</v>
      </c>
      <c r="V461" t="str">
        <v>Away</v>
      </c>
      <c r="W461" t="str">
        <v>OGDC</v>
      </c>
      <c r="X461">
        <v>1.6276721195480048</v>
      </c>
    </row>
    <row r="462" spans="1:24" x14ac:dyDescent="0.35">
      <c r="A462" s="1">
        <v>64</v>
      </c>
      <c r="B462" s="1" t="s">
        <v>0</v>
      </c>
      <c r="C462" s="1">
        <v>0.16952338815393198</v>
      </c>
      <c r="H462" s="66">
        <v>6</v>
      </c>
      <c r="I462" t="s">
        <v>14</v>
      </c>
      <c r="J462" t="s">
        <v>11</v>
      </c>
      <c r="K462" t="s">
        <v>256</v>
      </c>
      <c r="L462" t="s">
        <v>3</v>
      </c>
      <c r="M462" t="s">
        <v>36</v>
      </c>
      <c r="N462">
        <f t="shared" si="32"/>
        <v>2.1048518301226675</v>
      </c>
      <c r="O462" t="str">
        <f t="shared" si="33"/>
        <v/>
      </c>
      <c r="P462" s="67" cm="1">
        <f t="array" ref="P462">SUMPRODUCT((H462=$H$7:$H$10000)*(N462&lt;$N$7:$N$10000))+1</f>
        <v>85</v>
      </c>
      <c r="Q462" s="72"/>
      <c r="R462">
        <v>8</v>
      </c>
      <c r="S462" t="str">
        <v>CHI</v>
      </c>
      <c r="T462" t="str">
        <v>Julian Dominguez</v>
      </c>
      <c r="U462" t="str">
        <v>NULL</v>
      </c>
      <c r="V462" t="str">
        <v>Away</v>
      </c>
      <c r="W462" t="str">
        <v>SDL</v>
      </c>
      <c r="X462">
        <v>1.5888052818625251</v>
      </c>
    </row>
    <row r="463" spans="1:24" x14ac:dyDescent="0.35">
      <c r="A463" s="1">
        <v>65</v>
      </c>
      <c r="B463" s="1" t="s">
        <v>101</v>
      </c>
      <c r="C463" s="1">
        <v>-0.1355956827534559</v>
      </c>
      <c r="H463" s="65">
        <v>6</v>
      </c>
      <c r="I463" t="s">
        <v>6</v>
      </c>
      <c r="J463" t="s">
        <v>66</v>
      </c>
      <c r="K463" t="s">
        <v>256</v>
      </c>
      <c r="L463" t="s">
        <v>9</v>
      </c>
      <c r="M463" t="s">
        <v>4</v>
      </c>
      <c r="N463">
        <f t="shared" si="32"/>
        <v>2.0026152686776788</v>
      </c>
      <c r="O463" t="str">
        <f t="shared" si="33"/>
        <v/>
      </c>
      <c r="P463" s="67" cm="1">
        <f t="array" ref="P463">SUMPRODUCT((H463=$H$7:$H$10000)*(N463&lt;$N$7:$N$10000))+1</f>
        <v>86</v>
      </c>
      <c r="Q463" s="72"/>
      <c r="R463">
        <v>8</v>
      </c>
      <c r="S463" t="str">
        <v>OGDC</v>
      </c>
      <c r="T463" t="str">
        <v>Perry Humphreys</v>
      </c>
      <c r="U463" t="str">
        <v>NULL</v>
      </c>
      <c r="V463" t="str">
        <v>Home</v>
      </c>
      <c r="W463" t="str">
        <v>SEA</v>
      </c>
      <c r="X463">
        <v>1.2779244131262733</v>
      </c>
    </row>
    <row r="464" spans="1:24" x14ac:dyDescent="0.35">
      <c r="H464" s="65">
        <v>6</v>
      </c>
      <c r="I464" t="s">
        <v>36</v>
      </c>
      <c r="J464" t="s">
        <v>334</v>
      </c>
      <c r="K464" t="s">
        <v>256</v>
      </c>
      <c r="L464" t="s">
        <v>9</v>
      </c>
      <c r="M464" t="s">
        <v>14</v>
      </c>
      <c r="N464">
        <f t="shared" si="32"/>
        <v>1.9520522396999773</v>
      </c>
      <c r="O464" t="str">
        <f t="shared" si="33"/>
        <v/>
      </c>
      <c r="P464" s="67" cm="1">
        <f t="array" ref="P464">SUMPRODUCT((H464=$H$7:$H$10000)*(N464&lt;$N$7:$N$10000))+1</f>
        <v>87</v>
      </c>
      <c r="Q464" s="72"/>
      <c r="R464">
        <v>8</v>
      </c>
      <c r="S464" t="str">
        <v>OGDC</v>
      </c>
      <c r="T464" t="str">
        <v>Ethan McVeigh</v>
      </c>
      <c r="U464" t="str">
        <v>NULL</v>
      </c>
      <c r="V464" t="str">
        <v>Home</v>
      </c>
      <c r="W464" t="str">
        <v>SEA</v>
      </c>
      <c r="X464">
        <v>1.2450667211782882</v>
      </c>
    </row>
    <row r="465" spans="8:24" x14ac:dyDescent="0.35">
      <c r="H465" s="66">
        <v>6</v>
      </c>
      <c r="I465" t="s">
        <v>14</v>
      </c>
      <c r="J465" t="s">
        <v>278</v>
      </c>
      <c r="K465" t="s">
        <v>256</v>
      </c>
      <c r="L465" t="s">
        <v>3</v>
      </c>
      <c r="M465" t="s">
        <v>36</v>
      </c>
      <c r="N465">
        <f t="shared" si="32"/>
        <v>0.22808491351867577</v>
      </c>
      <c r="O465" t="str">
        <f t="shared" si="33"/>
        <v/>
      </c>
      <c r="P465" s="67" cm="1">
        <f t="array" ref="P465">SUMPRODUCT((H465=$H$7:$H$10000)*(N465&lt;$N$7:$N$10000))+1</f>
        <v>88</v>
      </c>
      <c r="Q465" s="72"/>
      <c r="R465">
        <v>8</v>
      </c>
      <c r="S465" t="str">
        <v>ARC</v>
      </c>
      <c r="T465" t="str">
        <v>Carlo de Nysschen</v>
      </c>
      <c r="U465" t="str">
        <v>NULL</v>
      </c>
      <c r="V465" t="str">
        <v>Home</v>
      </c>
      <c r="W465" t="str">
        <v>NOLA</v>
      </c>
      <c r="X465">
        <v>0.86643193606407376</v>
      </c>
    </row>
    <row r="466" spans="8:24" x14ac:dyDescent="0.35">
      <c r="H466" s="66">
        <v>6</v>
      </c>
      <c r="I466" t="s">
        <v>36</v>
      </c>
      <c r="J466" t="s">
        <v>73</v>
      </c>
      <c r="K466" t="s">
        <v>256</v>
      </c>
      <c r="L466" t="s">
        <v>9</v>
      </c>
      <c r="M466" t="s">
        <v>14</v>
      </c>
      <c r="N466">
        <f t="shared" si="32"/>
        <v>0.12193466030918287</v>
      </c>
      <c r="O466" t="str">
        <f t="shared" si="33"/>
        <v/>
      </c>
      <c r="P466" s="67" cm="1">
        <f t="array" ref="P466">SUMPRODUCT((H466=$H$7:$H$10000)*(N466&lt;$N$7:$N$10000))+1</f>
        <v>89</v>
      </c>
      <c r="Q466" s="72"/>
      <c r="R466">
        <v>8</v>
      </c>
      <c r="S466" t="str">
        <v>NOLA</v>
      </c>
      <c r="T466" t="str">
        <v>Luke Campbell</v>
      </c>
      <c r="U466" t="str">
        <v>NULL</v>
      </c>
      <c r="V466" t="str">
        <v>Away</v>
      </c>
      <c r="W466" t="str">
        <v>ARC</v>
      </c>
      <c r="X466">
        <v>0.54048187867473096</v>
      </c>
    </row>
    <row r="467" spans="8:24" x14ac:dyDescent="0.35">
      <c r="H467" s="66">
        <v>6</v>
      </c>
      <c r="I467" t="s">
        <v>23</v>
      </c>
      <c r="J467" t="s">
        <v>443</v>
      </c>
      <c r="K467" t="s">
        <v>256</v>
      </c>
      <c r="L467" t="s">
        <v>9</v>
      </c>
      <c r="M467" t="s">
        <v>7</v>
      </c>
      <c r="N467">
        <f t="shared" si="32"/>
        <v>9.1926426896849378E-2</v>
      </c>
      <c r="O467" t="str">
        <f t="shared" si="33"/>
        <v/>
      </c>
      <c r="P467" s="67" cm="1">
        <f t="array" ref="P467">SUMPRODUCT((H467=$H$7:$H$10000)*(N467&lt;$N$7:$N$10000))+1</f>
        <v>90</v>
      </c>
      <c r="Q467" s="72"/>
      <c r="R467">
        <v>8</v>
      </c>
      <c r="S467" t="str">
        <v>NOLA</v>
      </c>
      <c r="T467" t="str">
        <v>Ruben de Haas</v>
      </c>
      <c r="U467" t="str">
        <v>NULL</v>
      </c>
      <c r="V467" t="str">
        <v>Away</v>
      </c>
      <c r="W467" t="str">
        <v>ARC</v>
      </c>
      <c r="X467">
        <v>0.49375193689304631</v>
      </c>
    </row>
    <row r="468" spans="8:24" x14ac:dyDescent="0.35">
      <c r="H468" s="66">
        <v>6</v>
      </c>
      <c r="I468" t="s">
        <v>23</v>
      </c>
      <c r="J468" t="s">
        <v>127</v>
      </c>
      <c r="K468" t="s">
        <v>256</v>
      </c>
      <c r="L468" t="s">
        <v>9</v>
      </c>
      <c r="M468" t="s">
        <v>7</v>
      </c>
      <c r="N468">
        <f t="shared" si="32"/>
        <v>-0.45497765497041787</v>
      </c>
      <c r="O468" t="str">
        <f t="shared" si="33"/>
        <v/>
      </c>
      <c r="P468" s="67" cm="1">
        <f t="array" ref="P468">SUMPRODUCT((H468=$H$7:$H$10000)*(N468&lt;$N$7:$N$10000))+1</f>
        <v>91</v>
      </c>
      <c r="Q468" s="72"/>
      <c r="R468">
        <v>8</v>
      </c>
      <c r="S468" t="str">
        <v>LA</v>
      </c>
      <c r="T468" t="str">
        <v>Christian Dyer</v>
      </c>
      <c r="U468" t="str">
        <v>NULL</v>
      </c>
      <c r="V468" t="str">
        <v>Away</v>
      </c>
      <c r="W468" t="str">
        <v>HOU</v>
      </c>
      <c r="X468">
        <v>0.41084142817035829</v>
      </c>
    </row>
    <row r="469" spans="8:24" x14ac:dyDescent="0.35">
      <c r="H469" s="66">
        <v>6</v>
      </c>
      <c r="I469" t="s">
        <v>14</v>
      </c>
      <c r="J469" t="s">
        <v>488</v>
      </c>
      <c r="K469" t="s">
        <v>256</v>
      </c>
      <c r="L469" t="s">
        <v>3</v>
      </c>
      <c r="M469" t="s">
        <v>36</v>
      </c>
      <c r="N469">
        <f t="shared" si="32"/>
        <v>-0.72534190444324675</v>
      </c>
      <c r="O469" t="str">
        <f t="shared" si="33"/>
        <v/>
      </c>
      <c r="P469" s="67" cm="1">
        <f t="array" ref="P469">SUMPRODUCT((H469=$H$7:$H$10000)*(N469&lt;$N$7:$N$10000))+1</f>
        <v>92</v>
      </c>
      <c r="Q469" s="72"/>
      <c r="R469">
        <v>8</v>
      </c>
      <c r="S469" t="str">
        <v>ARC</v>
      </c>
      <c r="T469" t="str">
        <v>Ashawnty Staples Flowers</v>
      </c>
      <c r="U469" t="str">
        <v>NULL</v>
      </c>
      <c r="V469" t="str">
        <v>Home</v>
      </c>
      <c r="W469" t="str">
        <v>NOLA</v>
      </c>
      <c r="X469">
        <v>-0.32219109599846796</v>
      </c>
    </row>
    <row r="470" spans="8:24" x14ac:dyDescent="0.35">
      <c r="H470" s="66">
        <v>6</v>
      </c>
      <c r="I470" t="s">
        <v>23</v>
      </c>
      <c r="J470" t="s">
        <v>456</v>
      </c>
      <c r="K470" t="s">
        <v>256</v>
      </c>
      <c r="L470" t="s">
        <v>9</v>
      </c>
      <c r="M470" t="s">
        <v>7</v>
      </c>
      <c r="N470">
        <f t="shared" si="32"/>
        <v>-1.2177121735342595</v>
      </c>
      <c r="O470" t="str">
        <f t="shared" si="33"/>
        <v/>
      </c>
      <c r="P470" s="67" cm="1">
        <f t="array" ref="P470">SUMPRODUCT((H470=$H$7:$H$10000)*(N470&lt;$N$7:$N$10000))+1</f>
        <v>93</v>
      </c>
      <c r="Q470" s="72"/>
      <c r="R470">
        <v>8</v>
      </c>
      <c r="S470" t="str">
        <v>SEA</v>
      </c>
      <c r="T470" t="str">
        <v>Jade Stighling</v>
      </c>
      <c r="U470" t="str">
        <v>NULL</v>
      </c>
      <c r="V470" t="str">
        <v>Away</v>
      </c>
      <c r="W470" t="str">
        <v>OGDC</v>
      </c>
      <c r="X470">
        <v>-0.64768371638903321</v>
      </c>
    </row>
    <row r="471" spans="8:24" x14ac:dyDescent="0.35">
      <c r="H471" s="66">
        <v>6</v>
      </c>
      <c r="I471" t="s">
        <v>23</v>
      </c>
      <c r="J471" t="s">
        <v>340</v>
      </c>
      <c r="K471" t="s">
        <v>256</v>
      </c>
      <c r="L471" t="s">
        <v>9</v>
      </c>
      <c r="M471" t="s">
        <v>7</v>
      </c>
      <c r="N471">
        <f t="shared" si="32"/>
        <v>-1.5229556023432878</v>
      </c>
      <c r="O471" t="str">
        <f t="shared" si="33"/>
        <v/>
      </c>
      <c r="P471" s="67" cm="1">
        <f t="array" ref="P471">SUMPRODUCT((H471=$H$7:$H$10000)*(N471&lt;$N$7:$N$10000))+1</f>
        <v>94</v>
      </c>
      <c r="Q471" s="72"/>
      <c r="R471">
        <v>8</v>
      </c>
      <c r="S471" t="str">
        <v>SEA</v>
      </c>
      <c r="T471" t="str">
        <v>Jeremiah Sio</v>
      </c>
      <c r="U471" t="str">
        <v>NULL</v>
      </c>
      <c r="V471" t="str">
        <v>Away</v>
      </c>
      <c r="W471" t="str">
        <v>OGDC</v>
      </c>
      <c r="X471">
        <v>-1.2737135946241267</v>
      </c>
    </row>
    <row r="472" spans="8:24" x14ac:dyDescent="0.35">
      <c r="H472" s="66">
        <v>6</v>
      </c>
      <c r="I472" t="s">
        <v>14</v>
      </c>
      <c r="J472" t="s">
        <v>460</v>
      </c>
      <c r="K472" t="s">
        <v>256</v>
      </c>
      <c r="L472" t="s">
        <v>3</v>
      </c>
      <c r="M472" t="s">
        <v>36</v>
      </c>
      <c r="N472">
        <f t="shared" si="32"/>
        <v>-1.9139649365057885</v>
      </c>
      <c r="O472" t="str">
        <f t="shared" si="33"/>
        <v/>
      </c>
      <c r="P472" s="67" cm="1">
        <f t="array" ref="P472">SUMPRODUCT((H472=$H$7:$H$10000)*(N472&lt;$N$7:$N$10000))+1</f>
        <v>95</v>
      </c>
      <c r="Q472" s="72"/>
      <c r="R472">
        <v>8</v>
      </c>
      <c r="S472" t="str">
        <v>OGDC</v>
      </c>
      <c r="T472" t="str">
        <v>Connor Buckley</v>
      </c>
      <c r="U472" t="str">
        <v>NULL</v>
      </c>
      <c r="V472" t="str">
        <v>Home</v>
      </c>
      <c r="W472" t="str">
        <v>SEA</v>
      </c>
      <c r="X472">
        <v>-3.2163912849785348</v>
      </c>
    </row>
    <row r="473" spans="8:24" x14ac:dyDescent="0.35">
      <c r="H473" s="65">
        <v>6</v>
      </c>
      <c r="I473" t="s">
        <v>7</v>
      </c>
      <c r="J473" t="s">
        <v>126</v>
      </c>
      <c r="K473" t="s">
        <v>256</v>
      </c>
      <c r="L473" t="s">
        <v>3</v>
      </c>
      <c r="M473" t="s">
        <v>23</v>
      </c>
      <c r="N473">
        <f t="shared" si="32"/>
        <v>-2.198358887512132</v>
      </c>
      <c r="O473" t="str">
        <f t="shared" si="33"/>
        <v/>
      </c>
      <c r="P473" s="67" cm="1">
        <f t="array" ref="P473">SUMPRODUCT((H473=$H$7:$H$10000)*(N473&lt;$N$7:$N$10000))+1</f>
        <v>96</v>
      </c>
      <c r="Q473" s="72"/>
      <c r="R473">
        <v>9</v>
      </c>
      <c r="S473" t="str">
        <v>UTAH</v>
      </c>
      <c r="T473" t="str">
        <v>Joe Mano</v>
      </c>
      <c r="U473" t="str">
        <v>NULL</v>
      </c>
      <c r="V473" t="str">
        <v>Away</v>
      </c>
      <c r="W473" t="str">
        <v>LA</v>
      </c>
      <c r="X473">
        <v>22.431020713274734</v>
      </c>
    </row>
    <row r="474" spans="8:24" x14ac:dyDescent="0.35">
      <c r="H474" s="66">
        <v>7</v>
      </c>
      <c r="I474" t="s">
        <v>13</v>
      </c>
      <c r="J474" t="s">
        <v>79</v>
      </c>
      <c r="K474" t="s">
        <v>256</v>
      </c>
      <c r="L474" t="s">
        <v>3</v>
      </c>
      <c r="M474" t="s">
        <v>23</v>
      </c>
      <c r="N474">
        <f t="shared" si="32"/>
        <v>21.073009116812294</v>
      </c>
      <c r="O474" t="str">
        <f t="shared" si="33"/>
        <v/>
      </c>
      <c r="P474" s="67" cm="1">
        <f t="array" ref="P474">SUMPRODUCT((H474=$H$7:$H$10000)*(N474&lt;$N$7:$N$10000))+1</f>
        <v>1</v>
      </c>
      <c r="Q474" s="72"/>
      <c r="R474">
        <v>9</v>
      </c>
      <c r="S474" t="str">
        <v>LA</v>
      </c>
      <c r="T474" t="str">
        <v>Rory van Vugt</v>
      </c>
      <c r="U474" t="str">
        <v>NULL</v>
      </c>
      <c r="V474" t="str">
        <v>Home</v>
      </c>
      <c r="W474" t="str">
        <v>UTAH</v>
      </c>
      <c r="X474">
        <v>20.146060819343766</v>
      </c>
    </row>
    <row r="475" spans="8:24" x14ac:dyDescent="0.35">
      <c r="H475" s="66">
        <v>7</v>
      </c>
      <c r="I475" t="s">
        <v>7</v>
      </c>
      <c r="J475" t="s">
        <v>65</v>
      </c>
      <c r="K475" t="s">
        <v>256</v>
      </c>
      <c r="L475" t="s">
        <v>9</v>
      </c>
      <c r="M475" t="s">
        <v>6</v>
      </c>
      <c r="N475">
        <f t="shared" si="32"/>
        <v>20.769135250860867</v>
      </c>
      <c r="O475" t="str">
        <f t="shared" si="33"/>
        <v/>
      </c>
      <c r="P475" s="67" cm="1">
        <f t="array" ref="P475">SUMPRODUCT((H475=$H$7:$H$10000)*(N475&lt;$N$7:$N$10000))+1</f>
        <v>2</v>
      </c>
      <c r="Q475" s="72"/>
      <c r="R475">
        <v>9</v>
      </c>
      <c r="S475" t="str">
        <v>UTAH</v>
      </c>
      <c r="T475" t="str">
        <v>Nic Benn</v>
      </c>
      <c r="U475" t="str">
        <v>NULL</v>
      </c>
      <c r="V475" t="str">
        <v>Away</v>
      </c>
      <c r="W475" t="str">
        <v>LA</v>
      </c>
      <c r="X475">
        <v>18.620485262564134</v>
      </c>
    </row>
    <row r="476" spans="8:24" x14ac:dyDescent="0.35">
      <c r="H476" s="66">
        <v>7</v>
      </c>
      <c r="I476" t="s">
        <v>13</v>
      </c>
      <c r="J476" t="s">
        <v>494</v>
      </c>
      <c r="K476" t="s">
        <v>256</v>
      </c>
      <c r="L476" t="s">
        <v>3</v>
      </c>
      <c r="M476" t="s">
        <v>23</v>
      </c>
      <c r="N476">
        <f t="shared" si="32"/>
        <v>17.262473666101695</v>
      </c>
      <c r="O476" t="str">
        <f t="shared" si="33"/>
        <v/>
      </c>
      <c r="P476" s="67" cm="1">
        <f t="array" ref="P476">SUMPRODUCT((H476=$H$7:$H$10000)*(N476&lt;$N$7:$N$10000))+1</f>
        <v>3</v>
      </c>
      <c r="Q476" s="72"/>
      <c r="R476">
        <v>9</v>
      </c>
      <c r="S476" t="str">
        <v>SDL</v>
      </c>
      <c r="T476" t="str">
        <v>Ryan James</v>
      </c>
      <c r="U476" t="str">
        <v>NULL</v>
      </c>
      <c r="V476" t="str">
        <v>Away</v>
      </c>
      <c r="W476" t="str">
        <v>NEFJ</v>
      </c>
      <c r="X476">
        <v>17.867243509081465</v>
      </c>
    </row>
    <row r="477" spans="8:24" x14ac:dyDescent="0.35">
      <c r="H477" s="66">
        <v>7</v>
      </c>
      <c r="I477" t="s">
        <v>6</v>
      </c>
      <c r="J477" t="s">
        <v>94</v>
      </c>
      <c r="K477" t="s">
        <v>256</v>
      </c>
      <c r="L477" t="s">
        <v>3</v>
      </c>
      <c r="M477" t="s">
        <v>7</v>
      </c>
      <c r="N477">
        <f t="shared" si="32"/>
        <v>16.58683205422934</v>
      </c>
      <c r="O477" t="str">
        <f t="shared" si="33"/>
        <v/>
      </c>
      <c r="P477" s="67" cm="1">
        <f t="array" ref="P477">SUMPRODUCT((H477=$H$7:$H$10000)*(N477&lt;$N$7:$N$10000))+1</f>
        <v>4</v>
      </c>
      <c r="Q477" s="72"/>
      <c r="R477">
        <v>9</v>
      </c>
      <c r="S477" t="str">
        <v>LA</v>
      </c>
      <c r="T477" t="str">
        <v>Billy Meakes</v>
      </c>
      <c r="U477" t="str">
        <v>NULL</v>
      </c>
      <c r="V477" t="str">
        <v>Home</v>
      </c>
      <c r="W477" t="str">
        <v>UTAH</v>
      </c>
      <c r="X477">
        <v>16.470448032850037</v>
      </c>
    </row>
    <row r="478" spans="8:24" x14ac:dyDescent="0.35">
      <c r="H478" s="66">
        <v>7</v>
      </c>
      <c r="I478" t="s">
        <v>34</v>
      </c>
      <c r="J478" t="s">
        <v>95</v>
      </c>
      <c r="K478" t="s">
        <v>256</v>
      </c>
      <c r="L478" t="s">
        <v>9</v>
      </c>
      <c r="M478" t="s">
        <v>36</v>
      </c>
      <c r="N478">
        <f t="shared" si="32"/>
        <v>13.974490166692055</v>
      </c>
      <c r="O478" t="str">
        <f t="shared" si="33"/>
        <v/>
      </c>
      <c r="P478" s="67" cm="1">
        <f t="array" ref="P478">SUMPRODUCT((H478=$H$7:$H$10000)*(N478&lt;$N$7:$N$10000))+1</f>
        <v>5</v>
      </c>
      <c r="Q478" s="72"/>
      <c r="R478">
        <v>9</v>
      </c>
      <c r="S478" t="str">
        <v>OGDC</v>
      </c>
      <c r="T478" t="str">
        <v>Axel Muller</v>
      </c>
      <c r="U478" t="str">
        <v>NULL</v>
      </c>
      <c r="V478" t="str">
        <v>Away</v>
      </c>
      <c r="W478" t="str">
        <v>NOLA</v>
      </c>
      <c r="X478">
        <v>16.398947200693364</v>
      </c>
    </row>
    <row r="479" spans="8:24" x14ac:dyDescent="0.35">
      <c r="H479" s="66">
        <v>7</v>
      </c>
      <c r="I479" t="s">
        <v>13</v>
      </c>
      <c r="J479" t="s">
        <v>473</v>
      </c>
      <c r="K479" t="s">
        <v>256</v>
      </c>
      <c r="L479" t="s">
        <v>3</v>
      </c>
      <c r="M479" t="s">
        <v>23</v>
      </c>
      <c r="N479">
        <f t="shared" si="32"/>
        <v>13.599718453316346</v>
      </c>
      <c r="O479" t="str">
        <f t="shared" si="33"/>
        <v/>
      </c>
      <c r="P479" s="67" cm="1">
        <f t="array" ref="P479">SUMPRODUCT((H479=$H$7:$H$10000)*(N479&lt;$N$7:$N$10000))+1</f>
        <v>6</v>
      </c>
      <c r="Q479" s="72"/>
      <c r="R479">
        <v>9</v>
      </c>
      <c r="S479" t="str">
        <v>UTAH</v>
      </c>
      <c r="T479" t="str">
        <v>D'Angelo Leuila</v>
      </c>
      <c r="U479" t="str">
        <v>NULL</v>
      </c>
      <c r="V479" t="str">
        <v>Away</v>
      </c>
      <c r="W479" t="str">
        <v>LA</v>
      </c>
      <c r="X479">
        <v>14.957730049778784</v>
      </c>
    </row>
    <row r="480" spans="8:24" x14ac:dyDescent="0.35">
      <c r="H480" s="66">
        <v>7</v>
      </c>
      <c r="I480" t="s">
        <v>7</v>
      </c>
      <c r="J480" t="s">
        <v>67</v>
      </c>
      <c r="K480" t="s">
        <v>256</v>
      </c>
      <c r="L480" t="s">
        <v>9</v>
      </c>
      <c r="M480" t="s">
        <v>6</v>
      </c>
      <c r="N480">
        <f t="shared" si="32"/>
        <v>13.509802715476301</v>
      </c>
      <c r="O480" t="str">
        <f t="shared" si="33"/>
        <v/>
      </c>
      <c r="P480" s="67" cm="1">
        <f t="array" ref="P480">SUMPRODUCT((H480=$H$7:$H$10000)*(N480&lt;$N$7:$N$10000))+1</f>
        <v>7</v>
      </c>
      <c r="Q480" s="72"/>
      <c r="R480">
        <v>9</v>
      </c>
      <c r="S480" t="str">
        <v>LA</v>
      </c>
      <c r="T480" t="str">
        <v>Matias Jensen</v>
      </c>
      <c r="U480" t="str">
        <v>NULL</v>
      </c>
      <c r="V480" t="str">
        <v>Home</v>
      </c>
      <c r="W480" t="str">
        <v>UTAH</v>
      </c>
      <c r="X480">
        <v>14.506690155645648</v>
      </c>
    </row>
    <row r="481" spans="8:24" x14ac:dyDescent="0.35">
      <c r="H481" s="66">
        <v>7</v>
      </c>
      <c r="I481" t="s">
        <v>6</v>
      </c>
      <c r="J481" t="s">
        <v>8</v>
      </c>
      <c r="K481" t="s">
        <v>256</v>
      </c>
      <c r="L481" t="s">
        <v>3</v>
      </c>
      <c r="M481" t="s">
        <v>7</v>
      </c>
      <c r="N481">
        <f t="shared" si="32"/>
        <v>12.911219267735611</v>
      </c>
      <c r="O481" t="str">
        <f t="shared" si="33"/>
        <v/>
      </c>
      <c r="P481" s="67" cm="1">
        <f t="array" ref="P481">SUMPRODUCT((H481=$H$7:$H$10000)*(N481&lt;$N$7:$N$10000))+1</f>
        <v>8</v>
      </c>
      <c r="Q481" s="72"/>
      <c r="R481">
        <v>9</v>
      </c>
      <c r="S481" t="str">
        <v>HOU</v>
      </c>
      <c r="T481" t="str">
        <v>Dom Akina</v>
      </c>
      <c r="U481" t="str">
        <v>NULL</v>
      </c>
      <c r="V481" t="str">
        <v>Away</v>
      </c>
      <c r="W481" t="str">
        <v>MIA</v>
      </c>
      <c r="X481">
        <v>13.995546919696057</v>
      </c>
    </row>
    <row r="482" spans="8:24" x14ac:dyDescent="0.35">
      <c r="H482" s="66">
        <v>7</v>
      </c>
      <c r="I482" t="s">
        <v>7</v>
      </c>
      <c r="J482" t="s">
        <v>447</v>
      </c>
      <c r="K482" t="s">
        <v>256</v>
      </c>
      <c r="L482" t="s">
        <v>9</v>
      </c>
      <c r="M482" t="s">
        <v>6</v>
      </c>
      <c r="N482">
        <f t="shared" si="32"/>
        <v>12.822161654810248</v>
      </c>
      <c r="O482" t="str">
        <f t="shared" si="33"/>
        <v/>
      </c>
      <c r="P482" s="67" cm="1">
        <f t="array" ref="P482">SUMPRODUCT((H482=$H$7:$H$10000)*(N482&lt;$N$7:$N$10000))+1</f>
        <v>9</v>
      </c>
      <c r="Q482" s="72"/>
      <c r="R482">
        <v>9</v>
      </c>
      <c r="S482" t="str">
        <v>SDL</v>
      </c>
      <c r="T482" t="str">
        <v>Ethan Grayson</v>
      </c>
      <c r="U482" t="str">
        <v>NULL</v>
      </c>
      <c r="V482" t="str">
        <v>Away</v>
      </c>
      <c r="W482" t="str">
        <v>NEFJ</v>
      </c>
      <c r="X482">
        <v>13.666548308902028</v>
      </c>
    </row>
    <row r="483" spans="8:24" x14ac:dyDescent="0.35">
      <c r="H483" s="66">
        <v>7</v>
      </c>
      <c r="I483" t="s">
        <v>17</v>
      </c>
      <c r="J483" t="s">
        <v>492</v>
      </c>
      <c r="K483" t="s">
        <v>256</v>
      </c>
      <c r="L483" t="s">
        <v>3</v>
      </c>
      <c r="M483" t="s">
        <v>14</v>
      </c>
      <c r="N483">
        <f t="shared" si="32"/>
        <v>11.930390748516462</v>
      </c>
      <c r="O483" t="str">
        <f t="shared" si="33"/>
        <v/>
      </c>
      <c r="P483" s="67" cm="1">
        <f t="array" ref="P483">SUMPRODUCT((H483=$H$7:$H$10000)*(N483&lt;$N$7:$N$10000))+1</f>
        <v>10</v>
      </c>
      <c r="Q483" s="72"/>
      <c r="R483">
        <v>9</v>
      </c>
      <c r="S483" t="str">
        <v>HOU</v>
      </c>
      <c r="T483" t="str">
        <v>Davy Coetzer</v>
      </c>
      <c r="U483" t="str">
        <v>NULL</v>
      </c>
      <c r="V483" t="str">
        <v>Away</v>
      </c>
      <c r="W483" t="str">
        <v>MIA</v>
      </c>
      <c r="X483">
        <v>13.415987527581219</v>
      </c>
    </row>
    <row r="484" spans="8:24" x14ac:dyDescent="0.35">
      <c r="H484" s="66">
        <v>7</v>
      </c>
      <c r="I484" t="s">
        <v>23</v>
      </c>
      <c r="J484" t="s">
        <v>190</v>
      </c>
      <c r="K484" t="s">
        <v>256</v>
      </c>
      <c r="L484" t="s">
        <v>9</v>
      </c>
      <c r="M484" t="s">
        <v>13</v>
      </c>
      <c r="N484">
        <f t="shared" si="32"/>
        <v>11.829350805653126</v>
      </c>
      <c r="O484" t="str">
        <f t="shared" si="33"/>
        <v/>
      </c>
      <c r="P484" s="67" cm="1">
        <f t="array" ref="P484">SUMPRODUCT((H484=$H$7:$H$10000)*(N484&lt;$N$7:$N$10000))+1</f>
        <v>11</v>
      </c>
      <c r="Q484" s="72"/>
      <c r="R484">
        <v>9</v>
      </c>
      <c r="S484" t="str">
        <v>HOU</v>
      </c>
      <c r="T484" t="str">
        <v>Jeremy Misailegalu</v>
      </c>
      <c r="U484" t="str">
        <v>NULL</v>
      </c>
      <c r="V484" t="str">
        <v>Away</v>
      </c>
      <c r="W484" t="str">
        <v>MIA</v>
      </c>
      <c r="X484">
        <v>13.409601010361266</v>
      </c>
    </row>
    <row r="485" spans="8:24" x14ac:dyDescent="0.35">
      <c r="H485" s="66">
        <v>7</v>
      </c>
      <c r="I485" t="s">
        <v>7</v>
      </c>
      <c r="J485" t="s">
        <v>77</v>
      </c>
      <c r="K485" t="s">
        <v>256</v>
      </c>
      <c r="L485" t="s">
        <v>9</v>
      </c>
      <c r="M485" t="s">
        <v>6</v>
      </c>
      <c r="N485">
        <f t="shared" si="32"/>
        <v>11.80162841515552</v>
      </c>
      <c r="O485" t="str">
        <f t="shared" si="33"/>
        <v/>
      </c>
      <c r="P485" s="67" cm="1">
        <f t="array" ref="P485">SUMPRODUCT((H485=$H$7:$H$10000)*(N485&lt;$N$7:$N$10000))+1</f>
        <v>12</v>
      </c>
      <c r="Q485" s="72"/>
      <c r="R485">
        <v>9</v>
      </c>
      <c r="S485" t="str">
        <v>LA</v>
      </c>
      <c r="T485" t="str">
        <v>Christian Leali'ifano</v>
      </c>
      <c r="U485" t="str">
        <v>NULL</v>
      </c>
      <c r="V485" t="str">
        <v>Home</v>
      </c>
      <c r="W485" t="str">
        <v>UTAH</v>
      </c>
      <c r="X485">
        <v>13.355457533677841</v>
      </c>
    </row>
    <row r="486" spans="8:24" x14ac:dyDescent="0.35">
      <c r="H486" s="66">
        <v>7</v>
      </c>
      <c r="I486" t="s">
        <v>4</v>
      </c>
      <c r="J486" t="s">
        <v>457</v>
      </c>
      <c r="K486" t="s">
        <v>256</v>
      </c>
      <c r="L486" t="s">
        <v>3</v>
      </c>
      <c r="M486" t="s">
        <v>2</v>
      </c>
      <c r="N486">
        <f t="shared" si="32"/>
        <v>11.730209265325882</v>
      </c>
      <c r="O486" t="str">
        <f t="shared" si="33"/>
        <v/>
      </c>
      <c r="P486" s="67" cm="1">
        <f t="array" ref="P486">SUMPRODUCT((H486=$H$7:$H$10000)*(N486&lt;$N$7:$N$10000))+1</f>
        <v>13</v>
      </c>
      <c r="Q486" s="72"/>
      <c r="R486">
        <v>9</v>
      </c>
      <c r="S486" t="str">
        <v>CHI</v>
      </c>
      <c r="T486" t="str">
        <v>Nate Augspurger</v>
      </c>
      <c r="U486" t="str">
        <v>NULL</v>
      </c>
      <c r="V486" t="str">
        <v>Home</v>
      </c>
      <c r="W486" t="str">
        <v>ARC</v>
      </c>
      <c r="X486">
        <v>13.080545769942093</v>
      </c>
    </row>
    <row r="487" spans="8:24" x14ac:dyDescent="0.35">
      <c r="H487" s="66">
        <v>7</v>
      </c>
      <c r="I487" t="s">
        <v>13</v>
      </c>
      <c r="J487" t="s">
        <v>477</v>
      </c>
      <c r="K487" t="s">
        <v>256</v>
      </c>
      <c r="L487" t="s">
        <v>3</v>
      </c>
      <c r="M487" t="s">
        <v>23</v>
      </c>
      <c r="N487">
        <f t="shared" si="32"/>
        <v>11.097224313185908</v>
      </c>
      <c r="O487" t="str">
        <f t="shared" si="33"/>
        <v/>
      </c>
      <c r="P487" s="67" cm="1">
        <f t="array" ref="P487">SUMPRODUCT((H487=$H$7:$H$10000)*(N487&lt;$N$7:$N$10000))+1</f>
        <v>14</v>
      </c>
      <c r="Q487" s="72"/>
      <c r="R487">
        <v>9</v>
      </c>
      <c r="S487" t="str">
        <v>CHI</v>
      </c>
      <c r="T487" t="str">
        <v>Michael Hand</v>
      </c>
      <c r="U487" t="str">
        <v>NULL</v>
      </c>
      <c r="V487" t="str">
        <v>Home</v>
      </c>
      <c r="W487" t="str">
        <v>ARC</v>
      </c>
      <c r="X487">
        <v>12.527812016271472</v>
      </c>
    </row>
    <row r="488" spans="8:24" x14ac:dyDescent="0.35">
      <c r="H488" s="66">
        <v>7</v>
      </c>
      <c r="I488" t="s">
        <v>4</v>
      </c>
      <c r="J488" t="s">
        <v>286</v>
      </c>
      <c r="K488" t="s">
        <v>256</v>
      </c>
      <c r="L488" t="s">
        <v>3</v>
      </c>
      <c r="M488" t="s">
        <v>2</v>
      </c>
      <c r="N488">
        <f t="shared" si="32"/>
        <v>11.08456475706037</v>
      </c>
      <c r="O488" t="str">
        <f t="shared" si="33"/>
        <v/>
      </c>
      <c r="P488" s="67" cm="1">
        <f t="array" ref="P488">SUMPRODUCT((H488=$H$7:$H$10000)*(N488&lt;$N$7:$N$10000))+1</f>
        <v>15</v>
      </c>
      <c r="Q488" s="72"/>
      <c r="R488">
        <v>9</v>
      </c>
      <c r="S488" t="str">
        <v>SDL</v>
      </c>
      <c r="T488" t="str">
        <v>Tomas Aoake</v>
      </c>
      <c r="U488" t="str">
        <v>NULL</v>
      </c>
      <c r="V488" t="str">
        <v>Away</v>
      </c>
      <c r="W488" t="str">
        <v>NEFJ</v>
      </c>
      <c r="X488">
        <v>12.502258999220469</v>
      </c>
    </row>
    <row r="489" spans="8:24" x14ac:dyDescent="0.35">
      <c r="H489" s="66">
        <v>7</v>
      </c>
      <c r="I489" t="s">
        <v>17</v>
      </c>
      <c r="J489" t="s">
        <v>196</v>
      </c>
      <c r="K489" t="s">
        <v>256</v>
      </c>
      <c r="L489" t="s">
        <v>3</v>
      </c>
      <c r="M489" t="s">
        <v>14</v>
      </c>
      <c r="N489">
        <f t="shared" si="32"/>
        <v>11.075305482960637</v>
      </c>
      <c r="O489" t="str">
        <f t="shared" si="33"/>
        <v/>
      </c>
      <c r="P489" s="67" cm="1">
        <f t="array" ref="P489">SUMPRODUCT((H489=$H$7:$H$10000)*(N489&lt;$N$7:$N$10000))+1</f>
        <v>16</v>
      </c>
      <c r="Q489" s="72"/>
      <c r="R489">
        <v>9</v>
      </c>
      <c r="S489" t="str">
        <v>UTAH</v>
      </c>
      <c r="T489" t="str">
        <v>Jordan Trainor</v>
      </c>
      <c r="U489" t="str">
        <v>NULL</v>
      </c>
      <c r="V489" t="str">
        <v>Away</v>
      </c>
      <c r="W489" t="str">
        <v>LA</v>
      </c>
      <c r="X489">
        <v>12.455235909648348</v>
      </c>
    </row>
    <row r="490" spans="8:24" x14ac:dyDescent="0.35">
      <c r="H490" s="65">
        <v>7</v>
      </c>
      <c r="I490" t="s">
        <v>6</v>
      </c>
      <c r="J490" t="s">
        <v>445</v>
      </c>
      <c r="K490" t="s">
        <v>256</v>
      </c>
      <c r="L490" s="10" t="s">
        <v>3</v>
      </c>
      <c r="M490" s="10" t="s">
        <v>7</v>
      </c>
      <c r="N490">
        <f t="shared" si="32"/>
        <v>10.94746139053122</v>
      </c>
      <c r="O490" t="str">
        <f t="shared" si="33"/>
        <v/>
      </c>
      <c r="P490" s="67" cm="1">
        <f t="array" ref="P490">SUMPRODUCT((H490=$H$7:$H$10000)*(N490&lt;$N$7:$N$10000))+1</f>
        <v>17</v>
      </c>
      <c r="Q490" s="72"/>
      <c r="R490">
        <v>9</v>
      </c>
      <c r="S490" t="str">
        <v>LA</v>
      </c>
      <c r="T490" t="str">
        <v>Gonzalo Bertranou</v>
      </c>
      <c r="U490" t="str">
        <v>NULL</v>
      </c>
      <c r="V490" t="str">
        <v>Home</v>
      </c>
      <c r="W490" t="str">
        <v>UTAH</v>
      </c>
      <c r="X490">
        <v>12.385675618249854</v>
      </c>
    </row>
    <row r="491" spans="8:24" x14ac:dyDescent="0.35">
      <c r="H491" s="66">
        <v>7</v>
      </c>
      <c r="I491" t="s">
        <v>4</v>
      </c>
      <c r="J491" t="s">
        <v>453</v>
      </c>
      <c r="K491" t="s">
        <v>256</v>
      </c>
      <c r="L491" t="s">
        <v>3</v>
      </c>
      <c r="M491" t="s">
        <v>2</v>
      </c>
      <c r="N491">
        <f t="shared" si="32"/>
        <v>10.641521547055529</v>
      </c>
      <c r="O491" t="str">
        <f t="shared" si="33"/>
        <v/>
      </c>
      <c r="P491" s="67" cm="1">
        <f t="array" ref="P491">SUMPRODUCT((H491=$H$7:$H$10000)*(N491&lt;$N$7:$N$10000))+1</f>
        <v>18</v>
      </c>
      <c r="Q491" s="72"/>
      <c r="R491">
        <v>9</v>
      </c>
      <c r="S491" t="str">
        <v>LA</v>
      </c>
      <c r="T491" t="str">
        <v>Jack Shaw</v>
      </c>
      <c r="U491" t="str">
        <v>NULL</v>
      </c>
      <c r="V491" t="str">
        <v>Home</v>
      </c>
      <c r="W491" t="str">
        <v>UTAH</v>
      </c>
      <c r="X491">
        <v>12.130561406105322</v>
      </c>
    </row>
    <row r="492" spans="8:24" x14ac:dyDescent="0.35">
      <c r="H492" s="66">
        <v>7</v>
      </c>
      <c r="I492" t="s">
        <v>23</v>
      </c>
      <c r="J492" t="s">
        <v>46</v>
      </c>
      <c r="K492" t="s">
        <v>256</v>
      </c>
      <c r="L492" t="s">
        <v>9</v>
      </c>
      <c r="M492" t="s">
        <v>13</v>
      </c>
      <c r="N492">
        <f t="shared" si="32"/>
        <v>10.628560403871502</v>
      </c>
      <c r="O492" t="str">
        <f t="shared" si="33"/>
        <v/>
      </c>
      <c r="P492" s="67" cm="1">
        <f t="array" ref="P492">SUMPRODUCT((H492=$H$7:$H$10000)*(N492&lt;$N$7:$N$10000))+1</f>
        <v>19</v>
      </c>
      <c r="Q492" s="72"/>
      <c r="R492">
        <v>9</v>
      </c>
      <c r="S492" t="str">
        <v>LA</v>
      </c>
      <c r="T492" t="str">
        <v>Seth Purdey</v>
      </c>
      <c r="U492" t="str">
        <v>NULL</v>
      </c>
      <c r="V492" t="str">
        <v>Home</v>
      </c>
      <c r="W492" t="str">
        <v>UTAH</v>
      </c>
      <c r="X492">
        <v>11.637471110521096</v>
      </c>
    </row>
    <row r="493" spans="8:24" x14ac:dyDescent="0.35">
      <c r="H493" s="66">
        <v>7</v>
      </c>
      <c r="I493" t="s">
        <v>17</v>
      </c>
      <c r="J493" t="s">
        <v>497</v>
      </c>
      <c r="K493" t="s">
        <v>256</v>
      </c>
      <c r="L493" t="s">
        <v>3</v>
      </c>
      <c r="M493" t="s">
        <v>14</v>
      </c>
      <c r="N493">
        <f t="shared" si="32"/>
        <v>10.625887731011638</v>
      </c>
      <c r="O493" t="str">
        <f t="shared" si="33"/>
        <v/>
      </c>
      <c r="P493" s="67" cm="1">
        <f t="array" ref="P493">SUMPRODUCT((H493=$H$7:$H$10000)*(N493&lt;$N$7:$N$10000))+1</f>
        <v>20</v>
      </c>
      <c r="Q493" s="72"/>
      <c r="R493">
        <v>9</v>
      </c>
      <c r="S493" t="str">
        <v>LA</v>
      </c>
      <c r="T493" t="str">
        <v>Cameron Gerlach</v>
      </c>
      <c r="U493" t="str">
        <v>NULL</v>
      </c>
      <c r="V493" t="str">
        <v>Home</v>
      </c>
      <c r="W493" t="str">
        <v>UTAH</v>
      </c>
      <c r="X493">
        <v>11.338805442871351</v>
      </c>
    </row>
    <row r="494" spans="8:24" x14ac:dyDescent="0.35">
      <c r="H494" s="66">
        <v>7</v>
      </c>
      <c r="I494" t="s">
        <v>2</v>
      </c>
      <c r="J494" t="s">
        <v>88</v>
      </c>
      <c r="K494" t="s">
        <v>256</v>
      </c>
      <c r="L494" t="s">
        <v>9</v>
      </c>
      <c r="M494" t="s">
        <v>4</v>
      </c>
      <c r="N494">
        <f t="shared" si="32"/>
        <v>10.530330275431325</v>
      </c>
      <c r="O494" t="str">
        <f t="shared" si="33"/>
        <v/>
      </c>
      <c r="P494" s="67" cm="1">
        <f t="array" ref="P494">SUMPRODUCT((H494=$H$7:$H$10000)*(N494&lt;$N$7:$N$10000))+1</f>
        <v>21</v>
      </c>
      <c r="Q494" s="72"/>
      <c r="R494">
        <v>9</v>
      </c>
      <c r="S494" t="str">
        <v>NEFJ</v>
      </c>
      <c r="T494" t="str">
        <v>Jayson Potroz</v>
      </c>
      <c r="U494" t="str">
        <v>NULL</v>
      </c>
      <c r="V494" t="str">
        <v>Home</v>
      </c>
      <c r="W494" t="str">
        <v>SDL</v>
      </c>
      <c r="X494">
        <v>11.24640448554516</v>
      </c>
    </row>
    <row r="495" spans="8:24" x14ac:dyDescent="0.35">
      <c r="H495" s="66">
        <v>7</v>
      </c>
      <c r="I495" t="s">
        <v>14</v>
      </c>
      <c r="J495" t="s">
        <v>448</v>
      </c>
      <c r="K495" t="s">
        <v>256</v>
      </c>
      <c r="L495" t="s">
        <v>9</v>
      </c>
      <c r="M495" t="s">
        <v>17</v>
      </c>
      <c r="N495">
        <f t="shared" si="32"/>
        <v>10.520669919508808</v>
      </c>
      <c r="O495" t="str">
        <f t="shared" si="33"/>
        <v/>
      </c>
      <c r="P495" s="67" cm="1">
        <f t="array" ref="P495">SUMPRODUCT((H495=$H$7:$H$10000)*(N495&lt;$N$7:$N$10000))+1</f>
        <v>22</v>
      </c>
      <c r="Q495" s="72"/>
      <c r="R495">
        <v>9</v>
      </c>
      <c r="S495" t="str">
        <v>SDL</v>
      </c>
      <c r="T495" t="str">
        <v>Tavite Lopeti</v>
      </c>
      <c r="U495" t="str">
        <v>NULL</v>
      </c>
      <c r="V495" t="str">
        <v>Away</v>
      </c>
      <c r="W495" t="str">
        <v>NEFJ</v>
      </c>
      <c r="X495">
        <v>11.173928395712725</v>
      </c>
    </row>
    <row r="496" spans="8:24" x14ac:dyDescent="0.35">
      <c r="H496" s="66">
        <v>7</v>
      </c>
      <c r="I496" t="s">
        <v>17</v>
      </c>
      <c r="J496" t="s">
        <v>37</v>
      </c>
      <c r="K496" t="s">
        <v>256</v>
      </c>
      <c r="L496" t="s">
        <v>3</v>
      </c>
      <c r="M496" t="s">
        <v>14</v>
      </c>
      <c r="N496">
        <f t="shared" si="32"/>
        <v>10.507787554352044</v>
      </c>
      <c r="O496" t="str">
        <f t="shared" si="33"/>
        <v/>
      </c>
      <c r="P496" s="67" cm="1">
        <f t="array" ref="P496">SUMPRODUCT((H496=$H$7:$H$10000)*(N496&lt;$N$7:$N$10000))+1</f>
        <v>23</v>
      </c>
      <c r="Q496" s="72"/>
      <c r="R496">
        <v>9</v>
      </c>
      <c r="S496" t="str">
        <v>HOU</v>
      </c>
      <c r="T496" t="str">
        <v>AJ Alatimu</v>
      </c>
      <c r="U496" t="str">
        <v>NULL</v>
      </c>
      <c r="V496" t="str">
        <v>Away</v>
      </c>
      <c r="W496" t="str">
        <v>MIA</v>
      </c>
      <c r="X496">
        <v>11.080576933327512</v>
      </c>
    </row>
    <row r="497" spans="8:24" x14ac:dyDescent="0.35">
      <c r="H497" s="65">
        <v>7</v>
      </c>
      <c r="I497" t="s">
        <v>23</v>
      </c>
      <c r="J497" t="s">
        <v>32</v>
      </c>
      <c r="K497" t="s">
        <v>256</v>
      </c>
      <c r="L497" t="s">
        <v>9</v>
      </c>
      <c r="M497" t="s">
        <v>13</v>
      </c>
      <c r="N497">
        <f t="shared" si="32"/>
        <v>10.44835644253763</v>
      </c>
      <c r="O497" t="str">
        <f t="shared" si="33"/>
        <v/>
      </c>
      <c r="P497" s="67" cm="1">
        <f t="array" ref="P497">SUMPRODUCT((H497=$H$7:$H$10000)*(N497&lt;$N$7:$N$10000))+1</f>
        <v>24</v>
      </c>
      <c r="Q497" s="72"/>
      <c r="R497">
        <v>9</v>
      </c>
      <c r="S497" t="str">
        <v>SDL</v>
      </c>
      <c r="T497" t="str">
        <v>Lincoln McClutchie</v>
      </c>
      <c r="U497" t="str">
        <v>NULL</v>
      </c>
      <c r="V497" t="str">
        <v>Away</v>
      </c>
      <c r="W497" t="str">
        <v>NEFJ</v>
      </c>
      <c r="X497">
        <v>11.01515013457375</v>
      </c>
    </row>
    <row r="498" spans="8:24" x14ac:dyDescent="0.35">
      <c r="H498" s="65">
        <v>7</v>
      </c>
      <c r="I498" t="s">
        <v>36</v>
      </c>
      <c r="J498" t="s">
        <v>38</v>
      </c>
      <c r="K498" t="s">
        <v>256</v>
      </c>
      <c r="L498" s="10" t="s">
        <v>3</v>
      </c>
      <c r="M498" s="10" t="s">
        <v>34</v>
      </c>
      <c r="N498">
        <f t="shared" si="32"/>
        <v>10.446517357646099</v>
      </c>
      <c r="O498" t="str">
        <f t="shared" si="33"/>
        <v/>
      </c>
      <c r="P498" s="67" cm="1">
        <f t="array" ref="P498">SUMPRODUCT((H498=$H$7:$H$10000)*(N498&lt;$N$7:$N$10000))+1</f>
        <v>25</v>
      </c>
      <c r="Q498" s="72"/>
      <c r="R498">
        <v>9</v>
      </c>
      <c r="S498" t="str">
        <v>SDL</v>
      </c>
      <c r="T498" t="str">
        <v>James Vaifale</v>
      </c>
      <c r="U498" t="str">
        <v>NULL</v>
      </c>
      <c r="V498" t="str">
        <v>Away</v>
      </c>
      <c r="W498" t="str">
        <v>NEFJ</v>
      </c>
      <c r="X498">
        <v>10.858041277173696</v>
      </c>
    </row>
    <row r="499" spans="8:24" x14ac:dyDescent="0.35">
      <c r="H499" s="66">
        <v>7</v>
      </c>
      <c r="I499" t="s">
        <v>23</v>
      </c>
      <c r="J499" t="s">
        <v>91</v>
      </c>
      <c r="K499" t="s">
        <v>256</v>
      </c>
      <c r="L499" t="s">
        <v>9</v>
      </c>
      <c r="M499" t="s">
        <v>13</v>
      </c>
      <c r="N499">
        <f t="shared" si="32"/>
        <v>10.406554251831704</v>
      </c>
      <c r="O499" t="str">
        <f t="shared" si="33"/>
        <v/>
      </c>
      <c r="P499" s="67" cm="1">
        <f t="array" ref="P499">SUMPRODUCT((H499=$H$7:$H$10000)*(N499&lt;$N$7:$N$10000))+1</f>
        <v>26</v>
      </c>
      <c r="Q499" s="72"/>
      <c r="R499">
        <v>9</v>
      </c>
      <c r="S499" t="str">
        <v>LA</v>
      </c>
      <c r="T499" t="str">
        <v>Nick Chan</v>
      </c>
      <c r="U499" t="str">
        <v>NULL</v>
      </c>
      <c r="V499" t="str">
        <v>Home</v>
      </c>
      <c r="W499" t="str">
        <v>UTAH</v>
      </c>
      <c r="X499">
        <v>10.727510489885002</v>
      </c>
    </row>
    <row r="500" spans="8:24" x14ac:dyDescent="0.35">
      <c r="H500" s="66">
        <v>7</v>
      </c>
      <c r="I500" t="s">
        <v>4</v>
      </c>
      <c r="J500" t="s">
        <v>74</v>
      </c>
      <c r="K500" t="s">
        <v>256</v>
      </c>
      <c r="L500" t="s">
        <v>3</v>
      </c>
      <c r="M500" t="s">
        <v>2</v>
      </c>
      <c r="N500">
        <f t="shared" si="32"/>
        <v>10.369154208616585</v>
      </c>
      <c r="O500" t="str">
        <f t="shared" si="33"/>
        <v/>
      </c>
      <c r="P500" s="67" cm="1">
        <f t="array" ref="P500">SUMPRODUCT((H500=$H$7:$H$10000)*(N500&lt;$N$7:$N$10000))+1</f>
        <v>27</v>
      </c>
      <c r="Q500" s="72"/>
      <c r="R500">
        <v>9</v>
      </c>
      <c r="S500" t="str">
        <v>LA</v>
      </c>
      <c r="T500" t="str">
        <v>Andrew Coe</v>
      </c>
      <c r="U500" t="str">
        <v>NULL</v>
      </c>
      <c r="V500" t="str">
        <v>Home</v>
      </c>
      <c r="W500" t="str">
        <v>UTAH</v>
      </c>
      <c r="X500">
        <v>10.686576944841804</v>
      </c>
    </row>
    <row r="501" spans="8:24" x14ac:dyDescent="0.35">
      <c r="H501" s="66">
        <v>7</v>
      </c>
      <c r="I501" t="s">
        <v>14</v>
      </c>
      <c r="J501" t="s">
        <v>87</v>
      </c>
      <c r="K501" t="s">
        <v>256</v>
      </c>
      <c r="L501" t="s">
        <v>9</v>
      </c>
      <c r="M501" t="s">
        <v>17</v>
      </c>
      <c r="N501">
        <f t="shared" si="32"/>
        <v>10.132000663294514</v>
      </c>
      <c r="O501" t="str">
        <f t="shared" si="33"/>
        <v/>
      </c>
      <c r="P501" s="67" cm="1">
        <f t="array" ref="P501">SUMPRODUCT((H501=$H$7:$H$10000)*(N501&lt;$N$7:$N$10000))+1</f>
        <v>28</v>
      </c>
      <c r="Q501" s="72"/>
      <c r="R501">
        <v>9</v>
      </c>
      <c r="S501" t="str">
        <v>ARC</v>
      </c>
      <c r="T501" t="str">
        <v>Erich Storti</v>
      </c>
      <c r="U501" t="str">
        <v>NULL</v>
      </c>
      <c r="V501" t="str">
        <v>Away</v>
      </c>
      <c r="W501" t="str">
        <v>CHI</v>
      </c>
      <c r="X501">
        <v>10.652755595073637</v>
      </c>
    </row>
    <row r="502" spans="8:24" x14ac:dyDescent="0.35">
      <c r="H502" s="65">
        <v>7</v>
      </c>
      <c r="I502" t="s">
        <v>2</v>
      </c>
      <c r="J502" t="s">
        <v>495</v>
      </c>
      <c r="K502" t="s">
        <v>256</v>
      </c>
      <c r="L502" s="10" t="s">
        <v>9</v>
      </c>
      <c r="M502" s="10" t="s">
        <v>4</v>
      </c>
      <c r="N502">
        <f t="shared" si="32"/>
        <v>9.9775965217607059</v>
      </c>
      <c r="O502" t="str">
        <f t="shared" si="33"/>
        <v/>
      </c>
      <c r="P502" s="67" cm="1">
        <f t="array" ref="P502">SUMPRODUCT((H502=$H$7:$H$10000)*(N502&lt;$N$7:$N$10000))+1</f>
        <v>29</v>
      </c>
      <c r="Q502" s="72"/>
      <c r="R502">
        <v>9</v>
      </c>
      <c r="S502" t="str">
        <v>CHI</v>
      </c>
      <c r="T502" t="str">
        <v>Ollie Devoto</v>
      </c>
      <c r="U502" t="str">
        <v>NULL</v>
      </c>
      <c r="V502" t="str">
        <v>Home</v>
      </c>
      <c r="W502" t="str">
        <v>ARC</v>
      </c>
      <c r="X502">
        <v>10.418914507929973</v>
      </c>
    </row>
    <row r="503" spans="8:24" x14ac:dyDescent="0.35">
      <c r="H503" s="66">
        <v>7</v>
      </c>
      <c r="I503" t="s">
        <v>14</v>
      </c>
      <c r="J503" t="s">
        <v>83</v>
      </c>
      <c r="K503" t="s">
        <v>256</v>
      </c>
      <c r="L503" t="s">
        <v>9</v>
      </c>
      <c r="M503" t="s">
        <v>17</v>
      </c>
      <c r="N503">
        <f t="shared" si="32"/>
        <v>9.8704060777313458</v>
      </c>
      <c r="O503" t="str">
        <f t="shared" si="33"/>
        <v/>
      </c>
      <c r="P503" s="67" cm="1">
        <f t="array" ref="P503">SUMPRODUCT((H503=$H$7:$H$10000)*(N503&lt;$N$7:$N$10000))+1</f>
        <v>30</v>
      </c>
      <c r="Q503" s="72"/>
      <c r="R503">
        <v>9</v>
      </c>
      <c r="S503" t="str">
        <v>UTAH</v>
      </c>
      <c r="T503" t="str">
        <v>Blake Makiri</v>
      </c>
      <c r="U503" t="str">
        <v>NULL</v>
      </c>
      <c r="V503" t="str">
        <v>Away</v>
      </c>
      <c r="W503" t="str">
        <v>LA</v>
      </c>
      <c r="X503">
        <v>10.371418232162641</v>
      </c>
    </row>
    <row r="504" spans="8:24" x14ac:dyDescent="0.35">
      <c r="H504" s="65">
        <v>7</v>
      </c>
      <c r="I504" t="s">
        <v>36</v>
      </c>
      <c r="J504" t="s">
        <v>71</v>
      </c>
      <c r="K504" t="s">
        <v>256</v>
      </c>
      <c r="L504" t="s">
        <v>3</v>
      </c>
      <c r="M504" t="s">
        <v>34</v>
      </c>
      <c r="N504">
        <f t="shared" si="32"/>
        <v>9.8669579655312614</v>
      </c>
      <c r="O504" t="str">
        <f t="shared" si="33"/>
        <v/>
      </c>
      <c r="P504" s="67" cm="1">
        <f t="array" ref="P504">SUMPRODUCT((H504=$H$7:$H$10000)*(N504&lt;$N$7:$N$10000))+1</f>
        <v>31</v>
      </c>
      <c r="Q504" s="72"/>
      <c r="R504">
        <v>9</v>
      </c>
      <c r="S504" t="str">
        <v>ARC</v>
      </c>
      <c r="T504" t="str">
        <v>Mitch Wilson</v>
      </c>
      <c r="U504" t="str">
        <v>NULL</v>
      </c>
      <c r="V504" t="str">
        <v>Away</v>
      </c>
      <c r="W504" t="str">
        <v>CHI</v>
      </c>
      <c r="X504">
        <v>10.264086338859343</v>
      </c>
    </row>
    <row r="505" spans="8:24" x14ac:dyDescent="0.35">
      <c r="H505" s="66">
        <v>7</v>
      </c>
      <c r="I505" t="s">
        <v>36</v>
      </c>
      <c r="J505" t="s">
        <v>78</v>
      </c>
      <c r="K505" t="s">
        <v>256</v>
      </c>
      <c r="L505" t="s">
        <v>3</v>
      </c>
      <c r="M505" t="s">
        <v>34</v>
      </c>
      <c r="N505">
        <f t="shared" si="32"/>
        <v>9.8605714483113083</v>
      </c>
      <c r="O505" t="str">
        <f t="shared" si="33"/>
        <v/>
      </c>
      <c r="P505" s="67" cm="1">
        <f t="array" ref="P505">SUMPRODUCT((H505=$H$7:$H$10000)*(N505&lt;$N$7:$N$10000))+1</f>
        <v>32</v>
      </c>
      <c r="Q505" s="72"/>
      <c r="R505">
        <v>9</v>
      </c>
      <c r="S505" t="str">
        <v>NEFJ</v>
      </c>
      <c r="T505" t="str">
        <v>Wayne van der Bank</v>
      </c>
      <c r="U505" t="str">
        <v>NULL</v>
      </c>
      <c r="V505" t="str">
        <v>Home</v>
      </c>
      <c r="W505" t="str">
        <v>SDL</v>
      </c>
      <c r="X505">
        <v>10.045614083763533</v>
      </c>
    </row>
    <row r="506" spans="8:24" x14ac:dyDescent="0.35">
      <c r="H506" s="66">
        <v>7</v>
      </c>
      <c r="I506" t="s">
        <v>6</v>
      </c>
      <c r="J506" t="s">
        <v>442</v>
      </c>
      <c r="K506" t="s">
        <v>256</v>
      </c>
      <c r="L506" t="s">
        <v>3</v>
      </c>
      <c r="M506" t="s">
        <v>7</v>
      </c>
      <c r="N506">
        <f t="shared" si="32"/>
        <v>9.7962287685634131</v>
      </c>
      <c r="O506" t="str">
        <f t="shared" si="33"/>
        <v/>
      </c>
      <c r="P506" s="67" cm="1">
        <f t="array" ref="P506">SUMPRODUCT((H506=$H$7:$H$10000)*(N506&lt;$N$7:$N$10000))+1</f>
        <v>33</v>
      </c>
      <c r="Q506" s="72"/>
      <c r="R506">
        <v>9</v>
      </c>
      <c r="S506" t="str">
        <v>MIA</v>
      </c>
      <c r="T506" t="str">
        <v>Tomás Cubilla</v>
      </c>
      <c r="U506" t="str">
        <v>NULL</v>
      </c>
      <c r="V506" t="str">
        <v>Home</v>
      </c>
      <c r="W506" t="str">
        <v>HOU</v>
      </c>
      <c r="X506">
        <v>10.020786666389458</v>
      </c>
    </row>
    <row r="507" spans="8:24" x14ac:dyDescent="0.35">
      <c r="H507" s="66">
        <v>7</v>
      </c>
      <c r="I507" t="s">
        <v>34</v>
      </c>
      <c r="J507" t="s">
        <v>41</v>
      </c>
      <c r="K507" t="s">
        <v>256</v>
      </c>
      <c r="L507" t="s">
        <v>9</v>
      </c>
      <c r="M507" t="s">
        <v>36</v>
      </c>
      <c r="N507">
        <f t="shared" si="32"/>
        <v>9.773794966512618</v>
      </c>
      <c r="O507" t="str">
        <f t="shared" si="33"/>
        <v/>
      </c>
      <c r="P507" s="67" cm="1">
        <f t="array" ref="P507">SUMPRODUCT((H507=$H$7:$H$10000)*(N507&lt;$N$7:$N$10000))+1</f>
        <v>34</v>
      </c>
      <c r="Q507" s="72"/>
      <c r="R507">
        <v>9</v>
      </c>
      <c r="S507" t="str">
        <v>ARC</v>
      </c>
      <c r="T507" t="str">
        <v>Line Latu</v>
      </c>
      <c r="U507" t="str">
        <v>NULL</v>
      </c>
      <c r="V507" t="str">
        <v>Away</v>
      </c>
      <c r="W507" t="str">
        <v>CHI</v>
      </c>
      <c r="X507">
        <v>10.002491753296175</v>
      </c>
    </row>
    <row r="508" spans="8:24" x14ac:dyDescent="0.35">
      <c r="H508" s="66">
        <v>7</v>
      </c>
      <c r="I508" t="s">
        <v>4</v>
      </c>
      <c r="J508" t="s">
        <v>1</v>
      </c>
      <c r="K508" t="s">
        <v>256</v>
      </c>
      <c r="L508" t="s">
        <v>3</v>
      </c>
      <c r="M508" t="s">
        <v>2</v>
      </c>
      <c r="N508">
        <f t="shared" si="32"/>
        <v>9.5429656889367536</v>
      </c>
      <c r="O508" t="str">
        <f t="shared" si="33"/>
        <v/>
      </c>
      <c r="P508" s="67" cm="1">
        <f t="array" ref="P508">SUMPRODUCT((H508=$H$7:$H$10000)*(N508&lt;$N$7:$N$10000))+1</f>
        <v>35</v>
      </c>
      <c r="Q508" s="72"/>
      <c r="R508">
        <v>9</v>
      </c>
      <c r="S508" t="str">
        <v>NEFJ</v>
      </c>
      <c r="T508" t="str">
        <v>Le Roux Malan</v>
      </c>
      <c r="U508" t="str">
        <v>NULL</v>
      </c>
      <c r="V508" t="str">
        <v>Home</v>
      </c>
      <c r="W508" t="str">
        <v>SDL</v>
      </c>
      <c r="X508">
        <v>9.8654101224296635</v>
      </c>
    </row>
    <row r="509" spans="8:24" x14ac:dyDescent="0.35">
      <c r="H509" s="66">
        <v>7</v>
      </c>
      <c r="I509" t="s">
        <v>17</v>
      </c>
      <c r="J509" t="s">
        <v>450</v>
      </c>
      <c r="K509" t="s">
        <v>256</v>
      </c>
      <c r="L509" t="s">
        <v>3</v>
      </c>
      <c r="M509" t="s">
        <v>14</v>
      </c>
      <c r="N509">
        <f t="shared" si="32"/>
        <v>9.5060221389828179</v>
      </c>
      <c r="O509" t="str">
        <f t="shared" si="33"/>
        <v/>
      </c>
      <c r="P509" s="67" cm="1">
        <f t="array" ref="P509">SUMPRODUCT((H509=$H$7:$H$10000)*(N509&lt;$N$7:$N$10000))+1</f>
        <v>36</v>
      </c>
      <c r="Q509" s="72"/>
      <c r="R509">
        <v>9</v>
      </c>
      <c r="S509" t="str">
        <v>NEFJ</v>
      </c>
      <c r="T509" t="str">
        <v>Paula Balekana</v>
      </c>
      <c r="U509" t="str">
        <v>NULL</v>
      </c>
      <c r="V509" t="str">
        <v>Home</v>
      </c>
      <c r="W509" t="str">
        <v>SDL</v>
      </c>
      <c r="X509">
        <v>9.8236079317237355</v>
      </c>
    </row>
    <row r="510" spans="8:24" x14ac:dyDescent="0.35">
      <c r="H510" s="66">
        <v>7</v>
      </c>
      <c r="I510" t="s">
        <v>13</v>
      </c>
      <c r="J510" t="s">
        <v>478</v>
      </c>
      <c r="K510" t="s">
        <v>256</v>
      </c>
      <c r="L510" t="s">
        <v>3</v>
      </c>
      <c r="M510" t="s">
        <v>23</v>
      </c>
      <c r="N510">
        <f t="shared" si="32"/>
        <v>9.0134066357002016</v>
      </c>
      <c r="O510" t="str">
        <f t="shared" si="33"/>
        <v/>
      </c>
      <c r="P510" s="67" cm="1">
        <f t="array" ref="P510">SUMPRODUCT((H510=$H$7:$H$10000)*(N510&lt;$N$7:$N$10000))+1</f>
        <v>37</v>
      </c>
      <c r="Q510" s="72"/>
      <c r="R510">
        <v>9</v>
      </c>
      <c r="S510" t="str">
        <v>SDL</v>
      </c>
      <c r="T510" t="str">
        <v>Richard Judd</v>
      </c>
      <c r="U510" t="str">
        <v>NULL</v>
      </c>
      <c r="V510" t="str">
        <v>Away</v>
      </c>
      <c r="W510" t="str">
        <v>NEFJ</v>
      </c>
      <c r="X510">
        <v>9.7401113860067632</v>
      </c>
    </row>
    <row r="511" spans="8:24" x14ac:dyDescent="0.35">
      <c r="H511" s="66">
        <v>7</v>
      </c>
      <c r="I511" t="s">
        <v>14</v>
      </c>
      <c r="J511" t="s">
        <v>438</v>
      </c>
      <c r="K511" t="s">
        <v>256</v>
      </c>
      <c r="L511" t="s">
        <v>9</v>
      </c>
      <c r="M511" t="s">
        <v>17</v>
      </c>
      <c r="N511">
        <f t="shared" si="32"/>
        <v>8.9605412062120635</v>
      </c>
      <c r="O511" t="str">
        <f t="shared" si="33"/>
        <v/>
      </c>
      <c r="P511" s="67" cm="1">
        <f t="array" ref="P511">SUMPRODUCT((H511=$H$7:$H$10000)*(N511&lt;$N$7:$N$10000))+1</f>
        <v>38</v>
      </c>
      <c r="Q511" s="72"/>
      <c r="R511">
        <v>9</v>
      </c>
      <c r="S511" t="str">
        <v>UTAH</v>
      </c>
      <c r="T511" t="str">
        <v>Spencer Jones</v>
      </c>
      <c r="U511" t="str">
        <v>NULL</v>
      </c>
      <c r="V511" t="str">
        <v>Away</v>
      </c>
      <c r="W511" t="str">
        <v>LA</v>
      </c>
      <c r="X511">
        <v>9.7181673051528126</v>
      </c>
    </row>
    <row r="512" spans="8:24" x14ac:dyDescent="0.35">
      <c r="H512" s="65">
        <v>7</v>
      </c>
      <c r="I512" t="s">
        <v>6</v>
      </c>
      <c r="J512" t="s">
        <v>437</v>
      </c>
      <c r="K512" t="s">
        <v>256</v>
      </c>
      <c r="L512" t="s">
        <v>3</v>
      </c>
      <c r="M512" t="s">
        <v>7</v>
      </c>
      <c r="N512">
        <f t="shared" si="32"/>
        <v>8.8264468531354261</v>
      </c>
      <c r="O512" t="str">
        <f t="shared" si="33"/>
        <v/>
      </c>
      <c r="P512" s="67" cm="1">
        <f t="array" ref="P512">SUMPRODUCT((H512=$H$7:$H$10000)*(N512&lt;$N$7:$N$10000))+1</f>
        <v>39</v>
      </c>
      <c r="Q512" s="72"/>
      <c r="R512">
        <v>9</v>
      </c>
      <c r="S512" t="str">
        <v>SDL</v>
      </c>
      <c r="T512" t="str">
        <v>Tiaan Loots</v>
      </c>
      <c r="U512" t="str">
        <v>NULL</v>
      </c>
      <c r="V512" t="str">
        <v>Away</v>
      </c>
      <c r="W512" t="str">
        <v>NEFJ</v>
      </c>
      <c r="X512">
        <v>9.6450401173087226</v>
      </c>
    </row>
    <row r="513" spans="8:24" x14ac:dyDescent="0.35">
      <c r="H513" s="65">
        <v>7</v>
      </c>
      <c r="I513" t="s">
        <v>34</v>
      </c>
      <c r="J513" t="s">
        <v>100</v>
      </c>
      <c r="K513" t="s">
        <v>256</v>
      </c>
      <c r="L513" s="10" t="s">
        <v>9</v>
      </c>
      <c r="M513" s="10" t="s">
        <v>36</v>
      </c>
      <c r="N513">
        <f t="shared" si="32"/>
        <v>8.6095056568310611</v>
      </c>
      <c r="O513" t="str">
        <f t="shared" si="33"/>
        <v/>
      </c>
      <c r="P513" s="67" cm="1">
        <f t="array" ref="P513">SUMPRODUCT((H513=$H$7:$H$10000)*(N513&lt;$N$7:$N$10000))+1</f>
        <v>40</v>
      </c>
      <c r="Q513" s="72"/>
      <c r="R513">
        <v>9</v>
      </c>
      <c r="S513" t="str">
        <v>HOU</v>
      </c>
      <c r="T513" t="str">
        <v>Rufus McLean</v>
      </c>
      <c r="U513" t="str">
        <v>NULL</v>
      </c>
      <c r="V513" t="str">
        <v>Away</v>
      </c>
      <c r="W513" t="str">
        <v>MIA</v>
      </c>
      <c r="X513">
        <v>9.6012345690779028</v>
      </c>
    </row>
    <row r="514" spans="8:24" x14ac:dyDescent="0.35">
      <c r="H514" s="66">
        <v>7</v>
      </c>
      <c r="I514" t="s">
        <v>6</v>
      </c>
      <c r="J514" t="s">
        <v>75</v>
      </c>
      <c r="K514" t="s">
        <v>256</v>
      </c>
      <c r="L514" t="s">
        <v>3</v>
      </c>
      <c r="M514" t="s">
        <v>7</v>
      </c>
      <c r="N514">
        <f t="shared" si="32"/>
        <v>8.5713326409908923</v>
      </c>
      <c r="O514" t="str">
        <f t="shared" si="33"/>
        <v/>
      </c>
      <c r="P514" s="67" cm="1">
        <f t="array" ref="P514">SUMPRODUCT((H514=$H$7:$H$10000)*(N514&lt;$N$7:$N$10000))+1</f>
        <v>41</v>
      </c>
      <c r="Q514" s="72"/>
      <c r="R514">
        <v>9</v>
      </c>
      <c r="S514" t="str">
        <v>CHI</v>
      </c>
      <c r="T514" t="str">
        <v>Adriaan Carelse</v>
      </c>
      <c r="U514" t="str">
        <v>NULL</v>
      </c>
      <c r="V514" t="str">
        <v>Home</v>
      </c>
      <c r="W514" t="str">
        <v>ARC</v>
      </c>
      <c r="X514">
        <v>9.5276454721330577</v>
      </c>
    </row>
    <row r="515" spans="8:24" x14ac:dyDescent="0.35">
      <c r="H515" s="66">
        <v>7</v>
      </c>
      <c r="I515" t="s">
        <v>17</v>
      </c>
      <c r="J515" t="s">
        <v>81</v>
      </c>
      <c r="K515" t="s">
        <v>256</v>
      </c>
      <c r="L515" t="s">
        <v>3</v>
      </c>
      <c r="M515" t="s">
        <v>14</v>
      </c>
      <c r="N515">
        <f t="shared" si="32"/>
        <v>8.4879522388580195</v>
      </c>
      <c r="O515" t="str">
        <f t="shared" si="33"/>
        <v/>
      </c>
      <c r="P515" s="67" cm="1">
        <f t="array" ref="P515">SUMPRODUCT((H515=$H$7:$H$10000)*(N515&lt;$N$7:$N$10000))+1</f>
        <v>42</v>
      </c>
      <c r="Q515" s="72"/>
      <c r="R515">
        <v>9</v>
      </c>
      <c r="S515" t="str">
        <v>HOU</v>
      </c>
      <c r="T515" t="str">
        <v>Max Schumacher</v>
      </c>
      <c r="U515" t="str">
        <v>NULL</v>
      </c>
      <c r="V515" t="str">
        <v>Away</v>
      </c>
      <c r="W515" t="str">
        <v>MIA</v>
      </c>
      <c r="X515">
        <v>9.4544014089149222</v>
      </c>
    </row>
    <row r="516" spans="8:24" x14ac:dyDescent="0.35">
      <c r="H516" s="66">
        <v>7</v>
      </c>
      <c r="I516" t="s">
        <v>13</v>
      </c>
      <c r="J516" t="s">
        <v>53</v>
      </c>
      <c r="K516" t="s">
        <v>256</v>
      </c>
      <c r="L516" t="s">
        <v>3</v>
      </c>
      <c r="M516" t="s">
        <v>23</v>
      </c>
      <c r="N516">
        <f t="shared" si="32"/>
        <v>8.3601557086903746</v>
      </c>
      <c r="O516" t="str">
        <f t="shared" si="33"/>
        <v/>
      </c>
      <c r="P516" s="67" cm="1">
        <f t="array" ref="P516">SUMPRODUCT((H516=$H$7:$H$10000)*(N516&lt;$N$7:$N$10000))+1</f>
        <v>43</v>
      </c>
      <c r="Q516" s="72"/>
      <c r="R516">
        <v>9</v>
      </c>
      <c r="S516" t="str">
        <v>OGDC</v>
      </c>
      <c r="T516" t="str">
        <v>Damien Hoyland</v>
      </c>
      <c r="U516" t="str">
        <v>NULL</v>
      </c>
      <c r="V516" t="str">
        <v>Away</v>
      </c>
      <c r="W516" t="str">
        <v>NOLA</v>
      </c>
      <c r="X516">
        <v>9.1396146653087964</v>
      </c>
    </row>
    <row r="517" spans="8:24" x14ac:dyDescent="0.35">
      <c r="H517" s="65">
        <v>7</v>
      </c>
      <c r="I517" t="s">
        <v>6</v>
      </c>
      <c r="J517" t="s">
        <v>43</v>
      </c>
      <c r="K517" t="s">
        <v>256</v>
      </c>
      <c r="L517" t="s">
        <v>3</v>
      </c>
      <c r="M517" t="s">
        <v>7</v>
      </c>
      <c r="N517">
        <f t="shared" si="32"/>
        <v>8.0782423454066681</v>
      </c>
      <c r="O517" t="str">
        <f t="shared" si="33"/>
        <v/>
      </c>
      <c r="P517" s="67" cm="1">
        <f t="array" ref="P517">SUMPRODUCT((H517=$H$7:$H$10000)*(N517&lt;$N$7:$N$10000))+1</f>
        <v>44</v>
      </c>
      <c r="Q517" s="72"/>
      <c r="R517">
        <v>9</v>
      </c>
      <c r="S517" t="str">
        <v>ARC</v>
      </c>
      <c r="T517" t="str">
        <v>Karl Keane</v>
      </c>
      <c r="U517" t="str">
        <v>NULL</v>
      </c>
      <c r="V517" t="str">
        <v>Away</v>
      </c>
      <c r="W517" t="str">
        <v>CHI</v>
      </c>
      <c r="X517">
        <v>9.0926268817768907</v>
      </c>
    </row>
    <row r="518" spans="8:24" x14ac:dyDescent="0.35">
      <c r="H518" s="65">
        <v>7</v>
      </c>
      <c r="I518" t="s">
        <v>2</v>
      </c>
      <c r="J518" t="s">
        <v>449</v>
      </c>
      <c r="K518" t="s">
        <v>256</v>
      </c>
      <c r="L518" t="s">
        <v>9</v>
      </c>
      <c r="M518" t="s">
        <v>4</v>
      </c>
      <c r="N518">
        <f t="shared" si="32"/>
        <v>7.8686990134192065</v>
      </c>
      <c r="O518" t="str">
        <f t="shared" si="33"/>
        <v/>
      </c>
      <c r="P518" s="67" cm="1">
        <f t="array" ref="P518">SUMPRODUCT((H518=$H$7:$H$10000)*(N518&lt;$N$7:$N$10000))+1</f>
        <v>45</v>
      </c>
      <c r="Q518" s="72"/>
      <c r="R518">
        <v>9</v>
      </c>
      <c r="S518" t="str">
        <v>NOLA</v>
      </c>
      <c r="T518" t="str">
        <v>Cooper Coats</v>
      </c>
      <c r="U518" t="str">
        <v>NULL</v>
      </c>
      <c r="V518" t="str">
        <v>Home</v>
      </c>
      <c r="W518" t="str">
        <v>OGDC</v>
      </c>
      <c r="X518">
        <v>8.7577427601053461</v>
      </c>
    </row>
    <row r="519" spans="8:24" x14ac:dyDescent="0.35">
      <c r="H519" s="65">
        <v>7</v>
      </c>
      <c r="I519" t="s">
        <v>6</v>
      </c>
      <c r="J519" t="s">
        <v>454</v>
      </c>
      <c r="K519" t="s">
        <v>256</v>
      </c>
      <c r="L519" t="s">
        <v>3</v>
      </c>
      <c r="M519" t="s">
        <v>7</v>
      </c>
      <c r="N519">
        <f t="shared" si="32"/>
        <v>7.7795766777569231</v>
      </c>
      <c r="O519" t="str">
        <f t="shared" si="33"/>
        <v/>
      </c>
      <c r="P519" s="67" cm="1">
        <f t="array" ref="P519">SUMPRODUCT((H519=$H$7:$H$10000)*(N519&lt;$N$7:$N$10000))+1</f>
        <v>46</v>
      </c>
      <c r="Q519" s="72"/>
      <c r="R519">
        <v>9</v>
      </c>
      <c r="S519" t="str">
        <v>CHI</v>
      </c>
      <c r="T519" t="str">
        <v>Ben Pollack</v>
      </c>
      <c r="U519" t="str">
        <v>NULL</v>
      </c>
      <c r="V519" t="str">
        <v>Home</v>
      </c>
      <c r="W519" t="str">
        <v>ARC</v>
      </c>
      <c r="X519">
        <v>8.5002276314204899</v>
      </c>
    </row>
    <row r="520" spans="8:24" x14ac:dyDescent="0.35">
      <c r="H520" s="66">
        <v>7</v>
      </c>
      <c r="I520" t="s">
        <v>36</v>
      </c>
      <c r="J520" t="s">
        <v>491</v>
      </c>
      <c r="K520" t="s">
        <v>256</v>
      </c>
      <c r="L520" t="s">
        <v>3</v>
      </c>
      <c r="M520" t="s">
        <v>34</v>
      </c>
      <c r="N520">
        <f t="shared" si="32"/>
        <v>7.531547371277556</v>
      </c>
      <c r="O520" t="str">
        <f t="shared" si="33"/>
        <v/>
      </c>
      <c r="P520" s="67" cm="1">
        <f t="array" ref="P520">SUMPRODUCT((H520=$H$7:$H$10000)*(N520&lt;$N$7:$N$10000))+1</f>
        <v>47</v>
      </c>
      <c r="Q520" s="72"/>
      <c r="R520">
        <v>9</v>
      </c>
      <c r="S520" t="str">
        <v>OGDC</v>
      </c>
      <c r="T520" t="str">
        <v>Steffan Hughes</v>
      </c>
      <c r="U520" t="str">
        <v>NULL</v>
      </c>
      <c r="V520" t="str">
        <v>Away</v>
      </c>
      <c r="W520" t="str">
        <v>NOLA</v>
      </c>
      <c r="X520">
        <v>8.4519736046427436</v>
      </c>
    </row>
    <row r="521" spans="8:24" x14ac:dyDescent="0.35">
      <c r="H521" s="66">
        <v>7</v>
      </c>
      <c r="I521" t="s">
        <v>34</v>
      </c>
      <c r="J521" t="s">
        <v>52</v>
      </c>
      <c r="K521" t="s">
        <v>256</v>
      </c>
      <c r="L521" t="s">
        <v>9</v>
      </c>
      <c r="M521" t="s">
        <v>36</v>
      </c>
      <c r="N521">
        <f t="shared" si="32"/>
        <v>7.2811750533233139</v>
      </c>
      <c r="O521" t="str">
        <f t="shared" si="33"/>
        <v/>
      </c>
      <c r="P521" s="67" cm="1">
        <f t="array" ref="P521">SUMPRODUCT((H521=$H$7:$H$10000)*(N521&lt;$N$7:$N$10000))+1</f>
        <v>48</v>
      </c>
      <c r="Q521" s="72"/>
      <c r="R521">
        <v>9</v>
      </c>
      <c r="S521" t="str">
        <v>SDL</v>
      </c>
      <c r="T521" t="str">
        <v>Marcel Brache</v>
      </c>
      <c r="U521" t="str">
        <v>NULL</v>
      </c>
      <c r="V521" t="str">
        <v>Away</v>
      </c>
      <c r="W521" t="str">
        <v>NEFJ</v>
      </c>
      <c r="X521">
        <v>8.2918578040272735</v>
      </c>
    </row>
    <row r="522" spans="8:24" x14ac:dyDescent="0.35">
      <c r="H522" s="66">
        <v>7</v>
      </c>
      <c r="I522" t="s">
        <v>6</v>
      </c>
      <c r="J522" t="s">
        <v>451</v>
      </c>
      <c r="K522" t="s">
        <v>256</v>
      </c>
      <c r="L522" t="s">
        <v>3</v>
      </c>
      <c r="M522" t="s">
        <v>7</v>
      </c>
      <c r="N522">
        <f t="shared" si="32"/>
        <v>7.1682817247705755</v>
      </c>
      <c r="O522" t="str">
        <f t="shared" si="33"/>
        <v/>
      </c>
      <c r="P522" s="67" cm="1">
        <f t="array" ref="P522">SUMPRODUCT((H522=$H$7:$H$10000)*(N522&lt;$N$7:$N$10000))+1</f>
        <v>49</v>
      </c>
      <c r="Q522" s="72"/>
      <c r="R522">
        <v>9</v>
      </c>
      <c r="S522" t="str">
        <v>HOU</v>
      </c>
      <c r="T522" t="str">
        <v>Tautalatasi Tasi</v>
      </c>
      <c r="U522" t="str">
        <v>NULL</v>
      </c>
      <c r="V522" t="str">
        <v>Away</v>
      </c>
      <c r="W522" t="str">
        <v>MIA</v>
      </c>
      <c r="X522">
        <v>8.1790486726733604</v>
      </c>
    </row>
    <row r="523" spans="8:24" x14ac:dyDescent="0.35">
      <c r="H523" s="65">
        <v>7</v>
      </c>
      <c r="I523" t="s">
        <v>6</v>
      </c>
      <c r="J523" t="s">
        <v>64</v>
      </c>
      <c r="K523" t="s">
        <v>256</v>
      </c>
      <c r="L523" t="s">
        <v>3</v>
      </c>
      <c r="M523" t="s">
        <v>7</v>
      </c>
      <c r="N523">
        <f t="shared" si="32"/>
        <v>7.1273481797273748</v>
      </c>
      <c r="O523" t="str">
        <f t="shared" si="33"/>
        <v/>
      </c>
      <c r="P523" s="67" cm="1">
        <f t="array" ref="P523">SUMPRODUCT((H523=$H$7:$H$10000)*(N523&lt;$N$7:$N$10000))+1</f>
        <v>50</v>
      </c>
      <c r="Q523" s="72"/>
      <c r="R523">
        <v>9</v>
      </c>
      <c r="S523" t="str">
        <v>UTAH</v>
      </c>
      <c r="T523" t="str">
        <v>Kyle Brown</v>
      </c>
      <c r="U523" t="str">
        <v>NULL</v>
      </c>
      <c r="V523" t="str">
        <v>Away</v>
      </c>
      <c r="W523" t="str">
        <v>LA</v>
      </c>
      <c r="X523">
        <v>8.113861605097906</v>
      </c>
    </row>
    <row r="524" spans="8:24" x14ac:dyDescent="0.35">
      <c r="H524" s="66">
        <v>7</v>
      </c>
      <c r="I524" t="s">
        <v>34</v>
      </c>
      <c r="J524" t="s">
        <v>192</v>
      </c>
      <c r="K524" t="s">
        <v>256</v>
      </c>
      <c r="L524" t="s">
        <v>9</v>
      </c>
      <c r="M524" t="s">
        <v>36</v>
      </c>
      <c r="N524">
        <f t="shared" ref="N524:N587" si="34">VLOOKUP($L524,$F$3:$G$4,2,FALSE)+VLOOKUP($J524,$A$20:$B$131,2,FALSE)+VLOOKUP($M524,$A$6:$B$16,2,FALSE)</f>
        <v>7.1223967921843405</v>
      </c>
      <c r="O524" t="str">
        <f t="shared" ref="O524:O587" si="35">IFERROR(($K524-$N524)^2,"")</f>
        <v/>
      </c>
      <c r="P524" s="67" cm="1">
        <f t="array" ref="P524">SUMPRODUCT((H524=$H$7:$H$10000)*(N524&lt;$N$7:$N$10000))+1</f>
        <v>51</v>
      </c>
      <c r="Q524" s="72"/>
      <c r="R524">
        <v>9</v>
      </c>
      <c r="S524" t="str">
        <v>NOLA</v>
      </c>
      <c r="T524" t="str">
        <v>Julian Roberts</v>
      </c>
      <c r="U524" t="str">
        <v>NULL</v>
      </c>
      <c r="V524" t="str">
        <v>Home</v>
      </c>
      <c r="W524" t="str">
        <v>OGDC</v>
      </c>
      <c r="X524">
        <v>8.1120982518398339</v>
      </c>
    </row>
    <row r="525" spans="8:24" x14ac:dyDescent="0.35">
      <c r="H525" s="66">
        <v>7</v>
      </c>
      <c r="I525" t="s">
        <v>17</v>
      </c>
      <c r="J525" t="s">
        <v>82</v>
      </c>
      <c r="K525" t="s">
        <v>256</v>
      </c>
      <c r="L525" t="s">
        <v>3</v>
      </c>
      <c r="M525" t="s">
        <v>14</v>
      </c>
      <c r="N525">
        <f t="shared" si="34"/>
        <v>7.0930763955423366</v>
      </c>
      <c r="O525" t="str">
        <f t="shared" si="35"/>
        <v/>
      </c>
      <c r="P525" s="67" cm="1">
        <f t="array" ref="P525">SUMPRODUCT((H525=$H$7:$H$10000)*(N525&lt;$N$7:$N$10000))+1</f>
        <v>52</v>
      </c>
      <c r="Q525" s="72"/>
      <c r="R525">
        <v>9</v>
      </c>
      <c r="S525" t="str">
        <v>MIA</v>
      </c>
      <c r="T525" t="str">
        <v>Marcos Young</v>
      </c>
      <c r="U525" t="str">
        <v>NULL</v>
      </c>
      <c r="V525" t="str">
        <v>Home</v>
      </c>
      <c r="W525" t="str">
        <v>HOU</v>
      </c>
      <c r="X525">
        <v>8.0419775013699777</v>
      </c>
    </row>
    <row r="526" spans="8:24" x14ac:dyDescent="0.35">
      <c r="H526" s="66">
        <v>7</v>
      </c>
      <c r="I526" t="s">
        <v>2</v>
      </c>
      <c r="J526" t="s">
        <v>63</v>
      </c>
      <c r="K526" t="s">
        <v>256</v>
      </c>
      <c r="L526" t="s">
        <v>9</v>
      </c>
      <c r="M526" t="s">
        <v>4</v>
      </c>
      <c r="N526">
        <f t="shared" si="34"/>
        <v>6.9774299776222906</v>
      </c>
      <c r="O526" t="str">
        <f t="shared" si="35"/>
        <v/>
      </c>
      <c r="P526" s="67" cm="1">
        <f t="array" ref="P526">SUMPRODUCT((H526=$H$7:$H$10000)*(N526&lt;$N$7:$N$10000))+1</f>
        <v>53</v>
      </c>
      <c r="Q526" s="72"/>
      <c r="R526">
        <v>9</v>
      </c>
      <c r="S526" t="str">
        <v>MIA</v>
      </c>
      <c r="T526" t="str">
        <v>Martin Elias</v>
      </c>
      <c r="U526" t="str">
        <v>NULL</v>
      </c>
      <c r="V526" t="str">
        <v>Home</v>
      </c>
      <c r="W526" t="str">
        <v>HOU</v>
      </c>
      <c r="X526">
        <v>8.0109136337674798</v>
      </c>
    </row>
    <row r="527" spans="8:24" x14ac:dyDescent="0.35">
      <c r="H527" s="66">
        <v>7</v>
      </c>
      <c r="I527" t="s">
        <v>34</v>
      </c>
      <c r="J527" t="s">
        <v>496</v>
      </c>
      <c r="K527" t="s">
        <v>256</v>
      </c>
      <c r="L527" t="s">
        <v>9</v>
      </c>
      <c r="M527" t="s">
        <v>36</v>
      </c>
      <c r="N527">
        <f t="shared" si="34"/>
        <v>6.9652879347842847</v>
      </c>
      <c r="O527" t="str">
        <f t="shared" si="35"/>
        <v/>
      </c>
      <c r="P527" s="67" cm="1">
        <f t="array" ref="P527">SUMPRODUCT((H527=$H$7:$H$10000)*(N527&lt;$N$7:$N$10000))+1</f>
        <v>54</v>
      </c>
      <c r="Q527" s="72"/>
      <c r="R527">
        <v>9</v>
      </c>
      <c r="S527" t="str">
        <v>CHI</v>
      </c>
      <c r="T527" t="str">
        <v>Bryce Campbell</v>
      </c>
      <c r="U527" t="str">
        <v>NULL</v>
      </c>
      <c r="V527" t="str">
        <v>Home</v>
      </c>
      <c r="W527" t="str">
        <v>ARC</v>
      </c>
      <c r="X527">
        <v>7.8693412441688082</v>
      </c>
    </row>
    <row r="528" spans="8:24" x14ac:dyDescent="0.35">
      <c r="H528" s="66">
        <v>7</v>
      </c>
      <c r="I528" t="s">
        <v>4</v>
      </c>
      <c r="J528" t="s">
        <v>493</v>
      </c>
      <c r="K528" t="s">
        <v>256</v>
      </c>
      <c r="L528" t="s">
        <v>3</v>
      </c>
      <c r="M528" t="s">
        <v>2</v>
      </c>
      <c r="N528">
        <f t="shared" si="34"/>
        <v>6.8032561022516767</v>
      </c>
      <c r="O528" t="str">
        <f t="shared" si="35"/>
        <v/>
      </c>
      <c r="P528" s="67" cm="1">
        <f t="array" ref="P528">SUMPRODUCT((H528=$H$7:$H$10000)*(N528&lt;$N$7:$N$10000))+1</f>
        <v>55</v>
      </c>
      <c r="Q528" s="72"/>
      <c r="R528">
        <v>9</v>
      </c>
      <c r="S528" t="str">
        <v>MIA</v>
      </c>
      <c r="T528" t="str">
        <v>Tomas Malanos</v>
      </c>
      <c r="U528" t="str">
        <v>NULL</v>
      </c>
      <c r="V528" t="str">
        <v>Home</v>
      </c>
      <c r="W528" t="str">
        <v>HOU</v>
      </c>
      <c r="X528">
        <v>7.8604892393808594</v>
      </c>
    </row>
    <row r="529" spans="8:24" x14ac:dyDescent="0.35">
      <c r="H529" s="66">
        <v>7</v>
      </c>
      <c r="I529" t="s">
        <v>13</v>
      </c>
      <c r="J529" t="s">
        <v>474</v>
      </c>
      <c r="K529" t="s">
        <v>256</v>
      </c>
      <c r="L529" t="s">
        <v>3</v>
      </c>
      <c r="M529" t="s">
        <v>23</v>
      </c>
      <c r="N529">
        <f t="shared" si="34"/>
        <v>6.7558500086354671</v>
      </c>
      <c r="O529" t="str">
        <f t="shared" si="35"/>
        <v/>
      </c>
      <c r="P529" s="67" cm="1">
        <f t="array" ref="P529">SUMPRODUCT((H529=$H$7:$H$10000)*(N529&lt;$N$7:$N$10000))+1</f>
        <v>56</v>
      </c>
      <c r="Q529" s="72"/>
      <c r="R529">
        <v>9</v>
      </c>
      <c r="S529" t="str">
        <v>MIA</v>
      </c>
      <c r="T529" t="str">
        <v>Tomás Inciarte</v>
      </c>
      <c r="U529" t="str">
        <v>NULL</v>
      </c>
      <c r="V529" t="str">
        <v>Home</v>
      </c>
      <c r="W529" t="str">
        <v>HOU</v>
      </c>
      <c r="X529">
        <v>7.6914663921461743</v>
      </c>
    </row>
    <row r="530" spans="8:24" x14ac:dyDescent="0.35">
      <c r="H530" s="66">
        <v>7</v>
      </c>
      <c r="I530" t="s">
        <v>4</v>
      </c>
      <c r="J530" t="s">
        <v>188</v>
      </c>
      <c r="K530" t="s">
        <v>256</v>
      </c>
      <c r="L530" t="s">
        <v>3</v>
      </c>
      <c r="M530" t="s">
        <v>2</v>
      </c>
      <c r="N530">
        <f t="shared" si="34"/>
        <v>6.3052669988198318</v>
      </c>
      <c r="O530" t="str">
        <f t="shared" si="35"/>
        <v/>
      </c>
      <c r="P530" s="67" cm="1">
        <f t="array" ref="P530">SUMPRODUCT((H530=$H$7:$H$10000)*(N530&lt;$N$7:$N$10000))+1</f>
        <v>57</v>
      </c>
      <c r="Q530" s="72"/>
      <c r="R530">
        <v>9</v>
      </c>
      <c r="S530" t="str">
        <v>NOLA</v>
      </c>
      <c r="T530" t="str">
        <v>Xavier Mignot</v>
      </c>
      <c r="U530" t="str">
        <v>NULL</v>
      </c>
      <c r="V530" t="str">
        <v>Home</v>
      </c>
      <c r="W530" t="str">
        <v>OGDC</v>
      </c>
      <c r="X530">
        <v>7.6690550418349925</v>
      </c>
    </row>
    <row r="531" spans="8:24" x14ac:dyDescent="0.35">
      <c r="H531" s="66">
        <v>7</v>
      </c>
      <c r="I531" t="s">
        <v>23</v>
      </c>
      <c r="J531" t="s">
        <v>498</v>
      </c>
      <c r="K531" t="s">
        <v>256</v>
      </c>
      <c r="L531" t="s">
        <v>9</v>
      </c>
      <c r="M531" t="s">
        <v>13</v>
      </c>
      <c r="N531">
        <f t="shared" si="34"/>
        <v>6.0617033149405888</v>
      </c>
      <c r="O531" t="str">
        <f t="shared" si="35"/>
        <v/>
      </c>
      <c r="P531" s="67" cm="1">
        <f t="array" ref="P531">SUMPRODUCT((H531=$H$7:$H$10000)*(N531&lt;$N$7:$N$10000))+1</f>
        <v>58</v>
      </c>
      <c r="Q531" s="72"/>
      <c r="R531">
        <v>9</v>
      </c>
      <c r="S531" t="str">
        <v>MIA</v>
      </c>
      <c r="T531" t="str">
        <v>Tomás Cubelli</v>
      </c>
      <c r="U531" t="str">
        <v>NULL</v>
      </c>
      <c r="V531" t="str">
        <v>Home</v>
      </c>
      <c r="W531" t="str">
        <v>HOU</v>
      </c>
      <c r="X531">
        <v>7.5207777536581766</v>
      </c>
    </row>
    <row r="532" spans="8:24" x14ac:dyDescent="0.35">
      <c r="H532" s="65">
        <v>7</v>
      </c>
      <c r="I532" t="s">
        <v>36</v>
      </c>
      <c r="J532" t="s">
        <v>479</v>
      </c>
      <c r="K532" t="s">
        <v>256</v>
      </c>
      <c r="L532" s="10" t="s">
        <v>3</v>
      </c>
      <c r="M532" s="10" t="s">
        <v>34</v>
      </c>
      <c r="N532">
        <f t="shared" si="34"/>
        <v>6.0522050070279452</v>
      </c>
      <c r="O532" t="str">
        <f t="shared" si="35"/>
        <v/>
      </c>
      <c r="P532" s="67" cm="1">
        <f t="array" ref="P532">SUMPRODUCT((H532=$H$7:$H$10000)*(N532&lt;$N$7:$N$10000))+1</f>
        <v>59</v>
      </c>
      <c r="Q532" s="72"/>
      <c r="R532">
        <v>9</v>
      </c>
      <c r="S532" t="str">
        <v>OGDC</v>
      </c>
      <c r="T532" t="str">
        <v>Jason Robertson</v>
      </c>
      <c r="U532" t="str">
        <v>NULL</v>
      </c>
      <c r="V532" t="str">
        <v>Away</v>
      </c>
      <c r="W532" t="str">
        <v>NOLA</v>
      </c>
      <c r="X532">
        <v>7.4314403649880143</v>
      </c>
    </row>
    <row r="533" spans="8:24" x14ac:dyDescent="0.35">
      <c r="H533" s="66">
        <v>7</v>
      </c>
      <c r="I533" t="s">
        <v>13</v>
      </c>
      <c r="J533" t="s">
        <v>472</v>
      </c>
      <c r="K533" t="s">
        <v>256</v>
      </c>
      <c r="L533" t="s">
        <v>3</v>
      </c>
      <c r="M533" t="s">
        <v>23</v>
      </c>
      <c r="N533">
        <f t="shared" si="34"/>
        <v>6.0429741908068744</v>
      </c>
      <c r="O533" t="str">
        <f t="shared" si="35"/>
        <v/>
      </c>
      <c r="P533" s="67" cm="1">
        <f t="array" ref="P533">SUMPRODUCT((H533=$H$7:$H$10000)*(N533&lt;$N$7:$N$10000))+1</f>
        <v>60</v>
      </c>
      <c r="Q533" s="72"/>
      <c r="R533">
        <v>9</v>
      </c>
      <c r="S533" t="str">
        <v>UTAH</v>
      </c>
      <c r="T533" t="str">
        <v>Logan Crowley</v>
      </c>
      <c r="U533" t="str">
        <v>NULL</v>
      </c>
      <c r="V533" t="str">
        <v>Away</v>
      </c>
      <c r="W533" t="str">
        <v>LA</v>
      </c>
      <c r="X533">
        <v>7.4009857872693141</v>
      </c>
    </row>
    <row r="534" spans="8:24" x14ac:dyDescent="0.35">
      <c r="H534" s="66">
        <v>7</v>
      </c>
      <c r="I534" t="s">
        <v>2</v>
      </c>
      <c r="J534" t="s">
        <v>455</v>
      </c>
      <c r="K534" t="s">
        <v>256</v>
      </c>
      <c r="L534" t="s">
        <v>9</v>
      </c>
      <c r="M534" t="s">
        <v>4</v>
      </c>
      <c r="N534">
        <f t="shared" si="34"/>
        <v>5.9500121369097236</v>
      </c>
      <c r="O534" t="str">
        <f t="shared" si="35"/>
        <v/>
      </c>
      <c r="P534" s="67" cm="1">
        <f t="array" ref="P534">SUMPRODUCT((H534=$H$7:$H$10000)*(N534&lt;$N$7:$N$10000))+1</f>
        <v>61</v>
      </c>
      <c r="Q534" s="72"/>
      <c r="R534">
        <v>9</v>
      </c>
      <c r="S534" t="str">
        <v>NOLA</v>
      </c>
      <c r="T534" t="str">
        <v>Ed Fidow</v>
      </c>
      <c r="U534" t="str">
        <v>NULL</v>
      </c>
      <c r="V534" t="str">
        <v>Home</v>
      </c>
      <c r="W534" t="str">
        <v>OGDC</v>
      </c>
      <c r="X534">
        <v>7.3966877033960481</v>
      </c>
    </row>
    <row r="535" spans="8:24" x14ac:dyDescent="0.35">
      <c r="H535" s="66">
        <v>7</v>
      </c>
      <c r="I535" t="s">
        <v>36</v>
      </c>
      <c r="J535" t="s">
        <v>476</v>
      </c>
      <c r="K535" t="s">
        <v>256</v>
      </c>
      <c r="L535" t="s">
        <v>3</v>
      </c>
      <c r="M535" t="s">
        <v>34</v>
      </c>
      <c r="N535">
        <f t="shared" si="34"/>
        <v>5.9053718468649645</v>
      </c>
      <c r="O535" t="str">
        <f t="shared" si="35"/>
        <v/>
      </c>
      <c r="P535" s="67" cm="1">
        <f t="array" ref="P535">SUMPRODUCT((H535=$H$7:$H$10000)*(N535&lt;$N$7:$N$10000))+1</f>
        <v>62</v>
      </c>
      <c r="Q535" s="72"/>
      <c r="R535">
        <v>9</v>
      </c>
      <c r="S535" t="str">
        <v>CHI</v>
      </c>
      <c r="T535" t="str">
        <v>Mitch Short</v>
      </c>
      <c r="U535" t="str">
        <v>NULL</v>
      </c>
      <c r="V535" t="str">
        <v>Home</v>
      </c>
      <c r="W535" t="str">
        <v>ARC</v>
      </c>
      <c r="X535">
        <v>7.0026495288274289</v>
      </c>
    </row>
    <row r="536" spans="8:24" x14ac:dyDescent="0.35">
      <c r="H536" s="66">
        <v>7</v>
      </c>
      <c r="I536" t="s">
        <v>4</v>
      </c>
      <c r="J536" t="s">
        <v>452</v>
      </c>
      <c r="K536" t="s">
        <v>256</v>
      </c>
      <c r="L536" t="s">
        <v>3</v>
      </c>
      <c r="M536" t="s">
        <v>2</v>
      </c>
      <c r="N536">
        <f t="shared" si="34"/>
        <v>5.8578937511829468</v>
      </c>
      <c r="O536" t="str">
        <f t="shared" si="35"/>
        <v/>
      </c>
      <c r="P536" s="67" cm="1">
        <f t="array" ref="P536">SUMPRODUCT((H536=$H$7:$H$10000)*(N536&lt;$N$7:$N$10000))+1</f>
        <v>63</v>
      </c>
      <c r="Q536" s="72"/>
      <c r="R536">
        <v>9</v>
      </c>
      <c r="S536" t="str">
        <v>MIA</v>
      </c>
      <c r="T536" t="str">
        <v>Santiago Videla</v>
      </c>
      <c r="U536" t="str">
        <v>NULL</v>
      </c>
      <c r="V536" t="str">
        <v>Home</v>
      </c>
      <c r="W536" t="str">
        <v>HOU</v>
      </c>
      <c r="X536">
        <v>6.7207644939993925</v>
      </c>
    </row>
    <row r="537" spans="8:24" x14ac:dyDescent="0.35">
      <c r="H537" s="66">
        <v>7</v>
      </c>
      <c r="I537" t="s">
        <v>34</v>
      </c>
      <c r="J537" t="s">
        <v>440</v>
      </c>
      <c r="K537" t="s">
        <v>256</v>
      </c>
      <c r="L537" t="s">
        <v>9</v>
      </c>
      <c r="M537" t="s">
        <v>36</v>
      </c>
      <c r="N537">
        <f t="shared" si="34"/>
        <v>5.8473580436173531</v>
      </c>
      <c r="O537" t="str">
        <f t="shared" si="35"/>
        <v/>
      </c>
      <c r="P537" s="67" cm="1">
        <f t="array" ref="P537">SUMPRODUCT((H537=$H$7:$H$10000)*(N537&lt;$N$7:$N$10000))+1</f>
        <v>64</v>
      </c>
      <c r="Q537" s="72"/>
      <c r="R537">
        <v>9</v>
      </c>
      <c r="S537" t="str">
        <v>HOU</v>
      </c>
      <c r="T537" t="str">
        <v>Sam Hill</v>
      </c>
      <c r="U537" t="str">
        <v>NULL</v>
      </c>
      <c r="V537" t="str">
        <v>Away</v>
      </c>
      <c r="W537" t="str">
        <v>MIA</v>
      </c>
      <c r="X537">
        <v>6.6076905050701846</v>
      </c>
    </row>
    <row r="538" spans="8:24" x14ac:dyDescent="0.35">
      <c r="H538" s="66">
        <v>7</v>
      </c>
      <c r="I538" t="s">
        <v>34</v>
      </c>
      <c r="J538" t="s">
        <v>39</v>
      </c>
      <c r="K538" t="s">
        <v>256</v>
      </c>
      <c r="L538" t="s">
        <v>9</v>
      </c>
      <c r="M538" t="s">
        <v>36</v>
      </c>
      <c r="N538">
        <f t="shared" si="34"/>
        <v>5.7522867749193125</v>
      </c>
      <c r="O538" t="str">
        <f t="shared" si="35"/>
        <v/>
      </c>
      <c r="P538" s="67" cm="1">
        <f t="array" ref="P538">SUMPRODUCT((H538=$H$7:$H$10000)*(N538&lt;$N$7:$N$10000))+1</f>
        <v>65</v>
      </c>
      <c r="Q538" s="72"/>
      <c r="R538">
        <v>9</v>
      </c>
      <c r="S538" t="str">
        <v>NOLA</v>
      </c>
      <c r="T538" t="str">
        <v>JP Du Plessis</v>
      </c>
      <c r="U538" t="str">
        <v>NULL</v>
      </c>
      <c r="V538" t="str">
        <v>Home</v>
      </c>
      <c r="W538" t="str">
        <v>OGDC</v>
      </c>
      <c r="X538">
        <v>6.5704991837162172</v>
      </c>
    </row>
    <row r="539" spans="8:24" x14ac:dyDescent="0.35">
      <c r="H539" s="66">
        <v>7</v>
      </c>
      <c r="I539" t="s">
        <v>17</v>
      </c>
      <c r="J539" t="s">
        <v>16</v>
      </c>
      <c r="K539" t="s">
        <v>256</v>
      </c>
      <c r="L539" t="s">
        <v>3</v>
      </c>
      <c r="M539" t="s">
        <v>14</v>
      </c>
      <c r="N539">
        <f t="shared" si="34"/>
        <v>5.7353213392987916</v>
      </c>
      <c r="O539" t="str">
        <f t="shared" si="35"/>
        <v/>
      </c>
      <c r="P539" s="67" cm="1">
        <f t="array" ref="P539">SUMPRODUCT((H539=$H$7:$H$10000)*(N539&lt;$N$7:$N$10000))+1</f>
        <v>66</v>
      </c>
      <c r="Q539" s="72"/>
      <c r="R539">
        <v>9</v>
      </c>
      <c r="S539" t="str">
        <v>HOU</v>
      </c>
      <c r="T539" t="str">
        <v>Andre Warner</v>
      </c>
      <c r="U539" t="str">
        <v>NULL</v>
      </c>
      <c r="V539" t="str">
        <v>Away</v>
      </c>
      <c r="W539" t="str">
        <v>MIA</v>
      </c>
      <c r="X539">
        <v>6.3601276036999073</v>
      </c>
    </row>
    <row r="540" spans="8:24" x14ac:dyDescent="0.35">
      <c r="H540" s="66">
        <v>7</v>
      </c>
      <c r="I540" t="s">
        <v>7</v>
      </c>
      <c r="J540" t="s">
        <v>19</v>
      </c>
      <c r="K540" t="s">
        <v>256</v>
      </c>
      <c r="L540" t="s">
        <v>9</v>
      </c>
      <c r="M540" t="s">
        <v>6</v>
      </c>
      <c r="N540">
        <f t="shared" si="34"/>
        <v>5.4379632859075899</v>
      </c>
      <c r="O540" t="str">
        <f t="shared" si="35"/>
        <v/>
      </c>
      <c r="P540" s="67" cm="1">
        <f t="array" ref="P540">SUMPRODUCT((H540=$H$7:$H$10000)*(N540&lt;$N$7:$N$10000))+1</f>
        <v>67</v>
      </c>
      <c r="Q540" s="72"/>
      <c r="R540">
        <v>9</v>
      </c>
      <c r="S540" t="str">
        <v>NEFJ</v>
      </c>
      <c r="T540" t="str">
        <v>Killian Coghlan</v>
      </c>
      <c r="U540" t="str">
        <v>NULL</v>
      </c>
      <c r="V540" t="str">
        <v>Home</v>
      </c>
      <c r="W540" t="str">
        <v>SDL</v>
      </c>
      <c r="X540">
        <v>5.4787569948326205</v>
      </c>
    </row>
    <row r="541" spans="8:24" x14ac:dyDescent="0.35">
      <c r="H541" s="66">
        <v>7</v>
      </c>
      <c r="I541" t="s">
        <v>2</v>
      </c>
      <c r="J541" t="s">
        <v>44</v>
      </c>
      <c r="K541" t="s">
        <v>256</v>
      </c>
      <c r="L541" t="s">
        <v>9</v>
      </c>
      <c r="M541" t="s">
        <v>4</v>
      </c>
      <c r="N541">
        <f t="shared" si="34"/>
        <v>5.3191257496580402</v>
      </c>
      <c r="O541" t="str">
        <f t="shared" si="35"/>
        <v/>
      </c>
      <c r="P541" s="67" cm="1">
        <f t="array" ref="P541">SUMPRODUCT((H541=$H$7:$H$10000)*(N541&lt;$N$7:$N$10000))+1</f>
        <v>68</v>
      </c>
      <c r="Q541" s="72"/>
      <c r="R541">
        <v>9</v>
      </c>
      <c r="S541" t="str">
        <v>HOU</v>
      </c>
      <c r="T541" t="str">
        <v>Seimou Smith</v>
      </c>
      <c r="U541" t="str">
        <v>NULL</v>
      </c>
      <c r="V541" t="str">
        <v>Away</v>
      </c>
      <c r="W541" t="str">
        <v>MIA</v>
      </c>
      <c r="X541">
        <v>5.080911978828583</v>
      </c>
    </row>
    <row r="542" spans="8:24" x14ac:dyDescent="0.35">
      <c r="H542" s="66">
        <v>7</v>
      </c>
      <c r="I542" t="s">
        <v>14</v>
      </c>
      <c r="J542" t="s">
        <v>285</v>
      </c>
      <c r="K542" t="s">
        <v>256</v>
      </c>
      <c r="L542" t="s">
        <v>9</v>
      </c>
      <c r="M542" t="s">
        <v>17</v>
      </c>
      <c r="N542">
        <f t="shared" si="34"/>
        <v>4.9183326019354201</v>
      </c>
      <c r="O542" t="str">
        <f t="shared" si="35"/>
        <v/>
      </c>
      <c r="P542" s="67" cm="1">
        <f t="array" ref="P542">SUMPRODUCT((H542=$H$7:$H$10000)*(N542&lt;$N$7:$N$10000))+1</f>
        <v>69</v>
      </c>
      <c r="Q542" s="72"/>
      <c r="R542">
        <v>9</v>
      </c>
      <c r="S542" t="str">
        <v>CHI</v>
      </c>
      <c r="T542" t="str">
        <v>Noah Brown</v>
      </c>
      <c r="U542" t="str">
        <v>NULL</v>
      </c>
      <c r="V542" t="str">
        <v>Home</v>
      </c>
      <c r="W542" t="str">
        <v>ARC</v>
      </c>
      <c r="X542">
        <v>5.0708022924875014</v>
      </c>
    </row>
    <row r="543" spans="8:24" x14ac:dyDescent="0.35">
      <c r="H543" s="66">
        <v>7</v>
      </c>
      <c r="I543" t="s">
        <v>36</v>
      </c>
      <c r="J543" t="s">
        <v>490</v>
      </c>
      <c r="K543" t="s">
        <v>256</v>
      </c>
      <c r="L543" t="s">
        <v>3</v>
      </c>
      <c r="M543" t="s">
        <v>34</v>
      </c>
      <c r="N543">
        <f t="shared" si="34"/>
        <v>4.6300191106234019</v>
      </c>
      <c r="O543" t="str">
        <f t="shared" si="35"/>
        <v/>
      </c>
      <c r="P543" s="67" cm="1">
        <f t="array" ref="P543">SUMPRODUCT((H543=$H$7:$H$10000)*(N543&lt;$N$7:$N$10000))+1</f>
        <v>70</v>
      </c>
      <c r="Q543" s="72"/>
      <c r="R543">
        <v>9</v>
      </c>
      <c r="S543" t="str">
        <v>ARC</v>
      </c>
      <c r="T543" t="str">
        <v>Jason Tidwell</v>
      </c>
      <c r="U543" t="str">
        <v>NULL</v>
      </c>
      <c r="V543" t="str">
        <v>Away</v>
      </c>
      <c r="W543" t="str">
        <v>CHI</v>
      </c>
      <c r="X543">
        <v>5.0504182775002491</v>
      </c>
    </row>
    <row r="544" spans="8:24" x14ac:dyDescent="0.35">
      <c r="H544" s="66">
        <v>7</v>
      </c>
      <c r="I544" t="s">
        <v>2</v>
      </c>
      <c r="J544" t="s">
        <v>441</v>
      </c>
      <c r="K544" t="s">
        <v>256</v>
      </c>
      <c r="L544" t="s">
        <v>9</v>
      </c>
      <c r="M544" t="s">
        <v>4</v>
      </c>
      <c r="N544">
        <f t="shared" si="34"/>
        <v>4.4524340343166617</v>
      </c>
      <c r="O544" t="str">
        <f t="shared" si="35"/>
        <v/>
      </c>
      <c r="P544" s="67" cm="1">
        <f t="array" ref="P544">SUMPRODUCT((H544=$H$7:$H$10000)*(N544&lt;$N$7:$N$10000))+1</f>
        <v>71</v>
      </c>
      <c r="Q544" s="72"/>
      <c r="R544">
        <v>9</v>
      </c>
      <c r="S544" t="str">
        <v>CHI</v>
      </c>
      <c r="T544" t="str">
        <v>Mark O'Keeffe</v>
      </c>
      <c r="U544" t="str">
        <v>NULL</v>
      </c>
      <c r="V544" t="str">
        <v>Home</v>
      </c>
      <c r="W544" t="str">
        <v>ARC</v>
      </c>
      <c r="X544">
        <v>4.8109857381481635</v>
      </c>
    </row>
    <row r="545" spans="8:24" x14ac:dyDescent="0.35">
      <c r="H545" s="66">
        <v>7</v>
      </c>
      <c r="I545" t="s">
        <v>34</v>
      </c>
      <c r="J545" t="s">
        <v>51</v>
      </c>
      <c r="K545" t="s">
        <v>256</v>
      </c>
      <c r="L545" t="s">
        <v>9</v>
      </c>
      <c r="M545" t="s">
        <v>36</v>
      </c>
      <c r="N545">
        <f t="shared" si="34"/>
        <v>4.3991044616378643</v>
      </c>
      <c r="O545" t="str">
        <f t="shared" si="35"/>
        <v/>
      </c>
      <c r="P545" s="67" cm="1">
        <f t="array" ref="P545">SUMPRODUCT((H545=$H$7:$H$10000)*(N545&lt;$N$7:$N$10000))+1</f>
        <v>72</v>
      </c>
      <c r="Q545" s="72"/>
      <c r="R545">
        <v>9</v>
      </c>
      <c r="S545" t="str">
        <v>CHI</v>
      </c>
      <c r="T545" t="str">
        <v>Tim Swiel</v>
      </c>
      <c r="U545" t="str">
        <v>NULL</v>
      </c>
      <c r="V545" t="str">
        <v>Home</v>
      </c>
      <c r="W545" t="str">
        <v>ARC</v>
      </c>
      <c r="X545">
        <v>4.8008983962364971</v>
      </c>
    </row>
    <row r="546" spans="8:24" x14ac:dyDescent="0.35">
      <c r="H546" s="66">
        <v>7</v>
      </c>
      <c r="I546" t="s">
        <v>14</v>
      </c>
      <c r="J546" t="s">
        <v>11</v>
      </c>
      <c r="K546" t="s">
        <v>256</v>
      </c>
      <c r="L546" t="s">
        <v>9</v>
      </c>
      <c r="M546" t="s">
        <v>17</v>
      </c>
      <c r="N546">
        <f t="shared" si="34"/>
        <v>4.2683758232226996</v>
      </c>
      <c r="O546" t="str">
        <f t="shared" si="35"/>
        <v/>
      </c>
      <c r="P546" s="67" cm="1">
        <f t="array" ref="P546">SUMPRODUCT((H546=$H$7:$H$10000)*(N546&lt;$N$7:$N$10000))+1</f>
        <v>73</v>
      </c>
      <c r="Q546" s="72"/>
      <c r="R546">
        <v>9</v>
      </c>
      <c r="S546" t="str">
        <v>LA</v>
      </c>
      <c r="T546" t="str">
        <v>Christian Dyer</v>
      </c>
      <c r="U546" t="str">
        <v>NULL</v>
      </c>
      <c r="V546" t="str">
        <v>Home</v>
      </c>
      <c r="W546" t="str">
        <v>UTAH</v>
      </c>
      <c r="X546">
        <v>4.7156072603750614</v>
      </c>
    </row>
    <row r="547" spans="8:24" x14ac:dyDescent="0.35">
      <c r="H547" s="66">
        <v>7</v>
      </c>
      <c r="I547" t="s">
        <v>7</v>
      </c>
      <c r="J547" t="s">
        <v>92</v>
      </c>
      <c r="K547" t="s">
        <v>256</v>
      </c>
      <c r="L547" t="s">
        <v>9</v>
      </c>
      <c r="M547" t="s">
        <v>6</v>
      </c>
      <c r="N547">
        <f t="shared" si="34"/>
        <v>3.6539684070551139</v>
      </c>
      <c r="O547" t="str">
        <f t="shared" si="35"/>
        <v/>
      </c>
      <c r="P547" s="67" cm="1">
        <f t="array" ref="P547">SUMPRODUCT((H547=$H$7:$H$10000)*(N547&lt;$N$7:$N$10000))+1</f>
        <v>74</v>
      </c>
      <c r="Q547" s="72"/>
      <c r="R547">
        <v>9</v>
      </c>
      <c r="S547" t="str">
        <v>ARC</v>
      </c>
      <c r="T547" t="str">
        <v>Junior Gafa</v>
      </c>
      <c r="U547" t="str">
        <v>NULL</v>
      </c>
      <c r="V547" t="str">
        <v>Away</v>
      </c>
      <c r="W547" t="str">
        <v>CHI</v>
      </c>
      <c r="X547">
        <v>4.4004614987875286</v>
      </c>
    </row>
    <row r="548" spans="8:24" x14ac:dyDescent="0.35">
      <c r="H548" s="66">
        <v>7</v>
      </c>
      <c r="I548" t="s">
        <v>23</v>
      </c>
      <c r="J548" t="s">
        <v>443</v>
      </c>
      <c r="K548" t="s">
        <v>256</v>
      </c>
      <c r="L548" t="s">
        <v>9</v>
      </c>
      <c r="M548" t="s">
        <v>13</v>
      </c>
      <c r="N548">
        <f t="shared" si="34"/>
        <v>3.6511551920112773</v>
      </c>
      <c r="O548" t="str">
        <f t="shared" si="35"/>
        <v/>
      </c>
      <c r="P548" s="67" cm="1">
        <f t="array" ref="P548">SUMPRODUCT((H548=$H$7:$H$10000)*(N548&lt;$N$7:$N$10000))+1</f>
        <v>75</v>
      </c>
      <c r="Q548" s="72"/>
      <c r="R548">
        <v>9</v>
      </c>
      <c r="S548" t="str">
        <v>NOLA</v>
      </c>
      <c r="T548" t="str">
        <v>Luke Carty</v>
      </c>
      <c r="U548" t="str">
        <v>NULL</v>
      </c>
      <c r="V548" t="str">
        <v>Home</v>
      </c>
      <c r="W548" t="str">
        <v>OGDC</v>
      </c>
      <c r="X548">
        <v>3.8307895970311407</v>
      </c>
    </row>
    <row r="549" spans="8:24" x14ac:dyDescent="0.35">
      <c r="H549" s="66">
        <v>7</v>
      </c>
      <c r="I549" t="s">
        <v>7</v>
      </c>
      <c r="J549" t="s">
        <v>131</v>
      </c>
      <c r="K549" t="s">
        <v>256</v>
      </c>
      <c r="L549" t="s">
        <v>9</v>
      </c>
      <c r="M549" t="s">
        <v>6</v>
      </c>
      <c r="N549">
        <f t="shared" si="34"/>
        <v>3.6211107151071289</v>
      </c>
      <c r="O549" t="str">
        <f t="shared" si="35"/>
        <v/>
      </c>
      <c r="P549" s="67" cm="1">
        <f t="array" ref="P549">SUMPRODUCT((H549=$H$7:$H$10000)*(N549&lt;$N$7:$N$10000))+1</f>
        <v>76</v>
      </c>
      <c r="Q549" s="72"/>
      <c r="R549">
        <v>9</v>
      </c>
      <c r="S549" t="str">
        <v>MIA</v>
      </c>
      <c r="T549" t="str">
        <v>Matias Orlando</v>
      </c>
      <c r="U549" t="str">
        <v>NULL</v>
      </c>
      <c r="V549" t="str">
        <v>Home</v>
      </c>
      <c r="W549" t="str">
        <v>HOU</v>
      </c>
      <c r="X549">
        <v>3.8293531313161604</v>
      </c>
    </row>
    <row r="550" spans="8:24" x14ac:dyDescent="0.35">
      <c r="H550" s="66">
        <v>7</v>
      </c>
      <c r="I550" t="s">
        <v>17</v>
      </c>
      <c r="J550" t="s">
        <v>76</v>
      </c>
      <c r="K550" t="s">
        <v>256</v>
      </c>
      <c r="L550" t="s">
        <v>3</v>
      </c>
      <c r="M550" t="s">
        <v>14</v>
      </c>
      <c r="N550">
        <f t="shared" si="34"/>
        <v>3.4599655033617536</v>
      </c>
      <c r="O550" t="str">
        <f t="shared" si="35"/>
        <v/>
      </c>
      <c r="P550" s="67" cm="1">
        <f t="array" ref="P550">SUMPRODUCT((H550=$H$7:$H$10000)*(N550&lt;$N$7:$N$10000))+1</f>
        <v>77</v>
      </c>
      <c r="Q550" s="72"/>
      <c r="R550">
        <v>9</v>
      </c>
      <c r="S550" t="str">
        <v>CHI</v>
      </c>
      <c r="T550" t="str">
        <v>Julian Dominguez</v>
      </c>
      <c r="U550" t="str">
        <v>NULL</v>
      </c>
      <c r="V550" t="str">
        <v>Home</v>
      </c>
      <c r="W550" t="str">
        <v>ARC</v>
      </c>
      <c r="X550">
        <v>3.4313690084298276</v>
      </c>
    </row>
    <row r="551" spans="8:24" x14ac:dyDescent="0.35">
      <c r="H551" s="66">
        <v>7</v>
      </c>
      <c r="I551" t="s">
        <v>4</v>
      </c>
      <c r="J551" t="s">
        <v>475</v>
      </c>
      <c r="K551" t="s">
        <v>256</v>
      </c>
      <c r="L551" t="s">
        <v>3</v>
      </c>
      <c r="M551" t="s">
        <v>2</v>
      </c>
      <c r="N551">
        <f t="shared" si="34"/>
        <v>3.4434934420572496</v>
      </c>
      <c r="O551" t="str">
        <f t="shared" si="35"/>
        <v/>
      </c>
      <c r="P551" s="67" cm="1">
        <f t="array" ref="P551">SUMPRODUCT((H551=$H$7:$H$10000)*(N551&lt;$N$7:$N$10000))+1</f>
        <v>78</v>
      </c>
      <c r="Q551" s="72"/>
      <c r="R551">
        <v>9</v>
      </c>
      <c r="S551" t="str">
        <v>NOLA</v>
      </c>
      <c r="T551" t="str">
        <v>Dorian Jones</v>
      </c>
      <c r="U551" t="str">
        <v>NULL</v>
      </c>
      <c r="V551" t="str">
        <v>Home</v>
      </c>
      <c r="W551" t="str">
        <v>OGDC</v>
      </c>
      <c r="X551">
        <v>3.3328004935992959</v>
      </c>
    </row>
    <row r="552" spans="8:24" x14ac:dyDescent="0.35">
      <c r="H552" s="66">
        <v>7</v>
      </c>
      <c r="I552" t="s">
        <v>23</v>
      </c>
      <c r="J552" t="s">
        <v>127</v>
      </c>
      <c r="K552" t="s">
        <v>256</v>
      </c>
      <c r="L552" t="s">
        <v>9</v>
      </c>
      <c r="M552" t="s">
        <v>13</v>
      </c>
      <c r="N552">
        <f t="shared" si="34"/>
        <v>3.10425111014401</v>
      </c>
      <c r="O552" t="str">
        <f t="shared" si="35"/>
        <v/>
      </c>
      <c r="P552" s="67" cm="1">
        <f t="array" ref="P552">SUMPRODUCT((H552=$H$7:$H$10000)*(N552&lt;$N$7:$N$10000))+1</f>
        <v>79</v>
      </c>
      <c r="Q552" s="72"/>
      <c r="R552">
        <v>9</v>
      </c>
      <c r="S552" t="str">
        <v>HOU</v>
      </c>
      <c r="T552" t="str">
        <v>Drew Wild</v>
      </c>
      <c r="U552" t="str">
        <v>NULL</v>
      </c>
      <c r="V552" t="str">
        <v>Away</v>
      </c>
      <c r="W552" t="str">
        <v>MIA</v>
      </c>
      <c r="X552">
        <v>3.2507943994377886</v>
      </c>
    </row>
    <row r="553" spans="8:24" x14ac:dyDescent="0.35">
      <c r="H553" s="66">
        <v>7</v>
      </c>
      <c r="I553" t="s">
        <v>36</v>
      </c>
      <c r="J553" t="s">
        <v>48</v>
      </c>
      <c r="K553" t="s">
        <v>256</v>
      </c>
      <c r="L553" t="s">
        <v>3</v>
      </c>
      <c r="M553" t="s">
        <v>34</v>
      </c>
      <c r="N553">
        <f t="shared" si="34"/>
        <v>3.058660943020227</v>
      </c>
      <c r="O553" t="str">
        <f t="shared" si="35"/>
        <v/>
      </c>
      <c r="P553" s="67" cm="1">
        <f t="array" ref="P553">SUMPRODUCT((H553=$H$7:$H$10000)*(N553&lt;$N$7:$N$10000))+1</f>
        <v>80</v>
      </c>
      <c r="Q553" s="72"/>
      <c r="R553">
        <v>9</v>
      </c>
      <c r="S553" t="str">
        <v>NEFJ</v>
      </c>
      <c r="T553" t="str">
        <v>Harrison Boyle</v>
      </c>
      <c r="U553" t="str">
        <v>NULL</v>
      </c>
      <c r="V553" t="str">
        <v>Home</v>
      </c>
      <c r="W553" t="str">
        <v>SDL</v>
      </c>
      <c r="X553">
        <v>3.0682088719033089</v>
      </c>
    </row>
    <row r="554" spans="8:24" x14ac:dyDescent="0.35">
      <c r="H554" s="66">
        <v>7</v>
      </c>
      <c r="I554" t="s">
        <v>17</v>
      </c>
      <c r="J554" t="s">
        <v>458</v>
      </c>
      <c r="K554" t="s">
        <v>256</v>
      </c>
      <c r="L554" t="s">
        <v>3</v>
      </c>
      <c r="M554" t="s">
        <v>14</v>
      </c>
      <c r="N554">
        <f t="shared" si="34"/>
        <v>2.833935625126661</v>
      </c>
      <c r="O554" t="str">
        <f t="shared" si="35"/>
        <v/>
      </c>
      <c r="P554" s="67" cm="1">
        <f t="array" ref="P554">SUMPRODUCT((H554=$H$7:$H$10000)*(N554&lt;$N$7:$N$10000))+1</f>
        <v>81</v>
      </c>
      <c r="Q554" s="72"/>
      <c r="R554">
        <v>9</v>
      </c>
      <c r="S554" t="str">
        <v>MIA</v>
      </c>
      <c r="T554" t="str">
        <v>Guiseppe du Toit</v>
      </c>
      <c r="U554" t="str">
        <v>NULL</v>
      </c>
      <c r="V554" t="str">
        <v>Home</v>
      </c>
      <c r="W554" t="str">
        <v>HOU</v>
      </c>
      <c r="X554">
        <v>3.0230547853998697</v>
      </c>
    </row>
    <row r="555" spans="8:24" x14ac:dyDescent="0.35">
      <c r="H555" s="65">
        <v>7</v>
      </c>
      <c r="I555" t="s">
        <v>36</v>
      </c>
      <c r="J555" t="s">
        <v>123</v>
      </c>
      <c r="K555" t="s">
        <v>256</v>
      </c>
      <c r="L555" t="s">
        <v>3</v>
      </c>
      <c r="M555" t="s">
        <v>34</v>
      </c>
      <c r="N555">
        <f t="shared" si="34"/>
        <v>2.8110980416499496</v>
      </c>
      <c r="O555" t="str">
        <f t="shared" si="35"/>
        <v/>
      </c>
      <c r="P555" s="67" cm="1">
        <f t="array" ref="P555">SUMPRODUCT((H555=$H$7:$H$10000)*(N555&lt;$N$7:$N$10000))+1</f>
        <v>82</v>
      </c>
      <c r="Q555" s="72"/>
      <c r="R555">
        <v>9</v>
      </c>
      <c r="S555" t="str">
        <v>NOLA</v>
      </c>
      <c r="T555" t="str">
        <v>Isaac Te Tamaki</v>
      </c>
      <c r="U555" t="str">
        <v>NULL</v>
      </c>
      <c r="V555" t="str">
        <v>Home</v>
      </c>
      <c r="W555" t="str">
        <v>OGDC</v>
      </c>
      <c r="X555">
        <v>2.8854272459624104</v>
      </c>
    </row>
    <row r="556" spans="8:24" x14ac:dyDescent="0.35">
      <c r="H556" s="65">
        <v>7</v>
      </c>
      <c r="I556" t="s">
        <v>2</v>
      </c>
      <c r="J556" t="s">
        <v>90</v>
      </c>
      <c r="K556" t="s">
        <v>256</v>
      </c>
      <c r="L556" t="s">
        <v>9</v>
      </c>
      <c r="M556" t="s">
        <v>4</v>
      </c>
      <c r="N556">
        <f t="shared" si="34"/>
        <v>2.5205867979767351</v>
      </c>
      <c r="O556" t="str">
        <f t="shared" si="35"/>
        <v/>
      </c>
      <c r="P556" s="67" cm="1">
        <f t="array" ref="P556">SUMPRODUCT((H556=$H$7:$H$10000)*(N556&lt;$N$7:$N$10000))+1</f>
        <v>83</v>
      </c>
      <c r="Q556" s="72"/>
      <c r="R556">
        <v>9</v>
      </c>
      <c r="S556" t="str">
        <v>ARC</v>
      </c>
      <c r="T556" t="str">
        <v>Conner Mooneyham</v>
      </c>
      <c r="U556" t="str">
        <v>NULL</v>
      </c>
      <c r="V556" t="str">
        <v>Away</v>
      </c>
      <c r="W556" t="str">
        <v>CHI</v>
      </c>
      <c r="X556">
        <v>2.5236945821835368</v>
      </c>
    </row>
    <row r="557" spans="8:24" x14ac:dyDescent="0.35">
      <c r="H557" s="65">
        <v>7</v>
      </c>
      <c r="I557" t="s">
        <v>14</v>
      </c>
      <c r="J557" t="s">
        <v>278</v>
      </c>
      <c r="K557" t="s">
        <v>256</v>
      </c>
      <c r="L557" t="s">
        <v>9</v>
      </c>
      <c r="M557" t="s">
        <v>17</v>
      </c>
      <c r="N557">
        <f t="shared" si="34"/>
        <v>2.3916089066187078</v>
      </c>
      <c r="O557" t="str">
        <f t="shared" si="35"/>
        <v/>
      </c>
      <c r="P557" s="67" cm="1">
        <f t="array" ref="P557">SUMPRODUCT((H557=$H$7:$H$10000)*(N557&lt;$N$7:$N$10000))+1</f>
        <v>84</v>
      </c>
      <c r="Q557" s="72"/>
      <c r="R557">
        <v>9</v>
      </c>
      <c r="S557" t="str">
        <v>NEFJ</v>
      </c>
      <c r="T557" t="str">
        <v>John Poland</v>
      </c>
      <c r="U557" t="str">
        <v>NULL</v>
      </c>
      <c r="V557" t="str">
        <v>Home</v>
      </c>
      <c r="W557" t="str">
        <v>SDL</v>
      </c>
      <c r="X557">
        <v>2.5213047900360417</v>
      </c>
    </row>
    <row r="558" spans="8:24" x14ac:dyDescent="0.35">
      <c r="H558" s="66">
        <v>7</v>
      </c>
      <c r="I558" t="s">
        <v>23</v>
      </c>
      <c r="J558" t="s">
        <v>456</v>
      </c>
      <c r="K558" t="s">
        <v>256</v>
      </c>
      <c r="L558" t="s">
        <v>9</v>
      </c>
      <c r="M558" t="s">
        <v>13</v>
      </c>
      <c r="N558">
        <f t="shared" si="34"/>
        <v>2.3415165915801683</v>
      </c>
      <c r="O558" t="str">
        <f t="shared" si="35"/>
        <v/>
      </c>
      <c r="P558" s="67" cm="1">
        <f t="array" ref="P558">SUMPRODUCT((H558=$H$7:$H$10000)*(N558&lt;$N$7:$N$10000))+1</f>
        <v>85</v>
      </c>
      <c r="Q558" s="72"/>
      <c r="R558">
        <v>9</v>
      </c>
      <c r="S558" t="str">
        <v>NEFJ</v>
      </c>
      <c r="T558" t="str">
        <v>Simon-Peter Toleafoa</v>
      </c>
      <c r="U558" t="str">
        <v>NULL</v>
      </c>
      <c r="V558" t="str">
        <v>Home</v>
      </c>
      <c r="W558" t="str">
        <v>SDL</v>
      </c>
      <c r="X558">
        <v>1.7585702714722009</v>
      </c>
    </row>
    <row r="559" spans="8:24" x14ac:dyDescent="0.35">
      <c r="H559" s="66">
        <v>7</v>
      </c>
      <c r="I559" t="s">
        <v>2</v>
      </c>
      <c r="J559" t="s">
        <v>12</v>
      </c>
      <c r="K559" t="s">
        <v>256</v>
      </c>
      <c r="L559" t="s">
        <v>9</v>
      </c>
      <c r="M559" t="s">
        <v>4</v>
      </c>
      <c r="N559">
        <f t="shared" si="34"/>
        <v>2.2607702436373973</v>
      </c>
      <c r="O559" t="str">
        <f t="shared" si="35"/>
        <v/>
      </c>
      <c r="P559" s="67" cm="1">
        <f t="array" ref="P559">SUMPRODUCT((H559=$H$7:$H$10000)*(N559&lt;$N$7:$N$10000))+1</f>
        <v>86</v>
      </c>
      <c r="Q559" s="72"/>
      <c r="R559">
        <v>9</v>
      </c>
      <c r="S559" t="str">
        <v>ARC</v>
      </c>
      <c r="T559" t="str">
        <v>Carlo de Nysschen</v>
      </c>
      <c r="U559" t="str">
        <v>NULL</v>
      </c>
      <c r="V559" t="str">
        <v>Away</v>
      </c>
      <c r="W559" t="str">
        <v>CHI</v>
      </c>
      <c r="X559">
        <v>1.5702677642216134</v>
      </c>
    </row>
    <row r="560" spans="8:24" x14ac:dyDescent="0.35">
      <c r="H560" s="66">
        <v>7</v>
      </c>
      <c r="I560" t="s">
        <v>2</v>
      </c>
      <c r="J560" t="s">
        <v>444</v>
      </c>
      <c r="K560" t="s">
        <v>256</v>
      </c>
      <c r="L560" t="s">
        <v>9</v>
      </c>
      <c r="M560" t="s">
        <v>4</v>
      </c>
      <c r="N560">
        <f t="shared" si="34"/>
        <v>2.2506829017257308</v>
      </c>
      <c r="O560" t="str">
        <f t="shared" si="35"/>
        <v/>
      </c>
      <c r="P560" s="67" cm="1">
        <f t="array" ref="P560">SUMPRODUCT((H560=$H$7:$H$10000)*(N560&lt;$N$7:$N$10000))+1</f>
        <v>87</v>
      </c>
      <c r="Q560" s="72"/>
      <c r="R560">
        <v>9</v>
      </c>
      <c r="S560" t="str">
        <v>NEFJ</v>
      </c>
      <c r="T560" t="str">
        <v>Isaac Olson</v>
      </c>
      <c r="U560" t="str">
        <v>NULL</v>
      </c>
      <c r="V560" t="str">
        <v>Home</v>
      </c>
      <c r="W560" t="str">
        <v>SDL</v>
      </c>
      <c r="X560">
        <v>1.4533268426631736</v>
      </c>
    </row>
    <row r="561" spans="8:24" x14ac:dyDescent="0.35">
      <c r="H561" s="66">
        <v>7</v>
      </c>
      <c r="I561" t="s">
        <v>23</v>
      </c>
      <c r="J561" t="s">
        <v>340</v>
      </c>
      <c r="K561" t="s">
        <v>256</v>
      </c>
      <c r="L561" t="s">
        <v>9</v>
      </c>
      <c r="M561" t="s">
        <v>13</v>
      </c>
      <c r="N561">
        <f t="shared" si="34"/>
        <v>2.0362731627711401</v>
      </c>
      <c r="O561" t="str">
        <f t="shared" si="35"/>
        <v/>
      </c>
      <c r="P561" s="67" cm="1">
        <f t="array" ref="P561">SUMPRODUCT((H561=$H$7:$H$10000)*(N561&lt;$N$7:$N$10000))+1</f>
        <v>88</v>
      </c>
      <c r="Q561" s="72"/>
      <c r="R561">
        <v>9</v>
      </c>
      <c r="S561" t="str">
        <v>OGDC</v>
      </c>
      <c r="T561" t="str">
        <v>Jason Emery</v>
      </c>
      <c r="U561" t="str">
        <v>NULL</v>
      </c>
      <c r="V561" t="str">
        <v>Away</v>
      </c>
      <c r="W561" t="str">
        <v>NOLA</v>
      </c>
      <c r="X561">
        <v>1.0677752357400854</v>
      </c>
    </row>
    <row r="562" spans="8:24" x14ac:dyDescent="0.35">
      <c r="H562" s="66">
        <v>7</v>
      </c>
      <c r="I562" t="s">
        <v>36</v>
      </c>
      <c r="J562" t="s">
        <v>334</v>
      </c>
      <c r="K562" t="s">
        <v>256</v>
      </c>
      <c r="L562" t="s">
        <v>3</v>
      </c>
      <c r="M562" t="s">
        <v>34</v>
      </c>
      <c r="N562">
        <f t="shared" si="34"/>
        <v>1.5318824167786262</v>
      </c>
      <c r="O562" t="str">
        <f t="shared" si="35"/>
        <v/>
      </c>
      <c r="P562" s="67" cm="1">
        <f t="array" ref="P562">SUMPRODUCT((H562=$H$7:$H$10000)*(N562&lt;$N$7:$N$10000))+1</f>
        <v>89</v>
      </c>
      <c r="Q562" s="72"/>
      <c r="R562">
        <v>9</v>
      </c>
      <c r="S562" t="str">
        <v>MIA</v>
      </c>
      <c r="T562" t="str">
        <v>Connor Burns</v>
      </c>
      <c r="U562" t="str">
        <v>NULL</v>
      </c>
      <c r="V562" t="str">
        <v>Home</v>
      </c>
      <c r="W562" t="str">
        <v>HOU</v>
      </c>
      <c r="X562">
        <v>0.70045965104581942</v>
      </c>
    </row>
    <row r="563" spans="8:24" x14ac:dyDescent="0.35">
      <c r="H563" s="66">
        <v>7</v>
      </c>
      <c r="I563" t="s">
        <v>14</v>
      </c>
      <c r="J563" t="s">
        <v>488</v>
      </c>
      <c r="K563" t="s">
        <v>256</v>
      </c>
      <c r="L563" t="s">
        <v>9</v>
      </c>
      <c r="M563" t="s">
        <v>17</v>
      </c>
      <c r="N563">
        <f t="shared" si="34"/>
        <v>1.4381820886567844</v>
      </c>
      <c r="O563" t="str">
        <f t="shared" si="35"/>
        <v/>
      </c>
      <c r="P563" s="67" cm="1">
        <f t="array" ref="P563">SUMPRODUCT((H563=$H$7:$H$10000)*(N563&lt;$N$7:$N$10000))+1</f>
        <v>90</v>
      </c>
      <c r="Q563" s="72"/>
      <c r="R563">
        <v>9</v>
      </c>
      <c r="S563" t="str">
        <v>NOLA</v>
      </c>
      <c r="T563" t="str">
        <v>Nikolai Foliaki</v>
      </c>
      <c r="U563" t="str">
        <v>NULL</v>
      </c>
      <c r="V563" t="str">
        <v>Home</v>
      </c>
      <c r="W563" t="str">
        <v>OGDC</v>
      </c>
      <c r="X563">
        <v>0.47102693683671326</v>
      </c>
    </row>
    <row r="564" spans="8:24" x14ac:dyDescent="0.35">
      <c r="H564" s="66">
        <v>7</v>
      </c>
      <c r="I564" t="s">
        <v>6</v>
      </c>
      <c r="J564" t="s">
        <v>66</v>
      </c>
      <c r="K564" t="s">
        <v>256</v>
      </c>
      <c r="L564" t="s">
        <v>3</v>
      </c>
      <c r="M564" t="s">
        <v>7</v>
      </c>
      <c r="N564">
        <f t="shared" si="34"/>
        <v>1.1563784952606335</v>
      </c>
      <c r="O564" t="str">
        <f t="shared" si="35"/>
        <v/>
      </c>
      <c r="P564" s="67" cm="1">
        <f t="array" ref="P564">SUMPRODUCT((H564=$H$7:$H$10000)*(N564&lt;$N$7:$N$10000))+1</f>
        <v>91</v>
      </c>
      <c r="Q564" s="72"/>
      <c r="R564">
        <v>9</v>
      </c>
      <c r="S564" t="str">
        <v>ARC</v>
      </c>
      <c r="T564" t="str">
        <v>Ashawnty Staples Flowers</v>
      </c>
      <c r="U564" t="str">
        <v>NULL</v>
      </c>
      <c r="V564" t="str">
        <v>Away</v>
      </c>
      <c r="W564" t="str">
        <v>CHI</v>
      </c>
      <c r="X564">
        <v>0.3816447321590708</v>
      </c>
    </row>
    <row r="565" spans="8:24" x14ac:dyDescent="0.35">
      <c r="H565" s="66">
        <v>7</v>
      </c>
      <c r="I565" t="s">
        <v>2</v>
      </c>
      <c r="J565" t="s">
        <v>499</v>
      </c>
      <c r="K565" t="s">
        <v>256</v>
      </c>
      <c r="L565" t="s">
        <v>9</v>
      </c>
      <c r="M565" t="s">
        <v>4</v>
      </c>
      <c r="N565">
        <f t="shared" si="34"/>
        <v>0.88115351391906138</v>
      </c>
      <c r="O565" t="str">
        <f t="shared" si="35"/>
        <v/>
      </c>
      <c r="P565" s="67" cm="1">
        <f t="array" ref="P565">SUMPRODUCT((H565=$H$7:$H$10000)*(N565&lt;$N$7:$N$10000))+1</f>
        <v>92</v>
      </c>
      <c r="Q565" s="72"/>
      <c r="R565">
        <v>9</v>
      </c>
      <c r="S565" t="str">
        <v>OGDC</v>
      </c>
      <c r="T565" t="str">
        <v>Perry Humphreys</v>
      </c>
      <c r="U565" t="str">
        <v>NULL</v>
      </c>
      <c r="V565" t="str">
        <v>Away</v>
      </c>
      <c r="W565" t="str">
        <v>NOLA</v>
      </c>
      <c r="X565">
        <v>-0.71621964311239061</v>
      </c>
    </row>
    <row r="566" spans="8:24" x14ac:dyDescent="0.35">
      <c r="H566" s="66">
        <v>7</v>
      </c>
      <c r="I566" t="s">
        <v>4</v>
      </c>
      <c r="J566" t="s">
        <v>125</v>
      </c>
      <c r="K566" t="s">
        <v>256</v>
      </c>
      <c r="L566" t="s">
        <v>3</v>
      </c>
      <c r="M566" t="s">
        <v>2</v>
      </c>
      <c r="N566">
        <f t="shared" si="34"/>
        <v>0.82769306779043283</v>
      </c>
      <c r="O566" t="str">
        <f t="shared" si="35"/>
        <v/>
      </c>
      <c r="P566" s="67" cm="1">
        <f t="array" ref="P566">SUMPRODUCT((H566=$H$7:$H$10000)*(N566&lt;$N$7:$N$10000))+1</f>
        <v>93</v>
      </c>
      <c r="Q566" s="72"/>
      <c r="R566">
        <v>9</v>
      </c>
      <c r="S566" t="str">
        <v>OGDC</v>
      </c>
      <c r="T566" t="str">
        <v>Ethan McVeigh</v>
      </c>
      <c r="U566" t="str">
        <v>NULL</v>
      </c>
      <c r="V566" t="str">
        <v>Away</v>
      </c>
      <c r="W566" t="str">
        <v>NOLA</v>
      </c>
      <c r="X566">
        <v>-0.74907733506037566</v>
      </c>
    </row>
    <row r="567" spans="8:24" x14ac:dyDescent="0.35">
      <c r="H567" s="66">
        <v>7</v>
      </c>
      <c r="I567" t="s">
        <v>4</v>
      </c>
      <c r="J567" t="s">
        <v>489</v>
      </c>
      <c r="K567" t="s">
        <v>256</v>
      </c>
      <c r="L567" t="s">
        <v>3</v>
      </c>
      <c r="M567" t="s">
        <v>2</v>
      </c>
      <c r="N567">
        <f t="shared" si="34"/>
        <v>0.78096312600874818</v>
      </c>
      <c r="O567" t="str">
        <f t="shared" si="35"/>
        <v/>
      </c>
      <c r="P567" s="67" cm="1">
        <f t="array" ref="P567">SUMPRODUCT((H567=$H$7:$H$10000)*(N567&lt;$N$7:$N$10000))+1</f>
        <v>94</v>
      </c>
      <c r="Q567" s="72"/>
      <c r="R567">
        <v>9</v>
      </c>
      <c r="S567" t="str">
        <v>NOLA</v>
      </c>
      <c r="T567" t="str">
        <v>Luke Campbell</v>
      </c>
      <c r="U567" t="str">
        <v>NULL</v>
      </c>
      <c r="V567" t="str">
        <v>Home</v>
      </c>
      <c r="W567" t="str">
        <v>OGDC</v>
      </c>
      <c r="X567">
        <v>-2.1447734374301035</v>
      </c>
    </row>
    <row r="568" spans="8:24" x14ac:dyDescent="0.35">
      <c r="H568" s="65">
        <v>7</v>
      </c>
      <c r="I568" t="s">
        <v>14</v>
      </c>
      <c r="J568" t="s">
        <v>460</v>
      </c>
      <c r="K568" t="s">
        <v>256</v>
      </c>
      <c r="L568" t="s">
        <v>9</v>
      </c>
      <c r="M568" t="s">
        <v>17</v>
      </c>
      <c r="N568">
        <f t="shared" si="34"/>
        <v>0.24955905659424182</v>
      </c>
      <c r="O568" t="str">
        <f t="shared" si="35"/>
        <v/>
      </c>
      <c r="P568" s="67" cm="1">
        <f t="array" ref="P568">SUMPRODUCT((H568=$H$7:$H$10000)*(N568&lt;$N$7:$N$10000))+1</f>
        <v>95</v>
      </c>
      <c r="Q568" s="72"/>
      <c r="R568">
        <v>9</v>
      </c>
      <c r="S568" t="str">
        <v>NOLA</v>
      </c>
      <c r="T568" t="str">
        <v>Ruben de Haas</v>
      </c>
      <c r="U568" t="str">
        <v>NULL</v>
      </c>
      <c r="V568" t="str">
        <v>Home</v>
      </c>
      <c r="W568" t="str">
        <v>OGDC</v>
      </c>
      <c r="X568">
        <v>-2.1915033792117882</v>
      </c>
    </row>
    <row r="569" spans="8:24" x14ac:dyDescent="0.35">
      <c r="H569" s="65">
        <v>7</v>
      </c>
      <c r="I569" t="s">
        <v>36</v>
      </c>
      <c r="J569" t="s">
        <v>73</v>
      </c>
      <c r="K569" t="s">
        <v>256</v>
      </c>
      <c r="L569" t="s">
        <v>3</v>
      </c>
      <c r="M569" t="s">
        <v>34</v>
      </c>
      <c r="N569">
        <f t="shared" si="34"/>
        <v>-0.29823516261216731</v>
      </c>
      <c r="O569" t="str">
        <f t="shared" si="35"/>
        <v/>
      </c>
      <c r="P569" s="67" cm="1">
        <f t="array" ref="P569">SUMPRODUCT((H569=$H$7:$H$10000)*(N569&lt;$N$7:$N$10000))+1</f>
        <v>96</v>
      </c>
      <c r="Q569" s="72"/>
      <c r="R569">
        <v>9</v>
      </c>
      <c r="S569" t="str">
        <v>OGDC</v>
      </c>
      <c r="T569" t="str">
        <v>Connor Buckley</v>
      </c>
      <c r="U569" t="str">
        <v>NULL</v>
      </c>
      <c r="V569" t="str">
        <v>Away</v>
      </c>
      <c r="W569" t="str">
        <v>NOLA</v>
      </c>
      <c r="X569">
        <v>-5.2105353412171986</v>
      </c>
    </row>
    <row r="570" spans="8:24" x14ac:dyDescent="0.35">
      <c r="H570" s="66">
        <v>7</v>
      </c>
      <c r="I570" t="s">
        <v>7</v>
      </c>
      <c r="J570" t="s">
        <v>126</v>
      </c>
      <c r="K570" t="s">
        <v>256</v>
      </c>
      <c r="L570" t="s">
        <v>9</v>
      </c>
      <c r="M570" t="s">
        <v>6</v>
      </c>
      <c r="N570">
        <f t="shared" si="34"/>
        <v>-0.84034729104969408</v>
      </c>
      <c r="O570" t="str">
        <f t="shared" si="35"/>
        <v/>
      </c>
      <c r="P570" s="67" cm="1">
        <f t="array" ref="P570">SUMPRODUCT((H570=$H$7:$H$10000)*(N570&lt;$N$7:$N$10000))+1</f>
        <v>97</v>
      </c>
      <c r="Q570" s="72"/>
      <c r="R570">
        <v>10</v>
      </c>
      <c r="S570" t="str">
        <v>OGDC</v>
      </c>
      <c r="T570" t="str">
        <v>Axel Muller</v>
      </c>
      <c r="U570" t="str">
        <v>NULL</v>
      </c>
      <c r="V570" t="str">
        <v>Home</v>
      </c>
      <c r="W570" t="str">
        <v>MIA</v>
      </c>
      <c r="X570">
        <v>22.078022434332734</v>
      </c>
    </row>
    <row r="571" spans="8:24" x14ac:dyDescent="0.35">
      <c r="H571" s="66">
        <v>8</v>
      </c>
      <c r="I571" t="s">
        <v>7</v>
      </c>
      <c r="J571" t="s">
        <v>65</v>
      </c>
      <c r="K571" t="s">
        <v>256</v>
      </c>
      <c r="L571" t="s">
        <v>3</v>
      </c>
      <c r="M571" t="s">
        <v>17</v>
      </c>
      <c r="N571">
        <f t="shared" si="34"/>
        <v>18.393091256932024</v>
      </c>
      <c r="O571" t="str">
        <f t="shared" si="35"/>
        <v/>
      </c>
      <c r="P571" s="67" cm="1">
        <f t="array" ref="P571">SUMPRODUCT((H571=$H$7:$H$10000)*(N571&lt;$N$7:$N$10000))+1</f>
        <v>1</v>
      </c>
      <c r="Q571" s="72"/>
      <c r="R571">
        <v>10</v>
      </c>
      <c r="S571" t="str">
        <v>UTAH</v>
      </c>
      <c r="T571" t="str">
        <v>Joe Mano</v>
      </c>
      <c r="U571" t="str">
        <v>NULL</v>
      </c>
      <c r="V571" t="str">
        <v>Away</v>
      </c>
      <c r="W571" t="str">
        <v>SDL</v>
      </c>
      <c r="X571">
        <v>18.768484431050695</v>
      </c>
    </row>
    <row r="572" spans="8:24" x14ac:dyDescent="0.35">
      <c r="H572" s="66">
        <v>8</v>
      </c>
      <c r="I572" t="s">
        <v>34</v>
      </c>
      <c r="J572" t="s">
        <v>95</v>
      </c>
      <c r="K572" t="s">
        <v>256</v>
      </c>
      <c r="L572" t="s">
        <v>3</v>
      </c>
      <c r="M572" t="s">
        <v>2</v>
      </c>
      <c r="N572">
        <f t="shared" si="34"/>
        <v>17.692493739002867</v>
      </c>
      <c r="O572" t="str">
        <f t="shared" si="35"/>
        <v/>
      </c>
      <c r="P572" s="67" cm="1">
        <f t="array" ref="P572">SUMPRODUCT((H572=$H$7:$H$10000)*(N572&lt;$N$7:$N$10000))+1</f>
        <v>2</v>
      </c>
      <c r="Q572" s="72"/>
      <c r="R572">
        <v>10</v>
      </c>
      <c r="S572" t="str">
        <v>SDL</v>
      </c>
      <c r="T572" t="str">
        <v>Ryan James</v>
      </c>
      <c r="U572" t="str">
        <v>NULL</v>
      </c>
      <c r="V572" t="str">
        <v>Home</v>
      </c>
      <c r="W572" t="str">
        <v>UTAH</v>
      </c>
      <c r="X572">
        <v>18.279255998896758</v>
      </c>
    </row>
    <row r="573" spans="8:24" x14ac:dyDescent="0.35">
      <c r="H573" s="66">
        <v>8</v>
      </c>
      <c r="I573" t="s">
        <v>6</v>
      </c>
      <c r="J573" t="s">
        <v>94</v>
      </c>
      <c r="K573" t="s">
        <v>256</v>
      </c>
      <c r="L573" t="s">
        <v>9</v>
      </c>
      <c r="M573" t="s">
        <v>36</v>
      </c>
      <c r="N573">
        <f t="shared" si="34"/>
        <v>15.841294987139062</v>
      </c>
      <c r="O573" t="str">
        <f t="shared" si="35"/>
        <v/>
      </c>
      <c r="P573" s="67" cm="1">
        <f t="array" ref="P573">SUMPRODUCT((H573=$H$7:$H$10000)*(N573&lt;$N$7:$N$10000))+1</f>
        <v>3</v>
      </c>
      <c r="Q573" s="72"/>
      <c r="R573">
        <v>10</v>
      </c>
      <c r="S573" t="str">
        <v>UTAH</v>
      </c>
      <c r="T573" t="str">
        <v>Nic Benn</v>
      </c>
      <c r="U573" t="str">
        <v>NULL</v>
      </c>
      <c r="V573" t="str">
        <v>Away</v>
      </c>
      <c r="W573" t="str">
        <v>SDL</v>
      </c>
      <c r="X573">
        <v>14.957948980340095</v>
      </c>
    </row>
    <row r="574" spans="8:24" x14ac:dyDescent="0.35">
      <c r="H574" s="66">
        <v>8</v>
      </c>
      <c r="I574" t="s">
        <v>23</v>
      </c>
      <c r="J574" t="s">
        <v>190</v>
      </c>
      <c r="K574" t="s">
        <v>256</v>
      </c>
      <c r="L574" t="s">
        <v>3</v>
      </c>
      <c r="M574" t="s">
        <v>24</v>
      </c>
      <c r="N574">
        <f t="shared" si="34"/>
        <v>15.506630999418093</v>
      </c>
      <c r="O574" t="str">
        <f t="shared" si="35"/>
        <v/>
      </c>
      <c r="P574" s="67" cm="1">
        <f t="array" ref="P574">SUMPRODUCT((H574=$H$7:$H$10000)*(N574&lt;$N$7:$N$10000))+1</f>
        <v>4</v>
      </c>
      <c r="Q574" s="72"/>
      <c r="R574">
        <v>10</v>
      </c>
      <c r="S574" t="str">
        <v>OGDC</v>
      </c>
      <c r="T574" t="str">
        <v>Damien Hoyland</v>
      </c>
      <c r="U574" t="str">
        <v>NULL</v>
      </c>
      <c r="V574" t="str">
        <v>Home</v>
      </c>
      <c r="W574" t="str">
        <v>MIA</v>
      </c>
      <c r="X574">
        <v>14.81868989894817</v>
      </c>
    </row>
    <row r="575" spans="8:24" x14ac:dyDescent="0.35">
      <c r="H575" s="66">
        <v>8</v>
      </c>
      <c r="I575" t="s">
        <v>23</v>
      </c>
      <c r="J575" t="s">
        <v>46</v>
      </c>
      <c r="K575" t="s">
        <v>256</v>
      </c>
      <c r="L575" t="s">
        <v>3</v>
      </c>
      <c r="M575" t="s">
        <v>24</v>
      </c>
      <c r="N575">
        <f t="shared" si="34"/>
        <v>14.305840597636466</v>
      </c>
      <c r="O575" t="str">
        <f t="shared" si="35"/>
        <v/>
      </c>
      <c r="P575" s="67" cm="1">
        <f t="array" ref="P575">SUMPRODUCT((H575=$H$7:$H$10000)*(N575&lt;$N$7:$N$10000))+1</f>
        <v>5</v>
      </c>
      <c r="Q575" s="72"/>
      <c r="R575">
        <v>10</v>
      </c>
      <c r="S575" t="str">
        <v>OGDC</v>
      </c>
      <c r="T575" t="str">
        <v>Steffan Hughes</v>
      </c>
      <c r="U575" t="str">
        <v>NULL</v>
      </c>
      <c r="V575" t="str">
        <v>Home</v>
      </c>
      <c r="W575" t="str">
        <v>MIA</v>
      </c>
      <c r="X575">
        <v>14.131048838282116</v>
      </c>
    </row>
    <row r="576" spans="8:24" x14ac:dyDescent="0.35">
      <c r="H576" s="66">
        <v>8</v>
      </c>
      <c r="I576" t="s">
        <v>23</v>
      </c>
      <c r="J576" t="s">
        <v>32</v>
      </c>
      <c r="K576" t="s">
        <v>256</v>
      </c>
      <c r="L576" t="s">
        <v>3</v>
      </c>
      <c r="M576" t="s">
        <v>24</v>
      </c>
      <c r="N576">
        <f t="shared" si="34"/>
        <v>14.125636636302596</v>
      </c>
      <c r="O576" t="str">
        <f t="shared" si="35"/>
        <v/>
      </c>
      <c r="P576" s="67" cm="1">
        <f t="array" ref="P576">SUMPRODUCT((H576=$H$7:$H$10000)*(N576&lt;$N$7:$N$10000))+1</f>
        <v>6</v>
      </c>
      <c r="Q576" s="72"/>
      <c r="R576">
        <v>10</v>
      </c>
      <c r="S576" t="str">
        <v>SDL</v>
      </c>
      <c r="T576" t="str">
        <v>Ethan Grayson</v>
      </c>
      <c r="U576" t="str">
        <v>NULL</v>
      </c>
      <c r="V576" t="str">
        <v>Home</v>
      </c>
      <c r="W576" t="str">
        <v>UTAH</v>
      </c>
      <c r="X576">
        <v>14.078560798717323</v>
      </c>
    </row>
    <row r="577" spans="8:24" x14ac:dyDescent="0.35">
      <c r="H577" s="66">
        <v>8</v>
      </c>
      <c r="I577" t="s">
        <v>36</v>
      </c>
      <c r="J577" t="s">
        <v>38</v>
      </c>
      <c r="K577" t="s">
        <v>256</v>
      </c>
      <c r="L577" t="s">
        <v>3</v>
      </c>
      <c r="M577" t="s">
        <v>6</v>
      </c>
      <c r="N577">
        <f t="shared" si="34"/>
        <v>14.10905363987014</v>
      </c>
      <c r="O577" t="str">
        <f t="shared" si="35"/>
        <v/>
      </c>
      <c r="P577" s="67" cm="1">
        <f t="array" ref="P577">SUMPRODUCT((H577=$H$7:$H$10000)*(N577&lt;$N$7:$N$10000))+1</f>
        <v>7</v>
      </c>
      <c r="Q577" s="72"/>
      <c r="R577">
        <v>10</v>
      </c>
      <c r="S577" t="str">
        <v>OGDC</v>
      </c>
      <c r="T577" t="str">
        <v>Jason Robertson</v>
      </c>
      <c r="U577" t="str">
        <v>NULL</v>
      </c>
      <c r="V577" t="str">
        <v>Home</v>
      </c>
      <c r="W577" t="str">
        <v>MIA</v>
      </c>
      <c r="X577">
        <v>13.110515598627387</v>
      </c>
    </row>
    <row r="578" spans="8:24" x14ac:dyDescent="0.35">
      <c r="H578" s="66">
        <v>8</v>
      </c>
      <c r="I578" t="s">
        <v>23</v>
      </c>
      <c r="J578" t="s">
        <v>91</v>
      </c>
      <c r="K578" t="s">
        <v>256</v>
      </c>
      <c r="L578" t="s">
        <v>3</v>
      </c>
      <c r="M578" t="s">
        <v>24</v>
      </c>
      <c r="N578">
        <f t="shared" si="34"/>
        <v>14.083834445596668</v>
      </c>
      <c r="O578" t="str">
        <f t="shared" si="35"/>
        <v/>
      </c>
      <c r="P578" s="67" cm="1">
        <f t="array" ref="P578">SUMPRODUCT((H578=$H$7:$H$10000)*(N578&lt;$N$7:$N$10000))+1</f>
        <v>8</v>
      </c>
      <c r="Q578" s="72"/>
      <c r="R578">
        <v>10</v>
      </c>
      <c r="S578" t="str">
        <v>SDL</v>
      </c>
      <c r="T578" t="str">
        <v>Tomas Aoake</v>
      </c>
      <c r="U578" t="str">
        <v>NULL</v>
      </c>
      <c r="V578" t="str">
        <v>Home</v>
      </c>
      <c r="W578" t="str">
        <v>UTAH</v>
      </c>
      <c r="X578">
        <v>12.914271489035764</v>
      </c>
    </row>
    <row r="579" spans="8:24" x14ac:dyDescent="0.35">
      <c r="H579" s="66">
        <v>8</v>
      </c>
      <c r="I579" t="s">
        <v>36</v>
      </c>
      <c r="J579" t="s">
        <v>71</v>
      </c>
      <c r="K579" t="s">
        <v>256</v>
      </c>
      <c r="L579" t="s">
        <v>3</v>
      </c>
      <c r="M579" t="s">
        <v>6</v>
      </c>
      <c r="N579">
        <f t="shared" si="34"/>
        <v>13.529494247755302</v>
      </c>
      <c r="O579" t="str">
        <f t="shared" si="35"/>
        <v/>
      </c>
      <c r="P579" s="67" cm="1">
        <f t="array" ref="P579">SUMPRODUCT((H579=$H$7:$H$10000)*(N579&lt;$N$7:$N$10000))+1</f>
        <v>9</v>
      </c>
      <c r="Q579" s="72"/>
      <c r="R579">
        <v>10</v>
      </c>
      <c r="S579" t="str">
        <v>ARC</v>
      </c>
      <c r="T579" t="str">
        <v>Erich Storti</v>
      </c>
      <c r="U579" t="str">
        <v>NULL</v>
      </c>
      <c r="V579" t="str">
        <v>Home</v>
      </c>
      <c r="W579" t="str">
        <v>NEFJ</v>
      </c>
      <c r="X579">
        <v>12.249899268798186</v>
      </c>
    </row>
    <row r="580" spans="8:24" x14ac:dyDescent="0.35">
      <c r="H580" s="66">
        <v>8</v>
      </c>
      <c r="I580" t="s">
        <v>36</v>
      </c>
      <c r="J580" t="s">
        <v>78</v>
      </c>
      <c r="K580" t="s">
        <v>256</v>
      </c>
      <c r="L580" t="s">
        <v>3</v>
      </c>
      <c r="M580" t="s">
        <v>6</v>
      </c>
      <c r="N580">
        <f t="shared" si="34"/>
        <v>13.523107730535349</v>
      </c>
      <c r="O580" t="str">
        <f t="shared" si="35"/>
        <v/>
      </c>
      <c r="P580" s="67" cm="1">
        <f t="array" ref="P580">SUMPRODUCT((H580=$H$7:$H$10000)*(N580&lt;$N$7:$N$10000))+1</f>
        <v>10</v>
      </c>
      <c r="Q580" s="72"/>
      <c r="R580">
        <v>10</v>
      </c>
      <c r="S580" t="str">
        <v>ARC</v>
      </c>
      <c r="T580" t="str">
        <v>Mitch Wilson</v>
      </c>
      <c r="U580" t="str">
        <v>NULL</v>
      </c>
      <c r="V580" t="str">
        <v>Home</v>
      </c>
      <c r="W580" t="str">
        <v>NEFJ</v>
      </c>
      <c r="X580">
        <v>11.861230012583894</v>
      </c>
    </row>
    <row r="581" spans="8:24" x14ac:dyDescent="0.35">
      <c r="H581" s="66">
        <v>8</v>
      </c>
      <c r="I581" t="s">
        <v>34</v>
      </c>
      <c r="J581" t="s">
        <v>41</v>
      </c>
      <c r="K581" t="s">
        <v>256</v>
      </c>
      <c r="L581" t="s">
        <v>3</v>
      </c>
      <c r="M581" t="s">
        <v>2</v>
      </c>
      <c r="N581">
        <f t="shared" si="34"/>
        <v>13.491798538823431</v>
      </c>
      <c r="O581" t="str">
        <f t="shared" si="35"/>
        <v/>
      </c>
      <c r="P581" s="67" cm="1">
        <f t="array" ref="P581">SUMPRODUCT((H581=$H$7:$H$10000)*(N581&lt;$N$7:$N$10000))+1</f>
        <v>11</v>
      </c>
      <c r="Q581" s="72"/>
      <c r="R581">
        <v>10</v>
      </c>
      <c r="S581" t="str">
        <v>CHI</v>
      </c>
      <c r="T581" t="str">
        <v>Nate Augspurger</v>
      </c>
      <c r="U581" t="str">
        <v>NULL</v>
      </c>
      <c r="V581" t="str">
        <v>Away</v>
      </c>
      <c r="W581" t="str">
        <v>SEA</v>
      </c>
      <c r="X581">
        <v>11.813277379847012</v>
      </c>
    </row>
    <row r="582" spans="8:24" x14ac:dyDescent="0.35">
      <c r="H582" s="66">
        <v>8</v>
      </c>
      <c r="I582" t="s">
        <v>24</v>
      </c>
      <c r="J582" t="s">
        <v>446</v>
      </c>
      <c r="K582" t="s">
        <v>256</v>
      </c>
      <c r="L582" t="s">
        <v>9</v>
      </c>
      <c r="M582" t="s">
        <v>23</v>
      </c>
      <c r="N582">
        <f t="shared" si="34"/>
        <v>13.202343056955893</v>
      </c>
      <c r="O582" t="str">
        <f t="shared" si="35"/>
        <v/>
      </c>
      <c r="P582" s="67" cm="1">
        <f t="array" ref="P582">SUMPRODUCT((H582=$H$7:$H$10000)*(N582&lt;$N$7:$N$10000))+1</f>
        <v>12</v>
      </c>
      <c r="Q582" s="72"/>
      <c r="R582">
        <v>10</v>
      </c>
      <c r="S582" t="str">
        <v>NEFJ</v>
      </c>
      <c r="T582" t="str">
        <v>Jayson Potroz</v>
      </c>
      <c r="U582" t="str">
        <v>NULL</v>
      </c>
      <c r="V582" t="str">
        <v>Away</v>
      </c>
      <c r="W582" t="str">
        <v>ARC</v>
      </c>
      <c r="X582">
        <v>11.66657430846651</v>
      </c>
    </row>
    <row r="583" spans="8:24" x14ac:dyDescent="0.35">
      <c r="H583" s="66">
        <v>8</v>
      </c>
      <c r="I583" t="s">
        <v>34</v>
      </c>
      <c r="J583" t="s">
        <v>100</v>
      </c>
      <c r="K583" t="s">
        <v>256</v>
      </c>
      <c r="L583" t="s">
        <v>3</v>
      </c>
      <c r="M583" t="s">
        <v>2</v>
      </c>
      <c r="N583">
        <f t="shared" si="34"/>
        <v>12.327509229141873</v>
      </c>
      <c r="O583" t="str">
        <f t="shared" si="35"/>
        <v/>
      </c>
      <c r="P583" s="67" cm="1">
        <f t="array" ref="P583">SUMPRODUCT((H583=$H$7:$H$10000)*(N583&lt;$N$7:$N$10000))+1</f>
        <v>13</v>
      </c>
      <c r="Q583" s="72"/>
      <c r="R583">
        <v>10</v>
      </c>
      <c r="S583" t="str">
        <v>ARC</v>
      </c>
      <c r="T583" t="str">
        <v>Line Latu</v>
      </c>
      <c r="U583" t="str">
        <v>NULL</v>
      </c>
      <c r="V583" t="str">
        <v>Home</v>
      </c>
      <c r="W583" t="str">
        <v>NEFJ</v>
      </c>
      <c r="X583">
        <v>11.599635427020726</v>
      </c>
    </row>
    <row r="584" spans="8:24" x14ac:dyDescent="0.35">
      <c r="H584" s="66">
        <v>8</v>
      </c>
      <c r="I584" t="s">
        <v>6</v>
      </c>
      <c r="J584" t="s">
        <v>8</v>
      </c>
      <c r="K584" t="s">
        <v>256</v>
      </c>
      <c r="L584" t="s">
        <v>9</v>
      </c>
      <c r="M584" t="s">
        <v>36</v>
      </c>
      <c r="N584">
        <f t="shared" si="34"/>
        <v>12.165682200645335</v>
      </c>
      <c r="O584" t="str">
        <f t="shared" si="35"/>
        <v/>
      </c>
      <c r="P584" s="67" cm="1">
        <f t="array" ref="P584">SUMPRODUCT((H584=$H$7:$H$10000)*(N584&lt;$N$7:$N$10000))+1</f>
        <v>14</v>
      </c>
      <c r="Q584" s="72"/>
      <c r="R584">
        <v>10</v>
      </c>
      <c r="S584" t="str">
        <v>SDL</v>
      </c>
      <c r="T584" t="str">
        <v>Tavite Lopeti</v>
      </c>
      <c r="U584" t="str">
        <v>NULL</v>
      </c>
      <c r="V584" t="str">
        <v>Home</v>
      </c>
      <c r="W584" t="str">
        <v>UTAH</v>
      </c>
      <c r="X584">
        <v>11.585940885528018</v>
      </c>
    </row>
    <row r="585" spans="8:24" x14ac:dyDescent="0.35">
      <c r="H585" s="66">
        <v>8</v>
      </c>
      <c r="I585" t="s">
        <v>4</v>
      </c>
      <c r="J585" t="s">
        <v>457</v>
      </c>
      <c r="K585" t="s">
        <v>256</v>
      </c>
      <c r="L585" t="s">
        <v>9</v>
      </c>
      <c r="M585" t="s">
        <v>14</v>
      </c>
      <c r="N585">
        <f t="shared" si="34"/>
        <v>11.442998076210181</v>
      </c>
      <c r="O585" t="str">
        <f t="shared" si="35"/>
        <v/>
      </c>
      <c r="P585" s="67" cm="1">
        <f t="array" ref="P585">SUMPRODUCT((H585=$H$7:$H$10000)*(N585&lt;$N$7:$N$10000))+1</f>
        <v>15</v>
      </c>
      <c r="Q585" s="72"/>
      <c r="R585">
        <v>10</v>
      </c>
      <c r="S585" t="str">
        <v>SEA</v>
      </c>
      <c r="T585" t="str">
        <v>Eddie Fouche</v>
      </c>
      <c r="U585" t="str">
        <v>NULL</v>
      </c>
      <c r="V585" t="str">
        <v>Home</v>
      </c>
      <c r="W585" t="str">
        <v>CHI</v>
      </c>
      <c r="X585">
        <v>11.506404985809187</v>
      </c>
    </row>
    <row r="586" spans="8:24" x14ac:dyDescent="0.35">
      <c r="H586" s="66">
        <v>8</v>
      </c>
      <c r="I586" t="s">
        <v>2</v>
      </c>
      <c r="J586" t="s">
        <v>88</v>
      </c>
      <c r="K586" t="s">
        <v>256</v>
      </c>
      <c r="L586" t="s">
        <v>9</v>
      </c>
      <c r="M586" t="s">
        <v>34</v>
      </c>
      <c r="N586">
        <f t="shared" si="34"/>
        <v>11.237982043374789</v>
      </c>
      <c r="O586" t="str">
        <f t="shared" si="35"/>
        <v/>
      </c>
      <c r="P586" s="67" cm="1">
        <f t="array" ref="P586">SUMPRODUCT((H586=$H$7:$H$10000)*(N586&lt;$N$7:$N$10000))+1</f>
        <v>16</v>
      </c>
      <c r="Q586" s="72"/>
      <c r="R586">
        <v>10</v>
      </c>
      <c r="S586" t="str">
        <v>SDL</v>
      </c>
      <c r="T586" t="str">
        <v>Lincoln McClutchie</v>
      </c>
      <c r="U586" t="str">
        <v>NULL</v>
      </c>
      <c r="V586" t="str">
        <v>Home</v>
      </c>
      <c r="W586" t="str">
        <v>UTAH</v>
      </c>
      <c r="X586">
        <v>11.427162624389045</v>
      </c>
    </row>
    <row r="587" spans="8:24" x14ac:dyDescent="0.35">
      <c r="H587" s="66">
        <v>8</v>
      </c>
      <c r="I587" t="s">
        <v>24</v>
      </c>
      <c r="J587" t="s">
        <v>84</v>
      </c>
      <c r="K587" t="s">
        <v>256</v>
      </c>
      <c r="L587" t="s">
        <v>9</v>
      </c>
      <c r="M587" t="s">
        <v>23</v>
      </c>
      <c r="N587">
        <f t="shared" si="34"/>
        <v>11.223533891936411</v>
      </c>
      <c r="O587" t="str">
        <f t="shared" si="35"/>
        <v/>
      </c>
      <c r="P587" s="67" cm="1">
        <f t="array" ref="P587">SUMPRODUCT((H587=$H$7:$H$10000)*(N587&lt;$N$7:$N$10000))+1</f>
        <v>17</v>
      </c>
      <c r="Q587" s="72"/>
      <c r="R587">
        <v>10</v>
      </c>
      <c r="S587" t="str">
        <v>UTAH</v>
      </c>
      <c r="T587" t="str">
        <v>D'Angelo Leuila</v>
      </c>
      <c r="U587" t="str">
        <v>NULL</v>
      </c>
      <c r="V587" t="str">
        <v>Away</v>
      </c>
      <c r="W587" t="str">
        <v>SDL</v>
      </c>
      <c r="X587">
        <v>11.295193767554743</v>
      </c>
    </row>
    <row r="588" spans="8:24" x14ac:dyDescent="0.35">
      <c r="H588" s="66">
        <v>8</v>
      </c>
      <c r="I588" t="s">
        <v>36</v>
      </c>
      <c r="J588" t="s">
        <v>491</v>
      </c>
      <c r="K588" t="s">
        <v>256</v>
      </c>
      <c r="L588" t="s">
        <v>3</v>
      </c>
      <c r="M588" t="s">
        <v>6</v>
      </c>
      <c r="N588">
        <f t="shared" ref="N588:N651" si="36">VLOOKUP($L588,$F$3:$G$4,2,FALSE)+VLOOKUP($J588,$A$20:$B$131,2,FALSE)+VLOOKUP($M588,$A$6:$B$16,2,FALSE)</f>
        <v>11.194083653501597</v>
      </c>
      <c r="O588" t="str">
        <f t="shared" ref="O588:O651" si="37">IFERROR(($K588-$N588)^2,"")</f>
        <v/>
      </c>
      <c r="P588" s="67" cm="1">
        <f t="array" ref="P588">SUMPRODUCT((H588=$H$7:$H$10000)*(N588&lt;$N$7:$N$10000))+1</f>
        <v>18</v>
      </c>
      <c r="Q588" s="72"/>
      <c r="R588">
        <v>10</v>
      </c>
      <c r="S588" t="str">
        <v>SDL</v>
      </c>
      <c r="T588" t="str">
        <v>James Vaifale</v>
      </c>
      <c r="U588" t="str">
        <v>NULL</v>
      </c>
      <c r="V588" t="str">
        <v>Home</v>
      </c>
      <c r="W588" t="str">
        <v>UTAH</v>
      </c>
      <c r="X588">
        <v>11.270053766988989</v>
      </c>
    </row>
    <row r="589" spans="8:24" x14ac:dyDescent="0.35">
      <c r="H589" s="66">
        <v>8</v>
      </c>
      <c r="I589" t="s">
        <v>24</v>
      </c>
      <c r="J589" t="s">
        <v>194</v>
      </c>
      <c r="K589" t="s">
        <v>256</v>
      </c>
      <c r="L589" t="s">
        <v>9</v>
      </c>
      <c r="M589" t="s">
        <v>23</v>
      </c>
      <c r="N589">
        <f t="shared" si="36"/>
        <v>11.192470024333915</v>
      </c>
      <c r="O589" t="str">
        <f t="shared" si="37"/>
        <v/>
      </c>
      <c r="P589" s="67" cm="1">
        <f t="array" ref="P589">SUMPRODUCT((H589=$H$7:$H$10000)*(N589&lt;$N$7:$N$10000))+1</f>
        <v>19</v>
      </c>
      <c r="Q589" s="72"/>
      <c r="R589">
        <v>10</v>
      </c>
      <c r="S589" t="str">
        <v>CHI</v>
      </c>
      <c r="T589" t="str">
        <v>Michael Hand</v>
      </c>
      <c r="U589" t="str">
        <v>NULL</v>
      </c>
      <c r="V589" t="str">
        <v>Away</v>
      </c>
      <c r="W589" t="str">
        <v>SEA</v>
      </c>
      <c r="X589">
        <v>11.260543626176393</v>
      </c>
    </row>
    <row r="590" spans="8:24" x14ac:dyDescent="0.35">
      <c r="H590" s="66">
        <v>8</v>
      </c>
      <c r="I590" t="s">
        <v>7</v>
      </c>
      <c r="J590" t="s">
        <v>67</v>
      </c>
      <c r="K590" t="s">
        <v>256</v>
      </c>
      <c r="L590" t="s">
        <v>3</v>
      </c>
      <c r="M590" t="s">
        <v>17</v>
      </c>
      <c r="N590">
        <f t="shared" si="36"/>
        <v>11.13375872154746</v>
      </c>
      <c r="O590" t="str">
        <f t="shared" si="37"/>
        <v/>
      </c>
      <c r="P590" s="67" cm="1">
        <f t="array" ref="P590">SUMPRODUCT((H590=$H$7:$H$10000)*(N590&lt;$N$7:$N$10000))+1</f>
        <v>20</v>
      </c>
      <c r="Q590" s="72"/>
      <c r="R590">
        <v>10</v>
      </c>
      <c r="S590" t="str">
        <v>ARC</v>
      </c>
      <c r="T590" t="str">
        <v>Karl Keane</v>
      </c>
      <c r="U590" t="str">
        <v>NULL</v>
      </c>
      <c r="V590" t="str">
        <v>Home</v>
      </c>
      <c r="W590" t="str">
        <v>NEFJ</v>
      </c>
      <c r="X590">
        <v>10.689770555501442</v>
      </c>
    </row>
    <row r="591" spans="8:24" x14ac:dyDescent="0.35">
      <c r="H591" s="66">
        <v>8</v>
      </c>
      <c r="I591" t="s">
        <v>24</v>
      </c>
      <c r="J591" t="s">
        <v>101</v>
      </c>
      <c r="K591" t="s">
        <v>256</v>
      </c>
      <c r="L591" t="s">
        <v>9</v>
      </c>
      <c r="M591" t="s">
        <v>23</v>
      </c>
      <c r="N591">
        <f t="shared" si="36"/>
        <v>11.042045629947294</v>
      </c>
      <c r="O591" t="str">
        <f t="shared" si="37"/>
        <v/>
      </c>
      <c r="P591" s="67" cm="1">
        <f t="array" ref="P591">SUMPRODUCT((H591=$H$7:$H$10000)*(N591&lt;$N$7:$N$10000))+1</f>
        <v>21</v>
      </c>
      <c r="Q591" s="72"/>
      <c r="R591">
        <v>10</v>
      </c>
      <c r="S591" t="str">
        <v>SEA</v>
      </c>
      <c r="T591" t="str">
        <v>Rodney Iona</v>
      </c>
      <c r="U591" t="str">
        <v>NULL</v>
      </c>
      <c r="V591" t="str">
        <v>Home</v>
      </c>
      <c r="W591" t="str">
        <v>CHI</v>
      </c>
      <c r="X591">
        <v>10.651319720253362</v>
      </c>
    </row>
    <row r="592" spans="8:24" x14ac:dyDescent="0.35">
      <c r="H592" s="66">
        <v>8</v>
      </c>
      <c r="I592" t="s">
        <v>34</v>
      </c>
      <c r="J592" t="s">
        <v>52</v>
      </c>
      <c r="K592" t="s">
        <v>256</v>
      </c>
      <c r="L592" t="s">
        <v>3</v>
      </c>
      <c r="M592" t="s">
        <v>2</v>
      </c>
      <c r="N592">
        <f t="shared" si="36"/>
        <v>10.999178625634126</v>
      </c>
      <c r="O592" t="str">
        <f t="shared" si="37"/>
        <v/>
      </c>
      <c r="P592" s="67" cm="1">
        <f t="array" ref="P592">SUMPRODUCT((H592=$H$7:$H$10000)*(N592&lt;$N$7:$N$10000))+1</f>
        <v>22</v>
      </c>
      <c r="Q592" s="72"/>
      <c r="R592">
        <v>10</v>
      </c>
      <c r="S592" t="str">
        <v>NEFJ</v>
      </c>
      <c r="T592" t="str">
        <v>Wayne van der Bank</v>
      </c>
      <c r="U592" t="str">
        <v>NULL</v>
      </c>
      <c r="V592" t="str">
        <v>Away</v>
      </c>
      <c r="W592" t="str">
        <v>ARC</v>
      </c>
      <c r="X592">
        <v>10.465783906684885</v>
      </c>
    </row>
    <row r="593" spans="8:24" x14ac:dyDescent="0.35">
      <c r="H593" s="66">
        <v>8</v>
      </c>
      <c r="I593" t="s">
        <v>24</v>
      </c>
      <c r="J593" t="s">
        <v>487</v>
      </c>
      <c r="K593" t="s">
        <v>256</v>
      </c>
      <c r="L593" t="s">
        <v>9</v>
      </c>
      <c r="M593" t="s">
        <v>23</v>
      </c>
      <c r="N593">
        <f t="shared" si="36"/>
        <v>10.873022782712608</v>
      </c>
      <c r="O593" t="str">
        <f t="shared" si="37"/>
        <v/>
      </c>
      <c r="P593" s="67" cm="1">
        <f t="array" ref="P593">SUMPRODUCT((H593=$H$7:$H$10000)*(N593&lt;$N$7:$N$10000))+1</f>
        <v>23</v>
      </c>
      <c r="Q593" s="72"/>
      <c r="R593">
        <v>10</v>
      </c>
      <c r="S593" t="str">
        <v>NEFJ</v>
      </c>
      <c r="T593" t="str">
        <v>Le Roux Malan</v>
      </c>
      <c r="U593" t="str">
        <v>NULL</v>
      </c>
      <c r="V593" t="str">
        <v>Away</v>
      </c>
      <c r="W593" t="str">
        <v>ARC</v>
      </c>
      <c r="X593">
        <v>10.285579945351014</v>
      </c>
    </row>
    <row r="594" spans="8:24" x14ac:dyDescent="0.35">
      <c r="H594" s="66">
        <v>8</v>
      </c>
      <c r="I594" t="s">
        <v>34</v>
      </c>
      <c r="J594" t="s">
        <v>192</v>
      </c>
      <c r="K594" t="s">
        <v>256</v>
      </c>
      <c r="L594" t="s">
        <v>3</v>
      </c>
      <c r="M594" t="s">
        <v>2</v>
      </c>
      <c r="N594">
        <f t="shared" si="36"/>
        <v>10.840400364495153</v>
      </c>
      <c r="O594" t="str">
        <f t="shared" si="37"/>
        <v/>
      </c>
      <c r="P594" s="67" cm="1">
        <f t="array" ref="P594">SUMPRODUCT((H594=$H$7:$H$10000)*(N594&lt;$N$7:$N$10000))+1</f>
        <v>24</v>
      </c>
      <c r="Q594" s="72"/>
      <c r="R594">
        <v>10</v>
      </c>
      <c r="S594" t="str">
        <v>NEFJ</v>
      </c>
      <c r="T594" t="str">
        <v>Paula Balekana</v>
      </c>
      <c r="U594" t="str">
        <v>NULL</v>
      </c>
      <c r="V594" t="str">
        <v>Away</v>
      </c>
      <c r="W594" t="str">
        <v>ARC</v>
      </c>
      <c r="X594">
        <v>10.243777754645087</v>
      </c>
    </row>
    <row r="595" spans="8:24" x14ac:dyDescent="0.35">
      <c r="H595" s="66">
        <v>8</v>
      </c>
      <c r="I595" t="s">
        <v>4</v>
      </c>
      <c r="J595" t="s">
        <v>286</v>
      </c>
      <c r="K595" t="s">
        <v>256</v>
      </c>
      <c r="L595" t="s">
        <v>9</v>
      </c>
      <c r="M595" t="s">
        <v>14</v>
      </c>
      <c r="N595">
        <f t="shared" si="36"/>
        <v>10.79735356794467</v>
      </c>
      <c r="O595" t="str">
        <f t="shared" si="37"/>
        <v/>
      </c>
      <c r="P595" s="67" cm="1">
        <f t="array" ref="P595">SUMPRODUCT((H595=$H$7:$H$10000)*(N595&lt;$N$7:$N$10000))+1</f>
        <v>25</v>
      </c>
      <c r="Q595" s="72"/>
      <c r="R595">
        <v>10</v>
      </c>
      <c r="S595" t="str">
        <v>SEA</v>
      </c>
      <c r="T595" t="str">
        <v>Duncan Matthews</v>
      </c>
      <c r="U595" t="str">
        <v>NULL</v>
      </c>
      <c r="V595" t="str">
        <v>Home</v>
      </c>
      <c r="W595" t="str">
        <v>CHI</v>
      </c>
      <c r="X595">
        <v>10.201901968304362</v>
      </c>
    </row>
    <row r="596" spans="8:24" x14ac:dyDescent="0.35">
      <c r="H596" s="66">
        <v>8</v>
      </c>
      <c r="I596" t="s">
        <v>24</v>
      </c>
      <c r="J596" t="s">
        <v>439</v>
      </c>
      <c r="K596" t="s">
        <v>256</v>
      </c>
      <c r="L596" t="s">
        <v>9</v>
      </c>
      <c r="M596" t="s">
        <v>23</v>
      </c>
      <c r="N596">
        <f t="shared" si="36"/>
        <v>10.702334144224611</v>
      </c>
      <c r="O596" t="str">
        <f t="shared" si="37"/>
        <v/>
      </c>
      <c r="P596" s="67" cm="1">
        <f t="array" ref="P596">SUMPRODUCT((H596=$H$7:$H$10000)*(N596&lt;$N$7:$N$10000))+1</f>
        <v>26</v>
      </c>
      <c r="Q596" s="72"/>
      <c r="R596">
        <v>10</v>
      </c>
      <c r="S596" t="str">
        <v>SDL</v>
      </c>
      <c r="T596" t="str">
        <v>Richard Judd</v>
      </c>
      <c r="U596" t="str">
        <v>NULL</v>
      </c>
      <c r="V596" t="str">
        <v>Home</v>
      </c>
      <c r="W596" t="str">
        <v>UTAH</v>
      </c>
      <c r="X596">
        <v>10.152123875822058</v>
      </c>
    </row>
    <row r="597" spans="8:24" x14ac:dyDescent="0.35">
      <c r="H597" s="66">
        <v>8</v>
      </c>
      <c r="I597" t="s">
        <v>2</v>
      </c>
      <c r="J597" t="s">
        <v>495</v>
      </c>
      <c r="K597" t="s">
        <v>256</v>
      </c>
      <c r="L597" t="s">
        <v>9</v>
      </c>
      <c r="M597" t="s">
        <v>34</v>
      </c>
      <c r="N597">
        <f t="shared" si="36"/>
        <v>10.68524828970417</v>
      </c>
      <c r="O597" t="str">
        <f t="shared" si="37"/>
        <v/>
      </c>
      <c r="P597" s="67" cm="1">
        <f t="array" ref="P597">SUMPRODUCT((H597=$H$7:$H$10000)*(N597&lt;$N$7:$N$10000))+1</f>
        <v>27</v>
      </c>
      <c r="Q597" s="72"/>
      <c r="R597">
        <v>10</v>
      </c>
      <c r="S597" t="str">
        <v>SEA</v>
      </c>
      <c r="T597" t="str">
        <v>Divan Rossouw</v>
      </c>
      <c r="U597" t="str">
        <v>NULL</v>
      </c>
      <c r="V597" t="str">
        <v>Home</v>
      </c>
      <c r="W597" t="str">
        <v>CHI</v>
      </c>
      <c r="X597">
        <v>10.083801791644769</v>
      </c>
    </row>
    <row r="598" spans="8:24" x14ac:dyDescent="0.35">
      <c r="H598" s="66">
        <v>8</v>
      </c>
      <c r="I598" t="s">
        <v>34</v>
      </c>
      <c r="J598" t="s">
        <v>496</v>
      </c>
      <c r="K598" t="s">
        <v>256</v>
      </c>
      <c r="L598" t="s">
        <v>3</v>
      </c>
      <c r="M598" t="s">
        <v>2</v>
      </c>
      <c r="N598">
        <f t="shared" si="36"/>
        <v>10.683291507095097</v>
      </c>
      <c r="O598" t="str">
        <f t="shared" si="37"/>
        <v/>
      </c>
      <c r="P598" s="67" cm="1">
        <f t="array" ref="P598">SUMPRODUCT((H598=$H$7:$H$10000)*(N598&lt;$N$7:$N$10000))+1</f>
        <v>28</v>
      </c>
      <c r="Q598" s="72"/>
      <c r="R598">
        <v>10</v>
      </c>
      <c r="S598" t="str">
        <v>SDL</v>
      </c>
      <c r="T598" t="str">
        <v>Tiaan Loots</v>
      </c>
      <c r="U598" t="str">
        <v>NULL</v>
      </c>
      <c r="V598" t="str">
        <v>Home</v>
      </c>
      <c r="W598" t="str">
        <v>UTAH</v>
      </c>
      <c r="X598">
        <v>10.057052607124017</v>
      </c>
    </row>
    <row r="599" spans="8:24" x14ac:dyDescent="0.35">
      <c r="H599" s="66">
        <v>8</v>
      </c>
      <c r="I599" t="s">
        <v>7</v>
      </c>
      <c r="J599" t="s">
        <v>447</v>
      </c>
      <c r="K599" t="s">
        <v>256</v>
      </c>
      <c r="L599" t="s">
        <v>3</v>
      </c>
      <c r="M599" t="s">
        <v>17</v>
      </c>
      <c r="N599">
        <f t="shared" si="36"/>
        <v>10.446117660881406</v>
      </c>
      <c r="O599" t="str">
        <f t="shared" si="37"/>
        <v/>
      </c>
      <c r="P599" s="67" cm="1">
        <f t="array" ref="P599">SUMPRODUCT((H599=$H$7:$H$10000)*(N599&lt;$N$7:$N$10000))+1</f>
        <v>29</v>
      </c>
      <c r="Q599" s="72"/>
      <c r="R599">
        <v>10</v>
      </c>
      <c r="S599" t="str">
        <v>HOU</v>
      </c>
      <c r="T599" t="str">
        <v>Dom Akina</v>
      </c>
      <c r="U599" t="str">
        <v>NULL</v>
      </c>
      <c r="V599" t="str">
        <v>Home</v>
      </c>
      <c r="W599" t="str">
        <v>NOLA</v>
      </c>
      <c r="X599">
        <v>9.7388655897026357</v>
      </c>
    </row>
    <row r="600" spans="8:24" x14ac:dyDescent="0.35">
      <c r="H600" s="66">
        <v>8</v>
      </c>
      <c r="I600" t="s">
        <v>4</v>
      </c>
      <c r="J600" t="s">
        <v>453</v>
      </c>
      <c r="K600" t="s">
        <v>256</v>
      </c>
      <c r="L600" t="s">
        <v>9</v>
      </c>
      <c r="M600" t="s">
        <v>14</v>
      </c>
      <c r="N600">
        <f t="shared" si="36"/>
        <v>10.354310357939827</v>
      </c>
      <c r="O600" t="str">
        <f t="shared" si="37"/>
        <v/>
      </c>
      <c r="P600" s="67" cm="1">
        <f t="array" ref="P600">SUMPRODUCT((H600=$H$7:$H$10000)*(N600&lt;$N$7:$N$10000))+1</f>
        <v>30</v>
      </c>
      <c r="Q600" s="72"/>
      <c r="R600">
        <v>10</v>
      </c>
      <c r="S600" t="str">
        <v>MIA</v>
      </c>
      <c r="T600" t="str">
        <v>Tomás Cubilla</v>
      </c>
      <c r="U600" t="str">
        <v>NULL</v>
      </c>
      <c r="V600" t="str">
        <v>Away</v>
      </c>
      <c r="W600" t="str">
        <v>OGDC</v>
      </c>
      <c r="X600">
        <v>9.3439298298337832</v>
      </c>
    </row>
    <row r="601" spans="8:24" x14ac:dyDescent="0.35">
      <c r="H601" s="66">
        <v>8</v>
      </c>
      <c r="I601" t="s">
        <v>6</v>
      </c>
      <c r="J601" t="s">
        <v>445</v>
      </c>
      <c r="K601" t="s">
        <v>256</v>
      </c>
      <c r="L601" t="s">
        <v>9</v>
      </c>
      <c r="M601" t="s">
        <v>36</v>
      </c>
      <c r="N601">
        <f t="shared" si="36"/>
        <v>10.201924323440945</v>
      </c>
      <c r="O601" t="str">
        <f t="shared" si="37"/>
        <v/>
      </c>
      <c r="P601" s="67" cm="1">
        <f t="array" ref="P601">SUMPRODUCT((H601=$H$7:$H$10000)*(N601&lt;$N$7:$N$10000))+1</f>
        <v>31</v>
      </c>
      <c r="Q601" s="72"/>
      <c r="R601">
        <v>10</v>
      </c>
      <c r="S601" t="str">
        <v>HOU</v>
      </c>
      <c r="T601" t="str">
        <v>Davy Coetzer</v>
      </c>
      <c r="U601" t="str">
        <v>NULL</v>
      </c>
      <c r="V601" t="str">
        <v>Home</v>
      </c>
      <c r="W601" t="str">
        <v>NOLA</v>
      </c>
      <c r="X601">
        <v>9.1593061975877976</v>
      </c>
    </row>
    <row r="602" spans="8:24" x14ac:dyDescent="0.35">
      <c r="H602" s="66">
        <v>8</v>
      </c>
      <c r="I602" t="s">
        <v>4</v>
      </c>
      <c r="J602" t="s">
        <v>74</v>
      </c>
      <c r="K602" t="s">
        <v>256</v>
      </c>
      <c r="L602" t="s">
        <v>9</v>
      </c>
      <c r="M602" t="s">
        <v>14</v>
      </c>
      <c r="N602">
        <f t="shared" si="36"/>
        <v>10.081943019500883</v>
      </c>
      <c r="O602" t="str">
        <f t="shared" si="37"/>
        <v/>
      </c>
      <c r="P602" s="67" cm="1">
        <f t="array" ref="P602">SUMPRODUCT((H602=$H$7:$H$10000)*(N602&lt;$N$7:$N$10000))+1</f>
        <v>32</v>
      </c>
      <c r="Q602" s="72"/>
      <c r="R602">
        <v>10</v>
      </c>
      <c r="S602" t="str">
        <v>HOU</v>
      </c>
      <c r="T602" t="str">
        <v>Jeremy Misailegalu</v>
      </c>
      <c r="U602" t="str">
        <v>NULL</v>
      </c>
      <c r="V602" t="str">
        <v>Home</v>
      </c>
      <c r="W602" t="str">
        <v>NOLA</v>
      </c>
      <c r="X602">
        <v>9.1529196803678445</v>
      </c>
    </row>
    <row r="603" spans="8:24" x14ac:dyDescent="0.35">
      <c r="H603" s="66">
        <v>8</v>
      </c>
      <c r="I603" t="s">
        <v>14</v>
      </c>
      <c r="J603" t="s">
        <v>448</v>
      </c>
      <c r="K603" t="s">
        <v>256</v>
      </c>
      <c r="L603" t="s">
        <v>3</v>
      </c>
      <c r="M603" t="s">
        <v>4</v>
      </c>
      <c r="N603">
        <f t="shared" si="36"/>
        <v>9.9489197669160969</v>
      </c>
      <c r="O603" t="str">
        <f t="shared" si="37"/>
        <v/>
      </c>
      <c r="P603" s="67" cm="1">
        <f t="array" ref="P603">SUMPRODUCT((H603=$H$7:$H$10000)*(N603&lt;$N$7:$N$10000))+1</f>
        <v>33</v>
      </c>
      <c r="Q603" s="72"/>
      <c r="R603">
        <v>10</v>
      </c>
      <c r="S603" t="str">
        <v>CHI</v>
      </c>
      <c r="T603" t="str">
        <v>Ollie Devoto</v>
      </c>
      <c r="U603" t="str">
        <v>NULL</v>
      </c>
      <c r="V603" t="str">
        <v>Away</v>
      </c>
      <c r="W603" t="str">
        <v>SEA</v>
      </c>
      <c r="X603">
        <v>9.1516461178348933</v>
      </c>
    </row>
    <row r="604" spans="8:24" x14ac:dyDescent="0.35">
      <c r="H604" s="66">
        <v>8</v>
      </c>
      <c r="I604" t="s">
        <v>24</v>
      </c>
      <c r="J604" t="s">
        <v>96</v>
      </c>
      <c r="K604" t="s">
        <v>256</v>
      </c>
      <c r="L604" t="s">
        <v>9</v>
      </c>
      <c r="M604" t="s">
        <v>23</v>
      </c>
      <c r="N604">
        <f t="shared" si="36"/>
        <v>9.9023208845658264</v>
      </c>
      <c r="O604" t="str">
        <f t="shared" si="37"/>
        <v/>
      </c>
      <c r="P604" s="67" cm="1">
        <f t="array" ref="P604">SUMPRODUCT((H604=$H$7:$H$10000)*(N604&lt;$N$7:$N$10000))+1</f>
        <v>34</v>
      </c>
      <c r="Q604" s="72"/>
      <c r="R604">
        <v>10</v>
      </c>
      <c r="S604" t="str">
        <v>SEA</v>
      </c>
      <c r="T604" t="str">
        <v>Mikaela Kruse</v>
      </c>
      <c r="U604" t="str">
        <v>NULL</v>
      </c>
      <c r="V604" t="str">
        <v>Home</v>
      </c>
      <c r="W604" t="str">
        <v>CHI</v>
      </c>
      <c r="X604">
        <v>9.0820363762755427</v>
      </c>
    </row>
    <row r="605" spans="8:24" x14ac:dyDescent="0.35">
      <c r="H605" s="66">
        <v>8</v>
      </c>
      <c r="I605" t="s">
        <v>23</v>
      </c>
      <c r="J605" t="s">
        <v>498</v>
      </c>
      <c r="K605" t="s">
        <v>256</v>
      </c>
      <c r="L605" t="s">
        <v>3</v>
      </c>
      <c r="M605" t="s">
        <v>24</v>
      </c>
      <c r="N605">
        <f t="shared" si="36"/>
        <v>9.7389835087055534</v>
      </c>
      <c r="O605" t="str">
        <f t="shared" si="37"/>
        <v/>
      </c>
      <c r="P605" s="67" cm="1">
        <f t="array" ref="P605">SUMPRODUCT((H605=$H$7:$H$10000)*(N605&lt;$N$7:$N$10000))+1</f>
        <v>35</v>
      </c>
      <c r="Q605" s="72"/>
      <c r="R605">
        <v>10</v>
      </c>
      <c r="S605" t="str">
        <v>UTAH</v>
      </c>
      <c r="T605" t="str">
        <v>Jordan Trainor</v>
      </c>
      <c r="U605" t="str">
        <v>NULL</v>
      </c>
      <c r="V605" t="str">
        <v>Away</v>
      </c>
      <c r="W605" t="str">
        <v>SDL</v>
      </c>
      <c r="X605">
        <v>8.792699627424307</v>
      </c>
    </row>
    <row r="606" spans="8:24" x14ac:dyDescent="0.35">
      <c r="H606" s="66">
        <v>8</v>
      </c>
      <c r="I606" t="s">
        <v>36</v>
      </c>
      <c r="J606" t="s">
        <v>479</v>
      </c>
      <c r="K606" t="s">
        <v>256</v>
      </c>
      <c r="L606" t="s">
        <v>3</v>
      </c>
      <c r="M606" t="s">
        <v>6</v>
      </c>
      <c r="N606">
        <f t="shared" si="36"/>
        <v>9.714741289251986</v>
      </c>
      <c r="O606" t="str">
        <f t="shared" si="37"/>
        <v/>
      </c>
      <c r="P606" s="67" cm="1">
        <f t="array" ref="P606">SUMPRODUCT((H606=$H$7:$H$10000)*(N606&lt;$N$7:$N$10000))+1</f>
        <v>36</v>
      </c>
      <c r="Q606" s="72"/>
      <c r="R606">
        <v>10</v>
      </c>
      <c r="S606" t="str">
        <v>SDL</v>
      </c>
      <c r="T606" t="str">
        <v>Marcel Brache</v>
      </c>
      <c r="U606" t="str">
        <v>NULL</v>
      </c>
      <c r="V606" t="str">
        <v>Home</v>
      </c>
      <c r="W606" t="str">
        <v>UTAH</v>
      </c>
      <c r="X606">
        <v>8.7038702938425683</v>
      </c>
    </row>
    <row r="607" spans="8:24" x14ac:dyDescent="0.35">
      <c r="H607" s="66">
        <v>8</v>
      </c>
      <c r="I607" t="s">
        <v>36</v>
      </c>
      <c r="J607" t="s">
        <v>476</v>
      </c>
      <c r="K607" t="s">
        <v>256</v>
      </c>
      <c r="L607" t="s">
        <v>3</v>
      </c>
      <c r="M607" t="s">
        <v>6</v>
      </c>
      <c r="N607">
        <f t="shared" si="36"/>
        <v>9.5679081290890053</v>
      </c>
      <c r="O607" t="str">
        <f t="shared" si="37"/>
        <v/>
      </c>
      <c r="P607" s="67" cm="1">
        <f t="array" ref="P607">SUMPRODUCT((H607=$H$7:$H$10000)*(N607&lt;$N$7:$N$10000))+1</f>
        <v>37</v>
      </c>
      <c r="Q607" s="72"/>
      <c r="R607">
        <v>10</v>
      </c>
      <c r="S607" t="str">
        <v>CHI</v>
      </c>
      <c r="T607" t="str">
        <v>Adriaan Carelse</v>
      </c>
      <c r="U607" t="str">
        <v>NULL</v>
      </c>
      <c r="V607" t="str">
        <v>Away</v>
      </c>
      <c r="W607" t="str">
        <v>SEA</v>
      </c>
      <c r="X607">
        <v>8.2603770820379765</v>
      </c>
    </row>
    <row r="608" spans="8:24" x14ac:dyDescent="0.35">
      <c r="H608" s="66">
        <v>8</v>
      </c>
      <c r="I608" t="s">
        <v>34</v>
      </c>
      <c r="J608" t="s">
        <v>440</v>
      </c>
      <c r="K608" t="s">
        <v>256</v>
      </c>
      <c r="L608" t="s">
        <v>3</v>
      </c>
      <c r="M608" t="s">
        <v>2</v>
      </c>
      <c r="N608">
        <f t="shared" si="36"/>
        <v>9.5653616159281665</v>
      </c>
      <c r="O608" t="str">
        <f t="shared" si="37"/>
        <v/>
      </c>
      <c r="P608" s="67" cm="1">
        <f t="array" ref="P608">SUMPRODUCT((H608=$H$7:$H$10000)*(N608&lt;$N$7:$N$10000))+1</f>
        <v>38</v>
      </c>
      <c r="Q608" s="72"/>
      <c r="R608">
        <v>10</v>
      </c>
      <c r="S608" t="str">
        <v>SEA</v>
      </c>
      <c r="T608" t="str">
        <v>JP Smith</v>
      </c>
      <c r="U608" t="str">
        <v>NULL</v>
      </c>
      <c r="V608" t="str">
        <v>Home</v>
      </c>
      <c r="W608" t="str">
        <v>CHI</v>
      </c>
      <c r="X608">
        <v>8.0639664761507444</v>
      </c>
    </row>
    <row r="609" spans="8:24" x14ac:dyDescent="0.35">
      <c r="H609" s="66">
        <v>8</v>
      </c>
      <c r="I609" t="s">
        <v>14</v>
      </c>
      <c r="J609" t="s">
        <v>87</v>
      </c>
      <c r="K609" t="s">
        <v>256</v>
      </c>
      <c r="L609" t="s">
        <v>3</v>
      </c>
      <c r="M609" t="s">
        <v>4</v>
      </c>
      <c r="N609">
        <f t="shared" si="36"/>
        <v>9.5602505107018043</v>
      </c>
      <c r="O609" t="str">
        <f t="shared" si="37"/>
        <v/>
      </c>
      <c r="P609" s="67" cm="1">
        <f t="array" ref="P609">SUMPRODUCT((H609=$H$7:$H$10000)*(N609&lt;$N$7:$N$10000))+1</f>
        <v>39</v>
      </c>
      <c r="Q609" s="72"/>
      <c r="R609">
        <v>10</v>
      </c>
      <c r="S609" t="str">
        <v>NOLA</v>
      </c>
      <c r="T609" t="str">
        <v>Cooper Coats</v>
      </c>
      <c r="U609" t="str">
        <v>NULL</v>
      </c>
      <c r="V609" t="str">
        <v>Away</v>
      </c>
      <c r="W609" t="str">
        <v>HOU</v>
      </c>
      <c r="X609">
        <v>8.0122056930150691</v>
      </c>
    </row>
    <row r="610" spans="8:24" x14ac:dyDescent="0.35">
      <c r="H610" s="66">
        <v>8</v>
      </c>
      <c r="I610" t="s">
        <v>34</v>
      </c>
      <c r="J610" t="s">
        <v>39</v>
      </c>
      <c r="K610" t="s">
        <v>256</v>
      </c>
      <c r="L610" t="s">
        <v>3</v>
      </c>
      <c r="M610" t="s">
        <v>2</v>
      </c>
      <c r="N610">
        <f t="shared" si="36"/>
        <v>9.4702903472301259</v>
      </c>
      <c r="O610" t="str">
        <f t="shared" si="37"/>
        <v/>
      </c>
      <c r="P610" s="67" cm="1">
        <f t="array" ref="P610">SUMPRODUCT((H610=$H$7:$H$10000)*(N610&lt;$N$7:$N$10000))+1</f>
        <v>40</v>
      </c>
      <c r="Q610" s="72"/>
      <c r="R610">
        <v>10</v>
      </c>
      <c r="S610" t="str">
        <v>NOLA</v>
      </c>
      <c r="T610" t="str">
        <v>Julian Roberts</v>
      </c>
      <c r="U610" t="str">
        <v>NULL</v>
      </c>
      <c r="V610" t="str">
        <v>Away</v>
      </c>
      <c r="W610" t="str">
        <v>HOU</v>
      </c>
      <c r="X610">
        <v>7.3665611847495578</v>
      </c>
    </row>
    <row r="611" spans="8:24" x14ac:dyDescent="0.35">
      <c r="H611" s="66">
        <v>8</v>
      </c>
      <c r="I611" t="s">
        <v>7</v>
      </c>
      <c r="J611" t="s">
        <v>77</v>
      </c>
      <c r="K611" t="s">
        <v>256</v>
      </c>
      <c r="L611" t="s">
        <v>3</v>
      </c>
      <c r="M611" t="s">
        <v>17</v>
      </c>
      <c r="N611">
        <f t="shared" si="36"/>
        <v>9.4255844212266773</v>
      </c>
      <c r="O611" t="str">
        <f t="shared" si="37"/>
        <v/>
      </c>
      <c r="P611" s="67" cm="1">
        <f t="array" ref="P611">SUMPRODUCT((H611=$H$7:$H$10000)*(N611&lt;$N$7:$N$10000))+1</f>
        <v>41</v>
      </c>
      <c r="Q611" s="72"/>
      <c r="R611">
        <v>10</v>
      </c>
      <c r="S611" t="str">
        <v>MIA</v>
      </c>
      <c r="T611" t="str">
        <v>Marcos Young</v>
      </c>
      <c r="U611" t="str">
        <v>NULL</v>
      </c>
      <c r="V611" t="str">
        <v>Away</v>
      </c>
      <c r="W611" t="str">
        <v>OGDC</v>
      </c>
      <c r="X611">
        <v>7.3651206648143015</v>
      </c>
    </row>
    <row r="612" spans="8:24" x14ac:dyDescent="0.35">
      <c r="H612" s="66">
        <v>8</v>
      </c>
      <c r="I612" t="s">
        <v>14</v>
      </c>
      <c r="J612" t="s">
        <v>83</v>
      </c>
      <c r="K612" t="s">
        <v>256</v>
      </c>
      <c r="L612" t="s">
        <v>3</v>
      </c>
      <c r="M612" t="s">
        <v>4</v>
      </c>
      <c r="N612">
        <f t="shared" si="36"/>
        <v>9.298655925138636</v>
      </c>
      <c r="O612" t="str">
        <f t="shared" si="37"/>
        <v/>
      </c>
      <c r="P612" s="67" cm="1">
        <f t="array" ref="P612">SUMPRODUCT((H612=$H$7:$H$10000)*(N612&lt;$N$7:$N$10000))+1</f>
        <v>42</v>
      </c>
      <c r="Q612" s="72"/>
      <c r="R612">
        <v>10</v>
      </c>
      <c r="S612" t="str">
        <v>MIA</v>
      </c>
      <c r="T612" t="str">
        <v>Martin Elias</v>
      </c>
      <c r="U612" t="str">
        <v>NULL</v>
      </c>
      <c r="V612" t="str">
        <v>Away</v>
      </c>
      <c r="W612" t="str">
        <v>OGDC</v>
      </c>
      <c r="X612">
        <v>7.3340567972118036</v>
      </c>
    </row>
    <row r="613" spans="8:24" x14ac:dyDescent="0.35">
      <c r="H613" s="66">
        <v>8</v>
      </c>
      <c r="I613" t="s">
        <v>4</v>
      </c>
      <c r="J613" t="s">
        <v>1</v>
      </c>
      <c r="K613" t="s">
        <v>256</v>
      </c>
      <c r="L613" t="s">
        <v>9</v>
      </c>
      <c r="M613" t="s">
        <v>14</v>
      </c>
      <c r="N613">
        <f t="shared" si="36"/>
        <v>9.2557544998210535</v>
      </c>
      <c r="O613" t="str">
        <f t="shared" si="37"/>
        <v/>
      </c>
      <c r="P613" s="67" cm="1">
        <f t="array" ref="P613">SUMPRODUCT((H613=$H$7:$H$10000)*(N613&lt;$N$7:$N$10000))+1</f>
        <v>43</v>
      </c>
      <c r="Q613" s="72"/>
      <c r="R613">
        <v>10</v>
      </c>
      <c r="S613" t="str">
        <v>CHI</v>
      </c>
      <c r="T613" t="str">
        <v>Ben Pollack</v>
      </c>
      <c r="U613" t="str">
        <v>NULL</v>
      </c>
      <c r="V613" t="str">
        <v>Away</v>
      </c>
      <c r="W613" t="str">
        <v>SEA</v>
      </c>
      <c r="X613">
        <v>7.2329592413254105</v>
      </c>
    </row>
    <row r="614" spans="8:24" x14ac:dyDescent="0.35">
      <c r="H614" s="66">
        <v>8</v>
      </c>
      <c r="I614" t="s">
        <v>6</v>
      </c>
      <c r="J614" t="s">
        <v>442</v>
      </c>
      <c r="K614" t="s">
        <v>256</v>
      </c>
      <c r="L614" t="s">
        <v>9</v>
      </c>
      <c r="M614" t="s">
        <v>36</v>
      </c>
      <c r="N614">
        <f t="shared" si="36"/>
        <v>9.0506917014731361</v>
      </c>
      <c r="O614" t="str">
        <f t="shared" si="37"/>
        <v/>
      </c>
      <c r="P614" s="67" cm="1">
        <f t="array" ref="P614">SUMPRODUCT((H614=$H$7:$H$10000)*(N614&lt;$N$7:$N$10000))+1</f>
        <v>44</v>
      </c>
      <c r="Q614" s="72"/>
      <c r="R614">
        <v>10</v>
      </c>
      <c r="S614" t="str">
        <v>MIA</v>
      </c>
      <c r="T614" t="str">
        <v>Tomas Malanos</v>
      </c>
      <c r="U614" t="str">
        <v>NULL</v>
      </c>
      <c r="V614" t="str">
        <v>Away</v>
      </c>
      <c r="W614" t="str">
        <v>OGDC</v>
      </c>
      <c r="X614">
        <v>7.1836324028251832</v>
      </c>
    </row>
    <row r="615" spans="8:24" x14ac:dyDescent="0.35">
      <c r="H615" s="66">
        <v>8</v>
      </c>
      <c r="I615" t="s">
        <v>2</v>
      </c>
      <c r="J615" t="s">
        <v>449</v>
      </c>
      <c r="K615" t="s">
        <v>256</v>
      </c>
      <c r="L615" t="s">
        <v>9</v>
      </c>
      <c r="M615" t="s">
        <v>34</v>
      </c>
      <c r="N615">
        <f t="shared" si="36"/>
        <v>8.5763507813626703</v>
      </c>
      <c r="O615" t="str">
        <f t="shared" si="37"/>
        <v/>
      </c>
      <c r="P615" s="67" cm="1">
        <f t="array" ref="P615">SUMPRODUCT((H615=$H$7:$H$10000)*(N615&lt;$N$7:$N$10000))+1</f>
        <v>45</v>
      </c>
      <c r="Q615" s="72"/>
      <c r="R615">
        <v>10</v>
      </c>
      <c r="S615" t="str">
        <v>MIA</v>
      </c>
      <c r="T615" t="str">
        <v>Tomás Inciarte</v>
      </c>
      <c r="U615" t="str">
        <v>NULL</v>
      </c>
      <c r="V615" t="str">
        <v>Away</v>
      </c>
      <c r="W615" t="str">
        <v>OGDC</v>
      </c>
      <c r="X615">
        <v>7.0146095555904981</v>
      </c>
    </row>
    <row r="616" spans="8:24" x14ac:dyDescent="0.35">
      <c r="H616" s="66">
        <v>8</v>
      </c>
      <c r="I616" t="s">
        <v>14</v>
      </c>
      <c r="J616" t="s">
        <v>438</v>
      </c>
      <c r="K616" t="s">
        <v>256</v>
      </c>
      <c r="L616" t="s">
        <v>3</v>
      </c>
      <c r="M616" t="s">
        <v>4</v>
      </c>
      <c r="N616">
        <f t="shared" si="36"/>
        <v>8.388791053619352</v>
      </c>
      <c r="O616" t="str">
        <f t="shared" si="37"/>
        <v/>
      </c>
      <c r="P616" s="67" cm="1">
        <f t="array" ref="P616">SUMPRODUCT((H616=$H$7:$H$10000)*(N616&lt;$N$7:$N$10000))+1</f>
        <v>46</v>
      </c>
      <c r="Q616" s="72"/>
      <c r="R616">
        <v>10</v>
      </c>
      <c r="S616" t="str">
        <v>NOLA</v>
      </c>
      <c r="T616" t="str">
        <v>Xavier Mignot</v>
      </c>
      <c r="U616" t="str">
        <v>NULL</v>
      </c>
      <c r="V616" t="str">
        <v>Away</v>
      </c>
      <c r="W616" t="str">
        <v>HOU</v>
      </c>
      <c r="X616">
        <v>6.9235179747447164</v>
      </c>
    </row>
    <row r="617" spans="8:24" x14ac:dyDescent="0.35">
      <c r="H617" s="66">
        <v>8</v>
      </c>
      <c r="I617" t="s">
        <v>36</v>
      </c>
      <c r="J617" t="s">
        <v>490</v>
      </c>
      <c r="K617" t="s">
        <v>256</v>
      </c>
      <c r="L617" t="s">
        <v>3</v>
      </c>
      <c r="M617" t="s">
        <v>6</v>
      </c>
      <c r="N617">
        <f t="shared" si="36"/>
        <v>8.2925553928474436</v>
      </c>
      <c r="O617" t="str">
        <f t="shared" si="37"/>
        <v/>
      </c>
      <c r="P617" s="67" cm="1">
        <f t="array" ref="P617">SUMPRODUCT((H617=$H$7:$H$10000)*(N617&lt;$N$7:$N$10000))+1</f>
        <v>47</v>
      </c>
      <c r="Q617" s="72"/>
      <c r="R617">
        <v>10</v>
      </c>
      <c r="S617" t="str">
        <v>MIA</v>
      </c>
      <c r="T617" t="str">
        <v>Tomás Cubelli</v>
      </c>
      <c r="U617" t="str">
        <v>NULL</v>
      </c>
      <c r="V617" t="str">
        <v>Away</v>
      </c>
      <c r="W617" t="str">
        <v>OGDC</v>
      </c>
      <c r="X617">
        <v>6.8439209171025013</v>
      </c>
    </row>
    <row r="618" spans="8:24" x14ac:dyDescent="0.35">
      <c r="H618" s="66">
        <v>8</v>
      </c>
      <c r="I618" t="s">
        <v>34</v>
      </c>
      <c r="J618" t="s">
        <v>51</v>
      </c>
      <c r="K618" t="s">
        <v>256</v>
      </c>
      <c r="L618" t="s">
        <v>3</v>
      </c>
      <c r="M618" t="s">
        <v>2</v>
      </c>
      <c r="N618">
        <f t="shared" si="36"/>
        <v>8.1171080339486767</v>
      </c>
      <c r="O618" t="str">
        <f t="shared" si="37"/>
        <v/>
      </c>
      <c r="P618" s="67" cm="1">
        <f t="array" ref="P618">SUMPRODUCT((H618=$H$7:$H$10000)*(N618&lt;$N$7:$N$10000))+1</f>
        <v>48</v>
      </c>
      <c r="Q618" s="72"/>
      <c r="R618">
        <v>10</v>
      </c>
      <c r="S618" t="str">
        <v>HOU</v>
      </c>
      <c r="T618" t="str">
        <v>AJ Alatimu</v>
      </c>
      <c r="U618" t="str">
        <v>NULL</v>
      </c>
      <c r="V618" t="str">
        <v>Home</v>
      </c>
      <c r="W618" t="str">
        <v>NOLA</v>
      </c>
      <c r="X618">
        <v>6.8238956033340923</v>
      </c>
    </row>
    <row r="619" spans="8:24" x14ac:dyDescent="0.35">
      <c r="H619" s="66">
        <v>8</v>
      </c>
      <c r="I619" t="s">
        <v>6</v>
      </c>
      <c r="J619" t="s">
        <v>437</v>
      </c>
      <c r="K619" t="s">
        <v>256</v>
      </c>
      <c r="L619" t="s">
        <v>9</v>
      </c>
      <c r="M619" t="s">
        <v>36</v>
      </c>
      <c r="N619">
        <f t="shared" si="36"/>
        <v>8.0809097860451509</v>
      </c>
      <c r="O619" t="str">
        <f t="shared" si="37"/>
        <v/>
      </c>
      <c r="P619" s="67" cm="1">
        <f t="array" ref="P619">SUMPRODUCT((H619=$H$7:$H$10000)*(N619&lt;$N$7:$N$10000))+1</f>
        <v>49</v>
      </c>
      <c r="Q619" s="72"/>
      <c r="R619">
        <v>10</v>
      </c>
      <c r="S619" t="str">
        <v>OGDC</v>
      </c>
      <c r="T619" t="str">
        <v>Jason Emery</v>
      </c>
      <c r="U619" t="str">
        <v>NULL</v>
      </c>
      <c r="V619" t="str">
        <v>Home</v>
      </c>
      <c r="W619" t="str">
        <v>MIA</v>
      </c>
      <c r="X619">
        <v>6.7468504693794573</v>
      </c>
    </row>
    <row r="620" spans="8:24" x14ac:dyDescent="0.35">
      <c r="H620" s="66">
        <v>8</v>
      </c>
      <c r="I620" t="s">
        <v>6</v>
      </c>
      <c r="J620" t="s">
        <v>75</v>
      </c>
      <c r="K620" t="s">
        <v>256</v>
      </c>
      <c r="L620" t="s">
        <v>9</v>
      </c>
      <c r="M620" t="s">
        <v>36</v>
      </c>
      <c r="N620">
        <f t="shared" si="36"/>
        <v>7.8257955739006171</v>
      </c>
      <c r="O620" t="str">
        <f t="shared" si="37"/>
        <v/>
      </c>
      <c r="P620" s="67" cm="1">
        <f t="array" ref="P620">SUMPRODUCT((H620=$H$7:$H$10000)*(N620&lt;$N$7:$N$10000))+1</f>
        <v>50</v>
      </c>
      <c r="Q620" s="72"/>
      <c r="R620">
        <v>10</v>
      </c>
      <c r="S620" t="str">
        <v>UTAH</v>
      </c>
      <c r="T620" t="str">
        <v>Blake Makiri</v>
      </c>
      <c r="U620" t="str">
        <v>NULL</v>
      </c>
      <c r="V620" t="str">
        <v>Away</v>
      </c>
      <c r="W620" t="str">
        <v>SDL</v>
      </c>
      <c r="X620">
        <v>6.7088819499386005</v>
      </c>
    </row>
    <row r="621" spans="8:24" x14ac:dyDescent="0.35">
      <c r="H621" s="66">
        <v>8</v>
      </c>
      <c r="I621" t="s">
        <v>17</v>
      </c>
      <c r="J621" t="s">
        <v>492</v>
      </c>
      <c r="K621" t="s">
        <v>256</v>
      </c>
      <c r="L621" t="s">
        <v>9</v>
      </c>
      <c r="M621" t="s">
        <v>7</v>
      </c>
      <c r="N621">
        <f t="shared" si="36"/>
        <v>7.8227415287656736</v>
      </c>
      <c r="O621" t="str">
        <f t="shared" si="37"/>
        <v/>
      </c>
      <c r="P621" s="67" cm="1">
        <f t="array" ref="P621">SUMPRODUCT((H621=$H$7:$H$10000)*(N621&lt;$N$7:$N$10000))+1</f>
        <v>51</v>
      </c>
      <c r="Q621" s="72"/>
      <c r="R621">
        <v>10</v>
      </c>
      <c r="S621" t="str">
        <v>SEA</v>
      </c>
      <c r="T621" t="str">
        <v>Lauina Futi</v>
      </c>
      <c r="U621" t="str">
        <v>NULL</v>
      </c>
      <c r="V621" t="str">
        <v>Home</v>
      </c>
      <c r="W621" t="str">
        <v>CHI</v>
      </c>
      <c r="X621">
        <v>6.6690906328350614</v>
      </c>
    </row>
    <row r="622" spans="8:24" x14ac:dyDescent="0.35">
      <c r="H622" s="66">
        <v>8</v>
      </c>
      <c r="I622" t="s">
        <v>2</v>
      </c>
      <c r="J622" t="s">
        <v>63</v>
      </c>
      <c r="K622" t="s">
        <v>256</v>
      </c>
      <c r="L622" t="s">
        <v>9</v>
      </c>
      <c r="M622" t="s">
        <v>34</v>
      </c>
      <c r="N622">
        <f t="shared" si="36"/>
        <v>7.6850817455657543</v>
      </c>
      <c r="O622" t="str">
        <f t="shared" si="37"/>
        <v/>
      </c>
      <c r="P622" s="67" cm="1">
        <f t="array" ref="P622">SUMPRODUCT((H622=$H$7:$H$10000)*(N622&lt;$N$7:$N$10000))+1</f>
        <v>52</v>
      </c>
      <c r="Q622" s="72"/>
      <c r="R622">
        <v>10</v>
      </c>
      <c r="S622" t="str">
        <v>NOLA</v>
      </c>
      <c r="T622" t="str">
        <v>Ed Fidow</v>
      </c>
      <c r="U622" t="str">
        <v>NULL</v>
      </c>
      <c r="V622" t="str">
        <v>Away</v>
      </c>
      <c r="W622" t="str">
        <v>HOU</v>
      </c>
      <c r="X622">
        <v>6.651150636305772</v>
      </c>
    </row>
    <row r="623" spans="8:24" x14ac:dyDescent="0.35">
      <c r="H623" s="66">
        <v>8</v>
      </c>
      <c r="I623" t="s">
        <v>6</v>
      </c>
      <c r="J623" t="s">
        <v>43</v>
      </c>
      <c r="K623" t="s">
        <v>256</v>
      </c>
      <c r="L623" t="s">
        <v>9</v>
      </c>
      <c r="M623" t="s">
        <v>36</v>
      </c>
      <c r="N623">
        <f t="shared" si="36"/>
        <v>7.332705278316392</v>
      </c>
      <c r="O623" t="str">
        <f t="shared" si="37"/>
        <v/>
      </c>
      <c r="P623" s="67" cm="1">
        <f t="array" ref="P623">SUMPRODUCT((H623=$H$7:$H$10000)*(N623&lt;$N$7:$N$10000))+1</f>
        <v>53</v>
      </c>
      <c r="Q623" s="72"/>
      <c r="R623">
        <v>10</v>
      </c>
      <c r="S623" t="str">
        <v>ARC</v>
      </c>
      <c r="T623" t="str">
        <v>Jason Tidwell</v>
      </c>
      <c r="U623" t="str">
        <v>NULL</v>
      </c>
      <c r="V623" t="str">
        <v>Home</v>
      </c>
      <c r="W623" t="str">
        <v>NEFJ</v>
      </c>
      <c r="X623">
        <v>6.6475619512247981</v>
      </c>
    </row>
    <row r="624" spans="8:24" x14ac:dyDescent="0.35">
      <c r="H624" s="66">
        <v>8</v>
      </c>
      <c r="I624" t="s">
        <v>23</v>
      </c>
      <c r="J624" t="s">
        <v>443</v>
      </c>
      <c r="K624" t="s">
        <v>256</v>
      </c>
      <c r="L624" t="s">
        <v>3</v>
      </c>
      <c r="M624" t="s">
        <v>24</v>
      </c>
      <c r="N624">
        <f t="shared" si="36"/>
        <v>7.3284353857762419</v>
      </c>
      <c r="O624" t="str">
        <f t="shared" si="37"/>
        <v/>
      </c>
      <c r="P624" s="67" cm="1">
        <f t="array" ref="P624">SUMPRODUCT((H624=$H$7:$H$10000)*(N624&lt;$N$7:$N$10000))+1</f>
        <v>54</v>
      </c>
      <c r="Q624" s="72"/>
      <c r="R624">
        <v>10</v>
      </c>
      <c r="S624" t="str">
        <v>CHI</v>
      </c>
      <c r="T624" t="str">
        <v>Bryce Campbell</v>
      </c>
      <c r="U624" t="str">
        <v>NULL</v>
      </c>
      <c r="V624" t="str">
        <v>Away</v>
      </c>
      <c r="W624" t="str">
        <v>SEA</v>
      </c>
      <c r="X624">
        <v>6.602072854073727</v>
      </c>
    </row>
    <row r="625" spans="8:24" x14ac:dyDescent="0.35">
      <c r="H625" s="66">
        <v>8</v>
      </c>
      <c r="I625" t="s">
        <v>6</v>
      </c>
      <c r="J625" t="s">
        <v>454</v>
      </c>
      <c r="K625" t="s">
        <v>256</v>
      </c>
      <c r="L625" t="s">
        <v>9</v>
      </c>
      <c r="M625" t="s">
        <v>36</v>
      </c>
      <c r="N625">
        <f t="shared" si="36"/>
        <v>7.034039610666647</v>
      </c>
      <c r="O625" t="str">
        <f t="shared" si="37"/>
        <v/>
      </c>
      <c r="P625" s="67" cm="1">
        <f t="array" ref="P625">SUMPRODUCT((H625=$H$7:$H$10000)*(N625&lt;$N$7:$N$10000))+1</f>
        <v>55</v>
      </c>
      <c r="Q625" s="72"/>
      <c r="R625">
        <v>10</v>
      </c>
      <c r="S625" t="str">
        <v>UTAH</v>
      </c>
      <c r="T625" t="str">
        <v>Spencer Jones</v>
      </c>
      <c r="U625" t="str">
        <v>NULL</v>
      </c>
      <c r="V625" t="str">
        <v>Away</v>
      </c>
      <c r="W625" t="str">
        <v>SDL</v>
      </c>
      <c r="X625">
        <v>6.0556310229287718</v>
      </c>
    </row>
    <row r="626" spans="8:24" x14ac:dyDescent="0.35">
      <c r="H626" s="66">
        <v>8</v>
      </c>
      <c r="I626" t="s">
        <v>24</v>
      </c>
      <c r="J626" t="s">
        <v>402</v>
      </c>
      <c r="K626" t="s">
        <v>256</v>
      </c>
      <c r="L626" t="s">
        <v>9</v>
      </c>
      <c r="M626" t="s">
        <v>23</v>
      </c>
      <c r="N626">
        <f t="shared" si="36"/>
        <v>7.0109095218825948</v>
      </c>
      <c r="O626" t="str">
        <f t="shared" si="37"/>
        <v/>
      </c>
      <c r="P626" s="67" cm="1">
        <f t="array" ref="P626">SUMPRODUCT((H626=$H$7:$H$10000)*(N626&lt;$N$7:$N$10000))+1</f>
        <v>56</v>
      </c>
      <c r="Q626" s="72"/>
      <c r="R626">
        <v>10</v>
      </c>
      <c r="S626" t="str">
        <v>MIA</v>
      </c>
      <c r="T626" t="str">
        <v>Santiago Videla</v>
      </c>
      <c r="U626" t="str">
        <v>NULL</v>
      </c>
      <c r="V626" t="str">
        <v>Away</v>
      </c>
      <c r="W626" t="str">
        <v>OGDC</v>
      </c>
      <c r="X626">
        <v>6.0439076574437163</v>
      </c>
    </row>
    <row r="627" spans="8:24" x14ac:dyDescent="0.35">
      <c r="H627" s="66">
        <v>8</v>
      </c>
      <c r="I627" t="s">
        <v>17</v>
      </c>
      <c r="J627" t="s">
        <v>196</v>
      </c>
      <c r="K627" t="s">
        <v>256</v>
      </c>
      <c r="L627" t="s">
        <v>9</v>
      </c>
      <c r="M627" t="s">
        <v>7</v>
      </c>
      <c r="N627">
        <f t="shared" si="36"/>
        <v>6.9676562632098502</v>
      </c>
      <c r="O627" t="str">
        <f t="shared" si="37"/>
        <v/>
      </c>
      <c r="P627" s="67" cm="1">
        <f t="array" ref="P627">SUMPRODUCT((H627=$H$7:$H$10000)*(N627&lt;$N$7:$N$10000))+1</f>
        <v>57</v>
      </c>
      <c r="Q627" s="72"/>
      <c r="R627">
        <v>10</v>
      </c>
      <c r="S627" t="str">
        <v>ARC</v>
      </c>
      <c r="T627" t="str">
        <v>Junior Gafa</v>
      </c>
      <c r="U627" t="str">
        <v>NULL</v>
      </c>
      <c r="V627" t="str">
        <v>Home</v>
      </c>
      <c r="W627" t="str">
        <v>NEFJ</v>
      </c>
      <c r="X627">
        <v>5.9976051725120776</v>
      </c>
    </row>
    <row r="628" spans="8:24" x14ac:dyDescent="0.35">
      <c r="H628" s="66">
        <v>8</v>
      </c>
      <c r="I628" t="s">
        <v>23</v>
      </c>
      <c r="J628" t="s">
        <v>127</v>
      </c>
      <c r="K628" t="s">
        <v>256</v>
      </c>
      <c r="L628" t="s">
        <v>3</v>
      </c>
      <c r="M628" t="s">
        <v>24</v>
      </c>
      <c r="N628">
        <f t="shared" si="36"/>
        <v>6.7815313039089746</v>
      </c>
      <c r="O628" t="str">
        <f t="shared" si="37"/>
        <v/>
      </c>
      <c r="P628" s="67" cm="1">
        <f t="array" ref="P628">SUMPRODUCT((H628=$H$7:$H$10000)*(N628&lt;$N$7:$N$10000))+1</f>
        <v>58</v>
      </c>
      <c r="Q628" s="72"/>
      <c r="R628">
        <v>10</v>
      </c>
      <c r="S628" t="str">
        <v>NEFJ</v>
      </c>
      <c r="T628" t="str">
        <v>Killian Coghlan</v>
      </c>
      <c r="U628" t="str">
        <v>NULL</v>
      </c>
      <c r="V628" t="str">
        <v>Away</v>
      </c>
      <c r="W628" t="str">
        <v>ARC</v>
      </c>
      <c r="X628">
        <v>5.8989268177539724</v>
      </c>
    </row>
    <row r="629" spans="8:24" x14ac:dyDescent="0.35">
      <c r="H629" s="66">
        <v>8</v>
      </c>
      <c r="I629" t="s">
        <v>36</v>
      </c>
      <c r="J629" t="s">
        <v>48</v>
      </c>
      <c r="K629" t="s">
        <v>256</v>
      </c>
      <c r="L629" t="s">
        <v>3</v>
      </c>
      <c r="M629" t="s">
        <v>6</v>
      </c>
      <c r="N629">
        <f t="shared" si="36"/>
        <v>6.7211972252442678</v>
      </c>
      <c r="O629" t="str">
        <f t="shared" si="37"/>
        <v/>
      </c>
      <c r="P629" s="67" cm="1">
        <f t="array" ref="P629">SUMPRODUCT((H629=$H$7:$H$10000)*(N629&lt;$N$7:$N$10000))+1</f>
        <v>59</v>
      </c>
      <c r="Q629" s="72"/>
      <c r="R629">
        <v>10</v>
      </c>
      <c r="S629" t="str">
        <v>NOLA</v>
      </c>
      <c r="T629" t="str">
        <v>JP Du Plessis</v>
      </c>
      <c r="U629" t="str">
        <v>NULL</v>
      </c>
      <c r="V629" t="str">
        <v>Away</v>
      </c>
      <c r="W629" t="str">
        <v>HOU</v>
      </c>
      <c r="X629">
        <v>5.824962116625942</v>
      </c>
    </row>
    <row r="630" spans="8:24" x14ac:dyDescent="0.35">
      <c r="H630" s="66">
        <v>8</v>
      </c>
      <c r="I630" t="s">
        <v>2</v>
      </c>
      <c r="J630" t="s">
        <v>455</v>
      </c>
      <c r="K630" t="s">
        <v>256</v>
      </c>
      <c r="L630" t="s">
        <v>9</v>
      </c>
      <c r="M630" t="s">
        <v>34</v>
      </c>
      <c r="N630">
        <f t="shared" si="36"/>
        <v>6.6576639048531874</v>
      </c>
      <c r="O630" t="str">
        <f t="shared" si="37"/>
        <v/>
      </c>
      <c r="P630" s="67" cm="1">
        <f t="array" ref="P630">SUMPRODUCT((H630=$H$7:$H$10000)*(N630&lt;$N$7:$N$10000))+1</f>
        <v>60</v>
      </c>
      <c r="Q630" s="72"/>
      <c r="R630">
        <v>10</v>
      </c>
      <c r="S630" t="str">
        <v>CHI</v>
      </c>
      <c r="T630" t="str">
        <v>Mitch Short</v>
      </c>
      <c r="U630" t="str">
        <v>NULL</v>
      </c>
      <c r="V630" t="str">
        <v>Away</v>
      </c>
      <c r="W630" t="str">
        <v>SEA</v>
      </c>
      <c r="X630">
        <v>5.7353811387323486</v>
      </c>
    </row>
    <row r="631" spans="8:24" x14ac:dyDescent="0.35">
      <c r="H631" s="66">
        <v>8</v>
      </c>
      <c r="I631" t="s">
        <v>17</v>
      </c>
      <c r="J631" t="s">
        <v>497</v>
      </c>
      <c r="K631" t="s">
        <v>256</v>
      </c>
      <c r="L631" t="s">
        <v>9</v>
      </c>
      <c r="M631" t="s">
        <v>7</v>
      </c>
      <c r="N631">
        <f t="shared" si="36"/>
        <v>6.5182385112608499</v>
      </c>
      <c r="O631" t="str">
        <f t="shared" si="37"/>
        <v/>
      </c>
      <c r="P631" s="67" cm="1">
        <f t="array" ref="P631">SUMPRODUCT((H631=$H$7:$H$10000)*(N631&lt;$N$7:$N$10000))+1</f>
        <v>61</v>
      </c>
      <c r="Q631" s="72"/>
      <c r="R631">
        <v>10</v>
      </c>
      <c r="S631" t="str">
        <v>HOU</v>
      </c>
      <c r="T631" t="str">
        <v>Rufus McLean</v>
      </c>
      <c r="U631" t="str">
        <v>NULL</v>
      </c>
      <c r="V631" t="str">
        <v>Home</v>
      </c>
      <c r="W631" t="str">
        <v>NOLA</v>
      </c>
      <c r="X631">
        <v>5.3445532390844814</v>
      </c>
    </row>
    <row r="632" spans="8:24" x14ac:dyDescent="0.35">
      <c r="H632" s="66">
        <v>8</v>
      </c>
      <c r="I632" t="s">
        <v>4</v>
      </c>
      <c r="J632" t="s">
        <v>493</v>
      </c>
      <c r="K632" t="s">
        <v>256</v>
      </c>
      <c r="L632" t="s">
        <v>9</v>
      </c>
      <c r="M632" t="s">
        <v>14</v>
      </c>
      <c r="N632">
        <f t="shared" si="36"/>
        <v>6.5160449131359766</v>
      </c>
      <c r="O632" t="str">
        <f t="shared" si="37"/>
        <v/>
      </c>
      <c r="P632" s="67" cm="1">
        <f t="array" ref="P632">SUMPRODUCT((H632=$H$7:$H$10000)*(N632&lt;$N$7:$N$10000))+1</f>
        <v>62</v>
      </c>
      <c r="Q632" s="72"/>
      <c r="R632">
        <v>10</v>
      </c>
      <c r="S632" t="str">
        <v>SEA</v>
      </c>
      <c r="T632" t="str">
        <v>Dan Kriel</v>
      </c>
      <c r="U632" t="str">
        <v>NULL</v>
      </c>
      <c r="V632" t="str">
        <v>Home</v>
      </c>
      <c r="W632" t="str">
        <v>CHI</v>
      </c>
      <c r="X632">
        <v>5.3113355765915164</v>
      </c>
    </row>
    <row r="633" spans="8:24" x14ac:dyDescent="0.35">
      <c r="H633" s="66">
        <v>8</v>
      </c>
      <c r="I633" t="s">
        <v>36</v>
      </c>
      <c r="J633" t="s">
        <v>123</v>
      </c>
      <c r="K633" t="s">
        <v>256</v>
      </c>
      <c r="L633" t="s">
        <v>3</v>
      </c>
      <c r="M633" t="s">
        <v>6</v>
      </c>
      <c r="N633">
        <f t="shared" si="36"/>
        <v>6.4736343238739904</v>
      </c>
      <c r="O633" t="str">
        <f t="shared" si="37"/>
        <v/>
      </c>
      <c r="P633" s="67" cm="1">
        <f t="array" ref="P633">SUMPRODUCT((H633=$H$7:$H$10000)*(N633&lt;$N$7:$N$10000))+1</f>
        <v>63</v>
      </c>
      <c r="Q633" s="72"/>
      <c r="R633">
        <v>10</v>
      </c>
      <c r="S633" t="str">
        <v>HOU</v>
      </c>
      <c r="T633" t="str">
        <v>Max Schumacher</v>
      </c>
      <c r="U633" t="str">
        <v>NULL</v>
      </c>
      <c r="V633" t="str">
        <v>Home</v>
      </c>
      <c r="W633" t="str">
        <v>NOLA</v>
      </c>
      <c r="X633">
        <v>5.1977200789215008</v>
      </c>
    </row>
    <row r="634" spans="8:24" x14ac:dyDescent="0.35">
      <c r="H634" s="66">
        <v>8</v>
      </c>
      <c r="I634" t="s">
        <v>6</v>
      </c>
      <c r="J634" t="s">
        <v>451</v>
      </c>
      <c r="K634" t="s">
        <v>256</v>
      </c>
      <c r="L634" t="s">
        <v>9</v>
      </c>
      <c r="M634" t="s">
        <v>36</v>
      </c>
      <c r="N634">
        <f t="shared" si="36"/>
        <v>6.4227446576802993</v>
      </c>
      <c r="O634" t="str">
        <f t="shared" si="37"/>
        <v/>
      </c>
      <c r="P634" s="67" cm="1">
        <f t="array" ref="P634">SUMPRODUCT((H634=$H$7:$H$10000)*(N634&lt;$N$7:$N$10000))+1</f>
        <v>64</v>
      </c>
      <c r="Q634" s="72"/>
      <c r="R634">
        <v>10</v>
      </c>
      <c r="S634" t="str">
        <v>OGDC</v>
      </c>
      <c r="T634" t="str">
        <v>Perry Humphreys</v>
      </c>
      <c r="U634" t="str">
        <v>NULL</v>
      </c>
      <c r="V634" t="str">
        <v>Home</v>
      </c>
      <c r="W634" t="str">
        <v>MIA</v>
      </c>
      <c r="X634">
        <v>4.9628555905269831</v>
      </c>
    </row>
    <row r="635" spans="8:24" x14ac:dyDescent="0.35">
      <c r="H635" s="66">
        <v>8</v>
      </c>
      <c r="I635" t="s">
        <v>17</v>
      </c>
      <c r="J635" t="s">
        <v>37</v>
      </c>
      <c r="K635" t="s">
        <v>256</v>
      </c>
      <c r="L635" t="s">
        <v>9</v>
      </c>
      <c r="M635" t="s">
        <v>7</v>
      </c>
      <c r="N635">
        <f t="shared" si="36"/>
        <v>6.400138334601257</v>
      </c>
      <c r="O635" t="str">
        <f t="shared" si="37"/>
        <v/>
      </c>
      <c r="P635" s="67" cm="1">
        <f t="array" ref="P635">SUMPRODUCT((H635=$H$7:$H$10000)*(N635&lt;$N$7:$N$10000))+1</f>
        <v>65</v>
      </c>
      <c r="Q635" s="72"/>
      <c r="R635">
        <v>10</v>
      </c>
      <c r="S635" t="str">
        <v>OGDC</v>
      </c>
      <c r="T635" t="str">
        <v>Ethan McVeigh</v>
      </c>
      <c r="U635" t="str">
        <v>NULL</v>
      </c>
      <c r="V635" t="str">
        <v>Home</v>
      </c>
      <c r="W635" t="str">
        <v>MIA</v>
      </c>
      <c r="X635">
        <v>4.9299978985789981</v>
      </c>
    </row>
    <row r="636" spans="8:24" x14ac:dyDescent="0.35">
      <c r="H636" s="66">
        <v>8</v>
      </c>
      <c r="I636" t="s">
        <v>6</v>
      </c>
      <c r="J636" t="s">
        <v>64</v>
      </c>
      <c r="K636" t="s">
        <v>256</v>
      </c>
      <c r="L636" t="s">
        <v>9</v>
      </c>
      <c r="M636" t="s">
        <v>36</v>
      </c>
      <c r="N636">
        <f t="shared" si="36"/>
        <v>6.3818111126370987</v>
      </c>
      <c r="O636" t="str">
        <f t="shared" si="37"/>
        <v/>
      </c>
      <c r="P636" s="67" cm="1">
        <f t="array" ref="P636">SUMPRODUCT((H636=$H$7:$H$10000)*(N636&lt;$N$7:$N$10000))+1</f>
        <v>66</v>
      </c>
      <c r="Q636" s="72"/>
      <c r="R636">
        <v>10</v>
      </c>
      <c r="S636" t="str">
        <v>UTAH</v>
      </c>
      <c r="T636" t="str">
        <v>Kyle Brown</v>
      </c>
      <c r="U636" t="str">
        <v>NULL</v>
      </c>
      <c r="V636" t="str">
        <v>Away</v>
      </c>
      <c r="W636" t="str">
        <v>SDL</v>
      </c>
      <c r="X636">
        <v>4.4513253228738661</v>
      </c>
    </row>
    <row r="637" spans="8:24" x14ac:dyDescent="0.35">
      <c r="H637" s="66">
        <v>8</v>
      </c>
      <c r="I637" t="s">
        <v>24</v>
      </c>
      <c r="J637" t="s">
        <v>35</v>
      </c>
      <c r="K637" t="s">
        <v>256</v>
      </c>
      <c r="L637" t="s">
        <v>9</v>
      </c>
      <c r="M637" t="s">
        <v>23</v>
      </c>
      <c r="N637">
        <f t="shared" si="36"/>
        <v>6.2046111759663045</v>
      </c>
      <c r="O637" t="str">
        <f t="shared" si="37"/>
        <v/>
      </c>
      <c r="P637" s="67" cm="1">
        <f t="array" ref="P637">SUMPRODUCT((H637=$H$7:$H$10000)*(N637&lt;$N$7:$N$10000))+1</f>
        <v>67</v>
      </c>
      <c r="Q637" s="72"/>
      <c r="R637">
        <v>10</v>
      </c>
      <c r="S637" t="str">
        <v>ARC</v>
      </c>
      <c r="T637" t="str">
        <v>Conner Mooneyham</v>
      </c>
      <c r="U637" t="str">
        <v>NULL</v>
      </c>
      <c r="V637" t="str">
        <v>Home</v>
      </c>
      <c r="W637" t="str">
        <v>NEFJ</v>
      </c>
      <c r="X637">
        <v>4.1208382559080858</v>
      </c>
    </row>
    <row r="638" spans="8:24" x14ac:dyDescent="0.35">
      <c r="H638" s="66">
        <v>8</v>
      </c>
      <c r="I638" t="s">
        <v>2</v>
      </c>
      <c r="J638" t="s">
        <v>44</v>
      </c>
      <c r="K638" t="s">
        <v>256</v>
      </c>
      <c r="L638" t="s">
        <v>9</v>
      </c>
      <c r="M638" t="s">
        <v>34</v>
      </c>
      <c r="N638">
        <f t="shared" si="36"/>
        <v>6.0267775176015039</v>
      </c>
      <c r="O638" t="str">
        <f t="shared" si="37"/>
        <v/>
      </c>
      <c r="P638" s="67" cm="1">
        <f t="array" ref="P638">SUMPRODUCT((H638=$H$7:$H$10000)*(N638&lt;$N$7:$N$10000))+1</f>
        <v>68</v>
      </c>
      <c r="Q638" s="72"/>
      <c r="R638">
        <v>10</v>
      </c>
      <c r="S638" t="str">
        <v>HOU</v>
      </c>
      <c r="T638" t="str">
        <v>Tautalatasi Tasi</v>
      </c>
      <c r="U638" t="str">
        <v>NULL</v>
      </c>
      <c r="V638" t="str">
        <v>Home</v>
      </c>
      <c r="W638" t="str">
        <v>NOLA</v>
      </c>
      <c r="X638">
        <v>3.9223673426799381</v>
      </c>
    </row>
    <row r="639" spans="8:24" x14ac:dyDescent="0.35">
      <c r="H639" s="66">
        <v>8</v>
      </c>
      <c r="I639" t="s">
        <v>23</v>
      </c>
      <c r="J639" t="s">
        <v>456</v>
      </c>
      <c r="K639" t="s">
        <v>256</v>
      </c>
      <c r="L639" t="s">
        <v>3</v>
      </c>
      <c r="M639" t="s">
        <v>24</v>
      </c>
      <c r="N639">
        <f t="shared" si="36"/>
        <v>6.0187967853451338</v>
      </c>
      <c r="O639" t="str">
        <f t="shared" si="37"/>
        <v/>
      </c>
      <c r="P639" s="67" cm="1">
        <f t="array" ref="P639">SUMPRODUCT((H639=$H$7:$H$10000)*(N639&lt;$N$7:$N$10000))+1</f>
        <v>69</v>
      </c>
      <c r="Q639" s="72"/>
      <c r="R639">
        <v>10</v>
      </c>
      <c r="S639" t="str">
        <v>CHI</v>
      </c>
      <c r="T639" t="str">
        <v>Noah Brown</v>
      </c>
      <c r="U639" t="str">
        <v>NULL</v>
      </c>
      <c r="V639" t="str">
        <v>Away</v>
      </c>
      <c r="W639" t="str">
        <v>SEA</v>
      </c>
      <c r="X639">
        <v>3.803533902392422</v>
      </c>
    </row>
    <row r="640" spans="8:24" x14ac:dyDescent="0.35">
      <c r="H640" s="66">
        <v>8</v>
      </c>
      <c r="I640" t="s">
        <v>4</v>
      </c>
      <c r="J640" t="s">
        <v>188</v>
      </c>
      <c r="K640" t="s">
        <v>256</v>
      </c>
      <c r="L640" t="s">
        <v>9</v>
      </c>
      <c r="M640" t="s">
        <v>14</v>
      </c>
      <c r="N640">
        <f t="shared" si="36"/>
        <v>6.0180558097041317</v>
      </c>
      <c r="O640" t="str">
        <f t="shared" si="37"/>
        <v/>
      </c>
      <c r="P640" s="67" cm="1">
        <f t="array" ref="P640">SUMPRODUCT((H640=$H$7:$H$10000)*(N640&lt;$N$7:$N$10000))+1</f>
        <v>70</v>
      </c>
      <c r="Q640" s="72"/>
      <c r="R640">
        <v>10</v>
      </c>
      <c r="S640" t="str">
        <v>UTAH</v>
      </c>
      <c r="T640" t="str">
        <v>Logan Crowley</v>
      </c>
      <c r="U640" t="str">
        <v>NULL</v>
      </c>
      <c r="V640" t="str">
        <v>Away</v>
      </c>
      <c r="W640" t="str">
        <v>SDL</v>
      </c>
      <c r="X640">
        <v>3.7384495050452733</v>
      </c>
    </row>
    <row r="641" spans="8:24" x14ac:dyDescent="0.35">
      <c r="H641" s="66">
        <v>8</v>
      </c>
      <c r="I641" t="s">
        <v>23</v>
      </c>
      <c r="J641" t="s">
        <v>340</v>
      </c>
      <c r="K641" t="s">
        <v>256</v>
      </c>
      <c r="L641" t="s">
        <v>3</v>
      </c>
      <c r="M641" t="s">
        <v>24</v>
      </c>
      <c r="N641">
        <f t="shared" si="36"/>
        <v>5.7135533565361065</v>
      </c>
      <c r="O641" t="str">
        <f t="shared" si="37"/>
        <v/>
      </c>
      <c r="P641" s="67" cm="1">
        <f t="array" ref="P641">SUMPRODUCT((H641=$H$7:$H$10000)*(N641&lt;$N$7:$N$10000))+1</f>
        <v>71</v>
      </c>
      <c r="Q641" s="72"/>
      <c r="R641">
        <v>10</v>
      </c>
      <c r="S641" t="str">
        <v>CHI</v>
      </c>
      <c r="T641" t="str">
        <v>Mark O'Keeffe</v>
      </c>
      <c r="U641" t="str">
        <v>NULL</v>
      </c>
      <c r="V641" t="str">
        <v>Away</v>
      </c>
      <c r="W641" t="str">
        <v>SEA</v>
      </c>
      <c r="X641">
        <v>3.5437173480530841</v>
      </c>
    </row>
    <row r="642" spans="8:24" x14ac:dyDescent="0.35">
      <c r="H642" s="66">
        <v>8</v>
      </c>
      <c r="I642" t="s">
        <v>4</v>
      </c>
      <c r="J642" t="s">
        <v>452</v>
      </c>
      <c r="K642" t="s">
        <v>256</v>
      </c>
      <c r="L642" t="s">
        <v>9</v>
      </c>
      <c r="M642" t="s">
        <v>14</v>
      </c>
      <c r="N642">
        <f t="shared" si="36"/>
        <v>5.5706825620672467</v>
      </c>
      <c r="O642" t="str">
        <f t="shared" si="37"/>
        <v/>
      </c>
      <c r="P642" s="67" cm="1">
        <f t="array" ref="P642">SUMPRODUCT((H642=$H$7:$H$10000)*(N642&lt;$N$7:$N$10000))+1</f>
        <v>72</v>
      </c>
      <c r="Q642" s="72"/>
      <c r="R642">
        <v>10</v>
      </c>
      <c r="S642" t="str">
        <v>CHI</v>
      </c>
      <c r="T642" t="str">
        <v>Tim Swiel</v>
      </c>
      <c r="U642" t="str">
        <v>NULL</v>
      </c>
      <c r="V642" t="str">
        <v>Away</v>
      </c>
      <c r="W642" t="str">
        <v>SEA</v>
      </c>
      <c r="X642">
        <v>3.5336300061414176</v>
      </c>
    </row>
    <row r="643" spans="8:24" x14ac:dyDescent="0.35">
      <c r="H643" s="66">
        <v>8</v>
      </c>
      <c r="I643" t="s">
        <v>17</v>
      </c>
      <c r="J643" t="s">
        <v>450</v>
      </c>
      <c r="K643" t="s">
        <v>256</v>
      </c>
      <c r="L643" t="s">
        <v>9</v>
      </c>
      <c r="M643" t="s">
        <v>7</v>
      </c>
      <c r="N643">
        <f t="shared" si="36"/>
        <v>5.3983729192320311</v>
      </c>
      <c r="O643" t="str">
        <f t="shared" si="37"/>
        <v/>
      </c>
      <c r="P643" s="67" cm="1">
        <f t="array" ref="P643">SUMPRODUCT((H643=$H$7:$H$10000)*(N643&lt;$N$7:$N$10000))+1</f>
        <v>73</v>
      </c>
      <c r="Q643" s="72"/>
      <c r="R643">
        <v>10</v>
      </c>
      <c r="S643" t="str">
        <v>NEFJ</v>
      </c>
      <c r="T643" t="str">
        <v>Harrison Boyle</v>
      </c>
      <c r="U643" t="str">
        <v>NULL</v>
      </c>
      <c r="V643" t="str">
        <v>Away</v>
      </c>
      <c r="W643" t="str">
        <v>ARC</v>
      </c>
      <c r="X643">
        <v>3.4883786948246609</v>
      </c>
    </row>
    <row r="644" spans="8:24" x14ac:dyDescent="0.35">
      <c r="H644" s="66">
        <v>8</v>
      </c>
      <c r="I644" t="s">
        <v>36</v>
      </c>
      <c r="J644" t="s">
        <v>334</v>
      </c>
      <c r="K644" t="s">
        <v>256</v>
      </c>
      <c r="L644" t="s">
        <v>3</v>
      </c>
      <c r="M644" t="s">
        <v>6</v>
      </c>
      <c r="N644">
        <f t="shared" si="36"/>
        <v>5.1944186990026671</v>
      </c>
      <c r="O644" t="str">
        <f t="shared" si="37"/>
        <v/>
      </c>
      <c r="P644" s="67" cm="1">
        <f t="array" ref="P644">SUMPRODUCT((H644=$H$7:$H$10000)*(N644&lt;$N$7:$N$10000))+1</f>
        <v>74</v>
      </c>
      <c r="Q644" s="72"/>
      <c r="R644">
        <v>10</v>
      </c>
      <c r="S644" t="str">
        <v>ARC</v>
      </c>
      <c r="T644" t="str">
        <v>Carlo de Nysschen</v>
      </c>
      <c r="U644" t="str">
        <v>NULL</v>
      </c>
      <c r="V644" t="str">
        <v>Home</v>
      </c>
      <c r="W644" t="str">
        <v>NEFJ</v>
      </c>
      <c r="X644">
        <v>3.1674114379461633</v>
      </c>
    </row>
    <row r="645" spans="8:24" x14ac:dyDescent="0.35">
      <c r="H645" s="66">
        <v>8</v>
      </c>
      <c r="I645" t="s">
        <v>2</v>
      </c>
      <c r="J645" t="s">
        <v>441</v>
      </c>
      <c r="K645" t="s">
        <v>256</v>
      </c>
      <c r="L645" t="s">
        <v>9</v>
      </c>
      <c r="M645" t="s">
        <v>34</v>
      </c>
      <c r="N645">
        <f t="shared" si="36"/>
        <v>5.1600858022601255</v>
      </c>
      <c r="O645" t="str">
        <f t="shared" si="37"/>
        <v/>
      </c>
      <c r="P645" s="67" cm="1">
        <f t="array" ref="P645">SUMPRODUCT((H645=$H$7:$H$10000)*(N645&lt;$N$7:$N$10000))+1</f>
        <v>75</v>
      </c>
      <c r="Q645" s="72"/>
      <c r="R645">
        <v>10</v>
      </c>
      <c r="S645" t="str">
        <v>MIA</v>
      </c>
      <c r="T645" t="str">
        <v>Matias Orlando</v>
      </c>
      <c r="U645" t="str">
        <v>NULL</v>
      </c>
      <c r="V645" t="str">
        <v>Away</v>
      </c>
      <c r="W645" t="str">
        <v>OGDC</v>
      </c>
      <c r="X645">
        <v>3.1524962947604847</v>
      </c>
    </row>
    <row r="646" spans="8:24" x14ac:dyDescent="0.35">
      <c r="H646" s="66">
        <v>8</v>
      </c>
      <c r="I646" t="s">
        <v>17</v>
      </c>
      <c r="J646" t="s">
        <v>81</v>
      </c>
      <c r="K646" t="s">
        <v>256</v>
      </c>
      <c r="L646" t="s">
        <v>9</v>
      </c>
      <c r="M646" t="s">
        <v>7</v>
      </c>
      <c r="N646">
        <f t="shared" si="36"/>
        <v>4.3803030191072319</v>
      </c>
      <c r="O646" t="str">
        <f t="shared" si="37"/>
        <v/>
      </c>
      <c r="P646" s="67" cm="1">
        <f t="array" ref="P646">SUMPRODUCT((H646=$H$7:$H$10000)*(N646&lt;$N$7:$N$10000))+1</f>
        <v>76</v>
      </c>
      <c r="Q646" s="72"/>
      <c r="R646">
        <v>10</v>
      </c>
      <c r="S646" t="str">
        <v>NOLA</v>
      </c>
      <c r="T646" t="str">
        <v>Luke Carty</v>
      </c>
      <c r="U646" t="str">
        <v>NULL</v>
      </c>
      <c r="V646" t="str">
        <v>Away</v>
      </c>
      <c r="W646" t="str">
        <v>HOU</v>
      </c>
      <c r="X646">
        <v>3.0852525299408651</v>
      </c>
    </row>
    <row r="647" spans="8:24" x14ac:dyDescent="0.35">
      <c r="H647" s="66">
        <v>8</v>
      </c>
      <c r="I647" t="s">
        <v>14</v>
      </c>
      <c r="J647" t="s">
        <v>285</v>
      </c>
      <c r="K647" t="s">
        <v>256</v>
      </c>
      <c r="L647" t="s">
        <v>3</v>
      </c>
      <c r="M647" t="s">
        <v>4</v>
      </c>
      <c r="N647">
        <f t="shared" si="36"/>
        <v>4.3465824493427085</v>
      </c>
      <c r="O647" t="str">
        <f t="shared" si="37"/>
        <v/>
      </c>
      <c r="P647" s="67" cm="1">
        <f t="array" ref="P647">SUMPRODUCT((H647=$H$7:$H$10000)*(N647&lt;$N$7:$N$10000))+1</f>
        <v>77</v>
      </c>
      <c r="Q647" s="72"/>
      <c r="R647">
        <v>10</v>
      </c>
      <c r="S647" t="str">
        <v>SEA</v>
      </c>
      <c r="T647" t="str">
        <v>Jade Stighling</v>
      </c>
      <c r="U647" t="str">
        <v>NULL</v>
      </c>
      <c r="V647" t="str">
        <v>Home</v>
      </c>
      <c r="W647" t="str">
        <v>CHI</v>
      </c>
      <c r="X647">
        <v>3.0359797406544784</v>
      </c>
    </row>
    <row r="648" spans="8:24" x14ac:dyDescent="0.35">
      <c r="H648" s="66">
        <v>8</v>
      </c>
      <c r="I648" t="s">
        <v>24</v>
      </c>
      <c r="J648" t="s">
        <v>459</v>
      </c>
      <c r="K648" t="s">
        <v>256</v>
      </c>
      <c r="L648" t="s">
        <v>9</v>
      </c>
      <c r="M648" t="s">
        <v>23</v>
      </c>
      <c r="N648">
        <f t="shared" si="36"/>
        <v>3.8820160416122542</v>
      </c>
      <c r="O648" t="str">
        <f t="shared" si="37"/>
        <v/>
      </c>
      <c r="P648" s="67" cm="1">
        <f t="array" ref="P648">SUMPRODUCT((H648=$H$7:$H$10000)*(N648&lt;$N$7:$N$10000))+1</f>
        <v>78</v>
      </c>
      <c r="Q648" s="72"/>
      <c r="R648">
        <v>10</v>
      </c>
      <c r="S648" t="str">
        <v>NEFJ</v>
      </c>
      <c r="T648" t="str">
        <v>John Poland</v>
      </c>
      <c r="U648" t="str">
        <v>NULL</v>
      </c>
      <c r="V648" t="str">
        <v>Away</v>
      </c>
      <c r="W648" t="str">
        <v>ARC</v>
      </c>
      <c r="X648">
        <v>2.9414746129573937</v>
      </c>
    </row>
    <row r="649" spans="8:24" x14ac:dyDescent="0.35">
      <c r="H649" s="66">
        <v>8</v>
      </c>
      <c r="I649" t="s">
        <v>14</v>
      </c>
      <c r="J649" t="s">
        <v>11</v>
      </c>
      <c r="K649" t="s">
        <v>256</v>
      </c>
      <c r="L649" t="s">
        <v>3</v>
      </c>
      <c r="M649" t="s">
        <v>4</v>
      </c>
      <c r="N649">
        <f t="shared" si="36"/>
        <v>3.696625670629988</v>
      </c>
      <c r="O649" t="str">
        <f t="shared" si="37"/>
        <v/>
      </c>
      <c r="P649" s="67" cm="1">
        <f t="array" ref="P649">SUMPRODUCT((H649=$H$7:$H$10000)*(N649&lt;$N$7:$N$10000))+1</f>
        <v>79</v>
      </c>
      <c r="Q649" s="72"/>
      <c r="R649">
        <v>10</v>
      </c>
      <c r="S649" t="str">
        <v>NOLA</v>
      </c>
      <c r="T649" t="str">
        <v>Dorian Jones</v>
      </c>
      <c r="U649" t="str">
        <v>NULL</v>
      </c>
      <c r="V649" t="str">
        <v>Away</v>
      </c>
      <c r="W649" t="str">
        <v>HOU</v>
      </c>
      <c r="X649">
        <v>2.5872634265090202</v>
      </c>
    </row>
    <row r="650" spans="8:24" x14ac:dyDescent="0.35">
      <c r="H650" s="66">
        <v>8</v>
      </c>
      <c r="I650" t="s">
        <v>36</v>
      </c>
      <c r="J650" t="s">
        <v>73</v>
      </c>
      <c r="K650" t="s">
        <v>256</v>
      </c>
      <c r="L650" t="s">
        <v>3</v>
      </c>
      <c r="M650" t="s">
        <v>6</v>
      </c>
      <c r="N650">
        <f t="shared" si="36"/>
        <v>3.3643011196118735</v>
      </c>
      <c r="O650" t="str">
        <f t="shared" si="37"/>
        <v/>
      </c>
      <c r="P650" s="67" cm="1">
        <f t="array" ref="P650">SUMPRODUCT((H650=$H$7:$H$10000)*(N650&lt;$N$7:$N$10000))+1</f>
        <v>80</v>
      </c>
      <c r="Q650" s="72"/>
      <c r="R650">
        <v>10</v>
      </c>
      <c r="S650" t="str">
        <v>SEA</v>
      </c>
      <c r="T650" t="str">
        <v>Jeremiah Sio</v>
      </c>
      <c r="U650" t="str">
        <v>NULL</v>
      </c>
      <c r="V650" t="str">
        <v>Home</v>
      </c>
      <c r="W650" t="str">
        <v>CHI</v>
      </c>
      <c r="X650">
        <v>2.4099498624193858</v>
      </c>
    </row>
    <row r="651" spans="8:24" x14ac:dyDescent="0.35">
      <c r="H651" s="66">
        <v>8</v>
      </c>
      <c r="I651" t="s">
        <v>2</v>
      </c>
      <c r="J651" t="s">
        <v>90</v>
      </c>
      <c r="K651" t="s">
        <v>256</v>
      </c>
      <c r="L651" t="s">
        <v>9</v>
      </c>
      <c r="M651" t="s">
        <v>34</v>
      </c>
      <c r="N651">
        <f t="shared" si="36"/>
        <v>3.2282385659201989</v>
      </c>
      <c r="O651" t="str">
        <f t="shared" si="37"/>
        <v/>
      </c>
      <c r="P651" s="67" cm="1">
        <f t="array" ref="P651">SUMPRODUCT((H651=$H$7:$H$10000)*(N651&lt;$N$7:$N$10000))+1</f>
        <v>81</v>
      </c>
      <c r="Q651" s="72"/>
      <c r="R651">
        <v>10</v>
      </c>
      <c r="S651" t="str">
        <v>HOU</v>
      </c>
      <c r="T651" t="str">
        <v>Sam Hill</v>
      </c>
      <c r="U651" t="str">
        <v>NULL</v>
      </c>
      <c r="V651" t="str">
        <v>Home</v>
      </c>
      <c r="W651" t="str">
        <v>NOLA</v>
      </c>
      <c r="X651">
        <v>2.3510091750767632</v>
      </c>
    </row>
    <row r="652" spans="8:24" x14ac:dyDescent="0.35">
      <c r="H652" s="66">
        <v>8</v>
      </c>
      <c r="I652" t="s">
        <v>4</v>
      </c>
      <c r="J652" t="s">
        <v>475</v>
      </c>
      <c r="K652" t="s">
        <v>256</v>
      </c>
      <c r="L652" t="s">
        <v>9</v>
      </c>
      <c r="M652" t="s">
        <v>14</v>
      </c>
      <c r="N652">
        <f t="shared" ref="N652:N715" si="38">VLOOKUP($L652,$F$3:$G$4,2,FALSE)+VLOOKUP($J652,$A$20:$B$131,2,FALSE)+VLOOKUP($M652,$A$6:$B$16,2,FALSE)</f>
        <v>3.1562822529415495</v>
      </c>
      <c r="O652" t="str">
        <f t="shared" ref="O652:O715" si="39">IFERROR(($K652-$N652)^2,"")</f>
        <v/>
      </c>
      <c r="P652" s="67" cm="1">
        <f t="array" ref="P652">SUMPRODUCT((H652=$H$7:$H$10000)*(N652&lt;$N$7:$N$10000))+1</f>
        <v>82</v>
      </c>
      <c r="Q652" s="72"/>
      <c r="R652">
        <v>10</v>
      </c>
      <c r="S652" t="str">
        <v>MIA</v>
      </c>
      <c r="T652" t="str">
        <v>Guiseppe du Toit</v>
      </c>
      <c r="U652" t="str">
        <v>NULL</v>
      </c>
      <c r="V652" t="str">
        <v>Away</v>
      </c>
      <c r="W652" t="str">
        <v>OGDC</v>
      </c>
      <c r="X652">
        <v>2.3461979488441944</v>
      </c>
    </row>
    <row r="653" spans="8:24" x14ac:dyDescent="0.35">
      <c r="H653" s="66">
        <v>8</v>
      </c>
      <c r="I653" t="s">
        <v>7</v>
      </c>
      <c r="J653" t="s">
        <v>19</v>
      </c>
      <c r="K653" t="s">
        <v>256</v>
      </c>
      <c r="L653" t="s">
        <v>3</v>
      </c>
      <c r="M653" t="s">
        <v>17</v>
      </c>
      <c r="N653">
        <f t="shared" si="38"/>
        <v>3.0619192919787475</v>
      </c>
      <c r="O653" t="str">
        <f t="shared" si="39"/>
        <v/>
      </c>
      <c r="P653" s="67" cm="1">
        <f t="array" ref="P653">SUMPRODUCT((H653=$H$7:$H$10000)*(N653&lt;$N$7:$N$10000))+1</f>
        <v>83</v>
      </c>
      <c r="Q653" s="72"/>
      <c r="R653">
        <v>10</v>
      </c>
      <c r="S653" t="str">
        <v>NEFJ</v>
      </c>
      <c r="T653" t="str">
        <v>Simon-Peter Toleafoa</v>
      </c>
      <c r="U653" t="str">
        <v>NULL</v>
      </c>
      <c r="V653" t="str">
        <v>Away</v>
      </c>
      <c r="W653" t="str">
        <v>ARC</v>
      </c>
      <c r="X653">
        <v>2.178740094393552</v>
      </c>
    </row>
    <row r="654" spans="8:24" x14ac:dyDescent="0.35">
      <c r="H654" s="66">
        <v>8</v>
      </c>
      <c r="I654" t="s">
        <v>17</v>
      </c>
      <c r="J654" t="s">
        <v>82</v>
      </c>
      <c r="K654" t="s">
        <v>256</v>
      </c>
      <c r="L654" t="s">
        <v>9</v>
      </c>
      <c r="M654" t="s">
        <v>7</v>
      </c>
      <c r="N654">
        <f t="shared" si="38"/>
        <v>2.9854271757915489</v>
      </c>
      <c r="O654" t="str">
        <f t="shared" si="39"/>
        <v/>
      </c>
      <c r="P654" s="67" cm="1">
        <f t="array" ref="P654">SUMPRODUCT((H654=$H$7:$H$10000)*(N654&lt;$N$7:$N$10000))+1</f>
        <v>84</v>
      </c>
      <c r="Q654" s="72"/>
      <c r="R654">
        <v>10</v>
      </c>
      <c r="S654" t="str">
        <v>CHI</v>
      </c>
      <c r="T654" t="str">
        <v>Julian Dominguez</v>
      </c>
      <c r="U654" t="str">
        <v>NULL</v>
      </c>
      <c r="V654" t="str">
        <v>Away</v>
      </c>
      <c r="W654" t="str">
        <v>SEA</v>
      </c>
      <c r="X654">
        <v>2.1641006183347482</v>
      </c>
    </row>
    <row r="655" spans="8:24" x14ac:dyDescent="0.35">
      <c r="H655" s="66">
        <v>8</v>
      </c>
      <c r="I655" t="s">
        <v>2</v>
      </c>
      <c r="J655" t="s">
        <v>12</v>
      </c>
      <c r="K655" t="s">
        <v>256</v>
      </c>
      <c r="L655" t="s">
        <v>9</v>
      </c>
      <c r="M655" t="s">
        <v>34</v>
      </c>
      <c r="N655">
        <f t="shared" si="38"/>
        <v>2.9684220115808611</v>
      </c>
      <c r="O655" t="str">
        <f t="shared" si="39"/>
        <v/>
      </c>
      <c r="P655" s="67" cm="1">
        <f t="array" ref="P655">SUMPRODUCT((H655=$H$7:$H$10000)*(N655&lt;$N$7:$N$10000))+1</f>
        <v>85</v>
      </c>
      <c r="Q655" s="72"/>
      <c r="R655">
        <v>10</v>
      </c>
      <c r="S655" t="str">
        <v>NOLA</v>
      </c>
      <c r="T655" t="str">
        <v>Isaac Te Tamaki</v>
      </c>
      <c r="U655" t="str">
        <v>NULL</v>
      </c>
      <c r="V655" t="str">
        <v>Away</v>
      </c>
      <c r="W655" t="str">
        <v>HOU</v>
      </c>
      <c r="X655">
        <v>2.1398901788721352</v>
      </c>
    </row>
    <row r="656" spans="8:24" x14ac:dyDescent="0.35">
      <c r="H656" s="66">
        <v>8</v>
      </c>
      <c r="I656" t="s">
        <v>2</v>
      </c>
      <c r="J656" t="s">
        <v>444</v>
      </c>
      <c r="K656" t="s">
        <v>256</v>
      </c>
      <c r="L656" t="s">
        <v>9</v>
      </c>
      <c r="M656" t="s">
        <v>34</v>
      </c>
      <c r="N656">
        <f t="shared" si="38"/>
        <v>2.9583346696691946</v>
      </c>
      <c r="O656" t="str">
        <f t="shared" si="39"/>
        <v/>
      </c>
      <c r="P656" s="67" cm="1">
        <f t="array" ref="P656">SUMPRODUCT((H656=$H$7:$H$10000)*(N656&lt;$N$7:$N$10000))+1</f>
        <v>86</v>
      </c>
      <c r="Q656" s="72"/>
      <c r="R656">
        <v>10</v>
      </c>
      <c r="S656" t="str">
        <v>HOU</v>
      </c>
      <c r="T656" t="str">
        <v>Andre Warner</v>
      </c>
      <c r="U656" t="str">
        <v>NULL</v>
      </c>
      <c r="V656" t="str">
        <v>Home</v>
      </c>
      <c r="W656" t="str">
        <v>NOLA</v>
      </c>
      <c r="X656">
        <v>2.1034462737064858</v>
      </c>
    </row>
    <row r="657" spans="8:24" x14ac:dyDescent="0.35">
      <c r="H657" s="66">
        <v>8</v>
      </c>
      <c r="I657" t="s">
        <v>14</v>
      </c>
      <c r="J657" t="s">
        <v>278</v>
      </c>
      <c r="K657" t="s">
        <v>256</v>
      </c>
      <c r="L657" t="s">
        <v>3</v>
      </c>
      <c r="M657" t="s">
        <v>4</v>
      </c>
      <c r="N657">
        <f t="shared" si="38"/>
        <v>1.8198587540259963</v>
      </c>
      <c r="O657" t="str">
        <f t="shared" si="39"/>
        <v/>
      </c>
      <c r="P657" s="67" cm="1">
        <f t="array" ref="P657">SUMPRODUCT((H657=$H$7:$H$10000)*(N657&lt;$N$7:$N$10000))+1</f>
        <v>87</v>
      </c>
      <c r="Q657" s="72"/>
      <c r="R657">
        <v>10</v>
      </c>
      <c r="S657" t="str">
        <v>ARC</v>
      </c>
      <c r="T657" t="str">
        <v>Ashawnty Staples Flowers</v>
      </c>
      <c r="U657" t="str">
        <v>NULL</v>
      </c>
      <c r="V657" t="str">
        <v>Home</v>
      </c>
      <c r="W657" t="str">
        <v>NEFJ</v>
      </c>
      <c r="X657">
        <v>1.9787884058836216</v>
      </c>
    </row>
    <row r="658" spans="8:24" x14ac:dyDescent="0.35">
      <c r="H658" s="66">
        <v>8</v>
      </c>
      <c r="I658" t="s">
        <v>17</v>
      </c>
      <c r="J658" t="s">
        <v>16</v>
      </c>
      <c r="K658" t="s">
        <v>256</v>
      </c>
      <c r="L658" t="s">
        <v>9</v>
      </c>
      <c r="M658" t="s">
        <v>7</v>
      </c>
      <c r="N658">
        <f t="shared" si="38"/>
        <v>1.6276721195480048</v>
      </c>
      <c r="O658" t="str">
        <f t="shared" si="39"/>
        <v/>
      </c>
      <c r="P658" s="67" cm="1">
        <f t="array" ref="P658">SUMPRODUCT((H658=$H$7:$H$10000)*(N658&lt;$N$7:$N$10000))+1</f>
        <v>88</v>
      </c>
      <c r="Q658" s="72"/>
      <c r="R658">
        <v>10</v>
      </c>
      <c r="S658" t="str">
        <v>NEFJ</v>
      </c>
      <c r="T658" t="str">
        <v>Isaac Olson</v>
      </c>
      <c r="U658" t="str">
        <v>NULL</v>
      </c>
      <c r="V658" t="str">
        <v>Away</v>
      </c>
      <c r="W658" t="str">
        <v>ARC</v>
      </c>
      <c r="X658">
        <v>1.8734966655845238</v>
      </c>
    </row>
    <row r="659" spans="8:24" x14ac:dyDescent="0.35">
      <c r="H659" s="66">
        <v>8</v>
      </c>
      <c r="I659" t="s">
        <v>2</v>
      </c>
      <c r="J659" t="s">
        <v>499</v>
      </c>
      <c r="K659" t="s">
        <v>256</v>
      </c>
      <c r="L659" t="s">
        <v>9</v>
      </c>
      <c r="M659" t="s">
        <v>34</v>
      </c>
      <c r="N659">
        <f t="shared" si="38"/>
        <v>1.5888052818625251</v>
      </c>
      <c r="O659" t="str">
        <f t="shared" si="39"/>
        <v/>
      </c>
      <c r="P659" s="67" cm="1">
        <f t="array" ref="P659">SUMPRODUCT((H659=$H$7:$H$10000)*(N659&lt;$N$7:$N$10000))+1</f>
        <v>89</v>
      </c>
      <c r="Q659" s="72"/>
      <c r="R659">
        <v>10</v>
      </c>
      <c r="S659" t="str">
        <v>HOU</v>
      </c>
      <c r="T659" t="str">
        <v>Seimou Smith</v>
      </c>
      <c r="U659" t="str">
        <v>NULL</v>
      </c>
      <c r="V659" t="str">
        <v>Home</v>
      </c>
      <c r="W659" t="str">
        <v>NOLA</v>
      </c>
      <c r="X659">
        <v>0.8242306488351625</v>
      </c>
    </row>
    <row r="660" spans="8:24" x14ac:dyDescent="0.35">
      <c r="H660" s="66">
        <v>8</v>
      </c>
      <c r="I660" t="s">
        <v>7</v>
      </c>
      <c r="J660" t="s">
        <v>92</v>
      </c>
      <c r="K660" t="s">
        <v>256</v>
      </c>
      <c r="L660" t="s">
        <v>3</v>
      </c>
      <c r="M660" t="s">
        <v>17</v>
      </c>
      <c r="N660">
        <f t="shared" si="38"/>
        <v>1.2779244131262733</v>
      </c>
      <c r="O660" t="str">
        <f t="shared" si="39"/>
        <v/>
      </c>
      <c r="P660" s="67" cm="1">
        <f t="array" ref="P660">SUMPRODUCT((H660=$H$7:$H$10000)*(N660&lt;$N$7:$N$10000))+1</f>
        <v>90</v>
      </c>
      <c r="Q660" s="72"/>
      <c r="R660">
        <v>10</v>
      </c>
      <c r="S660" t="str">
        <v>OGDC</v>
      </c>
      <c r="T660" t="str">
        <v>Connor Buckley</v>
      </c>
      <c r="U660" t="str">
        <v>NULL</v>
      </c>
      <c r="V660" t="str">
        <v>Home</v>
      </c>
      <c r="W660" t="str">
        <v>MIA</v>
      </c>
      <c r="X660">
        <v>0.46853989242217509</v>
      </c>
    </row>
    <row r="661" spans="8:24" x14ac:dyDescent="0.35">
      <c r="H661" s="66">
        <v>8</v>
      </c>
      <c r="I661" t="s">
        <v>7</v>
      </c>
      <c r="J661" t="s">
        <v>131</v>
      </c>
      <c r="K661" t="s">
        <v>256</v>
      </c>
      <c r="L661" t="s">
        <v>3</v>
      </c>
      <c r="M661" t="s">
        <v>17</v>
      </c>
      <c r="N661">
        <f t="shared" si="38"/>
        <v>1.2450667211782882</v>
      </c>
      <c r="O661" t="str">
        <f t="shared" si="39"/>
        <v/>
      </c>
      <c r="P661" s="67" cm="1">
        <f t="array" ref="P661">SUMPRODUCT((H661=$H$7:$H$10000)*(N661&lt;$N$7:$N$10000))+1</f>
        <v>91</v>
      </c>
      <c r="Q661" s="72"/>
      <c r="R661">
        <v>10</v>
      </c>
      <c r="S661" t="str">
        <v>MIA</v>
      </c>
      <c r="T661" t="str">
        <v>Connor Burns</v>
      </c>
      <c r="U661" t="str">
        <v>NULL</v>
      </c>
      <c r="V661" t="str">
        <v>Away</v>
      </c>
      <c r="W661" t="str">
        <v>OGDC</v>
      </c>
      <c r="X661">
        <v>2.3602814490144119E-2</v>
      </c>
    </row>
    <row r="662" spans="8:24" x14ac:dyDescent="0.35">
      <c r="H662" s="66">
        <v>8</v>
      </c>
      <c r="I662" t="s">
        <v>14</v>
      </c>
      <c r="J662" t="s">
        <v>488</v>
      </c>
      <c r="K662" t="s">
        <v>256</v>
      </c>
      <c r="L662" t="s">
        <v>3</v>
      </c>
      <c r="M662" t="s">
        <v>4</v>
      </c>
      <c r="N662">
        <f t="shared" si="38"/>
        <v>0.86643193606407376</v>
      </c>
      <c r="O662" t="str">
        <f t="shared" si="39"/>
        <v/>
      </c>
      <c r="P662" s="67" cm="1">
        <f t="array" ref="P662">SUMPRODUCT((H662=$H$7:$H$10000)*(N662&lt;$N$7:$N$10000))+1</f>
        <v>92</v>
      </c>
      <c r="Q662" s="72"/>
      <c r="R662">
        <v>10</v>
      </c>
      <c r="S662" t="str">
        <v>NOLA</v>
      </c>
      <c r="T662" t="str">
        <v>Nikolai Foliaki</v>
      </c>
      <c r="U662" t="str">
        <v>NULL</v>
      </c>
      <c r="V662" t="str">
        <v>Away</v>
      </c>
      <c r="W662" t="str">
        <v>HOU</v>
      </c>
      <c r="X662">
        <v>-0.27451013025356197</v>
      </c>
    </row>
    <row r="663" spans="8:24" x14ac:dyDescent="0.35">
      <c r="H663" s="66">
        <v>8</v>
      </c>
      <c r="I663" t="s">
        <v>4</v>
      </c>
      <c r="J663" t="s">
        <v>125</v>
      </c>
      <c r="K663" t="s">
        <v>256</v>
      </c>
      <c r="L663" t="s">
        <v>9</v>
      </c>
      <c r="M663" t="s">
        <v>14</v>
      </c>
      <c r="N663">
        <f t="shared" si="38"/>
        <v>0.54048187867473096</v>
      </c>
      <c r="O663" t="str">
        <f t="shared" si="39"/>
        <v/>
      </c>
      <c r="P663" s="67" cm="1">
        <f t="array" ref="P663">SUMPRODUCT((H663=$H$7:$H$10000)*(N663&lt;$N$7:$N$10000))+1</f>
        <v>93</v>
      </c>
      <c r="Q663" s="72"/>
      <c r="R663">
        <v>10</v>
      </c>
      <c r="S663" t="str">
        <v>HOU</v>
      </c>
      <c r="T663" t="str">
        <v>Drew Wild</v>
      </c>
      <c r="U663" t="str">
        <v>NULL</v>
      </c>
      <c r="V663" t="str">
        <v>Home</v>
      </c>
      <c r="W663" t="str">
        <v>NOLA</v>
      </c>
      <c r="X663">
        <v>-1.0058869305556311</v>
      </c>
    </row>
    <row r="664" spans="8:24" x14ac:dyDescent="0.35">
      <c r="H664" s="66">
        <v>8</v>
      </c>
      <c r="I664" t="s">
        <v>4</v>
      </c>
      <c r="J664" t="s">
        <v>489</v>
      </c>
      <c r="K664" t="s">
        <v>256</v>
      </c>
      <c r="L664" t="s">
        <v>9</v>
      </c>
      <c r="M664" t="s">
        <v>14</v>
      </c>
      <c r="N664">
        <f t="shared" si="38"/>
        <v>0.49375193689304631</v>
      </c>
      <c r="O664" t="str">
        <f t="shared" si="39"/>
        <v/>
      </c>
      <c r="P664" s="67" cm="1">
        <f t="array" ref="P664">SUMPRODUCT((H664=$H$7:$H$10000)*(N664&lt;$N$7:$N$10000))+1</f>
        <v>94</v>
      </c>
      <c r="Q664" s="72"/>
      <c r="R664">
        <v>10</v>
      </c>
      <c r="S664" t="str">
        <v>NOLA</v>
      </c>
      <c r="T664" t="str">
        <v>Luke Campbell</v>
      </c>
      <c r="U664" t="str">
        <v>NULL</v>
      </c>
      <c r="V664" t="str">
        <v>Away</v>
      </c>
      <c r="W664" t="str">
        <v>HOU</v>
      </c>
      <c r="X664">
        <v>-2.8903105045203805</v>
      </c>
    </row>
    <row r="665" spans="8:24" x14ac:dyDescent="0.35">
      <c r="H665" s="66">
        <v>8</v>
      </c>
      <c r="I665" t="s">
        <v>6</v>
      </c>
      <c r="J665" t="s">
        <v>66</v>
      </c>
      <c r="K665" t="s">
        <v>256</v>
      </c>
      <c r="L665" t="s">
        <v>9</v>
      </c>
      <c r="M665" t="s">
        <v>36</v>
      </c>
      <c r="N665">
        <f t="shared" si="38"/>
        <v>0.41084142817035829</v>
      </c>
      <c r="O665" t="str">
        <f t="shared" si="39"/>
        <v/>
      </c>
      <c r="P665" s="67" cm="1">
        <f t="array" ref="P665">SUMPRODUCT((H665=$H$7:$H$10000)*(N665&lt;$N$7:$N$10000))+1</f>
        <v>95</v>
      </c>
      <c r="Q665" s="72"/>
      <c r="R665">
        <v>10</v>
      </c>
      <c r="S665" t="str">
        <v>NOLA</v>
      </c>
      <c r="T665" t="str">
        <v>Ruben de Haas</v>
      </c>
      <c r="U665" t="str">
        <v>NULL</v>
      </c>
      <c r="V665" t="str">
        <v>Away</v>
      </c>
      <c r="W665" t="str">
        <v>HOU</v>
      </c>
      <c r="X665">
        <v>-2.9370404463020652</v>
      </c>
    </row>
    <row r="666" spans="8:24" x14ac:dyDescent="0.35">
      <c r="H666" s="66">
        <v>8</v>
      </c>
      <c r="I666" t="s">
        <v>14</v>
      </c>
      <c r="J666" t="s">
        <v>460</v>
      </c>
      <c r="K666" t="s">
        <v>256</v>
      </c>
      <c r="L666" t="s">
        <v>3</v>
      </c>
      <c r="M666" t="s">
        <v>4</v>
      </c>
      <c r="N666">
        <f t="shared" si="38"/>
        <v>-0.32219109599846796</v>
      </c>
      <c r="O666" t="str">
        <f t="shared" si="39"/>
        <v/>
      </c>
      <c r="P666" s="67" cm="1">
        <f t="array" ref="P666">SUMPRODUCT((H666=$H$7:$H$10000)*(N666&lt;$N$7:$N$10000))+1</f>
        <v>96</v>
      </c>
      <c r="Q666" s="72"/>
      <c r="R666">
        <v>11</v>
      </c>
      <c r="S666" t="str">
        <v>UTAH</v>
      </c>
      <c r="T666" t="str">
        <v>Joe Mano</v>
      </c>
      <c r="U666" t="str">
        <v>NULL</v>
      </c>
      <c r="V666" t="str">
        <v>Home</v>
      </c>
      <c r="W666" t="str">
        <v>CHI</v>
      </c>
      <c r="X666">
        <v>20.187062394910722</v>
      </c>
    </row>
    <row r="667" spans="8:24" x14ac:dyDescent="0.35">
      <c r="H667" s="66">
        <v>8</v>
      </c>
      <c r="I667" t="s">
        <v>17</v>
      </c>
      <c r="J667" t="s">
        <v>76</v>
      </c>
      <c r="K667" t="s">
        <v>256</v>
      </c>
      <c r="L667" t="s">
        <v>9</v>
      </c>
      <c r="M667" t="s">
        <v>7</v>
      </c>
      <c r="N667">
        <f t="shared" si="38"/>
        <v>-0.64768371638903321</v>
      </c>
      <c r="O667" t="str">
        <f t="shared" si="39"/>
        <v/>
      </c>
      <c r="P667" s="67" cm="1">
        <f t="array" ref="P667">SUMPRODUCT((H667=$H$7:$H$10000)*(N667&lt;$N$7:$N$10000))+1</f>
        <v>97</v>
      </c>
      <c r="Q667" s="72"/>
      <c r="R667">
        <v>11</v>
      </c>
      <c r="S667" t="str">
        <v>SDL</v>
      </c>
      <c r="T667" t="str">
        <v>Ryan James</v>
      </c>
      <c r="U667" t="str">
        <v>NULL</v>
      </c>
      <c r="V667" t="str">
        <v>Away</v>
      </c>
      <c r="W667" t="str">
        <v>LA</v>
      </c>
      <c r="X667">
        <v>19.936452057366878</v>
      </c>
    </row>
    <row r="668" spans="8:24" x14ac:dyDescent="0.35">
      <c r="H668" s="66">
        <v>8</v>
      </c>
      <c r="I668" t="s">
        <v>17</v>
      </c>
      <c r="J668" t="s">
        <v>458</v>
      </c>
      <c r="K668" t="s">
        <v>256</v>
      </c>
      <c r="L668" t="s">
        <v>9</v>
      </c>
      <c r="M668" t="s">
        <v>7</v>
      </c>
      <c r="N668">
        <f t="shared" si="38"/>
        <v>-1.2737135946241267</v>
      </c>
      <c r="O668" t="str">
        <f t="shared" si="39"/>
        <v/>
      </c>
      <c r="P668" s="67" cm="1">
        <f t="array" ref="P668">SUMPRODUCT((H668=$H$7:$H$10000)*(N668&lt;$N$7:$N$10000))+1</f>
        <v>98</v>
      </c>
      <c r="Q668" s="72"/>
      <c r="R668">
        <v>11</v>
      </c>
      <c r="S668" t="str">
        <v>LA</v>
      </c>
      <c r="T668" t="str">
        <v>Rory van Vugt</v>
      </c>
      <c r="U668" t="str">
        <v>NULL</v>
      </c>
      <c r="V668" t="str">
        <v>Home</v>
      </c>
      <c r="W668" t="str">
        <v>SDL</v>
      </c>
      <c r="X668">
        <v>18.851917547412825</v>
      </c>
    </row>
    <row r="669" spans="8:24" x14ac:dyDescent="0.35">
      <c r="H669" s="66">
        <v>8</v>
      </c>
      <c r="I669" t="s">
        <v>7</v>
      </c>
      <c r="J669" t="s">
        <v>126</v>
      </c>
      <c r="K669" t="s">
        <v>256</v>
      </c>
      <c r="L669" t="s">
        <v>3</v>
      </c>
      <c r="M669" t="s">
        <v>17</v>
      </c>
      <c r="N669">
        <f t="shared" si="38"/>
        <v>-3.2163912849785348</v>
      </c>
      <c r="O669" t="str">
        <f t="shared" si="39"/>
        <v/>
      </c>
      <c r="P669" s="67" cm="1">
        <f t="array" ref="P669">SUMPRODUCT((H669=$H$7:$H$10000)*(N669&lt;$N$7:$N$10000))+1</f>
        <v>99</v>
      </c>
      <c r="Q669" s="72"/>
      <c r="R669">
        <v>11</v>
      </c>
      <c r="S669" t="str">
        <v>UTAH</v>
      </c>
      <c r="T669" t="str">
        <v>Nic Benn</v>
      </c>
      <c r="U669" t="str">
        <v>NULL</v>
      </c>
      <c r="V669" t="str">
        <v>Home</v>
      </c>
      <c r="W669" t="str">
        <v>CHI</v>
      </c>
      <c r="X669">
        <v>16.376526944200123</v>
      </c>
    </row>
    <row r="670" spans="8:24" x14ac:dyDescent="0.35">
      <c r="H670" s="66">
        <v>9</v>
      </c>
      <c r="I670" t="s">
        <v>13</v>
      </c>
      <c r="J670" t="s">
        <v>79</v>
      </c>
      <c r="K670" t="s">
        <v>256</v>
      </c>
      <c r="L670" t="s">
        <v>9</v>
      </c>
      <c r="M670" t="s">
        <v>6</v>
      </c>
      <c r="N670">
        <f t="shared" si="38"/>
        <v>22.431020713274734</v>
      </c>
      <c r="O670" t="str">
        <f t="shared" si="39"/>
        <v/>
      </c>
      <c r="P670" s="67" cm="1">
        <f t="array" ref="P670">SUMPRODUCT((H670=$H$7:$H$10000)*(N670&lt;$N$7:$N$10000))+1</f>
        <v>1</v>
      </c>
      <c r="Q670" s="72"/>
      <c r="R670">
        <v>11</v>
      </c>
      <c r="S670" t="str">
        <v>SDL</v>
      </c>
      <c r="T670" t="str">
        <v>Ethan Grayson</v>
      </c>
      <c r="U670" t="str">
        <v>NULL</v>
      </c>
      <c r="V670" t="str">
        <v>Away</v>
      </c>
      <c r="W670" t="str">
        <v>LA</v>
      </c>
      <c r="X670">
        <v>15.735756857187443</v>
      </c>
    </row>
    <row r="671" spans="8:24" x14ac:dyDescent="0.35">
      <c r="H671" s="66">
        <v>9</v>
      </c>
      <c r="I671" t="s">
        <v>6</v>
      </c>
      <c r="J671" t="s">
        <v>94</v>
      </c>
      <c r="K671" t="s">
        <v>256</v>
      </c>
      <c r="L671" t="s">
        <v>3</v>
      </c>
      <c r="M671" t="s">
        <v>13</v>
      </c>
      <c r="N671">
        <f t="shared" si="38"/>
        <v>20.146060819343766</v>
      </c>
      <c r="O671" t="str">
        <f t="shared" si="39"/>
        <v/>
      </c>
      <c r="P671" s="67" cm="1">
        <f t="array" ref="P671">SUMPRODUCT((H671=$H$7:$H$10000)*(N671&lt;$N$7:$N$10000))+1</f>
        <v>2</v>
      </c>
      <c r="Q671" s="72"/>
      <c r="R671">
        <v>11</v>
      </c>
      <c r="S671" t="str">
        <v>LA</v>
      </c>
      <c r="T671" t="str">
        <v>Billy Meakes</v>
      </c>
      <c r="U671" t="str">
        <v>NULL</v>
      </c>
      <c r="V671" t="str">
        <v>Home</v>
      </c>
      <c r="W671" t="str">
        <v>SDL</v>
      </c>
      <c r="X671">
        <v>15.176304760919095</v>
      </c>
    </row>
    <row r="672" spans="8:24" x14ac:dyDescent="0.35">
      <c r="H672" s="66">
        <v>9</v>
      </c>
      <c r="I672" t="s">
        <v>13</v>
      </c>
      <c r="J672" t="s">
        <v>494</v>
      </c>
      <c r="K672" t="s">
        <v>256</v>
      </c>
      <c r="L672" t="s">
        <v>9</v>
      </c>
      <c r="M672" t="s">
        <v>6</v>
      </c>
      <c r="N672">
        <f t="shared" si="38"/>
        <v>18.620485262564134</v>
      </c>
      <c r="O672" t="str">
        <f t="shared" si="39"/>
        <v/>
      </c>
      <c r="P672" s="67" cm="1">
        <f t="array" ref="P672">SUMPRODUCT((H672=$H$7:$H$10000)*(N672&lt;$N$7:$N$10000))+1</f>
        <v>3</v>
      </c>
      <c r="Q672" s="72"/>
      <c r="R672">
        <v>11</v>
      </c>
      <c r="S672" t="str">
        <v>OGDC</v>
      </c>
      <c r="T672" t="str">
        <v>Axel Muller</v>
      </c>
      <c r="U672" t="str">
        <v>NULL</v>
      </c>
      <c r="V672" t="str">
        <v>Away</v>
      </c>
      <c r="W672" t="str">
        <v>HOU</v>
      </c>
      <c r="X672">
        <v>14.807173360186042</v>
      </c>
    </row>
    <row r="673" spans="8:24" x14ac:dyDescent="0.35">
      <c r="H673" s="66">
        <v>9</v>
      </c>
      <c r="I673" t="s">
        <v>34</v>
      </c>
      <c r="J673" t="s">
        <v>95</v>
      </c>
      <c r="K673" t="s">
        <v>256</v>
      </c>
      <c r="L673" t="s">
        <v>9</v>
      </c>
      <c r="M673" t="s">
        <v>23</v>
      </c>
      <c r="N673">
        <f t="shared" si="38"/>
        <v>17.867243509081465</v>
      </c>
      <c r="O673" t="str">
        <f t="shared" si="39"/>
        <v/>
      </c>
      <c r="P673" s="67" cm="1">
        <f t="array" ref="P673">SUMPRODUCT((H673=$H$7:$H$10000)*(N673&lt;$N$7:$N$10000))+1</f>
        <v>4</v>
      </c>
      <c r="Q673" s="72"/>
      <c r="R673">
        <v>11</v>
      </c>
      <c r="S673" t="str">
        <v>SDL</v>
      </c>
      <c r="T673" t="str">
        <v>Tomas Aoake</v>
      </c>
      <c r="U673" t="str">
        <v>NULL</v>
      </c>
      <c r="V673" t="str">
        <v>Away</v>
      </c>
      <c r="W673" t="str">
        <v>LA</v>
      </c>
      <c r="X673">
        <v>14.571467547505886</v>
      </c>
    </row>
    <row r="674" spans="8:24" x14ac:dyDescent="0.35">
      <c r="H674" s="66">
        <v>9</v>
      </c>
      <c r="I674" t="s">
        <v>6</v>
      </c>
      <c r="J674" t="s">
        <v>8</v>
      </c>
      <c r="K674" t="s">
        <v>256</v>
      </c>
      <c r="L674" t="s">
        <v>3</v>
      </c>
      <c r="M674" t="s">
        <v>13</v>
      </c>
      <c r="N674">
        <f t="shared" si="38"/>
        <v>16.470448032850037</v>
      </c>
      <c r="O674" t="str">
        <f t="shared" si="39"/>
        <v/>
      </c>
      <c r="P674" s="67" cm="1">
        <f t="array" ref="P674">SUMPRODUCT((H674=$H$7:$H$10000)*(N674&lt;$N$7:$N$10000))+1</f>
        <v>5</v>
      </c>
      <c r="Q674" s="72"/>
      <c r="R674">
        <v>11</v>
      </c>
      <c r="S674" t="str">
        <v>ARC</v>
      </c>
      <c r="T674" t="str">
        <v>Erich Storti</v>
      </c>
      <c r="U674" t="str">
        <v>NULL</v>
      </c>
      <c r="V674" t="str">
        <v>Away</v>
      </c>
      <c r="W674" t="str">
        <v>MIA</v>
      </c>
      <c r="X674">
        <v>14.205601096909518</v>
      </c>
    </row>
    <row r="675" spans="8:24" x14ac:dyDescent="0.35">
      <c r="H675" s="66">
        <v>9</v>
      </c>
      <c r="I675" t="s">
        <v>7</v>
      </c>
      <c r="J675" t="s">
        <v>65</v>
      </c>
      <c r="K675" t="s">
        <v>256</v>
      </c>
      <c r="L675" t="s">
        <v>9</v>
      </c>
      <c r="M675" t="s">
        <v>4</v>
      </c>
      <c r="N675">
        <f t="shared" si="38"/>
        <v>16.398947200693364</v>
      </c>
      <c r="O675" t="str">
        <f t="shared" si="39"/>
        <v/>
      </c>
      <c r="P675" s="67" cm="1">
        <f t="array" ref="P675">SUMPRODUCT((H675=$H$7:$H$10000)*(N675&lt;$N$7:$N$10000))+1</f>
        <v>6</v>
      </c>
      <c r="Q675" s="72"/>
      <c r="R675">
        <v>11</v>
      </c>
      <c r="S675" t="str">
        <v>ARC</v>
      </c>
      <c r="T675" t="str">
        <v>Mitch Wilson</v>
      </c>
      <c r="U675" t="str">
        <v>NULL</v>
      </c>
      <c r="V675" t="str">
        <v>Away</v>
      </c>
      <c r="W675" t="str">
        <v>MIA</v>
      </c>
      <c r="X675">
        <v>13.816931840695224</v>
      </c>
    </row>
    <row r="676" spans="8:24" x14ac:dyDescent="0.35">
      <c r="H676" s="66">
        <v>9</v>
      </c>
      <c r="I676" t="s">
        <v>13</v>
      </c>
      <c r="J676" t="s">
        <v>473</v>
      </c>
      <c r="K676" t="s">
        <v>256</v>
      </c>
      <c r="L676" t="s">
        <v>9</v>
      </c>
      <c r="M676" t="s">
        <v>6</v>
      </c>
      <c r="N676">
        <f t="shared" si="38"/>
        <v>14.957730049778784</v>
      </c>
      <c r="O676" t="str">
        <f t="shared" si="39"/>
        <v/>
      </c>
      <c r="P676" s="67" cm="1">
        <f t="array" ref="P676">SUMPRODUCT((H676=$H$7:$H$10000)*(N676&lt;$N$7:$N$10000))+1</f>
        <v>7</v>
      </c>
      <c r="Q676" s="72"/>
      <c r="R676">
        <v>11</v>
      </c>
      <c r="S676" t="str">
        <v>ARC</v>
      </c>
      <c r="T676" t="str">
        <v>Line Latu</v>
      </c>
      <c r="U676" t="str">
        <v>NULL</v>
      </c>
      <c r="V676" t="str">
        <v>Away</v>
      </c>
      <c r="W676" t="str">
        <v>MIA</v>
      </c>
      <c r="X676">
        <v>13.555337255132056</v>
      </c>
    </row>
    <row r="677" spans="8:24" x14ac:dyDescent="0.35">
      <c r="H677" s="66">
        <v>9</v>
      </c>
      <c r="I677" t="s">
        <v>6</v>
      </c>
      <c r="J677" t="s">
        <v>445</v>
      </c>
      <c r="K677" t="s">
        <v>256</v>
      </c>
      <c r="L677" t="s">
        <v>3</v>
      </c>
      <c r="M677" t="s">
        <v>13</v>
      </c>
      <c r="N677">
        <f t="shared" si="38"/>
        <v>14.506690155645648</v>
      </c>
      <c r="O677" t="str">
        <f t="shared" si="39"/>
        <v/>
      </c>
      <c r="P677" s="67" cm="1">
        <f t="array" ref="P677">SUMPRODUCT((H677=$H$7:$H$10000)*(N677&lt;$N$7:$N$10000))+1</f>
        <v>8</v>
      </c>
      <c r="Q677" s="72"/>
      <c r="R677">
        <v>11</v>
      </c>
      <c r="S677" t="str">
        <v>MIA</v>
      </c>
      <c r="T677" t="str">
        <v>Tomás Cubilla</v>
      </c>
      <c r="U677" t="str">
        <v>NULL</v>
      </c>
      <c r="V677" t="str">
        <v>Home</v>
      </c>
      <c r="W677" t="str">
        <v>ARC</v>
      </c>
      <c r="X677">
        <v>13.45157904958457</v>
      </c>
    </row>
    <row r="678" spans="8:24" x14ac:dyDescent="0.35">
      <c r="H678" s="66">
        <v>9</v>
      </c>
      <c r="I678" t="s">
        <v>36</v>
      </c>
      <c r="J678" t="s">
        <v>38</v>
      </c>
      <c r="K678" t="s">
        <v>256</v>
      </c>
      <c r="L678" t="s">
        <v>9</v>
      </c>
      <c r="M678" t="s">
        <v>24</v>
      </c>
      <c r="N678">
        <f t="shared" si="38"/>
        <v>13.995546919696057</v>
      </c>
      <c r="O678" t="str">
        <f t="shared" si="39"/>
        <v/>
      </c>
      <c r="P678" s="67" cm="1">
        <f t="array" ref="P678">SUMPRODUCT((H678=$H$7:$H$10000)*(N678&lt;$N$7:$N$10000))+1</f>
        <v>9</v>
      </c>
      <c r="Q678" s="72"/>
      <c r="R678">
        <v>11</v>
      </c>
      <c r="S678" t="str">
        <v>SDL</v>
      </c>
      <c r="T678" t="str">
        <v>Tavite Lopeti</v>
      </c>
      <c r="U678" t="str">
        <v>NULL</v>
      </c>
      <c r="V678" t="str">
        <v>Away</v>
      </c>
      <c r="W678" t="str">
        <v>LA</v>
      </c>
      <c r="X678">
        <v>13.24313694399814</v>
      </c>
    </row>
    <row r="679" spans="8:24" x14ac:dyDescent="0.35">
      <c r="H679" s="66">
        <v>9</v>
      </c>
      <c r="I679" t="s">
        <v>34</v>
      </c>
      <c r="J679" t="s">
        <v>41</v>
      </c>
      <c r="K679" t="s">
        <v>256</v>
      </c>
      <c r="L679" t="s">
        <v>9</v>
      </c>
      <c r="M679" t="s">
        <v>23</v>
      </c>
      <c r="N679">
        <f t="shared" si="38"/>
        <v>13.666548308902028</v>
      </c>
      <c r="O679" t="str">
        <f t="shared" si="39"/>
        <v/>
      </c>
      <c r="P679" s="67" cm="1">
        <f t="array" ref="P679">SUMPRODUCT((H679=$H$7:$H$10000)*(N679&lt;$N$7:$N$10000))+1</f>
        <v>10</v>
      </c>
      <c r="Q679" s="72"/>
      <c r="R679">
        <v>11</v>
      </c>
      <c r="S679" t="str">
        <v>LA</v>
      </c>
      <c r="T679" t="str">
        <v>Matias Jensen</v>
      </c>
      <c r="U679" t="str">
        <v>NULL</v>
      </c>
      <c r="V679" t="str">
        <v>Home</v>
      </c>
      <c r="W679" t="str">
        <v>SDL</v>
      </c>
      <c r="X679">
        <v>13.212546883714705</v>
      </c>
    </row>
    <row r="680" spans="8:24" x14ac:dyDescent="0.35">
      <c r="H680" s="66">
        <v>9</v>
      </c>
      <c r="I680" t="s">
        <v>36</v>
      </c>
      <c r="J680" t="s">
        <v>71</v>
      </c>
      <c r="K680" t="s">
        <v>256</v>
      </c>
      <c r="L680" t="s">
        <v>9</v>
      </c>
      <c r="M680" t="s">
        <v>24</v>
      </c>
      <c r="N680">
        <f t="shared" si="38"/>
        <v>13.415987527581219</v>
      </c>
      <c r="O680" t="str">
        <f t="shared" si="39"/>
        <v/>
      </c>
      <c r="P680" s="67" cm="1">
        <f t="array" ref="P680">SUMPRODUCT((H680=$H$7:$H$10000)*(N680&lt;$N$7:$N$10000))+1</f>
        <v>11</v>
      </c>
      <c r="Q680" s="72"/>
      <c r="R680">
        <v>11</v>
      </c>
      <c r="S680" t="str">
        <v>SDL</v>
      </c>
      <c r="T680" t="str">
        <v>Lincoln McClutchie</v>
      </c>
      <c r="U680" t="str">
        <v>NULL</v>
      </c>
      <c r="V680" t="str">
        <v>Away</v>
      </c>
      <c r="W680" t="str">
        <v>LA</v>
      </c>
      <c r="X680">
        <v>13.084358682859165</v>
      </c>
    </row>
    <row r="681" spans="8:24" x14ac:dyDescent="0.35">
      <c r="H681" s="66">
        <v>9</v>
      </c>
      <c r="I681" t="s">
        <v>36</v>
      </c>
      <c r="J681" t="s">
        <v>78</v>
      </c>
      <c r="K681" t="s">
        <v>256</v>
      </c>
      <c r="L681" t="s">
        <v>9</v>
      </c>
      <c r="M681" t="s">
        <v>24</v>
      </c>
      <c r="N681">
        <f t="shared" si="38"/>
        <v>13.409601010361266</v>
      </c>
      <c r="O681" t="str">
        <f t="shared" si="39"/>
        <v/>
      </c>
      <c r="P681" s="67" cm="1">
        <f t="array" ref="P681">SUMPRODUCT((H681=$H$7:$H$10000)*(N681&lt;$N$7:$N$10000))+1</f>
        <v>12</v>
      </c>
      <c r="Q681" s="72"/>
      <c r="R681">
        <v>11</v>
      </c>
      <c r="S681" t="str">
        <v>SDL</v>
      </c>
      <c r="T681" t="str">
        <v>James Vaifale</v>
      </c>
      <c r="U681" t="str">
        <v>NULL</v>
      </c>
      <c r="V681" t="str">
        <v>Away</v>
      </c>
      <c r="W681" t="str">
        <v>LA</v>
      </c>
      <c r="X681">
        <v>12.927249825459111</v>
      </c>
    </row>
    <row r="682" spans="8:24" x14ac:dyDescent="0.35">
      <c r="H682" s="66">
        <v>9</v>
      </c>
      <c r="I682" t="s">
        <v>6</v>
      </c>
      <c r="J682" t="s">
        <v>442</v>
      </c>
      <c r="K682" t="s">
        <v>256</v>
      </c>
      <c r="L682" t="s">
        <v>3</v>
      </c>
      <c r="M682" t="s">
        <v>13</v>
      </c>
      <c r="N682">
        <f t="shared" si="38"/>
        <v>13.355457533677841</v>
      </c>
      <c r="O682" t="str">
        <f t="shared" si="39"/>
        <v/>
      </c>
      <c r="P682" s="67" cm="1">
        <f t="array" ref="P682">SUMPRODUCT((H682=$H$7:$H$10000)*(N682&lt;$N$7:$N$10000))+1</f>
        <v>13</v>
      </c>
      <c r="Q682" s="72"/>
      <c r="R682">
        <v>11</v>
      </c>
      <c r="S682" t="str">
        <v>UTAH</v>
      </c>
      <c r="T682" t="str">
        <v>D'Angelo Leuila</v>
      </c>
      <c r="U682" t="str">
        <v>NULL</v>
      </c>
      <c r="V682" t="str">
        <v>Home</v>
      </c>
      <c r="W682" t="str">
        <v>CHI</v>
      </c>
      <c r="X682">
        <v>12.71377173141477</v>
      </c>
    </row>
    <row r="683" spans="8:24" x14ac:dyDescent="0.35">
      <c r="H683" s="66">
        <v>9</v>
      </c>
      <c r="I683" t="s">
        <v>2</v>
      </c>
      <c r="J683" t="s">
        <v>88</v>
      </c>
      <c r="K683" t="s">
        <v>256</v>
      </c>
      <c r="L683" t="s">
        <v>3</v>
      </c>
      <c r="M683" t="s">
        <v>14</v>
      </c>
      <c r="N683">
        <f t="shared" si="38"/>
        <v>13.080545769942093</v>
      </c>
      <c r="O683" t="str">
        <f t="shared" si="39"/>
        <v/>
      </c>
      <c r="P683" s="67" cm="1">
        <f t="array" ref="P683">SUMPRODUCT((H683=$H$7:$H$10000)*(N683&lt;$N$7:$N$10000))+1</f>
        <v>14</v>
      </c>
      <c r="Q683" s="72"/>
      <c r="R683">
        <v>11</v>
      </c>
      <c r="S683" t="str">
        <v>ARC</v>
      </c>
      <c r="T683" t="str">
        <v>Karl Keane</v>
      </c>
      <c r="U683" t="str">
        <v>NULL</v>
      </c>
      <c r="V683" t="str">
        <v>Away</v>
      </c>
      <c r="W683" t="str">
        <v>MIA</v>
      </c>
      <c r="X683">
        <v>12.645472383612773</v>
      </c>
    </row>
    <row r="684" spans="8:24" x14ac:dyDescent="0.35">
      <c r="H684" s="66">
        <v>9</v>
      </c>
      <c r="I684" t="s">
        <v>2</v>
      </c>
      <c r="J684" t="s">
        <v>495</v>
      </c>
      <c r="K684" t="s">
        <v>256</v>
      </c>
      <c r="L684" t="s">
        <v>3</v>
      </c>
      <c r="M684" t="s">
        <v>14</v>
      </c>
      <c r="N684">
        <f t="shared" si="38"/>
        <v>12.527812016271472</v>
      </c>
      <c r="O684" t="str">
        <f t="shared" si="39"/>
        <v/>
      </c>
      <c r="P684" s="67" cm="1">
        <f t="array" ref="P684">SUMPRODUCT((H684=$H$7:$H$10000)*(N684&lt;$N$7:$N$10000))+1</f>
        <v>15</v>
      </c>
      <c r="Q684" s="72"/>
      <c r="R684">
        <v>11</v>
      </c>
      <c r="S684" t="str">
        <v>CHI</v>
      </c>
      <c r="T684" t="str">
        <v>Nate Augspurger</v>
      </c>
      <c r="U684" t="str">
        <v>NULL</v>
      </c>
      <c r="V684" t="str">
        <v>Away</v>
      </c>
      <c r="W684" t="str">
        <v>UTAH</v>
      </c>
      <c r="X684">
        <v>12.532125315305732</v>
      </c>
    </row>
    <row r="685" spans="8:24" x14ac:dyDescent="0.35">
      <c r="H685" s="66">
        <v>9</v>
      </c>
      <c r="I685" t="s">
        <v>34</v>
      </c>
      <c r="J685" t="s">
        <v>100</v>
      </c>
      <c r="K685" t="s">
        <v>256</v>
      </c>
      <c r="L685" t="s">
        <v>9</v>
      </c>
      <c r="M685" t="s">
        <v>23</v>
      </c>
      <c r="N685">
        <f t="shared" si="38"/>
        <v>12.502258999220469</v>
      </c>
      <c r="O685" t="str">
        <f t="shared" si="39"/>
        <v/>
      </c>
      <c r="P685" s="67" cm="1">
        <f t="array" ref="P685">SUMPRODUCT((H685=$H$7:$H$10000)*(N685&lt;$N$7:$N$10000))+1</f>
        <v>16</v>
      </c>
      <c r="Q685" s="72"/>
      <c r="R685">
        <v>11</v>
      </c>
      <c r="S685" t="str">
        <v>LA</v>
      </c>
      <c r="T685" t="str">
        <v>Christian Leali'ifano</v>
      </c>
      <c r="U685" t="str">
        <v>NULL</v>
      </c>
      <c r="V685" t="str">
        <v>Home</v>
      </c>
      <c r="W685" t="str">
        <v>SDL</v>
      </c>
      <c r="X685">
        <v>12.061314261746897</v>
      </c>
    </row>
    <row r="686" spans="8:24" x14ac:dyDescent="0.35">
      <c r="H686" s="66">
        <v>9</v>
      </c>
      <c r="I686" t="s">
        <v>13</v>
      </c>
      <c r="J686" t="s">
        <v>477</v>
      </c>
      <c r="K686" t="s">
        <v>256</v>
      </c>
      <c r="L686" t="s">
        <v>9</v>
      </c>
      <c r="M686" t="s">
        <v>6</v>
      </c>
      <c r="N686">
        <f t="shared" si="38"/>
        <v>12.455235909648348</v>
      </c>
      <c r="O686" t="str">
        <f t="shared" si="39"/>
        <v/>
      </c>
      <c r="P686" s="67" cm="1">
        <f t="array" ref="P686">SUMPRODUCT((H686=$H$7:$H$10000)*(N686&lt;$N$7:$N$10000))+1</f>
        <v>17</v>
      </c>
      <c r="Q686" s="72"/>
      <c r="R686">
        <v>11</v>
      </c>
      <c r="S686" t="str">
        <v>CHI</v>
      </c>
      <c r="T686" t="str">
        <v>Michael Hand</v>
      </c>
      <c r="U686" t="str">
        <v>NULL</v>
      </c>
      <c r="V686" t="str">
        <v>Away</v>
      </c>
      <c r="W686" t="str">
        <v>UTAH</v>
      </c>
      <c r="X686">
        <v>11.979391561635113</v>
      </c>
    </row>
    <row r="687" spans="8:24" x14ac:dyDescent="0.35">
      <c r="H687" s="66">
        <v>9</v>
      </c>
      <c r="I687" t="s">
        <v>6</v>
      </c>
      <c r="J687" t="s">
        <v>437</v>
      </c>
      <c r="K687" t="s">
        <v>256</v>
      </c>
      <c r="L687" t="s">
        <v>3</v>
      </c>
      <c r="M687" t="s">
        <v>13</v>
      </c>
      <c r="N687">
        <f t="shared" si="38"/>
        <v>12.385675618249854</v>
      </c>
      <c r="O687" t="str">
        <f t="shared" si="39"/>
        <v/>
      </c>
      <c r="P687" s="67" cm="1">
        <f t="array" ref="P687">SUMPRODUCT((H687=$H$7:$H$10000)*(N687&lt;$N$7:$N$10000))+1</f>
        <v>18</v>
      </c>
      <c r="Q687" s="72"/>
      <c r="R687">
        <v>11</v>
      </c>
      <c r="S687" t="str">
        <v>SDL</v>
      </c>
      <c r="T687" t="str">
        <v>Richard Judd</v>
      </c>
      <c r="U687" t="str">
        <v>NULL</v>
      </c>
      <c r="V687" t="str">
        <v>Away</v>
      </c>
      <c r="W687" t="str">
        <v>LA</v>
      </c>
      <c r="X687">
        <v>11.809319934292178</v>
      </c>
    </row>
    <row r="688" spans="8:24" x14ac:dyDescent="0.35">
      <c r="H688" s="66">
        <v>9</v>
      </c>
      <c r="I688" t="s">
        <v>6</v>
      </c>
      <c r="J688" t="s">
        <v>75</v>
      </c>
      <c r="K688" t="s">
        <v>256</v>
      </c>
      <c r="L688" t="s">
        <v>3</v>
      </c>
      <c r="M688" t="s">
        <v>13</v>
      </c>
      <c r="N688">
        <f t="shared" si="38"/>
        <v>12.130561406105322</v>
      </c>
      <c r="O688" t="str">
        <f t="shared" si="39"/>
        <v/>
      </c>
      <c r="P688" s="67" cm="1">
        <f t="array" ref="P688">SUMPRODUCT((H688=$H$7:$H$10000)*(N688&lt;$N$7:$N$10000))+1</f>
        <v>19</v>
      </c>
      <c r="Q688" s="72"/>
      <c r="R688">
        <v>11</v>
      </c>
      <c r="S688" t="str">
        <v>SDL</v>
      </c>
      <c r="T688" t="str">
        <v>Tiaan Loots</v>
      </c>
      <c r="U688" t="str">
        <v>NULL</v>
      </c>
      <c r="V688" t="str">
        <v>Away</v>
      </c>
      <c r="W688" t="str">
        <v>LA</v>
      </c>
      <c r="X688">
        <v>11.714248665594138</v>
      </c>
    </row>
    <row r="689" spans="8:24" x14ac:dyDescent="0.35">
      <c r="H689" s="66">
        <v>9</v>
      </c>
      <c r="I689" t="s">
        <v>6</v>
      </c>
      <c r="J689" t="s">
        <v>43</v>
      </c>
      <c r="K689" t="s">
        <v>256</v>
      </c>
      <c r="L689" t="s">
        <v>3</v>
      </c>
      <c r="M689" t="s">
        <v>13</v>
      </c>
      <c r="N689">
        <f t="shared" si="38"/>
        <v>11.637471110521096</v>
      </c>
      <c r="O689" t="str">
        <f t="shared" si="39"/>
        <v/>
      </c>
      <c r="P689" s="67" cm="1">
        <f t="array" ref="P689">SUMPRODUCT((H689=$H$7:$H$10000)*(N689&lt;$N$7:$N$10000))+1</f>
        <v>20</v>
      </c>
      <c r="Q689" s="72"/>
      <c r="R689">
        <v>11</v>
      </c>
      <c r="S689" t="str">
        <v>NOLA</v>
      </c>
      <c r="T689" t="str">
        <v>Cooper Coats</v>
      </c>
      <c r="U689" t="str">
        <v>NULL</v>
      </c>
      <c r="V689" t="str">
        <v>Home</v>
      </c>
      <c r="W689" t="str">
        <v>SEA</v>
      </c>
      <c r="X689">
        <v>11.598123589761054</v>
      </c>
    </row>
    <row r="690" spans="8:24" x14ac:dyDescent="0.35">
      <c r="H690" s="66">
        <v>9</v>
      </c>
      <c r="I690" t="s">
        <v>6</v>
      </c>
      <c r="J690" t="s">
        <v>454</v>
      </c>
      <c r="K690" t="s">
        <v>256</v>
      </c>
      <c r="L690" t="s">
        <v>3</v>
      </c>
      <c r="M690" t="s">
        <v>13</v>
      </c>
      <c r="N690">
        <f t="shared" si="38"/>
        <v>11.338805442871351</v>
      </c>
      <c r="O690" t="str">
        <f t="shared" si="39"/>
        <v/>
      </c>
      <c r="P690" s="67" cm="1">
        <f t="array" ref="P690">SUMPRODUCT((H690=$H$7:$H$10000)*(N690&lt;$N$7:$N$10000))+1</f>
        <v>21</v>
      </c>
      <c r="Q690" s="72"/>
      <c r="R690">
        <v>11</v>
      </c>
      <c r="S690" t="str">
        <v>MIA</v>
      </c>
      <c r="T690" t="str">
        <v>Marcos Young</v>
      </c>
      <c r="U690" t="str">
        <v>NULL</v>
      </c>
      <c r="V690" t="str">
        <v>Home</v>
      </c>
      <c r="W690" t="str">
        <v>ARC</v>
      </c>
      <c r="X690">
        <v>11.472769884565089</v>
      </c>
    </row>
    <row r="691" spans="8:24" x14ac:dyDescent="0.35">
      <c r="H691" s="66">
        <v>9</v>
      </c>
      <c r="I691" t="s">
        <v>23</v>
      </c>
      <c r="J691" t="s">
        <v>190</v>
      </c>
      <c r="K691" t="s">
        <v>256</v>
      </c>
      <c r="L691" t="s">
        <v>3</v>
      </c>
      <c r="M691" t="s">
        <v>34</v>
      </c>
      <c r="N691">
        <f t="shared" si="38"/>
        <v>11.24640448554516</v>
      </c>
      <c r="O691" t="str">
        <f t="shared" si="39"/>
        <v/>
      </c>
      <c r="P691" s="67" cm="1">
        <f t="array" ref="P691">SUMPRODUCT((H691=$H$7:$H$10000)*(N691&lt;$N$7:$N$10000))+1</f>
        <v>22</v>
      </c>
      <c r="Q691" s="72"/>
      <c r="R691">
        <v>11</v>
      </c>
      <c r="S691" t="str">
        <v>MIA</v>
      </c>
      <c r="T691" t="str">
        <v>Martin Elias</v>
      </c>
      <c r="U691" t="str">
        <v>NULL</v>
      </c>
      <c r="V691" t="str">
        <v>Home</v>
      </c>
      <c r="W691" t="str">
        <v>ARC</v>
      </c>
      <c r="X691">
        <v>11.441706016962591</v>
      </c>
    </row>
    <row r="692" spans="8:24" x14ac:dyDescent="0.35">
      <c r="H692" s="66">
        <v>9</v>
      </c>
      <c r="I692" t="s">
        <v>34</v>
      </c>
      <c r="J692" t="s">
        <v>52</v>
      </c>
      <c r="K692" t="s">
        <v>256</v>
      </c>
      <c r="L692" t="s">
        <v>9</v>
      </c>
      <c r="M692" t="s">
        <v>23</v>
      </c>
      <c r="N692">
        <f t="shared" si="38"/>
        <v>11.173928395712725</v>
      </c>
      <c r="O692" t="str">
        <f t="shared" si="39"/>
        <v/>
      </c>
      <c r="P692" s="67" cm="1">
        <f t="array" ref="P692">SUMPRODUCT((H692=$H$7:$H$10000)*(N692&lt;$N$7:$N$10000))+1</f>
        <v>23</v>
      </c>
      <c r="Q692" s="72"/>
      <c r="R692">
        <v>11</v>
      </c>
      <c r="S692" t="str">
        <v>MIA</v>
      </c>
      <c r="T692" t="str">
        <v>Tomas Malanos</v>
      </c>
      <c r="U692" t="str">
        <v>NULL</v>
      </c>
      <c r="V692" t="str">
        <v>Home</v>
      </c>
      <c r="W692" t="str">
        <v>ARC</v>
      </c>
      <c r="X692">
        <v>11.291281622575971</v>
      </c>
    </row>
    <row r="693" spans="8:24" x14ac:dyDescent="0.35">
      <c r="H693" s="66">
        <v>9</v>
      </c>
      <c r="I693" t="s">
        <v>36</v>
      </c>
      <c r="J693" t="s">
        <v>491</v>
      </c>
      <c r="K693" t="s">
        <v>256</v>
      </c>
      <c r="L693" t="s">
        <v>9</v>
      </c>
      <c r="M693" t="s">
        <v>24</v>
      </c>
      <c r="N693">
        <f t="shared" si="38"/>
        <v>11.080576933327512</v>
      </c>
      <c r="O693" t="str">
        <f t="shared" si="39"/>
        <v/>
      </c>
      <c r="P693" s="67" cm="1">
        <f t="array" ref="P693">SUMPRODUCT((H693=$H$7:$H$10000)*(N693&lt;$N$7:$N$10000))+1</f>
        <v>24</v>
      </c>
      <c r="Q693" s="72"/>
      <c r="R693">
        <v>11</v>
      </c>
      <c r="S693" t="str">
        <v>MIA</v>
      </c>
      <c r="T693" t="str">
        <v>Tomás Inciarte</v>
      </c>
      <c r="U693" t="str">
        <v>NULL</v>
      </c>
      <c r="V693" t="str">
        <v>Home</v>
      </c>
      <c r="W693" t="str">
        <v>ARC</v>
      </c>
      <c r="X693">
        <v>11.122258775341285</v>
      </c>
    </row>
    <row r="694" spans="8:24" x14ac:dyDescent="0.35">
      <c r="H694" s="66">
        <v>9</v>
      </c>
      <c r="I694" t="s">
        <v>34</v>
      </c>
      <c r="J694" t="s">
        <v>192</v>
      </c>
      <c r="K694" t="s">
        <v>256</v>
      </c>
      <c r="L694" t="s">
        <v>9</v>
      </c>
      <c r="M694" t="s">
        <v>23</v>
      </c>
      <c r="N694">
        <f t="shared" si="38"/>
        <v>11.01515013457375</v>
      </c>
      <c r="O694" t="str">
        <f t="shared" si="39"/>
        <v/>
      </c>
      <c r="P694" s="67" cm="1">
        <f t="array" ref="P694">SUMPRODUCT((H694=$H$7:$H$10000)*(N694&lt;$N$7:$N$10000))+1</f>
        <v>25</v>
      </c>
      <c r="Q694" s="72"/>
      <c r="R694">
        <v>11</v>
      </c>
      <c r="S694" t="str">
        <v>LA</v>
      </c>
      <c r="T694" t="str">
        <v>Gonzalo Bertranou</v>
      </c>
      <c r="U694" t="str">
        <v>NULL</v>
      </c>
      <c r="V694" t="str">
        <v>Home</v>
      </c>
      <c r="W694" t="str">
        <v>SDL</v>
      </c>
      <c r="X694">
        <v>11.09153234631891</v>
      </c>
    </row>
    <row r="695" spans="8:24" x14ac:dyDescent="0.35">
      <c r="H695" s="66">
        <v>9</v>
      </c>
      <c r="I695" t="s">
        <v>34</v>
      </c>
      <c r="J695" t="s">
        <v>496</v>
      </c>
      <c r="K695" t="s">
        <v>256</v>
      </c>
      <c r="L695" t="s">
        <v>9</v>
      </c>
      <c r="M695" t="s">
        <v>23</v>
      </c>
      <c r="N695">
        <f t="shared" si="38"/>
        <v>10.858041277173696</v>
      </c>
      <c r="O695" t="str">
        <f t="shared" si="39"/>
        <v/>
      </c>
      <c r="P695" s="67" cm="1">
        <f t="array" ref="P695">SUMPRODUCT((H695=$H$7:$H$10000)*(N695&lt;$N$7:$N$10000))+1</f>
        <v>26</v>
      </c>
      <c r="Q695" s="72"/>
      <c r="R695">
        <v>11</v>
      </c>
      <c r="S695" t="str">
        <v>NOLA</v>
      </c>
      <c r="T695" t="str">
        <v>Julian Roberts</v>
      </c>
      <c r="U695" t="str">
        <v>NULL</v>
      </c>
      <c r="V695" t="str">
        <v>Home</v>
      </c>
      <c r="W695" t="str">
        <v>SEA</v>
      </c>
      <c r="X695">
        <v>10.952479081495541</v>
      </c>
    </row>
    <row r="696" spans="8:24" x14ac:dyDescent="0.35">
      <c r="H696" s="66">
        <v>9</v>
      </c>
      <c r="I696" t="s">
        <v>6</v>
      </c>
      <c r="J696" t="s">
        <v>451</v>
      </c>
      <c r="K696" t="s">
        <v>256</v>
      </c>
      <c r="L696" t="s">
        <v>3</v>
      </c>
      <c r="M696" t="s">
        <v>13</v>
      </c>
      <c r="N696">
        <f t="shared" si="38"/>
        <v>10.727510489885002</v>
      </c>
      <c r="O696" t="str">
        <f t="shared" si="39"/>
        <v/>
      </c>
      <c r="P696" s="67" cm="1">
        <f t="array" ref="P696">SUMPRODUCT((H696=$H$7:$H$10000)*(N696&lt;$N$7:$N$10000))+1</f>
        <v>27</v>
      </c>
      <c r="Q696" s="72"/>
      <c r="R696">
        <v>11</v>
      </c>
      <c r="S696" t="str">
        <v>MIA</v>
      </c>
      <c r="T696" t="str">
        <v>Tomás Cubelli</v>
      </c>
      <c r="U696" t="str">
        <v>NULL</v>
      </c>
      <c r="V696" t="str">
        <v>Home</v>
      </c>
      <c r="W696" t="str">
        <v>ARC</v>
      </c>
      <c r="X696">
        <v>10.951570136853288</v>
      </c>
    </row>
    <row r="697" spans="8:24" x14ac:dyDescent="0.35">
      <c r="H697" s="66">
        <v>9</v>
      </c>
      <c r="I697" t="s">
        <v>6</v>
      </c>
      <c r="J697" t="s">
        <v>64</v>
      </c>
      <c r="K697" t="s">
        <v>256</v>
      </c>
      <c r="L697" t="s">
        <v>3</v>
      </c>
      <c r="M697" t="s">
        <v>13</v>
      </c>
      <c r="N697">
        <f t="shared" si="38"/>
        <v>10.686576944841804</v>
      </c>
      <c r="O697" t="str">
        <f t="shared" si="39"/>
        <v/>
      </c>
      <c r="P697" s="67" cm="1">
        <f t="array" ref="P697">SUMPRODUCT((H697=$H$7:$H$10000)*(N697&lt;$N$7:$N$10000))+1</f>
        <v>28</v>
      </c>
      <c r="Q697" s="72"/>
      <c r="R697">
        <v>11</v>
      </c>
      <c r="S697" t="str">
        <v>LA</v>
      </c>
      <c r="T697" t="str">
        <v>Jack Shaw</v>
      </c>
      <c r="U697" t="str">
        <v>NULL</v>
      </c>
      <c r="V697" t="str">
        <v>Home</v>
      </c>
      <c r="W697" t="str">
        <v>SDL</v>
      </c>
      <c r="X697">
        <v>10.836418134174377</v>
      </c>
    </row>
    <row r="698" spans="8:24" x14ac:dyDescent="0.35">
      <c r="H698" s="66">
        <v>9</v>
      </c>
      <c r="I698" t="s">
        <v>14</v>
      </c>
      <c r="J698" t="s">
        <v>448</v>
      </c>
      <c r="K698" t="s">
        <v>256</v>
      </c>
      <c r="L698" t="s">
        <v>9</v>
      </c>
      <c r="M698" t="s">
        <v>2</v>
      </c>
      <c r="N698">
        <f t="shared" si="38"/>
        <v>10.652755595073637</v>
      </c>
      <c r="O698" t="str">
        <f t="shared" si="39"/>
        <v/>
      </c>
      <c r="P698" s="67" cm="1">
        <f t="array" ref="P698">SUMPRODUCT((H698=$H$7:$H$10000)*(N698&lt;$N$7:$N$10000))+1</f>
        <v>29</v>
      </c>
      <c r="Q698" s="72"/>
      <c r="R698">
        <v>11</v>
      </c>
      <c r="S698" t="str">
        <v>NOLA</v>
      </c>
      <c r="T698" t="str">
        <v>Xavier Mignot</v>
      </c>
      <c r="U698" t="str">
        <v>NULL</v>
      </c>
      <c r="V698" t="str">
        <v>Home</v>
      </c>
      <c r="W698" t="str">
        <v>SEA</v>
      </c>
      <c r="X698">
        <v>10.5094358714907</v>
      </c>
    </row>
    <row r="699" spans="8:24" x14ac:dyDescent="0.35">
      <c r="H699" s="66">
        <v>9</v>
      </c>
      <c r="I699" t="s">
        <v>2</v>
      </c>
      <c r="J699" t="s">
        <v>449</v>
      </c>
      <c r="K699" t="s">
        <v>256</v>
      </c>
      <c r="L699" t="s">
        <v>3</v>
      </c>
      <c r="M699" t="s">
        <v>14</v>
      </c>
      <c r="N699">
        <f t="shared" si="38"/>
        <v>10.418914507929973</v>
      </c>
      <c r="O699" t="str">
        <f t="shared" si="39"/>
        <v/>
      </c>
      <c r="P699" s="67" cm="1">
        <f t="array" ref="P699">SUMPRODUCT((H699=$H$7:$H$10000)*(N699&lt;$N$7:$N$10000))+1</f>
        <v>30</v>
      </c>
      <c r="Q699" s="72"/>
      <c r="R699">
        <v>11</v>
      </c>
      <c r="S699" t="str">
        <v>SDL</v>
      </c>
      <c r="T699" t="str">
        <v>Marcel Brache</v>
      </c>
      <c r="U699" t="str">
        <v>NULL</v>
      </c>
      <c r="V699" t="str">
        <v>Away</v>
      </c>
      <c r="W699" t="str">
        <v>LA</v>
      </c>
      <c r="X699">
        <v>10.36106635231269</v>
      </c>
    </row>
    <row r="700" spans="8:24" x14ac:dyDescent="0.35">
      <c r="H700" s="66">
        <v>9</v>
      </c>
      <c r="I700" t="s">
        <v>13</v>
      </c>
      <c r="J700" t="s">
        <v>478</v>
      </c>
      <c r="K700" t="s">
        <v>256</v>
      </c>
      <c r="L700" t="s">
        <v>9</v>
      </c>
      <c r="M700" t="s">
        <v>6</v>
      </c>
      <c r="N700">
        <f t="shared" si="38"/>
        <v>10.371418232162641</v>
      </c>
      <c r="O700" t="str">
        <f t="shared" si="39"/>
        <v/>
      </c>
      <c r="P700" s="67" cm="1">
        <f t="array" ref="P700">SUMPRODUCT((H700=$H$7:$H$10000)*(N700&lt;$N$7:$N$10000))+1</f>
        <v>31</v>
      </c>
      <c r="Q700" s="72"/>
      <c r="R700">
        <v>11</v>
      </c>
      <c r="S700" t="str">
        <v>LA</v>
      </c>
      <c r="T700" t="str">
        <v>Seth Purdey</v>
      </c>
      <c r="U700" t="str">
        <v>NULL</v>
      </c>
      <c r="V700" t="str">
        <v>Home</v>
      </c>
      <c r="W700" t="str">
        <v>SDL</v>
      </c>
      <c r="X700">
        <v>10.343327838590152</v>
      </c>
    </row>
    <row r="701" spans="8:24" x14ac:dyDescent="0.35">
      <c r="H701" s="66">
        <v>9</v>
      </c>
      <c r="I701" t="s">
        <v>14</v>
      </c>
      <c r="J701" t="s">
        <v>87</v>
      </c>
      <c r="K701" t="s">
        <v>256</v>
      </c>
      <c r="L701" t="s">
        <v>9</v>
      </c>
      <c r="M701" t="s">
        <v>2</v>
      </c>
      <c r="N701">
        <f t="shared" si="38"/>
        <v>10.264086338859343</v>
      </c>
      <c r="O701" t="str">
        <f t="shared" si="39"/>
        <v/>
      </c>
      <c r="P701" s="67" cm="1">
        <f t="array" ref="P701">SUMPRODUCT((H701=$H$7:$H$10000)*(N701&lt;$N$7:$N$10000))+1</f>
        <v>32</v>
      </c>
      <c r="Q701" s="72"/>
      <c r="R701">
        <v>11</v>
      </c>
      <c r="S701" t="str">
        <v>NOLA</v>
      </c>
      <c r="T701" t="str">
        <v>Ed Fidow</v>
      </c>
      <c r="U701" t="str">
        <v>NULL</v>
      </c>
      <c r="V701" t="str">
        <v>Home</v>
      </c>
      <c r="W701" t="str">
        <v>SEA</v>
      </c>
      <c r="X701">
        <v>10.237068533051756</v>
      </c>
    </row>
    <row r="702" spans="8:24" x14ac:dyDescent="0.35">
      <c r="H702" s="66">
        <v>9</v>
      </c>
      <c r="I702" t="s">
        <v>23</v>
      </c>
      <c r="J702" t="s">
        <v>46</v>
      </c>
      <c r="K702" t="s">
        <v>256</v>
      </c>
      <c r="L702" t="s">
        <v>3</v>
      </c>
      <c r="M702" t="s">
        <v>34</v>
      </c>
      <c r="N702">
        <f t="shared" si="38"/>
        <v>10.045614083763533</v>
      </c>
      <c r="O702" t="str">
        <f t="shared" si="39"/>
        <v/>
      </c>
      <c r="P702" s="67" cm="1">
        <f t="array" ref="P702">SUMPRODUCT((H702=$H$7:$H$10000)*(N702&lt;$N$7:$N$10000))+1</f>
        <v>33</v>
      </c>
      <c r="Q702" s="72"/>
      <c r="R702">
        <v>11</v>
      </c>
      <c r="S702" t="str">
        <v>UTAH</v>
      </c>
      <c r="T702" t="str">
        <v>Jordan Trainor</v>
      </c>
      <c r="U702" t="str">
        <v>NULL</v>
      </c>
      <c r="V702" t="str">
        <v>Home</v>
      </c>
      <c r="W702" t="str">
        <v>CHI</v>
      </c>
      <c r="X702">
        <v>10.211277591284334</v>
      </c>
    </row>
    <row r="703" spans="8:24" x14ac:dyDescent="0.35">
      <c r="H703" s="66">
        <v>9</v>
      </c>
      <c r="I703" t="s">
        <v>24</v>
      </c>
      <c r="J703" t="s">
        <v>446</v>
      </c>
      <c r="K703" t="s">
        <v>256</v>
      </c>
      <c r="L703" t="s">
        <v>3</v>
      </c>
      <c r="M703" t="s">
        <v>36</v>
      </c>
      <c r="N703">
        <f t="shared" si="38"/>
        <v>10.020786666389458</v>
      </c>
      <c r="O703" t="str">
        <f t="shared" si="39"/>
        <v/>
      </c>
      <c r="P703" s="67" cm="1">
        <f t="array" ref="P703">SUMPRODUCT((H703=$H$7:$H$10000)*(N703&lt;$N$7:$N$10000))+1</f>
        <v>34</v>
      </c>
      <c r="Q703" s="72"/>
      <c r="R703">
        <v>11</v>
      </c>
      <c r="S703" t="str">
        <v>MIA</v>
      </c>
      <c r="T703" t="str">
        <v>Santiago Videla</v>
      </c>
      <c r="U703" t="str">
        <v>NULL</v>
      </c>
      <c r="V703" t="str">
        <v>Home</v>
      </c>
      <c r="W703" t="str">
        <v>ARC</v>
      </c>
      <c r="X703">
        <v>10.151556877194505</v>
      </c>
    </row>
    <row r="704" spans="8:24" x14ac:dyDescent="0.35">
      <c r="H704" s="66">
        <v>9</v>
      </c>
      <c r="I704" t="s">
        <v>14</v>
      </c>
      <c r="J704" t="s">
        <v>83</v>
      </c>
      <c r="K704" t="s">
        <v>256</v>
      </c>
      <c r="L704" t="s">
        <v>9</v>
      </c>
      <c r="M704" t="s">
        <v>2</v>
      </c>
      <c r="N704">
        <f t="shared" si="38"/>
        <v>10.002491753296175</v>
      </c>
      <c r="O704" t="str">
        <f t="shared" si="39"/>
        <v/>
      </c>
      <c r="P704" s="67" cm="1">
        <f t="array" ref="P704">SUMPRODUCT((H704=$H$7:$H$10000)*(N704&lt;$N$7:$N$10000))+1</f>
        <v>35</v>
      </c>
      <c r="Q704" s="72"/>
      <c r="R704">
        <v>11</v>
      </c>
      <c r="S704" t="str">
        <v>LA</v>
      </c>
      <c r="T704" t="str">
        <v>Cameron Gerlach</v>
      </c>
      <c r="U704" t="str">
        <v>NULL</v>
      </c>
      <c r="V704" t="str">
        <v>Home</v>
      </c>
      <c r="W704" t="str">
        <v>SDL</v>
      </c>
      <c r="X704">
        <v>10.044662170940407</v>
      </c>
    </row>
    <row r="705" spans="8:24" x14ac:dyDescent="0.35">
      <c r="H705" s="66">
        <v>9</v>
      </c>
      <c r="I705" t="s">
        <v>23</v>
      </c>
      <c r="J705" t="s">
        <v>32</v>
      </c>
      <c r="K705" t="s">
        <v>256</v>
      </c>
      <c r="L705" t="s">
        <v>3</v>
      </c>
      <c r="M705" t="s">
        <v>34</v>
      </c>
      <c r="N705">
        <f t="shared" si="38"/>
        <v>9.8654101224296635</v>
      </c>
      <c r="O705" t="str">
        <f t="shared" si="39"/>
        <v/>
      </c>
      <c r="P705" s="67" cm="1">
        <f t="array" ref="P705">SUMPRODUCT((H705=$H$7:$H$10000)*(N705&lt;$N$7:$N$10000))+1</f>
        <v>36</v>
      </c>
      <c r="Q705" s="72"/>
      <c r="R705">
        <v>11</v>
      </c>
      <c r="S705" t="str">
        <v>CHI</v>
      </c>
      <c r="T705" t="str">
        <v>Ollie Devoto</v>
      </c>
      <c r="U705" t="str">
        <v>NULL</v>
      </c>
      <c r="V705" t="str">
        <v>Away</v>
      </c>
      <c r="W705" t="str">
        <v>UTAH</v>
      </c>
      <c r="X705">
        <v>9.8704940532936138</v>
      </c>
    </row>
    <row r="706" spans="8:24" x14ac:dyDescent="0.35">
      <c r="H706" s="66">
        <v>9</v>
      </c>
      <c r="I706" t="s">
        <v>23</v>
      </c>
      <c r="J706" t="s">
        <v>91</v>
      </c>
      <c r="K706" t="s">
        <v>256</v>
      </c>
      <c r="L706" t="s">
        <v>3</v>
      </c>
      <c r="M706" t="s">
        <v>34</v>
      </c>
      <c r="N706">
        <f t="shared" si="38"/>
        <v>9.8236079317237355</v>
      </c>
      <c r="O706" t="str">
        <f t="shared" si="39"/>
        <v/>
      </c>
      <c r="P706" s="67" cm="1">
        <f t="array" ref="P706">SUMPRODUCT((H706=$H$7:$H$10000)*(N706&lt;$N$7:$N$10000))+1</f>
        <v>37</v>
      </c>
      <c r="Q706" s="72"/>
      <c r="R706">
        <v>11</v>
      </c>
      <c r="S706" t="str">
        <v>LA</v>
      </c>
      <c r="T706" t="str">
        <v>Nick Chan</v>
      </c>
      <c r="U706" t="str">
        <v>NULL</v>
      </c>
      <c r="V706" t="str">
        <v>Home</v>
      </c>
      <c r="W706" t="str">
        <v>SDL</v>
      </c>
      <c r="X706">
        <v>9.4333672179540589</v>
      </c>
    </row>
    <row r="707" spans="8:24" x14ac:dyDescent="0.35">
      <c r="H707" s="66">
        <v>9</v>
      </c>
      <c r="I707" t="s">
        <v>34</v>
      </c>
      <c r="J707" t="s">
        <v>440</v>
      </c>
      <c r="K707" t="s">
        <v>256</v>
      </c>
      <c r="L707" t="s">
        <v>9</v>
      </c>
      <c r="M707" t="s">
        <v>23</v>
      </c>
      <c r="N707">
        <f t="shared" si="38"/>
        <v>9.7401113860067632</v>
      </c>
      <c r="O707" t="str">
        <f t="shared" si="39"/>
        <v/>
      </c>
      <c r="P707" s="67" cm="1">
        <f t="array" ref="P707">SUMPRODUCT((H707=$H$7:$H$10000)*(N707&lt;$N$7:$N$10000))+1</f>
        <v>38</v>
      </c>
      <c r="Q707" s="72"/>
      <c r="R707">
        <v>11</v>
      </c>
      <c r="S707" t="str">
        <v>NOLA</v>
      </c>
      <c r="T707" t="str">
        <v>JP Du Plessis</v>
      </c>
      <c r="U707" t="str">
        <v>NULL</v>
      </c>
      <c r="V707" t="str">
        <v>Home</v>
      </c>
      <c r="W707" t="str">
        <v>SEA</v>
      </c>
      <c r="X707">
        <v>9.4108800133719246</v>
      </c>
    </row>
    <row r="708" spans="8:24" x14ac:dyDescent="0.35">
      <c r="H708" s="66">
        <v>9</v>
      </c>
      <c r="I708" t="s">
        <v>13</v>
      </c>
      <c r="J708" t="s">
        <v>53</v>
      </c>
      <c r="K708" t="s">
        <v>256</v>
      </c>
      <c r="L708" t="s">
        <v>9</v>
      </c>
      <c r="M708" t="s">
        <v>6</v>
      </c>
      <c r="N708">
        <f t="shared" si="38"/>
        <v>9.7181673051528126</v>
      </c>
      <c r="O708" t="str">
        <f t="shared" si="39"/>
        <v/>
      </c>
      <c r="P708" s="67" cm="1">
        <f t="array" ref="P708">SUMPRODUCT((H708=$H$7:$H$10000)*(N708&lt;$N$7:$N$10000))+1</f>
        <v>39</v>
      </c>
      <c r="Q708" s="72"/>
      <c r="R708">
        <v>11</v>
      </c>
      <c r="S708" t="str">
        <v>LA</v>
      </c>
      <c r="T708" t="str">
        <v>Andrew Coe</v>
      </c>
      <c r="U708" t="str">
        <v>NULL</v>
      </c>
      <c r="V708" t="str">
        <v>Home</v>
      </c>
      <c r="W708" t="str">
        <v>SDL</v>
      </c>
      <c r="X708">
        <v>9.3924336729108582</v>
      </c>
    </row>
    <row r="709" spans="8:24" x14ac:dyDescent="0.35">
      <c r="H709" s="66">
        <v>9</v>
      </c>
      <c r="I709" t="s">
        <v>34</v>
      </c>
      <c r="J709" t="s">
        <v>39</v>
      </c>
      <c r="K709" t="s">
        <v>256</v>
      </c>
      <c r="L709" t="s">
        <v>9</v>
      </c>
      <c r="M709" t="s">
        <v>23</v>
      </c>
      <c r="N709">
        <f t="shared" si="38"/>
        <v>9.6450401173087226</v>
      </c>
      <c r="O709" t="str">
        <f t="shared" si="39"/>
        <v/>
      </c>
      <c r="P709" s="67" cm="1">
        <f t="array" ref="P709">SUMPRODUCT((H709=$H$7:$H$10000)*(N709&lt;$N$7:$N$10000))+1</f>
        <v>40</v>
      </c>
      <c r="Q709" s="72"/>
      <c r="R709">
        <v>11</v>
      </c>
      <c r="S709" t="str">
        <v>SEA</v>
      </c>
      <c r="T709" t="str">
        <v>Eddie Fouche</v>
      </c>
      <c r="U709" t="str">
        <v>NULL</v>
      </c>
      <c r="V709" t="str">
        <v>Away</v>
      </c>
      <c r="W709" t="str">
        <v>NOLA</v>
      </c>
      <c r="X709">
        <v>9.3801752540056942</v>
      </c>
    </row>
    <row r="710" spans="8:24" x14ac:dyDescent="0.35">
      <c r="H710" s="66">
        <v>9</v>
      </c>
      <c r="I710" t="s">
        <v>36</v>
      </c>
      <c r="J710" t="s">
        <v>479</v>
      </c>
      <c r="K710" t="s">
        <v>256</v>
      </c>
      <c r="L710" t="s">
        <v>9</v>
      </c>
      <c r="M710" t="s">
        <v>24</v>
      </c>
      <c r="N710">
        <f t="shared" si="38"/>
        <v>9.6012345690779028</v>
      </c>
      <c r="O710" t="str">
        <f t="shared" si="39"/>
        <v/>
      </c>
      <c r="P710" s="67" cm="1">
        <f t="array" ref="P710">SUMPRODUCT((H710=$H$7:$H$10000)*(N710&lt;$N$7:$N$10000))+1</f>
        <v>41</v>
      </c>
      <c r="Q710" s="72"/>
      <c r="R710">
        <v>11</v>
      </c>
      <c r="S710" t="str">
        <v>CHI</v>
      </c>
      <c r="T710" t="str">
        <v>Adriaan Carelse</v>
      </c>
      <c r="U710" t="str">
        <v>NULL</v>
      </c>
      <c r="V710" t="str">
        <v>Away</v>
      </c>
      <c r="W710" t="str">
        <v>UTAH</v>
      </c>
      <c r="X710">
        <v>8.9792250174966988</v>
      </c>
    </row>
    <row r="711" spans="8:24" x14ac:dyDescent="0.35">
      <c r="H711" s="66">
        <v>9</v>
      </c>
      <c r="I711" t="s">
        <v>2</v>
      </c>
      <c r="J711" t="s">
        <v>63</v>
      </c>
      <c r="K711" t="s">
        <v>256</v>
      </c>
      <c r="L711" t="s">
        <v>3</v>
      </c>
      <c r="M711" t="s">
        <v>14</v>
      </c>
      <c r="N711">
        <f t="shared" si="38"/>
        <v>9.5276454721330577</v>
      </c>
      <c r="O711" t="str">
        <f t="shared" si="39"/>
        <v/>
      </c>
      <c r="P711" s="67" cm="1">
        <f t="array" ref="P711">SUMPRODUCT((H711=$H$7:$H$10000)*(N711&lt;$N$7:$N$10000))+1</f>
        <v>42</v>
      </c>
      <c r="Q711" s="72"/>
      <c r="R711">
        <v>11</v>
      </c>
      <c r="S711" t="str">
        <v>ARC</v>
      </c>
      <c r="T711" t="str">
        <v>Jason Tidwell</v>
      </c>
      <c r="U711" t="str">
        <v>NULL</v>
      </c>
      <c r="V711" t="str">
        <v>Away</v>
      </c>
      <c r="W711" t="str">
        <v>MIA</v>
      </c>
      <c r="X711">
        <v>8.60326377933613</v>
      </c>
    </row>
    <row r="712" spans="8:24" x14ac:dyDescent="0.35">
      <c r="H712" s="66">
        <v>9</v>
      </c>
      <c r="I712" t="s">
        <v>36</v>
      </c>
      <c r="J712" t="s">
        <v>476</v>
      </c>
      <c r="K712" t="s">
        <v>256</v>
      </c>
      <c r="L712" t="s">
        <v>9</v>
      </c>
      <c r="M712" t="s">
        <v>24</v>
      </c>
      <c r="N712">
        <f t="shared" si="38"/>
        <v>9.4544014089149222</v>
      </c>
      <c r="O712" t="str">
        <f t="shared" si="39"/>
        <v/>
      </c>
      <c r="P712" s="67" cm="1">
        <f t="array" ref="P712">SUMPRODUCT((H712=$H$7:$H$10000)*(N712&lt;$N$7:$N$10000))+1</f>
        <v>43</v>
      </c>
      <c r="Q712" s="72"/>
      <c r="R712">
        <v>11</v>
      </c>
      <c r="S712" t="str">
        <v>SEA</v>
      </c>
      <c r="T712" t="str">
        <v>Rodney Iona</v>
      </c>
      <c r="U712" t="str">
        <v>NULL</v>
      </c>
      <c r="V712" t="str">
        <v>Away</v>
      </c>
      <c r="W712" t="str">
        <v>NOLA</v>
      </c>
      <c r="X712">
        <v>8.5250899884498708</v>
      </c>
    </row>
    <row r="713" spans="8:24" x14ac:dyDescent="0.35">
      <c r="H713" s="66">
        <v>9</v>
      </c>
      <c r="I713" t="s">
        <v>7</v>
      </c>
      <c r="J713" t="s">
        <v>67</v>
      </c>
      <c r="K713" t="s">
        <v>256</v>
      </c>
      <c r="L713" t="s">
        <v>9</v>
      </c>
      <c r="M713" t="s">
        <v>4</v>
      </c>
      <c r="N713">
        <f t="shared" si="38"/>
        <v>9.1396146653087964</v>
      </c>
      <c r="O713" t="str">
        <f t="shared" si="39"/>
        <v/>
      </c>
      <c r="P713" s="67" cm="1">
        <f t="array" ref="P713">SUMPRODUCT((H713=$H$7:$H$10000)*(N713&lt;$N$7:$N$10000))+1</f>
        <v>44</v>
      </c>
      <c r="Q713" s="72"/>
      <c r="R713">
        <v>11</v>
      </c>
      <c r="S713" t="str">
        <v>HOU</v>
      </c>
      <c r="T713" t="str">
        <v>Dom Akina</v>
      </c>
      <c r="U713" t="str">
        <v>NULL</v>
      </c>
      <c r="V713" t="str">
        <v>Home</v>
      </c>
      <c r="W713" t="str">
        <v>OGDC</v>
      </c>
      <c r="X713">
        <v>8.1814318644626152</v>
      </c>
    </row>
    <row r="714" spans="8:24" x14ac:dyDescent="0.35">
      <c r="H714" s="66">
        <v>9</v>
      </c>
      <c r="I714" t="s">
        <v>14</v>
      </c>
      <c r="J714" t="s">
        <v>438</v>
      </c>
      <c r="K714" t="s">
        <v>256</v>
      </c>
      <c r="L714" t="s">
        <v>9</v>
      </c>
      <c r="M714" t="s">
        <v>2</v>
      </c>
      <c r="N714">
        <f t="shared" si="38"/>
        <v>9.0926268817768907</v>
      </c>
      <c r="O714" t="str">
        <f t="shared" si="39"/>
        <v/>
      </c>
      <c r="P714" s="67" cm="1">
        <f t="array" ref="P714">SUMPRODUCT((H714=$H$7:$H$10000)*(N714&lt;$N$7:$N$10000))+1</f>
        <v>45</v>
      </c>
      <c r="Q714" s="72"/>
      <c r="R714">
        <v>11</v>
      </c>
      <c r="S714" t="str">
        <v>UTAH</v>
      </c>
      <c r="T714" t="str">
        <v>Blake Makiri</v>
      </c>
      <c r="U714" t="str">
        <v>NULL</v>
      </c>
      <c r="V714" t="str">
        <v>Home</v>
      </c>
      <c r="W714" t="str">
        <v>CHI</v>
      </c>
      <c r="X714">
        <v>8.1274599137986279</v>
      </c>
    </row>
    <row r="715" spans="8:24" x14ac:dyDescent="0.35">
      <c r="H715" s="66">
        <v>9</v>
      </c>
      <c r="I715" t="s">
        <v>4</v>
      </c>
      <c r="J715" t="s">
        <v>457</v>
      </c>
      <c r="K715" t="s">
        <v>256</v>
      </c>
      <c r="L715" t="s">
        <v>3</v>
      </c>
      <c r="M715" t="s">
        <v>7</v>
      </c>
      <c r="N715">
        <f t="shared" si="38"/>
        <v>8.7577427601053461</v>
      </c>
      <c r="O715" t="str">
        <f t="shared" si="39"/>
        <v/>
      </c>
      <c r="P715" s="67" cm="1">
        <f t="array" ref="P715">SUMPRODUCT((H715=$H$7:$H$10000)*(N715&lt;$N$7:$N$10000))+1</f>
        <v>46</v>
      </c>
      <c r="Q715" s="72"/>
      <c r="R715">
        <v>11</v>
      </c>
      <c r="S715" t="str">
        <v>SEA</v>
      </c>
      <c r="T715" t="str">
        <v>Duncan Matthews</v>
      </c>
      <c r="U715" t="str">
        <v>NULL</v>
      </c>
      <c r="V715" t="str">
        <v>Away</v>
      </c>
      <c r="W715" t="str">
        <v>NOLA</v>
      </c>
      <c r="X715">
        <v>8.0756722365008713</v>
      </c>
    </row>
    <row r="716" spans="8:24" x14ac:dyDescent="0.35">
      <c r="H716" s="66">
        <v>9</v>
      </c>
      <c r="I716" t="s">
        <v>2</v>
      </c>
      <c r="J716" t="s">
        <v>455</v>
      </c>
      <c r="K716" t="s">
        <v>256</v>
      </c>
      <c r="L716" t="s">
        <v>3</v>
      </c>
      <c r="M716" t="s">
        <v>14</v>
      </c>
      <c r="N716">
        <f t="shared" ref="N716:N779" si="40">VLOOKUP($L716,$F$3:$G$4,2,FALSE)+VLOOKUP($J716,$A$20:$B$131,2,FALSE)+VLOOKUP($M716,$A$6:$B$16,2,FALSE)</f>
        <v>8.5002276314204899</v>
      </c>
      <c r="O716" t="str">
        <f t="shared" ref="O716:O779" si="41">IFERROR(($K716-$N716)^2,"")</f>
        <v/>
      </c>
      <c r="P716" s="67" cm="1">
        <f t="array" ref="P716">SUMPRODUCT((H716=$H$7:$H$10000)*(N716&lt;$N$7:$N$10000))+1</f>
        <v>47</v>
      </c>
      <c r="Q716" s="72"/>
      <c r="R716">
        <v>11</v>
      </c>
      <c r="S716" t="str">
        <v>SEA</v>
      </c>
      <c r="T716" t="str">
        <v>Divan Rossouw</v>
      </c>
      <c r="U716" t="str">
        <v>NULL</v>
      </c>
      <c r="V716" t="str">
        <v>Away</v>
      </c>
      <c r="W716" t="str">
        <v>NOLA</v>
      </c>
      <c r="X716">
        <v>7.9575720598412776</v>
      </c>
    </row>
    <row r="717" spans="8:24" x14ac:dyDescent="0.35">
      <c r="H717" s="66">
        <v>9</v>
      </c>
      <c r="I717" t="s">
        <v>7</v>
      </c>
      <c r="J717" t="s">
        <v>447</v>
      </c>
      <c r="K717" t="s">
        <v>256</v>
      </c>
      <c r="L717" t="s">
        <v>9</v>
      </c>
      <c r="M717" t="s">
        <v>4</v>
      </c>
      <c r="N717">
        <f t="shared" si="40"/>
        <v>8.4519736046427436</v>
      </c>
      <c r="O717" t="str">
        <f t="shared" si="41"/>
        <v/>
      </c>
      <c r="P717" s="67" cm="1">
        <f t="array" ref="P717">SUMPRODUCT((H717=$H$7:$H$10000)*(N717&lt;$N$7:$N$10000))+1</f>
        <v>48</v>
      </c>
      <c r="Q717" s="72"/>
      <c r="R717">
        <v>11</v>
      </c>
      <c r="S717" t="str">
        <v>ARC</v>
      </c>
      <c r="T717" t="str">
        <v>Junior Gafa</v>
      </c>
      <c r="U717" t="str">
        <v>NULL</v>
      </c>
      <c r="V717" t="str">
        <v>Away</v>
      </c>
      <c r="W717" t="str">
        <v>MIA</v>
      </c>
      <c r="X717">
        <v>7.9533070006234095</v>
      </c>
    </row>
    <row r="718" spans="8:24" x14ac:dyDescent="0.35">
      <c r="H718" s="66">
        <v>9</v>
      </c>
      <c r="I718" t="s">
        <v>34</v>
      </c>
      <c r="J718" t="s">
        <v>51</v>
      </c>
      <c r="K718" t="s">
        <v>256</v>
      </c>
      <c r="L718" t="s">
        <v>9</v>
      </c>
      <c r="M718" t="s">
        <v>23</v>
      </c>
      <c r="N718">
        <f t="shared" si="40"/>
        <v>8.2918578040272735</v>
      </c>
      <c r="O718" t="str">
        <f t="shared" si="41"/>
        <v/>
      </c>
      <c r="P718" s="67" cm="1">
        <f t="array" ref="P718">SUMPRODUCT((H718=$H$7:$H$10000)*(N718&lt;$N$7:$N$10000))+1</f>
        <v>49</v>
      </c>
      <c r="Q718" s="72"/>
      <c r="R718">
        <v>11</v>
      </c>
      <c r="S718" t="str">
        <v>CHI</v>
      </c>
      <c r="T718" t="str">
        <v>Ben Pollack</v>
      </c>
      <c r="U718" t="str">
        <v>NULL</v>
      </c>
      <c r="V718" t="str">
        <v>Away</v>
      </c>
      <c r="W718" t="str">
        <v>UTAH</v>
      </c>
      <c r="X718">
        <v>7.951807176784131</v>
      </c>
    </row>
    <row r="719" spans="8:24" x14ac:dyDescent="0.35">
      <c r="H719" s="66">
        <v>9</v>
      </c>
      <c r="I719" t="s">
        <v>36</v>
      </c>
      <c r="J719" t="s">
        <v>490</v>
      </c>
      <c r="K719" t="s">
        <v>256</v>
      </c>
      <c r="L719" t="s">
        <v>9</v>
      </c>
      <c r="M719" t="s">
        <v>24</v>
      </c>
      <c r="N719">
        <f t="shared" si="40"/>
        <v>8.1790486726733604</v>
      </c>
      <c r="O719" t="str">
        <f t="shared" si="41"/>
        <v/>
      </c>
      <c r="P719" s="67" cm="1">
        <f t="array" ref="P719">SUMPRODUCT((H719=$H$7:$H$10000)*(N719&lt;$N$7:$N$10000))+1</f>
        <v>50</v>
      </c>
      <c r="Q719" s="72"/>
      <c r="R719">
        <v>11</v>
      </c>
      <c r="S719" t="str">
        <v>HOU</v>
      </c>
      <c r="T719" t="str">
        <v>Davy Coetzer</v>
      </c>
      <c r="U719" t="str">
        <v>NULL</v>
      </c>
      <c r="V719" t="str">
        <v>Home</v>
      </c>
      <c r="W719" t="str">
        <v>OGDC</v>
      </c>
      <c r="X719">
        <v>7.6018724723477771</v>
      </c>
    </row>
    <row r="720" spans="8:24" x14ac:dyDescent="0.35">
      <c r="H720" s="66">
        <v>9</v>
      </c>
      <c r="I720" t="s">
        <v>13</v>
      </c>
      <c r="J720" t="s">
        <v>474</v>
      </c>
      <c r="K720" t="s">
        <v>256</v>
      </c>
      <c r="L720" t="s">
        <v>9</v>
      </c>
      <c r="M720" t="s">
        <v>6</v>
      </c>
      <c r="N720">
        <f t="shared" si="40"/>
        <v>8.113861605097906</v>
      </c>
      <c r="O720" t="str">
        <f t="shared" si="41"/>
        <v/>
      </c>
      <c r="P720" s="67" cm="1">
        <f t="array" ref="P720">SUMPRODUCT((H720=$H$7:$H$10000)*(N720&lt;$N$7:$N$10000))+1</f>
        <v>51</v>
      </c>
      <c r="Q720" s="72"/>
      <c r="R720">
        <v>11</v>
      </c>
      <c r="S720" t="str">
        <v>HOU</v>
      </c>
      <c r="T720" t="str">
        <v>Jeremy Misailegalu</v>
      </c>
      <c r="U720" t="str">
        <v>NULL</v>
      </c>
      <c r="V720" t="str">
        <v>Home</v>
      </c>
      <c r="W720" t="str">
        <v>OGDC</v>
      </c>
      <c r="X720">
        <v>7.5954859551278249</v>
      </c>
    </row>
    <row r="721" spans="8:24" x14ac:dyDescent="0.35">
      <c r="H721" s="66">
        <v>9</v>
      </c>
      <c r="I721" t="s">
        <v>4</v>
      </c>
      <c r="J721" t="s">
        <v>286</v>
      </c>
      <c r="K721" t="s">
        <v>256</v>
      </c>
      <c r="L721" t="s">
        <v>3</v>
      </c>
      <c r="M721" t="s">
        <v>7</v>
      </c>
      <c r="N721">
        <f t="shared" si="40"/>
        <v>8.1120982518398339</v>
      </c>
      <c r="O721" t="str">
        <f t="shared" si="41"/>
        <v/>
      </c>
      <c r="P721" s="67" cm="1">
        <f t="array" ref="P721">SUMPRODUCT((H721=$H$7:$H$10000)*(N721&lt;$N$7:$N$10000))+1</f>
        <v>52</v>
      </c>
      <c r="Q721" s="72"/>
      <c r="R721">
        <v>11</v>
      </c>
      <c r="S721" t="str">
        <v>OGDC</v>
      </c>
      <c r="T721" t="str">
        <v>Damien Hoyland</v>
      </c>
      <c r="U721" t="str">
        <v>NULL</v>
      </c>
      <c r="V721" t="str">
        <v>Away</v>
      </c>
      <c r="W721" t="str">
        <v>HOU</v>
      </c>
      <c r="X721">
        <v>7.5478408248014768</v>
      </c>
    </row>
    <row r="722" spans="8:24" x14ac:dyDescent="0.35">
      <c r="H722" s="66">
        <v>9</v>
      </c>
      <c r="I722" t="s">
        <v>24</v>
      </c>
      <c r="J722" t="s">
        <v>84</v>
      </c>
      <c r="K722" t="s">
        <v>256</v>
      </c>
      <c r="L722" t="s">
        <v>3</v>
      </c>
      <c r="M722" t="s">
        <v>36</v>
      </c>
      <c r="N722">
        <f t="shared" si="40"/>
        <v>8.0419775013699777</v>
      </c>
      <c r="O722" t="str">
        <f t="shared" si="41"/>
        <v/>
      </c>
      <c r="P722" s="67" cm="1">
        <f t="array" ref="P722">SUMPRODUCT((H722=$H$7:$H$10000)*(N722&lt;$N$7:$N$10000))+1</f>
        <v>53</v>
      </c>
      <c r="Q722" s="72"/>
      <c r="R722">
        <v>11</v>
      </c>
      <c r="S722" t="str">
        <v>UTAH</v>
      </c>
      <c r="T722" t="str">
        <v>Spencer Jones</v>
      </c>
      <c r="U722" t="str">
        <v>NULL</v>
      </c>
      <c r="V722" t="str">
        <v>Home</v>
      </c>
      <c r="W722" t="str">
        <v>CHI</v>
      </c>
      <c r="X722">
        <v>7.4742089867888</v>
      </c>
    </row>
    <row r="723" spans="8:24" x14ac:dyDescent="0.35">
      <c r="H723" s="66">
        <v>9</v>
      </c>
      <c r="I723" t="s">
        <v>24</v>
      </c>
      <c r="J723" t="s">
        <v>194</v>
      </c>
      <c r="K723" t="s">
        <v>256</v>
      </c>
      <c r="L723" t="s">
        <v>3</v>
      </c>
      <c r="M723" t="s">
        <v>36</v>
      </c>
      <c r="N723">
        <f t="shared" si="40"/>
        <v>8.0109136337674798</v>
      </c>
      <c r="O723" t="str">
        <f t="shared" si="41"/>
        <v/>
      </c>
      <c r="P723" s="67" cm="1">
        <f t="array" ref="P723">SUMPRODUCT((H723=$H$7:$H$10000)*(N723&lt;$N$7:$N$10000))+1</f>
        <v>54</v>
      </c>
      <c r="Q723" s="72"/>
      <c r="R723">
        <v>11</v>
      </c>
      <c r="S723" t="str">
        <v>CHI</v>
      </c>
      <c r="T723" t="str">
        <v>Bryce Campbell</v>
      </c>
      <c r="U723" t="str">
        <v>NULL</v>
      </c>
      <c r="V723" t="str">
        <v>Away</v>
      </c>
      <c r="W723" t="str">
        <v>UTAH</v>
      </c>
      <c r="X723">
        <v>7.3209207895324475</v>
      </c>
    </row>
    <row r="724" spans="8:24" x14ac:dyDescent="0.35">
      <c r="H724" s="66">
        <v>9</v>
      </c>
      <c r="I724" t="s">
        <v>2</v>
      </c>
      <c r="J724" t="s">
        <v>44</v>
      </c>
      <c r="K724" t="s">
        <v>256</v>
      </c>
      <c r="L724" t="s">
        <v>3</v>
      </c>
      <c r="M724" t="s">
        <v>14</v>
      </c>
      <c r="N724">
        <f t="shared" si="40"/>
        <v>7.8693412441688082</v>
      </c>
      <c r="O724" t="str">
        <f t="shared" si="41"/>
        <v/>
      </c>
      <c r="P724" s="67" cm="1">
        <f t="array" ref="P724">SUMPRODUCT((H724=$H$7:$H$10000)*(N724&lt;$N$7:$N$10000))+1</f>
        <v>55</v>
      </c>
      <c r="Q724" s="72"/>
      <c r="R724">
        <v>11</v>
      </c>
      <c r="S724" t="str">
        <v>MIA</v>
      </c>
      <c r="T724" t="str">
        <v>Matias Orlando</v>
      </c>
      <c r="U724" t="str">
        <v>NULL</v>
      </c>
      <c r="V724" t="str">
        <v>Home</v>
      </c>
      <c r="W724" t="str">
        <v>ARC</v>
      </c>
      <c r="X724">
        <v>7.2601455145112723</v>
      </c>
    </row>
    <row r="725" spans="8:24" x14ac:dyDescent="0.35">
      <c r="H725" s="66">
        <v>9</v>
      </c>
      <c r="I725" t="s">
        <v>24</v>
      </c>
      <c r="J725" t="s">
        <v>101</v>
      </c>
      <c r="K725" t="s">
        <v>256</v>
      </c>
      <c r="L725" t="s">
        <v>3</v>
      </c>
      <c r="M725" t="s">
        <v>36</v>
      </c>
      <c r="N725">
        <f t="shared" si="40"/>
        <v>7.8604892393808594</v>
      </c>
      <c r="O725" t="str">
        <f t="shared" si="41"/>
        <v/>
      </c>
      <c r="P725" s="67" cm="1">
        <f t="array" ref="P725">SUMPRODUCT((H725=$H$7:$H$10000)*(N725&lt;$N$7:$N$10000))+1</f>
        <v>56</v>
      </c>
      <c r="Q725" s="72"/>
      <c r="R725">
        <v>11</v>
      </c>
      <c r="S725" t="str">
        <v>SEA</v>
      </c>
      <c r="T725" t="str">
        <v>Mikaela Kruse</v>
      </c>
      <c r="U725" t="str">
        <v>NULL</v>
      </c>
      <c r="V725" t="str">
        <v>Away</v>
      </c>
      <c r="W725" t="str">
        <v>NOLA</v>
      </c>
      <c r="X725">
        <v>6.9558066444720517</v>
      </c>
    </row>
    <row r="726" spans="8:24" x14ac:dyDescent="0.35">
      <c r="H726" s="66">
        <v>9</v>
      </c>
      <c r="I726" t="s">
        <v>24</v>
      </c>
      <c r="J726" t="s">
        <v>487</v>
      </c>
      <c r="K726" t="s">
        <v>256</v>
      </c>
      <c r="L726" t="s">
        <v>3</v>
      </c>
      <c r="M726" t="s">
        <v>36</v>
      </c>
      <c r="N726">
        <f t="shared" si="40"/>
        <v>7.6914663921461743</v>
      </c>
      <c r="O726" t="str">
        <f t="shared" si="41"/>
        <v/>
      </c>
      <c r="P726" s="67" cm="1">
        <f t="array" ref="P726">SUMPRODUCT((H726=$H$7:$H$10000)*(N726&lt;$N$7:$N$10000))+1</f>
        <v>57</v>
      </c>
      <c r="Q726" s="72"/>
      <c r="R726">
        <v>11</v>
      </c>
      <c r="S726" t="str">
        <v>OGDC</v>
      </c>
      <c r="T726" t="str">
        <v>Steffan Hughes</v>
      </c>
      <c r="U726" t="str">
        <v>NULL</v>
      </c>
      <c r="V726" t="str">
        <v>Away</v>
      </c>
      <c r="W726" t="str">
        <v>HOU</v>
      </c>
      <c r="X726">
        <v>6.8601997641354222</v>
      </c>
    </row>
    <row r="727" spans="8:24" x14ac:dyDescent="0.35">
      <c r="H727" s="66">
        <v>9</v>
      </c>
      <c r="I727" t="s">
        <v>4</v>
      </c>
      <c r="J727" t="s">
        <v>453</v>
      </c>
      <c r="K727" t="s">
        <v>256</v>
      </c>
      <c r="L727" t="s">
        <v>3</v>
      </c>
      <c r="M727" t="s">
        <v>7</v>
      </c>
      <c r="N727">
        <f t="shared" si="40"/>
        <v>7.6690550418349925</v>
      </c>
      <c r="O727" t="str">
        <f t="shared" si="41"/>
        <v/>
      </c>
      <c r="P727" s="67" cm="1">
        <f t="array" ref="P727">SUMPRODUCT((H727=$H$7:$H$10000)*(N727&lt;$N$7:$N$10000))+1</f>
        <v>58</v>
      </c>
      <c r="Q727" s="72"/>
      <c r="R727">
        <v>11</v>
      </c>
      <c r="S727" t="str">
        <v>NOLA</v>
      </c>
      <c r="T727" t="str">
        <v>Luke Carty</v>
      </c>
      <c r="U727" t="str">
        <v>NULL</v>
      </c>
      <c r="V727" t="str">
        <v>Home</v>
      </c>
      <c r="W727" t="str">
        <v>SEA</v>
      </c>
      <c r="X727">
        <v>6.6711704266868477</v>
      </c>
    </row>
    <row r="728" spans="8:24" x14ac:dyDescent="0.35">
      <c r="H728" s="66">
        <v>9</v>
      </c>
      <c r="I728" t="s">
        <v>24</v>
      </c>
      <c r="J728" t="s">
        <v>439</v>
      </c>
      <c r="K728" t="s">
        <v>256</v>
      </c>
      <c r="L728" t="s">
        <v>3</v>
      </c>
      <c r="M728" t="s">
        <v>36</v>
      </c>
      <c r="N728">
        <f t="shared" si="40"/>
        <v>7.5207777536581766</v>
      </c>
      <c r="O728" t="str">
        <f t="shared" si="41"/>
        <v/>
      </c>
      <c r="P728" s="67" cm="1">
        <f t="array" ref="P728">SUMPRODUCT((H728=$H$7:$H$10000)*(N728&lt;$N$7:$N$10000))+1</f>
        <v>59</v>
      </c>
      <c r="Q728" s="72"/>
      <c r="R728">
        <v>11</v>
      </c>
      <c r="S728" t="str">
        <v>CHI</v>
      </c>
      <c r="T728" t="str">
        <v>Mitch Short</v>
      </c>
      <c r="U728" t="str">
        <v>NULL</v>
      </c>
      <c r="V728" t="str">
        <v>Away</v>
      </c>
      <c r="W728" t="str">
        <v>UTAH</v>
      </c>
      <c r="X728">
        <v>6.4542290741910691</v>
      </c>
    </row>
    <row r="729" spans="8:24" x14ac:dyDescent="0.35">
      <c r="H729" s="66">
        <v>9</v>
      </c>
      <c r="I729" t="s">
        <v>7</v>
      </c>
      <c r="J729" t="s">
        <v>77</v>
      </c>
      <c r="K729" t="s">
        <v>256</v>
      </c>
      <c r="L729" t="s">
        <v>9</v>
      </c>
      <c r="M729" t="s">
        <v>4</v>
      </c>
      <c r="N729">
        <f t="shared" si="40"/>
        <v>7.4314403649880143</v>
      </c>
      <c r="O729" t="str">
        <f t="shared" si="41"/>
        <v/>
      </c>
      <c r="P729" s="67" cm="1">
        <f t="array" ref="P729">SUMPRODUCT((H729=$H$7:$H$10000)*(N729&lt;$N$7:$N$10000))+1</f>
        <v>60</v>
      </c>
      <c r="Q729" s="72"/>
      <c r="R729">
        <v>11</v>
      </c>
      <c r="S729" t="str">
        <v>MIA</v>
      </c>
      <c r="T729" t="str">
        <v>Guiseppe du Toit</v>
      </c>
      <c r="U729" t="str">
        <v>NULL</v>
      </c>
      <c r="V729" t="str">
        <v>Home</v>
      </c>
      <c r="W729" t="str">
        <v>ARC</v>
      </c>
      <c r="X729">
        <v>6.4538471685949812</v>
      </c>
    </row>
    <row r="730" spans="8:24" x14ac:dyDescent="0.35">
      <c r="H730" s="66">
        <v>9</v>
      </c>
      <c r="I730" t="s">
        <v>13</v>
      </c>
      <c r="J730" t="s">
        <v>472</v>
      </c>
      <c r="K730" t="s">
        <v>256</v>
      </c>
      <c r="L730" t="s">
        <v>9</v>
      </c>
      <c r="M730" t="s">
        <v>6</v>
      </c>
      <c r="N730">
        <f t="shared" si="40"/>
        <v>7.4009857872693141</v>
      </c>
      <c r="O730" t="str">
        <f t="shared" si="41"/>
        <v/>
      </c>
      <c r="P730" s="67" cm="1">
        <f t="array" ref="P730">SUMPRODUCT((H730=$H$7:$H$10000)*(N730&lt;$N$7:$N$10000))+1</f>
        <v>61</v>
      </c>
      <c r="Q730" s="72"/>
      <c r="R730">
        <v>11</v>
      </c>
      <c r="S730" t="str">
        <v>NOLA</v>
      </c>
      <c r="T730" t="str">
        <v>Dorian Jones</v>
      </c>
      <c r="U730" t="str">
        <v>NULL</v>
      </c>
      <c r="V730" t="str">
        <v>Home</v>
      </c>
      <c r="W730" t="str">
        <v>SEA</v>
      </c>
      <c r="X730">
        <v>6.1731813232550028</v>
      </c>
    </row>
    <row r="731" spans="8:24" x14ac:dyDescent="0.35">
      <c r="H731" s="66">
        <v>9</v>
      </c>
      <c r="I731" t="s">
        <v>4</v>
      </c>
      <c r="J731" t="s">
        <v>74</v>
      </c>
      <c r="K731" t="s">
        <v>256</v>
      </c>
      <c r="L731" t="s">
        <v>3</v>
      </c>
      <c r="M731" t="s">
        <v>7</v>
      </c>
      <c r="N731">
        <f t="shared" si="40"/>
        <v>7.3966877033960481</v>
      </c>
      <c r="O731" t="str">
        <f t="shared" si="41"/>
        <v/>
      </c>
      <c r="P731" s="67" cm="1">
        <f t="array" ref="P731">SUMPRODUCT((H731=$H$7:$H$10000)*(N731&lt;$N$7:$N$10000))+1</f>
        <v>62</v>
      </c>
      <c r="Q731" s="72"/>
      <c r="R731">
        <v>11</v>
      </c>
      <c r="S731" t="str">
        <v>ARC</v>
      </c>
      <c r="T731" t="str">
        <v>Conner Mooneyham</v>
      </c>
      <c r="U731" t="str">
        <v>NULL</v>
      </c>
      <c r="V731" t="str">
        <v>Away</v>
      </c>
      <c r="W731" t="str">
        <v>MIA</v>
      </c>
      <c r="X731">
        <v>6.0765400840194177</v>
      </c>
    </row>
    <row r="732" spans="8:24" x14ac:dyDescent="0.35">
      <c r="H732" s="66">
        <v>9</v>
      </c>
      <c r="I732" t="s">
        <v>2</v>
      </c>
      <c r="J732" t="s">
        <v>441</v>
      </c>
      <c r="K732" t="s">
        <v>256</v>
      </c>
      <c r="L732" t="s">
        <v>3</v>
      </c>
      <c r="M732" t="s">
        <v>14</v>
      </c>
      <c r="N732">
        <f t="shared" si="40"/>
        <v>7.0026495288274289</v>
      </c>
      <c r="O732" t="str">
        <f t="shared" si="41"/>
        <v/>
      </c>
      <c r="P732" s="67" cm="1">
        <f t="array" ref="P732">SUMPRODUCT((H732=$H$7:$H$10000)*(N732&lt;$N$7:$N$10000))+1</f>
        <v>63</v>
      </c>
      <c r="Q732" s="72"/>
      <c r="R732">
        <v>11</v>
      </c>
      <c r="S732" t="str">
        <v>SEA</v>
      </c>
      <c r="T732" t="str">
        <v>JP Smith</v>
      </c>
      <c r="U732" t="str">
        <v>NULL</v>
      </c>
      <c r="V732" t="str">
        <v>Away</v>
      </c>
      <c r="W732" t="str">
        <v>NOLA</v>
      </c>
      <c r="X732">
        <v>5.9377367443472524</v>
      </c>
    </row>
    <row r="733" spans="8:24" x14ac:dyDescent="0.35">
      <c r="H733" s="66">
        <v>9</v>
      </c>
      <c r="I733" t="s">
        <v>24</v>
      </c>
      <c r="J733" t="s">
        <v>96</v>
      </c>
      <c r="K733" t="s">
        <v>256</v>
      </c>
      <c r="L733" t="s">
        <v>3</v>
      </c>
      <c r="M733" t="s">
        <v>36</v>
      </c>
      <c r="N733">
        <f t="shared" si="40"/>
        <v>6.7207644939993925</v>
      </c>
      <c r="O733" t="str">
        <f t="shared" si="41"/>
        <v/>
      </c>
      <c r="P733" s="67" cm="1">
        <f t="array" ref="P733">SUMPRODUCT((H733=$H$7:$H$10000)*(N733&lt;$N$7:$N$10000))+1</f>
        <v>64</v>
      </c>
      <c r="Q733" s="72"/>
      <c r="R733">
        <v>11</v>
      </c>
      <c r="S733" t="str">
        <v>UTAH</v>
      </c>
      <c r="T733" t="str">
        <v>Kyle Brown</v>
      </c>
      <c r="U733" t="str">
        <v>NULL</v>
      </c>
      <c r="V733" t="str">
        <v>Home</v>
      </c>
      <c r="W733" t="str">
        <v>CHI</v>
      </c>
      <c r="X733">
        <v>5.8699032867338934</v>
      </c>
    </row>
    <row r="734" spans="8:24" x14ac:dyDescent="0.35">
      <c r="H734" s="66">
        <v>9</v>
      </c>
      <c r="I734" t="s">
        <v>36</v>
      </c>
      <c r="J734" t="s">
        <v>48</v>
      </c>
      <c r="K734" t="s">
        <v>256</v>
      </c>
      <c r="L734" t="s">
        <v>9</v>
      </c>
      <c r="M734" t="s">
        <v>24</v>
      </c>
      <c r="N734">
        <f t="shared" si="40"/>
        <v>6.6076905050701846</v>
      </c>
      <c r="O734" t="str">
        <f t="shared" si="41"/>
        <v/>
      </c>
      <c r="P734" s="67" cm="1">
        <f t="array" ref="P734">SUMPRODUCT((H734=$H$7:$H$10000)*(N734&lt;$N$7:$N$10000))+1</f>
        <v>65</v>
      </c>
      <c r="Q734" s="72"/>
      <c r="R734">
        <v>11</v>
      </c>
      <c r="S734" t="str">
        <v>OGDC</v>
      </c>
      <c r="T734" t="str">
        <v>Jason Robertson</v>
      </c>
      <c r="U734" t="str">
        <v>NULL</v>
      </c>
      <c r="V734" t="str">
        <v>Away</v>
      </c>
      <c r="W734" t="str">
        <v>HOU</v>
      </c>
      <c r="X734">
        <v>5.8396665244806938</v>
      </c>
    </row>
    <row r="735" spans="8:24" x14ac:dyDescent="0.35">
      <c r="H735" s="66">
        <v>9</v>
      </c>
      <c r="I735" t="s">
        <v>4</v>
      </c>
      <c r="J735" t="s">
        <v>1</v>
      </c>
      <c r="K735" t="s">
        <v>256</v>
      </c>
      <c r="L735" t="s">
        <v>3</v>
      </c>
      <c r="M735" t="s">
        <v>7</v>
      </c>
      <c r="N735">
        <f t="shared" si="40"/>
        <v>6.5704991837162172</v>
      </c>
      <c r="O735" t="str">
        <f t="shared" si="41"/>
        <v/>
      </c>
      <c r="P735" s="67" cm="1">
        <f t="array" ref="P735">SUMPRODUCT((H735=$H$7:$H$10000)*(N735&lt;$N$7:$N$10000))+1</f>
        <v>66</v>
      </c>
      <c r="Q735" s="72"/>
      <c r="R735">
        <v>11</v>
      </c>
      <c r="S735" t="str">
        <v>NOLA</v>
      </c>
      <c r="T735" t="str">
        <v>Isaac Te Tamaki</v>
      </c>
      <c r="U735" t="str">
        <v>NULL</v>
      </c>
      <c r="V735" t="str">
        <v>Home</v>
      </c>
      <c r="W735" t="str">
        <v>SEA</v>
      </c>
      <c r="X735">
        <v>5.7258080756181178</v>
      </c>
    </row>
    <row r="736" spans="8:24" x14ac:dyDescent="0.35">
      <c r="H736" s="66">
        <v>9</v>
      </c>
      <c r="I736" t="s">
        <v>36</v>
      </c>
      <c r="J736" t="s">
        <v>123</v>
      </c>
      <c r="K736" t="s">
        <v>256</v>
      </c>
      <c r="L736" t="s">
        <v>9</v>
      </c>
      <c r="M736" t="s">
        <v>24</v>
      </c>
      <c r="N736">
        <f t="shared" si="40"/>
        <v>6.3601276036999073</v>
      </c>
      <c r="O736" t="str">
        <f t="shared" si="41"/>
        <v/>
      </c>
      <c r="P736" s="67" cm="1">
        <f t="array" ref="P736">SUMPRODUCT((H736=$H$7:$H$10000)*(N736&lt;$N$7:$N$10000))+1</f>
        <v>67</v>
      </c>
      <c r="Q736" s="72"/>
      <c r="R736">
        <v>11</v>
      </c>
      <c r="S736" t="str">
        <v>HOU</v>
      </c>
      <c r="T736" t="str">
        <v>AJ Alatimu</v>
      </c>
      <c r="U736" t="str">
        <v>NULL</v>
      </c>
      <c r="V736" t="str">
        <v>Home</v>
      </c>
      <c r="W736" t="str">
        <v>OGDC</v>
      </c>
      <c r="X736">
        <v>5.2664618780940717</v>
      </c>
    </row>
    <row r="737" spans="8:24" x14ac:dyDescent="0.35">
      <c r="H737" s="66">
        <v>9</v>
      </c>
      <c r="I737" t="s">
        <v>23</v>
      </c>
      <c r="J737" t="s">
        <v>498</v>
      </c>
      <c r="K737" t="s">
        <v>256</v>
      </c>
      <c r="L737" t="s">
        <v>3</v>
      </c>
      <c r="M737" t="s">
        <v>34</v>
      </c>
      <c r="N737">
        <f t="shared" si="40"/>
        <v>5.4787569948326205</v>
      </c>
      <c r="O737" t="str">
        <f t="shared" si="41"/>
        <v/>
      </c>
      <c r="P737" s="67" cm="1">
        <f t="array" ref="P737">SUMPRODUCT((H737=$H$7:$H$10000)*(N737&lt;$N$7:$N$10000))+1</f>
        <v>68</v>
      </c>
      <c r="Q737" s="72"/>
      <c r="R737">
        <v>11</v>
      </c>
      <c r="S737" t="str">
        <v>UTAH</v>
      </c>
      <c r="T737" t="str">
        <v>Logan Crowley</v>
      </c>
      <c r="U737" t="str">
        <v>NULL</v>
      </c>
      <c r="V737" t="str">
        <v>Home</v>
      </c>
      <c r="W737" t="str">
        <v>CHI</v>
      </c>
      <c r="X737">
        <v>5.1570274689053006</v>
      </c>
    </row>
    <row r="738" spans="8:24" x14ac:dyDescent="0.35">
      <c r="H738" s="66">
        <v>9</v>
      </c>
      <c r="I738" t="s">
        <v>36</v>
      </c>
      <c r="J738" t="s">
        <v>334</v>
      </c>
      <c r="K738" t="s">
        <v>256</v>
      </c>
      <c r="L738" t="s">
        <v>9</v>
      </c>
      <c r="M738" t="s">
        <v>24</v>
      </c>
      <c r="N738">
        <f t="shared" si="40"/>
        <v>5.080911978828583</v>
      </c>
      <c r="O738" t="str">
        <f t="shared" si="41"/>
        <v/>
      </c>
      <c r="P738" s="67" cm="1">
        <f t="array" ref="P738">SUMPRODUCT((H738=$H$7:$H$10000)*(N738&lt;$N$7:$N$10000))+1</f>
        <v>69</v>
      </c>
      <c r="Q738" s="72"/>
      <c r="R738">
        <v>11</v>
      </c>
      <c r="S738" t="str">
        <v>ARC</v>
      </c>
      <c r="T738" t="str">
        <v>Carlo de Nysschen</v>
      </c>
      <c r="U738" t="str">
        <v>NULL</v>
      </c>
      <c r="V738" t="str">
        <v>Away</v>
      </c>
      <c r="W738" t="str">
        <v>MIA</v>
      </c>
      <c r="X738">
        <v>5.1231132660574943</v>
      </c>
    </row>
    <row r="739" spans="8:24" x14ac:dyDescent="0.35">
      <c r="H739" s="66">
        <v>9</v>
      </c>
      <c r="I739" t="s">
        <v>2</v>
      </c>
      <c r="J739" t="s">
        <v>90</v>
      </c>
      <c r="K739" t="s">
        <v>256</v>
      </c>
      <c r="L739" t="s">
        <v>3</v>
      </c>
      <c r="M739" t="s">
        <v>14</v>
      </c>
      <c r="N739">
        <f t="shared" si="40"/>
        <v>5.0708022924875014</v>
      </c>
      <c r="O739" t="str">
        <f t="shared" si="41"/>
        <v/>
      </c>
      <c r="P739" s="67" cm="1">
        <f t="array" ref="P739">SUMPRODUCT((H739=$H$7:$H$10000)*(N739&lt;$N$7:$N$10000))+1</f>
        <v>70</v>
      </c>
      <c r="Q739" s="72"/>
      <c r="R739">
        <v>11</v>
      </c>
      <c r="S739" t="str">
        <v>SEA</v>
      </c>
      <c r="T739" t="str">
        <v>Lauina Futi</v>
      </c>
      <c r="U739" t="str">
        <v>NULL</v>
      </c>
      <c r="V739" t="str">
        <v>Away</v>
      </c>
      <c r="W739" t="str">
        <v>NOLA</v>
      </c>
      <c r="X739">
        <v>4.5428609010315695</v>
      </c>
    </row>
    <row r="740" spans="8:24" x14ac:dyDescent="0.35">
      <c r="H740" s="66">
        <v>9</v>
      </c>
      <c r="I740" t="s">
        <v>14</v>
      </c>
      <c r="J740" t="s">
        <v>285</v>
      </c>
      <c r="K740" t="s">
        <v>256</v>
      </c>
      <c r="L740" t="s">
        <v>9</v>
      </c>
      <c r="M740" t="s">
        <v>2</v>
      </c>
      <c r="N740">
        <f t="shared" si="40"/>
        <v>5.0504182775002491</v>
      </c>
      <c r="O740" t="str">
        <f t="shared" si="41"/>
        <v/>
      </c>
      <c r="P740" s="67" cm="1">
        <f t="array" ref="P740">SUMPRODUCT((H740=$H$7:$H$10000)*(N740&lt;$N$7:$N$10000))+1</f>
        <v>71</v>
      </c>
      <c r="Q740" s="72"/>
      <c r="R740">
        <v>11</v>
      </c>
      <c r="S740" t="str">
        <v>CHI</v>
      </c>
      <c r="T740" t="str">
        <v>Noah Brown</v>
      </c>
      <c r="U740" t="str">
        <v>NULL</v>
      </c>
      <c r="V740" t="str">
        <v>Away</v>
      </c>
      <c r="W740" t="str">
        <v>UTAH</v>
      </c>
      <c r="X740">
        <v>4.5223818378511424</v>
      </c>
    </row>
    <row r="741" spans="8:24" x14ac:dyDescent="0.35">
      <c r="H741" s="66">
        <v>9</v>
      </c>
      <c r="I741" t="s">
        <v>2</v>
      </c>
      <c r="J741" t="s">
        <v>12</v>
      </c>
      <c r="K741" t="s">
        <v>256</v>
      </c>
      <c r="L741" t="s">
        <v>3</v>
      </c>
      <c r="M741" t="s">
        <v>14</v>
      </c>
      <c r="N741">
        <f t="shared" si="40"/>
        <v>4.8109857381481635</v>
      </c>
      <c r="O741" t="str">
        <f t="shared" si="41"/>
        <v/>
      </c>
      <c r="P741" s="67" cm="1">
        <f t="array" ref="P741">SUMPRODUCT((H741=$H$7:$H$10000)*(N741&lt;$N$7:$N$10000))+1</f>
        <v>72</v>
      </c>
      <c r="Q741" s="72"/>
      <c r="R741">
        <v>11</v>
      </c>
      <c r="S741" t="str">
        <v>CHI</v>
      </c>
      <c r="T741" t="str">
        <v>Mark O'Keeffe</v>
      </c>
      <c r="U741" t="str">
        <v>NULL</v>
      </c>
      <c r="V741" t="str">
        <v>Away</v>
      </c>
      <c r="W741" t="str">
        <v>UTAH</v>
      </c>
      <c r="X741">
        <v>4.2625652835118046</v>
      </c>
    </row>
    <row r="742" spans="8:24" x14ac:dyDescent="0.35">
      <c r="H742" s="66">
        <v>9</v>
      </c>
      <c r="I742" t="s">
        <v>2</v>
      </c>
      <c r="J742" t="s">
        <v>444</v>
      </c>
      <c r="K742" t="s">
        <v>256</v>
      </c>
      <c r="L742" t="s">
        <v>3</v>
      </c>
      <c r="M742" t="s">
        <v>14</v>
      </c>
      <c r="N742">
        <f t="shared" si="40"/>
        <v>4.8008983962364971</v>
      </c>
      <c r="O742" t="str">
        <f t="shared" si="41"/>
        <v/>
      </c>
      <c r="P742" s="67" cm="1">
        <f t="array" ref="P742">SUMPRODUCT((H742=$H$7:$H$10000)*(N742&lt;$N$7:$N$10000))+1</f>
        <v>73</v>
      </c>
      <c r="Q742" s="72"/>
      <c r="R742">
        <v>11</v>
      </c>
      <c r="S742" t="str">
        <v>CHI</v>
      </c>
      <c r="T742" t="str">
        <v>Tim Swiel</v>
      </c>
      <c r="U742" t="str">
        <v>NULL</v>
      </c>
      <c r="V742" t="str">
        <v>Away</v>
      </c>
      <c r="W742" t="str">
        <v>UTAH</v>
      </c>
      <c r="X742">
        <v>4.2524779416001381</v>
      </c>
    </row>
    <row r="743" spans="8:24" x14ac:dyDescent="0.35">
      <c r="H743" s="66">
        <v>9</v>
      </c>
      <c r="I743" t="s">
        <v>6</v>
      </c>
      <c r="J743" t="s">
        <v>66</v>
      </c>
      <c r="K743" t="s">
        <v>256</v>
      </c>
      <c r="L743" t="s">
        <v>3</v>
      </c>
      <c r="M743" t="s">
        <v>13</v>
      </c>
      <c r="N743">
        <f t="shared" si="40"/>
        <v>4.7156072603750614</v>
      </c>
      <c r="O743" t="str">
        <f t="shared" si="41"/>
        <v/>
      </c>
      <c r="P743" s="67" cm="1">
        <f t="array" ref="P743">SUMPRODUCT((H743=$H$7:$H$10000)*(N743&lt;$N$7:$N$10000))+1</f>
        <v>74</v>
      </c>
      <c r="Q743" s="72"/>
      <c r="R743">
        <v>11</v>
      </c>
      <c r="S743" t="str">
        <v>MIA</v>
      </c>
      <c r="T743" t="str">
        <v>Connor Burns</v>
      </c>
      <c r="U743" t="str">
        <v>NULL</v>
      </c>
      <c r="V743" t="str">
        <v>Home</v>
      </c>
      <c r="W743" t="str">
        <v>ARC</v>
      </c>
      <c r="X743">
        <v>4.1312520342409309</v>
      </c>
    </row>
    <row r="744" spans="8:24" x14ac:dyDescent="0.35">
      <c r="H744" s="66">
        <v>9</v>
      </c>
      <c r="I744" t="s">
        <v>14</v>
      </c>
      <c r="J744" t="s">
        <v>11</v>
      </c>
      <c r="K744" t="s">
        <v>256</v>
      </c>
      <c r="L744" t="s">
        <v>9</v>
      </c>
      <c r="M744" t="s">
        <v>2</v>
      </c>
      <c r="N744">
        <f t="shared" si="40"/>
        <v>4.4004614987875286</v>
      </c>
      <c r="O744" t="str">
        <f t="shared" si="41"/>
        <v/>
      </c>
      <c r="P744" s="67" cm="1">
        <f t="array" ref="P744">SUMPRODUCT((H744=$H$7:$H$10000)*(N744&lt;$N$7:$N$10000))+1</f>
        <v>75</v>
      </c>
      <c r="Q744" s="72"/>
      <c r="R744">
        <v>11</v>
      </c>
      <c r="S744" t="str">
        <v>ARC</v>
      </c>
      <c r="T744" t="str">
        <v>Ashawnty Staples Flowers</v>
      </c>
      <c r="U744" t="str">
        <v>NULL</v>
      </c>
      <c r="V744" t="str">
        <v>Away</v>
      </c>
      <c r="W744" t="str">
        <v>MIA</v>
      </c>
      <c r="X744">
        <v>3.9344902339949517</v>
      </c>
    </row>
    <row r="745" spans="8:24" x14ac:dyDescent="0.35">
      <c r="H745" s="66">
        <v>9</v>
      </c>
      <c r="I745" t="s">
        <v>4</v>
      </c>
      <c r="J745" t="s">
        <v>493</v>
      </c>
      <c r="K745" t="s">
        <v>256</v>
      </c>
      <c r="L745" t="s">
        <v>3</v>
      </c>
      <c r="M745" t="s">
        <v>7</v>
      </c>
      <c r="N745">
        <f t="shared" si="40"/>
        <v>3.8307895970311407</v>
      </c>
      <c r="O745" t="str">
        <f t="shared" si="41"/>
        <v/>
      </c>
      <c r="P745" s="67" cm="1">
        <f t="array" ref="P745">SUMPRODUCT((H745=$H$7:$H$10000)*(N745&lt;$N$7:$N$10000))+1</f>
        <v>76</v>
      </c>
      <c r="Q745" s="72"/>
      <c r="R745">
        <v>11</v>
      </c>
      <c r="S745" t="str">
        <v>HOU</v>
      </c>
      <c r="T745" t="str">
        <v>Rufus McLean</v>
      </c>
      <c r="U745" t="str">
        <v>NULL</v>
      </c>
      <c r="V745" t="str">
        <v>Home</v>
      </c>
      <c r="W745" t="str">
        <v>OGDC</v>
      </c>
      <c r="X745">
        <v>3.7871195138444613</v>
      </c>
    </row>
    <row r="746" spans="8:24" x14ac:dyDescent="0.35">
      <c r="H746" s="66">
        <v>9</v>
      </c>
      <c r="I746" t="s">
        <v>24</v>
      </c>
      <c r="J746" t="s">
        <v>402</v>
      </c>
      <c r="K746" t="s">
        <v>256</v>
      </c>
      <c r="L746" t="s">
        <v>3</v>
      </c>
      <c r="M746" t="s">
        <v>36</v>
      </c>
      <c r="N746">
        <f t="shared" si="40"/>
        <v>3.8293531313161604</v>
      </c>
      <c r="O746" t="str">
        <f t="shared" si="41"/>
        <v/>
      </c>
      <c r="P746" s="67" cm="1">
        <f t="array" ref="P746">SUMPRODUCT((H746=$H$7:$H$10000)*(N746&lt;$N$7:$N$10000))+1</f>
        <v>77</v>
      </c>
      <c r="Q746" s="72"/>
      <c r="R746">
        <v>11</v>
      </c>
      <c r="S746" t="str">
        <v>HOU</v>
      </c>
      <c r="T746" t="str">
        <v>Max Schumacher</v>
      </c>
      <c r="U746" t="str">
        <v>NULL</v>
      </c>
      <c r="V746" t="str">
        <v>Home</v>
      </c>
      <c r="W746" t="str">
        <v>OGDC</v>
      </c>
      <c r="X746">
        <v>3.6402863536814802</v>
      </c>
    </row>
    <row r="747" spans="8:24" x14ac:dyDescent="0.35">
      <c r="H747" s="66">
        <v>9</v>
      </c>
      <c r="I747" t="s">
        <v>2</v>
      </c>
      <c r="J747" t="s">
        <v>499</v>
      </c>
      <c r="K747" t="s">
        <v>256</v>
      </c>
      <c r="L747" t="s">
        <v>3</v>
      </c>
      <c r="M747" t="s">
        <v>14</v>
      </c>
      <c r="N747">
        <f t="shared" si="40"/>
        <v>3.4313690084298276</v>
      </c>
      <c r="O747" t="str">
        <f t="shared" si="41"/>
        <v/>
      </c>
      <c r="P747" s="67" cm="1">
        <f t="array" ref="P747">SUMPRODUCT((H747=$H$7:$H$10000)*(N747&lt;$N$7:$N$10000))+1</f>
        <v>78</v>
      </c>
      <c r="Q747" s="72"/>
      <c r="R747">
        <v>11</v>
      </c>
      <c r="S747" t="str">
        <v>LA</v>
      </c>
      <c r="T747" t="str">
        <v>Christian Dyer</v>
      </c>
      <c r="U747" t="str">
        <v>NULL</v>
      </c>
      <c r="V747" t="str">
        <v>Home</v>
      </c>
      <c r="W747" t="str">
        <v>SDL</v>
      </c>
      <c r="X747">
        <v>3.4214639884441178</v>
      </c>
    </row>
    <row r="748" spans="8:24" x14ac:dyDescent="0.35">
      <c r="H748" s="66">
        <v>9</v>
      </c>
      <c r="I748" t="s">
        <v>4</v>
      </c>
      <c r="J748" t="s">
        <v>188</v>
      </c>
      <c r="K748" t="s">
        <v>256</v>
      </c>
      <c r="L748" t="s">
        <v>3</v>
      </c>
      <c r="M748" t="s">
        <v>7</v>
      </c>
      <c r="N748">
        <f t="shared" si="40"/>
        <v>3.3328004935992959</v>
      </c>
      <c r="O748" t="str">
        <f t="shared" si="41"/>
        <v/>
      </c>
      <c r="P748" s="67" cm="1">
        <f t="array" ref="P748">SUMPRODUCT((H748=$H$7:$H$10000)*(N748&lt;$N$7:$N$10000))+1</f>
        <v>79</v>
      </c>
      <c r="Q748" s="72"/>
      <c r="R748">
        <v>11</v>
      </c>
      <c r="S748" t="str">
        <v>NOLA</v>
      </c>
      <c r="T748" t="str">
        <v>Nikolai Foliaki</v>
      </c>
      <c r="U748" t="str">
        <v>NULL</v>
      </c>
      <c r="V748" t="str">
        <v>Home</v>
      </c>
      <c r="W748" t="str">
        <v>SEA</v>
      </c>
      <c r="X748">
        <v>3.3114077664924206</v>
      </c>
    </row>
    <row r="749" spans="8:24" x14ac:dyDescent="0.35">
      <c r="H749" s="66">
        <v>9</v>
      </c>
      <c r="I749" t="s">
        <v>36</v>
      </c>
      <c r="J749" t="s">
        <v>73</v>
      </c>
      <c r="K749" t="s">
        <v>256</v>
      </c>
      <c r="L749" t="s">
        <v>9</v>
      </c>
      <c r="M749" t="s">
        <v>24</v>
      </c>
      <c r="N749">
        <f t="shared" si="40"/>
        <v>3.2507943994377886</v>
      </c>
      <c r="O749" t="str">
        <f t="shared" si="41"/>
        <v/>
      </c>
      <c r="P749" s="67" cm="1">
        <f t="array" ref="P749">SUMPRODUCT((H749=$H$7:$H$10000)*(N749&lt;$N$7:$N$10000))+1</f>
        <v>80</v>
      </c>
      <c r="Q749" s="72"/>
      <c r="R749">
        <v>11</v>
      </c>
      <c r="S749" t="str">
        <v>SEA</v>
      </c>
      <c r="T749" t="str">
        <v>Dan Kriel</v>
      </c>
      <c r="U749" t="str">
        <v>NULL</v>
      </c>
      <c r="V749" t="str">
        <v>Away</v>
      </c>
      <c r="W749" t="str">
        <v>NOLA</v>
      </c>
      <c r="X749">
        <v>3.1851058447880254</v>
      </c>
    </row>
    <row r="750" spans="8:24" x14ac:dyDescent="0.35">
      <c r="H750" s="66">
        <v>9</v>
      </c>
      <c r="I750" t="s">
        <v>23</v>
      </c>
      <c r="J750" t="s">
        <v>443</v>
      </c>
      <c r="K750" t="s">
        <v>256</v>
      </c>
      <c r="L750" t="s">
        <v>3</v>
      </c>
      <c r="M750" t="s">
        <v>34</v>
      </c>
      <c r="N750">
        <f t="shared" si="40"/>
        <v>3.0682088719033089</v>
      </c>
      <c r="O750" t="str">
        <f t="shared" si="41"/>
        <v/>
      </c>
      <c r="P750" s="67" cm="1">
        <f t="array" ref="P750">SUMPRODUCT((H750=$H$7:$H$10000)*(N750&lt;$N$7:$N$10000))+1</f>
        <v>81</v>
      </c>
      <c r="Q750" s="72"/>
      <c r="R750">
        <v>11</v>
      </c>
      <c r="S750" t="str">
        <v>CHI</v>
      </c>
      <c r="T750" t="str">
        <v>Julian Dominguez</v>
      </c>
      <c r="U750" t="str">
        <v>NULL</v>
      </c>
      <c r="V750" t="str">
        <v>Away</v>
      </c>
      <c r="W750" t="str">
        <v>UTAH</v>
      </c>
      <c r="X750">
        <v>2.8829485537934687</v>
      </c>
    </row>
    <row r="751" spans="8:24" x14ac:dyDescent="0.35">
      <c r="H751" s="66">
        <v>9</v>
      </c>
      <c r="I751" t="s">
        <v>24</v>
      </c>
      <c r="J751" t="s">
        <v>35</v>
      </c>
      <c r="K751" t="s">
        <v>256</v>
      </c>
      <c r="L751" t="s">
        <v>3</v>
      </c>
      <c r="M751" t="s">
        <v>36</v>
      </c>
      <c r="N751">
        <f t="shared" si="40"/>
        <v>3.0230547853998697</v>
      </c>
      <c r="O751" t="str">
        <f t="shared" si="41"/>
        <v/>
      </c>
      <c r="P751" s="67" cm="1">
        <f t="array" ref="P751">SUMPRODUCT((H751=$H$7:$H$10000)*(N751&lt;$N$7:$N$10000))+1</f>
        <v>82</v>
      </c>
      <c r="Q751" s="72"/>
      <c r="R751">
        <v>11</v>
      </c>
      <c r="S751" t="str">
        <v>HOU</v>
      </c>
      <c r="T751" t="str">
        <v>Tautalatasi Tasi</v>
      </c>
      <c r="U751" t="str">
        <v>NULL</v>
      </c>
      <c r="V751" t="str">
        <v>Home</v>
      </c>
      <c r="W751" t="str">
        <v>OGDC</v>
      </c>
      <c r="X751">
        <v>2.3649336174399176</v>
      </c>
    </row>
    <row r="752" spans="8:24" x14ac:dyDescent="0.35">
      <c r="H752" s="66">
        <v>9</v>
      </c>
      <c r="I752" t="s">
        <v>4</v>
      </c>
      <c r="J752" t="s">
        <v>452</v>
      </c>
      <c r="K752" t="s">
        <v>256</v>
      </c>
      <c r="L752" t="s">
        <v>3</v>
      </c>
      <c r="M752" t="s">
        <v>7</v>
      </c>
      <c r="N752">
        <f t="shared" si="40"/>
        <v>2.8854272459624104</v>
      </c>
      <c r="O752" t="str">
        <f t="shared" si="41"/>
        <v/>
      </c>
      <c r="P752" s="67" cm="1">
        <f t="array" ref="P752">SUMPRODUCT((H752=$H$7:$H$10000)*(N752&lt;$N$7:$N$10000))+1</f>
        <v>83</v>
      </c>
      <c r="Q752" s="72"/>
      <c r="R752">
        <v>11</v>
      </c>
      <c r="S752" t="str">
        <v>SEA</v>
      </c>
      <c r="T752" t="str">
        <v>Jade Stighling</v>
      </c>
      <c r="U752" t="str">
        <v>NULL</v>
      </c>
      <c r="V752" t="str">
        <v>Away</v>
      </c>
      <c r="W752" t="str">
        <v>NOLA</v>
      </c>
      <c r="X752">
        <v>0.90975000885098734</v>
      </c>
    </row>
    <row r="753" spans="8:24" x14ac:dyDescent="0.35">
      <c r="H753" s="66">
        <v>9</v>
      </c>
      <c r="I753" t="s">
        <v>14</v>
      </c>
      <c r="J753" t="s">
        <v>278</v>
      </c>
      <c r="K753" t="s">
        <v>256</v>
      </c>
      <c r="L753" t="s">
        <v>9</v>
      </c>
      <c r="M753" t="s">
        <v>2</v>
      </c>
      <c r="N753">
        <f t="shared" si="40"/>
        <v>2.5236945821835368</v>
      </c>
      <c r="O753" t="str">
        <f t="shared" si="41"/>
        <v/>
      </c>
      <c r="P753" s="67" cm="1">
        <f t="array" ref="P753">SUMPRODUCT((H753=$H$7:$H$10000)*(N753&lt;$N$7:$N$10000))+1</f>
        <v>84</v>
      </c>
      <c r="Q753" s="72"/>
      <c r="R753">
        <v>11</v>
      </c>
      <c r="S753" t="str">
        <v>HOU</v>
      </c>
      <c r="T753" t="str">
        <v>Sam Hill</v>
      </c>
      <c r="U753" t="str">
        <v>NULL</v>
      </c>
      <c r="V753" t="str">
        <v>Home</v>
      </c>
      <c r="W753" t="str">
        <v>OGDC</v>
      </c>
      <c r="X753">
        <v>0.79357544983674266</v>
      </c>
    </row>
    <row r="754" spans="8:24" x14ac:dyDescent="0.35">
      <c r="H754" s="66">
        <v>9</v>
      </c>
      <c r="I754" t="s">
        <v>23</v>
      </c>
      <c r="J754" t="s">
        <v>127</v>
      </c>
      <c r="K754" t="s">
        <v>256</v>
      </c>
      <c r="L754" t="s">
        <v>3</v>
      </c>
      <c r="M754" t="s">
        <v>34</v>
      </c>
      <c r="N754">
        <f t="shared" si="40"/>
        <v>2.5213047900360417</v>
      </c>
      <c r="O754" t="str">
        <f t="shared" si="41"/>
        <v/>
      </c>
      <c r="P754" s="67" cm="1">
        <f t="array" ref="P754">SUMPRODUCT((H754=$H$7:$H$10000)*(N754&lt;$N$7:$N$10000))+1</f>
        <v>85</v>
      </c>
      <c r="Q754" s="72"/>
      <c r="R754">
        <v>11</v>
      </c>
      <c r="S754" t="str">
        <v>NOLA</v>
      </c>
      <c r="T754" t="str">
        <v>Luke Campbell</v>
      </c>
      <c r="U754" t="str">
        <v>NULL</v>
      </c>
      <c r="V754" t="str">
        <v>Home</v>
      </c>
      <c r="W754" t="str">
        <v>SEA</v>
      </c>
      <c r="X754">
        <v>0.69560739222560386</v>
      </c>
    </row>
    <row r="755" spans="8:24" x14ac:dyDescent="0.35">
      <c r="H755" s="66">
        <v>9</v>
      </c>
      <c r="I755" t="s">
        <v>23</v>
      </c>
      <c r="J755" t="s">
        <v>456</v>
      </c>
      <c r="K755" t="s">
        <v>256</v>
      </c>
      <c r="L755" t="s">
        <v>3</v>
      </c>
      <c r="M755" t="s">
        <v>34</v>
      </c>
      <c r="N755">
        <f t="shared" si="40"/>
        <v>1.7585702714722009</v>
      </c>
      <c r="O755" t="str">
        <f t="shared" si="41"/>
        <v/>
      </c>
      <c r="P755" s="67" cm="1">
        <f t="array" ref="P755">SUMPRODUCT((H755=$H$7:$H$10000)*(N755&lt;$N$7:$N$10000))+1</f>
        <v>86</v>
      </c>
      <c r="Q755" s="72"/>
      <c r="R755">
        <v>11</v>
      </c>
      <c r="S755" t="str">
        <v>NOLA</v>
      </c>
      <c r="T755" t="str">
        <v>Ruben de Haas</v>
      </c>
      <c r="U755" t="str">
        <v>NULL</v>
      </c>
      <c r="V755" t="str">
        <v>Home</v>
      </c>
      <c r="W755" t="str">
        <v>SEA</v>
      </c>
      <c r="X755">
        <v>0.6488774504439192</v>
      </c>
    </row>
    <row r="756" spans="8:24" x14ac:dyDescent="0.35">
      <c r="H756" s="66">
        <v>9</v>
      </c>
      <c r="I756" t="s">
        <v>14</v>
      </c>
      <c r="J756" t="s">
        <v>488</v>
      </c>
      <c r="K756" t="s">
        <v>256</v>
      </c>
      <c r="L756" t="s">
        <v>9</v>
      </c>
      <c r="M756" t="s">
        <v>2</v>
      </c>
      <c r="N756">
        <f t="shared" si="40"/>
        <v>1.5702677642216134</v>
      </c>
      <c r="O756" t="str">
        <f t="shared" si="41"/>
        <v/>
      </c>
      <c r="P756" s="67" cm="1">
        <f t="array" ref="P756">SUMPRODUCT((H756=$H$7:$H$10000)*(N756&lt;$N$7:$N$10000))+1</f>
        <v>87</v>
      </c>
      <c r="Q756" s="72"/>
      <c r="R756">
        <v>11</v>
      </c>
      <c r="S756" t="str">
        <v>HOU</v>
      </c>
      <c r="T756" t="str">
        <v>Andre Warner</v>
      </c>
      <c r="U756" t="str">
        <v>NULL</v>
      </c>
      <c r="V756" t="str">
        <v>Home</v>
      </c>
      <c r="W756" t="str">
        <v>OGDC</v>
      </c>
      <c r="X756">
        <v>0.5460125484664653</v>
      </c>
    </row>
    <row r="757" spans="8:24" x14ac:dyDescent="0.35">
      <c r="H757" s="66">
        <v>9</v>
      </c>
      <c r="I757" t="s">
        <v>23</v>
      </c>
      <c r="J757" t="s">
        <v>340</v>
      </c>
      <c r="K757" t="s">
        <v>256</v>
      </c>
      <c r="L757" t="s">
        <v>3</v>
      </c>
      <c r="M757" t="s">
        <v>34</v>
      </c>
      <c r="N757">
        <f t="shared" si="40"/>
        <v>1.4533268426631736</v>
      </c>
      <c r="O757" t="str">
        <f t="shared" si="41"/>
        <v/>
      </c>
      <c r="P757" s="67" cm="1">
        <f t="array" ref="P757">SUMPRODUCT((H757=$H$7:$H$10000)*(N757&lt;$N$7:$N$10000))+1</f>
        <v>88</v>
      </c>
      <c r="Q757" s="72"/>
      <c r="R757">
        <v>11</v>
      </c>
      <c r="S757" t="str">
        <v>SEA</v>
      </c>
      <c r="T757" t="str">
        <v>Jeremiah Sio</v>
      </c>
      <c r="U757" t="str">
        <v>NULL</v>
      </c>
      <c r="V757" t="str">
        <v>Away</v>
      </c>
      <c r="W757" t="str">
        <v>NOLA</v>
      </c>
      <c r="X757">
        <v>0.28372013061589385</v>
      </c>
    </row>
    <row r="758" spans="8:24" x14ac:dyDescent="0.35">
      <c r="H758" s="66">
        <v>9</v>
      </c>
      <c r="I758" t="s">
        <v>7</v>
      </c>
      <c r="J758" t="s">
        <v>19</v>
      </c>
      <c r="K758" t="s">
        <v>256</v>
      </c>
      <c r="L758" t="s">
        <v>9</v>
      </c>
      <c r="M758" t="s">
        <v>4</v>
      </c>
      <c r="N758">
        <f t="shared" si="40"/>
        <v>1.0677752357400854</v>
      </c>
      <c r="O758" t="str">
        <f t="shared" si="41"/>
        <v/>
      </c>
      <c r="P758" s="67" cm="1">
        <f t="array" ref="P758">SUMPRODUCT((H758=$H$7:$H$10000)*(N758&lt;$N$7:$N$10000))+1</f>
        <v>89</v>
      </c>
      <c r="Q758" s="72"/>
      <c r="R758">
        <v>11</v>
      </c>
      <c r="S758" t="str">
        <v>OGDC</v>
      </c>
      <c r="T758" t="str">
        <v>Jason Emery</v>
      </c>
      <c r="U758" t="str">
        <v>NULL</v>
      </c>
      <c r="V758" t="str">
        <v>Away</v>
      </c>
      <c r="W758" t="str">
        <v>HOU</v>
      </c>
      <c r="X758">
        <v>-0.52399860476723514</v>
      </c>
    </row>
    <row r="759" spans="8:24" x14ac:dyDescent="0.35">
      <c r="H759" s="66">
        <v>9</v>
      </c>
      <c r="I759" t="s">
        <v>24</v>
      </c>
      <c r="J759" t="s">
        <v>459</v>
      </c>
      <c r="K759" t="s">
        <v>256</v>
      </c>
      <c r="L759" t="s">
        <v>3</v>
      </c>
      <c r="M759" t="s">
        <v>36</v>
      </c>
      <c r="N759">
        <f t="shared" si="40"/>
        <v>0.70045965104581942</v>
      </c>
      <c r="O759" t="str">
        <f t="shared" si="41"/>
        <v/>
      </c>
      <c r="P759" s="67" cm="1">
        <f t="array" ref="P759">SUMPRODUCT((H759=$H$7:$H$10000)*(N759&lt;$N$7:$N$10000))+1</f>
        <v>90</v>
      </c>
      <c r="Q759" s="72"/>
      <c r="R759">
        <v>11</v>
      </c>
      <c r="S759" t="str">
        <v>HOU</v>
      </c>
      <c r="T759" t="str">
        <v>Seimou Smith</v>
      </c>
      <c r="U759" t="str">
        <v>NULL</v>
      </c>
      <c r="V759" t="str">
        <v>Home</v>
      </c>
      <c r="W759" t="str">
        <v>OGDC</v>
      </c>
      <c r="X759">
        <v>-0.73320307640485805</v>
      </c>
    </row>
    <row r="760" spans="8:24" x14ac:dyDescent="0.35">
      <c r="H760" s="66">
        <v>9</v>
      </c>
      <c r="I760" t="s">
        <v>4</v>
      </c>
      <c r="J760" t="s">
        <v>475</v>
      </c>
      <c r="K760" t="s">
        <v>256</v>
      </c>
      <c r="L760" t="s">
        <v>3</v>
      </c>
      <c r="M760" t="s">
        <v>7</v>
      </c>
      <c r="N760">
        <f t="shared" si="40"/>
        <v>0.47102693683671326</v>
      </c>
      <c r="O760" t="str">
        <f t="shared" si="41"/>
        <v/>
      </c>
      <c r="P760" s="67" cm="1">
        <f t="array" ref="P760">SUMPRODUCT((H760=$H$7:$H$10000)*(N760&lt;$N$7:$N$10000))+1</f>
        <v>91</v>
      </c>
      <c r="Q760" s="72"/>
      <c r="R760">
        <v>11</v>
      </c>
      <c r="S760" t="str">
        <v>OGDC</v>
      </c>
      <c r="T760" t="str">
        <v>Perry Humphreys</v>
      </c>
      <c r="U760" t="str">
        <v>NULL</v>
      </c>
      <c r="V760" t="str">
        <v>Away</v>
      </c>
      <c r="W760" t="str">
        <v>HOU</v>
      </c>
      <c r="X760">
        <v>-2.3079934836197111</v>
      </c>
    </row>
    <row r="761" spans="8:24" x14ac:dyDescent="0.35">
      <c r="H761" s="66">
        <v>9</v>
      </c>
      <c r="I761" t="s">
        <v>14</v>
      </c>
      <c r="J761" t="s">
        <v>460</v>
      </c>
      <c r="K761" t="s">
        <v>256</v>
      </c>
      <c r="L761" t="s">
        <v>9</v>
      </c>
      <c r="M761" t="s">
        <v>2</v>
      </c>
      <c r="N761">
        <f t="shared" si="40"/>
        <v>0.3816447321590708</v>
      </c>
      <c r="O761" t="str">
        <f t="shared" si="41"/>
        <v/>
      </c>
      <c r="P761" s="67" cm="1">
        <f t="array" ref="P761">SUMPRODUCT((H761=$H$7:$H$10000)*(N761&lt;$N$7:$N$10000))+1</f>
        <v>92</v>
      </c>
      <c r="Q761" s="72"/>
      <c r="R761">
        <v>11</v>
      </c>
      <c r="S761" t="str">
        <v>OGDC</v>
      </c>
      <c r="T761" t="str">
        <v>Ethan McVeigh</v>
      </c>
      <c r="U761" t="str">
        <v>NULL</v>
      </c>
      <c r="V761" t="str">
        <v>Away</v>
      </c>
      <c r="W761" t="str">
        <v>HOU</v>
      </c>
      <c r="X761">
        <v>-2.3408511755676962</v>
      </c>
    </row>
    <row r="762" spans="8:24" x14ac:dyDescent="0.35">
      <c r="H762" s="66">
        <v>9</v>
      </c>
      <c r="I762" t="s">
        <v>7</v>
      </c>
      <c r="J762" t="s">
        <v>92</v>
      </c>
      <c r="K762" t="s">
        <v>256</v>
      </c>
      <c r="L762" t="s">
        <v>9</v>
      </c>
      <c r="M762" t="s">
        <v>4</v>
      </c>
      <c r="N762">
        <f t="shared" si="40"/>
        <v>-0.71621964311239061</v>
      </c>
      <c r="O762" t="str">
        <f t="shared" si="41"/>
        <v/>
      </c>
      <c r="P762" s="67" cm="1">
        <f t="array" ref="P762">SUMPRODUCT((H762=$H$7:$H$10000)*(N762&lt;$N$7:$N$10000))+1</f>
        <v>93</v>
      </c>
      <c r="Q762" s="72"/>
      <c r="R762">
        <v>11</v>
      </c>
      <c r="S762" t="str">
        <v>HOU</v>
      </c>
      <c r="T762" t="str">
        <v>Drew Wild</v>
      </c>
      <c r="U762" t="str">
        <v>NULL</v>
      </c>
      <c r="V762" t="str">
        <v>Home</v>
      </c>
      <c r="W762" t="str">
        <v>OGDC</v>
      </c>
      <c r="X762">
        <v>-2.5633206557956516</v>
      </c>
    </row>
    <row r="763" spans="8:24" x14ac:dyDescent="0.35">
      <c r="H763" s="66">
        <v>9</v>
      </c>
      <c r="I763" t="s">
        <v>7</v>
      </c>
      <c r="J763" t="s">
        <v>131</v>
      </c>
      <c r="K763" t="s">
        <v>256</v>
      </c>
      <c r="L763" t="s">
        <v>9</v>
      </c>
      <c r="M763" t="s">
        <v>4</v>
      </c>
      <c r="N763">
        <f t="shared" si="40"/>
        <v>-0.74907733506037566</v>
      </c>
      <c r="O763" t="str">
        <f t="shared" si="41"/>
        <v/>
      </c>
      <c r="P763" s="67" cm="1">
        <f t="array" ref="P763">SUMPRODUCT((H763=$H$7:$H$10000)*(N763&lt;$N$7:$N$10000))+1</f>
        <v>94</v>
      </c>
      <c r="Q763" s="72"/>
      <c r="R763">
        <v>11</v>
      </c>
      <c r="S763" t="str">
        <v>OGDC</v>
      </c>
      <c r="T763" t="str">
        <v>Connor Buckley</v>
      </c>
      <c r="U763" t="str">
        <v>NULL</v>
      </c>
      <c r="V763" t="str">
        <v>Away</v>
      </c>
      <c r="W763" t="str">
        <v>HOU</v>
      </c>
      <c r="X763">
        <v>-6.8023091817245191</v>
      </c>
    </row>
    <row r="764" spans="8:24" x14ac:dyDescent="0.35">
      <c r="H764" s="66">
        <v>9</v>
      </c>
      <c r="I764" t="s">
        <v>4</v>
      </c>
      <c r="J764" t="s">
        <v>125</v>
      </c>
      <c r="K764" t="s">
        <v>256</v>
      </c>
      <c r="L764" t="s">
        <v>3</v>
      </c>
      <c r="M764" t="s">
        <v>7</v>
      </c>
      <c r="N764">
        <f t="shared" si="40"/>
        <v>-2.1447734374301035</v>
      </c>
      <c r="O764" t="str">
        <f t="shared" si="41"/>
        <v/>
      </c>
      <c r="P764" s="67" cm="1">
        <f t="array" ref="P764">SUMPRODUCT((H764=$H$7:$H$10000)*(N764&lt;$N$7:$N$10000))+1</f>
        <v>95</v>
      </c>
      <c r="Q764" s="72"/>
      <c r="R764">
        <v>12</v>
      </c>
      <c r="S764" t="str">
        <v>OGDC</v>
      </c>
      <c r="T764" t="str">
        <v>Axel Muller</v>
      </c>
      <c r="U764" t="str">
        <v>NULL</v>
      </c>
      <c r="V764" t="str">
        <v>Home</v>
      </c>
      <c r="W764" t="str">
        <v>UTAH</v>
      </c>
      <c r="X764">
        <v>19.111939192390743</v>
      </c>
    </row>
    <row r="765" spans="8:24" x14ac:dyDescent="0.35">
      <c r="H765" s="66">
        <v>9</v>
      </c>
      <c r="I765" t="s">
        <v>4</v>
      </c>
      <c r="J765" t="s">
        <v>489</v>
      </c>
      <c r="K765" t="s">
        <v>256</v>
      </c>
      <c r="L765" t="s">
        <v>3</v>
      </c>
      <c r="M765" t="s">
        <v>7</v>
      </c>
      <c r="N765">
        <f t="shared" si="40"/>
        <v>-2.1915033792117882</v>
      </c>
      <c r="O765" t="str">
        <f t="shared" si="41"/>
        <v/>
      </c>
      <c r="P765" s="67" cm="1">
        <f t="array" ref="P765">SUMPRODUCT((H765=$H$7:$H$10000)*(N765&lt;$N$7:$N$10000))+1</f>
        <v>96</v>
      </c>
      <c r="Q765" s="72"/>
      <c r="R765">
        <v>12</v>
      </c>
      <c r="S765" t="str">
        <v>LA</v>
      </c>
      <c r="T765" t="str">
        <v>Rory van Vugt</v>
      </c>
      <c r="U765" t="str">
        <v>NULL</v>
      </c>
      <c r="V765" t="str">
        <v>Away</v>
      </c>
      <c r="W765" t="str">
        <v>SEA</v>
      </c>
      <c r="X765">
        <v>18.716015932062071</v>
      </c>
    </row>
    <row r="766" spans="8:24" x14ac:dyDescent="0.35">
      <c r="H766" s="66">
        <v>9</v>
      </c>
      <c r="I766" t="s">
        <v>7</v>
      </c>
      <c r="J766" t="s">
        <v>126</v>
      </c>
      <c r="K766" t="s">
        <v>256</v>
      </c>
      <c r="L766" t="s">
        <v>9</v>
      </c>
      <c r="M766" t="s">
        <v>4</v>
      </c>
      <c r="N766">
        <f t="shared" si="40"/>
        <v>-5.2105353412171986</v>
      </c>
      <c r="O766" t="str">
        <f t="shared" si="41"/>
        <v/>
      </c>
      <c r="P766" s="67" cm="1">
        <f t="array" ref="P766">SUMPRODUCT((H766=$H$7:$H$10000)*(N766&lt;$N$7:$N$10000))+1</f>
        <v>97</v>
      </c>
      <c r="Q766" s="72"/>
      <c r="R766">
        <v>12</v>
      </c>
      <c r="S766" t="str">
        <v>UTAH</v>
      </c>
      <c r="T766" t="str">
        <v>Joe Mano</v>
      </c>
      <c r="U766" t="str">
        <v>NULL</v>
      </c>
      <c r="V766" t="str">
        <v>Away</v>
      </c>
      <c r="W766" t="str">
        <v>OGDC</v>
      </c>
      <c r="X766">
        <v>16.50339893786721</v>
      </c>
    </row>
    <row r="767" spans="8:24" x14ac:dyDescent="0.35">
      <c r="H767" s="66">
        <v>10</v>
      </c>
      <c r="I767" t="s">
        <v>7</v>
      </c>
      <c r="J767" t="s">
        <v>65</v>
      </c>
      <c r="K767" t="s">
        <v>256</v>
      </c>
      <c r="L767" t="s">
        <v>3</v>
      </c>
      <c r="M767" t="s">
        <v>24</v>
      </c>
      <c r="N767">
        <f t="shared" si="40"/>
        <v>22.078022434332734</v>
      </c>
      <c r="O767" t="str">
        <f t="shared" si="41"/>
        <v/>
      </c>
      <c r="P767" s="67" cm="1">
        <f t="array" ref="P767">SUMPRODUCT((H767=$H$7:$H$10000)*(N767&lt;$N$7:$N$10000))+1</f>
        <v>1</v>
      </c>
      <c r="Q767" s="72"/>
      <c r="R767">
        <v>12</v>
      </c>
      <c r="S767" t="str">
        <v>SDL</v>
      </c>
      <c r="T767" t="str">
        <v>Ryan James</v>
      </c>
      <c r="U767" t="str">
        <v>NULL</v>
      </c>
      <c r="V767" t="str">
        <v>Home</v>
      </c>
      <c r="W767" t="str">
        <v>NOLA</v>
      </c>
      <c r="X767">
        <v>16.277460959022349</v>
      </c>
    </row>
    <row r="768" spans="8:24" x14ac:dyDescent="0.35">
      <c r="H768" s="66">
        <v>10</v>
      </c>
      <c r="I768" t="s">
        <v>13</v>
      </c>
      <c r="J768" t="s">
        <v>79</v>
      </c>
      <c r="K768" t="s">
        <v>256</v>
      </c>
      <c r="L768" t="s">
        <v>9</v>
      </c>
      <c r="M768" t="s">
        <v>34</v>
      </c>
      <c r="N768">
        <f t="shared" si="40"/>
        <v>18.768484431050695</v>
      </c>
      <c r="O768" t="str">
        <f t="shared" si="41"/>
        <v/>
      </c>
      <c r="P768" s="67" cm="1">
        <f t="array" ref="P768">SUMPRODUCT((H768=$H$7:$H$10000)*(N768&lt;$N$7:$N$10000))+1</f>
        <v>2</v>
      </c>
      <c r="Q768" s="72"/>
      <c r="R768">
        <v>12</v>
      </c>
      <c r="S768" t="str">
        <v>CHI</v>
      </c>
      <c r="T768" t="str">
        <v>Nate Augspurger</v>
      </c>
      <c r="U768" t="str">
        <v>NULL</v>
      </c>
      <c r="V768" t="str">
        <v>Home</v>
      </c>
      <c r="W768" t="str">
        <v>MIA</v>
      </c>
      <c r="X768">
        <v>16.209405509070699</v>
      </c>
    </row>
    <row r="769" spans="8:24" x14ac:dyDescent="0.35">
      <c r="H769" s="66">
        <v>10</v>
      </c>
      <c r="I769" t="s">
        <v>34</v>
      </c>
      <c r="J769" t="s">
        <v>95</v>
      </c>
      <c r="K769" t="s">
        <v>256</v>
      </c>
      <c r="L769" t="s">
        <v>3</v>
      </c>
      <c r="M769" t="s">
        <v>13</v>
      </c>
      <c r="N769">
        <f t="shared" si="40"/>
        <v>18.279255998896758</v>
      </c>
      <c r="O769" t="str">
        <f t="shared" si="41"/>
        <v/>
      </c>
      <c r="P769" s="67" cm="1">
        <f t="array" ref="P769">SUMPRODUCT((H769=$H$7:$H$10000)*(N769&lt;$N$7:$N$10000))+1</f>
        <v>3</v>
      </c>
      <c r="Q769" s="72"/>
      <c r="R769">
        <v>12</v>
      </c>
      <c r="S769" t="str">
        <v>CHI</v>
      </c>
      <c r="T769" t="str">
        <v>Michael Hand</v>
      </c>
      <c r="U769" t="str">
        <v>NULL</v>
      </c>
      <c r="V769" t="str">
        <v>Home</v>
      </c>
      <c r="W769" t="str">
        <v>MIA</v>
      </c>
      <c r="X769">
        <v>15.65667175540008</v>
      </c>
    </row>
    <row r="770" spans="8:24" x14ac:dyDescent="0.35">
      <c r="H770" s="66">
        <v>10</v>
      </c>
      <c r="I770" t="s">
        <v>13</v>
      </c>
      <c r="J770" t="s">
        <v>494</v>
      </c>
      <c r="K770" t="s">
        <v>256</v>
      </c>
      <c r="L770" t="s">
        <v>9</v>
      </c>
      <c r="M770" t="s">
        <v>34</v>
      </c>
      <c r="N770">
        <f t="shared" si="40"/>
        <v>14.957948980340095</v>
      </c>
      <c r="O770" t="str">
        <f t="shared" si="41"/>
        <v/>
      </c>
      <c r="P770" s="67" cm="1">
        <f t="array" ref="P770">SUMPRODUCT((H770=$H$7:$H$10000)*(N770&lt;$N$7:$N$10000))+1</f>
        <v>4</v>
      </c>
      <c r="Q770" s="72"/>
      <c r="R770">
        <v>12</v>
      </c>
      <c r="S770" t="str">
        <v>LA</v>
      </c>
      <c r="T770" t="str">
        <v>Billy Meakes</v>
      </c>
      <c r="U770" t="str">
        <v>NULL</v>
      </c>
      <c r="V770" t="str">
        <v>Away</v>
      </c>
      <c r="W770" t="str">
        <v>SEA</v>
      </c>
      <c r="X770">
        <v>15.040403145568343</v>
      </c>
    </row>
    <row r="771" spans="8:24" x14ac:dyDescent="0.35">
      <c r="H771" s="66">
        <v>10</v>
      </c>
      <c r="I771" t="s">
        <v>7</v>
      </c>
      <c r="J771" t="s">
        <v>67</v>
      </c>
      <c r="K771" t="s">
        <v>256</v>
      </c>
      <c r="L771" t="s">
        <v>3</v>
      </c>
      <c r="M771" t="s">
        <v>24</v>
      </c>
      <c r="N771">
        <f t="shared" si="40"/>
        <v>14.81868989894817</v>
      </c>
      <c r="O771" t="str">
        <f t="shared" si="41"/>
        <v/>
      </c>
      <c r="P771" s="67" cm="1">
        <f t="array" ref="P771">SUMPRODUCT((H771=$H$7:$H$10000)*(N771&lt;$N$7:$N$10000))+1</f>
        <v>5</v>
      </c>
      <c r="Q771" s="72"/>
      <c r="R771">
        <v>12</v>
      </c>
      <c r="S771" t="str">
        <v>SEA</v>
      </c>
      <c r="T771" t="str">
        <v>Eddie Fouche</v>
      </c>
      <c r="U771" t="str">
        <v>NULL</v>
      </c>
      <c r="V771" t="str">
        <v>Home</v>
      </c>
      <c r="W771" t="str">
        <v>LA</v>
      </c>
      <c r="X771">
        <v>14.461560255996176</v>
      </c>
    </row>
    <row r="772" spans="8:24" x14ac:dyDescent="0.35">
      <c r="H772" s="66">
        <v>10</v>
      </c>
      <c r="I772" t="s">
        <v>7</v>
      </c>
      <c r="J772" t="s">
        <v>447</v>
      </c>
      <c r="K772" t="s">
        <v>256</v>
      </c>
      <c r="L772" t="s">
        <v>3</v>
      </c>
      <c r="M772" t="s">
        <v>24</v>
      </c>
      <c r="N772">
        <f t="shared" si="40"/>
        <v>14.131048838282116</v>
      </c>
      <c r="O772" t="str">
        <f t="shared" si="41"/>
        <v/>
      </c>
      <c r="P772" s="67" cm="1">
        <f t="array" ref="P772">SUMPRODUCT((H772=$H$7:$H$10000)*(N772&lt;$N$7:$N$10000))+1</f>
        <v>6</v>
      </c>
      <c r="Q772" s="72"/>
      <c r="R772">
        <v>12</v>
      </c>
      <c r="S772" t="str">
        <v>SEA</v>
      </c>
      <c r="T772" t="str">
        <v>Rodney Iona</v>
      </c>
      <c r="U772" t="str">
        <v>NULL</v>
      </c>
      <c r="V772" t="str">
        <v>Home</v>
      </c>
      <c r="W772" t="str">
        <v>LA</v>
      </c>
      <c r="X772">
        <v>13.606474990440351</v>
      </c>
    </row>
    <row r="773" spans="8:24" x14ac:dyDescent="0.35">
      <c r="H773" s="66">
        <v>10</v>
      </c>
      <c r="I773" t="s">
        <v>34</v>
      </c>
      <c r="J773" t="s">
        <v>41</v>
      </c>
      <c r="K773" t="s">
        <v>256</v>
      </c>
      <c r="L773" t="s">
        <v>3</v>
      </c>
      <c r="M773" t="s">
        <v>13</v>
      </c>
      <c r="N773">
        <f t="shared" si="40"/>
        <v>14.078560798717323</v>
      </c>
      <c r="O773" t="str">
        <f t="shared" si="41"/>
        <v/>
      </c>
      <c r="P773" s="67" cm="1">
        <f t="array" ref="P773">SUMPRODUCT((H773=$H$7:$H$10000)*(N773&lt;$N$7:$N$10000))+1</f>
        <v>7</v>
      </c>
      <c r="Q773" s="72"/>
      <c r="R773">
        <v>12</v>
      </c>
      <c r="S773" t="str">
        <v>CHI</v>
      </c>
      <c r="T773" t="str">
        <v>Ollie Devoto</v>
      </c>
      <c r="U773" t="str">
        <v>NULL</v>
      </c>
      <c r="V773" t="str">
        <v>Home</v>
      </c>
      <c r="W773" t="str">
        <v>MIA</v>
      </c>
      <c r="X773">
        <v>13.547774247058578</v>
      </c>
    </row>
    <row r="774" spans="8:24" x14ac:dyDescent="0.35">
      <c r="H774" s="66">
        <v>10</v>
      </c>
      <c r="I774" t="s">
        <v>7</v>
      </c>
      <c r="J774" t="s">
        <v>77</v>
      </c>
      <c r="K774" t="s">
        <v>256</v>
      </c>
      <c r="L774" t="s">
        <v>3</v>
      </c>
      <c r="M774" t="s">
        <v>24</v>
      </c>
      <c r="N774">
        <f t="shared" si="40"/>
        <v>13.110515598627387</v>
      </c>
      <c r="O774" t="str">
        <f t="shared" si="41"/>
        <v/>
      </c>
      <c r="P774" s="67" cm="1">
        <f t="array" ref="P774">SUMPRODUCT((H774=$H$7:$H$10000)*(N774&lt;$N$7:$N$10000))+1</f>
        <v>8</v>
      </c>
      <c r="Q774" s="72"/>
      <c r="R774">
        <v>12</v>
      </c>
      <c r="S774" t="str">
        <v>SEA</v>
      </c>
      <c r="T774" t="str">
        <v>Duncan Matthews</v>
      </c>
      <c r="U774" t="str">
        <v>NULL</v>
      </c>
      <c r="V774" t="str">
        <v>Home</v>
      </c>
      <c r="W774" t="str">
        <v>LA</v>
      </c>
      <c r="X774">
        <v>13.157057238491351</v>
      </c>
    </row>
    <row r="775" spans="8:24" x14ac:dyDescent="0.35">
      <c r="H775" s="66">
        <v>10</v>
      </c>
      <c r="I775" t="s">
        <v>34</v>
      </c>
      <c r="J775" t="s">
        <v>100</v>
      </c>
      <c r="K775" t="s">
        <v>256</v>
      </c>
      <c r="L775" t="s">
        <v>3</v>
      </c>
      <c r="M775" t="s">
        <v>13</v>
      </c>
      <c r="N775">
        <f t="shared" si="40"/>
        <v>12.914271489035764</v>
      </c>
      <c r="O775" t="str">
        <f t="shared" si="41"/>
        <v/>
      </c>
      <c r="P775" s="67" cm="1">
        <f t="array" ref="P775">SUMPRODUCT((H775=$H$7:$H$10000)*(N775&lt;$N$7:$N$10000))+1</f>
        <v>9</v>
      </c>
      <c r="Q775" s="72"/>
      <c r="R775">
        <v>12</v>
      </c>
      <c r="S775" t="str">
        <v>LA</v>
      </c>
      <c r="T775" t="str">
        <v>Matias Jensen</v>
      </c>
      <c r="U775" t="str">
        <v>NULL</v>
      </c>
      <c r="V775" t="str">
        <v>Away</v>
      </c>
      <c r="W775" t="str">
        <v>SEA</v>
      </c>
      <c r="X775">
        <v>13.076645268363952</v>
      </c>
    </row>
    <row r="776" spans="8:24" x14ac:dyDescent="0.35">
      <c r="H776" s="66">
        <v>10</v>
      </c>
      <c r="I776" t="s">
        <v>14</v>
      </c>
      <c r="J776" t="s">
        <v>448</v>
      </c>
      <c r="K776" t="s">
        <v>256</v>
      </c>
      <c r="L776" t="s">
        <v>3</v>
      </c>
      <c r="M776" t="s">
        <v>23</v>
      </c>
      <c r="N776">
        <f t="shared" si="40"/>
        <v>12.249899268798186</v>
      </c>
      <c r="O776" t="str">
        <f t="shared" si="41"/>
        <v/>
      </c>
      <c r="P776" s="67" cm="1">
        <f t="array" ref="P776">SUMPRODUCT((H776=$H$7:$H$10000)*(N776&lt;$N$7:$N$10000))+1</f>
        <v>10</v>
      </c>
      <c r="Q776" s="72"/>
      <c r="R776">
        <v>12</v>
      </c>
      <c r="S776" t="str">
        <v>SEA</v>
      </c>
      <c r="T776" t="str">
        <v>Divan Rossouw</v>
      </c>
      <c r="U776" t="str">
        <v>NULL</v>
      </c>
      <c r="V776" t="str">
        <v>Home</v>
      </c>
      <c r="W776" t="str">
        <v>LA</v>
      </c>
      <c r="X776">
        <v>13.038957061831757</v>
      </c>
    </row>
    <row r="777" spans="8:24" x14ac:dyDescent="0.35">
      <c r="H777" s="66">
        <v>10</v>
      </c>
      <c r="I777" t="s">
        <v>14</v>
      </c>
      <c r="J777" t="s">
        <v>87</v>
      </c>
      <c r="K777" t="s">
        <v>256</v>
      </c>
      <c r="L777" t="s">
        <v>3</v>
      </c>
      <c r="M777" t="s">
        <v>23</v>
      </c>
      <c r="N777">
        <f t="shared" si="40"/>
        <v>11.861230012583894</v>
      </c>
      <c r="O777" t="str">
        <f t="shared" si="41"/>
        <v/>
      </c>
      <c r="P777" s="67" cm="1">
        <f t="array" ref="P777">SUMPRODUCT((H777=$H$7:$H$10000)*(N777&lt;$N$7:$N$10000))+1</f>
        <v>11</v>
      </c>
      <c r="Q777" s="72"/>
      <c r="R777">
        <v>12</v>
      </c>
      <c r="S777" t="str">
        <v>UTAH</v>
      </c>
      <c r="T777" t="str">
        <v>Nic Benn</v>
      </c>
      <c r="U777" t="str">
        <v>NULL</v>
      </c>
      <c r="V777" t="str">
        <v>Away</v>
      </c>
      <c r="W777" t="str">
        <v>OGDC</v>
      </c>
      <c r="X777">
        <v>12.692863487156611</v>
      </c>
    </row>
    <row r="778" spans="8:24" x14ac:dyDescent="0.35">
      <c r="H778" s="66">
        <v>10</v>
      </c>
      <c r="I778" t="s">
        <v>2</v>
      </c>
      <c r="J778" t="s">
        <v>88</v>
      </c>
      <c r="K778" t="s">
        <v>256</v>
      </c>
      <c r="L778" t="s">
        <v>9</v>
      </c>
      <c r="M778" t="s">
        <v>17</v>
      </c>
      <c r="N778">
        <f t="shared" si="40"/>
        <v>11.813277379847012</v>
      </c>
      <c r="O778" t="str">
        <f t="shared" si="41"/>
        <v/>
      </c>
      <c r="P778" s="67" cm="1">
        <f t="array" ref="P778">SUMPRODUCT((H778=$H$7:$H$10000)*(N778&lt;$N$7:$N$10000))+1</f>
        <v>12</v>
      </c>
      <c r="Q778" s="72"/>
      <c r="R778">
        <v>12</v>
      </c>
      <c r="S778" t="str">
        <v>CHI</v>
      </c>
      <c r="T778" t="str">
        <v>Adriaan Carelse</v>
      </c>
      <c r="U778" t="str">
        <v>NULL</v>
      </c>
      <c r="V778" t="str">
        <v>Home</v>
      </c>
      <c r="W778" t="str">
        <v>MIA</v>
      </c>
      <c r="X778">
        <v>12.656505211261663</v>
      </c>
    </row>
    <row r="779" spans="8:24" x14ac:dyDescent="0.35">
      <c r="H779" s="66">
        <v>10</v>
      </c>
      <c r="I779" t="s">
        <v>23</v>
      </c>
      <c r="J779" t="s">
        <v>190</v>
      </c>
      <c r="K779" t="s">
        <v>256</v>
      </c>
      <c r="L779" t="s">
        <v>9</v>
      </c>
      <c r="M779" t="s">
        <v>14</v>
      </c>
      <c r="N779">
        <f t="shared" si="40"/>
        <v>11.66657430846651</v>
      </c>
      <c r="O779" t="str">
        <f t="shared" si="41"/>
        <v/>
      </c>
      <c r="P779" s="67" cm="1">
        <f t="array" ref="P779">SUMPRODUCT((H779=$H$7:$H$10000)*(N779&lt;$N$7:$N$10000))+1</f>
        <v>13</v>
      </c>
      <c r="Q779" s="72"/>
      <c r="R779">
        <v>12</v>
      </c>
      <c r="S779" t="str">
        <v>MIA</v>
      </c>
      <c r="T779" t="str">
        <v>Tomás Cubilla</v>
      </c>
      <c r="U779" t="str">
        <v>NULL</v>
      </c>
      <c r="V779" t="str">
        <v>Away</v>
      </c>
      <c r="W779" t="str">
        <v>CHI</v>
      </c>
      <c r="X779">
        <v>12.31639633505432</v>
      </c>
    </row>
    <row r="780" spans="8:24" x14ac:dyDescent="0.35">
      <c r="H780" s="66">
        <v>10</v>
      </c>
      <c r="I780" t="s">
        <v>14</v>
      </c>
      <c r="J780" t="s">
        <v>83</v>
      </c>
      <c r="K780" t="s">
        <v>256</v>
      </c>
      <c r="L780" t="s">
        <v>3</v>
      </c>
      <c r="M780" t="s">
        <v>23</v>
      </c>
      <c r="N780">
        <f t="shared" ref="N780:N843" si="42">VLOOKUP($L780,$F$3:$G$4,2,FALSE)+VLOOKUP($J780,$A$20:$B$131,2,FALSE)+VLOOKUP($M780,$A$6:$B$16,2,FALSE)</f>
        <v>11.599635427020726</v>
      </c>
      <c r="O780" t="str">
        <f t="shared" ref="O780:O843" si="43">IFERROR(($K780-$N780)^2,"")</f>
        <v/>
      </c>
      <c r="P780" s="67" cm="1">
        <f t="array" ref="P780">SUMPRODUCT((H780=$H$7:$H$10000)*(N780&lt;$N$7:$N$10000))+1</f>
        <v>14</v>
      </c>
      <c r="Q780" s="72"/>
      <c r="R780">
        <v>12</v>
      </c>
      <c r="S780" t="str">
        <v>SDL</v>
      </c>
      <c r="T780" t="str">
        <v>Ethan Grayson</v>
      </c>
      <c r="U780" t="str">
        <v>NULL</v>
      </c>
      <c r="V780" t="str">
        <v>Home</v>
      </c>
      <c r="W780" t="str">
        <v>NOLA</v>
      </c>
      <c r="X780">
        <v>12.076765758842914</v>
      </c>
    </row>
    <row r="781" spans="8:24" x14ac:dyDescent="0.35">
      <c r="H781" s="66">
        <v>10</v>
      </c>
      <c r="I781" t="s">
        <v>34</v>
      </c>
      <c r="J781" t="s">
        <v>52</v>
      </c>
      <c r="K781" t="s">
        <v>256</v>
      </c>
      <c r="L781" t="s">
        <v>3</v>
      </c>
      <c r="M781" t="s">
        <v>13</v>
      </c>
      <c r="N781">
        <f t="shared" si="42"/>
        <v>11.585940885528018</v>
      </c>
      <c r="O781" t="str">
        <f t="shared" si="43"/>
        <v/>
      </c>
      <c r="P781" s="67" cm="1">
        <f t="array" ref="P781">SUMPRODUCT((H781=$H$7:$H$10000)*(N781&lt;$N$7:$N$10000))+1</f>
        <v>15</v>
      </c>
      <c r="Q781" s="72"/>
      <c r="R781">
        <v>12</v>
      </c>
      <c r="S781" t="str">
        <v>SEA</v>
      </c>
      <c r="T781" t="str">
        <v>Mikaela Kruse</v>
      </c>
      <c r="U781" t="str">
        <v>NULL</v>
      </c>
      <c r="V781" t="str">
        <v>Home</v>
      </c>
      <c r="W781" t="str">
        <v>LA</v>
      </c>
      <c r="X781">
        <v>12.037191646462531</v>
      </c>
    </row>
    <row r="782" spans="8:24" x14ac:dyDescent="0.35">
      <c r="H782" s="66">
        <v>10</v>
      </c>
      <c r="I782" t="s">
        <v>17</v>
      </c>
      <c r="J782" t="s">
        <v>492</v>
      </c>
      <c r="K782" t="s">
        <v>256</v>
      </c>
      <c r="L782" t="s">
        <v>3</v>
      </c>
      <c r="M782" t="s">
        <v>2</v>
      </c>
      <c r="N782">
        <f t="shared" si="42"/>
        <v>11.506404985809187</v>
      </c>
      <c r="O782" t="str">
        <f t="shared" si="43"/>
        <v/>
      </c>
      <c r="P782" s="67" cm="1">
        <f t="array" ref="P782">SUMPRODUCT((H782=$H$7:$H$10000)*(N782&lt;$N$7:$N$10000))+1</f>
        <v>16</v>
      </c>
      <c r="Q782" s="72"/>
      <c r="R782">
        <v>12</v>
      </c>
      <c r="S782" t="str">
        <v>LA</v>
      </c>
      <c r="T782" t="str">
        <v>Christian Leali'ifano</v>
      </c>
      <c r="U782" t="str">
        <v>NULL</v>
      </c>
      <c r="V782" t="str">
        <v>Away</v>
      </c>
      <c r="W782" t="str">
        <v>SEA</v>
      </c>
      <c r="X782">
        <v>11.925412646396143</v>
      </c>
    </row>
    <row r="783" spans="8:24" x14ac:dyDescent="0.35">
      <c r="H783" s="66">
        <v>10</v>
      </c>
      <c r="I783" t="s">
        <v>34</v>
      </c>
      <c r="J783" t="s">
        <v>192</v>
      </c>
      <c r="K783" t="s">
        <v>256</v>
      </c>
      <c r="L783" t="s">
        <v>3</v>
      </c>
      <c r="M783" t="s">
        <v>13</v>
      </c>
      <c r="N783">
        <f t="shared" si="42"/>
        <v>11.427162624389045</v>
      </c>
      <c r="O783" t="str">
        <f t="shared" si="43"/>
        <v/>
      </c>
      <c r="P783" s="67" cm="1">
        <f t="array" ref="P783">SUMPRODUCT((H783=$H$7:$H$10000)*(N783&lt;$N$7:$N$10000))+1</f>
        <v>17</v>
      </c>
      <c r="Q783" s="72"/>
      <c r="R783">
        <v>12</v>
      </c>
      <c r="S783" t="str">
        <v>OGDC</v>
      </c>
      <c r="T783" t="str">
        <v>Damien Hoyland</v>
      </c>
      <c r="U783" t="str">
        <v>NULL</v>
      </c>
      <c r="V783" t="str">
        <v>Home</v>
      </c>
      <c r="W783" t="str">
        <v>UTAH</v>
      </c>
      <c r="X783">
        <v>11.852606657006181</v>
      </c>
    </row>
    <row r="784" spans="8:24" x14ac:dyDescent="0.35">
      <c r="H784" s="66">
        <v>10</v>
      </c>
      <c r="I784" t="s">
        <v>13</v>
      </c>
      <c r="J784" t="s">
        <v>473</v>
      </c>
      <c r="K784" t="s">
        <v>256</v>
      </c>
      <c r="L784" t="s">
        <v>9</v>
      </c>
      <c r="M784" t="s">
        <v>34</v>
      </c>
      <c r="N784">
        <f t="shared" si="42"/>
        <v>11.295193767554743</v>
      </c>
      <c r="O784" t="str">
        <f t="shared" si="43"/>
        <v/>
      </c>
      <c r="P784" s="67" cm="1">
        <f t="array" ref="P784">SUMPRODUCT((H784=$H$7:$H$10000)*(N784&lt;$N$7:$N$10000))+1</f>
        <v>18</v>
      </c>
      <c r="Q784" s="72"/>
      <c r="R784">
        <v>12</v>
      </c>
      <c r="S784" t="str">
        <v>CHI</v>
      </c>
      <c r="T784" t="str">
        <v>Ben Pollack</v>
      </c>
      <c r="U784" t="str">
        <v>NULL</v>
      </c>
      <c r="V784" t="str">
        <v>Home</v>
      </c>
      <c r="W784" t="str">
        <v>MIA</v>
      </c>
      <c r="X784">
        <v>11.629087370549097</v>
      </c>
    </row>
    <row r="785" spans="8:24" x14ac:dyDescent="0.35">
      <c r="H785" s="66">
        <v>10</v>
      </c>
      <c r="I785" t="s">
        <v>34</v>
      </c>
      <c r="J785" t="s">
        <v>496</v>
      </c>
      <c r="K785" t="s">
        <v>256</v>
      </c>
      <c r="L785" t="s">
        <v>3</v>
      </c>
      <c r="M785" t="s">
        <v>13</v>
      </c>
      <c r="N785">
        <f t="shared" si="42"/>
        <v>11.270053766988989</v>
      </c>
      <c r="O785" t="str">
        <f t="shared" si="43"/>
        <v/>
      </c>
      <c r="P785" s="67" cm="1">
        <f t="array" ref="P785">SUMPRODUCT((H785=$H$7:$H$10000)*(N785&lt;$N$7:$N$10000))+1</f>
        <v>19</v>
      </c>
      <c r="Q785" s="72"/>
      <c r="R785">
        <v>12</v>
      </c>
      <c r="S785" t="str">
        <v>HOU</v>
      </c>
      <c r="T785" t="str">
        <v>Dom Akina</v>
      </c>
      <c r="U785" t="str">
        <v>NULL</v>
      </c>
      <c r="V785" t="str">
        <v>Away</v>
      </c>
      <c r="W785" t="str">
        <v>NEFJ</v>
      </c>
      <c r="X785">
        <v>11.32864813976175</v>
      </c>
    </row>
    <row r="786" spans="8:24" x14ac:dyDescent="0.35">
      <c r="H786" s="66">
        <v>10</v>
      </c>
      <c r="I786" t="s">
        <v>2</v>
      </c>
      <c r="J786" t="s">
        <v>495</v>
      </c>
      <c r="K786" t="s">
        <v>256</v>
      </c>
      <c r="L786" t="s">
        <v>9</v>
      </c>
      <c r="M786" t="s">
        <v>17</v>
      </c>
      <c r="N786">
        <f t="shared" si="42"/>
        <v>11.260543626176393</v>
      </c>
      <c r="O786" t="str">
        <f t="shared" si="43"/>
        <v/>
      </c>
      <c r="P786" s="67" cm="1">
        <f t="array" ref="P786">SUMPRODUCT((H786=$H$7:$H$10000)*(N786&lt;$N$7:$N$10000))+1</f>
        <v>20</v>
      </c>
      <c r="Q786" s="72"/>
      <c r="R786">
        <v>12</v>
      </c>
      <c r="S786" t="str">
        <v>OGDC</v>
      </c>
      <c r="T786" t="str">
        <v>Steffan Hughes</v>
      </c>
      <c r="U786" t="str">
        <v>NULL</v>
      </c>
      <c r="V786" t="str">
        <v>Home</v>
      </c>
      <c r="W786" t="str">
        <v>UTAH</v>
      </c>
      <c r="X786">
        <v>11.164965596340126</v>
      </c>
    </row>
    <row r="787" spans="8:24" x14ac:dyDescent="0.35">
      <c r="H787" s="66">
        <v>10</v>
      </c>
      <c r="I787" t="s">
        <v>14</v>
      </c>
      <c r="J787" t="s">
        <v>438</v>
      </c>
      <c r="K787" t="s">
        <v>256</v>
      </c>
      <c r="L787" t="s">
        <v>3</v>
      </c>
      <c r="M787" t="s">
        <v>23</v>
      </c>
      <c r="N787">
        <f t="shared" si="42"/>
        <v>10.689770555501442</v>
      </c>
      <c r="O787" t="str">
        <f t="shared" si="43"/>
        <v/>
      </c>
      <c r="P787" s="67" cm="1">
        <f t="array" ref="P787">SUMPRODUCT((H787=$H$7:$H$10000)*(N787&lt;$N$7:$N$10000))+1</f>
        <v>21</v>
      </c>
      <c r="Q787" s="72"/>
      <c r="R787">
        <v>12</v>
      </c>
      <c r="S787" t="str">
        <v>SEA</v>
      </c>
      <c r="T787" t="str">
        <v>JP Smith</v>
      </c>
      <c r="U787" t="str">
        <v>NULL</v>
      </c>
      <c r="V787" t="str">
        <v>Home</v>
      </c>
      <c r="W787" t="str">
        <v>LA</v>
      </c>
      <c r="X787">
        <v>11.019121746337733</v>
      </c>
    </row>
    <row r="788" spans="8:24" x14ac:dyDescent="0.35">
      <c r="H788" s="66">
        <v>10</v>
      </c>
      <c r="I788" t="s">
        <v>17</v>
      </c>
      <c r="J788" t="s">
        <v>196</v>
      </c>
      <c r="K788" t="s">
        <v>256</v>
      </c>
      <c r="L788" t="s">
        <v>3</v>
      </c>
      <c r="M788" t="s">
        <v>2</v>
      </c>
      <c r="N788">
        <f t="shared" si="42"/>
        <v>10.651319720253362</v>
      </c>
      <c r="O788" t="str">
        <f t="shared" si="43"/>
        <v/>
      </c>
      <c r="P788" s="67" cm="1">
        <f t="array" ref="P788">SUMPRODUCT((H788=$H$7:$H$10000)*(N788&lt;$N$7:$N$10000))+1</f>
        <v>22</v>
      </c>
      <c r="Q788" s="72"/>
      <c r="R788">
        <v>12</v>
      </c>
      <c r="S788" t="str">
        <v>CHI</v>
      </c>
      <c r="T788" t="str">
        <v>Bryce Campbell</v>
      </c>
      <c r="U788" t="str">
        <v>NULL</v>
      </c>
      <c r="V788" t="str">
        <v>Home</v>
      </c>
      <c r="W788" t="str">
        <v>MIA</v>
      </c>
      <c r="X788">
        <v>10.998200983297414</v>
      </c>
    </row>
    <row r="789" spans="8:24" x14ac:dyDescent="0.35">
      <c r="H789" s="66">
        <v>10</v>
      </c>
      <c r="I789" t="s">
        <v>23</v>
      </c>
      <c r="J789" t="s">
        <v>46</v>
      </c>
      <c r="K789" t="s">
        <v>256</v>
      </c>
      <c r="L789" t="s">
        <v>9</v>
      </c>
      <c r="M789" t="s">
        <v>14</v>
      </c>
      <c r="N789">
        <f t="shared" si="42"/>
        <v>10.465783906684885</v>
      </c>
      <c r="O789" t="str">
        <f t="shared" si="43"/>
        <v/>
      </c>
      <c r="P789" s="67" cm="1">
        <f t="array" ref="P789">SUMPRODUCT((H789=$H$7:$H$10000)*(N789&lt;$N$7:$N$10000))+1</f>
        <v>23</v>
      </c>
      <c r="Q789" s="72"/>
      <c r="R789">
        <v>12</v>
      </c>
      <c r="S789" t="str">
        <v>LA</v>
      </c>
      <c r="T789" t="str">
        <v>Gonzalo Bertranou</v>
      </c>
      <c r="U789" t="str">
        <v>NULL</v>
      </c>
      <c r="V789" t="str">
        <v>Away</v>
      </c>
      <c r="W789" t="str">
        <v>SEA</v>
      </c>
      <c r="X789">
        <v>10.955630730968158</v>
      </c>
    </row>
    <row r="790" spans="8:24" x14ac:dyDescent="0.35">
      <c r="H790" s="66">
        <v>10</v>
      </c>
      <c r="I790" t="s">
        <v>23</v>
      </c>
      <c r="J790" t="s">
        <v>32</v>
      </c>
      <c r="K790" t="s">
        <v>256</v>
      </c>
      <c r="L790" t="s">
        <v>9</v>
      </c>
      <c r="M790" t="s">
        <v>14</v>
      </c>
      <c r="N790">
        <f t="shared" si="42"/>
        <v>10.285579945351014</v>
      </c>
      <c r="O790" t="str">
        <f t="shared" si="43"/>
        <v/>
      </c>
      <c r="P790" s="67" cm="1">
        <f t="array" ref="P790">SUMPRODUCT((H790=$H$7:$H$10000)*(N790&lt;$N$7:$N$10000))+1</f>
        <v>24</v>
      </c>
      <c r="Q790" s="72"/>
      <c r="R790">
        <v>12</v>
      </c>
      <c r="S790" t="str">
        <v>SDL</v>
      </c>
      <c r="T790" t="str">
        <v>Tomas Aoake</v>
      </c>
      <c r="U790" t="str">
        <v>NULL</v>
      </c>
      <c r="V790" t="str">
        <v>Home</v>
      </c>
      <c r="W790" t="str">
        <v>NOLA</v>
      </c>
      <c r="X790">
        <v>10.912476449161357</v>
      </c>
    </row>
    <row r="791" spans="8:24" x14ac:dyDescent="0.35">
      <c r="H791" s="66">
        <v>10</v>
      </c>
      <c r="I791" t="s">
        <v>23</v>
      </c>
      <c r="J791" t="s">
        <v>91</v>
      </c>
      <c r="K791" t="s">
        <v>256</v>
      </c>
      <c r="L791" t="s">
        <v>9</v>
      </c>
      <c r="M791" t="s">
        <v>14</v>
      </c>
      <c r="N791">
        <f t="shared" si="42"/>
        <v>10.243777754645087</v>
      </c>
      <c r="O791" t="str">
        <f t="shared" si="43"/>
        <v/>
      </c>
      <c r="P791" s="67" cm="1">
        <f t="array" ref="P791">SUMPRODUCT((H791=$H$7:$H$10000)*(N791&lt;$N$7:$N$10000))+1</f>
        <v>25</v>
      </c>
      <c r="Q791" s="72"/>
      <c r="R791">
        <v>12</v>
      </c>
      <c r="S791" t="str">
        <v>HOU</v>
      </c>
      <c r="T791" t="str">
        <v>Davy Coetzer</v>
      </c>
      <c r="U791" t="str">
        <v>NULL</v>
      </c>
      <c r="V791" t="str">
        <v>Away</v>
      </c>
      <c r="W791" t="str">
        <v>NEFJ</v>
      </c>
      <c r="X791">
        <v>10.749088747646912</v>
      </c>
    </row>
    <row r="792" spans="8:24" x14ac:dyDescent="0.35">
      <c r="H792" s="66">
        <v>10</v>
      </c>
      <c r="I792" t="s">
        <v>17</v>
      </c>
      <c r="J792" t="s">
        <v>497</v>
      </c>
      <c r="K792" t="s">
        <v>256</v>
      </c>
      <c r="L792" t="s">
        <v>3</v>
      </c>
      <c r="M792" t="s">
        <v>2</v>
      </c>
      <c r="N792">
        <f t="shared" si="42"/>
        <v>10.201901968304362</v>
      </c>
      <c r="O792" t="str">
        <f t="shared" si="43"/>
        <v/>
      </c>
      <c r="P792" s="67" cm="1">
        <f t="array" ref="P792">SUMPRODUCT((H792=$H$7:$H$10000)*(N792&lt;$N$7:$N$10000))+1</f>
        <v>26</v>
      </c>
      <c r="Q792" s="72"/>
      <c r="R792">
        <v>12</v>
      </c>
      <c r="S792" t="str">
        <v>HOU</v>
      </c>
      <c r="T792" t="str">
        <v>Jeremy Misailegalu</v>
      </c>
      <c r="U792" t="str">
        <v>NULL</v>
      </c>
      <c r="V792" t="str">
        <v>Away</v>
      </c>
      <c r="W792" t="str">
        <v>NEFJ</v>
      </c>
      <c r="X792">
        <v>10.742702230426959</v>
      </c>
    </row>
    <row r="793" spans="8:24" x14ac:dyDescent="0.35">
      <c r="H793" s="66">
        <v>10</v>
      </c>
      <c r="I793" t="s">
        <v>34</v>
      </c>
      <c r="J793" t="s">
        <v>440</v>
      </c>
      <c r="K793" t="s">
        <v>256</v>
      </c>
      <c r="L793" t="s">
        <v>3</v>
      </c>
      <c r="M793" t="s">
        <v>13</v>
      </c>
      <c r="N793">
        <f t="shared" si="42"/>
        <v>10.152123875822058</v>
      </c>
      <c r="O793" t="str">
        <f t="shared" si="43"/>
        <v/>
      </c>
      <c r="P793" s="67" cm="1">
        <f t="array" ref="P793">SUMPRODUCT((H793=$H$7:$H$10000)*(N793&lt;$N$7:$N$10000))+1</f>
        <v>27</v>
      </c>
      <c r="Q793" s="72"/>
      <c r="R793">
        <v>12</v>
      </c>
      <c r="S793" t="str">
        <v>LA</v>
      </c>
      <c r="T793" t="str">
        <v>Jack Shaw</v>
      </c>
      <c r="U793" t="str">
        <v>NULL</v>
      </c>
      <c r="V793" t="str">
        <v>Away</v>
      </c>
      <c r="W793" t="str">
        <v>SEA</v>
      </c>
      <c r="X793">
        <v>10.700516518823624</v>
      </c>
    </row>
    <row r="794" spans="8:24" x14ac:dyDescent="0.35">
      <c r="H794" s="66">
        <v>10</v>
      </c>
      <c r="I794" t="s">
        <v>17</v>
      </c>
      <c r="J794" t="s">
        <v>37</v>
      </c>
      <c r="K794" t="s">
        <v>256</v>
      </c>
      <c r="L794" t="s">
        <v>3</v>
      </c>
      <c r="M794" t="s">
        <v>2</v>
      </c>
      <c r="N794">
        <f t="shared" si="42"/>
        <v>10.083801791644769</v>
      </c>
      <c r="O794" t="str">
        <f t="shared" si="43"/>
        <v/>
      </c>
      <c r="P794" s="67" cm="1">
        <f t="array" ref="P794">SUMPRODUCT((H794=$H$7:$H$10000)*(N794&lt;$N$7:$N$10000))+1</f>
        <v>28</v>
      </c>
      <c r="Q794" s="72"/>
      <c r="R794">
        <v>12</v>
      </c>
      <c r="S794" t="str">
        <v>MIA</v>
      </c>
      <c r="T794" t="str">
        <v>Marcos Young</v>
      </c>
      <c r="U794" t="str">
        <v>NULL</v>
      </c>
      <c r="V794" t="str">
        <v>Away</v>
      </c>
      <c r="W794" t="str">
        <v>CHI</v>
      </c>
      <c r="X794">
        <v>10.337587170034837</v>
      </c>
    </row>
    <row r="795" spans="8:24" x14ac:dyDescent="0.35">
      <c r="H795" s="66">
        <v>10</v>
      </c>
      <c r="I795" t="s">
        <v>34</v>
      </c>
      <c r="J795" t="s">
        <v>39</v>
      </c>
      <c r="K795" t="s">
        <v>256</v>
      </c>
      <c r="L795" t="s">
        <v>3</v>
      </c>
      <c r="M795" t="s">
        <v>13</v>
      </c>
      <c r="N795">
        <f t="shared" si="42"/>
        <v>10.057052607124017</v>
      </c>
      <c r="O795" t="str">
        <f t="shared" si="43"/>
        <v/>
      </c>
      <c r="P795" s="67" cm="1">
        <f t="array" ref="P795">SUMPRODUCT((H795=$H$7:$H$10000)*(N795&lt;$N$7:$N$10000))+1</f>
        <v>29</v>
      </c>
      <c r="Q795" s="72"/>
      <c r="R795">
        <v>12</v>
      </c>
      <c r="S795" t="str">
        <v>NOLA</v>
      </c>
      <c r="T795" t="str">
        <v>Cooper Coats</v>
      </c>
      <c r="U795" t="str">
        <v>NULL</v>
      </c>
      <c r="V795" t="str">
        <v>Away</v>
      </c>
      <c r="W795" t="str">
        <v>SDL</v>
      </c>
      <c r="X795">
        <v>10.311631301465853</v>
      </c>
    </row>
    <row r="796" spans="8:24" x14ac:dyDescent="0.35">
      <c r="H796" s="66">
        <v>10</v>
      </c>
      <c r="I796" t="s">
        <v>36</v>
      </c>
      <c r="J796" t="s">
        <v>38</v>
      </c>
      <c r="K796" t="s">
        <v>256</v>
      </c>
      <c r="L796" t="s">
        <v>3</v>
      </c>
      <c r="M796" t="s">
        <v>4</v>
      </c>
      <c r="N796">
        <f t="shared" si="42"/>
        <v>9.7388655897026357</v>
      </c>
      <c r="O796" t="str">
        <f t="shared" si="43"/>
        <v/>
      </c>
      <c r="P796" s="67" cm="1">
        <f t="array" ref="P796">SUMPRODUCT((H796=$H$7:$H$10000)*(N796&lt;$N$7:$N$10000))+1</f>
        <v>30</v>
      </c>
      <c r="Q796" s="72"/>
      <c r="R796">
        <v>12</v>
      </c>
      <c r="S796" t="str">
        <v>MIA</v>
      </c>
      <c r="T796" t="str">
        <v>Martin Elias</v>
      </c>
      <c r="U796" t="str">
        <v>NULL</v>
      </c>
      <c r="V796" t="str">
        <v>Away</v>
      </c>
      <c r="W796" t="str">
        <v>CHI</v>
      </c>
      <c r="X796">
        <v>10.306523302432341</v>
      </c>
    </row>
    <row r="797" spans="8:24" x14ac:dyDescent="0.35">
      <c r="H797" s="66">
        <v>10</v>
      </c>
      <c r="I797" t="s">
        <v>24</v>
      </c>
      <c r="J797" t="s">
        <v>446</v>
      </c>
      <c r="K797" t="s">
        <v>256</v>
      </c>
      <c r="L797" t="s">
        <v>9</v>
      </c>
      <c r="M797" t="s">
        <v>7</v>
      </c>
      <c r="N797">
        <f t="shared" si="42"/>
        <v>9.3439298298337832</v>
      </c>
      <c r="O797" t="str">
        <f t="shared" si="43"/>
        <v/>
      </c>
      <c r="P797" s="67" cm="1">
        <f t="array" ref="P797">SUMPRODUCT((H797=$H$7:$H$10000)*(N797&lt;$N$7:$N$10000))+1</f>
        <v>31</v>
      </c>
      <c r="Q797" s="72"/>
      <c r="R797">
        <v>12</v>
      </c>
      <c r="S797" t="str">
        <v>LA</v>
      </c>
      <c r="T797" t="str">
        <v>Seth Purdey</v>
      </c>
      <c r="U797" t="str">
        <v>NULL</v>
      </c>
      <c r="V797" t="str">
        <v>Away</v>
      </c>
      <c r="W797" t="str">
        <v>SEA</v>
      </c>
      <c r="X797">
        <v>10.207426223239398</v>
      </c>
    </row>
    <row r="798" spans="8:24" x14ac:dyDescent="0.35">
      <c r="H798" s="66">
        <v>10</v>
      </c>
      <c r="I798" t="s">
        <v>36</v>
      </c>
      <c r="J798" t="s">
        <v>71</v>
      </c>
      <c r="K798" t="s">
        <v>256</v>
      </c>
      <c r="L798" t="s">
        <v>3</v>
      </c>
      <c r="M798" t="s">
        <v>4</v>
      </c>
      <c r="N798">
        <f t="shared" si="42"/>
        <v>9.1593061975877976</v>
      </c>
      <c r="O798" t="str">
        <f t="shared" si="43"/>
        <v/>
      </c>
      <c r="P798" s="67" cm="1">
        <f t="array" ref="P798">SUMPRODUCT((H798=$H$7:$H$10000)*(N798&lt;$N$7:$N$10000))+1</f>
        <v>32</v>
      </c>
      <c r="Q798" s="72"/>
      <c r="R798">
        <v>12</v>
      </c>
      <c r="S798" t="str">
        <v>MIA</v>
      </c>
      <c r="T798" t="str">
        <v>Tomas Malanos</v>
      </c>
      <c r="U798" t="str">
        <v>NULL</v>
      </c>
      <c r="V798" t="str">
        <v>Away</v>
      </c>
      <c r="W798" t="str">
        <v>CHI</v>
      </c>
      <c r="X798">
        <v>10.15609890804572</v>
      </c>
    </row>
    <row r="799" spans="8:24" x14ac:dyDescent="0.35">
      <c r="H799" s="66">
        <v>10</v>
      </c>
      <c r="I799" t="s">
        <v>36</v>
      </c>
      <c r="J799" t="s">
        <v>78</v>
      </c>
      <c r="K799" t="s">
        <v>256</v>
      </c>
      <c r="L799" t="s">
        <v>3</v>
      </c>
      <c r="M799" t="s">
        <v>4</v>
      </c>
      <c r="N799">
        <f t="shared" si="42"/>
        <v>9.1529196803678445</v>
      </c>
      <c r="O799" t="str">
        <f t="shared" si="43"/>
        <v/>
      </c>
      <c r="P799" s="67" cm="1">
        <f t="array" ref="P799">SUMPRODUCT((H799=$H$7:$H$10000)*(N799&lt;$N$7:$N$10000))+1</f>
        <v>33</v>
      </c>
      <c r="Q799" s="72"/>
      <c r="R799">
        <v>12</v>
      </c>
      <c r="S799" t="str">
        <v>OGDC</v>
      </c>
      <c r="T799" t="str">
        <v>Jason Robertson</v>
      </c>
      <c r="U799" t="str">
        <v>NULL</v>
      </c>
      <c r="V799" t="str">
        <v>Home</v>
      </c>
      <c r="W799" t="str">
        <v>UTAH</v>
      </c>
      <c r="X799">
        <v>10.144432356685398</v>
      </c>
    </row>
    <row r="800" spans="8:24" x14ac:dyDescent="0.35">
      <c r="H800" s="66">
        <v>10</v>
      </c>
      <c r="I800" t="s">
        <v>2</v>
      </c>
      <c r="J800" t="s">
        <v>449</v>
      </c>
      <c r="K800" t="s">
        <v>256</v>
      </c>
      <c r="L800" t="s">
        <v>9</v>
      </c>
      <c r="M800" t="s">
        <v>17</v>
      </c>
      <c r="N800">
        <f t="shared" si="42"/>
        <v>9.1516461178348933</v>
      </c>
      <c r="O800" t="str">
        <f t="shared" si="43"/>
        <v/>
      </c>
      <c r="P800" s="67" cm="1">
        <f t="array" ref="P800">SUMPRODUCT((H800=$H$7:$H$10000)*(N800&lt;$N$7:$N$10000))+1</f>
        <v>34</v>
      </c>
      <c r="Q800" s="72"/>
      <c r="R800">
        <v>12</v>
      </c>
      <c r="S800" t="str">
        <v>CHI</v>
      </c>
      <c r="T800" t="str">
        <v>Mitch Short</v>
      </c>
      <c r="U800" t="str">
        <v>NULL</v>
      </c>
      <c r="V800" t="str">
        <v>Home</v>
      </c>
      <c r="W800" t="str">
        <v>MIA</v>
      </c>
      <c r="X800">
        <v>10.131509267956034</v>
      </c>
    </row>
    <row r="801" spans="8:24" x14ac:dyDescent="0.35">
      <c r="H801" s="66">
        <v>10</v>
      </c>
      <c r="I801" t="s">
        <v>17</v>
      </c>
      <c r="J801" t="s">
        <v>450</v>
      </c>
      <c r="K801" t="s">
        <v>256</v>
      </c>
      <c r="L801" t="s">
        <v>3</v>
      </c>
      <c r="M801" t="s">
        <v>2</v>
      </c>
      <c r="N801">
        <f t="shared" si="42"/>
        <v>9.0820363762755427</v>
      </c>
      <c r="O801" t="str">
        <f t="shared" si="43"/>
        <v/>
      </c>
      <c r="P801" s="67" cm="1">
        <f t="array" ref="P801">SUMPRODUCT((H801=$H$7:$H$10000)*(N801&lt;$N$7:$N$10000))+1</f>
        <v>35</v>
      </c>
      <c r="Q801" s="72"/>
      <c r="R801">
        <v>12</v>
      </c>
      <c r="S801" t="str">
        <v>MIA</v>
      </c>
      <c r="T801" t="str">
        <v>Tomás Inciarte</v>
      </c>
      <c r="U801" t="str">
        <v>NULL</v>
      </c>
      <c r="V801" t="str">
        <v>Away</v>
      </c>
      <c r="W801" t="str">
        <v>CHI</v>
      </c>
      <c r="X801">
        <v>9.9870760608110345</v>
      </c>
    </row>
    <row r="802" spans="8:24" x14ac:dyDescent="0.35">
      <c r="H802" s="66">
        <v>10</v>
      </c>
      <c r="I802" t="s">
        <v>13</v>
      </c>
      <c r="J802" t="s">
        <v>477</v>
      </c>
      <c r="K802" t="s">
        <v>256</v>
      </c>
      <c r="L802" t="s">
        <v>9</v>
      </c>
      <c r="M802" t="s">
        <v>34</v>
      </c>
      <c r="N802">
        <f t="shared" si="42"/>
        <v>8.792699627424307</v>
      </c>
      <c r="O802" t="str">
        <f t="shared" si="43"/>
        <v/>
      </c>
      <c r="P802" s="67" cm="1">
        <f t="array" ref="P802">SUMPRODUCT((H802=$H$7:$H$10000)*(N802&lt;$N$7:$N$10000))+1</f>
        <v>36</v>
      </c>
      <c r="Q802" s="72"/>
      <c r="R802">
        <v>12</v>
      </c>
      <c r="S802" t="str">
        <v>LA</v>
      </c>
      <c r="T802" t="str">
        <v>Cameron Gerlach</v>
      </c>
      <c r="U802" t="str">
        <v>NULL</v>
      </c>
      <c r="V802" t="str">
        <v>Away</v>
      </c>
      <c r="W802" t="str">
        <v>SEA</v>
      </c>
      <c r="X802">
        <v>9.9087605555896534</v>
      </c>
    </row>
    <row r="803" spans="8:24" x14ac:dyDescent="0.35">
      <c r="H803" s="66">
        <v>10</v>
      </c>
      <c r="I803" t="s">
        <v>34</v>
      </c>
      <c r="J803" t="s">
        <v>51</v>
      </c>
      <c r="K803" t="s">
        <v>256</v>
      </c>
      <c r="L803" t="s">
        <v>3</v>
      </c>
      <c r="M803" t="s">
        <v>13</v>
      </c>
      <c r="N803">
        <f t="shared" si="42"/>
        <v>8.7038702938425683</v>
      </c>
      <c r="O803" t="str">
        <f t="shared" si="43"/>
        <v/>
      </c>
      <c r="P803" s="67" cm="1">
        <f t="array" ref="P803">SUMPRODUCT((H803=$H$7:$H$10000)*(N803&lt;$N$7:$N$10000))+1</f>
        <v>37</v>
      </c>
      <c r="Q803" s="72"/>
      <c r="R803">
        <v>12</v>
      </c>
      <c r="S803" t="str">
        <v>MIA</v>
      </c>
      <c r="T803" t="str">
        <v>Tomás Cubelli</v>
      </c>
      <c r="U803" t="str">
        <v>NULL</v>
      </c>
      <c r="V803" t="str">
        <v>Away</v>
      </c>
      <c r="W803" t="str">
        <v>CHI</v>
      </c>
      <c r="X803">
        <v>9.8163874223230376</v>
      </c>
    </row>
    <row r="804" spans="8:24" x14ac:dyDescent="0.35">
      <c r="H804" s="66">
        <v>10</v>
      </c>
      <c r="I804" t="s">
        <v>2</v>
      </c>
      <c r="J804" t="s">
        <v>63</v>
      </c>
      <c r="K804" t="s">
        <v>256</v>
      </c>
      <c r="L804" t="s">
        <v>9</v>
      </c>
      <c r="M804" t="s">
        <v>17</v>
      </c>
      <c r="N804">
        <f t="shared" si="42"/>
        <v>8.2603770820379765</v>
      </c>
      <c r="O804" t="str">
        <f t="shared" si="43"/>
        <v/>
      </c>
      <c r="P804" s="67" cm="1">
        <f t="array" ref="P804">SUMPRODUCT((H804=$H$7:$H$10000)*(N804&lt;$N$7:$N$10000))+1</f>
        <v>38</v>
      </c>
      <c r="Q804" s="72"/>
      <c r="R804">
        <v>12</v>
      </c>
      <c r="S804" t="str">
        <v>NOLA</v>
      </c>
      <c r="T804" t="str">
        <v>Julian Roberts</v>
      </c>
      <c r="U804" t="str">
        <v>NULL</v>
      </c>
      <c r="V804" t="str">
        <v>Away</v>
      </c>
      <c r="W804" t="str">
        <v>SDL</v>
      </c>
      <c r="X804">
        <v>9.6659867932003429</v>
      </c>
    </row>
    <row r="805" spans="8:24" x14ac:dyDescent="0.35">
      <c r="H805" s="66">
        <v>10</v>
      </c>
      <c r="I805" t="s">
        <v>17</v>
      </c>
      <c r="J805" t="s">
        <v>81</v>
      </c>
      <c r="K805" t="s">
        <v>256</v>
      </c>
      <c r="L805" t="s">
        <v>3</v>
      </c>
      <c r="M805" t="s">
        <v>2</v>
      </c>
      <c r="N805">
        <f t="shared" si="42"/>
        <v>8.0639664761507444</v>
      </c>
      <c r="O805" t="str">
        <f t="shared" si="43"/>
        <v/>
      </c>
      <c r="P805" s="67" cm="1">
        <f t="array" ref="P805">SUMPRODUCT((H805=$H$7:$H$10000)*(N805&lt;$N$7:$N$10000))+1</f>
        <v>39</v>
      </c>
      <c r="Q805" s="72"/>
      <c r="R805">
        <v>12</v>
      </c>
      <c r="S805" t="str">
        <v>SEA</v>
      </c>
      <c r="T805" t="str">
        <v>Lauina Futi</v>
      </c>
      <c r="U805" t="str">
        <v>NULL</v>
      </c>
      <c r="V805" t="str">
        <v>Home</v>
      </c>
      <c r="W805" t="str">
        <v>LA</v>
      </c>
      <c r="X805">
        <v>9.6242459030220502</v>
      </c>
    </row>
    <row r="806" spans="8:24" x14ac:dyDescent="0.35">
      <c r="H806" s="66">
        <v>10</v>
      </c>
      <c r="I806" t="s">
        <v>4</v>
      </c>
      <c r="J806" t="s">
        <v>457</v>
      </c>
      <c r="K806" t="s">
        <v>256</v>
      </c>
      <c r="L806" t="s">
        <v>9</v>
      </c>
      <c r="M806" t="s">
        <v>36</v>
      </c>
      <c r="N806">
        <f t="shared" si="42"/>
        <v>8.0122056930150691</v>
      </c>
      <c r="O806" t="str">
        <f t="shared" si="43"/>
        <v/>
      </c>
      <c r="P806" s="67" cm="1">
        <f t="array" ref="P806">SUMPRODUCT((H806=$H$7:$H$10000)*(N806&lt;$N$7:$N$10000))+1</f>
        <v>40</v>
      </c>
      <c r="Q806" s="72"/>
      <c r="R806">
        <v>12</v>
      </c>
      <c r="S806" t="str">
        <v>SDL</v>
      </c>
      <c r="T806" t="str">
        <v>Tavite Lopeti</v>
      </c>
      <c r="U806" t="str">
        <v>NULL</v>
      </c>
      <c r="V806" t="str">
        <v>Home</v>
      </c>
      <c r="W806" t="str">
        <v>NOLA</v>
      </c>
      <c r="X806">
        <v>9.5841458456536106</v>
      </c>
    </row>
    <row r="807" spans="8:24" x14ac:dyDescent="0.35">
      <c r="H807" s="66">
        <v>10</v>
      </c>
      <c r="I807" t="s">
        <v>4</v>
      </c>
      <c r="J807" t="s">
        <v>286</v>
      </c>
      <c r="K807" t="s">
        <v>256</v>
      </c>
      <c r="L807" t="s">
        <v>9</v>
      </c>
      <c r="M807" t="s">
        <v>36</v>
      </c>
      <c r="N807">
        <f t="shared" si="42"/>
        <v>7.3665611847495578</v>
      </c>
      <c r="O807" t="str">
        <f t="shared" si="43"/>
        <v/>
      </c>
      <c r="P807" s="67" cm="1">
        <f t="array" ref="P807">SUMPRODUCT((H807=$H$7:$H$10000)*(N807&lt;$N$7:$N$10000))+1</f>
        <v>41</v>
      </c>
      <c r="Q807" s="72"/>
      <c r="R807">
        <v>12</v>
      </c>
      <c r="S807" t="str">
        <v>SDL</v>
      </c>
      <c r="T807" t="str">
        <v>Lincoln McClutchie</v>
      </c>
      <c r="U807" t="str">
        <v>NULL</v>
      </c>
      <c r="V807" t="str">
        <v>Home</v>
      </c>
      <c r="W807" t="str">
        <v>NOLA</v>
      </c>
      <c r="X807">
        <v>9.4253675845146372</v>
      </c>
    </row>
    <row r="808" spans="8:24" x14ac:dyDescent="0.35">
      <c r="H808" s="66">
        <v>10</v>
      </c>
      <c r="I808" t="s">
        <v>24</v>
      </c>
      <c r="J808" t="s">
        <v>84</v>
      </c>
      <c r="K808" t="s">
        <v>256</v>
      </c>
      <c r="L808" t="s">
        <v>9</v>
      </c>
      <c r="M808" t="s">
        <v>7</v>
      </c>
      <c r="N808">
        <f t="shared" si="42"/>
        <v>7.3651206648143015</v>
      </c>
      <c r="O808" t="str">
        <f t="shared" si="43"/>
        <v/>
      </c>
      <c r="P808" s="67" cm="1">
        <f t="array" ref="P808">SUMPRODUCT((H808=$H$7:$H$10000)*(N808&lt;$N$7:$N$10000))+1</f>
        <v>42</v>
      </c>
      <c r="Q808" s="72"/>
      <c r="R808">
        <v>12</v>
      </c>
      <c r="S808" t="str">
        <v>LA</v>
      </c>
      <c r="T808" t="str">
        <v>Nick Chan</v>
      </c>
      <c r="U808" t="str">
        <v>NULL</v>
      </c>
      <c r="V808" t="str">
        <v>Away</v>
      </c>
      <c r="W808" t="str">
        <v>SEA</v>
      </c>
      <c r="X808">
        <v>9.2974656026033067</v>
      </c>
    </row>
    <row r="809" spans="8:24" x14ac:dyDescent="0.35">
      <c r="H809" s="66">
        <v>10</v>
      </c>
      <c r="I809" t="s">
        <v>24</v>
      </c>
      <c r="J809" t="s">
        <v>194</v>
      </c>
      <c r="K809" t="s">
        <v>256</v>
      </c>
      <c r="L809" t="s">
        <v>9</v>
      </c>
      <c r="M809" t="s">
        <v>7</v>
      </c>
      <c r="N809">
        <f t="shared" si="42"/>
        <v>7.3340567972118036</v>
      </c>
      <c r="O809" t="str">
        <f t="shared" si="43"/>
        <v/>
      </c>
      <c r="P809" s="67" cm="1">
        <f t="array" ref="P809">SUMPRODUCT((H809=$H$7:$H$10000)*(N809&lt;$N$7:$N$10000))+1</f>
        <v>43</v>
      </c>
      <c r="Q809" s="72"/>
      <c r="R809">
        <v>12</v>
      </c>
      <c r="S809" t="str">
        <v>SDL</v>
      </c>
      <c r="T809" t="str">
        <v>James Vaifale</v>
      </c>
      <c r="U809" t="str">
        <v>NULL</v>
      </c>
      <c r="V809" t="str">
        <v>Home</v>
      </c>
      <c r="W809" t="str">
        <v>NOLA</v>
      </c>
      <c r="X809">
        <v>9.2682587271145813</v>
      </c>
    </row>
    <row r="810" spans="8:24" x14ac:dyDescent="0.35">
      <c r="H810" s="66">
        <v>10</v>
      </c>
      <c r="I810" t="s">
        <v>2</v>
      </c>
      <c r="J810" t="s">
        <v>455</v>
      </c>
      <c r="K810" t="s">
        <v>256</v>
      </c>
      <c r="L810" t="s">
        <v>9</v>
      </c>
      <c r="M810" t="s">
        <v>17</v>
      </c>
      <c r="N810">
        <f t="shared" si="42"/>
        <v>7.2329592413254105</v>
      </c>
      <c r="O810" t="str">
        <f t="shared" si="43"/>
        <v/>
      </c>
      <c r="P810" s="67" cm="1">
        <f t="array" ref="P810">SUMPRODUCT((H810=$H$7:$H$10000)*(N810&lt;$N$7:$N$10000))+1</f>
        <v>44</v>
      </c>
      <c r="Q810" s="72"/>
      <c r="R810">
        <v>12</v>
      </c>
      <c r="S810" t="str">
        <v>LA</v>
      </c>
      <c r="T810" t="str">
        <v>Andrew Coe</v>
      </c>
      <c r="U810" t="str">
        <v>NULL</v>
      </c>
      <c r="V810" t="str">
        <v>Away</v>
      </c>
      <c r="W810" t="str">
        <v>SEA</v>
      </c>
      <c r="X810">
        <v>9.256532057560106</v>
      </c>
    </row>
    <row r="811" spans="8:24" x14ac:dyDescent="0.35">
      <c r="H811" s="66">
        <v>10</v>
      </c>
      <c r="I811" t="s">
        <v>24</v>
      </c>
      <c r="J811" t="s">
        <v>101</v>
      </c>
      <c r="K811" t="s">
        <v>256</v>
      </c>
      <c r="L811" t="s">
        <v>9</v>
      </c>
      <c r="M811" t="s">
        <v>7</v>
      </c>
      <c r="N811">
        <f t="shared" si="42"/>
        <v>7.1836324028251832</v>
      </c>
      <c r="O811" t="str">
        <f t="shared" si="43"/>
        <v/>
      </c>
      <c r="P811" s="67" cm="1">
        <f t="array" ref="P811">SUMPRODUCT((H811=$H$7:$H$10000)*(N811&lt;$N$7:$N$10000))+1</f>
        <v>45</v>
      </c>
      <c r="Q811" s="72"/>
      <c r="R811">
        <v>12</v>
      </c>
      <c r="S811" t="str">
        <v>NOLA</v>
      </c>
      <c r="T811" t="str">
        <v>Xavier Mignot</v>
      </c>
      <c r="U811" t="str">
        <v>NULL</v>
      </c>
      <c r="V811" t="str">
        <v>Away</v>
      </c>
      <c r="W811" t="str">
        <v>SDL</v>
      </c>
      <c r="X811">
        <v>9.2229435831954998</v>
      </c>
    </row>
    <row r="812" spans="8:24" x14ac:dyDescent="0.35">
      <c r="H812" s="66">
        <v>10</v>
      </c>
      <c r="I812" t="s">
        <v>24</v>
      </c>
      <c r="J812" t="s">
        <v>487</v>
      </c>
      <c r="K812" t="s">
        <v>256</v>
      </c>
      <c r="L812" t="s">
        <v>9</v>
      </c>
      <c r="M812" t="s">
        <v>7</v>
      </c>
      <c r="N812">
        <f t="shared" si="42"/>
        <v>7.0146095555904981</v>
      </c>
      <c r="O812" t="str">
        <f t="shared" si="43"/>
        <v/>
      </c>
      <c r="P812" s="67" cm="1">
        <f t="array" ref="P812">SUMPRODUCT((H812=$H$7:$H$10000)*(N812&lt;$N$7:$N$10000))+1</f>
        <v>46</v>
      </c>
      <c r="Q812" s="72"/>
      <c r="R812">
        <v>12</v>
      </c>
      <c r="S812" t="str">
        <v>UTAH</v>
      </c>
      <c r="T812" t="str">
        <v>D'Angelo Leuila</v>
      </c>
      <c r="U812" t="str">
        <v>NULL</v>
      </c>
      <c r="V812" t="str">
        <v>Away</v>
      </c>
      <c r="W812" t="str">
        <v>OGDC</v>
      </c>
      <c r="X812">
        <v>9.0301082743712584</v>
      </c>
    </row>
    <row r="813" spans="8:24" x14ac:dyDescent="0.35">
      <c r="H813" s="66">
        <v>10</v>
      </c>
      <c r="I813" t="s">
        <v>4</v>
      </c>
      <c r="J813" t="s">
        <v>453</v>
      </c>
      <c r="K813" t="s">
        <v>256</v>
      </c>
      <c r="L813" t="s">
        <v>9</v>
      </c>
      <c r="M813" t="s">
        <v>36</v>
      </c>
      <c r="N813">
        <f t="shared" si="42"/>
        <v>6.9235179747447164</v>
      </c>
      <c r="O813" t="str">
        <f t="shared" si="43"/>
        <v/>
      </c>
      <c r="P813" s="67" cm="1">
        <f t="array" ref="P813">SUMPRODUCT((H813=$H$7:$H$10000)*(N813&lt;$N$7:$N$10000))+1</f>
        <v>47</v>
      </c>
      <c r="Q813" s="72"/>
      <c r="R813">
        <v>12</v>
      </c>
      <c r="S813" t="str">
        <v>MIA</v>
      </c>
      <c r="T813" t="str">
        <v>Santiago Videla</v>
      </c>
      <c r="U813" t="str">
        <v>NULL</v>
      </c>
      <c r="V813" t="str">
        <v>Away</v>
      </c>
      <c r="W813" t="str">
        <v>CHI</v>
      </c>
      <c r="X813">
        <v>9.0163741626642526</v>
      </c>
    </row>
    <row r="814" spans="8:24" x14ac:dyDescent="0.35">
      <c r="H814" s="66">
        <v>10</v>
      </c>
      <c r="I814" t="s">
        <v>24</v>
      </c>
      <c r="J814" t="s">
        <v>439</v>
      </c>
      <c r="K814" t="s">
        <v>256</v>
      </c>
      <c r="L814" t="s">
        <v>9</v>
      </c>
      <c r="M814" t="s">
        <v>7</v>
      </c>
      <c r="N814">
        <f t="shared" si="42"/>
        <v>6.8439209171025013</v>
      </c>
      <c r="O814" t="str">
        <f t="shared" si="43"/>
        <v/>
      </c>
      <c r="P814" s="67" cm="1">
        <f t="array" ref="P814">SUMPRODUCT((H814=$H$7:$H$10000)*(N814&lt;$N$7:$N$10000))+1</f>
        <v>48</v>
      </c>
      <c r="Q814" s="72"/>
      <c r="R814">
        <v>12</v>
      </c>
      <c r="S814" t="str">
        <v>NOLA</v>
      </c>
      <c r="T814" t="str">
        <v>Ed Fidow</v>
      </c>
      <c r="U814" t="str">
        <v>NULL</v>
      </c>
      <c r="V814" t="str">
        <v>Away</v>
      </c>
      <c r="W814" t="str">
        <v>SDL</v>
      </c>
      <c r="X814">
        <v>8.9505762447565562</v>
      </c>
    </row>
    <row r="815" spans="8:24" x14ac:dyDescent="0.35">
      <c r="H815" s="66">
        <v>10</v>
      </c>
      <c r="I815" t="s">
        <v>36</v>
      </c>
      <c r="J815" t="s">
        <v>491</v>
      </c>
      <c r="K815" t="s">
        <v>256</v>
      </c>
      <c r="L815" t="s">
        <v>3</v>
      </c>
      <c r="M815" t="s">
        <v>4</v>
      </c>
      <c r="N815">
        <f t="shared" si="42"/>
        <v>6.8238956033340923</v>
      </c>
      <c r="O815" t="str">
        <f t="shared" si="43"/>
        <v/>
      </c>
      <c r="P815" s="67" cm="1">
        <f t="array" ref="P815">SUMPRODUCT((H815=$H$7:$H$10000)*(N815&lt;$N$7:$N$10000))+1</f>
        <v>49</v>
      </c>
      <c r="Q815" s="72"/>
      <c r="R815">
        <v>12</v>
      </c>
      <c r="S815" t="str">
        <v>NEFJ</v>
      </c>
      <c r="T815" t="str">
        <v>Jayson Potroz</v>
      </c>
      <c r="U815" t="str">
        <v>NULL</v>
      </c>
      <c r="V815" t="str">
        <v>Home</v>
      </c>
      <c r="W815" t="str">
        <v>HOU</v>
      </c>
      <c r="X815">
        <v>8.9469788770943737</v>
      </c>
    </row>
    <row r="816" spans="8:24" x14ac:dyDescent="0.35">
      <c r="H816" s="66">
        <v>10</v>
      </c>
      <c r="I816" t="s">
        <v>7</v>
      </c>
      <c r="J816" t="s">
        <v>19</v>
      </c>
      <c r="K816" t="s">
        <v>256</v>
      </c>
      <c r="L816" t="s">
        <v>3</v>
      </c>
      <c r="M816" t="s">
        <v>24</v>
      </c>
      <c r="N816">
        <f t="shared" si="42"/>
        <v>6.7468504693794573</v>
      </c>
      <c r="O816" t="str">
        <f t="shared" si="43"/>
        <v/>
      </c>
      <c r="P816" s="67" cm="1">
        <f t="array" ref="P816">SUMPRODUCT((H816=$H$7:$H$10000)*(N816&lt;$N$7:$N$10000))+1</f>
        <v>50</v>
      </c>
      <c r="Q816" s="72"/>
      <c r="R816">
        <v>12</v>
      </c>
      <c r="S816" t="str">
        <v>HOU</v>
      </c>
      <c r="T816" t="str">
        <v>AJ Alatimu</v>
      </c>
      <c r="U816" t="str">
        <v>NULL</v>
      </c>
      <c r="V816" t="str">
        <v>Away</v>
      </c>
      <c r="W816" t="str">
        <v>NEFJ</v>
      </c>
      <c r="X816">
        <v>8.4136781533932048</v>
      </c>
    </row>
    <row r="817" spans="8:24" x14ac:dyDescent="0.35">
      <c r="H817" s="66">
        <v>10</v>
      </c>
      <c r="I817" t="s">
        <v>13</v>
      </c>
      <c r="J817" t="s">
        <v>478</v>
      </c>
      <c r="K817" t="s">
        <v>256</v>
      </c>
      <c r="L817" t="s">
        <v>9</v>
      </c>
      <c r="M817" t="s">
        <v>34</v>
      </c>
      <c r="N817">
        <f t="shared" si="42"/>
        <v>6.7088819499386005</v>
      </c>
      <c r="O817" t="str">
        <f t="shared" si="43"/>
        <v/>
      </c>
      <c r="P817" s="67" cm="1">
        <f t="array" ref="P817">SUMPRODUCT((H817=$H$7:$H$10000)*(N817&lt;$N$7:$N$10000))+1</f>
        <v>51</v>
      </c>
      <c r="Q817" s="72"/>
      <c r="R817">
        <v>12</v>
      </c>
      <c r="S817" t="str">
        <v>SEA</v>
      </c>
      <c r="T817" t="str">
        <v>Dan Kriel</v>
      </c>
      <c r="U817" t="str">
        <v>NULL</v>
      </c>
      <c r="V817" t="str">
        <v>Home</v>
      </c>
      <c r="W817" t="str">
        <v>LA</v>
      </c>
      <c r="X817">
        <v>8.2664908467785061</v>
      </c>
    </row>
    <row r="818" spans="8:24" x14ac:dyDescent="0.35">
      <c r="H818" s="66">
        <v>10</v>
      </c>
      <c r="I818" t="s">
        <v>17</v>
      </c>
      <c r="J818" t="s">
        <v>82</v>
      </c>
      <c r="K818" t="s">
        <v>256</v>
      </c>
      <c r="L818" t="s">
        <v>3</v>
      </c>
      <c r="M818" t="s">
        <v>2</v>
      </c>
      <c r="N818">
        <f t="shared" si="42"/>
        <v>6.6690906328350614</v>
      </c>
      <c r="O818" t="str">
        <f t="shared" si="43"/>
        <v/>
      </c>
      <c r="P818" s="67" cm="1">
        <f t="array" ref="P818">SUMPRODUCT((H818=$H$7:$H$10000)*(N818&lt;$N$7:$N$10000))+1</f>
        <v>52</v>
      </c>
      <c r="Q818" s="72"/>
      <c r="R818">
        <v>12</v>
      </c>
      <c r="S818" t="str">
        <v>CHI</v>
      </c>
      <c r="T818" t="str">
        <v>Noah Brown</v>
      </c>
      <c r="U818" t="str">
        <v>NULL</v>
      </c>
      <c r="V818" t="str">
        <v>Home</v>
      </c>
      <c r="W818" t="str">
        <v>MIA</v>
      </c>
      <c r="X818">
        <v>8.1996620316161071</v>
      </c>
    </row>
    <row r="819" spans="8:24" x14ac:dyDescent="0.35">
      <c r="H819" s="66">
        <v>10</v>
      </c>
      <c r="I819" t="s">
        <v>4</v>
      </c>
      <c r="J819" t="s">
        <v>74</v>
      </c>
      <c r="K819" t="s">
        <v>256</v>
      </c>
      <c r="L819" t="s">
        <v>9</v>
      </c>
      <c r="M819" t="s">
        <v>36</v>
      </c>
      <c r="N819">
        <f t="shared" si="42"/>
        <v>6.651150636305772</v>
      </c>
      <c r="O819" t="str">
        <f t="shared" si="43"/>
        <v/>
      </c>
      <c r="P819" s="67" cm="1">
        <f t="array" ref="P819">SUMPRODUCT((H819=$H$7:$H$10000)*(N819&lt;$N$7:$N$10000))+1</f>
        <v>53</v>
      </c>
      <c r="Q819" s="72"/>
      <c r="R819">
        <v>12</v>
      </c>
      <c r="S819" t="str">
        <v>SDL</v>
      </c>
      <c r="T819" t="str">
        <v>Richard Judd</v>
      </c>
      <c r="U819" t="str">
        <v>NULL</v>
      </c>
      <c r="V819" t="str">
        <v>Home</v>
      </c>
      <c r="W819" t="str">
        <v>NOLA</v>
      </c>
      <c r="X819">
        <v>8.1503288359476507</v>
      </c>
    </row>
    <row r="820" spans="8:24" x14ac:dyDescent="0.35">
      <c r="H820" s="66">
        <v>10</v>
      </c>
      <c r="I820" t="s">
        <v>14</v>
      </c>
      <c r="J820" t="s">
        <v>285</v>
      </c>
      <c r="K820" t="s">
        <v>256</v>
      </c>
      <c r="L820" t="s">
        <v>3</v>
      </c>
      <c r="M820" t="s">
        <v>23</v>
      </c>
      <c r="N820">
        <f t="shared" si="42"/>
        <v>6.6475619512247981</v>
      </c>
      <c r="O820" t="str">
        <f t="shared" si="43"/>
        <v/>
      </c>
      <c r="P820" s="67" cm="1">
        <f t="array" ref="P820">SUMPRODUCT((H820=$H$7:$H$10000)*(N820&lt;$N$7:$N$10000))+1</f>
        <v>54</v>
      </c>
      <c r="Q820" s="72"/>
      <c r="R820">
        <v>12</v>
      </c>
      <c r="S820" t="str">
        <v>NOLA</v>
      </c>
      <c r="T820" t="str">
        <v>JP Du Plessis</v>
      </c>
      <c r="U820" t="str">
        <v>NULL</v>
      </c>
      <c r="V820" t="str">
        <v>Away</v>
      </c>
      <c r="W820" t="str">
        <v>SDL</v>
      </c>
      <c r="X820">
        <v>8.1243877250767262</v>
      </c>
    </row>
    <row r="821" spans="8:24" x14ac:dyDescent="0.35">
      <c r="H821" s="66">
        <v>10</v>
      </c>
      <c r="I821" t="s">
        <v>2</v>
      </c>
      <c r="J821" t="s">
        <v>44</v>
      </c>
      <c r="K821" t="s">
        <v>256</v>
      </c>
      <c r="L821" t="s">
        <v>9</v>
      </c>
      <c r="M821" t="s">
        <v>17</v>
      </c>
      <c r="N821">
        <f t="shared" si="42"/>
        <v>6.602072854073727</v>
      </c>
      <c r="O821" t="str">
        <f t="shared" si="43"/>
        <v/>
      </c>
      <c r="P821" s="67" cm="1">
        <f t="array" ref="P821">SUMPRODUCT((H821=$H$7:$H$10000)*(N821&lt;$N$7:$N$10000))+1</f>
        <v>55</v>
      </c>
      <c r="Q821" s="72"/>
      <c r="R821">
        <v>12</v>
      </c>
      <c r="S821" t="str">
        <v>SDL</v>
      </c>
      <c r="T821" t="str">
        <v>Tiaan Loots</v>
      </c>
      <c r="U821" t="str">
        <v>NULL</v>
      </c>
      <c r="V821" t="str">
        <v>Home</v>
      </c>
      <c r="W821" t="str">
        <v>NOLA</v>
      </c>
      <c r="X821">
        <v>8.0552575672496101</v>
      </c>
    </row>
    <row r="822" spans="8:24" x14ac:dyDescent="0.35">
      <c r="H822" s="66">
        <v>10</v>
      </c>
      <c r="I822" t="s">
        <v>13</v>
      </c>
      <c r="J822" t="s">
        <v>53</v>
      </c>
      <c r="K822" t="s">
        <v>256</v>
      </c>
      <c r="L822" t="s">
        <v>9</v>
      </c>
      <c r="M822" t="s">
        <v>34</v>
      </c>
      <c r="N822">
        <f t="shared" si="42"/>
        <v>6.0556310229287718</v>
      </c>
      <c r="O822" t="str">
        <f t="shared" si="43"/>
        <v/>
      </c>
      <c r="P822" s="67" cm="1">
        <f t="array" ref="P822">SUMPRODUCT((H822=$H$7:$H$10000)*(N822&lt;$N$7:$N$10000))+1</f>
        <v>56</v>
      </c>
      <c r="Q822" s="72"/>
      <c r="R822">
        <v>12</v>
      </c>
      <c r="S822" t="str">
        <v>CHI</v>
      </c>
      <c r="T822" t="str">
        <v>Mark O'Keeffe</v>
      </c>
      <c r="U822" t="str">
        <v>NULL</v>
      </c>
      <c r="V822" t="str">
        <v>Home</v>
      </c>
      <c r="W822" t="str">
        <v>MIA</v>
      </c>
      <c r="X822">
        <v>7.9398454772767693</v>
      </c>
    </row>
    <row r="823" spans="8:24" x14ac:dyDescent="0.35">
      <c r="H823" s="66">
        <v>10</v>
      </c>
      <c r="I823" t="s">
        <v>24</v>
      </c>
      <c r="J823" t="s">
        <v>96</v>
      </c>
      <c r="K823" t="s">
        <v>256</v>
      </c>
      <c r="L823" t="s">
        <v>9</v>
      </c>
      <c r="M823" t="s">
        <v>7</v>
      </c>
      <c r="N823">
        <f t="shared" si="42"/>
        <v>6.0439076574437163</v>
      </c>
      <c r="O823" t="str">
        <f t="shared" si="43"/>
        <v/>
      </c>
      <c r="P823" s="67" cm="1">
        <f t="array" ref="P823">SUMPRODUCT((H823=$H$7:$H$10000)*(N823&lt;$N$7:$N$10000))+1</f>
        <v>57</v>
      </c>
      <c r="Q823" s="72"/>
      <c r="R823">
        <v>12</v>
      </c>
      <c r="S823" t="str">
        <v>CHI</v>
      </c>
      <c r="T823" t="str">
        <v>Tim Swiel</v>
      </c>
      <c r="U823" t="str">
        <v>NULL</v>
      </c>
      <c r="V823" t="str">
        <v>Home</v>
      </c>
      <c r="W823" t="str">
        <v>MIA</v>
      </c>
      <c r="X823">
        <v>7.9297581353651028</v>
      </c>
    </row>
    <row r="824" spans="8:24" x14ac:dyDescent="0.35">
      <c r="H824" s="66">
        <v>10</v>
      </c>
      <c r="I824" t="s">
        <v>14</v>
      </c>
      <c r="J824" t="s">
        <v>11</v>
      </c>
      <c r="K824" t="s">
        <v>256</v>
      </c>
      <c r="L824" t="s">
        <v>3</v>
      </c>
      <c r="M824" t="s">
        <v>23</v>
      </c>
      <c r="N824">
        <f t="shared" si="42"/>
        <v>5.9976051725120776</v>
      </c>
      <c r="O824" t="str">
        <f t="shared" si="43"/>
        <v/>
      </c>
      <c r="P824" s="67" cm="1">
        <f t="array" ref="P824">SUMPRODUCT((H824=$H$7:$H$10000)*(N824&lt;$N$7:$N$10000))+1</f>
        <v>58</v>
      </c>
      <c r="Q824" s="72"/>
      <c r="R824">
        <v>12</v>
      </c>
      <c r="S824" t="str">
        <v>NEFJ</v>
      </c>
      <c r="T824" t="str">
        <v>Wayne van der Bank</v>
      </c>
      <c r="U824" t="str">
        <v>NULL</v>
      </c>
      <c r="V824" t="str">
        <v>Home</v>
      </c>
      <c r="W824" t="str">
        <v>HOU</v>
      </c>
      <c r="X824">
        <v>7.7461884753127501</v>
      </c>
    </row>
    <row r="825" spans="8:24" x14ac:dyDescent="0.35">
      <c r="H825" s="66">
        <v>10</v>
      </c>
      <c r="I825" t="s">
        <v>23</v>
      </c>
      <c r="J825" t="s">
        <v>498</v>
      </c>
      <c r="K825" t="s">
        <v>256</v>
      </c>
      <c r="L825" t="s">
        <v>9</v>
      </c>
      <c r="M825" t="s">
        <v>14</v>
      </c>
      <c r="N825">
        <f t="shared" si="42"/>
        <v>5.8989268177539724</v>
      </c>
      <c r="O825" t="str">
        <f t="shared" si="43"/>
        <v/>
      </c>
      <c r="P825" s="67" cm="1">
        <f t="array" ref="P825">SUMPRODUCT((H825=$H$7:$H$10000)*(N825&lt;$N$7:$N$10000))+1</f>
        <v>59</v>
      </c>
      <c r="Q825" s="72"/>
      <c r="R825">
        <v>12</v>
      </c>
      <c r="S825" t="str">
        <v>NEFJ</v>
      </c>
      <c r="T825" t="str">
        <v>Le Roux Malan</v>
      </c>
      <c r="U825" t="str">
        <v>NULL</v>
      </c>
      <c r="V825" t="str">
        <v>Home</v>
      </c>
      <c r="W825" t="str">
        <v>HOU</v>
      </c>
      <c r="X825">
        <v>7.5659845139788793</v>
      </c>
    </row>
    <row r="826" spans="8:24" x14ac:dyDescent="0.35">
      <c r="H826" s="66">
        <v>10</v>
      </c>
      <c r="I826" t="s">
        <v>4</v>
      </c>
      <c r="J826" t="s">
        <v>1</v>
      </c>
      <c r="K826" t="s">
        <v>256</v>
      </c>
      <c r="L826" t="s">
        <v>9</v>
      </c>
      <c r="M826" t="s">
        <v>36</v>
      </c>
      <c r="N826">
        <f t="shared" si="42"/>
        <v>5.824962116625942</v>
      </c>
      <c r="O826" t="str">
        <f t="shared" si="43"/>
        <v/>
      </c>
      <c r="P826" s="67" cm="1">
        <f t="array" ref="P826">SUMPRODUCT((H826=$H$7:$H$10000)*(N826&lt;$N$7:$N$10000))+1</f>
        <v>60</v>
      </c>
      <c r="Q826" s="72"/>
      <c r="R826">
        <v>12</v>
      </c>
      <c r="S826" t="str">
        <v>NEFJ</v>
      </c>
      <c r="T826" t="str">
        <v>Paula Balekana</v>
      </c>
      <c r="U826" t="str">
        <v>NULL</v>
      </c>
      <c r="V826" t="str">
        <v>Home</v>
      </c>
      <c r="W826" t="str">
        <v>HOU</v>
      </c>
      <c r="X826">
        <v>7.5241823232729512</v>
      </c>
    </row>
    <row r="827" spans="8:24" x14ac:dyDescent="0.35">
      <c r="H827" s="66">
        <v>10</v>
      </c>
      <c r="I827" t="s">
        <v>2</v>
      </c>
      <c r="J827" t="s">
        <v>441</v>
      </c>
      <c r="K827" t="s">
        <v>256</v>
      </c>
      <c r="L827" t="s">
        <v>9</v>
      </c>
      <c r="M827" t="s">
        <v>17</v>
      </c>
      <c r="N827">
        <f t="shared" si="42"/>
        <v>5.7353811387323486</v>
      </c>
      <c r="O827" t="str">
        <f t="shared" si="43"/>
        <v/>
      </c>
      <c r="P827" s="67" cm="1">
        <f t="array" ref="P827">SUMPRODUCT((H827=$H$7:$H$10000)*(N827&lt;$N$7:$N$10000))+1</f>
        <v>61</v>
      </c>
      <c r="Q827" s="72"/>
      <c r="R827">
        <v>12</v>
      </c>
      <c r="S827" t="str">
        <v>HOU</v>
      </c>
      <c r="T827" t="str">
        <v>Rufus McLean</v>
      </c>
      <c r="U827" t="str">
        <v>NULL</v>
      </c>
      <c r="V827" t="str">
        <v>Away</v>
      </c>
      <c r="W827" t="str">
        <v>NEFJ</v>
      </c>
      <c r="X827">
        <v>6.9343357891435957</v>
      </c>
    </row>
    <row r="828" spans="8:24" x14ac:dyDescent="0.35">
      <c r="H828" s="66">
        <v>10</v>
      </c>
      <c r="I828" t="s">
        <v>36</v>
      </c>
      <c r="J828" t="s">
        <v>479</v>
      </c>
      <c r="K828" t="s">
        <v>256</v>
      </c>
      <c r="L828" t="s">
        <v>3</v>
      </c>
      <c r="M828" t="s">
        <v>4</v>
      </c>
      <c r="N828">
        <f t="shared" si="42"/>
        <v>5.3445532390844814</v>
      </c>
      <c r="O828" t="str">
        <f t="shared" si="43"/>
        <v/>
      </c>
      <c r="P828" s="67" cm="1">
        <f t="array" ref="P828">SUMPRODUCT((H828=$H$7:$H$10000)*(N828&lt;$N$7:$N$10000))+1</f>
        <v>62</v>
      </c>
      <c r="Q828" s="72"/>
      <c r="R828">
        <v>12</v>
      </c>
      <c r="S828" t="str">
        <v>HOU</v>
      </c>
      <c r="T828" t="str">
        <v>Max Schumacher</v>
      </c>
      <c r="U828" t="str">
        <v>NULL</v>
      </c>
      <c r="V828" t="str">
        <v>Away</v>
      </c>
      <c r="W828" t="str">
        <v>NEFJ</v>
      </c>
      <c r="X828">
        <v>6.7875026289806142</v>
      </c>
    </row>
    <row r="829" spans="8:24" x14ac:dyDescent="0.35">
      <c r="H829" s="66">
        <v>10</v>
      </c>
      <c r="I829" t="s">
        <v>17</v>
      </c>
      <c r="J829" t="s">
        <v>16</v>
      </c>
      <c r="K829" t="s">
        <v>256</v>
      </c>
      <c r="L829" t="s">
        <v>3</v>
      </c>
      <c r="M829" t="s">
        <v>2</v>
      </c>
      <c r="N829">
        <f t="shared" si="42"/>
        <v>5.3113355765915164</v>
      </c>
      <c r="O829" t="str">
        <f t="shared" si="43"/>
        <v/>
      </c>
      <c r="P829" s="67" cm="1">
        <f t="array" ref="P829">SUMPRODUCT((H829=$H$7:$H$10000)*(N829&lt;$N$7:$N$10000))+1</f>
        <v>63</v>
      </c>
      <c r="Q829" s="72"/>
      <c r="R829">
        <v>12</v>
      </c>
      <c r="S829" t="str">
        <v>SDL</v>
      </c>
      <c r="T829" t="str">
        <v>Marcel Brache</v>
      </c>
      <c r="U829" t="str">
        <v>NULL</v>
      </c>
      <c r="V829" t="str">
        <v>Home</v>
      </c>
      <c r="W829" t="str">
        <v>NOLA</v>
      </c>
      <c r="X829">
        <v>6.702075253968161</v>
      </c>
    </row>
    <row r="830" spans="8:24" x14ac:dyDescent="0.35">
      <c r="H830" s="66">
        <v>10</v>
      </c>
      <c r="I830" t="s">
        <v>36</v>
      </c>
      <c r="J830" t="s">
        <v>476</v>
      </c>
      <c r="K830" t="s">
        <v>256</v>
      </c>
      <c r="L830" t="s">
        <v>3</v>
      </c>
      <c r="M830" t="s">
        <v>4</v>
      </c>
      <c r="N830">
        <f t="shared" si="42"/>
        <v>5.1977200789215008</v>
      </c>
      <c r="O830" t="str">
        <f t="shared" si="43"/>
        <v/>
      </c>
      <c r="P830" s="67" cm="1">
        <f t="array" ref="P830">SUMPRODUCT((H830=$H$7:$H$10000)*(N830&lt;$N$7:$N$10000))+1</f>
        <v>64</v>
      </c>
      <c r="Q830" s="72"/>
      <c r="R830">
        <v>12</v>
      </c>
      <c r="S830" t="str">
        <v>CHI</v>
      </c>
      <c r="T830" t="str">
        <v>Julian Dominguez</v>
      </c>
      <c r="U830" t="str">
        <v>NULL</v>
      </c>
      <c r="V830" t="str">
        <v>Home</v>
      </c>
      <c r="W830" t="str">
        <v>MIA</v>
      </c>
      <c r="X830">
        <v>6.5602287475584333</v>
      </c>
    </row>
    <row r="831" spans="8:24" x14ac:dyDescent="0.35">
      <c r="H831" s="66">
        <v>10</v>
      </c>
      <c r="I831" t="s">
        <v>7</v>
      </c>
      <c r="J831" t="s">
        <v>92</v>
      </c>
      <c r="K831" t="s">
        <v>256</v>
      </c>
      <c r="L831" t="s">
        <v>3</v>
      </c>
      <c r="M831" t="s">
        <v>24</v>
      </c>
      <c r="N831">
        <f t="shared" si="42"/>
        <v>4.9628555905269831</v>
      </c>
      <c r="O831" t="str">
        <f t="shared" si="43"/>
        <v/>
      </c>
      <c r="P831" s="67" cm="1">
        <f t="array" ref="P831">SUMPRODUCT((H831=$H$7:$H$10000)*(N831&lt;$N$7:$N$10000))+1</f>
        <v>65</v>
      </c>
      <c r="Q831" s="72"/>
      <c r="R831">
        <v>12</v>
      </c>
      <c r="S831" t="str">
        <v>UTAH</v>
      </c>
      <c r="T831" t="str">
        <v>Jordan Trainor</v>
      </c>
      <c r="U831" t="str">
        <v>NULL</v>
      </c>
      <c r="V831" t="str">
        <v>Away</v>
      </c>
      <c r="W831" t="str">
        <v>OGDC</v>
      </c>
      <c r="X831">
        <v>6.5276141342408227</v>
      </c>
    </row>
    <row r="832" spans="8:24" x14ac:dyDescent="0.35">
      <c r="H832" s="66">
        <v>10</v>
      </c>
      <c r="I832" t="s">
        <v>7</v>
      </c>
      <c r="J832" t="s">
        <v>131</v>
      </c>
      <c r="K832" t="s">
        <v>256</v>
      </c>
      <c r="L832" t="s">
        <v>3</v>
      </c>
      <c r="M832" t="s">
        <v>24</v>
      </c>
      <c r="N832">
        <f t="shared" si="42"/>
        <v>4.9299978985789981</v>
      </c>
      <c r="O832" t="str">
        <f t="shared" si="43"/>
        <v/>
      </c>
      <c r="P832" s="67" cm="1">
        <f t="array" ref="P832">SUMPRODUCT((H832=$H$7:$H$10000)*(N832&lt;$N$7:$N$10000))+1</f>
        <v>66</v>
      </c>
      <c r="Q832" s="72"/>
      <c r="R832">
        <v>12</v>
      </c>
      <c r="S832" t="str">
        <v>MIA</v>
      </c>
      <c r="T832" t="str">
        <v>Matias Orlando</v>
      </c>
      <c r="U832" t="str">
        <v>NULL</v>
      </c>
      <c r="V832" t="str">
        <v>Away</v>
      </c>
      <c r="W832" t="str">
        <v>CHI</v>
      </c>
      <c r="X832">
        <v>6.124962799981021</v>
      </c>
    </row>
    <row r="833" spans="8:24" x14ac:dyDescent="0.35">
      <c r="H833" s="66">
        <v>10</v>
      </c>
      <c r="I833" t="s">
        <v>13</v>
      </c>
      <c r="J833" t="s">
        <v>474</v>
      </c>
      <c r="K833" t="s">
        <v>256</v>
      </c>
      <c r="L833" t="s">
        <v>9</v>
      </c>
      <c r="M833" t="s">
        <v>34</v>
      </c>
      <c r="N833">
        <f t="shared" si="42"/>
        <v>4.4513253228738661</v>
      </c>
      <c r="O833" t="str">
        <f t="shared" si="43"/>
        <v/>
      </c>
      <c r="P833" s="67" cm="1">
        <f t="array" ref="P833">SUMPRODUCT((H833=$H$7:$H$10000)*(N833&lt;$N$7:$N$10000))+1</f>
        <v>67</v>
      </c>
      <c r="Q833" s="72"/>
      <c r="R833">
        <v>12</v>
      </c>
      <c r="S833" t="str">
        <v>SEA</v>
      </c>
      <c r="T833" t="str">
        <v>Jade Stighling</v>
      </c>
      <c r="U833" t="str">
        <v>NULL</v>
      </c>
      <c r="V833" t="str">
        <v>Home</v>
      </c>
      <c r="W833" t="str">
        <v>LA</v>
      </c>
      <c r="X833">
        <v>5.9911350108414672</v>
      </c>
    </row>
    <row r="834" spans="8:24" x14ac:dyDescent="0.35">
      <c r="H834" s="66">
        <v>10</v>
      </c>
      <c r="I834" t="s">
        <v>14</v>
      </c>
      <c r="J834" t="s">
        <v>278</v>
      </c>
      <c r="K834" t="s">
        <v>256</v>
      </c>
      <c r="L834" t="s">
        <v>3</v>
      </c>
      <c r="M834" t="s">
        <v>23</v>
      </c>
      <c r="N834">
        <f t="shared" si="42"/>
        <v>4.1208382559080858</v>
      </c>
      <c r="O834" t="str">
        <f t="shared" si="43"/>
        <v/>
      </c>
      <c r="P834" s="67" cm="1">
        <f t="array" ref="P834">SUMPRODUCT((H834=$H$7:$H$10000)*(N834&lt;$N$7:$N$10000))+1</f>
        <v>68</v>
      </c>
      <c r="Q834" s="72"/>
      <c r="R834">
        <v>12</v>
      </c>
      <c r="S834" t="str">
        <v>HOU</v>
      </c>
      <c r="T834" t="str">
        <v>Tautalatasi Tasi</v>
      </c>
      <c r="U834" t="str">
        <v>NULL</v>
      </c>
      <c r="V834" t="str">
        <v>Away</v>
      </c>
      <c r="W834" t="str">
        <v>NEFJ</v>
      </c>
      <c r="X834">
        <v>5.5121498927390524</v>
      </c>
    </row>
    <row r="835" spans="8:24" x14ac:dyDescent="0.35">
      <c r="H835" s="66">
        <v>10</v>
      </c>
      <c r="I835" t="s">
        <v>36</v>
      </c>
      <c r="J835" t="s">
        <v>490</v>
      </c>
      <c r="K835" t="s">
        <v>256</v>
      </c>
      <c r="L835" t="s">
        <v>3</v>
      </c>
      <c r="M835" t="s">
        <v>4</v>
      </c>
      <c r="N835">
        <f t="shared" si="42"/>
        <v>3.9223673426799381</v>
      </c>
      <c r="O835" t="str">
        <f t="shared" si="43"/>
        <v/>
      </c>
      <c r="P835" s="67" cm="1">
        <f t="array" ref="P835">SUMPRODUCT((H835=$H$7:$H$10000)*(N835&lt;$N$7:$N$10000))+1</f>
        <v>69</v>
      </c>
      <c r="Q835" s="72"/>
      <c r="R835">
        <v>12</v>
      </c>
      <c r="S835" t="str">
        <v>NOLA</v>
      </c>
      <c r="T835" t="str">
        <v>Luke Carty</v>
      </c>
      <c r="U835" t="str">
        <v>NULL</v>
      </c>
      <c r="V835" t="str">
        <v>Away</v>
      </c>
      <c r="W835" t="str">
        <v>SDL</v>
      </c>
      <c r="X835">
        <v>5.3846781383916493</v>
      </c>
    </row>
    <row r="836" spans="8:24" x14ac:dyDescent="0.35">
      <c r="H836" s="66">
        <v>10</v>
      </c>
      <c r="I836" t="s">
        <v>2</v>
      </c>
      <c r="J836" t="s">
        <v>90</v>
      </c>
      <c r="K836" t="s">
        <v>256</v>
      </c>
      <c r="L836" t="s">
        <v>9</v>
      </c>
      <c r="M836" t="s">
        <v>17</v>
      </c>
      <c r="N836">
        <f t="shared" si="42"/>
        <v>3.803533902392422</v>
      </c>
      <c r="O836" t="str">
        <f t="shared" si="43"/>
        <v/>
      </c>
      <c r="P836" s="67" cm="1">
        <f t="array" ref="P836">SUMPRODUCT((H836=$H$7:$H$10000)*(N836&lt;$N$7:$N$10000))+1</f>
        <v>70</v>
      </c>
      <c r="Q836" s="72"/>
      <c r="R836">
        <v>12</v>
      </c>
      <c r="S836" t="str">
        <v>SEA</v>
      </c>
      <c r="T836" t="str">
        <v>Jeremiah Sio</v>
      </c>
      <c r="U836" t="str">
        <v>NULL</v>
      </c>
      <c r="V836" t="str">
        <v>Home</v>
      </c>
      <c r="W836" t="str">
        <v>LA</v>
      </c>
      <c r="X836">
        <v>5.3651051326063746</v>
      </c>
    </row>
    <row r="837" spans="8:24" x14ac:dyDescent="0.35">
      <c r="H837" s="66">
        <v>10</v>
      </c>
      <c r="I837" t="s">
        <v>13</v>
      </c>
      <c r="J837" t="s">
        <v>472</v>
      </c>
      <c r="K837" t="s">
        <v>256</v>
      </c>
      <c r="L837" t="s">
        <v>9</v>
      </c>
      <c r="M837" t="s">
        <v>34</v>
      </c>
      <c r="N837">
        <f t="shared" si="42"/>
        <v>3.7384495050452733</v>
      </c>
      <c r="O837" t="str">
        <f t="shared" si="43"/>
        <v/>
      </c>
      <c r="P837" s="67" cm="1">
        <f t="array" ref="P837">SUMPRODUCT((H837=$H$7:$H$10000)*(N837&lt;$N$7:$N$10000))+1</f>
        <v>71</v>
      </c>
      <c r="Q837" s="72"/>
      <c r="R837">
        <v>12</v>
      </c>
      <c r="S837" t="str">
        <v>MIA</v>
      </c>
      <c r="T837" t="str">
        <v>Guiseppe du Toit</v>
      </c>
      <c r="U837" t="str">
        <v>NULL</v>
      </c>
      <c r="V837" t="str">
        <v>Away</v>
      </c>
      <c r="W837" t="str">
        <v>CHI</v>
      </c>
      <c r="X837">
        <v>5.3186644540647308</v>
      </c>
    </row>
    <row r="838" spans="8:24" x14ac:dyDescent="0.35">
      <c r="H838" s="66">
        <v>10</v>
      </c>
      <c r="I838" t="s">
        <v>2</v>
      </c>
      <c r="J838" t="s">
        <v>12</v>
      </c>
      <c r="K838" t="s">
        <v>256</v>
      </c>
      <c r="L838" t="s">
        <v>9</v>
      </c>
      <c r="M838" t="s">
        <v>17</v>
      </c>
      <c r="N838">
        <f t="shared" si="42"/>
        <v>3.5437173480530841</v>
      </c>
      <c r="O838" t="str">
        <f t="shared" si="43"/>
        <v/>
      </c>
      <c r="P838" s="67" cm="1">
        <f t="array" ref="P838">SUMPRODUCT((H838=$H$7:$H$10000)*(N838&lt;$N$7:$N$10000))+1</f>
        <v>72</v>
      </c>
      <c r="Q838" s="72"/>
      <c r="R838">
        <v>12</v>
      </c>
      <c r="S838" t="str">
        <v>NOLA</v>
      </c>
      <c r="T838" t="str">
        <v>Dorian Jones</v>
      </c>
      <c r="U838" t="str">
        <v>NULL</v>
      </c>
      <c r="V838" t="str">
        <v>Away</v>
      </c>
      <c r="W838" t="str">
        <v>SDL</v>
      </c>
      <c r="X838">
        <v>4.8866890349598044</v>
      </c>
    </row>
    <row r="839" spans="8:24" x14ac:dyDescent="0.35">
      <c r="H839" s="66">
        <v>10</v>
      </c>
      <c r="I839" t="s">
        <v>2</v>
      </c>
      <c r="J839" t="s">
        <v>444</v>
      </c>
      <c r="K839" t="s">
        <v>256</v>
      </c>
      <c r="L839" t="s">
        <v>9</v>
      </c>
      <c r="M839" t="s">
        <v>17</v>
      </c>
      <c r="N839">
        <f t="shared" si="42"/>
        <v>3.5336300061414176</v>
      </c>
      <c r="O839" t="str">
        <f t="shared" si="43"/>
        <v/>
      </c>
      <c r="P839" s="67" cm="1">
        <f t="array" ref="P839">SUMPRODUCT((H839=$H$7:$H$10000)*(N839&lt;$N$7:$N$10000))+1</f>
        <v>73</v>
      </c>
      <c r="Q839" s="72"/>
      <c r="R839">
        <v>12</v>
      </c>
      <c r="S839" t="str">
        <v>UTAH</v>
      </c>
      <c r="T839" t="str">
        <v>Blake Makiri</v>
      </c>
      <c r="U839" t="str">
        <v>NULL</v>
      </c>
      <c r="V839" t="str">
        <v>Away</v>
      </c>
      <c r="W839" t="str">
        <v>OGDC</v>
      </c>
      <c r="X839">
        <v>4.4437964567551163</v>
      </c>
    </row>
    <row r="840" spans="8:24" x14ac:dyDescent="0.35">
      <c r="H840" s="66">
        <v>10</v>
      </c>
      <c r="I840" t="s">
        <v>23</v>
      </c>
      <c r="J840" t="s">
        <v>443</v>
      </c>
      <c r="K840" t="s">
        <v>256</v>
      </c>
      <c r="L840" t="s">
        <v>9</v>
      </c>
      <c r="M840" t="s">
        <v>14</v>
      </c>
      <c r="N840">
        <f t="shared" si="42"/>
        <v>3.4883786948246609</v>
      </c>
      <c r="O840" t="str">
        <f t="shared" si="43"/>
        <v/>
      </c>
      <c r="P840" s="67" cm="1">
        <f t="array" ref="P840">SUMPRODUCT((H840=$H$7:$H$10000)*(N840&lt;$N$7:$N$10000))+1</f>
        <v>74</v>
      </c>
      <c r="Q840" s="72"/>
      <c r="R840">
        <v>12</v>
      </c>
      <c r="S840" t="str">
        <v>NOLA</v>
      </c>
      <c r="T840" t="str">
        <v>Isaac Te Tamaki</v>
      </c>
      <c r="U840" t="str">
        <v>NULL</v>
      </c>
      <c r="V840" t="str">
        <v>Away</v>
      </c>
      <c r="W840" t="str">
        <v>SDL</v>
      </c>
      <c r="X840">
        <v>4.4393157873229194</v>
      </c>
    </row>
    <row r="841" spans="8:24" x14ac:dyDescent="0.35">
      <c r="H841" s="66">
        <v>10</v>
      </c>
      <c r="I841" t="s">
        <v>14</v>
      </c>
      <c r="J841" t="s">
        <v>488</v>
      </c>
      <c r="K841" t="s">
        <v>256</v>
      </c>
      <c r="L841" t="s">
        <v>3</v>
      </c>
      <c r="M841" t="s">
        <v>23</v>
      </c>
      <c r="N841">
        <f t="shared" si="42"/>
        <v>3.1674114379461633</v>
      </c>
      <c r="O841" t="str">
        <f t="shared" si="43"/>
        <v/>
      </c>
      <c r="P841" s="67" cm="1">
        <f t="array" ref="P841">SUMPRODUCT((H841=$H$7:$H$10000)*(N841&lt;$N$7:$N$10000))+1</f>
        <v>75</v>
      </c>
      <c r="Q841" s="72"/>
      <c r="R841">
        <v>12</v>
      </c>
      <c r="S841" t="str">
        <v>HOU</v>
      </c>
      <c r="T841" t="str">
        <v>Sam Hill</v>
      </c>
      <c r="U841" t="str">
        <v>NULL</v>
      </c>
      <c r="V841" t="str">
        <v>Away</v>
      </c>
      <c r="W841" t="str">
        <v>NEFJ</v>
      </c>
      <c r="X841">
        <v>3.9407917251358775</v>
      </c>
    </row>
    <row r="842" spans="8:24" x14ac:dyDescent="0.35">
      <c r="H842" s="66">
        <v>10</v>
      </c>
      <c r="I842" t="s">
        <v>24</v>
      </c>
      <c r="J842" t="s">
        <v>402</v>
      </c>
      <c r="K842" t="s">
        <v>256</v>
      </c>
      <c r="L842" t="s">
        <v>9</v>
      </c>
      <c r="M842" t="s">
        <v>7</v>
      </c>
      <c r="N842">
        <f t="shared" si="42"/>
        <v>3.1524962947604847</v>
      </c>
      <c r="O842" t="str">
        <f t="shared" si="43"/>
        <v/>
      </c>
      <c r="P842" s="67" cm="1">
        <f t="array" ref="P842">SUMPRODUCT((H842=$H$7:$H$10000)*(N842&lt;$N$7:$N$10000))+1</f>
        <v>76</v>
      </c>
      <c r="Q842" s="72"/>
      <c r="R842">
        <v>12</v>
      </c>
      <c r="S842" t="str">
        <v>UTAH</v>
      </c>
      <c r="T842" t="str">
        <v>Spencer Jones</v>
      </c>
      <c r="U842" t="str">
        <v>NULL</v>
      </c>
      <c r="V842" t="str">
        <v>Away</v>
      </c>
      <c r="W842" t="str">
        <v>OGDC</v>
      </c>
      <c r="X842">
        <v>3.7905455297452875</v>
      </c>
    </row>
    <row r="843" spans="8:24" x14ac:dyDescent="0.35">
      <c r="H843" s="66">
        <v>10</v>
      </c>
      <c r="I843" t="s">
        <v>4</v>
      </c>
      <c r="J843" t="s">
        <v>493</v>
      </c>
      <c r="K843" t="s">
        <v>256</v>
      </c>
      <c r="L843" t="s">
        <v>9</v>
      </c>
      <c r="M843" t="s">
        <v>36</v>
      </c>
      <c r="N843">
        <f t="shared" si="42"/>
        <v>3.0852525299408651</v>
      </c>
      <c r="O843" t="str">
        <f t="shared" si="43"/>
        <v/>
      </c>
      <c r="P843" s="67" cm="1">
        <f t="array" ref="P843">SUMPRODUCT((H843=$H$7:$H$10000)*(N843&lt;$N$7:$N$10000))+1</f>
        <v>77</v>
      </c>
      <c r="Q843" s="72"/>
      <c r="R843">
        <v>12</v>
      </c>
      <c r="S843" t="str">
        <v>OGDC</v>
      </c>
      <c r="T843" t="str">
        <v>Jason Emery</v>
      </c>
      <c r="U843" t="str">
        <v>NULL</v>
      </c>
      <c r="V843" t="str">
        <v>Home</v>
      </c>
      <c r="W843" t="str">
        <v>UTAH</v>
      </c>
      <c r="X843">
        <v>3.780767227437468</v>
      </c>
    </row>
    <row r="844" spans="8:24" x14ac:dyDescent="0.35">
      <c r="H844" s="66">
        <v>10</v>
      </c>
      <c r="I844" t="s">
        <v>17</v>
      </c>
      <c r="J844" t="s">
        <v>76</v>
      </c>
      <c r="K844" t="s">
        <v>256</v>
      </c>
      <c r="L844" t="s">
        <v>3</v>
      </c>
      <c r="M844" t="s">
        <v>2</v>
      </c>
      <c r="N844">
        <f t="shared" ref="N844:N907" si="44">VLOOKUP($L844,$F$3:$G$4,2,FALSE)+VLOOKUP($J844,$A$20:$B$131,2,FALSE)+VLOOKUP($M844,$A$6:$B$16,2,FALSE)</f>
        <v>3.0359797406544784</v>
      </c>
      <c r="O844" t="str">
        <f t="shared" ref="O844:O907" si="45">IFERROR(($K844-$N844)^2,"")</f>
        <v/>
      </c>
      <c r="P844" s="67" cm="1">
        <f t="array" ref="P844">SUMPRODUCT((H844=$H$7:$H$10000)*(N844&lt;$N$7:$N$10000))+1</f>
        <v>78</v>
      </c>
      <c r="Q844" s="72"/>
      <c r="R844">
        <v>12</v>
      </c>
      <c r="S844" t="str">
        <v>HOU</v>
      </c>
      <c r="T844" t="str">
        <v>Andre Warner</v>
      </c>
      <c r="U844" t="str">
        <v>NULL</v>
      </c>
      <c r="V844" t="str">
        <v>Away</v>
      </c>
      <c r="W844" t="str">
        <v>NEFJ</v>
      </c>
      <c r="X844">
        <v>3.6932288237656001</v>
      </c>
    </row>
    <row r="845" spans="8:24" x14ac:dyDescent="0.35">
      <c r="H845" s="66">
        <v>10</v>
      </c>
      <c r="I845" t="s">
        <v>23</v>
      </c>
      <c r="J845" t="s">
        <v>127</v>
      </c>
      <c r="K845" t="s">
        <v>256</v>
      </c>
      <c r="L845" t="s">
        <v>9</v>
      </c>
      <c r="M845" t="s">
        <v>14</v>
      </c>
      <c r="N845">
        <f t="shared" si="44"/>
        <v>2.9414746129573937</v>
      </c>
      <c r="O845" t="str">
        <f t="shared" si="45"/>
        <v/>
      </c>
      <c r="P845" s="67" cm="1">
        <f t="array" ref="P845">SUMPRODUCT((H845=$H$7:$H$10000)*(N845&lt;$N$7:$N$10000))+1</f>
        <v>79</v>
      </c>
      <c r="Q845" s="72"/>
      <c r="R845">
        <v>12</v>
      </c>
      <c r="S845" t="str">
        <v>LA</v>
      </c>
      <c r="T845" t="str">
        <v>Christian Dyer</v>
      </c>
      <c r="U845" t="str">
        <v>NULL</v>
      </c>
      <c r="V845" t="str">
        <v>Away</v>
      </c>
      <c r="W845" t="str">
        <v>SEA</v>
      </c>
      <c r="X845">
        <v>3.2855623730933656</v>
      </c>
    </row>
    <row r="846" spans="8:24" x14ac:dyDescent="0.35">
      <c r="H846" s="66">
        <v>10</v>
      </c>
      <c r="I846" t="s">
        <v>4</v>
      </c>
      <c r="J846" t="s">
        <v>188</v>
      </c>
      <c r="K846" t="s">
        <v>256</v>
      </c>
      <c r="L846" t="s">
        <v>9</v>
      </c>
      <c r="M846" t="s">
        <v>36</v>
      </c>
      <c r="N846">
        <f t="shared" si="44"/>
        <v>2.5872634265090202</v>
      </c>
      <c r="O846" t="str">
        <f t="shared" si="45"/>
        <v/>
      </c>
      <c r="P846" s="67" cm="1">
        <f t="array" ref="P846">SUMPRODUCT((H846=$H$7:$H$10000)*(N846&lt;$N$7:$N$10000))+1</f>
        <v>80</v>
      </c>
      <c r="Q846" s="72"/>
      <c r="R846">
        <v>12</v>
      </c>
      <c r="S846" t="str">
        <v>NEFJ</v>
      </c>
      <c r="T846" t="str">
        <v>Killian Coghlan</v>
      </c>
      <c r="U846" t="str">
        <v>NULL</v>
      </c>
      <c r="V846" t="str">
        <v>Home</v>
      </c>
      <c r="W846" t="str">
        <v>HOU</v>
      </c>
      <c r="X846">
        <v>3.1793313863818362</v>
      </c>
    </row>
    <row r="847" spans="8:24" x14ac:dyDescent="0.35">
      <c r="H847" s="66">
        <v>10</v>
      </c>
      <c r="I847" t="s">
        <v>17</v>
      </c>
      <c r="J847" t="s">
        <v>458</v>
      </c>
      <c r="K847" t="s">
        <v>256</v>
      </c>
      <c r="L847" t="s">
        <v>3</v>
      </c>
      <c r="M847" t="s">
        <v>2</v>
      </c>
      <c r="N847">
        <f t="shared" si="44"/>
        <v>2.4099498624193858</v>
      </c>
      <c r="O847" t="str">
        <f t="shared" si="45"/>
        <v/>
      </c>
      <c r="P847" s="67" cm="1">
        <f t="array" ref="P847">SUMPRODUCT((H847=$H$7:$H$10000)*(N847&lt;$N$7:$N$10000))+1</f>
        <v>81</v>
      </c>
      <c r="Q847" s="72"/>
      <c r="R847">
        <v>12</v>
      </c>
      <c r="S847" t="str">
        <v>MIA</v>
      </c>
      <c r="T847" t="str">
        <v>Connor Burns</v>
      </c>
      <c r="U847" t="str">
        <v>NULL</v>
      </c>
      <c r="V847" t="str">
        <v>Away</v>
      </c>
      <c r="W847" t="str">
        <v>CHI</v>
      </c>
      <c r="X847">
        <v>2.9960693197106805</v>
      </c>
    </row>
    <row r="848" spans="8:24" x14ac:dyDescent="0.35">
      <c r="H848" s="66">
        <v>10</v>
      </c>
      <c r="I848" t="s">
        <v>36</v>
      </c>
      <c r="J848" t="s">
        <v>48</v>
      </c>
      <c r="K848" t="s">
        <v>256</v>
      </c>
      <c r="L848" t="s">
        <v>3</v>
      </c>
      <c r="M848" t="s">
        <v>4</v>
      </c>
      <c r="N848">
        <f t="shared" si="44"/>
        <v>2.3510091750767632</v>
      </c>
      <c r="O848" t="str">
        <f t="shared" si="45"/>
        <v/>
      </c>
      <c r="P848" s="67" cm="1">
        <f t="array" ref="P848">SUMPRODUCT((H848=$H$7:$H$10000)*(N848&lt;$N$7:$N$10000))+1</f>
        <v>82</v>
      </c>
      <c r="Q848" s="72"/>
      <c r="R848">
        <v>12</v>
      </c>
      <c r="S848" t="str">
        <v>HOU</v>
      </c>
      <c r="T848" t="str">
        <v>Seimou Smith</v>
      </c>
      <c r="U848" t="str">
        <v>NULL</v>
      </c>
      <c r="V848" t="str">
        <v>Away</v>
      </c>
      <c r="W848" t="str">
        <v>NEFJ</v>
      </c>
      <c r="X848">
        <v>2.4140131988942759</v>
      </c>
    </row>
    <row r="849" spans="8:24" x14ac:dyDescent="0.35">
      <c r="H849" s="66">
        <v>10</v>
      </c>
      <c r="I849" t="s">
        <v>24</v>
      </c>
      <c r="J849" t="s">
        <v>35</v>
      </c>
      <c r="K849" t="s">
        <v>256</v>
      </c>
      <c r="L849" t="s">
        <v>9</v>
      </c>
      <c r="M849" t="s">
        <v>7</v>
      </c>
      <c r="N849">
        <f t="shared" si="44"/>
        <v>2.3461979488441944</v>
      </c>
      <c r="O849" t="str">
        <f t="shared" si="45"/>
        <v/>
      </c>
      <c r="P849" s="67" cm="1">
        <f t="array" ref="P849">SUMPRODUCT((H849=$H$7:$H$10000)*(N849&lt;$N$7:$N$10000))+1</f>
        <v>83</v>
      </c>
      <c r="Q849" s="72"/>
      <c r="R849">
        <v>12</v>
      </c>
      <c r="S849" t="str">
        <v>UTAH</v>
      </c>
      <c r="T849" t="str">
        <v>Kyle Brown</v>
      </c>
      <c r="U849" t="str">
        <v>NULL</v>
      </c>
      <c r="V849" t="str">
        <v>Away</v>
      </c>
      <c r="W849" t="str">
        <v>OGDC</v>
      </c>
      <c r="X849">
        <v>2.1862398296903818</v>
      </c>
    </row>
    <row r="850" spans="8:24" x14ac:dyDescent="0.35">
      <c r="H850" s="66">
        <v>10</v>
      </c>
      <c r="I850" t="s">
        <v>23</v>
      </c>
      <c r="J850" t="s">
        <v>456</v>
      </c>
      <c r="K850" t="s">
        <v>256</v>
      </c>
      <c r="L850" t="s">
        <v>9</v>
      </c>
      <c r="M850" t="s">
        <v>14</v>
      </c>
      <c r="N850">
        <f t="shared" si="44"/>
        <v>2.178740094393552</v>
      </c>
      <c r="O850" t="str">
        <f t="shared" si="45"/>
        <v/>
      </c>
      <c r="P850" s="67" cm="1">
        <f t="array" ref="P850">SUMPRODUCT((H850=$H$7:$H$10000)*(N850&lt;$N$7:$N$10000))+1</f>
        <v>84</v>
      </c>
      <c r="Q850" s="72"/>
      <c r="R850">
        <v>12</v>
      </c>
      <c r="S850" t="str">
        <v>NOLA</v>
      </c>
      <c r="T850" t="str">
        <v>Nikolai Foliaki</v>
      </c>
      <c r="U850" t="str">
        <v>NULL</v>
      </c>
      <c r="V850" t="str">
        <v>Away</v>
      </c>
      <c r="W850" t="str">
        <v>SDL</v>
      </c>
      <c r="X850">
        <v>2.0249154781972223</v>
      </c>
    </row>
    <row r="851" spans="8:24" x14ac:dyDescent="0.35">
      <c r="H851" s="66">
        <v>10</v>
      </c>
      <c r="I851" t="s">
        <v>2</v>
      </c>
      <c r="J851" t="s">
        <v>499</v>
      </c>
      <c r="K851" t="s">
        <v>256</v>
      </c>
      <c r="L851" t="s">
        <v>9</v>
      </c>
      <c r="M851" t="s">
        <v>17</v>
      </c>
      <c r="N851">
        <f t="shared" si="44"/>
        <v>2.1641006183347482</v>
      </c>
      <c r="O851" t="str">
        <f t="shared" si="45"/>
        <v/>
      </c>
      <c r="P851" s="67" cm="1">
        <f t="array" ref="P851">SUMPRODUCT((H851=$H$7:$H$10000)*(N851&lt;$N$7:$N$10000))+1</f>
        <v>85</v>
      </c>
      <c r="Q851" s="72"/>
      <c r="R851">
        <v>12</v>
      </c>
      <c r="S851" t="str">
        <v>OGDC</v>
      </c>
      <c r="T851" t="str">
        <v>Perry Humphreys</v>
      </c>
      <c r="U851" t="str">
        <v>NULL</v>
      </c>
      <c r="V851" t="str">
        <v>Home</v>
      </c>
      <c r="W851" t="str">
        <v>UTAH</v>
      </c>
      <c r="X851">
        <v>1.9967723485849938</v>
      </c>
    </row>
    <row r="852" spans="8:24" x14ac:dyDescent="0.35">
      <c r="H852" s="66">
        <v>10</v>
      </c>
      <c r="I852" t="s">
        <v>4</v>
      </c>
      <c r="J852" t="s">
        <v>452</v>
      </c>
      <c r="K852" t="s">
        <v>256</v>
      </c>
      <c r="L852" t="s">
        <v>9</v>
      </c>
      <c r="M852" t="s">
        <v>36</v>
      </c>
      <c r="N852">
        <f t="shared" si="44"/>
        <v>2.1398901788721352</v>
      </c>
      <c r="O852" t="str">
        <f t="shared" si="45"/>
        <v/>
      </c>
      <c r="P852" s="67" cm="1">
        <f t="array" ref="P852">SUMPRODUCT((H852=$H$7:$H$10000)*(N852&lt;$N$7:$N$10000))+1</f>
        <v>86</v>
      </c>
      <c r="Q852" s="72"/>
      <c r="R852">
        <v>12</v>
      </c>
      <c r="S852" t="str">
        <v>OGDC</v>
      </c>
      <c r="T852" t="str">
        <v>Ethan McVeigh</v>
      </c>
      <c r="U852" t="str">
        <v>NULL</v>
      </c>
      <c r="V852" t="str">
        <v>Home</v>
      </c>
      <c r="W852" t="str">
        <v>UTAH</v>
      </c>
      <c r="X852">
        <v>1.9639146566370087</v>
      </c>
    </row>
    <row r="853" spans="8:24" x14ac:dyDescent="0.35">
      <c r="H853" s="66">
        <v>10</v>
      </c>
      <c r="I853" t="s">
        <v>36</v>
      </c>
      <c r="J853" t="s">
        <v>123</v>
      </c>
      <c r="K853" t="s">
        <v>256</v>
      </c>
      <c r="L853" t="s">
        <v>3</v>
      </c>
      <c r="M853" t="s">
        <v>4</v>
      </c>
      <c r="N853">
        <f t="shared" si="44"/>
        <v>2.1034462737064858</v>
      </c>
      <c r="O853" t="str">
        <f t="shared" si="45"/>
        <v/>
      </c>
      <c r="P853" s="67" cm="1">
        <f t="array" ref="P853">SUMPRODUCT((H853=$H$7:$H$10000)*(N853&lt;$N$7:$N$10000))+1</f>
        <v>87</v>
      </c>
      <c r="Q853" s="72"/>
      <c r="R853">
        <v>12</v>
      </c>
      <c r="S853" t="str">
        <v>UTAH</v>
      </c>
      <c r="T853" t="str">
        <v>Logan Crowley</v>
      </c>
      <c r="U853" t="str">
        <v>NULL</v>
      </c>
      <c r="V853" t="str">
        <v>Away</v>
      </c>
      <c r="W853" t="str">
        <v>OGDC</v>
      </c>
      <c r="X853">
        <v>1.473364011861789</v>
      </c>
    </row>
    <row r="854" spans="8:24" x14ac:dyDescent="0.35">
      <c r="H854" s="66">
        <v>10</v>
      </c>
      <c r="I854" t="s">
        <v>14</v>
      </c>
      <c r="J854" t="s">
        <v>460</v>
      </c>
      <c r="K854" t="s">
        <v>256</v>
      </c>
      <c r="L854" t="s">
        <v>3</v>
      </c>
      <c r="M854" t="s">
        <v>23</v>
      </c>
      <c r="N854">
        <f t="shared" si="44"/>
        <v>1.9787884058836216</v>
      </c>
      <c r="O854" t="str">
        <f t="shared" si="45"/>
        <v/>
      </c>
      <c r="P854" s="67" cm="1">
        <f t="array" ref="P854">SUMPRODUCT((H854=$H$7:$H$10000)*(N854&lt;$N$7:$N$10000))+1</f>
        <v>88</v>
      </c>
      <c r="Q854" s="72"/>
      <c r="R854">
        <v>12</v>
      </c>
      <c r="S854" t="str">
        <v>NEFJ</v>
      </c>
      <c r="T854" t="str">
        <v>Harrison Boyle</v>
      </c>
      <c r="U854" t="str">
        <v>NULL</v>
      </c>
      <c r="V854" t="str">
        <v>Home</v>
      </c>
      <c r="W854" t="str">
        <v>HOU</v>
      </c>
      <c r="X854">
        <v>0.76878326345252468</v>
      </c>
    </row>
    <row r="855" spans="8:24" x14ac:dyDescent="0.35">
      <c r="H855" s="66">
        <v>10</v>
      </c>
      <c r="I855" t="s">
        <v>23</v>
      </c>
      <c r="J855" t="s">
        <v>340</v>
      </c>
      <c r="K855" t="s">
        <v>256</v>
      </c>
      <c r="L855" t="s">
        <v>9</v>
      </c>
      <c r="M855" t="s">
        <v>14</v>
      </c>
      <c r="N855">
        <f t="shared" si="44"/>
        <v>1.8734966655845238</v>
      </c>
      <c r="O855" t="str">
        <f t="shared" si="45"/>
        <v/>
      </c>
      <c r="P855" s="67" cm="1">
        <f t="array" ref="P855">SUMPRODUCT((H855=$H$7:$H$10000)*(N855&lt;$N$7:$N$10000))+1</f>
        <v>89</v>
      </c>
      <c r="Q855" s="72"/>
      <c r="R855">
        <v>12</v>
      </c>
      <c r="S855" t="str">
        <v>HOU</v>
      </c>
      <c r="T855" t="str">
        <v>Drew Wild</v>
      </c>
      <c r="U855" t="str">
        <v>NULL</v>
      </c>
      <c r="V855" t="str">
        <v>Away</v>
      </c>
      <c r="W855" t="str">
        <v>NEFJ</v>
      </c>
      <c r="X855">
        <v>0.58389561950348146</v>
      </c>
    </row>
    <row r="856" spans="8:24" x14ac:dyDescent="0.35">
      <c r="H856" s="66">
        <v>10</v>
      </c>
      <c r="I856" t="s">
        <v>36</v>
      </c>
      <c r="J856" t="s">
        <v>334</v>
      </c>
      <c r="K856" t="s">
        <v>256</v>
      </c>
      <c r="L856" t="s">
        <v>3</v>
      </c>
      <c r="M856" t="s">
        <v>4</v>
      </c>
      <c r="N856">
        <f t="shared" si="44"/>
        <v>0.8242306488351625</v>
      </c>
      <c r="O856" t="str">
        <f t="shared" si="45"/>
        <v/>
      </c>
      <c r="P856" s="67" cm="1">
        <f t="array" ref="P856">SUMPRODUCT((H856=$H$7:$H$10000)*(N856&lt;$N$7:$N$10000))+1</f>
        <v>90</v>
      </c>
      <c r="Q856" s="72"/>
      <c r="R856">
        <v>12</v>
      </c>
      <c r="S856" t="str">
        <v>NEFJ</v>
      </c>
      <c r="T856" t="str">
        <v>John Poland</v>
      </c>
      <c r="U856" t="str">
        <v>NULL</v>
      </c>
      <c r="V856" t="str">
        <v>Home</v>
      </c>
      <c r="W856" t="str">
        <v>HOU</v>
      </c>
      <c r="X856">
        <v>0.22187918158525743</v>
      </c>
    </row>
    <row r="857" spans="8:24" x14ac:dyDescent="0.35">
      <c r="H857" s="66">
        <v>10</v>
      </c>
      <c r="I857" t="s">
        <v>7</v>
      </c>
      <c r="J857" t="s">
        <v>126</v>
      </c>
      <c r="K857" t="s">
        <v>256</v>
      </c>
      <c r="L857" t="s">
        <v>3</v>
      </c>
      <c r="M857" t="s">
        <v>24</v>
      </c>
      <c r="N857">
        <f t="shared" si="44"/>
        <v>0.46853989242217509</v>
      </c>
      <c r="O857" t="str">
        <f t="shared" si="45"/>
        <v/>
      </c>
      <c r="P857" s="67" cm="1">
        <f t="array" ref="P857">SUMPRODUCT((H857=$H$7:$H$10000)*(N857&lt;$N$7:$N$10000))+1</f>
        <v>91</v>
      </c>
      <c r="Q857" s="72"/>
      <c r="R857">
        <v>12</v>
      </c>
      <c r="S857" t="str">
        <v>NEFJ</v>
      </c>
      <c r="T857" t="str">
        <v>Simon-Peter Toleafoa</v>
      </c>
      <c r="U857" t="str">
        <v>NULL</v>
      </c>
      <c r="V857" t="str">
        <v>Home</v>
      </c>
      <c r="W857" t="str">
        <v>HOU</v>
      </c>
      <c r="X857">
        <v>-0.54085533697858335</v>
      </c>
    </row>
    <row r="858" spans="8:24" x14ac:dyDescent="0.35">
      <c r="H858" s="66">
        <v>10</v>
      </c>
      <c r="I858" t="s">
        <v>24</v>
      </c>
      <c r="J858" t="s">
        <v>459</v>
      </c>
      <c r="K858" t="s">
        <v>256</v>
      </c>
      <c r="L858" t="s">
        <v>9</v>
      </c>
      <c r="M858" t="s">
        <v>7</v>
      </c>
      <c r="N858">
        <f t="shared" si="44"/>
        <v>2.3602814490144119E-2</v>
      </c>
      <c r="O858" t="str">
        <f t="shared" si="45"/>
        <v/>
      </c>
      <c r="P858" s="67" cm="1">
        <f t="array" ref="P858">SUMPRODUCT((H858=$H$7:$H$10000)*(N858&lt;$N$7:$N$10000))+1</f>
        <v>92</v>
      </c>
      <c r="Q858" s="72"/>
      <c r="R858">
        <v>12</v>
      </c>
      <c r="S858" t="str">
        <v>NOLA</v>
      </c>
      <c r="T858" t="str">
        <v>Luke Campbell</v>
      </c>
      <c r="U858" t="str">
        <v>NULL</v>
      </c>
      <c r="V858" t="str">
        <v>Away</v>
      </c>
      <c r="W858" t="str">
        <v>SDL</v>
      </c>
      <c r="X858">
        <v>-0.59088489606959627</v>
      </c>
    </row>
    <row r="859" spans="8:24" x14ac:dyDescent="0.35">
      <c r="H859" s="66">
        <v>10</v>
      </c>
      <c r="I859" t="s">
        <v>4</v>
      </c>
      <c r="J859" t="s">
        <v>475</v>
      </c>
      <c r="K859" t="s">
        <v>256</v>
      </c>
      <c r="L859" t="s">
        <v>9</v>
      </c>
      <c r="M859" t="s">
        <v>36</v>
      </c>
      <c r="N859">
        <f t="shared" si="44"/>
        <v>-0.27451013025356197</v>
      </c>
      <c r="O859" t="str">
        <f t="shared" si="45"/>
        <v/>
      </c>
      <c r="P859" s="67" cm="1">
        <f t="array" ref="P859">SUMPRODUCT((H859=$H$7:$H$10000)*(N859&lt;$N$7:$N$10000))+1</f>
        <v>93</v>
      </c>
      <c r="Q859" s="72"/>
      <c r="R859">
        <v>12</v>
      </c>
      <c r="S859" t="str">
        <v>NOLA</v>
      </c>
      <c r="T859" t="str">
        <v>Ruben de Haas</v>
      </c>
      <c r="U859" t="str">
        <v>NULL</v>
      </c>
      <c r="V859" t="str">
        <v>Away</v>
      </c>
      <c r="W859" t="str">
        <v>SDL</v>
      </c>
      <c r="X859">
        <v>-0.63761483785128092</v>
      </c>
    </row>
    <row r="860" spans="8:24" x14ac:dyDescent="0.35">
      <c r="H860" s="66">
        <v>10</v>
      </c>
      <c r="I860" t="s">
        <v>36</v>
      </c>
      <c r="J860" t="s">
        <v>73</v>
      </c>
      <c r="K860" t="s">
        <v>256</v>
      </c>
      <c r="L860" t="s">
        <v>3</v>
      </c>
      <c r="M860" t="s">
        <v>4</v>
      </c>
      <c r="N860">
        <f t="shared" si="44"/>
        <v>-1.0058869305556311</v>
      </c>
      <c r="O860" t="str">
        <f t="shared" si="45"/>
        <v/>
      </c>
      <c r="P860" s="67" cm="1">
        <f t="array" ref="P860">SUMPRODUCT((H860=$H$7:$H$10000)*(N860&lt;$N$7:$N$10000))+1</f>
        <v>94</v>
      </c>
      <c r="Q860" s="72"/>
      <c r="R860">
        <v>12</v>
      </c>
      <c r="S860" t="str">
        <v>NEFJ</v>
      </c>
      <c r="T860" t="str">
        <v>Isaac Olson</v>
      </c>
      <c r="U860" t="str">
        <v>NULL</v>
      </c>
      <c r="V860" t="str">
        <v>Home</v>
      </c>
      <c r="W860" t="str">
        <v>HOU</v>
      </c>
      <c r="X860">
        <v>-0.84609876578761067</v>
      </c>
    </row>
    <row r="861" spans="8:24" x14ac:dyDescent="0.35">
      <c r="H861" s="66">
        <v>10</v>
      </c>
      <c r="I861" t="s">
        <v>4</v>
      </c>
      <c r="J861" t="s">
        <v>125</v>
      </c>
      <c r="K861" t="s">
        <v>256</v>
      </c>
      <c r="L861" t="s">
        <v>9</v>
      </c>
      <c r="M861" t="s">
        <v>36</v>
      </c>
      <c r="N861">
        <f t="shared" si="44"/>
        <v>-2.8903105045203805</v>
      </c>
      <c r="O861" t="str">
        <f t="shared" si="45"/>
        <v/>
      </c>
      <c r="P861" s="67" cm="1">
        <f t="array" ref="P861">SUMPRODUCT((H861=$H$7:$H$10000)*(N861&lt;$N$7:$N$10000))+1</f>
        <v>95</v>
      </c>
      <c r="Q861" s="72"/>
      <c r="R861">
        <v>12</v>
      </c>
      <c r="S861" t="str">
        <v>OGDC</v>
      </c>
      <c r="T861" t="str">
        <v>Connor Buckley</v>
      </c>
      <c r="U861" t="str">
        <v>NULL</v>
      </c>
      <c r="V861" t="str">
        <v>Home</v>
      </c>
      <c r="W861" t="str">
        <v>UTAH</v>
      </c>
      <c r="X861">
        <v>-2.4975433495198143</v>
      </c>
    </row>
    <row r="862" spans="8:24" x14ac:dyDescent="0.35">
      <c r="H862" s="66">
        <v>10</v>
      </c>
      <c r="I862" t="s">
        <v>4</v>
      </c>
      <c r="J862" t="s">
        <v>489</v>
      </c>
      <c r="K862" t="s">
        <v>256</v>
      </c>
      <c r="L862" t="s">
        <v>9</v>
      </c>
      <c r="M862" t="s">
        <v>36</v>
      </c>
      <c r="N862">
        <f t="shared" si="44"/>
        <v>-2.9370404463020652</v>
      </c>
      <c r="O862" t="str">
        <f t="shared" si="45"/>
        <v/>
      </c>
      <c r="P862" s="67" cm="1">
        <f t="array" ref="P862">SUMPRODUCT((H862=$H$7:$H$10000)*(N862&lt;$N$7:$N$10000))+1</f>
        <v>96</v>
      </c>
      <c r="Q862" s="72"/>
      <c r="R862">
        <v>13</v>
      </c>
      <c r="S862" t="str">
        <v>UTAH</v>
      </c>
      <c r="T862" t="str">
        <v>Joe Mano</v>
      </c>
      <c r="U862" t="str">
        <v>NULL</v>
      </c>
      <c r="V862" t="str">
        <v>Home</v>
      </c>
      <c r="W862" t="str">
        <v>SEA</v>
      </c>
      <c r="X862">
        <v>20.054976719345895</v>
      </c>
    </row>
    <row r="863" spans="8:24" x14ac:dyDescent="0.35">
      <c r="H863" s="66">
        <v>11</v>
      </c>
      <c r="I863" t="s">
        <v>13</v>
      </c>
      <c r="J863" t="s">
        <v>79</v>
      </c>
      <c r="K863" t="s">
        <v>256</v>
      </c>
      <c r="L863" t="s">
        <v>3</v>
      </c>
      <c r="M863" t="s">
        <v>2</v>
      </c>
      <c r="N863">
        <f t="shared" si="44"/>
        <v>20.187062394910722</v>
      </c>
      <c r="O863" t="str">
        <f t="shared" si="45"/>
        <v/>
      </c>
      <c r="P863" s="67" cm="1">
        <f t="array" ref="P863">SUMPRODUCT((H863=$H$7:$H$10000)*(N863&lt;$N$7:$N$10000))+1</f>
        <v>1</v>
      </c>
      <c r="Q863" s="72"/>
      <c r="R863">
        <v>13</v>
      </c>
      <c r="S863" t="str">
        <v>LA</v>
      </c>
      <c r="T863" t="str">
        <v>Rory van Vugt</v>
      </c>
      <c r="U863" t="str">
        <v>NULL</v>
      </c>
      <c r="V863" t="str">
        <v>Home</v>
      </c>
      <c r="W863" t="str">
        <v>ARC</v>
      </c>
      <c r="X863">
        <v>19.98328432215715</v>
      </c>
    </row>
    <row r="864" spans="8:24" x14ac:dyDescent="0.35">
      <c r="H864" s="66">
        <v>11</v>
      </c>
      <c r="I864" t="s">
        <v>34</v>
      </c>
      <c r="J864" t="s">
        <v>95</v>
      </c>
      <c r="K864" t="s">
        <v>256</v>
      </c>
      <c r="L864" t="s">
        <v>9</v>
      </c>
      <c r="M864" t="s">
        <v>6</v>
      </c>
      <c r="N864">
        <f t="shared" si="44"/>
        <v>19.936452057366878</v>
      </c>
      <c r="O864" t="str">
        <f t="shared" si="45"/>
        <v/>
      </c>
      <c r="P864" s="67" cm="1">
        <f t="array" ref="P864">SUMPRODUCT((H864=$H$7:$H$10000)*(N864&lt;$N$7:$N$10000))+1</f>
        <v>2</v>
      </c>
      <c r="Q864" s="72"/>
      <c r="R864">
        <v>13</v>
      </c>
      <c r="S864" t="str">
        <v>LA</v>
      </c>
      <c r="T864" t="str">
        <v>Billy Meakes</v>
      </c>
      <c r="U864" t="str">
        <v>NULL</v>
      </c>
      <c r="V864" t="str">
        <v>Home</v>
      </c>
      <c r="W864" t="str">
        <v>ARC</v>
      </c>
      <c r="X864">
        <v>16.307671535663424</v>
      </c>
    </row>
    <row r="865" spans="8:24" x14ac:dyDescent="0.35">
      <c r="H865" s="66">
        <v>11</v>
      </c>
      <c r="I865" t="s">
        <v>6</v>
      </c>
      <c r="J865" t="s">
        <v>94</v>
      </c>
      <c r="K865" t="s">
        <v>256</v>
      </c>
      <c r="L865" t="s">
        <v>3</v>
      </c>
      <c r="M865" t="s">
        <v>34</v>
      </c>
      <c r="N865">
        <f t="shared" si="44"/>
        <v>18.851917547412825</v>
      </c>
      <c r="O865" t="str">
        <f t="shared" si="45"/>
        <v/>
      </c>
      <c r="P865" s="67" cm="1">
        <f t="array" ref="P865">SUMPRODUCT((H865=$H$7:$H$10000)*(N865&lt;$N$7:$N$10000))+1</f>
        <v>3</v>
      </c>
      <c r="Q865" s="72"/>
      <c r="R865">
        <v>13</v>
      </c>
      <c r="S865" t="str">
        <v>UTAH</v>
      </c>
      <c r="T865" t="str">
        <v>Nic Benn</v>
      </c>
      <c r="U865" t="str">
        <v>NULL</v>
      </c>
      <c r="V865" t="str">
        <v>Home</v>
      </c>
      <c r="W865" t="str">
        <v>SEA</v>
      </c>
      <c r="X865">
        <v>16.244441268635292</v>
      </c>
    </row>
    <row r="866" spans="8:24" x14ac:dyDescent="0.35">
      <c r="H866" s="66">
        <v>11</v>
      </c>
      <c r="I866" t="s">
        <v>13</v>
      </c>
      <c r="J866" t="s">
        <v>494</v>
      </c>
      <c r="K866" t="s">
        <v>256</v>
      </c>
      <c r="L866" t="s">
        <v>3</v>
      </c>
      <c r="M866" t="s">
        <v>2</v>
      </c>
      <c r="N866">
        <f t="shared" si="44"/>
        <v>16.376526944200123</v>
      </c>
      <c r="O866" t="str">
        <f t="shared" si="45"/>
        <v/>
      </c>
      <c r="P866" s="67" cm="1">
        <f t="array" ref="P866">SUMPRODUCT((H866=$H$7:$H$10000)*(N866&lt;$N$7:$N$10000))+1</f>
        <v>4</v>
      </c>
      <c r="Q866" s="72"/>
      <c r="R866">
        <v>13</v>
      </c>
      <c r="S866" t="str">
        <v>NOLA</v>
      </c>
      <c r="T866" t="str">
        <v>Cooper Coats</v>
      </c>
      <c r="U866" t="str">
        <v>NULL</v>
      </c>
      <c r="V866" t="str">
        <v>Home</v>
      </c>
      <c r="W866" t="str">
        <v>MIA</v>
      </c>
      <c r="X866">
        <v>15.283054767161763</v>
      </c>
    </row>
    <row r="867" spans="8:24" x14ac:dyDescent="0.35">
      <c r="H867" s="66">
        <v>11</v>
      </c>
      <c r="I867" t="s">
        <v>34</v>
      </c>
      <c r="J867" t="s">
        <v>41</v>
      </c>
      <c r="K867" t="s">
        <v>256</v>
      </c>
      <c r="L867" t="s">
        <v>9</v>
      </c>
      <c r="M867" t="s">
        <v>6</v>
      </c>
      <c r="N867">
        <f t="shared" si="44"/>
        <v>15.735756857187443</v>
      </c>
      <c r="O867" t="str">
        <f t="shared" si="45"/>
        <v/>
      </c>
      <c r="P867" s="67" cm="1">
        <f t="array" ref="P867">SUMPRODUCT((H867=$H$7:$H$10000)*(N867&lt;$N$7:$N$10000))+1</f>
        <v>5</v>
      </c>
      <c r="Q867" s="72"/>
      <c r="R867">
        <v>13</v>
      </c>
      <c r="S867" t="str">
        <v>SDL</v>
      </c>
      <c r="T867" t="str">
        <v>Ryan James</v>
      </c>
      <c r="U867" t="str">
        <v>NULL</v>
      </c>
      <c r="V867" t="str">
        <v>Home</v>
      </c>
      <c r="W867" t="str">
        <v>HOU</v>
      </c>
      <c r="X867">
        <v>14.68568711851503</v>
      </c>
    </row>
    <row r="868" spans="8:24" x14ac:dyDescent="0.35">
      <c r="H868" s="66">
        <v>11</v>
      </c>
      <c r="I868" t="s">
        <v>6</v>
      </c>
      <c r="J868" t="s">
        <v>8</v>
      </c>
      <c r="K868" t="s">
        <v>256</v>
      </c>
      <c r="L868" t="s">
        <v>3</v>
      </c>
      <c r="M868" t="s">
        <v>34</v>
      </c>
      <c r="N868">
        <f t="shared" si="44"/>
        <v>15.176304760919095</v>
      </c>
      <c r="O868" t="str">
        <f t="shared" si="45"/>
        <v/>
      </c>
      <c r="P868" s="67" cm="1">
        <f t="array" ref="P868">SUMPRODUCT((H868=$H$7:$H$10000)*(N868&lt;$N$7:$N$10000))+1</f>
        <v>6</v>
      </c>
      <c r="Q868" s="72"/>
      <c r="R868">
        <v>13</v>
      </c>
      <c r="S868" t="str">
        <v>NOLA</v>
      </c>
      <c r="T868" t="str">
        <v>Julian Roberts</v>
      </c>
      <c r="U868" t="str">
        <v>NULL</v>
      </c>
      <c r="V868" t="str">
        <v>Home</v>
      </c>
      <c r="W868" t="str">
        <v>MIA</v>
      </c>
      <c r="X868">
        <v>14.637410258896251</v>
      </c>
    </row>
    <row r="869" spans="8:24" x14ac:dyDescent="0.35">
      <c r="H869" s="66">
        <v>11</v>
      </c>
      <c r="I869" t="s">
        <v>7</v>
      </c>
      <c r="J869" t="s">
        <v>65</v>
      </c>
      <c r="K869" t="s">
        <v>256</v>
      </c>
      <c r="L869" t="s">
        <v>9</v>
      </c>
      <c r="M869" t="s">
        <v>36</v>
      </c>
      <c r="N869">
        <f t="shared" si="44"/>
        <v>14.807173360186042</v>
      </c>
      <c r="O869" t="str">
        <f t="shared" si="45"/>
        <v/>
      </c>
      <c r="P869" s="67" cm="1">
        <f t="array" ref="P869">SUMPRODUCT((H869=$H$7:$H$10000)*(N869&lt;$N$7:$N$10000))+1</f>
        <v>7</v>
      </c>
      <c r="Q869" s="72"/>
      <c r="R869">
        <v>13</v>
      </c>
      <c r="S869" t="str">
        <v>LA</v>
      </c>
      <c r="T869" t="str">
        <v>Matias Jensen</v>
      </c>
      <c r="U869" t="str">
        <v>NULL</v>
      </c>
      <c r="V869" t="str">
        <v>Home</v>
      </c>
      <c r="W869" t="str">
        <v>ARC</v>
      </c>
      <c r="X869">
        <v>14.343913658459032</v>
      </c>
    </row>
    <row r="870" spans="8:24" x14ac:dyDescent="0.35">
      <c r="H870" s="66">
        <v>11</v>
      </c>
      <c r="I870" t="s">
        <v>34</v>
      </c>
      <c r="J870" t="s">
        <v>100</v>
      </c>
      <c r="K870" t="s">
        <v>256</v>
      </c>
      <c r="L870" t="s">
        <v>9</v>
      </c>
      <c r="M870" t="s">
        <v>6</v>
      </c>
      <c r="N870">
        <f t="shared" si="44"/>
        <v>14.571467547505886</v>
      </c>
      <c r="O870" t="str">
        <f t="shared" si="45"/>
        <v/>
      </c>
      <c r="P870" s="67" cm="1">
        <f t="array" ref="P870">SUMPRODUCT((H870=$H$7:$H$10000)*(N870&lt;$N$7:$N$10000))+1</f>
        <v>8</v>
      </c>
      <c r="Q870" s="72"/>
      <c r="R870">
        <v>13</v>
      </c>
      <c r="S870" t="str">
        <v>NOLA</v>
      </c>
      <c r="T870" t="str">
        <v>Xavier Mignot</v>
      </c>
      <c r="U870" t="str">
        <v>NULL</v>
      </c>
      <c r="V870" t="str">
        <v>Home</v>
      </c>
      <c r="W870" t="str">
        <v>MIA</v>
      </c>
      <c r="X870">
        <v>14.19436704889141</v>
      </c>
    </row>
    <row r="871" spans="8:24" x14ac:dyDescent="0.35">
      <c r="H871" s="66">
        <v>11</v>
      </c>
      <c r="I871" t="s">
        <v>14</v>
      </c>
      <c r="J871" t="s">
        <v>448</v>
      </c>
      <c r="K871" t="s">
        <v>256</v>
      </c>
      <c r="L871" t="s">
        <v>9</v>
      </c>
      <c r="M871" t="s">
        <v>24</v>
      </c>
      <c r="N871">
        <f t="shared" si="44"/>
        <v>14.205601096909518</v>
      </c>
      <c r="O871" t="str">
        <f t="shared" si="45"/>
        <v/>
      </c>
      <c r="P871" s="67" cm="1">
        <f t="array" ref="P871">SUMPRODUCT((H871=$H$7:$H$10000)*(N871&lt;$N$7:$N$10000))+1</f>
        <v>9</v>
      </c>
      <c r="Q871" s="72"/>
      <c r="R871">
        <v>13</v>
      </c>
      <c r="S871" t="str">
        <v>NOLA</v>
      </c>
      <c r="T871" t="str">
        <v>Ed Fidow</v>
      </c>
      <c r="U871" t="str">
        <v>NULL</v>
      </c>
      <c r="V871" t="str">
        <v>Home</v>
      </c>
      <c r="W871" t="str">
        <v>MIA</v>
      </c>
      <c r="X871">
        <v>13.921999710452466</v>
      </c>
    </row>
    <row r="872" spans="8:24" x14ac:dyDescent="0.35">
      <c r="H872" s="66">
        <v>11</v>
      </c>
      <c r="I872" t="s">
        <v>14</v>
      </c>
      <c r="J872" t="s">
        <v>87</v>
      </c>
      <c r="K872" t="s">
        <v>256</v>
      </c>
      <c r="L872" t="s">
        <v>9</v>
      </c>
      <c r="M872" t="s">
        <v>24</v>
      </c>
      <c r="N872">
        <f t="shared" si="44"/>
        <v>13.816931840695224</v>
      </c>
      <c r="O872" t="str">
        <f t="shared" si="45"/>
        <v/>
      </c>
      <c r="P872" s="67" cm="1">
        <f t="array" ref="P872">SUMPRODUCT((H872=$H$7:$H$10000)*(N872&lt;$N$7:$N$10000))+1</f>
        <v>10</v>
      </c>
      <c r="Q872" s="72"/>
      <c r="R872">
        <v>13</v>
      </c>
      <c r="S872" t="str">
        <v>ARC</v>
      </c>
      <c r="T872" t="str">
        <v>Erich Storti</v>
      </c>
      <c r="U872" t="str">
        <v>NULL</v>
      </c>
      <c r="V872" t="str">
        <v>Away</v>
      </c>
      <c r="W872" t="str">
        <v>LA</v>
      </c>
      <c r="X872">
        <v>13.607910865260626</v>
      </c>
    </row>
    <row r="873" spans="8:24" x14ac:dyDescent="0.35">
      <c r="H873" s="66">
        <v>11</v>
      </c>
      <c r="I873" t="s">
        <v>14</v>
      </c>
      <c r="J873" t="s">
        <v>83</v>
      </c>
      <c r="K873" t="s">
        <v>256</v>
      </c>
      <c r="L873" t="s">
        <v>9</v>
      </c>
      <c r="M873" t="s">
        <v>24</v>
      </c>
      <c r="N873">
        <f t="shared" si="44"/>
        <v>13.555337255132056</v>
      </c>
      <c r="O873" t="str">
        <f t="shared" si="45"/>
        <v/>
      </c>
      <c r="P873" s="67" cm="1">
        <f t="array" ref="P873">SUMPRODUCT((H873=$H$7:$H$10000)*(N873&lt;$N$7:$N$10000))+1</f>
        <v>11</v>
      </c>
      <c r="Q873" s="72"/>
      <c r="R873">
        <v>13</v>
      </c>
      <c r="S873" t="str">
        <v>ARC</v>
      </c>
      <c r="T873" t="str">
        <v>Mitch Wilson</v>
      </c>
      <c r="U873" t="str">
        <v>NULL</v>
      </c>
      <c r="V873" t="str">
        <v>Away</v>
      </c>
      <c r="W873" t="str">
        <v>LA</v>
      </c>
      <c r="X873">
        <v>13.219241609046332</v>
      </c>
    </row>
    <row r="874" spans="8:24" x14ac:dyDescent="0.35">
      <c r="H874" s="66">
        <v>11</v>
      </c>
      <c r="I874" t="s">
        <v>24</v>
      </c>
      <c r="J874" t="s">
        <v>446</v>
      </c>
      <c r="K874" t="s">
        <v>256</v>
      </c>
      <c r="L874" t="s">
        <v>3</v>
      </c>
      <c r="M874" t="s">
        <v>14</v>
      </c>
      <c r="N874">
        <f t="shared" si="44"/>
        <v>13.45157904958457</v>
      </c>
      <c r="O874" t="str">
        <f t="shared" si="45"/>
        <v/>
      </c>
      <c r="P874" s="67" cm="1">
        <f t="array" ref="P874">SUMPRODUCT((H874=$H$7:$H$10000)*(N874&lt;$N$7:$N$10000))+1</f>
        <v>12</v>
      </c>
      <c r="Q874" s="72"/>
      <c r="R874">
        <v>13</v>
      </c>
      <c r="S874" t="str">
        <v>LA</v>
      </c>
      <c r="T874" t="str">
        <v>Christian Leali'ifano</v>
      </c>
      <c r="U874" t="str">
        <v>NULL</v>
      </c>
      <c r="V874" t="str">
        <v>Home</v>
      </c>
      <c r="W874" t="str">
        <v>ARC</v>
      </c>
      <c r="X874">
        <v>13.192681036491225</v>
      </c>
    </row>
    <row r="875" spans="8:24" x14ac:dyDescent="0.35">
      <c r="H875" s="66">
        <v>11</v>
      </c>
      <c r="I875" t="s">
        <v>34</v>
      </c>
      <c r="J875" t="s">
        <v>52</v>
      </c>
      <c r="K875" t="s">
        <v>256</v>
      </c>
      <c r="L875" t="s">
        <v>9</v>
      </c>
      <c r="M875" t="s">
        <v>6</v>
      </c>
      <c r="N875">
        <f t="shared" si="44"/>
        <v>13.24313694399814</v>
      </c>
      <c r="O875" t="str">
        <f t="shared" si="45"/>
        <v/>
      </c>
      <c r="P875" s="67" cm="1">
        <f t="array" ref="P875">SUMPRODUCT((H875=$H$7:$H$10000)*(N875&lt;$N$7:$N$10000))+1</f>
        <v>13</v>
      </c>
      <c r="Q875" s="72"/>
      <c r="R875">
        <v>13</v>
      </c>
      <c r="S875" t="str">
        <v>NOLA</v>
      </c>
      <c r="T875" t="str">
        <v>JP Du Plessis</v>
      </c>
      <c r="U875" t="str">
        <v>NULL</v>
      </c>
      <c r="V875" t="str">
        <v>Home</v>
      </c>
      <c r="W875" t="str">
        <v>MIA</v>
      </c>
      <c r="X875">
        <v>13.095811190772634</v>
      </c>
    </row>
    <row r="876" spans="8:24" x14ac:dyDescent="0.35">
      <c r="H876" s="66">
        <v>11</v>
      </c>
      <c r="I876" t="s">
        <v>6</v>
      </c>
      <c r="J876" t="s">
        <v>445</v>
      </c>
      <c r="K876" t="s">
        <v>256</v>
      </c>
      <c r="L876" t="s">
        <v>3</v>
      </c>
      <c r="M876" t="s">
        <v>34</v>
      </c>
      <c r="N876">
        <f t="shared" si="44"/>
        <v>13.212546883714705</v>
      </c>
      <c r="O876" t="str">
        <f t="shared" si="45"/>
        <v/>
      </c>
      <c r="P876" s="67" cm="1">
        <f t="array" ref="P876">SUMPRODUCT((H876=$H$7:$H$10000)*(N876&lt;$N$7:$N$10000))+1</f>
        <v>14</v>
      </c>
      <c r="Q876" s="72"/>
      <c r="R876">
        <v>13</v>
      </c>
      <c r="S876" t="str">
        <v>ARC</v>
      </c>
      <c r="T876" t="str">
        <v>Line Latu</v>
      </c>
      <c r="U876" t="str">
        <v>NULL</v>
      </c>
      <c r="V876" t="str">
        <v>Away</v>
      </c>
      <c r="W876" t="str">
        <v>LA</v>
      </c>
      <c r="X876">
        <v>12.957647023483164</v>
      </c>
    </row>
    <row r="877" spans="8:24" x14ac:dyDescent="0.35">
      <c r="H877" s="66">
        <v>11</v>
      </c>
      <c r="I877" t="s">
        <v>34</v>
      </c>
      <c r="J877" t="s">
        <v>192</v>
      </c>
      <c r="K877" t="s">
        <v>256</v>
      </c>
      <c r="L877" t="s">
        <v>9</v>
      </c>
      <c r="M877" t="s">
        <v>6</v>
      </c>
      <c r="N877">
        <f t="shared" si="44"/>
        <v>13.084358682859165</v>
      </c>
      <c r="O877" t="str">
        <f t="shared" si="45"/>
        <v/>
      </c>
      <c r="P877" s="67" cm="1">
        <f t="array" ref="P877">SUMPRODUCT((H877=$H$7:$H$10000)*(N877&lt;$N$7:$N$10000))+1</f>
        <v>15</v>
      </c>
      <c r="Q877" s="72"/>
      <c r="R877">
        <v>13</v>
      </c>
      <c r="S877" t="str">
        <v>CHI</v>
      </c>
      <c r="T877" t="str">
        <v>Nate Augspurger</v>
      </c>
      <c r="U877" t="str">
        <v>NULL</v>
      </c>
      <c r="V877" t="str">
        <v>Away</v>
      </c>
      <c r="W877" t="str">
        <v>NEFJ</v>
      </c>
      <c r="X877">
        <v>12.831309777313415</v>
      </c>
    </row>
    <row r="878" spans="8:24" x14ac:dyDescent="0.35">
      <c r="H878" s="66">
        <v>11</v>
      </c>
      <c r="I878" t="s">
        <v>34</v>
      </c>
      <c r="J878" t="s">
        <v>496</v>
      </c>
      <c r="K878" t="s">
        <v>256</v>
      </c>
      <c r="L878" t="s">
        <v>9</v>
      </c>
      <c r="M878" t="s">
        <v>6</v>
      </c>
      <c r="N878">
        <f t="shared" si="44"/>
        <v>12.927249825459111</v>
      </c>
      <c r="O878" t="str">
        <f t="shared" si="45"/>
        <v/>
      </c>
      <c r="P878" s="67" cm="1">
        <f t="array" ref="P878">SUMPRODUCT((H878=$H$7:$H$10000)*(N878&lt;$N$7:$N$10000))+1</f>
        <v>16</v>
      </c>
      <c r="Q878" s="72"/>
      <c r="R878">
        <v>13</v>
      </c>
      <c r="S878" t="str">
        <v>UTAH</v>
      </c>
      <c r="T878" t="str">
        <v>D'Angelo Leuila</v>
      </c>
      <c r="U878" t="str">
        <v>NULL</v>
      </c>
      <c r="V878" t="str">
        <v>Home</v>
      </c>
      <c r="W878" t="str">
        <v>SEA</v>
      </c>
      <c r="X878">
        <v>12.581686055849943</v>
      </c>
    </row>
    <row r="879" spans="8:24" x14ac:dyDescent="0.35">
      <c r="H879">
        <v>11</v>
      </c>
      <c r="I879" t="s">
        <v>13</v>
      </c>
      <c r="J879" t="s">
        <v>473</v>
      </c>
      <c r="K879" t="s">
        <v>256</v>
      </c>
      <c r="L879" t="s">
        <v>3</v>
      </c>
      <c r="M879" t="s">
        <v>2</v>
      </c>
      <c r="N879">
        <f t="shared" si="44"/>
        <v>12.71377173141477</v>
      </c>
      <c r="O879" t="str">
        <f t="shared" si="45"/>
        <v/>
      </c>
      <c r="P879" s="67" cm="1">
        <f t="array" ref="P879">SUMPRODUCT((H879=$H$7:$H$10000)*(N879&lt;$N$7:$N$10000))+1</f>
        <v>17</v>
      </c>
      <c r="Q879" s="72"/>
      <c r="R879">
        <v>13</v>
      </c>
      <c r="S879" t="str">
        <v>CHI</v>
      </c>
      <c r="T879" t="str">
        <v>Michael Hand</v>
      </c>
      <c r="U879" t="str">
        <v>NULL</v>
      </c>
      <c r="V879" t="str">
        <v>Away</v>
      </c>
      <c r="W879" t="str">
        <v>NEFJ</v>
      </c>
      <c r="X879">
        <v>12.278576023642795</v>
      </c>
    </row>
    <row r="880" spans="8:24" x14ac:dyDescent="0.35">
      <c r="H880" s="66">
        <v>11</v>
      </c>
      <c r="I880" t="s">
        <v>14</v>
      </c>
      <c r="J880" t="s">
        <v>438</v>
      </c>
      <c r="K880" t="s">
        <v>256</v>
      </c>
      <c r="L880" t="s">
        <v>9</v>
      </c>
      <c r="M880" t="s">
        <v>24</v>
      </c>
      <c r="N880">
        <f t="shared" si="44"/>
        <v>12.645472383612773</v>
      </c>
      <c r="O880" t="str">
        <f t="shared" si="45"/>
        <v/>
      </c>
      <c r="P880" s="67" cm="1">
        <f t="array" ref="P880">SUMPRODUCT((H880=$H$7:$H$10000)*(N880&lt;$N$7:$N$10000))+1</f>
        <v>18</v>
      </c>
      <c r="Q880" s="72"/>
      <c r="R880">
        <v>13</v>
      </c>
      <c r="S880" t="str">
        <v>LA</v>
      </c>
      <c r="T880" t="str">
        <v>Gonzalo Bertranou</v>
      </c>
      <c r="U880" t="str">
        <v>NULL</v>
      </c>
      <c r="V880" t="str">
        <v>Home</v>
      </c>
      <c r="W880" t="str">
        <v>ARC</v>
      </c>
      <c r="X880">
        <v>12.222899121063238</v>
      </c>
    </row>
    <row r="881" spans="8:24" x14ac:dyDescent="0.35">
      <c r="H881" s="66">
        <v>11</v>
      </c>
      <c r="I881" t="s">
        <v>2</v>
      </c>
      <c r="J881" t="s">
        <v>88</v>
      </c>
      <c r="K881" t="s">
        <v>256</v>
      </c>
      <c r="L881" t="s">
        <v>9</v>
      </c>
      <c r="M881" t="s">
        <v>13</v>
      </c>
      <c r="N881">
        <f t="shared" si="44"/>
        <v>12.532125315305732</v>
      </c>
      <c r="O881" t="str">
        <f t="shared" si="45"/>
        <v/>
      </c>
      <c r="P881" s="67" cm="1">
        <f t="array" ref="P881">SUMPRODUCT((H881=$H$7:$H$10000)*(N881&lt;$N$7:$N$10000))+1</f>
        <v>19</v>
      </c>
      <c r="Q881" s="72"/>
      <c r="R881">
        <v>13</v>
      </c>
      <c r="S881" t="str">
        <v>ARC</v>
      </c>
      <c r="T881" t="str">
        <v>Karl Keane</v>
      </c>
      <c r="U881" t="str">
        <v>NULL</v>
      </c>
      <c r="V881" t="str">
        <v>Away</v>
      </c>
      <c r="W881" t="str">
        <v>LA</v>
      </c>
      <c r="X881">
        <v>12.047782151963879</v>
      </c>
    </row>
    <row r="882" spans="8:24" x14ac:dyDescent="0.35">
      <c r="H882" s="66">
        <v>11</v>
      </c>
      <c r="I882" t="s">
        <v>6</v>
      </c>
      <c r="J882" t="s">
        <v>442</v>
      </c>
      <c r="K882" t="s">
        <v>256</v>
      </c>
      <c r="L882" t="s">
        <v>3</v>
      </c>
      <c r="M882" t="s">
        <v>34</v>
      </c>
      <c r="N882">
        <f t="shared" si="44"/>
        <v>12.061314261746897</v>
      </c>
      <c r="O882" t="str">
        <f t="shared" si="45"/>
        <v/>
      </c>
      <c r="P882" s="67" cm="1">
        <f t="array" ref="P882">SUMPRODUCT((H882=$H$7:$H$10000)*(N882&lt;$N$7:$N$10000))+1</f>
        <v>20</v>
      </c>
      <c r="Q882" s="72"/>
      <c r="R882">
        <v>13</v>
      </c>
      <c r="S882" t="str">
        <v>LA</v>
      </c>
      <c r="T882" t="str">
        <v>Jack Shaw</v>
      </c>
      <c r="U882" t="str">
        <v>NULL</v>
      </c>
      <c r="V882" t="str">
        <v>Home</v>
      </c>
      <c r="W882" t="str">
        <v>ARC</v>
      </c>
      <c r="X882">
        <v>11.967784908918706</v>
      </c>
    </row>
    <row r="883" spans="8:24" x14ac:dyDescent="0.35">
      <c r="H883" s="66">
        <v>11</v>
      </c>
      <c r="I883" t="s">
        <v>2</v>
      </c>
      <c r="J883" t="s">
        <v>495</v>
      </c>
      <c r="K883" t="s">
        <v>256</v>
      </c>
      <c r="L883" t="s">
        <v>9</v>
      </c>
      <c r="M883" t="s">
        <v>13</v>
      </c>
      <c r="N883">
        <f t="shared" si="44"/>
        <v>11.979391561635113</v>
      </c>
      <c r="O883" t="str">
        <f t="shared" si="45"/>
        <v/>
      </c>
      <c r="P883" s="67" cm="1">
        <f t="array" ref="P883">SUMPRODUCT((H883=$H$7:$H$10000)*(N883&lt;$N$7:$N$10000))+1</f>
        <v>21</v>
      </c>
      <c r="Q883" s="72"/>
      <c r="R883">
        <v>13</v>
      </c>
      <c r="S883" t="str">
        <v>NEFJ</v>
      </c>
      <c r="T883" t="str">
        <v>Jayson Potroz</v>
      </c>
      <c r="U883" t="str">
        <v>NULL</v>
      </c>
      <c r="V883" t="str">
        <v>Home</v>
      </c>
      <c r="W883" t="str">
        <v>CHI</v>
      </c>
      <c r="X883">
        <v>11.95378549758221</v>
      </c>
    </row>
    <row r="884" spans="8:24" x14ac:dyDescent="0.35">
      <c r="H884" s="66">
        <v>11</v>
      </c>
      <c r="I884" t="s">
        <v>34</v>
      </c>
      <c r="J884" t="s">
        <v>440</v>
      </c>
      <c r="K884" t="s">
        <v>256</v>
      </c>
      <c r="L884" t="s">
        <v>9</v>
      </c>
      <c r="M884" t="s">
        <v>6</v>
      </c>
      <c r="N884">
        <f t="shared" si="44"/>
        <v>11.809319934292178</v>
      </c>
      <c r="O884" t="str">
        <f t="shared" si="45"/>
        <v/>
      </c>
      <c r="P884" s="67" cm="1">
        <f t="array" ref="P884">SUMPRODUCT((H884=$H$7:$H$10000)*(N884&lt;$N$7:$N$10000))+1</f>
        <v>22</v>
      </c>
      <c r="Q884" s="72"/>
      <c r="R884">
        <v>13</v>
      </c>
      <c r="S884" t="str">
        <v>LA</v>
      </c>
      <c r="T884" t="str">
        <v>Seth Purdey</v>
      </c>
      <c r="U884" t="str">
        <v>NULL</v>
      </c>
      <c r="V884" t="str">
        <v>Home</v>
      </c>
      <c r="W884" t="str">
        <v>ARC</v>
      </c>
      <c r="X884">
        <v>11.47469461333448</v>
      </c>
    </row>
    <row r="885" spans="8:24" x14ac:dyDescent="0.35">
      <c r="H885">
        <v>11</v>
      </c>
      <c r="I885" t="s">
        <v>34</v>
      </c>
      <c r="J885" t="s">
        <v>39</v>
      </c>
      <c r="K885" t="s">
        <v>256</v>
      </c>
      <c r="L885" t="s">
        <v>9</v>
      </c>
      <c r="M885" t="s">
        <v>6</v>
      </c>
      <c r="N885">
        <f t="shared" si="44"/>
        <v>11.714248665594138</v>
      </c>
      <c r="O885" t="str">
        <f t="shared" si="45"/>
        <v/>
      </c>
      <c r="P885" s="67" cm="1">
        <f t="array" ref="P885">SUMPRODUCT((H885=$H$7:$H$10000)*(N885&lt;$N$7:$N$10000))+1</f>
        <v>23</v>
      </c>
      <c r="Q885" s="72"/>
      <c r="R885">
        <v>13</v>
      </c>
      <c r="S885" t="str">
        <v>SEA</v>
      </c>
      <c r="T885" t="str">
        <v>Eddie Fouche</v>
      </c>
      <c r="U885" t="str">
        <v>NULL</v>
      </c>
      <c r="V885" t="str">
        <v>Away</v>
      </c>
      <c r="W885" t="str">
        <v>UTAH</v>
      </c>
      <c r="X885">
        <v>11.381970293880102</v>
      </c>
    </row>
    <row r="886" spans="8:24" x14ac:dyDescent="0.35">
      <c r="H886" s="66">
        <v>11</v>
      </c>
      <c r="I886" t="s">
        <v>4</v>
      </c>
      <c r="J886" t="s">
        <v>457</v>
      </c>
      <c r="K886" t="s">
        <v>256</v>
      </c>
      <c r="L886" t="s">
        <v>3</v>
      </c>
      <c r="M886" t="s">
        <v>17</v>
      </c>
      <c r="N886">
        <f t="shared" si="44"/>
        <v>11.598123589761054</v>
      </c>
      <c r="O886" t="str">
        <f t="shared" si="45"/>
        <v/>
      </c>
      <c r="P886" s="67" cm="1">
        <f t="array" ref="P886">SUMPRODUCT((H886=$H$7:$H$10000)*(N886&lt;$N$7:$N$10000))+1</f>
        <v>24</v>
      </c>
      <c r="Q886" s="72"/>
      <c r="R886">
        <v>13</v>
      </c>
      <c r="S886" t="str">
        <v>LA</v>
      </c>
      <c r="T886" t="str">
        <v>Cameron Gerlach</v>
      </c>
      <c r="U886" t="str">
        <v>NULL</v>
      </c>
      <c r="V886" t="str">
        <v>Home</v>
      </c>
      <c r="W886" t="str">
        <v>ARC</v>
      </c>
      <c r="X886">
        <v>11.176028945684735</v>
      </c>
    </row>
    <row r="887" spans="8:24" x14ac:dyDescent="0.35">
      <c r="H887" s="66">
        <v>11</v>
      </c>
      <c r="I887" t="s">
        <v>24</v>
      </c>
      <c r="J887" t="s">
        <v>84</v>
      </c>
      <c r="K887" t="s">
        <v>256</v>
      </c>
      <c r="L887" t="s">
        <v>3</v>
      </c>
      <c r="M887" t="s">
        <v>14</v>
      </c>
      <c r="N887">
        <f t="shared" si="44"/>
        <v>11.472769884565089</v>
      </c>
      <c r="O887" t="str">
        <f t="shared" si="45"/>
        <v/>
      </c>
      <c r="P887" s="67" cm="1">
        <f t="array" ref="P887">SUMPRODUCT((H887=$H$7:$H$10000)*(N887&lt;$N$7:$N$10000))+1</f>
        <v>25</v>
      </c>
      <c r="Q887" s="72"/>
      <c r="R887">
        <v>13</v>
      </c>
      <c r="S887" t="str">
        <v>MIA</v>
      </c>
      <c r="T887" t="str">
        <v>Tomás Cubilla</v>
      </c>
      <c r="U887" t="str">
        <v>NULL</v>
      </c>
      <c r="V887" t="str">
        <v>Away</v>
      </c>
      <c r="W887" t="str">
        <v>NOLA</v>
      </c>
      <c r="X887">
        <v>10.901363555073804</v>
      </c>
    </row>
    <row r="888" spans="8:24" x14ac:dyDescent="0.35">
      <c r="H888" s="66">
        <v>11</v>
      </c>
      <c r="I888" t="s">
        <v>24</v>
      </c>
      <c r="J888" t="s">
        <v>194</v>
      </c>
      <c r="K888" t="s">
        <v>256</v>
      </c>
      <c r="L888" t="s">
        <v>3</v>
      </c>
      <c r="M888" t="s">
        <v>14</v>
      </c>
      <c r="N888">
        <f t="shared" si="44"/>
        <v>11.441706016962591</v>
      </c>
      <c r="O888" t="str">
        <f t="shared" si="45"/>
        <v/>
      </c>
      <c r="P888" s="67" cm="1">
        <f t="array" ref="P888">SUMPRODUCT((H888=$H$7:$H$10000)*(N888&lt;$N$7:$N$10000))+1</f>
        <v>26</v>
      </c>
      <c r="Q888" s="72"/>
      <c r="R888">
        <v>13</v>
      </c>
      <c r="S888" t="str">
        <v>NEFJ</v>
      </c>
      <c r="T888" t="str">
        <v>Wayne van der Bank</v>
      </c>
      <c r="U888" t="str">
        <v>NULL</v>
      </c>
      <c r="V888" t="str">
        <v>Home</v>
      </c>
      <c r="W888" t="str">
        <v>CHI</v>
      </c>
      <c r="X888">
        <v>10.752995095800586</v>
      </c>
    </row>
    <row r="889" spans="8:24" x14ac:dyDescent="0.35">
      <c r="H889" s="66">
        <v>11</v>
      </c>
      <c r="I889" t="s">
        <v>24</v>
      </c>
      <c r="J889" t="s">
        <v>101</v>
      </c>
      <c r="K889" t="s">
        <v>256</v>
      </c>
      <c r="L889" t="s">
        <v>3</v>
      </c>
      <c r="M889" t="s">
        <v>14</v>
      </c>
      <c r="N889">
        <f t="shared" si="44"/>
        <v>11.291281622575971</v>
      </c>
      <c r="O889" t="str">
        <f t="shared" si="45"/>
        <v/>
      </c>
      <c r="P889" s="67" cm="1">
        <f t="array" ref="P889">SUMPRODUCT((H889=$H$7:$H$10000)*(N889&lt;$N$7:$N$10000))+1</f>
        <v>27</v>
      </c>
      <c r="Q889" s="72"/>
      <c r="R889">
        <v>13</v>
      </c>
      <c r="S889" t="str">
        <v>NEFJ</v>
      </c>
      <c r="T889" t="str">
        <v>Le Roux Malan</v>
      </c>
      <c r="U889" t="str">
        <v>NULL</v>
      </c>
      <c r="V889" t="str">
        <v>Home</v>
      </c>
      <c r="W889" t="str">
        <v>CHI</v>
      </c>
      <c r="X889">
        <v>10.572791134466716</v>
      </c>
    </row>
    <row r="890" spans="8:24" x14ac:dyDescent="0.35">
      <c r="H890" s="66">
        <v>11</v>
      </c>
      <c r="I890" t="s">
        <v>24</v>
      </c>
      <c r="J890" t="s">
        <v>487</v>
      </c>
      <c r="K890" t="s">
        <v>256</v>
      </c>
      <c r="L890" t="s">
        <v>3</v>
      </c>
      <c r="M890" t="s">
        <v>14</v>
      </c>
      <c r="N890">
        <f t="shared" si="44"/>
        <v>11.122258775341285</v>
      </c>
      <c r="O890" t="str">
        <f t="shared" si="45"/>
        <v/>
      </c>
      <c r="P890" s="67" cm="1">
        <f t="array" ref="P890">SUMPRODUCT((H890=$H$7:$H$10000)*(N890&lt;$N$7:$N$10000))+1</f>
        <v>28</v>
      </c>
      <c r="Q890" s="72"/>
      <c r="R890">
        <v>13</v>
      </c>
      <c r="S890" t="str">
        <v>LA</v>
      </c>
      <c r="T890" t="str">
        <v>Nick Chan</v>
      </c>
      <c r="U890" t="str">
        <v>NULL</v>
      </c>
      <c r="V890" t="str">
        <v>Home</v>
      </c>
      <c r="W890" t="str">
        <v>ARC</v>
      </c>
      <c r="X890">
        <v>10.564733992698386</v>
      </c>
    </row>
    <row r="891" spans="8:24" x14ac:dyDescent="0.35">
      <c r="H891" s="66">
        <v>11</v>
      </c>
      <c r="I891" t="s">
        <v>6</v>
      </c>
      <c r="J891" t="s">
        <v>437</v>
      </c>
      <c r="K891" t="s">
        <v>256</v>
      </c>
      <c r="L891" t="s">
        <v>3</v>
      </c>
      <c r="M891" t="s">
        <v>34</v>
      </c>
      <c r="N891">
        <f t="shared" si="44"/>
        <v>11.09153234631891</v>
      </c>
      <c r="O891" t="str">
        <f t="shared" si="45"/>
        <v/>
      </c>
      <c r="P891" s="67" cm="1">
        <f t="array" ref="P891">SUMPRODUCT((H891=$H$7:$H$10000)*(N891&lt;$N$7:$N$10000))+1</f>
        <v>29</v>
      </c>
      <c r="Q891" s="72"/>
      <c r="R891">
        <v>13</v>
      </c>
      <c r="S891" t="str">
        <v>NEFJ</v>
      </c>
      <c r="T891" t="str">
        <v>Paula Balekana</v>
      </c>
      <c r="U891" t="str">
        <v>NULL</v>
      </c>
      <c r="V891" t="str">
        <v>Home</v>
      </c>
      <c r="W891" t="str">
        <v>CHI</v>
      </c>
      <c r="X891">
        <v>10.530988943760788</v>
      </c>
    </row>
    <row r="892" spans="8:24" x14ac:dyDescent="0.35">
      <c r="H892" s="66">
        <v>11</v>
      </c>
      <c r="I892" t="s">
        <v>4</v>
      </c>
      <c r="J892" t="s">
        <v>286</v>
      </c>
      <c r="K892" t="s">
        <v>256</v>
      </c>
      <c r="L892" t="s">
        <v>3</v>
      </c>
      <c r="M892" t="s">
        <v>17</v>
      </c>
      <c r="N892">
        <f t="shared" si="44"/>
        <v>10.952479081495541</v>
      </c>
      <c r="O892" t="str">
        <f t="shared" si="45"/>
        <v/>
      </c>
      <c r="P892" s="67" cm="1">
        <f t="array" ref="P892">SUMPRODUCT((H892=$H$7:$H$10000)*(N892&lt;$N$7:$N$10000))+1</f>
        <v>30</v>
      </c>
      <c r="Q892" s="72"/>
      <c r="R892">
        <v>13</v>
      </c>
      <c r="S892" t="str">
        <v>SEA</v>
      </c>
      <c r="T892" t="str">
        <v>Rodney Iona</v>
      </c>
      <c r="U892" t="str">
        <v>NULL</v>
      </c>
      <c r="V892" t="str">
        <v>Away</v>
      </c>
      <c r="W892" t="str">
        <v>UTAH</v>
      </c>
      <c r="X892">
        <v>10.526885028324278</v>
      </c>
    </row>
    <row r="893" spans="8:24" x14ac:dyDescent="0.35">
      <c r="H893" s="66">
        <v>11</v>
      </c>
      <c r="I893" t="s">
        <v>24</v>
      </c>
      <c r="J893" t="s">
        <v>439</v>
      </c>
      <c r="K893" t="s">
        <v>256</v>
      </c>
      <c r="L893" t="s">
        <v>3</v>
      </c>
      <c r="M893" t="s">
        <v>14</v>
      </c>
      <c r="N893">
        <f t="shared" si="44"/>
        <v>10.951570136853288</v>
      </c>
      <c r="O893" t="str">
        <f t="shared" si="45"/>
        <v/>
      </c>
      <c r="P893" s="67" cm="1">
        <f t="array" ref="P893">SUMPRODUCT((H893=$H$7:$H$10000)*(N893&lt;$N$7:$N$10000))+1</f>
        <v>31</v>
      </c>
      <c r="Q893" s="72"/>
      <c r="R893">
        <v>13</v>
      </c>
      <c r="S893" t="str">
        <v>LA</v>
      </c>
      <c r="T893" t="str">
        <v>Andrew Coe</v>
      </c>
      <c r="U893" t="str">
        <v>NULL</v>
      </c>
      <c r="V893" t="str">
        <v>Home</v>
      </c>
      <c r="W893" t="str">
        <v>ARC</v>
      </c>
      <c r="X893">
        <v>10.523800447655187</v>
      </c>
    </row>
    <row r="894" spans="8:24" x14ac:dyDescent="0.35">
      <c r="H894" s="66">
        <v>11</v>
      </c>
      <c r="I894" t="s">
        <v>6</v>
      </c>
      <c r="J894" t="s">
        <v>75</v>
      </c>
      <c r="K894" t="s">
        <v>256</v>
      </c>
      <c r="L894" t="s">
        <v>3</v>
      </c>
      <c r="M894" t="s">
        <v>34</v>
      </c>
      <c r="N894">
        <f t="shared" si="44"/>
        <v>10.836418134174377</v>
      </c>
      <c r="O894" t="str">
        <f t="shared" si="45"/>
        <v/>
      </c>
      <c r="P894" s="67" cm="1">
        <f t="array" ref="P894">SUMPRODUCT((H894=$H$7:$H$10000)*(N894&lt;$N$7:$N$10000))+1</f>
        <v>32</v>
      </c>
      <c r="Q894" s="72"/>
      <c r="R894">
        <v>13</v>
      </c>
      <c r="S894" t="str">
        <v>SDL</v>
      </c>
      <c r="T894" t="str">
        <v>Ethan Grayson</v>
      </c>
      <c r="U894" t="str">
        <v>NULL</v>
      </c>
      <c r="V894" t="str">
        <v>Home</v>
      </c>
      <c r="W894" t="str">
        <v>HOU</v>
      </c>
      <c r="X894">
        <v>10.484991918335595</v>
      </c>
    </row>
    <row r="895" spans="8:24" x14ac:dyDescent="0.35">
      <c r="H895" s="66">
        <v>11</v>
      </c>
      <c r="I895" t="s">
        <v>4</v>
      </c>
      <c r="J895" t="s">
        <v>453</v>
      </c>
      <c r="K895" t="s">
        <v>256</v>
      </c>
      <c r="L895" t="s">
        <v>3</v>
      </c>
      <c r="M895" t="s">
        <v>17</v>
      </c>
      <c r="N895">
        <f t="shared" si="44"/>
        <v>10.5094358714907</v>
      </c>
      <c r="O895" t="str">
        <f t="shared" si="45"/>
        <v/>
      </c>
      <c r="P895" s="67" cm="1">
        <f t="array" ref="P895">SUMPRODUCT((H895=$H$7:$H$10000)*(N895&lt;$N$7:$N$10000))+1</f>
        <v>33</v>
      </c>
      <c r="Q895" s="72"/>
      <c r="R895">
        <v>13</v>
      </c>
      <c r="S895" t="str">
        <v>NOLA</v>
      </c>
      <c r="T895" t="str">
        <v>Luke Carty</v>
      </c>
      <c r="U895" t="str">
        <v>NULL</v>
      </c>
      <c r="V895" t="str">
        <v>Home</v>
      </c>
      <c r="W895" t="str">
        <v>MIA</v>
      </c>
      <c r="X895">
        <v>10.356101604087558</v>
      </c>
    </row>
    <row r="896" spans="8:24" x14ac:dyDescent="0.35">
      <c r="H896" s="66">
        <v>11</v>
      </c>
      <c r="I896" t="s">
        <v>34</v>
      </c>
      <c r="J896" t="s">
        <v>51</v>
      </c>
      <c r="K896" t="s">
        <v>256</v>
      </c>
      <c r="L896" t="s">
        <v>9</v>
      </c>
      <c r="M896" t="s">
        <v>6</v>
      </c>
      <c r="N896">
        <f t="shared" si="44"/>
        <v>10.36106635231269</v>
      </c>
      <c r="O896" t="str">
        <f t="shared" si="45"/>
        <v/>
      </c>
      <c r="P896" s="67" cm="1">
        <f t="array" ref="P896">SUMPRODUCT((H896=$H$7:$H$10000)*(N896&lt;$N$7:$N$10000))+1</f>
        <v>34</v>
      </c>
      <c r="Q896" s="72"/>
      <c r="R896">
        <v>13</v>
      </c>
      <c r="S896" t="str">
        <v>CHI</v>
      </c>
      <c r="T896" t="str">
        <v>Ollie Devoto</v>
      </c>
      <c r="U896" t="str">
        <v>NULL</v>
      </c>
      <c r="V896" t="str">
        <v>Away</v>
      </c>
      <c r="W896" t="str">
        <v>NEFJ</v>
      </c>
      <c r="X896">
        <v>10.169678515301296</v>
      </c>
    </row>
    <row r="897" spans="8:24" x14ac:dyDescent="0.35">
      <c r="H897" s="66">
        <v>11</v>
      </c>
      <c r="I897" t="s">
        <v>6</v>
      </c>
      <c r="J897" t="s">
        <v>43</v>
      </c>
      <c r="K897" t="s">
        <v>256</v>
      </c>
      <c r="L897" t="s">
        <v>3</v>
      </c>
      <c r="M897" t="s">
        <v>34</v>
      </c>
      <c r="N897">
        <f t="shared" si="44"/>
        <v>10.343327838590152</v>
      </c>
      <c r="O897" t="str">
        <f t="shared" si="45"/>
        <v/>
      </c>
      <c r="P897" s="67" cm="1">
        <f t="array" ref="P897">SUMPRODUCT((H897=$H$7:$H$10000)*(N897&lt;$N$7:$N$10000))+1</f>
        <v>35</v>
      </c>
      <c r="Q897" s="72"/>
      <c r="R897">
        <v>13</v>
      </c>
      <c r="S897" t="str">
        <v>UTAH</v>
      </c>
      <c r="T897" t="str">
        <v>Jordan Trainor</v>
      </c>
      <c r="U897" t="str">
        <v>NULL</v>
      </c>
      <c r="V897" t="str">
        <v>Home</v>
      </c>
      <c r="W897" t="str">
        <v>SEA</v>
      </c>
      <c r="X897">
        <v>10.079191915719505</v>
      </c>
    </row>
    <row r="898" spans="8:24" x14ac:dyDescent="0.35">
      <c r="H898" s="66">
        <v>11</v>
      </c>
      <c r="I898" t="s">
        <v>4</v>
      </c>
      <c r="J898" t="s">
        <v>74</v>
      </c>
      <c r="K898" t="s">
        <v>256</v>
      </c>
      <c r="L898" t="s">
        <v>3</v>
      </c>
      <c r="M898" t="s">
        <v>17</v>
      </c>
      <c r="N898">
        <f t="shared" si="44"/>
        <v>10.237068533051756</v>
      </c>
      <c r="O898" t="str">
        <f t="shared" si="45"/>
        <v/>
      </c>
      <c r="P898" s="67" cm="1">
        <f t="array" ref="P898">SUMPRODUCT((H898=$H$7:$H$10000)*(N898&lt;$N$7:$N$10000))+1</f>
        <v>36</v>
      </c>
      <c r="Q898" s="72"/>
      <c r="R898">
        <v>13</v>
      </c>
      <c r="S898" t="str">
        <v>SEA</v>
      </c>
      <c r="T898" t="str">
        <v>Duncan Matthews</v>
      </c>
      <c r="U898" t="str">
        <v>NULL</v>
      </c>
      <c r="V898" t="str">
        <v>Away</v>
      </c>
      <c r="W898" t="str">
        <v>UTAH</v>
      </c>
      <c r="X898">
        <v>10.077467276375279</v>
      </c>
    </row>
    <row r="899" spans="8:24" x14ac:dyDescent="0.35">
      <c r="H899" s="66">
        <v>11</v>
      </c>
      <c r="I899" t="s">
        <v>13</v>
      </c>
      <c r="J899" t="s">
        <v>477</v>
      </c>
      <c r="K899" t="s">
        <v>256</v>
      </c>
      <c r="L899" t="s">
        <v>3</v>
      </c>
      <c r="M899" t="s">
        <v>2</v>
      </c>
      <c r="N899">
        <f t="shared" si="44"/>
        <v>10.211277591284334</v>
      </c>
      <c r="O899" t="str">
        <f t="shared" si="45"/>
        <v/>
      </c>
      <c r="P899" s="67" cm="1">
        <f t="array" ref="P899">SUMPRODUCT((H899=$H$7:$H$10000)*(N899&lt;$N$7:$N$10000))+1</f>
        <v>37</v>
      </c>
      <c r="Q899" s="72"/>
      <c r="R899">
        <v>13</v>
      </c>
      <c r="S899" t="str">
        <v>SEA</v>
      </c>
      <c r="T899" t="str">
        <v>Divan Rossouw</v>
      </c>
      <c r="U899" t="str">
        <v>NULL</v>
      </c>
      <c r="V899" t="str">
        <v>Away</v>
      </c>
      <c r="W899" t="str">
        <v>UTAH</v>
      </c>
      <c r="X899">
        <v>9.9593670997156849</v>
      </c>
    </row>
    <row r="900" spans="8:24" x14ac:dyDescent="0.35">
      <c r="H900" s="66">
        <v>11</v>
      </c>
      <c r="I900" t="s">
        <v>24</v>
      </c>
      <c r="J900" t="s">
        <v>96</v>
      </c>
      <c r="K900" t="s">
        <v>256</v>
      </c>
      <c r="L900" t="s">
        <v>3</v>
      </c>
      <c r="M900" t="s">
        <v>14</v>
      </c>
      <c r="N900">
        <f t="shared" si="44"/>
        <v>10.151556877194505</v>
      </c>
      <c r="O900" t="str">
        <f t="shared" si="45"/>
        <v/>
      </c>
      <c r="P900" s="67" cm="1">
        <f t="array" ref="P900">SUMPRODUCT((H900=$H$7:$H$10000)*(N900&lt;$N$7:$N$10000))+1</f>
        <v>38</v>
      </c>
      <c r="Q900" s="72"/>
      <c r="R900">
        <v>13</v>
      </c>
      <c r="S900" t="str">
        <v>NOLA</v>
      </c>
      <c r="T900" t="str">
        <v>Dorian Jones</v>
      </c>
      <c r="U900" t="str">
        <v>NULL</v>
      </c>
      <c r="V900" t="str">
        <v>Home</v>
      </c>
      <c r="W900" t="str">
        <v>MIA</v>
      </c>
      <c r="X900">
        <v>9.8581125006557127</v>
      </c>
    </row>
    <row r="901" spans="8:24" x14ac:dyDescent="0.35">
      <c r="H901" s="66">
        <v>11</v>
      </c>
      <c r="I901" t="s">
        <v>6</v>
      </c>
      <c r="J901" t="s">
        <v>454</v>
      </c>
      <c r="K901" t="s">
        <v>256</v>
      </c>
      <c r="L901" t="s">
        <v>3</v>
      </c>
      <c r="M901" t="s">
        <v>34</v>
      </c>
      <c r="N901">
        <f t="shared" si="44"/>
        <v>10.044662170940407</v>
      </c>
      <c r="O901" t="str">
        <f t="shared" si="45"/>
        <v/>
      </c>
      <c r="P901" s="67" cm="1">
        <f t="array" ref="P901">SUMPRODUCT((H901=$H$7:$H$10000)*(N901&lt;$N$7:$N$10000))+1</f>
        <v>39</v>
      </c>
      <c r="Q901" s="72"/>
      <c r="R901">
        <v>13</v>
      </c>
      <c r="S901" t="str">
        <v>HOU</v>
      </c>
      <c r="T901" t="str">
        <v>Dom Akina</v>
      </c>
      <c r="U901" t="str">
        <v>NULL</v>
      </c>
      <c r="V901" t="str">
        <v>Away</v>
      </c>
      <c r="W901" t="str">
        <v>SDL</v>
      </c>
      <c r="X901">
        <v>9.7353204058231242</v>
      </c>
    </row>
    <row r="902" spans="8:24" x14ac:dyDescent="0.35">
      <c r="H902" s="66">
        <v>11</v>
      </c>
      <c r="I902" t="s">
        <v>2</v>
      </c>
      <c r="J902" t="s">
        <v>449</v>
      </c>
      <c r="K902" t="s">
        <v>256</v>
      </c>
      <c r="L902" t="s">
        <v>9</v>
      </c>
      <c r="M902" t="s">
        <v>13</v>
      </c>
      <c r="N902">
        <f t="shared" si="44"/>
        <v>9.8704940532936138</v>
      </c>
      <c r="O902" t="str">
        <f t="shared" si="45"/>
        <v/>
      </c>
      <c r="P902" s="67" cm="1">
        <f t="array" ref="P902">SUMPRODUCT((H902=$H$7:$H$10000)*(N902&lt;$N$7:$N$10000))+1</f>
        <v>40</v>
      </c>
      <c r="Q902" s="72"/>
      <c r="R902">
        <v>13</v>
      </c>
      <c r="S902" t="str">
        <v>NOLA</v>
      </c>
      <c r="T902" t="str">
        <v>Isaac Te Tamaki</v>
      </c>
      <c r="U902" t="str">
        <v>NULL</v>
      </c>
      <c r="V902" t="str">
        <v>Home</v>
      </c>
      <c r="W902" t="str">
        <v>MIA</v>
      </c>
      <c r="X902">
        <v>9.4107392530188285</v>
      </c>
    </row>
    <row r="903" spans="8:24" x14ac:dyDescent="0.35">
      <c r="H903" s="66">
        <v>11</v>
      </c>
      <c r="I903" t="s">
        <v>6</v>
      </c>
      <c r="J903" t="s">
        <v>451</v>
      </c>
      <c r="K903" t="s">
        <v>256</v>
      </c>
      <c r="L903" t="s">
        <v>3</v>
      </c>
      <c r="M903" t="s">
        <v>34</v>
      </c>
      <c r="N903">
        <f t="shared" si="44"/>
        <v>9.4333672179540589</v>
      </c>
      <c r="O903" t="str">
        <f t="shared" si="45"/>
        <v/>
      </c>
      <c r="P903" s="67" cm="1">
        <f t="array" ref="P903">SUMPRODUCT((H903=$H$7:$H$10000)*(N903&lt;$N$7:$N$10000))+1</f>
        <v>41</v>
      </c>
      <c r="Q903" s="72"/>
      <c r="R903">
        <v>13</v>
      </c>
      <c r="S903" t="str">
        <v>SDL</v>
      </c>
      <c r="T903" t="str">
        <v>Tomas Aoake</v>
      </c>
      <c r="U903" t="str">
        <v>NULL</v>
      </c>
      <c r="V903" t="str">
        <v>Home</v>
      </c>
      <c r="W903" t="str">
        <v>HOU</v>
      </c>
      <c r="X903">
        <v>9.3207026086540363</v>
      </c>
    </row>
    <row r="904" spans="8:24" x14ac:dyDescent="0.35">
      <c r="H904" s="66">
        <v>11</v>
      </c>
      <c r="I904" t="s">
        <v>4</v>
      </c>
      <c r="J904" t="s">
        <v>1</v>
      </c>
      <c r="K904" t="s">
        <v>256</v>
      </c>
      <c r="L904" t="s">
        <v>3</v>
      </c>
      <c r="M904" t="s">
        <v>17</v>
      </c>
      <c r="N904">
        <f t="shared" si="44"/>
        <v>9.4108800133719246</v>
      </c>
      <c r="O904" t="str">
        <f t="shared" si="45"/>
        <v/>
      </c>
      <c r="P904" s="67" cm="1">
        <f t="array" ref="P904">SUMPRODUCT((H904=$H$7:$H$10000)*(N904&lt;$N$7:$N$10000))+1</f>
        <v>42</v>
      </c>
      <c r="Q904" s="72"/>
      <c r="R904">
        <v>13</v>
      </c>
      <c r="S904" t="str">
        <v>CHI</v>
      </c>
      <c r="T904" t="str">
        <v>Adriaan Carelse</v>
      </c>
      <c r="U904" t="str">
        <v>NULL</v>
      </c>
      <c r="V904" t="str">
        <v>Away</v>
      </c>
      <c r="W904" t="str">
        <v>NEFJ</v>
      </c>
      <c r="X904">
        <v>9.2784094795043792</v>
      </c>
    </row>
    <row r="905" spans="8:24" x14ac:dyDescent="0.35">
      <c r="H905" s="66">
        <v>11</v>
      </c>
      <c r="I905" t="s">
        <v>6</v>
      </c>
      <c r="J905" t="s">
        <v>64</v>
      </c>
      <c r="K905" t="s">
        <v>256</v>
      </c>
      <c r="L905" t="s">
        <v>3</v>
      </c>
      <c r="M905" t="s">
        <v>34</v>
      </c>
      <c r="N905">
        <f t="shared" si="44"/>
        <v>9.3924336729108582</v>
      </c>
      <c r="O905" t="str">
        <f t="shared" si="45"/>
        <v/>
      </c>
      <c r="P905" s="67" cm="1">
        <f t="array" ref="P905">SUMPRODUCT((H905=$H$7:$H$10000)*(N905&lt;$N$7:$N$10000))+1</f>
        <v>43</v>
      </c>
      <c r="Q905" s="72"/>
      <c r="R905">
        <v>13</v>
      </c>
      <c r="S905" t="str">
        <v>HOU</v>
      </c>
      <c r="T905" t="str">
        <v>Davy Coetzer</v>
      </c>
      <c r="U905" t="str">
        <v>NULL</v>
      </c>
      <c r="V905" t="str">
        <v>Away</v>
      </c>
      <c r="W905" t="str">
        <v>SDL</v>
      </c>
      <c r="X905">
        <v>9.1557610137082861</v>
      </c>
    </row>
    <row r="906" spans="8:24" x14ac:dyDescent="0.35">
      <c r="H906" s="66">
        <v>11</v>
      </c>
      <c r="I906" t="s">
        <v>17</v>
      </c>
      <c r="J906" t="s">
        <v>492</v>
      </c>
      <c r="K906" t="s">
        <v>256</v>
      </c>
      <c r="L906" t="s">
        <v>9</v>
      </c>
      <c r="M906" t="s">
        <v>4</v>
      </c>
      <c r="N906">
        <f t="shared" si="44"/>
        <v>9.3801752540056942</v>
      </c>
      <c r="O906" t="str">
        <f t="shared" si="45"/>
        <v/>
      </c>
      <c r="P906" s="67" cm="1">
        <f t="array" ref="P906">SUMPRODUCT((H906=$H$7:$H$10000)*(N906&lt;$N$7:$N$10000))+1</f>
        <v>44</v>
      </c>
      <c r="Q906" s="72"/>
      <c r="R906">
        <v>13</v>
      </c>
      <c r="S906" t="str">
        <v>HOU</v>
      </c>
      <c r="T906" t="str">
        <v>Jeremy Misailegalu</v>
      </c>
      <c r="U906" t="str">
        <v>NULL</v>
      </c>
      <c r="V906" t="str">
        <v>Away</v>
      </c>
      <c r="W906" t="str">
        <v>SDL</v>
      </c>
      <c r="X906">
        <v>9.149374496488333</v>
      </c>
    </row>
    <row r="907" spans="8:24" x14ac:dyDescent="0.35">
      <c r="H907" s="66">
        <v>11</v>
      </c>
      <c r="I907" t="s">
        <v>2</v>
      </c>
      <c r="J907" t="s">
        <v>63</v>
      </c>
      <c r="K907" t="s">
        <v>256</v>
      </c>
      <c r="L907" t="s">
        <v>9</v>
      </c>
      <c r="M907" t="s">
        <v>13</v>
      </c>
      <c r="N907">
        <f t="shared" si="44"/>
        <v>8.9792250174966988</v>
      </c>
      <c r="O907" t="str">
        <f t="shared" si="45"/>
        <v/>
      </c>
      <c r="P907" s="67" cm="1">
        <f t="array" ref="P907">SUMPRODUCT((H907=$H$7:$H$10000)*(N907&lt;$N$7:$N$10000))+1</f>
        <v>45</v>
      </c>
      <c r="Q907" s="72"/>
      <c r="R907">
        <v>13</v>
      </c>
      <c r="S907" t="str">
        <v>SEA</v>
      </c>
      <c r="T907" t="str">
        <v>Mikaela Kruse</v>
      </c>
      <c r="U907" t="str">
        <v>NULL</v>
      </c>
      <c r="V907" t="str">
        <v>Away</v>
      </c>
      <c r="W907" t="str">
        <v>UTAH</v>
      </c>
      <c r="X907">
        <v>8.957601684346459</v>
      </c>
    </row>
    <row r="908" spans="8:24" x14ac:dyDescent="0.35">
      <c r="H908" s="66">
        <v>11</v>
      </c>
      <c r="I908" t="s">
        <v>14</v>
      </c>
      <c r="J908" t="s">
        <v>285</v>
      </c>
      <c r="K908" t="s">
        <v>256</v>
      </c>
      <c r="L908" t="s">
        <v>9</v>
      </c>
      <c r="M908" t="s">
        <v>24</v>
      </c>
      <c r="N908">
        <f t="shared" ref="N908:N971" si="46">VLOOKUP($L908,$F$3:$G$4,2,FALSE)+VLOOKUP($J908,$A$20:$B$131,2,FALSE)+VLOOKUP($M908,$A$6:$B$16,2,FALSE)</f>
        <v>8.60326377933613</v>
      </c>
      <c r="O908" t="str">
        <f t="shared" ref="O908:O971" si="47">IFERROR(($K908-$N908)^2,"")</f>
        <v/>
      </c>
      <c r="P908" s="67" cm="1">
        <f t="array" ref="P908">SUMPRODUCT((H908=$H$7:$H$10000)*(N908&lt;$N$7:$N$10000))+1</f>
        <v>46</v>
      </c>
      <c r="Q908" s="72"/>
      <c r="R908">
        <v>13</v>
      </c>
      <c r="S908" t="str">
        <v>MIA</v>
      </c>
      <c r="T908" t="str">
        <v>Marcos Young</v>
      </c>
      <c r="U908" t="str">
        <v>NULL</v>
      </c>
      <c r="V908" t="str">
        <v>Away</v>
      </c>
      <c r="W908" t="str">
        <v>NOLA</v>
      </c>
      <c r="X908">
        <v>8.9225543900543212</v>
      </c>
    </row>
    <row r="909" spans="8:24" x14ac:dyDescent="0.35">
      <c r="H909" s="66">
        <v>11</v>
      </c>
      <c r="I909" t="s">
        <v>17</v>
      </c>
      <c r="J909" t="s">
        <v>196</v>
      </c>
      <c r="K909" t="s">
        <v>256</v>
      </c>
      <c r="L909" t="s">
        <v>9</v>
      </c>
      <c r="M909" t="s">
        <v>4</v>
      </c>
      <c r="N909">
        <f t="shared" si="46"/>
        <v>8.5250899884498708</v>
      </c>
      <c r="O909" t="str">
        <f t="shared" si="47"/>
        <v/>
      </c>
      <c r="P909" s="67" cm="1">
        <f t="array" ref="P909">SUMPRODUCT((H909=$H$7:$H$10000)*(N909&lt;$N$7:$N$10000))+1</f>
        <v>47</v>
      </c>
      <c r="Q909" s="72"/>
      <c r="R909">
        <v>13</v>
      </c>
      <c r="S909" t="str">
        <v>MIA</v>
      </c>
      <c r="T909" t="str">
        <v>Martin Elias</v>
      </c>
      <c r="U909" t="str">
        <v>NULL</v>
      </c>
      <c r="V909" t="str">
        <v>Away</v>
      </c>
      <c r="W909" t="str">
        <v>NOLA</v>
      </c>
      <c r="X909">
        <v>8.891490522451825</v>
      </c>
    </row>
    <row r="910" spans="8:24" x14ac:dyDescent="0.35">
      <c r="H910" s="66">
        <v>11</v>
      </c>
      <c r="I910" t="s">
        <v>36</v>
      </c>
      <c r="J910" t="s">
        <v>38</v>
      </c>
      <c r="K910" t="s">
        <v>256</v>
      </c>
      <c r="L910" t="s">
        <v>3</v>
      </c>
      <c r="M910" t="s">
        <v>7</v>
      </c>
      <c r="N910">
        <f t="shared" si="46"/>
        <v>8.1814318644626152</v>
      </c>
      <c r="O910" t="str">
        <f t="shared" si="47"/>
        <v/>
      </c>
      <c r="P910" s="67" cm="1">
        <f t="array" ref="P910">SUMPRODUCT((H910=$H$7:$H$10000)*(N910&lt;$N$7:$N$10000))+1</f>
        <v>48</v>
      </c>
      <c r="Q910" s="72"/>
      <c r="R910">
        <v>13</v>
      </c>
      <c r="S910" t="str">
        <v>MIA</v>
      </c>
      <c r="T910" t="str">
        <v>Tomas Malanos</v>
      </c>
      <c r="U910" t="str">
        <v>NULL</v>
      </c>
      <c r="V910" t="str">
        <v>Away</v>
      </c>
      <c r="W910" t="str">
        <v>NOLA</v>
      </c>
      <c r="X910">
        <v>8.7410661280652047</v>
      </c>
    </row>
    <row r="911" spans="8:24" x14ac:dyDescent="0.35">
      <c r="H911">
        <v>11</v>
      </c>
      <c r="I911" t="s">
        <v>13</v>
      </c>
      <c r="J911" t="s">
        <v>478</v>
      </c>
      <c r="K911" t="s">
        <v>256</v>
      </c>
      <c r="L911" t="s">
        <v>3</v>
      </c>
      <c r="M911" t="s">
        <v>2</v>
      </c>
      <c r="N911">
        <f t="shared" si="46"/>
        <v>8.1274599137986279</v>
      </c>
      <c r="O911" t="str">
        <f t="shared" si="47"/>
        <v/>
      </c>
      <c r="P911" s="67" cm="1">
        <f t="array" ref="P911">SUMPRODUCT((H911=$H$7:$H$10000)*(N911&lt;$N$7:$N$10000))+1</f>
        <v>49</v>
      </c>
      <c r="Q911" s="72"/>
      <c r="R911">
        <v>13</v>
      </c>
      <c r="S911" t="str">
        <v>MIA</v>
      </c>
      <c r="T911" t="str">
        <v>Tomás Inciarte</v>
      </c>
      <c r="U911" t="str">
        <v>NULL</v>
      </c>
      <c r="V911" t="str">
        <v>Away</v>
      </c>
      <c r="W911" t="str">
        <v>NOLA</v>
      </c>
      <c r="X911">
        <v>8.5720432808305187</v>
      </c>
    </row>
    <row r="912" spans="8:24" x14ac:dyDescent="0.35">
      <c r="H912">
        <v>11</v>
      </c>
      <c r="I912" t="s">
        <v>17</v>
      </c>
      <c r="J912" t="s">
        <v>497</v>
      </c>
      <c r="K912" t="s">
        <v>256</v>
      </c>
      <c r="L912" t="s">
        <v>9</v>
      </c>
      <c r="M912" t="s">
        <v>4</v>
      </c>
      <c r="N912">
        <f t="shared" si="46"/>
        <v>8.0756722365008713</v>
      </c>
      <c r="O912" t="str">
        <f t="shared" si="47"/>
        <v/>
      </c>
      <c r="P912" s="67" cm="1">
        <f t="array" ref="P912">SUMPRODUCT((H912=$H$7:$H$10000)*(N912&lt;$N$7:$N$10000))+1</f>
        <v>50</v>
      </c>
      <c r="Q912" s="72"/>
      <c r="R912">
        <v>13</v>
      </c>
      <c r="S912" t="str">
        <v>MIA</v>
      </c>
      <c r="T912" t="str">
        <v>Tomás Cubelli</v>
      </c>
      <c r="U912" t="str">
        <v>NULL</v>
      </c>
      <c r="V912" t="str">
        <v>Away</v>
      </c>
      <c r="W912" t="str">
        <v>NOLA</v>
      </c>
      <c r="X912">
        <v>8.4013546423425218</v>
      </c>
    </row>
    <row r="913" spans="8:24" x14ac:dyDescent="0.35">
      <c r="H913" s="66">
        <v>11</v>
      </c>
      <c r="I913" t="s">
        <v>17</v>
      </c>
      <c r="J913" t="s">
        <v>37</v>
      </c>
      <c r="K913" t="s">
        <v>256</v>
      </c>
      <c r="L913" t="s">
        <v>9</v>
      </c>
      <c r="M913" t="s">
        <v>4</v>
      </c>
      <c r="N913">
        <f t="shared" si="46"/>
        <v>7.9575720598412776</v>
      </c>
      <c r="O913" t="str">
        <f t="shared" si="47"/>
        <v/>
      </c>
      <c r="P913" s="67" cm="1">
        <f t="array" ref="P913">SUMPRODUCT((H913=$H$7:$H$10000)*(N913&lt;$N$7:$N$10000))+1</f>
        <v>51</v>
      </c>
      <c r="Q913" s="72"/>
      <c r="R913">
        <v>13</v>
      </c>
      <c r="S913" t="str">
        <v>CHI</v>
      </c>
      <c r="T913" t="str">
        <v>Ben Pollack</v>
      </c>
      <c r="U913" t="str">
        <v>NULL</v>
      </c>
      <c r="V913" t="str">
        <v>Away</v>
      </c>
      <c r="W913" t="str">
        <v>NEFJ</v>
      </c>
      <c r="X913">
        <v>8.2509916387918132</v>
      </c>
    </row>
    <row r="914" spans="8:24" x14ac:dyDescent="0.35">
      <c r="H914" s="66">
        <v>11</v>
      </c>
      <c r="I914" t="s">
        <v>14</v>
      </c>
      <c r="J914" t="s">
        <v>11</v>
      </c>
      <c r="K914" t="s">
        <v>256</v>
      </c>
      <c r="L914" t="s">
        <v>9</v>
      </c>
      <c r="M914" t="s">
        <v>24</v>
      </c>
      <c r="N914">
        <f t="shared" si="46"/>
        <v>7.9533070006234095</v>
      </c>
      <c r="O914" t="str">
        <f t="shared" si="47"/>
        <v/>
      </c>
      <c r="P914" s="67" cm="1">
        <f t="array" ref="P914">SUMPRODUCT((H914=$H$7:$H$10000)*(N914&lt;$N$7:$N$10000))+1</f>
        <v>52</v>
      </c>
      <c r="Q914" s="72"/>
      <c r="R914">
        <v>13</v>
      </c>
      <c r="S914" t="str">
        <v>ARC</v>
      </c>
      <c r="T914" t="str">
        <v>Jason Tidwell</v>
      </c>
      <c r="U914" t="str">
        <v>NULL</v>
      </c>
      <c r="V914" t="str">
        <v>Away</v>
      </c>
      <c r="W914" t="str">
        <v>LA</v>
      </c>
      <c r="X914">
        <v>8.0055735476872378</v>
      </c>
    </row>
    <row r="915" spans="8:24" x14ac:dyDescent="0.35">
      <c r="H915" s="66">
        <v>11</v>
      </c>
      <c r="I915" t="s">
        <v>2</v>
      </c>
      <c r="J915" t="s">
        <v>455</v>
      </c>
      <c r="K915" t="s">
        <v>256</v>
      </c>
      <c r="L915" t="s">
        <v>9</v>
      </c>
      <c r="M915" t="s">
        <v>13</v>
      </c>
      <c r="N915">
        <f t="shared" si="46"/>
        <v>7.951807176784131</v>
      </c>
      <c r="O915" t="str">
        <f t="shared" si="47"/>
        <v/>
      </c>
      <c r="P915" s="67" cm="1">
        <f t="array" ref="P915">SUMPRODUCT((H915=$H$7:$H$10000)*(N915&lt;$N$7:$N$10000))+1</f>
        <v>53</v>
      </c>
      <c r="Q915" s="72"/>
      <c r="R915">
        <v>13</v>
      </c>
      <c r="S915" t="str">
        <v>UTAH</v>
      </c>
      <c r="T915" t="str">
        <v>Blake Makiri</v>
      </c>
      <c r="U915" t="str">
        <v>NULL</v>
      </c>
      <c r="V915" t="str">
        <v>Home</v>
      </c>
      <c r="W915" t="str">
        <v>SEA</v>
      </c>
      <c r="X915">
        <v>7.9953742382337989</v>
      </c>
    </row>
    <row r="916" spans="8:24" x14ac:dyDescent="0.35">
      <c r="H916" s="66">
        <v>11</v>
      </c>
      <c r="I916" t="s">
        <v>36</v>
      </c>
      <c r="J916" t="s">
        <v>71</v>
      </c>
      <c r="K916" t="s">
        <v>256</v>
      </c>
      <c r="L916" t="s">
        <v>3</v>
      </c>
      <c r="M916" t="s">
        <v>7</v>
      </c>
      <c r="N916">
        <f t="shared" si="46"/>
        <v>7.6018724723477771</v>
      </c>
      <c r="O916" t="str">
        <f t="shared" si="47"/>
        <v/>
      </c>
      <c r="P916" s="67" cm="1">
        <f t="array" ref="P916">SUMPRODUCT((H916=$H$7:$H$10000)*(N916&lt;$N$7:$N$10000))+1</f>
        <v>54</v>
      </c>
      <c r="Q916" s="72"/>
      <c r="R916">
        <v>13</v>
      </c>
      <c r="S916" t="str">
        <v>SDL</v>
      </c>
      <c r="T916" t="str">
        <v>Tavite Lopeti</v>
      </c>
      <c r="U916" t="str">
        <v>NULL</v>
      </c>
      <c r="V916" t="str">
        <v>Home</v>
      </c>
      <c r="W916" t="str">
        <v>HOU</v>
      </c>
      <c r="X916">
        <v>7.9923720051462901</v>
      </c>
    </row>
    <row r="917" spans="8:24" x14ac:dyDescent="0.35">
      <c r="H917" s="66">
        <v>11</v>
      </c>
      <c r="I917" t="s">
        <v>36</v>
      </c>
      <c r="J917" t="s">
        <v>78</v>
      </c>
      <c r="K917" t="s">
        <v>256</v>
      </c>
      <c r="L917" t="s">
        <v>3</v>
      </c>
      <c r="M917" t="s">
        <v>7</v>
      </c>
      <c r="N917">
        <f t="shared" si="46"/>
        <v>7.5954859551278249</v>
      </c>
      <c r="O917" t="str">
        <f t="shared" si="47"/>
        <v/>
      </c>
      <c r="P917" s="67" cm="1">
        <f t="array" ref="P917">SUMPRODUCT((H917=$H$7:$H$10000)*(N917&lt;$N$7:$N$10000))+1</f>
        <v>55</v>
      </c>
      <c r="Q917" s="72"/>
      <c r="R917">
        <v>13</v>
      </c>
      <c r="S917" t="str">
        <v>SEA</v>
      </c>
      <c r="T917" t="str">
        <v>JP Smith</v>
      </c>
      <c r="U917" t="str">
        <v>NULL</v>
      </c>
      <c r="V917" t="str">
        <v>Away</v>
      </c>
      <c r="W917" t="str">
        <v>UTAH</v>
      </c>
      <c r="X917">
        <v>7.9395317842216597</v>
      </c>
    </row>
    <row r="918" spans="8:24" x14ac:dyDescent="0.35">
      <c r="H918" s="66">
        <v>11</v>
      </c>
      <c r="I918" t="s">
        <v>7</v>
      </c>
      <c r="J918" t="s">
        <v>67</v>
      </c>
      <c r="K918" t="s">
        <v>256</v>
      </c>
      <c r="L918" t="s">
        <v>9</v>
      </c>
      <c r="M918" t="s">
        <v>36</v>
      </c>
      <c r="N918">
        <f t="shared" si="46"/>
        <v>7.5478408248014768</v>
      </c>
      <c r="O918" t="str">
        <f t="shared" si="47"/>
        <v/>
      </c>
      <c r="P918" s="67" cm="1">
        <f t="array" ref="P918">SUMPRODUCT((H918=$H$7:$H$10000)*(N918&lt;$N$7:$N$10000))+1</f>
        <v>56</v>
      </c>
      <c r="Q918" s="72"/>
      <c r="R918">
        <v>13</v>
      </c>
      <c r="S918" t="str">
        <v>SDL</v>
      </c>
      <c r="T918" t="str">
        <v>Lincoln McClutchie</v>
      </c>
      <c r="U918" t="str">
        <v>NULL</v>
      </c>
      <c r="V918" t="str">
        <v>Home</v>
      </c>
      <c r="W918" t="str">
        <v>HOU</v>
      </c>
      <c r="X918">
        <v>7.8335937440073158</v>
      </c>
    </row>
    <row r="919" spans="8:24" x14ac:dyDescent="0.35">
      <c r="H919" s="66">
        <v>11</v>
      </c>
      <c r="I919" t="s">
        <v>13</v>
      </c>
      <c r="J919" t="s">
        <v>53</v>
      </c>
      <c r="K919" t="s">
        <v>256</v>
      </c>
      <c r="L919" t="s">
        <v>3</v>
      </c>
      <c r="M919" t="s">
        <v>2</v>
      </c>
      <c r="N919">
        <f t="shared" si="46"/>
        <v>7.4742089867888</v>
      </c>
      <c r="O919" t="str">
        <f t="shared" si="47"/>
        <v/>
      </c>
      <c r="P919" s="67" cm="1">
        <f t="array" ref="P919">SUMPRODUCT((H919=$H$7:$H$10000)*(N919&lt;$N$7:$N$10000))+1</f>
        <v>57</v>
      </c>
      <c r="Q919" s="72"/>
      <c r="R919">
        <v>13</v>
      </c>
      <c r="S919" t="str">
        <v>SDL</v>
      </c>
      <c r="T919" t="str">
        <v>James Vaifale</v>
      </c>
      <c r="U919" t="str">
        <v>NULL</v>
      </c>
      <c r="V919" t="str">
        <v>Home</v>
      </c>
      <c r="W919" t="str">
        <v>HOU</v>
      </c>
      <c r="X919">
        <v>7.6764848866072608</v>
      </c>
    </row>
    <row r="920" spans="8:24" x14ac:dyDescent="0.35">
      <c r="H920" s="66">
        <v>11</v>
      </c>
      <c r="I920" t="s">
        <v>2</v>
      </c>
      <c r="J920" t="s">
        <v>44</v>
      </c>
      <c r="K920" t="s">
        <v>256</v>
      </c>
      <c r="L920" t="s">
        <v>9</v>
      </c>
      <c r="M920" t="s">
        <v>13</v>
      </c>
      <c r="N920">
        <f t="shared" si="46"/>
        <v>7.3209207895324475</v>
      </c>
      <c r="O920" t="str">
        <f t="shared" si="47"/>
        <v/>
      </c>
      <c r="P920" s="67" cm="1">
        <f t="array" ref="P920">SUMPRODUCT((H920=$H$7:$H$10000)*(N920&lt;$N$7:$N$10000))+1</f>
        <v>58</v>
      </c>
      <c r="Q920" s="72"/>
      <c r="R920">
        <v>13</v>
      </c>
      <c r="S920" t="str">
        <v>CHI</v>
      </c>
      <c r="T920" t="str">
        <v>Bryce Campbell</v>
      </c>
      <c r="U920" t="str">
        <v>NULL</v>
      </c>
      <c r="V920" t="str">
        <v>Away</v>
      </c>
      <c r="W920" t="str">
        <v>NEFJ</v>
      </c>
      <c r="X920">
        <v>7.6201052515401297</v>
      </c>
    </row>
    <row r="921" spans="8:24" x14ac:dyDescent="0.35">
      <c r="H921" s="66">
        <v>11</v>
      </c>
      <c r="I921" t="s">
        <v>24</v>
      </c>
      <c r="J921" t="s">
        <v>402</v>
      </c>
      <c r="K921" t="s">
        <v>256</v>
      </c>
      <c r="L921" t="s">
        <v>3</v>
      </c>
      <c r="M921" t="s">
        <v>14</v>
      </c>
      <c r="N921">
        <f t="shared" si="46"/>
        <v>7.2601455145112723</v>
      </c>
      <c r="O921" t="str">
        <f t="shared" si="47"/>
        <v/>
      </c>
      <c r="P921" s="67" cm="1">
        <f t="array" ref="P921">SUMPRODUCT((H921=$H$7:$H$10000)*(N921&lt;$N$7:$N$10000))+1</f>
        <v>59</v>
      </c>
      <c r="Q921" s="72"/>
      <c r="R921">
        <v>13</v>
      </c>
      <c r="S921" t="str">
        <v>MIA</v>
      </c>
      <c r="T921" t="str">
        <v>Santiago Videla</v>
      </c>
      <c r="U921" t="str">
        <v>NULL</v>
      </c>
      <c r="V921" t="str">
        <v>Away</v>
      </c>
      <c r="W921" t="str">
        <v>NOLA</v>
      </c>
      <c r="X921">
        <v>7.6013413826837368</v>
      </c>
    </row>
    <row r="922" spans="8:24" x14ac:dyDescent="0.35">
      <c r="H922" s="66">
        <v>11</v>
      </c>
      <c r="I922" t="s">
        <v>17</v>
      </c>
      <c r="J922" t="s">
        <v>450</v>
      </c>
      <c r="K922" t="s">
        <v>256</v>
      </c>
      <c r="L922" t="s">
        <v>9</v>
      </c>
      <c r="M922" t="s">
        <v>4</v>
      </c>
      <c r="N922">
        <f t="shared" si="46"/>
        <v>6.9558066444720517</v>
      </c>
      <c r="O922" t="str">
        <f t="shared" si="47"/>
        <v/>
      </c>
      <c r="P922" s="67" cm="1">
        <f t="array" ref="P922">SUMPRODUCT((H922=$H$7:$H$10000)*(N922&lt;$N$7:$N$10000))+1</f>
        <v>60</v>
      </c>
      <c r="Q922" s="72"/>
      <c r="R922">
        <v>13</v>
      </c>
      <c r="S922" t="str">
        <v>ARC</v>
      </c>
      <c r="T922" t="str">
        <v>Junior Gafa</v>
      </c>
      <c r="U922" t="str">
        <v>NULL</v>
      </c>
      <c r="V922" t="str">
        <v>Away</v>
      </c>
      <c r="W922" t="str">
        <v>LA</v>
      </c>
      <c r="X922">
        <v>7.3556167689745173</v>
      </c>
    </row>
    <row r="923" spans="8:24" x14ac:dyDescent="0.35">
      <c r="H923" s="66">
        <v>11</v>
      </c>
      <c r="I923" t="s">
        <v>7</v>
      </c>
      <c r="J923" t="s">
        <v>447</v>
      </c>
      <c r="K923" t="s">
        <v>256</v>
      </c>
      <c r="L923" t="s">
        <v>9</v>
      </c>
      <c r="M923" t="s">
        <v>36</v>
      </c>
      <c r="N923">
        <f t="shared" si="46"/>
        <v>6.8601997641354222</v>
      </c>
      <c r="O923" t="str">
        <f t="shared" si="47"/>
        <v/>
      </c>
      <c r="P923" s="67" cm="1">
        <f t="array" ref="P923">SUMPRODUCT((H923=$H$7:$H$10000)*(N923&lt;$N$7:$N$10000))+1</f>
        <v>61</v>
      </c>
      <c r="Q923" s="72"/>
      <c r="R923">
        <v>13</v>
      </c>
      <c r="S923" t="str">
        <v>UTAH</v>
      </c>
      <c r="T923" t="str">
        <v>Spencer Jones</v>
      </c>
      <c r="U923" t="str">
        <v>NULL</v>
      </c>
      <c r="V923" t="str">
        <v>Home</v>
      </c>
      <c r="W923" t="str">
        <v>SEA</v>
      </c>
      <c r="X923">
        <v>7.342123311223971</v>
      </c>
    </row>
    <row r="924" spans="8:24" x14ac:dyDescent="0.35">
      <c r="H924" s="66">
        <v>11</v>
      </c>
      <c r="I924" t="s">
        <v>4</v>
      </c>
      <c r="J924" t="s">
        <v>493</v>
      </c>
      <c r="K924" t="s">
        <v>256</v>
      </c>
      <c r="L924" t="s">
        <v>3</v>
      </c>
      <c r="M924" t="s">
        <v>17</v>
      </c>
      <c r="N924">
        <f t="shared" si="46"/>
        <v>6.6711704266868477</v>
      </c>
      <c r="O924" t="str">
        <f t="shared" si="47"/>
        <v/>
      </c>
      <c r="P924" s="67" cm="1">
        <f t="array" ref="P924">SUMPRODUCT((H924=$H$7:$H$10000)*(N924&lt;$N$7:$N$10000))+1</f>
        <v>62</v>
      </c>
      <c r="Q924" s="72"/>
      <c r="R924">
        <v>13</v>
      </c>
      <c r="S924" t="str">
        <v>NOLA</v>
      </c>
      <c r="T924" t="str">
        <v>Nikolai Foliaki</v>
      </c>
      <c r="U924" t="str">
        <v>NULL</v>
      </c>
      <c r="V924" t="str">
        <v>Home</v>
      </c>
      <c r="W924" t="str">
        <v>MIA</v>
      </c>
      <c r="X924">
        <v>6.9963389438931305</v>
      </c>
    </row>
    <row r="925" spans="8:24" x14ac:dyDescent="0.35">
      <c r="H925" s="66">
        <v>11</v>
      </c>
      <c r="I925" t="s">
        <v>2</v>
      </c>
      <c r="J925" t="s">
        <v>441</v>
      </c>
      <c r="K925" t="s">
        <v>256</v>
      </c>
      <c r="L925" t="s">
        <v>9</v>
      </c>
      <c r="M925" t="s">
        <v>13</v>
      </c>
      <c r="N925">
        <f t="shared" si="46"/>
        <v>6.4542290741910691</v>
      </c>
      <c r="O925" t="str">
        <f t="shared" si="47"/>
        <v/>
      </c>
      <c r="P925" s="67" cm="1">
        <f t="array" ref="P925">SUMPRODUCT((H925=$H$7:$H$10000)*(N925&lt;$N$7:$N$10000))+1</f>
        <v>63</v>
      </c>
      <c r="Q925" s="72"/>
      <c r="R925">
        <v>13</v>
      </c>
      <c r="S925" t="str">
        <v>HOU</v>
      </c>
      <c r="T925" t="str">
        <v>AJ Alatimu</v>
      </c>
      <c r="U925" t="str">
        <v>NULL</v>
      </c>
      <c r="V925" t="str">
        <v>Away</v>
      </c>
      <c r="W925" t="str">
        <v>SDL</v>
      </c>
      <c r="X925">
        <v>6.820350419454579</v>
      </c>
    </row>
    <row r="926" spans="8:24" x14ac:dyDescent="0.35">
      <c r="H926" s="66">
        <v>11</v>
      </c>
      <c r="I926" t="s">
        <v>24</v>
      </c>
      <c r="J926" t="s">
        <v>35</v>
      </c>
      <c r="K926" t="s">
        <v>256</v>
      </c>
      <c r="L926" t="s">
        <v>3</v>
      </c>
      <c r="M926" t="s">
        <v>14</v>
      </c>
      <c r="N926">
        <f t="shared" si="46"/>
        <v>6.4538471685949812</v>
      </c>
      <c r="O926" t="str">
        <f t="shared" si="47"/>
        <v/>
      </c>
      <c r="P926" s="67" cm="1">
        <f t="array" ref="P926">SUMPRODUCT((H926=$H$7:$H$10000)*(N926&lt;$N$7:$N$10000))+1</f>
        <v>64</v>
      </c>
      <c r="Q926" s="72"/>
      <c r="R926">
        <v>13</v>
      </c>
      <c r="S926" t="str">
        <v>CHI</v>
      </c>
      <c r="T926" t="str">
        <v>Mitch Short</v>
      </c>
      <c r="U926" t="str">
        <v>NULL</v>
      </c>
      <c r="V926" t="str">
        <v>Away</v>
      </c>
      <c r="W926" t="str">
        <v>NEFJ</v>
      </c>
      <c r="X926">
        <v>6.7534135361987513</v>
      </c>
    </row>
    <row r="927" spans="8:24" x14ac:dyDescent="0.35">
      <c r="H927" s="66">
        <v>11</v>
      </c>
      <c r="I927" t="s">
        <v>4</v>
      </c>
      <c r="J927" t="s">
        <v>188</v>
      </c>
      <c r="K927" t="s">
        <v>256</v>
      </c>
      <c r="L927" t="s">
        <v>3</v>
      </c>
      <c r="M927" t="s">
        <v>17</v>
      </c>
      <c r="N927">
        <f t="shared" si="46"/>
        <v>6.1731813232550028</v>
      </c>
      <c r="O927" t="str">
        <f t="shared" si="47"/>
        <v/>
      </c>
      <c r="P927" s="67" cm="1">
        <f t="array" ref="P927">SUMPRODUCT((H927=$H$7:$H$10000)*(N927&lt;$N$7:$N$10000))+1</f>
        <v>65</v>
      </c>
      <c r="Q927" s="72"/>
      <c r="R927">
        <v>13</v>
      </c>
      <c r="S927" t="str">
        <v>SDL</v>
      </c>
      <c r="T927" t="str">
        <v>Richard Judd</v>
      </c>
      <c r="U927" t="str">
        <v>NULL</v>
      </c>
      <c r="V927" t="str">
        <v>Home</v>
      </c>
      <c r="W927" t="str">
        <v>HOU</v>
      </c>
      <c r="X927">
        <v>6.5585549954403293</v>
      </c>
    </row>
    <row r="928" spans="8:24" x14ac:dyDescent="0.35">
      <c r="H928" s="66">
        <v>11</v>
      </c>
      <c r="I928" t="s">
        <v>14</v>
      </c>
      <c r="J928" t="s">
        <v>278</v>
      </c>
      <c r="K928" t="s">
        <v>256</v>
      </c>
      <c r="L928" t="s">
        <v>9</v>
      </c>
      <c r="M928" t="s">
        <v>24</v>
      </c>
      <c r="N928">
        <f t="shared" si="46"/>
        <v>6.0765400840194177</v>
      </c>
      <c r="O928" t="str">
        <f t="shared" si="47"/>
        <v/>
      </c>
      <c r="P928" s="67" cm="1">
        <f t="array" ref="P928">SUMPRODUCT((H928=$H$7:$H$10000)*(N928&lt;$N$7:$N$10000))+1</f>
        <v>66</v>
      </c>
      <c r="Q928" s="72"/>
      <c r="R928">
        <v>13</v>
      </c>
      <c r="S928" t="str">
        <v>SEA</v>
      </c>
      <c r="T928" t="str">
        <v>Lauina Futi</v>
      </c>
      <c r="U928" t="str">
        <v>NULL</v>
      </c>
      <c r="V928" t="str">
        <v>Away</v>
      </c>
      <c r="W928" t="str">
        <v>UTAH</v>
      </c>
      <c r="X928">
        <v>6.5446559409059768</v>
      </c>
    </row>
    <row r="929" spans="8:24" x14ac:dyDescent="0.35">
      <c r="H929" s="66">
        <v>11</v>
      </c>
      <c r="I929" t="s">
        <v>17</v>
      </c>
      <c r="J929" t="s">
        <v>81</v>
      </c>
      <c r="K929" t="s">
        <v>256</v>
      </c>
      <c r="L929" t="s">
        <v>9</v>
      </c>
      <c r="M929" t="s">
        <v>4</v>
      </c>
      <c r="N929">
        <f t="shared" si="46"/>
        <v>5.9377367443472524</v>
      </c>
      <c r="O929" t="str">
        <f t="shared" si="47"/>
        <v/>
      </c>
      <c r="P929" s="67" cm="1">
        <f t="array" ref="P929">SUMPRODUCT((H929=$H$7:$H$10000)*(N929&lt;$N$7:$N$10000))+1</f>
        <v>67</v>
      </c>
      <c r="Q929" s="72"/>
      <c r="R929">
        <v>13</v>
      </c>
      <c r="S929" t="str">
        <v>SDL</v>
      </c>
      <c r="T929" t="str">
        <v>Tiaan Loots</v>
      </c>
      <c r="U929" t="str">
        <v>NULL</v>
      </c>
      <c r="V929" t="str">
        <v>Home</v>
      </c>
      <c r="W929" t="str">
        <v>HOU</v>
      </c>
      <c r="X929">
        <v>6.4634837267422887</v>
      </c>
    </row>
    <row r="930" spans="8:24" x14ac:dyDescent="0.35">
      <c r="H930" s="66">
        <v>11</v>
      </c>
      <c r="I930" t="s">
        <v>13</v>
      </c>
      <c r="J930" t="s">
        <v>474</v>
      </c>
      <c r="K930" t="s">
        <v>256</v>
      </c>
      <c r="L930" t="s">
        <v>3</v>
      </c>
      <c r="M930" t="s">
        <v>2</v>
      </c>
      <c r="N930">
        <f t="shared" si="46"/>
        <v>5.8699032867338934</v>
      </c>
      <c r="O930" t="str">
        <f t="shared" si="47"/>
        <v/>
      </c>
      <c r="P930" s="67" cm="1">
        <f t="array" ref="P930">SUMPRODUCT((H930=$H$7:$H$10000)*(N930&lt;$N$7:$N$10000))+1</f>
        <v>68</v>
      </c>
      <c r="Q930" s="72"/>
      <c r="R930">
        <v>13</v>
      </c>
      <c r="S930" t="str">
        <v>NEFJ</v>
      </c>
      <c r="T930" t="str">
        <v>Killian Coghlan</v>
      </c>
      <c r="U930" t="str">
        <v>NULL</v>
      </c>
      <c r="V930" t="str">
        <v>Home</v>
      </c>
      <c r="W930" t="str">
        <v>CHI</v>
      </c>
      <c r="X930">
        <v>6.1861380068696725</v>
      </c>
    </row>
    <row r="931" spans="8:24" x14ac:dyDescent="0.35">
      <c r="H931" s="66">
        <v>11</v>
      </c>
      <c r="I931" t="s">
        <v>7</v>
      </c>
      <c r="J931" t="s">
        <v>77</v>
      </c>
      <c r="K931" t="s">
        <v>256</v>
      </c>
      <c r="L931" t="s">
        <v>9</v>
      </c>
      <c r="M931" t="s">
        <v>36</v>
      </c>
      <c r="N931">
        <f t="shared" si="46"/>
        <v>5.8396665244806938</v>
      </c>
      <c r="O931" t="str">
        <f t="shared" si="47"/>
        <v/>
      </c>
      <c r="P931" s="67" cm="1">
        <f t="array" ref="P931">SUMPRODUCT((H931=$H$7:$H$10000)*(N931&lt;$N$7:$N$10000))+1</f>
        <v>69</v>
      </c>
      <c r="Q931" s="72"/>
      <c r="R931">
        <v>13</v>
      </c>
      <c r="S931" t="str">
        <v>UTAH</v>
      </c>
      <c r="T931" t="str">
        <v>Kyle Brown</v>
      </c>
      <c r="U931" t="str">
        <v>NULL</v>
      </c>
      <c r="V931" t="str">
        <v>Home</v>
      </c>
      <c r="W931" t="str">
        <v>SEA</v>
      </c>
      <c r="X931">
        <v>5.7378176111690644</v>
      </c>
    </row>
    <row r="932" spans="8:24" x14ac:dyDescent="0.35">
      <c r="H932" s="66">
        <v>11</v>
      </c>
      <c r="I932" t="s">
        <v>4</v>
      </c>
      <c r="J932" t="s">
        <v>452</v>
      </c>
      <c r="K932" t="s">
        <v>256</v>
      </c>
      <c r="L932" t="s">
        <v>3</v>
      </c>
      <c r="M932" t="s">
        <v>17</v>
      </c>
      <c r="N932">
        <f t="shared" si="46"/>
        <v>5.7258080756181178</v>
      </c>
      <c r="O932" t="str">
        <f t="shared" si="47"/>
        <v/>
      </c>
      <c r="P932" s="67" cm="1">
        <f t="array" ref="P932">SUMPRODUCT((H932=$H$7:$H$10000)*(N932&lt;$N$7:$N$10000))+1</f>
        <v>70</v>
      </c>
      <c r="Q932" s="72"/>
      <c r="R932">
        <v>13</v>
      </c>
      <c r="S932" t="str">
        <v>ARC</v>
      </c>
      <c r="T932" t="str">
        <v>Conner Mooneyham</v>
      </c>
      <c r="U932" t="str">
        <v>NULL</v>
      </c>
      <c r="V932" t="str">
        <v>Away</v>
      </c>
      <c r="W932" t="str">
        <v>LA</v>
      </c>
      <c r="X932">
        <v>5.4788498523705256</v>
      </c>
    </row>
    <row r="933" spans="8:24" x14ac:dyDescent="0.35">
      <c r="H933" s="66">
        <v>11</v>
      </c>
      <c r="I933" t="s">
        <v>36</v>
      </c>
      <c r="J933" t="s">
        <v>491</v>
      </c>
      <c r="K933" t="s">
        <v>256</v>
      </c>
      <c r="L933" t="s">
        <v>3</v>
      </c>
      <c r="M933" t="s">
        <v>7</v>
      </c>
      <c r="N933">
        <f t="shared" si="46"/>
        <v>5.2664618780940717</v>
      </c>
      <c r="O933" t="str">
        <f t="shared" si="47"/>
        <v/>
      </c>
      <c r="P933" s="67" cm="1">
        <f t="array" ref="P933">SUMPRODUCT((H933=$H$7:$H$10000)*(N933&lt;$N$7:$N$10000))+1</f>
        <v>71</v>
      </c>
      <c r="Q933" s="72"/>
      <c r="R933">
        <v>13</v>
      </c>
      <c r="S933" t="str">
        <v>HOU</v>
      </c>
      <c r="T933" t="str">
        <v>Rufus McLean</v>
      </c>
      <c r="U933" t="str">
        <v>NULL</v>
      </c>
      <c r="V933" t="str">
        <v>Away</v>
      </c>
      <c r="W933" t="str">
        <v>SDL</v>
      </c>
      <c r="X933">
        <v>5.3410080552049699</v>
      </c>
    </row>
    <row r="934" spans="8:24" x14ac:dyDescent="0.35">
      <c r="H934" s="66">
        <v>11</v>
      </c>
      <c r="I934" t="s">
        <v>13</v>
      </c>
      <c r="J934" t="s">
        <v>472</v>
      </c>
      <c r="K934" t="s">
        <v>256</v>
      </c>
      <c r="L934" t="s">
        <v>3</v>
      </c>
      <c r="M934" t="s">
        <v>2</v>
      </c>
      <c r="N934">
        <f t="shared" si="46"/>
        <v>5.1570274689053006</v>
      </c>
      <c r="O934" t="str">
        <f t="shared" si="47"/>
        <v/>
      </c>
      <c r="P934" s="67" cm="1">
        <f t="array" ref="P934">SUMPRODUCT((H934=$H$7:$H$10000)*(N934&lt;$N$7:$N$10000))+1</f>
        <v>72</v>
      </c>
      <c r="Q934" s="72"/>
      <c r="R934">
        <v>13</v>
      </c>
      <c r="S934" t="str">
        <v>HOU</v>
      </c>
      <c r="T934" t="str">
        <v>Max Schumacher</v>
      </c>
      <c r="U934" t="str">
        <v>NULL</v>
      </c>
      <c r="V934" t="str">
        <v>Away</v>
      </c>
      <c r="W934" t="str">
        <v>SDL</v>
      </c>
      <c r="X934">
        <v>5.1941748950419884</v>
      </c>
    </row>
    <row r="935" spans="8:24" x14ac:dyDescent="0.35">
      <c r="H935" s="66">
        <v>11</v>
      </c>
      <c r="I935" t="s">
        <v>14</v>
      </c>
      <c r="J935" t="s">
        <v>488</v>
      </c>
      <c r="K935" t="s">
        <v>256</v>
      </c>
      <c r="L935" t="s">
        <v>9</v>
      </c>
      <c r="M935" t="s">
        <v>24</v>
      </c>
      <c r="N935">
        <f t="shared" si="46"/>
        <v>5.1231132660574943</v>
      </c>
      <c r="O935" t="str">
        <f t="shared" si="47"/>
        <v/>
      </c>
      <c r="P935" s="67" cm="1">
        <f t="array" ref="P935">SUMPRODUCT((H935=$H$7:$H$10000)*(N935&lt;$N$7:$N$10000))+1</f>
        <v>73</v>
      </c>
      <c r="Q935" s="72"/>
      <c r="R935">
        <v>13</v>
      </c>
      <c r="S935" t="str">
        <v>SEA</v>
      </c>
      <c r="T935" t="str">
        <v>Dan Kriel</v>
      </c>
      <c r="U935" t="str">
        <v>NULL</v>
      </c>
      <c r="V935" t="str">
        <v>Away</v>
      </c>
      <c r="W935" t="str">
        <v>UTAH</v>
      </c>
      <c r="X935">
        <v>5.1869008846624327</v>
      </c>
    </row>
    <row r="936" spans="8:24" x14ac:dyDescent="0.35">
      <c r="H936">
        <v>11</v>
      </c>
      <c r="I936" t="s">
        <v>17</v>
      </c>
      <c r="J936" t="s">
        <v>82</v>
      </c>
      <c r="K936" t="s">
        <v>256</v>
      </c>
      <c r="L936" t="s">
        <v>9</v>
      </c>
      <c r="M936" t="s">
        <v>4</v>
      </c>
      <c r="N936">
        <f t="shared" si="46"/>
        <v>4.5428609010315695</v>
      </c>
      <c r="O936" t="str">
        <f t="shared" si="47"/>
        <v/>
      </c>
      <c r="P936" s="67" cm="1">
        <f t="array" ref="P936">SUMPRODUCT((H936=$H$7:$H$10000)*(N936&lt;$N$7:$N$10000))+1</f>
        <v>74</v>
      </c>
      <c r="Q936" s="72"/>
      <c r="R936">
        <v>13</v>
      </c>
      <c r="S936" t="str">
        <v>SDL</v>
      </c>
      <c r="T936" t="str">
        <v>Marcel Brache</v>
      </c>
      <c r="U936" t="str">
        <v>NULL</v>
      </c>
      <c r="V936" t="str">
        <v>Home</v>
      </c>
      <c r="W936" t="str">
        <v>HOU</v>
      </c>
      <c r="X936">
        <v>5.1103014134608404</v>
      </c>
    </row>
    <row r="937" spans="8:24" x14ac:dyDescent="0.35">
      <c r="H937" s="66">
        <v>11</v>
      </c>
      <c r="I937" t="s">
        <v>2</v>
      </c>
      <c r="J937" t="s">
        <v>90</v>
      </c>
      <c r="K937" t="s">
        <v>256</v>
      </c>
      <c r="L937" t="s">
        <v>9</v>
      </c>
      <c r="M937" t="s">
        <v>13</v>
      </c>
      <c r="N937">
        <f t="shared" si="46"/>
        <v>4.5223818378511424</v>
      </c>
      <c r="O937" t="str">
        <f t="shared" si="47"/>
        <v/>
      </c>
      <c r="P937" s="67" cm="1">
        <f t="array" ref="P937">SUMPRODUCT((H937=$H$7:$H$10000)*(N937&lt;$N$7:$N$10000))+1</f>
        <v>75</v>
      </c>
      <c r="Q937" s="72"/>
      <c r="R937">
        <v>13</v>
      </c>
      <c r="S937" t="str">
        <v>UTAH</v>
      </c>
      <c r="T937" t="str">
        <v>Logan Crowley</v>
      </c>
      <c r="U937" t="str">
        <v>NULL</v>
      </c>
      <c r="V937" t="str">
        <v>Home</v>
      </c>
      <c r="W937" t="str">
        <v>SEA</v>
      </c>
      <c r="X937">
        <v>5.0249417933404716</v>
      </c>
    </row>
    <row r="938" spans="8:24" x14ac:dyDescent="0.35">
      <c r="H938" s="66">
        <v>11</v>
      </c>
      <c r="I938" t="s">
        <v>2</v>
      </c>
      <c r="J938" t="s">
        <v>12</v>
      </c>
      <c r="K938" t="s">
        <v>256</v>
      </c>
      <c r="L938" t="s">
        <v>9</v>
      </c>
      <c r="M938" t="s">
        <v>13</v>
      </c>
      <c r="N938">
        <f t="shared" si="46"/>
        <v>4.2625652835118046</v>
      </c>
      <c r="O938" t="str">
        <f t="shared" si="47"/>
        <v/>
      </c>
      <c r="P938" s="67" cm="1">
        <f t="array" ref="P938">SUMPRODUCT((H938=$H$7:$H$10000)*(N938&lt;$N$7:$N$10000))+1</f>
        <v>76</v>
      </c>
      <c r="Q938" s="72"/>
      <c r="R938">
        <v>13</v>
      </c>
      <c r="S938" t="str">
        <v>CHI</v>
      </c>
      <c r="T938" t="str">
        <v>Noah Brown</v>
      </c>
      <c r="U938" t="str">
        <v>NULL</v>
      </c>
      <c r="V938" t="str">
        <v>Away</v>
      </c>
      <c r="W938" t="str">
        <v>NEFJ</v>
      </c>
      <c r="X938">
        <v>4.8215662998588247</v>
      </c>
    </row>
    <row r="939" spans="8:24" x14ac:dyDescent="0.35">
      <c r="H939" s="66">
        <v>11</v>
      </c>
      <c r="I939" t="s">
        <v>2</v>
      </c>
      <c r="J939" t="s">
        <v>444</v>
      </c>
      <c r="K939" t="s">
        <v>256</v>
      </c>
      <c r="L939" t="s">
        <v>9</v>
      </c>
      <c r="M939" t="s">
        <v>13</v>
      </c>
      <c r="N939">
        <f t="shared" si="46"/>
        <v>4.2524779416001381</v>
      </c>
      <c r="O939" t="str">
        <f t="shared" si="47"/>
        <v/>
      </c>
      <c r="P939" s="67" cm="1">
        <f t="array" ref="P939">SUMPRODUCT((H939=$H$7:$H$10000)*(N939&lt;$N$7:$N$10000))+1</f>
        <v>77</v>
      </c>
      <c r="Q939" s="72"/>
      <c r="R939">
        <v>13</v>
      </c>
      <c r="S939" t="str">
        <v>MIA</v>
      </c>
      <c r="T939" t="str">
        <v>Matias Orlando</v>
      </c>
      <c r="U939" t="str">
        <v>NULL</v>
      </c>
      <c r="V939" t="str">
        <v>Away</v>
      </c>
      <c r="W939" t="str">
        <v>NOLA</v>
      </c>
      <c r="X939">
        <v>4.7099300200005052</v>
      </c>
    </row>
    <row r="940" spans="8:24" x14ac:dyDescent="0.35">
      <c r="H940" s="66">
        <v>11</v>
      </c>
      <c r="I940" t="s">
        <v>24</v>
      </c>
      <c r="J940" t="s">
        <v>459</v>
      </c>
      <c r="K940" t="s">
        <v>256</v>
      </c>
      <c r="L940" t="s">
        <v>3</v>
      </c>
      <c r="M940" t="s">
        <v>14</v>
      </c>
      <c r="N940">
        <f t="shared" si="46"/>
        <v>4.1312520342409309</v>
      </c>
      <c r="O940" t="str">
        <f t="shared" si="47"/>
        <v/>
      </c>
      <c r="P940" s="67" cm="1">
        <f t="array" ref="P940">SUMPRODUCT((H940=$H$7:$H$10000)*(N940&lt;$N$7:$N$10000))+1</f>
        <v>78</v>
      </c>
      <c r="Q940" s="72"/>
      <c r="R940">
        <v>13</v>
      </c>
      <c r="S940" t="str">
        <v>CHI</v>
      </c>
      <c r="T940" t="str">
        <v>Mark O'Keeffe</v>
      </c>
      <c r="U940" t="str">
        <v>NULL</v>
      </c>
      <c r="V940" t="str">
        <v>Away</v>
      </c>
      <c r="W940" t="str">
        <v>NEFJ</v>
      </c>
      <c r="X940">
        <v>4.5617497455194869</v>
      </c>
    </row>
    <row r="941" spans="8:24" x14ac:dyDescent="0.35">
      <c r="H941" s="66">
        <v>11</v>
      </c>
      <c r="I941" t="s">
        <v>14</v>
      </c>
      <c r="J941" t="s">
        <v>460</v>
      </c>
      <c r="K941" t="s">
        <v>256</v>
      </c>
      <c r="L941" t="s">
        <v>9</v>
      </c>
      <c r="M941" t="s">
        <v>24</v>
      </c>
      <c r="N941">
        <f t="shared" si="46"/>
        <v>3.9344902339949517</v>
      </c>
      <c r="O941" t="str">
        <f t="shared" si="47"/>
        <v/>
      </c>
      <c r="P941" s="67" cm="1">
        <f t="array" ref="P941">SUMPRODUCT((H941=$H$7:$H$10000)*(N941&lt;$N$7:$N$10000))+1</f>
        <v>79</v>
      </c>
      <c r="Q941" s="72"/>
      <c r="R941">
        <v>13</v>
      </c>
      <c r="S941" t="str">
        <v>LA</v>
      </c>
      <c r="T941" t="str">
        <v>Christian Dyer</v>
      </c>
      <c r="U941" t="str">
        <v>NULL</v>
      </c>
      <c r="V941" t="str">
        <v>Home</v>
      </c>
      <c r="W941" t="str">
        <v>ARC</v>
      </c>
      <c r="X941">
        <v>4.552830763188445</v>
      </c>
    </row>
    <row r="942" spans="8:24" x14ac:dyDescent="0.35">
      <c r="H942" s="66">
        <v>11</v>
      </c>
      <c r="I942" t="s">
        <v>36</v>
      </c>
      <c r="J942" t="s">
        <v>479</v>
      </c>
      <c r="K942" t="s">
        <v>256</v>
      </c>
      <c r="L942" t="s">
        <v>3</v>
      </c>
      <c r="M942" t="s">
        <v>7</v>
      </c>
      <c r="N942">
        <f t="shared" si="46"/>
        <v>3.7871195138444613</v>
      </c>
      <c r="O942" t="str">
        <f t="shared" si="47"/>
        <v/>
      </c>
      <c r="P942" s="67" cm="1">
        <f t="array" ref="P942">SUMPRODUCT((H942=$H$7:$H$10000)*(N942&lt;$N$7:$N$10000))+1</f>
        <v>80</v>
      </c>
      <c r="Q942" s="72"/>
      <c r="R942">
        <v>13</v>
      </c>
      <c r="S942" t="str">
        <v>CHI</v>
      </c>
      <c r="T942" t="str">
        <v>Tim Swiel</v>
      </c>
      <c r="U942" t="str">
        <v>NULL</v>
      </c>
      <c r="V942" t="str">
        <v>Away</v>
      </c>
      <c r="W942" t="str">
        <v>NEFJ</v>
      </c>
      <c r="X942">
        <v>4.5516624036078204</v>
      </c>
    </row>
    <row r="943" spans="8:24" x14ac:dyDescent="0.35">
      <c r="H943" s="66">
        <v>11</v>
      </c>
      <c r="I943" t="s">
        <v>36</v>
      </c>
      <c r="J943" t="s">
        <v>476</v>
      </c>
      <c r="K943" t="s">
        <v>256</v>
      </c>
      <c r="L943" t="s">
        <v>3</v>
      </c>
      <c r="M943" t="s">
        <v>7</v>
      </c>
      <c r="N943">
        <f t="shared" si="46"/>
        <v>3.6402863536814802</v>
      </c>
      <c r="O943" t="str">
        <f t="shared" si="47"/>
        <v/>
      </c>
      <c r="P943" s="67" cm="1">
        <f t="array" ref="P943">SUMPRODUCT((H943=$H$7:$H$10000)*(N943&lt;$N$7:$N$10000))+1</f>
        <v>81</v>
      </c>
      <c r="Q943" s="72"/>
      <c r="R943">
        <v>13</v>
      </c>
      <c r="S943" t="str">
        <v>ARC</v>
      </c>
      <c r="T943" t="str">
        <v>Carlo de Nysschen</v>
      </c>
      <c r="U943" t="str">
        <v>NULL</v>
      </c>
      <c r="V943" t="str">
        <v>Away</v>
      </c>
      <c r="W943" t="str">
        <v>LA</v>
      </c>
      <c r="X943">
        <v>4.5254230344086022</v>
      </c>
    </row>
    <row r="944" spans="8:24" x14ac:dyDescent="0.35">
      <c r="H944" s="66">
        <v>11</v>
      </c>
      <c r="I944" t="s">
        <v>6</v>
      </c>
      <c r="J944" t="s">
        <v>66</v>
      </c>
      <c r="K944" t="s">
        <v>256</v>
      </c>
      <c r="L944" t="s">
        <v>3</v>
      </c>
      <c r="M944" t="s">
        <v>34</v>
      </c>
      <c r="N944">
        <f t="shared" si="46"/>
        <v>3.4214639884441178</v>
      </c>
      <c r="O944" t="str">
        <f t="shared" si="47"/>
        <v/>
      </c>
      <c r="P944" s="67" cm="1">
        <f t="array" ref="P944">SUMPRODUCT((H944=$H$7:$H$10000)*(N944&lt;$N$7:$N$10000))+1</f>
        <v>82</v>
      </c>
      <c r="Q944" s="72"/>
      <c r="R944">
        <v>13</v>
      </c>
      <c r="S944" t="str">
        <v>NOLA</v>
      </c>
      <c r="T944" t="str">
        <v>Luke Campbell</v>
      </c>
      <c r="U944" t="str">
        <v>NULL</v>
      </c>
      <c r="V944" t="str">
        <v>Home</v>
      </c>
      <c r="W944" t="str">
        <v>MIA</v>
      </c>
      <c r="X944">
        <v>4.3805385696263137</v>
      </c>
    </row>
    <row r="945" spans="8:24" x14ac:dyDescent="0.35">
      <c r="H945" s="66">
        <v>11</v>
      </c>
      <c r="I945" t="s">
        <v>4</v>
      </c>
      <c r="J945" t="s">
        <v>475</v>
      </c>
      <c r="K945" t="s">
        <v>256</v>
      </c>
      <c r="L945" t="s">
        <v>3</v>
      </c>
      <c r="M945" t="s">
        <v>17</v>
      </c>
      <c r="N945">
        <f t="shared" si="46"/>
        <v>3.3114077664924206</v>
      </c>
      <c r="O945" t="str">
        <f t="shared" si="47"/>
        <v/>
      </c>
      <c r="P945" s="67" cm="1">
        <f t="array" ref="P945">SUMPRODUCT((H945=$H$7:$H$10000)*(N945&lt;$N$7:$N$10000))+1</f>
        <v>83</v>
      </c>
      <c r="Q945" s="72"/>
      <c r="R945">
        <v>13</v>
      </c>
      <c r="S945" t="str">
        <v>NOLA</v>
      </c>
      <c r="T945" t="str">
        <v>Ruben de Haas</v>
      </c>
      <c r="U945" t="str">
        <v>NULL</v>
      </c>
      <c r="V945" t="str">
        <v>Home</v>
      </c>
      <c r="W945" t="str">
        <v>MIA</v>
      </c>
      <c r="X945">
        <v>4.3338086278446291</v>
      </c>
    </row>
    <row r="946" spans="8:24" x14ac:dyDescent="0.35">
      <c r="H946">
        <v>11</v>
      </c>
      <c r="I946" t="s">
        <v>17</v>
      </c>
      <c r="J946" t="s">
        <v>16</v>
      </c>
      <c r="K946" t="s">
        <v>256</v>
      </c>
      <c r="L946" t="s">
        <v>9</v>
      </c>
      <c r="M946" t="s">
        <v>4</v>
      </c>
      <c r="N946">
        <f t="shared" si="46"/>
        <v>3.1851058447880254</v>
      </c>
      <c r="O946" t="str">
        <f t="shared" si="47"/>
        <v/>
      </c>
      <c r="P946" s="67" cm="1">
        <f t="array" ref="P946">SUMPRODUCT((H946=$H$7:$H$10000)*(N946&lt;$N$7:$N$10000))+1</f>
        <v>84</v>
      </c>
      <c r="Q946" s="72"/>
      <c r="R946">
        <v>13</v>
      </c>
      <c r="S946" t="str">
        <v>HOU</v>
      </c>
      <c r="T946" t="str">
        <v>Tautalatasi Tasi</v>
      </c>
      <c r="U946" t="str">
        <v>NULL</v>
      </c>
      <c r="V946" t="str">
        <v>Away</v>
      </c>
      <c r="W946" t="str">
        <v>SDL</v>
      </c>
      <c r="X946">
        <v>3.9188221588004266</v>
      </c>
    </row>
    <row r="947" spans="8:24" x14ac:dyDescent="0.35">
      <c r="H947" s="66">
        <v>11</v>
      </c>
      <c r="I947" t="s">
        <v>2</v>
      </c>
      <c r="J947" t="s">
        <v>499</v>
      </c>
      <c r="K947" t="s">
        <v>256</v>
      </c>
      <c r="L947" t="s">
        <v>9</v>
      </c>
      <c r="M947" t="s">
        <v>13</v>
      </c>
      <c r="N947">
        <f t="shared" si="46"/>
        <v>2.8829485537934687</v>
      </c>
      <c r="O947" t="str">
        <f t="shared" si="47"/>
        <v/>
      </c>
      <c r="P947" s="67" cm="1">
        <f t="array" ref="P947">SUMPRODUCT((H947=$H$7:$H$10000)*(N947&lt;$N$7:$N$10000))+1</f>
        <v>85</v>
      </c>
      <c r="Q947" s="72"/>
      <c r="R947">
        <v>13</v>
      </c>
      <c r="S947" t="str">
        <v>MIA</v>
      </c>
      <c r="T947" t="str">
        <v>Guiseppe du Toit</v>
      </c>
      <c r="U947" t="str">
        <v>NULL</v>
      </c>
      <c r="V947" t="str">
        <v>Away</v>
      </c>
      <c r="W947" t="str">
        <v>NOLA</v>
      </c>
      <c r="X947">
        <v>3.903631674084215</v>
      </c>
    </row>
    <row r="948" spans="8:24" x14ac:dyDescent="0.35">
      <c r="H948" s="66">
        <v>11</v>
      </c>
      <c r="I948" t="s">
        <v>36</v>
      </c>
      <c r="J948" t="s">
        <v>490</v>
      </c>
      <c r="K948" t="s">
        <v>256</v>
      </c>
      <c r="L948" t="s">
        <v>3</v>
      </c>
      <c r="M948" t="s">
        <v>7</v>
      </c>
      <c r="N948">
        <f t="shared" si="46"/>
        <v>2.3649336174399176</v>
      </c>
      <c r="O948" t="str">
        <f t="shared" si="47"/>
        <v/>
      </c>
      <c r="P948" s="67" cm="1">
        <f t="array" ref="P948">SUMPRODUCT((H948=$H$7:$H$10000)*(N948&lt;$N$7:$N$10000))+1</f>
        <v>86</v>
      </c>
      <c r="Q948" s="72"/>
      <c r="R948">
        <v>13</v>
      </c>
      <c r="S948" t="str">
        <v>NEFJ</v>
      </c>
      <c r="T948" t="str">
        <v>Harrison Boyle</v>
      </c>
      <c r="U948" t="str">
        <v>NULL</v>
      </c>
      <c r="V948" t="str">
        <v>Home</v>
      </c>
      <c r="W948" t="str">
        <v>CHI</v>
      </c>
      <c r="X948">
        <v>3.775589883940361</v>
      </c>
    </row>
    <row r="949" spans="8:24" x14ac:dyDescent="0.35">
      <c r="H949" s="66">
        <v>11</v>
      </c>
      <c r="I949" t="s">
        <v>17</v>
      </c>
      <c r="J949" t="s">
        <v>76</v>
      </c>
      <c r="K949" t="s">
        <v>256</v>
      </c>
      <c r="L949" t="s">
        <v>9</v>
      </c>
      <c r="M949" t="s">
        <v>4</v>
      </c>
      <c r="N949">
        <f t="shared" si="46"/>
        <v>0.90975000885098734</v>
      </c>
      <c r="O949" t="str">
        <f t="shared" si="47"/>
        <v/>
      </c>
      <c r="P949" s="67" cm="1">
        <f t="array" ref="P949">SUMPRODUCT((H949=$H$7:$H$10000)*(N949&lt;$N$7:$N$10000))+1</f>
        <v>87</v>
      </c>
      <c r="Q949" s="72"/>
      <c r="R949">
        <v>13</v>
      </c>
      <c r="S949" t="str">
        <v>ARC</v>
      </c>
      <c r="T949" t="str">
        <v>Ashawnty Staples Flowers</v>
      </c>
      <c r="U949" t="str">
        <v>NULL</v>
      </c>
      <c r="V949" t="str">
        <v>Away</v>
      </c>
      <c r="W949" t="str">
        <v>LA</v>
      </c>
      <c r="X949">
        <v>3.3368000023460596</v>
      </c>
    </row>
    <row r="950" spans="8:24" x14ac:dyDescent="0.35">
      <c r="H950" s="66">
        <v>11</v>
      </c>
      <c r="I950" t="s">
        <v>36</v>
      </c>
      <c r="J950" t="s">
        <v>48</v>
      </c>
      <c r="K950" t="s">
        <v>256</v>
      </c>
      <c r="L950" t="s">
        <v>3</v>
      </c>
      <c r="M950" t="s">
        <v>7</v>
      </c>
      <c r="N950">
        <f t="shared" si="46"/>
        <v>0.79357544983674266</v>
      </c>
      <c r="O950" t="str">
        <f t="shared" si="47"/>
        <v/>
      </c>
      <c r="P950" s="67" cm="1">
        <f t="array" ref="P950">SUMPRODUCT((H950=$H$7:$H$10000)*(N950&lt;$N$7:$N$10000))+1</f>
        <v>88</v>
      </c>
      <c r="Q950" s="72"/>
      <c r="R950">
        <v>13</v>
      </c>
      <c r="S950" t="str">
        <v>NEFJ</v>
      </c>
      <c r="T950" t="str">
        <v>John Poland</v>
      </c>
      <c r="U950" t="str">
        <v>NULL</v>
      </c>
      <c r="V950" t="str">
        <v>Home</v>
      </c>
      <c r="W950" t="str">
        <v>CHI</v>
      </c>
      <c r="X950">
        <v>3.2286858020730937</v>
      </c>
    </row>
    <row r="951" spans="8:24" x14ac:dyDescent="0.35">
      <c r="H951" s="66">
        <v>11</v>
      </c>
      <c r="I951" t="s">
        <v>4</v>
      </c>
      <c r="J951" t="s">
        <v>125</v>
      </c>
      <c r="K951" t="s">
        <v>256</v>
      </c>
      <c r="L951" t="s">
        <v>3</v>
      </c>
      <c r="M951" t="s">
        <v>17</v>
      </c>
      <c r="N951">
        <f t="shared" si="46"/>
        <v>0.69560739222560386</v>
      </c>
      <c r="O951" t="str">
        <f t="shared" si="47"/>
        <v/>
      </c>
      <c r="P951" s="67" cm="1">
        <f t="array" ref="P951">SUMPRODUCT((H951=$H$7:$H$10000)*(N951&lt;$N$7:$N$10000))+1</f>
        <v>89</v>
      </c>
      <c r="Q951" s="72"/>
      <c r="R951">
        <v>13</v>
      </c>
      <c r="S951" t="str">
        <v>CHI</v>
      </c>
      <c r="T951" t="str">
        <v>Julian Dominguez</v>
      </c>
      <c r="U951" t="str">
        <v>NULL</v>
      </c>
      <c r="V951" t="str">
        <v>Away</v>
      </c>
      <c r="W951" t="str">
        <v>NEFJ</v>
      </c>
      <c r="X951">
        <v>3.1821330158011509</v>
      </c>
    </row>
    <row r="952" spans="8:24" x14ac:dyDescent="0.35">
      <c r="H952" s="66">
        <v>11</v>
      </c>
      <c r="I952" t="s">
        <v>4</v>
      </c>
      <c r="J952" t="s">
        <v>489</v>
      </c>
      <c r="K952" t="s">
        <v>256</v>
      </c>
      <c r="L952" t="s">
        <v>3</v>
      </c>
      <c r="M952" t="s">
        <v>17</v>
      </c>
      <c r="N952">
        <f t="shared" si="46"/>
        <v>0.6488774504439192</v>
      </c>
      <c r="O952" t="str">
        <f t="shared" si="47"/>
        <v/>
      </c>
      <c r="P952" s="67" cm="1">
        <f t="array" ref="P952">SUMPRODUCT((H952=$H$7:$H$10000)*(N952&lt;$N$7:$N$10000))+1</f>
        <v>90</v>
      </c>
      <c r="Q952" s="72"/>
      <c r="R952">
        <v>13</v>
      </c>
      <c r="S952" t="str">
        <v>SEA</v>
      </c>
      <c r="T952" t="str">
        <v>Jade Stighling</v>
      </c>
      <c r="U952" t="str">
        <v>NULL</v>
      </c>
      <c r="V952" t="str">
        <v>Away</v>
      </c>
      <c r="W952" t="str">
        <v>UTAH</v>
      </c>
      <c r="X952">
        <v>2.9115450487253947</v>
      </c>
    </row>
    <row r="953" spans="8:24" x14ac:dyDescent="0.35">
      <c r="H953" s="66">
        <v>11</v>
      </c>
      <c r="I953" t="s">
        <v>36</v>
      </c>
      <c r="J953" t="s">
        <v>123</v>
      </c>
      <c r="K953" t="s">
        <v>256</v>
      </c>
      <c r="L953" t="s">
        <v>3</v>
      </c>
      <c r="M953" t="s">
        <v>7</v>
      </c>
      <c r="N953">
        <f t="shared" si="46"/>
        <v>0.5460125484664653</v>
      </c>
      <c r="O953" t="str">
        <f t="shared" si="47"/>
        <v/>
      </c>
      <c r="P953" s="67" cm="1">
        <f t="array" ref="P953">SUMPRODUCT((H953=$H$7:$H$10000)*(N953&lt;$N$7:$N$10000))+1</f>
        <v>91</v>
      </c>
      <c r="Q953" s="72"/>
      <c r="R953">
        <v>13</v>
      </c>
      <c r="S953" t="str">
        <v>NEFJ</v>
      </c>
      <c r="T953" t="str">
        <v>Simon-Peter Toleafoa</v>
      </c>
      <c r="U953" t="str">
        <v>NULL</v>
      </c>
      <c r="V953" t="str">
        <v>Home</v>
      </c>
      <c r="W953" t="str">
        <v>CHI</v>
      </c>
      <c r="X953">
        <v>2.465951283509253</v>
      </c>
    </row>
    <row r="954" spans="8:24" x14ac:dyDescent="0.35">
      <c r="H954" s="66">
        <v>11</v>
      </c>
      <c r="I954" t="s">
        <v>17</v>
      </c>
      <c r="J954" t="s">
        <v>458</v>
      </c>
      <c r="K954" t="s">
        <v>256</v>
      </c>
      <c r="L954" t="s">
        <v>9</v>
      </c>
      <c r="M954" t="s">
        <v>4</v>
      </c>
      <c r="N954">
        <f t="shared" si="46"/>
        <v>0.28372013061589385</v>
      </c>
      <c r="O954" t="str">
        <f t="shared" si="47"/>
        <v/>
      </c>
      <c r="P954" s="67" cm="1">
        <f t="array" ref="P954">SUMPRODUCT((H954=$H$7:$H$10000)*(N954&lt;$N$7:$N$10000))+1</f>
        <v>92</v>
      </c>
      <c r="Q954" s="72"/>
      <c r="R954">
        <v>13</v>
      </c>
      <c r="S954" t="str">
        <v>HOU</v>
      </c>
      <c r="T954" t="str">
        <v>Sam Hill</v>
      </c>
      <c r="U954" t="str">
        <v>NULL</v>
      </c>
      <c r="V954" t="str">
        <v>Away</v>
      </c>
      <c r="W954" t="str">
        <v>SDL</v>
      </c>
      <c r="X954">
        <v>2.3474639911972517</v>
      </c>
    </row>
    <row r="955" spans="8:24" x14ac:dyDescent="0.35">
      <c r="H955" s="66">
        <v>11</v>
      </c>
      <c r="I955" t="s">
        <v>7</v>
      </c>
      <c r="J955" t="s">
        <v>19</v>
      </c>
      <c r="K955" t="s">
        <v>256</v>
      </c>
      <c r="L955" t="s">
        <v>9</v>
      </c>
      <c r="M955" t="s">
        <v>36</v>
      </c>
      <c r="N955">
        <f t="shared" si="46"/>
        <v>-0.52399860476723514</v>
      </c>
      <c r="O955" t="str">
        <f t="shared" si="47"/>
        <v/>
      </c>
      <c r="P955" s="67" cm="1">
        <f t="array" ref="P955">SUMPRODUCT((H955=$H$7:$H$10000)*(N955&lt;$N$7:$N$10000))+1</f>
        <v>93</v>
      </c>
      <c r="Q955" s="72"/>
      <c r="R955">
        <v>13</v>
      </c>
      <c r="S955" t="str">
        <v>SEA</v>
      </c>
      <c r="T955" t="str">
        <v>Jeremiah Sio</v>
      </c>
      <c r="U955" t="str">
        <v>NULL</v>
      </c>
      <c r="V955" t="str">
        <v>Away</v>
      </c>
      <c r="W955" t="str">
        <v>UTAH</v>
      </c>
      <c r="X955">
        <v>2.2855151704903012</v>
      </c>
    </row>
    <row r="956" spans="8:24" x14ac:dyDescent="0.35">
      <c r="H956" s="66">
        <v>11</v>
      </c>
      <c r="I956" t="s">
        <v>36</v>
      </c>
      <c r="J956" t="s">
        <v>334</v>
      </c>
      <c r="K956" t="s">
        <v>256</v>
      </c>
      <c r="L956" t="s">
        <v>3</v>
      </c>
      <c r="M956" t="s">
        <v>7</v>
      </c>
      <c r="N956">
        <f t="shared" si="46"/>
        <v>-0.73320307640485805</v>
      </c>
      <c r="O956" t="str">
        <f t="shared" si="47"/>
        <v/>
      </c>
      <c r="P956" s="67" cm="1">
        <f t="array" ref="P956">SUMPRODUCT((H956=$H$7:$H$10000)*(N956&lt;$N$7:$N$10000))+1</f>
        <v>94</v>
      </c>
      <c r="Q956" s="72"/>
      <c r="R956">
        <v>13</v>
      </c>
      <c r="S956" t="str">
        <v>NEFJ</v>
      </c>
      <c r="T956" t="str">
        <v>Isaac Olson</v>
      </c>
      <c r="U956" t="str">
        <v>NULL</v>
      </c>
      <c r="V956" t="str">
        <v>Home</v>
      </c>
      <c r="W956" t="str">
        <v>CHI</v>
      </c>
      <c r="X956">
        <v>2.1607078547002256</v>
      </c>
    </row>
    <row r="957" spans="8:24" x14ac:dyDescent="0.35">
      <c r="H957" s="66">
        <v>11</v>
      </c>
      <c r="I957" t="s">
        <v>7</v>
      </c>
      <c r="J957" t="s">
        <v>92</v>
      </c>
      <c r="K957" t="s">
        <v>256</v>
      </c>
      <c r="L957" t="s">
        <v>9</v>
      </c>
      <c r="M957" t="s">
        <v>36</v>
      </c>
      <c r="N957">
        <f t="shared" si="46"/>
        <v>-2.3079934836197111</v>
      </c>
      <c r="O957" t="str">
        <f t="shared" si="47"/>
        <v/>
      </c>
      <c r="P957" s="67" cm="1">
        <f t="array" ref="P957">SUMPRODUCT((H957=$H$7:$H$10000)*(N957&lt;$N$7:$N$10000))+1</f>
        <v>95</v>
      </c>
      <c r="Q957" s="72"/>
      <c r="R957">
        <v>13</v>
      </c>
      <c r="S957" t="str">
        <v>HOU</v>
      </c>
      <c r="T957" t="str">
        <v>Andre Warner</v>
      </c>
      <c r="U957" t="str">
        <v>NULL</v>
      </c>
      <c r="V957" t="str">
        <v>Away</v>
      </c>
      <c r="W957" t="str">
        <v>SDL</v>
      </c>
      <c r="X957">
        <v>2.0999010898269743</v>
      </c>
    </row>
    <row r="958" spans="8:24" x14ac:dyDescent="0.35">
      <c r="H958" s="66">
        <v>11</v>
      </c>
      <c r="I958" t="s">
        <v>7</v>
      </c>
      <c r="J958" t="s">
        <v>131</v>
      </c>
      <c r="K958" t="s">
        <v>256</v>
      </c>
      <c r="L958" t="s">
        <v>9</v>
      </c>
      <c r="M958" t="s">
        <v>36</v>
      </c>
      <c r="N958">
        <f t="shared" si="46"/>
        <v>-2.3408511755676962</v>
      </c>
      <c r="O958" t="str">
        <f t="shared" si="47"/>
        <v/>
      </c>
      <c r="P958" s="67" cm="1">
        <f t="array" ref="P958">SUMPRODUCT((H958=$H$7:$H$10000)*(N958&lt;$N$7:$N$10000))+1</f>
        <v>96</v>
      </c>
      <c r="Q958" s="72"/>
      <c r="R958">
        <v>13</v>
      </c>
      <c r="S958" t="str">
        <v>MIA</v>
      </c>
      <c r="T958" t="str">
        <v>Connor Burns</v>
      </c>
      <c r="U958" t="str">
        <v>NULL</v>
      </c>
      <c r="V958" t="str">
        <v>Away</v>
      </c>
      <c r="W958" t="str">
        <v>NOLA</v>
      </c>
      <c r="X958">
        <v>1.5810365397301647</v>
      </c>
    </row>
    <row r="959" spans="8:24" x14ac:dyDescent="0.35">
      <c r="H959" s="66">
        <v>11</v>
      </c>
      <c r="I959" t="s">
        <v>36</v>
      </c>
      <c r="J959" t="s">
        <v>73</v>
      </c>
      <c r="K959" t="s">
        <v>256</v>
      </c>
      <c r="L959" t="s">
        <v>3</v>
      </c>
      <c r="M959" t="s">
        <v>7</v>
      </c>
      <c r="N959">
        <f t="shared" si="46"/>
        <v>-2.5633206557956516</v>
      </c>
      <c r="O959" t="str">
        <f t="shared" si="47"/>
        <v/>
      </c>
      <c r="P959" s="67" cm="1">
        <f t="array" ref="P959">SUMPRODUCT((H959=$H$7:$H$10000)*(N959&lt;$N$7:$N$10000))+1</f>
        <v>97</v>
      </c>
      <c r="Q959" s="72"/>
      <c r="R959">
        <v>13</v>
      </c>
      <c r="S959" t="str">
        <v>HOU</v>
      </c>
      <c r="T959" t="str">
        <v>Seimou Smith</v>
      </c>
      <c r="U959" t="str">
        <v>NULL</v>
      </c>
      <c r="V959" t="str">
        <v>Away</v>
      </c>
      <c r="W959" t="str">
        <v>SDL</v>
      </c>
      <c r="X959">
        <v>0.82068546495565009</v>
      </c>
    </row>
    <row r="960" spans="8:24" x14ac:dyDescent="0.35">
      <c r="H960" s="66">
        <v>11</v>
      </c>
      <c r="I960" t="s">
        <v>7</v>
      </c>
      <c r="J960" t="s">
        <v>126</v>
      </c>
      <c r="K960" t="s">
        <v>256</v>
      </c>
      <c r="L960" t="s">
        <v>9</v>
      </c>
      <c r="M960" t="s">
        <v>36</v>
      </c>
      <c r="N960">
        <f t="shared" si="46"/>
        <v>-6.8023091817245191</v>
      </c>
      <c r="O960" t="str">
        <f t="shared" si="47"/>
        <v/>
      </c>
      <c r="P960" s="67" cm="1">
        <f t="array" ref="P960">SUMPRODUCT((H960=$H$7:$H$10000)*(N960&lt;$N$7:$N$10000))+1</f>
        <v>98</v>
      </c>
      <c r="Q960" s="72"/>
      <c r="R960">
        <v>13</v>
      </c>
      <c r="S960" t="str">
        <v>HOU</v>
      </c>
      <c r="T960" t="str">
        <v>Drew Wild</v>
      </c>
      <c r="U960" t="str">
        <v>NULL</v>
      </c>
      <c r="V960" t="str">
        <v>Away</v>
      </c>
      <c r="W960" t="str">
        <v>SDL</v>
      </c>
      <c r="X960">
        <v>-1.0094321144351444</v>
      </c>
    </row>
    <row r="961" spans="8:24" x14ac:dyDescent="0.35">
      <c r="H961">
        <v>12</v>
      </c>
      <c r="I961" t="s">
        <v>7</v>
      </c>
      <c r="J961" t="s">
        <v>65</v>
      </c>
      <c r="K961" t="s">
        <v>256</v>
      </c>
      <c r="L961" t="s">
        <v>3</v>
      </c>
      <c r="M961" t="s">
        <v>13</v>
      </c>
      <c r="N961">
        <f t="shared" si="46"/>
        <v>19.111939192390743</v>
      </c>
      <c r="O961" t="str">
        <f t="shared" si="47"/>
        <v/>
      </c>
      <c r="P961" s="67" cm="1">
        <f t="array" ref="P961">SUMPRODUCT((H961=$H$7:$H$10000)*(N961&lt;$N$7:$N$10000))+1</f>
        <v>1</v>
      </c>
      <c r="Q961" s="72"/>
      <c r="R961">
        <v>14</v>
      </c>
      <c r="S961" t="str">
        <v>LA</v>
      </c>
      <c r="T961" t="str">
        <v>Rory van Vugt</v>
      </c>
      <c r="U961" t="str">
        <v>NULL</v>
      </c>
      <c r="V961" t="str">
        <v>Away</v>
      </c>
      <c r="W961" t="str">
        <v>CHI</v>
      </c>
      <c r="X961">
        <v>18.848101607626898</v>
      </c>
    </row>
    <row r="962" spans="8:24" x14ac:dyDescent="0.35">
      <c r="H962">
        <v>12</v>
      </c>
      <c r="I962" t="s">
        <v>6</v>
      </c>
      <c r="J962" t="s">
        <v>94</v>
      </c>
      <c r="K962" t="s">
        <v>256</v>
      </c>
      <c r="L962" t="s">
        <v>9</v>
      </c>
      <c r="M962" t="s">
        <v>17</v>
      </c>
      <c r="N962">
        <f t="shared" si="46"/>
        <v>18.716015932062071</v>
      </c>
      <c r="O962" t="str">
        <f t="shared" si="47"/>
        <v/>
      </c>
      <c r="P962" s="67" cm="1">
        <f t="array" ref="P962">SUMPRODUCT((H962=$H$7:$H$10000)*(N962&lt;$N$7:$N$10000))+1</f>
        <v>2</v>
      </c>
      <c r="Q962" s="72"/>
      <c r="R962">
        <v>14</v>
      </c>
      <c r="S962" t="str">
        <v>OGDC</v>
      </c>
      <c r="T962" t="str">
        <v>Axel Muller</v>
      </c>
      <c r="U962" t="str">
        <v>NULL</v>
      </c>
      <c r="V962" t="str">
        <v>Away</v>
      </c>
      <c r="W962" t="str">
        <v>ARC</v>
      </c>
      <c r="X962">
        <v>18.237965743381153</v>
      </c>
    </row>
    <row r="963" spans="8:24" x14ac:dyDescent="0.35">
      <c r="H963">
        <v>12</v>
      </c>
      <c r="I963" t="s">
        <v>13</v>
      </c>
      <c r="J963" t="s">
        <v>79</v>
      </c>
      <c r="K963" t="s">
        <v>256</v>
      </c>
      <c r="L963" t="s">
        <v>9</v>
      </c>
      <c r="M963" t="s">
        <v>7</v>
      </c>
      <c r="N963">
        <f t="shared" si="46"/>
        <v>16.50339893786721</v>
      </c>
      <c r="O963" t="str">
        <f t="shared" si="47"/>
        <v/>
      </c>
      <c r="P963" s="67" cm="1">
        <f t="array" ref="P963">SUMPRODUCT((H963=$H$7:$H$10000)*(N963&lt;$N$7:$N$10000))+1</f>
        <v>3</v>
      </c>
      <c r="Q963" s="72"/>
      <c r="R963">
        <v>14</v>
      </c>
      <c r="S963" t="str">
        <v>SDL</v>
      </c>
      <c r="T963" t="str">
        <v>Ryan James</v>
      </c>
      <c r="U963" t="str">
        <v>NULL</v>
      </c>
      <c r="V963" t="str">
        <v>Away</v>
      </c>
      <c r="W963" t="str">
        <v>SEA</v>
      </c>
      <c r="X963">
        <v>16.849211111615062</v>
      </c>
    </row>
    <row r="964" spans="8:24" x14ac:dyDescent="0.35">
      <c r="H964">
        <v>12</v>
      </c>
      <c r="I964" t="s">
        <v>34</v>
      </c>
      <c r="J964" t="s">
        <v>95</v>
      </c>
      <c r="K964" t="s">
        <v>256</v>
      </c>
      <c r="L964" t="s">
        <v>3</v>
      </c>
      <c r="M964" t="s">
        <v>4</v>
      </c>
      <c r="N964">
        <f t="shared" si="46"/>
        <v>16.277460959022349</v>
      </c>
      <c r="O964" t="str">
        <f t="shared" si="47"/>
        <v/>
      </c>
      <c r="P964" s="67" cm="1">
        <f t="array" ref="P964">SUMPRODUCT((H964=$H$7:$H$10000)*(N964&lt;$N$7:$N$10000))+1</f>
        <v>4</v>
      </c>
      <c r="Q964" s="72"/>
      <c r="R964">
        <v>14</v>
      </c>
      <c r="S964" t="str">
        <v>UTAH</v>
      </c>
      <c r="T964" t="str">
        <v>Joe Mano</v>
      </c>
      <c r="U964" t="str">
        <v>NULL</v>
      </c>
      <c r="V964" t="str">
        <v>Away</v>
      </c>
      <c r="W964" t="str">
        <v>HOU</v>
      </c>
      <c r="X964">
        <v>16.469058822599909</v>
      </c>
    </row>
    <row r="965" spans="8:24" x14ac:dyDescent="0.35">
      <c r="H965">
        <v>12</v>
      </c>
      <c r="I965" t="s">
        <v>2</v>
      </c>
      <c r="J965" t="s">
        <v>88</v>
      </c>
      <c r="K965" t="s">
        <v>256</v>
      </c>
      <c r="L965" t="s">
        <v>3</v>
      </c>
      <c r="M965" t="s">
        <v>24</v>
      </c>
      <c r="N965">
        <f t="shared" si="46"/>
        <v>16.209405509070699</v>
      </c>
      <c r="O965" t="str">
        <f t="shared" si="47"/>
        <v/>
      </c>
      <c r="P965" s="67" cm="1">
        <f t="array" ref="P965">SUMPRODUCT((H965=$H$7:$H$10000)*(N965&lt;$N$7:$N$10000))+1</f>
        <v>5</v>
      </c>
      <c r="Q965" s="72"/>
      <c r="R965">
        <v>14</v>
      </c>
      <c r="S965" t="str">
        <v>CHI</v>
      </c>
      <c r="T965" t="str">
        <v>Nate Augspurger</v>
      </c>
      <c r="U965" t="str">
        <v>NULL</v>
      </c>
      <c r="V965" t="str">
        <v>Home</v>
      </c>
      <c r="W965" t="str">
        <v>LA</v>
      </c>
      <c r="X965">
        <v>15.611715277421807</v>
      </c>
    </row>
    <row r="966" spans="8:24" x14ac:dyDescent="0.35">
      <c r="H966">
        <v>12</v>
      </c>
      <c r="I966" t="s">
        <v>2</v>
      </c>
      <c r="J966" t="s">
        <v>495</v>
      </c>
      <c r="K966" t="s">
        <v>256</v>
      </c>
      <c r="L966" t="s">
        <v>3</v>
      </c>
      <c r="M966" t="s">
        <v>24</v>
      </c>
      <c r="N966">
        <f t="shared" si="46"/>
        <v>15.65667175540008</v>
      </c>
      <c r="O966" t="str">
        <f t="shared" si="47"/>
        <v/>
      </c>
      <c r="P966" s="67" cm="1">
        <f t="array" ref="P966">SUMPRODUCT((H966=$H$7:$H$10000)*(N966&lt;$N$7:$N$10000))+1</f>
        <v>6</v>
      </c>
      <c r="Q966" s="72"/>
      <c r="R966">
        <v>14</v>
      </c>
      <c r="S966" t="str">
        <v>LA</v>
      </c>
      <c r="T966" t="str">
        <v>Billy Meakes</v>
      </c>
      <c r="U966" t="str">
        <v>NULL</v>
      </c>
      <c r="V966" t="str">
        <v>Away</v>
      </c>
      <c r="W966" t="str">
        <v>CHI</v>
      </c>
      <c r="X966">
        <v>15.172488821133172</v>
      </c>
    </row>
    <row r="967" spans="8:24" x14ac:dyDescent="0.35">
      <c r="H967" s="66">
        <v>12</v>
      </c>
      <c r="I967" t="s">
        <v>6</v>
      </c>
      <c r="J967" t="s">
        <v>8</v>
      </c>
      <c r="K967" t="s">
        <v>256</v>
      </c>
      <c r="L967" t="s">
        <v>9</v>
      </c>
      <c r="M967" t="s">
        <v>17</v>
      </c>
      <c r="N967">
        <f t="shared" si="46"/>
        <v>15.040403145568343</v>
      </c>
      <c r="O967" t="str">
        <f t="shared" si="47"/>
        <v/>
      </c>
      <c r="P967" s="67" cm="1">
        <f t="array" ref="P967">SUMPRODUCT((H967=$H$7:$H$10000)*(N967&lt;$N$7:$N$10000))+1</f>
        <v>7</v>
      </c>
      <c r="Q967" s="72"/>
      <c r="R967">
        <v>14</v>
      </c>
      <c r="S967" t="str">
        <v>CHI</v>
      </c>
      <c r="T967" t="str">
        <v>Michael Hand</v>
      </c>
      <c r="U967" t="str">
        <v>NULL</v>
      </c>
      <c r="V967" t="str">
        <v>Home</v>
      </c>
      <c r="W967" t="str">
        <v>LA</v>
      </c>
      <c r="X967">
        <v>15.058981523751186</v>
      </c>
    </row>
    <row r="968" spans="8:24" x14ac:dyDescent="0.35">
      <c r="H968">
        <v>12</v>
      </c>
      <c r="I968" t="s">
        <v>17</v>
      </c>
      <c r="J968" t="s">
        <v>492</v>
      </c>
      <c r="K968" t="s">
        <v>256</v>
      </c>
      <c r="L968" t="s">
        <v>3</v>
      </c>
      <c r="M968" t="s">
        <v>6</v>
      </c>
      <c r="N968">
        <f t="shared" si="46"/>
        <v>14.461560255996176</v>
      </c>
      <c r="O968" t="str">
        <f t="shared" si="47"/>
        <v/>
      </c>
      <c r="P968" s="67" cm="1">
        <f t="array" ref="P968">SUMPRODUCT((H968=$H$7:$H$10000)*(N968&lt;$N$7:$N$10000))+1</f>
        <v>8</v>
      </c>
      <c r="Q968" s="72"/>
      <c r="R968">
        <v>14</v>
      </c>
      <c r="S968" t="str">
        <v>NEFJ</v>
      </c>
      <c r="T968" t="str">
        <v>Jayson Potroz</v>
      </c>
      <c r="U968" t="str">
        <v>NULL</v>
      </c>
      <c r="V968" t="str">
        <v>Away</v>
      </c>
      <c r="W968" t="str">
        <v>MIA</v>
      </c>
      <c r="X968">
        <v>14.795434047595116</v>
      </c>
    </row>
    <row r="969" spans="8:24" x14ac:dyDescent="0.35">
      <c r="H969">
        <v>12</v>
      </c>
      <c r="I969" t="s">
        <v>17</v>
      </c>
      <c r="J969" t="s">
        <v>196</v>
      </c>
      <c r="K969" t="s">
        <v>256</v>
      </c>
      <c r="L969" t="s">
        <v>3</v>
      </c>
      <c r="M969" t="s">
        <v>6</v>
      </c>
      <c r="N969">
        <f t="shared" si="46"/>
        <v>13.606474990440351</v>
      </c>
      <c r="O969" t="str">
        <f t="shared" si="47"/>
        <v/>
      </c>
      <c r="P969" s="67" cm="1">
        <f t="array" ref="P969">SUMPRODUCT((H969=$H$7:$H$10000)*(N969&lt;$N$7:$N$10000))+1</f>
        <v>9</v>
      </c>
      <c r="Q969" s="72"/>
      <c r="R969">
        <v>14</v>
      </c>
      <c r="S969" t="str">
        <v>MIA</v>
      </c>
      <c r="T969" t="str">
        <v>Tomás Cubilla</v>
      </c>
      <c r="U969" t="str">
        <v>NULL</v>
      </c>
      <c r="V969" t="str">
        <v>Home</v>
      </c>
      <c r="W969" t="str">
        <v>NEFJ</v>
      </c>
      <c r="X969">
        <v>13.91354000877887</v>
      </c>
    </row>
    <row r="970" spans="8:24" x14ac:dyDescent="0.35">
      <c r="H970" s="66">
        <v>12</v>
      </c>
      <c r="I970" t="s">
        <v>2</v>
      </c>
      <c r="J970" t="s">
        <v>449</v>
      </c>
      <c r="K970" t="s">
        <v>256</v>
      </c>
      <c r="L970" t="s">
        <v>3</v>
      </c>
      <c r="M970" t="s">
        <v>24</v>
      </c>
      <c r="N970">
        <f t="shared" si="46"/>
        <v>13.547774247058578</v>
      </c>
      <c r="O970" t="str">
        <f t="shared" si="47"/>
        <v/>
      </c>
      <c r="P970" s="67" cm="1">
        <f t="array" ref="P970">SUMPRODUCT((H970=$H$7:$H$10000)*(N970&lt;$N$7:$N$10000))+1</f>
        <v>10</v>
      </c>
      <c r="Q970" s="72"/>
      <c r="R970">
        <v>14</v>
      </c>
      <c r="S970" t="str">
        <v>NEFJ</v>
      </c>
      <c r="T970" t="str">
        <v>Wayne van der Bank</v>
      </c>
      <c r="U970" t="str">
        <v>NULL</v>
      </c>
      <c r="V970" t="str">
        <v>Away</v>
      </c>
      <c r="W970" t="str">
        <v>MIA</v>
      </c>
      <c r="X970">
        <v>13.594643645813491</v>
      </c>
    </row>
    <row r="971" spans="8:24" x14ac:dyDescent="0.35">
      <c r="H971">
        <v>12</v>
      </c>
      <c r="I971" t="s">
        <v>17</v>
      </c>
      <c r="J971" t="s">
        <v>497</v>
      </c>
      <c r="K971" t="s">
        <v>256</v>
      </c>
      <c r="L971" t="s">
        <v>3</v>
      </c>
      <c r="M971" t="s">
        <v>6</v>
      </c>
      <c r="N971">
        <f t="shared" si="46"/>
        <v>13.157057238491351</v>
      </c>
      <c r="O971" t="str">
        <f t="shared" si="47"/>
        <v/>
      </c>
      <c r="P971" s="67" cm="1">
        <f t="array" ref="P971">SUMPRODUCT((H971=$H$7:$H$10000)*(N971&lt;$N$7:$N$10000))+1</f>
        <v>11</v>
      </c>
      <c r="Q971" s="72"/>
      <c r="R971">
        <v>14</v>
      </c>
      <c r="S971" t="str">
        <v>NEFJ</v>
      </c>
      <c r="T971" t="str">
        <v>Le Roux Malan</v>
      </c>
      <c r="U971" t="str">
        <v>NULL</v>
      </c>
      <c r="V971" t="str">
        <v>Away</v>
      </c>
      <c r="W971" t="str">
        <v>MIA</v>
      </c>
      <c r="X971">
        <v>13.414439684479621</v>
      </c>
    </row>
    <row r="972" spans="8:24" x14ac:dyDescent="0.35">
      <c r="H972">
        <v>12</v>
      </c>
      <c r="I972" t="s">
        <v>6</v>
      </c>
      <c r="J972" t="s">
        <v>445</v>
      </c>
      <c r="K972" t="s">
        <v>256</v>
      </c>
      <c r="L972" t="s">
        <v>9</v>
      </c>
      <c r="M972" t="s">
        <v>17</v>
      </c>
      <c r="N972">
        <f t="shared" ref="N972:N1035" si="48">VLOOKUP($L972,$F$3:$G$4,2,FALSE)+VLOOKUP($J972,$A$20:$B$131,2,FALSE)+VLOOKUP($M972,$A$6:$B$16,2,FALSE)</f>
        <v>13.076645268363952</v>
      </c>
      <c r="O972" t="str">
        <f t="shared" ref="O972:O1035" si="49">IFERROR(($K972-$N972)^2,"")</f>
        <v/>
      </c>
      <c r="P972" s="67" cm="1">
        <f t="array" ref="P972">SUMPRODUCT((H972=$H$7:$H$10000)*(N972&lt;$N$7:$N$10000))+1</f>
        <v>12</v>
      </c>
      <c r="Q972" s="72"/>
      <c r="R972">
        <v>14</v>
      </c>
      <c r="S972" t="str">
        <v>NEFJ</v>
      </c>
      <c r="T972" t="str">
        <v>Paula Balekana</v>
      </c>
      <c r="U972" t="str">
        <v>NULL</v>
      </c>
      <c r="V972" t="str">
        <v>Away</v>
      </c>
      <c r="W972" t="str">
        <v>MIA</v>
      </c>
      <c r="X972">
        <v>13.372637493773693</v>
      </c>
    </row>
    <row r="973" spans="8:24" x14ac:dyDescent="0.35">
      <c r="H973">
        <v>12</v>
      </c>
      <c r="I973" t="s">
        <v>17</v>
      </c>
      <c r="J973" t="s">
        <v>37</v>
      </c>
      <c r="K973" t="s">
        <v>256</v>
      </c>
      <c r="L973" t="s">
        <v>3</v>
      </c>
      <c r="M973" t="s">
        <v>6</v>
      </c>
      <c r="N973">
        <f t="shared" si="48"/>
        <v>13.038957061831757</v>
      </c>
      <c r="O973" t="str">
        <f t="shared" si="49"/>
        <v/>
      </c>
      <c r="P973" s="67" cm="1">
        <f t="array" ref="P973">SUMPRODUCT((H973=$H$7:$H$10000)*(N973&lt;$N$7:$N$10000))+1</f>
        <v>13</v>
      </c>
      <c r="Q973" s="72"/>
      <c r="R973">
        <v>14</v>
      </c>
      <c r="S973" t="str">
        <v>LA</v>
      </c>
      <c r="T973" t="str">
        <v>Matias Jensen</v>
      </c>
      <c r="U973" t="str">
        <v>NULL</v>
      </c>
      <c r="V973" t="str">
        <v>Away</v>
      </c>
      <c r="W973" t="str">
        <v>CHI</v>
      </c>
      <c r="X973">
        <v>13.208730943928781</v>
      </c>
    </row>
    <row r="974" spans="8:24" x14ac:dyDescent="0.35">
      <c r="H974">
        <v>12</v>
      </c>
      <c r="I974" t="s">
        <v>13</v>
      </c>
      <c r="J974" t="s">
        <v>494</v>
      </c>
      <c r="K974" t="s">
        <v>256</v>
      </c>
      <c r="L974" t="s">
        <v>9</v>
      </c>
      <c r="M974" t="s">
        <v>7</v>
      </c>
      <c r="N974">
        <f t="shared" si="48"/>
        <v>12.692863487156611</v>
      </c>
      <c r="O974" t="str">
        <f t="shared" si="49"/>
        <v/>
      </c>
      <c r="P974" s="67" cm="1">
        <f t="array" ref="P974">SUMPRODUCT((H974=$H$7:$H$10000)*(N974&lt;$N$7:$N$10000))+1</f>
        <v>14</v>
      </c>
      <c r="Q974" s="72"/>
      <c r="R974">
        <v>14</v>
      </c>
      <c r="S974" t="str">
        <v>CHI</v>
      </c>
      <c r="T974" t="str">
        <v>Ollie Devoto</v>
      </c>
      <c r="U974" t="str">
        <v>NULL</v>
      </c>
      <c r="V974" t="str">
        <v>Home</v>
      </c>
      <c r="W974" t="str">
        <v>LA</v>
      </c>
      <c r="X974">
        <v>12.950084015409686</v>
      </c>
    </row>
    <row r="975" spans="8:24" x14ac:dyDescent="0.35">
      <c r="H975">
        <v>12</v>
      </c>
      <c r="I975" t="s">
        <v>2</v>
      </c>
      <c r="J975" t="s">
        <v>63</v>
      </c>
      <c r="K975" t="s">
        <v>256</v>
      </c>
      <c r="L975" t="s">
        <v>3</v>
      </c>
      <c r="M975" t="s">
        <v>24</v>
      </c>
      <c r="N975">
        <f t="shared" si="48"/>
        <v>12.656505211261663</v>
      </c>
      <c r="O975" t="str">
        <f t="shared" si="49"/>
        <v/>
      </c>
      <c r="P975" s="67" cm="1">
        <f t="array" ref="P975">SUMPRODUCT((H975=$H$7:$H$10000)*(N975&lt;$N$7:$N$10000))+1</f>
        <v>15</v>
      </c>
      <c r="Q975" s="72"/>
      <c r="R975">
        <v>14</v>
      </c>
      <c r="S975" t="str">
        <v>UTAH</v>
      </c>
      <c r="T975" t="str">
        <v>Nic Benn</v>
      </c>
      <c r="U975" t="str">
        <v>NULL</v>
      </c>
      <c r="V975" t="str">
        <v>Away</v>
      </c>
      <c r="W975" t="str">
        <v>HOU</v>
      </c>
      <c r="X975">
        <v>12.658523371889309</v>
      </c>
    </row>
    <row r="976" spans="8:24" x14ac:dyDescent="0.35">
      <c r="H976" s="66">
        <v>12</v>
      </c>
      <c r="I976" t="s">
        <v>24</v>
      </c>
      <c r="J976" t="s">
        <v>446</v>
      </c>
      <c r="K976" t="s">
        <v>256</v>
      </c>
      <c r="L976" t="s">
        <v>9</v>
      </c>
      <c r="M976" t="s">
        <v>2</v>
      </c>
      <c r="N976">
        <f t="shared" si="48"/>
        <v>12.31639633505432</v>
      </c>
      <c r="O976" t="str">
        <f t="shared" si="49"/>
        <v/>
      </c>
      <c r="P976" s="67" cm="1">
        <f t="array" ref="P976">SUMPRODUCT((H976=$H$7:$H$10000)*(N976&lt;$N$7:$N$10000))+1</f>
        <v>16</v>
      </c>
      <c r="Q976" s="72"/>
      <c r="R976">
        <v>14</v>
      </c>
      <c r="S976" t="str">
        <v>SDL</v>
      </c>
      <c r="T976" t="str">
        <v>Ethan Grayson</v>
      </c>
      <c r="U976" t="str">
        <v>NULL</v>
      </c>
      <c r="V976" t="str">
        <v>Away</v>
      </c>
      <c r="W976" t="str">
        <v>SEA</v>
      </c>
      <c r="X976">
        <v>12.648515911435625</v>
      </c>
    </row>
    <row r="977" spans="8:24" x14ac:dyDescent="0.35">
      <c r="H977">
        <v>12</v>
      </c>
      <c r="I977" t="s">
        <v>34</v>
      </c>
      <c r="J977" t="s">
        <v>41</v>
      </c>
      <c r="K977" t="s">
        <v>256</v>
      </c>
      <c r="L977" t="s">
        <v>3</v>
      </c>
      <c r="M977" t="s">
        <v>4</v>
      </c>
      <c r="N977">
        <f t="shared" si="48"/>
        <v>12.076765758842914</v>
      </c>
      <c r="O977" t="str">
        <f t="shared" si="49"/>
        <v/>
      </c>
      <c r="P977" s="67" cm="1">
        <f t="array" ref="P977">SUMPRODUCT((H977=$H$7:$H$10000)*(N977&lt;$N$7:$N$10000))+1</f>
        <v>17</v>
      </c>
      <c r="Q977" s="72"/>
      <c r="R977">
        <v>14</v>
      </c>
      <c r="S977" t="str">
        <v>CHI</v>
      </c>
      <c r="T977" t="str">
        <v>Adriaan Carelse</v>
      </c>
      <c r="U977" t="str">
        <v>NULL</v>
      </c>
      <c r="V977" t="str">
        <v>Home</v>
      </c>
      <c r="W977" t="str">
        <v>LA</v>
      </c>
      <c r="X977">
        <v>12.058814979612771</v>
      </c>
    </row>
    <row r="978" spans="8:24" x14ac:dyDescent="0.35">
      <c r="H978">
        <v>12</v>
      </c>
      <c r="I978" t="s">
        <v>17</v>
      </c>
      <c r="J978" t="s">
        <v>450</v>
      </c>
      <c r="K978" t="s">
        <v>256</v>
      </c>
      <c r="L978" t="s">
        <v>3</v>
      </c>
      <c r="M978" t="s">
        <v>6</v>
      </c>
      <c r="N978">
        <f t="shared" si="48"/>
        <v>12.037191646462531</v>
      </c>
      <c r="O978" t="str">
        <f t="shared" si="49"/>
        <v/>
      </c>
      <c r="P978" s="67" cm="1">
        <f t="array" ref="P978">SUMPRODUCT((H978=$H$7:$H$10000)*(N978&lt;$N$7:$N$10000))+1</f>
        <v>18</v>
      </c>
      <c r="Q978" s="72"/>
      <c r="R978">
        <v>14</v>
      </c>
      <c r="S978" t="str">
        <v>LA</v>
      </c>
      <c r="T978" t="str">
        <v>Christian Leali'ifano</v>
      </c>
      <c r="U978" t="str">
        <v>NULL</v>
      </c>
      <c r="V978" t="str">
        <v>Away</v>
      </c>
      <c r="W978" t="str">
        <v>CHI</v>
      </c>
      <c r="X978">
        <v>12.057498321960972</v>
      </c>
    </row>
    <row r="979" spans="8:24" x14ac:dyDescent="0.35">
      <c r="H979">
        <v>12</v>
      </c>
      <c r="I979" t="s">
        <v>6</v>
      </c>
      <c r="J979" t="s">
        <v>442</v>
      </c>
      <c r="K979" t="s">
        <v>256</v>
      </c>
      <c r="L979" t="s">
        <v>9</v>
      </c>
      <c r="M979" t="s">
        <v>17</v>
      </c>
      <c r="N979">
        <f t="shared" si="48"/>
        <v>11.925412646396143</v>
      </c>
      <c r="O979" t="str">
        <f t="shared" si="49"/>
        <v/>
      </c>
      <c r="P979" s="67" cm="1">
        <f t="array" ref="P979">SUMPRODUCT((H979=$H$7:$H$10000)*(N979&lt;$N$7:$N$10000))+1</f>
        <v>19</v>
      </c>
      <c r="Q979" s="72"/>
      <c r="R979">
        <v>14</v>
      </c>
      <c r="S979" t="str">
        <v>MIA</v>
      </c>
      <c r="T979" t="str">
        <v>Marcos Young</v>
      </c>
      <c r="U979" t="str">
        <v>NULL</v>
      </c>
      <c r="V979" t="str">
        <v>Home</v>
      </c>
      <c r="W979" t="str">
        <v>NEFJ</v>
      </c>
      <c r="X979">
        <v>11.934730843759388</v>
      </c>
    </row>
    <row r="980" spans="8:24" x14ac:dyDescent="0.35">
      <c r="H980">
        <v>12</v>
      </c>
      <c r="I980" t="s">
        <v>7</v>
      </c>
      <c r="J980" t="s">
        <v>67</v>
      </c>
      <c r="K980" t="s">
        <v>256</v>
      </c>
      <c r="L980" t="s">
        <v>3</v>
      </c>
      <c r="M980" t="s">
        <v>13</v>
      </c>
      <c r="N980">
        <f t="shared" si="48"/>
        <v>11.852606657006181</v>
      </c>
      <c r="O980" t="str">
        <f t="shared" si="49"/>
        <v/>
      </c>
      <c r="P980" s="67" cm="1">
        <f t="array" ref="P980">SUMPRODUCT((H980=$H$7:$H$10000)*(N980&lt;$N$7:$N$10000))+1</f>
        <v>20</v>
      </c>
      <c r="Q980" s="72"/>
      <c r="R980">
        <v>14</v>
      </c>
      <c r="S980" t="str">
        <v>MIA</v>
      </c>
      <c r="T980" t="str">
        <v>Martin Elias</v>
      </c>
      <c r="U980" t="str">
        <v>NULL</v>
      </c>
      <c r="V980" t="str">
        <v>Home</v>
      </c>
      <c r="W980" t="str">
        <v>NEFJ</v>
      </c>
      <c r="X980">
        <v>11.90366697615689</v>
      </c>
    </row>
    <row r="981" spans="8:24" x14ac:dyDescent="0.35">
      <c r="H981" s="66">
        <v>12</v>
      </c>
      <c r="I981" t="s">
        <v>2</v>
      </c>
      <c r="J981" t="s">
        <v>455</v>
      </c>
      <c r="K981" t="s">
        <v>256</v>
      </c>
      <c r="L981" t="s">
        <v>3</v>
      </c>
      <c r="M981" t="s">
        <v>24</v>
      </c>
      <c r="N981">
        <f t="shared" si="48"/>
        <v>11.629087370549097</v>
      </c>
      <c r="O981" t="str">
        <f t="shared" si="49"/>
        <v/>
      </c>
      <c r="P981" s="67" cm="1">
        <f t="array" ref="P981">SUMPRODUCT((H981=$H$7:$H$10000)*(N981&lt;$N$7:$N$10000))+1</f>
        <v>21</v>
      </c>
      <c r="Q981" s="72"/>
      <c r="R981">
        <v>14</v>
      </c>
      <c r="S981" t="str">
        <v>MIA</v>
      </c>
      <c r="T981" t="str">
        <v>Tomas Malanos</v>
      </c>
      <c r="U981" t="str">
        <v>NULL</v>
      </c>
      <c r="V981" t="str">
        <v>Home</v>
      </c>
      <c r="W981" t="str">
        <v>NEFJ</v>
      </c>
      <c r="X981">
        <v>11.753242581770269</v>
      </c>
    </row>
    <row r="982" spans="8:24" x14ac:dyDescent="0.35">
      <c r="H982" s="66">
        <v>12</v>
      </c>
      <c r="I982" t="s">
        <v>36</v>
      </c>
      <c r="J982" t="s">
        <v>38</v>
      </c>
      <c r="K982" t="s">
        <v>256</v>
      </c>
      <c r="L982" t="s">
        <v>9</v>
      </c>
      <c r="M982" t="s">
        <v>23</v>
      </c>
      <c r="N982">
        <f t="shared" si="48"/>
        <v>11.32864813976175</v>
      </c>
      <c r="O982" t="str">
        <f t="shared" si="49"/>
        <v/>
      </c>
      <c r="P982" s="67" cm="1">
        <f t="array" ref="P982">SUMPRODUCT((H982=$H$7:$H$10000)*(N982&lt;$N$7:$N$10000))+1</f>
        <v>22</v>
      </c>
      <c r="Q982" s="72"/>
      <c r="R982">
        <v>14</v>
      </c>
      <c r="S982" t="str">
        <v>HOU</v>
      </c>
      <c r="T982" t="str">
        <v>Dom Akina</v>
      </c>
      <c r="U982" t="str">
        <v>NULL</v>
      </c>
      <c r="V982" t="str">
        <v>Home</v>
      </c>
      <c r="W982" t="str">
        <v>UTAH</v>
      </c>
      <c r="X982">
        <v>11.740660629577043</v>
      </c>
    </row>
    <row r="983" spans="8:24" x14ac:dyDescent="0.35">
      <c r="H983">
        <v>12</v>
      </c>
      <c r="I983" t="s">
        <v>7</v>
      </c>
      <c r="J983" t="s">
        <v>447</v>
      </c>
      <c r="K983" t="s">
        <v>256</v>
      </c>
      <c r="L983" t="s">
        <v>3</v>
      </c>
      <c r="M983" t="s">
        <v>13</v>
      </c>
      <c r="N983">
        <f t="shared" si="48"/>
        <v>11.164965596340126</v>
      </c>
      <c r="O983" t="str">
        <f t="shared" si="49"/>
        <v/>
      </c>
      <c r="P983" s="67" cm="1">
        <f t="array" ref="P983">SUMPRODUCT((H983=$H$7:$H$10000)*(N983&lt;$N$7:$N$10000))+1</f>
        <v>23</v>
      </c>
      <c r="Q983" s="72"/>
      <c r="R983">
        <v>14</v>
      </c>
      <c r="S983" t="str">
        <v>MIA</v>
      </c>
      <c r="T983" t="str">
        <v>Tomás Inciarte</v>
      </c>
      <c r="U983" t="str">
        <v>NULL</v>
      </c>
      <c r="V983" t="str">
        <v>Home</v>
      </c>
      <c r="W983" t="str">
        <v>NEFJ</v>
      </c>
      <c r="X983">
        <v>11.584219734535584</v>
      </c>
    </row>
    <row r="984" spans="8:24" x14ac:dyDescent="0.35">
      <c r="H984">
        <v>12</v>
      </c>
      <c r="I984" t="s">
        <v>17</v>
      </c>
      <c r="J984" t="s">
        <v>81</v>
      </c>
      <c r="K984" t="s">
        <v>256</v>
      </c>
      <c r="L984" t="s">
        <v>3</v>
      </c>
      <c r="M984" t="s">
        <v>6</v>
      </c>
      <c r="N984">
        <f t="shared" si="48"/>
        <v>11.019121746337733</v>
      </c>
      <c r="O984" t="str">
        <f t="shared" si="49"/>
        <v/>
      </c>
      <c r="P984" s="67" cm="1">
        <f t="array" ref="P984">SUMPRODUCT((H984=$H$7:$H$10000)*(N984&lt;$N$7:$N$10000))+1</f>
        <v>24</v>
      </c>
      <c r="Q984" s="72"/>
      <c r="R984">
        <v>14</v>
      </c>
      <c r="S984" t="str">
        <v>SDL</v>
      </c>
      <c r="T984" t="str">
        <v>Tomas Aoake</v>
      </c>
      <c r="U984" t="str">
        <v>NULL</v>
      </c>
      <c r="V984" t="str">
        <v>Away</v>
      </c>
      <c r="W984" t="str">
        <v>SEA</v>
      </c>
      <c r="X984">
        <v>11.484226601754067</v>
      </c>
    </row>
    <row r="985" spans="8:24" x14ac:dyDescent="0.35">
      <c r="H985" s="66">
        <v>12</v>
      </c>
      <c r="I985" t="s">
        <v>2</v>
      </c>
      <c r="J985" t="s">
        <v>44</v>
      </c>
      <c r="K985" t="s">
        <v>256</v>
      </c>
      <c r="L985" t="s">
        <v>3</v>
      </c>
      <c r="M985" t="s">
        <v>24</v>
      </c>
      <c r="N985">
        <f t="shared" si="48"/>
        <v>10.998200983297414</v>
      </c>
      <c r="O985" t="str">
        <f t="shared" si="49"/>
        <v/>
      </c>
      <c r="P985" s="67" cm="1">
        <f t="array" ref="P985">SUMPRODUCT((H985=$H$7:$H$10000)*(N985&lt;$N$7:$N$10000))+1</f>
        <v>25</v>
      </c>
      <c r="Q985" s="72"/>
      <c r="R985">
        <v>14</v>
      </c>
      <c r="S985" t="str">
        <v>MIA</v>
      </c>
      <c r="T985" t="str">
        <v>Tomás Cubelli</v>
      </c>
      <c r="U985" t="str">
        <v>NULL</v>
      </c>
      <c r="V985" t="str">
        <v>Home</v>
      </c>
      <c r="W985" t="str">
        <v>NEFJ</v>
      </c>
      <c r="X985">
        <v>11.413531096047587</v>
      </c>
    </row>
    <row r="986" spans="8:24" x14ac:dyDescent="0.35">
      <c r="H986">
        <v>12</v>
      </c>
      <c r="I986" t="s">
        <v>6</v>
      </c>
      <c r="J986" t="s">
        <v>437</v>
      </c>
      <c r="K986" t="s">
        <v>256</v>
      </c>
      <c r="L986" t="s">
        <v>9</v>
      </c>
      <c r="M986" t="s">
        <v>17</v>
      </c>
      <c r="N986">
        <f t="shared" si="48"/>
        <v>10.955630730968158</v>
      </c>
      <c r="O986" t="str">
        <f t="shared" si="49"/>
        <v/>
      </c>
      <c r="P986" s="67" cm="1">
        <f t="array" ref="P986">SUMPRODUCT((H986=$H$7:$H$10000)*(N986&lt;$N$7:$N$10000))+1</f>
        <v>26</v>
      </c>
      <c r="Q986" s="72"/>
      <c r="R986">
        <v>14</v>
      </c>
      <c r="S986" t="str">
        <v>HOU</v>
      </c>
      <c r="T986" t="str">
        <v>Davy Coetzer</v>
      </c>
      <c r="U986" t="str">
        <v>NULL</v>
      </c>
      <c r="V986" t="str">
        <v>Home</v>
      </c>
      <c r="W986" t="str">
        <v>UTAH</v>
      </c>
      <c r="X986">
        <v>11.161101237462205</v>
      </c>
    </row>
    <row r="987" spans="8:24" x14ac:dyDescent="0.35">
      <c r="H987">
        <v>12</v>
      </c>
      <c r="I987" t="s">
        <v>34</v>
      </c>
      <c r="J987" t="s">
        <v>100</v>
      </c>
      <c r="K987" t="s">
        <v>256</v>
      </c>
      <c r="L987" t="s">
        <v>3</v>
      </c>
      <c r="M987" t="s">
        <v>4</v>
      </c>
      <c r="N987">
        <f t="shared" si="48"/>
        <v>10.912476449161357</v>
      </c>
      <c r="O987" t="str">
        <f t="shared" si="49"/>
        <v/>
      </c>
      <c r="P987" s="67" cm="1">
        <f t="array" ref="P987">SUMPRODUCT((H987=$H$7:$H$10000)*(N987&lt;$N$7:$N$10000))+1</f>
        <v>27</v>
      </c>
      <c r="Q987" s="72"/>
      <c r="R987">
        <v>14</v>
      </c>
      <c r="S987" t="str">
        <v>HOU</v>
      </c>
      <c r="T987" t="str">
        <v>Jeremy Misailegalu</v>
      </c>
      <c r="U987" t="str">
        <v>NULL</v>
      </c>
      <c r="V987" t="str">
        <v>Home</v>
      </c>
      <c r="W987" t="str">
        <v>UTAH</v>
      </c>
      <c r="X987">
        <v>11.154714720242252</v>
      </c>
    </row>
    <row r="988" spans="8:24" x14ac:dyDescent="0.35">
      <c r="H988" s="66">
        <v>12</v>
      </c>
      <c r="I988" t="s">
        <v>36</v>
      </c>
      <c r="J988" t="s">
        <v>71</v>
      </c>
      <c r="K988" t="s">
        <v>256</v>
      </c>
      <c r="L988" t="s">
        <v>9</v>
      </c>
      <c r="M988" t="s">
        <v>23</v>
      </c>
      <c r="N988">
        <f t="shared" si="48"/>
        <v>10.749088747646912</v>
      </c>
      <c r="O988" t="str">
        <f t="shared" si="49"/>
        <v/>
      </c>
      <c r="P988" s="67" cm="1">
        <f t="array" ref="P988">SUMPRODUCT((H988=$H$7:$H$10000)*(N988&lt;$N$7:$N$10000))+1</f>
        <v>28</v>
      </c>
      <c r="Q988" s="72"/>
      <c r="R988">
        <v>14</v>
      </c>
      <c r="S988" t="str">
        <v>LA</v>
      </c>
      <c r="T988" t="str">
        <v>Gonzalo Bertranou</v>
      </c>
      <c r="U988" t="str">
        <v>NULL</v>
      </c>
      <c r="V988" t="str">
        <v>Away</v>
      </c>
      <c r="W988" t="str">
        <v>CHI</v>
      </c>
      <c r="X988">
        <v>11.087716406532987</v>
      </c>
    </row>
    <row r="989" spans="8:24" x14ac:dyDescent="0.35">
      <c r="H989">
        <v>12</v>
      </c>
      <c r="I989" t="s">
        <v>36</v>
      </c>
      <c r="J989" t="s">
        <v>78</v>
      </c>
      <c r="K989" t="s">
        <v>256</v>
      </c>
      <c r="L989" t="s">
        <v>9</v>
      </c>
      <c r="M989" t="s">
        <v>23</v>
      </c>
      <c r="N989">
        <f t="shared" si="48"/>
        <v>10.742702230426959</v>
      </c>
      <c r="O989" t="str">
        <f t="shared" si="49"/>
        <v/>
      </c>
      <c r="P989" s="67" cm="1">
        <f t="array" ref="P989">SUMPRODUCT((H989=$H$7:$H$10000)*(N989&lt;$N$7:$N$10000))+1</f>
        <v>29</v>
      </c>
      <c r="Q989" s="72"/>
      <c r="R989">
        <v>14</v>
      </c>
      <c r="S989" t="str">
        <v>CHI</v>
      </c>
      <c r="T989" t="str">
        <v>Ben Pollack</v>
      </c>
      <c r="U989" t="str">
        <v>NULL</v>
      </c>
      <c r="V989" t="str">
        <v>Home</v>
      </c>
      <c r="W989" t="str">
        <v>LA</v>
      </c>
      <c r="X989">
        <v>11.031397138900203</v>
      </c>
    </row>
    <row r="990" spans="8:24" x14ac:dyDescent="0.35">
      <c r="H990" s="66">
        <v>12</v>
      </c>
      <c r="I990" t="s">
        <v>6</v>
      </c>
      <c r="J990" t="s">
        <v>75</v>
      </c>
      <c r="K990" t="s">
        <v>256</v>
      </c>
      <c r="L990" t="s">
        <v>9</v>
      </c>
      <c r="M990" t="s">
        <v>17</v>
      </c>
      <c r="N990">
        <f t="shared" si="48"/>
        <v>10.700516518823624</v>
      </c>
      <c r="O990" t="str">
        <f t="shared" si="49"/>
        <v/>
      </c>
      <c r="P990" s="67" cm="1">
        <f t="array" ref="P990">SUMPRODUCT((H990=$H$7:$H$10000)*(N990&lt;$N$7:$N$10000))+1</f>
        <v>30</v>
      </c>
      <c r="Q990" s="72"/>
      <c r="R990">
        <v>14</v>
      </c>
      <c r="S990" t="str">
        <v>OGDC</v>
      </c>
      <c r="T990" t="str">
        <v>Damien Hoyland</v>
      </c>
      <c r="U990" t="str">
        <v>NULL</v>
      </c>
      <c r="V990" t="str">
        <v>Away</v>
      </c>
      <c r="W990" t="str">
        <v>ARC</v>
      </c>
      <c r="X990">
        <v>10.978633207996587</v>
      </c>
    </row>
    <row r="991" spans="8:24" x14ac:dyDescent="0.35">
      <c r="H991" s="66">
        <v>12</v>
      </c>
      <c r="I991" t="s">
        <v>24</v>
      </c>
      <c r="J991" t="s">
        <v>84</v>
      </c>
      <c r="K991" t="s">
        <v>256</v>
      </c>
      <c r="L991" t="s">
        <v>9</v>
      </c>
      <c r="M991" t="s">
        <v>2</v>
      </c>
      <c r="N991">
        <f t="shared" si="48"/>
        <v>10.337587170034837</v>
      </c>
      <c r="O991" t="str">
        <f t="shared" si="49"/>
        <v/>
      </c>
      <c r="P991" s="67" cm="1">
        <f t="array" ref="P991">SUMPRODUCT((H991=$H$7:$H$10000)*(N991&lt;$N$7:$N$10000))+1</f>
        <v>31</v>
      </c>
      <c r="Q991" s="72"/>
      <c r="R991">
        <v>14</v>
      </c>
      <c r="S991" t="str">
        <v>LA</v>
      </c>
      <c r="T991" t="str">
        <v>Jack Shaw</v>
      </c>
      <c r="U991" t="str">
        <v>NULL</v>
      </c>
      <c r="V991" t="str">
        <v>Away</v>
      </c>
      <c r="W991" t="str">
        <v>CHI</v>
      </c>
      <c r="X991">
        <v>10.832602194388453</v>
      </c>
    </row>
    <row r="992" spans="8:24" x14ac:dyDescent="0.35">
      <c r="H992" s="66">
        <v>12</v>
      </c>
      <c r="I992" t="s">
        <v>4</v>
      </c>
      <c r="J992" t="s">
        <v>457</v>
      </c>
      <c r="K992" t="s">
        <v>256</v>
      </c>
      <c r="L992" t="s">
        <v>9</v>
      </c>
      <c r="M992" t="s">
        <v>34</v>
      </c>
      <c r="N992">
        <f t="shared" si="48"/>
        <v>10.311631301465853</v>
      </c>
      <c r="O992" t="str">
        <f t="shared" si="49"/>
        <v/>
      </c>
      <c r="P992" s="67" cm="1">
        <f t="array" ref="P992">SUMPRODUCT((H992=$H$7:$H$10000)*(N992&lt;$N$7:$N$10000))+1</f>
        <v>32</v>
      </c>
      <c r="Q992" s="72"/>
      <c r="R992">
        <v>14</v>
      </c>
      <c r="S992" t="str">
        <v>SEA</v>
      </c>
      <c r="T992" t="str">
        <v>Eddie Fouche</v>
      </c>
      <c r="U992" t="str">
        <v>NULL</v>
      </c>
      <c r="V992" t="str">
        <v>Home</v>
      </c>
      <c r="W992" t="str">
        <v>SDL</v>
      </c>
      <c r="X992">
        <v>10.799023973772133</v>
      </c>
    </row>
    <row r="993" spans="8:24" x14ac:dyDescent="0.35">
      <c r="H993" s="66">
        <v>12</v>
      </c>
      <c r="I993" t="s">
        <v>24</v>
      </c>
      <c r="J993" t="s">
        <v>194</v>
      </c>
      <c r="K993" t="s">
        <v>256</v>
      </c>
      <c r="L993" t="s">
        <v>9</v>
      </c>
      <c r="M993" t="s">
        <v>2</v>
      </c>
      <c r="N993">
        <f t="shared" si="48"/>
        <v>10.306523302432341</v>
      </c>
      <c r="O993" t="str">
        <f t="shared" si="49"/>
        <v/>
      </c>
      <c r="P993" s="67" cm="1">
        <f t="array" ref="P993">SUMPRODUCT((H993=$H$7:$H$10000)*(N993&lt;$N$7:$N$10000))+1</f>
        <v>33</v>
      </c>
      <c r="Q993" s="72"/>
      <c r="R993">
        <v>14</v>
      </c>
      <c r="S993" t="str">
        <v>MIA</v>
      </c>
      <c r="T993" t="str">
        <v>Santiago Videla</v>
      </c>
      <c r="U993" t="str">
        <v>NULL</v>
      </c>
      <c r="V993" t="str">
        <v>Home</v>
      </c>
      <c r="W993" t="str">
        <v>NEFJ</v>
      </c>
      <c r="X993">
        <v>10.613517836388803</v>
      </c>
    </row>
    <row r="994" spans="8:24" x14ac:dyDescent="0.35">
      <c r="H994" s="66">
        <v>12</v>
      </c>
      <c r="I994" t="s">
        <v>6</v>
      </c>
      <c r="J994" t="s">
        <v>43</v>
      </c>
      <c r="K994" t="s">
        <v>256</v>
      </c>
      <c r="L994" t="s">
        <v>9</v>
      </c>
      <c r="M994" t="s">
        <v>17</v>
      </c>
      <c r="N994">
        <f t="shared" si="48"/>
        <v>10.207426223239398</v>
      </c>
      <c r="O994" t="str">
        <f t="shared" si="49"/>
        <v/>
      </c>
      <c r="P994" s="67" cm="1">
        <f t="array" ref="P994">SUMPRODUCT((H994=$H$7:$H$10000)*(N994&lt;$N$7:$N$10000))+1</f>
        <v>34</v>
      </c>
      <c r="Q994" s="72"/>
      <c r="R994">
        <v>14</v>
      </c>
      <c r="S994" t="str">
        <v>CHI</v>
      </c>
      <c r="T994" t="str">
        <v>Bryce Campbell</v>
      </c>
      <c r="U994" t="str">
        <v>NULL</v>
      </c>
      <c r="V994" t="str">
        <v>Home</v>
      </c>
      <c r="W994" t="str">
        <v>LA</v>
      </c>
      <c r="X994">
        <v>10.400510751648522</v>
      </c>
    </row>
    <row r="995" spans="8:24" x14ac:dyDescent="0.35">
      <c r="H995" s="66">
        <v>12</v>
      </c>
      <c r="I995" t="s">
        <v>24</v>
      </c>
      <c r="J995" t="s">
        <v>101</v>
      </c>
      <c r="K995" t="s">
        <v>256</v>
      </c>
      <c r="L995" t="s">
        <v>9</v>
      </c>
      <c r="M995" t="s">
        <v>2</v>
      </c>
      <c r="N995">
        <f t="shared" si="48"/>
        <v>10.15609890804572</v>
      </c>
      <c r="O995" t="str">
        <f t="shared" si="49"/>
        <v/>
      </c>
      <c r="P995" s="67" cm="1">
        <f t="array" ref="P995">SUMPRODUCT((H995=$H$7:$H$10000)*(N995&lt;$N$7:$N$10000))+1</f>
        <v>35</v>
      </c>
      <c r="Q995" s="72"/>
      <c r="R995">
        <v>14</v>
      </c>
      <c r="S995" t="str">
        <v>LA</v>
      </c>
      <c r="T995" t="str">
        <v>Seth Purdey</v>
      </c>
      <c r="U995" t="str">
        <v>NULL</v>
      </c>
      <c r="V995" t="str">
        <v>Away</v>
      </c>
      <c r="W995" t="str">
        <v>CHI</v>
      </c>
      <c r="X995">
        <v>10.339511898804227</v>
      </c>
    </row>
    <row r="996" spans="8:24" x14ac:dyDescent="0.35">
      <c r="H996">
        <v>12</v>
      </c>
      <c r="I996" t="s">
        <v>7</v>
      </c>
      <c r="J996" t="s">
        <v>77</v>
      </c>
      <c r="K996" t="s">
        <v>256</v>
      </c>
      <c r="L996" t="s">
        <v>3</v>
      </c>
      <c r="M996" t="s">
        <v>13</v>
      </c>
      <c r="N996">
        <f t="shared" si="48"/>
        <v>10.144432356685398</v>
      </c>
      <c r="O996" t="str">
        <f t="shared" si="49"/>
        <v/>
      </c>
      <c r="P996" s="67" cm="1">
        <f t="array" ref="P996">SUMPRODUCT((H996=$H$7:$H$10000)*(N996&lt;$N$7:$N$10000))+1</f>
        <v>36</v>
      </c>
      <c r="Q996" s="72"/>
      <c r="R996">
        <v>14</v>
      </c>
      <c r="S996" t="str">
        <v>OGDC</v>
      </c>
      <c r="T996" t="str">
        <v>Steffan Hughes</v>
      </c>
      <c r="U996" t="str">
        <v>NULL</v>
      </c>
      <c r="V996" t="str">
        <v>Away</v>
      </c>
      <c r="W996" t="str">
        <v>ARC</v>
      </c>
      <c r="X996">
        <v>10.290992147330535</v>
      </c>
    </row>
    <row r="997" spans="8:24" x14ac:dyDescent="0.35">
      <c r="H997" s="66">
        <v>12</v>
      </c>
      <c r="I997" t="s">
        <v>2</v>
      </c>
      <c r="J997" t="s">
        <v>441</v>
      </c>
      <c r="K997" t="s">
        <v>256</v>
      </c>
      <c r="L997" t="s">
        <v>3</v>
      </c>
      <c r="M997" t="s">
        <v>24</v>
      </c>
      <c r="N997">
        <f t="shared" si="48"/>
        <v>10.131509267956034</v>
      </c>
      <c r="O997" t="str">
        <f t="shared" si="49"/>
        <v/>
      </c>
      <c r="P997" s="67" cm="1">
        <f t="array" ref="P997">SUMPRODUCT((H997=$H$7:$H$10000)*(N997&lt;$N$7:$N$10000))+1</f>
        <v>37</v>
      </c>
      <c r="Q997" s="72"/>
      <c r="R997">
        <v>14</v>
      </c>
      <c r="S997" t="str">
        <v>SDL</v>
      </c>
      <c r="T997" t="str">
        <v>Tavite Lopeti</v>
      </c>
      <c r="U997" t="str">
        <v>NULL</v>
      </c>
      <c r="V997" t="str">
        <v>Away</v>
      </c>
      <c r="W997" t="str">
        <v>SEA</v>
      </c>
      <c r="X997">
        <v>10.155895998246322</v>
      </c>
    </row>
    <row r="998" spans="8:24" x14ac:dyDescent="0.35">
      <c r="H998">
        <v>12</v>
      </c>
      <c r="I998" t="s">
        <v>24</v>
      </c>
      <c r="J998" t="s">
        <v>487</v>
      </c>
      <c r="K998" t="s">
        <v>256</v>
      </c>
      <c r="L998" t="s">
        <v>9</v>
      </c>
      <c r="M998" t="s">
        <v>2</v>
      </c>
      <c r="N998">
        <f t="shared" si="48"/>
        <v>9.9870760608110345</v>
      </c>
      <c r="O998" t="str">
        <f t="shared" si="49"/>
        <v/>
      </c>
      <c r="P998" s="67" cm="1">
        <f t="array" ref="P998">SUMPRODUCT((H998=$H$7:$H$10000)*(N998&lt;$N$7:$N$10000))+1</f>
        <v>38</v>
      </c>
      <c r="Q998" s="72"/>
      <c r="R998">
        <v>14</v>
      </c>
      <c r="S998" t="str">
        <v>LA</v>
      </c>
      <c r="T998" t="str">
        <v>Cameron Gerlach</v>
      </c>
      <c r="U998" t="str">
        <v>NULL</v>
      </c>
      <c r="V998" t="str">
        <v>Away</v>
      </c>
      <c r="W998" t="str">
        <v>CHI</v>
      </c>
      <c r="X998">
        <v>10.040846231154482</v>
      </c>
    </row>
    <row r="999" spans="8:24" x14ac:dyDescent="0.35">
      <c r="H999" s="66">
        <v>12</v>
      </c>
      <c r="I999" t="s">
        <v>6</v>
      </c>
      <c r="J999" t="s">
        <v>454</v>
      </c>
      <c r="K999" t="s">
        <v>256</v>
      </c>
      <c r="L999" t="s">
        <v>9</v>
      </c>
      <c r="M999" t="s">
        <v>17</v>
      </c>
      <c r="N999">
        <f t="shared" si="48"/>
        <v>9.9087605555896534</v>
      </c>
      <c r="O999" t="str">
        <f t="shared" si="49"/>
        <v/>
      </c>
      <c r="P999" s="67" cm="1">
        <f t="array" ref="P999">SUMPRODUCT((H999=$H$7:$H$10000)*(N999&lt;$N$7:$N$10000))+1</f>
        <v>39</v>
      </c>
      <c r="Q999" s="72"/>
      <c r="R999">
        <v>14</v>
      </c>
      <c r="S999" t="str">
        <v>SDL</v>
      </c>
      <c r="T999" t="str">
        <v>Lincoln McClutchie</v>
      </c>
      <c r="U999" t="str">
        <v>NULL</v>
      </c>
      <c r="V999" t="str">
        <v>Away</v>
      </c>
      <c r="W999" t="str">
        <v>SEA</v>
      </c>
      <c r="X999">
        <v>9.997117737107347</v>
      </c>
    </row>
    <row r="1000" spans="8:24" x14ac:dyDescent="0.35">
      <c r="H1000" s="66">
        <v>12</v>
      </c>
      <c r="I1000" t="s">
        <v>24</v>
      </c>
      <c r="J1000" t="s">
        <v>439</v>
      </c>
      <c r="K1000" t="s">
        <v>256</v>
      </c>
      <c r="L1000" t="s">
        <v>9</v>
      </c>
      <c r="M1000" t="s">
        <v>2</v>
      </c>
      <c r="N1000">
        <f t="shared" si="48"/>
        <v>9.8163874223230376</v>
      </c>
      <c r="O1000" t="str">
        <f t="shared" si="49"/>
        <v/>
      </c>
      <c r="P1000" s="67" cm="1">
        <f t="array" ref="P1000">SUMPRODUCT((H1000=$H$7:$H$10000)*(N1000&lt;$N$7:$N$10000))+1</f>
        <v>40</v>
      </c>
      <c r="Q1000" s="72"/>
      <c r="R1000">
        <v>14</v>
      </c>
      <c r="S1000" t="str">
        <v>SEA</v>
      </c>
      <c r="T1000" t="str">
        <v>Rodney Iona</v>
      </c>
      <c r="U1000" t="str">
        <v>NULL</v>
      </c>
      <c r="V1000" t="str">
        <v>Home</v>
      </c>
      <c r="W1000" t="str">
        <v>SDL</v>
      </c>
      <c r="X1000">
        <v>9.9439387082163098</v>
      </c>
    </row>
    <row r="1001" spans="8:24" x14ac:dyDescent="0.35">
      <c r="H1001">
        <v>12</v>
      </c>
      <c r="I1001" t="s">
        <v>4</v>
      </c>
      <c r="J1001" t="s">
        <v>286</v>
      </c>
      <c r="K1001" t="s">
        <v>256</v>
      </c>
      <c r="L1001" t="s">
        <v>9</v>
      </c>
      <c r="M1001" t="s">
        <v>34</v>
      </c>
      <c r="N1001">
        <f t="shared" si="48"/>
        <v>9.6659867932003429</v>
      </c>
      <c r="O1001" t="str">
        <f t="shared" si="49"/>
        <v/>
      </c>
      <c r="P1001" s="67" cm="1">
        <f t="array" ref="P1001">SUMPRODUCT((H1001=$H$7:$H$10000)*(N1001&lt;$N$7:$N$10000))+1</f>
        <v>41</v>
      </c>
      <c r="Q1001" s="72"/>
      <c r="R1001">
        <v>14</v>
      </c>
      <c r="S1001" t="str">
        <v>SDL</v>
      </c>
      <c r="T1001" t="str">
        <v>James Vaifale</v>
      </c>
      <c r="U1001" t="str">
        <v>NULL</v>
      </c>
      <c r="V1001" t="str">
        <v>Away</v>
      </c>
      <c r="W1001" t="str">
        <v>SEA</v>
      </c>
      <c r="X1001">
        <v>9.8400088797072929</v>
      </c>
    </row>
    <row r="1002" spans="8:24" x14ac:dyDescent="0.35">
      <c r="H1002">
        <v>12</v>
      </c>
      <c r="I1002" t="s">
        <v>17</v>
      </c>
      <c r="J1002" t="s">
        <v>82</v>
      </c>
      <c r="K1002" t="s">
        <v>256</v>
      </c>
      <c r="L1002" t="s">
        <v>3</v>
      </c>
      <c r="M1002" t="s">
        <v>6</v>
      </c>
      <c r="N1002">
        <f t="shared" si="48"/>
        <v>9.6242459030220502</v>
      </c>
      <c r="O1002" t="str">
        <f t="shared" si="49"/>
        <v/>
      </c>
      <c r="P1002" s="67" cm="1">
        <f t="array" ref="P1002">SUMPRODUCT((H1002=$H$7:$H$10000)*(N1002&lt;$N$7:$N$10000))+1</f>
        <v>42</v>
      </c>
      <c r="Q1002" s="72"/>
      <c r="R1002">
        <v>14</v>
      </c>
      <c r="S1002" t="str">
        <v>CHI</v>
      </c>
      <c r="T1002" t="str">
        <v>Mitch Short</v>
      </c>
      <c r="U1002" t="str">
        <v>NULL</v>
      </c>
      <c r="V1002" t="str">
        <v>Home</v>
      </c>
      <c r="W1002" t="str">
        <v>LA</v>
      </c>
      <c r="X1002">
        <v>9.5338190363071433</v>
      </c>
    </row>
    <row r="1003" spans="8:24" x14ac:dyDescent="0.35">
      <c r="H1003">
        <v>12</v>
      </c>
      <c r="I1003" t="s">
        <v>34</v>
      </c>
      <c r="J1003" t="s">
        <v>52</v>
      </c>
      <c r="K1003" t="s">
        <v>256</v>
      </c>
      <c r="L1003" t="s">
        <v>3</v>
      </c>
      <c r="M1003" t="s">
        <v>4</v>
      </c>
      <c r="N1003">
        <f t="shared" si="48"/>
        <v>9.5841458456536106</v>
      </c>
      <c r="O1003" t="str">
        <f t="shared" si="49"/>
        <v/>
      </c>
      <c r="P1003" s="67" cm="1">
        <f t="array" ref="P1003">SUMPRODUCT((H1003=$H$7:$H$10000)*(N1003&lt;$N$7:$N$10000))+1</f>
        <v>43</v>
      </c>
      <c r="Q1003" s="72"/>
      <c r="R1003">
        <v>14</v>
      </c>
      <c r="S1003" t="str">
        <v>SEA</v>
      </c>
      <c r="T1003" t="str">
        <v>Duncan Matthews</v>
      </c>
      <c r="U1003" t="str">
        <v>NULL</v>
      </c>
      <c r="V1003" t="str">
        <v>Home</v>
      </c>
      <c r="W1003" t="str">
        <v>SDL</v>
      </c>
      <c r="X1003">
        <v>9.4945209562673103</v>
      </c>
    </row>
    <row r="1004" spans="8:24" x14ac:dyDescent="0.35">
      <c r="H1004">
        <v>12</v>
      </c>
      <c r="I1004" t="s">
        <v>34</v>
      </c>
      <c r="J1004" t="s">
        <v>192</v>
      </c>
      <c r="K1004" t="s">
        <v>256</v>
      </c>
      <c r="L1004" t="s">
        <v>3</v>
      </c>
      <c r="M1004" t="s">
        <v>4</v>
      </c>
      <c r="N1004">
        <f t="shared" si="48"/>
        <v>9.4253675845146372</v>
      </c>
      <c r="O1004" t="str">
        <f t="shared" si="49"/>
        <v/>
      </c>
      <c r="P1004" s="67" cm="1">
        <f t="array" ref="P1004">SUMPRODUCT((H1004=$H$7:$H$10000)*(N1004&lt;$N$7:$N$10000))+1</f>
        <v>44</v>
      </c>
      <c r="Q1004" s="72"/>
      <c r="R1004">
        <v>14</v>
      </c>
      <c r="S1004" t="str">
        <v>LA</v>
      </c>
      <c r="T1004" t="str">
        <v>Nick Chan</v>
      </c>
      <c r="U1004" t="str">
        <v>NULL</v>
      </c>
      <c r="V1004" t="str">
        <v>Away</v>
      </c>
      <c r="W1004" t="str">
        <v>CHI</v>
      </c>
      <c r="X1004">
        <v>9.4295512781681357</v>
      </c>
    </row>
    <row r="1005" spans="8:24" x14ac:dyDescent="0.35">
      <c r="H1005">
        <v>12</v>
      </c>
      <c r="I1005" t="s">
        <v>6</v>
      </c>
      <c r="J1005" t="s">
        <v>451</v>
      </c>
      <c r="K1005" t="s">
        <v>256</v>
      </c>
      <c r="L1005" t="s">
        <v>9</v>
      </c>
      <c r="M1005" t="s">
        <v>17</v>
      </c>
      <c r="N1005">
        <f t="shared" si="48"/>
        <v>9.2974656026033067</v>
      </c>
      <c r="O1005" t="str">
        <f t="shared" si="49"/>
        <v/>
      </c>
      <c r="P1005" s="67" cm="1">
        <f t="array" ref="P1005">SUMPRODUCT((H1005=$H$7:$H$10000)*(N1005&lt;$N$7:$N$10000))+1</f>
        <v>45</v>
      </c>
      <c r="Q1005" s="72"/>
      <c r="R1005">
        <v>14</v>
      </c>
      <c r="S1005" t="str">
        <v>LA</v>
      </c>
      <c r="T1005" t="str">
        <v>Andrew Coe</v>
      </c>
      <c r="U1005" t="str">
        <v>NULL</v>
      </c>
      <c r="V1005" t="str">
        <v>Away</v>
      </c>
      <c r="W1005" t="str">
        <v>CHI</v>
      </c>
      <c r="X1005">
        <v>9.388617733124935</v>
      </c>
    </row>
    <row r="1006" spans="8:24" x14ac:dyDescent="0.35">
      <c r="H1006">
        <v>12</v>
      </c>
      <c r="I1006" t="s">
        <v>34</v>
      </c>
      <c r="J1006" t="s">
        <v>496</v>
      </c>
      <c r="K1006" t="s">
        <v>256</v>
      </c>
      <c r="L1006" t="s">
        <v>3</v>
      </c>
      <c r="M1006" t="s">
        <v>4</v>
      </c>
      <c r="N1006">
        <f t="shared" si="48"/>
        <v>9.2682587271145813</v>
      </c>
      <c r="O1006" t="str">
        <f t="shared" si="49"/>
        <v/>
      </c>
      <c r="P1006" s="67" cm="1">
        <f t="array" ref="P1006">SUMPRODUCT((H1006=$H$7:$H$10000)*(N1006&lt;$N$7:$N$10000))+1</f>
        <v>46</v>
      </c>
      <c r="Q1006" s="72"/>
      <c r="R1006">
        <v>14</v>
      </c>
      <c r="S1006" t="str">
        <v>SEA</v>
      </c>
      <c r="T1006" t="str">
        <v>Divan Rossouw</v>
      </c>
      <c r="U1006" t="str">
        <v>NULL</v>
      </c>
      <c r="V1006" t="str">
        <v>Home</v>
      </c>
      <c r="W1006" t="str">
        <v>SDL</v>
      </c>
      <c r="X1006">
        <v>9.3764207796077166</v>
      </c>
    </row>
    <row r="1007" spans="8:24" x14ac:dyDescent="0.35">
      <c r="H1007" s="66">
        <v>12</v>
      </c>
      <c r="I1007" t="s">
        <v>6</v>
      </c>
      <c r="J1007" t="s">
        <v>64</v>
      </c>
      <c r="K1007" t="s">
        <v>256</v>
      </c>
      <c r="L1007" t="s">
        <v>9</v>
      </c>
      <c r="M1007" t="s">
        <v>17</v>
      </c>
      <c r="N1007">
        <f t="shared" si="48"/>
        <v>9.256532057560106</v>
      </c>
      <c r="O1007" t="str">
        <f t="shared" si="49"/>
        <v/>
      </c>
      <c r="P1007" s="67" cm="1">
        <f t="array" ref="P1007">SUMPRODUCT((H1007=$H$7:$H$10000)*(N1007&lt;$N$7:$N$10000))+1</f>
        <v>47</v>
      </c>
      <c r="Q1007" s="72"/>
      <c r="R1007">
        <v>14</v>
      </c>
      <c r="S1007" t="str">
        <v>OGDC</v>
      </c>
      <c r="T1007" t="str">
        <v>Jason Robertson</v>
      </c>
      <c r="U1007" t="str">
        <v>NULL</v>
      </c>
      <c r="V1007" t="str">
        <v>Away</v>
      </c>
      <c r="W1007" t="str">
        <v>ARC</v>
      </c>
      <c r="X1007">
        <v>9.2704589076758062</v>
      </c>
    </row>
    <row r="1008" spans="8:24" x14ac:dyDescent="0.35">
      <c r="H1008" s="66">
        <v>12</v>
      </c>
      <c r="I1008" t="s">
        <v>4</v>
      </c>
      <c r="J1008" t="s">
        <v>453</v>
      </c>
      <c r="K1008" t="s">
        <v>256</v>
      </c>
      <c r="L1008" t="s">
        <v>9</v>
      </c>
      <c r="M1008" t="s">
        <v>34</v>
      </c>
      <c r="N1008">
        <f t="shared" si="48"/>
        <v>9.2229435831954998</v>
      </c>
      <c r="O1008" t="str">
        <f t="shared" si="49"/>
        <v/>
      </c>
      <c r="P1008" s="67" cm="1">
        <f t="array" ref="P1008">SUMPRODUCT((H1008=$H$7:$H$10000)*(N1008&lt;$N$7:$N$10000))+1</f>
        <v>48</v>
      </c>
      <c r="Q1008" s="72"/>
      <c r="R1008">
        <v>14</v>
      </c>
      <c r="S1008" t="str">
        <v>NEFJ</v>
      </c>
      <c r="T1008" t="str">
        <v>Killian Coghlan</v>
      </c>
      <c r="U1008" t="str">
        <v>NULL</v>
      </c>
      <c r="V1008" t="str">
        <v>Away</v>
      </c>
      <c r="W1008" t="str">
        <v>MIA</v>
      </c>
      <c r="X1008">
        <v>9.0277865568825781</v>
      </c>
    </row>
    <row r="1009" spans="8:24" x14ac:dyDescent="0.35">
      <c r="H1009">
        <v>12</v>
      </c>
      <c r="I1009" t="s">
        <v>13</v>
      </c>
      <c r="J1009" t="s">
        <v>473</v>
      </c>
      <c r="K1009" t="s">
        <v>256</v>
      </c>
      <c r="L1009" t="s">
        <v>9</v>
      </c>
      <c r="M1009" t="s">
        <v>7</v>
      </c>
      <c r="N1009">
        <f t="shared" si="48"/>
        <v>9.0301082743712584</v>
      </c>
      <c r="O1009" t="str">
        <f t="shared" si="49"/>
        <v/>
      </c>
      <c r="P1009" s="67" cm="1">
        <f t="array" ref="P1009">SUMPRODUCT((H1009=$H$7:$H$10000)*(N1009&lt;$N$7:$N$10000))+1</f>
        <v>49</v>
      </c>
      <c r="Q1009" s="72"/>
      <c r="R1009">
        <v>14</v>
      </c>
      <c r="S1009" t="str">
        <v>UTAH</v>
      </c>
      <c r="T1009" t="str">
        <v>D'Angelo Leuila</v>
      </c>
      <c r="U1009" t="str">
        <v>NULL</v>
      </c>
      <c r="V1009" t="str">
        <v>Away</v>
      </c>
      <c r="W1009" t="str">
        <v>HOU</v>
      </c>
      <c r="X1009">
        <v>8.9957681591039584</v>
      </c>
    </row>
    <row r="1010" spans="8:24" x14ac:dyDescent="0.35">
      <c r="H1010" s="66">
        <v>12</v>
      </c>
      <c r="I1010" t="s">
        <v>24</v>
      </c>
      <c r="J1010" t="s">
        <v>96</v>
      </c>
      <c r="K1010" t="s">
        <v>256</v>
      </c>
      <c r="L1010" t="s">
        <v>9</v>
      </c>
      <c r="M1010" t="s">
        <v>2</v>
      </c>
      <c r="N1010">
        <f t="shared" si="48"/>
        <v>9.0163741626642526</v>
      </c>
      <c r="O1010" t="str">
        <f t="shared" si="49"/>
        <v/>
      </c>
      <c r="P1010" s="67" cm="1">
        <f t="array" ref="P1010">SUMPRODUCT((H1010=$H$7:$H$10000)*(N1010&lt;$N$7:$N$10000))+1</f>
        <v>50</v>
      </c>
      <c r="Q1010" s="72"/>
      <c r="R1010">
        <v>14</v>
      </c>
      <c r="S1010" t="str">
        <v>HOU</v>
      </c>
      <c r="T1010" t="str">
        <v>AJ Alatimu</v>
      </c>
      <c r="U1010" t="str">
        <v>NULL</v>
      </c>
      <c r="V1010" t="str">
        <v>Home</v>
      </c>
      <c r="W1010" t="str">
        <v>UTAH</v>
      </c>
      <c r="X1010">
        <v>8.8256906432084996</v>
      </c>
    </row>
    <row r="1011" spans="8:24" x14ac:dyDescent="0.35">
      <c r="H1011" s="66">
        <v>12</v>
      </c>
      <c r="I1011" t="s">
        <v>4</v>
      </c>
      <c r="J1011" t="s">
        <v>74</v>
      </c>
      <c r="K1011" t="s">
        <v>256</v>
      </c>
      <c r="L1011" t="s">
        <v>9</v>
      </c>
      <c r="M1011" t="s">
        <v>34</v>
      </c>
      <c r="N1011">
        <f t="shared" si="48"/>
        <v>8.9505762447565562</v>
      </c>
      <c r="O1011" t="str">
        <f t="shared" si="49"/>
        <v/>
      </c>
      <c r="P1011" s="67" cm="1">
        <f t="array" ref="P1011">SUMPRODUCT((H1011=$H$7:$H$10000)*(N1011&lt;$N$7:$N$10000))+1</f>
        <v>51</v>
      </c>
      <c r="Q1011" s="72"/>
      <c r="R1011">
        <v>14</v>
      </c>
      <c r="S1011" t="str">
        <v>SDL</v>
      </c>
      <c r="T1011" t="str">
        <v>Richard Judd</v>
      </c>
      <c r="U1011" t="str">
        <v>NULL</v>
      </c>
      <c r="V1011" t="str">
        <v>Away</v>
      </c>
      <c r="W1011" t="str">
        <v>SEA</v>
      </c>
      <c r="X1011">
        <v>8.7220789885403605</v>
      </c>
    </row>
    <row r="1012" spans="8:24" x14ac:dyDescent="0.35">
      <c r="H1012" s="66">
        <v>12</v>
      </c>
      <c r="I1012" t="s">
        <v>23</v>
      </c>
      <c r="J1012" t="s">
        <v>190</v>
      </c>
      <c r="K1012" t="s">
        <v>256</v>
      </c>
      <c r="L1012" t="s">
        <v>3</v>
      </c>
      <c r="M1012" t="s">
        <v>36</v>
      </c>
      <c r="N1012">
        <f t="shared" si="48"/>
        <v>8.9469788770943737</v>
      </c>
      <c r="O1012" t="str">
        <f t="shared" si="49"/>
        <v/>
      </c>
      <c r="P1012" s="67" cm="1">
        <f t="array" ref="P1012">SUMPRODUCT((H1012=$H$7:$H$10000)*(N1012&lt;$N$7:$N$10000))+1</f>
        <v>52</v>
      </c>
      <c r="Q1012" s="72"/>
      <c r="R1012">
        <v>14</v>
      </c>
      <c r="S1012" t="str">
        <v>SDL</v>
      </c>
      <c r="T1012" t="str">
        <v>Tiaan Loots</v>
      </c>
      <c r="U1012" t="str">
        <v>NULL</v>
      </c>
      <c r="V1012" t="str">
        <v>Away</v>
      </c>
      <c r="W1012" t="str">
        <v>SEA</v>
      </c>
      <c r="X1012">
        <v>8.6270077198423198</v>
      </c>
    </row>
    <row r="1013" spans="8:24" x14ac:dyDescent="0.35">
      <c r="H1013" s="66">
        <v>12</v>
      </c>
      <c r="I1013" t="s">
        <v>36</v>
      </c>
      <c r="J1013" t="s">
        <v>491</v>
      </c>
      <c r="K1013" t="s">
        <v>256</v>
      </c>
      <c r="L1013" t="s">
        <v>9</v>
      </c>
      <c r="M1013" t="s">
        <v>23</v>
      </c>
      <c r="N1013">
        <f t="shared" si="48"/>
        <v>8.4136781533932048</v>
      </c>
      <c r="O1013" t="str">
        <f t="shared" si="49"/>
        <v/>
      </c>
      <c r="P1013" s="67" cm="1">
        <f t="array" ref="P1013">SUMPRODUCT((H1013=$H$7:$H$10000)*(N1013&lt;$N$7:$N$10000))+1</f>
        <v>53</v>
      </c>
      <c r="Q1013" s="72"/>
      <c r="R1013">
        <v>14</v>
      </c>
      <c r="S1013" t="str">
        <v>ARC</v>
      </c>
      <c r="T1013" t="str">
        <v>Erich Storti</v>
      </c>
      <c r="U1013" t="str">
        <v>NULL</v>
      </c>
      <c r="V1013" t="str">
        <v>Home</v>
      </c>
      <c r="W1013" t="str">
        <v>OGDC</v>
      </c>
      <c r="X1013">
        <v>8.3914860416760764</v>
      </c>
    </row>
    <row r="1014" spans="8:24" x14ac:dyDescent="0.35">
      <c r="H1014">
        <v>12</v>
      </c>
      <c r="I1014" t="s">
        <v>17</v>
      </c>
      <c r="J1014" t="s">
        <v>16</v>
      </c>
      <c r="K1014" t="s">
        <v>256</v>
      </c>
      <c r="L1014" t="s">
        <v>3</v>
      </c>
      <c r="M1014" t="s">
        <v>6</v>
      </c>
      <c r="N1014">
        <f t="shared" si="48"/>
        <v>8.2664908467785061</v>
      </c>
      <c r="O1014" t="str">
        <f t="shared" si="49"/>
        <v/>
      </c>
      <c r="P1014" s="67" cm="1">
        <f t="array" ref="P1014">SUMPRODUCT((H1014=$H$7:$H$10000)*(N1014&lt;$N$7:$N$10000))+1</f>
        <v>54</v>
      </c>
      <c r="Q1014" s="72"/>
      <c r="R1014">
        <v>14</v>
      </c>
      <c r="S1014" t="str">
        <v>SEA</v>
      </c>
      <c r="T1014" t="str">
        <v>Mikaela Kruse</v>
      </c>
      <c r="U1014" t="str">
        <v>NULL</v>
      </c>
      <c r="V1014" t="str">
        <v>Home</v>
      </c>
      <c r="W1014" t="str">
        <v>SDL</v>
      </c>
      <c r="X1014">
        <v>8.3746553642384924</v>
      </c>
    </row>
    <row r="1015" spans="8:24" x14ac:dyDescent="0.35">
      <c r="H1015" s="66">
        <v>12</v>
      </c>
      <c r="I1015" t="s">
        <v>2</v>
      </c>
      <c r="J1015" t="s">
        <v>90</v>
      </c>
      <c r="K1015" t="s">
        <v>256</v>
      </c>
      <c r="L1015" t="s">
        <v>3</v>
      </c>
      <c r="M1015" t="s">
        <v>24</v>
      </c>
      <c r="N1015">
        <f t="shared" si="48"/>
        <v>8.1996620316161071</v>
      </c>
      <c r="O1015" t="str">
        <f t="shared" si="49"/>
        <v/>
      </c>
      <c r="P1015" s="67" cm="1">
        <f t="array" ref="P1015">SUMPRODUCT((H1015=$H$7:$H$10000)*(N1015&lt;$N$7:$N$10000))+1</f>
        <v>55</v>
      </c>
      <c r="Q1015" s="72"/>
      <c r="R1015">
        <v>14</v>
      </c>
      <c r="S1015" t="str">
        <v>ARC</v>
      </c>
      <c r="T1015" t="str">
        <v>Mitch Wilson</v>
      </c>
      <c r="U1015" t="str">
        <v>NULL</v>
      </c>
      <c r="V1015" t="str">
        <v>Home</v>
      </c>
      <c r="W1015" t="str">
        <v>OGDC</v>
      </c>
      <c r="X1015">
        <v>8.0028167854617838</v>
      </c>
    </row>
    <row r="1016" spans="8:24" x14ac:dyDescent="0.35">
      <c r="H1016">
        <v>12</v>
      </c>
      <c r="I1016" t="s">
        <v>34</v>
      </c>
      <c r="J1016" t="s">
        <v>440</v>
      </c>
      <c r="K1016" t="s">
        <v>256</v>
      </c>
      <c r="L1016" t="s">
        <v>3</v>
      </c>
      <c r="M1016" t="s">
        <v>4</v>
      </c>
      <c r="N1016">
        <f t="shared" si="48"/>
        <v>8.1503288359476507</v>
      </c>
      <c r="O1016" t="str">
        <f t="shared" si="49"/>
        <v/>
      </c>
      <c r="P1016" s="67" cm="1">
        <f t="array" ref="P1016">SUMPRODUCT((H1016=$H$7:$H$10000)*(N1016&lt;$N$7:$N$10000))+1</f>
        <v>56</v>
      </c>
      <c r="Q1016" s="72"/>
      <c r="R1016">
        <v>14</v>
      </c>
      <c r="S1016" t="str">
        <v>ARC</v>
      </c>
      <c r="T1016" t="str">
        <v>Line Latu</v>
      </c>
      <c r="U1016" t="str">
        <v>NULL</v>
      </c>
      <c r="V1016" t="str">
        <v>Home</v>
      </c>
      <c r="W1016" t="str">
        <v>OGDC</v>
      </c>
      <c r="X1016">
        <v>7.7412221998986146</v>
      </c>
    </row>
    <row r="1017" spans="8:24" x14ac:dyDescent="0.35">
      <c r="H1017" s="66">
        <v>12</v>
      </c>
      <c r="I1017" t="s">
        <v>4</v>
      </c>
      <c r="J1017" t="s">
        <v>1</v>
      </c>
      <c r="K1017" t="s">
        <v>256</v>
      </c>
      <c r="L1017" t="s">
        <v>9</v>
      </c>
      <c r="M1017" t="s">
        <v>34</v>
      </c>
      <c r="N1017">
        <f t="shared" si="48"/>
        <v>8.1243877250767262</v>
      </c>
      <c r="O1017" t="str">
        <f t="shared" si="49"/>
        <v/>
      </c>
      <c r="P1017" s="67" cm="1">
        <f t="array" ref="P1017">SUMPRODUCT((H1017=$H$7:$H$10000)*(N1017&lt;$N$7:$N$10000))+1</f>
        <v>57</v>
      </c>
      <c r="Q1017" s="72"/>
      <c r="R1017">
        <v>14</v>
      </c>
      <c r="S1017" t="str">
        <v>MIA</v>
      </c>
      <c r="T1017" t="str">
        <v>Matias Orlando</v>
      </c>
      <c r="U1017" t="str">
        <v>NULL</v>
      </c>
      <c r="V1017" t="str">
        <v>Home</v>
      </c>
      <c r="W1017" t="str">
        <v>NEFJ</v>
      </c>
      <c r="X1017">
        <v>7.7221064737055709</v>
      </c>
    </row>
    <row r="1018" spans="8:24" x14ac:dyDescent="0.35">
      <c r="H1018">
        <v>12</v>
      </c>
      <c r="I1018" t="s">
        <v>34</v>
      </c>
      <c r="J1018" t="s">
        <v>39</v>
      </c>
      <c r="K1018" t="s">
        <v>256</v>
      </c>
      <c r="L1018" t="s">
        <v>3</v>
      </c>
      <c r="M1018" t="s">
        <v>4</v>
      </c>
      <c r="N1018">
        <f t="shared" si="48"/>
        <v>8.0552575672496101</v>
      </c>
      <c r="O1018" t="str">
        <f t="shared" si="49"/>
        <v/>
      </c>
      <c r="P1018" s="67" cm="1">
        <f t="array" ref="P1018">SUMPRODUCT((H1018=$H$7:$H$10000)*(N1018&lt;$N$7:$N$10000))+1</f>
        <v>58</v>
      </c>
      <c r="Q1018" s="72"/>
      <c r="R1018">
        <v>14</v>
      </c>
      <c r="S1018" t="str">
        <v>CHI</v>
      </c>
      <c r="T1018" t="str">
        <v>Noah Brown</v>
      </c>
      <c r="U1018" t="str">
        <v>NULL</v>
      </c>
      <c r="V1018" t="str">
        <v>Home</v>
      </c>
      <c r="W1018" t="str">
        <v>LA</v>
      </c>
      <c r="X1018">
        <v>7.6019717999672149</v>
      </c>
    </row>
    <row r="1019" spans="8:24" x14ac:dyDescent="0.35">
      <c r="H1019" s="66">
        <v>12</v>
      </c>
      <c r="I1019" t="s">
        <v>2</v>
      </c>
      <c r="J1019" t="s">
        <v>12</v>
      </c>
      <c r="K1019" t="s">
        <v>256</v>
      </c>
      <c r="L1019" t="s">
        <v>3</v>
      </c>
      <c r="M1019" t="s">
        <v>24</v>
      </c>
      <c r="N1019">
        <f t="shared" si="48"/>
        <v>7.9398454772767693</v>
      </c>
      <c r="O1019" t="str">
        <f t="shared" si="49"/>
        <v/>
      </c>
      <c r="P1019" s="67" cm="1">
        <f t="array" ref="P1019">SUMPRODUCT((H1019=$H$7:$H$10000)*(N1019&lt;$N$7:$N$10000))+1</f>
        <v>59</v>
      </c>
      <c r="Q1019" s="72"/>
      <c r="R1019">
        <v>14</v>
      </c>
      <c r="S1019" t="str">
        <v>SEA</v>
      </c>
      <c r="T1019" t="str">
        <v>JP Smith</v>
      </c>
      <c r="U1019" t="str">
        <v>NULL</v>
      </c>
      <c r="V1019" t="str">
        <v>Home</v>
      </c>
      <c r="W1019" t="str">
        <v>SDL</v>
      </c>
      <c r="X1019">
        <v>7.3565854641136923</v>
      </c>
    </row>
    <row r="1020" spans="8:24" x14ac:dyDescent="0.35">
      <c r="H1020" s="66">
        <v>12</v>
      </c>
      <c r="I1020" t="s">
        <v>2</v>
      </c>
      <c r="J1020" t="s">
        <v>444</v>
      </c>
      <c r="K1020" t="s">
        <v>256</v>
      </c>
      <c r="L1020" t="s">
        <v>3</v>
      </c>
      <c r="M1020" t="s">
        <v>24</v>
      </c>
      <c r="N1020">
        <f t="shared" si="48"/>
        <v>7.9297581353651028</v>
      </c>
      <c r="O1020" t="str">
        <f t="shared" si="49"/>
        <v/>
      </c>
      <c r="P1020" s="67" cm="1">
        <f t="array" ref="P1020">SUMPRODUCT((H1020=$H$7:$H$10000)*(N1020&lt;$N$7:$N$10000))+1</f>
        <v>60</v>
      </c>
      <c r="Q1020" s="72"/>
      <c r="R1020">
        <v>14</v>
      </c>
      <c r="S1020" t="str">
        <v>HOU</v>
      </c>
      <c r="T1020" t="str">
        <v>Rufus McLean</v>
      </c>
      <c r="U1020" t="str">
        <v>NULL</v>
      </c>
      <c r="V1020" t="str">
        <v>Home</v>
      </c>
      <c r="W1020" t="str">
        <v>UTAH</v>
      </c>
      <c r="X1020">
        <v>7.3463482789588888</v>
      </c>
    </row>
    <row r="1021" spans="8:24" x14ac:dyDescent="0.35">
      <c r="H1021">
        <v>12</v>
      </c>
      <c r="I1021" t="s">
        <v>23</v>
      </c>
      <c r="J1021" t="s">
        <v>46</v>
      </c>
      <c r="K1021" t="s">
        <v>256</v>
      </c>
      <c r="L1021" t="s">
        <v>3</v>
      </c>
      <c r="M1021" t="s">
        <v>36</v>
      </c>
      <c r="N1021">
        <f t="shared" si="48"/>
        <v>7.7461884753127501</v>
      </c>
      <c r="O1021" t="str">
        <f t="shared" si="49"/>
        <v/>
      </c>
      <c r="P1021" s="67" cm="1">
        <f t="array" ref="P1021">SUMPRODUCT((H1021=$H$7:$H$10000)*(N1021&lt;$N$7:$N$10000))+1</f>
        <v>61</v>
      </c>
      <c r="Q1021" s="72"/>
      <c r="R1021">
        <v>14</v>
      </c>
      <c r="S1021" t="str">
        <v>CHI</v>
      </c>
      <c r="T1021" t="str">
        <v>Mark O'Keeffe</v>
      </c>
      <c r="U1021" t="str">
        <v>NULL</v>
      </c>
      <c r="V1021" t="str">
        <v>Home</v>
      </c>
      <c r="W1021" t="str">
        <v>LA</v>
      </c>
      <c r="X1021">
        <v>7.3421552456278771</v>
      </c>
    </row>
    <row r="1022" spans="8:24" x14ac:dyDescent="0.35">
      <c r="H1022" s="66">
        <v>12</v>
      </c>
      <c r="I1022" t="s">
        <v>23</v>
      </c>
      <c r="J1022" t="s">
        <v>32</v>
      </c>
      <c r="K1022" t="s">
        <v>256</v>
      </c>
      <c r="L1022" t="s">
        <v>3</v>
      </c>
      <c r="M1022" t="s">
        <v>36</v>
      </c>
      <c r="N1022">
        <f t="shared" si="48"/>
        <v>7.5659845139788793</v>
      </c>
      <c r="O1022" t="str">
        <f t="shared" si="49"/>
        <v/>
      </c>
      <c r="P1022" s="67" cm="1">
        <f t="array" ref="P1022">SUMPRODUCT((H1022=$H$7:$H$10000)*(N1022&lt;$N$7:$N$10000))+1</f>
        <v>62</v>
      </c>
      <c r="Q1022" s="72"/>
      <c r="R1022">
        <v>14</v>
      </c>
      <c r="S1022" t="str">
        <v>CHI</v>
      </c>
      <c r="T1022" t="str">
        <v>Tim Swiel</v>
      </c>
      <c r="U1022" t="str">
        <v>NULL</v>
      </c>
      <c r="V1022" t="str">
        <v>Home</v>
      </c>
      <c r="W1022" t="str">
        <v>LA</v>
      </c>
      <c r="X1022">
        <v>7.3320679037162106</v>
      </c>
    </row>
    <row r="1023" spans="8:24" x14ac:dyDescent="0.35">
      <c r="H1023" s="66">
        <v>12</v>
      </c>
      <c r="I1023" t="s">
        <v>23</v>
      </c>
      <c r="J1023" t="s">
        <v>91</v>
      </c>
      <c r="K1023" t="s">
        <v>256</v>
      </c>
      <c r="L1023" t="s">
        <v>3</v>
      </c>
      <c r="M1023" t="s">
        <v>36</v>
      </c>
      <c r="N1023">
        <f t="shared" si="48"/>
        <v>7.5241823232729512</v>
      </c>
      <c r="O1023" t="str">
        <f t="shared" si="49"/>
        <v/>
      </c>
      <c r="P1023" s="67" cm="1">
        <f t="array" ref="P1023">SUMPRODUCT((H1023=$H$7:$H$10000)*(N1023&lt;$N$7:$N$10000))+1</f>
        <v>63</v>
      </c>
      <c r="Q1023" s="72"/>
      <c r="R1023">
        <v>14</v>
      </c>
      <c r="S1023" t="str">
        <v>SDL</v>
      </c>
      <c r="T1023" t="str">
        <v>Marcel Brache</v>
      </c>
      <c r="U1023" t="str">
        <v>NULL</v>
      </c>
      <c r="V1023" t="str">
        <v>Away</v>
      </c>
      <c r="W1023" t="str">
        <v>SEA</v>
      </c>
      <c r="X1023">
        <v>7.2738254065608716</v>
      </c>
    </row>
    <row r="1024" spans="8:24" x14ac:dyDescent="0.35">
      <c r="H1024" s="66">
        <v>12</v>
      </c>
      <c r="I1024" t="s">
        <v>36</v>
      </c>
      <c r="J1024" t="s">
        <v>479</v>
      </c>
      <c r="K1024" t="s">
        <v>256</v>
      </c>
      <c r="L1024" t="s">
        <v>9</v>
      </c>
      <c r="M1024" t="s">
        <v>23</v>
      </c>
      <c r="N1024">
        <f t="shared" si="48"/>
        <v>6.9343357891435957</v>
      </c>
      <c r="O1024" t="str">
        <f t="shared" si="49"/>
        <v/>
      </c>
      <c r="P1024" s="67" cm="1">
        <f t="array" ref="P1024">SUMPRODUCT((H1024=$H$7:$H$10000)*(N1024&lt;$N$7:$N$10000))+1</f>
        <v>64</v>
      </c>
      <c r="Q1024" s="72"/>
      <c r="R1024">
        <v>14</v>
      </c>
      <c r="S1024" t="str">
        <v>HOU</v>
      </c>
      <c r="T1024" t="str">
        <v>Max Schumacher</v>
      </c>
      <c r="U1024" t="str">
        <v>NULL</v>
      </c>
      <c r="V1024" t="str">
        <v>Home</v>
      </c>
      <c r="W1024" t="str">
        <v>UTAH</v>
      </c>
      <c r="X1024">
        <v>7.1995151187959081</v>
      </c>
    </row>
    <row r="1025" spans="8:24" x14ac:dyDescent="0.35">
      <c r="H1025" s="66">
        <v>12</v>
      </c>
      <c r="I1025" t="s">
        <v>36</v>
      </c>
      <c r="J1025" t="s">
        <v>476</v>
      </c>
      <c r="K1025" t="s">
        <v>256</v>
      </c>
      <c r="L1025" t="s">
        <v>9</v>
      </c>
      <c r="M1025" t="s">
        <v>23</v>
      </c>
      <c r="N1025">
        <f t="shared" si="48"/>
        <v>6.7875026289806142</v>
      </c>
      <c r="O1025" t="str">
        <f t="shared" si="49"/>
        <v/>
      </c>
      <c r="P1025" s="67" cm="1">
        <f t="array" ref="P1025">SUMPRODUCT((H1025=$H$7:$H$10000)*(N1025&lt;$N$7:$N$10000))+1</f>
        <v>65</v>
      </c>
      <c r="Q1025" s="72"/>
      <c r="R1025">
        <v>14</v>
      </c>
      <c r="S1025" t="str">
        <v>MIA</v>
      </c>
      <c r="T1025" t="str">
        <v>Guiseppe du Toit</v>
      </c>
      <c r="U1025" t="str">
        <v>NULL</v>
      </c>
      <c r="V1025" t="str">
        <v>Home</v>
      </c>
      <c r="W1025" t="str">
        <v>NEFJ</v>
      </c>
      <c r="X1025">
        <v>6.9158081277892798</v>
      </c>
    </row>
    <row r="1026" spans="8:24" x14ac:dyDescent="0.35">
      <c r="H1026">
        <v>12</v>
      </c>
      <c r="I1026" t="s">
        <v>34</v>
      </c>
      <c r="J1026" t="s">
        <v>51</v>
      </c>
      <c r="K1026" t="s">
        <v>256</v>
      </c>
      <c r="L1026" t="s">
        <v>3</v>
      </c>
      <c r="M1026" t="s">
        <v>4</v>
      </c>
      <c r="N1026">
        <f t="shared" si="48"/>
        <v>6.702075253968161</v>
      </c>
      <c r="O1026" t="str">
        <f t="shared" si="49"/>
        <v/>
      </c>
      <c r="P1026" s="67" cm="1">
        <f t="array" ref="P1026">SUMPRODUCT((H1026=$H$7:$H$10000)*(N1026&lt;$N$7:$N$10000))+1</f>
        <v>66</v>
      </c>
      <c r="Q1026" s="72"/>
      <c r="R1026">
        <v>14</v>
      </c>
      <c r="S1026" t="str">
        <v>ARC</v>
      </c>
      <c r="T1026" t="str">
        <v>Karl Keane</v>
      </c>
      <c r="U1026" t="str">
        <v>NULL</v>
      </c>
      <c r="V1026" t="str">
        <v>Home</v>
      </c>
      <c r="W1026" t="str">
        <v>OGDC</v>
      </c>
      <c r="X1026">
        <v>6.8313573283793314</v>
      </c>
    </row>
    <row r="1027" spans="8:24" x14ac:dyDescent="0.35">
      <c r="H1027" s="66">
        <v>12</v>
      </c>
      <c r="I1027" t="s">
        <v>2</v>
      </c>
      <c r="J1027" t="s">
        <v>499</v>
      </c>
      <c r="K1027" t="s">
        <v>256</v>
      </c>
      <c r="L1027" t="s">
        <v>3</v>
      </c>
      <c r="M1027" t="s">
        <v>24</v>
      </c>
      <c r="N1027">
        <f t="shared" si="48"/>
        <v>6.5602287475584333</v>
      </c>
      <c r="O1027" t="str">
        <f t="shared" si="49"/>
        <v/>
      </c>
      <c r="P1027" s="67" cm="1">
        <f t="array" ref="P1027">SUMPRODUCT((H1027=$H$7:$H$10000)*(N1027&lt;$N$7:$N$10000))+1</f>
        <v>67</v>
      </c>
      <c r="Q1027" s="72"/>
      <c r="R1027">
        <v>14</v>
      </c>
      <c r="S1027" t="str">
        <v>NEFJ</v>
      </c>
      <c r="T1027" t="str">
        <v>Harrison Boyle</v>
      </c>
      <c r="U1027" t="str">
        <v>NULL</v>
      </c>
      <c r="V1027" t="str">
        <v>Away</v>
      </c>
      <c r="W1027" t="str">
        <v>MIA</v>
      </c>
      <c r="X1027">
        <v>6.6172384339532666</v>
      </c>
    </row>
    <row r="1028" spans="8:24" x14ac:dyDescent="0.35">
      <c r="H1028">
        <v>12</v>
      </c>
      <c r="I1028" t="s">
        <v>13</v>
      </c>
      <c r="J1028" t="s">
        <v>477</v>
      </c>
      <c r="K1028" t="s">
        <v>256</v>
      </c>
      <c r="L1028" t="s">
        <v>9</v>
      </c>
      <c r="M1028" t="s">
        <v>7</v>
      </c>
      <c r="N1028">
        <f t="shared" si="48"/>
        <v>6.5276141342408227</v>
      </c>
      <c r="O1028" t="str">
        <f t="shared" si="49"/>
        <v/>
      </c>
      <c r="P1028" s="67" cm="1">
        <f t="array" ref="P1028">SUMPRODUCT((H1028=$H$7:$H$10000)*(N1028&lt;$N$7:$N$10000))+1</f>
        <v>68</v>
      </c>
      <c r="Q1028" s="72"/>
      <c r="R1028">
        <v>14</v>
      </c>
      <c r="S1028" t="str">
        <v>UTAH</v>
      </c>
      <c r="T1028" t="str">
        <v>Jordan Trainor</v>
      </c>
      <c r="U1028" t="str">
        <v>NULL</v>
      </c>
      <c r="V1028" t="str">
        <v>Away</v>
      </c>
      <c r="W1028" t="str">
        <v>HOU</v>
      </c>
      <c r="X1028">
        <v>6.4932740189735227</v>
      </c>
    </row>
    <row r="1029" spans="8:24" x14ac:dyDescent="0.35">
      <c r="H1029">
        <v>12</v>
      </c>
      <c r="I1029" t="s">
        <v>24</v>
      </c>
      <c r="J1029" t="s">
        <v>402</v>
      </c>
      <c r="K1029" t="s">
        <v>256</v>
      </c>
      <c r="L1029" t="s">
        <v>9</v>
      </c>
      <c r="M1029" t="s">
        <v>2</v>
      </c>
      <c r="N1029">
        <f t="shared" si="48"/>
        <v>6.124962799981021</v>
      </c>
      <c r="O1029" t="str">
        <f t="shared" si="49"/>
        <v/>
      </c>
      <c r="P1029" s="67" cm="1">
        <f t="array" ref="P1029">SUMPRODUCT((H1029=$H$7:$H$10000)*(N1029&lt;$N$7:$N$10000))+1</f>
        <v>69</v>
      </c>
      <c r="Q1029" s="72"/>
      <c r="R1029">
        <v>14</v>
      </c>
      <c r="S1029" t="str">
        <v>NEFJ</v>
      </c>
      <c r="T1029" t="str">
        <v>John Poland</v>
      </c>
      <c r="U1029" t="str">
        <v>NULL</v>
      </c>
      <c r="V1029" t="str">
        <v>Away</v>
      </c>
      <c r="W1029" t="str">
        <v>MIA</v>
      </c>
      <c r="X1029">
        <v>6.0703343520859994</v>
      </c>
    </row>
    <row r="1030" spans="8:24" x14ac:dyDescent="0.35">
      <c r="H1030">
        <v>12</v>
      </c>
      <c r="I1030" t="s">
        <v>17</v>
      </c>
      <c r="J1030" t="s">
        <v>76</v>
      </c>
      <c r="K1030" t="s">
        <v>256</v>
      </c>
      <c r="L1030" t="s">
        <v>3</v>
      </c>
      <c r="M1030" t="s">
        <v>6</v>
      </c>
      <c r="N1030">
        <f t="shared" si="48"/>
        <v>5.9911350108414672</v>
      </c>
      <c r="O1030" t="str">
        <f t="shared" si="49"/>
        <v/>
      </c>
      <c r="P1030" s="67" cm="1">
        <f t="array" ref="P1030">SUMPRODUCT((H1030=$H$7:$H$10000)*(N1030&lt;$N$7:$N$10000))+1</f>
        <v>70</v>
      </c>
      <c r="Q1030" s="72"/>
      <c r="R1030">
        <v>14</v>
      </c>
      <c r="S1030" t="str">
        <v>CHI</v>
      </c>
      <c r="T1030" t="str">
        <v>Julian Dominguez</v>
      </c>
      <c r="U1030" t="str">
        <v>NULL</v>
      </c>
      <c r="V1030" t="str">
        <v>Home</v>
      </c>
      <c r="W1030" t="str">
        <v>LA</v>
      </c>
      <c r="X1030">
        <v>5.9625385159095412</v>
      </c>
    </row>
    <row r="1031" spans="8:24" x14ac:dyDescent="0.35">
      <c r="H1031" s="66">
        <v>12</v>
      </c>
      <c r="I1031" t="s">
        <v>36</v>
      </c>
      <c r="J1031" t="s">
        <v>490</v>
      </c>
      <c r="K1031" t="s">
        <v>256</v>
      </c>
      <c r="L1031" t="s">
        <v>9</v>
      </c>
      <c r="M1031" t="s">
        <v>23</v>
      </c>
      <c r="N1031">
        <f t="shared" si="48"/>
        <v>5.5121498927390524</v>
      </c>
      <c r="O1031" t="str">
        <f t="shared" si="49"/>
        <v/>
      </c>
      <c r="P1031" s="67" cm="1">
        <f t="array" ref="P1031">SUMPRODUCT((H1031=$H$7:$H$10000)*(N1031&lt;$N$7:$N$10000))+1</f>
        <v>71</v>
      </c>
      <c r="Q1031" s="72"/>
      <c r="R1031">
        <v>14</v>
      </c>
      <c r="S1031" t="str">
        <v>SEA</v>
      </c>
      <c r="T1031" t="str">
        <v>Lauina Futi</v>
      </c>
      <c r="U1031" t="str">
        <v>NULL</v>
      </c>
      <c r="V1031" t="str">
        <v>Home</v>
      </c>
      <c r="W1031" t="str">
        <v>SDL</v>
      </c>
      <c r="X1031">
        <v>5.9617096207980094</v>
      </c>
    </row>
    <row r="1032" spans="8:24" x14ac:dyDescent="0.35">
      <c r="H1032">
        <v>12</v>
      </c>
      <c r="I1032" t="s">
        <v>4</v>
      </c>
      <c r="J1032" t="s">
        <v>493</v>
      </c>
      <c r="K1032" t="s">
        <v>256</v>
      </c>
      <c r="L1032" t="s">
        <v>9</v>
      </c>
      <c r="M1032" t="s">
        <v>34</v>
      </c>
      <c r="N1032">
        <f t="shared" si="48"/>
        <v>5.3846781383916493</v>
      </c>
      <c r="O1032" t="str">
        <f t="shared" si="49"/>
        <v/>
      </c>
      <c r="P1032" s="67" cm="1">
        <f t="array" ref="P1032">SUMPRODUCT((H1032=$H$7:$H$10000)*(N1032&lt;$N$7:$N$10000))+1</f>
        <v>72</v>
      </c>
      <c r="Q1032" s="72"/>
      <c r="R1032">
        <v>14</v>
      </c>
      <c r="S1032" t="str">
        <v>HOU</v>
      </c>
      <c r="T1032" t="str">
        <v>Tautalatasi Tasi</v>
      </c>
      <c r="U1032" t="str">
        <v>NULL</v>
      </c>
      <c r="V1032" t="str">
        <v>Home</v>
      </c>
      <c r="W1032" t="str">
        <v>UTAH</v>
      </c>
      <c r="X1032">
        <v>5.9241623825543455</v>
      </c>
    </row>
    <row r="1033" spans="8:24" x14ac:dyDescent="0.35">
      <c r="H1033">
        <v>12</v>
      </c>
      <c r="I1033" t="s">
        <v>17</v>
      </c>
      <c r="J1033" t="s">
        <v>458</v>
      </c>
      <c r="K1033" t="s">
        <v>256</v>
      </c>
      <c r="L1033" t="s">
        <v>3</v>
      </c>
      <c r="M1033" t="s">
        <v>6</v>
      </c>
      <c r="N1033">
        <f t="shared" si="48"/>
        <v>5.3651051326063746</v>
      </c>
      <c r="O1033" t="str">
        <f t="shared" si="49"/>
        <v/>
      </c>
      <c r="P1033" s="67" cm="1">
        <f t="array" ref="P1033">SUMPRODUCT((H1033=$H$7:$H$10000)*(N1033&lt;$N$7:$N$10000))+1</f>
        <v>73</v>
      </c>
      <c r="Q1033" s="72"/>
      <c r="R1033">
        <v>14</v>
      </c>
      <c r="S1033" t="str">
        <v>NEFJ</v>
      </c>
      <c r="T1033" t="str">
        <v>Simon-Peter Toleafoa</v>
      </c>
      <c r="U1033" t="str">
        <v>NULL</v>
      </c>
      <c r="V1033" t="str">
        <v>Away</v>
      </c>
      <c r="W1033" t="str">
        <v>MIA</v>
      </c>
      <c r="X1033">
        <v>5.3075998335221577</v>
      </c>
    </row>
    <row r="1034" spans="8:24" x14ac:dyDescent="0.35">
      <c r="H1034" s="66">
        <v>12</v>
      </c>
      <c r="I1034" t="s">
        <v>24</v>
      </c>
      <c r="J1034" t="s">
        <v>35</v>
      </c>
      <c r="K1034" t="s">
        <v>256</v>
      </c>
      <c r="L1034" t="s">
        <v>9</v>
      </c>
      <c r="M1034" t="s">
        <v>2</v>
      </c>
      <c r="N1034">
        <f t="shared" si="48"/>
        <v>5.3186644540647308</v>
      </c>
      <c r="O1034" t="str">
        <f t="shared" si="49"/>
        <v/>
      </c>
      <c r="P1034" s="67" cm="1">
        <f t="array" ref="P1034">SUMPRODUCT((H1034=$H$7:$H$10000)*(N1034&lt;$N$7:$N$10000))+1</f>
        <v>74</v>
      </c>
      <c r="Q1034" s="72"/>
      <c r="R1034">
        <v>14</v>
      </c>
      <c r="S1034" t="str">
        <v>NEFJ</v>
      </c>
      <c r="T1034" t="str">
        <v>Isaac Olson</v>
      </c>
      <c r="U1034" t="str">
        <v>NULL</v>
      </c>
      <c r="V1034" t="str">
        <v>Away</v>
      </c>
      <c r="W1034" t="str">
        <v>MIA</v>
      </c>
      <c r="X1034">
        <v>5.0023564047131295</v>
      </c>
    </row>
    <row r="1035" spans="8:24" x14ac:dyDescent="0.35">
      <c r="H1035" s="66">
        <v>12</v>
      </c>
      <c r="I1035" t="s">
        <v>4</v>
      </c>
      <c r="J1035" t="s">
        <v>188</v>
      </c>
      <c r="K1035" t="s">
        <v>256</v>
      </c>
      <c r="L1035" t="s">
        <v>9</v>
      </c>
      <c r="M1035" t="s">
        <v>34</v>
      </c>
      <c r="N1035">
        <f t="shared" si="48"/>
        <v>4.8866890349598044</v>
      </c>
      <c r="O1035" t="str">
        <f t="shared" si="49"/>
        <v/>
      </c>
      <c r="P1035" s="67" cm="1">
        <f t="array" ref="P1035">SUMPRODUCT((H1035=$H$7:$H$10000)*(N1035&lt;$N$7:$N$10000))+1</f>
        <v>75</v>
      </c>
      <c r="Q1035" s="72"/>
      <c r="R1035">
        <v>14</v>
      </c>
      <c r="S1035" t="str">
        <v>SEA</v>
      </c>
      <c r="T1035" t="str">
        <v>Dan Kriel</v>
      </c>
      <c r="U1035" t="str">
        <v>NULL</v>
      </c>
      <c r="V1035" t="str">
        <v>Home</v>
      </c>
      <c r="W1035" t="str">
        <v>SDL</v>
      </c>
      <c r="X1035">
        <v>4.6039545645544644</v>
      </c>
    </row>
    <row r="1036" spans="8:24" x14ac:dyDescent="0.35">
      <c r="H1036">
        <v>12</v>
      </c>
      <c r="I1036" t="s">
        <v>13</v>
      </c>
      <c r="J1036" t="s">
        <v>478</v>
      </c>
      <c r="K1036" t="s">
        <v>256</v>
      </c>
      <c r="L1036" t="s">
        <v>9</v>
      </c>
      <c r="M1036" t="s">
        <v>7</v>
      </c>
      <c r="N1036">
        <f t="shared" ref="N1036:N1099" si="50">VLOOKUP($L1036,$F$3:$G$4,2,FALSE)+VLOOKUP($J1036,$A$20:$B$131,2,FALSE)+VLOOKUP($M1036,$A$6:$B$16,2,FALSE)</f>
        <v>4.4437964567551163</v>
      </c>
      <c r="O1036" t="str">
        <f t="shared" ref="O1036:O1099" si="51">IFERROR(($K1036-$N1036)^2,"")</f>
        <v/>
      </c>
      <c r="P1036" s="67" cm="1">
        <f t="array" ref="P1036">SUMPRODUCT((H1036=$H$7:$H$10000)*(N1036&lt;$N$7:$N$10000))+1</f>
        <v>76</v>
      </c>
      <c r="Q1036" s="72"/>
      <c r="R1036">
        <v>14</v>
      </c>
      <c r="S1036" t="str">
        <v>MIA</v>
      </c>
      <c r="T1036" t="str">
        <v>Connor Burns</v>
      </c>
      <c r="U1036" t="str">
        <v>NULL</v>
      </c>
      <c r="V1036" t="str">
        <v>Home</v>
      </c>
      <c r="W1036" t="str">
        <v>NEFJ</v>
      </c>
      <c r="X1036">
        <v>4.5932129934352295</v>
      </c>
    </row>
    <row r="1037" spans="8:24" x14ac:dyDescent="0.35">
      <c r="H1037" s="66">
        <v>12</v>
      </c>
      <c r="I1037" t="s">
        <v>4</v>
      </c>
      <c r="J1037" t="s">
        <v>452</v>
      </c>
      <c r="K1037" t="s">
        <v>256</v>
      </c>
      <c r="L1037" t="s">
        <v>9</v>
      </c>
      <c r="M1037" t="s">
        <v>34</v>
      </c>
      <c r="N1037">
        <f t="shared" si="50"/>
        <v>4.4393157873229194</v>
      </c>
      <c r="O1037" t="str">
        <f t="shared" si="51"/>
        <v/>
      </c>
      <c r="P1037" s="67" cm="1">
        <f t="array" ref="P1037">SUMPRODUCT((H1037=$H$7:$H$10000)*(N1037&lt;$N$7:$N$10000))+1</f>
        <v>77</v>
      </c>
      <c r="Q1037" s="72"/>
      <c r="R1037">
        <v>14</v>
      </c>
      <c r="S1037" t="str">
        <v>UTAH</v>
      </c>
      <c r="T1037" t="str">
        <v>Blake Makiri</v>
      </c>
      <c r="U1037" t="str">
        <v>NULL</v>
      </c>
      <c r="V1037" t="str">
        <v>Away</v>
      </c>
      <c r="W1037" t="str">
        <v>HOU</v>
      </c>
      <c r="X1037">
        <v>4.4094563414878163</v>
      </c>
    </row>
    <row r="1038" spans="8:24" x14ac:dyDescent="0.35">
      <c r="H1038">
        <v>12</v>
      </c>
      <c r="I1038" t="s">
        <v>36</v>
      </c>
      <c r="J1038" t="s">
        <v>48</v>
      </c>
      <c r="K1038" t="s">
        <v>256</v>
      </c>
      <c r="L1038" t="s">
        <v>9</v>
      </c>
      <c r="M1038" t="s">
        <v>23</v>
      </c>
      <c r="N1038">
        <f t="shared" si="50"/>
        <v>3.9407917251358775</v>
      </c>
      <c r="O1038" t="str">
        <f t="shared" si="51"/>
        <v/>
      </c>
      <c r="P1038" s="67" cm="1">
        <f t="array" ref="P1038">SUMPRODUCT((H1038=$H$7:$H$10000)*(N1038&lt;$N$7:$N$10000))+1</f>
        <v>78</v>
      </c>
      <c r="Q1038" s="72"/>
      <c r="R1038">
        <v>14</v>
      </c>
      <c r="S1038" t="str">
        <v>HOU</v>
      </c>
      <c r="T1038" t="str">
        <v>Sam Hill</v>
      </c>
      <c r="U1038" t="str">
        <v>NULL</v>
      </c>
      <c r="V1038" t="str">
        <v>Home</v>
      </c>
      <c r="W1038" t="str">
        <v>UTAH</v>
      </c>
      <c r="X1038">
        <v>4.3528042149511705</v>
      </c>
    </row>
    <row r="1039" spans="8:24" x14ac:dyDescent="0.35">
      <c r="H1039">
        <v>12</v>
      </c>
      <c r="I1039" t="s">
        <v>13</v>
      </c>
      <c r="J1039" t="s">
        <v>53</v>
      </c>
      <c r="K1039" t="s">
        <v>256</v>
      </c>
      <c r="L1039" t="s">
        <v>9</v>
      </c>
      <c r="M1039" t="s">
        <v>7</v>
      </c>
      <c r="N1039">
        <f t="shared" si="50"/>
        <v>3.7905455297452875</v>
      </c>
      <c r="O1039" t="str">
        <f t="shared" si="51"/>
        <v/>
      </c>
      <c r="P1039" s="67" cm="1">
        <f t="array" ref="P1039">SUMPRODUCT((H1039=$H$7:$H$10000)*(N1039&lt;$N$7:$N$10000))+1</f>
        <v>79</v>
      </c>
      <c r="Q1039" s="72"/>
      <c r="R1039">
        <v>14</v>
      </c>
      <c r="S1039" t="str">
        <v>HOU</v>
      </c>
      <c r="T1039" t="str">
        <v>Andre Warner</v>
      </c>
      <c r="U1039" t="str">
        <v>NULL</v>
      </c>
      <c r="V1039" t="str">
        <v>Home</v>
      </c>
      <c r="W1039" t="str">
        <v>UTAH</v>
      </c>
      <c r="X1039">
        <v>4.1052413135808932</v>
      </c>
    </row>
    <row r="1040" spans="8:24" x14ac:dyDescent="0.35">
      <c r="H1040">
        <v>12</v>
      </c>
      <c r="I1040" t="s">
        <v>7</v>
      </c>
      <c r="J1040" t="s">
        <v>19</v>
      </c>
      <c r="K1040" t="s">
        <v>256</v>
      </c>
      <c r="L1040" t="s">
        <v>3</v>
      </c>
      <c r="M1040" t="s">
        <v>13</v>
      </c>
      <c r="N1040">
        <f t="shared" si="50"/>
        <v>3.780767227437468</v>
      </c>
      <c r="O1040" t="str">
        <f t="shared" si="51"/>
        <v/>
      </c>
      <c r="P1040" s="67" cm="1">
        <f t="array" ref="P1040">SUMPRODUCT((H1040=$H$7:$H$10000)*(N1040&lt;$N$7:$N$10000))+1</f>
        <v>80</v>
      </c>
      <c r="Q1040" s="72"/>
      <c r="R1040">
        <v>14</v>
      </c>
      <c r="S1040" t="str">
        <v>UTAH</v>
      </c>
      <c r="T1040" t="str">
        <v>Spencer Jones</v>
      </c>
      <c r="U1040" t="str">
        <v>NULL</v>
      </c>
      <c r="V1040" t="str">
        <v>Away</v>
      </c>
      <c r="W1040" t="str">
        <v>HOU</v>
      </c>
      <c r="X1040">
        <v>3.7562054144779875</v>
      </c>
    </row>
    <row r="1041" spans="8:24" x14ac:dyDescent="0.35">
      <c r="H1041" s="66">
        <v>12</v>
      </c>
      <c r="I1041" t="s">
        <v>36</v>
      </c>
      <c r="J1041" t="s">
        <v>123</v>
      </c>
      <c r="K1041" t="s">
        <v>256</v>
      </c>
      <c r="L1041" t="s">
        <v>9</v>
      </c>
      <c r="M1041" t="s">
        <v>23</v>
      </c>
      <c r="N1041">
        <f t="shared" si="50"/>
        <v>3.6932288237656001</v>
      </c>
      <c r="O1041" t="str">
        <f t="shared" si="51"/>
        <v/>
      </c>
      <c r="P1041" s="67" cm="1">
        <f t="array" ref="P1041">SUMPRODUCT((H1041=$H$7:$H$10000)*(N1041&lt;$N$7:$N$10000))+1</f>
        <v>81</v>
      </c>
      <c r="Q1041" s="72"/>
      <c r="R1041">
        <v>14</v>
      </c>
      <c r="S1041" t="str">
        <v>LA</v>
      </c>
      <c r="T1041" t="str">
        <v>Christian Dyer</v>
      </c>
      <c r="U1041" t="str">
        <v>NULL</v>
      </c>
      <c r="V1041" t="str">
        <v>Away</v>
      </c>
      <c r="W1041" t="str">
        <v>CHI</v>
      </c>
      <c r="X1041">
        <v>3.4176480486581946</v>
      </c>
    </row>
    <row r="1042" spans="8:24" x14ac:dyDescent="0.35">
      <c r="H1042" s="66">
        <v>12</v>
      </c>
      <c r="I1042" t="s">
        <v>6</v>
      </c>
      <c r="J1042" t="s">
        <v>66</v>
      </c>
      <c r="K1042" t="s">
        <v>256</v>
      </c>
      <c r="L1042" t="s">
        <v>9</v>
      </c>
      <c r="M1042" t="s">
        <v>17</v>
      </c>
      <c r="N1042">
        <f t="shared" si="50"/>
        <v>3.2855623730933656</v>
      </c>
      <c r="O1042" t="str">
        <f t="shared" si="51"/>
        <v/>
      </c>
      <c r="P1042" s="67" cm="1">
        <f t="array" ref="P1042">SUMPRODUCT((H1042=$H$7:$H$10000)*(N1042&lt;$N$7:$N$10000))+1</f>
        <v>82</v>
      </c>
      <c r="Q1042" s="72"/>
      <c r="R1042">
        <v>14</v>
      </c>
      <c r="S1042" t="str">
        <v>OGDC</v>
      </c>
      <c r="T1042" t="str">
        <v>Jason Emery</v>
      </c>
      <c r="U1042" t="str">
        <v>NULL</v>
      </c>
      <c r="V1042" t="str">
        <v>Away</v>
      </c>
      <c r="W1042" t="str">
        <v>ARC</v>
      </c>
      <c r="X1042">
        <v>2.9067937784278763</v>
      </c>
    </row>
    <row r="1043" spans="8:24" x14ac:dyDescent="0.35">
      <c r="H1043" s="66">
        <v>12</v>
      </c>
      <c r="I1043" t="s">
        <v>23</v>
      </c>
      <c r="J1043" t="s">
        <v>498</v>
      </c>
      <c r="K1043" t="s">
        <v>256</v>
      </c>
      <c r="L1043" t="s">
        <v>3</v>
      </c>
      <c r="M1043" t="s">
        <v>36</v>
      </c>
      <c r="N1043">
        <f t="shared" si="50"/>
        <v>3.1793313863818362</v>
      </c>
      <c r="O1043" t="str">
        <f t="shared" si="51"/>
        <v/>
      </c>
      <c r="P1043" s="67" cm="1">
        <f t="array" ref="P1043">SUMPRODUCT((H1043=$H$7:$H$10000)*(N1043&lt;$N$7:$N$10000))+1</f>
        <v>83</v>
      </c>
      <c r="Q1043" s="72"/>
      <c r="R1043">
        <v>14</v>
      </c>
      <c r="S1043" t="str">
        <v>HOU</v>
      </c>
      <c r="T1043" t="str">
        <v>Seimou Smith</v>
      </c>
      <c r="U1043" t="str">
        <v>NULL</v>
      </c>
      <c r="V1043" t="str">
        <v>Home</v>
      </c>
      <c r="W1043" t="str">
        <v>UTAH</v>
      </c>
      <c r="X1043">
        <v>2.8260256887095698</v>
      </c>
    </row>
    <row r="1044" spans="8:24" x14ac:dyDescent="0.35">
      <c r="H1044" s="66">
        <v>12</v>
      </c>
      <c r="I1044" t="s">
        <v>24</v>
      </c>
      <c r="J1044" t="s">
        <v>459</v>
      </c>
      <c r="K1044" t="s">
        <v>256</v>
      </c>
      <c r="L1044" t="s">
        <v>9</v>
      </c>
      <c r="M1044" t="s">
        <v>2</v>
      </c>
      <c r="N1044">
        <f t="shared" si="50"/>
        <v>2.9960693197106805</v>
      </c>
      <c r="O1044" t="str">
        <f t="shared" si="51"/>
        <v/>
      </c>
      <c r="P1044" s="67" cm="1">
        <f t="array" ref="P1044">SUMPRODUCT((H1044=$H$7:$H$10000)*(N1044&lt;$N$7:$N$10000))+1</f>
        <v>84</v>
      </c>
      <c r="Q1044" s="72"/>
      <c r="R1044">
        <v>14</v>
      </c>
      <c r="S1044" t="str">
        <v>ARC</v>
      </c>
      <c r="T1044" t="str">
        <v>Jason Tidwell</v>
      </c>
      <c r="U1044" t="str">
        <v>NULL</v>
      </c>
      <c r="V1044" t="str">
        <v>Home</v>
      </c>
      <c r="W1044" t="str">
        <v>OGDC</v>
      </c>
      <c r="X1044">
        <v>2.789148724102688</v>
      </c>
    </row>
    <row r="1045" spans="8:24" x14ac:dyDescent="0.35">
      <c r="H1045" s="66">
        <v>12</v>
      </c>
      <c r="I1045" t="s">
        <v>36</v>
      </c>
      <c r="J1045" t="s">
        <v>334</v>
      </c>
      <c r="K1045" t="s">
        <v>256</v>
      </c>
      <c r="L1045" t="s">
        <v>9</v>
      </c>
      <c r="M1045" t="s">
        <v>23</v>
      </c>
      <c r="N1045">
        <f t="shared" si="50"/>
        <v>2.4140131988942759</v>
      </c>
      <c r="O1045" t="str">
        <f t="shared" si="51"/>
        <v/>
      </c>
      <c r="P1045" s="67" cm="1">
        <f t="array" ref="P1045">SUMPRODUCT((H1045=$H$7:$H$10000)*(N1045&lt;$N$7:$N$10000))+1</f>
        <v>85</v>
      </c>
      <c r="Q1045" s="72"/>
      <c r="R1045">
        <v>14</v>
      </c>
      <c r="S1045" t="str">
        <v>SEA</v>
      </c>
      <c r="T1045" t="str">
        <v>Jade Stighling</v>
      </c>
      <c r="U1045" t="str">
        <v>NULL</v>
      </c>
      <c r="V1045" t="str">
        <v>Home</v>
      </c>
      <c r="W1045" t="str">
        <v>SDL</v>
      </c>
      <c r="X1045">
        <v>2.3285987286174263</v>
      </c>
    </row>
    <row r="1046" spans="8:24" x14ac:dyDescent="0.35">
      <c r="H1046">
        <v>12</v>
      </c>
      <c r="I1046" t="s">
        <v>13</v>
      </c>
      <c r="J1046" t="s">
        <v>474</v>
      </c>
      <c r="K1046" t="s">
        <v>256</v>
      </c>
      <c r="L1046" t="s">
        <v>9</v>
      </c>
      <c r="M1046" t="s">
        <v>7</v>
      </c>
      <c r="N1046">
        <f t="shared" si="50"/>
        <v>2.1862398296903818</v>
      </c>
      <c r="O1046" t="str">
        <f t="shared" si="51"/>
        <v/>
      </c>
      <c r="P1046" s="67" cm="1">
        <f t="array" ref="P1046">SUMPRODUCT((H1046=$H$7:$H$10000)*(N1046&lt;$N$7:$N$10000))+1</f>
        <v>86</v>
      </c>
      <c r="Q1046" s="72"/>
      <c r="R1046">
        <v>14</v>
      </c>
      <c r="S1046" t="str">
        <v>UTAH</v>
      </c>
      <c r="T1046" t="str">
        <v>Kyle Brown</v>
      </c>
      <c r="U1046" t="str">
        <v>NULL</v>
      </c>
      <c r="V1046" t="str">
        <v>Away</v>
      </c>
      <c r="W1046" t="str">
        <v>HOU</v>
      </c>
      <c r="X1046">
        <v>2.1518997144230818</v>
      </c>
    </row>
    <row r="1047" spans="8:24" x14ac:dyDescent="0.35">
      <c r="H1047" s="66">
        <v>12</v>
      </c>
      <c r="I1047" t="s">
        <v>4</v>
      </c>
      <c r="J1047" t="s">
        <v>475</v>
      </c>
      <c r="K1047" t="s">
        <v>256</v>
      </c>
      <c r="L1047" t="s">
        <v>9</v>
      </c>
      <c r="M1047" t="s">
        <v>34</v>
      </c>
      <c r="N1047">
        <f t="shared" si="50"/>
        <v>2.0249154781972223</v>
      </c>
      <c r="O1047" t="str">
        <f t="shared" si="51"/>
        <v/>
      </c>
      <c r="P1047" s="67" cm="1">
        <f t="array" ref="P1047">SUMPRODUCT((H1047=$H$7:$H$10000)*(N1047&lt;$N$7:$N$10000))+1</f>
        <v>87</v>
      </c>
      <c r="Q1047" s="72"/>
      <c r="R1047">
        <v>14</v>
      </c>
      <c r="S1047" t="str">
        <v>ARC</v>
      </c>
      <c r="T1047" t="str">
        <v>Junior Gafa</v>
      </c>
      <c r="U1047" t="str">
        <v>NULL</v>
      </c>
      <c r="V1047" t="str">
        <v>Home</v>
      </c>
      <c r="W1047" t="str">
        <v>OGDC</v>
      </c>
      <c r="X1047">
        <v>2.1391919453899675</v>
      </c>
    </row>
    <row r="1048" spans="8:24" x14ac:dyDescent="0.35">
      <c r="H1048">
        <v>12</v>
      </c>
      <c r="I1048" t="s">
        <v>7</v>
      </c>
      <c r="J1048" t="s">
        <v>92</v>
      </c>
      <c r="K1048" t="s">
        <v>256</v>
      </c>
      <c r="L1048" t="s">
        <v>3</v>
      </c>
      <c r="M1048" t="s">
        <v>13</v>
      </c>
      <c r="N1048">
        <f t="shared" si="50"/>
        <v>1.9967723485849938</v>
      </c>
      <c r="O1048" t="str">
        <f t="shared" si="51"/>
        <v/>
      </c>
      <c r="P1048" s="67" cm="1">
        <f t="array" ref="P1048">SUMPRODUCT((H1048=$H$7:$H$10000)*(N1048&lt;$N$7:$N$10000))+1</f>
        <v>88</v>
      </c>
      <c r="Q1048" s="72"/>
      <c r="R1048">
        <v>14</v>
      </c>
      <c r="S1048" t="str">
        <v>SEA</v>
      </c>
      <c r="T1048" t="str">
        <v>Jeremiah Sio</v>
      </c>
      <c r="U1048" t="str">
        <v>NULL</v>
      </c>
      <c r="V1048" t="str">
        <v>Home</v>
      </c>
      <c r="W1048" t="str">
        <v>SDL</v>
      </c>
      <c r="X1048">
        <v>1.7025688503823337</v>
      </c>
    </row>
    <row r="1049" spans="8:24" x14ac:dyDescent="0.35">
      <c r="H1049">
        <v>12</v>
      </c>
      <c r="I1049" t="s">
        <v>7</v>
      </c>
      <c r="J1049" t="s">
        <v>131</v>
      </c>
      <c r="K1049" t="s">
        <v>256</v>
      </c>
      <c r="L1049" t="s">
        <v>3</v>
      </c>
      <c r="M1049" t="s">
        <v>13</v>
      </c>
      <c r="N1049">
        <f t="shared" si="50"/>
        <v>1.9639146566370087</v>
      </c>
      <c r="O1049" t="str">
        <f t="shared" si="51"/>
        <v/>
      </c>
      <c r="P1049" s="67" cm="1">
        <f t="array" ref="P1049">SUMPRODUCT((H1049=$H$7:$H$10000)*(N1049&lt;$N$7:$N$10000))+1</f>
        <v>89</v>
      </c>
      <c r="Q1049" s="72"/>
      <c r="R1049">
        <v>14</v>
      </c>
      <c r="S1049" t="str">
        <v>UTAH</v>
      </c>
      <c r="T1049" t="str">
        <v>Logan Crowley</v>
      </c>
      <c r="U1049" t="str">
        <v>NULL</v>
      </c>
      <c r="V1049" t="str">
        <v>Away</v>
      </c>
      <c r="W1049" t="str">
        <v>HOU</v>
      </c>
      <c r="X1049">
        <v>1.439023896594489</v>
      </c>
    </row>
    <row r="1050" spans="8:24" x14ac:dyDescent="0.35">
      <c r="H1050">
        <v>12</v>
      </c>
      <c r="I1050" t="s">
        <v>13</v>
      </c>
      <c r="J1050" t="s">
        <v>472</v>
      </c>
      <c r="K1050" t="s">
        <v>256</v>
      </c>
      <c r="L1050" t="s">
        <v>9</v>
      </c>
      <c r="M1050" t="s">
        <v>7</v>
      </c>
      <c r="N1050">
        <f t="shared" si="50"/>
        <v>1.473364011861789</v>
      </c>
      <c r="O1050" t="str">
        <f t="shared" si="51"/>
        <v/>
      </c>
      <c r="P1050" s="67" cm="1">
        <f t="array" ref="P1050">SUMPRODUCT((H1050=$H$7:$H$10000)*(N1050&lt;$N$7:$N$10000))+1</f>
        <v>90</v>
      </c>
      <c r="Q1050" s="72"/>
      <c r="R1050">
        <v>14</v>
      </c>
      <c r="S1050" t="str">
        <v>OGDC</v>
      </c>
      <c r="T1050" t="str">
        <v>Perry Humphreys</v>
      </c>
      <c r="U1050" t="str">
        <v>NULL</v>
      </c>
      <c r="V1050" t="str">
        <v>Away</v>
      </c>
      <c r="W1050" t="str">
        <v>ARC</v>
      </c>
      <c r="X1050">
        <v>1.1227988995754004</v>
      </c>
    </row>
    <row r="1051" spans="8:24" x14ac:dyDescent="0.35">
      <c r="H1051">
        <v>12</v>
      </c>
      <c r="I1051" t="s">
        <v>23</v>
      </c>
      <c r="J1051" t="s">
        <v>443</v>
      </c>
      <c r="K1051" t="s">
        <v>256</v>
      </c>
      <c r="L1051" t="s">
        <v>3</v>
      </c>
      <c r="M1051" t="s">
        <v>36</v>
      </c>
      <c r="N1051">
        <f t="shared" si="50"/>
        <v>0.76878326345252468</v>
      </c>
      <c r="O1051" t="str">
        <f t="shared" si="51"/>
        <v/>
      </c>
      <c r="P1051" s="67" cm="1">
        <f t="array" ref="P1051">SUMPRODUCT((H1051=$H$7:$H$10000)*(N1051&lt;$N$7:$N$10000))+1</f>
        <v>91</v>
      </c>
      <c r="Q1051" s="72"/>
      <c r="R1051">
        <v>14</v>
      </c>
      <c r="S1051" t="str">
        <v>OGDC</v>
      </c>
      <c r="T1051" t="str">
        <v>Ethan McVeigh</v>
      </c>
      <c r="U1051" t="str">
        <v>NULL</v>
      </c>
      <c r="V1051" t="str">
        <v>Away</v>
      </c>
      <c r="W1051" t="str">
        <v>ARC</v>
      </c>
      <c r="X1051">
        <v>1.0899412076274153</v>
      </c>
    </row>
    <row r="1052" spans="8:24" x14ac:dyDescent="0.35">
      <c r="H1052" s="66">
        <v>12</v>
      </c>
      <c r="I1052" t="s">
        <v>36</v>
      </c>
      <c r="J1052" t="s">
        <v>73</v>
      </c>
      <c r="K1052" t="s">
        <v>256</v>
      </c>
      <c r="L1052" t="s">
        <v>9</v>
      </c>
      <c r="M1052" t="s">
        <v>23</v>
      </c>
      <c r="N1052">
        <f t="shared" si="50"/>
        <v>0.58389561950348146</v>
      </c>
      <c r="O1052" t="str">
        <f t="shared" si="51"/>
        <v/>
      </c>
      <c r="P1052" s="67" cm="1">
        <f t="array" ref="P1052">SUMPRODUCT((H1052=$H$7:$H$10000)*(N1052&lt;$N$7:$N$10000))+1</f>
        <v>92</v>
      </c>
      <c r="Q1052" s="72"/>
      <c r="R1052">
        <v>14</v>
      </c>
      <c r="S1052" t="str">
        <v>HOU</v>
      </c>
      <c r="T1052" t="str">
        <v>Drew Wild</v>
      </c>
      <c r="U1052" t="str">
        <v>NULL</v>
      </c>
      <c r="V1052" t="str">
        <v>Home</v>
      </c>
      <c r="W1052" t="str">
        <v>UTAH</v>
      </c>
      <c r="X1052">
        <v>0.99590810931877627</v>
      </c>
    </row>
    <row r="1053" spans="8:24" x14ac:dyDescent="0.35">
      <c r="H1053" s="66">
        <v>12</v>
      </c>
      <c r="I1053" t="s">
        <v>23</v>
      </c>
      <c r="J1053" t="s">
        <v>127</v>
      </c>
      <c r="K1053" t="s">
        <v>256</v>
      </c>
      <c r="L1053" t="s">
        <v>3</v>
      </c>
      <c r="M1053" t="s">
        <v>36</v>
      </c>
      <c r="N1053">
        <f t="shared" si="50"/>
        <v>0.22187918158525743</v>
      </c>
      <c r="O1053" t="str">
        <f t="shared" si="51"/>
        <v/>
      </c>
      <c r="P1053" s="67" cm="1">
        <f t="array" ref="P1053">SUMPRODUCT((H1053=$H$7:$H$10000)*(N1053&lt;$N$7:$N$10000))+1</f>
        <v>93</v>
      </c>
      <c r="Q1053" s="72"/>
      <c r="R1053">
        <v>14</v>
      </c>
      <c r="S1053" t="str">
        <v>ARC</v>
      </c>
      <c r="T1053" t="str">
        <v>Conner Mooneyham</v>
      </c>
      <c r="U1053" t="str">
        <v>NULL</v>
      </c>
      <c r="V1053" t="str">
        <v>Home</v>
      </c>
      <c r="W1053" t="str">
        <v>OGDC</v>
      </c>
      <c r="X1053">
        <v>0.26242502878597573</v>
      </c>
    </row>
    <row r="1054" spans="8:24" x14ac:dyDescent="0.35">
      <c r="H1054">
        <v>12</v>
      </c>
      <c r="I1054" t="s">
        <v>23</v>
      </c>
      <c r="J1054" t="s">
        <v>456</v>
      </c>
      <c r="K1054" t="s">
        <v>256</v>
      </c>
      <c r="L1054" t="s">
        <v>3</v>
      </c>
      <c r="M1054" t="s">
        <v>36</v>
      </c>
      <c r="N1054">
        <f t="shared" si="50"/>
        <v>-0.54085533697858335</v>
      </c>
      <c r="O1054" t="str">
        <f t="shared" si="51"/>
        <v/>
      </c>
      <c r="P1054" s="67" cm="1">
        <f t="array" ref="P1054">SUMPRODUCT((H1054=$H$7:$H$10000)*(N1054&lt;$N$7:$N$10000))+1</f>
        <v>94</v>
      </c>
      <c r="Q1054" s="72"/>
      <c r="R1054">
        <v>14</v>
      </c>
      <c r="S1054" t="str">
        <v>ARC</v>
      </c>
      <c r="T1054" t="str">
        <v>Carlo de Nysschen</v>
      </c>
      <c r="U1054" t="str">
        <v>NULL</v>
      </c>
      <c r="V1054" t="str">
        <v>Home</v>
      </c>
      <c r="W1054" t="str">
        <v>OGDC</v>
      </c>
      <c r="X1054">
        <v>-0.69100178917594679</v>
      </c>
    </row>
    <row r="1055" spans="8:24" x14ac:dyDescent="0.35">
      <c r="H1055" s="66">
        <v>12</v>
      </c>
      <c r="I1055" t="s">
        <v>4</v>
      </c>
      <c r="J1055" t="s">
        <v>125</v>
      </c>
      <c r="K1055" t="s">
        <v>256</v>
      </c>
      <c r="L1055" t="s">
        <v>9</v>
      </c>
      <c r="M1055" t="s">
        <v>34</v>
      </c>
      <c r="N1055">
        <f t="shared" si="50"/>
        <v>-0.59088489606959627</v>
      </c>
      <c r="O1055" t="str">
        <f t="shared" si="51"/>
        <v/>
      </c>
      <c r="P1055" s="67" cm="1">
        <f t="array" ref="P1055">SUMPRODUCT((H1055=$H$7:$H$10000)*(N1055&lt;$N$7:$N$10000))+1</f>
        <v>95</v>
      </c>
      <c r="Q1055" s="72"/>
      <c r="R1055">
        <v>14</v>
      </c>
      <c r="S1055" t="str">
        <v>ARC</v>
      </c>
      <c r="T1055" t="str">
        <v>Ashawnty Staples Flowers</v>
      </c>
      <c r="U1055" t="str">
        <v>NULL</v>
      </c>
      <c r="V1055" t="str">
        <v>Home</v>
      </c>
      <c r="W1055" t="str">
        <v>OGDC</v>
      </c>
      <c r="X1055">
        <v>-1.8796248212384885</v>
      </c>
    </row>
    <row r="1056" spans="8:24" x14ac:dyDescent="0.35">
      <c r="H1056" s="66">
        <v>12</v>
      </c>
      <c r="I1056" t="s">
        <v>4</v>
      </c>
      <c r="J1056" t="s">
        <v>489</v>
      </c>
      <c r="K1056" t="s">
        <v>256</v>
      </c>
      <c r="L1056" t="s">
        <v>9</v>
      </c>
      <c r="M1056" t="s">
        <v>34</v>
      </c>
      <c r="N1056">
        <f t="shared" si="50"/>
        <v>-0.63761483785128092</v>
      </c>
      <c r="O1056" t="str">
        <f t="shared" si="51"/>
        <v/>
      </c>
      <c r="P1056" s="67" cm="1">
        <f t="array" ref="P1056">SUMPRODUCT((H1056=$H$7:$H$10000)*(N1056&lt;$N$7:$N$10000))+1</f>
        <v>96</v>
      </c>
      <c r="Q1056" s="72"/>
      <c r="R1056">
        <v>14</v>
      </c>
      <c r="S1056" t="str">
        <v>OGDC</v>
      </c>
      <c r="T1056" t="str">
        <v>Connor Buckley</v>
      </c>
      <c r="U1056" t="str">
        <v>NULL</v>
      </c>
      <c r="V1056" t="str">
        <v>Away</v>
      </c>
      <c r="W1056" t="str">
        <v>ARC</v>
      </c>
      <c r="X1056">
        <v>-3.3715167985294077</v>
      </c>
    </row>
    <row r="1057" spans="8:24" x14ac:dyDescent="0.35">
      <c r="H1057" s="66">
        <v>12</v>
      </c>
      <c r="I1057" t="s">
        <v>23</v>
      </c>
      <c r="J1057" t="s">
        <v>340</v>
      </c>
      <c r="K1057" t="s">
        <v>256</v>
      </c>
      <c r="L1057" t="s">
        <v>3</v>
      </c>
      <c r="M1057" t="s">
        <v>36</v>
      </c>
      <c r="N1057">
        <f t="shared" si="50"/>
        <v>-0.84609876578761067</v>
      </c>
      <c r="O1057" t="str">
        <f t="shared" si="51"/>
        <v/>
      </c>
      <c r="P1057" s="67" cm="1">
        <f t="array" ref="P1057">SUMPRODUCT((H1057=$H$7:$H$10000)*(N1057&lt;$N$7:$N$10000))+1</f>
        <v>97</v>
      </c>
      <c r="Q1057" s="72"/>
      <c r="R1057">
        <v>15</v>
      </c>
      <c r="S1057" t="str">
        <v>LA</v>
      </c>
      <c r="T1057" t="str">
        <v>Rory van Vugt</v>
      </c>
      <c r="U1057" t="str">
        <v>NULL</v>
      </c>
      <c r="V1057" t="str">
        <v>Home</v>
      </c>
      <c r="W1057" t="str">
        <v>MIA</v>
      </c>
      <c r="X1057">
        <v>23.112144061285754</v>
      </c>
    </row>
    <row r="1058" spans="8:24" x14ac:dyDescent="0.35">
      <c r="H1058">
        <v>12</v>
      </c>
      <c r="I1058" t="s">
        <v>7</v>
      </c>
      <c r="J1058" t="s">
        <v>126</v>
      </c>
      <c r="K1058" t="s">
        <v>256</v>
      </c>
      <c r="L1058" t="s">
        <v>3</v>
      </c>
      <c r="M1058" t="s">
        <v>13</v>
      </c>
      <c r="N1058">
        <f t="shared" si="50"/>
        <v>-2.4975433495198143</v>
      </c>
      <c r="O1058" t="str">
        <f t="shared" si="51"/>
        <v/>
      </c>
      <c r="P1058" s="67" cm="1">
        <f t="array" ref="P1058">SUMPRODUCT((H1058=$H$7:$H$10000)*(N1058&lt;$N$7:$N$10000))+1</f>
        <v>98</v>
      </c>
      <c r="Q1058" s="72"/>
      <c r="R1058">
        <v>15</v>
      </c>
      <c r="S1058" t="str">
        <v>LA</v>
      </c>
      <c r="T1058" t="str">
        <v>Billy Meakes</v>
      </c>
      <c r="U1058" t="str">
        <v>NULL</v>
      </c>
      <c r="V1058" t="str">
        <v>Home</v>
      </c>
      <c r="W1058" t="str">
        <v>MIA</v>
      </c>
      <c r="X1058">
        <v>19.436531274792028</v>
      </c>
    </row>
    <row r="1059" spans="8:24" x14ac:dyDescent="0.35">
      <c r="H1059">
        <v>13</v>
      </c>
      <c r="I1059" t="s">
        <v>13</v>
      </c>
      <c r="J1059" t="s">
        <v>79</v>
      </c>
      <c r="K1059" t="s">
        <v>256</v>
      </c>
      <c r="L1059" t="s">
        <v>3</v>
      </c>
      <c r="M1059" t="s">
        <v>17</v>
      </c>
      <c r="N1059">
        <f t="shared" si="50"/>
        <v>20.054976719345895</v>
      </c>
      <c r="O1059" t="str">
        <f t="shared" si="51"/>
        <v/>
      </c>
      <c r="P1059" s="67" cm="1">
        <f t="array" ref="P1059">SUMPRODUCT((H1059=$H$7:$H$10000)*(N1059&lt;$N$7:$N$10000))+1</f>
        <v>1</v>
      </c>
      <c r="Q1059" s="72"/>
      <c r="R1059">
        <v>15</v>
      </c>
      <c r="S1059" t="str">
        <v>OGDC</v>
      </c>
      <c r="T1059" t="str">
        <v>Axel Muller</v>
      </c>
      <c r="U1059" t="str">
        <v>NULL</v>
      </c>
      <c r="V1059" t="str">
        <v>Away</v>
      </c>
      <c r="W1059" t="str">
        <v>NEFJ</v>
      </c>
      <c r="X1059">
        <v>18.699926702575453</v>
      </c>
    </row>
    <row r="1060" spans="8:24" x14ac:dyDescent="0.35">
      <c r="H1060">
        <v>13</v>
      </c>
      <c r="I1060" t="s">
        <v>6</v>
      </c>
      <c r="J1060" t="s">
        <v>94</v>
      </c>
      <c r="K1060" t="s">
        <v>256</v>
      </c>
      <c r="L1060" t="s">
        <v>3</v>
      </c>
      <c r="M1060" t="s">
        <v>14</v>
      </c>
      <c r="N1060">
        <f t="shared" si="50"/>
        <v>19.98328432215715</v>
      </c>
      <c r="O1060" t="str">
        <f t="shared" si="51"/>
        <v/>
      </c>
      <c r="P1060" s="67" cm="1">
        <f t="array" ref="P1060">SUMPRODUCT((H1060=$H$7:$H$10000)*(N1060&lt;$N$7:$N$10000))+1</f>
        <v>2</v>
      </c>
      <c r="Q1060" s="72"/>
      <c r="R1060">
        <v>15</v>
      </c>
      <c r="S1060" t="str">
        <v>UTAH</v>
      </c>
      <c r="T1060" t="str">
        <v>Joe Mano</v>
      </c>
      <c r="U1060" t="str">
        <v>NULL</v>
      </c>
      <c r="V1060" t="str">
        <v>Away</v>
      </c>
      <c r="W1060" t="str">
        <v>NOLA</v>
      </c>
      <c r="X1060">
        <v>18.060832663107227</v>
      </c>
    </row>
    <row r="1061" spans="8:24" x14ac:dyDescent="0.35">
      <c r="H1061">
        <v>13</v>
      </c>
      <c r="I1061" t="s">
        <v>6</v>
      </c>
      <c r="J1061" t="s">
        <v>8</v>
      </c>
      <c r="K1061" t="s">
        <v>256</v>
      </c>
      <c r="L1061" t="s">
        <v>3</v>
      </c>
      <c r="M1061" t="s">
        <v>14</v>
      </c>
      <c r="N1061">
        <f t="shared" si="50"/>
        <v>16.307671535663424</v>
      </c>
      <c r="O1061" t="str">
        <f t="shared" si="51"/>
        <v/>
      </c>
      <c r="P1061" s="67" cm="1">
        <f t="array" ref="P1061">SUMPRODUCT((H1061=$H$7:$H$10000)*(N1061&lt;$N$7:$N$10000))+1</f>
        <v>3</v>
      </c>
      <c r="Q1061" s="72"/>
      <c r="R1061">
        <v>15</v>
      </c>
      <c r="S1061" t="str">
        <v>LA</v>
      </c>
      <c r="T1061" t="str">
        <v>Matias Jensen</v>
      </c>
      <c r="U1061" t="str">
        <v>NULL</v>
      </c>
      <c r="V1061" t="str">
        <v>Home</v>
      </c>
      <c r="W1061" t="str">
        <v>MIA</v>
      </c>
      <c r="X1061">
        <v>17.472773397587638</v>
      </c>
    </row>
    <row r="1062" spans="8:24" x14ac:dyDescent="0.35">
      <c r="H1062">
        <v>13</v>
      </c>
      <c r="I1062" t="s">
        <v>13</v>
      </c>
      <c r="J1062" t="s">
        <v>494</v>
      </c>
      <c r="K1062" t="s">
        <v>256</v>
      </c>
      <c r="L1062" t="s">
        <v>3</v>
      </c>
      <c r="M1062" t="s">
        <v>17</v>
      </c>
      <c r="N1062">
        <f t="shared" si="50"/>
        <v>16.244441268635292</v>
      </c>
      <c r="O1062" t="str">
        <f t="shared" si="51"/>
        <v/>
      </c>
      <c r="P1062" s="67" cm="1">
        <f t="array" ref="P1062">SUMPRODUCT((H1062=$H$7:$H$10000)*(N1062&lt;$N$7:$N$10000))+1</f>
        <v>4</v>
      </c>
      <c r="Q1062" s="72"/>
      <c r="R1062">
        <v>15</v>
      </c>
      <c r="S1062" t="str">
        <v>LA</v>
      </c>
      <c r="T1062" t="str">
        <v>Christian Leali'ifano</v>
      </c>
      <c r="U1062" t="str">
        <v>NULL</v>
      </c>
      <c r="V1062" t="str">
        <v>Home</v>
      </c>
      <c r="W1062" t="str">
        <v>MIA</v>
      </c>
      <c r="X1062">
        <v>16.32154077561983</v>
      </c>
    </row>
    <row r="1063" spans="8:24" x14ac:dyDescent="0.35">
      <c r="H1063">
        <v>13</v>
      </c>
      <c r="I1063" t="s">
        <v>4</v>
      </c>
      <c r="J1063" t="s">
        <v>457</v>
      </c>
      <c r="K1063" t="s">
        <v>256</v>
      </c>
      <c r="L1063" t="s">
        <v>3</v>
      </c>
      <c r="M1063" t="s">
        <v>24</v>
      </c>
      <c r="N1063">
        <f t="shared" si="50"/>
        <v>15.283054767161763</v>
      </c>
      <c r="O1063" t="str">
        <f t="shared" si="51"/>
        <v/>
      </c>
      <c r="P1063" s="67" cm="1">
        <f t="array" ref="P1063">SUMPRODUCT((H1063=$H$7:$H$10000)*(N1063&lt;$N$7:$N$10000))+1</f>
        <v>5</v>
      </c>
      <c r="Q1063" s="72"/>
      <c r="R1063">
        <v>15</v>
      </c>
      <c r="S1063" t="str">
        <v>LA</v>
      </c>
      <c r="T1063" t="str">
        <v>Gonzalo Bertranou</v>
      </c>
      <c r="U1063" t="str">
        <v>NULL</v>
      </c>
      <c r="V1063" t="str">
        <v>Home</v>
      </c>
      <c r="W1063" t="str">
        <v>MIA</v>
      </c>
      <c r="X1063">
        <v>15.351758860191843</v>
      </c>
    </row>
    <row r="1064" spans="8:24" x14ac:dyDescent="0.35">
      <c r="H1064">
        <v>13</v>
      </c>
      <c r="I1064" t="s">
        <v>34</v>
      </c>
      <c r="J1064" t="s">
        <v>95</v>
      </c>
      <c r="K1064" t="s">
        <v>256</v>
      </c>
      <c r="L1064" t="s">
        <v>3</v>
      </c>
      <c r="M1064" t="s">
        <v>36</v>
      </c>
      <c r="N1064">
        <f t="shared" si="50"/>
        <v>14.68568711851503</v>
      </c>
      <c r="O1064" t="str">
        <f t="shared" si="51"/>
        <v/>
      </c>
      <c r="P1064" s="67" cm="1">
        <f t="array" ref="P1064">SUMPRODUCT((H1064=$H$7:$H$10000)*(N1064&lt;$N$7:$N$10000))+1</f>
        <v>6</v>
      </c>
      <c r="Q1064" s="72"/>
      <c r="R1064">
        <v>15</v>
      </c>
      <c r="S1064" t="str">
        <v>MIA</v>
      </c>
      <c r="T1064" t="str">
        <v>Tomás Cubilla</v>
      </c>
      <c r="U1064" t="str">
        <v>NULL</v>
      </c>
      <c r="V1064" t="str">
        <v>Away</v>
      </c>
      <c r="W1064" t="str">
        <v>LA</v>
      </c>
      <c r="X1064">
        <v>15.271551605241308</v>
      </c>
    </row>
    <row r="1065" spans="8:24" x14ac:dyDescent="0.35">
      <c r="H1065">
        <v>13</v>
      </c>
      <c r="I1065" t="s">
        <v>4</v>
      </c>
      <c r="J1065" t="s">
        <v>286</v>
      </c>
      <c r="K1065" t="s">
        <v>256</v>
      </c>
      <c r="L1065" t="s">
        <v>3</v>
      </c>
      <c r="M1065" t="s">
        <v>24</v>
      </c>
      <c r="N1065">
        <f t="shared" si="50"/>
        <v>14.637410258896251</v>
      </c>
      <c r="O1065" t="str">
        <f t="shared" si="51"/>
        <v/>
      </c>
      <c r="P1065" s="67" cm="1">
        <f t="array" ref="P1065">SUMPRODUCT((H1065=$H$7:$H$10000)*(N1065&lt;$N$7:$N$10000))+1</f>
        <v>7</v>
      </c>
      <c r="Q1065" s="72"/>
      <c r="R1065">
        <v>15</v>
      </c>
      <c r="S1065" t="str">
        <v>LA</v>
      </c>
      <c r="T1065" t="str">
        <v>Jack Shaw</v>
      </c>
      <c r="U1065" t="str">
        <v>NULL</v>
      </c>
      <c r="V1065" t="str">
        <v>Home</v>
      </c>
      <c r="W1065" t="str">
        <v>MIA</v>
      </c>
      <c r="X1065">
        <v>15.09664464804731</v>
      </c>
    </row>
    <row r="1066" spans="8:24" x14ac:dyDescent="0.35">
      <c r="H1066">
        <v>13</v>
      </c>
      <c r="I1066" t="s">
        <v>6</v>
      </c>
      <c r="J1066" t="s">
        <v>445</v>
      </c>
      <c r="K1066" t="s">
        <v>256</v>
      </c>
      <c r="L1066" t="s">
        <v>3</v>
      </c>
      <c r="M1066" t="s">
        <v>14</v>
      </c>
      <c r="N1066">
        <f t="shared" si="50"/>
        <v>14.343913658459032</v>
      </c>
      <c r="O1066" t="str">
        <f t="shared" si="51"/>
        <v/>
      </c>
      <c r="P1066" s="67" cm="1">
        <f t="array" ref="P1066">SUMPRODUCT((H1066=$H$7:$H$10000)*(N1066&lt;$N$7:$N$10000))+1</f>
        <v>8</v>
      </c>
      <c r="Q1066" s="72"/>
      <c r="R1066">
        <v>15</v>
      </c>
      <c r="S1066" t="str">
        <v>LA</v>
      </c>
      <c r="T1066" t="str">
        <v>Seth Purdey</v>
      </c>
      <c r="U1066" t="str">
        <v>NULL</v>
      </c>
      <c r="V1066" t="str">
        <v>Home</v>
      </c>
      <c r="W1066" t="str">
        <v>MIA</v>
      </c>
      <c r="X1066">
        <v>14.603554352463085</v>
      </c>
    </row>
    <row r="1067" spans="8:24" x14ac:dyDescent="0.35">
      <c r="H1067">
        <v>13</v>
      </c>
      <c r="I1067" t="s">
        <v>4</v>
      </c>
      <c r="J1067" t="s">
        <v>453</v>
      </c>
      <c r="K1067" t="s">
        <v>256</v>
      </c>
      <c r="L1067" t="s">
        <v>3</v>
      </c>
      <c r="M1067" t="s">
        <v>24</v>
      </c>
      <c r="N1067">
        <f t="shared" si="50"/>
        <v>14.19436704889141</v>
      </c>
      <c r="O1067" t="str">
        <f t="shared" si="51"/>
        <v/>
      </c>
      <c r="P1067" s="67" cm="1">
        <f t="array" ref="P1067">SUMPRODUCT((H1067=$H$7:$H$10000)*(N1067&lt;$N$7:$N$10000))+1</f>
        <v>9</v>
      </c>
      <c r="Q1067" s="72"/>
      <c r="R1067">
        <v>15</v>
      </c>
      <c r="S1067" t="str">
        <v>LA</v>
      </c>
      <c r="T1067" t="str">
        <v>Cameron Gerlach</v>
      </c>
      <c r="U1067" t="str">
        <v>NULL</v>
      </c>
      <c r="V1067" t="str">
        <v>Home</v>
      </c>
      <c r="W1067" t="str">
        <v>MIA</v>
      </c>
      <c r="X1067">
        <v>14.30488868481334</v>
      </c>
    </row>
    <row r="1068" spans="8:24" x14ac:dyDescent="0.35">
      <c r="H1068">
        <v>13</v>
      </c>
      <c r="I1068" t="s">
        <v>4</v>
      </c>
      <c r="J1068" t="s">
        <v>74</v>
      </c>
      <c r="K1068" t="s">
        <v>256</v>
      </c>
      <c r="L1068" t="s">
        <v>3</v>
      </c>
      <c r="M1068" t="s">
        <v>24</v>
      </c>
      <c r="N1068">
        <f t="shared" si="50"/>
        <v>13.921999710452466</v>
      </c>
      <c r="O1068" t="str">
        <f t="shared" si="51"/>
        <v/>
      </c>
      <c r="P1068" s="67" cm="1">
        <f t="array" ref="P1068">SUMPRODUCT((H1068=$H$7:$H$10000)*(N1068&lt;$N$7:$N$10000))+1</f>
        <v>10</v>
      </c>
      <c r="Q1068" s="72"/>
      <c r="R1068">
        <v>15</v>
      </c>
      <c r="S1068" t="str">
        <v>UTAH</v>
      </c>
      <c r="T1068" t="str">
        <v>Nic Benn</v>
      </c>
      <c r="U1068" t="str">
        <v>NULL</v>
      </c>
      <c r="V1068" t="str">
        <v>Away</v>
      </c>
      <c r="W1068" t="str">
        <v>NOLA</v>
      </c>
      <c r="X1068">
        <v>14.250297212396632</v>
      </c>
    </row>
    <row r="1069" spans="8:24" x14ac:dyDescent="0.35">
      <c r="H1069">
        <v>13</v>
      </c>
      <c r="I1069" t="s">
        <v>14</v>
      </c>
      <c r="J1069" t="s">
        <v>448</v>
      </c>
      <c r="K1069" t="s">
        <v>256</v>
      </c>
      <c r="L1069" t="s">
        <v>9</v>
      </c>
      <c r="M1069" t="s">
        <v>6</v>
      </c>
      <c r="N1069">
        <f t="shared" si="50"/>
        <v>13.607910865260626</v>
      </c>
      <c r="O1069" t="str">
        <f t="shared" si="51"/>
        <v/>
      </c>
      <c r="P1069" s="67" cm="1">
        <f t="array" ref="P1069">SUMPRODUCT((H1069=$H$7:$H$10000)*(N1069&lt;$N$7:$N$10000))+1</f>
        <v>11</v>
      </c>
      <c r="Q1069" s="72"/>
      <c r="R1069">
        <v>15</v>
      </c>
      <c r="S1069" t="str">
        <v>LA</v>
      </c>
      <c r="T1069" t="str">
        <v>Nick Chan</v>
      </c>
      <c r="U1069" t="str">
        <v>NULL</v>
      </c>
      <c r="V1069" t="str">
        <v>Home</v>
      </c>
      <c r="W1069" t="str">
        <v>MIA</v>
      </c>
      <c r="X1069">
        <v>13.693593731826992</v>
      </c>
    </row>
    <row r="1070" spans="8:24" x14ac:dyDescent="0.35">
      <c r="H1070">
        <v>13</v>
      </c>
      <c r="I1070" t="s">
        <v>14</v>
      </c>
      <c r="J1070" t="s">
        <v>87</v>
      </c>
      <c r="K1070" t="s">
        <v>256</v>
      </c>
      <c r="L1070" t="s">
        <v>9</v>
      </c>
      <c r="M1070" t="s">
        <v>6</v>
      </c>
      <c r="N1070">
        <f t="shared" si="50"/>
        <v>13.219241609046332</v>
      </c>
      <c r="O1070" t="str">
        <f t="shared" si="51"/>
        <v/>
      </c>
      <c r="P1070" s="67" cm="1">
        <f t="array" ref="P1070">SUMPRODUCT((H1070=$H$7:$H$10000)*(N1070&lt;$N$7:$N$10000))+1</f>
        <v>12</v>
      </c>
      <c r="Q1070" s="72"/>
      <c r="R1070">
        <v>15</v>
      </c>
      <c r="S1070" t="str">
        <v>LA</v>
      </c>
      <c r="T1070" t="str">
        <v>Andrew Coe</v>
      </c>
      <c r="U1070" t="str">
        <v>NULL</v>
      </c>
      <c r="V1070" t="str">
        <v>Home</v>
      </c>
      <c r="W1070" t="str">
        <v>MIA</v>
      </c>
      <c r="X1070">
        <v>13.652660186783791</v>
      </c>
    </row>
    <row r="1071" spans="8:24" x14ac:dyDescent="0.35">
      <c r="H1071">
        <v>13</v>
      </c>
      <c r="I1071" t="s">
        <v>6</v>
      </c>
      <c r="J1071" t="s">
        <v>442</v>
      </c>
      <c r="K1071" t="s">
        <v>256</v>
      </c>
      <c r="L1071" t="s">
        <v>3</v>
      </c>
      <c r="M1071" t="s">
        <v>14</v>
      </c>
      <c r="N1071">
        <f t="shared" si="50"/>
        <v>13.192681036491225</v>
      </c>
      <c r="O1071" t="str">
        <f t="shared" si="51"/>
        <v/>
      </c>
      <c r="P1071" s="67" cm="1">
        <f t="array" ref="P1071">SUMPRODUCT((H1071=$H$7:$H$10000)*(N1071&lt;$N$7:$N$10000))+1</f>
        <v>13</v>
      </c>
      <c r="Q1071" s="72"/>
      <c r="R1071">
        <v>15</v>
      </c>
      <c r="S1071" t="str">
        <v>MIA</v>
      </c>
      <c r="T1071" t="str">
        <v>Marcos Young</v>
      </c>
      <c r="U1071" t="str">
        <v>NULL</v>
      </c>
      <c r="V1071" t="str">
        <v>Away</v>
      </c>
      <c r="W1071" t="str">
        <v>LA</v>
      </c>
      <c r="X1071">
        <v>13.292742440221826</v>
      </c>
    </row>
    <row r="1072" spans="8:24" x14ac:dyDescent="0.35">
      <c r="H1072">
        <v>13</v>
      </c>
      <c r="I1072" t="s">
        <v>4</v>
      </c>
      <c r="J1072" t="s">
        <v>1</v>
      </c>
      <c r="K1072" t="s">
        <v>256</v>
      </c>
      <c r="L1072" t="s">
        <v>3</v>
      </c>
      <c r="M1072" t="s">
        <v>24</v>
      </c>
      <c r="N1072">
        <f t="shared" si="50"/>
        <v>13.095811190772634</v>
      </c>
      <c r="O1072" t="str">
        <f t="shared" si="51"/>
        <v/>
      </c>
      <c r="P1072" s="67" cm="1">
        <f t="array" ref="P1072">SUMPRODUCT((H1072=$H$7:$H$10000)*(N1072&lt;$N$7:$N$10000))+1</f>
        <v>14</v>
      </c>
      <c r="Q1072" s="72"/>
      <c r="R1072">
        <v>15</v>
      </c>
      <c r="S1072" t="str">
        <v>MIA</v>
      </c>
      <c r="T1072" t="str">
        <v>Martin Elias</v>
      </c>
      <c r="U1072" t="str">
        <v>NULL</v>
      </c>
      <c r="V1072" t="str">
        <v>Away</v>
      </c>
      <c r="W1072" t="str">
        <v>LA</v>
      </c>
      <c r="X1072">
        <v>13.26167857261933</v>
      </c>
    </row>
    <row r="1073" spans="8:24" x14ac:dyDescent="0.35">
      <c r="H1073">
        <v>13</v>
      </c>
      <c r="I1073" t="s">
        <v>14</v>
      </c>
      <c r="J1073" t="s">
        <v>83</v>
      </c>
      <c r="K1073" t="s">
        <v>256</v>
      </c>
      <c r="L1073" t="s">
        <v>9</v>
      </c>
      <c r="M1073" t="s">
        <v>6</v>
      </c>
      <c r="N1073">
        <f t="shared" si="50"/>
        <v>12.957647023483164</v>
      </c>
      <c r="O1073" t="str">
        <f t="shared" si="51"/>
        <v/>
      </c>
      <c r="P1073" s="67" cm="1">
        <f t="array" ref="P1073">SUMPRODUCT((H1073=$H$7:$H$10000)*(N1073&lt;$N$7:$N$10000))+1</f>
        <v>15</v>
      </c>
      <c r="Q1073" s="72"/>
      <c r="R1073">
        <v>15</v>
      </c>
      <c r="S1073" t="str">
        <v>MIA</v>
      </c>
      <c r="T1073" t="str">
        <v>Tomas Malanos</v>
      </c>
      <c r="U1073" t="str">
        <v>NULL</v>
      </c>
      <c r="V1073" t="str">
        <v>Away</v>
      </c>
      <c r="W1073" t="str">
        <v>LA</v>
      </c>
      <c r="X1073">
        <v>13.111254178232709</v>
      </c>
    </row>
    <row r="1074" spans="8:24" x14ac:dyDescent="0.35">
      <c r="H1074">
        <v>13</v>
      </c>
      <c r="I1074" t="s">
        <v>2</v>
      </c>
      <c r="J1074" t="s">
        <v>88</v>
      </c>
      <c r="K1074" t="s">
        <v>256</v>
      </c>
      <c r="L1074" t="s">
        <v>9</v>
      </c>
      <c r="M1074" t="s">
        <v>23</v>
      </c>
      <c r="N1074">
        <f t="shared" si="50"/>
        <v>12.831309777313415</v>
      </c>
      <c r="O1074" t="str">
        <f t="shared" si="51"/>
        <v/>
      </c>
      <c r="P1074" s="67" cm="1">
        <f t="array" ref="P1074">SUMPRODUCT((H1074=$H$7:$H$10000)*(N1074&lt;$N$7:$N$10000))+1</f>
        <v>16</v>
      </c>
      <c r="Q1074" s="72"/>
      <c r="R1074">
        <v>15</v>
      </c>
      <c r="S1074" t="str">
        <v>MIA</v>
      </c>
      <c r="T1074" t="str">
        <v>Tomás Inciarte</v>
      </c>
      <c r="U1074" t="str">
        <v>NULL</v>
      </c>
      <c r="V1074" t="str">
        <v>Away</v>
      </c>
      <c r="W1074" t="str">
        <v>LA</v>
      </c>
      <c r="X1074">
        <v>12.942231330998023</v>
      </c>
    </row>
    <row r="1075" spans="8:24" x14ac:dyDescent="0.35">
      <c r="H1075">
        <v>13</v>
      </c>
      <c r="I1075" t="s">
        <v>13</v>
      </c>
      <c r="J1075" t="s">
        <v>473</v>
      </c>
      <c r="K1075" t="s">
        <v>256</v>
      </c>
      <c r="L1075" t="s">
        <v>3</v>
      </c>
      <c r="M1075" t="s">
        <v>17</v>
      </c>
      <c r="N1075">
        <f t="shared" si="50"/>
        <v>12.581686055849943</v>
      </c>
      <c r="O1075" t="str">
        <f t="shared" si="51"/>
        <v/>
      </c>
      <c r="P1075" s="67" cm="1">
        <f t="array" ref="P1075">SUMPRODUCT((H1075=$H$7:$H$10000)*(N1075&lt;$N$7:$N$10000))+1</f>
        <v>17</v>
      </c>
      <c r="Q1075" s="72"/>
      <c r="R1075">
        <v>15</v>
      </c>
      <c r="S1075" t="str">
        <v>MIA</v>
      </c>
      <c r="T1075" t="str">
        <v>Tomás Cubelli</v>
      </c>
      <c r="U1075" t="str">
        <v>NULL</v>
      </c>
      <c r="V1075" t="str">
        <v>Away</v>
      </c>
      <c r="W1075" t="str">
        <v>LA</v>
      </c>
      <c r="X1075">
        <v>12.771542692510026</v>
      </c>
    </row>
    <row r="1076" spans="8:24" x14ac:dyDescent="0.35">
      <c r="H1076">
        <v>13</v>
      </c>
      <c r="I1076" t="s">
        <v>2</v>
      </c>
      <c r="J1076" t="s">
        <v>495</v>
      </c>
      <c r="K1076" t="s">
        <v>256</v>
      </c>
      <c r="L1076" t="s">
        <v>9</v>
      </c>
      <c r="M1076" t="s">
        <v>23</v>
      </c>
      <c r="N1076">
        <f t="shared" si="50"/>
        <v>12.278576023642795</v>
      </c>
      <c r="O1076" t="str">
        <f t="shared" si="51"/>
        <v/>
      </c>
      <c r="P1076" s="67" cm="1">
        <f t="array" ref="P1076">SUMPRODUCT((H1076=$H$7:$H$10000)*(N1076&lt;$N$7:$N$10000))+1</f>
        <v>18</v>
      </c>
      <c r="Q1076" s="72"/>
      <c r="R1076">
        <v>15</v>
      </c>
      <c r="S1076" t="str">
        <v>CHI</v>
      </c>
      <c r="T1076" t="str">
        <v>Nate Augspurger</v>
      </c>
      <c r="U1076" t="str">
        <v>NULL</v>
      </c>
      <c r="V1076" t="str">
        <v>Away</v>
      </c>
      <c r="W1076" t="str">
        <v>ARC</v>
      </c>
      <c r="X1076">
        <v>12.369348818119116</v>
      </c>
    </row>
    <row r="1077" spans="8:24" x14ac:dyDescent="0.35">
      <c r="H1077">
        <v>13</v>
      </c>
      <c r="I1077" t="s">
        <v>6</v>
      </c>
      <c r="J1077" t="s">
        <v>437</v>
      </c>
      <c r="K1077" t="s">
        <v>256</v>
      </c>
      <c r="L1077" t="s">
        <v>3</v>
      </c>
      <c r="M1077" t="s">
        <v>14</v>
      </c>
      <c r="N1077">
        <f t="shared" si="50"/>
        <v>12.222899121063238</v>
      </c>
      <c r="O1077" t="str">
        <f t="shared" si="51"/>
        <v/>
      </c>
      <c r="P1077" s="67" cm="1">
        <f t="array" ref="P1077">SUMPRODUCT((H1077=$H$7:$H$10000)*(N1077&lt;$N$7:$N$10000))+1</f>
        <v>19</v>
      </c>
      <c r="Q1077" s="72"/>
      <c r="R1077">
        <v>15</v>
      </c>
      <c r="S1077" t="str">
        <v>NOLA</v>
      </c>
      <c r="T1077" t="str">
        <v>Cooper Coats</v>
      </c>
      <c r="U1077" t="str">
        <v>NULL</v>
      </c>
      <c r="V1077" t="str">
        <v>Home</v>
      </c>
      <c r="W1077" t="str">
        <v>UTAH</v>
      </c>
      <c r="X1077">
        <v>12.316971525219774</v>
      </c>
    </row>
    <row r="1078" spans="8:24" x14ac:dyDescent="0.35">
      <c r="H1078">
        <v>13</v>
      </c>
      <c r="I1078" t="s">
        <v>14</v>
      </c>
      <c r="J1078" t="s">
        <v>438</v>
      </c>
      <c r="K1078" t="s">
        <v>256</v>
      </c>
      <c r="L1078" t="s">
        <v>9</v>
      </c>
      <c r="M1078" t="s">
        <v>6</v>
      </c>
      <c r="N1078">
        <f t="shared" si="50"/>
        <v>12.047782151963879</v>
      </c>
      <c r="O1078" t="str">
        <f t="shared" si="51"/>
        <v/>
      </c>
      <c r="P1078" s="67" cm="1">
        <f t="array" ref="P1078">SUMPRODUCT((H1078=$H$7:$H$10000)*(N1078&lt;$N$7:$N$10000))+1</f>
        <v>20</v>
      </c>
      <c r="Q1078" s="72"/>
      <c r="R1078">
        <v>15</v>
      </c>
      <c r="S1078" t="str">
        <v>MIA</v>
      </c>
      <c r="T1078" t="str">
        <v>Santiago Videla</v>
      </c>
      <c r="U1078" t="str">
        <v>NULL</v>
      </c>
      <c r="V1078" t="str">
        <v>Away</v>
      </c>
      <c r="W1078" t="str">
        <v>LA</v>
      </c>
      <c r="X1078">
        <v>11.971529432851241</v>
      </c>
    </row>
    <row r="1079" spans="8:24" x14ac:dyDescent="0.35">
      <c r="H1079">
        <v>13</v>
      </c>
      <c r="I1079" t="s">
        <v>6</v>
      </c>
      <c r="J1079" t="s">
        <v>75</v>
      </c>
      <c r="K1079" t="s">
        <v>256</v>
      </c>
      <c r="L1079" t="s">
        <v>3</v>
      </c>
      <c r="M1079" t="s">
        <v>14</v>
      </c>
      <c r="N1079">
        <f t="shared" si="50"/>
        <v>11.967784908918706</v>
      </c>
      <c r="O1079" t="str">
        <f t="shared" si="51"/>
        <v/>
      </c>
      <c r="P1079" s="67" cm="1">
        <f t="array" ref="P1079">SUMPRODUCT((H1079=$H$7:$H$10000)*(N1079&lt;$N$7:$N$10000))+1</f>
        <v>21</v>
      </c>
      <c r="Q1079" s="72"/>
      <c r="R1079">
        <v>15</v>
      </c>
      <c r="S1079" t="str">
        <v>CHI</v>
      </c>
      <c r="T1079" t="str">
        <v>Michael Hand</v>
      </c>
      <c r="U1079" t="str">
        <v>NULL</v>
      </c>
      <c r="V1079" t="str">
        <v>Away</v>
      </c>
      <c r="W1079" t="str">
        <v>ARC</v>
      </c>
      <c r="X1079">
        <v>11.816615064448497</v>
      </c>
    </row>
    <row r="1080" spans="8:24" x14ac:dyDescent="0.35">
      <c r="H1080">
        <v>13</v>
      </c>
      <c r="I1080" t="s">
        <v>23</v>
      </c>
      <c r="J1080" t="s">
        <v>190</v>
      </c>
      <c r="K1080" t="s">
        <v>256</v>
      </c>
      <c r="L1080" t="s">
        <v>3</v>
      </c>
      <c r="M1080" t="s">
        <v>2</v>
      </c>
      <c r="N1080">
        <f t="shared" si="50"/>
        <v>11.95378549758221</v>
      </c>
      <c r="O1080" t="str">
        <f t="shared" si="51"/>
        <v/>
      </c>
      <c r="P1080" s="67" cm="1">
        <f t="array" ref="P1080">SUMPRODUCT((H1080=$H$7:$H$10000)*(N1080&lt;$N$7:$N$10000))+1</f>
        <v>22</v>
      </c>
      <c r="Q1080" s="72"/>
      <c r="R1080">
        <v>15</v>
      </c>
      <c r="S1080" t="str">
        <v>NOLA</v>
      </c>
      <c r="T1080" t="str">
        <v>Julian Roberts</v>
      </c>
      <c r="U1080" t="str">
        <v>NULL</v>
      </c>
      <c r="V1080" t="str">
        <v>Home</v>
      </c>
      <c r="W1080" t="str">
        <v>UTAH</v>
      </c>
      <c r="X1080">
        <v>11.671327016954262</v>
      </c>
    </row>
    <row r="1081" spans="8:24" x14ac:dyDescent="0.35">
      <c r="H1081">
        <v>13</v>
      </c>
      <c r="I1081" t="s">
        <v>6</v>
      </c>
      <c r="J1081" t="s">
        <v>43</v>
      </c>
      <c r="K1081" t="s">
        <v>256</v>
      </c>
      <c r="L1081" t="s">
        <v>3</v>
      </c>
      <c r="M1081" t="s">
        <v>14</v>
      </c>
      <c r="N1081">
        <f t="shared" si="50"/>
        <v>11.47469461333448</v>
      </c>
      <c r="O1081" t="str">
        <f t="shared" si="51"/>
        <v/>
      </c>
      <c r="P1081" s="67" cm="1">
        <f t="array" ref="P1081">SUMPRODUCT((H1081=$H$7:$H$10000)*(N1081&lt;$N$7:$N$10000))+1</f>
        <v>23</v>
      </c>
      <c r="Q1081" s="72"/>
      <c r="R1081">
        <v>15</v>
      </c>
      <c r="S1081" t="str">
        <v>OGDC</v>
      </c>
      <c r="T1081" t="str">
        <v>Damien Hoyland</v>
      </c>
      <c r="U1081" t="str">
        <v>NULL</v>
      </c>
      <c r="V1081" t="str">
        <v>Away</v>
      </c>
      <c r="W1081" t="str">
        <v>NEFJ</v>
      </c>
      <c r="X1081">
        <v>11.440594167190886</v>
      </c>
    </row>
    <row r="1082" spans="8:24" x14ac:dyDescent="0.35">
      <c r="H1082">
        <v>13</v>
      </c>
      <c r="I1082" t="s">
        <v>17</v>
      </c>
      <c r="J1082" t="s">
        <v>492</v>
      </c>
      <c r="K1082" t="s">
        <v>256</v>
      </c>
      <c r="L1082" t="s">
        <v>9</v>
      </c>
      <c r="M1082" t="s">
        <v>13</v>
      </c>
      <c r="N1082">
        <f t="shared" si="50"/>
        <v>11.381970293880102</v>
      </c>
      <c r="O1082" t="str">
        <f t="shared" si="51"/>
        <v/>
      </c>
      <c r="P1082" s="67" cm="1">
        <f t="array" ref="P1082">SUMPRODUCT((H1082=$H$7:$H$10000)*(N1082&lt;$N$7:$N$10000))+1</f>
        <v>24</v>
      </c>
      <c r="Q1082" s="72"/>
      <c r="R1082">
        <v>15</v>
      </c>
      <c r="S1082" t="str">
        <v>ARC</v>
      </c>
      <c r="T1082" t="str">
        <v>Erich Storti</v>
      </c>
      <c r="U1082" t="str">
        <v>NULL</v>
      </c>
      <c r="V1082" t="str">
        <v>Home</v>
      </c>
      <c r="W1082" t="str">
        <v>CHI</v>
      </c>
      <c r="X1082">
        <v>11.363952546896613</v>
      </c>
    </row>
    <row r="1083" spans="8:24" x14ac:dyDescent="0.35">
      <c r="H1083">
        <v>13</v>
      </c>
      <c r="I1083" t="s">
        <v>6</v>
      </c>
      <c r="J1083" t="s">
        <v>454</v>
      </c>
      <c r="K1083" t="s">
        <v>256</v>
      </c>
      <c r="L1083" t="s">
        <v>3</v>
      </c>
      <c r="M1083" t="s">
        <v>14</v>
      </c>
      <c r="N1083">
        <f t="shared" si="50"/>
        <v>11.176028945684735</v>
      </c>
      <c r="O1083" t="str">
        <f t="shared" si="51"/>
        <v/>
      </c>
      <c r="P1083" s="67" cm="1">
        <f t="array" ref="P1083">SUMPRODUCT((H1083=$H$7:$H$10000)*(N1083&lt;$N$7:$N$10000))+1</f>
        <v>25</v>
      </c>
      <c r="Q1083" s="72"/>
      <c r="R1083">
        <v>15</v>
      </c>
      <c r="S1083" t="str">
        <v>NOLA</v>
      </c>
      <c r="T1083" t="str">
        <v>Xavier Mignot</v>
      </c>
      <c r="U1083" t="str">
        <v>NULL</v>
      </c>
      <c r="V1083" t="str">
        <v>Home</v>
      </c>
      <c r="W1083" t="str">
        <v>UTAH</v>
      </c>
      <c r="X1083">
        <v>11.22828380694942</v>
      </c>
    </row>
    <row r="1084" spans="8:24" x14ac:dyDescent="0.35">
      <c r="H1084">
        <v>13</v>
      </c>
      <c r="I1084" t="s">
        <v>24</v>
      </c>
      <c r="J1084" t="s">
        <v>446</v>
      </c>
      <c r="K1084" t="s">
        <v>256</v>
      </c>
      <c r="L1084" t="s">
        <v>9</v>
      </c>
      <c r="M1084" t="s">
        <v>4</v>
      </c>
      <c r="N1084">
        <f t="shared" si="50"/>
        <v>10.901363555073804</v>
      </c>
      <c r="O1084" t="str">
        <f t="shared" si="51"/>
        <v/>
      </c>
      <c r="P1084" s="67" cm="1">
        <f t="array" ref="P1084">SUMPRODUCT((H1084=$H$7:$H$10000)*(N1084&lt;$N$7:$N$10000))+1</f>
        <v>26</v>
      </c>
      <c r="Q1084" s="72"/>
      <c r="R1084">
        <v>15</v>
      </c>
      <c r="S1084" t="str">
        <v>ARC</v>
      </c>
      <c r="T1084" t="str">
        <v>Mitch Wilson</v>
      </c>
      <c r="U1084" t="str">
        <v>NULL</v>
      </c>
      <c r="V1084" t="str">
        <v>Home</v>
      </c>
      <c r="W1084" t="str">
        <v>CHI</v>
      </c>
      <c r="X1084">
        <v>10.97528329068232</v>
      </c>
    </row>
    <row r="1085" spans="8:24" x14ac:dyDescent="0.35">
      <c r="H1085">
        <v>13</v>
      </c>
      <c r="I1085" t="s">
        <v>23</v>
      </c>
      <c r="J1085" t="s">
        <v>46</v>
      </c>
      <c r="K1085" t="s">
        <v>256</v>
      </c>
      <c r="L1085" t="s">
        <v>3</v>
      </c>
      <c r="M1085" t="s">
        <v>2</v>
      </c>
      <c r="N1085">
        <f t="shared" si="50"/>
        <v>10.752995095800586</v>
      </c>
      <c r="O1085" t="str">
        <f t="shared" si="51"/>
        <v/>
      </c>
      <c r="P1085" s="67" cm="1">
        <f t="array" ref="P1085">SUMPRODUCT((H1085=$H$7:$H$10000)*(N1085&lt;$N$7:$N$10000))+1</f>
        <v>27</v>
      </c>
      <c r="Q1085" s="72"/>
      <c r="R1085">
        <v>15</v>
      </c>
      <c r="S1085" t="str">
        <v>NOLA</v>
      </c>
      <c r="T1085" t="str">
        <v>Ed Fidow</v>
      </c>
      <c r="U1085" t="str">
        <v>NULL</v>
      </c>
      <c r="V1085" t="str">
        <v>Home</v>
      </c>
      <c r="W1085" t="str">
        <v>UTAH</v>
      </c>
      <c r="X1085">
        <v>10.955916468510477</v>
      </c>
    </row>
    <row r="1086" spans="8:24" x14ac:dyDescent="0.35">
      <c r="H1086">
        <v>13</v>
      </c>
      <c r="I1086" t="s">
        <v>23</v>
      </c>
      <c r="J1086" t="s">
        <v>32</v>
      </c>
      <c r="K1086" t="s">
        <v>256</v>
      </c>
      <c r="L1086" t="s">
        <v>3</v>
      </c>
      <c r="M1086" t="s">
        <v>2</v>
      </c>
      <c r="N1086">
        <f t="shared" si="50"/>
        <v>10.572791134466716</v>
      </c>
      <c r="O1086" t="str">
        <f t="shared" si="51"/>
        <v/>
      </c>
      <c r="P1086" s="67" cm="1">
        <f t="array" ref="P1086">SUMPRODUCT((H1086=$H$7:$H$10000)*(N1086&lt;$N$7:$N$10000))+1</f>
        <v>28</v>
      </c>
      <c r="Q1086" s="72"/>
      <c r="R1086">
        <v>15</v>
      </c>
      <c r="S1086" t="str">
        <v>OGDC</v>
      </c>
      <c r="T1086" t="str">
        <v>Steffan Hughes</v>
      </c>
      <c r="U1086" t="str">
        <v>NULL</v>
      </c>
      <c r="V1086" t="str">
        <v>Away</v>
      </c>
      <c r="W1086" t="str">
        <v>NEFJ</v>
      </c>
      <c r="X1086">
        <v>10.752953106524833</v>
      </c>
    </row>
    <row r="1087" spans="8:24" x14ac:dyDescent="0.35">
      <c r="H1087">
        <v>13</v>
      </c>
      <c r="I1087" t="s">
        <v>6</v>
      </c>
      <c r="J1087" t="s">
        <v>451</v>
      </c>
      <c r="K1087" t="s">
        <v>256</v>
      </c>
      <c r="L1087" t="s">
        <v>3</v>
      </c>
      <c r="M1087" t="s">
        <v>14</v>
      </c>
      <c r="N1087">
        <f t="shared" si="50"/>
        <v>10.564733992698386</v>
      </c>
      <c r="O1087" t="str">
        <f t="shared" si="51"/>
        <v/>
      </c>
      <c r="P1087" s="67" cm="1">
        <f t="array" ref="P1087">SUMPRODUCT((H1087=$H$7:$H$10000)*(N1087&lt;$N$7:$N$10000))+1</f>
        <v>29</v>
      </c>
      <c r="Q1087" s="72"/>
      <c r="R1087">
        <v>15</v>
      </c>
      <c r="S1087" t="str">
        <v>ARC</v>
      </c>
      <c r="T1087" t="str">
        <v>Line Latu</v>
      </c>
      <c r="U1087" t="str">
        <v>NULL</v>
      </c>
      <c r="V1087" t="str">
        <v>Home</v>
      </c>
      <c r="W1087" t="str">
        <v>CHI</v>
      </c>
      <c r="X1087">
        <v>10.713688705119152</v>
      </c>
    </row>
    <row r="1088" spans="8:24" x14ac:dyDescent="0.35">
      <c r="H1088">
        <v>13</v>
      </c>
      <c r="I1088" t="s">
        <v>23</v>
      </c>
      <c r="J1088" t="s">
        <v>91</v>
      </c>
      <c r="K1088" t="s">
        <v>256</v>
      </c>
      <c r="L1088" t="s">
        <v>3</v>
      </c>
      <c r="M1088" t="s">
        <v>2</v>
      </c>
      <c r="N1088">
        <f t="shared" si="50"/>
        <v>10.530988943760788</v>
      </c>
      <c r="O1088" t="str">
        <f t="shared" si="51"/>
        <v/>
      </c>
      <c r="P1088" s="67" cm="1">
        <f t="array" ref="P1088">SUMPRODUCT((H1088=$H$7:$H$10000)*(N1088&lt;$N$7:$N$10000))+1</f>
        <v>30</v>
      </c>
      <c r="Q1088" s="72"/>
      <c r="R1088">
        <v>15</v>
      </c>
      <c r="S1088" t="str">
        <v>UTAH</v>
      </c>
      <c r="T1088" t="str">
        <v>D'Angelo Leuila</v>
      </c>
      <c r="U1088" t="str">
        <v>NULL</v>
      </c>
      <c r="V1088" t="str">
        <v>Away</v>
      </c>
      <c r="W1088" t="str">
        <v>NOLA</v>
      </c>
      <c r="X1088">
        <v>10.587541999611279</v>
      </c>
    </row>
    <row r="1089" spans="8:24" x14ac:dyDescent="0.35">
      <c r="H1089">
        <v>13</v>
      </c>
      <c r="I1089" t="s">
        <v>17</v>
      </c>
      <c r="J1089" t="s">
        <v>196</v>
      </c>
      <c r="K1089" t="s">
        <v>256</v>
      </c>
      <c r="L1089" t="s">
        <v>9</v>
      </c>
      <c r="M1089" t="s">
        <v>13</v>
      </c>
      <c r="N1089">
        <f t="shared" si="50"/>
        <v>10.526885028324278</v>
      </c>
      <c r="O1089" t="str">
        <f t="shared" si="51"/>
        <v/>
      </c>
      <c r="P1089" s="67" cm="1">
        <f t="array" ref="P1089">SUMPRODUCT((H1089=$H$7:$H$10000)*(N1089&lt;$N$7:$N$10000))+1</f>
        <v>31</v>
      </c>
      <c r="Q1089" s="72"/>
      <c r="R1089">
        <v>15</v>
      </c>
      <c r="S1089" t="str">
        <v>HOU</v>
      </c>
      <c r="T1089" t="str">
        <v>Dom Akina</v>
      </c>
      <c r="U1089" t="str">
        <v>NULL</v>
      </c>
      <c r="V1089" t="str">
        <v>Away</v>
      </c>
      <c r="W1089" t="str">
        <v>SEA</v>
      </c>
      <c r="X1089">
        <v>10.310615742295347</v>
      </c>
    </row>
    <row r="1090" spans="8:24" x14ac:dyDescent="0.35">
      <c r="H1090">
        <v>13</v>
      </c>
      <c r="I1090" t="s">
        <v>6</v>
      </c>
      <c r="J1090" t="s">
        <v>64</v>
      </c>
      <c r="K1090" t="s">
        <v>256</v>
      </c>
      <c r="L1090" t="s">
        <v>3</v>
      </c>
      <c r="M1090" t="s">
        <v>14</v>
      </c>
      <c r="N1090">
        <f t="shared" si="50"/>
        <v>10.523800447655187</v>
      </c>
      <c r="O1090" t="str">
        <f t="shared" si="51"/>
        <v/>
      </c>
      <c r="P1090" s="67" cm="1">
        <f t="array" ref="P1090">SUMPRODUCT((H1090=$H$7:$H$10000)*(N1090&lt;$N$7:$N$10000))+1</f>
        <v>32</v>
      </c>
      <c r="Q1090" s="72"/>
      <c r="R1090">
        <v>15</v>
      </c>
      <c r="S1090" t="str">
        <v>NOLA</v>
      </c>
      <c r="T1090" t="str">
        <v>JP Du Plessis</v>
      </c>
      <c r="U1090" t="str">
        <v>NULL</v>
      </c>
      <c r="V1090" t="str">
        <v>Home</v>
      </c>
      <c r="W1090" t="str">
        <v>UTAH</v>
      </c>
      <c r="X1090">
        <v>10.129727948830645</v>
      </c>
    </row>
    <row r="1091" spans="8:24" x14ac:dyDescent="0.35">
      <c r="H1091">
        <v>13</v>
      </c>
      <c r="I1091" t="s">
        <v>34</v>
      </c>
      <c r="J1091" t="s">
        <v>41</v>
      </c>
      <c r="K1091" t="s">
        <v>256</v>
      </c>
      <c r="L1091" t="s">
        <v>3</v>
      </c>
      <c r="M1091" t="s">
        <v>36</v>
      </c>
      <c r="N1091">
        <f t="shared" si="50"/>
        <v>10.484991918335595</v>
      </c>
      <c r="O1091" t="str">
        <f t="shared" si="51"/>
        <v/>
      </c>
      <c r="P1091" s="67" cm="1">
        <f t="array" ref="P1091">SUMPRODUCT((H1091=$H$7:$H$10000)*(N1091&lt;$N$7:$N$10000))+1</f>
        <v>33</v>
      </c>
      <c r="Q1091" s="72"/>
      <c r="R1091">
        <v>15</v>
      </c>
      <c r="S1091" t="str">
        <v>ARC</v>
      </c>
      <c r="T1091" t="str">
        <v>Karl Keane</v>
      </c>
      <c r="U1091" t="str">
        <v>NULL</v>
      </c>
      <c r="V1091" t="str">
        <v>Home</v>
      </c>
      <c r="W1091" t="str">
        <v>CHI</v>
      </c>
      <c r="X1091">
        <v>9.8038238335998678</v>
      </c>
    </row>
    <row r="1092" spans="8:24" x14ac:dyDescent="0.35">
      <c r="H1092">
        <v>13</v>
      </c>
      <c r="I1092" t="s">
        <v>4</v>
      </c>
      <c r="J1092" t="s">
        <v>493</v>
      </c>
      <c r="K1092" t="s">
        <v>256</v>
      </c>
      <c r="L1092" t="s">
        <v>3</v>
      </c>
      <c r="M1092" t="s">
        <v>24</v>
      </c>
      <c r="N1092">
        <f t="shared" si="50"/>
        <v>10.356101604087558</v>
      </c>
      <c r="O1092" t="str">
        <f t="shared" si="51"/>
        <v/>
      </c>
      <c r="P1092" s="67" cm="1">
        <f t="array" ref="P1092">SUMPRODUCT((H1092=$H$7:$H$10000)*(N1092&lt;$N$7:$N$10000))+1</f>
        <v>34</v>
      </c>
      <c r="Q1092" s="72"/>
      <c r="R1092">
        <v>15</v>
      </c>
      <c r="S1092" t="str">
        <v>OGDC</v>
      </c>
      <c r="T1092" t="str">
        <v>Jason Robertson</v>
      </c>
      <c r="U1092" t="str">
        <v>NULL</v>
      </c>
      <c r="V1092" t="str">
        <v>Away</v>
      </c>
      <c r="W1092" t="str">
        <v>NEFJ</v>
      </c>
      <c r="X1092">
        <v>9.732419866870103</v>
      </c>
    </row>
    <row r="1093" spans="8:24" x14ac:dyDescent="0.35">
      <c r="H1093">
        <v>13</v>
      </c>
      <c r="I1093" t="s">
        <v>2</v>
      </c>
      <c r="J1093" t="s">
        <v>449</v>
      </c>
      <c r="K1093" t="s">
        <v>256</v>
      </c>
      <c r="L1093" t="s">
        <v>9</v>
      </c>
      <c r="M1093" t="s">
        <v>23</v>
      </c>
      <c r="N1093">
        <f t="shared" si="50"/>
        <v>10.169678515301296</v>
      </c>
      <c r="O1093" t="str">
        <f t="shared" si="51"/>
        <v/>
      </c>
      <c r="P1093" s="67" cm="1">
        <f t="array" ref="P1093">SUMPRODUCT((H1093=$H$7:$H$10000)*(N1093&lt;$N$7:$N$10000))+1</f>
        <v>35</v>
      </c>
      <c r="Q1093" s="72"/>
      <c r="R1093">
        <v>15</v>
      </c>
      <c r="S1093" t="str">
        <v>HOU</v>
      </c>
      <c r="T1093" t="str">
        <v>Davy Coetzer</v>
      </c>
      <c r="U1093" t="str">
        <v>NULL</v>
      </c>
      <c r="V1093" t="str">
        <v>Away</v>
      </c>
      <c r="W1093" t="str">
        <v>SEA</v>
      </c>
      <c r="X1093">
        <v>9.7310563501805092</v>
      </c>
    </row>
    <row r="1094" spans="8:24" x14ac:dyDescent="0.35">
      <c r="H1094">
        <v>13</v>
      </c>
      <c r="I1094" t="s">
        <v>13</v>
      </c>
      <c r="J1094" t="s">
        <v>477</v>
      </c>
      <c r="K1094" t="s">
        <v>256</v>
      </c>
      <c r="L1094" t="s">
        <v>3</v>
      </c>
      <c r="M1094" t="s">
        <v>17</v>
      </c>
      <c r="N1094">
        <f t="shared" si="50"/>
        <v>10.079191915719505</v>
      </c>
      <c r="O1094" t="str">
        <f t="shared" si="51"/>
        <v/>
      </c>
      <c r="P1094" s="67" cm="1">
        <f t="array" ref="P1094">SUMPRODUCT((H1094=$H$7:$H$10000)*(N1094&lt;$N$7:$N$10000))+1</f>
        <v>36</v>
      </c>
      <c r="Q1094" s="72"/>
      <c r="R1094">
        <v>15</v>
      </c>
      <c r="S1094" t="str">
        <v>HOU</v>
      </c>
      <c r="T1094" t="str">
        <v>Jeremy Misailegalu</v>
      </c>
      <c r="U1094" t="str">
        <v>NULL</v>
      </c>
      <c r="V1094" t="str">
        <v>Away</v>
      </c>
      <c r="W1094" t="str">
        <v>SEA</v>
      </c>
      <c r="X1094">
        <v>9.7246698329605561</v>
      </c>
    </row>
    <row r="1095" spans="8:24" x14ac:dyDescent="0.35">
      <c r="H1095">
        <v>13</v>
      </c>
      <c r="I1095" t="s">
        <v>17</v>
      </c>
      <c r="J1095" t="s">
        <v>497</v>
      </c>
      <c r="K1095" t="s">
        <v>256</v>
      </c>
      <c r="L1095" t="s">
        <v>9</v>
      </c>
      <c r="M1095" t="s">
        <v>13</v>
      </c>
      <c r="N1095">
        <f t="shared" si="50"/>
        <v>10.077467276375279</v>
      </c>
      <c r="O1095" t="str">
        <f t="shared" si="51"/>
        <v/>
      </c>
      <c r="P1095" s="67" cm="1">
        <f t="array" ref="P1095">SUMPRODUCT((H1095=$H$7:$H$10000)*(N1095&lt;$N$7:$N$10000))+1</f>
        <v>37</v>
      </c>
      <c r="Q1095" s="72"/>
      <c r="R1095">
        <v>15</v>
      </c>
      <c r="S1095" t="str">
        <v>CHI</v>
      </c>
      <c r="T1095" t="str">
        <v>Ollie Devoto</v>
      </c>
      <c r="U1095" t="str">
        <v>NULL</v>
      </c>
      <c r="V1095" t="str">
        <v>Away</v>
      </c>
      <c r="W1095" t="str">
        <v>ARC</v>
      </c>
      <c r="X1095">
        <v>9.7077175561069975</v>
      </c>
    </row>
    <row r="1096" spans="8:24" x14ac:dyDescent="0.35">
      <c r="H1096">
        <v>13</v>
      </c>
      <c r="I1096" t="s">
        <v>17</v>
      </c>
      <c r="J1096" t="s">
        <v>37</v>
      </c>
      <c r="K1096" t="s">
        <v>256</v>
      </c>
      <c r="L1096" t="s">
        <v>9</v>
      </c>
      <c r="M1096" t="s">
        <v>13</v>
      </c>
      <c r="N1096">
        <f t="shared" si="50"/>
        <v>9.9593670997156849</v>
      </c>
      <c r="O1096" t="str">
        <f t="shared" si="51"/>
        <v/>
      </c>
      <c r="P1096" s="67" cm="1">
        <f t="array" ref="P1096">SUMPRODUCT((H1096=$H$7:$H$10000)*(N1096&lt;$N$7:$N$10000))+1</f>
        <v>38</v>
      </c>
      <c r="Q1096" s="72"/>
      <c r="R1096">
        <v>15</v>
      </c>
      <c r="S1096" t="str">
        <v>MIA</v>
      </c>
      <c r="T1096" t="str">
        <v>Matias Orlando</v>
      </c>
      <c r="U1096" t="str">
        <v>NULL</v>
      </c>
      <c r="V1096" t="str">
        <v>Away</v>
      </c>
      <c r="W1096" t="str">
        <v>LA</v>
      </c>
      <c r="X1096">
        <v>9.0801180701680089</v>
      </c>
    </row>
    <row r="1097" spans="8:24" x14ac:dyDescent="0.35">
      <c r="H1097">
        <v>13</v>
      </c>
      <c r="I1097" t="s">
        <v>4</v>
      </c>
      <c r="J1097" t="s">
        <v>188</v>
      </c>
      <c r="K1097" t="s">
        <v>256</v>
      </c>
      <c r="L1097" t="s">
        <v>3</v>
      </c>
      <c r="M1097" t="s">
        <v>24</v>
      </c>
      <c r="N1097">
        <f t="shared" si="50"/>
        <v>9.8581125006557127</v>
      </c>
      <c r="O1097" t="str">
        <f t="shared" si="51"/>
        <v/>
      </c>
      <c r="P1097" s="67" cm="1">
        <f t="array" ref="P1097">SUMPRODUCT((H1097=$H$7:$H$10000)*(N1097&lt;$N$7:$N$10000))+1</f>
        <v>39</v>
      </c>
      <c r="Q1097" s="72"/>
      <c r="R1097">
        <v>15</v>
      </c>
      <c r="S1097" t="str">
        <v>NEFJ</v>
      </c>
      <c r="T1097" t="str">
        <v>Jayson Potroz</v>
      </c>
      <c r="U1097" t="str">
        <v>NULL</v>
      </c>
      <c r="V1097" t="str">
        <v>Home</v>
      </c>
      <c r="W1097" t="str">
        <v>OGDC</v>
      </c>
      <c r="X1097">
        <v>8.9813189923616754</v>
      </c>
    </row>
    <row r="1098" spans="8:24" x14ac:dyDescent="0.35">
      <c r="H1098">
        <v>13</v>
      </c>
      <c r="I1098" t="s">
        <v>36</v>
      </c>
      <c r="J1098" t="s">
        <v>38</v>
      </c>
      <c r="K1098" t="s">
        <v>256</v>
      </c>
      <c r="L1098" t="s">
        <v>9</v>
      </c>
      <c r="M1098" t="s">
        <v>34</v>
      </c>
      <c r="N1098">
        <f t="shared" si="50"/>
        <v>9.7353204058231242</v>
      </c>
      <c r="O1098" t="str">
        <f t="shared" si="51"/>
        <v/>
      </c>
      <c r="P1098" s="67" cm="1">
        <f t="array" ref="P1098">SUMPRODUCT((H1098=$H$7:$H$10000)*(N1098&lt;$N$7:$N$10000))+1</f>
        <v>40</v>
      </c>
      <c r="Q1098" s="72"/>
      <c r="R1098">
        <v>15</v>
      </c>
      <c r="S1098" t="str">
        <v>CHI</v>
      </c>
      <c r="T1098" t="str">
        <v>Adriaan Carelse</v>
      </c>
      <c r="U1098" t="str">
        <v>NULL</v>
      </c>
      <c r="V1098" t="str">
        <v>Away</v>
      </c>
      <c r="W1098" t="str">
        <v>ARC</v>
      </c>
      <c r="X1098">
        <v>8.8164485203100824</v>
      </c>
    </row>
    <row r="1099" spans="8:24" x14ac:dyDescent="0.35">
      <c r="H1099">
        <v>13</v>
      </c>
      <c r="I1099" t="s">
        <v>4</v>
      </c>
      <c r="J1099" t="s">
        <v>452</v>
      </c>
      <c r="K1099" t="s">
        <v>256</v>
      </c>
      <c r="L1099" t="s">
        <v>3</v>
      </c>
      <c r="M1099" t="s">
        <v>24</v>
      </c>
      <c r="N1099">
        <f t="shared" si="50"/>
        <v>9.4107392530188285</v>
      </c>
      <c r="O1099" t="str">
        <f t="shared" si="51"/>
        <v/>
      </c>
      <c r="P1099" s="67" cm="1">
        <f t="array" ref="P1099">SUMPRODUCT((H1099=$H$7:$H$10000)*(N1099&lt;$N$7:$N$10000))+1</f>
        <v>41</v>
      </c>
      <c r="Q1099" s="72"/>
      <c r="R1099">
        <v>15</v>
      </c>
      <c r="S1099" t="str">
        <v>SEA</v>
      </c>
      <c r="T1099" t="str">
        <v>Eddie Fouche</v>
      </c>
      <c r="U1099" t="str">
        <v>NULL</v>
      </c>
      <c r="V1099" t="str">
        <v>Home</v>
      </c>
      <c r="W1099" t="str">
        <v>HOU</v>
      </c>
      <c r="X1099">
        <v>8.4995983653213507</v>
      </c>
    </row>
    <row r="1100" spans="8:24" x14ac:dyDescent="0.35">
      <c r="H1100">
        <v>13</v>
      </c>
      <c r="I1100" t="s">
        <v>34</v>
      </c>
      <c r="J1100" t="s">
        <v>100</v>
      </c>
      <c r="K1100" t="s">
        <v>256</v>
      </c>
      <c r="L1100" t="s">
        <v>3</v>
      </c>
      <c r="M1100" t="s">
        <v>36</v>
      </c>
      <c r="N1100">
        <f t="shared" ref="N1100:N1163" si="52">VLOOKUP($L1100,$F$3:$G$4,2,FALSE)+VLOOKUP($J1100,$A$20:$B$131,2,FALSE)+VLOOKUP($M1100,$A$6:$B$16,2,FALSE)</f>
        <v>9.3207026086540363</v>
      </c>
      <c r="O1100" t="str">
        <f t="shared" ref="O1100:O1163" si="53">IFERROR(($K1100-$N1100)^2,"")</f>
        <v/>
      </c>
      <c r="P1100" s="67" cm="1">
        <f t="array" ref="P1100">SUMPRODUCT((H1100=$H$7:$H$10000)*(N1100&lt;$N$7:$N$10000))+1</f>
        <v>42</v>
      </c>
      <c r="Q1100" s="72"/>
      <c r="R1100">
        <v>15</v>
      </c>
      <c r="S1100" t="str">
        <v>MIA</v>
      </c>
      <c r="T1100" t="str">
        <v>Guiseppe du Toit</v>
      </c>
      <c r="U1100" t="str">
        <v>NULL</v>
      </c>
      <c r="V1100" t="str">
        <v>Away</v>
      </c>
      <c r="W1100" t="str">
        <v>LA</v>
      </c>
      <c r="X1100">
        <v>8.2738197242517195</v>
      </c>
    </row>
    <row r="1101" spans="8:24" x14ac:dyDescent="0.35">
      <c r="H1101">
        <v>13</v>
      </c>
      <c r="I1101" t="s">
        <v>2</v>
      </c>
      <c r="J1101" t="s">
        <v>63</v>
      </c>
      <c r="K1101" t="s">
        <v>256</v>
      </c>
      <c r="L1101" t="s">
        <v>9</v>
      </c>
      <c r="M1101" t="s">
        <v>23</v>
      </c>
      <c r="N1101">
        <f t="shared" si="52"/>
        <v>9.2784094795043792</v>
      </c>
      <c r="O1101" t="str">
        <f t="shared" si="53"/>
        <v/>
      </c>
      <c r="P1101" s="67" cm="1">
        <f t="array" ref="P1101">SUMPRODUCT((H1101=$H$7:$H$10000)*(N1101&lt;$N$7:$N$10000))+1</f>
        <v>43</v>
      </c>
      <c r="Q1101" s="72"/>
      <c r="R1101">
        <v>15</v>
      </c>
      <c r="S1101" t="str">
        <v>UTAH</v>
      </c>
      <c r="T1101" t="str">
        <v>Jordan Trainor</v>
      </c>
      <c r="U1101" t="str">
        <v>NULL</v>
      </c>
      <c r="V1101" t="str">
        <v>Away</v>
      </c>
      <c r="W1101" t="str">
        <v>NOLA</v>
      </c>
      <c r="X1101">
        <v>8.0850478594808433</v>
      </c>
    </row>
    <row r="1102" spans="8:24" x14ac:dyDescent="0.35">
      <c r="H1102">
        <v>13</v>
      </c>
      <c r="I1102" t="s">
        <v>36</v>
      </c>
      <c r="J1102" t="s">
        <v>71</v>
      </c>
      <c r="K1102" t="s">
        <v>256</v>
      </c>
      <c r="L1102" t="s">
        <v>9</v>
      </c>
      <c r="M1102" t="s">
        <v>34</v>
      </c>
      <c r="N1102">
        <f t="shared" si="52"/>
        <v>9.1557610137082861</v>
      </c>
      <c r="O1102" t="str">
        <f t="shared" si="53"/>
        <v/>
      </c>
      <c r="P1102" s="67" cm="1">
        <f t="array" ref="P1102">SUMPRODUCT((H1102=$H$7:$H$10000)*(N1102&lt;$N$7:$N$10000))+1</f>
        <v>44</v>
      </c>
      <c r="Q1102" s="72"/>
      <c r="R1102">
        <v>15</v>
      </c>
      <c r="S1102" t="str">
        <v>CHI</v>
      </c>
      <c r="T1102" t="str">
        <v>Ben Pollack</v>
      </c>
      <c r="U1102" t="str">
        <v>NULL</v>
      </c>
      <c r="V1102" t="str">
        <v>Away</v>
      </c>
      <c r="W1102" t="str">
        <v>ARC</v>
      </c>
      <c r="X1102">
        <v>7.7890306795975146</v>
      </c>
    </row>
    <row r="1103" spans="8:24" x14ac:dyDescent="0.35">
      <c r="H1103">
        <v>13</v>
      </c>
      <c r="I1103" t="s">
        <v>36</v>
      </c>
      <c r="J1103" t="s">
        <v>78</v>
      </c>
      <c r="K1103" t="s">
        <v>256</v>
      </c>
      <c r="L1103" t="s">
        <v>9</v>
      </c>
      <c r="M1103" t="s">
        <v>34</v>
      </c>
      <c r="N1103">
        <f t="shared" si="52"/>
        <v>9.149374496488333</v>
      </c>
      <c r="O1103" t="str">
        <f t="shared" si="53"/>
        <v/>
      </c>
      <c r="P1103" s="67" cm="1">
        <f t="array" ref="P1103">SUMPRODUCT((H1103=$H$7:$H$10000)*(N1103&lt;$N$7:$N$10000))+1</f>
        <v>45</v>
      </c>
      <c r="Q1103" s="72"/>
      <c r="R1103">
        <v>15</v>
      </c>
      <c r="S1103" t="str">
        <v>NEFJ</v>
      </c>
      <c r="T1103" t="str">
        <v>Wayne van der Bank</v>
      </c>
      <c r="U1103" t="str">
        <v>NULL</v>
      </c>
      <c r="V1103" t="str">
        <v>Home</v>
      </c>
      <c r="W1103" t="str">
        <v>OGDC</v>
      </c>
      <c r="X1103">
        <v>7.7805285905800501</v>
      </c>
    </row>
    <row r="1104" spans="8:24" x14ac:dyDescent="0.35">
      <c r="H1104">
        <v>13</v>
      </c>
      <c r="I1104" t="s">
        <v>17</v>
      </c>
      <c r="J1104" t="s">
        <v>450</v>
      </c>
      <c r="K1104" t="s">
        <v>256</v>
      </c>
      <c r="L1104" t="s">
        <v>9</v>
      </c>
      <c r="M1104" t="s">
        <v>13</v>
      </c>
      <c r="N1104">
        <f t="shared" si="52"/>
        <v>8.957601684346459</v>
      </c>
      <c r="O1104" t="str">
        <f t="shared" si="53"/>
        <v/>
      </c>
      <c r="P1104" s="67" cm="1">
        <f t="array" ref="P1104">SUMPRODUCT((H1104=$H$7:$H$10000)*(N1104&lt;$N$7:$N$10000))+1</f>
        <v>46</v>
      </c>
      <c r="Q1104" s="72"/>
      <c r="R1104">
        <v>15</v>
      </c>
      <c r="S1104" t="str">
        <v>LA</v>
      </c>
      <c r="T1104" t="str">
        <v>Christian Dyer</v>
      </c>
      <c r="U1104" t="str">
        <v>NULL</v>
      </c>
      <c r="V1104" t="str">
        <v>Home</v>
      </c>
      <c r="W1104" t="str">
        <v>MIA</v>
      </c>
      <c r="X1104">
        <v>7.6816905023170508</v>
      </c>
    </row>
    <row r="1105" spans="8:24" x14ac:dyDescent="0.35">
      <c r="H1105">
        <v>13</v>
      </c>
      <c r="I1105" t="s">
        <v>24</v>
      </c>
      <c r="J1105" t="s">
        <v>84</v>
      </c>
      <c r="K1105" t="s">
        <v>256</v>
      </c>
      <c r="L1105" t="s">
        <v>9</v>
      </c>
      <c r="M1105" t="s">
        <v>4</v>
      </c>
      <c r="N1105">
        <f t="shared" si="52"/>
        <v>8.9225543900543212</v>
      </c>
      <c r="O1105" t="str">
        <f t="shared" si="53"/>
        <v/>
      </c>
      <c r="P1105" s="67" cm="1">
        <f t="array" ref="P1105">SUMPRODUCT((H1105=$H$7:$H$10000)*(N1105&lt;$N$7:$N$10000))+1</f>
        <v>47</v>
      </c>
      <c r="Q1105" s="72"/>
      <c r="R1105">
        <v>15</v>
      </c>
      <c r="S1105" t="str">
        <v>SEA</v>
      </c>
      <c r="T1105" t="str">
        <v>Rodney Iona</v>
      </c>
      <c r="U1105" t="str">
        <v>NULL</v>
      </c>
      <c r="V1105" t="str">
        <v>Home</v>
      </c>
      <c r="W1105" t="str">
        <v>HOU</v>
      </c>
      <c r="X1105">
        <v>7.6445130997655255</v>
      </c>
    </row>
    <row r="1106" spans="8:24" x14ac:dyDescent="0.35">
      <c r="H1106">
        <v>13</v>
      </c>
      <c r="I1106" t="s">
        <v>24</v>
      </c>
      <c r="J1106" t="s">
        <v>194</v>
      </c>
      <c r="K1106" t="s">
        <v>256</v>
      </c>
      <c r="L1106" t="s">
        <v>9</v>
      </c>
      <c r="M1106" t="s">
        <v>4</v>
      </c>
      <c r="N1106">
        <f t="shared" si="52"/>
        <v>8.891490522451825</v>
      </c>
      <c r="O1106" t="str">
        <f t="shared" si="53"/>
        <v/>
      </c>
      <c r="P1106" s="67" cm="1">
        <f t="array" ref="P1106">SUMPRODUCT((H1106=$H$7:$H$10000)*(N1106&lt;$N$7:$N$10000))+1</f>
        <v>48</v>
      </c>
      <c r="Q1106" s="72"/>
      <c r="R1106">
        <v>15</v>
      </c>
      <c r="S1106" t="str">
        <v>NEFJ</v>
      </c>
      <c r="T1106" t="str">
        <v>Le Roux Malan</v>
      </c>
      <c r="U1106" t="str">
        <v>NULL</v>
      </c>
      <c r="V1106" t="str">
        <v>Home</v>
      </c>
      <c r="W1106" t="str">
        <v>OGDC</v>
      </c>
      <c r="X1106">
        <v>7.6003246292461792</v>
      </c>
    </row>
    <row r="1107" spans="8:24" x14ac:dyDescent="0.35">
      <c r="H1107">
        <v>13</v>
      </c>
      <c r="I1107" t="s">
        <v>24</v>
      </c>
      <c r="J1107" t="s">
        <v>101</v>
      </c>
      <c r="K1107" t="s">
        <v>256</v>
      </c>
      <c r="L1107" t="s">
        <v>9</v>
      </c>
      <c r="M1107" t="s">
        <v>4</v>
      </c>
      <c r="N1107">
        <f t="shared" si="52"/>
        <v>8.7410661280652047</v>
      </c>
      <c r="O1107" t="str">
        <f t="shared" si="53"/>
        <v/>
      </c>
      <c r="P1107" s="67" cm="1">
        <f t="array" ref="P1107">SUMPRODUCT((H1107=$H$7:$H$10000)*(N1107&lt;$N$7:$N$10000))+1</f>
        <v>49</v>
      </c>
      <c r="Q1107" s="72"/>
      <c r="R1107">
        <v>15</v>
      </c>
      <c r="S1107" t="str">
        <v>NEFJ</v>
      </c>
      <c r="T1107" t="str">
        <v>Paula Balekana</v>
      </c>
      <c r="U1107" t="str">
        <v>NULL</v>
      </c>
      <c r="V1107" t="str">
        <v>Home</v>
      </c>
      <c r="W1107" t="str">
        <v>OGDC</v>
      </c>
      <c r="X1107">
        <v>7.5585224385402512</v>
      </c>
    </row>
    <row r="1108" spans="8:24" x14ac:dyDescent="0.35">
      <c r="H1108">
        <v>13</v>
      </c>
      <c r="I1108" t="s">
        <v>24</v>
      </c>
      <c r="J1108" t="s">
        <v>487</v>
      </c>
      <c r="K1108" t="s">
        <v>256</v>
      </c>
      <c r="L1108" t="s">
        <v>9</v>
      </c>
      <c r="M1108" t="s">
        <v>4</v>
      </c>
      <c r="N1108">
        <f t="shared" si="52"/>
        <v>8.5720432808305187</v>
      </c>
      <c r="O1108" t="str">
        <f t="shared" si="53"/>
        <v/>
      </c>
      <c r="P1108" s="67" cm="1">
        <f t="array" ref="P1108">SUMPRODUCT((H1108=$H$7:$H$10000)*(N1108&lt;$N$7:$N$10000))+1</f>
        <v>50</v>
      </c>
      <c r="Q1108" s="72"/>
      <c r="R1108">
        <v>15</v>
      </c>
      <c r="S1108" t="str">
        <v>HOU</v>
      </c>
      <c r="T1108" t="str">
        <v>AJ Alatimu</v>
      </c>
      <c r="U1108" t="str">
        <v>NULL</v>
      </c>
      <c r="V1108" t="str">
        <v>Away</v>
      </c>
      <c r="W1108" t="str">
        <v>SEA</v>
      </c>
      <c r="X1108">
        <v>7.3956457559268021</v>
      </c>
    </row>
    <row r="1109" spans="8:24" x14ac:dyDescent="0.35">
      <c r="H1109">
        <v>13</v>
      </c>
      <c r="I1109" t="s">
        <v>24</v>
      </c>
      <c r="J1109" t="s">
        <v>439</v>
      </c>
      <c r="K1109" t="s">
        <v>256</v>
      </c>
      <c r="L1109" t="s">
        <v>9</v>
      </c>
      <c r="M1109" t="s">
        <v>4</v>
      </c>
      <c r="N1109">
        <f t="shared" si="52"/>
        <v>8.4013546423425218</v>
      </c>
      <c r="O1109" t="str">
        <f t="shared" si="53"/>
        <v/>
      </c>
      <c r="P1109" s="67" cm="1">
        <f t="array" ref="P1109">SUMPRODUCT((H1109=$H$7:$H$10000)*(N1109&lt;$N$7:$N$10000))+1</f>
        <v>51</v>
      </c>
      <c r="Q1109" s="72"/>
      <c r="R1109">
        <v>15</v>
      </c>
      <c r="S1109" t="str">
        <v>NOLA</v>
      </c>
      <c r="T1109" t="str">
        <v>Luke Carty</v>
      </c>
      <c r="U1109" t="str">
        <v>NULL</v>
      </c>
      <c r="V1109" t="str">
        <v>Home</v>
      </c>
      <c r="W1109" t="str">
        <v>UTAH</v>
      </c>
      <c r="X1109">
        <v>7.3900183621455682</v>
      </c>
    </row>
    <row r="1110" spans="8:24" x14ac:dyDescent="0.35">
      <c r="H1110">
        <v>13</v>
      </c>
      <c r="I1110" t="s">
        <v>2</v>
      </c>
      <c r="J1110" t="s">
        <v>455</v>
      </c>
      <c r="K1110" t="s">
        <v>256</v>
      </c>
      <c r="L1110" t="s">
        <v>9</v>
      </c>
      <c r="M1110" t="s">
        <v>23</v>
      </c>
      <c r="N1110">
        <f t="shared" si="52"/>
        <v>8.2509916387918132</v>
      </c>
      <c r="O1110" t="str">
        <f t="shared" si="53"/>
        <v/>
      </c>
      <c r="P1110" s="67" cm="1">
        <f t="array" ref="P1110">SUMPRODUCT((H1110=$H$7:$H$10000)*(N1110&lt;$N$7:$N$10000))+1</f>
        <v>52</v>
      </c>
      <c r="Q1110" s="72"/>
      <c r="R1110">
        <v>15</v>
      </c>
      <c r="S1110" t="str">
        <v>SEA</v>
      </c>
      <c r="T1110" t="str">
        <v>Duncan Matthews</v>
      </c>
      <c r="U1110" t="str">
        <v>NULL</v>
      </c>
      <c r="V1110" t="str">
        <v>Home</v>
      </c>
      <c r="W1110" t="str">
        <v>HOU</v>
      </c>
      <c r="X1110">
        <v>7.195095347816526</v>
      </c>
    </row>
    <row r="1111" spans="8:24" x14ac:dyDescent="0.35">
      <c r="H1111">
        <v>13</v>
      </c>
      <c r="I1111" t="s">
        <v>14</v>
      </c>
      <c r="J1111" t="s">
        <v>285</v>
      </c>
      <c r="K1111" t="s">
        <v>256</v>
      </c>
      <c r="L1111" t="s">
        <v>9</v>
      </c>
      <c r="M1111" t="s">
        <v>6</v>
      </c>
      <c r="N1111">
        <f t="shared" si="52"/>
        <v>8.0055735476872378</v>
      </c>
      <c r="O1111" t="str">
        <f t="shared" si="53"/>
        <v/>
      </c>
      <c r="P1111" s="67" cm="1">
        <f t="array" ref="P1111">SUMPRODUCT((H1111=$H$7:$H$10000)*(N1111&lt;$N$7:$N$10000))+1</f>
        <v>53</v>
      </c>
      <c r="Q1111" s="72"/>
      <c r="R1111">
        <v>15</v>
      </c>
      <c r="S1111" t="str">
        <v>CHI</v>
      </c>
      <c r="T1111" t="str">
        <v>Bryce Campbell</v>
      </c>
      <c r="U1111" t="str">
        <v>NULL</v>
      </c>
      <c r="V1111" t="str">
        <v>Away</v>
      </c>
      <c r="W1111" t="str">
        <v>ARC</v>
      </c>
      <c r="X1111">
        <v>7.1581442923458312</v>
      </c>
    </row>
    <row r="1112" spans="8:24" x14ac:dyDescent="0.35">
      <c r="H1112">
        <v>13</v>
      </c>
      <c r="I1112" t="s">
        <v>13</v>
      </c>
      <c r="J1112" t="s">
        <v>478</v>
      </c>
      <c r="K1112" t="s">
        <v>256</v>
      </c>
      <c r="L1112" t="s">
        <v>3</v>
      </c>
      <c r="M1112" t="s">
        <v>17</v>
      </c>
      <c r="N1112">
        <f t="shared" si="52"/>
        <v>7.9953742382337989</v>
      </c>
      <c r="O1112" t="str">
        <f t="shared" si="53"/>
        <v/>
      </c>
      <c r="P1112" s="67" cm="1">
        <f t="array" ref="P1112">SUMPRODUCT((H1112=$H$7:$H$10000)*(N1112&lt;$N$7:$N$10000))+1</f>
        <v>54</v>
      </c>
      <c r="Q1112" s="72"/>
      <c r="R1112">
        <v>15</v>
      </c>
      <c r="S1112" t="str">
        <v>SEA</v>
      </c>
      <c r="T1112" t="str">
        <v>Divan Rossouw</v>
      </c>
      <c r="U1112" t="str">
        <v>NULL</v>
      </c>
      <c r="V1112" t="str">
        <v>Home</v>
      </c>
      <c r="W1112" t="str">
        <v>HOU</v>
      </c>
      <c r="X1112">
        <v>7.0769951711569332</v>
      </c>
    </row>
    <row r="1113" spans="8:24" x14ac:dyDescent="0.35">
      <c r="H1113">
        <v>13</v>
      </c>
      <c r="I1113" t="s">
        <v>34</v>
      </c>
      <c r="J1113" t="s">
        <v>52</v>
      </c>
      <c r="K1113" t="s">
        <v>256</v>
      </c>
      <c r="L1113" t="s">
        <v>3</v>
      </c>
      <c r="M1113" t="s">
        <v>36</v>
      </c>
      <c r="N1113">
        <f t="shared" si="52"/>
        <v>7.9923720051462901</v>
      </c>
      <c r="O1113" t="str">
        <f t="shared" si="53"/>
        <v/>
      </c>
      <c r="P1113" s="67" cm="1">
        <f t="array" ref="P1113">SUMPRODUCT((H1113=$H$7:$H$10000)*(N1113&lt;$N$7:$N$10000))+1</f>
        <v>55</v>
      </c>
      <c r="Q1113" s="72"/>
      <c r="R1113">
        <v>15</v>
      </c>
      <c r="S1113" t="str">
        <v>NOLA</v>
      </c>
      <c r="T1113" t="str">
        <v>Dorian Jones</v>
      </c>
      <c r="U1113" t="str">
        <v>NULL</v>
      </c>
      <c r="V1113" t="str">
        <v>Home</v>
      </c>
      <c r="W1113" t="str">
        <v>UTAH</v>
      </c>
      <c r="X1113">
        <v>6.8920292587137233</v>
      </c>
    </row>
    <row r="1114" spans="8:24" x14ac:dyDescent="0.35">
      <c r="H1114">
        <v>13</v>
      </c>
      <c r="I1114" t="s">
        <v>17</v>
      </c>
      <c r="J1114" t="s">
        <v>81</v>
      </c>
      <c r="K1114" t="s">
        <v>256</v>
      </c>
      <c r="L1114" t="s">
        <v>9</v>
      </c>
      <c r="M1114" t="s">
        <v>13</v>
      </c>
      <c r="N1114">
        <f t="shared" si="52"/>
        <v>7.9395317842216597</v>
      </c>
      <c r="O1114" t="str">
        <f t="shared" si="53"/>
        <v/>
      </c>
      <c r="P1114" s="67" cm="1">
        <f t="array" ref="P1114">SUMPRODUCT((H1114=$H$7:$H$10000)*(N1114&lt;$N$7:$N$10000))+1</f>
        <v>56</v>
      </c>
      <c r="Q1114" s="72"/>
      <c r="R1114">
        <v>15</v>
      </c>
      <c r="S1114" t="str">
        <v>NOLA</v>
      </c>
      <c r="T1114" t="str">
        <v>Isaac Te Tamaki</v>
      </c>
      <c r="U1114" t="str">
        <v>NULL</v>
      </c>
      <c r="V1114" t="str">
        <v>Home</v>
      </c>
      <c r="W1114" t="str">
        <v>UTAH</v>
      </c>
      <c r="X1114">
        <v>6.4446560110768383</v>
      </c>
    </row>
    <row r="1115" spans="8:24" x14ac:dyDescent="0.35">
      <c r="H1115">
        <v>13</v>
      </c>
      <c r="I1115" t="s">
        <v>34</v>
      </c>
      <c r="J1115" t="s">
        <v>192</v>
      </c>
      <c r="K1115" t="s">
        <v>256</v>
      </c>
      <c r="L1115" t="s">
        <v>3</v>
      </c>
      <c r="M1115" t="s">
        <v>36</v>
      </c>
      <c r="N1115">
        <f t="shared" si="52"/>
        <v>7.8335937440073158</v>
      </c>
      <c r="O1115" t="str">
        <f t="shared" si="53"/>
        <v/>
      </c>
      <c r="P1115" s="67" cm="1">
        <f t="array" ref="P1115">SUMPRODUCT((H1115=$H$7:$H$10000)*(N1115&lt;$N$7:$N$10000))+1</f>
        <v>57</v>
      </c>
      <c r="Q1115" s="72"/>
      <c r="R1115">
        <v>15</v>
      </c>
      <c r="S1115" t="str">
        <v>CHI</v>
      </c>
      <c r="T1115" t="str">
        <v>Mitch Short</v>
      </c>
      <c r="U1115" t="str">
        <v>NULL</v>
      </c>
      <c r="V1115" t="str">
        <v>Away</v>
      </c>
      <c r="W1115" t="str">
        <v>ARC</v>
      </c>
      <c r="X1115">
        <v>6.2914525770044527</v>
      </c>
    </row>
    <row r="1116" spans="8:24" x14ac:dyDescent="0.35">
      <c r="H1116">
        <v>13</v>
      </c>
      <c r="I1116" t="s">
        <v>34</v>
      </c>
      <c r="J1116" t="s">
        <v>496</v>
      </c>
      <c r="K1116" t="s">
        <v>256</v>
      </c>
      <c r="L1116" t="s">
        <v>3</v>
      </c>
      <c r="M1116" t="s">
        <v>36</v>
      </c>
      <c r="N1116">
        <f t="shared" si="52"/>
        <v>7.6764848866072608</v>
      </c>
      <c r="O1116" t="str">
        <f t="shared" si="53"/>
        <v/>
      </c>
      <c r="P1116" s="67" cm="1">
        <f t="array" ref="P1116">SUMPRODUCT((H1116=$H$7:$H$10000)*(N1116&lt;$N$7:$N$10000))+1</f>
        <v>58</v>
      </c>
      <c r="Q1116" s="72"/>
      <c r="R1116">
        <v>15</v>
      </c>
      <c r="S1116" t="str">
        <v>SEA</v>
      </c>
      <c r="T1116" t="str">
        <v>Mikaela Kruse</v>
      </c>
      <c r="U1116" t="str">
        <v>NULL</v>
      </c>
      <c r="V1116" t="str">
        <v>Home</v>
      </c>
      <c r="W1116" t="str">
        <v>HOU</v>
      </c>
      <c r="X1116">
        <v>6.0752297557877073</v>
      </c>
    </row>
    <row r="1117" spans="8:24" x14ac:dyDescent="0.35">
      <c r="H1117">
        <v>13</v>
      </c>
      <c r="I1117" t="s">
        <v>2</v>
      </c>
      <c r="J1117" t="s">
        <v>44</v>
      </c>
      <c r="K1117" t="s">
        <v>256</v>
      </c>
      <c r="L1117" t="s">
        <v>9</v>
      </c>
      <c r="M1117" t="s">
        <v>23</v>
      </c>
      <c r="N1117">
        <f t="shared" si="52"/>
        <v>7.6201052515401297</v>
      </c>
      <c r="O1117" t="str">
        <f t="shared" si="53"/>
        <v/>
      </c>
      <c r="P1117" s="67" cm="1">
        <f t="array" ref="P1117">SUMPRODUCT((H1117=$H$7:$H$10000)*(N1117&lt;$N$7:$N$10000))+1</f>
        <v>59</v>
      </c>
      <c r="Q1117" s="72"/>
      <c r="R1117">
        <v>15</v>
      </c>
      <c r="S1117" t="str">
        <v>UTAH</v>
      </c>
      <c r="T1117" t="str">
        <v>Blake Makiri</v>
      </c>
      <c r="U1117" t="str">
        <v>NULL</v>
      </c>
      <c r="V1117" t="str">
        <v>Away</v>
      </c>
      <c r="W1117" t="str">
        <v>NOLA</v>
      </c>
      <c r="X1117">
        <v>6.0012301819951368</v>
      </c>
    </row>
    <row r="1118" spans="8:24" x14ac:dyDescent="0.35">
      <c r="H1118">
        <v>13</v>
      </c>
      <c r="I1118" t="s">
        <v>24</v>
      </c>
      <c r="J1118" t="s">
        <v>96</v>
      </c>
      <c r="K1118" t="s">
        <v>256</v>
      </c>
      <c r="L1118" t="s">
        <v>9</v>
      </c>
      <c r="M1118" t="s">
        <v>4</v>
      </c>
      <c r="N1118">
        <f t="shared" si="52"/>
        <v>7.6013413826837368</v>
      </c>
      <c r="O1118" t="str">
        <f t="shared" si="53"/>
        <v/>
      </c>
      <c r="P1118" s="67" cm="1">
        <f t="array" ref="P1118">SUMPRODUCT((H1118=$H$7:$H$10000)*(N1118&lt;$N$7:$N$10000))+1</f>
        <v>60</v>
      </c>
      <c r="Q1118" s="72"/>
      <c r="R1118">
        <v>15</v>
      </c>
      <c r="S1118" t="str">
        <v>MIA</v>
      </c>
      <c r="T1118" t="str">
        <v>Connor Burns</v>
      </c>
      <c r="U1118" t="str">
        <v>NULL</v>
      </c>
      <c r="V1118" t="str">
        <v>Away</v>
      </c>
      <c r="W1118" t="str">
        <v>LA</v>
      </c>
      <c r="X1118">
        <v>5.9512245898976692</v>
      </c>
    </row>
    <row r="1119" spans="8:24" x14ac:dyDescent="0.35">
      <c r="H1119">
        <v>13</v>
      </c>
      <c r="I1119" t="s">
        <v>14</v>
      </c>
      <c r="J1119" t="s">
        <v>11</v>
      </c>
      <c r="K1119" t="s">
        <v>256</v>
      </c>
      <c r="L1119" t="s">
        <v>9</v>
      </c>
      <c r="M1119" t="s">
        <v>6</v>
      </c>
      <c r="N1119">
        <f t="shared" si="52"/>
        <v>7.3556167689745173</v>
      </c>
      <c r="O1119" t="str">
        <f t="shared" si="53"/>
        <v/>
      </c>
      <c r="P1119" s="67" cm="1">
        <f t="array" ref="P1119">SUMPRODUCT((H1119=$H$7:$H$10000)*(N1119&lt;$N$7:$N$10000))+1</f>
        <v>61</v>
      </c>
      <c r="Q1119" s="72"/>
      <c r="R1119">
        <v>15</v>
      </c>
      <c r="S1119" t="str">
        <v>HOU</v>
      </c>
      <c r="T1119" t="str">
        <v>Rufus McLean</v>
      </c>
      <c r="U1119" t="str">
        <v>NULL</v>
      </c>
      <c r="V1119" t="str">
        <v>Away</v>
      </c>
      <c r="W1119" t="str">
        <v>SEA</v>
      </c>
      <c r="X1119">
        <v>5.916303391677193</v>
      </c>
    </row>
    <row r="1120" spans="8:24" x14ac:dyDescent="0.35">
      <c r="H1120">
        <v>13</v>
      </c>
      <c r="I1120" t="s">
        <v>13</v>
      </c>
      <c r="J1120" t="s">
        <v>53</v>
      </c>
      <c r="K1120" t="s">
        <v>256</v>
      </c>
      <c r="L1120" t="s">
        <v>3</v>
      </c>
      <c r="M1120" t="s">
        <v>17</v>
      </c>
      <c r="N1120">
        <f t="shared" si="52"/>
        <v>7.342123311223971</v>
      </c>
      <c r="O1120" t="str">
        <f t="shared" si="53"/>
        <v/>
      </c>
      <c r="P1120" s="67" cm="1">
        <f t="array" ref="P1120">SUMPRODUCT((H1120=$H$7:$H$10000)*(N1120&lt;$N$7:$N$10000))+1</f>
        <v>62</v>
      </c>
      <c r="Q1120" s="72"/>
      <c r="R1120">
        <v>15</v>
      </c>
      <c r="S1120" t="str">
        <v>HOU</v>
      </c>
      <c r="T1120" t="str">
        <v>Max Schumacher</v>
      </c>
      <c r="U1120" t="str">
        <v>NULL</v>
      </c>
      <c r="V1120" t="str">
        <v>Away</v>
      </c>
      <c r="W1120" t="str">
        <v>SEA</v>
      </c>
      <c r="X1120">
        <v>5.7694702315142115</v>
      </c>
    </row>
    <row r="1121" spans="8:24" x14ac:dyDescent="0.35">
      <c r="H1121">
        <v>13</v>
      </c>
      <c r="I1121" t="s">
        <v>4</v>
      </c>
      <c r="J1121" t="s">
        <v>475</v>
      </c>
      <c r="K1121" t="s">
        <v>256</v>
      </c>
      <c r="L1121" t="s">
        <v>3</v>
      </c>
      <c r="M1121" t="s">
        <v>24</v>
      </c>
      <c r="N1121">
        <f t="shared" si="52"/>
        <v>6.9963389438931305</v>
      </c>
      <c r="O1121" t="str">
        <f t="shared" si="53"/>
        <v/>
      </c>
      <c r="P1121" s="67" cm="1">
        <f t="array" ref="P1121">SUMPRODUCT((H1121=$H$7:$H$10000)*(N1121&lt;$N$7:$N$10000))+1</f>
        <v>63</v>
      </c>
      <c r="Q1121" s="72"/>
      <c r="R1121">
        <v>15</v>
      </c>
      <c r="S1121" t="str">
        <v>ARC</v>
      </c>
      <c r="T1121" t="str">
        <v>Jason Tidwell</v>
      </c>
      <c r="U1121" t="str">
        <v>NULL</v>
      </c>
      <c r="V1121" t="str">
        <v>Home</v>
      </c>
      <c r="W1121" t="str">
        <v>CHI</v>
      </c>
      <c r="X1121">
        <v>5.7616152293232243</v>
      </c>
    </row>
    <row r="1122" spans="8:24" x14ac:dyDescent="0.35">
      <c r="H1122">
        <v>13</v>
      </c>
      <c r="I1122" t="s">
        <v>36</v>
      </c>
      <c r="J1122" t="s">
        <v>491</v>
      </c>
      <c r="K1122" t="s">
        <v>256</v>
      </c>
      <c r="L1122" t="s">
        <v>9</v>
      </c>
      <c r="M1122" t="s">
        <v>34</v>
      </c>
      <c r="N1122">
        <f t="shared" si="52"/>
        <v>6.820350419454579</v>
      </c>
      <c r="O1122" t="str">
        <f t="shared" si="53"/>
        <v/>
      </c>
      <c r="P1122" s="67" cm="1">
        <f t="array" ref="P1122">SUMPRODUCT((H1122=$H$7:$H$10000)*(N1122&lt;$N$7:$N$10000))+1</f>
        <v>64</v>
      </c>
      <c r="Q1122" s="72"/>
      <c r="R1122">
        <v>15</v>
      </c>
      <c r="S1122" t="str">
        <v>UTAH</v>
      </c>
      <c r="T1122" t="str">
        <v>Spencer Jones</v>
      </c>
      <c r="U1122" t="str">
        <v>NULL</v>
      </c>
      <c r="V1122" t="str">
        <v>Away</v>
      </c>
      <c r="W1122" t="str">
        <v>NOLA</v>
      </c>
      <c r="X1122">
        <v>5.347979254985308</v>
      </c>
    </row>
    <row r="1123" spans="8:24" x14ac:dyDescent="0.35">
      <c r="H1123">
        <v>13</v>
      </c>
      <c r="I1123" t="s">
        <v>2</v>
      </c>
      <c r="J1123" t="s">
        <v>441</v>
      </c>
      <c r="K1123" t="s">
        <v>256</v>
      </c>
      <c r="L1123" t="s">
        <v>9</v>
      </c>
      <c r="M1123" t="s">
        <v>23</v>
      </c>
      <c r="N1123">
        <f t="shared" si="52"/>
        <v>6.7534135361987513</v>
      </c>
      <c r="O1123" t="str">
        <f t="shared" si="53"/>
        <v/>
      </c>
      <c r="P1123" s="67" cm="1">
        <f t="array" ref="P1123">SUMPRODUCT((H1123=$H$7:$H$10000)*(N1123&lt;$N$7:$N$10000))+1</f>
        <v>65</v>
      </c>
      <c r="Q1123" s="72"/>
      <c r="R1123">
        <v>15</v>
      </c>
      <c r="S1123" t="str">
        <v>ARC</v>
      </c>
      <c r="T1123" t="str">
        <v>Junior Gafa</v>
      </c>
      <c r="U1123" t="str">
        <v>NULL</v>
      </c>
      <c r="V1123" t="str">
        <v>Home</v>
      </c>
      <c r="W1123" t="str">
        <v>CHI</v>
      </c>
      <c r="X1123">
        <v>5.1116584506105038</v>
      </c>
    </row>
    <row r="1124" spans="8:24" x14ac:dyDescent="0.35">
      <c r="H1124">
        <v>13</v>
      </c>
      <c r="I1124" t="s">
        <v>34</v>
      </c>
      <c r="J1124" t="s">
        <v>440</v>
      </c>
      <c r="K1124" t="s">
        <v>256</v>
      </c>
      <c r="L1124" t="s">
        <v>3</v>
      </c>
      <c r="M1124" t="s">
        <v>36</v>
      </c>
      <c r="N1124">
        <f t="shared" si="52"/>
        <v>6.5585549954403293</v>
      </c>
      <c r="O1124" t="str">
        <f t="shared" si="53"/>
        <v/>
      </c>
      <c r="P1124" s="67" cm="1">
        <f t="array" ref="P1124">SUMPRODUCT((H1124=$H$7:$H$10000)*(N1124&lt;$N$7:$N$10000))+1</f>
        <v>66</v>
      </c>
      <c r="Q1124" s="72"/>
      <c r="R1124">
        <v>15</v>
      </c>
      <c r="S1124" t="str">
        <v>SEA</v>
      </c>
      <c r="T1124" t="str">
        <v>JP Smith</v>
      </c>
      <c r="U1124" t="str">
        <v>NULL</v>
      </c>
      <c r="V1124" t="str">
        <v>Home</v>
      </c>
      <c r="W1124" t="str">
        <v>HOU</v>
      </c>
      <c r="X1124">
        <v>5.057159855662908</v>
      </c>
    </row>
    <row r="1125" spans="8:24" x14ac:dyDescent="0.35">
      <c r="H1125">
        <v>13</v>
      </c>
      <c r="I1125" t="s">
        <v>17</v>
      </c>
      <c r="J1125" t="s">
        <v>82</v>
      </c>
      <c r="K1125" t="s">
        <v>256</v>
      </c>
      <c r="L1125" t="s">
        <v>9</v>
      </c>
      <c r="M1125" t="s">
        <v>13</v>
      </c>
      <c r="N1125">
        <f t="shared" si="52"/>
        <v>6.5446559409059768</v>
      </c>
      <c r="O1125" t="str">
        <f t="shared" si="53"/>
        <v/>
      </c>
      <c r="P1125" s="67" cm="1">
        <f t="array" ref="P1125">SUMPRODUCT((H1125=$H$7:$H$10000)*(N1125&lt;$N$7:$N$10000))+1</f>
        <v>67</v>
      </c>
      <c r="Q1125" s="72"/>
      <c r="R1125">
        <v>15</v>
      </c>
      <c r="S1125" t="str">
        <v>HOU</v>
      </c>
      <c r="T1125" t="str">
        <v>Tautalatasi Tasi</v>
      </c>
      <c r="U1125" t="str">
        <v>NULL</v>
      </c>
      <c r="V1125" t="str">
        <v>Away</v>
      </c>
      <c r="W1125" t="str">
        <v>SEA</v>
      </c>
      <c r="X1125">
        <v>4.4941174952726497</v>
      </c>
    </row>
    <row r="1126" spans="8:24" x14ac:dyDescent="0.35">
      <c r="H1126">
        <v>13</v>
      </c>
      <c r="I1126" t="s">
        <v>34</v>
      </c>
      <c r="J1126" t="s">
        <v>39</v>
      </c>
      <c r="K1126" t="s">
        <v>256</v>
      </c>
      <c r="L1126" t="s">
        <v>3</v>
      </c>
      <c r="M1126" t="s">
        <v>36</v>
      </c>
      <c r="N1126">
        <f t="shared" si="52"/>
        <v>6.4634837267422887</v>
      </c>
      <c r="O1126" t="str">
        <f t="shared" si="53"/>
        <v/>
      </c>
      <c r="P1126" s="67" cm="1">
        <f t="array" ref="P1126">SUMPRODUCT((H1126=$H$7:$H$10000)*(N1126&lt;$N$7:$N$10000))+1</f>
        <v>68</v>
      </c>
      <c r="Q1126" s="72"/>
      <c r="R1126">
        <v>15</v>
      </c>
      <c r="S1126" t="str">
        <v>CHI</v>
      </c>
      <c r="T1126" t="str">
        <v>Noah Brown</v>
      </c>
      <c r="U1126" t="str">
        <v>NULL</v>
      </c>
      <c r="V1126" t="str">
        <v>Away</v>
      </c>
      <c r="W1126" t="str">
        <v>ARC</v>
      </c>
      <c r="X1126">
        <v>4.3596053406645261</v>
      </c>
    </row>
    <row r="1127" spans="8:24" x14ac:dyDescent="0.35">
      <c r="H1127">
        <v>13</v>
      </c>
      <c r="I1127" t="s">
        <v>23</v>
      </c>
      <c r="J1127" t="s">
        <v>498</v>
      </c>
      <c r="K1127" t="s">
        <v>256</v>
      </c>
      <c r="L1127" t="s">
        <v>3</v>
      </c>
      <c r="M1127" t="s">
        <v>2</v>
      </c>
      <c r="N1127">
        <f t="shared" si="52"/>
        <v>6.1861380068696725</v>
      </c>
      <c r="O1127" t="str">
        <f t="shared" si="53"/>
        <v/>
      </c>
      <c r="P1127" s="67" cm="1">
        <f t="array" ref="P1127">SUMPRODUCT((H1127=$H$7:$H$10000)*(N1127&lt;$N$7:$N$10000))+1</f>
        <v>69</v>
      </c>
      <c r="Q1127" s="72"/>
      <c r="R1127">
        <v>15</v>
      </c>
      <c r="S1127" t="str">
        <v>CHI</v>
      </c>
      <c r="T1127" t="str">
        <v>Mark O'Keeffe</v>
      </c>
      <c r="U1127" t="str">
        <v>NULL</v>
      </c>
      <c r="V1127" t="str">
        <v>Away</v>
      </c>
      <c r="W1127" t="str">
        <v>ARC</v>
      </c>
      <c r="X1127">
        <v>4.0997887863251883</v>
      </c>
    </row>
    <row r="1128" spans="8:24" x14ac:dyDescent="0.35">
      <c r="H1128">
        <v>13</v>
      </c>
      <c r="I1128" t="s">
        <v>13</v>
      </c>
      <c r="J1128" t="s">
        <v>474</v>
      </c>
      <c r="K1128" t="s">
        <v>256</v>
      </c>
      <c r="L1128" t="s">
        <v>3</v>
      </c>
      <c r="M1128" t="s">
        <v>17</v>
      </c>
      <c r="N1128">
        <f t="shared" si="52"/>
        <v>5.7378176111690644</v>
      </c>
      <c r="O1128" t="str">
        <f t="shared" si="53"/>
        <v/>
      </c>
      <c r="P1128" s="67" cm="1">
        <f t="array" ref="P1128">SUMPRODUCT((H1128=$H$7:$H$10000)*(N1128&lt;$N$7:$N$10000))+1</f>
        <v>70</v>
      </c>
      <c r="Q1128" s="72"/>
      <c r="R1128">
        <v>15</v>
      </c>
      <c r="S1128" t="str">
        <v>CHI</v>
      </c>
      <c r="T1128" t="str">
        <v>Tim Swiel</v>
      </c>
      <c r="U1128" t="str">
        <v>NULL</v>
      </c>
      <c r="V1128" t="str">
        <v>Away</v>
      </c>
      <c r="W1128" t="str">
        <v>ARC</v>
      </c>
      <c r="X1128">
        <v>4.0897014444135218</v>
      </c>
    </row>
    <row r="1129" spans="8:24" x14ac:dyDescent="0.35">
      <c r="H1129">
        <v>13</v>
      </c>
      <c r="I1129" t="s">
        <v>14</v>
      </c>
      <c r="J1129" t="s">
        <v>278</v>
      </c>
      <c r="K1129" t="s">
        <v>256</v>
      </c>
      <c r="L1129" t="s">
        <v>9</v>
      </c>
      <c r="M1129" t="s">
        <v>6</v>
      </c>
      <c r="N1129">
        <f t="shared" si="52"/>
        <v>5.4788498523705256</v>
      </c>
      <c r="O1129" t="str">
        <f t="shared" si="53"/>
        <v/>
      </c>
      <c r="P1129" s="67" cm="1">
        <f t="array" ref="P1129">SUMPRODUCT((H1129=$H$7:$H$10000)*(N1129&lt;$N$7:$N$10000))+1</f>
        <v>71</v>
      </c>
      <c r="Q1129" s="72"/>
      <c r="R1129">
        <v>15</v>
      </c>
      <c r="S1129" t="str">
        <v>NOLA</v>
      </c>
      <c r="T1129" t="str">
        <v>Nikolai Foliaki</v>
      </c>
      <c r="U1129" t="str">
        <v>NULL</v>
      </c>
      <c r="V1129" t="str">
        <v>Home</v>
      </c>
      <c r="W1129" t="str">
        <v>UTAH</v>
      </c>
      <c r="X1129">
        <v>4.0302557019511411</v>
      </c>
    </row>
    <row r="1130" spans="8:24" x14ac:dyDescent="0.35">
      <c r="H1130">
        <v>13</v>
      </c>
      <c r="I1130" t="s">
        <v>36</v>
      </c>
      <c r="J1130" t="s">
        <v>479</v>
      </c>
      <c r="K1130" t="s">
        <v>256</v>
      </c>
      <c r="L1130" t="s">
        <v>9</v>
      </c>
      <c r="M1130" t="s">
        <v>34</v>
      </c>
      <c r="N1130">
        <f t="shared" si="52"/>
        <v>5.3410080552049699</v>
      </c>
      <c r="O1130" t="str">
        <f t="shared" si="53"/>
        <v/>
      </c>
      <c r="P1130" s="67" cm="1">
        <f t="array" ref="P1130">SUMPRODUCT((H1130=$H$7:$H$10000)*(N1130&lt;$N$7:$N$10000))+1</f>
        <v>72</v>
      </c>
      <c r="Q1130" s="72"/>
      <c r="R1130">
        <v>15</v>
      </c>
      <c r="S1130" t="str">
        <v>UTAH</v>
      </c>
      <c r="T1130" t="str">
        <v>Kyle Brown</v>
      </c>
      <c r="U1130" t="str">
        <v>NULL</v>
      </c>
      <c r="V1130" t="str">
        <v>Away</v>
      </c>
      <c r="W1130" t="str">
        <v>NOLA</v>
      </c>
      <c r="X1130">
        <v>3.7436735549304023</v>
      </c>
    </row>
    <row r="1131" spans="8:24" x14ac:dyDescent="0.35">
      <c r="H1131">
        <v>13</v>
      </c>
      <c r="I1131" t="s">
        <v>36</v>
      </c>
      <c r="J1131" t="s">
        <v>476</v>
      </c>
      <c r="K1131" t="s">
        <v>256</v>
      </c>
      <c r="L1131" t="s">
        <v>9</v>
      </c>
      <c r="M1131" t="s">
        <v>34</v>
      </c>
      <c r="N1131">
        <f t="shared" si="52"/>
        <v>5.1941748950419884</v>
      </c>
      <c r="O1131" t="str">
        <f t="shared" si="53"/>
        <v/>
      </c>
      <c r="P1131" s="67" cm="1">
        <f t="array" ref="P1131">SUMPRODUCT((H1131=$H$7:$H$10000)*(N1131&lt;$N$7:$N$10000))+1</f>
        <v>73</v>
      </c>
      <c r="Q1131" s="72"/>
      <c r="R1131">
        <v>15</v>
      </c>
      <c r="S1131" t="str">
        <v>SEA</v>
      </c>
      <c r="T1131" t="str">
        <v>Lauina Futi</v>
      </c>
      <c r="U1131" t="str">
        <v>NULL</v>
      </c>
      <c r="V1131" t="str">
        <v>Home</v>
      </c>
      <c r="W1131" t="str">
        <v>HOU</v>
      </c>
      <c r="X1131">
        <v>3.6622840123472251</v>
      </c>
    </row>
    <row r="1132" spans="8:24" x14ac:dyDescent="0.35">
      <c r="H1132">
        <v>13</v>
      </c>
      <c r="I1132" t="s">
        <v>17</v>
      </c>
      <c r="J1132" t="s">
        <v>16</v>
      </c>
      <c r="K1132" t="s">
        <v>256</v>
      </c>
      <c r="L1132" t="s">
        <v>9</v>
      </c>
      <c r="M1132" t="s">
        <v>13</v>
      </c>
      <c r="N1132">
        <f t="shared" si="52"/>
        <v>5.1869008846624327</v>
      </c>
      <c r="O1132" t="str">
        <f t="shared" si="53"/>
        <v/>
      </c>
      <c r="P1132" s="67" cm="1">
        <f t="array" ref="P1132">SUMPRODUCT((H1132=$H$7:$H$10000)*(N1132&lt;$N$7:$N$10000))+1</f>
        <v>74</v>
      </c>
      <c r="Q1132" s="72"/>
      <c r="R1132">
        <v>15</v>
      </c>
      <c r="S1132" t="str">
        <v>OGDC</v>
      </c>
      <c r="T1132" t="str">
        <v>Jason Emery</v>
      </c>
      <c r="U1132" t="str">
        <v>NULL</v>
      </c>
      <c r="V1132" t="str">
        <v>Away</v>
      </c>
      <c r="W1132" t="str">
        <v>NEFJ</v>
      </c>
      <c r="X1132">
        <v>3.3687547376221749</v>
      </c>
    </row>
    <row r="1133" spans="8:24" x14ac:dyDescent="0.35">
      <c r="H1133">
        <v>13</v>
      </c>
      <c r="I1133" t="s">
        <v>34</v>
      </c>
      <c r="J1133" t="s">
        <v>51</v>
      </c>
      <c r="K1133" t="s">
        <v>256</v>
      </c>
      <c r="L1133" t="s">
        <v>3</v>
      </c>
      <c r="M1133" t="s">
        <v>36</v>
      </c>
      <c r="N1133">
        <f t="shared" si="52"/>
        <v>5.1103014134608404</v>
      </c>
      <c r="O1133" t="str">
        <f t="shared" si="53"/>
        <v/>
      </c>
      <c r="P1133" s="67" cm="1">
        <f t="array" ref="P1133">SUMPRODUCT((H1133=$H$7:$H$10000)*(N1133&lt;$N$7:$N$10000))+1</f>
        <v>75</v>
      </c>
      <c r="Q1133" s="72"/>
      <c r="R1133">
        <v>15</v>
      </c>
      <c r="S1133" t="str">
        <v>ARC</v>
      </c>
      <c r="T1133" t="str">
        <v>Conner Mooneyham</v>
      </c>
      <c r="U1133" t="str">
        <v>NULL</v>
      </c>
      <c r="V1133" t="str">
        <v>Home</v>
      </c>
      <c r="W1133" t="str">
        <v>CHI</v>
      </c>
      <c r="X1133">
        <v>3.2348915340065121</v>
      </c>
    </row>
    <row r="1134" spans="8:24" x14ac:dyDescent="0.35">
      <c r="H1134">
        <v>13</v>
      </c>
      <c r="I1134" t="s">
        <v>13</v>
      </c>
      <c r="J1134" t="s">
        <v>472</v>
      </c>
      <c r="K1134" t="s">
        <v>256</v>
      </c>
      <c r="L1134" t="s">
        <v>3</v>
      </c>
      <c r="M1134" t="s">
        <v>17</v>
      </c>
      <c r="N1134">
        <f t="shared" si="52"/>
        <v>5.0249417933404716</v>
      </c>
      <c r="O1134" t="str">
        <f t="shared" si="53"/>
        <v/>
      </c>
      <c r="P1134" s="67" cm="1">
        <f t="array" ref="P1134">SUMPRODUCT((H1134=$H$7:$H$10000)*(N1134&lt;$N$7:$N$10000))+1</f>
        <v>76</v>
      </c>
      <c r="Q1134" s="72"/>
      <c r="R1134">
        <v>15</v>
      </c>
      <c r="S1134" t="str">
        <v>NEFJ</v>
      </c>
      <c r="T1134" t="str">
        <v>Killian Coghlan</v>
      </c>
      <c r="U1134" t="str">
        <v>NULL</v>
      </c>
      <c r="V1134" t="str">
        <v>Home</v>
      </c>
      <c r="W1134" t="str">
        <v>OGDC</v>
      </c>
      <c r="X1134">
        <v>3.2136715016491362</v>
      </c>
    </row>
    <row r="1135" spans="8:24" x14ac:dyDescent="0.35">
      <c r="H1135">
        <v>13</v>
      </c>
      <c r="I1135" t="s">
        <v>2</v>
      </c>
      <c r="J1135" t="s">
        <v>90</v>
      </c>
      <c r="K1135" t="s">
        <v>256</v>
      </c>
      <c r="L1135" t="s">
        <v>9</v>
      </c>
      <c r="M1135" t="s">
        <v>23</v>
      </c>
      <c r="N1135">
        <f t="shared" si="52"/>
        <v>4.8215662998588247</v>
      </c>
      <c r="O1135" t="str">
        <f t="shared" si="53"/>
        <v/>
      </c>
      <c r="P1135" s="67" cm="1">
        <f t="array" ref="P1135">SUMPRODUCT((H1135=$H$7:$H$10000)*(N1135&lt;$N$7:$N$10000))+1</f>
        <v>77</v>
      </c>
      <c r="Q1135" s="72"/>
      <c r="R1135">
        <v>15</v>
      </c>
      <c r="S1135" t="str">
        <v>UTAH</v>
      </c>
      <c r="T1135" t="str">
        <v>Logan Crowley</v>
      </c>
      <c r="U1135" t="str">
        <v>NULL</v>
      </c>
      <c r="V1135" t="str">
        <v>Away</v>
      </c>
      <c r="W1135" t="str">
        <v>NOLA</v>
      </c>
      <c r="X1135">
        <v>3.0307977371018096</v>
      </c>
    </row>
    <row r="1136" spans="8:24" x14ac:dyDescent="0.35">
      <c r="H1136">
        <v>13</v>
      </c>
      <c r="I1136" t="s">
        <v>24</v>
      </c>
      <c r="J1136" t="s">
        <v>402</v>
      </c>
      <c r="K1136" t="s">
        <v>256</v>
      </c>
      <c r="L1136" t="s">
        <v>9</v>
      </c>
      <c r="M1136" t="s">
        <v>4</v>
      </c>
      <c r="N1136">
        <f t="shared" si="52"/>
        <v>4.7099300200005052</v>
      </c>
      <c r="O1136" t="str">
        <f t="shared" si="53"/>
        <v/>
      </c>
      <c r="P1136" s="67" cm="1">
        <f t="array" ref="P1136">SUMPRODUCT((H1136=$H$7:$H$10000)*(N1136&lt;$N$7:$N$10000))+1</f>
        <v>78</v>
      </c>
      <c r="Q1136" s="72"/>
      <c r="R1136">
        <v>15</v>
      </c>
      <c r="S1136" t="str">
        <v>HOU</v>
      </c>
      <c r="T1136" t="str">
        <v>Sam Hill</v>
      </c>
      <c r="U1136" t="str">
        <v>NULL</v>
      </c>
      <c r="V1136" t="str">
        <v>Away</v>
      </c>
      <c r="W1136" t="str">
        <v>SEA</v>
      </c>
      <c r="X1136">
        <v>2.9227593276694748</v>
      </c>
    </row>
    <row r="1137" spans="8:24" x14ac:dyDescent="0.35">
      <c r="H1137">
        <v>13</v>
      </c>
      <c r="I1137" t="s">
        <v>2</v>
      </c>
      <c r="J1137" t="s">
        <v>12</v>
      </c>
      <c r="K1137" t="s">
        <v>256</v>
      </c>
      <c r="L1137" t="s">
        <v>9</v>
      </c>
      <c r="M1137" t="s">
        <v>23</v>
      </c>
      <c r="N1137">
        <f t="shared" si="52"/>
        <v>4.5617497455194869</v>
      </c>
      <c r="O1137" t="str">
        <f t="shared" si="53"/>
        <v/>
      </c>
      <c r="P1137" s="67" cm="1">
        <f t="array" ref="P1137">SUMPRODUCT((H1137=$H$7:$H$10000)*(N1137&lt;$N$7:$N$10000))+1</f>
        <v>79</v>
      </c>
      <c r="Q1137" s="72"/>
      <c r="R1137">
        <v>15</v>
      </c>
      <c r="S1137" t="str">
        <v>CHI</v>
      </c>
      <c r="T1137" t="str">
        <v>Julian Dominguez</v>
      </c>
      <c r="U1137" t="str">
        <v>NULL</v>
      </c>
      <c r="V1137" t="str">
        <v>Away</v>
      </c>
      <c r="W1137" t="str">
        <v>ARC</v>
      </c>
      <c r="X1137">
        <v>2.7201720566068524</v>
      </c>
    </row>
    <row r="1138" spans="8:24" x14ac:dyDescent="0.35">
      <c r="H1138">
        <v>13</v>
      </c>
      <c r="I1138" t="s">
        <v>6</v>
      </c>
      <c r="J1138" t="s">
        <v>66</v>
      </c>
      <c r="K1138" t="s">
        <v>256</v>
      </c>
      <c r="L1138" t="s">
        <v>3</v>
      </c>
      <c r="M1138" t="s">
        <v>14</v>
      </c>
      <c r="N1138">
        <f t="shared" si="52"/>
        <v>4.552830763188445</v>
      </c>
      <c r="O1138" t="str">
        <f t="shared" si="53"/>
        <v/>
      </c>
      <c r="P1138" s="67" cm="1">
        <f t="array" ref="P1138">SUMPRODUCT((H1138=$H$7:$H$10000)*(N1138&lt;$N$7:$N$10000))+1</f>
        <v>80</v>
      </c>
      <c r="Q1138" s="72"/>
      <c r="R1138">
        <v>15</v>
      </c>
      <c r="S1138" t="str">
        <v>HOU</v>
      </c>
      <c r="T1138" t="str">
        <v>Andre Warner</v>
      </c>
      <c r="U1138" t="str">
        <v>NULL</v>
      </c>
      <c r="V1138" t="str">
        <v>Away</v>
      </c>
      <c r="W1138" t="str">
        <v>SEA</v>
      </c>
      <c r="X1138">
        <v>2.6751964262991974</v>
      </c>
    </row>
    <row r="1139" spans="8:24" x14ac:dyDescent="0.35">
      <c r="H1139">
        <v>13</v>
      </c>
      <c r="I1139" t="s">
        <v>2</v>
      </c>
      <c r="J1139" t="s">
        <v>444</v>
      </c>
      <c r="K1139" t="s">
        <v>256</v>
      </c>
      <c r="L1139" t="s">
        <v>9</v>
      </c>
      <c r="M1139" t="s">
        <v>23</v>
      </c>
      <c r="N1139">
        <f t="shared" si="52"/>
        <v>4.5516624036078204</v>
      </c>
      <c r="O1139" t="str">
        <f t="shared" si="53"/>
        <v/>
      </c>
      <c r="P1139" s="67" cm="1">
        <f t="array" ref="P1139">SUMPRODUCT((H1139=$H$7:$H$10000)*(N1139&lt;$N$7:$N$10000))+1</f>
        <v>81</v>
      </c>
      <c r="Q1139" s="72"/>
      <c r="R1139">
        <v>15</v>
      </c>
      <c r="S1139" t="str">
        <v>SEA</v>
      </c>
      <c r="T1139" t="str">
        <v>Dan Kriel</v>
      </c>
      <c r="U1139" t="str">
        <v>NULL</v>
      </c>
      <c r="V1139" t="str">
        <v>Home</v>
      </c>
      <c r="W1139" t="str">
        <v>HOU</v>
      </c>
      <c r="X1139">
        <v>2.3045289561036801</v>
      </c>
    </row>
    <row r="1140" spans="8:24" x14ac:dyDescent="0.35">
      <c r="H1140">
        <v>13</v>
      </c>
      <c r="I1140" t="s">
        <v>14</v>
      </c>
      <c r="J1140" t="s">
        <v>488</v>
      </c>
      <c r="K1140" t="s">
        <v>256</v>
      </c>
      <c r="L1140" t="s">
        <v>9</v>
      </c>
      <c r="M1140" t="s">
        <v>6</v>
      </c>
      <c r="N1140">
        <f t="shared" si="52"/>
        <v>4.5254230344086022</v>
      </c>
      <c r="O1140" t="str">
        <f t="shared" si="53"/>
        <v/>
      </c>
      <c r="P1140" s="67" cm="1">
        <f t="array" ref="P1140">SUMPRODUCT((H1140=$H$7:$H$10000)*(N1140&lt;$N$7:$N$10000))+1</f>
        <v>82</v>
      </c>
      <c r="Q1140" s="72"/>
      <c r="R1140">
        <v>15</v>
      </c>
      <c r="S1140" t="str">
        <v>ARC</v>
      </c>
      <c r="T1140" t="str">
        <v>Carlo de Nysschen</v>
      </c>
      <c r="U1140" t="str">
        <v>NULL</v>
      </c>
      <c r="V1140" t="str">
        <v>Home</v>
      </c>
      <c r="W1140" t="str">
        <v>CHI</v>
      </c>
      <c r="X1140">
        <v>2.2814647160445896</v>
      </c>
    </row>
    <row r="1141" spans="8:24" x14ac:dyDescent="0.35">
      <c r="H1141">
        <v>13</v>
      </c>
      <c r="I1141" t="s">
        <v>4</v>
      </c>
      <c r="J1141" t="s">
        <v>125</v>
      </c>
      <c r="K1141" t="s">
        <v>256</v>
      </c>
      <c r="L1141" t="s">
        <v>3</v>
      </c>
      <c r="M1141" t="s">
        <v>24</v>
      </c>
      <c r="N1141">
        <f t="shared" si="52"/>
        <v>4.3805385696263137</v>
      </c>
      <c r="O1141" t="str">
        <f t="shared" si="53"/>
        <v/>
      </c>
      <c r="P1141" s="67" cm="1">
        <f t="array" ref="P1141">SUMPRODUCT((H1141=$H$7:$H$10000)*(N1141&lt;$N$7:$N$10000))+1</f>
        <v>83</v>
      </c>
      <c r="Q1141" s="72"/>
      <c r="R1141">
        <v>15</v>
      </c>
      <c r="S1141" t="str">
        <v>OGDC</v>
      </c>
      <c r="T1141" t="str">
        <v>Perry Humphreys</v>
      </c>
      <c r="U1141" t="str">
        <v>NULL</v>
      </c>
      <c r="V1141" t="str">
        <v>Away</v>
      </c>
      <c r="W1141" t="str">
        <v>NEFJ</v>
      </c>
      <c r="X1141">
        <v>1.5847598587696989</v>
      </c>
    </row>
    <row r="1142" spans="8:24" x14ac:dyDescent="0.35">
      <c r="H1142">
        <v>13</v>
      </c>
      <c r="I1142" t="s">
        <v>4</v>
      </c>
      <c r="J1142" t="s">
        <v>489</v>
      </c>
      <c r="K1142" t="s">
        <v>256</v>
      </c>
      <c r="L1142" t="s">
        <v>3</v>
      </c>
      <c r="M1142" t="s">
        <v>24</v>
      </c>
      <c r="N1142">
        <f t="shared" si="52"/>
        <v>4.3338086278446291</v>
      </c>
      <c r="O1142" t="str">
        <f t="shared" si="53"/>
        <v/>
      </c>
      <c r="P1142" s="67" cm="1">
        <f t="array" ref="P1142">SUMPRODUCT((H1142=$H$7:$H$10000)*(N1142&lt;$N$7:$N$10000))+1</f>
        <v>84</v>
      </c>
      <c r="Q1142" s="72"/>
      <c r="R1142">
        <v>15</v>
      </c>
      <c r="S1142" t="str">
        <v>OGDC</v>
      </c>
      <c r="T1142" t="str">
        <v>Ethan McVeigh</v>
      </c>
      <c r="U1142" t="str">
        <v>NULL</v>
      </c>
      <c r="V1142" t="str">
        <v>Away</v>
      </c>
      <c r="W1142" t="str">
        <v>NEFJ</v>
      </c>
      <c r="X1142">
        <v>1.5519021668217139</v>
      </c>
    </row>
    <row r="1143" spans="8:24" x14ac:dyDescent="0.35">
      <c r="H1143">
        <v>13</v>
      </c>
      <c r="I1143" t="s">
        <v>36</v>
      </c>
      <c r="J1143" t="s">
        <v>490</v>
      </c>
      <c r="K1143" t="s">
        <v>256</v>
      </c>
      <c r="L1143" t="s">
        <v>9</v>
      </c>
      <c r="M1143" t="s">
        <v>34</v>
      </c>
      <c r="N1143">
        <f t="shared" si="52"/>
        <v>3.9188221588004266</v>
      </c>
      <c r="O1143" t="str">
        <f t="shared" si="53"/>
        <v/>
      </c>
      <c r="P1143" s="67" cm="1">
        <f t="array" ref="P1143">SUMPRODUCT((H1143=$H$7:$H$10000)*(N1143&lt;$N$7:$N$10000))+1</f>
        <v>85</v>
      </c>
      <c r="Q1143" s="72"/>
      <c r="R1143">
        <v>15</v>
      </c>
      <c r="S1143" t="str">
        <v>NOLA</v>
      </c>
      <c r="T1143" t="str">
        <v>Luke Campbell</v>
      </c>
      <c r="U1143" t="str">
        <v>NULL</v>
      </c>
      <c r="V1143" t="str">
        <v>Home</v>
      </c>
      <c r="W1143" t="str">
        <v>UTAH</v>
      </c>
      <c r="X1143">
        <v>1.4144553276843244</v>
      </c>
    </row>
    <row r="1144" spans="8:24" x14ac:dyDescent="0.35">
      <c r="H1144">
        <v>13</v>
      </c>
      <c r="I1144" t="s">
        <v>24</v>
      </c>
      <c r="J1144" t="s">
        <v>35</v>
      </c>
      <c r="K1144" t="s">
        <v>256</v>
      </c>
      <c r="L1144" t="s">
        <v>9</v>
      </c>
      <c r="M1144" t="s">
        <v>4</v>
      </c>
      <c r="N1144">
        <f t="shared" si="52"/>
        <v>3.903631674084215</v>
      </c>
      <c r="O1144" t="str">
        <f t="shared" si="53"/>
        <v/>
      </c>
      <c r="P1144" s="67" cm="1">
        <f t="array" ref="P1144">SUMPRODUCT((H1144=$H$7:$H$10000)*(N1144&lt;$N$7:$N$10000))+1</f>
        <v>86</v>
      </c>
      <c r="Q1144" s="72"/>
      <c r="R1144">
        <v>15</v>
      </c>
      <c r="S1144" t="str">
        <v>HOU</v>
      </c>
      <c r="T1144" t="str">
        <v>Seimou Smith</v>
      </c>
      <c r="U1144" t="str">
        <v>NULL</v>
      </c>
      <c r="V1144" t="str">
        <v>Away</v>
      </c>
      <c r="W1144" t="str">
        <v>SEA</v>
      </c>
      <c r="X1144">
        <v>1.3959808014278732</v>
      </c>
    </row>
    <row r="1145" spans="8:24" x14ac:dyDescent="0.35">
      <c r="H1145">
        <v>13</v>
      </c>
      <c r="I1145" t="s">
        <v>23</v>
      </c>
      <c r="J1145" t="s">
        <v>443</v>
      </c>
      <c r="K1145" t="s">
        <v>256</v>
      </c>
      <c r="L1145" t="s">
        <v>3</v>
      </c>
      <c r="M1145" t="s">
        <v>2</v>
      </c>
      <c r="N1145">
        <f t="shared" si="52"/>
        <v>3.775589883940361</v>
      </c>
      <c r="O1145" t="str">
        <f t="shared" si="53"/>
        <v/>
      </c>
      <c r="P1145" s="67" cm="1">
        <f t="array" ref="P1145">SUMPRODUCT((H1145=$H$7:$H$10000)*(N1145&lt;$N$7:$N$10000))+1</f>
        <v>87</v>
      </c>
      <c r="Q1145" s="72"/>
      <c r="R1145">
        <v>15</v>
      </c>
      <c r="S1145" t="str">
        <v>NOLA</v>
      </c>
      <c r="T1145" t="str">
        <v>Ruben de Haas</v>
      </c>
      <c r="U1145" t="str">
        <v>NULL</v>
      </c>
      <c r="V1145" t="str">
        <v>Home</v>
      </c>
      <c r="W1145" t="str">
        <v>UTAH</v>
      </c>
      <c r="X1145">
        <v>1.3677253859026397</v>
      </c>
    </row>
    <row r="1146" spans="8:24" x14ac:dyDescent="0.35">
      <c r="H1146">
        <v>13</v>
      </c>
      <c r="I1146" t="s">
        <v>14</v>
      </c>
      <c r="J1146" t="s">
        <v>460</v>
      </c>
      <c r="K1146" t="s">
        <v>256</v>
      </c>
      <c r="L1146" t="s">
        <v>9</v>
      </c>
      <c r="M1146" t="s">
        <v>6</v>
      </c>
      <c r="N1146">
        <f t="shared" si="52"/>
        <v>3.3368000023460596</v>
      </c>
      <c r="O1146" t="str">
        <f t="shared" si="53"/>
        <v/>
      </c>
      <c r="P1146" s="67" cm="1">
        <f t="array" ref="P1146">SUMPRODUCT((H1146=$H$7:$H$10000)*(N1146&lt;$N$7:$N$10000))+1</f>
        <v>88</v>
      </c>
      <c r="Q1146" s="72"/>
      <c r="R1146">
        <v>15</v>
      </c>
      <c r="S1146" t="str">
        <v>ARC</v>
      </c>
      <c r="T1146" t="str">
        <v>Ashawnty Staples Flowers</v>
      </c>
      <c r="U1146" t="str">
        <v>NULL</v>
      </c>
      <c r="V1146" t="str">
        <v>Home</v>
      </c>
      <c r="W1146" t="str">
        <v>CHI</v>
      </c>
      <c r="X1146">
        <v>1.0928416839820478</v>
      </c>
    </row>
    <row r="1147" spans="8:24" x14ac:dyDescent="0.35">
      <c r="H1147">
        <v>13</v>
      </c>
      <c r="I1147" t="s">
        <v>23</v>
      </c>
      <c r="J1147" t="s">
        <v>127</v>
      </c>
      <c r="K1147" t="s">
        <v>256</v>
      </c>
      <c r="L1147" t="s">
        <v>3</v>
      </c>
      <c r="M1147" t="s">
        <v>2</v>
      </c>
      <c r="N1147">
        <f t="shared" si="52"/>
        <v>3.2286858020730937</v>
      </c>
      <c r="O1147" t="str">
        <f t="shared" si="53"/>
        <v/>
      </c>
      <c r="P1147" s="67" cm="1">
        <f t="array" ref="P1147">SUMPRODUCT((H1147=$H$7:$H$10000)*(N1147&lt;$N$7:$N$10000))+1</f>
        <v>89</v>
      </c>
      <c r="Q1147" s="72"/>
      <c r="R1147">
        <v>15</v>
      </c>
      <c r="S1147" t="str">
        <v>NEFJ</v>
      </c>
      <c r="T1147" t="str">
        <v>Harrison Boyle</v>
      </c>
      <c r="U1147" t="str">
        <v>NULL</v>
      </c>
      <c r="V1147" t="str">
        <v>Home</v>
      </c>
      <c r="W1147" t="str">
        <v>OGDC</v>
      </c>
      <c r="X1147">
        <v>0.80312337871982464</v>
      </c>
    </row>
    <row r="1148" spans="8:24" x14ac:dyDescent="0.35">
      <c r="H1148">
        <v>13</v>
      </c>
      <c r="I1148" t="s">
        <v>2</v>
      </c>
      <c r="J1148" t="s">
        <v>499</v>
      </c>
      <c r="K1148" t="s">
        <v>256</v>
      </c>
      <c r="L1148" t="s">
        <v>9</v>
      </c>
      <c r="M1148" t="s">
        <v>23</v>
      </c>
      <c r="N1148">
        <f t="shared" si="52"/>
        <v>3.1821330158011509</v>
      </c>
      <c r="O1148" t="str">
        <f t="shared" si="53"/>
        <v/>
      </c>
      <c r="P1148" s="67" cm="1">
        <f t="array" ref="P1148">SUMPRODUCT((H1148=$H$7:$H$10000)*(N1148&lt;$N$7:$N$10000))+1</f>
        <v>90</v>
      </c>
      <c r="Q1148" s="72"/>
      <c r="R1148">
        <v>15</v>
      </c>
      <c r="S1148" t="str">
        <v>NEFJ</v>
      </c>
      <c r="T1148" t="str">
        <v>John Poland</v>
      </c>
      <c r="U1148" t="str">
        <v>NULL</v>
      </c>
      <c r="V1148" t="str">
        <v>Home</v>
      </c>
      <c r="W1148" t="str">
        <v>OGDC</v>
      </c>
      <c r="X1148">
        <v>0.2562192968525574</v>
      </c>
    </row>
    <row r="1149" spans="8:24" x14ac:dyDescent="0.35">
      <c r="H1149">
        <v>13</v>
      </c>
      <c r="I1149" t="s">
        <v>17</v>
      </c>
      <c r="J1149" t="s">
        <v>76</v>
      </c>
      <c r="K1149" t="s">
        <v>256</v>
      </c>
      <c r="L1149" t="s">
        <v>9</v>
      </c>
      <c r="M1149" t="s">
        <v>13</v>
      </c>
      <c r="N1149">
        <f t="shared" si="52"/>
        <v>2.9115450487253947</v>
      </c>
      <c r="O1149" t="str">
        <f t="shared" si="53"/>
        <v/>
      </c>
      <c r="P1149" s="67" cm="1">
        <f t="array" ref="P1149">SUMPRODUCT((H1149=$H$7:$H$10000)*(N1149&lt;$N$7:$N$10000))+1</f>
        <v>91</v>
      </c>
      <c r="Q1149" s="72"/>
      <c r="R1149">
        <v>15</v>
      </c>
      <c r="S1149" t="str">
        <v>SEA</v>
      </c>
      <c r="T1149" t="str">
        <v>Jade Stighling</v>
      </c>
      <c r="U1149" t="str">
        <v>NULL</v>
      </c>
      <c r="V1149" t="str">
        <v>Home</v>
      </c>
      <c r="W1149" t="str">
        <v>HOU</v>
      </c>
      <c r="X1149">
        <v>2.9173120166642086E-2</v>
      </c>
    </row>
    <row r="1150" spans="8:24" x14ac:dyDescent="0.35">
      <c r="H1150">
        <v>13</v>
      </c>
      <c r="I1150" t="s">
        <v>23</v>
      </c>
      <c r="J1150" t="s">
        <v>456</v>
      </c>
      <c r="K1150" t="s">
        <v>256</v>
      </c>
      <c r="L1150" t="s">
        <v>3</v>
      </c>
      <c r="M1150" t="s">
        <v>2</v>
      </c>
      <c r="N1150">
        <f t="shared" si="52"/>
        <v>2.465951283509253</v>
      </c>
      <c r="O1150" t="str">
        <f t="shared" si="53"/>
        <v/>
      </c>
      <c r="P1150" s="67" cm="1">
        <f t="array" ref="P1150">SUMPRODUCT((H1150=$H$7:$H$10000)*(N1150&lt;$N$7:$N$10000))+1</f>
        <v>92</v>
      </c>
      <c r="Q1150" s="72"/>
      <c r="R1150">
        <v>15</v>
      </c>
      <c r="S1150" t="str">
        <v>HOU</v>
      </c>
      <c r="T1150" t="str">
        <v>Drew Wild</v>
      </c>
      <c r="U1150" t="str">
        <v>NULL</v>
      </c>
      <c r="V1150" t="str">
        <v>Away</v>
      </c>
      <c r="W1150" t="str">
        <v>SEA</v>
      </c>
      <c r="X1150">
        <v>-0.43413677796292127</v>
      </c>
    </row>
    <row r="1151" spans="8:24" x14ac:dyDescent="0.35">
      <c r="H1151">
        <v>13</v>
      </c>
      <c r="I1151" t="s">
        <v>36</v>
      </c>
      <c r="J1151" t="s">
        <v>48</v>
      </c>
      <c r="K1151" t="s">
        <v>256</v>
      </c>
      <c r="L1151" t="s">
        <v>9</v>
      </c>
      <c r="M1151" t="s">
        <v>34</v>
      </c>
      <c r="N1151">
        <f t="shared" si="52"/>
        <v>2.3474639911972517</v>
      </c>
      <c r="O1151" t="str">
        <f t="shared" si="53"/>
        <v/>
      </c>
      <c r="P1151" s="67" cm="1">
        <f t="array" ref="P1151">SUMPRODUCT((H1151=$H$7:$H$10000)*(N1151&lt;$N$7:$N$10000))+1</f>
        <v>93</v>
      </c>
      <c r="Q1151" s="72"/>
      <c r="R1151">
        <v>15</v>
      </c>
      <c r="S1151" t="str">
        <v>NEFJ</v>
      </c>
      <c r="T1151" t="str">
        <v>Simon-Peter Toleafoa</v>
      </c>
      <c r="U1151" t="str">
        <v>NULL</v>
      </c>
      <c r="V1151" t="str">
        <v>Home</v>
      </c>
      <c r="W1151" t="str">
        <v>OGDC</v>
      </c>
      <c r="X1151">
        <v>-0.50651522171128338</v>
      </c>
    </row>
    <row r="1152" spans="8:24" x14ac:dyDescent="0.35">
      <c r="H1152">
        <v>13</v>
      </c>
      <c r="I1152" t="s">
        <v>17</v>
      </c>
      <c r="J1152" t="s">
        <v>458</v>
      </c>
      <c r="K1152" t="s">
        <v>256</v>
      </c>
      <c r="L1152" t="s">
        <v>9</v>
      </c>
      <c r="M1152" t="s">
        <v>13</v>
      </c>
      <c r="N1152">
        <f t="shared" si="52"/>
        <v>2.2855151704903012</v>
      </c>
      <c r="O1152" t="str">
        <f t="shared" si="53"/>
        <v/>
      </c>
      <c r="P1152" s="67" cm="1">
        <f t="array" ref="P1152">SUMPRODUCT((H1152=$H$7:$H$10000)*(N1152&lt;$N$7:$N$10000))+1</f>
        <v>94</v>
      </c>
      <c r="Q1152" s="72"/>
      <c r="R1152">
        <v>15</v>
      </c>
      <c r="S1152" t="str">
        <v>SEA</v>
      </c>
      <c r="T1152" t="str">
        <v>Jeremiah Sio</v>
      </c>
      <c r="U1152" t="str">
        <v>NULL</v>
      </c>
      <c r="V1152" t="str">
        <v>Home</v>
      </c>
      <c r="W1152" t="str">
        <v>HOU</v>
      </c>
      <c r="X1152">
        <v>-0.59685675806845051</v>
      </c>
    </row>
    <row r="1153" spans="8:24" x14ac:dyDescent="0.35">
      <c r="H1153">
        <v>13</v>
      </c>
      <c r="I1153" t="s">
        <v>23</v>
      </c>
      <c r="J1153" t="s">
        <v>340</v>
      </c>
      <c r="K1153" t="s">
        <v>256</v>
      </c>
      <c r="L1153" t="s">
        <v>3</v>
      </c>
      <c r="M1153" t="s">
        <v>2</v>
      </c>
      <c r="N1153">
        <f t="shared" si="52"/>
        <v>2.1607078547002256</v>
      </c>
      <c r="O1153" t="str">
        <f t="shared" si="53"/>
        <v/>
      </c>
      <c r="P1153" s="67" cm="1">
        <f t="array" ref="P1153">SUMPRODUCT((H1153=$H$7:$H$10000)*(N1153&lt;$N$7:$N$10000))+1</f>
        <v>95</v>
      </c>
      <c r="Q1153" s="72"/>
      <c r="R1153">
        <v>15</v>
      </c>
      <c r="S1153" t="str">
        <v>NEFJ</v>
      </c>
      <c r="T1153" t="str">
        <v>Isaac Olson</v>
      </c>
      <c r="U1153" t="str">
        <v>NULL</v>
      </c>
      <c r="V1153" t="str">
        <v>Home</v>
      </c>
      <c r="W1153" t="str">
        <v>OGDC</v>
      </c>
      <c r="X1153">
        <v>-0.81175865052031071</v>
      </c>
    </row>
    <row r="1154" spans="8:24" x14ac:dyDescent="0.35">
      <c r="H1154">
        <v>13</v>
      </c>
      <c r="I1154" t="s">
        <v>36</v>
      </c>
      <c r="J1154" t="s">
        <v>123</v>
      </c>
      <c r="K1154" t="s">
        <v>256</v>
      </c>
      <c r="L1154" t="s">
        <v>9</v>
      </c>
      <c r="M1154" t="s">
        <v>34</v>
      </c>
      <c r="N1154">
        <f t="shared" si="52"/>
        <v>2.0999010898269743</v>
      </c>
      <c r="O1154" t="str">
        <f t="shared" si="53"/>
        <v/>
      </c>
      <c r="P1154" s="67" cm="1">
        <f t="array" ref="P1154">SUMPRODUCT((H1154=$H$7:$H$10000)*(N1154&lt;$N$7:$N$10000))+1</f>
        <v>96</v>
      </c>
      <c r="Q1154" s="72"/>
      <c r="R1154">
        <v>15</v>
      </c>
      <c r="S1154" t="str">
        <v>OGDC</v>
      </c>
      <c r="T1154" t="str">
        <v>Connor Buckley</v>
      </c>
      <c r="U1154" t="str">
        <v>NULL</v>
      </c>
      <c r="V1154" t="str">
        <v>Away</v>
      </c>
      <c r="W1154" t="str">
        <v>NEFJ</v>
      </c>
      <c r="X1154">
        <v>-2.9095558393351091</v>
      </c>
    </row>
    <row r="1155" spans="8:24" x14ac:dyDescent="0.35">
      <c r="H1155">
        <v>13</v>
      </c>
      <c r="I1155" t="s">
        <v>24</v>
      </c>
      <c r="J1155" t="s">
        <v>459</v>
      </c>
      <c r="K1155" t="s">
        <v>256</v>
      </c>
      <c r="L1155" t="s">
        <v>9</v>
      </c>
      <c r="M1155" t="s">
        <v>4</v>
      </c>
      <c r="N1155">
        <f t="shared" si="52"/>
        <v>1.5810365397301647</v>
      </c>
      <c r="O1155" t="str">
        <f t="shared" si="53"/>
        <v/>
      </c>
      <c r="P1155" s="67" cm="1">
        <f t="array" ref="P1155">SUMPRODUCT((H1155=$H$7:$H$10000)*(N1155&lt;$N$7:$N$10000))+1</f>
        <v>97</v>
      </c>
      <c r="Q1155" s="72"/>
      <c r="R1155">
        <v>16</v>
      </c>
      <c r="S1155" t="str">
        <v>OGDC</v>
      </c>
      <c r="T1155" t="str">
        <v>Axel Muller</v>
      </c>
      <c r="U1155" t="str">
        <v>NULL</v>
      </c>
      <c r="V1155" t="str">
        <v>Home</v>
      </c>
      <c r="W1155" t="str">
        <v>LA</v>
      </c>
      <c r="X1155">
        <v>21.48033220268384</v>
      </c>
    </row>
    <row r="1156" spans="8:24" x14ac:dyDescent="0.35">
      <c r="H1156">
        <v>13</v>
      </c>
      <c r="I1156" t="s">
        <v>36</v>
      </c>
      <c r="J1156" t="s">
        <v>334</v>
      </c>
      <c r="K1156" t="s">
        <v>256</v>
      </c>
      <c r="L1156" t="s">
        <v>9</v>
      </c>
      <c r="M1156" t="s">
        <v>34</v>
      </c>
      <c r="N1156">
        <f t="shared" si="52"/>
        <v>0.82068546495565009</v>
      </c>
      <c r="O1156" t="str">
        <f t="shared" si="53"/>
        <v/>
      </c>
      <c r="P1156" s="67" cm="1">
        <f t="array" ref="P1156">SUMPRODUCT((H1156=$H$7:$H$10000)*(N1156&lt;$N$7:$N$10000))+1</f>
        <v>98</v>
      </c>
      <c r="Q1156" s="72"/>
      <c r="R1156">
        <v>16</v>
      </c>
      <c r="S1156" t="str">
        <v>UTAH</v>
      </c>
      <c r="T1156" t="str">
        <v>Joe Mano</v>
      </c>
      <c r="U1156" t="str">
        <v>NULL</v>
      </c>
      <c r="V1156" t="str">
        <v>Home</v>
      </c>
      <c r="W1156" t="str">
        <v>ARC</v>
      </c>
      <c r="X1156">
        <v>20.611048157617997</v>
      </c>
    </row>
    <row r="1157" spans="8:24" x14ac:dyDescent="0.35">
      <c r="H1157">
        <v>13</v>
      </c>
      <c r="I1157" t="s">
        <v>36</v>
      </c>
      <c r="J1157" t="s">
        <v>73</v>
      </c>
      <c r="K1157" t="s">
        <v>256</v>
      </c>
      <c r="L1157" t="s">
        <v>9</v>
      </c>
      <c r="M1157" t="s">
        <v>34</v>
      </c>
      <c r="N1157">
        <f t="shared" si="52"/>
        <v>-1.0094321144351444</v>
      </c>
      <c r="O1157" t="str">
        <f t="shared" si="53"/>
        <v/>
      </c>
      <c r="P1157" s="67" cm="1">
        <f t="array" ref="P1157">SUMPRODUCT((H1157=$H$7:$H$10000)*(N1157&lt;$N$7:$N$10000))+1</f>
        <v>99</v>
      </c>
      <c r="Q1157" s="72"/>
      <c r="R1157">
        <v>16</v>
      </c>
      <c r="S1157" t="str">
        <v>SDL</v>
      </c>
      <c r="T1157" t="str">
        <v>Ryan James</v>
      </c>
      <c r="U1157" t="str">
        <v>NULL</v>
      </c>
      <c r="V1157" t="str">
        <v>Away</v>
      </c>
      <c r="W1157" t="str">
        <v>MIA</v>
      </c>
      <c r="X1157">
        <v>20.534142289015772</v>
      </c>
    </row>
    <row r="1158" spans="8:24" x14ac:dyDescent="0.35">
      <c r="H1158">
        <v>14</v>
      </c>
      <c r="I1158" t="s">
        <v>6</v>
      </c>
      <c r="J1158" t="s">
        <v>94</v>
      </c>
      <c r="K1158" t="s">
        <v>256</v>
      </c>
      <c r="L1158" t="s">
        <v>9</v>
      </c>
      <c r="M1158" t="s">
        <v>2</v>
      </c>
      <c r="N1158">
        <f t="shared" si="52"/>
        <v>18.848101607626898</v>
      </c>
      <c r="O1158" t="str">
        <f t="shared" si="53"/>
        <v/>
      </c>
      <c r="P1158" s="67" cm="1">
        <f t="array" ref="P1158">SUMPRODUCT((H1158=$H$7:$H$10000)*(N1158&lt;$N$7:$N$10000))+1</f>
        <v>1</v>
      </c>
      <c r="Q1158" s="72"/>
      <c r="R1158">
        <v>16</v>
      </c>
      <c r="S1158" t="str">
        <v>UTAH</v>
      </c>
      <c r="T1158" t="str">
        <v>Nic Benn</v>
      </c>
      <c r="U1158" t="str">
        <v>NULL</v>
      </c>
      <c r="V1158" t="str">
        <v>Home</v>
      </c>
      <c r="W1158" t="str">
        <v>ARC</v>
      </c>
      <c r="X1158">
        <v>16.800512706907398</v>
      </c>
    </row>
    <row r="1159" spans="8:24" x14ac:dyDescent="0.35">
      <c r="H1159">
        <v>14</v>
      </c>
      <c r="I1159" t="s">
        <v>7</v>
      </c>
      <c r="J1159" t="s">
        <v>65</v>
      </c>
      <c r="K1159" t="s">
        <v>256</v>
      </c>
      <c r="L1159" t="s">
        <v>9</v>
      </c>
      <c r="M1159" t="s">
        <v>14</v>
      </c>
      <c r="N1159">
        <f t="shared" si="52"/>
        <v>18.237965743381153</v>
      </c>
      <c r="O1159" t="str">
        <f t="shared" si="53"/>
        <v/>
      </c>
      <c r="P1159" s="67" cm="1">
        <f t="array" ref="P1159">SUMPRODUCT((H1159=$H$7:$H$10000)*(N1159&lt;$N$7:$N$10000))+1</f>
        <v>2</v>
      </c>
      <c r="Q1159" s="72"/>
      <c r="R1159">
        <v>16</v>
      </c>
      <c r="S1159" t="str">
        <v>SDL</v>
      </c>
      <c r="T1159" t="str">
        <v>Ethan Grayson</v>
      </c>
      <c r="U1159" t="str">
        <v>NULL</v>
      </c>
      <c r="V1159" t="str">
        <v>Away</v>
      </c>
      <c r="W1159" t="str">
        <v>MIA</v>
      </c>
      <c r="X1159">
        <v>16.333447088836337</v>
      </c>
    </row>
    <row r="1160" spans="8:24" x14ac:dyDescent="0.35">
      <c r="H1160">
        <v>14</v>
      </c>
      <c r="I1160" t="s">
        <v>34</v>
      </c>
      <c r="J1160" t="s">
        <v>95</v>
      </c>
      <c r="K1160" t="s">
        <v>256</v>
      </c>
      <c r="L1160" t="s">
        <v>9</v>
      </c>
      <c r="M1160" t="s">
        <v>17</v>
      </c>
      <c r="N1160">
        <f t="shared" si="52"/>
        <v>16.849211111615062</v>
      </c>
      <c r="O1160" t="str">
        <f t="shared" si="53"/>
        <v/>
      </c>
      <c r="P1160" s="67" cm="1">
        <f t="array" ref="P1160">SUMPRODUCT((H1160=$H$7:$H$10000)*(N1160&lt;$N$7:$N$10000))+1</f>
        <v>3</v>
      </c>
      <c r="Q1160" s="72"/>
      <c r="R1160">
        <v>16</v>
      </c>
      <c r="S1160" t="str">
        <v>LA</v>
      </c>
      <c r="T1160" t="str">
        <v>Rory van Vugt</v>
      </c>
      <c r="U1160" t="str">
        <v>NULL</v>
      </c>
      <c r="V1160" t="str">
        <v>Away</v>
      </c>
      <c r="W1160" t="str">
        <v>OGDC</v>
      </c>
      <c r="X1160">
        <v>15.875635102406362</v>
      </c>
    </row>
    <row r="1161" spans="8:24" x14ac:dyDescent="0.35">
      <c r="H1161">
        <v>14</v>
      </c>
      <c r="I1161" t="s">
        <v>13</v>
      </c>
      <c r="J1161" t="s">
        <v>79</v>
      </c>
      <c r="K1161" t="s">
        <v>256</v>
      </c>
      <c r="L1161" t="s">
        <v>9</v>
      </c>
      <c r="M1161" t="s">
        <v>36</v>
      </c>
      <c r="N1161">
        <f t="shared" si="52"/>
        <v>16.469058822599909</v>
      </c>
      <c r="O1161" t="str">
        <f t="shared" si="53"/>
        <v/>
      </c>
      <c r="P1161" s="67" cm="1">
        <f t="array" ref="P1161">SUMPRODUCT((H1161=$H$7:$H$10000)*(N1161&lt;$N$7:$N$10000))+1</f>
        <v>4</v>
      </c>
      <c r="Q1161" s="72"/>
      <c r="R1161">
        <v>16</v>
      </c>
      <c r="S1161" t="str">
        <v>SDL</v>
      </c>
      <c r="T1161" t="str">
        <v>Tomas Aoake</v>
      </c>
      <c r="U1161" t="str">
        <v>NULL</v>
      </c>
      <c r="V1161" t="str">
        <v>Away</v>
      </c>
      <c r="W1161" t="str">
        <v>MIA</v>
      </c>
      <c r="X1161">
        <v>15.169157779154776</v>
      </c>
    </row>
    <row r="1162" spans="8:24" x14ac:dyDescent="0.35">
      <c r="H1162">
        <v>14</v>
      </c>
      <c r="I1162" t="s">
        <v>2</v>
      </c>
      <c r="J1162" t="s">
        <v>88</v>
      </c>
      <c r="K1162" t="s">
        <v>256</v>
      </c>
      <c r="L1162" t="s">
        <v>3</v>
      </c>
      <c r="M1162" t="s">
        <v>6</v>
      </c>
      <c r="N1162">
        <f t="shared" si="52"/>
        <v>15.611715277421807</v>
      </c>
      <c r="O1162" t="str">
        <f t="shared" si="53"/>
        <v/>
      </c>
      <c r="P1162" s="67" cm="1">
        <f t="array" ref="P1162">SUMPRODUCT((H1162=$H$7:$H$10000)*(N1162&lt;$N$7:$N$10000))+1</f>
        <v>5</v>
      </c>
      <c r="Q1162" s="72"/>
      <c r="R1162">
        <v>16</v>
      </c>
      <c r="S1162" t="str">
        <v>OGDC</v>
      </c>
      <c r="T1162" t="str">
        <v>Damien Hoyland</v>
      </c>
      <c r="U1162" t="str">
        <v>NULL</v>
      </c>
      <c r="V1162" t="str">
        <v>Home</v>
      </c>
      <c r="W1162" t="str">
        <v>LA</v>
      </c>
      <c r="X1162">
        <v>14.220999667299278</v>
      </c>
    </row>
    <row r="1163" spans="8:24" x14ac:dyDescent="0.35">
      <c r="H1163">
        <v>14</v>
      </c>
      <c r="I1163" t="s">
        <v>6</v>
      </c>
      <c r="J1163" t="s">
        <v>8</v>
      </c>
      <c r="K1163" t="s">
        <v>256</v>
      </c>
      <c r="L1163" t="s">
        <v>9</v>
      </c>
      <c r="M1163" t="s">
        <v>2</v>
      </c>
      <c r="N1163">
        <f t="shared" si="52"/>
        <v>15.172488821133172</v>
      </c>
      <c r="O1163" t="str">
        <f t="shared" si="53"/>
        <v/>
      </c>
      <c r="P1163" s="67" cm="1">
        <f t="array" ref="P1163">SUMPRODUCT((H1163=$H$7:$H$10000)*(N1163&lt;$N$7:$N$10000))+1</f>
        <v>6</v>
      </c>
      <c r="Q1163" s="72"/>
      <c r="R1163">
        <v>16</v>
      </c>
      <c r="S1163" t="str">
        <v>SDL</v>
      </c>
      <c r="T1163" t="str">
        <v>Tavite Lopeti</v>
      </c>
      <c r="U1163" t="str">
        <v>NULL</v>
      </c>
      <c r="V1163" t="str">
        <v>Away</v>
      </c>
      <c r="W1163" t="str">
        <v>MIA</v>
      </c>
      <c r="X1163">
        <v>13.840827175647032</v>
      </c>
    </row>
    <row r="1164" spans="8:24" x14ac:dyDescent="0.35">
      <c r="H1164">
        <v>14</v>
      </c>
      <c r="I1164" t="s">
        <v>2</v>
      </c>
      <c r="J1164" t="s">
        <v>495</v>
      </c>
      <c r="K1164" t="s">
        <v>256</v>
      </c>
      <c r="L1164" t="s">
        <v>3</v>
      </c>
      <c r="M1164" t="s">
        <v>6</v>
      </c>
      <c r="N1164">
        <f t="shared" ref="N1164:N1227" si="54">VLOOKUP($L1164,$F$3:$G$4,2,FALSE)+VLOOKUP($J1164,$A$20:$B$131,2,FALSE)+VLOOKUP($M1164,$A$6:$B$16,2,FALSE)</f>
        <v>15.058981523751186</v>
      </c>
      <c r="O1164" t="str">
        <f t="shared" ref="O1164:O1227" si="55">IFERROR(($K1164-$N1164)^2,"")</f>
        <v/>
      </c>
      <c r="P1164" s="67" cm="1">
        <f t="array" ref="P1164">SUMPRODUCT((H1164=$H$7:$H$10000)*(N1164&lt;$N$7:$N$10000))+1</f>
        <v>7</v>
      </c>
      <c r="Q1164" s="72"/>
      <c r="R1164">
        <v>16</v>
      </c>
      <c r="S1164" t="str">
        <v>SDL</v>
      </c>
      <c r="T1164" t="str">
        <v>Lincoln McClutchie</v>
      </c>
      <c r="U1164" t="str">
        <v>NULL</v>
      </c>
      <c r="V1164" t="str">
        <v>Away</v>
      </c>
      <c r="W1164" t="str">
        <v>MIA</v>
      </c>
      <c r="X1164">
        <v>13.682048914508057</v>
      </c>
    </row>
    <row r="1165" spans="8:24" x14ac:dyDescent="0.35">
      <c r="H1165">
        <v>14</v>
      </c>
      <c r="I1165" t="s">
        <v>23</v>
      </c>
      <c r="J1165" t="s">
        <v>190</v>
      </c>
      <c r="K1165" t="s">
        <v>256</v>
      </c>
      <c r="L1165" t="s">
        <v>9</v>
      </c>
      <c r="M1165" t="s">
        <v>24</v>
      </c>
      <c r="N1165">
        <f t="shared" si="54"/>
        <v>14.795434047595116</v>
      </c>
      <c r="O1165" t="str">
        <f t="shared" si="55"/>
        <v/>
      </c>
      <c r="P1165" s="67" cm="1">
        <f t="array" ref="P1165">SUMPRODUCT((H1165=$H$7:$H$10000)*(N1165&lt;$N$7:$N$10000))+1</f>
        <v>8</v>
      </c>
      <c r="Q1165" s="72"/>
      <c r="R1165">
        <v>16</v>
      </c>
      <c r="S1165" t="str">
        <v>OGDC</v>
      </c>
      <c r="T1165" t="str">
        <v>Steffan Hughes</v>
      </c>
      <c r="U1165" t="str">
        <v>NULL</v>
      </c>
      <c r="V1165" t="str">
        <v>Home</v>
      </c>
      <c r="W1165" t="str">
        <v>LA</v>
      </c>
      <c r="X1165">
        <v>13.533358606633223</v>
      </c>
    </row>
    <row r="1166" spans="8:24" x14ac:dyDescent="0.35">
      <c r="H1166">
        <v>14</v>
      </c>
      <c r="I1166" t="s">
        <v>24</v>
      </c>
      <c r="J1166" t="s">
        <v>446</v>
      </c>
      <c r="K1166" t="s">
        <v>256</v>
      </c>
      <c r="L1166" t="s">
        <v>3</v>
      </c>
      <c r="M1166" t="s">
        <v>23</v>
      </c>
      <c r="N1166">
        <f t="shared" si="54"/>
        <v>13.91354000877887</v>
      </c>
      <c r="O1166" t="str">
        <f t="shared" si="55"/>
        <v/>
      </c>
      <c r="P1166" s="67" cm="1">
        <f t="array" ref="P1166">SUMPRODUCT((H1166=$H$7:$H$10000)*(N1166&lt;$N$7:$N$10000))+1</f>
        <v>9</v>
      </c>
      <c r="Q1166" s="72"/>
      <c r="R1166">
        <v>16</v>
      </c>
      <c r="S1166" t="str">
        <v>SDL</v>
      </c>
      <c r="T1166" t="str">
        <v>James Vaifale</v>
      </c>
      <c r="U1166" t="str">
        <v>NULL</v>
      </c>
      <c r="V1166" t="str">
        <v>Away</v>
      </c>
      <c r="W1166" t="str">
        <v>MIA</v>
      </c>
      <c r="X1166">
        <v>13.524940057108003</v>
      </c>
    </row>
    <row r="1167" spans="8:24" x14ac:dyDescent="0.35">
      <c r="H1167">
        <v>14</v>
      </c>
      <c r="I1167" t="s">
        <v>23</v>
      </c>
      <c r="J1167" t="s">
        <v>46</v>
      </c>
      <c r="K1167" t="s">
        <v>256</v>
      </c>
      <c r="L1167" t="s">
        <v>9</v>
      </c>
      <c r="M1167" t="s">
        <v>24</v>
      </c>
      <c r="N1167">
        <f t="shared" si="54"/>
        <v>13.594643645813491</v>
      </c>
      <c r="O1167" t="str">
        <f t="shared" si="55"/>
        <v/>
      </c>
      <c r="P1167" s="67" cm="1">
        <f t="array" ref="P1167">SUMPRODUCT((H1167=$H$7:$H$10000)*(N1167&lt;$N$7:$N$10000))+1</f>
        <v>10</v>
      </c>
      <c r="Q1167" s="72"/>
      <c r="R1167">
        <v>16</v>
      </c>
      <c r="S1167" t="str">
        <v>UTAH</v>
      </c>
      <c r="T1167" t="str">
        <v>D'Angelo Leuila</v>
      </c>
      <c r="U1167" t="str">
        <v>NULL</v>
      </c>
      <c r="V1167" t="str">
        <v>Home</v>
      </c>
      <c r="W1167" t="str">
        <v>ARC</v>
      </c>
      <c r="X1167">
        <v>13.137757494122045</v>
      </c>
    </row>
    <row r="1168" spans="8:24" x14ac:dyDescent="0.35">
      <c r="H1168">
        <v>14</v>
      </c>
      <c r="I1168" t="s">
        <v>23</v>
      </c>
      <c r="J1168" t="s">
        <v>32</v>
      </c>
      <c r="K1168" t="s">
        <v>256</v>
      </c>
      <c r="L1168" t="s">
        <v>9</v>
      </c>
      <c r="M1168" t="s">
        <v>24</v>
      </c>
      <c r="N1168">
        <f t="shared" si="54"/>
        <v>13.414439684479621</v>
      </c>
      <c r="O1168" t="str">
        <f t="shared" si="55"/>
        <v/>
      </c>
      <c r="P1168" s="67" cm="1">
        <f t="array" ref="P1168">SUMPRODUCT((H1168=$H$7:$H$10000)*(N1168&lt;$N$7:$N$10000))+1</f>
        <v>11</v>
      </c>
      <c r="Q1168" s="72"/>
      <c r="R1168">
        <v>16</v>
      </c>
      <c r="S1168" t="str">
        <v>OGDC</v>
      </c>
      <c r="T1168" t="str">
        <v>Jason Robertson</v>
      </c>
      <c r="U1168" t="str">
        <v>NULL</v>
      </c>
      <c r="V1168" t="str">
        <v>Home</v>
      </c>
      <c r="W1168" t="str">
        <v>LA</v>
      </c>
      <c r="X1168">
        <v>12.512825366978495</v>
      </c>
    </row>
    <row r="1169" spans="8:24" x14ac:dyDescent="0.35">
      <c r="H1169">
        <v>14</v>
      </c>
      <c r="I1169" t="s">
        <v>23</v>
      </c>
      <c r="J1169" t="s">
        <v>91</v>
      </c>
      <c r="K1169" t="s">
        <v>256</v>
      </c>
      <c r="L1169" t="s">
        <v>9</v>
      </c>
      <c r="M1169" t="s">
        <v>24</v>
      </c>
      <c r="N1169">
        <f t="shared" si="54"/>
        <v>13.372637493773693</v>
      </c>
      <c r="O1169" t="str">
        <f t="shared" si="55"/>
        <v/>
      </c>
      <c r="P1169" s="67" cm="1">
        <f t="array" ref="P1169">SUMPRODUCT((H1169=$H$7:$H$10000)*(N1169&lt;$N$7:$N$10000))+1</f>
        <v>12</v>
      </c>
      <c r="Q1169" s="72"/>
      <c r="R1169">
        <v>16</v>
      </c>
      <c r="S1169" t="str">
        <v>SDL</v>
      </c>
      <c r="T1169" t="str">
        <v>Richard Judd</v>
      </c>
      <c r="U1169" t="str">
        <v>NULL</v>
      </c>
      <c r="V1169" t="str">
        <v>Away</v>
      </c>
      <c r="W1169" t="str">
        <v>MIA</v>
      </c>
      <c r="X1169">
        <v>12.40701016594107</v>
      </c>
    </row>
    <row r="1170" spans="8:24" x14ac:dyDescent="0.35">
      <c r="H1170">
        <v>14</v>
      </c>
      <c r="I1170" t="s">
        <v>6</v>
      </c>
      <c r="J1170" t="s">
        <v>445</v>
      </c>
      <c r="K1170" t="s">
        <v>256</v>
      </c>
      <c r="L1170" t="s">
        <v>9</v>
      </c>
      <c r="M1170" t="s">
        <v>2</v>
      </c>
      <c r="N1170">
        <f t="shared" si="54"/>
        <v>13.208730943928781</v>
      </c>
      <c r="O1170" t="str">
        <f t="shared" si="55"/>
        <v/>
      </c>
      <c r="P1170" s="67" cm="1">
        <f t="array" ref="P1170">SUMPRODUCT((H1170=$H$7:$H$10000)*(N1170&lt;$N$7:$N$10000))+1</f>
        <v>13</v>
      </c>
      <c r="Q1170" s="72"/>
      <c r="R1170">
        <v>16</v>
      </c>
      <c r="S1170" t="str">
        <v>MIA</v>
      </c>
      <c r="T1170" t="str">
        <v>Tomás Cubilla</v>
      </c>
      <c r="U1170" t="str">
        <v>NULL</v>
      </c>
      <c r="V1170" t="str">
        <v>Home</v>
      </c>
      <c r="W1170" t="str">
        <v>SDL</v>
      </c>
      <c r="X1170">
        <v>12.320212274840245</v>
      </c>
    </row>
    <row r="1171" spans="8:24" x14ac:dyDescent="0.35">
      <c r="H1171">
        <v>14</v>
      </c>
      <c r="I1171" t="s">
        <v>2</v>
      </c>
      <c r="J1171" t="s">
        <v>449</v>
      </c>
      <c r="K1171" t="s">
        <v>256</v>
      </c>
      <c r="L1171" t="s">
        <v>3</v>
      </c>
      <c r="M1171" t="s">
        <v>6</v>
      </c>
      <c r="N1171">
        <f t="shared" si="54"/>
        <v>12.950084015409686</v>
      </c>
      <c r="O1171" t="str">
        <f t="shared" si="55"/>
        <v/>
      </c>
      <c r="P1171" s="67" cm="1">
        <f t="array" ref="P1171">SUMPRODUCT((H1171=$H$7:$H$10000)*(N1171&lt;$N$7:$N$10000))+1</f>
        <v>14</v>
      </c>
      <c r="Q1171" s="72"/>
      <c r="R1171">
        <v>16</v>
      </c>
      <c r="S1171" t="str">
        <v>SDL</v>
      </c>
      <c r="T1171" t="str">
        <v>Tiaan Loots</v>
      </c>
      <c r="U1171" t="str">
        <v>NULL</v>
      </c>
      <c r="V1171" t="str">
        <v>Away</v>
      </c>
      <c r="W1171" t="str">
        <v>MIA</v>
      </c>
      <c r="X1171">
        <v>12.31193889724303</v>
      </c>
    </row>
    <row r="1172" spans="8:24" x14ac:dyDescent="0.35">
      <c r="H1172">
        <v>14</v>
      </c>
      <c r="I1172" t="s">
        <v>13</v>
      </c>
      <c r="J1172" t="s">
        <v>494</v>
      </c>
      <c r="K1172" t="s">
        <v>256</v>
      </c>
      <c r="L1172" t="s">
        <v>9</v>
      </c>
      <c r="M1172" t="s">
        <v>36</v>
      </c>
      <c r="N1172">
        <f t="shared" si="54"/>
        <v>12.658523371889309</v>
      </c>
      <c r="O1172" t="str">
        <f t="shared" si="55"/>
        <v/>
      </c>
      <c r="P1172" s="67" cm="1">
        <f t="array" ref="P1172">SUMPRODUCT((H1172=$H$7:$H$10000)*(N1172&lt;$N$7:$N$10000))+1</f>
        <v>15</v>
      </c>
      <c r="Q1172" s="72"/>
      <c r="R1172">
        <v>16</v>
      </c>
      <c r="S1172" t="str">
        <v>LA</v>
      </c>
      <c r="T1172" t="str">
        <v>Billy Meakes</v>
      </c>
      <c r="U1172" t="str">
        <v>NULL</v>
      </c>
      <c r="V1172" t="str">
        <v>Away</v>
      </c>
      <c r="W1172" t="str">
        <v>OGDC</v>
      </c>
      <c r="X1172">
        <v>12.200022315912635</v>
      </c>
    </row>
    <row r="1173" spans="8:24" x14ac:dyDescent="0.35">
      <c r="H1173">
        <v>14</v>
      </c>
      <c r="I1173" t="s">
        <v>34</v>
      </c>
      <c r="J1173" t="s">
        <v>41</v>
      </c>
      <c r="K1173" t="s">
        <v>256</v>
      </c>
      <c r="L1173" t="s">
        <v>9</v>
      </c>
      <c r="M1173" t="s">
        <v>17</v>
      </c>
      <c r="N1173">
        <f t="shared" si="54"/>
        <v>12.648515911435625</v>
      </c>
      <c r="O1173" t="str">
        <f t="shared" si="55"/>
        <v/>
      </c>
      <c r="P1173" s="67" cm="1">
        <f t="array" ref="P1173">SUMPRODUCT((H1173=$H$7:$H$10000)*(N1173&lt;$N$7:$N$10000))+1</f>
        <v>16</v>
      </c>
      <c r="Q1173" s="72"/>
      <c r="R1173">
        <v>16</v>
      </c>
      <c r="S1173" t="str">
        <v>NEFJ</v>
      </c>
      <c r="T1173" t="str">
        <v>Jayson Potroz</v>
      </c>
      <c r="U1173" t="str">
        <v>NULL</v>
      </c>
      <c r="V1173" t="str">
        <v>Home</v>
      </c>
      <c r="W1173" t="str">
        <v>SEA</v>
      </c>
      <c r="X1173">
        <v>11.821699822017383</v>
      </c>
    </row>
    <row r="1174" spans="8:24" x14ac:dyDescent="0.35">
      <c r="H1174">
        <v>14</v>
      </c>
      <c r="I1174" t="s">
        <v>2</v>
      </c>
      <c r="J1174" t="s">
        <v>63</v>
      </c>
      <c r="K1174" t="s">
        <v>256</v>
      </c>
      <c r="L1174" t="s">
        <v>3</v>
      </c>
      <c r="M1174" t="s">
        <v>6</v>
      </c>
      <c r="N1174">
        <f t="shared" si="54"/>
        <v>12.058814979612771</v>
      </c>
      <c r="O1174" t="str">
        <f t="shared" si="55"/>
        <v/>
      </c>
      <c r="P1174" s="67" cm="1">
        <f t="array" ref="P1174">SUMPRODUCT((H1174=$H$7:$H$10000)*(N1174&lt;$N$7:$N$10000))+1</f>
        <v>17</v>
      </c>
      <c r="Q1174" s="72"/>
      <c r="R1174">
        <v>16</v>
      </c>
      <c r="S1174" t="str">
        <v>SEA</v>
      </c>
      <c r="T1174" t="str">
        <v>Eddie Fouche</v>
      </c>
      <c r="U1174" t="str">
        <v>NULL</v>
      </c>
      <c r="V1174" t="str">
        <v>Away</v>
      </c>
      <c r="W1174" t="str">
        <v>NEFJ</v>
      </c>
      <c r="X1174">
        <v>11.681154755887784</v>
      </c>
    </row>
    <row r="1175" spans="8:24" x14ac:dyDescent="0.35">
      <c r="H1175">
        <v>14</v>
      </c>
      <c r="I1175" t="s">
        <v>6</v>
      </c>
      <c r="J1175" t="s">
        <v>442</v>
      </c>
      <c r="K1175" t="s">
        <v>256</v>
      </c>
      <c r="L1175" t="s">
        <v>9</v>
      </c>
      <c r="M1175" t="s">
        <v>2</v>
      </c>
      <c r="N1175">
        <f t="shared" si="54"/>
        <v>12.057498321960972</v>
      </c>
      <c r="O1175" t="str">
        <f t="shared" si="55"/>
        <v/>
      </c>
      <c r="P1175" s="67" cm="1">
        <f t="array" ref="P1175">SUMPRODUCT((H1175=$H$7:$H$10000)*(N1175&lt;$N$7:$N$10000))+1</f>
        <v>18</v>
      </c>
      <c r="Q1175" s="72"/>
      <c r="R1175">
        <v>16</v>
      </c>
      <c r="S1175" t="str">
        <v>CHI</v>
      </c>
      <c r="T1175" t="str">
        <v>Nate Augspurger</v>
      </c>
      <c r="U1175" t="str">
        <v>NULL</v>
      </c>
      <c r="V1175" t="str">
        <v>Home</v>
      </c>
      <c r="W1175" t="str">
        <v>NOLA</v>
      </c>
      <c r="X1175">
        <v>11.241527227254302</v>
      </c>
    </row>
    <row r="1176" spans="8:24" x14ac:dyDescent="0.35">
      <c r="H1176">
        <v>14</v>
      </c>
      <c r="I1176" t="s">
        <v>24</v>
      </c>
      <c r="J1176" t="s">
        <v>84</v>
      </c>
      <c r="K1176" t="s">
        <v>256</v>
      </c>
      <c r="L1176" t="s">
        <v>3</v>
      </c>
      <c r="M1176" t="s">
        <v>23</v>
      </c>
      <c r="N1176">
        <f t="shared" si="54"/>
        <v>11.934730843759388</v>
      </c>
      <c r="O1176" t="str">
        <f t="shared" si="55"/>
        <v/>
      </c>
      <c r="P1176" s="67" cm="1">
        <f t="array" ref="P1176">SUMPRODUCT((H1176=$H$7:$H$10000)*(N1176&lt;$N$7:$N$10000))+1</f>
        <v>19</v>
      </c>
      <c r="Q1176" s="72"/>
      <c r="R1176">
        <v>16</v>
      </c>
      <c r="S1176" t="str">
        <v>ARC</v>
      </c>
      <c r="T1176" t="str">
        <v>Erich Storti</v>
      </c>
      <c r="U1176" t="str">
        <v>NULL</v>
      </c>
      <c r="V1176" t="str">
        <v>Away</v>
      </c>
      <c r="W1176" t="str">
        <v>UTAH</v>
      </c>
      <c r="X1176">
        <v>11.239517854967529</v>
      </c>
    </row>
    <row r="1177" spans="8:24" x14ac:dyDescent="0.35">
      <c r="H1177">
        <v>14</v>
      </c>
      <c r="I1177" t="s">
        <v>24</v>
      </c>
      <c r="J1177" t="s">
        <v>194</v>
      </c>
      <c r="K1177" t="s">
        <v>256</v>
      </c>
      <c r="L1177" t="s">
        <v>3</v>
      </c>
      <c r="M1177" t="s">
        <v>23</v>
      </c>
      <c r="N1177">
        <f t="shared" si="54"/>
        <v>11.90366697615689</v>
      </c>
      <c r="O1177" t="str">
        <f t="shared" si="55"/>
        <v/>
      </c>
      <c r="P1177" s="67" cm="1">
        <f t="array" ref="P1177">SUMPRODUCT((H1177=$H$7:$H$10000)*(N1177&lt;$N$7:$N$10000))+1</f>
        <v>20</v>
      </c>
      <c r="Q1177" s="72"/>
      <c r="R1177">
        <v>16</v>
      </c>
      <c r="S1177" t="str">
        <v>NOLA</v>
      </c>
      <c r="T1177" t="str">
        <v>Cooper Coats</v>
      </c>
      <c r="U1177" t="str">
        <v>NULL</v>
      </c>
      <c r="V1177" t="str">
        <v>Away</v>
      </c>
      <c r="W1177" t="str">
        <v>CHI</v>
      </c>
      <c r="X1177">
        <v>11.019012313502905</v>
      </c>
    </row>
    <row r="1178" spans="8:24" x14ac:dyDescent="0.35">
      <c r="H1178">
        <v>14</v>
      </c>
      <c r="I1178" t="s">
        <v>24</v>
      </c>
      <c r="J1178" t="s">
        <v>101</v>
      </c>
      <c r="K1178" t="s">
        <v>256</v>
      </c>
      <c r="L1178" t="s">
        <v>3</v>
      </c>
      <c r="M1178" t="s">
        <v>23</v>
      </c>
      <c r="N1178">
        <f t="shared" si="54"/>
        <v>11.753242581770269</v>
      </c>
      <c r="O1178" t="str">
        <f t="shared" si="55"/>
        <v/>
      </c>
      <c r="P1178" s="67" cm="1">
        <f t="array" ref="P1178">SUMPRODUCT((H1178=$H$7:$H$10000)*(N1178&lt;$N$7:$N$10000))+1</f>
        <v>21</v>
      </c>
      <c r="Q1178" s="72"/>
      <c r="R1178">
        <v>16</v>
      </c>
      <c r="S1178" t="str">
        <v>SDL</v>
      </c>
      <c r="T1178" t="str">
        <v>Marcel Brache</v>
      </c>
      <c r="U1178" t="str">
        <v>NULL</v>
      </c>
      <c r="V1178" t="str">
        <v>Away</v>
      </c>
      <c r="W1178" t="str">
        <v>MIA</v>
      </c>
      <c r="X1178">
        <v>10.958756583961581</v>
      </c>
    </row>
    <row r="1179" spans="8:24" x14ac:dyDescent="0.35">
      <c r="H1179">
        <v>14</v>
      </c>
      <c r="I1179" t="s">
        <v>36</v>
      </c>
      <c r="J1179" t="s">
        <v>38</v>
      </c>
      <c r="K1179" t="s">
        <v>256</v>
      </c>
      <c r="L1179" t="s">
        <v>3</v>
      </c>
      <c r="M1179" t="s">
        <v>13</v>
      </c>
      <c r="N1179">
        <f t="shared" si="54"/>
        <v>11.740660629577043</v>
      </c>
      <c r="O1179" t="str">
        <f t="shared" si="55"/>
        <v/>
      </c>
      <c r="P1179" s="67" cm="1">
        <f t="array" ref="P1179">SUMPRODUCT((H1179=$H$7:$H$10000)*(N1179&lt;$N$7:$N$10000))+1</f>
        <v>22</v>
      </c>
      <c r="Q1179" s="72"/>
      <c r="R1179">
        <v>16</v>
      </c>
      <c r="S1179" t="str">
        <v>ARC</v>
      </c>
      <c r="T1179" t="str">
        <v>Mitch Wilson</v>
      </c>
      <c r="U1179" t="str">
        <v>NULL</v>
      </c>
      <c r="V1179" t="str">
        <v>Away</v>
      </c>
      <c r="W1179" t="str">
        <v>UTAH</v>
      </c>
      <c r="X1179">
        <v>10.850848598753235</v>
      </c>
    </row>
    <row r="1180" spans="8:24" x14ac:dyDescent="0.35">
      <c r="H1180">
        <v>14</v>
      </c>
      <c r="I1180" t="s">
        <v>24</v>
      </c>
      <c r="J1180" t="s">
        <v>487</v>
      </c>
      <c r="K1180" t="s">
        <v>256</v>
      </c>
      <c r="L1180" t="s">
        <v>3</v>
      </c>
      <c r="M1180" t="s">
        <v>23</v>
      </c>
      <c r="N1180">
        <f t="shared" si="54"/>
        <v>11.584219734535584</v>
      </c>
      <c r="O1180" t="str">
        <f t="shared" si="55"/>
        <v/>
      </c>
      <c r="P1180" s="67" cm="1">
        <f t="array" ref="P1180">SUMPRODUCT((H1180=$H$7:$H$10000)*(N1180&lt;$N$7:$N$10000))+1</f>
        <v>23</v>
      </c>
      <c r="Q1180" s="72"/>
      <c r="R1180">
        <v>16</v>
      </c>
      <c r="S1180" t="str">
        <v>SEA</v>
      </c>
      <c r="T1180" t="str">
        <v>Rodney Iona</v>
      </c>
      <c r="U1180" t="str">
        <v>NULL</v>
      </c>
      <c r="V1180" t="str">
        <v>Away</v>
      </c>
      <c r="W1180" t="str">
        <v>NEFJ</v>
      </c>
      <c r="X1180">
        <v>10.82606949033196</v>
      </c>
    </row>
    <row r="1181" spans="8:24" x14ac:dyDescent="0.35">
      <c r="H1181">
        <v>14</v>
      </c>
      <c r="I1181" t="s">
        <v>34</v>
      </c>
      <c r="J1181" t="s">
        <v>100</v>
      </c>
      <c r="K1181" t="s">
        <v>256</v>
      </c>
      <c r="L1181" t="s">
        <v>9</v>
      </c>
      <c r="M1181" t="s">
        <v>17</v>
      </c>
      <c r="N1181">
        <f t="shared" si="54"/>
        <v>11.484226601754067</v>
      </c>
      <c r="O1181" t="str">
        <f t="shared" si="55"/>
        <v/>
      </c>
      <c r="P1181" s="67" cm="1">
        <f t="array" ref="P1181">SUMPRODUCT((H1181=$H$7:$H$10000)*(N1181&lt;$N$7:$N$10000))+1</f>
        <v>24</v>
      </c>
      <c r="Q1181" s="72"/>
      <c r="R1181">
        <v>16</v>
      </c>
      <c r="S1181" t="str">
        <v>CHI</v>
      </c>
      <c r="T1181" t="str">
        <v>Michael Hand</v>
      </c>
      <c r="U1181" t="str">
        <v>NULL</v>
      </c>
      <c r="V1181" t="str">
        <v>Home</v>
      </c>
      <c r="W1181" t="str">
        <v>NOLA</v>
      </c>
      <c r="X1181">
        <v>10.688793473583683</v>
      </c>
    </row>
    <row r="1182" spans="8:24" x14ac:dyDescent="0.35">
      <c r="H1182">
        <v>14</v>
      </c>
      <c r="I1182" t="s">
        <v>24</v>
      </c>
      <c r="J1182" t="s">
        <v>439</v>
      </c>
      <c r="K1182" t="s">
        <v>256</v>
      </c>
      <c r="L1182" t="s">
        <v>3</v>
      </c>
      <c r="M1182" t="s">
        <v>23</v>
      </c>
      <c r="N1182">
        <f t="shared" si="54"/>
        <v>11.413531096047587</v>
      </c>
      <c r="O1182" t="str">
        <f t="shared" si="55"/>
        <v/>
      </c>
      <c r="P1182" s="67" cm="1">
        <f t="array" ref="P1182">SUMPRODUCT((H1182=$H$7:$H$10000)*(N1182&lt;$N$7:$N$10000))+1</f>
        <v>25</v>
      </c>
      <c r="Q1182" s="72"/>
      <c r="R1182">
        <v>16</v>
      </c>
      <c r="S1182" t="str">
        <v>UTAH</v>
      </c>
      <c r="T1182" t="str">
        <v>Jordan Trainor</v>
      </c>
      <c r="U1182" t="str">
        <v>NULL</v>
      </c>
      <c r="V1182" t="str">
        <v>Home</v>
      </c>
      <c r="W1182" t="str">
        <v>ARC</v>
      </c>
      <c r="X1182">
        <v>10.635263353991609</v>
      </c>
    </row>
    <row r="1183" spans="8:24" x14ac:dyDescent="0.35">
      <c r="H1183">
        <v>14</v>
      </c>
      <c r="I1183" t="s">
        <v>36</v>
      </c>
      <c r="J1183" t="s">
        <v>71</v>
      </c>
      <c r="K1183" t="s">
        <v>256</v>
      </c>
      <c r="L1183" t="s">
        <v>3</v>
      </c>
      <c r="M1183" t="s">
        <v>13</v>
      </c>
      <c r="N1183">
        <f t="shared" si="54"/>
        <v>11.161101237462205</v>
      </c>
      <c r="O1183" t="str">
        <f t="shared" si="55"/>
        <v/>
      </c>
      <c r="P1183" s="67" cm="1">
        <f t="array" ref="P1183">SUMPRODUCT((H1183=$H$7:$H$10000)*(N1183&lt;$N$7:$N$10000))+1</f>
        <v>26</v>
      </c>
      <c r="Q1183" s="72"/>
      <c r="R1183">
        <v>16</v>
      </c>
      <c r="S1183" t="str">
        <v>NEFJ</v>
      </c>
      <c r="T1183" t="str">
        <v>Wayne van der Bank</v>
      </c>
      <c r="U1183" t="str">
        <v>NULL</v>
      </c>
      <c r="V1183" t="str">
        <v>Home</v>
      </c>
      <c r="W1183" t="str">
        <v>SEA</v>
      </c>
      <c r="X1183">
        <v>10.620909420235757</v>
      </c>
    </row>
    <row r="1184" spans="8:24" x14ac:dyDescent="0.35">
      <c r="H1184">
        <v>14</v>
      </c>
      <c r="I1184" t="s">
        <v>36</v>
      </c>
      <c r="J1184" t="s">
        <v>78</v>
      </c>
      <c r="K1184" t="s">
        <v>256</v>
      </c>
      <c r="L1184" t="s">
        <v>3</v>
      </c>
      <c r="M1184" t="s">
        <v>13</v>
      </c>
      <c r="N1184">
        <f t="shared" si="54"/>
        <v>11.154714720242252</v>
      </c>
      <c r="O1184" t="str">
        <f t="shared" si="55"/>
        <v/>
      </c>
      <c r="P1184" s="67" cm="1">
        <f t="array" ref="P1184">SUMPRODUCT((H1184=$H$7:$H$10000)*(N1184&lt;$N$7:$N$10000))+1</f>
        <v>27</v>
      </c>
      <c r="Q1184" s="72"/>
      <c r="R1184">
        <v>16</v>
      </c>
      <c r="S1184" t="str">
        <v>ARC</v>
      </c>
      <c r="T1184" t="str">
        <v>Line Latu</v>
      </c>
      <c r="U1184" t="str">
        <v>NULL</v>
      </c>
      <c r="V1184" t="str">
        <v>Away</v>
      </c>
      <c r="W1184" t="str">
        <v>UTAH</v>
      </c>
      <c r="X1184">
        <v>10.589254013190066</v>
      </c>
    </row>
    <row r="1185" spans="8:24" x14ac:dyDescent="0.35">
      <c r="H1185">
        <v>14</v>
      </c>
      <c r="I1185" t="s">
        <v>6</v>
      </c>
      <c r="J1185" t="s">
        <v>437</v>
      </c>
      <c r="K1185" t="s">
        <v>256</v>
      </c>
      <c r="L1185" t="s">
        <v>9</v>
      </c>
      <c r="M1185" t="s">
        <v>2</v>
      </c>
      <c r="N1185">
        <f t="shared" si="54"/>
        <v>11.087716406532987</v>
      </c>
      <c r="O1185" t="str">
        <f t="shared" si="55"/>
        <v/>
      </c>
      <c r="P1185" s="67" cm="1">
        <f t="array" ref="P1185">SUMPRODUCT((H1185=$H$7:$H$10000)*(N1185&lt;$N$7:$N$10000))+1</f>
        <v>28</v>
      </c>
      <c r="Q1185" s="72"/>
      <c r="R1185">
        <v>16</v>
      </c>
      <c r="S1185" t="str">
        <v>NEFJ</v>
      </c>
      <c r="T1185" t="str">
        <v>Le Roux Malan</v>
      </c>
      <c r="U1185" t="str">
        <v>NULL</v>
      </c>
      <c r="V1185" t="str">
        <v>Home</v>
      </c>
      <c r="W1185" t="str">
        <v>SEA</v>
      </c>
      <c r="X1185">
        <v>10.440705458901887</v>
      </c>
    </row>
    <row r="1186" spans="8:24" x14ac:dyDescent="0.35">
      <c r="H1186">
        <v>14</v>
      </c>
      <c r="I1186" t="s">
        <v>2</v>
      </c>
      <c r="J1186" t="s">
        <v>455</v>
      </c>
      <c r="K1186" t="s">
        <v>256</v>
      </c>
      <c r="L1186" t="s">
        <v>3</v>
      </c>
      <c r="M1186" t="s">
        <v>6</v>
      </c>
      <c r="N1186">
        <f t="shared" si="54"/>
        <v>11.031397138900203</v>
      </c>
      <c r="O1186" t="str">
        <f t="shared" si="55"/>
        <v/>
      </c>
      <c r="P1186" s="67" cm="1">
        <f t="array" ref="P1186">SUMPRODUCT((H1186=$H$7:$H$10000)*(N1186&lt;$N$7:$N$10000))+1</f>
        <v>29</v>
      </c>
      <c r="Q1186" s="72"/>
      <c r="R1186">
        <v>16</v>
      </c>
      <c r="S1186" t="str">
        <v>NEFJ</v>
      </c>
      <c r="T1186" t="str">
        <v>Paula Balekana</v>
      </c>
      <c r="U1186" t="str">
        <v>NULL</v>
      </c>
      <c r="V1186" t="str">
        <v>Home</v>
      </c>
      <c r="W1186" t="str">
        <v>SEA</v>
      </c>
      <c r="X1186">
        <v>10.398903268195959</v>
      </c>
    </row>
    <row r="1187" spans="8:24" x14ac:dyDescent="0.35">
      <c r="H1187">
        <v>14</v>
      </c>
      <c r="I1187" t="s">
        <v>7</v>
      </c>
      <c r="J1187" t="s">
        <v>67</v>
      </c>
      <c r="K1187" t="s">
        <v>256</v>
      </c>
      <c r="L1187" t="s">
        <v>9</v>
      </c>
      <c r="M1187" t="s">
        <v>14</v>
      </c>
      <c r="N1187">
        <f t="shared" si="54"/>
        <v>10.978633207996587</v>
      </c>
      <c r="O1187" t="str">
        <f t="shared" si="55"/>
        <v/>
      </c>
      <c r="P1187" s="67" cm="1">
        <f t="array" ref="P1187">SUMPRODUCT((H1187=$H$7:$H$10000)*(N1187&lt;$N$7:$N$10000))+1</f>
        <v>30</v>
      </c>
      <c r="Q1187" s="72"/>
      <c r="R1187">
        <v>16</v>
      </c>
      <c r="S1187" t="str">
        <v>SEA</v>
      </c>
      <c r="T1187" t="str">
        <v>Duncan Matthews</v>
      </c>
      <c r="U1187" t="str">
        <v>NULL</v>
      </c>
      <c r="V1187" t="str">
        <v>Away</v>
      </c>
      <c r="W1187" t="str">
        <v>NEFJ</v>
      </c>
      <c r="X1187">
        <v>10.376651738382961</v>
      </c>
    </row>
    <row r="1188" spans="8:24" x14ac:dyDescent="0.35">
      <c r="H1188">
        <v>14</v>
      </c>
      <c r="I1188" t="s">
        <v>6</v>
      </c>
      <c r="J1188" t="s">
        <v>75</v>
      </c>
      <c r="K1188" t="s">
        <v>256</v>
      </c>
      <c r="L1188" t="s">
        <v>9</v>
      </c>
      <c r="M1188" t="s">
        <v>2</v>
      </c>
      <c r="N1188">
        <f t="shared" si="54"/>
        <v>10.832602194388453</v>
      </c>
      <c r="O1188" t="str">
        <f t="shared" si="55"/>
        <v/>
      </c>
      <c r="P1188" s="67" cm="1">
        <f t="array" ref="P1188">SUMPRODUCT((H1188=$H$7:$H$10000)*(N1188&lt;$N$7:$N$10000))+1</f>
        <v>31</v>
      </c>
      <c r="Q1188" s="72"/>
      <c r="R1188">
        <v>16</v>
      </c>
      <c r="S1188" t="str">
        <v>NOLA</v>
      </c>
      <c r="T1188" t="str">
        <v>Julian Roberts</v>
      </c>
      <c r="U1188" t="str">
        <v>NULL</v>
      </c>
      <c r="V1188" t="str">
        <v>Away</v>
      </c>
      <c r="W1188" t="str">
        <v>CHI</v>
      </c>
      <c r="X1188">
        <v>10.373367805237395</v>
      </c>
    </row>
    <row r="1189" spans="8:24" x14ac:dyDescent="0.35">
      <c r="H1189">
        <v>14</v>
      </c>
      <c r="I1189" t="s">
        <v>17</v>
      </c>
      <c r="J1189" t="s">
        <v>492</v>
      </c>
      <c r="K1189" t="s">
        <v>256</v>
      </c>
      <c r="L1189" t="s">
        <v>3</v>
      </c>
      <c r="M1189" t="s">
        <v>34</v>
      </c>
      <c r="N1189">
        <f t="shared" si="54"/>
        <v>10.799023973772133</v>
      </c>
      <c r="O1189" t="str">
        <f t="shared" si="55"/>
        <v/>
      </c>
      <c r="P1189" s="67" cm="1">
        <f t="array" ref="P1189">SUMPRODUCT((H1189=$H$7:$H$10000)*(N1189&lt;$N$7:$N$10000))+1</f>
        <v>32</v>
      </c>
      <c r="Q1189" s="72"/>
      <c r="R1189">
        <v>16</v>
      </c>
      <c r="S1189" t="str">
        <v>MIA</v>
      </c>
      <c r="T1189" t="str">
        <v>Marcos Young</v>
      </c>
      <c r="U1189" t="str">
        <v>NULL</v>
      </c>
      <c r="V1189" t="str">
        <v>Home</v>
      </c>
      <c r="W1189" t="str">
        <v>SDL</v>
      </c>
      <c r="X1189">
        <v>10.341403109820762</v>
      </c>
    </row>
    <row r="1190" spans="8:24" x14ac:dyDescent="0.35">
      <c r="H1190">
        <v>14</v>
      </c>
      <c r="I1190" t="s">
        <v>24</v>
      </c>
      <c r="J1190" t="s">
        <v>96</v>
      </c>
      <c r="K1190" t="s">
        <v>256</v>
      </c>
      <c r="L1190" t="s">
        <v>3</v>
      </c>
      <c r="M1190" t="s">
        <v>23</v>
      </c>
      <c r="N1190">
        <f t="shared" si="54"/>
        <v>10.613517836388803</v>
      </c>
      <c r="O1190" t="str">
        <f t="shared" si="55"/>
        <v/>
      </c>
      <c r="P1190" s="67" cm="1">
        <f t="array" ref="P1190">SUMPRODUCT((H1190=$H$7:$H$10000)*(N1190&lt;$N$7:$N$10000))+1</f>
        <v>33</v>
      </c>
      <c r="Q1190" s="72"/>
      <c r="R1190">
        <v>16</v>
      </c>
      <c r="S1190" t="str">
        <v>MIA</v>
      </c>
      <c r="T1190" t="str">
        <v>Martin Elias</v>
      </c>
      <c r="U1190" t="str">
        <v>NULL</v>
      </c>
      <c r="V1190" t="str">
        <v>Home</v>
      </c>
      <c r="W1190" t="str">
        <v>SDL</v>
      </c>
      <c r="X1190">
        <v>10.310339242218264</v>
      </c>
    </row>
    <row r="1191" spans="8:24" x14ac:dyDescent="0.35">
      <c r="H1191">
        <v>14</v>
      </c>
      <c r="I1191" t="s">
        <v>2</v>
      </c>
      <c r="J1191" t="s">
        <v>44</v>
      </c>
      <c r="K1191" t="s">
        <v>256</v>
      </c>
      <c r="L1191" t="s">
        <v>3</v>
      </c>
      <c r="M1191" t="s">
        <v>6</v>
      </c>
      <c r="N1191">
        <f t="shared" si="54"/>
        <v>10.400510751648522</v>
      </c>
      <c r="O1191" t="str">
        <f t="shared" si="55"/>
        <v/>
      </c>
      <c r="P1191" s="67" cm="1">
        <f t="array" ref="P1191">SUMPRODUCT((H1191=$H$7:$H$10000)*(N1191&lt;$N$7:$N$10000))+1</f>
        <v>34</v>
      </c>
      <c r="Q1191" s="72"/>
      <c r="R1191">
        <v>16</v>
      </c>
      <c r="S1191" t="str">
        <v>SEA</v>
      </c>
      <c r="T1191" t="str">
        <v>Divan Rossouw</v>
      </c>
      <c r="U1191" t="str">
        <v>NULL</v>
      </c>
      <c r="V1191" t="str">
        <v>Away</v>
      </c>
      <c r="W1191" t="str">
        <v>NEFJ</v>
      </c>
      <c r="X1191">
        <v>10.258551561723367</v>
      </c>
    </row>
    <row r="1192" spans="8:24" x14ac:dyDescent="0.35">
      <c r="H1192">
        <v>14</v>
      </c>
      <c r="I1192" t="s">
        <v>6</v>
      </c>
      <c r="J1192" t="s">
        <v>43</v>
      </c>
      <c r="K1192" t="s">
        <v>256</v>
      </c>
      <c r="L1192" t="s">
        <v>9</v>
      </c>
      <c r="M1192" t="s">
        <v>2</v>
      </c>
      <c r="N1192">
        <f t="shared" si="54"/>
        <v>10.339511898804227</v>
      </c>
      <c r="O1192" t="str">
        <f t="shared" si="55"/>
        <v/>
      </c>
      <c r="P1192" s="67" cm="1">
        <f t="array" ref="P1192">SUMPRODUCT((H1192=$H$7:$H$10000)*(N1192&lt;$N$7:$N$10000))+1</f>
        <v>35</v>
      </c>
      <c r="Q1192" s="72"/>
      <c r="R1192">
        <v>16</v>
      </c>
      <c r="S1192" t="str">
        <v>LA</v>
      </c>
      <c r="T1192" t="str">
        <v>Matias Jensen</v>
      </c>
      <c r="U1192" t="str">
        <v>NULL</v>
      </c>
      <c r="V1192" t="str">
        <v>Away</v>
      </c>
      <c r="W1192" t="str">
        <v>OGDC</v>
      </c>
      <c r="X1192">
        <v>10.236264438708245</v>
      </c>
    </row>
    <row r="1193" spans="8:24" x14ac:dyDescent="0.35">
      <c r="H1193">
        <v>14</v>
      </c>
      <c r="I1193" t="s">
        <v>7</v>
      </c>
      <c r="J1193" t="s">
        <v>447</v>
      </c>
      <c r="K1193" t="s">
        <v>256</v>
      </c>
      <c r="L1193" t="s">
        <v>9</v>
      </c>
      <c r="M1193" t="s">
        <v>14</v>
      </c>
      <c r="N1193">
        <f t="shared" si="54"/>
        <v>10.290992147330535</v>
      </c>
      <c r="O1193" t="str">
        <f t="shared" si="55"/>
        <v/>
      </c>
      <c r="P1193" s="67" cm="1">
        <f t="array" ref="P1193">SUMPRODUCT((H1193=$H$7:$H$10000)*(N1193&lt;$N$7:$N$10000))+1</f>
        <v>36</v>
      </c>
      <c r="Q1193" s="72"/>
      <c r="R1193">
        <v>16</v>
      </c>
      <c r="S1193" t="str">
        <v>MIA</v>
      </c>
      <c r="T1193" t="str">
        <v>Tomas Malanos</v>
      </c>
      <c r="U1193" t="str">
        <v>NULL</v>
      </c>
      <c r="V1193" t="str">
        <v>Home</v>
      </c>
      <c r="W1193" t="str">
        <v>SDL</v>
      </c>
      <c r="X1193">
        <v>10.159914847831644</v>
      </c>
    </row>
    <row r="1194" spans="8:24" x14ac:dyDescent="0.35">
      <c r="H1194">
        <v>14</v>
      </c>
      <c r="I1194" t="s">
        <v>34</v>
      </c>
      <c r="J1194" t="s">
        <v>52</v>
      </c>
      <c r="K1194" t="s">
        <v>256</v>
      </c>
      <c r="L1194" t="s">
        <v>9</v>
      </c>
      <c r="M1194" t="s">
        <v>17</v>
      </c>
      <c r="N1194">
        <f t="shared" si="54"/>
        <v>10.155895998246322</v>
      </c>
      <c r="O1194" t="str">
        <f t="shared" si="55"/>
        <v/>
      </c>
      <c r="P1194" s="67" cm="1">
        <f t="array" ref="P1194">SUMPRODUCT((H1194=$H$7:$H$10000)*(N1194&lt;$N$7:$N$10000))+1</f>
        <v>37</v>
      </c>
      <c r="Q1194" s="72"/>
      <c r="R1194">
        <v>16</v>
      </c>
      <c r="S1194" t="str">
        <v>MIA</v>
      </c>
      <c r="T1194" t="str">
        <v>Tomás Inciarte</v>
      </c>
      <c r="U1194" t="str">
        <v>NULL</v>
      </c>
      <c r="V1194" t="str">
        <v>Home</v>
      </c>
      <c r="W1194" t="str">
        <v>SDL</v>
      </c>
      <c r="X1194">
        <v>9.9908920005969577</v>
      </c>
    </row>
    <row r="1195" spans="8:24" x14ac:dyDescent="0.35">
      <c r="H1195">
        <v>14</v>
      </c>
      <c r="I1195" t="s">
        <v>6</v>
      </c>
      <c r="J1195" t="s">
        <v>454</v>
      </c>
      <c r="K1195" t="s">
        <v>256</v>
      </c>
      <c r="L1195" t="s">
        <v>9</v>
      </c>
      <c r="M1195" t="s">
        <v>2</v>
      </c>
      <c r="N1195">
        <f t="shared" si="54"/>
        <v>10.040846231154482</v>
      </c>
      <c r="O1195" t="str">
        <f t="shared" si="55"/>
        <v/>
      </c>
      <c r="P1195" s="67" cm="1">
        <f t="array" ref="P1195">SUMPRODUCT((H1195=$H$7:$H$10000)*(N1195&lt;$N$7:$N$10000))+1</f>
        <v>38</v>
      </c>
      <c r="Q1195" s="72"/>
      <c r="R1195">
        <v>16</v>
      </c>
      <c r="S1195" t="str">
        <v>NOLA</v>
      </c>
      <c r="T1195" t="str">
        <v>Xavier Mignot</v>
      </c>
      <c r="U1195" t="str">
        <v>NULL</v>
      </c>
      <c r="V1195" t="str">
        <v>Away</v>
      </c>
      <c r="W1195" t="str">
        <v>CHI</v>
      </c>
      <c r="X1195">
        <v>9.9303245952325518</v>
      </c>
    </row>
    <row r="1196" spans="8:24" x14ac:dyDescent="0.35">
      <c r="H1196">
        <v>14</v>
      </c>
      <c r="I1196" t="s">
        <v>34</v>
      </c>
      <c r="J1196" t="s">
        <v>192</v>
      </c>
      <c r="K1196" t="s">
        <v>256</v>
      </c>
      <c r="L1196" t="s">
        <v>9</v>
      </c>
      <c r="M1196" t="s">
        <v>17</v>
      </c>
      <c r="N1196">
        <f t="shared" si="54"/>
        <v>9.997117737107347</v>
      </c>
      <c r="O1196" t="str">
        <f t="shared" si="55"/>
        <v/>
      </c>
      <c r="P1196" s="67" cm="1">
        <f t="array" ref="P1196">SUMPRODUCT((H1196=$H$7:$H$10000)*(N1196&lt;$N$7:$N$10000))+1</f>
        <v>39</v>
      </c>
      <c r="Q1196" s="72"/>
      <c r="R1196">
        <v>16</v>
      </c>
      <c r="S1196" t="str">
        <v>MIA</v>
      </c>
      <c r="T1196" t="str">
        <v>Tomás Cubelli</v>
      </c>
      <c r="U1196" t="str">
        <v>NULL</v>
      </c>
      <c r="V1196" t="str">
        <v>Home</v>
      </c>
      <c r="W1196" t="str">
        <v>SDL</v>
      </c>
      <c r="X1196">
        <v>9.8202033621089608</v>
      </c>
    </row>
    <row r="1197" spans="8:24" x14ac:dyDescent="0.35">
      <c r="H1197">
        <v>14</v>
      </c>
      <c r="I1197" t="s">
        <v>17</v>
      </c>
      <c r="J1197" t="s">
        <v>196</v>
      </c>
      <c r="K1197" t="s">
        <v>256</v>
      </c>
      <c r="L1197" t="s">
        <v>3</v>
      </c>
      <c r="M1197" t="s">
        <v>34</v>
      </c>
      <c r="N1197">
        <f t="shared" si="54"/>
        <v>9.9439387082163098</v>
      </c>
      <c r="O1197" t="str">
        <f t="shared" si="55"/>
        <v/>
      </c>
      <c r="P1197" s="67" cm="1">
        <f t="array" ref="P1197">SUMPRODUCT((H1197=$H$7:$H$10000)*(N1197&lt;$N$7:$N$10000))+1</f>
        <v>40</v>
      </c>
      <c r="Q1197" s="72"/>
      <c r="R1197">
        <v>16</v>
      </c>
      <c r="S1197" t="str">
        <v>ARC</v>
      </c>
      <c r="T1197" t="str">
        <v>Karl Keane</v>
      </c>
      <c r="U1197" t="str">
        <v>NULL</v>
      </c>
      <c r="V1197" t="str">
        <v>Away</v>
      </c>
      <c r="W1197" t="str">
        <v>UTAH</v>
      </c>
      <c r="X1197">
        <v>9.6793891416707822</v>
      </c>
    </row>
    <row r="1198" spans="8:24" x14ac:dyDescent="0.35">
      <c r="H1198">
        <v>14</v>
      </c>
      <c r="I1198" t="s">
        <v>34</v>
      </c>
      <c r="J1198" t="s">
        <v>496</v>
      </c>
      <c r="K1198" t="s">
        <v>256</v>
      </c>
      <c r="L1198" t="s">
        <v>9</v>
      </c>
      <c r="M1198" t="s">
        <v>17</v>
      </c>
      <c r="N1198">
        <f t="shared" si="54"/>
        <v>9.8400088797072929</v>
      </c>
      <c r="O1198" t="str">
        <f t="shared" si="55"/>
        <v/>
      </c>
      <c r="P1198" s="67" cm="1">
        <f t="array" ref="P1198">SUMPRODUCT((H1198=$H$7:$H$10000)*(N1198&lt;$N$7:$N$10000))+1</f>
        <v>41</v>
      </c>
      <c r="Q1198" s="72"/>
      <c r="R1198">
        <v>16</v>
      </c>
      <c r="S1198" t="str">
        <v>NOLA</v>
      </c>
      <c r="T1198" t="str">
        <v>Ed Fidow</v>
      </c>
      <c r="U1198" t="str">
        <v>NULL</v>
      </c>
      <c r="V1198" t="str">
        <v>Away</v>
      </c>
      <c r="W1198" t="str">
        <v>CHI</v>
      </c>
      <c r="X1198">
        <v>9.6579572567936083</v>
      </c>
    </row>
    <row r="1199" spans="8:24" x14ac:dyDescent="0.35">
      <c r="H1199">
        <v>14</v>
      </c>
      <c r="I1199" t="s">
        <v>2</v>
      </c>
      <c r="J1199" t="s">
        <v>441</v>
      </c>
      <c r="K1199" t="s">
        <v>256</v>
      </c>
      <c r="L1199" t="s">
        <v>3</v>
      </c>
      <c r="M1199" t="s">
        <v>6</v>
      </c>
      <c r="N1199">
        <f t="shared" si="54"/>
        <v>9.5338190363071433</v>
      </c>
      <c r="O1199" t="str">
        <f t="shared" si="55"/>
        <v/>
      </c>
      <c r="P1199" s="67" cm="1">
        <f t="array" ref="P1199">SUMPRODUCT((H1199=$H$7:$H$10000)*(N1199&lt;$N$7:$N$10000))+1</f>
        <v>42</v>
      </c>
      <c r="Q1199" s="72"/>
      <c r="R1199">
        <v>16</v>
      </c>
      <c r="S1199" t="str">
        <v>SEA</v>
      </c>
      <c r="T1199" t="str">
        <v>Mikaela Kruse</v>
      </c>
      <c r="U1199" t="str">
        <v>NULL</v>
      </c>
      <c r="V1199" t="str">
        <v>Away</v>
      </c>
      <c r="W1199" t="str">
        <v>NEFJ</v>
      </c>
      <c r="X1199">
        <v>9.2567861463541412</v>
      </c>
    </row>
    <row r="1200" spans="8:24" x14ac:dyDescent="0.35">
      <c r="H1200">
        <v>14</v>
      </c>
      <c r="I1200" t="s">
        <v>17</v>
      </c>
      <c r="J1200" t="s">
        <v>497</v>
      </c>
      <c r="K1200" t="s">
        <v>256</v>
      </c>
      <c r="L1200" t="s">
        <v>3</v>
      </c>
      <c r="M1200" t="s">
        <v>34</v>
      </c>
      <c r="N1200">
        <f t="shared" si="54"/>
        <v>9.4945209562673103</v>
      </c>
      <c r="O1200" t="str">
        <f t="shared" si="55"/>
        <v/>
      </c>
      <c r="P1200" s="67" cm="1">
        <f t="array" ref="P1200">SUMPRODUCT((H1200=$H$7:$H$10000)*(N1200&lt;$N$7:$N$10000))+1</f>
        <v>43</v>
      </c>
      <c r="Q1200" s="72"/>
      <c r="R1200">
        <v>16</v>
      </c>
      <c r="S1200" t="str">
        <v>LA</v>
      </c>
      <c r="T1200" t="str">
        <v>Christian Leali'ifano</v>
      </c>
      <c r="U1200" t="str">
        <v>NULL</v>
      </c>
      <c r="V1200" t="str">
        <v>Away</v>
      </c>
      <c r="W1200" t="str">
        <v>OGDC</v>
      </c>
      <c r="X1200">
        <v>9.085031816740436</v>
      </c>
    </row>
    <row r="1201" spans="8:24" x14ac:dyDescent="0.35">
      <c r="H1201">
        <v>14</v>
      </c>
      <c r="I1201" t="s">
        <v>6</v>
      </c>
      <c r="J1201" t="s">
        <v>451</v>
      </c>
      <c r="K1201" t="s">
        <v>256</v>
      </c>
      <c r="L1201" t="s">
        <v>9</v>
      </c>
      <c r="M1201" t="s">
        <v>2</v>
      </c>
      <c r="N1201">
        <f t="shared" si="54"/>
        <v>9.4295512781681357</v>
      </c>
      <c r="O1201" t="str">
        <f t="shared" si="55"/>
        <v/>
      </c>
      <c r="P1201" s="67" cm="1">
        <f t="array" ref="P1201">SUMPRODUCT((H1201=$H$7:$H$10000)*(N1201&lt;$N$7:$N$10000))+1</f>
        <v>44</v>
      </c>
      <c r="Q1201" s="72"/>
      <c r="R1201">
        <v>16</v>
      </c>
      <c r="S1201" t="str">
        <v>MIA</v>
      </c>
      <c r="T1201" t="str">
        <v>Santiago Videla</v>
      </c>
      <c r="U1201" t="str">
        <v>NULL</v>
      </c>
      <c r="V1201" t="str">
        <v>Home</v>
      </c>
      <c r="W1201" t="str">
        <v>SDL</v>
      </c>
      <c r="X1201">
        <v>9.0201901024501776</v>
      </c>
    </row>
    <row r="1202" spans="8:24" x14ac:dyDescent="0.35">
      <c r="H1202">
        <v>14</v>
      </c>
      <c r="I1202" t="s">
        <v>6</v>
      </c>
      <c r="J1202" t="s">
        <v>64</v>
      </c>
      <c r="K1202" t="s">
        <v>256</v>
      </c>
      <c r="L1202" t="s">
        <v>9</v>
      </c>
      <c r="M1202" t="s">
        <v>2</v>
      </c>
      <c r="N1202">
        <f t="shared" si="54"/>
        <v>9.388617733124935</v>
      </c>
      <c r="O1202" t="str">
        <f t="shared" si="55"/>
        <v/>
      </c>
      <c r="P1202" s="67" cm="1">
        <f t="array" ref="P1202">SUMPRODUCT((H1202=$H$7:$H$10000)*(N1202&lt;$N$7:$N$10000))+1</f>
        <v>45</v>
      </c>
      <c r="Q1202" s="72"/>
      <c r="R1202">
        <v>16</v>
      </c>
      <c r="S1202" t="str">
        <v>NOLA</v>
      </c>
      <c r="T1202" t="str">
        <v>JP Du Plessis</v>
      </c>
      <c r="U1202" t="str">
        <v>NULL</v>
      </c>
      <c r="V1202" t="str">
        <v>Away</v>
      </c>
      <c r="W1202" t="str">
        <v>CHI</v>
      </c>
      <c r="X1202">
        <v>8.8317687371137783</v>
      </c>
    </row>
    <row r="1203" spans="8:24" x14ac:dyDescent="0.35">
      <c r="H1203">
        <v>14</v>
      </c>
      <c r="I1203" t="s">
        <v>17</v>
      </c>
      <c r="J1203" t="s">
        <v>37</v>
      </c>
      <c r="K1203" t="s">
        <v>256</v>
      </c>
      <c r="L1203" t="s">
        <v>3</v>
      </c>
      <c r="M1203" t="s">
        <v>34</v>
      </c>
      <c r="N1203">
        <f t="shared" si="54"/>
        <v>9.3764207796077166</v>
      </c>
      <c r="O1203" t="str">
        <f t="shared" si="55"/>
        <v/>
      </c>
      <c r="P1203" s="67" cm="1">
        <f t="array" ref="P1203">SUMPRODUCT((H1203=$H$7:$H$10000)*(N1203&lt;$N$7:$N$10000))+1</f>
        <v>46</v>
      </c>
      <c r="Q1203" s="72"/>
      <c r="R1203">
        <v>16</v>
      </c>
      <c r="S1203" t="str">
        <v>CHI</v>
      </c>
      <c r="T1203" t="str">
        <v>Ollie Devoto</v>
      </c>
      <c r="U1203" t="str">
        <v>NULL</v>
      </c>
      <c r="V1203" t="str">
        <v>Home</v>
      </c>
      <c r="W1203" t="str">
        <v>NOLA</v>
      </c>
      <c r="X1203">
        <v>8.5798959652421818</v>
      </c>
    </row>
    <row r="1204" spans="8:24" x14ac:dyDescent="0.35">
      <c r="H1204">
        <v>14</v>
      </c>
      <c r="I1204" t="s">
        <v>7</v>
      </c>
      <c r="J1204" t="s">
        <v>77</v>
      </c>
      <c r="K1204" t="s">
        <v>256</v>
      </c>
      <c r="L1204" t="s">
        <v>9</v>
      </c>
      <c r="M1204" t="s">
        <v>14</v>
      </c>
      <c r="N1204">
        <f t="shared" si="54"/>
        <v>9.2704589076758062</v>
      </c>
      <c r="O1204" t="str">
        <f t="shared" si="55"/>
        <v/>
      </c>
      <c r="P1204" s="67" cm="1">
        <f t="array" ref="P1204">SUMPRODUCT((H1204=$H$7:$H$10000)*(N1204&lt;$N$7:$N$10000))+1</f>
        <v>47</v>
      </c>
      <c r="Q1204" s="72"/>
      <c r="R1204">
        <v>16</v>
      </c>
      <c r="S1204" t="str">
        <v>UTAH</v>
      </c>
      <c r="T1204" t="str">
        <v>Blake Makiri</v>
      </c>
      <c r="U1204" t="str">
        <v>NULL</v>
      </c>
      <c r="V1204" t="str">
        <v>Home</v>
      </c>
      <c r="W1204" t="str">
        <v>ARC</v>
      </c>
      <c r="X1204">
        <v>8.551445676505903</v>
      </c>
    </row>
    <row r="1205" spans="8:24" x14ac:dyDescent="0.35">
      <c r="H1205">
        <v>14</v>
      </c>
      <c r="I1205" t="s">
        <v>23</v>
      </c>
      <c r="J1205" t="s">
        <v>498</v>
      </c>
      <c r="K1205" t="s">
        <v>256</v>
      </c>
      <c r="L1205" t="s">
        <v>9</v>
      </c>
      <c r="M1205" t="s">
        <v>24</v>
      </c>
      <c r="N1205">
        <f t="shared" si="54"/>
        <v>9.0277865568825781</v>
      </c>
      <c r="O1205" t="str">
        <f t="shared" si="55"/>
        <v/>
      </c>
      <c r="P1205" s="67" cm="1">
        <f t="array" ref="P1205">SUMPRODUCT((H1205=$H$7:$H$10000)*(N1205&lt;$N$7:$N$10000))+1</f>
        <v>48</v>
      </c>
      <c r="Q1205" s="72"/>
      <c r="R1205">
        <v>16</v>
      </c>
      <c r="S1205" t="str">
        <v>SEA</v>
      </c>
      <c r="T1205" t="str">
        <v>JP Smith</v>
      </c>
      <c r="U1205" t="str">
        <v>NULL</v>
      </c>
      <c r="V1205" t="str">
        <v>Away</v>
      </c>
      <c r="W1205" t="str">
        <v>NEFJ</v>
      </c>
      <c r="X1205">
        <v>8.2387162462293411</v>
      </c>
    </row>
    <row r="1206" spans="8:24" x14ac:dyDescent="0.35">
      <c r="H1206">
        <v>14</v>
      </c>
      <c r="I1206" t="s">
        <v>13</v>
      </c>
      <c r="J1206" t="s">
        <v>473</v>
      </c>
      <c r="K1206" t="s">
        <v>256</v>
      </c>
      <c r="L1206" t="s">
        <v>9</v>
      </c>
      <c r="M1206" t="s">
        <v>36</v>
      </c>
      <c r="N1206">
        <f t="shared" si="54"/>
        <v>8.9957681591039584</v>
      </c>
      <c r="O1206" t="str">
        <f t="shared" si="55"/>
        <v/>
      </c>
      <c r="P1206" s="67" cm="1">
        <f t="array" ref="P1206">SUMPRODUCT((H1206=$H$7:$H$10000)*(N1206&lt;$N$7:$N$10000))+1</f>
        <v>49</v>
      </c>
      <c r="Q1206" s="72"/>
      <c r="R1206">
        <v>16</v>
      </c>
      <c r="S1206" t="str">
        <v>LA</v>
      </c>
      <c r="T1206" t="str">
        <v>Gonzalo Bertranou</v>
      </c>
      <c r="U1206" t="str">
        <v>NULL</v>
      </c>
      <c r="V1206" t="str">
        <v>Away</v>
      </c>
      <c r="W1206" t="str">
        <v>OGDC</v>
      </c>
      <c r="X1206">
        <v>8.1152499013124508</v>
      </c>
    </row>
    <row r="1207" spans="8:24" x14ac:dyDescent="0.35">
      <c r="H1207">
        <v>14</v>
      </c>
      <c r="I1207" t="s">
        <v>36</v>
      </c>
      <c r="J1207" t="s">
        <v>491</v>
      </c>
      <c r="K1207" t="s">
        <v>256</v>
      </c>
      <c r="L1207" t="s">
        <v>3</v>
      </c>
      <c r="M1207" t="s">
        <v>13</v>
      </c>
      <c r="N1207">
        <f t="shared" si="54"/>
        <v>8.8256906432084996</v>
      </c>
      <c r="O1207" t="str">
        <f t="shared" si="55"/>
        <v/>
      </c>
      <c r="P1207" s="67" cm="1">
        <f t="array" ref="P1207">SUMPRODUCT((H1207=$H$7:$H$10000)*(N1207&lt;$N$7:$N$10000))+1</f>
        <v>50</v>
      </c>
      <c r="Q1207" s="72"/>
      <c r="R1207">
        <v>16</v>
      </c>
      <c r="S1207" t="str">
        <v>UTAH</v>
      </c>
      <c r="T1207" t="str">
        <v>Spencer Jones</v>
      </c>
      <c r="U1207" t="str">
        <v>NULL</v>
      </c>
      <c r="V1207" t="str">
        <v>Home</v>
      </c>
      <c r="W1207" t="str">
        <v>ARC</v>
      </c>
      <c r="X1207">
        <v>7.8981947494960751</v>
      </c>
    </row>
    <row r="1208" spans="8:24" x14ac:dyDescent="0.35">
      <c r="H1208">
        <v>14</v>
      </c>
      <c r="I1208" t="s">
        <v>34</v>
      </c>
      <c r="J1208" t="s">
        <v>440</v>
      </c>
      <c r="K1208" t="s">
        <v>256</v>
      </c>
      <c r="L1208" t="s">
        <v>9</v>
      </c>
      <c r="M1208" t="s">
        <v>17</v>
      </c>
      <c r="N1208">
        <f t="shared" si="54"/>
        <v>8.7220789885403605</v>
      </c>
      <c r="O1208" t="str">
        <f t="shared" si="55"/>
        <v/>
      </c>
      <c r="P1208" s="67" cm="1">
        <f t="array" ref="P1208">SUMPRODUCT((H1208=$H$7:$H$10000)*(N1208&lt;$N$7:$N$10000))+1</f>
        <v>51</v>
      </c>
      <c r="Q1208" s="72"/>
      <c r="R1208">
        <v>16</v>
      </c>
      <c r="S1208" t="str">
        <v>LA</v>
      </c>
      <c r="T1208" t="str">
        <v>Jack Shaw</v>
      </c>
      <c r="U1208" t="str">
        <v>NULL</v>
      </c>
      <c r="V1208" t="str">
        <v>Away</v>
      </c>
      <c r="W1208" t="str">
        <v>OGDC</v>
      </c>
      <c r="X1208">
        <v>7.8601356891679171</v>
      </c>
    </row>
    <row r="1209" spans="8:24" x14ac:dyDescent="0.35">
      <c r="H1209">
        <v>14</v>
      </c>
      <c r="I1209" t="s">
        <v>34</v>
      </c>
      <c r="J1209" t="s">
        <v>39</v>
      </c>
      <c r="K1209" t="s">
        <v>256</v>
      </c>
      <c r="L1209" t="s">
        <v>9</v>
      </c>
      <c r="M1209" t="s">
        <v>17</v>
      </c>
      <c r="N1209">
        <f t="shared" si="54"/>
        <v>8.6270077198423198</v>
      </c>
      <c r="O1209" t="str">
        <f t="shared" si="55"/>
        <v/>
      </c>
      <c r="P1209" s="67" cm="1">
        <f t="array" ref="P1209">SUMPRODUCT((H1209=$H$7:$H$10000)*(N1209&lt;$N$7:$N$10000))+1</f>
        <v>52</v>
      </c>
      <c r="Q1209" s="72"/>
      <c r="R1209">
        <v>16</v>
      </c>
      <c r="S1209" t="str">
        <v>CHI</v>
      </c>
      <c r="T1209" t="str">
        <v>Adriaan Carelse</v>
      </c>
      <c r="U1209" t="str">
        <v>NULL</v>
      </c>
      <c r="V1209" t="str">
        <v>Home</v>
      </c>
      <c r="W1209" t="str">
        <v>NOLA</v>
      </c>
      <c r="X1209">
        <v>7.6886269294452667</v>
      </c>
    </row>
    <row r="1210" spans="8:24" x14ac:dyDescent="0.35">
      <c r="H1210">
        <v>14</v>
      </c>
      <c r="I1210" t="s">
        <v>14</v>
      </c>
      <c r="J1210" t="s">
        <v>448</v>
      </c>
      <c r="K1210" t="s">
        <v>256</v>
      </c>
      <c r="L1210" t="s">
        <v>3</v>
      </c>
      <c r="M1210" t="s">
        <v>7</v>
      </c>
      <c r="N1210">
        <f t="shared" si="54"/>
        <v>8.3914860416760764</v>
      </c>
      <c r="O1210" t="str">
        <f t="shared" si="55"/>
        <v/>
      </c>
      <c r="P1210" s="67" cm="1">
        <f t="array" ref="P1210">SUMPRODUCT((H1210=$H$7:$H$10000)*(N1210&lt;$N$7:$N$10000))+1</f>
        <v>53</v>
      </c>
      <c r="Q1210" s="72"/>
      <c r="R1210">
        <v>16</v>
      </c>
      <c r="S1210" t="str">
        <v>LA</v>
      </c>
      <c r="T1210" t="str">
        <v>Seth Purdey</v>
      </c>
      <c r="U1210" t="str">
        <v>NULL</v>
      </c>
      <c r="V1210" t="str">
        <v>Away</v>
      </c>
      <c r="W1210" t="str">
        <v>OGDC</v>
      </c>
      <c r="X1210">
        <v>7.3670453935836919</v>
      </c>
    </row>
    <row r="1211" spans="8:24" x14ac:dyDescent="0.35">
      <c r="H1211">
        <v>14</v>
      </c>
      <c r="I1211" t="s">
        <v>17</v>
      </c>
      <c r="J1211" t="s">
        <v>450</v>
      </c>
      <c r="K1211" t="s">
        <v>256</v>
      </c>
      <c r="L1211" t="s">
        <v>3</v>
      </c>
      <c r="M1211" t="s">
        <v>34</v>
      </c>
      <c r="N1211">
        <f t="shared" si="54"/>
        <v>8.3746553642384924</v>
      </c>
      <c r="O1211" t="str">
        <f t="shared" si="55"/>
        <v/>
      </c>
      <c r="P1211" s="67" cm="1">
        <f t="array" ref="P1211">SUMPRODUCT((H1211=$H$7:$H$10000)*(N1211&lt;$N$7:$N$10000))+1</f>
        <v>54</v>
      </c>
      <c r="Q1211" s="72"/>
      <c r="R1211">
        <v>16</v>
      </c>
      <c r="S1211" t="str">
        <v>LA</v>
      </c>
      <c r="T1211" t="str">
        <v>Cameron Gerlach</v>
      </c>
      <c r="U1211" t="str">
        <v>NULL</v>
      </c>
      <c r="V1211" t="str">
        <v>Away</v>
      </c>
      <c r="W1211" t="str">
        <v>OGDC</v>
      </c>
      <c r="X1211">
        <v>7.0683797259339469</v>
      </c>
    </row>
    <row r="1212" spans="8:24" x14ac:dyDescent="0.35">
      <c r="H1212">
        <v>14</v>
      </c>
      <c r="I1212" t="s">
        <v>14</v>
      </c>
      <c r="J1212" t="s">
        <v>87</v>
      </c>
      <c r="K1212" t="s">
        <v>256</v>
      </c>
      <c r="L1212" t="s">
        <v>3</v>
      </c>
      <c r="M1212" t="s">
        <v>7</v>
      </c>
      <c r="N1212">
        <f t="shared" si="54"/>
        <v>8.0028167854617838</v>
      </c>
      <c r="O1212" t="str">
        <f t="shared" si="55"/>
        <v/>
      </c>
      <c r="P1212" s="67" cm="1">
        <f t="array" ref="P1212">SUMPRODUCT((H1212=$H$7:$H$10000)*(N1212&lt;$N$7:$N$10000))+1</f>
        <v>55</v>
      </c>
      <c r="Q1212" s="72"/>
      <c r="R1212">
        <v>16</v>
      </c>
      <c r="S1212" t="str">
        <v>SEA</v>
      </c>
      <c r="T1212" t="str">
        <v>Lauina Futi</v>
      </c>
      <c r="U1212" t="str">
        <v>NULL</v>
      </c>
      <c r="V1212" t="str">
        <v>Away</v>
      </c>
      <c r="W1212" t="str">
        <v>NEFJ</v>
      </c>
      <c r="X1212">
        <v>6.843840402913659</v>
      </c>
    </row>
    <row r="1213" spans="8:24" x14ac:dyDescent="0.35">
      <c r="H1213">
        <v>14</v>
      </c>
      <c r="I1213" t="s">
        <v>14</v>
      </c>
      <c r="J1213" t="s">
        <v>83</v>
      </c>
      <c r="K1213" t="s">
        <v>256</v>
      </c>
      <c r="L1213" t="s">
        <v>3</v>
      </c>
      <c r="M1213" t="s">
        <v>7</v>
      </c>
      <c r="N1213">
        <f t="shared" si="54"/>
        <v>7.7412221998986146</v>
      </c>
      <c r="O1213" t="str">
        <f t="shared" si="55"/>
        <v/>
      </c>
      <c r="P1213" s="67" cm="1">
        <f t="array" ref="P1213">SUMPRODUCT((H1213=$H$7:$H$10000)*(N1213&lt;$N$7:$N$10000))+1</f>
        <v>56</v>
      </c>
      <c r="Q1213" s="72"/>
      <c r="R1213">
        <v>16</v>
      </c>
      <c r="S1213" t="str">
        <v>CHI</v>
      </c>
      <c r="T1213" t="str">
        <v>Ben Pollack</v>
      </c>
      <c r="U1213" t="str">
        <v>NULL</v>
      </c>
      <c r="V1213" t="str">
        <v>Home</v>
      </c>
      <c r="W1213" t="str">
        <v>NOLA</v>
      </c>
      <c r="X1213">
        <v>6.6612090887326998</v>
      </c>
    </row>
    <row r="1214" spans="8:24" x14ac:dyDescent="0.35">
      <c r="H1214">
        <v>14</v>
      </c>
      <c r="I1214" t="s">
        <v>24</v>
      </c>
      <c r="J1214" t="s">
        <v>402</v>
      </c>
      <c r="K1214" t="s">
        <v>256</v>
      </c>
      <c r="L1214" t="s">
        <v>3</v>
      </c>
      <c r="M1214" t="s">
        <v>23</v>
      </c>
      <c r="N1214">
        <f t="shared" si="54"/>
        <v>7.7221064737055709</v>
      </c>
      <c r="O1214" t="str">
        <f t="shared" si="55"/>
        <v/>
      </c>
      <c r="P1214" s="67" cm="1">
        <f t="array" ref="P1214">SUMPRODUCT((H1214=$H$7:$H$10000)*(N1214&lt;$N$7:$N$10000))+1</f>
        <v>57</v>
      </c>
      <c r="Q1214" s="72"/>
      <c r="R1214">
        <v>16</v>
      </c>
      <c r="S1214" t="str">
        <v>LA</v>
      </c>
      <c r="T1214" t="str">
        <v>Nick Chan</v>
      </c>
      <c r="U1214" t="str">
        <v>NULL</v>
      </c>
      <c r="V1214" t="str">
        <v>Away</v>
      </c>
      <c r="W1214" t="str">
        <v>OGDC</v>
      </c>
      <c r="X1214">
        <v>6.4570847729475993</v>
      </c>
    </row>
    <row r="1215" spans="8:24" x14ac:dyDescent="0.35">
      <c r="H1215">
        <v>14</v>
      </c>
      <c r="I1215" t="s">
        <v>2</v>
      </c>
      <c r="J1215" t="s">
        <v>90</v>
      </c>
      <c r="K1215" t="s">
        <v>256</v>
      </c>
      <c r="L1215" t="s">
        <v>3</v>
      </c>
      <c r="M1215" t="s">
        <v>6</v>
      </c>
      <c r="N1215">
        <f t="shared" si="54"/>
        <v>7.6019717999672149</v>
      </c>
      <c r="O1215" t="str">
        <f t="shared" si="55"/>
        <v/>
      </c>
      <c r="P1215" s="67" cm="1">
        <f t="array" ref="P1215">SUMPRODUCT((H1215=$H$7:$H$10000)*(N1215&lt;$N$7:$N$10000))+1</f>
        <v>58</v>
      </c>
      <c r="Q1215" s="72"/>
      <c r="R1215">
        <v>16</v>
      </c>
      <c r="S1215" t="str">
        <v>LA</v>
      </c>
      <c r="T1215" t="str">
        <v>Andrew Coe</v>
      </c>
      <c r="U1215" t="str">
        <v>NULL</v>
      </c>
      <c r="V1215" t="str">
        <v>Away</v>
      </c>
      <c r="W1215" t="str">
        <v>OGDC</v>
      </c>
      <c r="X1215">
        <v>6.4161512279043986</v>
      </c>
    </row>
    <row r="1216" spans="8:24" x14ac:dyDescent="0.35">
      <c r="H1216">
        <v>14</v>
      </c>
      <c r="I1216" t="s">
        <v>17</v>
      </c>
      <c r="J1216" t="s">
        <v>81</v>
      </c>
      <c r="K1216" t="s">
        <v>256</v>
      </c>
      <c r="L1216" t="s">
        <v>3</v>
      </c>
      <c r="M1216" t="s">
        <v>34</v>
      </c>
      <c r="N1216">
        <f t="shared" si="54"/>
        <v>7.3565854641136923</v>
      </c>
      <c r="O1216" t="str">
        <f t="shared" si="55"/>
        <v/>
      </c>
      <c r="P1216" s="67" cm="1">
        <f t="array" ref="P1216">SUMPRODUCT((H1216=$H$7:$H$10000)*(N1216&lt;$N$7:$N$10000))+1</f>
        <v>59</v>
      </c>
      <c r="Q1216" s="72"/>
      <c r="R1216">
        <v>16</v>
      </c>
      <c r="S1216" t="str">
        <v>UTAH</v>
      </c>
      <c r="T1216" t="str">
        <v>Kyle Brown</v>
      </c>
      <c r="U1216" t="str">
        <v>NULL</v>
      </c>
      <c r="V1216" t="str">
        <v>Home</v>
      </c>
      <c r="W1216" t="str">
        <v>ARC</v>
      </c>
      <c r="X1216">
        <v>6.2938890494411686</v>
      </c>
    </row>
    <row r="1217" spans="8:24" x14ac:dyDescent="0.35">
      <c r="H1217">
        <v>14</v>
      </c>
      <c r="I1217" t="s">
        <v>36</v>
      </c>
      <c r="J1217" t="s">
        <v>479</v>
      </c>
      <c r="K1217" t="s">
        <v>256</v>
      </c>
      <c r="L1217" t="s">
        <v>3</v>
      </c>
      <c r="M1217" t="s">
        <v>13</v>
      </c>
      <c r="N1217">
        <f t="shared" si="54"/>
        <v>7.3463482789588888</v>
      </c>
      <c r="O1217" t="str">
        <f t="shared" si="55"/>
        <v/>
      </c>
      <c r="P1217" s="67" cm="1">
        <f t="array" ref="P1217">SUMPRODUCT((H1217=$H$7:$H$10000)*(N1217&lt;$N$7:$N$10000))+1</f>
        <v>60</v>
      </c>
      <c r="Q1217" s="72"/>
      <c r="R1217">
        <v>16</v>
      </c>
      <c r="S1217" t="str">
        <v>OGDC</v>
      </c>
      <c r="T1217" t="str">
        <v>Jason Emery</v>
      </c>
      <c r="U1217" t="str">
        <v>NULL</v>
      </c>
      <c r="V1217" t="str">
        <v>Home</v>
      </c>
      <c r="W1217" t="str">
        <v>LA</v>
      </c>
      <c r="X1217">
        <v>6.1491602377305652</v>
      </c>
    </row>
    <row r="1218" spans="8:24" x14ac:dyDescent="0.35">
      <c r="H1218">
        <v>14</v>
      </c>
      <c r="I1218" t="s">
        <v>2</v>
      </c>
      <c r="J1218" t="s">
        <v>12</v>
      </c>
      <c r="K1218" t="s">
        <v>256</v>
      </c>
      <c r="L1218" t="s">
        <v>3</v>
      </c>
      <c r="M1218" t="s">
        <v>6</v>
      </c>
      <c r="N1218">
        <f t="shared" si="54"/>
        <v>7.3421552456278771</v>
      </c>
      <c r="O1218" t="str">
        <f t="shared" si="55"/>
        <v/>
      </c>
      <c r="P1218" s="67" cm="1">
        <f t="array" ref="P1218">SUMPRODUCT((H1218=$H$7:$H$10000)*(N1218&lt;$N$7:$N$10000))+1</f>
        <v>61</v>
      </c>
      <c r="Q1218" s="72"/>
      <c r="R1218">
        <v>16</v>
      </c>
      <c r="S1218" t="str">
        <v>MIA</v>
      </c>
      <c r="T1218" t="str">
        <v>Matias Orlando</v>
      </c>
      <c r="U1218" t="str">
        <v>NULL</v>
      </c>
      <c r="V1218" t="str">
        <v>Home</v>
      </c>
      <c r="W1218" t="str">
        <v>SDL</v>
      </c>
      <c r="X1218">
        <v>6.1287787397669451</v>
      </c>
    </row>
    <row r="1219" spans="8:24" x14ac:dyDescent="0.35">
      <c r="H1219">
        <v>14</v>
      </c>
      <c r="I1219" t="s">
        <v>2</v>
      </c>
      <c r="J1219" t="s">
        <v>444</v>
      </c>
      <c r="K1219" t="s">
        <v>256</v>
      </c>
      <c r="L1219" t="s">
        <v>3</v>
      </c>
      <c r="M1219" t="s">
        <v>6</v>
      </c>
      <c r="N1219">
        <f t="shared" si="54"/>
        <v>7.3320679037162106</v>
      </c>
      <c r="O1219" t="str">
        <f t="shared" si="55"/>
        <v/>
      </c>
      <c r="P1219" s="67" cm="1">
        <f t="array" ref="P1219">SUMPRODUCT((H1219=$H$7:$H$10000)*(N1219&lt;$N$7:$N$10000))+1</f>
        <v>62</v>
      </c>
      <c r="Q1219" s="72"/>
      <c r="R1219">
        <v>16</v>
      </c>
      <c r="S1219" t="str">
        <v>NOLA</v>
      </c>
      <c r="T1219" t="str">
        <v>Luke Carty</v>
      </c>
      <c r="U1219" t="str">
        <v>NULL</v>
      </c>
      <c r="V1219" t="str">
        <v>Away</v>
      </c>
      <c r="W1219" t="str">
        <v>CHI</v>
      </c>
      <c r="X1219">
        <v>6.0920591504287014</v>
      </c>
    </row>
    <row r="1220" spans="8:24" x14ac:dyDescent="0.35">
      <c r="H1220">
        <v>14</v>
      </c>
      <c r="I1220" t="s">
        <v>34</v>
      </c>
      <c r="J1220" t="s">
        <v>51</v>
      </c>
      <c r="K1220" t="s">
        <v>256</v>
      </c>
      <c r="L1220" t="s">
        <v>9</v>
      </c>
      <c r="M1220" t="s">
        <v>17</v>
      </c>
      <c r="N1220">
        <f t="shared" si="54"/>
        <v>7.2738254065608716</v>
      </c>
      <c r="O1220" t="str">
        <f t="shared" si="55"/>
        <v/>
      </c>
      <c r="P1220" s="67" cm="1">
        <f t="array" ref="P1220">SUMPRODUCT((H1220=$H$7:$H$10000)*(N1220&lt;$N$7:$N$10000))+1</f>
        <v>63</v>
      </c>
      <c r="Q1220" s="72"/>
      <c r="R1220">
        <v>16</v>
      </c>
      <c r="S1220" t="str">
        <v>NEFJ</v>
      </c>
      <c r="T1220" t="str">
        <v>Killian Coghlan</v>
      </c>
      <c r="U1220" t="str">
        <v>NULL</v>
      </c>
      <c r="V1220" t="str">
        <v>Home</v>
      </c>
      <c r="W1220" t="str">
        <v>SEA</v>
      </c>
      <c r="X1220">
        <v>6.0540523313048435</v>
      </c>
    </row>
    <row r="1221" spans="8:24" x14ac:dyDescent="0.35">
      <c r="H1221">
        <v>14</v>
      </c>
      <c r="I1221" t="s">
        <v>36</v>
      </c>
      <c r="J1221" t="s">
        <v>476</v>
      </c>
      <c r="K1221" t="s">
        <v>256</v>
      </c>
      <c r="L1221" t="s">
        <v>3</v>
      </c>
      <c r="M1221" t="s">
        <v>13</v>
      </c>
      <c r="N1221">
        <f t="shared" si="54"/>
        <v>7.1995151187959081</v>
      </c>
      <c r="O1221" t="str">
        <f t="shared" si="55"/>
        <v/>
      </c>
      <c r="P1221" s="67" cm="1">
        <f t="array" ref="P1221">SUMPRODUCT((H1221=$H$7:$H$10000)*(N1221&lt;$N$7:$N$10000))+1</f>
        <v>64</v>
      </c>
      <c r="Q1221" s="72"/>
      <c r="R1221">
        <v>16</v>
      </c>
      <c r="S1221" t="str">
        <v>CHI</v>
      </c>
      <c r="T1221" t="str">
        <v>Bryce Campbell</v>
      </c>
      <c r="U1221" t="str">
        <v>NULL</v>
      </c>
      <c r="V1221" t="str">
        <v>Home</v>
      </c>
      <c r="W1221" t="str">
        <v>NOLA</v>
      </c>
      <c r="X1221">
        <v>6.0303227014810172</v>
      </c>
    </row>
    <row r="1222" spans="8:24" x14ac:dyDescent="0.35">
      <c r="H1222">
        <v>14</v>
      </c>
      <c r="I1222" t="s">
        <v>24</v>
      </c>
      <c r="J1222" t="s">
        <v>35</v>
      </c>
      <c r="K1222" t="s">
        <v>256</v>
      </c>
      <c r="L1222" t="s">
        <v>3</v>
      </c>
      <c r="M1222" t="s">
        <v>23</v>
      </c>
      <c r="N1222">
        <f t="shared" si="54"/>
        <v>6.9158081277892798</v>
      </c>
      <c r="O1222" t="str">
        <f t="shared" si="55"/>
        <v/>
      </c>
      <c r="P1222" s="67" cm="1">
        <f t="array" ref="P1222">SUMPRODUCT((H1222=$H$7:$H$10000)*(N1222&lt;$N$7:$N$10000))+1</f>
        <v>65</v>
      </c>
      <c r="Q1222" s="72"/>
      <c r="R1222">
        <v>16</v>
      </c>
      <c r="S1222" t="str">
        <v>ARC</v>
      </c>
      <c r="T1222" t="str">
        <v>Jason Tidwell</v>
      </c>
      <c r="U1222" t="str">
        <v>NULL</v>
      </c>
      <c r="V1222" t="str">
        <v>Away</v>
      </c>
      <c r="W1222" t="str">
        <v>UTAH</v>
      </c>
      <c r="X1222">
        <v>5.6371805373941406</v>
      </c>
    </row>
    <row r="1223" spans="8:24" x14ac:dyDescent="0.35">
      <c r="H1223">
        <v>14</v>
      </c>
      <c r="I1223" t="s">
        <v>14</v>
      </c>
      <c r="J1223" t="s">
        <v>438</v>
      </c>
      <c r="K1223" t="s">
        <v>256</v>
      </c>
      <c r="L1223" t="s">
        <v>3</v>
      </c>
      <c r="M1223" t="s">
        <v>7</v>
      </c>
      <c r="N1223">
        <f t="shared" si="54"/>
        <v>6.8313573283793314</v>
      </c>
      <c r="O1223" t="str">
        <f t="shared" si="55"/>
        <v/>
      </c>
      <c r="P1223" s="67" cm="1">
        <f t="array" ref="P1223">SUMPRODUCT((H1223=$H$7:$H$10000)*(N1223&lt;$N$7:$N$10000))+1</f>
        <v>66</v>
      </c>
      <c r="Q1223" s="72"/>
      <c r="R1223">
        <v>16</v>
      </c>
      <c r="S1223" t="str">
        <v>NOLA</v>
      </c>
      <c r="T1223" t="str">
        <v>Dorian Jones</v>
      </c>
      <c r="U1223" t="str">
        <v>NULL</v>
      </c>
      <c r="V1223" t="str">
        <v>Away</v>
      </c>
      <c r="W1223" t="str">
        <v>CHI</v>
      </c>
      <c r="X1223">
        <v>5.5940700469968565</v>
      </c>
    </row>
    <row r="1224" spans="8:24" x14ac:dyDescent="0.35">
      <c r="H1224">
        <v>14</v>
      </c>
      <c r="I1224" t="s">
        <v>23</v>
      </c>
      <c r="J1224" t="s">
        <v>443</v>
      </c>
      <c r="K1224" t="s">
        <v>256</v>
      </c>
      <c r="L1224" t="s">
        <v>9</v>
      </c>
      <c r="M1224" t="s">
        <v>24</v>
      </c>
      <c r="N1224">
        <f t="shared" si="54"/>
        <v>6.6172384339532666</v>
      </c>
      <c r="O1224" t="str">
        <f t="shared" si="55"/>
        <v/>
      </c>
      <c r="P1224" s="67" cm="1">
        <f t="array" ref="P1224">SUMPRODUCT((H1224=$H$7:$H$10000)*(N1224&lt;$N$7:$N$10000))+1</f>
        <v>67</v>
      </c>
      <c r="Q1224" s="72"/>
      <c r="R1224">
        <v>16</v>
      </c>
      <c r="S1224" t="str">
        <v>UTAH</v>
      </c>
      <c r="T1224" t="str">
        <v>Logan Crowley</v>
      </c>
      <c r="U1224" t="str">
        <v>NULL</v>
      </c>
      <c r="V1224" t="str">
        <v>Home</v>
      </c>
      <c r="W1224" t="str">
        <v>ARC</v>
      </c>
      <c r="X1224">
        <v>5.5810132316125758</v>
      </c>
    </row>
    <row r="1225" spans="8:24" x14ac:dyDescent="0.35">
      <c r="H1225">
        <v>14</v>
      </c>
      <c r="I1225" t="s">
        <v>13</v>
      </c>
      <c r="J1225" t="s">
        <v>477</v>
      </c>
      <c r="K1225" t="s">
        <v>256</v>
      </c>
      <c r="L1225" t="s">
        <v>9</v>
      </c>
      <c r="M1225" t="s">
        <v>36</v>
      </c>
      <c r="N1225">
        <f t="shared" si="54"/>
        <v>6.4932740189735227</v>
      </c>
      <c r="O1225" t="str">
        <f t="shared" si="55"/>
        <v/>
      </c>
      <c r="P1225" s="67" cm="1">
        <f t="array" ref="P1225">SUMPRODUCT((H1225=$H$7:$H$10000)*(N1225&lt;$N$7:$N$10000))+1</f>
        <v>68</v>
      </c>
      <c r="Q1225" s="72"/>
      <c r="R1225">
        <v>16</v>
      </c>
      <c r="S1225" t="str">
        <v>SEA</v>
      </c>
      <c r="T1225" t="str">
        <v>Dan Kriel</v>
      </c>
      <c r="U1225" t="str">
        <v>NULL</v>
      </c>
      <c r="V1225" t="str">
        <v>Away</v>
      </c>
      <c r="W1225" t="str">
        <v>NEFJ</v>
      </c>
      <c r="X1225">
        <v>5.4860853466701149</v>
      </c>
    </row>
    <row r="1226" spans="8:24" x14ac:dyDescent="0.35">
      <c r="H1226">
        <v>14</v>
      </c>
      <c r="I1226" t="s">
        <v>23</v>
      </c>
      <c r="J1226" t="s">
        <v>127</v>
      </c>
      <c r="K1226" t="s">
        <v>256</v>
      </c>
      <c r="L1226" t="s">
        <v>9</v>
      </c>
      <c r="M1226" t="s">
        <v>24</v>
      </c>
      <c r="N1226">
        <f t="shared" si="54"/>
        <v>6.0703343520859994</v>
      </c>
      <c r="O1226" t="str">
        <f t="shared" si="55"/>
        <v/>
      </c>
      <c r="P1226" s="67" cm="1">
        <f t="array" ref="P1226">SUMPRODUCT((H1226=$H$7:$H$10000)*(N1226&lt;$N$7:$N$10000))+1</f>
        <v>69</v>
      </c>
      <c r="Q1226" s="72"/>
      <c r="R1226">
        <v>16</v>
      </c>
      <c r="S1226" t="str">
        <v>MIA</v>
      </c>
      <c r="T1226" t="str">
        <v>Guiseppe du Toit</v>
      </c>
      <c r="U1226" t="str">
        <v>NULL</v>
      </c>
      <c r="V1226" t="str">
        <v>Home</v>
      </c>
      <c r="W1226" t="str">
        <v>SDL</v>
      </c>
      <c r="X1226">
        <v>5.322480393850654</v>
      </c>
    </row>
    <row r="1227" spans="8:24" x14ac:dyDescent="0.35">
      <c r="H1227">
        <v>14</v>
      </c>
      <c r="I1227" t="s">
        <v>2</v>
      </c>
      <c r="J1227" t="s">
        <v>499</v>
      </c>
      <c r="K1227" t="s">
        <v>256</v>
      </c>
      <c r="L1227" t="s">
        <v>3</v>
      </c>
      <c r="M1227" t="s">
        <v>6</v>
      </c>
      <c r="N1227">
        <f t="shared" si="54"/>
        <v>5.9625385159095412</v>
      </c>
      <c r="O1227" t="str">
        <f t="shared" si="55"/>
        <v/>
      </c>
      <c r="P1227" s="67" cm="1">
        <f t="array" ref="P1227">SUMPRODUCT((H1227=$H$7:$H$10000)*(N1227&lt;$N$7:$N$10000))+1</f>
        <v>70</v>
      </c>
      <c r="Q1227" s="72"/>
      <c r="R1227">
        <v>16</v>
      </c>
      <c r="S1227" t="str">
        <v>CHI</v>
      </c>
      <c r="T1227" t="str">
        <v>Mitch Short</v>
      </c>
      <c r="U1227" t="str">
        <v>NULL</v>
      </c>
      <c r="V1227" t="str">
        <v>Home</v>
      </c>
      <c r="W1227" t="str">
        <v>NOLA</v>
      </c>
      <c r="X1227">
        <v>5.1636309861396379</v>
      </c>
    </row>
    <row r="1228" spans="8:24" x14ac:dyDescent="0.35">
      <c r="H1228">
        <v>14</v>
      </c>
      <c r="I1228" t="s">
        <v>17</v>
      </c>
      <c r="J1228" t="s">
        <v>82</v>
      </c>
      <c r="K1228" t="s">
        <v>256</v>
      </c>
      <c r="L1228" t="s">
        <v>3</v>
      </c>
      <c r="M1228" t="s">
        <v>34</v>
      </c>
      <c r="N1228">
        <f t="shared" ref="N1228:N1291" si="56">VLOOKUP($L1228,$F$3:$G$4,2,FALSE)+VLOOKUP($J1228,$A$20:$B$131,2,FALSE)+VLOOKUP($M1228,$A$6:$B$16,2,FALSE)</f>
        <v>5.9617096207980094</v>
      </c>
      <c r="O1228" t="str">
        <f t="shared" ref="O1228:O1291" si="57">IFERROR(($K1228-$N1228)^2,"")</f>
        <v/>
      </c>
      <c r="P1228" s="67" cm="1">
        <f t="array" ref="P1228">SUMPRODUCT((H1228=$H$7:$H$10000)*(N1228&lt;$N$7:$N$10000))+1</f>
        <v>71</v>
      </c>
      <c r="Q1228" s="72"/>
      <c r="R1228">
        <v>16</v>
      </c>
      <c r="S1228" t="str">
        <v>NOLA</v>
      </c>
      <c r="T1228" t="str">
        <v>Isaac Te Tamaki</v>
      </c>
      <c r="U1228" t="str">
        <v>NULL</v>
      </c>
      <c r="V1228" t="str">
        <v>Away</v>
      </c>
      <c r="W1228" t="str">
        <v>CHI</v>
      </c>
      <c r="X1228">
        <v>5.1466967993599715</v>
      </c>
    </row>
    <row r="1229" spans="8:24" x14ac:dyDescent="0.35">
      <c r="H1229">
        <v>14</v>
      </c>
      <c r="I1229" t="s">
        <v>36</v>
      </c>
      <c r="J1229" t="s">
        <v>490</v>
      </c>
      <c r="K1229" t="s">
        <v>256</v>
      </c>
      <c r="L1229" t="s">
        <v>3</v>
      </c>
      <c r="M1229" t="s">
        <v>13</v>
      </c>
      <c r="N1229">
        <f t="shared" si="56"/>
        <v>5.9241623825543455</v>
      </c>
      <c r="O1229" t="str">
        <f t="shared" si="57"/>
        <v/>
      </c>
      <c r="P1229" s="67" cm="1">
        <f t="array" ref="P1229">SUMPRODUCT((H1229=$H$7:$H$10000)*(N1229&lt;$N$7:$N$10000))+1</f>
        <v>72</v>
      </c>
      <c r="Q1229" s="72"/>
      <c r="R1229">
        <v>16</v>
      </c>
      <c r="S1229" t="str">
        <v>ARC</v>
      </c>
      <c r="T1229" t="str">
        <v>Junior Gafa</v>
      </c>
      <c r="U1229" t="str">
        <v>NULL</v>
      </c>
      <c r="V1229" t="str">
        <v>Away</v>
      </c>
      <c r="W1229" t="str">
        <v>UTAH</v>
      </c>
      <c r="X1229">
        <v>4.9872237586814201</v>
      </c>
    </row>
    <row r="1230" spans="8:24" x14ac:dyDescent="0.35">
      <c r="H1230">
        <v>14</v>
      </c>
      <c r="I1230" t="s">
        <v>23</v>
      </c>
      <c r="J1230" t="s">
        <v>456</v>
      </c>
      <c r="K1230" t="s">
        <v>256</v>
      </c>
      <c r="L1230" t="s">
        <v>9</v>
      </c>
      <c r="M1230" t="s">
        <v>24</v>
      </c>
      <c r="N1230">
        <f t="shared" si="56"/>
        <v>5.3075998335221577</v>
      </c>
      <c r="O1230" t="str">
        <f t="shared" si="57"/>
        <v/>
      </c>
      <c r="P1230" s="67" cm="1">
        <f t="array" ref="P1230">SUMPRODUCT((H1230=$H$7:$H$10000)*(N1230&lt;$N$7:$N$10000))+1</f>
        <v>73</v>
      </c>
      <c r="Q1230" s="72"/>
      <c r="R1230">
        <v>16</v>
      </c>
      <c r="S1230" t="str">
        <v>OGDC</v>
      </c>
      <c r="T1230" t="str">
        <v>Perry Humphreys</v>
      </c>
      <c r="U1230" t="str">
        <v>NULL</v>
      </c>
      <c r="V1230" t="str">
        <v>Home</v>
      </c>
      <c r="W1230" t="str">
        <v>LA</v>
      </c>
      <c r="X1230">
        <v>4.365165358878091</v>
      </c>
    </row>
    <row r="1231" spans="8:24" x14ac:dyDescent="0.35">
      <c r="H1231">
        <v>14</v>
      </c>
      <c r="I1231" t="s">
        <v>23</v>
      </c>
      <c r="J1231" t="s">
        <v>340</v>
      </c>
      <c r="K1231" t="s">
        <v>256</v>
      </c>
      <c r="L1231" t="s">
        <v>9</v>
      </c>
      <c r="M1231" t="s">
        <v>24</v>
      </c>
      <c r="N1231">
        <f t="shared" si="56"/>
        <v>5.0023564047131295</v>
      </c>
      <c r="O1231" t="str">
        <f t="shared" si="57"/>
        <v/>
      </c>
      <c r="P1231" s="67" cm="1">
        <f t="array" ref="P1231">SUMPRODUCT((H1231=$H$7:$H$10000)*(N1231&lt;$N$7:$N$10000))+1</f>
        <v>74</v>
      </c>
      <c r="Q1231" s="72"/>
      <c r="R1231">
        <v>16</v>
      </c>
      <c r="S1231" t="str">
        <v>OGDC</v>
      </c>
      <c r="T1231" t="str">
        <v>Ethan McVeigh</v>
      </c>
      <c r="U1231" t="str">
        <v>NULL</v>
      </c>
      <c r="V1231" t="str">
        <v>Home</v>
      </c>
      <c r="W1231" t="str">
        <v>LA</v>
      </c>
      <c r="X1231">
        <v>4.3323076669301059</v>
      </c>
    </row>
    <row r="1232" spans="8:24" x14ac:dyDescent="0.35">
      <c r="H1232">
        <v>14</v>
      </c>
      <c r="I1232" t="s">
        <v>17</v>
      </c>
      <c r="J1232" t="s">
        <v>16</v>
      </c>
      <c r="K1232" t="s">
        <v>256</v>
      </c>
      <c r="L1232" t="s">
        <v>3</v>
      </c>
      <c r="M1232" t="s">
        <v>34</v>
      </c>
      <c r="N1232">
        <f t="shared" si="56"/>
        <v>4.6039545645544644</v>
      </c>
      <c r="O1232" t="str">
        <f t="shared" si="57"/>
        <v/>
      </c>
      <c r="P1232" s="67" cm="1">
        <f t="array" ref="P1232">SUMPRODUCT((H1232=$H$7:$H$10000)*(N1232&lt;$N$7:$N$10000))+1</f>
        <v>75</v>
      </c>
      <c r="Q1232" s="72"/>
      <c r="R1232">
        <v>16</v>
      </c>
      <c r="S1232" t="str">
        <v>NEFJ</v>
      </c>
      <c r="T1232" t="str">
        <v>Harrison Boyle</v>
      </c>
      <c r="U1232" t="str">
        <v>NULL</v>
      </c>
      <c r="V1232" t="str">
        <v>Home</v>
      </c>
      <c r="W1232" t="str">
        <v>SEA</v>
      </c>
      <c r="X1232">
        <v>3.643504208375532</v>
      </c>
    </row>
    <row r="1233" spans="8:24" x14ac:dyDescent="0.35">
      <c r="H1233">
        <v>14</v>
      </c>
      <c r="I1233" t="s">
        <v>24</v>
      </c>
      <c r="J1233" t="s">
        <v>459</v>
      </c>
      <c r="K1233" t="s">
        <v>256</v>
      </c>
      <c r="L1233" t="s">
        <v>3</v>
      </c>
      <c r="M1233" t="s">
        <v>23</v>
      </c>
      <c r="N1233">
        <f t="shared" si="56"/>
        <v>4.5932129934352295</v>
      </c>
      <c r="O1233" t="str">
        <f t="shared" si="57"/>
        <v/>
      </c>
      <c r="P1233" s="67" cm="1">
        <f t="array" ref="P1233">SUMPRODUCT((H1233=$H$7:$H$10000)*(N1233&lt;$N$7:$N$10000))+1</f>
        <v>76</v>
      </c>
      <c r="Q1233" s="72"/>
      <c r="R1233">
        <v>16</v>
      </c>
      <c r="S1233" t="str">
        <v>CHI</v>
      </c>
      <c r="T1233" t="str">
        <v>Noah Brown</v>
      </c>
      <c r="U1233" t="str">
        <v>NULL</v>
      </c>
      <c r="V1233" t="str">
        <v>Home</v>
      </c>
      <c r="W1233" t="str">
        <v>NOLA</v>
      </c>
      <c r="X1233">
        <v>3.2317837497997104</v>
      </c>
    </row>
    <row r="1234" spans="8:24" x14ac:dyDescent="0.35">
      <c r="H1234">
        <v>14</v>
      </c>
      <c r="I1234" t="s">
        <v>13</v>
      </c>
      <c r="J1234" t="s">
        <v>478</v>
      </c>
      <c r="K1234" t="s">
        <v>256</v>
      </c>
      <c r="L1234" t="s">
        <v>9</v>
      </c>
      <c r="M1234" t="s">
        <v>36</v>
      </c>
      <c r="N1234">
        <f t="shared" si="56"/>
        <v>4.4094563414878163</v>
      </c>
      <c r="O1234" t="str">
        <f t="shared" si="57"/>
        <v/>
      </c>
      <c r="P1234" s="67" cm="1">
        <f t="array" ref="P1234">SUMPRODUCT((H1234=$H$7:$H$10000)*(N1234&lt;$N$7:$N$10000))+1</f>
        <v>77</v>
      </c>
      <c r="Q1234" s="72"/>
      <c r="R1234">
        <v>16</v>
      </c>
      <c r="S1234" t="str">
        <v>SEA</v>
      </c>
      <c r="T1234" t="str">
        <v>Jade Stighling</v>
      </c>
      <c r="U1234" t="str">
        <v>NULL</v>
      </c>
      <c r="V1234" t="str">
        <v>Away</v>
      </c>
      <c r="W1234" t="str">
        <v>NEFJ</v>
      </c>
      <c r="X1234">
        <v>3.2107295107330769</v>
      </c>
    </row>
    <row r="1235" spans="8:24" x14ac:dyDescent="0.35">
      <c r="H1235">
        <v>14</v>
      </c>
      <c r="I1235" t="s">
        <v>36</v>
      </c>
      <c r="J1235" t="s">
        <v>48</v>
      </c>
      <c r="K1235" t="s">
        <v>256</v>
      </c>
      <c r="L1235" t="s">
        <v>3</v>
      </c>
      <c r="M1235" t="s">
        <v>13</v>
      </c>
      <c r="N1235">
        <f t="shared" si="56"/>
        <v>4.3528042149511705</v>
      </c>
      <c r="O1235" t="str">
        <f t="shared" si="57"/>
        <v/>
      </c>
      <c r="P1235" s="67" cm="1">
        <f t="array" ref="P1235">SUMPRODUCT((H1235=$H$7:$H$10000)*(N1235&lt;$N$7:$N$10000))+1</f>
        <v>78</v>
      </c>
      <c r="Q1235" s="72"/>
      <c r="R1235">
        <v>16</v>
      </c>
      <c r="S1235" t="str">
        <v>ARC</v>
      </c>
      <c r="T1235" t="str">
        <v>Conner Mooneyham</v>
      </c>
      <c r="U1235" t="str">
        <v>NULL</v>
      </c>
      <c r="V1235" t="str">
        <v>Away</v>
      </c>
      <c r="W1235" t="str">
        <v>UTAH</v>
      </c>
      <c r="X1235">
        <v>3.1104568420774283</v>
      </c>
    </row>
    <row r="1236" spans="8:24" x14ac:dyDescent="0.35">
      <c r="H1236">
        <v>14</v>
      </c>
      <c r="I1236" t="s">
        <v>36</v>
      </c>
      <c r="J1236" t="s">
        <v>123</v>
      </c>
      <c r="K1236" t="s">
        <v>256</v>
      </c>
      <c r="L1236" t="s">
        <v>3</v>
      </c>
      <c r="M1236" t="s">
        <v>13</v>
      </c>
      <c r="N1236">
        <f t="shared" si="56"/>
        <v>4.1052413135808932</v>
      </c>
      <c r="O1236" t="str">
        <f t="shared" si="57"/>
        <v/>
      </c>
      <c r="P1236" s="67" cm="1">
        <f t="array" ref="P1236">SUMPRODUCT((H1236=$H$7:$H$10000)*(N1236&lt;$N$7:$N$10000))+1</f>
        <v>79</v>
      </c>
      <c r="Q1236" s="72"/>
      <c r="R1236">
        <v>16</v>
      </c>
      <c r="S1236" t="str">
        <v>NEFJ</v>
      </c>
      <c r="T1236" t="str">
        <v>John Poland</v>
      </c>
      <c r="U1236" t="str">
        <v>NULL</v>
      </c>
      <c r="V1236" t="str">
        <v>Home</v>
      </c>
      <c r="W1236" t="str">
        <v>SEA</v>
      </c>
      <c r="X1236">
        <v>3.0966001265082648</v>
      </c>
    </row>
    <row r="1237" spans="8:24" x14ac:dyDescent="0.35">
      <c r="H1237">
        <v>14</v>
      </c>
      <c r="I1237" t="s">
        <v>13</v>
      </c>
      <c r="J1237" t="s">
        <v>53</v>
      </c>
      <c r="K1237" t="s">
        <v>256</v>
      </c>
      <c r="L1237" t="s">
        <v>9</v>
      </c>
      <c r="M1237" t="s">
        <v>36</v>
      </c>
      <c r="N1237">
        <f t="shared" si="56"/>
        <v>3.7562054144779875</v>
      </c>
      <c r="O1237" t="str">
        <f t="shared" si="57"/>
        <v/>
      </c>
      <c r="P1237" s="67" cm="1">
        <f t="array" ref="P1237">SUMPRODUCT((H1237=$H$7:$H$10000)*(N1237&lt;$N$7:$N$10000))+1</f>
        <v>80</v>
      </c>
      <c r="Q1237" s="72"/>
      <c r="R1237">
        <v>16</v>
      </c>
      <c r="S1237" t="str">
        <v>MIA</v>
      </c>
      <c r="T1237" t="str">
        <v>Connor Burns</v>
      </c>
      <c r="U1237" t="str">
        <v>NULL</v>
      </c>
      <c r="V1237" t="str">
        <v>Home</v>
      </c>
      <c r="W1237" t="str">
        <v>SDL</v>
      </c>
      <c r="X1237">
        <v>2.9998852594966037</v>
      </c>
    </row>
    <row r="1238" spans="8:24" x14ac:dyDescent="0.35">
      <c r="H1238">
        <v>14</v>
      </c>
      <c r="I1238" t="s">
        <v>6</v>
      </c>
      <c r="J1238" t="s">
        <v>66</v>
      </c>
      <c r="K1238" t="s">
        <v>256</v>
      </c>
      <c r="L1238" t="s">
        <v>9</v>
      </c>
      <c r="M1238" t="s">
        <v>2</v>
      </c>
      <c r="N1238">
        <f t="shared" si="56"/>
        <v>3.4176480486581946</v>
      </c>
      <c r="O1238" t="str">
        <f t="shared" si="57"/>
        <v/>
      </c>
      <c r="P1238" s="67" cm="1">
        <f t="array" ref="P1238">SUMPRODUCT((H1238=$H$7:$H$10000)*(N1238&lt;$N$7:$N$10000))+1</f>
        <v>81</v>
      </c>
      <c r="Q1238" s="72"/>
      <c r="R1238">
        <v>16</v>
      </c>
      <c r="S1238" t="str">
        <v>CHI</v>
      </c>
      <c r="T1238" t="str">
        <v>Mark O'Keeffe</v>
      </c>
      <c r="U1238" t="str">
        <v>NULL</v>
      </c>
      <c r="V1238" t="str">
        <v>Home</v>
      </c>
      <c r="W1238" t="str">
        <v>NOLA</v>
      </c>
      <c r="X1238">
        <v>2.9719671954603726</v>
      </c>
    </row>
    <row r="1239" spans="8:24" x14ac:dyDescent="0.35">
      <c r="H1239">
        <v>14</v>
      </c>
      <c r="I1239" t="s">
        <v>7</v>
      </c>
      <c r="J1239" t="s">
        <v>19</v>
      </c>
      <c r="K1239" t="s">
        <v>256</v>
      </c>
      <c r="L1239" t="s">
        <v>9</v>
      </c>
      <c r="M1239" t="s">
        <v>14</v>
      </c>
      <c r="N1239">
        <f t="shared" si="56"/>
        <v>2.9067937784278763</v>
      </c>
      <c r="O1239" t="str">
        <f t="shared" si="57"/>
        <v/>
      </c>
      <c r="P1239" s="67" cm="1">
        <f t="array" ref="P1239">SUMPRODUCT((H1239=$H$7:$H$10000)*(N1239&lt;$N$7:$N$10000))+1</f>
        <v>82</v>
      </c>
      <c r="Q1239" s="72"/>
      <c r="R1239">
        <v>16</v>
      </c>
      <c r="S1239" t="str">
        <v>CHI</v>
      </c>
      <c r="T1239" t="str">
        <v>Tim Swiel</v>
      </c>
      <c r="U1239" t="str">
        <v>NULL</v>
      </c>
      <c r="V1239" t="str">
        <v>Home</v>
      </c>
      <c r="W1239" t="str">
        <v>NOLA</v>
      </c>
      <c r="X1239">
        <v>2.9618798535487061</v>
      </c>
    </row>
    <row r="1240" spans="8:24" x14ac:dyDescent="0.35">
      <c r="H1240">
        <v>14</v>
      </c>
      <c r="I1240" t="s">
        <v>36</v>
      </c>
      <c r="J1240" t="s">
        <v>334</v>
      </c>
      <c r="K1240" t="s">
        <v>256</v>
      </c>
      <c r="L1240" t="s">
        <v>3</v>
      </c>
      <c r="M1240" t="s">
        <v>13</v>
      </c>
      <c r="N1240">
        <f t="shared" si="56"/>
        <v>2.8260256887095698</v>
      </c>
      <c r="O1240" t="str">
        <f t="shared" si="57"/>
        <v/>
      </c>
      <c r="P1240" s="67" cm="1">
        <f t="array" ref="P1240">SUMPRODUCT((H1240=$H$7:$H$10000)*(N1240&lt;$N$7:$N$10000))+1</f>
        <v>83</v>
      </c>
      <c r="Q1240" s="72"/>
      <c r="R1240">
        <v>16</v>
      </c>
      <c r="S1240" t="str">
        <v>NOLA</v>
      </c>
      <c r="T1240" t="str">
        <v>Nikolai Foliaki</v>
      </c>
      <c r="U1240" t="str">
        <v>NULL</v>
      </c>
      <c r="V1240" t="str">
        <v>Away</v>
      </c>
      <c r="W1240" t="str">
        <v>CHI</v>
      </c>
      <c r="X1240">
        <v>2.7322964902342743</v>
      </c>
    </row>
    <row r="1241" spans="8:24" x14ac:dyDescent="0.35">
      <c r="H1241">
        <v>14</v>
      </c>
      <c r="I1241" t="s">
        <v>14</v>
      </c>
      <c r="J1241" t="s">
        <v>285</v>
      </c>
      <c r="K1241" t="s">
        <v>256</v>
      </c>
      <c r="L1241" t="s">
        <v>3</v>
      </c>
      <c r="M1241" t="s">
        <v>7</v>
      </c>
      <c r="N1241">
        <f t="shared" si="56"/>
        <v>2.789148724102688</v>
      </c>
      <c r="O1241" t="str">
        <f t="shared" si="57"/>
        <v/>
      </c>
      <c r="P1241" s="67" cm="1">
        <f t="array" ref="P1241">SUMPRODUCT((H1241=$H$7:$H$10000)*(N1241&lt;$N$7:$N$10000))+1</f>
        <v>84</v>
      </c>
      <c r="Q1241" s="72"/>
      <c r="R1241">
        <v>16</v>
      </c>
      <c r="S1241" t="str">
        <v>SEA</v>
      </c>
      <c r="T1241" t="str">
        <v>Jeremiah Sio</v>
      </c>
      <c r="U1241" t="str">
        <v>NULL</v>
      </c>
      <c r="V1241" t="str">
        <v>Away</v>
      </c>
      <c r="W1241" t="str">
        <v>NEFJ</v>
      </c>
      <c r="X1241">
        <v>2.5846996324979834</v>
      </c>
    </row>
    <row r="1242" spans="8:24" x14ac:dyDescent="0.35">
      <c r="H1242">
        <v>14</v>
      </c>
      <c r="I1242" t="s">
        <v>17</v>
      </c>
      <c r="J1242" t="s">
        <v>76</v>
      </c>
      <c r="K1242" t="s">
        <v>256</v>
      </c>
      <c r="L1242" t="s">
        <v>3</v>
      </c>
      <c r="M1242" t="s">
        <v>34</v>
      </c>
      <c r="N1242">
        <f t="shared" si="56"/>
        <v>2.3285987286174263</v>
      </c>
      <c r="O1242" t="str">
        <f t="shared" si="57"/>
        <v/>
      </c>
      <c r="P1242" s="67" cm="1">
        <f t="array" ref="P1242">SUMPRODUCT((H1242=$H$7:$H$10000)*(N1242&lt;$N$7:$N$10000))+1</f>
        <v>85</v>
      </c>
      <c r="Q1242" s="72"/>
      <c r="R1242">
        <v>16</v>
      </c>
      <c r="S1242" t="str">
        <v>NEFJ</v>
      </c>
      <c r="T1242" t="str">
        <v>Simon-Peter Toleafoa</v>
      </c>
      <c r="U1242" t="str">
        <v>NULL</v>
      </c>
      <c r="V1242" t="str">
        <v>Home</v>
      </c>
      <c r="W1242" t="str">
        <v>SEA</v>
      </c>
      <c r="X1242">
        <v>2.333865607944424</v>
      </c>
    </row>
    <row r="1243" spans="8:24" x14ac:dyDescent="0.35">
      <c r="H1243">
        <v>14</v>
      </c>
      <c r="I1243" t="s">
        <v>13</v>
      </c>
      <c r="J1243" t="s">
        <v>474</v>
      </c>
      <c r="K1243" t="s">
        <v>256</v>
      </c>
      <c r="L1243" t="s">
        <v>9</v>
      </c>
      <c r="M1243" t="s">
        <v>36</v>
      </c>
      <c r="N1243">
        <f t="shared" si="56"/>
        <v>2.1518997144230818</v>
      </c>
      <c r="O1243" t="str">
        <f t="shared" si="57"/>
        <v/>
      </c>
      <c r="P1243" s="67" cm="1">
        <f t="array" ref="P1243">SUMPRODUCT((H1243=$H$7:$H$10000)*(N1243&lt;$N$7:$N$10000))+1</f>
        <v>86</v>
      </c>
      <c r="Q1243" s="72"/>
      <c r="R1243">
        <v>16</v>
      </c>
      <c r="S1243" t="str">
        <v>ARC</v>
      </c>
      <c r="T1243" t="str">
        <v>Carlo de Nysschen</v>
      </c>
      <c r="U1243" t="str">
        <v>NULL</v>
      </c>
      <c r="V1243" t="str">
        <v>Away</v>
      </c>
      <c r="W1243" t="str">
        <v>UTAH</v>
      </c>
      <c r="X1243">
        <v>2.1570300241155049</v>
      </c>
    </row>
    <row r="1244" spans="8:24" x14ac:dyDescent="0.35">
      <c r="H1244">
        <v>14</v>
      </c>
      <c r="I1244" t="s">
        <v>14</v>
      </c>
      <c r="J1244" t="s">
        <v>11</v>
      </c>
      <c r="K1244" t="s">
        <v>256</v>
      </c>
      <c r="L1244" t="s">
        <v>3</v>
      </c>
      <c r="M1244" t="s">
        <v>7</v>
      </c>
      <c r="N1244">
        <f t="shared" si="56"/>
        <v>2.1391919453899675</v>
      </c>
      <c r="O1244" t="str">
        <f t="shared" si="57"/>
        <v/>
      </c>
      <c r="P1244" s="67" cm="1">
        <f t="array" ref="P1244">SUMPRODUCT((H1244=$H$7:$H$10000)*(N1244&lt;$N$7:$N$10000))+1</f>
        <v>87</v>
      </c>
      <c r="Q1244" s="72"/>
      <c r="R1244">
        <v>16</v>
      </c>
      <c r="S1244" t="str">
        <v>NEFJ</v>
      </c>
      <c r="T1244" t="str">
        <v>Isaac Olson</v>
      </c>
      <c r="U1244" t="str">
        <v>NULL</v>
      </c>
      <c r="V1244" t="str">
        <v>Home</v>
      </c>
      <c r="W1244" t="str">
        <v>SEA</v>
      </c>
      <c r="X1244">
        <v>2.0286221791353967</v>
      </c>
    </row>
    <row r="1245" spans="8:24" x14ac:dyDescent="0.35">
      <c r="H1245">
        <v>14</v>
      </c>
      <c r="I1245" t="s">
        <v>17</v>
      </c>
      <c r="J1245" t="s">
        <v>458</v>
      </c>
      <c r="K1245" t="s">
        <v>256</v>
      </c>
      <c r="L1245" t="s">
        <v>3</v>
      </c>
      <c r="M1245" t="s">
        <v>34</v>
      </c>
      <c r="N1245">
        <f t="shared" si="56"/>
        <v>1.7025688503823337</v>
      </c>
      <c r="O1245" t="str">
        <f t="shared" si="57"/>
        <v/>
      </c>
      <c r="P1245" s="67" cm="1">
        <f t="array" ref="P1245">SUMPRODUCT((H1245=$H$7:$H$10000)*(N1245&lt;$N$7:$N$10000))+1</f>
        <v>88</v>
      </c>
      <c r="Q1245" s="72"/>
      <c r="R1245">
        <v>16</v>
      </c>
      <c r="S1245" t="str">
        <v>CHI</v>
      </c>
      <c r="T1245" t="str">
        <v>Julian Dominguez</v>
      </c>
      <c r="U1245" t="str">
        <v>NULL</v>
      </c>
      <c r="V1245" t="str">
        <v>Home</v>
      </c>
      <c r="W1245" t="str">
        <v>NOLA</v>
      </c>
      <c r="X1245">
        <v>1.5923504657420366</v>
      </c>
    </row>
    <row r="1246" spans="8:24" x14ac:dyDescent="0.35">
      <c r="H1246">
        <v>14</v>
      </c>
      <c r="I1246" t="s">
        <v>13</v>
      </c>
      <c r="J1246" t="s">
        <v>472</v>
      </c>
      <c r="K1246" t="s">
        <v>256</v>
      </c>
      <c r="L1246" t="s">
        <v>9</v>
      </c>
      <c r="M1246" t="s">
        <v>36</v>
      </c>
      <c r="N1246">
        <f t="shared" si="56"/>
        <v>1.439023896594489</v>
      </c>
      <c r="O1246" t="str">
        <f t="shared" si="57"/>
        <v/>
      </c>
      <c r="P1246" s="67" cm="1">
        <f t="array" ref="P1246">SUMPRODUCT((H1246=$H$7:$H$10000)*(N1246&lt;$N$7:$N$10000))+1</f>
        <v>89</v>
      </c>
      <c r="Q1246" s="72"/>
      <c r="R1246">
        <v>16</v>
      </c>
      <c r="S1246" t="str">
        <v>ARC</v>
      </c>
      <c r="T1246" t="str">
        <v>Ashawnty Staples Flowers</v>
      </c>
      <c r="U1246" t="str">
        <v>NULL</v>
      </c>
      <c r="V1246" t="str">
        <v>Away</v>
      </c>
      <c r="W1246" t="str">
        <v>UTAH</v>
      </c>
      <c r="X1246">
        <v>0.96840699205296232</v>
      </c>
    </row>
    <row r="1247" spans="8:24" x14ac:dyDescent="0.35">
      <c r="H1247">
        <v>14</v>
      </c>
      <c r="I1247" t="s">
        <v>7</v>
      </c>
      <c r="J1247" t="s">
        <v>92</v>
      </c>
      <c r="K1247" t="s">
        <v>256</v>
      </c>
      <c r="L1247" t="s">
        <v>9</v>
      </c>
      <c r="M1247" t="s">
        <v>14</v>
      </c>
      <c r="N1247">
        <f t="shared" si="56"/>
        <v>1.1227988995754004</v>
      </c>
      <c r="O1247" t="str">
        <f t="shared" si="57"/>
        <v/>
      </c>
      <c r="P1247" s="67" cm="1">
        <f t="array" ref="P1247">SUMPRODUCT((H1247=$H$7:$H$10000)*(N1247&lt;$N$7:$N$10000))+1</f>
        <v>90</v>
      </c>
      <c r="Q1247" s="72"/>
      <c r="R1247">
        <v>16</v>
      </c>
      <c r="S1247" t="str">
        <v>LA</v>
      </c>
      <c r="T1247" t="str">
        <v>Christian Dyer</v>
      </c>
      <c r="U1247" t="str">
        <v>NULL</v>
      </c>
      <c r="V1247" t="str">
        <v>Away</v>
      </c>
      <c r="W1247" t="str">
        <v>OGDC</v>
      </c>
      <c r="X1247">
        <v>0.44518154343765826</v>
      </c>
    </row>
    <row r="1248" spans="8:24" x14ac:dyDescent="0.35">
      <c r="H1248">
        <v>14</v>
      </c>
      <c r="I1248" t="s">
        <v>7</v>
      </c>
      <c r="J1248" t="s">
        <v>131</v>
      </c>
      <c r="K1248" t="s">
        <v>256</v>
      </c>
      <c r="L1248" t="s">
        <v>9</v>
      </c>
      <c r="M1248" t="s">
        <v>14</v>
      </c>
      <c r="N1248">
        <f t="shared" si="56"/>
        <v>1.0899412076274153</v>
      </c>
      <c r="O1248" t="str">
        <f t="shared" si="57"/>
        <v/>
      </c>
      <c r="P1248" s="67" cm="1">
        <f t="array" ref="P1248">SUMPRODUCT((H1248=$H$7:$H$10000)*(N1248&lt;$N$7:$N$10000))+1</f>
        <v>91</v>
      </c>
      <c r="Q1248" s="72"/>
      <c r="R1248">
        <v>16</v>
      </c>
      <c r="S1248" t="str">
        <v>NOLA</v>
      </c>
      <c r="T1248" t="str">
        <v>Luke Campbell</v>
      </c>
      <c r="U1248" t="str">
        <v>NULL</v>
      </c>
      <c r="V1248" t="str">
        <v>Away</v>
      </c>
      <c r="W1248" t="str">
        <v>CHI</v>
      </c>
      <c r="X1248">
        <v>0.11649611596745579</v>
      </c>
    </row>
    <row r="1249" spans="8:24" x14ac:dyDescent="0.35">
      <c r="H1249">
        <v>14</v>
      </c>
      <c r="I1249" t="s">
        <v>36</v>
      </c>
      <c r="J1249" t="s">
        <v>73</v>
      </c>
      <c r="K1249" t="s">
        <v>256</v>
      </c>
      <c r="L1249" t="s">
        <v>3</v>
      </c>
      <c r="M1249" t="s">
        <v>13</v>
      </c>
      <c r="N1249">
        <f t="shared" si="56"/>
        <v>0.99590810931877627</v>
      </c>
      <c r="O1249" t="str">
        <f t="shared" si="57"/>
        <v/>
      </c>
      <c r="P1249" s="67" cm="1">
        <f t="array" ref="P1249">SUMPRODUCT((H1249=$H$7:$H$10000)*(N1249&lt;$N$7:$N$10000))+1</f>
        <v>92</v>
      </c>
      <c r="Q1249" s="72"/>
      <c r="R1249">
        <v>16</v>
      </c>
      <c r="S1249" t="str">
        <v>NOLA</v>
      </c>
      <c r="T1249" t="str">
        <v>Ruben de Haas</v>
      </c>
      <c r="U1249" t="str">
        <v>NULL</v>
      </c>
      <c r="V1249" t="str">
        <v>Away</v>
      </c>
      <c r="W1249" t="str">
        <v>CHI</v>
      </c>
      <c r="X1249">
        <v>6.9766174185771135E-2</v>
      </c>
    </row>
    <row r="1250" spans="8:24" x14ac:dyDescent="0.35">
      <c r="H1250">
        <v>14</v>
      </c>
      <c r="I1250" t="s">
        <v>14</v>
      </c>
      <c r="J1250" t="s">
        <v>278</v>
      </c>
      <c r="K1250" t="s">
        <v>256</v>
      </c>
      <c r="L1250" t="s">
        <v>3</v>
      </c>
      <c r="M1250" t="s">
        <v>7</v>
      </c>
      <c r="N1250">
        <f t="shared" si="56"/>
        <v>0.26242502878597573</v>
      </c>
      <c r="O1250" t="str">
        <f t="shared" si="57"/>
        <v/>
      </c>
      <c r="P1250" s="67" cm="1">
        <f t="array" ref="P1250">SUMPRODUCT((H1250=$H$7:$H$10000)*(N1250&lt;$N$7:$N$10000))+1</f>
        <v>93</v>
      </c>
      <c r="Q1250" s="72"/>
      <c r="R1250">
        <v>16</v>
      </c>
      <c r="S1250" t="str">
        <v>OGDC</v>
      </c>
      <c r="T1250" t="str">
        <v>Connor Buckley</v>
      </c>
      <c r="U1250" t="str">
        <v>NULL</v>
      </c>
      <c r="V1250" t="str">
        <v>Home</v>
      </c>
      <c r="W1250" t="str">
        <v>LA</v>
      </c>
      <c r="X1250">
        <v>-0.12915033922671704</v>
      </c>
    </row>
    <row r="1251" spans="8:24" x14ac:dyDescent="0.35">
      <c r="H1251">
        <v>14</v>
      </c>
      <c r="I1251" t="s">
        <v>14</v>
      </c>
      <c r="J1251" t="s">
        <v>488</v>
      </c>
      <c r="K1251" t="s">
        <v>256</v>
      </c>
      <c r="L1251" t="s">
        <v>3</v>
      </c>
      <c r="M1251" t="s">
        <v>7</v>
      </c>
      <c r="N1251">
        <f t="shared" si="56"/>
        <v>-0.69100178917594679</v>
      </c>
      <c r="O1251" t="str">
        <f t="shared" si="57"/>
        <v/>
      </c>
      <c r="P1251" s="67" cm="1">
        <f t="array" ref="P1251">SUMPRODUCT((H1251=$H$7:$H$10000)*(N1251&lt;$N$7:$N$10000))+1</f>
        <v>94</v>
      </c>
      <c r="Q1251" s="72"/>
    </row>
    <row r="1252" spans="8:24" x14ac:dyDescent="0.35">
      <c r="H1252">
        <v>14</v>
      </c>
      <c r="I1252" t="s">
        <v>14</v>
      </c>
      <c r="J1252" t="s">
        <v>460</v>
      </c>
      <c r="K1252" t="s">
        <v>256</v>
      </c>
      <c r="L1252" t="s">
        <v>3</v>
      </c>
      <c r="M1252" t="s">
        <v>7</v>
      </c>
      <c r="N1252">
        <f t="shared" si="56"/>
        <v>-1.8796248212384885</v>
      </c>
      <c r="O1252" t="str">
        <f t="shared" si="57"/>
        <v/>
      </c>
      <c r="P1252" s="67" cm="1">
        <f t="array" ref="P1252">SUMPRODUCT((H1252=$H$7:$H$10000)*(N1252&lt;$N$7:$N$10000))+1</f>
        <v>95</v>
      </c>
      <c r="Q1252" s="72"/>
    </row>
    <row r="1253" spans="8:24" x14ac:dyDescent="0.35">
      <c r="H1253">
        <v>14</v>
      </c>
      <c r="I1253" t="s">
        <v>7</v>
      </c>
      <c r="J1253" t="s">
        <v>126</v>
      </c>
      <c r="K1253" t="s">
        <v>256</v>
      </c>
      <c r="L1253" t="s">
        <v>9</v>
      </c>
      <c r="M1253" t="s">
        <v>14</v>
      </c>
      <c r="N1253">
        <f t="shared" si="56"/>
        <v>-3.3715167985294077</v>
      </c>
      <c r="O1253" t="str">
        <f t="shared" si="57"/>
        <v/>
      </c>
      <c r="P1253" s="67" cm="1">
        <f t="array" ref="P1253">SUMPRODUCT((H1253=$H$7:$H$10000)*(N1253&lt;$N$7:$N$10000))+1</f>
        <v>96</v>
      </c>
      <c r="Q1253" s="72"/>
    </row>
    <row r="1254" spans="8:24" x14ac:dyDescent="0.35">
      <c r="H1254">
        <v>15</v>
      </c>
      <c r="I1254" t="s">
        <v>6</v>
      </c>
      <c r="J1254" t="s">
        <v>94</v>
      </c>
      <c r="K1254" t="s">
        <v>256</v>
      </c>
      <c r="L1254" t="s">
        <v>3</v>
      </c>
      <c r="M1254" t="s">
        <v>24</v>
      </c>
      <c r="N1254">
        <f t="shared" si="56"/>
        <v>23.112144061285754</v>
      </c>
      <c r="O1254" t="str">
        <f t="shared" si="57"/>
        <v/>
      </c>
      <c r="P1254" s="67" cm="1">
        <f t="array" ref="P1254">SUMPRODUCT((H1254=$H$7:$H$10000)*(N1254&lt;$N$7:$N$10000))+1</f>
        <v>1</v>
      </c>
      <c r="Q1254" s="72"/>
    </row>
    <row r="1255" spans="8:24" x14ac:dyDescent="0.35">
      <c r="H1255">
        <v>15</v>
      </c>
      <c r="I1255" t="s">
        <v>6</v>
      </c>
      <c r="J1255" t="s">
        <v>8</v>
      </c>
      <c r="K1255" t="s">
        <v>256</v>
      </c>
      <c r="L1255" t="s">
        <v>3</v>
      </c>
      <c r="M1255" t="s">
        <v>24</v>
      </c>
      <c r="N1255">
        <f t="shared" si="56"/>
        <v>19.436531274792028</v>
      </c>
      <c r="O1255" t="str">
        <f t="shared" si="57"/>
        <v/>
      </c>
      <c r="P1255" s="67" cm="1">
        <f t="array" ref="P1255">SUMPRODUCT((H1255=$H$7:$H$10000)*(N1255&lt;$N$7:$N$10000))+1</f>
        <v>2</v>
      </c>
      <c r="Q1255" s="72"/>
    </row>
    <row r="1256" spans="8:24" x14ac:dyDescent="0.35">
      <c r="H1256">
        <v>15</v>
      </c>
      <c r="I1256" t="s">
        <v>7</v>
      </c>
      <c r="J1256" t="s">
        <v>65</v>
      </c>
      <c r="K1256" t="s">
        <v>256</v>
      </c>
      <c r="L1256" t="s">
        <v>9</v>
      </c>
      <c r="M1256" t="s">
        <v>23</v>
      </c>
      <c r="N1256">
        <f t="shared" si="56"/>
        <v>18.699926702575453</v>
      </c>
      <c r="O1256" t="str">
        <f t="shared" si="57"/>
        <v/>
      </c>
      <c r="P1256" s="67" cm="1">
        <f t="array" ref="P1256">SUMPRODUCT((H1256=$H$7:$H$10000)*(N1256&lt;$N$7:$N$10000))+1</f>
        <v>3</v>
      </c>
      <c r="Q1256" s="72"/>
    </row>
    <row r="1257" spans="8:24" x14ac:dyDescent="0.35">
      <c r="H1257">
        <v>15</v>
      </c>
      <c r="I1257" t="s">
        <v>13</v>
      </c>
      <c r="J1257" t="s">
        <v>79</v>
      </c>
      <c r="K1257" t="s">
        <v>256</v>
      </c>
      <c r="L1257" t="s">
        <v>9</v>
      </c>
      <c r="M1257" t="s">
        <v>4</v>
      </c>
      <c r="N1257">
        <f t="shared" si="56"/>
        <v>18.060832663107227</v>
      </c>
      <c r="O1257" t="str">
        <f t="shared" si="57"/>
        <v/>
      </c>
      <c r="P1257" s="67" cm="1">
        <f t="array" ref="P1257">SUMPRODUCT((H1257=$H$7:$H$10000)*(N1257&lt;$N$7:$N$10000))+1</f>
        <v>4</v>
      </c>
      <c r="Q1257" s="72"/>
    </row>
    <row r="1258" spans="8:24" x14ac:dyDescent="0.35">
      <c r="H1258">
        <v>15</v>
      </c>
      <c r="I1258" t="s">
        <v>6</v>
      </c>
      <c r="J1258" t="s">
        <v>445</v>
      </c>
      <c r="K1258" t="s">
        <v>256</v>
      </c>
      <c r="L1258" t="s">
        <v>3</v>
      </c>
      <c r="M1258" t="s">
        <v>24</v>
      </c>
      <c r="N1258">
        <f t="shared" si="56"/>
        <v>17.472773397587638</v>
      </c>
      <c r="O1258" t="str">
        <f t="shared" si="57"/>
        <v/>
      </c>
      <c r="P1258" s="67" cm="1">
        <f t="array" ref="P1258">SUMPRODUCT((H1258=$H$7:$H$10000)*(N1258&lt;$N$7:$N$10000))+1</f>
        <v>5</v>
      </c>
      <c r="Q1258" s="72"/>
    </row>
    <row r="1259" spans="8:24" x14ac:dyDescent="0.35">
      <c r="H1259">
        <v>15</v>
      </c>
      <c r="I1259" t="s">
        <v>6</v>
      </c>
      <c r="J1259" t="s">
        <v>442</v>
      </c>
      <c r="K1259" t="s">
        <v>256</v>
      </c>
      <c r="L1259" t="s">
        <v>3</v>
      </c>
      <c r="M1259" t="s">
        <v>24</v>
      </c>
      <c r="N1259">
        <f t="shared" si="56"/>
        <v>16.32154077561983</v>
      </c>
      <c r="O1259" t="str">
        <f t="shared" si="57"/>
        <v/>
      </c>
      <c r="P1259" s="67" cm="1">
        <f t="array" ref="P1259">SUMPRODUCT((H1259=$H$7:$H$10000)*(N1259&lt;$N$7:$N$10000))+1</f>
        <v>6</v>
      </c>
      <c r="Q1259" s="72"/>
    </row>
    <row r="1260" spans="8:24" x14ac:dyDescent="0.35">
      <c r="H1260">
        <v>15</v>
      </c>
      <c r="I1260" t="s">
        <v>6</v>
      </c>
      <c r="J1260" t="s">
        <v>437</v>
      </c>
      <c r="K1260" t="s">
        <v>256</v>
      </c>
      <c r="L1260" t="s">
        <v>3</v>
      </c>
      <c r="M1260" t="s">
        <v>24</v>
      </c>
      <c r="N1260">
        <f t="shared" si="56"/>
        <v>15.351758860191843</v>
      </c>
      <c r="O1260" t="str">
        <f t="shared" si="57"/>
        <v/>
      </c>
      <c r="P1260" s="67" cm="1">
        <f t="array" ref="P1260">SUMPRODUCT((H1260=$H$7:$H$10000)*(N1260&lt;$N$7:$N$10000))+1</f>
        <v>7</v>
      </c>
      <c r="Q1260" s="72"/>
    </row>
    <row r="1261" spans="8:24" x14ac:dyDescent="0.35">
      <c r="H1261">
        <v>15</v>
      </c>
      <c r="I1261" t="s">
        <v>24</v>
      </c>
      <c r="J1261" t="s">
        <v>446</v>
      </c>
      <c r="K1261" t="s">
        <v>256</v>
      </c>
      <c r="L1261" t="s">
        <v>9</v>
      </c>
      <c r="M1261" t="s">
        <v>6</v>
      </c>
      <c r="N1261">
        <f t="shared" si="56"/>
        <v>15.271551605241308</v>
      </c>
      <c r="O1261" t="str">
        <f t="shared" si="57"/>
        <v/>
      </c>
      <c r="P1261" s="67" cm="1">
        <f t="array" ref="P1261">SUMPRODUCT((H1261=$H$7:$H$10000)*(N1261&lt;$N$7:$N$10000))+1</f>
        <v>8</v>
      </c>
      <c r="Q1261" s="72"/>
    </row>
    <row r="1262" spans="8:24" x14ac:dyDescent="0.35">
      <c r="H1262">
        <v>15</v>
      </c>
      <c r="I1262" t="s">
        <v>6</v>
      </c>
      <c r="J1262" t="s">
        <v>75</v>
      </c>
      <c r="K1262" t="s">
        <v>256</v>
      </c>
      <c r="L1262" t="s">
        <v>3</v>
      </c>
      <c r="M1262" t="s">
        <v>24</v>
      </c>
      <c r="N1262">
        <f t="shared" si="56"/>
        <v>15.09664464804731</v>
      </c>
      <c r="O1262" t="str">
        <f t="shared" si="57"/>
        <v/>
      </c>
      <c r="P1262" s="67" cm="1">
        <f t="array" ref="P1262">SUMPRODUCT((H1262=$H$7:$H$10000)*(N1262&lt;$N$7:$N$10000))+1</f>
        <v>9</v>
      </c>
      <c r="Q1262" s="72"/>
    </row>
    <row r="1263" spans="8:24" x14ac:dyDescent="0.35">
      <c r="H1263">
        <v>15</v>
      </c>
      <c r="I1263" t="s">
        <v>6</v>
      </c>
      <c r="J1263" t="s">
        <v>43</v>
      </c>
      <c r="K1263" t="s">
        <v>256</v>
      </c>
      <c r="L1263" t="s">
        <v>3</v>
      </c>
      <c r="M1263" t="s">
        <v>24</v>
      </c>
      <c r="N1263">
        <f t="shared" si="56"/>
        <v>14.603554352463085</v>
      </c>
      <c r="O1263" t="str">
        <f t="shared" si="57"/>
        <v/>
      </c>
      <c r="P1263" s="67" cm="1">
        <f t="array" ref="P1263">SUMPRODUCT((H1263=$H$7:$H$10000)*(N1263&lt;$N$7:$N$10000))+1</f>
        <v>10</v>
      </c>
      <c r="Q1263" s="72"/>
    </row>
    <row r="1264" spans="8:24" x14ac:dyDescent="0.35">
      <c r="H1264">
        <v>15</v>
      </c>
      <c r="I1264" t="s">
        <v>6</v>
      </c>
      <c r="J1264" t="s">
        <v>454</v>
      </c>
      <c r="K1264" t="s">
        <v>256</v>
      </c>
      <c r="L1264" t="s">
        <v>3</v>
      </c>
      <c r="M1264" t="s">
        <v>24</v>
      </c>
      <c r="N1264">
        <f t="shared" si="56"/>
        <v>14.30488868481334</v>
      </c>
      <c r="O1264" t="str">
        <f t="shared" si="57"/>
        <v/>
      </c>
      <c r="P1264" s="67" cm="1">
        <f t="array" ref="P1264">SUMPRODUCT((H1264=$H$7:$H$10000)*(N1264&lt;$N$7:$N$10000))+1</f>
        <v>11</v>
      </c>
      <c r="Q1264" s="72"/>
    </row>
    <row r="1265" spans="8:17" x14ac:dyDescent="0.35">
      <c r="H1265">
        <v>15</v>
      </c>
      <c r="I1265" t="s">
        <v>13</v>
      </c>
      <c r="J1265" t="s">
        <v>494</v>
      </c>
      <c r="K1265" t="s">
        <v>256</v>
      </c>
      <c r="L1265" t="s">
        <v>9</v>
      </c>
      <c r="M1265" t="s">
        <v>4</v>
      </c>
      <c r="N1265">
        <f t="shared" si="56"/>
        <v>14.250297212396632</v>
      </c>
      <c r="O1265" t="str">
        <f t="shared" si="57"/>
        <v/>
      </c>
      <c r="P1265" s="67" cm="1">
        <f t="array" ref="P1265">SUMPRODUCT((H1265=$H$7:$H$10000)*(N1265&lt;$N$7:$N$10000))+1</f>
        <v>12</v>
      </c>
      <c r="Q1265" s="72"/>
    </row>
    <row r="1266" spans="8:17" x14ac:dyDescent="0.35">
      <c r="H1266">
        <v>15</v>
      </c>
      <c r="I1266" t="s">
        <v>6</v>
      </c>
      <c r="J1266" t="s">
        <v>451</v>
      </c>
      <c r="K1266" t="s">
        <v>256</v>
      </c>
      <c r="L1266" t="s">
        <v>3</v>
      </c>
      <c r="M1266" t="s">
        <v>24</v>
      </c>
      <c r="N1266">
        <f t="shared" si="56"/>
        <v>13.693593731826992</v>
      </c>
      <c r="O1266" t="str">
        <f t="shared" si="57"/>
        <v/>
      </c>
      <c r="P1266" s="67" cm="1">
        <f t="array" ref="P1266">SUMPRODUCT((H1266=$H$7:$H$10000)*(N1266&lt;$N$7:$N$10000))+1</f>
        <v>13</v>
      </c>
      <c r="Q1266" s="72"/>
    </row>
    <row r="1267" spans="8:17" x14ac:dyDescent="0.35">
      <c r="H1267">
        <v>15</v>
      </c>
      <c r="I1267" t="s">
        <v>6</v>
      </c>
      <c r="J1267" t="s">
        <v>64</v>
      </c>
      <c r="K1267" t="s">
        <v>256</v>
      </c>
      <c r="L1267" t="s">
        <v>3</v>
      </c>
      <c r="M1267" t="s">
        <v>24</v>
      </c>
      <c r="N1267">
        <f t="shared" si="56"/>
        <v>13.652660186783791</v>
      </c>
      <c r="O1267" t="str">
        <f t="shared" si="57"/>
        <v/>
      </c>
      <c r="P1267" s="67" cm="1">
        <f t="array" ref="P1267">SUMPRODUCT((H1267=$H$7:$H$10000)*(N1267&lt;$N$7:$N$10000))+1</f>
        <v>14</v>
      </c>
      <c r="Q1267" s="72"/>
    </row>
    <row r="1268" spans="8:17" x14ac:dyDescent="0.35">
      <c r="H1268">
        <v>15</v>
      </c>
      <c r="I1268" t="s">
        <v>24</v>
      </c>
      <c r="J1268" t="s">
        <v>84</v>
      </c>
      <c r="K1268" t="s">
        <v>256</v>
      </c>
      <c r="L1268" t="s">
        <v>9</v>
      </c>
      <c r="M1268" t="s">
        <v>6</v>
      </c>
      <c r="N1268">
        <f t="shared" si="56"/>
        <v>13.292742440221826</v>
      </c>
      <c r="O1268" t="str">
        <f t="shared" si="57"/>
        <v/>
      </c>
      <c r="P1268" s="67" cm="1">
        <f t="array" ref="P1268">SUMPRODUCT((H1268=$H$7:$H$10000)*(N1268&lt;$N$7:$N$10000))+1</f>
        <v>15</v>
      </c>
      <c r="Q1268" s="72"/>
    </row>
    <row r="1269" spans="8:17" x14ac:dyDescent="0.35">
      <c r="H1269">
        <v>15</v>
      </c>
      <c r="I1269" t="s">
        <v>24</v>
      </c>
      <c r="J1269" t="s">
        <v>194</v>
      </c>
      <c r="K1269" t="s">
        <v>256</v>
      </c>
      <c r="L1269" t="s">
        <v>9</v>
      </c>
      <c r="M1269" t="s">
        <v>6</v>
      </c>
      <c r="N1269">
        <f t="shared" si="56"/>
        <v>13.26167857261933</v>
      </c>
      <c r="O1269" t="str">
        <f t="shared" si="57"/>
        <v/>
      </c>
      <c r="P1269" s="67" cm="1">
        <f t="array" ref="P1269">SUMPRODUCT((H1269=$H$7:$H$10000)*(N1269&lt;$N$7:$N$10000))+1</f>
        <v>16</v>
      </c>
      <c r="Q1269" s="72"/>
    </row>
    <row r="1270" spans="8:17" x14ac:dyDescent="0.35">
      <c r="H1270">
        <v>15</v>
      </c>
      <c r="I1270" t="s">
        <v>24</v>
      </c>
      <c r="J1270" t="s">
        <v>101</v>
      </c>
      <c r="K1270" t="s">
        <v>256</v>
      </c>
      <c r="L1270" t="s">
        <v>9</v>
      </c>
      <c r="M1270" t="s">
        <v>6</v>
      </c>
      <c r="N1270">
        <f t="shared" si="56"/>
        <v>13.111254178232709</v>
      </c>
      <c r="O1270" t="str">
        <f t="shared" si="57"/>
        <v/>
      </c>
      <c r="P1270" s="67" cm="1">
        <f t="array" ref="P1270">SUMPRODUCT((H1270=$H$7:$H$10000)*(N1270&lt;$N$7:$N$10000))+1</f>
        <v>17</v>
      </c>
      <c r="Q1270" s="72"/>
    </row>
    <row r="1271" spans="8:17" x14ac:dyDescent="0.35">
      <c r="H1271">
        <v>15</v>
      </c>
      <c r="I1271" t="s">
        <v>24</v>
      </c>
      <c r="J1271" t="s">
        <v>487</v>
      </c>
      <c r="K1271" t="s">
        <v>256</v>
      </c>
      <c r="L1271" t="s">
        <v>9</v>
      </c>
      <c r="M1271" t="s">
        <v>6</v>
      </c>
      <c r="N1271">
        <f t="shared" si="56"/>
        <v>12.942231330998023</v>
      </c>
      <c r="O1271" t="str">
        <f t="shared" si="57"/>
        <v/>
      </c>
      <c r="P1271" s="67" cm="1">
        <f t="array" ref="P1271">SUMPRODUCT((H1271=$H$7:$H$10000)*(N1271&lt;$N$7:$N$10000))+1</f>
        <v>18</v>
      </c>
      <c r="Q1271" s="72"/>
    </row>
    <row r="1272" spans="8:17" x14ac:dyDescent="0.35">
      <c r="H1272">
        <v>15</v>
      </c>
      <c r="I1272" t="s">
        <v>24</v>
      </c>
      <c r="J1272" t="s">
        <v>439</v>
      </c>
      <c r="K1272" t="s">
        <v>256</v>
      </c>
      <c r="L1272" t="s">
        <v>9</v>
      </c>
      <c r="M1272" t="s">
        <v>6</v>
      </c>
      <c r="N1272">
        <f t="shared" si="56"/>
        <v>12.771542692510026</v>
      </c>
      <c r="O1272" t="str">
        <f t="shared" si="57"/>
        <v/>
      </c>
      <c r="P1272" s="67" cm="1">
        <f t="array" ref="P1272">SUMPRODUCT((H1272=$H$7:$H$10000)*(N1272&lt;$N$7:$N$10000))+1</f>
        <v>19</v>
      </c>
    </row>
    <row r="1273" spans="8:17" x14ac:dyDescent="0.35">
      <c r="H1273">
        <v>15</v>
      </c>
      <c r="I1273" t="s">
        <v>2</v>
      </c>
      <c r="J1273" t="s">
        <v>88</v>
      </c>
      <c r="K1273" t="s">
        <v>256</v>
      </c>
      <c r="L1273" t="s">
        <v>9</v>
      </c>
      <c r="M1273" t="s">
        <v>14</v>
      </c>
      <c r="N1273">
        <f t="shared" si="56"/>
        <v>12.369348818119116</v>
      </c>
      <c r="O1273" t="str">
        <f t="shared" si="57"/>
        <v/>
      </c>
      <c r="P1273" s="67" cm="1">
        <f t="array" ref="P1273">SUMPRODUCT((H1273=$H$7:$H$10000)*(N1273&lt;$N$7:$N$10000))+1</f>
        <v>20</v>
      </c>
    </row>
    <row r="1274" spans="8:17" x14ac:dyDescent="0.35">
      <c r="H1274">
        <v>15</v>
      </c>
      <c r="I1274" t="s">
        <v>4</v>
      </c>
      <c r="J1274" t="s">
        <v>457</v>
      </c>
      <c r="K1274" t="s">
        <v>256</v>
      </c>
      <c r="L1274" t="s">
        <v>3</v>
      </c>
      <c r="M1274" t="s">
        <v>13</v>
      </c>
      <c r="N1274">
        <f t="shared" si="56"/>
        <v>12.316971525219774</v>
      </c>
      <c r="O1274" t="str">
        <f t="shared" si="57"/>
        <v/>
      </c>
      <c r="P1274" s="67" cm="1">
        <f t="array" ref="P1274">SUMPRODUCT((H1274=$H$7:$H$10000)*(N1274&lt;$N$7:$N$10000))+1</f>
        <v>21</v>
      </c>
    </row>
    <row r="1275" spans="8:17" x14ac:dyDescent="0.35">
      <c r="H1275">
        <v>15</v>
      </c>
      <c r="I1275" t="s">
        <v>24</v>
      </c>
      <c r="J1275" t="s">
        <v>96</v>
      </c>
      <c r="K1275" t="s">
        <v>256</v>
      </c>
      <c r="L1275" t="s">
        <v>9</v>
      </c>
      <c r="M1275" t="s">
        <v>6</v>
      </c>
      <c r="N1275">
        <f t="shared" si="56"/>
        <v>11.971529432851241</v>
      </c>
      <c r="O1275" t="str">
        <f t="shared" si="57"/>
        <v/>
      </c>
      <c r="P1275" s="67" cm="1">
        <f t="array" ref="P1275">SUMPRODUCT((H1275=$H$7:$H$10000)*(N1275&lt;$N$7:$N$10000))+1</f>
        <v>22</v>
      </c>
    </row>
    <row r="1276" spans="8:17" x14ac:dyDescent="0.35">
      <c r="H1276">
        <v>15</v>
      </c>
      <c r="I1276" t="s">
        <v>2</v>
      </c>
      <c r="J1276" t="s">
        <v>495</v>
      </c>
      <c r="K1276" t="s">
        <v>256</v>
      </c>
      <c r="L1276" t="s">
        <v>9</v>
      </c>
      <c r="M1276" t="s">
        <v>14</v>
      </c>
      <c r="N1276">
        <f t="shared" si="56"/>
        <v>11.816615064448497</v>
      </c>
      <c r="O1276" t="str">
        <f t="shared" si="57"/>
        <v/>
      </c>
      <c r="P1276" s="67" cm="1">
        <f t="array" ref="P1276">SUMPRODUCT((H1276=$H$7:$H$10000)*(N1276&lt;$N$7:$N$10000))+1</f>
        <v>23</v>
      </c>
    </row>
    <row r="1277" spans="8:17" x14ac:dyDescent="0.35">
      <c r="H1277">
        <v>15</v>
      </c>
      <c r="I1277" t="s">
        <v>4</v>
      </c>
      <c r="J1277" t="s">
        <v>286</v>
      </c>
      <c r="K1277" t="s">
        <v>256</v>
      </c>
      <c r="L1277" t="s">
        <v>3</v>
      </c>
      <c r="M1277" t="s">
        <v>13</v>
      </c>
      <c r="N1277">
        <f t="shared" si="56"/>
        <v>11.671327016954262</v>
      </c>
      <c r="O1277" t="str">
        <f t="shared" si="57"/>
        <v/>
      </c>
      <c r="P1277" s="67" cm="1">
        <f t="array" ref="P1277">SUMPRODUCT((H1277=$H$7:$H$10000)*(N1277&lt;$N$7:$N$10000))+1</f>
        <v>24</v>
      </c>
    </row>
    <row r="1278" spans="8:17" x14ac:dyDescent="0.35">
      <c r="H1278">
        <v>15</v>
      </c>
      <c r="I1278" t="s">
        <v>7</v>
      </c>
      <c r="J1278" t="s">
        <v>67</v>
      </c>
      <c r="K1278" t="s">
        <v>256</v>
      </c>
      <c r="L1278" t="s">
        <v>9</v>
      </c>
      <c r="M1278" t="s">
        <v>23</v>
      </c>
      <c r="N1278">
        <f t="shared" si="56"/>
        <v>11.440594167190886</v>
      </c>
      <c r="O1278" t="str">
        <f t="shared" si="57"/>
        <v/>
      </c>
      <c r="P1278" s="67" cm="1">
        <f t="array" ref="P1278">SUMPRODUCT((H1278=$H$7:$H$10000)*(N1278&lt;$N$7:$N$10000))+1</f>
        <v>25</v>
      </c>
    </row>
    <row r="1279" spans="8:17" x14ac:dyDescent="0.35">
      <c r="H1279">
        <v>15</v>
      </c>
      <c r="I1279" t="s">
        <v>14</v>
      </c>
      <c r="J1279" t="s">
        <v>448</v>
      </c>
      <c r="K1279" t="s">
        <v>256</v>
      </c>
      <c r="L1279" t="s">
        <v>3</v>
      </c>
      <c r="M1279" t="s">
        <v>2</v>
      </c>
      <c r="N1279">
        <f t="shared" si="56"/>
        <v>11.363952546896613</v>
      </c>
      <c r="O1279" t="str">
        <f t="shared" si="57"/>
        <v/>
      </c>
      <c r="P1279" s="67" cm="1">
        <f t="array" ref="P1279">SUMPRODUCT((H1279=$H$7:$H$10000)*(N1279&lt;$N$7:$N$10000))+1</f>
        <v>26</v>
      </c>
    </row>
    <row r="1280" spans="8:17" x14ac:dyDescent="0.35">
      <c r="H1280">
        <v>15</v>
      </c>
      <c r="I1280" t="s">
        <v>4</v>
      </c>
      <c r="J1280" t="s">
        <v>453</v>
      </c>
      <c r="K1280" t="s">
        <v>256</v>
      </c>
      <c r="L1280" t="s">
        <v>3</v>
      </c>
      <c r="M1280" t="s">
        <v>13</v>
      </c>
      <c r="N1280">
        <f t="shared" si="56"/>
        <v>11.22828380694942</v>
      </c>
      <c r="O1280" t="str">
        <f t="shared" si="57"/>
        <v/>
      </c>
      <c r="P1280" s="67" cm="1">
        <f t="array" ref="P1280">SUMPRODUCT((H1280=$H$7:$H$10000)*(N1280&lt;$N$7:$N$10000))+1</f>
        <v>27</v>
      </c>
    </row>
    <row r="1281" spans="8:16" x14ac:dyDescent="0.35">
      <c r="H1281">
        <v>15</v>
      </c>
      <c r="I1281" t="s">
        <v>14</v>
      </c>
      <c r="J1281" t="s">
        <v>87</v>
      </c>
      <c r="K1281" t="s">
        <v>256</v>
      </c>
      <c r="L1281" t="s">
        <v>3</v>
      </c>
      <c r="M1281" t="s">
        <v>2</v>
      </c>
      <c r="N1281">
        <f t="shared" si="56"/>
        <v>10.97528329068232</v>
      </c>
      <c r="O1281" t="str">
        <f t="shared" si="57"/>
        <v/>
      </c>
      <c r="P1281" s="67" cm="1">
        <f t="array" ref="P1281">SUMPRODUCT((H1281=$H$7:$H$10000)*(N1281&lt;$N$7:$N$10000))+1</f>
        <v>28</v>
      </c>
    </row>
    <row r="1282" spans="8:16" x14ac:dyDescent="0.35">
      <c r="H1282">
        <v>15</v>
      </c>
      <c r="I1282" t="s">
        <v>4</v>
      </c>
      <c r="J1282" t="s">
        <v>74</v>
      </c>
      <c r="K1282" t="s">
        <v>256</v>
      </c>
      <c r="L1282" t="s">
        <v>3</v>
      </c>
      <c r="M1282" t="s">
        <v>13</v>
      </c>
      <c r="N1282">
        <f t="shared" si="56"/>
        <v>10.955916468510477</v>
      </c>
      <c r="O1282" t="str">
        <f t="shared" si="57"/>
        <v/>
      </c>
      <c r="P1282" s="67" cm="1">
        <f t="array" ref="P1282">SUMPRODUCT((H1282=$H$7:$H$10000)*(N1282&lt;$N$7:$N$10000))+1</f>
        <v>29</v>
      </c>
    </row>
    <row r="1283" spans="8:16" x14ac:dyDescent="0.35">
      <c r="H1283">
        <v>15</v>
      </c>
      <c r="I1283" t="s">
        <v>7</v>
      </c>
      <c r="J1283" t="s">
        <v>447</v>
      </c>
      <c r="K1283" t="s">
        <v>256</v>
      </c>
      <c r="L1283" t="s">
        <v>9</v>
      </c>
      <c r="M1283" t="s">
        <v>23</v>
      </c>
      <c r="N1283">
        <f t="shared" si="56"/>
        <v>10.752953106524833</v>
      </c>
      <c r="O1283" t="str">
        <f t="shared" si="57"/>
        <v/>
      </c>
      <c r="P1283" s="67" cm="1">
        <f t="array" ref="P1283">SUMPRODUCT((H1283=$H$7:$H$10000)*(N1283&lt;$N$7:$N$10000))+1</f>
        <v>30</v>
      </c>
    </row>
    <row r="1284" spans="8:16" x14ac:dyDescent="0.35">
      <c r="H1284">
        <v>15</v>
      </c>
      <c r="I1284" t="s">
        <v>14</v>
      </c>
      <c r="J1284" t="s">
        <v>83</v>
      </c>
      <c r="K1284" t="s">
        <v>256</v>
      </c>
      <c r="L1284" t="s">
        <v>3</v>
      </c>
      <c r="M1284" t="s">
        <v>2</v>
      </c>
      <c r="N1284">
        <f t="shared" si="56"/>
        <v>10.713688705119152</v>
      </c>
      <c r="O1284" t="str">
        <f t="shared" si="57"/>
        <v/>
      </c>
      <c r="P1284" s="67" cm="1">
        <f t="array" ref="P1284">SUMPRODUCT((H1284=$H$7:$H$10000)*(N1284&lt;$N$7:$N$10000))+1</f>
        <v>31</v>
      </c>
    </row>
    <row r="1285" spans="8:16" x14ac:dyDescent="0.35">
      <c r="H1285">
        <v>15</v>
      </c>
      <c r="I1285" t="s">
        <v>13</v>
      </c>
      <c r="J1285" t="s">
        <v>473</v>
      </c>
      <c r="K1285" t="s">
        <v>256</v>
      </c>
      <c r="L1285" t="s">
        <v>9</v>
      </c>
      <c r="M1285" t="s">
        <v>4</v>
      </c>
      <c r="N1285">
        <f t="shared" si="56"/>
        <v>10.587541999611279</v>
      </c>
      <c r="O1285" t="str">
        <f t="shared" si="57"/>
        <v/>
      </c>
      <c r="P1285" s="67" cm="1">
        <f t="array" ref="P1285">SUMPRODUCT((H1285=$H$7:$H$10000)*(N1285&lt;$N$7:$N$10000))+1</f>
        <v>32</v>
      </c>
    </row>
    <row r="1286" spans="8:16" x14ac:dyDescent="0.35">
      <c r="H1286">
        <v>15</v>
      </c>
      <c r="I1286" t="s">
        <v>36</v>
      </c>
      <c r="J1286" t="s">
        <v>38</v>
      </c>
      <c r="K1286" t="s">
        <v>256</v>
      </c>
      <c r="L1286" t="s">
        <v>9</v>
      </c>
      <c r="M1286" t="s">
        <v>17</v>
      </c>
      <c r="N1286">
        <f t="shared" si="56"/>
        <v>10.310615742295347</v>
      </c>
      <c r="O1286" t="str">
        <f t="shared" si="57"/>
        <v/>
      </c>
      <c r="P1286" s="67" cm="1">
        <f t="array" ref="P1286">SUMPRODUCT((H1286=$H$7:$H$10000)*(N1286&lt;$N$7:$N$10000))+1</f>
        <v>33</v>
      </c>
    </row>
    <row r="1287" spans="8:16" x14ac:dyDescent="0.35">
      <c r="H1287">
        <v>15</v>
      </c>
      <c r="I1287" t="s">
        <v>4</v>
      </c>
      <c r="J1287" t="s">
        <v>1</v>
      </c>
      <c r="K1287" t="s">
        <v>256</v>
      </c>
      <c r="L1287" t="s">
        <v>3</v>
      </c>
      <c r="M1287" t="s">
        <v>13</v>
      </c>
      <c r="N1287">
        <f t="shared" si="56"/>
        <v>10.129727948830645</v>
      </c>
      <c r="O1287" t="str">
        <f t="shared" si="57"/>
        <v/>
      </c>
      <c r="P1287" s="67" cm="1">
        <f t="array" ref="P1287">SUMPRODUCT((H1287=$H$7:$H$10000)*(N1287&lt;$N$7:$N$10000))+1</f>
        <v>34</v>
      </c>
    </row>
    <row r="1288" spans="8:16" x14ac:dyDescent="0.35">
      <c r="H1288">
        <v>15</v>
      </c>
      <c r="I1288" t="s">
        <v>14</v>
      </c>
      <c r="J1288" t="s">
        <v>438</v>
      </c>
      <c r="K1288" t="s">
        <v>256</v>
      </c>
      <c r="L1288" t="s">
        <v>3</v>
      </c>
      <c r="M1288" t="s">
        <v>2</v>
      </c>
      <c r="N1288">
        <f t="shared" si="56"/>
        <v>9.8038238335998678</v>
      </c>
      <c r="O1288" t="str">
        <f t="shared" si="57"/>
        <v/>
      </c>
      <c r="P1288" s="67" cm="1">
        <f t="array" ref="P1288">SUMPRODUCT((H1288=$H$7:$H$10000)*(N1288&lt;$N$7:$N$10000))+1</f>
        <v>35</v>
      </c>
    </row>
    <row r="1289" spans="8:16" x14ac:dyDescent="0.35">
      <c r="H1289">
        <v>15</v>
      </c>
      <c r="I1289" t="s">
        <v>7</v>
      </c>
      <c r="J1289" t="s">
        <v>77</v>
      </c>
      <c r="K1289" t="s">
        <v>256</v>
      </c>
      <c r="L1289" t="s">
        <v>9</v>
      </c>
      <c r="M1289" t="s">
        <v>23</v>
      </c>
      <c r="N1289">
        <f t="shared" si="56"/>
        <v>9.732419866870103</v>
      </c>
      <c r="O1289" t="str">
        <f t="shared" si="57"/>
        <v/>
      </c>
      <c r="P1289" s="67" cm="1">
        <f t="array" ref="P1289">SUMPRODUCT((H1289=$H$7:$H$10000)*(N1289&lt;$N$7:$N$10000))+1</f>
        <v>36</v>
      </c>
    </row>
    <row r="1290" spans="8:16" x14ac:dyDescent="0.35">
      <c r="H1290">
        <v>15</v>
      </c>
      <c r="I1290" t="s">
        <v>36</v>
      </c>
      <c r="J1290" t="s">
        <v>71</v>
      </c>
      <c r="K1290" t="s">
        <v>256</v>
      </c>
      <c r="L1290" t="s">
        <v>9</v>
      </c>
      <c r="M1290" t="s">
        <v>17</v>
      </c>
      <c r="N1290">
        <f t="shared" si="56"/>
        <v>9.7310563501805092</v>
      </c>
      <c r="O1290" t="str">
        <f t="shared" si="57"/>
        <v/>
      </c>
      <c r="P1290" s="67" cm="1">
        <f t="array" ref="P1290">SUMPRODUCT((H1290=$H$7:$H$10000)*(N1290&lt;$N$7:$N$10000))+1</f>
        <v>37</v>
      </c>
    </row>
    <row r="1291" spans="8:16" x14ac:dyDescent="0.35">
      <c r="H1291">
        <v>15</v>
      </c>
      <c r="I1291" t="s">
        <v>36</v>
      </c>
      <c r="J1291" t="s">
        <v>78</v>
      </c>
      <c r="K1291" t="s">
        <v>256</v>
      </c>
      <c r="L1291" t="s">
        <v>9</v>
      </c>
      <c r="M1291" t="s">
        <v>17</v>
      </c>
      <c r="N1291">
        <f t="shared" si="56"/>
        <v>9.7246698329605561</v>
      </c>
      <c r="O1291" t="str">
        <f t="shared" si="57"/>
        <v/>
      </c>
      <c r="P1291" s="67" cm="1">
        <f t="array" ref="P1291">SUMPRODUCT((H1291=$H$7:$H$10000)*(N1291&lt;$N$7:$N$10000))+1</f>
        <v>38</v>
      </c>
    </row>
    <row r="1292" spans="8:16" x14ac:dyDescent="0.35">
      <c r="H1292">
        <v>15</v>
      </c>
      <c r="I1292" t="s">
        <v>2</v>
      </c>
      <c r="J1292" t="s">
        <v>449</v>
      </c>
      <c r="K1292" t="s">
        <v>256</v>
      </c>
      <c r="L1292" t="s">
        <v>9</v>
      </c>
      <c r="M1292" t="s">
        <v>14</v>
      </c>
      <c r="N1292">
        <f t="shared" ref="N1292:N1355" si="58">VLOOKUP($L1292,$F$3:$G$4,2,FALSE)+VLOOKUP($J1292,$A$20:$B$131,2,FALSE)+VLOOKUP($M1292,$A$6:$B$16,2,FALSE)</f>
        <v>9.7077175561069975</v>
      </c>
      <c r="O1292" t="str">
        <f t="shared" ref="O1292:O1355" si="59">IFERROR(($K1292-$N1292)^2,"")</f>
        <v/>
      </c>
      <c r="P1292" s="67" cm="1">
        <f t="array" ref="P1292">SUMPRODUCT((H1292=$H$7:$H$10000)*(N1292&lt;$N$7:$N$10000))+1</f>
        <v>39</v>
      </c>
    </row>
    <row r="1293" spans="8:16" x14ac:dyDescent="0.35">
      <c r="H1293">
        <v>15</v>
      </c>
      <c r="I1293" t="s">
        <v>24</v>
      </c>
      <c r="J1293" t="s">
        <v>402</v>
      </c>
      <c r="K1293" t="s">
        <v>256</v>
      </c>
      <c r="L1293" t="s">
        <v>9</v>
      </c>
      <c r="M1293" t="s">
        <v>6</v>
      </c>
      <c r="N1293">
        <f t="shared" si="58"/>
        <v>9.0801180701680089</v>
      </c>
      <c r="O1293" t="str">
        <f t="shared" si="59"/>
        <v/>
      </c>
      <c r="P1293" s="67" cm="1">
        <f t="array" ref="P1293">SUMPRODUCT((H1293=$H$7:$H$10000)*(N1293&lt;$N$7:$N$10000))+1</f>
        <v>40</v>
      </c>
    </row>
    <row r="1294" spans="8:16" x14ac:dyDescent="0.35">
      <c r="H1294">
        <v>15</v>
      </c>
      <c r="I1294" t="s">
        <v>23</v>
      </c>
      <c r="J1294" t="s">
        <v>190</v>
      </c>
      <c r="K1294" t="s">
        <v>256</v>
      </c>
      <c r="L1294" t="s">
        <v>3</v>
      </c>
      <c r="M1294" t="s">
        <v>7</v>
      </c>
      <c r="N1294">
        <f t="shared" si="58"/>
        <v>8.9813189923616754</v>
      </c>
      <c r="O1294" t="str">
        <f t="shared" si="59"/>
        <v/>
      </c>
      <c r="P1294" s="67" cm="1">
        <f t="array" ref="P1294">SUMPRODUCT((H1294=$H$7:$H$10000)*(N1294&lt;$N$7:$N$10000))+1</f>
        <v>41</v>
      </c>
    </row>
    <row r="1295" spans="8:16" x14ac:dyDescent="0.35">
      <c r="H1295">
        <v>15</v>
      </c>
      <c r="I1295" t="s">
        <v>2</v>
      </c>
      <c r="J1295" t="s">
        <v>63</v>
      </c>
      <c r="K1295" t="s">
        <v>256</v>
      </c>
      <c r="L1295" t="s">
        <v>9</v>
      </c>
      <c r="M1295" t="s">
        <v>14</v>
      </c>
      <c r="N1295">
        <f t="shared" si="58"/>
        <v>8.8164485203100824</v>
      </c>
      <c r="O1295" t="str">
        <f t="shared" si="59"/>
        <v/>
      </c>
      <c r="P1295" s="67" cm="1">
        <f t="array" ref="P1295">SUMPRODUCT((H1295=$H$7:$H$10000)*(N1295&lt;$N$7:$N$10000))+1</f>
        <v>42</v>
      </c>
    </row>
    <row r="1296" spans="8:16" x14ac:dyDescent="0.35">
      <c r="H1296">
        <v>15</v>
      </c>
      <c r="I1296" t="s">
        <v>17</v>
      </c>
      <c r="J1296" t="s">
        <v>492</v>
      </c>
      <c r="K1296" t="s">
        <v>256</v>
      </c>
      <c r="L1296" t="s">
        <v>3</v>
      </c>
      <c r="M1296" t="s">
        <v>36</v>
      </c>
      <c r="N1296">
        <f t="shared" si="58"/>
        <v>8.4995983653213507</v>
      </c>
      <c r="O1296" t="str">
        <f t="shared" si="59"/>
        <v/>
      </c>
      <c r="P1296" s="67" cm="1">
        <f t="array" ref="P1296">SUMPRODUCT((H1296=$H$7:$H$10000)*(N1296&lt;$N$7:$N$10000))+1</f>
        <v>43</v>
      </c>
    </row>
    <row r="1297" spans="8:16" x14ac:dyDescent="0.35">
      <c r="H1297">
        <v>15</v>
      </c>
      <c r="I1297" t="s">
        <v>24</v>
      </c>
      <c r="J1297" t="s">
        <v>35</v>
      </c>
      <c r="K1297" t="s">
        <v>256</v>
      </c>
      <c r="L1297" t="s">
        <v>9</v>
      </c>
      <c r="M1297" t="s">
        <v>6</v>
      </c>
      <c r="N1297">
        <f t="shared" si="58"/>
        <v>8.2738197242517195</v>
      </c>
      <c r="O1297" t="str">
        <f t="shared" si="59"/>
        <v/>
      </c>
      <c r="P1297" s="67" cm="1">
        <f t="array" ref="P1297">SUMPRODUCT((H1297=$H$7:$H$10000)*(N1297&lt;$N$7:$N$10000))+1</f>
        <v>44</v>
      </c>
    </row>
    <row r="1298" spans="8:16" x14ac:dyDescent="0.35">
      <c r="H1298">
        <v>15</v>
      </c>
      <c r="I1298" t="s">
        <v>13</v>
      </c>
      <c r="J1298" t="s">
        <v>477</v>
      </c>
      <c r="K1298" t="s">
        <v>256</v>
      </c>
      <c r="L1298" t="s">
        <v>9</v>
      </c>
      <c r="M1298" t="s">
        <v>4</v>
      </c>
      <c r="N1298">
        <f t="shared" si="58"/>
        <v>8.0850478594808433</v>
      </c>
      <c r="O1298" t="str">
        <f t="shared" si="59"/>
        <v/>
      </c>
      <c r="P1298" s="67" cm="1">
        <f t="array" ref="P1298">SUMPRODUCT((H1298=$H$7:$H$10000)*(N1298&lt;$N$7:$N$10000))+1</f>
        <v>45</v>
      </c>
    </row>
    <row r="1299" spans="8:16" x14ac:dyDescent="0.35">
      <c r="H1299">
        <v>15</v>
      </c>
      <c r="I1299" t="s">
        <v>2</v>
      </c>
      <c r="J1299" t="s">
        <v>455</v>
      </c>
      <c r="K1299" t="s">
        <v>256</v>
      </c>
      <c r="L1299" t="s">
        <v>9</v>
      </c>
      <c r="M1299" t="s">
        <v>14</v>
      </c>
      <c r="N1299">
        <f t="shared" si="58"/>
        <v>7.7890306795975146</v>
      </c>
      <c r="O1299" t="str">
        <f t="shared" si="59"/>
        <v/>
      </c>
      <c r="P1299" s="67" cm="1">
        <f t="array" ref="P1299">SUMPRODUCT((H1299=$H$7:$H$10000)*(N1299&lt;$N$7:$N$10000))+1</f>
        <v>46</v>
      </c>
    </row>
    <row r="1300" spans="8:16" x14ac:dyDescent="0.35">
      <c r="H1300">
        <v>15</v>
      </c>
      <c r="I1300" t="s">
        <v>23</v>
      </c>
      <c r="J1300" t="s">
        <v>46</v>
      </c>
      <c r="K1300" t="s">
        <v>256</v>
      </c>
      <c r="L1300" t="s">
        <v>3</v>
      </c>
      <c r="M1300" t="s">
        <v>7</v>
      </c>
      <c r="N1300">
        <f t="shared" si="58"/>
        <v>7.7805285905800501</v>
      </c>
      <c r="O1300" t="str">
        <f t="shared" si="59"/>
        <v/>
      </c>
      <c r="P1300" s="67" cm="1">
        <f t="array" ref="P1300">SUMPRODUCT((H1300=$H$7:$H$10000)*(N1300&lt;$N$7:$N$10000))+1</f>
        <v>47</v>
      </c>
    </row>
    <row r="1301" spans="8:16" x14ac:dyDescent="0.35">
      <c r="H1301">
        <v>15</v>
      </c>
      <c r="I1301" t="s">
        <v>6</v>
      </c>
      <c r="J1301" t="s">
        <v>66</v>
      </c>
      <c r="K1301" t="s">
        <v>256</v>
      </c>
      <c r="L1301" t="s">
        <v>3</v>
      </c>
      <c r="M1301" t="s">
        <v>24</v>
      </c>
      <c r="N1301">
        <f t="shared" si="58"/>
        <v>7.6816905023170508</v>
      </c>
      <c r="O1301" t="str">
        <f t="shared" si="59"/>
        <v/>
      </c>
      <c r="P1301" s="67" cm="1">
        <f t="array" ref="P1301">SUMPRODUCT((H1301=$H$7:$H$10000)*(N1301&lt;$N$7:$N$10000))+1</f>
        <v>48</v>
      </c>
    </row>
    <row r="1302" spans="8:16" x14ac:dyDescent="0.35">
      <c r="H1302">
        <v>15</v>
      </c>
      <c r="I1302" t="s">
        <v>17</v>
      </c>
      <c r="J1302" t="s">
        <v>196</v>
      </c>
      <c r="K1302" t="s">
        <v>256</v>
      </c>
      <c r="L1302" t="s">
        <v>3</v>
      </c>
      <c r="M1302" t="s">
        <v>36</v>
      </c>
      <c r="N1302">
        <f t="shared" si="58"/>
        <v>7.6445130997655255</v>
      </c>
      <c r="O1302" t="str">
        <f t="shared" si="59"/>
        <v/>
      </c>
      <c r="P1302" s="67" cm="1">
        <f t="array" ref="P1302">SUMPRODUCT((H1302=$H$7:$H$10000)*(N1302&lt;$N$7:$N$10000))+1</f>
        <v>49</v>
      </c>
    </row>
    <row r="1303" spans="8:16" x14ac:dyDescent="0.35">
      <c r="H1303">
        <v>15</v>
      </c>
      <c r="I1303" t="s">
        <v>23</v>
      </c>
      <c r="J1303" t="s">
        <v>32</v>
      </c>
      <c r="K1303" t="s">
        <v>256</v>
      </c>
      <c r="L1303" t="s">
        <v>3</v>
      </c>
      <c r="M1303" t="s">
        <v>7</v>
      </c>
      <c r="N1303">
        <f t="shared" si="58"/>
        <v>7.6003246292461792</v>
      </c>
      <c r="O1303" t="str">
        <f t="shared" si="59"/>
        <v/>
      </c>
      <c r="P1303" s="67" cm="1">
        <f t="array" ref="P1303">SUMPRODUCT((H1303=$H$7:$H$10000)*(N1303&lt;$N$7:$N$10000))+1</f>
        <v>50</v>
      </c>
    </row>
    <row r="1304" spans="8:16" x14ac:dyDescent="0.35">
      <c r="H1304">
        <v>15</v>
      </c>
      <c r="I1304" t="s">
        <v>23</v>
      </c>
      <c r="J1304" t="s">
        <v>91</v>
      </c>
      <c r="K1304" t="s">
        <v>256</v>
      </c>
      <c r="L1304" t="s">
        <v>3</v>
      </c>
      <c r="M1304" t="s">
        <v>7</v>
      </c>
      <c r="N1304">
        <f t="shared" si="58"/>
        <v>7.5585224385402512</v>
      </c>
      <c r="O1304" t="str">
        <f t="shared" si="59"/>
        <v/>
      </c>
      <c r="P1304" s="67" cm="1">
        <f t="array" ref="P1304">SUMPRODUCT((H1304=$H$7:$H$10000)*(N1304&lt;$N$7:$N$10000))+1</f>
        <v>51</v>
      </c>
    </row>
    <row r="1305" spans="8:16" x14ac:dyDescent="0.35">
      <c r="H1305">
        <v>15</v>
      </c>
      <c r="I1305" t="s">
        <v>36</v>
      </c>
      <c r="J1305" t="s">
        <v>491</v>
      </c>
      <c r="K1305" t="s">
        <v>256</v>
      </c>
      <c r="L1305" t="s">
        <v>9</v>
      </c>
      <c r="M1305" t="s">
        <v>17</v>
      </c>
      <c r="N1305">
        <f t="shared" si="58"/>
        <v>7.3956457559268021</v>
      </c>
      <c r="O1305" t="str">
        <f t="shared" si="59"/>
        <v/>
      </c>
      <c r="P1305" s="67" cm="1">
        <f t="array" ref="P1305">SUMPRODUCT((H1305=$H$7:$H$10000)*(N1305&lt;$N$7:$N$10000))+1</f>
        <v>52</v>
      </c>
    </row>
    <row r="1306" spans="8:16" x14ac:dyDescent="0.35">
      <c r="H1306">
        <v>15</v>
      </c>
      <c r="I1306" t="s">
        <v>4</v>
      </c>
      <c r="J1306" t="s">
        <v>493</v>
      </c>
      <c r="K1306" t="s">
        <v>256</v>
      </c>
      <c r="L1306" t="s">
        <v>3</v>
      </c>
      <c r="M1306" t="s">
        <v>13</v>
      </c>
      <c r="N1306">
        <f t="shared" si="58"/>
        <v>7.3900183621455682</v>
      </c>
      <c r="O1306" t="str">
        <f t="shared" si="59"/>
        <v/>
      </c>
      <c r="P1306" s="67" cm="1">
        <f t="array" ref="P1306">SUMPRODUCT((H1306=$H$7:$H$10000)*(N1306&lt;$N$7:$N$10000))+1</f>
        <v>53</v>
      </c>
    </row>
    <row r="1307" spans="8:16" x14ac:dyDescent="0.35">
      <c r="H1307">
        <v>15</v>
      </c>
      <c r="I1307" t="s">
        <v>17</v>
      </c>
      <c r="J1307" t="s">
        <v>497</v>
      </c>
      <c r="K1307" t="s">
        <v>256</v>
      </c>
      <c r="L1307" t="s">
        <v>3</v>
      </c>
      <c r="M1307" t="s">
        <v>36</v>
      </c>
      <c r="N1307">
        <f t="shared" si="58"/>
        <v>7.195095347816526</v>
      </c>
      <c r="O1307" t="str">
        <f t="shared" si="59"/>
        <v/>
      </c>
      <c r="P1307" s="67" cm="1">
        <f t="array" ref="P1307">SUMPRODUCT((H1307=$H$7:$H$10000)*(N1307&lt;$N$7:$N$10000))+1</f>
        <v>54</v>
      </c>
    </row>
    <row r="1308" spans="8:16" x14ac:dyDescent="0.35">
      <c r="H1308">
        <v>15</v>
      </c>
      <c r="I1308" t="s">
        <v>2</v>
      </c>
      <c r="J1308" t="s">
        <v>44</v>
      </c>
      <c r="K1308" t="s">
        <v>256</v>
      </c>
      <c r="L1308" t="s">
        <v>9</v>
      </c>
      <c r="M1308" t="s">
        <v>14</v>
      </c>
      <c r="N1308">
        <f t="shared" si="58"/>
        <v>7.1581442923458312</v>
      </c>
      <c r="O1308" t="str">
        <f t="shared" si="59"/>
        <v/>
      </c>
      <c r="P1308" s="67" cm="1">
        <f t="array" ref="P1308">SUMPRODUCT((H1308=$H$7:$H$10000)*(N1308&lt;$N$7:$N$10000))+1</f>
        <v>55</v>
      </c>
    </row>
    <row r="1309" spans="8:16" x14ac:dyDescent="0.35">
      <c r="H1309">
        <v>15</v>
      </c>
      <c r="I1309" t="s">
        <v>17</v>
      </c>
      <c r="J1309" t="s">
        <v>37</v>
      </c>
      <c r="K1309" t="s">
        <v>256</v>
      </c>
      <c r="L1309" t="s">
        <v>3</v>
      </c>
      <c r="M1309" t="s">
        <v>36</v>
      </c>
      <c r="N1309">
        <f t="shared" si="58"/>
        <v>7.0769951711569332</v>
      </c>
      <c r="O1309" t="str">
        <f t="shared" si="59"/>
        <v/>
      </c>
      <c r="P1309" s="67" cm="1">
        <f t="array" ref="P1309">SUMPRODUCT((H1309=$H$7:$H$10000)*(N1309&lt;$N$7:$N$10000))+1</f>
        <v>56</v>
      </c>
    </row>
    <row r="1310" spans="8:16" x14ac:dyDescent="0.35">
      <c r="H1310">
        <v>15</v>
      </c>
      <c r="I1310" t="s">
        <v>4</v>
      </c>
      <c r="J1310" t="s">
        <v>188</v>
      </c>
      <c r="K1310" t="s">
        <v>256</v>
      </c>
      <c r="L1310" t="s">
        <v>3</v>
      </c>
      <c r="M1310" t="s">
        <v>13</v>
      </c>
      <c r="N1310">
        <f t="shared" si="58"/>
        <v>6.8920292587137233</v>
      </c>
      <c r="O1310" t="str">
        <f t="shared" si="59"/>
        <v/>
      </c>
      <c r="P1310" s="67" cm="1">
        <f t="array" ref="P1310">SUMPRODUCT((H1310=$H$7:$H$10000)*(N1310&lt;$N$7:$N$10000))+1</f>
        <v>57</v>
      </c>
    </row>
    <row r="1311" spans="8:16" x14ac:dyDescent="0.35">
      <c r="H1311">
        <v>15</v>
      </c>
      <c r="I1311" t="s">
        <v>4</v>
      </c>
      <c r="J1311" t="s">
        <v>452</v>
      </c>
      <c r="K1311" t="s">
        <v>256</v>
      </c>
      <c r="L1311" t="s">
        <v>3</v>
      </c>
      <c r="M1311" t="s">
        <v>13</v>
      </c>
      <c r="N1311">
        <f t="shared" si="58"/>
        <v>6.4446560110768383</v>
      </c>
      <c r="O1311" t="str">
        <f t="shared" si="59"/>
        <v/>
      </c>
      <c r="P1311" s="67" cm="1">
        <f t="array" ref="P1311">SUMPRODUCT((H1311=$H$7:$H$10000)*(N1311&lt;$N$7:$N$10000))+1</f>
        <v>58</v>
      </c>
    </row>
    <row r="1312" spans="8:16" x14ac:dyDescent="0.35">
      <c r="H1312">
        <v>15</v>
      </c>
      <c r="I1312" t="s">
        <v>2</v>
      </c>
      <c r="J1312" t="s">
        <v>441</v>
      </c>
      <c r="K1312" t="s">
        <v>256</v>
      </c>
      <c r="L1312" t="s">
        <v>9</v>
      </c>
      <c r="M1312" t="s">
        <v>14</v>
      </c>
      <c r="N1312">
        <f t="shared" si="58"/>
        <v>6.2914525770044527</v>
      </c>
      <c r="O1312" t="str">
        <f t="shared" si="59"/>
        <v/>
      </c>
      <c r="P1312" s="67" cm="1">
        <f t="array" ref="P1312">SUMPRODUCT((H1312=$H$7:$H$10000)*(N1312&lt;$N$7:$N$10000))+1</f>
        <v>59</v>
      </c>
    </row>
    <row r="1313" spans="8:16" x14ac:dyDescent="0.35">
      <c r="H1313">
        <v>15</v>
      </c>
      <c r="I1313" t="s">
        <v>17</v>
      </c>
      <c r="J1313" t="s">
        <v>450</v>
      </c>
      <c r="K1313" t="s">
        <v>256</v>
      </c>
      <c r="L1313" t="s">
        <v>3</v>
      </c>
      <c r="M1313" t="s">
        <v>36</v>
      </c>
      <c r="N1313">
        <f t="shared" si="58"/>
        <v>6.0752297557877073</v>
      </c>
      <c r="O1313" t="str">
        <f t="shared" si="59"/>
        <v/>
      </c>
      <c r="P1313" s="67" cm="1">
        <f t="array" ref="P1313">SUMPRODUCT((H1313=$H$7:$H$10000)*(N1313&lt;$N$7:$N$10000))+1</f>
        <v>60</v>
      </c>
    </row>
    <row r="1314" spans="8:16" x14ac:dyDescent="0.35">
      <c r="H1314">
        <v>15</v>
      </c>
      <c r="I1314" t="s">
        <v>13</v>
      </c>
      <c r="J1314" t="s">
        <v>478</v>
      </c>
      <c r="K1314" t="s">
        <v>256</v>
      </c>
      <c r="L1314" t="s">
        <v>9</v>
      </c>
      <c r="M1314" t="s">
        <v>4</v>
      </c>
      <c r="N1314">
        <f t="shared" si="58"/>
        <v>6.0012301819951368</v>
      </c>
      <c r="O1314" t="str">
        <f t="shared" si="59"/>
        <v/>
      </c>
      <c r="P1314" s="67" cm="1">
        <f t="array" ref="P1314">SUMPRODUCT((H1314=$H$7:$H$10000)*(N1314&lt;$N$7:$N$10000))+1</f>
        <v>61</v>
      </c>
    </row>
    <row r="1315" spans="8:16" x14ac:dyDescent="0.35">
      <c r="H1315">
        <v>15</v>
      </c>
      <c r="I1315" t="s">
        <v>24</v>
      </c>
      <c r="J1315" t="s">
        <v>459</v>
      </c>
      <c r="K1315" t="s">
        <v>256</v>
      </c>
      <c r="L1315" t="s">
        <v>9</v>
      </c>
      <c r="M1315" t="s">
        <v>6</v>
      </c>
      <c r="N1315">
        <f t="shared" si="58"/>
        <v>5.9512245898976692</v>
      </c>
      <c r="O1315" t="str">
        <f t="shared" si="59"/>
        <v/>
      </c>
      <c r="P1315" s="67" cm="1">
        <f t="array" ref="P1315">SUMPRODUCT((H1315=$H$7:$H$10000)*(N1315&lt;$N$7:$N$10000))+1</f>
        <v>62</v>
      </c>
    </row>
    <row r="1316" spans="8:16" x14ac:dyDescent="0.35">
      <c r="H1316">
        <v>15</v>
      </c>
      <c r="I1316" t="s">
        <v>36</v>
      </c>
      <c r="J1316" t="s">
        <v>479</v>
      </c>
      <c r="K1316" t="s">
        <v>256</v>
      </c>
      <c r="L1316" t="s">
        <v>9</v>
      </c>
      <c r="M1316" t="s">
        <v>17</v>
      </c>
      <c r="N1316">
        <f t="shared" si="58"/>
        <v>5.916303391677193</v>
      </c>
      <c r="O1316" t="str">
        <f t="shared" si="59"/>
        <v/>
      </c>
      <c r="P1316" s="67" cm="1">
        <f t="array" ref="P1316">SUMPRODUCT((H1316=$H$7:$H$10000)*(N1316&lt;$N$7:$N$10000))+1</f>
        <v>63</v>
      </c>
    </row>
    <row r="1317" spans="8:16" x14ac:dyDescent="0.35">
      <c r="H1317">
        <v>15</v>
      </c>
      <c r="I1317" t="s">
        <v>36</v>
      </c>
      <c r="J1317" t="s">
        <v>476</v>
      </c>
      <c r="K1317" t="s">
        <v>256</v>
      </c>
      <c r="L1317" t="s">
        <v>9</v>
      </c>
      <c r="M1317" t="s">
        <v>17</v>
      </c>
      <c r="N1317">
        <f t="shared" si="58"/>
        <v>5.7694702315142115</v>
      </c>
      <c r="O1317" t="str">
        <f t="shared" si="59"/>
        <v/>
      </c>
      <c r="P1317" s="67" cm="1">
        <f t="array" ref="P1317">SUMPRODUCT((H1317=$H$7:$H$10000)*(N1317&lt;$N$7:$N$10000))+1</f>
        <v>64</v>
      </c>
    </row>
    <row r="1318" spans="8:16" x14ac:dyDescent="0.35">
      <c r="H1318">
        <v>15</v>
      </c>
      <c r="I1318" t="s">
        <v>14</v>
      </c>
      <c r="J1318" t="s">
        <v>285</v>
      </c>
      <c r="K1318" t="s">
        <v>256</v>
      </c>
      <c r="L1318" t="s">
        <v>3</v>
      </c>
      <c r="M1318" t="s">
        <v>2</v>
      </c>
      <c r="N1318">
        <f t="shared" si="58"/>
        <v>5.7616152293232243</v>
      </c>
      <c r="O1318" t="str">
        <f t="shared" si="59"/>
        <v/>
      </c>
      <c r="P1318" s="67" cm="1">
        <f t="array" ref="P1318">SUMPRODUCT((H1318=$H$7:$H$10000)*(N1318&lt;$N$7:$N$10000))+1</f>
        <v>65</v>
      </c>
    </row>
    <row r="1319" spans="8:16" x14ac:dyDescent="0.35">
      <c r="H1319">
        <v>15</v>
      </c>
      <c r="I1319" t="s">
        <v>13</v>
      </c>
      <c r="J1319" t="s">
        <v>53</v>
      </c>
      <c r="K1319" t="s">
        <v>256</v>
      </c>
      <c r="L1319" t="s">
        <v>9</v>
      </c>
      <c r="M1319" t="s">
        <v>4</v>
      </c>
      <c r="N1319">
        <f t="shared" si="58"/>
        <v>5.347979254985308</v>
      </c>
      <c r="O1319" t="str">
        <f t="shared" si="59"/>
        <v/>
      </c>
      <c r="P1319" s="67" cm="1">
        <f t="array" ref="P1319">SUMPRODUCT((H1319=$H$7:$H$10000)*(N1319&lt;$N$7:$N$10000))+1</f>
        <v>66</v>
      </c>
    </row>
    <row r="1320" spans="8:16" x14ac:dyDescent="0.35">
      <c r="H1320">
        <v>15</v>
      </c>
      <c r="I1320" t="s">
        <v>14</v>
      </c>
      <c r="J1320" t="s">
        <v>11</v>
      </c>
      <c r="K1320" t="s">
        <v>256</v>
      </c>
      <c r="L1320" t="s">
        <v>3</v>
      </c>
      <c r="M1320" t="s">
        <v>2</v>
      </c>
      <c r="N1320">
        <f t="shared" si="58"/>
        <v>5.1116584506105038</v>
      </c>
      <c r="O1320" t="str">
        <f t="shared" si="59"/>
        <v/>
      </c>
      <c r="P1320" s="67" cm="1">
        <f t="array" ref="P1320">SUMPRODUCT((H1320=$H$7:$H$10000)*(N1320&lt;$N$7:$N$10000))+1</f>
        <v>67</v>
      </c>
    </row>
    <row r="1321" spans="8:16" x14ac:dyDescent="0.35">
      <c r="H1321">
        <v>15</v>
      </c>
      <c r="I1321" t="s">
        <v>17</v>
      </c>
      <c r="J1321" t="s">
        <v>81</v>
      </c>
      <c r="K1321" t="s">
        <v>256</v>
      </c>
      <c r="L1321" t="s">
        <v>3</v>
      </c>
      <c r="M1321" t="s">
        <v>36</v>
      </c>
      <c r="N1321">
        <f t="shared" si="58"/>
        <v>5.057159855662908</v>
      </c>
      <c r="O1321" t="str">
        <f t="shared" si="59"/>
        <v/>
      </c>
      <c r="P1321" s="67" cm="1">
        <f t="array" ref="P1321">SUMPRODUCT((H1321=$H$7:$H$10000)*(N1321&lt;$N$7:$N$10000))+1</f>
        <v>68</v>
      </c>
    </row>
    <row r="1322" spans="8:16" x14ac:dyDescent="0.35">
      <c r="H1322">
        <v>15</v>
      </c>
      <c r="I1322" t="s">
        <v>36</v>
      </c>
      <c r="J1322" t="s">
        <v>490</v>
      </c>
      <c r="K1322" t="s">
        <v>256</v>
      </c>
      <c r="L1322" t="s">
        <v>9</v>
      </c>
      <c r="M1322" t="s">
        <v>17</v>
      </c>
      <c r="N1322">
        <f t="shared" si="58"/>
        <v>4.4941174952726497</v>
      </c>
      <c r="O1322" t="str">
        <f t="shared" si="59"/>
        <v/>
      </c>
      <c r="P1322" s="67" cm="1">
        <f t="array" ref="P1322">SUMPRODUCT((H1322=$H$7:$H$10000)*(N1322&lt;$N$7:$N$10000))+1</f>
        <v>69</v>
      </c>
    </row>
    <row r="1323" spans="8:16" x14ac:dyDescent="0.35">
      <c r="H1323">
        <v>15</v>
      </c>
      <c r="I1323" t="s">
        <v>2</v>
      </c>
      <c r="J1323" t="s">
        <v>90</v>
      </c>
      <c r="K1323" t="s">
        <v>256</v>
      </c>
      <c r="L1323" t="s">
        <v>9</v>
      </c>
      <c r="M1323" t="s">
        <v>14</v>
      </c>
      <c r="N1323">
        <f t="shared" si="58"/>
        <v>4.3596053406645261</v>
      </c>
      <c r="O1323" t="str">
        <f t="shared" si="59"/>
        <v/>
      </c>
      <c r="P1323" s="67" cm="1">
        <f t="array" ref="P1323">SUMPRODUCT((H1323=$H$7:$H$10000)*(N1323&lt;$N$7:$N$10000))+1</f>
        <v>70</v>
      </c>
    </row>
    <row r="1324" spans="8:16" x14ac:dyDescent="0.35">
      <c r="H1324">
        <v>15</v>
      </c>
      <c r="I1324" t="s">
        <v>2</v>
      </c>
      <c r="J1324" t="s">
        <v>12</v>
      </c>
      <c r="K1324" t="s">
        <v>256</v>
      </c>
      <c r="L1324" t="s">
        <v>9</v>
      </c>
      <c r="M1324" t="s">
        <v>14</v>
      </c>
      <c r="N1324">
        <f t="shared" si="58"/>
        <v>4.0997887863251883</v>
      </c>
      <c r="O1324" t="str">
        <f t="shared" si="59"/>
        <v/>
      </c>
      <c r="P1324" s="67" cm="1">
        <f t="array" ref="P1324">SUMPRODUCT((H1324=$H$7:$H$10000)*(N1324&lt;$N$7:$N$10000))+1</f>
        <v>71</v>
      </c>
    </row>
    <row r="1325" spans="8:16" x14ac:dyDescent="0.35">
      <c r="H1325">
        <v>15</v>
      </c>
      <c r="I1325" t="s">
        <v>2</v>
      </c>
      <c r="J1325" t="s">
        <v>444</v>
      </c>
      <c r="K1325" t="s">
        <v>256</v>
      </c>
      <c r="L1325" t="s">
        <v>9</v>
      </c>
      <c r="M1325" t="s">
        <v>14</v>
      </c>
      <c r="N1325">
        <f t="shared" si="58"/>
        <v>4.0897014444135218</v>
      </c>
      <c r="O1325" t="str">
        <f t="shared" si="59"/>
        <v/>
      </c>
      <c r="P1325" s="67" cm="1">
        <f t="array" ref="P1325">SUMPRODUCT((H1325=$H$7:$H$10000)*(N1325&lt;$N$7:$N$10000))+1</f>
        <v>72</v>
      </c>
    </row>
    <row r="1326" spans="8:16" x14ac:dyDescent="0.35">
      <c r="H1326">
        <v>15</v>
      </c>
      <c r="I1326" t="s">
        <v>4</v>
      </c>
      <c r="J1326" t="s">
        <v>475</v>
      </c>
      <c r="K1326" t="s">
        <v>256</v>
      </c>
      <c r="L1326" t="s">
        <v>3</v>
      </c>
      <c r="M1326" t="s">
        <v>13</v>
      </c>
      <c r="N1326">
        <f t="shared" si="58"/>
        <v>4.0302557019511411</v>
      </c>
      <c r="O1326" t="str">
        <f t="shared" si="59"/>
        <v/>
      </c>
      <c r="P1326" s="67" cm="1">
        <f t="array" ref="P1326">SUMPRODUCT((H1326=$H$7:$H$10000)*(N1326&lt;$N$7:$N$10000))+1</f>
        <v>73</v>
      </c>
    </row>
    <row r="1327" spans="8:16" x14ac:dyDescent="0.35">
      <c r="H1327">
        <v>15</v>
      </c>
      <c r="I1327" t="s">
        <v>13</v>
      </c>
      <c r="J1327" t="s">
        <v>474</v>
      </c>
      <c r="K1327" t="s">
        <v>256</v>
      </c>
      <c r="L1327" t="s">
        <v>9</v>
      </c>
      <c r="M1327" t="s">
        <v>4</v>
      </c>
      <c r="N1327">
        <f t="shared" si="58"/>
        <v>3.7436735549304023</v>
      </c>
      <c r="O1327" t="str">
        <f t="shared" si="59"/>
        <v/>
      </c>
      <c r="P1327" s="67" cm="1">
        <f t="array" ref="P1327">SUMPRODUCT((H1327=$H$7:$H$10000)*(N1327&lt;$N$7:$N$10000))+1</f>
        <v>74</v>
      </c>
    </row>
    <row r="1328" spans="8:16" x14ac:dyDescent="0.35">
      <c r="H1328">
        <v>15</v>
      </c>
      <c r="I1328" t="s">
        <v>17</v>
      </c>
      <c r="J1328" t="s">
        <v>82</v>
      </c>
      <c r="K1328" t="s">
        <v>256</v>
      </c>
      <c r="L1328" t="s">
        <v>3</v>
      </c>
      <c r="M1328" t="s">
        <v>36</v>
      </c>
      <c r="N1328">
        <f t="shared" si="58"/>
        <v>3.6622840123472251</v>
      </c>
      <c r="O1328" t="str">
        <f t="shared" si="59"/>
        <v/>
      </c>
      <c r="P1328" s="67" cm="1">
        <f t="array" ref="P1328">SUMPRODUCT((H1328=$H$7:$H$10000)*(N1328&lt;$N$7:$N$10000))+1</f>
        <v>75</v>
      </c>
    </row>
    <row r="1329" spans="8:16" x14ac:dyDescent="0.35">
      <c r="H1329">
        <v>15</v>
      </c>
      <c r="I1329" t="s">
        <v>7</v>
      </c>
      <c r="J1329" t="s">
        <v>19</v>
      </c>
      <c r="K1329" t="s">
        <v>256</v>
      </c>
      <c r="L1329" t="s">
        <v>9</v>
      </c>
      <c r="M1329" t="s">
        <v>23</v>
      </c>
      <c r="N1329">
        <f t="shared" si="58"/>
        <v>3.3687547376221749</v>
      </c>
      <c r="O1329" t="str">
        <f t="shared" si="59"/>
        <v/>
      </c>
      <c r="P1329" s="67" cm="1">
        <f t="array" ref="P1329">SUMPRODUCT((H1329=$H$7:$H$10000)*(N1329&lt;$N$7:$N$10000))+1</f>
        <v>76</v>
      </c>
    </row>
    <row r="1330" spans="8:16" x14ac:dyDescent="0.35">
      <c r="H1330">
        <v>15</v>
      </c>
      <c r="I1330" t="s">
        <v>14</v>
      </c>
      <c r="J1330" t="s">
        <v>278</v>
      </c>
      <c r="K1330" t="s">
        <v>256</v>
      </c>
      <c r="L1330" t="s">
        <v>3</v>
      </c>
      <c r="M1330" t="s">
        <v>2</v>
      </c>
      <c r="N1330">
        <f t="shared" si="58"/>
        <v>3.2348915340065121</v>
      </c>
      <c r="O1330" t="str">
        <f t="shared" si="59"/>
        <v/>
      </c>
      <c r="P1330" s="67" cm="1">
        <f t="array" ref="P1330">SUMPRODUCT((H1330=$H$7:$H$10000)*(N1330&lt;$N$7:$N$10000))+1</f>
        <v>77</v>
      </c>
    </row>
    <row r="1331" spans="8:16" x14ac:dyDescent="0.35">
      <c r="H1331">
        <v>15</v>
      </c>
      <c r="I1331" t="s">
        <v>23</v>
      </c>
      <c r="J1331" t="s">
        <v>498</v>
      </c>
      <c r="K1331" t="s">
        <v>256</v>
      </c>
      <c r="L1331" t="s">
        <v>3</v>
      </c>
      <c r="M1331" t="s">
        <v>7</v>
      </c>
      <c r="N1331">
        <f t="shared" si="58"/>
        <v>3.2136715016491362</v>
      </c>
      <c r="O1331" t="str">
        <f t="shared" si="59"/>
        <v/>
      </c>
      <c r="P1331" s="67" cm="1">
        <f t="array" ref="P1331">SUMPRODUCT((H1331=$H$7:$H$10000)*(N1331&lt;$N$7:$N$10000))+1</f>
        <v>78</v>
      </c>
    </row>
    <row r="1332" spans="8:16" x14ac:dyDescent="0.35">
      <c r="H1332">
        <v>15</v>
      </c>
      <c r="I1332" t="s">
        <v>13</v>
      </c>
      <c r="J1332" t="s">
        <v>472</v>
      </c>
      <c r="K1332" t="s">
        <v>256</v>
      </c>
      <c r="L1332" t="s">
        <v>9</v>
      </c>
      <c r="M1332" t="s">
        <v>4</v>
      </c>
      <c r="N1332">
        <f t="shared" si="58"/>
        <v>3.0307977371018096</v>
      </c>
      <c r="O1332" t="str">
        <f t="shared" si="59"/>
        <v/>
      </c>
      <c r="P1332" s="67" cm="1">
        <f t="array" ref="P1332">SUMPRODUCT((H1332=$H$7:$H$10000)*(N1332&lt;$N$7:$N$10000))+1</f>
        <v>79</v>
      </c>
    </row>
    <row r="1333" spans="8:16" x14ac:dyDescent="0.35">
      <c r="H1333">
        <v>15</v>
      </c>
      <c r="I1333" t="s">
        <v>36</v>
      </c>
      <c r="J1333" t="s">
        <v>48</v>
      </c>
      <c r="K1333" t="s">
        <v>256</v>
      </c>
      <c r="L1333" t="s">
        <v>9</v>
      </c>
      <c r="M1333" t="s">
        <v>17</v>
      </c>
      <c r="N1333">
        <f t="shared" si="58"/>
        <v>2.9227593276694748</v>
      </c>
      <c r="O1333" t="str">
        <f t="shared" si="59"/>
        <v/>
      </c>
      <c r="P1333" s="67" cm="1">
        <f t="array" ref="P1333">SUMPRODUCT((H1333=$H$7:$H$10000)*(N1333&lt;$N$7:$N$10000))+1</f>
        <v>80</v>
      </c>
    </row>
    <row r="1334" spans="8:16" x14ac:dyDescent="0.35">
      <c r="H1334">
        <v>15</v>
      </c>
      <c r="I1334" t="s">
        <v>2</v>
      </c>
      <c r="J1334" t="s">
        <v>499</v>
      </c>
      <c r="K1334" t="s">
        <v>256</v>
      </c>
      <c r="L1334" t="s">
        <v>9</v>
      </c>
      <c r="M1334" t="s">
        <v>14</v>
      </c>
      <c r="N1334">
        <f t="shared" si="58"/>
        <v>2.7201720566068524</v>
      </c>
      <c r="O1334" t="str">
        <f t="shared" si="59"/>
        <v/>
      </c>
      <c r="P1334" s="67" cm="1">
        <f t="array" ref="P1334">SUMPRODUCT((H1334=$H$7:$H$10000)*(N1334&lt;$N$7:$N$10000))+1</f>
        <v>81</v>
      </c>
    </row>
    <row r="1335" spans="8:16" x14ac:dyDescent="0.35">
      <c r="H1335">
        <v>15</v>
      </c>
      <c r="I1335" t="s">
        <v>36</v>
      </c>
      <c r="J1335" t="s">
        <v>123</v>
      </c>
      <c r="K1335" t="s">
        <v>256</v>
      </c>
      <c r="L1335" t="s">
        <v>9</v>
      </c>
      <c r="M1335" t="s">
        <v>17</v>
      </c>
      <c r="N1335">
        <f t="shared" si="58"/>
        <v>2.6751964262991974</v>
      </c>
      <c r="O1335" t="str">
        <f t="shared" si="59"/>
        <v/>
      </c>
      <c r="P1335" s="67" cm="1">
        <f t="array" ref="P1335">SUMPRODUCT((H1335=$H$7:$H$10000)*(N1335&lt;$N$7:$N$10000))+1</f>
        <v>82</v>
      </c>
    </row>
    <row r="1336" spans="8:16" x14ac:dyDescent="0.35">
      <c r="H1336">
        <v>15</v>
      </c>
      <c r="I1336" t="s">
        <v>17</v>
      </c>
      <c r="J1336" t="s">
        <v>16</v>
      </c>
      <c r="K1336" t="s">
        <v>256</v>
      </c>
      <c r="L1336" t="s">
        <v>3</v>
      </c>
      <c r="M1336" t="s">
        <v>36</v>
      </c>
      <c r="N1336">
        <f t="shared" si="58"/>
        <v>2.3045289561036801</v>
      </c>
      <c r="O1336" t="str">
        <f t="shared" si="59"/>
        <v/>
      </c>
      <c r="P1336" s="67" cm="1">
        <f t="array" ref="P1336">SUMPRODUCT((H1336=$H$7:$H$10000)*(N1336&lt;$N$7:$N$10000))+1</f>
        <v>83</v>
      </c>
    </row>
    <row r="1337" spans="8:16" x14ac:dyDescent="0.35">
      <c r="H1337">
        <v>15</v>
      </c>
      <c r="I1337" t="s">
        <v>14</v>
      </c>
      <c r="J1337" t="s">
        <v>488</v>
      </c>
      <c r="K1337" t="s">
        <v>256</v>
      </c>
      <c r="L1337" t="s">
        <v>3</v>
      </c>
      <c r="M1337" t="s">
        <v>2</v>
      </c>
      <c r="N1337">
        <f t="shared" si="58"/>
        <v>2.2814647160445896</v>
      </c>
      <c r="O1337" t="str">
        <f t="shared" si="59"/>
        <v/>
      </c>
      <c r="P1337" s="67" cm="1">
        <f t="array" ref="P1337">SUMPRODUCT((H1337=$H$7:$H$10000)*(N1337&lt;$N$7:$N$10000))+1</f>
        <v>84</v>
      </c>
    </row>
    <row r="1338" spans="8:16" x14ac:dyDescent="0.35">
      <c r="H1338">
        <v>15</v>
      </c>
      <c r="I1338" t="s">
        <v>7</v>
      </c>
      <c r="J1338" t="s">
        <v>92</v>
      </c>
      <c r="K1338" t="s">
        <v>256</v>
      </c>
      <c r="L1338" t="s">
        <v>9</v>
      </c>
      <c r="M1338" t="s">
        <v>23</v>
      </c>
      <c r="N1338">
        <f t="shared" si="58"/>
        <v>1.5847598587696989</v>
      </c>
      <c r="O1338" t="str">
        <f t="shared" si="59"/>
        <v/>
      </c>
      <c r="P1338" s="67" cm="1">
        <f t="array" ref="P1338">SUMPRODUCT((H1338=$H$7:$H$10000)*(N1338&lt;$N$7:$N$10000))+1</f>
        <v>85</v>
      </c>
    </row>
    <row r="1339" spans="8:16" x14ac:dyDescent="0.35">
      <c r="H1339">
        <v>15</v>
      </c>
      <c r="I1339" t="s">
        <v>7</v>
      </c>
      <c r="J1339" t="s">
        <v>131</v>
      </c>
      <c r="K1339" t="s">
        <v>256</v>
      </c>
      <c r="L1339" t="s">
        <v>9</v>
      </c>
      <c r="M1339" t="s">
        <v>23</v>
      </c>
      <c r="N1339">
        <f t="shared" si="58"/>
        <v>1.5519021668217139</v>
      </c>
      <c r="O1339" t="str">
        <f t="shared" si="59"/>
        <v/>
      </c>
      <c r="P1339" s="67" cm="1">
        <f t="array" ref="P1339">SUMPRODUCT((H1339=$H$7:$H$10000)*(N1339&lt;$N$7:$N$10000))+1</f>
        <v>86</v>
      </c>
    </row>
    <row r="1340" spans="8:16" x14ac:dyDescent="0.35">
      <c r="H1340">
        <v>15</v>
      </c>
      <c r="I1340" t="s">
        <v>4</v>
      </c>
      <c r="J1340" t="s">
        <v>125</v>
      </c>
      <c r="K1340" t="s">
        <v>256</v>
      </c>
      <c r="L1340" t="s">
        <v>3</v>
      </c>
      <c r="M1340" t="s">
        <v>13</v>
      </c>
      <c r="N1340">
        <f t="shared" si="58"/>
        <v>1.4144553276843244</v>
      </c>
      <c r="O1340" t="str">
        <f t="shared" si="59"/>
        <v/>
      </c>
      <c r="P1340" s="67" cm="1">
        <f t="array" ref="P1340">SUMPRODUCT((H1340=$H$7:$H$10000)*(N1340&lt;$N$7:$N$10000))+1</f>
        <v>87</v>
      </c>
    </row>
    <row r="1341" spans="8:16" x14ac:dyDescent="0.35">
      <c r="H1341">
        <v>15</v>
      </c>
      <c r="I1341" t="s">
        <v>36</v>
      </c>
      <c r="J1341" t="s">
        <v>334</v>
      </c>
      <c r="K1341" t="s">
        <v>256</v>
      </c>
      <c r="L1341" t="s">
        <v>9</v>
      </c>
      <c r="M1341" t="s">
        <v>17</v>
      </c>
      <c r="N1341">
        <f t="shared" si="58"/>
        <v>1.3959808014278732</v>
      </c>
      <c r="O1341" t="str">
        <f t="shared" si="59"/>
        <v/>
      </c>
      <c r="P1341" s="67" cm="1">
        <f t="array" ref="P1341">SUMPRODUCT((H1341=$H$7:$H$10000)*(N1341&lt;$N$7:$N$10000))+1</f>
        <v>88</v>
      </c>
    </row>
    <row r="1342" spans="8:16" x14ac:dyDescent="0.35">
      <c r="H1342">
        <v>15</v>
      </c>
      <c r="I1342" t="s">
        <v>4</v>
      </c>
      <c r="J1342" t="s">
        <v>489</v>
      </c>
      <c r="K1342" t="s">
        <v>256</v>
      </c>
      <c r="L1342" t="s">
        <v>3</v>
      </c>
      <c r="M1342" t="s">
        <v>13</v>
      </c>
      <c r="N1342">
        <f t="shared" si="58"/>
        <v>1.3677253859026397</v>
      </c>
      <c r="O1342" t="str">
        <f t="shared" si="59"/>
        <v/>
      </c>
      <c r="P1342" s="67" cm="1">
        <f t="array" ref="P1342">SUMPRODUCT((H1342=$H$7:$H$10000)*(N1342&lt;$N$7:$N$10000))+1</f>
        <v>89</v>
      </c>
    </row>
    <row r="1343" spans="8:16" x14ac:dyDescent="0.35">
      <c r="H1343">
        <v>15</v>
      </c>
      <c r="I1343" t="s">
        <v>14</v>
      </c>
      <c r="J1343" t="s">
        <v>460</v>
      </c>
      <c r="K1343" t="s">
        <v>256</v>
      </c>
      <c r="L1343" t="s">
        <v>3</v>
      </c>
      <c r="M1343" t="s">
        <v>2</v>
      </c>
      <c r="N1343">
        <f t="shared" si="58"/>
        <v>1.0928416839820478</v>
      </c>
      <c r="O1343" t="str">
        <f t="shared" si="59"/>
        <v/>
      </c>
      <c r="P1343" s="67" cm="1">
        <f t="array" ref="P1343">SUMPRODUCT((H1343=$H$7:$H$10000)*(N1343&lt;$N$7:$N$10000))+1</f>
        <v>90</v>
      </c>
    </row>
    <row r="1344" spans="8:16" x14ac:dyDescent="0.35">
      <c r="H1344">
        <v>15</v>
      </c>
      <c r="I1344" t="s">
        <v>23</v>
      </c>
      <c r="J1344" t="s">
        <v>443</v>
      </c>
      <c r="K1344" t="s">
        <v>256</v>
      </c>
      <c r="L1344" t="s">
        <v>3</v>
      </c>
      <c r="M1344" t="s">
        <v>7</v>
      </c>
      <c r="N1344">
        <f t="shared" si="58"/>
        <v>0.80312337871982464</v>
      </c>
      <c r="O1344" t="str">
        <f t="shared" si="59"/>
        <v/>
      </c>
      <c r="P1344" s="67" cm="1">
        <f t="array" ref="P1344">SUMPRODUCT((H1344=$H$7:$H$10000)*(N1344&lt;$N$7:$N$10000))+1</f>
        <v>91</v>
      </c>
    </row>
    <row r="1345" spans="8:16" x14ac:dyDescent="0.35">
      <c r="H1345">
        <v>15</v>
      </c>
      <c r="I1345" t="s">
        <v>23</v>
      </c>
      <c r="J1345" t="s">
        <v>127</v>
      </c>
      <c r="K1345" t="s">
        <v>256</v>
      </c>
      <c r="L1345" t="s">
        <v>3</v>
      </c>
      <c r="M1345" t="s">
        <v>7</v>
      </c>
      <c r="N1345">
        <f t="shared" si="58"/>
        <v>0.2562192968525574</v>
      </c>
      <c r="O1345" t="str">
        <f t="shared" si="59"/>
        <v/>
      </c>
      <c r="P1345" s="67" cm="1">
        <f t="array" ref="P1345">SUMPRODUCT((H1345=$H$7:$H$10000)*(N1345&lt;$N$7:$N$10000))+1</f>
        <v>92</v>
      </c>
    </row>
    <row r="1346" spans="8:16" x14ac:dyDescent="0.35">
      <c r="H1346">
        <v>15</v>
      </c>
      <c r="I1346" t="s">
        <v>17</v>
      </c>
      <c r="J1346" t="s">
        <v>76</v>
      </c>
      <c r="K1346" t="s">
        <v>256</v>
      </c>
      <c r="L1346" t="s">
        <v>3</v>
      </c>
      <c r="M1346" t="s">
        <v>36</v>
      </c>
      <c r="N1346">
        <f t="shared" si="58"/>
        <v>2.9173120166642086E-2</v>
      </c>
      <c r="O1346" t="str">
        <f t="shared" si="59"/>
        <v/>
      </c>
      <c r="P1346" s="67" cm="1">
        <f t="array" ref="P1346">SUMPRODUCT((H1346=$H$7:$H$10000)*(N1346&lt;$N$7:$N$10000))+1</f>
        <v>93</v>
      </c>
    </row>
    <row r="1347" spans="8:16" x14ac:dyDescent="0.35">
      <c r="H1347">
        <v>15</v>
      </c>
      <c r="I1347" t="s">
        <v>36</v>
      </c>
      <c r="J1347" t="s">
        <v>73</v>
      </c>
      <c r="K1347" t="s">
        <v>256</v>
      </c>
      <c r="L1347" t="s">
        <v>9</v>
      </c>
      <c r="M1347" t="s">
        <v>17</v>
      </c>
      <c r="N1347">
        <f t="shared" si="58"/>
        <v>-0.43413677796292127</v>
      </c>
      <c r="O1347" t="str">
        <f t="shared" si="59"/>
        <v/>
      </c>
      <c r="P1347" s="67" cm="1">
        <f t="array" ref="P1347">SUMPRODUCT((H1347=$H$7:$H$10000)*(N1347&lt;$N$7:$N$10000))+1</f>
        <v>94</v>
      </c>
    </row>
    <row r="1348" spans="8:16" x14ac:dyDescent="0.35">
      <c r="H1348">
        <v>15</v>
      </c>
      <c r="I1348" t="s">
        <v>23</v>
      </c>
      <c r="J1348" t="s">
        <v>456</v>
      </c>
      <c r="K1348" t="s">
        <v>256</v>
      </c>
      <c r="L1348" t="s">
        <v>3</v>
      </c>
      <c r="M1348" t="s">
        <v>7</v>
      </c>
      <c r="N1348">
        <f t="shared" si="58"/>
        <v>-0.50651522171128338</v>
      </c>
      <c r="O1348" t="str">
        <f t="shared" si="59"/>
        <v/>
      </c>
      <c r="P1348" s="67" cm="1">
        <f t="array" ref="P1348">SUMPRODUCT((H1348=$H$7:$H$10000)*(N1348&lt;$N$7:$N$10000))+1</f>
        <v>95</v>
      </c>
    </row>
    <row r="1349" spans="8:16" x14ac:dyDescent="0.35">
      <c r="H1349">
        <v>15</v>
      </c>
      <c r="I1349" t="s">
        <v>17</v>
      </c>
      <c r="J1349" t="s">
        <v>458</v>
      </c>
      <c r="K1349" t="s">
        <v>256</v>
      </c>
      <c r="L1349" t="s">
        <v>3</v>
      </c>
      <c r="M1349" t="s">
        <v>36</v>
      </c>
      <c r="N1349">
        <f t="shared" si="58"/>
        <v>-0.59685675806845051</v>
      </c>
      <c r="O1349" t="str">
        <f t="shared" si="59"/>
        <v/>
      </c>
      <c r="P1349" s="67" cm="1">
        <f t="array" ref="P1349">SUMPRODUCT((H1349=$H$7:$H$10000)*(N1349&lt;$N$7:$N$10000))+1</f>
        <v>96</v>
      </c>
    </row>
    <row r="1350" spans="8:16" x14ac:dyDescent="0.35">
      <c r="H1350">
        <v>15</v>
      </c>
      <c r="I1350" t="s">
        <v>23</v>
      </c>
      <c r="J1350" t="s">
        <v>340</v>
      </c>
      <c r="K1350" t="s">
        <v>256</v>
      </c>
      <c r="L1350" t="s">
        <v>3</v>
      </c>
      <c r="M1350" t="s">
        <v>7</v>
      </c>
      <c r="N1350">
        <f t="shared" si="58"/>
        <v>-0.81175865052031071</v>
      </c>
      <c r="O1350" t="str">
        <f t="shared" si="59"/>
        <v/>
      </c>
      <c r="P1350" s="67" cm="1">
        <f t="array" ref="P1350">SUMPRODUCT((H1350=$H$7:$H$10000)*(N1350&lt;$N$7:$N$10000))+1</f>
        <v>97</v>
      </c>
    </row>
    <row r="1351" spans="8:16" x14ac:dyDescent="0.35">
      <c r="H1351">
        <v>15</v>
      </c>
      <c r="I1351" t="s">
        <v>7</v>
      </c>
      <c r="J1351" t="s">
        <v>126</v>
      </c>
      <c r="K1351" t="s">
        <v>256</v>
      </c>
      <c r="L1351" t="s">
        <v>9</v>
      </c>
      <c r="M1351" t="s">
        <v>23</v>
      </c>
      <c r="N1351">
        <f t="shared" si="58"/>
        <v>-2.9095558393351091</v>
      </c>
      <c r="O1351" t="str">
        <f t="shared" si="59"/>
        <v/>
      </c>
      <c r="P1351" s="67" cm="1">
        <f t="array" ref="P1351">SUMPRODUCT((H1351=$H$7:$H$10000)*(N1351&lt;$N$7:$N$10000))+1</f>
        <v>98</v>
      </c>
    </row>
    <row r="1352" spans="8:16" x14ac:dyDescent="0.35">
      <c r="H1352">
        <v>16</v>
      </c>
      <c r="I1352" t="s">
        <v>7</v>
      </c>
      <c r="J1352" t="s">
        <v>65</v>
      </c>
      <c r="K1352" t="s">
        <v>256</v>
      </c>
      <c r="L1352" t="s">
        <v>3</v>
      </c>
      <c r="M1352" t="s">
        <v>6</v>
      </c>
      <c r="N1352">
        <f t="shared" si="58"/>
        <v>21.48033220268384</v>
      </c>
      <c r="O1352" t="str">
        <f t="shared" si="59"/>
        <v/>
      </c>
      <c r="P1352" s="67" cm="1">
        <f t="array" ref="P1352">SUMPRODUCT((H1352=$H$7:$H$10000)*(N1352&lt;$N$7:$N$10000))+1</f>
        <v>1</v>
      </c>
    </row>
    <row r="1353" spans="8:16" x14ac:dyDescent="0.35">
      <c r="H1353">
        <v>16</v>
      </c>
      <c r="I1353" t="s">
        <v>13</v>
      </c>
      <c r="J1353" t="s">
        <v>79</v>
      </c>
      <c r="K1353" t="s">
        <v>256</v>
      </c>
      <c r="L1353" t="s">
        <v>3</v>
      </c>
      <c r="M1353" t="s">
        <v>14</v>
      </c>
      <c r="N1353">
        <f t="shared" si="58"/>
        <v>20.611048157617997</v>
      </c>
      <c r="O1353" t="str">
        <f t="shared" si="59"/>
        <v/>
      </c>
      <c r="P1353" s="67" cm="1">
        <f t="array" ref="P1353">SUMPRODUCT((H1353=$H$7:$H$10000)*(N1353&lt;$N$7:$N$10000))+1</f>
        <v>2</v>
      </c>
    </row>
    <row r="1354" spans="8:16" x14ac:dyDescent="0.35">
      <c r="H1354">
        <v>16</v>
      </c>
      <c r="I1354" t="s">
        <v>34</v>
      </c>
      <c r="J1354" t="s">
        <v>95</v>
      </c>
      <c r="K1354" t="s">
        <v>256</v>
      </c>
      <c r="L1354" t="s">
        <v>9</v>
      </c>
      <c r="M1354" t="s">
        <v>24</v>
      </c>
      <c r="N1354">
        <f t="shared" si="58"/>
        <v>20.534142289015772</v>
      </c>
      <c r="O1354" t="str">
        <f t="shared" si="59"/>
        <v/>
      </c>
      <c r="P1354" s="67" cm="1">
        <f t="array" ref="P1354">SUMPRODUCT((H1354=$H$7:$H$10000)*(N1354&lt;$N$7:$N$10000))+1</f>
        <v>3</v>
      </c>
    </row>
    <row r="1355" spans="8:16" x14ac:dyDescent="0.35">
      <c r="H1355">
        <v>16</v>
      </c>
      <c r="I1355" t="s">
        <v>13</v>
      </c>
      <c r="J1355" t="s">
        <v>494</v>
      </c>
      <c r="K1355" t="s">
        <v>256</v>
      </c>
      <c r="L1355" t="s">
        <v>3</v>
      </c>
      <c r="M1355" t="s">
        <v>14</v>
      </c>
      <c r="N1355">
        <f t="shared" si="58"/>
        <v>16.800512706907398</v>
      </c>
      <c r="O1355" t="str">
        <f t="shared" si="59"/>
        <v/>
      </c>
      <c r="P1355" s="67" cm="1">
        <f t="array" ref="P1355">SUMPRODUCT((H1355=$H$7:$H$10000)*(N1355&lt;$N$7:$N$10000))+1</f>
        <v>4</v>
      </c>
    </row>
    <row r="1356" spans="8:16" x14ac:dyDescent="0.35">
      <c r="H1356">
        <v>16</v>
      </c>
      <c r="I1356" t="s">
        <v>34</v>
      </c>
      <c r="J1356" t="s">
        <v>41</v>
      </c>
      <c r="K1356" t="s">
        <v>256</v>
      </c>
      <c r="L1356" t="s">
        <v>9</v>
      </c>
      <c r="M1356" t="s">
        <v>24</v>
      </c>
      <c r="N1356">
        <f t="shared" ref="N1356:N1419" si="60">VLOOKUP($L1356,$F$3:$G$4,2,FALSE)+VLOOKUP($J1356,$A$20:$B$131,2,FALSE)+VLOOKUP($M1356,$A$6:$B$16,2,FALSE)</f>
        <v>16.333447088836337</v>
      </c>
      <c r="O1356" t="str">
        <f t="shared" ref="O1356:O1419" si="61">IFERROR(($K1356-$N1356)^2,"")</f>
        <v/>
      </c>
      <c r="P1356" s="67" cm="1">
        <f t="array" ref="P1356">SUMPRODUCT((H1356=$H$7:$H$10000)*(N1356&lt;$N$7:$N$10000))+1</f>
        <v>5</v>
      </c>
    </row>
    <row r="1357" spans="8:16" x14ac:dyDescent="0.35">
      <c r="H1357">
        <v>16</v>
      </c>
      <c r="I1357" t="s">
        <v>6</v>
      </c>
      <c r="J1357" t="s">
        <v>94</v>
      </c>
      <c r="K1357" t="s">
        <v>256</v>
      </c>
      <c r="L1357" t="s">
        <v>9</v>
      </c>
      <c r="M1357" t="s">
        <v>7</v>
      </c>
      <c r="N1357">
        <f t="shared" si="60"/>
        <v>15.875635102406362</v>
      </c>
      <c r="O1357" t="str">
        <f t="shared" si="61"/>
        <v/>
      </c>
      <c r="P1357" s="67" cm="1">
        <f t="array" ref="P1357">SUMPRODUCT((H1357=$H$7:$H$10000)*(N1357&lt;$N$7:$N$10000))+1</f>
        <v>6</v>
      </c>
    </row>
    <row r="1358" spans="8:16" x14ac:dyDescent="0.35">
      <c r="H1358">
        <v>16</v>
      </c>
      <c r="I1358" t="s">
        <v>34</v>
      </c>
      <c r="J1358" t="s">
        <v>100</v>
      </c>
      <c r="K1358" t="s">
        <v>256</v>
      </c>
      <c r="L1358" t="s">
        <v>9</v>
      </c>
      <c r="M1358" t="s">
        <v>24</v>
      </c>
      <c r="N1358">
        <f t="shared" si="60"/>
        <v>15.169157779154776</v>
      </c>
      <c r="O1358" t="str">
        <f t="shared" si="61"/>
        <v/>
      </c>
      <c r="P1358" s="67" cm="1">
        <f t="array" ref="P1358">SUMPRODUCT((H1358=$H$7:$H$10000)*(N1358&lt;$N$7:$N$10000))+1</f>
        <v>7</v>
      </c>
    </row>
    <row r="1359" spans="8:16" x14ac:dyDescent="0.35">
      <c r="H1359">
        <v>16</v>
      </c>
      <c r="I1359" t="s">
        <v>7</v>
      </c>
      <c r="J1359" t="s">
        <v>67</v>
      </c>
      <c r="K1359" t="s">
        <v>256</v>
      </c>
      <c r="L1359" t="s">
        <v>3</v>
      </c>
      <c r="M1359" t="s">
        <v>6</v>
      </c>
      <c r="N1359">
        <f t="shared" si="60"/>
        <v>14.220999667299278</v>
      </c>
      <c r="O1359" t="str">
        <f t="shared" si="61"/>
        <v/>
      </c>
      <c r="P1359" s="67" cm="1">
        <f t="array" ref="P1359">SUMPRODUCT((H1359=$H$7:$H$10000)*(N1359&lt;$N$7:$N$10000))+1</f>
        <v>8</v>
      </c>
    </row>
    <row r="1360" spans="8:16" x14ac:dyDescent="0.35">
      <c r="H1360">
        <v>16</v>
      </c>
      <c r="I1360" t="s">
        <v>34</v>
      </c>
      <c r="J1360" t="s">
        <v>52</v>
      </c>
      <c r="K1360" t="s">
        <v>256</v>
      </c>
      <c r="L1360" t="s">
        <v>9</v>
      </c>
      <c r="M1360" t="s">
        <v>24</v>
      </c>
      <c r="N1360">
        <f t="shared" si="60"/>
        <v>13.840827175647032</v>
      </c>
      <c r="O1360" t="str">
        <f t="shared" si="61"/>
        <v/>
      </c>
      <c r="P1360" s="67" cm="1">
        <f t="array" ref="P1360">SUMPRODUCT((H1360=$H$7:$H$10000)*(N1360&lt;$N$7:$N$10000))+1</f>
        <v>9</v>
      </c>
    </row>
    <row r="1361" spans="8:16" x14ac:dyDescent="0.35">
      <c r="H1361">
        <v>16</v>
      </c>
      <c r="I1361" t="s">
        <v>34</v>
      </c>
      <c r="J1361" t="s">
        <v>192</v>
      </c>
      <c r="K1361" t="s">
        <v>256</v>
      </c>
      <c r="L1361" t="s">
        <v>9</v>
      </c>
      <c r="M1361" t="s">
        <v>24</v>
      </c>
      <c r="N1361">
        <f t="shared" si="60"/>
        <v>13.682048914508057</v>
      </c>
      <c r="O1361" t="str">
        <f t="shared" si="61"/>
        <v/>
      </c>
      <c r="P1361" s="67" cm="1">
        <f t="array" ref="P1361">SUMPRODUCT((H1361=$H$7:$H$10000)*(N1361&lt;$N$7:$N$10000))+1</f>
        <v>10</v>
      </c>
    </row>
    <row r="1362" spans="8:16" x14ac:dyDescent="0.35">
      <c r="H1362">
        <v>16</v>
      </c>
      <c r="I1362" t="s">
        <v>7</v>
      </c>
      <c r="J1362" t="s">
        <v>447</v>
      </c>
      <c r="K1362" t="s">
        <v>256</v>
      </c>
      <c r="L1362" t="s">
        <v>3</v>
      </c>
      <c r="M1362" t="s">
        <v>6</v>
      </c>
      <c r="N1362">
        <f t="shared" si="60"/>
        <v>13.533358606633223</v>
      </c>
      <c r="O1362" t="str">
        <f t="shared" si="61"/>
        <v/>
      </c>
      <c r="P1362" s="67" cm="1">
        <f t="array" ref="P1362">SUMPRODUCT((H1362=$H$7:$H$10000)*(N1362&lt;$N$7:$N$10000))+1</f>
        <v>11</v>
      </c>
    </row>
    <row r="1363" spans="8:16" x14ac:dyDescent="0.35">
      <c r="H1363">
        <v>16</v>
      </c>
      <c r="I1363" t="s">
        <v>34</v>
      </c>
      <c r="J1363" t="s">
        <v>496</v>
      </c>
      <c r="K1363" t="s">
        <v>256</v>
      </c>
      <c r="L1363" t="s">
        <v>9</v>
      </c>
      <c r="M1363" t="s">
        <v>24</v>
      </c>
      <c r="N1363">
        <f t="shared" si="60"/>
        <v>13.524940057108003</v>
      </c>
      <c r="O1363" t="str">
        <f t="shared" si="61"/>
        <v/>
      </c>
      <c r="P1363" s="67" cm="1">
        <f t="array" ref="P1363">SUMPRODUCT((H1363=$H$7:$H$10000)*(N1363&lt;$N$7:$N$10000))+1</f>
        <v>12</v>
      </c>
    </row>
    <row r="1364" spans="8:16" x14ac:dyDescent="0.35">
      <c r="H1364">
        <v>16</v>
      </c>
      <c r="I1364" t="s">
        <v>13</v>
      </c>
      <c r="J1364" t="s">
        <v>473</v>
      </c>
      <c r="K1364" t="s">
        <v>256</v>
      </c>
      <c r="L1364" t="s">
        <v>3</v>
      </c>
      <c r="M1364" t="s">
        <v>14</v>
      </c>
      <c r="N1364">
        <f t="shared" si="60"/>
        <v>13.137757494122045</v>
      </c>
      <c r="O1364" t="str">
        <f t="shared" si="61"/>
        <v/>
      </c>
      <c r="P1364" s="67" cm="1">
        <f t="array" ref="P1364">SUMPRODUCT((H1364=$H$7:$H$10000)*(N1364&lt;$N$7:$N$10000))+1</f>
        <v>13</v>
      </c>
    </row>
    <row r="1365" spans="8:16" x14ac:dyDescent="0.35">
      <c r="H1365">
        <v>16</v>
      </c>
      <c r="I1365" t="s">
        <v>7</v>
      </c>
      <c r="J1365" t="s">
        <v>77</v>
      </c>
      <c r="K1365" t="s">
        <v>256</v>
      </c>
      <c r="L1365" t="s">
        <v>3</v>
      </c>
      <c r="M1365" t="s">
        <v>6</v>
      </c>
      <c r="N1365">
        <f t="shared" si="60"/>
        <v>12.512825366978495</v>
      </c>
      <c r="O1365" t="str">
        <f t="shared" si="61"/>
        <v/>
      </c>
      <c r="P1365" s="67" cm="1">
        <f t="array" ref="P1365">SUMPRODUCT((H1365=$H$7:$H$10000)*(N1365&lt;$N$7:$N$10000))+1</f>
        <v>14</v>
      </c>
    </row>
    <row r="1366" spans="8:16" x14ac:dyDescent="0.35">
      <c r="H1366">
        <v>16</v>
      </c>
      <c r="I1366" t="s">
        <v>34</v>
      </c>
      <c r="J1366" t="s">
        <v>440</v>
      </c>
      <c r="K1366" t="s">
        <v>256</v>
      </c>
      <c r="L1366" t="s">
        <v>9</v>
      </c>
      <c r="M1366" t="s">
        <v>24</v>
      </c>
      <c r="N1366">
        <f t="shared" si="60"/>
        <v>12.40701016594107</v>
      </c>
      <c r="O1366" t="str">
        <f t="shared" si="61"/>
        <v/>
      </c>
      <c r="P1366" s="67" cm="1">
        <f t="array" ref="P1366">SUMPRODUCT((H1366=$H$7:$H$10000)*(N1366&lt;$N$7:$N$10000))+1</f>
        <v>15</v>
      </c>
    </row>
    <row r="1367" spans="8:16" x14ac:dyDescent="0.35">
      <c r="H1367">
        <v>16</v>
      </c>
      <c r="I1367" t="s">
        <v>24</v>
      </c>
      <c r="J1367" t="s">
        <v>446</v>
      </c>
      <c r="K1367" t="s">
        <v>256</v>
      </c>
      <c r="L1367" t="s">
        <v>3</v>
      </c>
      <c r="M1367" t="s">
        <v>34</v>
      </c>
      <c r="N1367">
        <f t="shared" si="60"/>
        <v>12.320212274840245</v>
      </c>
      <c r="O1367" t="str">
        <f t="shared" si="61"/>
        <v/>
      </c>
      <c r="P1367" s="67" cm="1">
        <f t="array" ref="P1367">SUMPRODUCT((H1367=$H$7:$H$10000)*(N1367&lt;$N$7:$N$10000))+1</f>
        <v>16</v>
      </c>
    </row>
    <row r="1368" spans="8:16" x14ac:dyDescent="0.35">
      <c r="H1368">
        <v>16</v>
      </c>
      <c r="I1368" t="s">
        <v>34</v>
      </c>
      <c r="J1368" t="s">
        <v>39</v>
      </c>
      <c r="K1368" t="s">
        <v>256</v>
      </c>
      <c r="L1368" t="s">
        <v>9</v>
      </c>
      <c r="M1368" t="s">
        <v>24</v>
      </c>
      <c r="N1368">
        <f t="shared" si="60"/>
        <v>12.31193889724303</v>
      </c>
      <c r="O1368" t="str">
        <f t="shared" si="61"/>
        <v/>
      </c>
      <c r="P1368" s="67" cm="1">
        <f t="array" ref="P1368">SUMPRODUCT((H1368=$H$7:$H$10000)*(N1368&lt;$N$7:$N$10000))+1</f>
        <v>17</v>
      </c>
    </row>
    <row r="1369" spans="8:16" x14ac:dyDescent="0.35">
      <c r="H1369">
        <v>16</v>
      </c>
      <c r="I1369" t="s">
        <v>6</v>
      </c>
      <c r="J1369" t="s">
        <v>8</v>
      </c>
      <c r="K1369" t="s">
        <v>256</v>
      </c>
      <c r="L1369" t="s">
        <v>9</v>
      </c>
      <c r="M1369" t="s">
        <v>7</v>
      </c>
      <c r="N1369">
        <f t="shared" si="60"/>
        <v>12.200022315912635</v>
      </c>
      <c r="O1369" t="str">
        <f t="shared" si="61"/>
        <v/>
      </c>
      <c r="P1369" s="67" cm="1">
        <f t="array" ref="P1369">SUMPRODUCT((H1369=$H$7:$H$10000)*(N1369&lt;$N$7:$N$10000))+1</f>
        <v>18</v>
      </c>
    </row>
    <row r="1370" spans="8:16" x14ac:dyDescent="0.35">
      <c r="H1370">
        <v>16</v>
      </c>
      <c r="I1370" t="s">
        <v>23</v>
      </c>
      <c r="J1370" t="s">
        <v>190</v>
      </c>
      <c r="K1370" t="s">
        <v>256</v>
      </c>
      <c r="L1370" t="s">
        <v>3</v>
      </c>
      <c r="M1370" t="s">
        <v>17</v>
      </c>
      <c r="N1370">
        <f t="shared" si="60"/>
        <v>11.821699822017383</v>
      </c>
      <c r="O1370" t="str">
        <f t="shared" si="61"/>
        <v/>
      </c>
      <c r="P1370" s="67" cm="1">
        <f t="array" ref="P1370">SUMPRODUCT((H1370=$H$7:$H$10000)*(N1370&lt;$N$7:$N$10000))+1</f>
        <v>19</v>
      </c>
    </row>
    <row r="1371" spans="8:16" x14ac:dyDescent="0.35">
      <c r="H1371">
        <v>16</v>
      </c>
      <c r="I1371" t="s">
        <v>17</v>
      </c>
      <c r="J1371" t="s">
        <v>492</v>
      </c>
      <c r="K1371" t="s">
        <v>256</v>
      </c>
      <c r="L1371" t="s">
        <v>9</v>
      </c>
      <c r="M1371" t="s">
        <v>23</v>
      </c>
      <c r="N1371">
        <f t="shared" si="60"/>
        <v>11.681154755887784</v>
      </c>
      <c r="O1371" t="str">
        <f t="shared" si="61"/>
        <v/>
      </c>
      <c r="P1371" s="67" cm="1">
        <f t="array" ref="P1371">SUMPRODUCT((H1371=$H$7:$H$10000)*(N1371&lt;$N$7:$N$10000))+1</f>
        <v>20</v>
      </c>
    </row>
    <row r="1372" spans="8:16" x14ac:dyDescent="0.35">
      <c r="H1372">
        <v>16</v>
      </c>
      <c r="I1372" t="s">
        <v>2</v>
      </c>
      <c r="J1372" t="s">
        <v>88</v>
      </c>
      <c r="K1372" t="s">
        <v>256</v>
      </c>
      <c r="L1372" t="s">
        <v>3</v>
      </c>
      <c r="M1372" t="s">
        <v>4</v>
      </c>
      <c r="N1372">
        <f t="shared" si="60"/>
        <v>11.241527227254302</v>
      </c>
      <c r="O1372" t="str">
        <f t="shared" si="61"/>
        <v/>
      </c>
      <c r="P1372" s="67" cm="1">
        <f t="array" ref="P1372">SUMPRODUCT((H1372=$H$7:$H$10000)*(N1372&lt;$N$7:$N$10000))+1</f>
        <v>21</v>
      </c>
    </row>
    <row r="1373" spans="8:16" x14ac:dyDescent="0.35">
      <c r="H1373">
        <v>16</v>
      </c>
      <c r="I1373" t="s">
        <v>14</v>
      </c>
      <c r="J1373" t="s">
        <v>448</v>
      </c>
      <c r="K1373" t="s">
        <v>256</v>
      </c>
      <c r="L1373" t="s">
        <v>9</v>
      </c>
      <c r="M1373" t="s">
        <v>13</v>
      </c>
      <c r="N1373">
        <f t="shared" si="60"/>
        <v>11.239517854967529</v>
      </c>
      <c r="O1373" t="str">
        <f t="shared" si="61"/>
        <v/>
      </c>
      <c r="P1373" s="67" cm="1">
        <f t="array" ref="P1373">SUMPRODUCT((H1373=$H$7:$H$10000)*(N1373&lt;$N$7:$N$10000))+1</f>
        <v>22</v>
      </c>
    </row>
    <row r="1374" spans="8:16" x14ac:dyDescent="0.35">
      <c r="H1374">
        <v>16</v>
      </c>
      <c r="I1374" t="s">
        <v>4</v>
      </c>
      <c r="J1374" t="s">
        <v>457</v>
      </c>
      <c r="K1374" t="s">
        <v>256</v>
      </c>
      <c r="L1374" t="s">
        <v>9</v>
      </c>
      <c r="M1374" t="s">
        <v>2</v>
      </c>
      <c r="N1374">
        <f t="shared" si="60"/>
        <v>11.019012313502905</v>
      </c>
      <c r="O1374" t="str">
        <f t="shared" si="61"/>
        <v/>
      </c>
      <c r="P1374" s="67" cm="1">
        <f t="array" ref="P1374">SUMPRODUCT((H1374=$H$7:$H$10000)*(N1374&lt;$N$7:$N$10000))+1</f>
        <v>23</v>
      </c>
    </row>
    <row r="1375" spans="8:16" x14ac:dyDescent="0.35">
      <c r="H1375">
        <v>16</v>
      </c>
      <c r="I1375" t="s">
        <v>34</v>
      </c>
      <c r="J1375" t="s">
        <v>51</v>
      </c>
      <c r="K1375" t="s">
        <v>256</v>
      </c>
      <c r="L1375" t="s">
        <v>9</v>
      </c>
      <c r="M1375" t="s">
        <v>24</v>
      </c>
      <c r="N1375">
        <f t="shared" si="60"/>
        <v>10.958756583961581</v>
      </c>
      <c r="O1375" t="str">
        <f t="shared" si="61"/>
        <v/>
      </c>
      <c r="P1375" s="67" cm="1">
        <f t="array" ref="P1375">SUMPRODUCT((H1375=$H$7:$H$10000)*(N1375&lt;$N$7:$N$10000))+1</f>
        <v>24</v>
      </c>
    </row>
    <row r="1376" spans="8:16" x14ac:dyDescent="0.35">
      <c r="H1376">
        <v>16</v>
      </c>
      <c r="I1376" t="s">
        <v>14</v>
      </c>
      <c r="J1376" t="s">
        <v>87</v>
      </c>
      <c r="K1376" t="s">
        <v>256</v>
      </c>
      <c r="L1376" t="s">
        <v>9</v>
      </c>
      <c r="M1376" t="s">
        <v>13</v>
      </c>
      <c r="N1376">
        <f t="shared" si="60"/>
        <v>10.850848598753235</v>
      </c>
      <c r="O1376" t="str">
        <f t="shared" si="61"/>
        <v/>
      </c>
      <c r="P1376" s="67" cm="1">
        <f t="array" ref="P1376">SUMPRODUCT((H1376=$H$7:$H$10000)*(N1376&lt;$N$7:$N$10000))+1</f>
        <v>25</v>
      </c>
    </row>
    <row r="1377" spans="8:16" x14ac:dyDescent="0.35">
      <c r="H1377">
        <v>16</v>
      </c>
      <c r="I1377" t="s">
        <v>17</v>
      </c>
      <c r="J1377" t="s">
        <v>196</v>
      </c>
      <c r="K1377" t="s">
        <v>256</v>
      </c>
      <c r="L1377" t="s">
        <v>9</v>
      </c>
      <c r="M1377" t="s">
        <v>23</v>
      </c>
      <c r="N1377">
        <f t="shared" si="60"/>
        <v>10.82606949033196</v>
      </c>
      <c r="O1377" t="str">
        <f t="shared" si="61"/>
        <v/>
      </c>
      <c r="P1377" s="67" cm="1">
        <f t="array" ref="P1377">SUMPRODUCT((H1377=$H$7:$H$10000)*(N1377&lt;$N$7:$N$10000))+1</f>
        <v>26</v>
      </c>
    </row>
    <row r="1378" spans="8:16" x14ac:dyDescent="0.35">
      <c r="H1378">
        <v>16</v>
      </c>
      <c r="I1378" t="s">
        <v>2</v>
      </c>
      <c r="J1378" t="s">
        <v>495</v>
      </c>
      <c r="K1378" t="s">
        <v>256</v>
      </c>
      <c r="L1378" t="s">
        <v>3</v>
      </c>
      <c r="M1378" t="s">
        <v>4</v>
      </c>
      <c r="N1378">
        <f t="shared" si="60"/>
        <v>10.688793473583683</v>
      </c>
      <c r="O1378" t="str">
        <f t="shared" si="61"/>
        <v/>
      </c>
      <c r="P1378" s="67" cm="1">
        <f t="array" ref="P1378">SUMPRODUCT((H1378=$H$7:$H$10000)*(N1378&lt;$N$7:$N$10000))+1</f>
        <v>27</v>
      </c>
    </row>
    <row r="1379" spans="8:16" x14ac:dyDescent="0.35">
      <c r="H1379">
        <v>16</v>
      </c>
      <c r="I1379" t="s">
        <v>13</v>
      </c>
      <c r="J1379" t="s">
        <v>477</v>
      </c>
      <c r="K1379" t="s">
        <v>256</v>
      </c>
      <c r="L1379" t="s">
        <v>3</v>
      </c>
      <c r="M1379" t="s">
        <v>14</v>
      </c>
      <c r="N1379">
        <f t="shared" si="60"/>
        <v>10.635263353991609</v>
      </c>
      <c r="O1379" t="str">
        <f t="shared" si="61"/>
        <v/>
      </c>
      <c r="P1379" s="67" cm="1">
        <f t="array" ref="P1379">SUMPRODUCT((H1379=$H$7:$H$10000)*(N1379&lt;$N$7:$N$10000))+1</f>
        <v>28</v>
      </c>
    </row>
    <row r="1380" spans="8:16" x14ac:dyDescent="0.35">
      <c r="H1380">
        <v>16</v>
      </c>
      <c r="I1380" t="s">
        <v>23</v>
      </c>
      <c r="J1380" t="s">
        <v>46</v>
      </c>
      <c r="K1380" t="s">
        <v>256</v>
      </c>
      <c r="L1380" t="s">
        <v>3</v>
      </c>
      <c r="M1380" t="s">
        <v>17</v>
      </c>
      <c r="N1380">
        <f t="shared" si="60"/>
        <v>10.620909420235757</v>
      </c>
      <c r="O1380" t="str">
        <f t="shared" si="61"/>
        <v/>
      </c>
      <c r="P1380" s="67" cm="1">
        <f t="array" ref="P1380">SUMPRODUCT((H1380=$H$7:$H$10000)*(N1380&lt;$N$7:$N$10000))+1</f>
        <v>29</v>
      </c>
    </row>
    <row r="1381" spans="8:16" x14ac:dyDescent="0.35">
      <c r="H1381">
        <v>16</v>
      </c>
      <c r="I1381" t="s">
        <v>14</v>
      </c>
      <c r="J1381" t="s">
        <v>83</v>
      </c>
      <c r="K1381" t="s">
        <v>256</v>
      </c>
      <c r="L1381" t="s">
        <v>9</v>
      </c>
      <c r="M1381" t="s">
        <v>13</v>
      </c>
      <c r="N1381">
        <f t="shared" si="60"/>
        <v>10.589254013190066</v>
      </c>
      <c r="O1381" t="str">
        <f t="shared" si="61"/>
        <v/>
      </c>
      <c r="P1381" s="67" cm="1">
        <f t="array" ref="P1381">SUMPRODUCT((H1381=$H$7:$H$10000)*(N1381&lt;$N$7:$N$10000))+1</f>
        <v>30</v>
      </c>
    </row>
    <row r="1382" spans="8:16" x14ac:dyDescent="0.35">
      <c r="H1382">
        <v>16</v>
      </c>
      <c r="I1382" t="s">
        <v>23</v>
      </c>
      <c r="J1382" t="s">
        <v>32</v>
      </c>
      <c r="K1382" t="s">
        <v>256</v>
      </c>
      <c r="L1382" t="s">
        <v>3</v>
      </c>
      <c r="M1382" t="s">
        <v>17</v>
      </c>
      <c r="N1382">
        <f t="shared" si="60"/>
        <v>10.440705458901887</v>
      </c>
      <c r="O1382" t="str">
        <f t="shared" si="61"/>
        <v/>
      </c>
      <c r="P1382" s="67" cm="1">
        <f t="array" ref="P1382">SUMPRODUCT((H1382=$H$7:$H$10000)*(N1382&lt;$N$7:$N$10000))+1</f>
        <v>31</v>
      </c>
    </row>
    <row r="1383" spans="8:16" x14ac:dyDescent="0.35">
      <c r="H1383">
        <v>16</v>
      </c>
      <c r="I1383" t="s">
        <v>23</v>
      </c>
      <c r="J1383" t="s">
        <v>91</v>
      </c>
      <c r="K1383" t="s">
        <v>256</v>
      </c>
      <c r="L1383" t="s">
        <v>3</v>
      </c>
      <c r="M1383" t="s">
        <v>17</v>
      </c>
      <c r="N1383">
        <f t="shared" si="60"/>
        <v>10.398903268195959</v>
      </c>
      <c r="O1383" t="str">
        <f t="shared" si="61"/>
        <v/>
      </c>
      <c r="P1383" s="67" cm="1">
        <f t="array" ref="P1383">SUMPRODUCT((H1383=$H$7:$H$10000)*(N1383&lt;$N$7:$N$10000))+1</f>
        <v>32</v>
      </c>
    </row>
    <row r="1384" spans="8:16" x14ac:dyDescent="0.35">
      <c r="H1384">
        <v>16</v>
      </c>
      <c r="I1384" t="s">
        <v>17</v>
      </c>
      <c r="J1384" t="s">
        <v>497</v>
      </c>
      <c r="K1384" t="s">
        <v>256</v>
      </c>
      <c r="L1384" t="s">
        <v>9</v>
      </c>
      <c r="M1384" t="s">
        <v>23</v>
      </c>
      <c r="N1384">
        <f t="shared" si="60"/>
        <v>10.376651738382961</v>
      </c>
      <c r="O1384" t="str">
        <f t="shared" si="61"/>
        <v/>
      </c>
      <c r="P1384" s="67" cm="1">
        <f t="array" ref="P1384">SUMPRODUCT((H1384=$H$7:$H$10000)*(N1384&lt;$N$7:$N$10000))+1</f>
        <v>33</v>
      </c>
    </row>
    <row r="1385" spans="8:16" x14ac:dyDescent="0.35">
      <c r="H1385">
        <v>16</v>
      </c>
      <c r="I1385" t="s">
        <v>4</v>
      </c>
      <c r="J1385" t="s">
        <v>286</v>
      </c>
      <c r="K1385" t="s">
        <v>256</v>
      </c>
      <c r="L1385" t="s">
        <v>9</v>
      </c>
      <c r="M1385" t="s">
        <v>2</v>
      </c>
      <c r="N1385">
        <f t="shared" si="60"/>
        <v>10.373367805237395</v>
      </c>
      <c r="O1385" t="str">
        <f t="shared" si="61"/>
        <v/>
      </c>
      <c r="P1385" s="67" cm="1">
        <f t="array" ref="P1385">SUMPRODUCT((H1385=$H$7:$H$10000)*(N1385&lt;$N$7:$N$10000))+1</f>
        <v>34</v>
      </c>
    </row>
    <row r="1386" spans="8:16" x14ac:dyDescent="0.35">
      <c r="H1386">
        <v>16</v>
      </c>
      <c r="I1386" t="s">
        <v>24</v>
      </c>
      <c r="J1386" t="s">
        <v>84</v>
      </c>
      <c r="K1386" t="s">
        <v>256</v>
      </c>
      <c r="L1386" t="s">
        <v>3</v>
      </c>
      <c r="M1386" t="s">
        <v>34</v>
      </c>
      <c r="N1386">
        <f t="shared" si="60"/>
        <v>10.341403109820762</v>
      </c>
      <c r="O1386" t="str">
        <f t="shared" si="61"/>
        <v/>
      </c>
      <c r="P1386" s="67" cm="1">
        <f t="array" ref="P1386">SUMPRODUCT((H1386=$H$7:$H$10000)*(N1386&lt;$N$7:$N$10000))+1</f>
        <v>35</v>
      </c>
    </row>
    <row r="1387" spans="8:16" x14ac:dyDescent="0.35">
      <c r="H1387">
        <v>16</v>
      </c>
      <c r="I1387" t="s">
        <v>24</v>
      </c>
      <c r="J1387" t="s">
        <v>194</v>
      </c>
      <c r="K1387" t="s">
        <v>256</v>
      </c>
      <c r="L1387" t="s">
        <v>3</v>
      </c>
      <c r="M1387" t="s">
        <v>34</v>
      </c>
      <c r="N1387">
        <f t="shared" si="60"/>
        <v>10.310339242218264</v>
      </c>
      <c r="O1387" t="str">
        <f t="shared" si="61"/>
        <v/>
      </c>
      <c r="P1387" s="67" cm="1">
        <f t="array" ref="P1387">SUMPRODUCT((H1387=$H$7:$H$10000)*(N1387&lt;$N$7:$N$10000))+1</f>
        <v>36</v>
      </c>
    </row>
    <row r="1388" spans="8:16" x14ac:dyDescent="0.35">
      <c r="H1388">
        <v>16</v>
      </c>
      <c r="I1388" t="s">
        <v>17</v>
      </c>
      <c r="J1388" t="s">
        <v>37</v>
      </c>
      <c r="K1388" t="s">
        <v>256</v>
      </c>
      <c r="L1388" t="s">
        <v>9</v>
      </c>
      <c r="M1388" t="s">
        <v>23</v>
      </c>
      <c r="N1388">
        <f t="shared" si="60"/>
        <v>10.258551561723367</v>
      </c>
      <c r="O1388" t="str">
        <f t="shared" si="61"/>
        <v/>
      </c>
      <c r="P1388" s="67" cm="1">
        <f t="array" ref="P1388">SUMPRODUCT((H1388=$H$7:$H$10000)*(N1388&lt;$N$7:$N$10000))+1</f>
        <v>37</v>
      </c>
    </row>
    <row r="1389" spans="8:16" x14ac:dyDescent="0.35">
      <c r="H1389">
        <v>16</v>
      </c>
      <c r="I1389" t="s">
        <v>6</v>
      </c>
      <c r="J1389" t="s">
        <v>445</v>
      </c>
      <c r="K1389" t="s">
        <v>256</v>
      </c>
      <c r="L1389" t="s">
        <v>9</v>
      </c>
      <c r="M1389" t="s">
        <v>7</v>
      </c>
      <c r="N1389">
        <f t="shared" si="60"/>
        <v>10.236264438708245</v>
      </c>
      <c r="O1389" t="str">
        <f t="shared" si="61"/>
        <v/>
      </c>
      <c r="P1389" s="67" cm="1">
        <f t="array" ref="P1389">SUMPRODUCT((H1389=$H$7:$H$10000)*(N1389&lt;$N$7:$N$10000))+1</f>
        <v>38</v>
      </c>
    </row>
    <row r="1390" spans="8:16" x14ac:dyDescent="0.35">
      <c r="H1390">
        <v>16</v>
      </c>
      <c r="I1390" t="s">
        <v>24</v>
      </c>
      <c r="J1390" t="s">
        <v>101</v>
      </c>
      <c r="K1390" t="s">
        <v>256</v>
      </c>
      <c r="L1390" t="s">
        <v>3</v>
      </c>
      <c r="M1390" t="s">
        <v>34</v>
      </c>
      <c r="N1390">
        <f t="shared" si="60"/>
        <v>10.159914847831644</v>
      </c>
      <c r="O1390" t="str">
        <f t="shared" si="61"/>
        <v/>
      </c>
      <c r="P1390" s="67" cm="1">
        <f t="array" ref="P1390">SUMPRODUCT((H1390=$H$7:$H$10000)*(N1390&lt;$N$7:$N$10000))+1</f>
        <v>39</v>
      </c>
    </row>
    <row r="1391" spans="8:16" x14ac:dyDescent="0.35">
      <c r="H1391">
        <v>16</v>
      </c>
      <c r="I1391" t="s">
        <v>24</v>
      </c>
      <c r="J1391" t="s">
        <v>487</v>
      </c>
      <c r="K1391" t="s">
        <v>256</v>
      </c>
      <c r="L1391" t="s">
        <v>3</v>
      </c>
      <c r="M1391" t="s">
        <v>34</v>
      </c>
      <c r="N1391">
        <f t="shared" si="60"/>
        <v>9.9908920005969577</v>
      </c>
      <c r="O1391" t="str">
        <f t="shared" si="61"/>
        <v/>
      </c>
      <c r="P1391" s="67" cm="1">
        <f t="array" ref="P1391">SUMPRODUCT((H1391=$H$7:$H$10000)*(N1391&lt;$N$7:$N$10000))+1</f>
        <v>40</v>
      </c>
    </row>
    <row r="1392" spans="8:16" x14ac:dyDescent="0.35">
      <c r="H1392">
        <v>16</v>
      </c>
      <c r="I1392" t="s">
        <v>4</v>
      </c>
      <c r="J1392" t="s">
        <v>453</v>
      </c>
      <c r="K1392" t="s">
        <v>256</v>
      </c>
      <c r="L1392" t="s">
        <v>9</v>
      </c>
      <c r="M1392" t="s">
        <v>2</v>
      </c>
      <c r="N1392">
        <f t="shared" si="60"/>
        <v>9.9303245952325518</v>
      </c>
      <c r="O1392" t="str">
        <f t="shared" si="61"/>
        <v/>
      </c>
      <c r="P1392" s="67" cm="1">
        <f t="array" ref="P1392">SUMPRODUCT((H1392=$H$7:$H$10000)*(N1392&lt;$N$7:$N$10000))+1</f>
        <v>41</v>
      </c>
    </row>
    <row r="1393" spans="8:16" x14ac:dyDescent="0.35">
      <c r="H1393">
        <v>16</v>
      </c>
      <c r="I1393" t="s">
        <v>24</v>
      </c>
      <c r="J1393" t="s">
        <v>439</v>
      </c>
      <c r="K1393" t="s">
        <v>256</v>
      </c>
      <c r="L1393" t="s">
        <v>3</v>
      </c>
      <c r="M1393" t="s">
        <v>34</v>
      </c>
      <c r="N1393">
        <f t="shared" si="60"/>
        <v>9.8202033621089608</v>
      </c>
      <c r="O1393" t="str">
        <f t="shared" si="61"/>
        <v/>
      </c>
      <c r="P1393" s="67" cm="1">
        <f t="array" ref="P1393">SUMPRODUCT((H1393=$H$7:$H$10000)*(N1393&lt;$N$7:$N$10000))+1</f>
        <v>42</v>
      </c>
    </row>
    <row r="1394" spans="8:16" x14ac:dyDescent="0.35">
      <c r="H1394">
        <v>16</v>
      </c>
      <c r="I1394" t="s">
        <v>14</v>
      </c>
      <c r="J1394" t="s">
        <v>438</v>
      </c>
      <c r="K1394" t="s">
        <v>256</v>
      </c>
      <c r="L1394" t="s">
        <v>9</v>
      </c>
      <c r="M1394" t="s">
        <v>13</v>
      </c>
      <c r="N1394">
        <f t="shared" si="60"/>
        <v>9.6793891416707822</v>
      </c>
      <c r="O1394" t="str">
        <f t="shared" si="61"/>
        <v/>
      </c>
      <c r="P1394" s="67" cm="1">
        <f t="array" ref="P1394">SUMPRODUCT((H1394=$H$7:$H$10000)*(N1394&lt;$N$7:$N$10000))+1</f>
        <v>43</v>
      </c>
    </row>
    <row r="1395" spans="8:16" x14ac:dyDescent="0.35">
      <c r="H1395">
        <v>16</v>
      </c>
      <c r="I1395" t="s">
        <v>4</v>
      </c>
      <c r="J1395" t="s">
        <v>74</v>
      </c>
      <c r="K1395" t="s">
        <v>256</v>
      </c>
      <c r="L1395" t="s">
        <v>9</v>
      </c>
      <c r="M1395" t="s">
        <v>2</v>
      </c>
      <c r="N1395">
        <f t="shared" si="60"/>
        <v>9.6579572567936083</v>
      </c>
      <c r="O1395" t="str">
        <f t="shared" si="61"/>
        <v/>
      </c>
      <c r="P1395" s="67" cm="1">
        <f t="array" ref="P1395">SUMPRODUCT((H1395=$H$7:$H$10000)*(N1395&lt;$N$7:$N$10000))+1</f>
        <v>44</v>
      </c>
    </row>
    <row r="1396" spans="8:16" x14ac:dyDescent="0.35">
      <c r="H1396">
        <v>16</v>
      </c>
      <c r="I1396" t="s">
        <v>17</v>
      </c>
      <c r="J1396" t="s">
        <v>450</v>
      </c>
      <c r="K1396" t="s">
        <v>256</v>
      </c>
      <c r="L1396" t="s">
        <v>9</v>
      </c>
      <c r="M1396" t="s">
        <v>23</v>
      </c>
      <c r="N1396">
        <f t="shared" si="60"/>
        <v>9.2567861463541412</v>
      </c>
      <c r="O1396" t="str">
        <f t="shared" si="61"/>
        <v/>
      </c>
      <c r="P1396" s="67" cm="1">
        <f t="array" ref="P1396">SUMPRODUCT((H1396=$H$7:$H$10000)*(N1396&lt;$N$7:$N$10000))+1</f>
        <v>45</v>
      </c>
    </row>
    <row r="1397" spans="8:16" x14ac:dyDescent="0.35">
      <c r="H1397">
        <v>16</v>
      </c>
      <c r="I1397" t="s">
        <v>6</v>
      </c>
      <c r="J1397" t="s">
        <v>442</v>
      </c>
      <c r="K1397" t="s">
        <v>256</v>
      </c>
      <c r="L1397" t="s">
        <v>9</v>
      </c>
      <c r="M1397" t="s">
        <v>7</v>
      </c>
      <c r="N1397">
        <f t="shared" si="60"/>
        <v>9.085031816740436</v>
      </c>
      <c r="O1397" t="str">
        <f t="shared" si="61"/>
        <v/>
      </c>
      <c r="P1397" s="67" cm="1">
        <f t="array" ref="P1397">SUMPRODUCT((H1397=$H$7:$H$10000)*(N1397&lt;$N$7:$N$10000))+1</f>
        <v>46</v>
      </c>
    </row>
    <row r="1398" spans="8:16" x14ac:dyDescent="0.35">
      <c r="H1398">
        <v>16</v>
      </c>
      <c r="I1398" t="s">
        <v>24</v>
      </c>
      <c r="J1398" t="s">
        <v>96</v>
      </c>
      <c r="K1398" t="s">
        <v>256</v>
      </c>
      <c r="L1398" t="s">
        <v>3</v>
      </c>
      <c r="M1398" t="s">
        <v>34</v>
      </c>
      <c r="N1398">
        <f t="shared" si="60"/>
        <v>9.0201901024501776</v>
      </c>
      <c r="O1398" t="str">
        <f t="shared" si="61"/>
        <v/>
      </c>
      <c r="P1398" s="67" cm="1">
        <f t="array" ref="P1398">SUMPRODUCT((H1398=$H$7:$H$10000)*(N1398&lt;$N$7:$N$10000))+1</f>
        <v>47</v>
      </c>
    </row>
    <row r="1399" spans="8:16" x14ac:dyDescent="0.35">
      <c r="H1399">
        <v>16</v>
      </c>
      <c r="I1399" t="s">
        <v>4</v>
      </c>
      <c r="J1399" t="s">
        <v>1</v>
      </c>
      <c r="K1399" t="s">
        <v>256</v>
      </c>
      <c r="L1399" t="s">
        <v>9</v>
      </c>
      <c r="M1399" t="s">
        <v>2</v>
      </c>
      <c r="N1399">
        <f t="shared" si="60"/>
        <v>8.8317687371137783</v>
      </c>
      <c r="O1399" t="str">
        <f t="shared" si="61"/>
        <v/>
      </c>
      <c r="P1399" s="67" cm="1">
        <f t="array" ref="P1399">SUMPRODUCT((H1399=$H$7:$H$10000)*(N1399&lt;$N$7:$N$10000))+1</f>
        <v>48</v>
      </c>
    </row>
    <row r="1400" spans="8:16" x14ac:dyDescent="0.35">
      <c r="H1400">
        <v>16</v>
      </c>
      <c r="I1400" t="s">
        <v>2</v>
      </c>
      <c r="J1400" t="s">
        <v>449</v>
      </c>
      <c r="K1400" t="s">
        <v>256</v>
      </c>
      <c r="L1400" t="s">
        <v>3</v>
      </c>
      <c r="M1400" t="s">
        <v>4</v>
      </c>
      <c r="N1400">
        <f t="shared" si="60"/>
        <v>8.5798959652421818</v>
      </c>
      <c r="O1400" t="str">
        <f t="shared" si="61"/>
        <v/>
      </c>
      <c r="P1400" s="67" cm="1">
        <f t="array" ref="P1400">SUMPRODUCT((H1400=$H$7:$H$10000)*(N1400&lt;$N$7:$N$10000))+1</f>
        <v>49</v>
      </c>
    </row>
    <row r="1401" spans="8:16" x14ac:dyDescent="0.35">
      <c r="H1401">
        <v>16</v>
      </c>
      <c r="I1401" t="s">
        <v>13</v>
      </c>
      <c r="J1401" t="s">
        <v>478</v>
      </c>
      <c r="K1401" t="s">
        <v>256</v>
      </c>
      <c r="L1401" t="s">
        <v>3</v>
      </c>
      <c r="M1401" t="s">
        <v>14</v>
      </c>
      <c r="N1401">
        <f t="shared" si="60"/>
        <v>8.551445676505903</v>
      </c>
      <c r="O1401" t="str">
        <f t="shared" si="61"/>
        <v/>
      </c>
      <c r="P1401" s="67" cm="1">
        <f t="array" ref="P1401">SUMPRODUCT((H1401=$H$7:$H$10000)*(N1401&lt;$N$7:$N$10000))+1</f>
        <v>50</v>
      </c>
    </row>
    <row r="1402" spans="8:16" x14ac:dyDescent="0.35">
      <c r="H1402">
        <v>16</v>
      </c>
      <c r="I1402" t="s">
        <v>17</v>
      </c>
      <c r="J1402" t="s">
        <v>81</v>
      </c>
      <c r="K1402" t="s">
        <v>256</v>
      </c>
      <c r="L1402" t="s">
        <v>9</v>
      </c>
      <c r="M1402" t="s">
        <v>23</v>
      </c>
      <c r="N1402">
        <f t="shared" si="60"/>
        <v>8.2387162462293411</v>
      </c>
      <c r="O1402" t="str">
        <f t="shared" si="61"/>
        <v/>
      </c>
      <c r="P1402" s="67" cm="1">
        <f t="array" ref="P1402">SUMPRODUCT((H1402=$H$7:$H$10000)*(N1402&lt;$N$7:$N$10000))+1</f>
        <v>51</v>
      </c>
    </row>
    <row r="1403" spans="8:16" x14ac:dyDescent="0.35">
      <c r="H1403">
        <v>16</v>
      </c>
      <c r="I1403" t="s">
        <v>6</v>
      </c>
      <c r="J1403" t="s">
        <v>437</v>
      </c>
      <c r="K1403" t="s">
        <v>256</v>
      </c>
      <c r="L1403" t="s">
        <v>9</v>
      </c>
      <c r="M1403" t="s">
        <v>7</v>
      </c>
      <c r="N1403">
        <f t="shared" si="60"/>
        <v>8.1152499013124508</v>
      </c>
      <c r="O1403" t="str">
        <f t="shared" si="61"/>
        <v/>
      </c>
      <c r="P1403" s="67" cm="1">
        <f t="array" ref="P1403">SUMPRODUCT((H1403=$H$7:$H$10000)*(N1403&lt;$N$7:$N$10000))+1</f>
        <v>52</v>
      </c>
    </row>
    <row r="1404" spans="8:16" x14ac:dyDescent="0.35">
      <c r="H1404">
        <v>16</v>
      </c>
      <c r="I1404" t="s">
        <v>13</v>
      </c>
      <c r="J1404" t="s">
        <v>53</v>
      </c>
      <c r="K1404" t="s">
        <v>256</v>
      </c>
      <c r="L1404" t="s">
        <v>3</v>
      </c>
      <c r="M1404" t="s">
        <v>14</v>
      </c>
      <c r="N1404">
        <f t="shared" si="60"/>
        <v>7.8981947494960751</v>
      </c>
      <c r="O1404" t="str">
        <f t="shared" si="61"/>
        <v/>
      </c>
      <c r="P1404" s="67" cm="1">
        <f t="array" ref="P1404">SUMPRODUCT((H1404=$H$7:$H$10000)*(N1404&lt;$N$7:$N$10000))+1</f>
        <v>53</v>
      </c>
    </row>
    <row r="1405" spans="8:16" x14ac:dyDescent="0.35">
      <c r="H1405">
        <v>16</v>
      </c>
      <c r="I1405" t="s">
        <v>6</v>
      </c>
      <c r="J1405" t="s">
        <v>75</v>
      </c>
      <c r="K1405" t="s">
        <v>256</v>
      </c>
      <c r="L1405" t="s">
        <v>9</v>
      </c>
      <c r="M1405" t="s">
        <v>7</v>
      </c>
      <c r="N1405">
        <f t="shared" si="60"/>
        <v>7.8601356891679171</v>
      </c>
      <c r="O1405" t="str">
        <f t="shared" si="61"/>
        <v/>
      </c>
      <c r="P1405" s="67" cm="1">
        <f t="array" ref="P1405">SUMPRODUCT((H1405=$H$7:$H$10000)*(N1405&lt;$N$7:$N$10000))+1</f>
        <v>54</v>
      </c>
    </row>
    <row r="1406" spans="8:16" x14ac:dyDescent="0.35">
      <c r="H1406">
        <v>16</v>
      </c>
      <c r="I1406" t="s">
        <v>2</v>
      </c>
      <c r="J1406" t="s">
        <v>63</v>
      </c>
      <c r="K1406" t="s">
        <v>256</v>
      </c>
      <c r="L1406" t="s">
        <v>3</v>
      </c>
      <c r="M1406" t="s">
        <v>4</v>
      </c>
      <c r="N1406">
        <f t="shared" si="60"/>
        <v>7.6886269294452667</v>
      </c>
      <c r="O1406" t="str">
        <f t="shared" si="61"/>
        <v/>
      </c>
      <c r="P1406" s="67" cm="1">
        <f t="array" ref="P1406">SUMPRODUCT((H1406=$H$7:$H$10000)*(N1406&lt;$N$7:$N$10000))+1</f>
        <v>55</v>
      </c>
    </row>
    <row r="1407" spans="8:16" x14ac:dyDescent="0.35">
      <c r="H1407">
        <v>16</v>
      </c>
      <c r="I1407" t="s">
        <v>6</v>
      </c>
      <c r="J1407" t="s">
        <v>43</v>
      </c>
      <c r="K1407" t="s">
        <v>256</v>
      </c>
      <c r="L1407" t="s">
        <v>9</v>
      </c>
      <c r="M1407" t="s">
        <v>7</v>
      </c>
      <c r="N1407">
        <f t="shared" si="60"/>
        <v>7.3670453935836919</v>
      </c>
      <c r="O1407" t="str">
        <f t="shared" si="61"/>
        <v/>
      </c>
      <c r="P1407" s="67" cm="1">
        <f t="array" ref="P1407">SUMPRODUCT((H1407=$H$7:$H$10000)*(N1407&lt;$N$7:$N$10000))+1</f>
        <v>56</v>
      </c>
    </row>
    <row r="1408" spans="8:16" x14ac:dyDescent="0.35">
      <c r="H1408">
        <v>16</v>
      </c>
      <c r="I1408" t="s">
        <v>6</v>
      </c>
      <c r="J1408" t="s">
        <v>454</v>
      </c>
      <c r="K1408" t="s">
        <v>256</v>
      </c>
      <c r="L1408" t="s">
        <v>9</v>
      </c>
      <c r="M1408" t="s">
        <v>7</v>
      </c>
      <c r="N1408">
        <f t="shared" si="60"/>
        <v>7.0683797259339469</v>
      </c>
      <c r="O1408" t="str">
        <f t="shared" si="61"/>
        <v/>
      </c>
      <c r="P1408" s="67" cm="1">
        <f t="array" ref="P1408">SUMPRODUCT((H1408=$H$7:$H$10000)*(N1408&lt;$N$7:$N$10000))+1</f>
        <v>57</v>
      </c>
    </row>
    <row r="1409" spans="8:16" x14ac:dyDescent="0.35">
      <c r="H1409">
        <v>16</v>
      </c>
      <c r="I1409" t="s">
        <v>17</v>
      </c>
      <c r="J1409" t="s">
        <v>82</v>
      </c>
      <c r="K1409" t="s">
        <v>256</v>
      </c>
      <c r="L1409" t="s">
        <v>9</v>
      </c>
      <c r="M1409" t="s">
        <v>23</v>
      </c>
      <c r="N1409">
        <f t="shared" si="60"/>
        <v>6.843840402913659</v>
      </c>
      <c r="O1409" t="str">
        <f t="shared" si="61"/>
        <v/>
      </c>
      <c r="P1409" s="67" cm="1">
        <f t="array" ref="P1409">SUMPRODUCT((H1409=$H$7:$H$10000)*(N1409&lt;$N$7:$N$10000))+1</f>
        <v>58</v>
      </c>
    </row>
    <row r="1410" spans="8:16" x14ac:dyDescent="0.35">
      <c r="H1410">
        <v>16</v>
      </c>
      <c r="I1410" t="s">
        <v>2</v>
      </c>
      <c r="J1410" t="s">
        <v>455</v>
      </c>
      <c r="K1410" t="s">
        <v>256</v>
      </c>
      <c r="L1410" t="s">
        <v>3</v>
      </c>
      <c r="M1410" t="s">
        <v>4</v>
      </c>
      <c r="N1410">
        <f t="shared" si="60"/>
        <v>6.6612090887326998</v>
      </c>
      <c r="O1410" t="str">
        <f t="shared" si="61"/>
        <v/>
      </c>
      <c r="P1410" s="67" cm="1">
        <f t="array" ref="P1410">SUMPRODUCT((H1410=$H$7:$H$10000)*(N1410&lt;$N$7:$N$10000))+1</f>
        <v>59</v>
      </c>
    </row>
    <row r="1411" spans="8:16" x14ac:dyDescent="0.35">
      <c r="H1411">
        <v>16</v>
      </c>
      <c r="I1411" t="s">
        <v>6</v>
      </c>
      <c r="J1411" t="s">
        <v>451</v>
      </c>
      <c r="K1411" t="s">
        <v>256</v>
      </c>
      <c r="L1411" t="s">
        <v>9</v>
      </c>
      <c r="M1411" t="s">
        <v>7</v>
      </c>
      <c r="N1411">
        <f t="shared" si="60"/>
        <v>6.4570847729475993</v>
      </c>
      <c r="O1411" t="str">
        <f t="shared" si="61"/>
        <v/>
      </c>
      <c r="P1411" s="67" cm="1">
        <f t="array" ref="P1411">SUMPRODUCT((H1411=$H$7:$H$10000)*(N1411&lt;$N$7:$N$10000))+1</f>
        <v>60</v>
      </c>
    </row>
    <row r="1412" spans="8:16" x14ac:dyDescent="0.35">
      <c r="H1412">
        <v>16</v>
      </c>
      <c r="I1412" t="s">
        <v>6</v>
      </c>
      <c r="J1412" t="s">
        <v>64</v>
      </c>
      <c r="K1412" t="s">
        <v>256</v>
      </c>
      <c r="L1412" t="s">
        <v>9</v>
      </c>
      <c r="M1412" t="s">
        <v>7</v>
      </c>
      <c r="N1412">
        <f t="shared" si="60"/>
        <v>6.4161512279043986</v>
      </c>
      <c r="O1412" t="str">
        <f t="shared" si="61"/>
        <v/>
      </c>
      <c r="P1412" s="67" cm="1">
        <f t="array" ref="P1412">SUMPRODUCT((H1412=$H$7:$H$10000)*(N1412&lt;$N$7:$N$10000))+1</f>
        <v>61</v>
      </c>
    </row>
    <row r="1413" spans="8:16" x14ac:dyDescent="0.35">
      <c r="H1413">
        <v>16</v>
      </c>
      <c r="I1413" t="s">
        <v>13</v>
      </c>
      <c r="J1413" t="s">
        <v>474</v>
      </c>
      <c r="K1413" t="s">
        <v>256</v>
      </c>
      <c r="L1413" t="s">
        <v>3</v>
      </c>
      <c r="M1413" t="s">
        <v>14</v>
      </c>
      <c r="N1413">
        <f t="shared" si="60"/>
        <v>6.2938890494411686</v>
      </c>
      <c r="O1413" t="str">
        <f t="shared" si="61"/>
        <v/>
      </c>
      <c r="P1413" s="67" cm="1">
        <f t="array" ref="P1413">SUMPRODUCT((H1413=$H$7:$H$10000)*(N1413&lt;$N$7:$N$10000))+1</f>
        <v>62</v>
      </c>
    </row>
    <row r="1414" spans="8:16" x14ac:dyDescent="0.35">
      <c r="H1414">
        <v>16</v>
      </c>
      <c r="I1414" t="s">
        <v>7</v>
      </c>
      <c r="J1414" t="s">
        <v>19</v>
      </c>
      <c r="K1414" t="s">
        <v>256</v>
      </c>
      <c r="L1414" t="s">
        <v>3</v>
      </c>
      <c r="M1414" t="s">
        <v>6</v>
      </c>
      <c r="N1414">
        <f t="shared" si="60"/>
        <v>6.1491602377305652</v>
      </c>
      <c r="O1414" t="str">
        <f t="shared" si="61"/>
        <v/>
      </c>
      <c r="P1414" s="67" cm="1">
        <f t="array" ref="P1414">SUMPRODUCT((H1414=$H$7:$H$10000)*(N1414&lt;$N$7:$N$10000))+1</f>
        <v>63</v>
      </c>
    </row>
    <row r="1415" spans="8:16" x14ac:dyDescent="0.35">
      <c r="H1415">
        <v>16</v>
      </c>
      <c r="I1415" t="s">
        <v>24</v>
      </c>
      <c r="J1415" t="s">
        <v>402</v>
      </c>
      <c r="K1415" t="s">
        <v>256</v>
      </c>
      <c r="L1415" t="s">
        <v>3</v>
      </c>
      <c r="M1415" t="s">
        <v>34</v>
      </c>
      <c r="N1415">
        <f t="shared" si="60"/>
        <v>6.1287787397669451</v>
      </c>
      <c r="O1415" t="str">
        <f t="shared" si="61"/>
        <v/>
      </c>
      <c r="P1415" s="67" cm="1">
        <f t="array" ref="P1415">SUMPRODUCT((H1415=$H$7:$H$10000)*(N1415&lt;$N$7:$N$10000))+1</f>
        <v>64</v>
      </c>
    </row>
    <row r="1416" spans="8:16" x14ac:dyDescent="0.35">
      <c r="H1416">
        <v>16</v>
      </c>
      <c r="I1416" t="s">
        <v>4</v>
      </c>
      <c r="J1416" t="s">
        <v>493</v>
      </c>
      <c r="K1416" t="s">
        <v>256</v>
      </c>
      <c r="L1416" t="s">
        <v>9</v>
      </c>
      <c r="M1416" t="s">
        <v>2</v>
      </c>
      <c r="N1416">
        <f t="shared" si="60"/>
        <v>6.0920591504287014</v>
      </c>
      <c r="O1416" t="str">
        <f t="shared" si="61"/>
        <v/>
      </c>
      <c r="P1416" s="67" cm="1">
        <f t="array" ref="P1416">SUMPRODUCT((H1416=$H$7:$H$10000)*(N1416&lt;$N$7:$N$10000))+1</f>
        <v>65</v>
      </c>
    </row>
    <row r="1417" spans="8:16" x14ac:dyDescent="0.35">
      <c r="H1417">
        <v>16</v>
      </c>
      <c r="I1417" t="s">
        <v>23</v>
      </c>
      <c r="J1417" t="s">
        <v>498</v>
      </c>
      <c r="K1417" t="s">
        <v>256</v>
      </c>
      <c r="L1417" t="s">
        <v>3</v>
      </c>
      <c r="M1417" t="s">
        <v>17</v>
      </c>
      <c r="N1417">
        <f t="shared" si="60"/>
        <v>6.0540523313048435</v>
      </c>
      <c r="O1417" t="str">
        <f t="shared" si="61"/>
        <v/>
      </c>
      <c r="P1417" s="67" cm="1">
        <f t="array" ref="P1417">SUMPRODUCT((H1417=$H$7:$H$10000)*(N1417&lt;$N$7:$N$10000))+1</f>
        <v>66</v>
      </c>
    </row>
    <row r="1418" spans="8:16" x14ac:dyDescent="0.35">
      <c r="H1418">
        <v>16</v>
      </c>
      <c r="I1418" t="s">
        <v>2</v>
      </c>
      <c r="J1418" t="s">
        <v>44</v>
      </c>
      <c r="K1418" t="s">
        <v>256</v>
      </c>
      <c r="L1418" t="s">
        <v>3</v>
      </c>
      <c r="M1418" t="s">
        <v>4</v>
      </c>
      <c r="N1418">
        <f t="shared" si="60"/>
        <v>6.0303227014810172</v>
      </c>
      <c r="O1418" t="str">
        <f t="shared" si="61"/>
        <v/>
      </c>
      <c r="P1418" s="67" cm="1">
        <f t="array" ref="P1418">SUMPRODUCT((H1418=$H$7:$H$10000)*(N1418&lt;$N$7:$N$10000))+1</f>
        <v>67</v>
      </c>
    </row>
    <row r="1419" spans="8:16" x14ac:dyDescent="0.35">
      <c r="H1419">
        <v>16</v>
      </c>
      <c r="I1419" t="s">
        <v>14</v>
      </c>
      <c r="J1419" t="s">
        <v>285</v>
      </c>
      <c r="K1419" t="s">
        <v>256</v>
      </c>
      <c r="L1419" t="s">
        <v>9</v>
      </c>
      <c r="M1419" t="s">
        <v>13</v>
      </c>
      <c r="N1419">
        <f t="shared" si="60"/>
        <v>5.6371805373941406</v>
      </c>
      <c r="O1419" t="str">
        <f t="shared" si="61"/>
        <v/>
      </c>
      <c r="P1419" s="67" cm="1">
        <f t="array" ref="P1419">SUMPRODUCT((H1419=$H$7:$H$10000)*(N1419&lt;$N$7:$N$10000))+1</f>
        <v>68</v>
      </c>
    </row>
    <row r="1420" spans="8:16" x14ac:dyDescent="0.35">
      <c r="H1420">
        <v>16</v>
      </c>
      <c r="I1420" t="s">
        <v>4</v>
      </c>
      <c r="J1420" t="s">
        <v>188</v>
      </c>
      <c r="K1420" t="s">
        <v>256</v>
      </c>
      <c r="L1420" t="s">
        <v>9</v>
      </c>
      <c r="M1420" t="s">
        <v>2</v>
      </c>
      <c r="N1420">
        <f t="shared" ref="N1420:N1447" si="62">VLOOKUP($L1420,$F$3:$G$4,2,FALSE)+VLOOKUP($J1420,$A$20:$B$131,2,FALSE)+VLOOKUP($M1420,$A$6:$B$16,2,FALSE)</f>
        <v>5.5940700469968565</v>
      </c>
      <c r="O1420" t="str">
        <f t="shared" ref="O1420:O1447" si="63">IFERROR(($K1420-$N1420)^2,"")</f>
        <v/>
      </c>
      <c r="P1420" s="67" cm="1">
        <f t="array" ref="P1420">SUMPRODUCT((H1420=$H$7:$H$10000)*(N1420&lt;$N$7:$N$10000))+1</f>
        <v>69</v>
      </c>
    </row>
    <row r="1421" spans="8:16" x14ac:dyDescent="0.35">
      <c r="H1421">
        <v>16</v>
      </c>
      <c r="I1421" t="s">
        <v>13</v>
      </c>
      <c r="J1421" t="s">
        <v>472</v>
      </c>
      <c r="K1421" t="s">
        <v>256</v>
      </c>
      <c r="L1421" t="s">
        <v>3</v>
      </c>
      <c r="M1421" t="s">
        <v>14</v>
      </c>
      <c r="N1421">
        <f t="shared" si="62"/>
        <v>5.5810132316125758</v>
      </c>
      <c r="O1421" t="str">
        <f t="shared" si="63"/>
        <v/>
      </c>
      <c r="P1421" s="67" cm="1">
        <f t="array" ref="P1421">SUMPRODUCT((H1421=$H$7:$H$10000)*(N1421&lt;$N$7:$N$10000))+1</f>
        <v>70</v>
      </c>
    </row>
    <row r="1422" spans="8:16" x14ac:dyDescent="0.35">
      <c r="H1422">
        <v>16</v>
      </c>
      <c r="I1422" t="s">
        <v>17</v>
      </c>
      <c r="J1422" t="s">
        <v>16</v>
      </c>
      <c r="K1422" t="s">
        <v>256</v>
      </c>
      <c r="L1422" t="s">
        <v>9</v>
      </c>
      <c r="M1422" t="s">
        <v>23</v>
      </c>
      <c r="N1422">
        <f t="shared" si="62"/>
        <v>5.4860853466701149</v>
      </c>
      <c r="O1422" t="str">
        <f t="shared" si="63"/>
        <v/>
      </c>
      <c r="P1422" s="67" cm="1">
        <f t="array" ref="P1422">SUMPRODUCT((H1422=$H$7:$H$10000)*(N1422&lt;$N$7:$N$10000))+1</f>
        <v>71</v>
      </c>
    </row>
    <row r="1423" spans="8:16" x14ac:dyDescent="0.35">
      <c r="H1423">
        <v>16</v>
      </c>
      <c r="I1423" t="s">
        <v>24</v>
      </c>
      <c r="J1423" t="s">
        <v>35</v>
      </c>
      <c r="K1423" t="s">
        <v>256</v>
      </c>
      <c r="L1423" t="s">
        <v>3</v>
      </c>
      <c r="M1423" t="s">
        <v>34</v>
      </c>
      <c r="N1423">
        <f t="shared" si="62"/>
        <v>5.322480393850654</v>
      </c>
      <c r="O1423" t="str">
        <f t="shared" si="63"/>
        <v/>
      </c>
      <c r="P1423" s="67" cm="1">
        <f t="array" ref="P1423">SUMPRODUCT((H1423=$H$7:$H$10000)*(N1423&lt;$N$7:$N$10000))+1</f>
        <v>72</v>
      </c>
    </row>
    <row r="1424" spans="8:16" x14ac:dyDescent="0.35">
      <c r="H1424">
        <v>16</v>
      </c>
      <c r="I1424" t="s">
        <v>2</v>
      </c>
      <c r="J1424" t="s">
        <v>441</v>
      </c>
      <c r="K1424" t="s">
        <v>256</v>
      </c>
      <c r="L1424" t="s">
        <v>3</v>
      </c>
      <c r="M1424" t="s">
        <v>4</v>
      </c>
      <c r="N1424">
        <f t="shared" si="62"/>
        <v>5.1636309861396379</v>
      </c>
      <c r="O1424" t="str">
        <f t="shared" si="63"/>
        <v/>
      </c>
      <c r="P1424" s="67" cm="1">
        <f t="array" ref="P1424">SUMPRODUCT((H1424=$H$7:$H$10000)*(N1424&lt;$N$7:$N$10000))+1</f>
        <v>73</v>
      </c>
    </row>
    <row r="1425" spans="8:16" x14ac:dyDescent="0.35">
      <c r="H1425">
        <v>16</v>
      </c>
      <c r="I1425" t="s">
        <v>4</v>
      </c>
      <c r="J1425" t="s">
        <v>452</v>
      </c>
      <c r="K1425" t="s">
        <v>256</v>
      </c>
      <c r="L1425" t="s">
        <v>9</v>
      </c>
      <c r="M1425" t="s">
        <v>2</v>
      </c>
      <c r="N1425">
        <f t="shared" si="62"/>
        <v>5.1466967993599715</v>
      </c>
      <c r="O1425" t="str">
        <f t="shared" si="63"/>
        <v/>
      </c>
      <c r="P1425" s="67" cm="1">
        <f t="array" ref="P1425">SUMPRODUCT((H1425=$H$7:$H$10000)*(N1425&lt;$N$7:$N$10000))+1</f>
        <v>74</v>
      </c>
    </row>
    <row r="1426" spans="8:16" x14ac:dyDescent="0.35">
      <c r="H1426">
        <v>16</v>
      </c>
      <c r="I1426" t="s">
        <v>14</v>
      </c>
      <c r="J1426" t="s">
        <v>11</v>
      </c>
      <c r="K1426" t="s">
        <v>256</v>
      </c>
      <c r="L1426" t="s">
        <v>9</v>
      </c>
      <c r="M1426" t="s">
        <v>13</v>
      </c>
      <c r="N1426">
        <f t="shared" si="62"/>
        <v>4.9872237586814201</v>
      </c>
      <c r="O1426" t="str">
        <f t="shared" si="63"/>
        <v/>
      </c>
      <c r="P1426" s="67" cm="1">
        <f t="array" ref="P1426">SUMPRODUCT((H1426=$H$7:$H$10000)*(N1426&lt;$N$7:$N$10000))+1</f>
        <v>75</v>
      </c>
    </row>
    <row r="1427" spans="8:16" x14ac:dyDescent="0.35">
      <c r="H1427">
        <v>16</v>
      </c>
      <c r="I1427" t="s">
        <v>7</v>
      </c>
      <c r="J1427" t="s">
        <v>92</v>
      </c>
      <c r="K1427" t="s">
        <v>256</v>
      </c>
      <c r="L1427" t="s">
        <v>3</v>
      </c>
      <c r="M1427" t="s">
        <v>6</v>
      </c>
      <c r="N1427">
        <f t="shared" si="62"/>
        <v>4.365165358878091</v>
      </c>
      <c r="O1427" t="str">
        <f t="shared" si="63"/>
        <v/>
      </c>
      <c r="P1427" s="67" cm="1">
        <f t="array" ref="P1427">SUMPRODUCT((H1427=$H$7:$H$10000)*(N1427&lt;$N$7:$N$10000))+1</f>
        <v>76</v>
      </c>
    </row>
    <row r="1428" spans="8:16" x14ac:dyDescent="0.35">
      <c r="H1428">
        <v>16</v>
      </c>
      <c r="I1428" t="s">
        <v>7</v>
      </c>
      <c r="J1428" t="s">
        <v>131</v>
      </c>
      <c r="K1428" t="s">
        <v>256</v>
      </c>
      <c r="L1428" t="s">
        <v>3</v>
      </c>
      <c r="M1428" t="s">
        <v>6</v>
      </c>
      <c r="N1428">
        <f t="shared" si="62"/>
        <v>4.3323076669301059</v>
      </c>
      <c r="O1428" t="str">
        <f t="shared" si="63"/>
        <v/>
      </c>
      <c r="P1428" s="67" cm="1">
        <f t="array" ref="P1428">SUMPRODUCT((H1428=$H$7:$H$10000)*(N1428&lt;$N$7:$N$10000))+1</f>
        <v>77</v>
      </c>
    </row>
    <row r="1429" spans="8:16" x14ac:dyDescent="0.35">
      <c r="H1429">
        <v>16</v>
      </c>
      <c r="I1429" t="s">
        <v>23</v>
      </c>
      <c r="J1429" t="s">
        <v>443</v>
      </c>
      <c r="K1429" t="s">
        <v>256</v>
      </c>
      <c r="L1429" t="s">
        <v>3</v>
      </c>
      <c r="M1429" t="s">
        <v>17</v>
      </c>
      <c r="N1429">
        <f t="shared" si="62"/>
        <v>3.643504208375532</v>
      </c>
      <c r="O1429" t="str">
        <f t="shared" si="63"/>
        <v/>
      </c>
      <c r="P1429" s="67" cm="1">
        <f t="array" ref="P1429">SUMPRODUCT((H1429=$H$7:$H$10000)*(N1429&lt;$N$7:$N$10000))+1</f>
        <v>78</v>
      </c>
    </row>
    <row r="1430" spans="8:16" x14ac:dyDescent="0.35">
      <c r="H1430">
        <v>16</v>
      </c>
      <c r="I1430" t="s">
        <v>2</v>
      </c>
      <c r="J1430" t="s">
        <v>90</v>
      </c>
      <c r="K1430" t="s">
        <v>256</v>
      </c>
      <c r="L1430" t="s">
        <v>3</v>
      </c>
      <c r="M1430" t="s">
        <v>4</v>
      </c>
      <c r="N1430">
        <f t="shared" si="62"/>
        <v>3.2317837497997104</v>
      </c>
      <c r="O1430" t="str">
        <f t="shared" si="63"/>
        <v/>
      </c>
      <c r="P1430" s="67" cm="1">
        <f t="array" ref="P1430">SUMPRODUCT((H1430=$H$7:$H$10000)*(N1430&lt;$N$7:$N$10000))+1</f>
        <v>79</v>
      </c>
    </row>
    <row r="1431" spans="8:16" x14ac:dyDescent="0.35">
      <c r="H1431">
        <v>16</v>
      </c>
      <c r="I1431" t="s">
        <v>17</v>
      </c>
      <c r="J1431" t="s">
        <v>76</v>
      </c>
      <c r="K1431" t="s">
        <v>256</v>
      </c>
      <c r="L1431" t="s">
        <v>9</v>
      </c>
      <c r="M1431" t="s">
        <v>23</v>
      </c>
      <c r="N1431">
        <f t="shared" si="62"/>
        <v>3.2107295107330769</v>
      </c>
      <c r="O1431" t="str">
        <f t="shared" si="63"/>
        <v/>
      </c>
      <c r="P1431" s="67" cm="1">
        <f t="array" ref="P1431">SUMPRODUCT((H1431=$H$7:$H$10000)*(N1431&lt;$N$7:$N$10000))+1</f>
        <v>80</v>
      </c>
    </row>
    <row r="1432" spans="8:16" x14ac:dyDescent="0.35">
      <c r="H1432">
        <v>16</v>
      </c>
      <c r="I1432" t="s">
        <v>14</v>
      </c>
      <c r="J1432" t="s">
        <v>278</v>
      </c>
      <c r="K1432" t="s">
        <v>256</v>
      </c>
      <c r="L1432" t="s">
        <v>9</v>
      </c>
      <c r="M1432" t="s">
        <v>13</v>
      </c>
      <c r="N1432">
        <f t="shared" si="62"/>
        <v>3.1104568420774283</v>
      </c>
      <c r="O1432" t="str">
        <f t="shared" si="63"/>
        <v/>
      </c>
      <c r="P1432" s="67" cm="1">
        <f t="array" ref="P1432">SUMPRODUCT((H1432=$H$7:$H$10000)*(N1432&lt;$N$7:$N$10000))+1</f>
        <v>81</v>
      </c>
    </row>
    <row r="1433" spans="8:16" x14ac:dyDescent="0.35">
      <c r="H1433">
        <v>16</v>
      </c>
      <c r="I1433" t="s">
        <v>23</v>
      </c>
      <c r="J1433" t="s">
        <v>127</v>
      </c>
      <c r="K1433" t="s">
        <v>256</v>
      </c>
      <c r="L1433" t="s">
        <v>3</v>
      </c>
      <c r="M1433" t="s">
        <v>17</v>
      </c>
      <c r="N1433">
        <f t="shared" si="62"/>
        <v>3.0966001265082648</v>
      </c>
      <c r="O1433" t="str">
        <f t="shared" si="63"/>
        <v/>
      </c>
      <c r="P1433" s="67" cm="1">
        <f t="array" ref="P1433">SUMPRODUCT((H1433=$H$7:$H$10000)*(N1433&lt;$N$7:$N$10000))+1</f>
        <v>82</v>
      </c>
    </row>
    <row r="1434" spans="8:16" x14ac:dyDescent="0.35">
      <c r="H1434">
        <v>16</v>
      </c>
      <c r="I1434" t="s">
        <v>24</v>
      </c>
      <c r="J1434" t="s">
        <v>459</v>
      </c>
      <c r="K1434" t="s">
        <v>256</v>
      </c>
      <c r="L1434" t="s">
        <v>3</v>
      </c>
      <c r="M1434" t="s">
        <v>34</v>
      </c>
      <c r="N1434">
        <f t="shared" si="62"/>
        <v>2.9998852594966037</v>
      </c>
      <c r="O1434" t="str">
        <f t="shared" si="63"/>
        <v/>
      </c>
      <c r="P1434" s="67" cm="1">
        <f t="array" ref="P1434">SUMPRODUCT((H1434=$H$7:$H$10000)*(N1434&lt;$N$7:$N$10000))+1</f>
        <v>83</v>
      </c>
    </row>
    <row r="1435" spans="8:16" x14ac:dyDescent="0.35">
      <c r="H1435">
        <v>16</v>
      </c>
      <c r="I1435" t="s">
        <v>2</v>
      </c>
      <c r="J1435" t="s">
        <v>12</v>
      </c>
      <c r="K1435" t="s">
        <v>256</v>
      </c>
      <c r="L1435" t="s">
        <v>3</v>
      </c>
      <c r="M1435" t="s">
        <v>4</v>
      </c>
      <c r="N1435">
        <f t="shared" si="62"/>
        <v>2.9719671954603726</v>
      </c>
      <c r="O1435" t="str">
        <f t="shared" si="63"/>
        <v/>
      </c>
      <c r="P1435" s="67" cm="1">
        <f t="array" ref="P1435">SUMPRODUCT((H1435=$H$7:$H$10000)*(N1435&lt;$N$7:$N$10000))+1</f>
        <v>84</v>
      </c>
    </row>
    <row r="1436" spans="8:16" x14ac:dyDescent="0.35">
      <c r="H1436">
        <v>16</v>
      </c>
      <c r="I1436" t="s">
        <v>2</v>
      </c>
      <c r="J1436" t="s">
        <v>444</v>
      </c>
      <c r="K1436" t="s">
        <v>256</v>
      </c>
      <c r="L1436" t="s">
        <v>3</v>
      </c>
      <c r="M1436" t="s">
        <v>4</v>
      </c>
      <c r="N1436">
        <f t="shared" si="62"/>
        <v>2.9618798535487061</v>
      </c>
      <c r="O1436" t="str">
        <f t="shared" si="63"/>
        <v/>
      </c>
      <c r="P1436" s="67" cm="1">
        <f t="array" ref="P1436">SUMPRODUCT((H1436=$H$7:$H$10000)*(N1436&lt;$N$7:$N$10000))+1</f>
        <v>85</v>
      </c>
    </row>
    <row r="1437" spans="8:16" x14ac:dyDescent="0.35">
      <c r="H1437">
        <v>16</v>
      </c>
      <c r="I1437" t="s">
        <v>4</v>
      </c>
      <c r="J1437" t="s">
        <v>475</v>
      </c>
      <c r="K1437" t="s">
        <v>256</v>
      </c>
      <c r="L1437" t="s">
        <v>9</v>
      </c>
      <c r="M1437" t="s">
        <v>2</v>
      </c>
      <c r="N1437">
        <f t="shared" si="62"/>
        <v>2.7322964902342743</v>
      </c>
      <c r="O1437" t="str">
        <f t="shared" si="63"/>
        <v/>
      </c>
      <c r="P1437" s="67" cm="1">
        <f t="array" ref="P1437">SUMPRODUCT((H1437=$H$7:$H$10000)*(N1437&lt;$N$7:$N$10000))+1</f>
        <v>86</v>
      </c>
    </row>
    <row r="1438" spans="8:16" x14ac:dyDescent="0.35">
      <c r="H1438">
        <v>16</v>
      </c>
      <c r="I1438" t="s">
        <v>17</v>
      </c>
      <c r="J1438" t="s">
        <v>458</v>
      </c>
      <c r="K1438" t="s">
        <v>256</v>
      </c>
      <c r="L1438" t="s">
        <v>9</v>
      </c>
      <c r="M1438" t="s">
        <v>23</v>
      </c>
      <c r="N1438">
        <f t="shared" si="62"/>
        <v>2.5846996324979834</v>
      </c>
      <c r="O1438" t="str">
        <f t="shared" si="63"/>
        <v/>
      </c>
      <c r="P1438" s="67" cm="1">
        <f t="array" ref="P1438">SUMPRODUCT((H1438=$H$7:$H$10000)*(N1438&lt;$N$7:$N$10000))+1</f>
        <v>87</v>
      </c>
    </row>
    <row r="1439" spans="8:16" x14ac:dyDescent="0.35">
      <c r="H1439">
        <v>16</v>
      </c>
      <c r="I1439" t="s">
        <v>23</v>
      </c>
      <c r="J1439" t="s">
        <v>456</v>
      </c>
      <c r="K1439" t="s">
        <v>256</v>
      </c>
      <c r="L1439" t="s">
        <v>3</v>
      </c>
      <c r="M1439" t="s">
        <v>17</v>
      </c>
      <c r="N1439">
        <f t="shared" si="62"/>
        <v>2.333865607944424</v>
      </c>
      <c r="O1439" t="str">
        <f t="shared" si="63"/>
        <v/>
      </c>
      <c r="P1439" s="67" cm="1">
        <f t="array" ref="P1439">SUMPRODUCT((H1439=$H$7:$H$10000)*(N1439&lt;$N$7:$N$10000))+1</f>
        <v>88</v>
      </c>
    </row>
    <row r="1440" spans="8:16" x14ac:dyDescent="0.35">
      <c r="H1440">
        <v>16</v>
      </c>
      <c r="I1440" t="s">
        <v>14</v>
      </c>
      <c r="J1440" t="s">
        <v>488</v>
      </c>
      <c r="K1440" t="s">
        <v>256</v>
      </c>
      <c r="L1440" t="s">
        <v>9</v>
      </c>
      <c r="M1440" t="s">
        <v>13</v>
      </c>
      <c r="N1440">
        <f t="shared" si="62"/>
        <v>2.1570300241155049</v>
      </c>
      <c r="O1440" t="str">
        <f t="shared" si="63"/>
        <v/>
      </c>
      <c r="P1440" s="67" cm="1">
        <f t="array" ref="P1440">SUMPRODUCT((H1440=$H$7:$H$10000)*(N1440&lt;$N$7:$N$10000))+1</f>
        <v>89</v>
      </c>
    </row>
    <row r="1441" spans="8:16" x14ac:dyDescent="0.35">
      <c r="H1441">
        <v>16</v>
      </c>
      <c r="I1441" t="s">
        <v>23</v>
      </c>
      <c r="J1441" t="s">
        <v>340</v>
      </c>
      <c r="K1441" t="s">
        <v>256</v>
      </c>
      <c r="L1441" t="s">
        <v>3</v>
      </c>
      <c r="M1441" t="s">
        <v>17</v>
      </c>
      <c r="N1441">
        <f t="shared" si="62"/>
        <v>2.0286221791353967</v>
      </c>
      <c r="O1441" t="str">
        <f t="shared" si="63"/>
        <v/>
      </c>
      <c r="P1441" s="67" cm="1">
        <f t="array" ref="P1441">SUMPRODUCT((H1441=$H$7:$H$10000)*(N1441&lt;$N$7:$N$10000))+1</f>
        <v>90</v>
      </c>
    </row>
    <row r="1442" spans="8:16" x14ac:dyDescent="0.35">
      <c r="H1442">
        <v>16</v>
      </c>
      <c r="I1442" t="s">
        <v>2</v>
      </c>
      <c r="J1442" t="s">
        <v>499</v>
      </c>
      <c r="K1442" t="s">
        <v>256</v>
      </c>
      <c r="L1442" t="s">
        <v>3</v>
      </c>
      <c r="M1442" t="s">
        <v>4</v>
      </c>
      <c r="N1442">
        <f t="shared" si="62"/>
        <v>1.5923504657420366</v>
      </c>
      <c r="O1442" t="str">
        <f t="shared" si="63"/>
        <v/>
      </c>
      <c r="P1442" s="67" cm="1">
        <f t="array" ref="P1442">SUMPRODUCT((H1442=$H$7:$H$10000)*(N1442&lt;$N$7:$N$10000))+1</f>
        <v>91</v>
      </c>
    </row>
    <row r="1443" spans="8:16" x14ac:dyDescent="0.35">
      <c r="H1443">
        <v>16</v>
      </c>
      <c r="I1443" t="s">
        <v>14</v>
      </c>
      <c r="J1443" t="s">
        <v>460</v>
      </c>
      <c r="K1443" t="s">
        <v>256</v>
      </c>
      <c r="L1443" t="s">
        <v>9</v>
      </c>
      <c r="M1443" t="s">
        <v>13</v>
      </c>
      <c r="N1443">
        <f t="shared" si="62"/>
        <v>0.96840699205296232</v>
      </c>
      <c r="O1443" t="str">
        <f t="shared" si="63"/>
        <v/>
      </c>
      <c r="P1443" s="67" cm="1">
        <f t="array" ref="P1443">SUMPRODUCT((H1443=$H$7:$H$10000)*(N1443&lt;$N$7:$N$10000))+1</f>
        <v>92</v>
      </c>
    </row>
    <row r="1444" spans="8:16" x14ac:dyDescent="0.35">
      <c r="H1444">
        <v>16</v>
      </c>
      <c r="I1444" t="s">
        <v>6</v>
      </c>
      <c r="J1444" t="s">
        <v>66</v>
      </c>
      <c r="K1444" t="s">
        <v>256</v>
      </c>
      <c r="L1444" t="s">
        <v>9</v>
      </c>
      <c r="M1444" t="s">
        <v>7</v>
      </c>
      <c r="N1444">
        <f t="shared" si="62"/>
        <v>0.44518154343765826</v>
      </c>
      <c r="O1444" t="str">
        <f t="shared" si="63"/>
        <v/>
      </c>
      <c r="P1444" s="67" cm="1">
        <f t="array" ref="P1444">SUMPRODUCT((H1444=$H$7:$H$10000)*(N1444&lt;$N$7:$N$10000))+1</f>
        <v>93</v>
      </c>
    </row>
    <row r="1445" spans="8:16" x14ac:dyDescent="0.35">
      <c r="H1445">
        <v>16</v>
      </c>
      <c r="I1445" t="s">
        <v>4</v>
      </c>
      <c r="J1445" t="s">
        <v>125</v>
      </c>
      <c r="K1445" t="s">
        <v>256</v>
      </c>
      <c r="L1445" t="s">
        <v>9</v>
      </c>
      <c r="M1445" t="s">
        <v>2</v>
      </c>
      <c r="N1445">
        <f t="shared" si="62"/>
        <v>0.11649611596745579</v>
      </c>
      <c r="O1445" t="str">
        <f t="shared" si="63"/>
        <v/>
      </c>
      <c r="P1445" s="67" cm="1">
        <f t="array" ref="P1445">SUMPRODUCT((H1445=$H$7:$H$10000)*(N1445&lt;$N$7:$N$10000))+1</f>
        <v>94</v>
      </c>
    </row>
    <row r="1446" spans="8:16" x14ac:dyDescent="0.35">
      <c r="H1446">
        <v>16</v>
      </c>
      <c r="I1446" t="s">
        <v>4</v>
      </c>
      <c r="J1446" t="s">
        <v>489</v>
      </c>
      <c r="K1446" t="s">
        <v>256</v>
      </c>
      <c r="L1446" t="s">
        <v>9</v>
      </c>
      <c r="M1446" t="s">
        <v>2</v>
      </c>
      <c r="N1446">
        <f t="shared" si="62"/>
        <v>6.9766174185771135E-2</v>
      </c>
      <c r="O1446" t="str">
        <f t="shared" si="63"/>
        <v/>
      </c>
      <c r="P1446" s="67" cm="1">
        <f t="array" ref="P1446">SUMPRODUCT((H1446=$H$7:$H$10000)*(N1446&lt;$N$7:$N$10000))+1</f>
        <v>95</v>
      </c>
    </row>
    <row r="1447" spans="8:16" x14ac:dyDescent="0.35">
      <c r="H1447">
        <v>16</v>
      </c>
      <c r="I1447" t="s">
        <v>7</v>
      </c>
      <c r="J1447" t="s">
        <v>126</v>
      </c>
      <c r="K1447" t="s">
        <v>256</v>
      </c>
      <c r="L1447" t="s">
        <v>3</v>
      </c>
      <c r="M1447" t="s">
        <v>6</v>
      </c>
      <c r="N1447">
        <f t="shared" si="62"/>
        <v>-0.12915033922671704</v>
      </c>
      <c r="O1447" t="str">
        <f t="shared" si="63"/>
        <v/>
      </c>
      <c r="P1447" s="67" cm="1">
        <f t="array" ref="P1447">SUMPRODUCT((H1447=$H$7:$H$10000)*(N1447&lt;$N$7:$N$10000))+1</f>
        <v>96</v>
      </c>
    </row>
  </sheetData>
  <sortState xmlns:xlrd2="http://schemas.microsoft.com/office/spreadsheetml/2017/richdata2" ref="H204:P1447">
    <sortCondition ref="H204:H1447"/>
    <sortCondition ref="P204:P1447"/>
  </sortState>
  <conditionalFormatting sqref="A399:A47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132:G227 G20:G1000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B16">
    <cfRule type="colorScale" priority="20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B18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0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188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9:C470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0:D18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188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8:S17 S6:T6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7:Z1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E490-8988-4882-965E-5CE633C67A1B}">
  <dimension ref="A1:K16"/>
  <sheetViews>
    <sheetView workbookViewId="0">
      <selection activeCell="I20" sqref="I20"/>
    </sheetView>
  </sheetViews>
  <sheetFormatPr defaultRowHeight="14.5" x14ac:dyDescent="0.35"/>
  <cols>
    <col min="1" max="1" width="10" customWidth="1"/>
    <col min="2" max="2" width="15.26953125" bestFit="1" customWidth="1"/>
    <col min="3" max="4" width="9.26953125" bestFit="1" customWidth="1"/>
    <col min="5" max="5" width="18.81640625" customWidth="1"/>
    <col min="10" max="10" width="10.453125" bestFit="1" customWidth="1"/>
  </cols>
  <sheetData>
    <row r="1" spans="1:11" x14ac:dyDescent="0.35">
      <c r="A1" s="35" t="s">
        <v>319</v>
      </c>
      <c r="B1" s="24" t="s">
        <v>320</v>
      </c>
      <c r="C1" s="35" t="s">
        <v>321</v>
      </c>
      <c r="D1" s="35" t="s">
        <v>322</v>
      </c>
      <c r="E1" s="35" t="s">
        <v>323</v>
      </c>
      <c r="F1" s="37"/>
      <c r="G1" s="36" t="s">
        <v>355</v>
      </c>
      <c r="H1">
        <v>15</v>
      </c>
    </row>
    <row r="2" spans="1:11" x14ac:dyDescent="0.35">
      <c r="A2" s="35" t="s">
        <v>135</v>
      </c>
      <c r="B2" s="1" t="s">
        <v>155</v>
      </c>
      <c r="C2" s="1" t="e" cm="1" vm="1">
        <f t="array" ref="C2">VLOOKUP($H$1,_xlfn._xlws.FILTER(FRvsDef!$G$1:$M$1500,FRvsDef!$I$1:$I$1500='Matchup Predictor'!$B2),7, FALSE)</f>
        <v>#VALUE!</v>
      </c>
      <c r="D2" s="1" t="e" cm="1" vm="1">
        <f t="array" ref="D2">VLOOKUP($H$1,_xlfn._xlws.FILTER(FRvsDef!$G$1:$M$1500,FRvsDef!$I$1:$I$1500='Matchup Predictor'!$E2),7, FALSE)</f>
        <v>#VALUE!</v>
      </c>
      <c r="E2" s="1" t="s">
        <v>164</v>
      </c>
      <c r="F2" s="37"/>
    </row>
    <row r="3" spans="1:11" x14ac:dyDescent="0.35">
      <c r="A3" s="35" t="s">
        <v>136</v>
      </c>
      <c r="B3" s="1" t="s">
        <v>103</v>
      </c>
      <c r="C3" s="1" t="e" cm="1" vm="1">
        <f t="array" ref="C3">VLOOKUP($H$1,_xlfn._xlws.FILTER(SRvsDef!$G$1:$M$1500,SRvsDef!$I$1:$I$1500='Matchup Predictor'!$B3),7, FALSE)</f>
        <v>#VALUE!</v>
      </c>
      <c r="D3" s="1" t="e" cm="1" vm="1">
        <f t="array" ref="D3">VLOOKUP($H$1,_xlfn._xlws.FILTER(SRvsDef!$G$1:$M$1500,SRvsDef!$I$1:$I$1500='Matchup Predictor'!$E3),7, FALSE)</f>
        <v>#VALUE!</v>
      </c>
      <c r="E3" s="1" t="s">
        <v>335</v>
      </c>
      <c r="F3" s="37"/>
      <c r="G3" t="s">
        <v>326</v>
      </c>
    </row>
    <row r="4" spans="1:11" x14ac:dyDescent="0.35">
      <c r="A4" s="35" t="s">
        <v>137</v>
      </c>
      <c r="B4" s="1" t="s">
        <v>218</v>
      </c>
      <c r="C4" s="1" t="e" cm="1" vm="1">
        <f t="array" ref="C4">VLOOKUP($H$1,_xlfn._xlws.FILTER(BRvsDef!$G$1:$M$1500,BRvsDef!$I$1:$I$1500='Matchup Predictor'!$B4),7, FALSE)</f>
        <v>#VALUE!</v>
      </c>
      <c r="D4" s="1" t="str" cm="1">
        <f t="array" ref="D4">IFERROR(VLOOKUP($H$1,_xlfn._xlws.FILTER(BRvsDef!$G$1:$M$1500,BRvsDef!$I$1:$I$1500='Matchup Predictor'!$E4),7, FALSE),"")</f>
        <v/>
      </c>
      <c r="E4" s="1" t="s">
        <v>224</v>
      </c>
      <c r="F4" s="37"/>
    </row>
    <row r="5" spans="1:11" x14ac:dyDescent="0.35">
      <c r="A5" s="35" t="s">
        <v>324</v>
      </c>
      <c r="B5" s="1" t="s">
        <v>197</v>
      </c>
      <c r="C5" s="1" cm="1">
        <f t="array" ref="C5">VLOOKUP($H$1,_xlfn._xlws.FILTER(DEPRECATED_FFvsDef!$G$1:$M$1500,DEPRECATED_FFvsDef!$I$1:$I$1500='Matchup Predictor'!$B5),7, FALSE)</f>
        <v>2.6644192498406092</v>
      </c>
      <c r="D5" s="1" cm="1">
        <f t="array" ref="D5">VLOOKUP($H$1,_xlfn._xlws.FILTER(DEPRECATED_FFvsDef!$G$1:$M$1500,DEPRECATED_FFvsDef!$I$1:$I$1500='Matchup Predictor'!$E5),7, FALSE)</f>
        <v>10.526223242712341</v>
      </c>
      <c r="E5" s="1" t="s">
        <v>199</v>
      </c>
      <c r="F5" s="37"/>
    </row>
    <row r="6" spans="1:11" x14ac:dyDescent="0.35">
      <c r="A6" s="35" t="s">
        <v>138</v>
      </c>
      <c r="B6" s="1" t="s">
        <v>354</v>
      </c>
      <c r="C6" s="1" t="e" cm="1" vm="1">
        <f t="array" ref="C6">VLOOKUP($H$1,_xlfn._xlws.FILTER(SHvsDef!$G$1:$M$1500,SHvsDef!$I$1:$I$1500='Matchup Predictor'!$B6),7, FALSE)</f>
        <v>#VALUE!</v>
      </c>
      <c r="D6" s="1" t="e" cm="1" vm="1">
        <f t="array" ref="D6">VLOOKUP($H$1,_xlfn._xlws.FILTER(SHvsDef!$G$1:$M$1500,SHvsDef!$I$1:$I$1500='Matchup Predictor'!$E6),7, FALSE)</f>
        <v>#VALUE!</v>
      </c>
      <c r="E6" s="1" t="s">
        <v>122</v>
      </c>
      <c r="F6" s="37"/>
    </row>
    <row r="7" spans="1:11" x14ac:dyDescent="0.35">
      <c r="A7" s="35" t="s">
        <v>139</v>
      </c>
      <c r="B7" s="1" t="s">
        <v>71</v>
      </c>
      <c r="C7" s="1" t="e" cm="1" vm="1">
        <f t="array" ref="C7">VLOOKUP($H$1,_xlfn._xlws.FILTER(FHvsDef!$G$1:$M$1500,FHvsDef!$I$1:$I$1500='Matchup Predictor'!$B7),7, FALSE)</f>
        <v>#VALUE!</v>
      </c>
      <c r="D7" s="1" t="str" cm="1">
        <f t="array" ref="D7">IFERROR(VLOOKUP($H$1,_xlfn._xlws.FILTER(FHvsDef!$G$1:$M$1500,FHvsDef!$I$1:$I$1500='Matchup Predictor'!$E7),7, FALSE),"")</f>
        <v/>
      </c>
      <c r="E7" s="1" t="s">
        <v>191</v>
      </c>
      <c r="F7" s="37"/>
      <c r="G7" t="s">
        <v>343</v>
      </c>
    </row>
    <row r="8" spans="1:11" x14ac:dyDescent="0.35">
      <c r="A8" s="35" t="s">
        <v>134</v>
      </c>
      <c r="B8" s="1" t="s">
        <v>28</v>
      </c>
      <c r="C8" s="1" t="e" cm="1" vm="1">
        <f t="array" ref="C8">VLOOKUP($H$1,_xlfn._xlws.FILTER(CvsDef!$G$1:$M$1500,CvsDef!$I$1:$I$1500='Matchup Predictor'!$B8),7, FALSE)</f>
        <v>#VALUE!</v>
      </c>
      <c r="D8" s="1" t="e" cm="1" vm="1">
        <f t="array" ref="D8">VLOOKUP($H$1,_xlfn._xlws.FILTER(CvsDef!$G$1:$M$1500,CvsDef!$I$1:$I$1500='Matchup Predictor'!$E8),7, FALSE)</f>
        <v>#VALUE!</v>
      </c>
      <c r="E8" s="1" t="s">
        <v>42</v>
      </c>
      <c r="F8" s="37"/>
    </row>
    <row r="9" spans="1:11" x14ac:dyDescent="0.35">
      <c r="A9" s="35" t="s">
        <v>140</v>
      </c>
      <c r="B9" s="1" t="s">
        <v>65</v>
      </c>
      <c r="C9" s="1" t="e" cm="1" vm="1">
        <f t="array" ref="C9">VLOOKUP($H$1,_xlfn._xlws.FILTER(B3vsDef!$G$1:$M$1500,B3vsDef!$I$1:$I$1500='Matchup Predictor'!$B9),7, FALSE)</f>
        <v>#VALUE!</v>
      </c>
      <c r="D9" s="1" t="str" cm="1">
        <f t="array" ref="D9">IFERROR(VLOOKUP($H$1,_xlfn._xlws.FILTER(B3vsDef!$G$1:$M$1500,B3vsDef!$I$1:$I$1500='Matchup Predictor'!$E9),7, FALSE), "")</f>
        <v/>
      </c>
      <c r="E9" s="1" t="s">
        <v>91</v>
      </c>
      <c r="F9" s="37"/>
      <c r="H9" t="s">
        <v>332</v>
      </c>
      <c r="I9" t="s">
        <v>331</v>
      </c>
      <c r="J9" t="s">
        <v>333</v>
      </c>
      <c r="K9" t="s">
        <v>330</v>
      </c>
    </row>
    <row r="10" spans="1:11" x14ac:dyDescent="0.35">
      <c r="A10" s="35" t="s">
        <v>325</v>
      </c>
      <c r="B10" s="1" t="s">
        <v>8</v>
      </c>
      <c r="C10" s="1" cm="1">
        <f t="array" ref="C10">VLOOKUP($H$1,_xlfn._xlws.FILTER(BFvsDef!$H$1:$N$1500,BFvsDef!$J$1:$J$1500='Matchup Predictor'!$B10),7, FALSE)</f>
        <v>19.436531274792028</v>
      </c>
      <c r="D10" s="1" cm="1">
        <f t="array" ref="D10">VLOOKUP($H$1,_xlfn._xlws.FILTER(BFvsDef!$H$1:$N$1500,BFvsDef!$J$1:$J$1500='Matchup Predictor'!$E10),7, FALSE)</f>
        <v>7.7805285905800501</v>
      </c>
      <c r="E10" s="1" t="s">
        <v>46</v>
      </c>
      <c r="F10" s="37"/>
      <c r="G10" t="s">
        <v>329</v>
      </c>
      <c r="H10">
        <v>107.61199999999999</v>
      </c>
      <c r="I10">
        <v>112.4</v>
      </c>
      <c r="J10">
        <v>50.9</v>
      </c>
      <c r="K10">
        <v>62.747</v>
      </c>
    </row>
    <row r="11" spans="1:11" x14ac:dyDescent="0.35">
      <c r="A11" s="35" t="s">
        <v>141</v>
      </c>
      <c r="B11" s="1" t="s">
        <v>231</v>
      </c>
      <c r="C11" s="1" t="e" cm="1" vm="1">
        <f t="array" ref="C11">VLOOKUP($H$1,_xlfn._xlws.FILTER(DSPvsDef!$G$1:$M$1500,DSPvsDef!$I$1:$I$1500='Matchup Predictor'!$B11),7, FALSE)</f>
        <v>#VALUE!</v>
      </c>
      <c r="D11" s="1" t="str" cm="1">
        <f t="array" ref="D11">IFERROR(VLOOKUP($H$1,_xlfn._xlws.FILTER(DSPvsDef!$G$1:$M$1500,DSPvsDef!$I$1:$I$1500='Matchup Predictor'!$E11),7, FALSE),"")</f>
        <v/>
      </c>
      <c r="E11" s="1" t="s">
        <v>363</v>
      </c>
      <c r="F11" s="37"/>
      <c r="G11" t="s">
        <v>348</v>
      </c>
      <c r="H11">
        <v>124.55885831509147</v>
      </c>
      <c r="I11">
        <v>67.400000000000006</v>
      </c>
      <c r="J11">
        <v>42.9</v>
      </c>
      <c r="K11">
        <v>53.006231841579051</v>
      </c>
    </row>
    <row r="12" spans="1:11" x14ac:dyDescent="0.35">
      <c r="A12" s="35" t="s">
        <v>327</v>
      </c>
      <c r="B12" s="38"/>
      <c r="C12" s="1" t="e" vm="2">
        <f>SUM(C2:C11)</f>
        <v>#VALUE!</v>
      </c>
      <c r="D12" s="1" t="e" vm="2">
        <f>SUM(D2:D11)</f>
        <v>#VALUE!</v>
      </c>
      <c r="E12" s="37"/>
      <c r="F12" s="37"/>
    </row>
    <row r="13" spans="1:11" x14ac:dyDescent="0.35">
      <c r="A13" s="35" t="s">
        <v>328</v>
      </c>
      <c r="B13" s="38"/>
      <c r="C13" s="1" t="e" vm="2">
        <f>IF($C$12&gt;$D$12,"W","L")</f>
        <v>#VALUE!</v>
      </c>
      <c r="D13" s="1" t="e" vm="2">
        <f>IF($C$12&lt;$D$12,"W","L")</f>
        <v>#VALUE!</v>
      </c>
      <c r="E13" s="37"/>
      <c r="F13" s="37"/>
    </row>
    <row r="14" spans="1:11" x14ac:dyDescent="0.35">
      <c r="A14" s="37"/>
      <c r="B14" s="37"/>
      <c r="C14" s="37"/>
      <c r="D14" s="37"/>
      <c r="E14" s="37"/>
      <c r="F14" s="37"/>
    </row>
    <row r="16" spans="1:11" x14ac:dyDescent="0.35">
      <c r="B16" t="s">
        <v>362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0656-85B9-4B13-81D1-EF9323265C32}">
  <dimension ref="A1:V28"/>
  <sheetViews>
    <sheetView workbookViewId="0">
      <selection activeCell="R20" sqref="R20"/>
    </sheetView>
  </sheetViews>
  <sheetFormatPr defaultRowHeight="14.5" x14ac:dyDescent="0.35"/>
  <cols>
    <col min="2" max="2" width="14.81640625" bestFit="1" customWidth="1"/>
    <col min="5" max="5" width="16.6328125" bestFit="1" customWidth="1"/>
    <col min="7" max="7" width="9.90625" bestFit="1" customWidth="1"/>
    <col min="10" max="10" width="12.26953125" bestFit="1" customWidth="1"/>
    <col min="11" max="11" width="9.6328125" bestFit="1" customWidth="1"/>
    <col min="13" max="14" width="11.81640625" bestFit="1" customWidth="1"/>
    <col min="17" max="17" width="13.1796875" bestFit="1" customWidth="1"/>
    <col min="20" max="20" width="12.26953125" bestFit="1" customWidth="1"/>
  </cols>
  <sheetData>
    <row r="1" spans="1:22" x14ac:dyDescent="0.35">
      <c r="A1" s="35" t="s">
        <v>319</v>
      </c>
      <c r="B1" s="24" t="s">
        <v>320</v>
      </c>
      <c r="C1" s="35" t="s">
        <v>321</v>
      </c>
      <c r="D1" s="35" t="s">
        <v>322</v>
      </c>
      <c r="E1" s="35" t="s">
        <v>323</v>
      </c>
      <c r="F1" s="37"/>
      <c r="G1" s="63" t="s">
        <v>361</v>
      </c>
      <c r="H1">
        <v>15</v>
      </c>
    </row>
    <row r="2" spans="1:22" x14ac:dyDescent="0.35">
      <c r="A2" s="35" t="s">
        <v>135</v>
      </c>
      <c r="B2" s="1" t="str">
        <f>J5</f>
        <v>Joe Taufete'e</v>
      </c>
      <c r="C2" s="1" t="e" cm="1" vm="1">
        <f t="array" ref="C2">VLOOKUP($H$1,_xlfn._xlws.FILTER(FRvsDef!$G$1:$M$1500,FRvsDef!$I$1:$I$1500=PredictorV2!$B2),7, FALSE)</f>
        <v>#VALUE!</v>
      </c>
      <c r="D2" s="1" t="e" cm="1" vm="1">
        <f t="array" ref="D2">VLOOKUP($H$1,_xlfn._xlws.FILTER(FRvsDef!$G$1:$M$1500,FRvsDef!$I$1:$I$1500=PredictorV2!$E2),7, FALSE)</f>
        <v>#VALUE!</v>
      </c>
      <c r="E2" s="1" t="s">
        <v>144</v>
      </c>
      <c r="F2" s="37"/>
    </row>
    <row r="3" spans="1:22" x14ac:dyDescent="0.35">
      <c r="A3" s="35" t="s">
        <v>136</v>
      </c>
      <c r="B3" s="1" t="str">
        <f>M5</f>
        <v>Tevita Naqali</v>
      </c>
      <c r="C3" s="1" t="e" cm="1" vm="1">
        <f t="array" ref="C3">VLOOKUP($H$1,_xlfn._xlws.FILTER(SRvsDef!$G$1:$M$1500,SRvsDef!$I$1:$I$1500=PredictorV2!$B3),7, FALSE)</f>
        <v>#VALUE!</v>
      </c>
      <c r="D3" s="1" t="e" cm="1" vm="1">
        <f t="array" ref="D3">VLOOKUP($H$1,_xlfn._xlws.FILTER(SRvsDef!$G$1:$M$1500,SRvsDef!$I$1:$I$1500=PredictorV2!$E3),7, FALSE)</f>
        <v>#VALUE!</v>
      </c>
      <c r="E3" s="1" t="s">
        <v>109</v>
      </c>
      <c r="F3" s="37"/>
    </row>
    <row r="4" spans="1:22" x14ac:dyDescent="0.35">
      <c r="A4" s="35" t="s">
        <v>137</v>
      </c>
      <c r="B4" s="1" t="str">
        <f>J12</f>
        <v>Sam Tuifua</v>
      </c>
      <c r="C4" s="1" t="e" cm="1" vm="1">
        <f t="array" ref="C4">VLOOKUP($H$1,_xlfn._xlws.FILTER(BRvsDef!$G$1:$M$1500,BRvsDef!$I$1:$I$1500=PredictorV2!$B4),7, FALSE)</f>
        <v>#VALUE!</v>
      </c>
      <c r="D4" s="1" t="str" cm="1">
        <f t="array" ref="D4">IFERROR(VLOOKUP($H$1,_xlfn._xlws.FILTER(BRvsDef!$G$1:$M$1500,BRvsDef!$I$1:$I$1500=PredictorV2!$E4),7, FALSE),"")</f>
        <v/>
      </c>
      <c r="E4" s="1" t="s">
        <v>226</v>
      </c>
      <c r="F4" s="37"/>
      <c r="J4" s="6" t="s">
        <v>359</v>
      </c>
      <c r="K4" s="6" t="s">
        <v>358</v>
      </c>
      <c r="M4" s="6" t="s">
        <v>360</v>
      </c>
      <c r="N4" s="6" t="s">
        <v>358</v>
      </c>
      <c r="P4" s="62" t="s">
        <v>381</v>
      </c>
      <c r="Q4" s="6" t="s">
        <v>365</v>
      </c>
      <c r="R4" s="6" t="s">
        <v>358</v>
      </c>
      <c r="S4" s="62"/>
      <c r="T4" s="62" t="s">
        <v>381</v>
      </c>
      <c r="U4" s="6" t="s">
        <v>366</v>
      </c>
      <c r="V4" s="6" t="s">
        <v>358</v>
      </c>
    </row>
    <row r="5" spans="1:22" x14ac:dyDescent="0.35">
      <c r="A5" s="35" t="s">
        <v>324</v>
      </c>
      <c r="B5" s="1" t="str">
        <f>J13</f>
        <v>Ethan Fryer</v>
      </c>
      <c r="C5" s="1" t="e" cm="1" vm="1">
        <f t="array" ref="C5">VLOOKUP($H$1,_xlfn._xlws.FILTER(BRvsDef!$G$1:$M$1500,BRvsDef!$I$1:$I$1500=PredictorV2!$B5),7, FALSE)</f>
        <v>#VALUE!</v>
      </c>
      <c r="D5" s="1" t="e" cm="1">
        <f t="array" ref="D5">VLOOKUP($H$1,_xlfn._xlws.FILTER(DEPRECATED_FFvsDef!$G$1:$M$1500,DEPRECATED_FFvsDef!$I$1:$I$1500=PredictorV2!$E5),7, FALSE)</f>
        <v>#N/A</v>
      </c>
      <c r="E5" s="1"/>
      <c r="F5" s="37"/>
      <c r="J5" s="1" t="s">
        <v>165</v>
      </c>
      <c r="K5" s="1" t="e" cm="1" vm="1">
        <f t="array" ref="K5">VLOOKUP($H$1,_xlfn._xlws.FILTER(FRvsDef!$G$1:$M$1500,FRvsDef!$I$1:$I$1500=PredictorV2!$J5),7, FALSE)</f>
        <v>#VALUE!</v>
      </c>
      <c r="M5" s="1" t="s">
        <v>277</v>
      </c>
      <c r="N5" s="1" t="e" cm="1" vm="1">
        <f t="array" ref="N5">VLOOKUP($H$1,_xlfn._xlws.FILTER(SRvsDef!$G$1:$M$1500,SRvsDef!$I$1:$I$1500=PredictorV2!$M5),7, FALSE)</f>
        <v>#VALUE!</v>
      </c>
      <c r="P5">
        <v>1</v>
      </c>
      <c r="Q5" s="1" t="s">
        <v>354</v>
      </c>
      <c r="R5" s="1" t="e" cm="1" vm="1">
        <f t="array" ref="R5">VLOOKUP($H$1,_xlfn._xlws.FILTER(SHvsDef!$G$1:$M$1500,SHvsDef!$I$1:$I$1500=PredictorV2!$Q5),7, FALSE)</f>
        <v>#VALUE!</v>
      </c>
      <c r="T5">
        <v>1</v>
      </c>
      <c r="U5" s="1" t="s">
        <v>77</v>
      </c>
      <c r="V5" s="1" t="e" cm="1" vm="1">
        <f t="array" ref="V5">VLOOKUP($H$1,_xlfn._xlws.FILTER(FHvsDef!$G$1:$M$1500,FHvsDef!$I$1:$I$1500=PredictorV2!$U5),7, FALSE)</f>
        <v>#VALUE!</v>
      </c>
    </row>
    <row r="6" spans="1:22" x14ac:dyDescent="0.35">
      <c r="A6" s="35" t="s">
        <v>138</v>
      </c>
      <c r="B6" s="1" t="str">
        <f>Q5</f>
        <v>Holden Yungert</v>
      </c>
      <c r="C6" s="1" t="e" cm="1" vm="1">
        <f t="array" ref="C6">VLOOKUP($H$1,_xlfn._xlws.FILTER(SHvsDef!$G$1:$M$1500,SHvsDef!$I$1:$I$1500=PredictorV2!$B6),7, FALSE)</f>
        <v>#VALUE!</v>
      </c>
      <c r="D6" s="1" t="e" cm="1" vm="1">
        <f t="array" ref="D6">VLOOKUP($H$1,_xlfn._xlws.FILTER(SHvsDef!$G$1:$M$1500,SHvsDef!$I$1:$I$1500=PredictorV2!$E6),7, FALSE)</f>
        <v>#VALUE!</v>
      </c>
      <c r="E6" s="1" t="s">
        <v>125</v>
      </c>
      <c r="F6" s="37"/>
      <c r="J6" s="1" t="s">
        <v>171</v>
      </c>
      <c r="K6" s="1" t="e" cm="1" vm="1">
        <f t="array" ref="K6">VLOOKUP($H$1,_xlfn._xlws.FILTER(FRvsDef!$G$1:$M$1500,FRvsDef!$I$1:$I$1500=PredictorV2!$J6),7, FALSE)</f>
        <v>#VALUE!</v>
      </c>
      <c r="M6" s="1"/>
      <c r="N6" s="1" t="e" cm="1">
        <f t="array" aca="1" ref="N6" ca="1">VLOOKUP($H$1,_xlfn._xlws.FILTER(SRvsDef!$G$1:$M$1500,SRvsDef!$I$1:$I$1500=PredictorV2!$M6),7, FALSE)</f>
        <v>#N/A</v>
      </c>
      <c r="P6">
        <v>2</v>
      </c>
      <c r="Q6" s="1" t="s">
        <v>249</v>
      </c>
      <c r="R6" s="1" t="e" cm="1" vm="1">
        <f t="array" ref="R6">VLOOKUP($H$1,_xlfn._xlws.FILTER(SHvsDef!$G$1:$M$1500,SHvsDef!$I$1:$I$1500=PredictorV2!$Q6),7, FALSE)</f>
        <v>#VALUE!</v>
      </c>
      <c r="T6">
        <v>2</v>
      </c>
      <c r="U6" s="1" t="s">
        <v>40</v>
      </c>
      <c r="V6" s="1" t="e" cm="1" vm="1">
        <f t="array" ref="V6">VLOOKUP($H$1,_xlfn._xlws.FILTER(FHvsDef!$G$1:$M$1500,FHvsDef!$I$1:$I$1500=PredictorV2!$U6),7, FALSE)</f>
        <v>#VALUE!</v>
      </c>
    </row>
    <row r="7" spans="1:22" x14ac:dyDescent="0.35">
      <c r="A7" s="35" t="s">
        <v>139</v>
      </c>
      <c r="B7" s="1" t="str">
        <f>U5</f>
        <v>Jason Robertson</v>
      </c>
      <c r="C7" s="1" t="e" cm="1" vm="1">
        <f t="array" ref="C7">VLOOKUP($H$1,_xlfn._xlws.FILTER(FHvsDef!$G$1:$M$1500,FHvsDef!$I$1:$I$1500=PredictorV2!$B7),7, FALSE)</f>
        <v>#VALUE!</v>
      </c>
      <c r="D7" s="1" t="str" cm="1">
        <f t="array" ref="D7">IFERROR(VLOOKUP($H$1,_xlfn._xlws.FILTER(FHvsDef!$G$1:$M$1500,FHvsDef!$I$1:$I$1500=PredictorV2!$E7),7, FALSE),"")</f>
        <v/>
      </c>
      <c r="E7" s="1" t="s">
        <v>336</v>
      </c>
      <c r="F7" s="37"/>
      <c r="J7" s="1"/>
      <c r="K7" s="1" t="e" cm="1">
        <f t="array" aca="1" ref="K7" ca="1">VLOOKUP($H$1,_xlfn._xlws.FILTER(FRvsDef!$G$1:$M$1500,FRvsDef!$I$1:$I$1500=PredictorV2!$J7),7, FALSE)</f>
        <v>#N/A</v>
      </c>
      <c r="M7" s="1"/>
      <c r="N7" s="1" t="e" cm="1">
        <f t="array" aca="1" ref="N7" ca="1">VLOOKUP($H$1,_xlfn._xlws.FILTER(SRvsDef!$G$1:$M$1500,SRvsDef!$I$1:$I$1500=PredictorV2!$M7),7, FALSE)</f>
        <v>#N/A</v>
      </c>
      <c r="P7">
        <v>3</v>
      </c>
      <c r="Q7" s="1"/>
      <c r="R7" s="1" t="e" cm="1">
        <f t="array" aca="1" ref="R7" ca="1">VLOOKUP($H$1,_xlfn._xlws.FILTER(SHvsDef!$G$1:$M$1500,SHvsDef!$I$1:$I$1500=PredictorV2!$Q7),7, FALSE)</f>
        <v>#N/A</v>
      </c>
      <c r="T7">
        <v>3</v>
      </c>
      <c r="U7" s="1" t="s">
        <v>195</v>
      </c>
      <c r="V7" s="1" t="e" cm="1" vm="1">
        <f t="array" ref="V7">VLOOKUP($H$1,_xlfn._xlws.FILTER(FHvsDef!$G$1:$M$1500,FHvsDef!$I$1:$I$1500=PredictorV2!$U7),7, FALSE)</f>
        <v>#VALUE!</v>
      </c>
    </row>
    <row r="8" spans="1:22" x14ac:dyDescent="0.35">
      <c r="A8" s="35" t="s">
        <v>134</v>
      </c>
      <c r="B8" s="1" t="str">
        <f>Q12</f>
        <v>Junior Gafa</v>
      </c>
      <c r="C8" s="1" t="e" cm="1" vm="1">
        <f t="array" ref="C8">VLOOKUP($H$1,_xlfn._xlws.FILTER(CvsDef!$G$1:$M$1500,CvsDef!$I$1:$I$1500=PredictorV2!$B8),7, FALSE)</f>
        <v>#VALUE!</v>
      </c>
      <c r="D8" s="1" t="e" cm="1" vm="1">
        <f t="array" ref="D8">VLOOKUP($H$1,_xlfn._xlws.FILTER(CvsDef!$G$1:$M$1500,CvsDef!$I$1:$I$1500=PredictorV2!$E8),7, FALSE)</f>
        <v>#VALUE!</v>
      </c>
      <c r="E8" s="1" t="s">
        <v>316</v>
      </c>
      <c r="F8" s="37"/>
      <c r="J8" s="1"/>
      <c r="K8" s="1" t="e" cm="1">
        <f t="array" aca="1" ref="K8" ca="1">VLOOKUP($H$1,_xlfn._xlws.FILTER(FRvsDef!$G$1:$M$1500,FRvsDef!$I$1:$I$1500=PredictorV2!$J8),7, FALSE)</f>
        <v>#N/A</v>
      </c>
      <c r="M8" s="1"/>
      <c r="N8" s="1" t="e" cm="1">
        <f t="array" aca="1" ref="N8" ca="1">VLOOKUP($H$1,_xlfn._xlws.FILTER(SRvsDef!$G$1:$M$1500,SRvsDef!$I$1:$I$1500=PredictorV2!$M8),7, FALSE)</f>
        <v>#N/A</v>
      </c>
      <c r="P8">
        <v>4</v>
      </c>
      <c r="Q8" s="1"/>
      <c r="R8" s="1" t="e" cm="1">
        <f t="array" aca="1" ref="R8" ca="1">VLOOKUP($H$1,_xlfn._xlws.FILTER(SHvsDef!$G$1:$M$1500,SHvsDef!$I$1:$I$1500=PredictorV2!$Q8),7, FALSE)</f>
        <v>#N/A</v>
      </c>
      <c r="T8">
        <v>4</v>
      </c>
      <c r="U8" s="1"/>
      <c r="V8" s="1" t="e" cm="1">
        <f t="array" aca="1" ref="V8" ca="1">VLOOKUP($H$1,_xlfn._xlws.FILTER(FHvsDef!$G$1:$M$1500,FHvsDef!$I$1:$I$1500=PredictorV2!$U8),7, FALSE)</f>
        <v>#N/A</v>
      </c>
    </row>
    <row r="9" spans="1:22" x14ac:dyDescent="0.35">
      <c r="A9" s="35" t="s">
        <v>140</v>
      </c>
      <c r="B9" s="1" t="str">
        <f>U12</f>
        <v>Michael Manson</v>
      </c>
      <c r="C9" s="1" t="e" cm="1" vm="1">
        <f t="array" ref="C9">VLOOKUP($H$1,_xlfn._xlws.FILTER(B3vsDef!$G$1:$M$1500,B3vsDef!$I$1:$I$1500=PredictorV2!$B9),7, FALSE)</f>
        <v>#VALUE!</v>
      </c>
      <c r="D9" s="1" t="str" cm="1">
        <f t="array" ref="D9">IFERROR(VLOOKUP($H$1,_xlfn._xlws.FILTER(B3vsDef!$G$1:$M$1500,B3vsDef!$I$1:$I$1500=PredictorV2!$E9),7, FALSE), "")</f>
        <v/>
      </c>
      <c r="E9" s="1" t="s">
        <v>388</v>
      </c>
      <c r="F9" s="37"/>
    </row>
    <row r="10" spans="1:22" x14ac:dyDescent="0.35">
      <c r="A10" s="35" t="s">
        <v>325</v>
      </c>
      <c r="B10" s="1" t="str">
        <f>Q19</f>
        <v>Sam Windsor</v>
      </c>
      <c r="C10" s="1" t="e" cm="1" vm="1">
        <f t="array" ref="C10">VLOOKUP($H$1,_xlfn._xlws.FILTER(BFvsDef!$H$1:$N$1500,BFvsDef!$J$1:$J$1500=PredictorV2!$B10),7, FALSE)</f>
        <v>#VALUE!</v>
      </c>
      <c r="D10" s="1" t="e" cm="1">
        <f t="array" ref="D10">VLOOKUP($H$1,_xlfn._xlws.FILTER(BFvsDef!$H$1:$N$1500,BFvsDef!$J$1:$J$1500=PredictorV2!$E10),7, FALSE)</f>
        <v>#N/A</v>
      </c>
      <c r="E10" s="1"/>
      <c r="F10" s="37"/>
      <c r="L10" t="s">
        <v>371</v>
      </c>
    </row>
    <row r="11" spans="1:22" x14ac:dyDescent="0.35">
      <c r="A11" s="35" t="s">
        <v>141</v>
      </c>
      <c r="B11" s="1" t="s">
        <v>233</v>
      </c>
      <c r="C11" s="1" t="e" cm="1" vm="1">
        <f t="array" ref="C11">VLOOKUP($H$1,_xlfn._xlws.FILTER(DSPvsDef!$G$1:$M$1500,DSPvsDef!$I$1:$I$1500=PredictorV2!$B11),7, FALSE)</f>
        <v>#VALUE!</v>
      </c>
      <c r="D11" s="1" t="str" cm="1">
        <f t="array" ref="D11">IFERROR(VLOOKUP($H$1,_xlfn._xlws.FILTER(DSPvsDef!$G$1:$M$1500,DSPvsDef!$I$1:$I$1500=PredictorV2!$E11),7, FALSE),"")</f>
        <v/>
      </c>
      <c r="E11" s="1"/>
      <c r="F11" s="37"/>
      <c r="J11" s="6" t="s">
        <v>369</v>
      </c>
      <c r="K11" s="6" t="s">
        <v>358</v>
      </c>
      <c r="M11" s="6" t="s">
        <v>370</v>
      </c>
      <c r="N11" s="6" t="s">
        <v>358</v>
      </c>
      <c r="P11" s="62" t="s">
        <v>381</v>
      </c>
      <c r="Q11" s="6" t="s">
        <v>367</v>
      </c>
      <c r="R11" s="6" t="s">
        <v>358</v>
      </c>
      <c r="S11" s="62"/>
      <c r="T11" s="62" t="s">
        <v>381</v>
      </c>
      <c r="U11" s="6" t="s">
        <v>368</v>
      </c>
      <c r="V11" s="6" t="s">
        <v>358</v>
      </c>
    </row>
    <row r="12" spans="1:22" x14ac:dyDescent="0.35">
      <c r="A12" s="35" t="s">
        <v>327</v>
      </c>
      <c r="B12" s="38"/>
      <c r="C12" s="1" t="e" vm="2">
        <f>SUM(C2:C11)</f>
        <v>#VALUE!</v>
      </c>
      <c r="D12" s="1" t="e" vm="2">
        <f>SUM(D2:D11)</f>
        <v>#VALUE!</v>
      </c>
      <c r="E12" s="37"/>
      <c r="F12" s="37"/>
      <c r="J12" s="1" t="s">
        <v>225</v>
      </c>
      <c r="K12" s="1" t="e" cm="1" vm="1">
        <f t="array" ref="K12">VLOOKUP($H$1,_xlfn._xlws.FILTER(BRvsDef!$G$1:$M$1500,BRvsDef!$I$1:$I$1500=PredictorV2!$J12),7, FALSE)</f>
        <v>#VALUE!</v>
      </c>
      <c r="M12" s="1"/>
      <c r="N12" s="1" t="e" cm="1">
        <f t="array" aca="1" ref="N12" ca="1">VLOOKUP($H$1,_xlfn._xlws.FILTER(BRvsDef!$G$1:$M$1500,BRvsDef!$I$1:$I$1500=PredictorV2!$M12),7, FALSE)</f>
        <v>#N/A</v>
      </c>
      <c r="P12">
        <v>1</v>
      </c>
      <c r="Q12" s="1" t="s">
        <v>11</v>
      </c>
      <c r="R12" s="1" t="e" cm="1" vm="1">
        <f t="array" ref="R12">VLOOKUP($H$1,_xlfn._xlws.FILTER(CvsDef!$G$1:$M$1500,CvsDef!$I$1:$I$1500=PredictorV2!$Q12),7, FALSE)</f>
        <v>#VALUE!</v>
      </c>
      <c r="T12">
        <v>1</v>
      </c>
      <c r="U12" s="1" t="s">
        <v>86</v>
      </c>
      <c r="V12" s="1" t="e" cm="1" vm="1">
        <f t="array" ref="V12">VLOOKUP($H$1,_xlfn._xlws.FILTER(B3vsDef!$G$1:$M$1500,B3vsDef!$I$1:$I$1500=PredictorV2!$U12),7, FALSE)</f>
        <v>#VALUE!</v>
      </c>
    </row>
    <row r="13" spans="1:22" x14ac:dyDescent="0.35">
      <c r="A13" s="35" t="s">
        <v>328</v>
      </c>
      <c r="B13" s="38"/>
      <c r="C13" s="1" t="e" vm="2">
        <f>IF($C$12&gt;$D$12,"W","L")</f>
        <v>#VALUE!</v>
      </c>
      <c r="D13" s="1" t="e" vm="2">
        <f>IF($C$12&lt;$D$12,"W","L")</f>
        <v>#VALUE!</v>
      </c>
      <c r="E13" s="37"/>
      <c r="F13" s="37"/>
      <c r="J13" s="1" t="s">
        <v>337</v>
      </c>
      <c r="K13" s="1" t="e" cm="1" vm="1">
        <f t="array" ref="K13">VLOOKUP($H$1,_xlfn._xlws.FILTER(BRvsDef!$G$1:$M$1500,BRvsDef!$I$1:$I$1500=PredictorV2!$J14),7, FALSE)</f>
        <v>#VALUE!</v>
      </c>
      <c r="M13" s="1"/>
      <c r="N13" s="1" t="e" cm="1">
        <f t="array" aca="1" ref="N13" ca="1">VLOOKUP($H$1,_xlfn._xlws.FILTER(BRvsDef!$G$1:$M$1500,BRvsDef!$I$1:$I$1500=PredictorV2!$M13),7, FALSE)</f>
        <v>#N/A</v>
      </c>
      <c r="P13">
        <v>2</v>
      </c>
      <c r="Q13" s="1" t="s">
        <v>10</v>
      </c>
      <c r="R13" s="1" t="e" cm="1" vm="1">
        <f t="array" ref="R13">VLOOKUP($H$1,_xlfn._xlws.FILTER(CvsDef!$G$1:$M$1500,CvsDef!$I$1:$I$1500=PredictorV2!$Q13),7, FALSE)</f>
        <v>#VALUE!</v>
      </c>
      <c r="T13">
        <v>2</v>
      </c>
      <c r="U13" s="1" t="s">
        <v>68</v>
      </c>
      <c r="V13" s="1" t="e" cm="1" vm="1">
        <f t="array" ref="V13">VLOOKUP($H$1,_xlfn._xlws.FILTER(B3vsDef!$G$1:$M$1500,B3vsDef!$I$1:$I$1500=PredictorV2!$U13),7, FALSE)</f>
        <v>#VALUE!</v>
      </c>
    </row>
    <row r="14" spans="1:22" x14ac:dyDescent="0.35">
      <c r="A14" s="37"/>
      <c r="B14" s="37"/>
      <c r="C14" s="37"/>
      <c r="D14" s="37"/>
      <c r="E14" s="37"/>
      <c r="F14" s="37"/>
      <c r="J14" s="1" t="s">
        <v>214</v>
      </c>
      <c r="K14" s="1" t="e" cm="1" vm="1">
        <f t="array" ref="K14">VLOOKUP($H$1,_xlfn._xlws.FILTER(BRvsDef!$G$1:$M$1500,BRvsDef!$I$1:$I$1500=PredictorV2!$J13),7, FALSE)</f>
        <v>#VALUE!</v>
      </c>
      <c r="M14" s="1"/>
      <c r="N14" s="1" t="e" cm="1">
        <f t="array" aca="1" ref="N14" ca="1">VLOOKUP($H$1,_xlfn._xlws.FILTER(BRvsDef!$G$1:$M$1500,BRvsDef!$I$1:$I$1500=PredictorV2!$M14),7, FALSE)</f>
        <v>#N/A</v>
      </c>
      <c r="P14">
        <v>3</v>
      </c>
      <c r="Q14" s="1"/>
      <c r="R14" s="1" t="e" cm="1">
        <f t="array" aca="1" ref="R14" ca="1">VLOOKUP($H$1,_xlfn._xlws.FILTER(CvsDef!$G$1:$M$1500,CvsDef!$I$1:$I$1500=PredictorV2!$Q14),7, FALSE)</f>
        <v>#N/A</v>
      </c>
      <c r="T14">
        <v>3</v>
      </c>
      <c r="U14" s="1" t="s">
        <v>74</v>
      </c>
      <c r="V14" s="1" t="e" cm="1" vm="1">
        <f t="array" ref="V14">VLOOKUP($H$1,_xlfn._xlws.FILTER(B3vsDef!$G$1:$M$1500,B3vsDef!$I$1:$I$1500=PredictorV2!$U14),7, FALSE)</f>
        <v>#VALUE!</v>
      </c>
    </row>
    <row r="15" spans="1:22" x14ac:dyDescent="0.35">
      <c r="J15" s="1"/>
      <c r="K15" s="1" t="e" cm="1">
        <f t="array" aca="1" ref="K15" ca="1">VLOOKUP($H$1,_xlfn._xlws.FILTER(BRvsDef!$G$1:$M$1500,BRvsDef!$I$1:$I$1500=PredictorV2!$J15),7, FALSE)</f>
        <v>#N/A</v>
      </c>
      <c r="M15" s="1"/>
      <c r="N15" s="1" t="e" cm="1">
        <f t="array" aca="1" ref="N15" ca="1">VLOOKUP($H$1,_xlfn._xlws.FILTER(BRvsDef!$G$1:$M$1500,BRvsDef!$I$1:$I$1500=PredictorV2!$M15),7, FALSE)</f>
        <v>#N/A</v>
      </c>
      <c r="P15">
        <v>4</v>
      </c>
      <c r="Q15" s="1"/>
      <c r="R15" s="1" t="e" cm="1">
        <f t="array" aca="1" ref="R15" ca="1">VLOOKUP($H$1,_xlfn._xlws.FILTER(CvsDef!$G$1:$M$1500,CvsDef!$I$1:$I$1500=PredictorV2!$Q15),7, FALSE)</f>
        <v>#N/A</v>
      </c>
      <c r="T15">
        <v>4</v>
      </c>
      <c r="U15" s="1"/>
      <c r="V15" s="1" t="e" cm="1">
        <f t="array" aca="1" ref="V15" ca="1">VLOOKUP($H$1,_xlfn._xlws.FILTER(B3vsDef!$G$1:$M$1500,B3vsDef!$I$1:$I$1500=PredictorV2!$U15),7, FALSE)</f>
        <v>#N/A</v>
      </c>
    </row>
    <row r="16" spans="1:22" x14ac:dyDescent="0.35">
      <c r="A16" t="s">
        <v>282</v>
      </c>
      <c r="B16" s="3" t="s">
        <v>380</v>
      </c>
    </row>
    <row r="17" spans="1:18" x14ac:dyDescent="0.35">
      <c r="A17" t="s">
        <v>282</v>
      </c>
      <c r="B17" t="s">
        <v>383</v>
      </c>
      <c r="O17" t="s">
        <v>382</v>
      </c>
    </row>
    <row r="18" spans="1:18" x14ac:dyDescent="0.35">
      <c r="A18" t="s">
        <v>282</v>
      </c>
      <c r="B18" t="s">
        <v>387</v>
      </c>
      <c r="Q18" s="6" t="s">
        <v>364</v>
      </c>
      <c r="R18" s="6" t="s">
        <v>358</v>
      </c>
    </row>
    <row r="19" spans="1:18" x14ac:dyDescent="0.35">
      <c r="A19" t="s">
        <v>282</v>
      </c>
      <c r="B19" t="s">
        <v>384</v>
      </c>
      <c r="Q19" s="1" t="s">
        <v>40</v>
      </c>
      <c r="R19" s="1" cm="1">
        <f t="array" ref="R19">VLOOKUP($H$1,_xlfn._xlws.FILTER(BFvsDef!$H$1:$N$1500,BFvsDef!$J$1:$J$1500=PredictorV2!$Q24),7, FALSE)</f>
        <v>9.732419866870103</v>
      </c>
    </row>
    <row r="20" spans="1:18" x14ac:dyDescent="0.35">
      <c r="B20" t="s">
        <v>165</v>
      </c>
      <c r="C20" t="s">
        <v>135</v>
      </c>
      <c r="D20" t="s">
        <v>385</v>
      </c>
      <c r="Q20" s="1" t="s">
        <v>86</v>
      </c>
      <c r="R20" s="1" t="e" cm="1" vm="1">
        <f t="array" ref="R20">VLOOKUP($H$1,_xlfn._xlws.FILTER(BFvsDef!$H$1:$N$1500,BFvsDef!$J$1:$J$1500=PredictorV2!$Q27),7, FALSE)</f>
        <v>#VALUE!</v>
      </c>
    </row>
    <row r="21" spans="1:18" x14ac:dyDescent="0.35">
      <c r="B21" t="s">
        <v>171</v>
      </c>
      <c r="C21" t="s">
        <v>135</v>
      </c>
      <c r="Q21" s="1" t="s">
        <v>74</v>
      </c>
      <c r="R21" s="1" t="e" cm="1" vm="1">
        <f t="array" ref="R21">VLOOKUP($H$1,_xlfn._xlws.FILTER(BFvsDef!$H$1:$N$1500,BFvsDef!$J$1:$J$1500=PredictorV2!$Q26),7, FALSE)</f>
        <v>#VALUE!</v>
      </c>
    </row>
    <row r="22" spans="1:18" x14ac:dyDescent="0.35">
      <c r="B22" t="s">
        <v>68</v>
      </c>
      <c r="C22" t="s">
        <v>140</v>
      </c>
      <c r="Q22" s="1" t="s">
        <v>68</v>
      </c>
      <c r="R22" s="1" t="e" cm="1" vm="1">
        <f t="array" ref="R22">VLOOKUP($H$1,_xlfn._xlws.FILTER(BFvsDef!$H$1:$N$1500,BFvsDef!$J$1:$J$1500=PredictorV2!$Q28),7, FALSE)</f>
        <v>#VALUE!</v>
      </c>
    </row>
    <row r="23" spans="1:18" x14ac:dyDescent="0.35">
      <c r="B23" t="s">
        <v>386</v>
      </c>
      <c r="Q23" s="1" t="s">
        <v>11</v>
      </c>
      <c r="R23" s="1" cm="1">
        <f t="array" ref="R23">VLOOKUP($H$1,_xlfn._xlws.FILTER(BFvsDef!$H$1:$N$1500,BFvsDef!$J$1:$J$1500=PredictorV2!$Q21),7, FALSE)</f>
        <v>10.955916468510477</v>
      </c>
    </row>
    <row r="24" spans="1:18" x14ac:dyDescent="0.35">
      <c r="Q24" s="1" t="s">
        <v>77</v>
      </c>
      <c r="R24" s="1" cm="1">
        <f t="array" ref="R24">VLOOKUP($H$1,_xlfn._xlws.FILTER(BFvsDef!$H$1:$N$1500,BFvsDef!$J$1:$J$1500=PredictorV2!$Q23),7, FALSE)</f>
        <v>5.1116584506105038</v>
      </c>
    </row>
    <row r="25" spans="1:18" x14ac:dyDescent="0.35">
      <c r="Q25" s="1" t="s">
        <v>10</v>
      </c>
      <c r="R25" s="1" t="e" cm="1" vm="1">
        <f t="array" ref="R25">VLOOKUP($H$1,_xlfn._xlws.FILTER(BFvsDef!$H$1:$N$1500,BFvsDef!$J$1:$J$1500=PredictorV2!$Q22),7, FALSE)</f>
        <v>#VALUE!</v>
      </c>
    </row>
    <row r="26" spans="1:18" x14ac:dyDescent="0.35">
      <c r="Q26" s="1" t="s">
        <v>195</v>
      </c>
      <c r="R26" s="1" t="e" cm="1" vm="1">
        <f t="array" ref="R26">VLOOKUP($H$1,_xlfn._xlws.FILTER(BFvsDef!$H$1:$N$1500,BFvsDef!$J$1:$J$1500=PredictorV2!$Q25),7, FALSE)</f>
        <v>#VALUE!</v>
      </c>
    </row>
    <row r="27" spans="1:18" x14ac:dyDescent="0.35">
      <c r="Q27" s="1" t="s">
        <v>354</v>
      </c>
      <c r="R27" s="1" t="e" cm="1" vm="1">
        <f t="array" ref="R27">VLOOKUP($H$1,_xlfn._xlws.FILTER(BFvsDef!$H$1:$N$1500,BFvsDef!$J$1:$J$1500=PredictorV2!$Q20),7, FALSE)</f>
        <v>#VALUE!</v>
      </c>
    </row>
    <row r="28" spans="1:18" x14ac:dyDescent="0.35">
      <c r="Q28" s="1" t="s">
        <v>249</v>
      </c>
      <c r="R28" s="1" t="e" cm="1" vm="1">
        <f t="array" ref="R28">VLOOKUP($H$1,_xlfn._xlws.FILTER(BFvsDef!$H$1:$N$1500,BFvsDef!$J$1:$J$1500=PredictorV2!$Q19),7, FALSE)</f>
        <v>#VALUE!</v>
      </c>
    </row>
  </sheetData>
  <sortState xmlns:xlrd2="http://schemas.microsoft.com/office/spreadsheetml/2017/richdata2" ref="T12:U14">
    <sortCondition descending="1" ref="U12:U14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6D8B-ACA4-48AB-A29E-CF698C5869C4}">
  <dimension ref="A1:J10"/>
  <sheetViews>
    <sheetView workbookViewId="0">
      <selection activeCell="I8" sqref="I8"/>
    </sheetView>
  </sheetViews>
  <sheetFormatPr defaultRowHeight="14.5" x14ac:dyDescent="0.35"/>
  <cols>
    <col min="1" max="1" width="11.36328125" customWidth="1"/>
    <col min="7" max="7" width="10" customWidth="1"/>
  </cols>
  <sheetData>
    <row r="1" spans="1:10" x14ac:dyDescent="0.35">
      <c r="A1" t="s">
        <v>372</v>
      </c>
      <c r="C1" s="3" t="s">
        <v>341</v>
      </c>
      <c r="E1" t="s">
        <v>391</v>
      </c>
      <c r="F1" t="s">
        <v>30</v>
      </c>
      <c r="G1" t="s">
        <v>392</v>
      </c>
      <c r="H1" t="s">
        <v>393</v>
      </c>
    </row>
    <row r="2" spans="1:10" x14ac:dyDescent="0.35">
      <c r="A2" t="s">
        <v>373</v>
      </c>
      <c r="C2">
        <v>1</v>
      </c>
      <c r="E2">
        <v>5</v>
      </c>
      <c r="J2" t="s">
        <v>394</v>
      </c>
    </row>
    <row r="3" spans="1:10" x14ac:dyDescent="0.35">
      <c r="A3" t="s">
        <v>374</v>
      </c>
      <c r="E3">
        <v>5</v>
      </c>
      <c r="I3" t="s">
        <v>135</v>
      </c>
    </row>
    <row r="4" spans="1:10" x14ac:dyDescent="0.35">
      <c r="A4" t="s">
        <v>375</v>
      </c>
      <c r="E4">
        <v>5</v>
      </c>
      <c r="I4" t="s">
        <v>395</v>
      </c>
    </row>
    <row r="5" spans="1:10" x14ac:dyDescent="0.35">
      <c r="A5" t="s">
        <v>376</v>
      </c>
      <c r="E5">
        <v>0</v>
      </c>
      <c r="I5" t="s">
        <v>139</v>
      </c>
    </row>
    <row r="6" spans="1:10" x14ac:dyDescent="0.35">
      <c r="E6">
        <v>0</v>
      </c>
      <c r="I6" t="s">
        <v>134</v>
      </c>
    </row>
    <row r="7" spans="1:10" x14ac:dyDescent="0.35">
      <c r="I7" t="s">
        <v>140</v>
      </c>
    </row>
    <row r="8" spans="1:10" x14ac:dyDescent="0.35">
      <c r="A8" t="s">
        <v>377</v>
      </c>
    </row>
    <row r="9" spans="1:10" x14ac:dyDescent="0.35">
      <c r="A9" t="s">
        <v>378</v>
      </c>
    </row>
    <row r="10" spans="1:10" x14ac:dyDescent="0.35">
      <c r="A10" t="s">
        <v>379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b86c14-7a6f-495c-8ad3-202986669410}" enabled="1" method="Standard" siteId="{2596038f-3ea4-4f0c-aed1-066eb6544c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OffDef25</vt:lpstr>
      <vt:lpstr>PlayerIDs</vt:lpstr>
      <vt:lpstr>FRvsDef</vt:lpstr>
      <vt:lpstr>SRvsDef</vt:lpstr>
      <vt:lpstr>BRvsDef</vt:lpstr>
      <vt:lpstr>SHvsDef</vt:lpstr>
      <vt:lpstr>FHvsDef</vt:lpstr>
      <vt:lpstr>CvsDef</vt:lpstr>
      <vt:lpstr>B3vsDef</vt:lpstr>
      <vt:lpstr>DSPvsDef</vt:lpstr>
      <vt:lpstr>Analytics to Publish</vt:lpstr>
      <vt:lpstr>Trade Analyzer</vt:lpstr>
      <vt:lpstr>DEPRECATED_FFvsDef</vt:lpstr>
      <vt:lpstr>BFvsDef</vt:lpstr>
      <vt:lpstr>Matchup Predictor</vt:lpstr>
      <vt:lpstr>PredictorV2</vt:lpstr>
      <vt:lpstr>Weekly Challenge</vt:lpstr>
      <vt:lpstr>'Analytics to Publish'!_MailOriginal</vt:lpstr>
      <vt:lpstr>OffDef25!Home_edge</vt:lpstr>
      <vt:lpstr>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2024-04-03T18:39:32Z</dcterms:created>
  <dcterms:modified xsi:type="dcterms:W3CDTF">2025-06-24T16:31:35Z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2024-10-03T02:59:58Z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9b5de5d4-fede-462f-b2bf-7a538fc56e94</vt:lpwstr>
  </property>
  <property fmtid="{D5CDD505-2E9C-101B-9397-08002B2CF9AE}" pid="8" name="MSIP_Label_b1b86c14-7a6f-495c-8ad3-202986669410_ContentBits">
    <vt:lpwstr>0</vt:lpwstr>
  </property>
</Properties>
</file>
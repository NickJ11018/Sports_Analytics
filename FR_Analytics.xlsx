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:\Personal\Stats Analysis\"/>
    </mc:Choice>
  </mc:AlternateContent>
  <xr:revisionPtr revIDLastSave="0" documentId="13_ncr:1_{F79A58BC-A720-4911-BF8C-42203BDD400F}" xr6:coauthVersionLast="47" xr6:coauthVersionMax="47" xr10:uidLastSave="{00000000-0000-0000-0000-000000000000}"/>
  <bookViews>
    <workbookView xWindow="-110" yWindow="-110" windowWidth="19420" windowHeight="10420" firstSheet="2" activeTab="2" xr2:uid="{6BD4502C-3988-46B5-9647-D50AA308E10D}"/>
  </bookViews>
  <sheets>
    <sheet name="Real23" sheetId="17" r:id="rId1"/>
    <sheet name="PosVsTeam23_BackRow" sheetId="18" r:id="rId2"/>
    <sheet name="LouMaul" sheetId="21" r:id="rId3"/>
    <sheet name="TheoreticalLambdaHistory" sheetId="19" r:id="rId4"/>
    <sheet name="Strength of Schedule" sheetId="10" r:id="rId5"/>
    <sheet name="Fantasy" sheetId="9" r:id="rId6"/>
    <sheet name="Real24" sheetId="1" r:id="rId7"/>
    <sheet name="Offense Defense" sheetId="11" r:id="rId8"/>
  </sheets>
  <definedNames>
    <definedName name="Home_edge" localSheetId="7">'Offense Defense'!$G$1</definedName>
    <definedName name="mean">'Offense Defense'!$G$2</definedName>
    <definedName name="solver_adj" localSheetId="2" hidden="1">LouMaul!$B$6:$B$13</definedName>
    <definedName name="solver_adj" localSheetId="7" hidden="1">'Offense Defense'!$E$5:$E$16,'Offense Defense'!$G$5:$G$16,'Offense Defense'!$G$1</definedName>
    <definedName name="solver_adj" localSheetId="1" hidden="1">PosVsTeam23_BackRow!$B$6:$B$17,PosVsTeam23_BackRow!$B$20:$B$24,PosVsTeam23_BackRow!$G$3</definedName>
    <definedName name="solver_adj" localSheetId="0" hidden="1">Real23!$B$6:$B$17,Real23!$G$3</definedName>
    <definedName name="solver_adj" localSheetId="6" hidden="1">Real24!$B$6:$B$17,Real24!$G$3</definedName>
    <definedName name="solver_adj" localSheetId="3" hidden="1">TheoreticalLambdaHistory!$B$6:$B$17,TheoreticalLambdaHistory!$B$20:$B$24,TheoreticalLambdaHistory!$G$3</definedName>
    <definedName name="solver_cvg" localSheetId="2" hidden="1">0.0001</definedName>
    <definedName name="solver_cvg" localSheetId="7" hidden="1">0.0001</definedName>
    <definedName name="solver_cvg" localSheetId="1" hidden="1">0.0001</definedName>
    <definedName name="solver_cvg" localSheetId="0" hidden="1">0.0001</definedName>
    <definedName name="solver_cvg" localSheetId="6" hidden="1">0.0001</definedName>
    <definedName name="solver_cvg" localSheetId="3" hidden="1">0.0001</definedName>
    <definedName name="solver_drv" localSheetId="2" hidden="1">1</definedName>
    <definedName name="solver_drv" localSheetId="7" hidden="1">2</definedName>
    <definedName name="solver_drv" localSheetId="1" hidden="1">1</definedName>
    <definedName name="solver_drv" localSheetId="0" hidden="1">1</definedName>
    <definedName name="solver_drv" localSheetId="6" hidden="1">2</definedName>
    <definedName name="solver_drv" localSheetId="3" hidden="1">1</definedName>
    <definedName name="solver_eng" localSheetId="2" hidden="1">1</definedName>
    <definedName name="solver_eng" localSheetId="7" hidden="1">1</definedName>
    <definedName name="solver_eng" localSheetId="1" hidden="1">1</definedName>
    <definedName name="solver_eng" localSheetId="0" hidden="1">1</definedName>
    <definedName name="solver_eng" localSheetId="6" hidden="1">1</definedName>
    <definedName name="solver_eng" localSheetId="3" hidden="1">1</definedName>
    <definedName name="solver_est" localSheetId="2" hidden="1">1</definedName>
    <definedName name="solver_est" localSheetId="7" hidden="1">1</definedName>
    <definedName name="solver_est" localSheetId="1" hidden="1">1</definedName>
    <definedName name="solver_est" localSheetId="0" hidden="1">1</definedName>
    <definedName name="solver_est" localSheetId="6" hidden="1">1</definedName>
    <definedName name="solver_est" localSheetId="3" hidden="1">1</definedName>
    <definedName name="solver_itr" localSheetId="2" hidden="1">2147483647</definedName>
    <definedName name="solver_itr" localSheetId="7" hidden="1">2147483647</definedName>
    <definedName name="solver_itr" localSheetId="1" hidden="1">2147483647</definedName>
    <definedName name="solver_itr" localSheetId="0" hidden="1">2147483647</definedName>
    <definedName name="solver_itr" localSheetId="6" hidden="1">2147483647</definedName>
    <definedName name="solver_itr" localSheetId="3" hidden="1">2147483647</definedName>
    <definedName name="solver_lhs1" localSheetId="2" hidden="1">LouMaul!$B$3</definedName>
    <definedName name="solver_lhs1" localSheetId="7" hidden="1">'Offense Defense'!$E$3</definedName>
    <definedName name="solver_lhs1" localSheetId="1" hidden="1">PosVsTeam23_BackRow!$B$3</definedName>
    <definedName name="solver_lhs1" localSheetId="0" hidden="1">Real23!$B$3</definedName>
    <definedName name="solver_lhs1" localSheetId="6" hidden="1">Real24!$B$3</definedName>
    <definedName name="solver_lhs1" localSheetId="3" hidden="1">TheoreticalLambdaHistory!$B$3</definedName>
    <definedName name="solver_lhs2" localSheetId="7" hidden="1">'Offense Defense'!$G$3</definedName>
    <definedName name="solver_mip" localSheetId="2" hidden="1">2147483647</definedName>
    <definedName name="solver_mip" localSheetId="7" hidden="1">2147483647</definedName>
    <definedName name="solver_mip" localSheetId="1" hidden="1">2147483647</definedName>
    <definedName name="solver_mip" localSheetId="0" hidden="1">2147483647</definedName>
    <definedName name="solver_mip" localSheetId="6" hidden="1">2147483647</definedName>
    <definedName name="solver_mip" localSheetId="3" hidden="1">2147483647</definedName>
    <definedName name="solver_mni" localSheetId="2" hidden="1">30</definedName>
    <definedName name="solver_mni" localSheetId="7" hidden="1">30</definedName>
    <definedName name="solver_mni" localSheetId="1" hidden="1">30</definedName>
    <definedName name="solver_mni" localSheetId="0" hidden="1">30</definedName>
    <definedName name="solver_mni" localSheetId="6" hidden="1">30</definedName>
    <definedName name="solver_mni" localSheetId="3" hidden="1">30</definedName>
    <definedName name="solver_mrt" localSheetId="2" hidden="1">0.075</definedName>
    <definedName name="solver_mrt" localSheetId="7" hidden="1">0.075</definedName>
    <definedName name="solver_mrt" localSheetId="1" hidden="1">0.075</definedName>
    <definedName name="solver_mrt" localSheetId="0" hidden="1">0.075</definedName>
    <definedName name="solver_mrt" localSheetId="6" hidden="1">0.075</definedName>
    <definedName name="solver_mrt" localSheetId="3" hidden="1">0.075</definedName>
    <definedName name="solver_msl" localSheetId="2" hidden="1">2</definedName>
    <definedName name="solver_msl" localSheetId="7" hidden="1">2</definedName>
    <definedName name="solver_msl" localSheetId="1" hidden="1">2</definedName>
    <definedName name="solver_msl" localSheetId="0" hidden="1">2</definedName>
    <definedName name="solver_msl" localSheetId="6" hidden="1">2</definedName>
    <definedName name="solver_msl" localSheetId="3" hidden="1">2</definedName>
    <definedName name="solver_neg" localSheetId="2" hidden="1">2</definedName>
    <definedName name="solver_neg" localSheetId="7" hidden="1">2</definedName>
    <definedName name="solver_neg" localSheetId="1" hidden="1">2</definedName>
    <definedName name="solver_neg" localSheetId="0" hidden="1">2</definedName>
    <definedName name="solver_neg" localSheetId="6" hidden="1">2</definedName>
    <definedName name="solver_neg" localSheetId="3" hidden="1">2</definedName>
    <definedName name="solver_nod" localSheetId="2" hidden="1">2147483647</definedName>
    <definedName name="solver_nod" localSheetId="7" hidden="1">2147483647</definedName>
    <definedName name="solver_nod" localSheetId="1" hidden="1">2147483647</definedName>
    <definedName name="solver_nod" localSheetId="0" hidden="1">2147483647</definedName>
    <definedName name="solver_nod" localSheetId="6" hidden="1">2147483647</definedName>
    <definedName name="solver_nod" localSheetId="3" hidden="1">2147483647</definedName>
    <definedName name="solver_num" localSheetId="2" hidden="1">1</definedName>
    <definedName name="solver_num" localSheetId="7" hidden="1">2</definedName>
    <definedName name="solver_num" localSheetId="1" hidden="1">1</definedName>
    <definedName name="solver_num" localSheetId="0" hidden="1">1</definedName>
    <definedName name="solver_num" localSheetId="6" hidden="1">1</definedName>
    <definedName name="solver_num" localSheetId="3" hidden="1">1</definedName>
    <definedName name="solver_nwt" localSheetId="2" hidden="1">1</definedName>
    <definedName name="solver_nwt" localSheetId="7" hidden="1">1</definedName>
    <definedName name="solver_nwt" localSheetId="1" hidden="1">1</definedName>
    <definedName name="solver_nwt" localSheetId="0" hidden="1">1</definedName>
    <definedName name="solver_nwt" localSheetId="6" hidden="1">1</definedName>
    <definedName name="solver_nwt" localSheetId="3" hidden="1">1</definedName>
    <definedName name="solver_opt" localSheetId="2" hidden="1">LouMaul!$O$4</definedName>
    <definedName name="solver_opt" localSheetId="7" hidden="1">'Offense Defense'!$P$4</definedName>
    <definedName name="solver_opt" localSheetId="1" hidden="1">PosVsTeam23_BackRow!$N$5</definedName>
    <definedName name="solver_opt" localSheetId="0" hidden="1">Real23!$O$4</definedName>
    <definedName name="solver_opt" localSheetId="6" hidden="1">Real24!$O$4</definedName>
    <definedName name="solver_opt" localSheetId="3" hidden="1">TheoreticalLambdaHistory!$N$5</definedName>
    <definedName name="solver_pre" localSheetId="2" hidden="1">0.000001</definedName>
    <definedName name="solver_pre" localSheetId="7" hidden="1">0.000001</definedName>
    <definedName name="solver_pre" localSheetId="1" hidden="1">0.000001</definedName>
    <definedName name="solver_pre" localSheetId="0" hidden="1">0.000001</definedName>
    <definedName name="solver_pre" localSheetId="6" hidden="1">0.000001</definedName>
    <definedName name="solver_pre" localSheetId="3" hidden="1">0.000001</definedName>
    <definedName name="solver_rbv" localSheetId="2" hidden="1">1</definedName>
    <definedName name="solver_rbv" localSheetId="7" hidden="1">2</definedName>
    <definedName name="solver_rbv" localSheetId="1" hidden="1">1</definedName>
    <definedName name="solver_rbv" localSheetId="0" hidden="1">1</definedName>
    <definedName name="solver_rbv" localSheetId="6" hidden="1">2</definedName>
    <definedName name="solver_rbv" localSheetId="3" hidden="1">1</definedName>
    <definedName name="solver_rel1" localSheetId="2" hidden="1">2</definedName>
    <definedName name="solver_rel1" localSheetId="7" hidden="1">2</definedName>
    <definedName name="solver_rel1" localSheetId="1" hidden="1">2</definedName>
    <definedName name="solver_rel1" localSheetId="0" hidden="1">2</definedName>
    <definedName name="solver_rel1" localSheetId="6" hidden="1">2</definedName>
    <definedName name="solver_rel1" localSheetId="3" hidden="1">2</definedName>
    <definedName name="solver_rel2" localSheetId="7" hidden="1">2</definedName>
    <definedName name="solver_rhs1" localSheetId="2" hidden="1">LouMaul!$B$2</definedName>
    <definedName name="solver_rhs1" localSheetId="7" hidden="1">0</definedName>
    <definedName name="solver_rhs1" localSheetId="1" hidden="1">0</definedName>
    <definedName name="solver_rhs1" localSheetId="0" hidden="1">Real23!$B$2</definedName>
    <definedName name="solver_rhs1" localSheetId="6" hidden="1">Real24!$B$2</definedName>
    <definedName name="solver_rhs1" localSheetId="3" hidden="1">0</definedName>
    <definedName name="solver_rhs2" localSheetId="7" hidden="1">0</definedName>
    <definedName name="solver_rlx" localSheetId="2" hidden="1">2</definedName>
    <definedName name="solver_rlx" localSheetId="7" hidden="1">2</definedName>
    <definedName name="solver_rlx" localSheetId="1" hidden="1">2</definedName>
    <definedName name="solver_rlx" localSheetId="0" hidden="1">2</definedName>
    <definedName name="solver_rlx" localSheetId="6" hidden="1">2</definedName>
    <definedName name="solver_rlx" localSheetId="3" hidden="1">2</definedName>
    <definedName name="solver_rsd" localSheetId="2" hidden="1">0</definedName>
    <definedName name="solver_rsd" localSheetId="7" hidden="1">0</definedName>
    <definedName name="solver_rsd" localSheetId="1" hidden="1">0</definedName>
    <definedName name="solver_rsd" localSheetId="0" hidden="1">0</definedName>
    <definedName name="solver_rsd" localSheetId="6" hidden="1">0</definedName>
    <definedName name="solver_rsd" localSheetId="3" hidden="1">0</definedName>
    <definedName name="solver_scl" localSheetId="2" hidden="1">1</definedName>
    <definedName name="solver_scl" localSheetId="7" hidden="1">2</definedName>
    <definedName name="solver_scl" localSheetId="1" hidden="1">1</definedName>
    <definedName name="solver_scl" localSheetId="0" hidden="1">1</definedName>
    <definedName name="solver_scl" localSheetId="6" hidden="1">2</definedName>
    <definedName name="solver_scl" localSheetId="3" hidden="1">1</definedName>
    <definedName name="solver_sho" localSheetId="2" hidden="1">2</definedName>
    <definedName name="solver_sho" localSheetId="7" hidden="1">2</definedName>
    <definedName name="solver_sho" localSheetId="1" hidden="1">2</definedName>
    <definedName name="solver_sho" localSheetId="0" hidden="1">2</definedName>
    <definedName name="solver_sho" localSheetId="6" hidden="1">2</definedName>
    <definedName name="solver_sho" localSheetId="3" hidden="1">2</definedName>
    <definedName name="solver_ssz" localSheetId="2" hidden="1">100</definedName>
    <definedName name="solver_ssz" localSheetId="7" hidden="1">100</definedName>
    <definedName name="solver_ssz" localSheetId="1" hidden="1">100</definedName>
    <definedName name="solver_ssz" localSheetId="0" hidden="1">100</definedName>
    <definedName name="solver_ssz" localSheetId="6" hidden="1">100</definedName>
    <definedName name="solver_ssz" localSheetId="3" hidden="1">100</definedName>
    <definedName name="solver_tim" localSheetId="2" hidden="1">2147483647</definedName>
    <definedName name="solver_tim" localSheetId="7" hidden="1">2147483647</definedName>
    <definedName name="solver_tim" localSheetId="1" hidden="1">2147483647</definedName>
    <definedName name="solver_tim" localSheetId="0" hidden="1">2147483647</definedName>
    <definedName name="solver_tim" localSheetId="6" hidden="1">2147483647</definedName>
    <definedName name="solver_tim" localSheetId="3" hidden="1">2147483647</definedName>
    <definedName name="solver_tol" localSheetId="2" hidden="1">0.01</definedName>
    <definedName name="solver_tol" localSheetId="7" hidden="1">0.01</definedName>
    <definedName name="solver_tol" localSheetId="1" hidden="1">0.01</definedName>
    <definedName name="solver_tol" localSheetId="0" hidden="1">0.01</definedName>
    <definedName name="solver_tol" localSheetId="6" hidden="1">0.01</definedName>
    <definedName name="solver_tol" localSheetId="3" hidden="1">0.01</definedName>
    <definedName name="solver_typ" localSheetId="2" hidden="1">2</definedName>
    <definedName name="solver_typ" localSheetId="7" hidden="1">2</definedName>
    <definedName name="solver_typ" localSheetId="1" hidden="1">2</definedName>
    <definedName name="solver_typ" localSheetId="0" hidden="1">2</definedName>
    <definedName name="solver_typ" localSheetId="6" hidden="1">2</definedName>
    <definedName name="solver_typ" localSheetId="3" hidden="1">2</definedName>
    <definedName name="solver_val" localSheetId="2" hidden="1">0</definedName>
    <definedName name="solver_val" localSheetId="7" hidden="1">0</definedName>
    <definedName name="solver_val" localSheetId="1" hidden="1">0</definedName>
    <definedName name="solver_val" localSheetId="0" hidden="1">0</definedName>
    <definedName name="solver_val" localSheetId="6" hidden="1">0</definedName>
    <definedName name="solver_val" localSheetId="3" hidden="1">0</definedName>
    <definedName name="solver_ver" localSheetId="2" hidden="1">3</definedName>
    <definedName name="solver_ver" localSheetId="7" hidden="1">3</definedName>
    <definedName name="solver_ver" localSheetId="1" hidden="1">3</definedName>
    <definedName name="solver_ver" localSheetId="0" hidden="1">3</definedName>
    <definedName name="solver_ver" localSheetId="6" hidden="1">3</definedName>
    <definedName name="solver_ver" localSheetId="3" hidden="1">3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41" i="21" l="1"/>
  <c r="N7" i="21"/>
  <c r="N8" i="21"/>
  <c r="N9" i="21"/>
  <c r="N10" i="21"/>
  <c r="N11" i="21"/>
  <c r="N12" i="21"/>
  <c r="N13" i="21"/>
  <c r="N14" i="21"/>
  <c r="N15" i="21"/>
  <c r="N16" i="21"/>
  <c r="N17" i="21"/>
  <c r="N18" i="21"/>
  <c r="N19" i="21"/>
  <c r="N20" i="21"/>
  <c r="N21" i="21"/>
  <c r="O21" i="21" s="1"/>
  <c r="N22" i="21"/>
  <c r="O22" i="21" s="1"/>
  <c r="N23" i="21"/>
  <c r="N24" i="21"/>
  <c r="N25" i="21"/>
  <c r="N26" i="21"/>
  <c r="N27" i="21"/>
  <c r="N28" i="21"/>
  <c r="N29" i="21"/>
  <c r="O29" i="21" s="1"/>
  <c r="N30" i="21"/>
  <c r="O30" i="21" s="1"/>
  <c r="N31" i="21"/>
  <c r="N32" i="21"/>
  <c r="N33" i="21"/>
  <c r="N34" i="21"/>
  <c r="N35" i="21"/>
  <c r="N36" i="21"/>
  <c r="N37" i="21"/>
  <c r="N38" i="21"/>
  <c r="O38" i="21" s="1"/>
  <c r="N39" i="21"/>
  <c r="N40" i="21"/>
  <c r="N6" i="21"/>
  <c r="D18" i="21"/>
  <c r="D19" i="21"/>
  <c r="D20" i="21"/>
  <c r="D21" i="21"/>
  <c r="D22" i="21"/>
  <c r="D23" i="21"/>
  <c r="D24" i="21"/>
  <c r="D17" i="21"/>
  <c r="M41" i="21"/>
  <c r="M40" i="21"/>
  <c r="M39" i="21"/>
  <c r="M38" i="21"/>
  <c r="O39" i="21"/>
  <c r="M37" i="21"/>
  <c r="M36" i="21"/>
  <c r="M35" i="21"/>
  <c r="M34" i="21"/>
  <c r="O35" i="21"/>
  <c r="M33" i="21"/>
  <c r="M32" i="21"/>
  <c r="M31" i="21"/>
  <c r="M30" i="21"/>
  <c r="O32" i="21"/>
  <c r="M29" i="21"/>
  <c r="M28" i="21"/>
  <c r="M27" i="21"/>
  <c r="O28" i="21"/>
  <c r="O27" i="21"/>
  <c r="M26" i="21"/>
  <c r="O26" i="21"/>
  <c r="N49" i="11"/>
  <c r="O49" i="11"/>
  <c r="N50" i="11"/>
  <c r="O50" i="11"/>
  <c r="N51" i="11"/>
  <c r="O51" i="11"/>
  <c r="N52" i="11"/>
  <c r="O52" i="11"/>
  <c r="N53" i="11"/>
  <c r="O53" i="11"/>
  <c r="D22" i="11"/>
  <c r="D23" i="11"/>
  <c r="D24" i="11"/>
  <c r="D25" i="11"/>
  <c r="D26" i="11"/>
  <c r="D27" i="11"/>
  <c r="D28" i="11"/>
  <c r="D29" i="11"/>
  <c r="D30" i="11"/>
  <c r="D31" i="11"/>
  <c r="D32" i="11"/>
  <c r="D21" i="11"/>
  <c r="N44" i="11"/>
  <c r="O44" i="11"/>
  <c r="N45" i="11"/>
  <c r="O45" i="11"/>
  <c r="N46" i="11"/>
  <c r="O46" i="11"/>
  <c r="N47" i="11"/>
  <c r="O47" i="11"/>
  <c r="N48" i="11"/>
  <c r="O48" i="11"/>
  <c r="G3" i="11"/>
  <c r="E3" i="11"/>
  <c r="N39" i="11"/>
  <c r="O39" i="11"/>
  <c r="N40" i="11"/>
  <c r="O40" i="11"/>
  <c r="N41" i="11"/>
  <c r="O41" i="11"/>
  <c r="N42" i="11"/>
  <c r="O42" i="11"/>
  <c r="N43" i="11"/>
  <c r="O43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O22" i="11"/>
  <c r="O23" i="11"/>
  <c r="O24" i="11"/>
  <c r="O25" i="11"/>
  <c r="O26" i="11"/>
  <c r="O27" i="11"/>
  <c r="O28" i="11"/>
  <c r="O29" i="11"/>
  <c r="O30" i="11"/>
  <c r="O31" i="11"/>
  <c r="O32" i="11"/>
  <c r="O33" i="11"/>
  <c r="O34" i="11"/>
  <c r="O35" i="11"/>
  <c r="O36" i="11"/>
  <c r="O37" i="11"/>
  <c r="O38" i="11"/>
  <c r="O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30" i="11"/>
  <c r="N31" i="11"/>
  <c r="N32" i="11"/>
  <c r="N33" i="11"/>
  <c r="N34" i="11"/>
  <c r="N35" i="11"/>
  <c r="N36" i="11"/>
  <c r="N37" i="11"/>
  <c r="N38" i="11"/>
  <c r="N6" i="11"/>
  <c r="D5" i="11"/>
  <c r="D6" i="11"/>
  <c r="D8" i="11"/>
  <c r="D10" i="11"/>
  <c r="D11" i="11"/>
  <c r="D9" i="11"/>
  <c r="D14" i="11"/>
  <c r="D13" i="11"/>
  <c r="D12" i="11"/>
  <c r="D15" i="11"/>
  <c r="D16" i="11"/>
  <c r="D7" i="11"/>
  <c r="F5" i="11"/>
  <c r="F6" i="11"/>
  <c r="F8" i="11"/>
  <c r="F10" i="11"/>
  <c r="F11" i="11"/>
  <c r="F9" i="11"/>
  <c r="F14" i="11"/>
  <c r="F13" i="11"/>
  <c r="F12" i="11"/>
  <c r="F15" i="11"/>
  <c r="F16" i="11"/>
  <c r="F7" i="11"/>
  <c r="C16" i="11"/>
  <c r="C15" i="11"/>
  <c r="C12" i="11"/>
  <c r="C13" i="11"/>
  <c r="C14" i="11"/>
  <c r="C9" i="11"/>
  <c r="C11" i="11"/>
  <c r="C10" i="11"/>
  <c r="C8" i="11"/>
  <c r="C6" i="11"/>
  <c r="C5" i="11"/>
  <c r="C7" i="11"/>
  <c r="M23" i="21"/>
  <c r="M24" i="21"/>
  <c r="M25" i="21"/>
  <c r="M22" i="21"/>
  <c r="O25" i="21"/>
  <c r="O24" i="21"/>
  <c r="O23" i="21"/>
  <c r="M21" i="21"/>
  <c r="M20" i="21"/>
  <c r="M19" i="21"/>
  <c r="M18" i="21"/>
  <c r="O20" i="21"/>
  <c r="O19" i="21"/>
  <c r="O18" i="2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30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O17" i="21"/>
  <c r="M17" i="21"/>
  <c r="M16" i="21"/>
  <c r="M15" i="21"/>
  <c r="M14" i="21"/>
  <c r="M13" i="21"/>
  <c r="C11" i="21"/>
  <c r="M12" i="21"/>
  <c r="C6" i="21"/>
  <c r="M11" i="21"/>
  <c r="C9" i="21"/>
  <c r="M10" i="21"/>
  <c r="C7" i="21"/>
  <c r="M9" i="21"/>
  <c r="C13" i="21"/>
  <c r="M8" i="21"/>
  <c r="C10" i="21"/>
  <c r="M7" i="21"/>
  <c r="C12" i="21"/>
  <c r="M6" i="21"/>
  <c r="C8" i="21"/>
  <c r="B3" i="21"/>
  <c r="M24" i="19"/>
  <c r="M23" i="19"/>
  <c r="M22" i="19"/>
  <c r="M21" i="19"/>
  <c r="T11" i="19"/>
  <c r="U11" i="19"/>
  <c r="S11" i="19"/>
  <c r="M77" i="18"/>
  <c r="M75" i="18"/>
  <c r="M74" i="18"/>
  <c r="M76" i="18"/>
  <c r="M73" i="18"/>
  <c r="C17" i="19"/>
  <c r="N16" i="19"/>
  <c r="M16" i="19"/>
  <c r="C16" i="19"/>
  <c r="C15" i="19"/>
  <c r="N14" i="19"/>
  <c r="M14" i="19"/>
  <c r="C14" i="19"/>
  <c r="M13" i="19"/>
  <c r="N13" i="19" s="1"/>
  <c r="C13" i="19"/>
  <c r="C12" i="19"/>
  <c r="C11" i="19"/>
  <c r="M10" i="19"/>
  <c r="N10" i="19" s="1"/>
  <c r="C10" i="19"/>
  <c r="M9" i="19"/>
  <c r="N9" i="19" s="1"/>
  <c r="C9" i="19"/>
  <c r="N8" i="19"/>
  <c r="M8" i="19"/>
  <c r="C8" i="19"/>
  <c r="N7" i="19"/>
  <c r="M7" i="19"/>
  <c r="C7" i="19"/>
  <c r="C6" i="19"/>
  <c r="G4" i="19"/>
  <c r="B3" i="19"/>
  <c r="C7" i="18"/>
  <c r="C8" i="18"/>
  <c r="C9" i="18"/>
  <c r="C10" i="18"/>
  <c r="C11" i="18"/>
  <c r="C12" i="18"/>
  <c r="C13" i="18"/>
  <c r="C14" i="18"/>
  <c r="C15" i="18"/>
  <c r="C16" i="18"/>
  <c r="C17" i="18"/>
  <c r="C6" i="18"/>
  <c r="M7" i="18"/>
  <c r="N7" i="18" s="1"/>
  <c r="M8" i="18"/>
  <c r="N8" i="18" s="1"/>
  <c r="M9" i="18"/>
  <c r="N9" i="18" s="1"/>
  <c r="M10" i="18"/>
  <c r="N10" i="18" s="1"/>
  <c r="M13" i="18"/>
  <c r="N13" i="18" s="1"/>
  <c r="M14" i="18"/>
  <c r="N14" i="18" s="1"/>
  <c r="M16" i="18"/>
  <c r="N16" i="18" s="1"/>
  <c r="M21" i="18"/>
  <c r="N21" i="18" s="1"/>
  <c r="M23" i="18"/>
  <c r="N23" i="18" s="1"/>
  <c r="M24" i="18"/>
  <c r="N24" i="18" s="1"/>
  <c r="M26" i="18"/>
  <c r="N26" i="18" s="1"/>
  <c r="M30" i="18"/>
  <c r="N30" i="18" s="1"/>
  <c r="M32" i="18"/>
  <c r="N32" i="18" s="1"/>
  <c r="M33" i="18"/>
  <c r="N33" i="18" s="1"/>
  <c r="M38" i="18"/>
  <c r="N38" i="18" s="1"/>
  <c r="M40" i="18"/>
  <c r="N40" i="18" s="1"/>
  <c r="M43" i="18"/>
  <c r="N43" i="18" s="1"/>
  <c r="M46" i="18"/>
  <c r="N46" i="18" s="1"/>
  <c r="M48" i="18"/>
  <c r="N48" i="18" s="1"/>
  <c r="M50" i="18"/>
  <c r="N50" i="18" s="1"/>
  <c r="M52" i="18"/>
  <c r="N52" i="18" s="1"/>
  <c r="M53" i="18"/>
  <c r="N53" i="18" s="1"/>
  <c r="M54" i="18"/>
  <c r="N54" i="18" s="1"/>
  <c r="M55" i="18"/>
  <c r="N55" i="18" s="1"/>
  <c r="M57" i="18"/>
  <c r="N57" i="18" s="1"/>
  <c r="M59" i="18"/>
  <c r="N59" i="18" s="1"/>
  <c r="M62" i="18"/>
  <c r="N62" i="18" s="1"/>
  <c r="M64" i="18"/>
  <c r="N64" i="18" s="1"/>
  <c r="M66" i="18"/>
  <c r="N66" i="18" s="1"/>
  <c r="M67" i="18"/>
  <c r="N67" i="18" s="1"/>
  <c r="M69" i="18"/>
  <c r="N69" i="18" s="1"/>
  <c r="M71" i="18"/>
  <c r="N71" i="18" s="1"/>
  <c r="M72" i="18"/>
  <c r="N72" i="18" s="1"/>
  <c r="G4" i="18"/>
  <c r="M22" i="18" s="1"/>
  <c r="N22" i="18" s="1"/>
  <c r="B3" i="18"/>
  <c r="N26" i="17"/>
  <c r="O26" i="17" s="1"/>
  <c r="N27" i="17"/>
  <c r="O27" i="17" s="1"/>
  <c r="N28" i="17"/>
  <c r="O28" i="17" s="1"/>
  <c r="N29" i="17"/>
  <c r="O29" i="17" s="1"/>
  <c r="N30" i="17"/>
  <c r="O30" i="17" s="1"/>
  <c r="N31" i="17"/>
  <c r="O31" i="17" s="1"/>
  <c r="N32" i="17"/>
  <c r="O32" i="17" s="1"/>
  <c r="N33" i="17"/>
  <c r="O33" i="17" s="1"/>
  <c r="N34" i="17"/>
  <c r="O34" i="17" s="1"/>
  <c r="N35" i="17"/>
  <c r="O35" i="17" s="1"/>
  <c r="N36" i="17"/>
  <c r="O36" i="17" s="1"/>
  <c r="N37" i="17"/>
  <c r="O37" i="17" s="1"/>
  <c r="N38" i="17"/>
  <c r="O38" i="17" s="1"/>
  <c r="N39" i="17"/>
  <c r="O39" i="17" s="1"/>
  <c r="N40" i="17"/>
  <c r="O40" i="17" s="1"/>
  <c r="N41" i="17"/>
  <c r="O41" i="17" s="1"/>
  <c r="N42" i="17"/>
  <c r="O42" i="17" s="1"/>
  <c r="N43" i="17"/>
  <c r="O43" i="17" s="1"/>
  <c r="N44" i="17"/>
  <c r="O44" i="17" s="1"/>
  <c r="N45" i="17"/>
  <c r="O45" i="17" s="1"/>
  <c r="N46" i="17"/>
  <c r="O46" i="17" s="1"/>
  <c r="N47" i="17"/>
  <c r="O47" i="17" s="1"/>
  <c r="N48" i="17"/>
  <c r="O48" i="17" s="1"/>
  <c r="N49" i="17"/>
  <c r="O49" i="17" s="1"/>
  <c r="N50" i="17"/>
  <c r="O50" i="17" s="1"/>
  <c r="N51" i="17"/>
  <c r="O51" i="17" s="1"/>
  <c r="N52" i="17"/>
  <c r="O52" i="17" s="1"/>
  <c r="N53" i="17"/>
  <c r="O53" i="17" s="1"/>
  <c r="N54" i="17"/>
  <c r="O54" i="17" s="1"/>
  <c r="N55" i="17"/>
  <c r="O55" i="17" s="1"/>
  <c r="N56" i="17"/>
  <c r="O56" i="17" s="1"/>
  <c r="N57" i="17"/>
  <c r="O57" i="17" s="1"/>
  <c r="N58" i="17"/>
  <c r="O58" i="17" s="1"/>
  <c r="N59" i="17"/>
  <c r="O59" i="17" s="1"/>
  <c r="N60" i="17"/>
  <c r="O60" i="17" s="1"/>
  <c r="N61" i="17"/>
  <c r="O61" i="17" s="1"/>
  <c r="N62" i="17"/>
  <c r="O62" i="17" s="1"/>
  <c r="N63" i="17"/>
  <c r="O63" i="17" s="1"/>
  <c r="N64" i="17"/>
  <c r="O64" i="17" s="1"/>
  <c r="N65" i="17"/>
  <c r="O65" i="17" s="1"/>
  <c r="N66" i="17"/>
  <c r="O66" i="17" s="1"/>
  <c r="N67" i="17"/>
  <c r="O67" i="17" s="1"/>
  <c r="N68" i="17"/>
  <c r="O68" i="17" s="1"/>
  <c r="N69" i="17"/>
  <c r="O69" i="17" s="1"/>
  <c r="N70" i="17"/>
  <c r="O70" i="17" s="1"/>
  <c r="N71" i="17"/>
  <c r="O71" i="17" s="1"/>
  <c r="N72" i="17"/>
  <c r="O72" i="17" s="1"/>
  <c r="N73" i="17"/>
  <c r="O73" i="17" s="1"/>
  <c r="N74" i="17"/>
  <c r="O74" i="17" s="1"/>
  <c r="N75" i="17"/>
  <c r="O75" i="17" s="1"/>
  <c r="N76" i="17"/>
  <c r="O76" i="17" s="1"/>
  <c r="N77" i="17"/>
  <c r="O77" i="17" s="1"/>
  <c r="N78" i="17"/>
  <c r="O78" i="17" s="1"/>
  <c r="N79" i="17"/>
  <c r="O79" i="17" s="1"/>
  <c r="N80" i="17"/>
  <c r="O80" i="17" s="1"/>
  <c r="N81" i="17"/>
  <c r="O81" i="17" s="1"/>
  <c r="N82" i="17"/>
  <c r="O82" i="17" s="1"/>
  <c r="N83" i="17"/>
  <c r="O83" i="17" s="1"/>
  <c r="N84" i="17"/>
  <c r="O84" i="17" s="1"/>
  <c r="N85" i="17"/>
  <c r="O85" i="17" s="1"/>
  <c r="N86" i="17"/>
  <c r="O86" i="17" s="1"/>
  <c r="N87" i="17"/>
  <c r="O87" i="17" s="1"/>
  <c r="N88" i="17"/>
  <c r="O88" i="17" s="1"/>
  <c r="N89" i="17"/>
  <c r="O89" i="17" s="1"/>
  <c r="N90" i="17"/>
  <c r="O90" i="17" s="1"/>
  <c r="N91" i="17"/>
  <c r="O91" i="17" s="1"/>
  <c r="N92" i="17"/>
  <c r="O92" i="17" s="1"/>
  <c r="N93" i="17"/>
  <c r="O93" i="17" s="1"/>
  <c r="N94" i="17"/>
  <c r="O94" i="17" s="1"/>
  <c r="N95" i="17"/>
  <c r="O95" i="17" s="1"/>
  <c r="N96" i="17"/>
  <c r="O96" i="17" s="1"/>
  <c r="N97" i="17"/>
  <c r="O97" i="17" s="1"/>
  <c r="N98" i="17"/>
  <c r="O98" i="17" s="1"/>
  <c r="N99" i="17"/>
  <c r="O99" i="17" s="1"/>
  <c r="N100" i="17"/>
  <c r="O100" i="17" s="1"/>
  <c r="N101" i="17"/>
  <c r="O101" i="17" s="1"/>
  <c r="N7" i="17"/>
  <c r="N8" i="17"/>
  <c r="O8" i="17" s="1"/>
  <c r="N9" i="17"/>
  <c r="N10" i="17"/>
  <c r="N11" i="17"/>
  <c r="N12" i="17"/>
  <c r="N13" i="17"/>
  <c r="N14" i="17"/>
  <c r="N15" i="17"/>
  <c r="O15" i="17" s="1"/>
  <c r="N16" i="17"/>
  <c r="O16" i="17" s="1"/>
  <c r="N17" i="17"/>
  <c r="N18" i="17"/>
  <c r="O18" i="17" s="1"/>
  <c r="N19" i="17"/>
  <c r="N20" i="17"/>
  <c r="N21" i="17"/>
  <c r="N22" i="17"/>
  <c r="N23" i="17"/>
  <c r="N24" i="17"/>
  <c r="O24" i="17" s="1"/>
  <c r="N25" i="17"/>
  <c r="O25" i="17" s="1"/>
  <c r="N6" i="17"/>
  <c r="M26" i="17"/>
  <c r="M27" i="17"/>
  <c r="M28" i="17"/>
  <c r="M29" i="17"/>
  <c r="M30" i="17"/>
  <c r="M31" i="17"/>
  <c r="M32" i="17"/>
  <c r="M33" i="17"/>
  <c r="M34" i="17"/>
  <c r="M35" i="17"/>
  <c r="M36" i="17"/>
  <c r="M37" i="17"/>
  <c r="M38" i="17"/>
  <c r="M39" i="17"/>
  <c r="M40" i="17"/>
  <c r="M41" i="17"/>
  <c r="M42" i="17"/>
  <c r="M43" i="17"/>
  <c r="M44" i="17"/>
  <c r="M45" i="17"/>
  <c r="M46" i="17"/>
  <c r="M47" i="17"/>
  <c r="M48" i="17"/>
  <c r="M49" i="17"/>
  <c r="M50" i="17"/>
  <c r="M51" i="17"/>
  <c r="M52" i="17"/>
  <c r="M53" i="17"/>
  <c r="M54" i="17"/>
  <c r="M55" i="17"/>
  <c r="M56" i="17"/>
  <c r="M57" i="17"/>
  <c r="M58" i="17"/>
  <c r="M59" i="17"/>
  <c r="M60" i="17"/>
  <c r="M61" i="17"/>
  <c r="M62" i="17"/>
  <c r="M63" i="17"/>
  <c r="M64" i="17"/>
  <c r="M65" i="17"/>
  <c r="M66" i="17"/>
  <c r="M67" i="17"/>
  <c r="M68" i="17"/>
  <c r="M69" i="17"/>
  <c r="M70" i="17"/>
  <c r="M71" i="17"/>
  <c r="M72" i="17"/>
  <c r="M73" i="17"/>
  <c r="M74" i="17"/>
  <c r="M75" i="17"/>
  <c r="M76" i="17"/>
  <c r="M77" i="17"/>
  <c r="M78" i="17"/>
  <c r="M79" i="17"/>
  <c r="M80" i="17"/>
  <c r="M81" i="17"/>
  <c r="M82" i="17"/>
  <c r="M83" i="17"/>
  <c r="M84" i="17"/>
  <c r="M85" i="17"/>
  <c r="M86" i="17"/>
  <c r="M87" i="17"/>
  <c r="M88" i="17"/>
  <c r="M89" i="17"/>
  <c r="M90" i="17"/>
  <c r="M91" i="17"/>
  <c r="M92" i="17"/>
  <c r="M93" i="17"/>
  <c r="M94" i="17"/>
  <c r="M95" i="17"/>
  <c r="M96" i="17"/>
  <c r="M97" i="17"/>
  <c r="M98" i="17"/>
  <c r="M99" i="17"/>
  <c r="M100" i="17"/>
  <c r="M101" i="17"/>
  <c r="M24" i="17"/>
  <c r="M25" i="17"/>
  <c r="M7" i="17"/>
  <c r="M8" i="17"/>
  <c r="M9" i="17"/>
  <c r="M10" i="17"/>
  <c r="M11" i="17"/>
  <c r="M12" i="17"/>
  <c r="M13" i="17"/>
  <c r="M14" i="17"/>
  <c r="M15" i="17"/>
  <c r="M16" i="17"/>
  <c r="M17" i="17"/>
  <c r="M18" i="17"/>
  <c r="M19" i="17"/>
  <c r="M20" i="17"/>
  <c r="M21" i="17"/>
  <c r="M22" i="17"/>
  <c r="M23" i="17"/>
  <c r="M6" i="17"/>
  <c r="C10" i="17"/>
  <c r="C17" i="17"/>
  <c r="C8" i="17"/>
  <c r="C6" i="17"/>
  <c r="C11" i="17"/>
  <c r="C12" i="17"/>
  <c r="C14" i="17"/>
  <c r="C7" i="17"/>
  <c r="C9" i="17"/>
  <c r="C16" i="17"/>
  <c r="C15" i="17"/>
  <c r="C13" i="17"/>
  <c r="B3" i="17"/>
  <c r="B17" i="10"/>
  <c r="N10" i="10" s="1"/>
  <c r="B16" i="10"/>
  <c r="N98" i="10" s="1"/>
  <c r="B15" i="10"/>
  <c r="N42" i="10" s="1"/>
  <c r="B14" i="10"/>
  <c r="N74" i="10" s="1"/>
  <c r="B13" i="10"/>
  <c r="N26" i="10" s="1"/>
  <c r="B12" i="10"/>
  <c r="N18" i="10" s="1"/>
  <c r="B11" i="10"/>
  <c r="N11" i="10" s="1"/>
  <c r="B10" i="10"/>
  <c r="N82" i="10" s="1"/>
  <c r="B9" i="10"/>
  <c r="N34" i="10" s="1"/>
  <c r="B8" i="10"/>
  <c r="N58" i="10" s="1"/>
  <c r="B7" i="10"/>
  <c r="M43" i="10" s="1"/>
  <c r="B6" i="10"/>
  <c r="N66" i="10" s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O48" i="1" s="1"/>
  <c r="N47" i="1"/>
  <c r="O47" i="1" s="1"/>
  <c r="N46" i="1"/>
  <c r="O46" i="1" s="1"/>
  <c r="N45" i="1"/>
  <c r="O45" i="1" s="1"/>
  <c r="N44" i="1"/>
  <c r="O44" i="1" s="1"/>
  <c r="N43" i="1"/>
  <c r="O43" i="1" s="1"/>
  <c r="N42" i="1"/>
  <c r="O42" i="1" s="1"/>
  <c r="N41" i="1"/>
  <c r="O41" i="1" s="1"/>
  <c r="N40" i="1"/>
  <c r="O40" i="1" s="1"/>
  <c r="N39" i="1"/>
  <c r="O39" i="1" s="1"/>
  <c r="N38" i="1"/>
  <c r="N37" i="1"/>
  <c r="N36" i="1"/>
  <c r="N35" i="1"/>
  <c r="N34" i="1"/>
  <c r="N33" i="1"/>
  <c r="O33" i="1" s="1"/>
  <c r="N32" i="1"/>
  <c r="O32" i="1" s="1"/>
  <c r="N31" i="1"/>
  <c r="O31" i="1" s="1"/>
  <c r="N30" i="1"/>
  <c r="N29" i="1"/>
  <c r="O29" i="1" s="1"/>
  <c r="N28" i="1"/>
  <c r="O28" i="1" s="1"/>
  <c r="N27" i="1"/>
  <c r="O27" i="1" s="1"/>
  <c r="N26" i="1"/>
  <c r="O26" i="1" s="1"/>
  <c r="N25" i="1"/>
  <c r="O25" i="1" s="1"/>
  <c r="N24" i="1"/>
  <c r="O24" i="1" s="1"/>
  <c r="N23" i="1"/>
  <c r="O23" i="1" s="1"/>
  <c r="C10" i="1"/>
  <c r="C12" i="1"/>
  <c r="C8" i="1"/>
  <c r="C13" i="1"/>
  <c r="C7" i="1"/>
  <c r="C14" i="1"/>
  <c r="C16" i="1"/>
  <c r="C15" i="1"/>
  <c r="C9" i="1"/>
  <c r="C6" i="1"/>
  <c r="C11" i="1"/>
  <c r="C17" i="1"/>
  <c r="O40" i="21" l="1"/>
  <c r="O41" i="21"/>
  <c r="O36" i="21"/>
  <c r="O34" i="21"/>
  <c r="O37" i="21"/>
  <c r="O31" i="21"/>
  <c r="O33" i="21"/>
  <c r="P48" i="11"/>
  <c r="P44" i="11"/>
  <c r="P46" i="11"/>
  <c r="P45" i="11"/>
  <c r="P47" i="11"/>
  <c r="P43" i="11"/>
  <c r="P39" i="11"/>
  <c r="P41" i="11"/>
  <c r="P40" i="11"/>
  <c r="P42" i="11"/>
  <c r="P7" i="11"/>
  <c r="P20" i="11"/>
  <c r="P13" i="11"/>
  <c r="P19" i="11"/>
  <c r="P12" i="11"/>
  <c r="P18" i="11"/>
  <c r="P11" i="11"/>
  <c r="P17" i="11"/>
  <c r="P33" i="11"/>
  <c r="P31" i="11"/>
  <c r="P38" i="11"/>
  <c r="P30" i="11"/>
  <c r="P6" i="11"/>
  <c r="P23" i="11"/>
  <c r="P34" i="11"/>
  <c r="P26" i="11"/>
  <c r="P10" i="11"/>
  <c r="P15" i="11"/>
  <c r="P37" i="11"/>
  <c r="P29" i="11"/>
  <c r="P21" i="11"/>
  <c r="P35" i="11"/>
  <c r="P27" i="11"/>
  <c r="P24" i="11"/>
  <c r="P16" i="11"/>
  <c r="P8" i="11"/>
  <c r="P22" i="11"/>
  <c r="P14" i="11"/>
  <c r="P36" i="11"/>
  <c r="P28" i="11"/>
  <c r="P25" i="11"/>
  <c r="P9" i="11"/>
  <c r="O37" i="1"/>
  <c r="O36" i="1"/>
  <c r="O35" i="1"/>
  <c r="O34" i="1"/>
  <c r="O38" i="1"/>
  <c r="O30" i="1"/>
  <c r="E7" i="1"/>
  <c r="E13" i="1"/>
  <c r="E14" i="1"/>
  <c r="E8" i="1"/>
  <c r="E6" i="1"/>
  <c r="E10" i="1"/>
  <c r="E12" i="1"/>
  <c r="N88" i="10"/>
  <c r="N20" i="10"/>
  <c r="M73" i="10"/>
  <c r="N64" i="10"/>
  <c r="N32" i="10"/>
  <c r="M97" i="10"/>
  <c r="M14" i="10"/>
  <c r="N28" i="10"/>
  <c r="M57" i="10"/>
  <c r="M89" i="10"/>
  <c r="M41" i="10"/>
  <c r="M18" i="10"/>
  <c r="N36" i="10"/>
  <c r="M81" i="10"/>
  <c r="M15" i="10"/>
  <c r="M45" i="10"/>
  <c r="M37" i="10"/>
  <c r="N92" i="10"/>
  <c r="M77" i="10"/>
  <c r="M10" i="10"/>
  <c r="M93" i="10"/>
  <c r="M22" i="10"/>
  <c r="N72" i="10"/>
  <c r="N84" i="10"/>
  <c r="N16" i="10"/>
  <c r="N68" i="10"/>
  <c r="N60" i="10"/>
  <c r="M65" i="10"/>
  <c r="M7" i="10"/>
  <c r="M29" i="10"/>
  <c r="N96" i="10"/>
  <c r="N56" i="10"/>
  <c r="M101" i="10"/>
  <c r="M61" i="10"/>
  <c r="N8" i="10"/>
  <c r="E16" i="1"/>
  <c r="N24" i="10"/>
  <c r="E15" i="1"/>
  <c r="N100" i="10"/>
  <c r="N52" i="10"/>
  <c r="M95" i="10"/>
  <c r="N40" i="10"/>
  <c r="E11" i="1"/>
  <c r="E9" i="1"/>
  <c r="E17" i="1"/>
  <c r="M69" i="10"/>
  <c r="M19" i="10"/>
  <c r="M11" i="10"/>
  <c r="M98" i="10"/>
  <c r="M90" i="10"/>
  <c r="M82" i="10"/>
  <c r="M74" i="10"/>
  <c r="M66" i="10"/>
  <c r="M58" i="10"/>
  <c r="M50" i="10"/>
  <c r="M42" i="10"/>
  <c r="M34" i="10"/>
  <c r="M26" i="10"/>
  <c r="N97" i="10"/>
  <c r="N89" i="10"/>
  <c r="N81" i="10"/>
  <c r="N73" i="10"/>
  <c r="N65" i="10"/>
  <c r="N57" i="10"/>
  <c r="N49" i="10"/>
  <c r="N41" i="10"/>
  <c r="N33" i="10"/>
  <c r="N25" i="10"/>
  <c r="N17" i="10"/>
  <c r="N9" i="10"/>
  <c r="M49" i="10"/>
  <c r="M33" i="10"/>
  <c r="M25" i="10"/>
  <c r="N80" i="10"/>
  <c r="N48" i="10"/>
  <c r="M17" i="10"/>
  <c r="M9" i="10"/>
  <c r="M96" i="10"/>
  <c r="M88" i="10"/>
  <c r="M80" i="10"/>
  <c r="M72" i="10"/>
  <c r="M64" i="10"/>
  <c r="M56" i="10"/>
  <c r="M48" i="10"/>
  <c r="M40" i="10"/>
  <c r="M32" i="10"/>
  <c r="M24" i="10"/>
  <c r="N95" i="10"/>
  <c r="N87" i="10"/>
  <c r="N79" i="10"/>
  <c r="N71" i="10"/>
  <c r="N63" i="10"/>
  <c r="N55" i="10"/>
  <c r="N47" i="10"/>
  <c r="N39" i="10"/>
  <c r="N31" i="10"/>
  <c r="N23" i="10"/>
  <c r="N15" i="10"/>
  <c r="N7" i="10"/>
  <c r="M6" i="10"/>
  <c r="M16" i="10"/>
  <c r="M8" i="10"/>
  <c r="M87" i="10"/>
  <c r="M79" i="10"/>
  <c r="M71" i="10"/>
  <c r="M63" i="10"/>
  <c r="M55" i="10"/>
  <c r="M47" i="10"/>
  <c r="M39" i="10"/>
  <c r="M31" i="10"/>
  <c r="N6" i="10"/>
  <c r="N94" i="10"/>
  <c r="N86" i="10"/>
  <c r="N78" i="10"/>
  <c r="N70" i="10"/>
  <c r="N62" i="10"/>
  <c r="N54" i="10"/>
  <c r="N46" i="10"/>
  <c r="N38" i="10"/>
  <c r="N30" i="10"/>
  <c r="N22" i="10"/>
  <c r="N14" i="10"/>
  <c r="M23" i="10"/>
  <c r="M94" i="10"/>
  <c r="M86" i="10"/>
  <c r="M78" i="10"/>
  <c r="M70" i="10"/>
  <c r="M62" i="10"/>
  <c r="M54" i="10"/>
  <c r="M46" i="10"/>
  <c r="M38" i="10"/>
  <c r="M30" i="10"/>
  <c r="N101" i="10"/>
  <c r="N93" i="10"/>
  <c r="N85" i="10"/>
  <c r="N77" i="10"/>
  <c r="N69" i="10"/>
  <c r="N61" i="10"/>
  <c r="N53" i="10"/>
  <c r="N45" i="10"/>
  <c r="N37" i="10"/>
  <c r="N29" i="10"/>
  <c r="N21" i="10"/>
  <c r="N13" i="10"/>
  <c r="N76" i="10"/>
  <c r="N44" i="10"/>
  <c r="N12" i="10"/>
  <c r="M53" i="10"/>
  <c r="M21" i="10"/>
  <c r="M13" i="10"/>
  <c r="M100" i="10"/>
  <c r="M92" i="10"/>
  <c r="M84" i="10"/>
  <c r="M76" i="10"/>
  <c r="M68" i="10"/>
  <c r="M60" i="10"/>
  <c r="M52" i="10"/>
  <c r="M44" i="10"/>
  <c r="M36" i="10"/>
  <c r="M28" i="10"/>
  <c r="N99" i="10"/>
  <c r="N91" i="10"/>
  <c r="N83" i="10"/>
  <c r="N75" i="10"/>
  <c r="N67" i="10"/>
  <c r="N59" i="10"/>
  <c r="N51" i="10"/>
  <c r="N43" i="10"/>
  <c r="N35" i="10"/>
  <c r="N27" i="10"/>
  <c r="N19" i="10"/>
  <c r="M85" i="10"/>
  <c r="M20" i="10"/>
  <c r="M12" i="10"/>
  <c r="M99" i="10"/>
  <c r="M91" i="10"/>
  <c r="M83" i="10"/>
  <c r="M75" i="10"/>
  <c r="M67" i="10"/>
  <c r="M59" i="10"/>
  <c r="M51" i="10"/>
  <c r="M35" i="10"/>
  <c r="M27" i="10"/>
  <c r="N90" i="10"/>
  <c r="N50" i="10"/>
  <c r="O12" i="21"/>
  <c r="O10" i="21"/>
  <c r="O6" i="21"/>
  <c r="O14" i="21"/>
  <c r="O9" i="21"/>
  <c r="O11" i="21"/>
  <c r="O7" i="21"/>
  <c r="O15" i="21"/>
  <c r="O13" i="21"/>
  <c r="O8" i="21"/>
  <c r="O16" i="21"/>
  <c r="M17" i="19"/>
  <c r="N17" i="19" s="1"/>
  <c r="M12" i="19"/>
  <c r="N12" i="19" s="1"/>
  <c r="M15" i="19"/>
  <c r="N15" i="19" s="1"/>
  <c r="M18" i="19"/>
  <c r="N18" i="19" s="1"/>
  <c r="M11" i="19"/>
  <c r="N11" i="19" s="1"/>
  <c r="N5" i="19" s="1"/>
  <c r="M20" i="19"/>
  <c r="N20" i="19" s="1"/>
  <c r="M19" i="19"/>
  <c r="N19" i="19" s="1"/>
  <c r="M45" i="18"/>
  <c r="N45" i="18" s="1"/>
  <c r="M29" i="18"/>
  <c r="N29" i="18" s="1"/>
  <c r="M70" i="18"/>
  <c r="N70" i="18" s="1"/>
  <c r="M61" i="18"/>
  <c r="N61" i="18" s="1"/>
  <c r="M37" i="18"/>
  <c r="N37" i="18" s="1"/>
  <c r="M68" i="18"/>
  <c r="N68" i="18" s="1"/>
  <c r="M60" i="18"/>
  <c r="N60" i="18" s="1"/>
  <c r="M44" i="18"/>
  <c r="N44" i="18" s="1"/>
  <c r="M36" i="18"/>
  <c r="N36" i="18" s="1"/>
  <c r="M28" i="18"/>
  <c r="N28" i="18" s="1"/>
  <c r="M20" i="18"/>
  <c r="N20" i="18" s="1"/>
  <c r="M11" i="18"/>
  <c r="N11" i="18" s="1"/>
  <c r="M51" i="18"/>
  <c r="N51" i="18" s="1"/>
  <c r="M35" i="18"/>
  <c r="N35" i="18" s="1"/>
  <c r="M27" i="18"/>
  <c r="N27" i="18" s="1"/>
  <c r="M19" i="18"/>
  <c r="N19" i="18" s="1"/>
  <c r="M58" i="18"/>
  <c r="N58" i="18" s="1"/>
  <c r="M42" i="18"/>
  <c r="N42" i="18" s="1"/>
  <c r="M34" i="18"/>
  <c r="N34" i="18" s="1"/>
  <c r="M18" i="18"/>
  <c r="N18" i="18" s="1"/>
  <c r="M65" i="18"/>
  <c r="N65" i="18" s="1"/>
  <c r="M49" i="18"/>
  <c r="N49" i="18" s="1"/>
  <c r="M41" i="18"/>
  <c r="N41" i="18" s="1"/>
  <c r="M25" i="18"/>
  <c r="N25" i="18" s="1"/>
  <c r="M17" i="18"/>
  <c r="N17" i="18" s="1"/>
  <c r="M56" i="18"/>
  <c r="N56" i="18" s="1"/>
  <c r="M12" i="18"/>
  <c r="N12" i="18" s="1"/>
  <c r="M63" i="18"/>
  <c r="N63" i="18" s="1"/>
  <c r="M47" i="18"/>
  <c r="N47" i="18" s="1"/>
  <c r="M39" i="18"/>
  <c r="N39" i="18" s="1"/>
  <c r="M31" i="18"/>
  <c r="N31" i="18" s="1"/>
  <c r="M15" i="18"/>
  <c r="N15" i="18" s="1"/>
  <c r="O20" i="17"/>
  <c r="O21" i="17"/>
  <c r="O9" i="17"/>
  <c r="O10" i="17"/>
  <c r="O22" i="17"/>
  <c r="O19" i="17"/>
  <c r="O6" i="17"/>
  <c r="O11" i="17"/>
  <c r="O14" i="17"/>
  <c r="O13" i="17"/>
  <c r="O7" i="17"/>
  <c r="O23" i="17"/>
  <c r="O12" i="17"/>
  <c r="O17" i="17"/>
  <c r="P32" i="11" l="1"/>
  <c r="P4" i="11" s="1"/>
  <c r="C12" i="10"/>
  <c r="C9" i="10"/>
  <c r="C6" i="10"/>
  <c r="C8" i="10"/>
  <c r="C17" i="10"/>
  <c r="C15" i="10"/>
  <c r="C11" i="10"/>
  <c r="C7" i="10"/>
  <c r="C16" i="10"/>
  <c r="C10" i="10"/>
  <c r="C13" i="10"/>
  <c r="C14" i="10"/>
  <c r="O4" i="21"/>
  <c r="N5" i="18"/>
  <c r="O4" i="17"/>
  <c r="N7" i="1"/>
  <c r="N8" i="1"/>
  <c r="N9" i="1"/>
  <c r="N10" i="1"/>
  <c r="N11" i="1"/>
  <c r="N12" i="1"/>
  <c r="O12" i="1" s="1"/>
  <c r="N13" i="1"/>
  <c r="O13" i="1" s="1"/>
  <c r="N14" i="1"/>
  <c r="O14" i="1" s="1"/>
  <c r="N15" i="1"/>
  <c r="O15" i="1" s="1"/>
  <c r="N16" i="1"/>
  <c r="O16" i="1" s="1"/>
  <c r="N17" i="1"/>
  <c r="O17" i="1" s="1"/>
  <c r="N18" i="1"/>
  <c r="O18" i="1" s="1"/>
  <c r="N19" i="1"/>
  <c r="O19" i="1" s="1"/>
  <c r="N20" i="1"/>
  <c r="O20" i="1" s="1"/>
  <c r="N21" i="1"/>
  <c r="O21" i="1" s="1"/>
  <c r="N22" i="1"/>
  <c r="O22" i="1" s="1"/>
  <c r="N6" i="1"/>
  <c r="M7" i="1"/>
  <c r="M8" i="1"/>
  <c r="M9" i="1"/>
  <c r="M10" i="1"/>
  <c r="M11" i="1"/>
  <c r="M6" i="1"/>
  <c r="B3" i="1"/>
  <c r="O6" i="1" l="1"/>
  <c r="O9" i="1"/>
  <c r="O11" i="1"/>
  <c r="O10" i="1"/>
  <c r="O8" i="1"/>
  <c r="O7" i="1"/>
  <c r="O4" i="1" l="1"/>
</calcChain>
</file>

<file path=xl/sharedStrings.xml><?xml version="1.0" encoding="utf-8"?>
<sst xmlns="http://schemas.openxmlformats.org/spreadsheetml/2006/main" count="1519" uniqueCount="129">
  <si>
    <t>2024 Season Rankings</t>
  </si>
  <si>
    <t>Mean:</t>
  </si>
  <si>
    <t>Home Edge:</t>
  </si>
  <si>
    <t>Team</t>
  </si>
  <si>
    <t>Rating</t>
  </si>
  <si>
    <t>Rank</t>
  </si>
  <si>
    <t>Previous</t>
  </si>
  <si>
    <t>Change</t>
  </si>
  <si>
    <t>Date</t>
  </si>
  <si>
    <t>Visitor</t>
  </si>
  <si>
    <t>Visitor Score</t>
  </si>
  <si>
    <t>Home</t>
  </si>
  <si>
    <t>Home Score</t>
  </si>
  <si>
    <t>Home Margin</t>
  </si>
  <si>
    <t>Forecast</t>
  </si>
  <si>
    <t>Squared Error</t>
  </si>
  <si>
    <t>ARC</t>
  </si>
  <si>
    <t>OGDC</t>
  </si>
  <si>
    <t>NOLA</t>
  </si>
  <si>
    <t>CHI</t>
  </si>
  <si>
    <t>UTA</t>
  </si>
  <si>
    <t>HOU</t>
  </si>
  <si>
    <t>DAL</t>
  </si>
  <si>
    <t>SD</t>
  </si>
  <si>
    <t>SEA</t>
  </si>
  <si>
    <t>MIA</t>
  </si>
  <si>
    <t>NEFJ</t>
  </si>
  <si>
    <t>RFCLA</t>
  </si>
  <si>
    <t>Rankings History</t>
  </si>
  <si>
    <t>Week4</t>
  </si>
  <si>
    <t>Week5</t>
  </si>
  <si>
    <t>Week6</t>
  </si>
  <si>
    <t>Week7</t>
  </si>
  <si>
    <t>Week8</t>
  </si>
  <si>
    <t>Week9</t>
  </si>
  <si>
    <t>Week10</t>
  </si>
  <si>
    <t>Week11</t>
  </si>
  <si>
    <t>Week12</t>
  </si>
  <si>
    <t>Week13</t>
  </si>
  <si>
    <t>Week14</t>
  </si>
  <si>
    <t>Week15</t>
  </si>
  <si>
    <t>Week16</t>
  </si>
  <si>
    <t>Week17</t>
  </si>
  <si>
    <t>Week18</t>
  </si>
  <si>
    <t>Visitor_Rating</t>
  </si>
  <si>
    <t>Home_rating</t>
  </si>
  <si>
    <t>SSE</t>
  </si>
  <si>
    <t>Rnd</t>
  </si>
  <si>
    <t>Pos</t>
  </si>
  <si>
    <t>Player1</t>
  </si>
  <si>
    <t>Player1_Points</t>
  </si>
  <si>
    <t>Back row</t>
  </si>
  <si>
    <t>Adriaan Booysen</t>
  </si>
  <si>
    <t>Charles Elton</t>
  </si>
  <si>
    <t>Jamason Fa'anana-Schultz</t>
  </si>
  <si>
    <t>Riekert Hattingh</t>
  </si>
  <si>
    <t>Wian Conradie</t>
  </si>
  <si>
    <t>Player</t>
  </si>
  <si>
    <t>2023 Season Rankings</t>
  </si>
  <si>
    <t>ATL</t>
  </si>
  <si>
    <t>RUNY</t>
  </si>
  <si>
    <t>TOR</t>
  </si>
  <si>
    <t>HomeTeam</t>
  </si>
  <si>
    <t>HomeScore</t>
  </si>
  <si>
    <t>AwayTeam</t>
  </si>
  <si>
    <t>AwayScore</t>
  </si>
  <si>
    <t>Revamped Pos vs Team</t>
  </si>
  <si>
    <t>Opp</t>
  </si>
  <si>
    <t>home</t>
  </si>
  <si>
    <t>Away</t>
  </si>
  <si>
    <t>Projection</t>
  </si>
  <si>
    <t>etc</t>
  </si>
  <si>
    <t>Player A</t>
  </si>
  <si>
    <t>Proj.</t>
  </si>
  <si>
    <t>Real</t>
  </si>
  <si>
    <t>Week 9</t>
  </si>
  <si>
    <t>Week 8</t>
  </si>
  <si>
    <t>Week 7</t>
  </si>
  <si>
    <t>Lambda</t>
  </si>
  <si>
    <t>Weeks removed</t>
  </si>
  <si>
    <t>HOME</t>
  </si>
  <si>
    <t>Pick:</t>
  </si>
  <si>
    <t>2024 Lou Maul Rankings</t>
  </si>
  <si>
    <t>Chicago Carnivores</t>
  </si>
  <si>
    <t>Bruins A.C.</t>
  </si>
  <si>
    <t>Loose Forwards</t>
  </si>
  <si>
    <t>Kankakee Kickers</t>
  </si>
  <si>
    <t>Fighting Beavers</t>
  </si>
  <si>
    <t>Petaluma Rugby Club</t>
  </si>
  <si>
    <t>GunslingerSunruns99</t>
  </si>
  <si>
    <t>n/a</t>
  </si>
  <si>
    <t>GS9</t>
  </si>
  <si>
    <t>LF</t>
  </si>
  <si>
    <t>FB</t>
  </si>
  <si>
    <t>KK</t>
  </si>
  <si>
    <t>CC</t>
  </si>
  <si>
    <t>PRC</t>
  </si>
  <si>
    <t>BAC</t>
  </si>
  <si>
    <t>Atlantafan07</t>
  </si>
  <si>
    <t>Af7</t>
  </si>
  <si>
    <t>Power Rating</t>
  </si>
  <si>
    <t>(After Week X)</t>
  </si>
  <si>
    <t>Week3</t>
  </si>
  <si>
    <t>Week1</t>
  </si>
  <si>
    <t>Week2</t>
  </si>
  <si>
    <t>Y</t>
  </si>
  <si>
    <t>N</t>
  </si>
  <si>
    <t>Week</t>
  </si>
  <si>
    <t>T</t>
  </si>
  <si>
    <t>Home edge</t>
  </si>
  <si>
    <t>mean</t>
  </si>
  <si>
    <t>Offense</t>
  </si>
  <si>
    <t>Defense</t>
  </si>
  <si>
    <t>Overall</t>
  </si>
  <si>
    <t>Offense Rank</t>
  </si>
  <si>
    <t>Defense Rank</t>
  </si>
  <si>
    <t>GameNumber</t>
  </si>
  <si>
    <t>Home Team</t>
  </si>
  <si>
    <t>Away Team</t>
  </si>
  <si>
    <t>Home Points</t>
  </si>
  <si>
    <t>Away Points</t>
  </si>
  <si>
    <t>Home Prediction</t>
  </si>
  <si>
    <t>Away Prediction</t>
  </si>
  <si>
    <t>def_mean:</t>
  </si>
  <si>
    <t>off_mean:</t>
  </si>
  <si>
    <t>Off</t>
  </si>
  <si>
    <t>Def</t>
  </si>
  <si>
    <t>Last_rnk</t>
  </si>
  <si>
    <t>New_rnk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</si>
</sst>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16" fontId="0" fillId="0" borderId="0" xfId="0" applyNumberFormat="1"/>
    <xf numFmtId="0" fontId="2" fillId="0" borderId="0" xfId="0" applyFont="1"/>
    <xf numFmtId="0" fontId="1" fillId="0" borderId="0" xfId="0" applyFont="1"/>
    <xf numFmtId="0" fontId="0" fillId="0" borderId="1" xfId="0" applyBorder="1"/>
    <xf numFmtId="0" fontId="0" fillId="0" borderId="0" xfId="0" applyFont="1"/>
    <xf numFmtId="0" fontId="0" fillId="0" borderId="1" xfId="0" applyFont="1" applyBorder="1"/>
    <xf numFmtId="0" fontId="0" fillId="0" borderId="0" xfId="0" applyBorder="1"/>
    <xf numFmtId="0" fontId="0" fillId="0" borderId="0" xfId="0" applyFill="1" applyBorder="1"/>
    <xf numFmtId="1" fontId="0" fillId="0" borderId="0" xfId="0" applyNumberFormat="1"/>
    <xf numFmtId="0" fontId="0" fillId="0" borderId="0" xfId="0" applyFont="1" applyBorder="1"/>
    <xf numFmtId="0" fontId="1" fillId="0" borderId="0" xfId="0" applyFont="1" applyBorder="1"/>
    <xf numFmtId="164" fontId="0" fillId="0" borderId="1" xfId="0" applyNumberFormat="1" applyBorder="1"/>
    <xf numFmtId="2" fontId="2" fillId="2" borderId="0" xfId="0" applyNumberFormat="1" applyFont="1" applyFill="1"/>
    <xf numFmtId="2" fontId="2" fillId="0" borderId="0" xfId="0" applyNumberFormat="1" applyFont="1"/>
    <xf numFmtId="2" fontId="2" fillId="2" borderId="1" xfId="0" applyNumberFormat="1" applyFont="1" applyFill="1" applyBorder="1"/>
    <xf numFmtId="2" fontId="2" fillId="0" borderId="1" xfId="0" applyNumberFormat="1" applyFont="1" applyBorder="1"/>
    <xf numFmtId="0" fontId="2" fillId="0" borderId="1" xfId="0" applyFont="1" applyBorder="1"/>
    <xf numFmtId="2" fontId="2" fillId="0" borderId="0" xfId="0" applyNumberFormat="1" applyFont="1" applyFill="1"/>
    <xf numFmtId="0" fontId="2" fillId="3" borderId="1" xfId="0" applyFont="1" applyFill="1" applyBorder="1"/>
    <xf numFmtId="0" fontId="2" fillId="0" borderId="0" xfId="0" applyFont="1" applyAlignment="1">
      <alignment horizontal="right"/>
    </xf>
    <xf numFmtId="0" fontId="2" fillId="0" borderId="0" xfId="0" quotePrefix="1" applyFont="1" applyAlignment="1">
      <alignment horizontal="right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4472C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Off(x)</a:t>
            </a:r>
            <a:r>
              <a:rPr lang="en-US" baseline="0"/>
              <a:t> vs Def(y)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strRef>
              <c:f>'Offense Defense'!$D$20</c:f>
              <c:strCache>
                <c:ptCount val="1"/>
                <c:pt idx="0">
                  <c:v>Def</c:v>
                </c:pt>
              </c:strCache>
            </c:strRef>
          </c:tx>
          <c:spPr>
            <a:ln w="25400">
              <a:noFill/>
            </a:ln>
          </c:spPr>
          <c:marker>
            <c:symbol val="circle"/>
            <c:size val="5"/>
          </c:marker>
          <c:dPt>
            <c:idx val="0"/>
            <c:marker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662-448B-9B82-A49793B7DC95}"/>
              </c:ext>
            </c:extLst>
          </c:dPt>
          <c:dPt>
            <c:idx val="1"/>
            <c:marker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3662-448B-9B82-A49793B7DC95}"/>
              </c:ext>
            </c:extLst>
          </c:dPt>
          <c:dPt>
            <c:idx val="2"/>
            <c:marker>
              <c:spPr>
                <a:solidFill>
                  <a:schemeClr val="accent3"/>
                </a:solidFill>
                <a:ln w="9525">
                  <a:solidFill>
                    <a:schemeClr val="accent3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662-448B-9B82-A49793B7DC95}"/>
              </c:ext>
            </c:extLst>
          </c:dPt>
          <c:dPt>
            <c:idx val="3"/>
            <c:marker>
              <c:spPr>
                <a:solidFill>
                  <a:schemeClr val="accent4"/>
                </a:solidFill>
                <a:ln w="9525">
                  <a:solidFill>
                    <a:schemeClr val="accent4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3662-448B-9B82-A49793B7DC95}"/>
              </c:ext>
            </c:extLst>
          </c:dPt>
          <c:dPt>
            <c:idx val="4"/>
            <c:marker>
              <c:spPr>
                <a:solidFill>
                  <a:schemeClr val="accent5"/>
                </a:solidFill>
                <a:ln w="9525">
                  <a:solidFill>
                    <a:schemeClr val="accent5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662-448B-9B82-A49793B7DC95}"/>
              </c:ext>
            </c:extLst>
          </c:dPt>
          <c:dPt>
            <c:idx val="5"/>
            <c:marker>
              <c:spPr>
                <a:solidFill>
                  <a:schemeClr val="accent6"/>
                </a:solidFill>
                <a:ln w="9525">
                  <a:solidFill>
                    <a:schemeClr val="accent6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8-3662-448B-9B82-A49793B7DC95}"/>
              </c:ext>
            </c:extLst>
          </c:dPt>
          <c:dPt>
            <c:idx val="6"/>
            <c:marker>
              <c:spPr>
                <a:solidFill>
                  <a:schemeClr val="accent1">
                    <a:lumMod val="60000"/>
                  </a:schemeClr>
                </a:solidFill>
                <a:ln w="9525">
                  <a:solidFill>
                    <a:schemeClr val="accent1">
                      <a:lumMod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662-448B-9B82-A49793B7DC95}"/>
              </c:ext>
            </c:extLst>
          </c:dPt>
          <c:dPt>
            <c:idx val="7"/>
            <c:marker>
              <c:spPr>
                <a:solidFill>
                  <a:schemeClr val="accent2">
                    <a:lumMod val="60000"/>
                  </a:schemeClr>
                </a:solidFill>
                <a:ln w="9525">
                  <a:solidFill>
                    <a:schemeClr val="accent2">
                      <a:lumMod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A-3662-448B-9B82-A49793B7DC95}"/>
              </c:ext>
            </c:extLst>
          </c:dPt>
          <c:dPt>
            <c:idx val="8"/>
            <c:marker>
              <c:spPr>
                <a:solidFill>
                  <a:schemeClr val="accent3">
                    <a:lumMod val="60000"/>
                  </a:schemeClr>
                </a:solidFill>
                <a:ln w="9525">
                  <a:solidFill>
                    <a:schemeClr val="accent3">
                      <a:lumMod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662-448B-9B82-A49793B7DC95}"/>
              </c:ext>
            </c:extLst>
          </c:dPt>
          <c:dPt>
            <c:idx val="9"/>
            <c:marker>
              <c:spPr>
                <a:solidFill>
                  <a:schemeClr val="accent4">
                    <a:lumMod val="60000"/>
                  </a:schemeClr>
                </a:solidFill>
                <a:ln w="9525">
                  <a:solidFill>
                    <a:schemeClr val="accent4">
                      <a:lumMod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C-3662-448B-9B82-A49793B7DC95}"/>
              </c:ext>
            </c:extLst>
          </c:dPt>
          <c:dPt>
            <c:idx val="10"/>
            <c:marker>
              <c:spPr>
                <a:solidFill>
                  <a:schemeClr val="accent5">
                    <a:lumMod val="60000"/>
                  </a:schemeClr>
                </a:solidFill>
                <a:ln w="9525">
                  <a:solidFill>
                    <a:schemeClr val="accent5">
                      <a:lumMod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3662-448B-9B82-A49793B7DC95}"/>
              </c:ext>
            </c:extLst>
          </c:dPt>
          <c:dPt>
            <c:idx val="11"/>
            <c:marker>
              <c:spPr>
                <a:solidFill>
                  <a:schemeClr val="accent6">
                    <a:lumMod val="60000"/>
                  </a:schemeClr>
                </a:solidFill>
                <a:ln w="9525">
                  <a:solidFill>
                    <a:schemeClr val="accent6">
                      <a:lumMod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E-3662-448B-9B82-A49793B7DC95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6EDB0853-644E-433A-B677-E588296D79B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3662-448B-9B82-A49793B7DC95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B2BE8B19-E9C0-4E41-ADF0-733E04D895E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3662-448B-9B82-A49793B7DC95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8AE7EB8A-37EE-406C-95E5-05657FAFF4A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3662-448B-9B82-A49793B7DC95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603FA602-1661-4A24-8505-7A11DAAECA8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3662-448B-9B82-A49793B7DC95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EEB3D72B-D36F-4521-85CE-1A1FAACE1FF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3662-448B-9B82-A49793B7DC95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3B5B686A-2F87-4D7C-A8FB-4A17E9609B3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3662-448B-9B82-A49793B7DC95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AA13C69F-9A62-47C5-B088-37D787BB7C9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3662-448B-9B82-A49793B7DC95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BC03430C-3B4F-447B-8CF5-8E76785CFA5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3662-448B-9B82-A49793B7DC95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F08C3908-7BA4-4843-A4AB-B0D9EE688E0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3662-448B-9B82-A49793B7DC95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BE33F74D-9228-43BC-A694-D32DF61222E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3662-448B-9B82-A49793B7DC95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06B9AB3D-A66D-464A-BE1E-85252467E9B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3662-448B-9B82-A49793B7DC95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B3A4A157-DE35-4C2C-8E21-5CCBBC0B0B8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3662-448B-9B82-A49793B7DC9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'Offense Defense'!$C$21:$C$32</c:f>
              <c:numCache>
                <c:formatCode>0.00</c:formatCode>
                <c:ptCount val="12"/>
                <c:pt idx="0">
                  <c:v>7.6176142169948822</c:v>
                </c:pt>
                <c:pt idx="1">
                  <c:v>4.1257420034587469</c:v>
                </c:pt>
                <c:pt idx="2">
                  <c:v>7.2706173557194473</c:v>
                </c:pt>
                <c:pt idx="3">
                  <c:v>-0.21092122724486428</c:v>
                </c:pt>
                <c:pt idx="4">
                  <c:v>5.6282420341072541</c:v>
                </c:pt>
                <c:pt idx="5">
                  <c:v>2.2235962942537402</c:v>
                </c:pt>
                <c:pt idx="6">
                  <c:v>-5.0941897842142918</c:v>
                </c:pt>
                <c:pt idx="7">
                  <c:v>-4.8197490532102991</c:v>
                </c:pt>
                <c:pt idx="8">
                  <c:v>-6.7667236241569251</c:v>
                </c:pt>
                <c:pt idx="9">
                  <c:v>-3.8881188473998702</c:v>
                </c:pt>
                <c:pt idx="10">
                  <c:v>-4.7975683454286164</c:v>
                </c:pt>
                <c:pt idx="11">
                  <c:v>-1.2885410228795633</c:v>
                </c:pt>
              </c:numCache>
            </c:numRef>
          </c:xVal>
          <c:yVal>
            <c:numRef>
              <c:f>'Offense Defense'!$D$21:$D$32</c:f>
              <c:numCache>
                <c:formatCode>0.00</c:formatCode>
                <c:ptCount val="12"/>
                <c:pt idx="0">
                  <c:v>3.7811879506992856</c:v>
                </c:pt>
                <c:pt idx="1">
                  <c:v>4.4648574582363612</c:v>
                </c:pt>
                <c:pt idx="2">
                  <c:v>9.8258675586475261E-2</c:v>
                </c:pt>
                <c:pt idx="3">
                  <c:v>5.470973673733865</c:v>
                </c:pt>
                <c:pt idx="4">
                  <c:v>-3.4434792628197473</c:v>
                </c:pt>
                <c:pt idx="5">
                  <c:v>-0.4066052562828491</c:v>
                </c:pt>
                <c:pt idx="6">
                  <c:v>6.5880166921888019</c:v>
                </c:pt>
                <c:pt idx="7">
                  <c:v>3.2759513714748332</c:v>
                </c:pt>
                <c:pt idx="8">
                  <c:v>4.7834779419288482</c:v>
                </c:pt>
                <c:pt idx="9">
                  <c:v>0.41644587998465887</c:v>
                </c:pt>
                <c:pt idx="10">
                  <c:v>1.7136624668209043E-2</c:v>
                </c:pt>
                <c:pt idx="11">
                  <c:v>-25.046221900233654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'Offense Defense'!$B$21:$B$32</c15:f>
                <c15:dlblRangeCache>
                  <c:ptCount val="12"/>
                  <c:pt idx="0">
                    <c:v>SEA</c:v>
                  </c:pt>
                  <c:pt idx="1">
                    <c:v>NEFJ</c:v>
                  </c:pt>
                  <c:pt idx="2">
                    <c:v>HOU</c:v>
                  </c:pt>
                  <c:pt idx="3">
                    <c:v>SD</c:v>
                  </c:pt>
                  <c:pt idx="4">
                    <c:v>DAL</c:v>
                  </c:pt>
                  <c:pt idx="5">
                    <c:v>CHI</c:v>
                  </c:pt>
                  <c:pt idx="6">
                    <c:v>UTA</c:v>
                  </c:pt>
                  <c:pt idx="7">
                    <c:v>NOLA</c:v>
                  </c:pt>
                  <c:pt idx="8">
                    <c:v>MIA</c:v>
                  </c:pt>
                  <c:pt idx="9">
                    <c:v>RFCLA</c:v>
                  </c:pt>
                  <c:pt idx="10">
                    <c:v>OGDC</c:v>
                  </c:pt>
                  <c:pt idx="11">
                    <c:v>ARC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3662-448B-9B82-A49793B7DC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9458832"/>
        <c:axId val="1419467984"/>
      </c:scatterChart>
      <c:valAx>
        <c:axId val="1419458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9467984"/>
        <c:crosses val="autoZero"/>
        <c:crossBetween val="midCat"/>
      </c:valAx>
      <c:valAx>
        <c:axId val="1419467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94588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ubbleChart>
        <c:varyColors val="0"/>
        <c:ser>
          <c:idx val="0"/>
          <c:order val="0"/>
          <c:tx>
            <c:strRef>
              <c:f>'Offense Defense'!$D$20</c:f>
              <c:strCache>
                <c:ptCount val="1"/>
                <c:pt idx="0">
                  <c:v>Def</c:v>
                </c:pt>
              </c:strCache>
            </c:strRef>
          </c:tx>
          <c:spPr>
            <a:solidFill>
              <a:schemeClr val="accent1">
                <a:alpha val="75000"/>
              </a:schemeClr>
            </a:solidFill>
            <a:ln>
              <a:noFill/>
            </a:ln>
            <a:effectLst/>
          </c:spPr>
          <c:invertIfNegative val="0"/>
          <c:xVal>
            <c:numRef>
              <c:f>'Offense Defense'!$C$21:$C$32</c:f>
              <c:numCache>
                <c:formatCode>0.00</c:formatCode>
                <c:ptCount val="12"/>
                <c:pt idx="0">
                  <c:v>7.6176142169948822</c:v>
                </c:pt>
                <c:pt idx="1">
                  <c:v>4.1257420034587469</c:v>
                </c:pt>
                <c:pt idx="2">
                  <c:v>7.2706173557194473</c:v>
                </c:pt>
                <c:pt idx="3">
                  <c:v>-0.21092122724486428</c:v>
                </c:pt>
                <c:pt idx="4">
                  <c:v>5.6282420341072541</c:v>
                </c:pt>
                <c:pt idx="5">
                  <c:v>2.2235962942537402</c:v>
                </c:pt>
                <c:pt idx="6">
                  <c:v>-5.0941897842142918</c:v>
                </c:pt>
                <c:pt idx="7">
                  <c:v>-4.8197490532102991</c:v>
                </c:pt>
                <c:pt idx="8">
                  <c:v>-6.7667236241569251</c:v>
                </c:pt>
                <c:pt idx="9">
                  <c:v>-3.8881188473998702</c:v>
                </c:pt>
                <c:pt idx="10">
                  <c:v>-4.7975683454286164</c:v>
                </c:pt>
                <c:pt idx="11">
                  <c:v>-1.2885410228795633</c:v>
                </c:pt>
              </c:numCache>
            </c:numRef>
          </c:xVal>
          <c:yVal>
            <c:numRef>
              <c:f>'Offense Defense'!$D$21:$D$32</c:f>
              <c:numCache>
                <c:formatCode>0.00</c:formatCode>
                <c:ptCount val="12"/>
                <c:pt idx="0">
                  <c:v>3.7811879506992856</c:v>
                </c:pt>
                <c:pt idx="1">
                  <c:v>4.4648574582363612</c:v>
                </c:pt>
                <c:pt idx="2">
                  <c:v>9.8258675586475261E-2</c:v>
                </c:pt>
                <c:pt idx="3">
                  <c:v>5.470973673733865</c:v>
                </c:pt>
                <c:pt idx="4">
                  <c:v>-3.4434792628197473</c:v>
                </c:pt>
                <c:pt idx="5">
                  <c:v>-0.4066052562828491</c:v>
                </c:pt>
                <c:pt idx="6">
                  <c:v>6.5880166921888019</c:v>
                </c:pt>
                <c:pt idx="7">
                  <c:v>3.2759513714748332</c:v>
                </c:pt>
                <c:pt idx="8">
                  <c:v>4.7834779419288482</c:v>
                </c:pt>
                <c:pt idx="9">
                  <c:v>0.41644587998465887</c:v>
                </c:pt>
                <c:pt idx="10">
                  <c:v>1.7136624668209043E-2</c:v>
                </c:pt>
                <c:pt idx="11">
                  <c:v>-25.046221900233654</c:v>
                </c:pt>
              </c:numCache>
            </c:numRef>
          </c:yVal>
          <c:bubbleSize>
            <c:numRef>
              <c:f>'Offense Defense'!$E$21:$E$32</c:f>
              <c:numCache>
                <c:formatCode>General</c:formatCode>
                <c:ptCount val="12"/>
                <c:pt idx="0">
                  <c:v>12</c:v>
                </c:pt>
                <c:pt idx="1">
                  <c:v>11</c:v>
                </c:pt>
                <c:pt idx="2">
                  <c:v>10</c:v>
                </c:pt>
                <c:pt idx="3">
                  <c:v>9</c:v>
                </c:pt>
                <c:pt idx="4">
                  <c:v>8</c:v>
                </c:pt>
                <c:pt idx="5">
                  <c:v>7</c:v>
                </c:pt>
                <c:pt idx="6">
                  <c:v>6</c:v>
                </c:pt>
                <c:pt idx="7">
                  <c:v>5</c:v>
                </c:pt>
                <c:pt idx="8">
                  <c:v>4</c:v>
                </c:pt>
                <c:pt idx="9">
                  <c:v>3</c:v>
                </c:pt>
                <c:pt idx="10">
                  <c:v>2</c:v>
                </c:pt>
                <c:pt idx="11">
                  <c:v>1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0-7A32-489F-9045-153D70A41D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1138616368"/>
        <c:axId val="1138620112"/>
      </c:bubbleChart>
      <c:valAx>
        <c:axId val="1138616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8620112"/>
        <c:crosses val="autoZero"/>
        <c:crossBetween val="midCat"/>
      </c:valAx>
      <c:valAx>
        <c:axId val="1138620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86163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128744</xdr:colOff>
      <xdr:row>47</xdr:row>
      <xdr:rowOff>48252</xdr:rowOff>
    </xdr:from>
    <xdr:to>
      <xdr:col>6</xdr:col>
      <xdr:colOff>697024</xdr:colOff>
      <xdr:row>62</xdr:row>
      <xdr:rowOff>29202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1BDB66A-16DB-4F13-8666-AD33B50EE0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81120</xdr:colOff>
      <xdr:row>32</xdr:row>
      <xdr:rowOff>36981</xdr:rowOff>
    </xdr:from>
    <xdr:to>
      <xdr:col>6</xdr:col>
      <xdr:colOff>651904</xdr:colOff>
      <xdr:row>47</xdr:row>
      <xdr:rowOff>17932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C191B74-286E-4D55-A327-5E1EAB89A1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D064A-7DD3-414E-A895-11F128AD7CA5}">
  <dimension ref="A1:S101"/>
  <sheetViews>
    <sheetView workbookViewId="0">
      <selection sqref="A1:O19"/>
    </sheetView>
  </sheetViews>
  <sheetFormatPr defaultRowHeight="14.5" x14ac:dyDescent="0.35"/>
  <cols>
    <col min="7" max="7" width="6.36328125" bestFit="1" customWidth="1"/>
    <col min="8" max="9" width="10.6328125" bestFit="1" customWidth="1"/>
    <col min="10" max="11" width="10.1796875" bestFit="1" customWidth="1"/>
    <col min="13" max="13" width="12.54296875" bestFit="1" customWidth="1"/>
  </cols>
  <sheetData>
    <row r="1" spans="1:19" x14ac:dyDescent="0.35">
      <c r="F1" s="2" t="s">
        <v>58</v>
      </c>
    </row>
    <row r="2" spans="1:19" x14ac:dyDescent="0.35">
      <c r="B2">
        <v>0</v>
      </c>
    </row>
    <row r="3" spans="1:19" x14ac:dyDescent="0.35">
      <c r="A3" s="2" t="s">
        <v>1</v>
      </c>
      <c r="B3" s="3">
        <f>AVERAGE(B6:B17)</f>
        <v>2.2193465139726715E-8</v>
      </c>
      <c r="F3" s="2" t="s">
        <v>2</v>
      </c>
      <c r="G3" s="3">
        <v>3.302081251419803</v>
      </c>
    </row>
    <row r="4" spans="1:19" x14ac:dyDescent="0.35">
      <c r="O4" s="3">
        <f>SUM($O$6:$O300)</f>
        <v>13811.341435188033</v>
      </c>
      <c r="Q4" s="7"/>
      <c r="R4" s="7"/>
      <c r="S4" s="7"/>
    </row>
    <row r="5" spans="1:19" x14ac:dyDescent="0.35">
      <c r="A5" s="2" t="s">
        <v>3</v>
      </c>
      <c r="B5" s="2" t="s">
        <v>4</v>
      </c>
      <c r="C5" s="2" t="s">
        <v>5</v>
      </c>
      <c r="D5" s="2"/>
      <c r="E5" s="2"/>
      <c r="F5" s="2"/>
      <c r="G5" s="2" t="s">
        <v>47</v>
      </c>
      <c r="H5" s="2" t="s">
        <v>62</v>
      </c>
      <c r="I5" s="2" t="s">
        <v>63</v>
      </c>
      <c r="J5" s="2" t="s">
        <v>64</v>
      </c>
      <c r="K5" s="2" t="s">
        <v>65</v>
      </c>
      <c r="L5" s="2"/>
      <c r="M5" s="2" t="s">
        <v>13</v>
      </c>
      <c r="N5" s="2" t="s">
        <v>14</v>
      </c>
      <c r="O5" s="2" t="s">
        <v>15</v>
      </c>
      <c r="P5" s="2"/>
      <c r="Q5" s="7"/>
      <c r="R5" s="7"/>
      <c r="S5" s="7"/>
    </row>
    <row r="6" spans="1:19" x14ac:dyDescent="0.35">
      <c r="A6" s="4" t="s">
        <v>23</v>
      </c>
      <c r="B6" s="4">
        <v>15.754628078753509</v>
      </c>
      <c r="C6" s="4">
        <f t="shared" ref="C6:C17" si="0">RANK($B6,$B$6:$B$17,0)</f>
        <v>1</v>
      </c>
      <c r="D6" s="4"/>
      <c r="E6" s="4"/>
      <c r="G6" s="9">
        <v>1</v>
      </c>
      <c r="H6" t="s">
        <v>59</v>
      </c>
      <c r="I6">
        <v>17</v>
      </c>
      <c r="J6" t="s">
        <v>61</v>
      </c>
      <c r="K6">
        <v>10</v>
      </c>
      <c r="M6">
        <f>$I6-$K6</f>
        <v>7</v>
      </c>
      <c r="N6">
        <f>$G$3+VLOOKUP($H6,$A$6:$B$17,2,FALSE)-VLOOKUP($J6,$A$6:$B$17,2,FALSE)</f>
        <v>15.635416983680312</v>
      </c>
      <c r="O6">
        <f>($M6-$N6)^2</f>
        <v>74.570426482034378</v>
      </c>
      <c r="Q6" s="7"/>
      <c r="R6" s="10"/>
      <c r="S6" s="7"/>
    </row>
    <row r="7" spans="1:19" x14ac:dyDescent="0.35">
      <c r="A7" s="4" t="s">
        <v>26</v>
      </c>
      <c r="B7" s="4">
        <v>14.912035851443214</v>
      </c>
      <c r="C7" s="4">
        <f t="shared" si="0"/>
        <v>2</v>
      </c>
      <c r="D7" s="4"/>
      <c r="E7" s="4"/>
      <c r="G7" s="9">
        <v>1</v>
      </c>
      <c r="H7" t="s">
        <v>18</v>
      </c>
      <c r="I7">
        <v>12</v>
      </c>
      <c r="J7" t="s">
        <v>26</v>
      </c>
      <c r="K7">
        <v>36</v>
      </c>
      <c r="M7">
        <f t="shared" ref="M7:M70" si="1">$I7-$K7</f>
        <v>-24</v>
      </c>
      <c r="N7">
        <f t="shared" ref="N7:N70" si="2">$G$3+VLOOKUP($H7,$A$6:$B$17,2,FALSE)-VLOOKUP($J7,$A$6:$B$17,2,FALSE)</f>
        <v>-17.753467315000982</v>
      </c>
      <c r="O7">
        <f t="shared" ref="O7:O70" si="3">($M7-$N7)^2</f>
        <v>39.019170584761035</v>
      </c>
      <c r="Q7" s="7"/>
      <c r="R7" s="7"/>
      <c r="S7" s="7"/>
    </row>
    <row r="8" spans="1:19" x14ac:dyDescent="0.35">
      <c r="A8" s="4" t="s">
        <v>24</v>
      </c>
      <c r="B8" s="4">
        <v>9.7546278899838619</v>
      </c>
      <c r="C8" s="4">
        <f t="shared" si="0"/>
        <v>3</v>
      </c>
      <c r="D8" s="4"/>
      <c r="E8" s="4"/>
      <c r="G8" s="9">
        <v>1</v>
      </c>
      <c r="H8" t="s">
        <v>17</v>
      </c>
      <c r="I8">
        <v>42</v>
      </c>
      <c r="J8" t="s">
        <v>19</v>
      </c>
      <c r="K8">
        <v>27</v>
      </c>
      <c r="M8">
        <f t="shared" si="1"/>
        <v>15</v>
      </c>
      <c r="N8">
        <f t="shared" si="2"/>
        <v>9.1817234102205507</v>
      </c>
      <c r="O8">
        <f t="shared" si="3"/>
        <v>33.852342475175575</v>
      </c>
      <c r="Q8" s="7"/>
      <c r="R8" s="7"/>
      <c r="S8" s="7"/>
    </row>
    <row r="9" spans="1:19" x14ac:dyDescent="0.35">
      <c r="A9" s="4" t="s">
        <v>21</v>
      </c>
      <c r="B9" s="4">
        <v>4.7546282768876802</v>
      </c>
      <c r="C9" s="4">
        <f t="shared" si="0"/>
        <v>4</v>
      </c>
      <c r="D9" s="4"/>
      <c r="E9" s="4"/>
      <c r="G9" s="9">
        <v>1</v>
      </c>
      <c r="H9" t="s">
        <v>23</v>
      </c>
      <c r="I9">
        <v>33</v>
      </c>
      <c r="J9" t="s">
        <v>20</v>
      </c>
      <c r="K9">
        <v>17</v>
      </c>
      <c r="M9">
        <f t="shared" si="1"/>
        <v>16</v>
      </c>
      <c r="N9">
        <f t="shared" si="2"/>
        <v>16.913192667557205</v>
      </c>
      <c r="O9">
        <f t="shared" si="3"/>
        <v>0.83392084808024325</v>
      </c>
      <c r="Q9" s="7"/>
      <c r="R9" s="7"/>
      <c r="S9" s="7"/>
    </row>
    <row r="10" spans="1:19" x14ac:dyDescent="0.35">
      <c r="A10" s="4" t="s">
        <v>20</v>
      </c>
      <c r="B10" s="4">
        <v>2.1435166626161064</v>
      </c>
      <c r="C10" s="4">
        <f t="shared" si="0"/>
        <v>5</v>
      </c>
      <c r="D10" s="4"/>
      <c r="E10" s="4"/>
      <c r="G10" s="9">
        <v>1</v>
      </c>
      <c r="H10" t="s">
        <v>24</v>
      </c>
      <c r="I10">
        <v>25</v>
      </c>
      <c r="J10" t="s">
        <v>60</v>
      </c>
      <c r="K10">
        <v>11</v>
      </c>
      <c r="M10">
        <f t="shared" si="1"/>
        <v>14</v>
      </c>
      <c r="N10">
        <f t="shared" si="2"/>
        <v>11.589113638369692</v>
      </c>
      <c r="O10">
        <f t="shared" si="3"/>
        <v>5.8123730486950222</v>
      </c>
      <c r="Q10" s="7"/>
      <c r="R10" s="7"/>
      <c r="S10" s="7"/>
    </row>
    <row r="11" spans="1:19" x14ac:dyDescent="0.35">
      <c r="A11" s="4" t="s">
        <v>60</v>
      </c>
      <c r="B11" s="4">
        <v>1.4675955030339731</v>
      </c>
      <c r="C11" s="4">
        <f t="shared" si="0"/>
        <v>6</v>
      </c>
      <c r="D11" s="4"/>
      <c r="E11" s="4"/>
      <c r="G11" s="9">
        <v>1</v>
      </c>
      <c r="H11" t="s">
        <v>22</v>
      </c>
      <c r="I11">
        <v>12</v>
      </c>
      <c r="J11" t="s">
        <v>21</v>
      </c>
      <c r="K11">
        <v>33</v>
      </c>
      <c r="M11">
        <f t="shared" si="1"/>
        <v>-21</v>
      </c>
      <c r="N11">
        <f t="shared" si="2"/>
        <v>-10.642361865431891</v>
      </c>
      <c r="O11">
        <f t="shared" si="3"/>
        <v>107.28066772665954</v>
      </c>
      <c r="Q11" s="7"/>
      <c r="R11" s="7"/>
      <c r="S11" s="7"/>
    </row>
    <row r="12" spans="1:19" x14ac:dyDescent="0.35">
      <c r="A12" s="4" t="s">
        <v>17</v>
      </c>
      <c r="B12" s="4">
        <v>-2.7546217025338731</v>
      </c>
      <c r="C12" s="4">
        <f t="shared" si="0"/>
        <v>7</v>
      </c>
      <c r="D12" s="4"/>
      <c r="E12" s="4"/>
      <c r="G12" s="9">
        <v>2</v>
      </c>
      <c r="H12" t="s">
        <v>24</v>
      </c>
      <c r="I12">
        <v>28</v>
      </c>
      <c r="J12" t="s">
        <v>59</v>
      </c>
      <c r="K12">
        <v>22</v>
      </c>
      <c r="M12">
        <f t="shared" si="1"/>
        <v>6</v>
      </c>
      <c r="N12">
        <f t="shared" si="2"/>
        <v>17.922450714066755</v>
      </c>
      <c r="O12">
        <f t="shared" si="3"/>
        <v>142.14483102935088</v>
      </c>
      <c r="Q12" s="7"/>
      <c r="R12" s="7"/>
      <c r="S12" s="7"/>
    </row>
    <row r="13" spans="1:19" x14ac:dyDescent="0.35">
      <c r="A13" s="4" t="s">
        <v>59</v>
      </c>
      <c r="B13" s="4">
        <v>-4.8657415726630902</v>
      </c>
      <c r="C13" s="4">
        <f t="shared" si="0"/>
        <v>8</v>
      </c>
      <c r="D13" s="4"/>
      <c r="E13" s="4"/>
      <c r="G13" s="9">
        <v>2</v>
      </c>
      <c r="H13" t="s">
        <v>20</v>
      </c>
      <c r="I13">
        <v>33</v>
      </c>
      <c r="J13" t="s">
        <v>22</v>
      </c>
      <c r="K13">
        <v>25</v>
      </c>
      <c r="M13">
        <f t="shared" si="1"/>
        <v>8</v>
      </c>
      <c r="N13">
        <f t="shared" si="2"/>
        <v>14.635412753999924</v>
      </c>
      <c r="O13">
        <f t="shared" si="3"/>
        <v>44.028702415944863</v>
      </c>
      <c r="Q13" s="7"/>
      <c r="R13" s="7"/>
      <c r="S13" s="7"/>
    </row>
    <row r="14" spans="1:19" x14ac:dyDescent="0.35">
      <c r="A14" s="4" t="s">
        <v>18</v>
      </c>
      <c r="B14" s="4">
        <v>-6.1435127149775708</v>
      </c>
      <c r="C14" s="4">
        <f t="shared" si="0"/>
        <v>9</v>
      </c>
      <c r="D14" s="4"/>
      <c r="E14" s="4"/>
      <c r="G14" s="9">
        <v>2</v>
      </c>
      <c r="H14" t="s">
        <v>21</v>
      </c>
      <c r="I14">
        <v>35</v>
      </c>
      <c r="J14" t="s">
        <v>18</v>
      </c>
      <c r="K14">
        <v>14</v>
      </c>
      <c r="M14">
        <f t="shared" si="1"/>
        <v>21</v>
      </c>
      <c r="N14">
        <f t="shared" si="2"/>
        <v>14.200222243285054</v>
      </c>
      <c r="O14">
        <f t="shared" si="3"/>
        <v>46.236977540715337</v>
      </c>
      <c r="Q14" s="7"/>
      <c r="R14" s="7"/>
      <c r="S14" s="7"/>
    </row>
    <row r="15" spans="1:19" x14ac:dyDescent="0.35">
      <c r="A15" s="4" t="s">
        <v>19</v>
      </c>
      <c r="B15" s="4">
        <v>-8.6342638613346203</v>
      </c>
      <c r="C15" s="4">
        <f t="shared" si="0"/>
        <v>10</v>
      </c>
      <c r="D15" s="4"/>
      <c r="E15" s="4"/>
      <c r="G15" s="9">
        <v>2</v>
      </c>
      <c r="H15" t="s">
        <v>60</v>
      </c>
      <c r="I15">
        <v>39</v>
      </c>
      <c r="J15" t="s">
        <v>61</v>
      </c>
      <c r="K15">
        <v>3</v>
      </c>
      <c r="M15">
        <f t="shared" si="1"/>
        <v>36</v>
      </c>
      <c r="N15">
        <f t="shared" si="2"/>
        <v>21.968754059377375</v>
      </c>
      <c r="O15">
        <f t="shared" si="3"/>
        <v>196.87586264623891</v>
      </c>
      <c r="Q15" s="7"/>
      <c r="R15" s="7"/>
      <c r="S15" s="7"/>
    </row>
    <row r="16" spans="1:19" x14ac:dyDescent="0.35">
      <c r="A16" s="4" t="s">
        <v>22</v>
      </c>
      <c r="B16" s="4">
        <v>-9.1898148399640149</v>
      </c>
      <c r="C16" s="4">
        <f t="shared" si="0"/>
        <v>11</v>
      </c>
      <c r="D16" s="4"/>
      <c r="E16" s="4"/>
      <c r="G16" s="9">
        <v>2</v>
      </c>
      <c r="H16" t="s">
        <v>23</v>
      </c>
      <c r="I16">
        <v>29</v>
      </c>
      <c r="J16" t="s">
        <v>26</v>
      </c>
      <c r="K16">
        <v>12</v>
      </c>
      <c r="M16">
        <f t="shared" si="1"/>
        <v>17</v>
      </c>
      <c r="N16">
        <f t="shared" si="2"/>
        <v>4.1446734787300983</v>
      </c>
      <c r="O16">
        <f t="shared" si="3"/>
        <v>165.25941996846532</v>
      </c>
      <c r="Q16" s="7"/>
      <c r="R16" s="7"/>
      <c r="S16" s="7"/>
    </row>
    <row r="17" spans="1:19" x14ac:dyDescent="0.35">
      <c r="A17" s="4" t="s">
        <v>61</v>
      </c>
      <c r="B17" s="4">
        <v>-17.199077304923598</v>
      </c>
      <c r="C17" s="4">
        <f t="shared" si="0"/>
        <v>12</v>
      </c>
      <c r="D17" s="4"/>
      <c r="E17" s="4"/>
      <c r="G17" s="9">
        <v>3</v>
      </c>
      <c r="H17" t="s">
        <v>22</v>
      </c>
      <c r="I17">
        <v>10</v>
      </c>
      <c r="J17" t="s">
        <v>24</v>
      </c>
      <c r="K17">
        <v>35</v>
      </c>
      <c r="M17">
        <f t="shared" si="1"/>
        <v>-25</v>
      </c>
      <c r="N17">
        <f t="shared" si="2"/>
        <v>-15.642361478528073</v>
      </c>
      <c r="O17">
        <f t="shared" si="3"/>
        <v>87.565398698535304</v>
      </c>
      <c r="Q17" s="7"/>
      <c r="R17" s="7"/>
      <c r="S17" s="7"/>
    </row>
    <row r="18" spans="1:19" x14ac:dyDescent="0.35">
      <c r="G18" s="9">
        <v>3</v>
      </c>
      <c r="H18" t="s">
        <v>59</v>
      </c>
      <c r="I18">
        <v>29</v>
      </c>
      <c r="J18" t="s">
        <v>18</v>
      </c>
      <c r="K18">
        <v>16</v>
      </c>
      <c r="M18">
        <f t="shared" si="1"/>
        <v>13</v>
      </c>
      <c r="N18">
        <f t="shared" si="2"/>
        <v>4.5798523937342832</v>
      </c>
      <c r="O18">
        <f t="shared" si="3"/>
        <v>70.898885711302285</v>
      </c>
      <c r="Q18" s="7"/>
      <c r="R18" s="7"/>
      <c r="S18" s="7"/>
    </row>
    <row r="19" spans="1:19" x14ac:dyDescent="0.35">
      <c r="G19" s="9">
        <v>3</v>
      </c>
      <c r="H19" t="s">
        <v>19</v>
      </c>
      <c r="I19">
        <v>10</v>
      </c>
      <c r="J19" t="s">
        <v>20</v>
      </c>
      <c r="K19">
        <v>14</v>
      </c>
      <c r="M19">
        <f t="shared" si="1"/>
        <v>-4</v>
      </c>
      <c r="N19">
        <f t="shared" si="2"/>
        <v>-7.4756992725309228</v>
      </c>
      <c r="O19">
        <f t="shared" si="3"/>
        <v>12.080485433071987</v>
      </c>
    </row>
    <row r="20" spans="1:19" x14ac:dyDescent="0.35">
      <c r="G20" s="9">
        <v>3</v>
      </c>
      <c r="H20" t="s">
        <v>21</v>
      </c>
      <c r="I20">
        <v>31</v>
      </c>
      <c r="J20" t="s">
        <v>23</v>
      </c>
      <c r="K20">
        <v>26</v>
      </c>
      <c r="M20">
        <f t="shared" si="1"/>
        <v>5</v>
      </c>
      <c r="N20">
        <f t="shared" si="2"/>
        <v>-7.6979185504460261</v>
      </c>
      <c r="O20">
        <f t="shared" si="3"/>
        <v>161.2371355137613</v>
      </c>
    </row>
    <row r="21" spans="1:19" x14ac:dyDescent="0.35">
      <c r="G21" s="9">
        <v>3</v>
      </c>
      <c r="H21" t="s">
        <v>60</v>
      </c>
      <c r="I21">
        <v>34</v>
      </c>
      <c r="J21" t="s">
        <v>17</v>
      </c>
      <c r="K21">
        <v>8</v>
      </c>
      <c r="M21">
        <f t="shared" si="1"/>
        <v>26</v>
      </c>
      <c r="N21">
        <f t="shared" si="2"/>
        <v>7.5242984569876494</v>
      </c>
      <c r="O21">
        <f t="shared" si="3"/>
        <v>341.35154750646888</v>
      </c>
    </row>
    <row r="22" spans="1:19" x14ac:dyDescent="0.35">
      <c r="G22" s="9">
        <v>4</v>
      </c>
      <c r="H22" t="s">
        <v>26</v>
      </c>
      <c r="I22">
        <v>34</v>
      </c>
      <c r="J22" t="s">
        <v>17</v>
      </c>
      <c r="K22">
        <v>31</v>
      </c>
      <c r="M22">
        <f t="shared" si="1"/>
        <v>3</v>
      </c>
      <c r="N22">
        <f t="shared" si="2"/>
        <v>20.968738805396889</v>
      </c>
      <c r="O22">
        <f t="shared" si="3"/>
        <v>322.87557425657599</v>
      </c>
    </row>
    <row r="23" spans="1:19" x14ac:dyDescent="0.35">
      <c r="G23" s="9">
        <v>4</v>
      </c>
      <c r="H23" t="s">
        <v>19</v>
      </c>
      <c r="I23">
        <v>26</v>
      </c>
      <c r="J23" t="s">
        <v>61</v>
      </c>
      <c r="K23">
        <v>27</v>
      </c>
      <c r="M23">
        <f t="shared" si="1"/>
        <v>-1</v>
      </c>
      <c r="N23">
        <f t="shared" si="2"/>
        <v>11.866894695008781</v>
      </c>
      <c r="O23">
        <f t="shared" si="3"/>
        <v>165.55697909244512</v>
      </c>
      <c r="Q23" s="5"/>
    </row>
    <row r="24" spans="1:19" x14ac:dyDescent="0.35">
      <c r="G24" s="9">
        <v>4</v>
      </c>
      <c r="H24" t="s">
        <v>23</v>
      </c>
      <c r="I24">
        <v>22</v>
      </c>
      <c r="J24" t="s">
        <v>22</v>
      </c>
      <c r="K24">
        <v>0</v>
      </c>
      <c r="M24">
        <f>$I24-$K24</f>
        <v>22</v>
      </c>
      <c r="N24">
        <f t="shared" si="2"/>
        <v>28.246524170137327</v>
      </c>
      <c r="O24">
        <f t="shared" si="3"/>
        <v>39.019064208109825</v>
      </c>
    </row>
    <row r="25" spans="1:19" x14ac:dyDescent="0.35">
      <c r="G25" s="9">
        <v>4</v>
      </c>
      <c r="H25" t="s">
        <v>24</v>
      </c>
      <c r="I25">
        <v>24</v>
      </c>
      <c r="J25" t="s">
        <v>21</v>
      </c>
      <c r="K25">
        <v>12</v>
      </c>
      <c r="M25">
        <f t="shared" si="1"/>
        <v>12</v>
      </c>
      <c r="N25">
        <f t="shared" si="2"/>
        <v>8.302080864515986</v>
      </c>
      <c r="O25">
        <f t="shared" si="3"/>
        <v>13.674605932578837</v>
      </c>
    </row>
    <row r="26" spans="1:19" x14ac:dyDescent="0.35">
      <c r="G26" s="9">
        <v>4</v>
      </c>
      <c r="H26" t="s">
        <v>18</v>
      </c>
      <c r="I26">
        <v>31</v>
      </c>
      <c r="J26" t="s">
        <v>60</v>
      </c>
      <c r="K26">
        <v>5</v>
      </c>
      <c r="M26">
        <f t="shared" si="1"/>
        <v>26</v>
      </c>
      <c r="N26">
        <f t="shared" si="2"/>
        <v>-4.3090269665917411</v>
      </c>
      <c r="O26">
        <f t="shared" si="3"/>
        <v>918.63711566158531</v>
      </c>
    </row>
    <row r="27" spans="1:19" x14ac:dyDescent="0.35">
      <c r="G27" s="9">
        <v>5</v>
      </c>
      <c r="H27" t="s">
        <v>18</v>
      </c>
      <c r="I27">
        <v>37</v>
      </c>
      <c r="J27" t="s">
        <v>20</v>
      </c>
      <c r="K27">
        <v>14</v>
      </c>
      <c r="M27">
        <f t="shared" si="1"/>
        <v>23</v>
      </c>
      <c r="N27">
        <f t="shared" si="2"/>
        <v>-4.9849481261738742</v>
      </c>
      <c r="O27">
        <f t="shared" si="3"/>
        <v>783.15732162464269</v>
      </c>
    </row>
    <row r="28" spans="1:19" x14ac:dyDescent="0.35">
      <c r="G28" s="9">
        <v>5</v>
      </c>
      <c r="H28" t="s">
        <v>59</v>
      </c>
      <c r="I28">
        <v>10</v>
      </c>
      <c r="J28" t="s">
        <v>23</v>
      </c>
      <c r="K28">
        <v>35</v>
      </c>
      <c r="M28">
        <f t="shared" si="1"/>
        <v>-25</v>
      </c>
      <c r="N28">
        <f t="shared" si="2"/>
        <v>-17.318288399996796</v>
      </c>
      <c r="O28">
        <f t="shared" si="3"/>
        <v>59.008693105623792</v>
      </c>
    </row>
    <row r="29" spans="1:19" x14ac:dyDescent="0.35">
      <c r="G29" s="9">
        <v>5</v>
      </c>
      <c r="H29" t="s">
        <v>19</v>
      </c>
      <c r="I29">
        <v>24</v>
      </c>
      <c r="J29" t="s">
        <v>22</v>
      </c>
      <c r="K29">
        <v>22</v>
      </c>
      <c r="M29">
        <f t="shared" si="1"/>
        <v>2</v>
      </c>
      <c r="N29">
        <f t="shared" si="2"/>
        <v>3.8576322300491981</v>
      </c>
      <c r="O29">
        <f t="shared" si="3"/>
        <v>3.450797502117557</v>
      </c>
    </row>
    <row r="30" spans="1:19" x14ac:dyDescent="0.35">
      <c r="G30" s="9">
        <v>5</v>
      </c>
      <c r="H30" t="s">
        <v>17</v>
      </c>
      <c r="I30">
        <v>29</v>
      </c>
      <c r="J30" t="s">
        <v>61</v>
      </c>
      <c r="K30">
        <v>3</v>
      </c>
      <c r="M30">
        <f t="shared" si="1"/>
        <v>26</v>
      </c>
      <c r="N30">
        <f t="shared" si="2"/>
        <v>17.746536853809527</v>
      </c>
      <c r="O30">
        <f t="shared" si="3"/>
        <v>68.119653905524345</v>
      </c>
    </row>
    <row r="31" spans="1:19" x14ac:dyDescent="0.35">
      <c r="G31" s="9">
        <v>5</v>
      </c>
      <c r="H31" t="s">
        <v>60</v>
      </c>
      <c r="I31">
        <v>18</v>
      </c>
      <c r="J31" t="s">
        <v>26</v>
      </c>
      <c r="K31">
        <v>33</v>
      </c>
      <c r="M31">
        <f t="shared" si="1"/>
        <v>-15</v>
      </c>
      <c r="N31">
        <f t="shared" si="2"/>
        <v>-10.142359096989438</v>
      </c>
      <c r="O31">
        <f t="shared" si="3"/>
        <v>23.596675142601271</v>
      </c>
    </row>
    <row r="32" spans="1:19" x14ac:dyDescent="0.35">
      <c r="G32" s="9">
        <v>6</v>
      </c>
      <c r="H32" t="s">
        <v>17</v>
      </c>
      <c r="I32">
        <v>17</v>
      </c>
      <c r="J32" t="s">
        <v>18</v>
      </c>
      <c r="K32">
        <v>20</v>
      </c>
      <c r="M32">
        <f t="shared" si="1"/>
        <v>-3</v>
      </c>
      <c r="N32">
        <f t="shared" si="2"/>
        <v>6.6909722638635003</v>
      </c>
      <c r="O32">
        <f t="shared" si="3"/>
        <v>93.91494341897166</v>
      </c>
    </row>
    <row r="33" spans="7:15" x14ac:dyDescent="0.35">
      <c r="G33" s="9">
        <v>6</v>
      </c>
      <c r="H33" t="s">
        <v>26</v>
      </c>
      <c r="I33">
        <v>10</v>
      </c>
      <c r="J33" t="s">
        <v>22</v>
      </c>
      <c r="K33">
        <v>9</v>
      </c>
      <c r="M33">
        <f t="shared" si="1"/>
        <v>1</v>
      </c>
      <c r="N33">
        <f t="shared" si="2"/>
        <v>27.403931942827032</v>
      </c>
      <c r="O33">
        <f t="shared" si="3"/>
        <v>697.16762204144175</v>
      </c>
    </row>
    <row r="34" spans="7:15" x14ac:dyDescent="0.35">
      <c r="G34" s="9">
        <v>6</v>
      </c>
      <c r="H34" t="s">
        <v>20</v>
      </c>
      <c r="I34">
        <v>47</v>
      </c>
      <c r="J34" t="s">
        <v>61</v>
      </c>
      <c r="K34">
        <v>19</v>
      </c>
      <c r="M34">
        <f t="shared" si="1"/>
        <v>28</v>
      </c>
      <c r="N34">
        <f t="shared" si="2"/>
        <v>22.644675218959506</v>
      </c>
      <c r="O34">
        <f t="shared" si="3"/>
        <v>28.679503510426414</v>
      </c>
    </row>
    <row r="35" spans="7:15" x14ac:dyDescent="0.35">
      <c r="G35" s="9">
        <v>6</v>
      </c>
      <c r="H35" t="s">
        <v>21</v>
      </c>
      <c r="I35">
        <v>40</v>
      </c>
      <c r="J35" t="s">
        <v>59</v>
      </c>
      <c r="K35">
        <v>28</v>
      </c>
      <c r="M35">
        <f t="shared" si="1"/>
        <v>12</v>
      </c>
      <c r="N35">
        <f t="shared" si="2"/>
        <v>12.922451100970573</v>
      </c>
      <c r="O35">
        <f t="shared" si="3"/>
        <v>0.85091603368182211</v>
      </c>
    </row>
    <row r="36" spans="7:15" x14ac:dyDescent="0.35">
      <c r="G36" s="9">
        <v>6</v>
      </c>
      <c r="H36" t="s">
        <v>19</v>
      </c>
      <c r="I36">
        <v>5</v>
      </c>
      <c r="J36" t="s">
        <v>24</v>
      </c>
      <c r="K36">
        <v>27</v>
      </c>
      <c r="M36">
        <f t="shared" si="1"/>
        <v>-22</v>
      </c>
      <c r="N36">
        <f t="shared" si="2"/>
        <v>-15.086810499898679</v>
      </c>
      <c r="O36">
        <f t="shared" si="3"/>
        <v>47.79218906431116</v>
      </c>
    </row>
    <row r="37" spans="7:15" x14ac:dyDescent="0.35">
      <c r="G37" s="9">
        <v>7</v>
      </c>
      <c r="H37" t="s">
        <v>20</v>
      </c>
      <c r="I37">
        <v>26</v>
      </c>
      <c r="J37" t="s">
        <v>26</v>
      </c>
      <c r="K37">
        <v>24</v>
      </c>
      <c r="M37">
        <f t="shared" si="1"/>
        <v>2</v>
      </c>
      <c r="N37">
        <f t="shared" si="2"/>
        <v>-9.4664379374073047</v>
      </c>
      <c r="O37">
        <f t="shared" si="3"/>
        <v>131.47919897241349</v>
      </c>
    </row>
    <row r="38" spans="7:15" x14ac:dyDescent="0.35">
      <c r="G38" s="9">
        <v>7</v>
      </c>
      <c r="H38" t="s">
        <v>22</v>
      </c>
      <c r="I38">
        <v>14</v>
      </c>
      <c r="J38" t="s">
        <v>61</v>
      </c>
      <c r="K38">
        <v>11</v>
      </c>
      <c r="M38">
        <f t="shared" si="1"/>
        <v>3</v>
      </c>
      <c r="N38">
        <f t="shared" si="2"/>
        <v>11.311343716379387</v>
      </c>
      <c r="O38">
        <f t="shared" si="3"/>
        <v>69.078434371799119</v>
      </c>
    </row>
    <row r="39" spans="7:15" x14ac:dyDescent="0.35">
      <c r="G39" s="9">
        <v>7</v>
      </c>
      <c r="H39" t="s">
        <v>19</v>
      </c>
      <c r="I39">
        <v>21</v>
      </c>
      <c r="J39" t="s">
        <v>21</v>
      </c>
      <c r="K39">
        <v>38</v>
      </c>
      <c r="M39">
        <f t="shared" si="1"/>
        <v>-17</v>
      </c>
      <c r="N39">
        <f t="shared" si="2"/>
        <v>-10.086810886802496</v>
      </c>
      <c r="O39">
        <f t="shared" si="3"/>
        <v>47.79218371483249</v>
      </c>
    </row>
    <row r="40" spans="7:15" x14ac:dyDescent="0.35">
      <c r="G40" s="9">
        <v>7</v>
      </c>
      <c r="H40" t="s">
        <v>18</v>
      </c>
      <c r="I40">
        <v>35</v>
      </c>
      <c r="J40" t="s">
        <v>24</v>
      </c>
      <c r="K40">
        <v>36</v>
      </c>
      <c r="M40">
        <f t="shared" si="1"/>
        <v>-1</v>
      </c>
      <c r="N40">
        <f t="shared" si="2"/>
        <v>-12.59605935354163</v>
      </c>
      <c r="O40">
        <f t="shared" si="3"/>
        <v>134.46859253086032</v>
      </c>
    </row>
    <row r="41" spans="7:15" x14ac:dyDescent="0.35">
      <c r="G41" s="9">
        <v>7</v>
      </c>
      <c r="H41" t="s">
        <v>60</v>
      </c>
      <c r="I41">
        <v>31</v>
      </c>
      <c r="J41" t="s">
        <v>59</v>
      </c>
      <c r="K41">
        <v>20</v>
      </c>
      <c r="M41">
        <f t="shared" si="1"/>
        <v>11</v>
      </c>
      <c r="N41">
        <f t="shared" si="2"/>
        <v>9.6354183271168665</v>
      </c>
      <c r="O41">
        <f t="shared" si="3"/>
        <v>1.8620831419685311</v>
      </c>
    </row>
    <row r="42" spans="7:15" x14ac:dyDescent="0.35">
      <c r="G42" s="9">
        <v>7</v>
      </c>
      <c r="H42" t="s">
        <v>23</v>
      </c>
      <c r="I42">
        <v>48</v>
      </c>
      <c r="J42" t="s">
        <v>17</v>
      </c>
      <c r="K42">
        <v>26</v>
      </c>
      <c r="M42">
        <f t="shared" si="1"/>
        <v>22</v>
      </c>
      <c r="N42">
        <f t="shared" si="2"/>
        <v>21.811331032707187</v>
      </c>
      <c r="O42">
        <f t="shared" si="3"/>
        <v>3.5595979219336465E-2</v>
      </c>
    </row>
    <row r="43" spans="7:15" x14ac:dyDescent="0.35">
      <c r="G43" s="9">
        <v>8</v>
      </c>
      <c r="H43" t="s">
        <v>26</v>
      </c>
      <c r="I43">
        <v>31</v>
      </c>
      <c r="J43" t="s">
        <v>19</v>
      </c>
      <c r="K43">
        <v>19</v>
      </c>
      <c r="M43">
        <f t="shared" si="1"/>
        <v>12</v>
      </c>
      <c r="N43">
        <f t="shared" si="2"/>
        <v>26.848380964197638</v>
      </c>
      <c r="O43">
        <f t="shared" si="3"/>
        <v>220.47441725794678</v>
      </c>
    </row>
    <row r="44" spans="7:15" x14ac:dyDescent="0.35">
      <c r="G44" s="9">
        <v>8</v>
      </c>
      <c r="H44" t="s">
        <v>61</v>
      </c>
      <c r="I44">
        <v>27</v>
      </c>
      <c r="J44" t="s">
        <v>60</v>
      </c>
      <c r="K44">
        <v>29</v>
      </c>
      <c r="M44">
        <f t="shared" si="1"/>
        <v>-2</v>
      </c>
      <c r="N44">
        <f t="shared" si="2"/>
        <v>-15.364591556537768</v>
      </c>
      <c r="O44">
        <f t="shared" si="3"/>
        <v>178.61230747308059</v>
      </c>
    </row>
    <row r="45" spans="7:15" x14ac:dyDescent="0.35">
      <c r="G45" s="9">
        <v>8</v>
      </c>
      <c r="H45" t="s">
        <v>59</v>
      </c>
      <c r="I45">
        <v>35</v>
      </c>
      <c r="J45" t="s">
        <v>17</v>
      </c>
      <c r="K45">
        <v>27</v>
      </c>
      <c r="M45">
        <f t="shared" si="1"/>
        <v>8</v>
      </c>
      <c r="N45">
        <f t="shared" si="2"/>
        <v>1.1909613812905859</v>
      </c>
      <c r="O45">
        <f t="shared" si="3"/>
        <v>46.363006911076198</v>
      </c>
    </row>
    <row r="46" spans="7:15" x14ac:dyDescent="0.35">
      <c r="G46" s="9">
        <v>8</v>
      </c>
      <c r="H46" t="s">
        <v>21</v>
      </c>
      <c r="I46">
        <v>24</v>
      </c>
      <c r="J46" t="s">
        <v>20</v>
      </c>
      <c r="K46">
        <v>30</v>
      </c>
      <c r="M46">
        <f t="shared" si="1"/>
        <v>-6</v>
      </c>
      <c r="N46">
        <f t="shared" si="2"/>
        <v>5.9131928656913768</v>
      </c>
      <c r="O46">
        <f t="shared" si="3"/>
        <v>141.92416425515992</v>
      </c>
    </row>
    <row r="47" spans="7:15" x14ac:dyDescent="0.35">
      <c r="G47" s="9">
        <v>8</v>
      </c>
      <c r="H47" t="s">
        <v>24</v>
      </c>
      <c r="I47">
        <v>20</v>
      </c>
      <c r="J47" t="s">
        <v>23</v>
      </c>
      <c r="K47">
        <v>23</v>
      </c>
      <c r="M47">
        <f t="shared" si="1"/>
        <v>-3</v>
      </c>
      <c r="N47">
        <f t="shared" si="2"/>
        <v>-2.6979189373498436</v>
      </c>
      <c r="O47">
        <f t="shared" si="3"/>
        <v>9.125296841184774E-2</v>
      </c>
    </row>
    <row r="48" spans="7:15" x14ac:dyDescent="0.35">
      <c r="G48" s="9">
        <v>9</v>
      </c>
      <c r="H48" t="s">
        <v>61</v>
      </c>
      <c r="I48">
        <v>5</v>
      </c>
      <c r="J48" t="s">
        <v>26</v>
      </c>
      <c r="K48">
        <v>80</v>
      </c>
      <c r="M48">
        <f t="shared" si="1"/>
        <v>-75</v>
      </c>
      <c r="N48">
        <f t="shared" si="2"/>
        <v>-28.809031904947009</v>
      </c>
      <c r="O48">
        <f t="shared" si="3"/>
        <v>2133.6055335582037</v>
      </c>
    </row>
    <row r="49" spans="7:15" x14ac:dyDescent="0.35">
      <c r="G49" s="9">
        <v>9</v>
      </c>
      <c r="H49" t="s">
        <v>21</v>
      </c>
      <c r="I49">
        <v>33</v>
      </c>
      <c r="J49" t="s">
        <v>22</v>
      </c>
      <c r="K49">
        <v>21</v>
      </c>
      <c r="M49">
        <f t="shared" si="1"/>
        <v>12</v>
      </c>
      <c r="N49">
        <f t="shared" si="2"/>
        <v>17.246524368271498</v>
      </c>
      <c r="O49">
        <f t="shared" si="3"/>
        <v>27.526017946866638</v>
      </c>
    </row>
    <row r="50" spans="7:15" x14ac:dyDescent="0.35">
      <c r="G50" s="9">
        <v>9</v>
      </c>
      <c r="H50" t="s">
        <v>18</v>
      </c>
      <c r="I50">
        <v>7</v>
      </c>
      <c r="J50" t="s">
        <v>59</v>
      </c>
      <c r="K50">
        <v>23</v>
      </c>
      <c r="M50">
        <f t="shared" si="1"/>
        <v>-16</v>
      </c>
      <c r="N50">
        <f t="shared" si="2"/>
        <v>2.0243101091053224</v>
      </c>
      <c r="O50">
        <f t="shared" si="3"/>
        <v>324.8757549091963</v>
      </c>
    </row>
    <row r="51" spans="7:15" x14ac:dyDescent="0.35">
      <c r="G51" s="9">
        <v>9</v>
      </c>
      <c r="H51" t="s">
        <v>20</v>
      </c>
      <c r="I51">
        <v>41</v>
      </c>
      <c r="J51" t="s">
        <v>24</v>
      </c>
      <c r="K51">
        <v>35</v>
      </c>
      <c r="M51">
        <f t="shared" si="1"/>
        <v>6</v>
      </c>
      <c r="N51">
        <f t="shared" si="2"/>
        <v>-4.3090299759479525</v>
      </c>
      <c r="O51">
        <f t="shared" si="3"/>
        <v>106.27609904499344</v>
      </c>
    </row>
    <row r="52" spans="7:15" x14ac:dyDescent="0.35">
      <c r="G52" s="9">
        <v>9</v>
      </c>
      <c r="H52" t="s">
        <v>17</v>
      </c>
      <c r="I52">
        <v>42</v>
      </c>
      <c r="J52" t="s">
        <v>60</v>
      </c>
      <c r="K52">
        <v>31</v>
      </c>
      <c r="M52">
        <f t="shared" si="1"/>
        <v>11</v>
      </c>
      <c r="N52">
        <f t="shared" si="2"/>
        <v>-0.92013595414804317</v>
      </c>
      <c r="O52">
        <f t="shared" si="3"/>
        <v>142.08964116537285</v>
      </c>
    </row>
    <row r="53" spans="7:15" x14ac:dyDescent="0.35">
      <c r="G53" s="9">
        <v>9</v>
      </c>
      <c r="H53" t="s">
        <v>23</v>
      </c>
      <c r="I53">
        <v>48</v>
      </c>
      <c r="J53" t="s">
        <v>19</v>
      </c>
      <c r="K53">
        <v>24</v>
      </c>
      <c r="M53">
        <f t="shared" si="1"/>
        <v>24</v>
      </c>
      <c r="N53">
        <f t="shared" si="2"/>
        <v>27.690973191507933</v>
      </c>
      <c r="O53">
        <f t="shared" si="3"/>
        <v>13.623283100430255</v>
      </c>
    </row>
    <row r="54" spans="7:15" x14ac:dyDescent="0.35">
      <c r="G54" s="9">
        <v>10</v>
      </c>
      <c r="H54" t="s">
        <v>26</v>
      </c>
      <c r="I54">
        <v>23</v>
      </c>
      <c r="J54" t="s">
        <v>59</v>
      </c>
      <c r="K54">
        <v>13</v>
      </c>
      <c r="M54">
        <f t="shared" si="1"/>
        <v>10</v>
      </c>
      <c r="N54">
        <f t="shared" si="2"/>
        <v>23.079858675526108</v>
      </c>
      <c r="O54">
        <f t="shared" si="3"/>
        <v>171.08270297173559</v>
      </c>
    </row>
    <row r="55" spans="7:15" x14ac:dyDescent="0.35">
      <c r="G55" s="9">
        <v>10</v>
      </c>
      <c r="H55" t="s">
        <v>17</v>
      </c>
      <c r="I55">
        <v>36</v>
      </c>
      <c r="J55" t="s">
        <v>20</v>
      </c>
      <c r="K55">
        <v>22</v>
      </c>
      <c r="M55">
        <f t="shared" si="1"/>
        <v>14</v>
      </c>
      <c r="N55">
        <f t="shared" si="2"/>
        <v>-1.5960571137301764</v>
      </c>
      <c r="O55">
        <f t="shared" si="3"/>
        <v>243.2369974947336</v>
      </c>
    </row>
    <row r="56" spans="7:15" x14ac:dyDescent="0.35">
      <c r="G56" s="9">
        <v>10</v>
      </c>
      <c r="H56" t="s">
        <v>22</v>
      </c>
      <c r="I56">
        <v>38</v>
      </c>
      <c r="J56" t="s">
        <v>23</v>
      </c>
      <c r="K56">
        <v>47</v>
      </c>
      <c r="M56">
        <f t="shared" si="1"/>
        <v>-9</v>
      </c>
      <c r="N56">
        <f t="shared" si="2"/>
        <v>-21.64236166729772</v>
      </c>
      <c r="O56">
        <f t="shared" si="3"/>
        <v>159.82930852675881</v>
      </c>
    </row>
    <row r="57" spans="7:15" x14ac:dyDescent="0.35">
      <c r="G57" s="9">
        <v>10</v>
      </c>
      <c r="H57" t="s">
        <v>19</v>
      </c>
      <c r="I57">
        <v>24</v>
      </c>
      <c r="J57" t="s">
        <v>18</v>
      </c>
      <c r="K57">
        <v>37</v>
      </c>
      <c r="M57">
        <f t="shared" si="1"/>
        <v>-13</v>
      </c>
      <c r="N57">
        <f t="shared" si="2"/>
        <v>0.81133010506275394</v>
      </c>
      <c r="O57">
        <f t="shared" si="3"/>
        <v>190.75283927101276</v>
      </c>
    </row>
    <row r="58" spans="7:15" x14ac:dyDescent="0.35">
      <c r="G58" s="9">
        <v>10</v>
      </c>
      <c r="H58" t="s">
        <v>60</v>
      </c>
      <c r="I58">
        <v>27</v>
      </c>
      <c r="J58" t="s">
        <v>21</v>
      </c>
      <c r="K58">
        <v>34</v>
      </c>
      <c r="M58">
        <f t="shared" si="1"/>
        <v>-7</v>
      </c>
      <c r="N58">
        <f t="shared" si="2"/>
        <v>1.5048477566096174E-2</v>
      </c>
      <c r="O58">
        <f t="shared" si="3"/>
        <v>49.210905142602407</v>
      </c>
    </row>
    <row r="59" spans="7:15" x14ac:dyDescent="0.35">
      <c r="G59" s="9">
        <v>10</v>
      </c>
      <c r="H59" t="s">
        <v>61</v>
      </c>
      <c r="I59">
        <v>27</v>
      </c>
      <c r="J59" t="s">
        <v>24</v>
      </c>
      <c r="K59">
        <v>36</v>
      </c>
      <c r="M59">
        <f t="shared" si="1"/>
        <v>-9</v>
      </c>
      <c r="N59">
        <f t="shared" si="2"/>
        <v>-23.651623943487657</v>
      </c>
      <c r="O59">
        <f t="shared" si="3"/>
        <v>214.67008418138079</v>
      </c>
    </row>
    <row r="60" spans="7:15" x14ac:dyDescent="0.35">
      <c r="G60" s="9">
        <v>11</v>
      </c>
      <c r="H60" t="s">
        <v>24</v>
      </c>
      <c r="I60">
        <v>61</v>
      </c>
      <c r="J60" t="s">
        <v>22</v>
      </c>
      <c r="K60">
        <v>19</v>
      </c>
      <c r="M60">
        <f t="shared" si="1"/>
        <v>42</v>
      </c>
      <c r="N60">
        <f t="shared" si="2"/>
        <v>22.24652398136768</v>
      </c>
      <c r="O60">
        <f t="shared" si="3"/>
        <v>390.19981481868217</v>
      </c>
    </row>
    <row r="61" spans="7:15" x14ac:dyDescent="0.35">
      <c r="G61" s="9">
        <v>11</v>
      </c>
      <c r="H61" t="s">
        <v>18</v>
      </c>
      <c r="I61">
        <v>40</v>
      </c>
      <c r="J61" t="s">
        <v>61</v>
      </c>
      <c r="K61">
        <v>24</v>
      </c>
      <c r="M61">
        <f t="shared" si="1"/>
        <v>16</v>
      </c>
      <c r="N61">
        <f t="shared" si="2"/>
        <v>14.35764584136583</v>
      </c>
      <c r="O61">
        <f t="shared" si="3"/>
        <v>2.6973271823829519</v>
      </c>
    </row>
    <row r="62" spans="7:15" x14ac:dyDescent="0.35">
      <c r="G62" s="9">
        <v>11</v>
      </c>
      <c r="H62" t="s">
        <v>26</v>
      </c>
      <c r="I62">
        <v>8</v>
      </c>
      <c r="J62" t="s">
        <v>60</v>
      </c>
      <c r="K62">
        <v>0</v>
      </c>
      <c r="M62">
        <f t="shared" si="1"/>
        <v>8</v>
      </c>
      <c r="N62">
        <f t="shared" si="2"/>
        <v>16.746521599829045</v>
      </c>
      <c r="O62">
        <f t="shared" si="3"/>
        <v>76.501640096276034</v>
      </c>
    </row>
    <row r="63" spans="7:15" x14ac:dyDescent="0.35">
      <c r="G63" s="9">
        <v>11</v>
      </c>
      <c r="H63" t="s">
        <v>23</v>
      </c>
      <c r="I63">
        <v>29</v>
      </c>
      <c r="J63" t="s">
        <v>21</v>
      </c>
      <c r="K63">
        <v>16</v>
      </c>
      <c r="M63">
        <f t="shared" si="1"/>
        <v>13</v>
      </c>
      <c r="N63">
        <f t="shared" si="2"/>
        <v>14.302081053285633</v>
      </c>
      <c r="O63">
        <f t="shared" si="3"/>
        <v>1.6954150693254235</v>
      </c>
    </row>
    <row r="64" spans="7:15" x14ac:dyDescent="0.35">
      <c r="G64" s="9">
        <v>12</v>
      </c>
      <c r="H64" t="s">
        <v>59</v>
      </c>
      <c r="I64">
        <v>27</v>
      </c>
      <c r="J64" t="s">
        <v>19</v>
      </c>
      <c r="K64">
        <v>12</v>
      </c>
      <c r="M64">
        <f t="shared" si="1"/>
        <v>15</v>
      </c>
      <c r="N64">
        <f t="shared" si="2"/>
        <v>7.0706035400913336</v>
      </c>
      <c r="O64">
        <f t="shared" si="3"/>
        <v>62.875328218412093</v>
      </c>
    </row>
    <row r="65" spans="7:15" x14ac:dyDescent="0.35">
      <c r="G65" s="9">
        <v>12</v>
      </c>
      <c r="H65" t="s">
        <v>22</v>
      </c>
      <c r="I65">
        <v>3</v>
      </c>
      <c r="J65" t="s">
        <v>17</v>
      </c>
      <c r="K65">
        <v>7</v>
      </c>
      <c r="M65">
        <f t="shared" si="1"/>
        <v>-4</v>
      </c>
      <c r="N65">
        <f t="shared" si="2"/>
        <v>-3.1331118860103384</v>
      </c>
      <c r="O65">
        <f t="shared" si="3"/>
        <v>0.75149500217655252</v>
      </c>
    </row>
    <row r="66" spans="7:15" x14ac:dyDescent="0.35">
      <c r="G66" s="9">
        <v>12</v>
      </c>
      <c r="H66" t="s">
        <v>20</v>
      </c>
      <c r="I66">
        <v>16</v>
      </c>
      <c r="J66" t="s">
        <v>23</v>
      </c>
      <c r="K66">
        <v>26</v>
      </c>
      <c r="M66">
        <f t="shared" si="1"/>
        <v>-10</v>
      </c>
      <c r="N66">
        <f t="shared" si="2"/>
        <v>-10.309030164717599</v>
      </c>
      <c r="O66">
        <f t="shared" si="3"/>
        <v>9.5499642705386661E-2</v>
      </c>
    </row>
    <row r="67" spans="7:15" x14ac:dyDescent="0.35">
      <c r="G67" s="9">
        <v>12</v>
      </c>
      <c r="H67" t="s">
        <v>60</v>
      </c>
      <c r="I67">
        <v>54</v>
      </c>
      <c r="J67" t="s">
        <v>18</v>
      </c>
      <c r="K67">
        <v>19</v>
      </c>
      <c r="M67">
        <f t="shared" si="1"/>
        <v>35</v>
      </c>
      <c r="N67">
        <f t="shared" si="2"/>
        <v>10.913189469431348</v>
      </c>
      <c r="O67">
        <f t="shared" si="3"/>
        <v>580.17444153551287</v>
      </c>
    </row>
    <row r="68" spans="7:15" x14ac:dyDescent="0.35">
      <c r="G68" s="9">
        <v>13</v>
      </c>
      <c r="H68" t="s">
        <v>61</v>
      </c>
      <c r="I68">
        <v>34</v>
      </c>
      <c r="J68" t="s">
        <v>59</v>
      </c>
      <c r="K68">
        <v>34</v>
      </c>
      <c r="M68">
        <f t="shared" si="1"/>
        <v>0</v>
      </c>
      <c r="N68">
        <f t="shared" si="2"/>
        <v>-9.0312544808407047</v>
      </c>
      <c r="O68">
        <f t="shared" si="3"/>
        <v>81.563557497705304</v>
      </c>
    </row>
    <row r="69" spans="7:15" x14ac:dyDescent="0.35">
      <c r="G69" s="9">
        <v>13</v>
      </c>
      <c r="H69" t="s">
        <v>22</v>
      </c>
      <c r="I69">
        <v>26</v>
      </c>
      <c r="J69" t="s">
        <v>20</v>
      </c>
      <c r="K69">
        <v>36</v>
      </c>
      <c r="M69">
        <f t="shared" si="1"/>
        <v>-10</v>
      </c>
      <c r="N69">
        <f t="shared" si="2"/>
        <v>-8.0312502511603174</v>
      </c>
      <c r="O69">
        <f t="shared" si="3"/>
        <v>3.8759755735563131</v>
      </c>
    </row>
    <row r="70" spans="7:15" x14ac:dyDescent="0.35">
      <c r="G70" s="9">
        <v>13</v>
      </c>
      <c r="H70" t="s">
        <v>18</v>
      </c>
      <c r="I70">
        <v>12</v>
      </c>
      <c r="J70" t="s">
        <v>23</v>
      </c>
      <c r="K70">
        <v>26</v>
      </c>
      <c r="M70">
        <f t="shared" si="1"/>
        <v>-14</v>
      </c>
      <c r="N70">
        <f t="shared" si="2"/>
        <v>-18.596059542311277</v>
      </c>
      <c r="O70">
        <f t="shared" si="3"/>
        <v>21.123763316470544</v>
      </c>
    </row>
    <row r="71" spans="7:15" x14ac:dyDescent="0.35">
      <c r="G71" s="9">
        <v>13</v>
      </c>
      <c r="H71" t="s">
        <v>21</v>
      </c>
      <c r="I71">
        <v>17</v>
      </c>
      <c r="J71" t="s">
        <v>24</v>
      </c>
      <c r="K71">
        <v>34</v>
      </c>
      <c r="M71">
        <f t="shared" ref="M71:M101" si="4">$I71-$K71</f>
        <v>-17</v>
      </c>
      <c r="N71">
        <f t="shared" ref="N71:N101" si="5">$G$3+VLOOKUP($H71,$A$6:$B$17,2,FALSE)-VLOOKUP($J71,$A$6:$B$17,2,FALSE)</f>
        <v>-1.6979183616763791</v>
      </c>
      <c r="O71">
        <f t="shared" ref="O71:O101" si="6">($M71-$N71)^2</f>
        <v>234.1537024659209</v>
      </c>
    </row>
    <row r="72" spans="7:15" x14ac:dyDescent="0.35">
      <c r="G72" s="9">
        <v>13</v>
      </c>
      <c r="H72" t="s">
        <v>17</v>
      </c>
      <c r="I72">
        <v>24</v>
      </c>
      <c r="J72" t="s">
        <v>26</v>
      </c>
      <c r="K72">
        <v>42</v>
      </c>
      <c r="M72">
        <f t="shared" si="4"/>
        <v>-18</v>
      </c>
      <c r="N72">
        <f t="shared" si="5"/>
        <v>-14.364576302557284</v>
      </c>
      <c r="O72">
        <f t="shared" si="6"/>
        <v>13.216305459928071</v>
      </c>
    </row>
    <row r="73" spans="7:15" x14ac:dyDescent="0.35">
      <c r="G73" s="9">
        <v>13</v>
      </c>
      <c r="H73" t="s">
        <v>19</v>
      </c>
      <c r="I73">
        <v>20</v>
      </c>
      <c r="J73" t="s">
        <v>60</v>
      </c>
      <c r="K73">
        <v>21</v>
      </c>
      <c r="M73">
        <f t="shared" si="4"/>
        <v>-1</v>
      </c>
      <c r="N73">
        <f t="shared" si="5"/>
        <v>-6.7997781129487898</v>
      </c>
      <c r="O73">
        <f t="shared" si="6"/>
        <v>33.637426159439826</v>
      </c>
    </row>
    <row r="74" spans="7:15" x14ac:dyDescent="0.35">
      <c r="G74" s="9">
        <v>14</v>
      </c>
      <c r="H74" t="s">
        <v>61</v>
      </c>
      <c r="I74">
        <v>29</v>
      </c>
      <c r="J74" t="s">
        <v>17</v>
      </c>
      <c r="K74">
        <v>29</v>
      </c>
      <c r="M74">
        <f t="shared" si="4"/>
        <v>0</v>
      </c>
      <c r="N74">
        <f t="shared" si="5"/>
        <v>-11.142374350969922</v>
      </c>
      <c r="O74">
        <f t="shared" si="6"/>
        <v>124.15250617715239</v>
      </c>
    </row>
    <row r="75" spans="7:15" x14ac:dyDescent="0.35">
      <c r="G75" s="9">
        <v>14</v>
      </c>
      <c r="H75" t="s">
        <v>59</v>
      </c>
      <c r="I75">
        <v>19</v>
      </c>
      <c r="J75" t="s">
        <v>22</v>
      </c>
      <c r="K75">
        <v>27</v>
      </c>
      <c r="M75">
        <f t="shared" si="4"/>
        <v>-8</v>
      </c>
      <c r="N75">
        <f t="shared" si="5"/>
        <v>7.6261545187207282</v>
      </c>
      <c r="O75">
        <f t="shared" si="6"/>
        <v>244.17670504293625</v>
      </c>
    </row>
    <row r="76" spans="7:15" x14ac:dyDescent="0.35">
      <c r="G76" s="9">
        <v>14</v>
      </c>
      <c r="H76" t="s">
        <v>20</v>
      </c>
      <c r="I76">
        <v>34</v>
      </c>
      <c r="J76" t="s">
        <v>21</v>
      </c>
      <c r="K76">
        <v>28</v>
      </c>
      <c r="M76">
        <f t="shared" si="4"/>
        <v>6</v>
      </c>
      <c r="N76">
        <f t="shared" si="5"/>
        <v>0.69096963714822923</v>
      </c>
      <c r="O76">
        <f t="shared" si="6"/>
        <v>28.185803393682004</v>
      </c>
    </row>
    <row r="77" spans="7:15" x14ac:dyDescent="0.35">
      <c r="G77" s="9">
        <v>14</v>
      </c>
      <c r="H77" t="s">
        <v>24</v>
      </c>
      <c r="I77">
        <v>35</v>
      </c>
      <c r="J77" t="s">
        <v>19</v>
      </c>
      <c r="K77">
        <v>13</v>
      </c>
      <c r="M77">
        <f t="shared" si="4"/>
        <v>22</v>
      </c>
      <c r="N77">
        <f t="shared" si="5"/>
        <v>21.690973002738286</v>
      </c>
      <c r="O77">
        <f t="shared" si="6"/>
        <v>9.5497685036591604E-2</v>
      </c>
    </row>
    <row r="78" spans="7:15" x14ac:dyDescent="0.35">
      <c r="G78" s="9">
        <v>14</v>
      </c>
      <c r="H78" t="s">
        <v>26</v>
      </c>
      <c r="I78">
        <v>50</v>
      </c>
      <c r="J78" t="s">
        <v>18</v>
      </c>
      <c r="K78">
        <v>3</v>
      </c>
      <c r="M78">
        <f t="shared" si="4"/>
        <v>47</v>
      </c>
      <c r="N78">
        <f t="shared" si="5"/>
        <v>24.357629817840589</v>
      </c>
      <c r="O78">
        <f t="shared" si="6"/>
        <v>512.67692746594162</v>
      </c>
    </row>
    <row r="79" spans="7:15" x14ac:dyDescent="0.35">
      <c r="G79" s="9">
        <v>15</v>
      </c>
      <c r="H79" t="s">
        <v>26</v>
      </c>
      <c r="I79">
        <v>57</v>
      </c>
      <c r="J79" t="s">
        <v>61</v>
      </c>
      <c r="K79">
        <v>20</v>
      </c>
      <c r="M79">
        <f t="shared" si="4"/>
        <v>37</v>
      </c>
      <c r="N79">
        <f t="shared" si="5"/>
        <v>35.413194407786619</v>
      </c>
      <c r="O79">
        <f t="shared" si="6"/>
        <v>2.5179519874796576</v>
      </c>
    </row>
    <row r="80" spans="7:15" x14ac:dyDescent="0.35">
      <c r="G80" s="9">
        <v>15</v>
      </c>
      <c r="H80" t="s">
        <v>17</v>
      </c>
      <c r="I80">
        <v>19</v>
      </c>
      <c r="J80" t="s">
        <v>24</v>
      </c>
      <c r="K80">
        <v>41</v>
      </c>
      <c r="M80">
        <f t="shared" si="4"/>
        <v>-22</v>
      </c>
      <c r="N80">
        <f t="shared" si="5"/>
        <v>-9.2071683410979315</v>
      </c>
      <c r="O80">
        <f t="shared" si="6"/>
        <v>163.65654185300704</v>
      </c>
    </row>
    <row r="81" spans="7:15" x14ac:dyDescent="0.35">
      <c r="G81" s="9">
        <v>15</v>
      </c>
      <c r="H81" t="s">
        <v>21</v>
      </c>
      <c r="I81">
        <v>40</v>
      </c>
      <c r="J81" t="s">
        <v>19</v>
      </c>
      <c r="K81">
        <v>33</v>
      </c>
      <c r="M81">
        <f t="shared" si="4"/>
        <v>7</v>
      </c>
      <c r="N81">
        <f t="shared" si="5"/>
        <v>16.690973389642103</v>
      </c>
      <c r="O81">
        <f t="shared" si="6"/>
        <v>93.91496523875135</v>
      </c>
    </row>
    <row r="82" spans="7:15" x14ac:dyDescent="0.35">
      <c r="G82" s="9">
        <v>15</v>
      </c>
      <c r="H82" t="s">
        <v>20</v>
      </c>
      <c r="I82">
        <v>28</v>
      </c>
      <c r="J82" t="s">
        <v>59</v>
      </c>
      <c r="K82">
        <v>12</v>
      </c>
      <c r="M82">
        <f t="shared" si="4"/>
        <v>16</v>
      </c>
      <c r="N82">
        <f t="shared" si="5"/>
        <v>10.311339486699</v>
      </c>
      <c r="O82">
        <f t="shared" si="6"/>
        <v>32.360858435590004</v>
      </c>
    </row>
    <row r="83" spans="7:15" x14ac:dyDescent="0.35">
      <c r="G83" s="9">
        <v>15</v>
      </c>
      <c r="H83" t="s">
        <v>23</v>
      </c>
      <c r="I83">
        <v>36</v>
      </c>
      <c r="J83" t="s">
        <v>60</v>
      </c>
      <c r="K83">
        <v>13</v>
      </c>
      <c r="M83">
        <f t="shared" si="4"/>
        <v>23</v>
      </c>
      <c r="N83">
        <f t="shared" si="5"/>
        <v>17.589113827139339</v>
      </c>
      <c r="O83">
        <f t="shared" si="6"/>
        <v>29.277689175654686</v>
      </c>
    </row>
    <row r="84" spans="7:15" x14ac:dyDescent="0.35">
      <c r="G84" s="9">
        <v>16</v>
      </c>
      <c r="H84" t="s">
        <v>59</v>
      </c>
      <c r="I84">
        <v>14</v>
      </c>
      <c r="J84" t="s">
        <v>26</v>
      </c>
      <c r="K84">
        <v>35</v>
      </c>
      <c r="M84">
        <f t="shared" si="4"/>
        <v>-21</v>
      </c>
      <c r="N84">
        <f t="shared" si="5"/>
        <v>-16.475696172686501</v>
      </c>
      <c r="O84">
        <f t="shared" si="6"/>
        <v>20.469325121843578</v>
      </c>
    </row>
    <row r="85" spans="7:15" x14ac:dyDescent="0.35">
      <c r="G85" s="9">
        <v>16</v>
      </c>
      <c r="H85" t="s">
        <v>18</v>
      </c>
      <c r="I85">
        <v>15</v>
      </c>
      <c r="J85" t="s">
        <v>17</v>
      </c>
      <c r="K85">
        <v>28</v>
      </c>
      <c r="M85">
        <f t="shared" si="4"/>
        <v>-13</v>
      </c>
      <c r="N85">
        <f t="shared" si="5"/>
        <v>-8.6809761023894705E-2</v>
      </c>
      <c r="O85">
        <f t="shared" si="6"/>
        <v>166.75048214798775</v>
      </c>
    </row>
    <row r="86" spans="7:15" x14ac:dyDescent="0.35">
      <c r="G86" s="9">
        <v>16</v>
      </c>
      <c r="H86" t="s">
        <v>61</v>
      </c>
      <c r="I86">
        <v>26</v>
      </c>
      <c r="J86" t="s">
        <v>21</v>
      </c>
      <c r="K86">
        <v>48</v>
      </c>
      <c r="M86">
        <f t="shared" si="4"/>
        <v>-22</v>
      </c>
      <c r="N86">
        <f t="shared" si="5"/>
        <v>-18.651624330391474</v>
      </c>
      <c r="O86">
        <f t="shared" si="6"/>
        <v>11.211619624826344</v>
      </c>
    </row>
    <row r="87" spans="7:15" x14ac:dyDescent="0.35">
      <c r="G87" s="9">
        <v>16</v>
      </c>
      <c r="H87" t="s">
        <v>19</v>
      </c>
      <c r="I87">
        <v>14</v>
      </c>
      <c r="J87" t="s">
        <v>23</v>
      </c>
      <c r="K87">
        <v>36</v>
      </c>
      <c r="M87">
        <f t="shared" si="4"/>
        <v>-22</v>
      </c>
      <c r="N87">
        <f t="shared" si="5"/>
        <v>-21.086810688668326</v>
      </c>
      <c r="O87">
        <f t="shared" si="6"/>
        <v>0.83391471833041753</v>
      </c>
    </row>
    <row r="88" spans="7:15" x14ac:dyDescent="0.35">
      <c r="G88" s="9">
        <v>16</v>
      </c>
      <c r="H88" t="s">
        <v>60</v>
      </c>
      <c r="I88">
        <v>43</v>
      </c>
      <c r="J88" t="s">
        <v>22</v>
      </c>
      <c r="K88">
        <v>14</v>
      </c>
      <c r="M88">
        <f t="shared" si="4"/>
        <v>29</v>
      </c>
      <c r="N88">
        <f t="shared" si="5"/>
        <v>13.959491594417791</v>
      </c>
      <c r="O88">
        <f t="shared" si="6"/>
        <v>226.21689309838908</v>
      </c>
    </row>
    <row r="89" spans="7:15" x14ac:dyDescent="0.35">
      <c r="G89" s="9">
        <v>16</v>
      </c>
      <c r="H89" t="s">
        <v>24</v>
      </c>
      <c r="I89">
        <v>27</v>
      </c>
      <c r="J89" t="s">
        <v>20</v>
      </c>
      <c r="K89">
        <v>20</v>
      </c>
      <c r="M89">
        <f t="shared" si="4"/>
        <v>7</v>
      </c>
      <c r="N89">
        <f t="shared" si="5"/>
        <v>10.913192478787559</v>
      </c>
      <c r="O89">
        <f t="shared" si="6"/>
        <v>15.313075376039523</v>
      </c>
    </row>
    <row r="90" spans="7:15" x14ac:dyDescent="0.35">
      <c r="G90" s="9">
        <v>17</v>
      </c>
      <c r="H90" t="s">
        <v>21</v>
      </c>
      <c r="I90">
        <v>31</v>
      </c>
      <c r="J90" t="s">
        <v>17</v>
      </c>
      <c r="K90">
        <v>7</v>
      </c>
      <c r="M90">
        <f t="shared" si="4"/>
        <v>24</v>
      </c>
      <c r="N90">
        <f t="shared" si="5"/>
        <v>10.811331230841356</v>
      </c>
      <c r="O90">
        <f t="shared" si="6"/>
        <v>173.9409839025806</v>
      </c>
    </row>
    <row r="91" spans="7:15" x14ac:dyDescent="0.35">
      <c r="G91" s="9">
        <v>17</v>
      </c>
      <c r="H91" t="s">
        <v>22</v>
      </c>
      <c r="I91">
        <v>10</v>
      </c>
      <c r="J91" t="s">
        <v>18</v>
      </c>
      <c r="K91">
        <v>15</v>
      </c>
      <c r="M91">
        <f t="shared" si="4"/>
        <v>-5</v>
      </c>
      <c r="N91">
        <f t="shared" si="5"/>
        <v>0.25577912643335932</v>
      </c>
      <c r="O91">
        <f t="shared" si="6"/>
        <v>27.623214225852607</v>
      </c>
    </row>
    <row r="92" spans="7:15" x14ac:dyDescent="0.35">
      <c r="G92" s="9">
        <v>17</v>
      </c>
      <c r="H92" t="s">
        <v>59</v>
      </c>
      <c r="I92">
        <v>24</v>
      </c>
      <c r="J92" t="s">
        <v>60</v>
      </c>
      <c r="K92">
        <v>39</v>
      </c>
      <c r="M92">
        <f t="shared" si="4"/>
        <v>-15</v>
      </c>
      <c r="N92">
        <f t="shared" si="5"/>
        <v>-3.0312558242772605</v>
      </c>
      <c r="O92">
        <f t="shared" si="6"/>
        <v>143.25083714389703</v>
      </c>
    </row>
    <row r="93" spans="7:15" x14ac:dyDescent="0.35">
      <c r="G93" s="9">
        <v>17</v>
      </c>
      <c r="H93" t="s">
        <v>20</v>
      </c>
      <c r="I93">
        <v>24</v>
      </c>
      <c r="J93" t="s">
        <v>19</v>
      </c>
      <c r="K93">
        <v>26</v>
      </c>
      <c r="M93">
        <f t="shared" si="4"/>
        <v>-2</v>
      </c>
      <c r="N93">
        <f t="shared" si="5"/>
        <v>14.07986177537053</v>
      </c>
      <c r="O93">
        <f t="shared" si="6"/>
        <v>258.56195471502235</v>
      </c>
    </row>
    <row r="94" spans="7:15" x14ac:dyDescent="0.35">
      <c r="G94" s="9">
        <v>17</v>
      </c>
      <c r="H94" t="s">
        <v>61</v>
      </c>
      <c r="I94">
        <v>17</v>
      </c>
      <c r="J94" t="s">
        <v>23</v>
      </c>
      <c r="K94">
        <v>50</v>
      </c>
      <c r="M94">
        <f t="shared" si="4"/>
        <v>-33</v>
      </c>
      <c r="N94">
        <f t="shared" si="5"/>
        <v>-29.651624132257304</v>
      </c>
      <c r="O94">
        <f t="shared" si="6"/>
        <v>11.211620951681654</v>
      </c>
    </row>
    <row r="95" spans="7:15" x14ac:dyDescent="0.35">
      <c r="G95" s="9">
        <v>17</v>
      </c>
      <c r="H95" t="s">
        <v>24</v>
      </c>
      <c r="I95">
        <v>26</v>
      </c>
      <c r="J95" t="s">
        <v>26</v>
      </c>
      <c r="K95">
        <v>34</v>
      </c>
      <c r="M95">
        <f t="shared" si="4"/>
        <v>-8</v>
      </c>
      <c r="N95">
        <f t="shared" si="5"/>
        <v>-1.8553267100395487</v>
      </c>
      <c r="O95">
        <f t="shared" si="6"/>
        <v>37.757009840353398</v>
      </c>
    </row>
    <row r="96" spans="7:15" x14ac:dyDescent="0.35">
      <c r="G96" s="9">
        <v>18</v>
      </c>
      <c r="H96" t="s">
        <v>22</v>
      </c>
      <c r="I96">
        <v>28</v>
      </c>
      <c r="J96" t="s">
        <v>19</v>
      </c>
      <c r="K96">
        <v>29</v>
      </c>
      <c r="M96">
        <f t="shared" si="4"/>
        <v>-1</v>
      </c>
      <c r="N96">
        <f t="shared" si="5"/>
        <v>2.7465302727904088</v>
      </c>
      <c r="O96">
        <f t="shared" si="6"/>
        <v>14.036489084934976</v>
      </c>
    </row>
    <row r="97" spans="7:15" x14ac:dyDescent="0.35">
      <c r="G97" s="9">
        <v>18</v>
      </c>
      <c r="H97" t="s">
        <v>17</v>
      </c>
      <c r="I97">
        <v>36</v>
      </c>
      <c r="J97" t="s">
        <v>59</v>
      </c>
      <c r="K97">
        <v>28</v>
      </c>
      <c r="M97">
        <f t="shared" si="4"/>
        <v>8</v>
      </c>
      <c r="N97">
        <f t="shared" si="5"/>
        <v>5.4132011215490206</v>
      </c>
      <c r="O97">
        <f t="shared" si="6"/>
        <v>6.6915284375552453</v>
      </c>
    </row>
    <row r="98" spans="7:15" x14ac:dyDescent="0.35">
      <c r="G98" s="9">
        <v>18</v>
      </c>
      <c r="H98" t="s">
        <v>61</v>
      </c>
      <c r="I98">
        <v>24</v>
      </c>
      <c r="J98" t="s">
        <v>18</v>
      </c>
      <c r="K98">
        <v>26</v>
      </c>
      <c r="M98">
        <f t="shared" si="4"/>
        <v>-2</v>
      </c>
      <c r="N98">
        <f t="shared" si="5"/>
        <v>-7.7534833385262241</v>
      </c>
      <c r="O98">
        <f t="shared" si="6"/>
        <v>33.102570526698862</v>
      </c>
    </row>
    <row r="99" spans="7:15" x14ac:dyDescent="0.35">
      <c r="G99" s="9">
        <v>18</v>
      </c>
      <c r="H99" t="s">
        <v>26</v>
      </c>
      <c r="I99">
        <v>47</v>
      </c>
      <c r="J99" t="s">
        <v>21</v>
      </c>
      <c r="K99">
        <v>24</v>
      </c>
      <c r="M99">
        <f t="shared" si="4"/>
        <v>23</v>
      </c>
      <c r="N99">
        <f t="shared" si="5"/>
        <v>13.459488825975338</v>
      </c>
      <c r="O99">
        <f t="shared" si="6"/>
        <v>91.021353461689429</v>
      </c>
    </row>
    <row r="100" spans="7:15" x14ac:dyDescent="0.35">
      <c r="G100" s="9">
        <v>18</v>
      </c>
      <c r="H100" t="s">
        <v>60</v>
      </c>
      <c r="I100">
        <v>33</v>
      </c>
      <c r="J100" t="s">
        <v>20</v>
      </c>
      <c r="K100">
        <v>43</v>
      </c>
      <c r="M100">
        <f t="shared" si="4"/>
        <v>-10</v>
      </c>
      <c r="N100">
        <f t="shared" si="5"/>
        <v>2.62616009183767</v>
      </c>
      <c r="O100">
        <f t="shared" si="6"/>
        <v>159.41991866471426</v>
      </c>
    </row>
    <row r="101" spans="7:15" x14ac:dyDescent="0.35">
      <c r="G101" s="9">
        <v>18</v>
      </c>
      <c r="H101" t="s">
        <v>23</v>
      </c>
      <c r="I101">
        <v>40</v>
      </c>
      <c r="J101" t="s">
        <v>24</v>
      </c>
      <c r="K101">
        <v>19</v>
      </c>
      <c r="M101">
        <f t="shared" si="4"/>
        <v>21</v>
      </c>
      <c r="N101">
        <f t="shared" si="5"/>
        <v>9.3020814401894505</v>
      </c>
      <c r="O101">
        <f t="shared" si="6"/>
        <v>136.84129863196011</v>
      </c>
    </row>
  </sheetData>
  <sortState xmlns:xlrd2="http://schemas.microsoft.com/office/spreadsheetml/2017/richdata2" ref="A6:C17">
    <sortCondition ref="C6:C17"/>
  </sortState>
  <conditionalFormatting sqref="B6:B17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6:C17">
    <cfRule type="colorScale" priority="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E6:E17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6:D17">
    <cfRule type="colorScale" priority="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R6:R17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9AECE-3415-4C69-A4E5-90B733DEFC2B}">
  <dimension ref="A1:S102"/>
  <sheetViews>
    <sheetView workbookViewId="0">
      <selection activeCell="O77" sqref="A1:XFD1048576"/>
    </sheetView>
  </sheetViews>
  <sheetFormatPr defaultRowHeight="14.5" x14ac:dyDescent="0.35"/>
  <cols>
    <col min="1" max="1" width="23" bestFit="1" customWidth="1"/>
    <col min="7" max="7" width="6.36328125" bestFit="1" customWidth="1"/>
    <col min="8" max="8" width="10.6328125" bestFit="1" customWidth="1"/>
    <col min="9" max="9" width="23" bestFit="1" customWidth="1"/>
    <col min="10" max="10" width="13.6328125" bestFit="1" customWidth="1"/>
    <col min="11" max="11" width="10.1796875" customWidth="1"/>
    <col min="13" max="13" width="12.54296875" bestFit="1" customWidth="1"/>
  </cols>
  <sheetData>
    <row r="1" spans="1:19" x14ac:dyDescent="0.35">
      <c r="A1" s="2" t="s">
        <v>66</v>
      </c>
      <c r="F1" s="2" t="s">
        <v>58</v>
      </c>
    </row>
    <row r="2" spans="1:19" x14ac:dyDescent="0.35">
      <c r="B2">
        <v>0</v>
      </c>
    </row>
    <row r="3" spans="1:19" x14ac:dyDescent="0.35">
      <c r="A3" s="2" t="s">
        <v>1</v>
      </c>
      <c r="B3" s="3">
        <f>AVERAGE(B6:B17)</f>
        <v>7.8676884007755632E-8</v>
      </c>
      <c r="F3" s="2" t="s">
        <v>11</v>
      </c>
      <c r="G3" s="3">
        <v>0.8325746816683891</v>
      </c>
    </row>
    <row r="4" spans="1:19" x14ac:dyDescent="0.35">
      <c r="F4" t="s">
        <v>69</v>
      </c>
      <c r="G4">
        <f>-G3</f>
        <v>-0.8325746816683891</v>
      </c>
      <c r="Q4" s="7"/>
      <c r="R4" s="7"/>
      <c r="S4" s="7"/>
    </row>
    <row r="5" spans="1:19" x14ac:dyDescent="0.35">
      <c r="A5" s="2" t="s">
        <v>3</v>
      </c>
      <c r="B5" s="2" t="s">
        <v>4</v>
      </c>
      <c r="C5" s="2" t="s">
        <v>5</v>
      </c>
      <c r="D5" s="2"/>
      <c r="E5" s="2"/>
      <c r="F5" s="2"/>
      <c r="N5" s="3">
        <f>SUM($N$7:$N301)</f>
        <v>1340.8045131049839</v>
      </c>
      <c r="Q5" s="7"/>
      <c r="R5" s="7"/>
      <c r="S5" s="7"/>
    </row>
    <row r="6" spans="1:19" x14ac:dyDescent="0.35">
      <c r="A6" s="4" t="s">
        <v>21</v>
      </c>
      <c r="B6" s="4">
        <v>-2.3098272474830259</v>
      </c>
      <c r="C6" s="4">
        <f>RANK($B6,$B$6:$B$17,1)</f>
        <v>1</v>
      </c>
      <c r="D6" s="4"/>
      <c r="E6" s="4"/>
      <c r="G6" s="2" t="s">
        <v>47</v>
      </c>
      <c r="H6" s="2" t="s">
        <v>48</v>
      </c>
      <c r="I6" s="2" t="s">
        <v>49</v>
      </c>
      <c r="J6" s="2" t="s">
        <v>50</v>
      </c>
      <c r="K6" s="2" t="s">
        <v>68</v>
      </c>
      <c r="L6" s="2" t="s">
        <v>67</v>
      </c>
      <c r="M6" s="2" t="s">
        <v>14</v>
      </c>
      <c r="N6" s="2" t="s">
        <v>15</v>
      </c>
      <c r="P6" s="2"/>
      <c r="Q6" s="7"/>
      <c r="R6" s="10"/>
      <c r="S6" s="7"/>
    </row>
    <row r="7" spans="1:19" x14ac:dyDescent="0.35">
      <c r="A7" s="4" t="s">
        <v>17</v>
      </c>
      <c r="B7" s="4">
        <v>-1.7595437553068001</v>
      </c>
      <c r="C7" s="4">
        <f t="shared" ref="C7:C17" si="0">RANK($B7,$B$6:$B$17,1)</f>
        <v>2</v>
      </c>
      <c r="D7" s="4"/>
      <c r="E7" s="4"/>
      <c r="G7" s="9">
        <v>1</v>
      </c>
      <c r="H7" t="s">
        <v>51</v>
      </c>
      <c r="I7" t="s">
        <v>52</v>
      </c>
      <c r="J7">
        <v>19.600000000000001</v>
      </c>
      <c r="K7" t="s">
        <v>11</v>
      </c>
      <c r="L7" t="s">
        <v>21</v>
      </c>
      <c r="M7">
        <f>VLOOKUP($K7,$F$3:$G$4,2,FALSE)+VLOOKUP($I7,$A$20:$B$24,2,FALSE)-VLOOKUP($L7,$A$6:$B$17,2,FALSE)</f>
        <v>13.872349505008145</v>
      </c>
      <c r="N7">
        <f>($J7-$M7)^2</f>
        <v>32.805980192780453</v>
      </c>
      <c r="Q7" s="7"/>
      <c r="R7" s="7"/>
      <c r="S7" s="7"/>
    </row>
    <row r="8" spans="1:19" x14ac:dyDescent="0.35">
      <c r="A8" s="4" t="s">
        <v>24</v>
      </c>
      <c r="B8" s="4">
        <v>-1.3291026587566528</v>
      </c>
      <c r="C8" s="4">
        <f t="shared" si="0"/>
        <v>3</v>
      </c>
      <c r="D8" s="4"/>
      <c r="E8" s="4"/>
      <c r="G8" s="9">
        <v>1</v>
      </c>
      <c r="H8" t="s">
        <v>51</v>
      </c>
      <c r="I8" t="s">
        <v>53</v>
      </c>
      <c r="J8">
        <v>13.7</v>
      </c>
      <c r="K8" t="s">
        <v>11</v>
      </c>
      <c r="L8" t="s">
        <v>60</v>
      </c>
      <c r="M8">
        <f t="shared" ref="M8:M71" si="1">VLOOKUP($K8,$F$3:$G$4,2,FALSE)+VLOOKUP($I8,$A$20:$B$24,2,FALSE)-VLOOKUP($L8,$A$6:$B$17,2,FALSE)</f>
        <v>11.327387021408732</v>
      </c>
      <c r="N8">
        <f t="shared" ref="N8:N71" si="2">($J8-$M8)^2</f>
        <v>5.6292923461797235</v>
      </c>
      <c r="Q8" s="7"/>
      <c r="R8" s="7"/>
      <c r="S8" s="7"/>
    </row>
    <row r="9" spans="1:19" x14ac:dyDescent="0.35">
      <c r="A9" s="4" t="s">
        <v>61</v>
      </c>
      <c r="B9" s="4">
        <v>-0.51870236231336464</v>
      </c>
      <c r="C9" s="4">
        <f t="shared" si="0"/>
        <v>4</v>
      </c>
      <c r="D9" s="4"/>
      <c r="E9" s="4"/>
      <c r="G9" s="9">
        <v>1</v>
      </c>
      <c r="H9" t="s">
        <v>51</v>
      </c>
      <c r="I9" t="s">
        <v>54</v>
      </c>
      <c r="J9">
        <v>9.9</v>
      </c>
      <c r="K9" t="s">
        <v>11</v>
      </c>
      <c r="L9" t="s">
        <v>19</v>
      </c>
      <c r="M9">
        <f t="shared" si="1"/>
        <v>9.8379157884407356</v>
      </c>
      <c r="N9">
        <f t="shared" si="2"/>
        <v>3.8544493249355492E-3</v>
      </c>
      <c r="Q9" s="7"/>
      <c r="R9" s="7"/>
      <c r="S9" s="7"/>
    </row>
    <row r="10" spans="1:19" x14ac:dyDescent="0.35">
      <c r="A10" s="4" t="s">
        <v>59</v>
      </c>
      <c r="B10" s="4">
        <v>-5.2720191830605556E-2</v>
      </c>
      <c r="C10" s="4">
        <f t="shared" si="0"/>
        <v>5</v>
      </c>
      <c r="D10" s="4"/>
      <c r="E10" s="4"/>
      <c r="G10" s="9">
        <v>1</v>
      </c>
      <c r="H10" t="s">
        <v>51</v>
      </c>
      <c r="I10" t="s">
        <v>55</v>
      </c>
      <c r="J10">
        <v>9.6999999999999993</v>
      </c>
      <c r="K10" t="s">
        <v>11</v>
      </c>
      <c r="L10" t="s">
        <v>60</v>
      </c>
      <c r="M10">
        <f t="shared" si="1"/>
        <v>14.802723184485746</v>
      </c>
      <c r="N10">
        <f t="shared" si="2"/>
        <v>26.03778389748836</v>
      </c>
      <c r="Q10" s="7"/>
      <c r="R10" s="7"/>
      <c r="S10" s="7"/>
    </row>
    <row r="11" spans="1:19" x14ac:dyDescent="0.35">
      <c r="A11" s="4" t="s">
        <v>26</v>
      </c>
      <c r="B11" s="4">
        <v>0.1254646946504625</v>
      </c>
      <c r="C11" s="4">
        <f t="shared" si="0"/>
        <v>6</v>
      </c>
      <c r="D11" s="4"/>
      <c r="E11" s="4"/>
      <c r="G11" s="9">
        <v>1</v>
      </c>
      <c r="H11" t="s">
        <v>51</v>
      </c>
      <c r="I11" t="s">
        <v>56</v>
      </c>
      <c r="J11">
        <v>11.9</v>
      </c>
      <c r="K11" t="s">
        <v>69</v>
      </c>
      <c r="L11" t="s">
        <v>18</v>
      </c>
      <c r="M11">
        <f t="shared" si="1"/>
        <v>13.618689247440033</v>
      </c>
      <c r="N11">
        <f t="shared" si="2"/>
        <v>2.9538927292659847</v>
      </c>
      <c r="Q11" s="7"/>
      <c r="R11" s="7"/>
      <c r="S11" s="7"/>
    </row>
    <row r="12" spans="1:19" x14ac:dyDescent="0.35">
      <c r="A12" s="4" t="s">
        <v>23</v>
      </c>
      <c r="B12" s="4">
        <v>0.15948815661350385</v>
      </c>
      <c r="C12" s="4">
        <f t="shared" si="0"/>
        <v>7</v>
      </c>
      <c r="D12" s="4"/>
      <c r="E12" s="4"/>
      <c r="G12" s="9">
        <v>2</v>
      </c>
      <c r="H12" t="s">
        <v>51</v>
      </c>
      <c r="I12" t="s">
        <v>52</v>
      </c>
      <c r="J12">
        <v>6.7</v>
      </c>
      <c r="K12" t="s">
        <v>69</v>
      </c>
      <c r="L12" t="s">
        <v>20</v>
      </c>
      <c r="M12">
        <f>VLOOKUP($K12,$F$3:$G$4,2,FALSE)+VLOOKUP($I12,$A$20:$B$24,2,FALSE)-VLOOKUP($L12,$A$6:$B$17,2,FALSE)</f>
        <v>8.6318938748744998</v>
      </c>
      <c r="N12">
        <f t="shared" si="2"/>
        <v>3.7322139437776087</v>
      </c>
      <c r="Q12" s="7"/>
      <c r="R12" s="7"/>
      <c r="S12" s="7"/>
    </row>
    <row r="13" spans="1:19" x14ac:dyDescent="0.35">
      <c r="A13" s="4" t="s">
        <v>60</v>
      </c>
      <c r="B13" s="4">
        <v>0.23396843789498273</v>
      </c>
      <c r="C13" s="4">
        <f t="shared" si="0"/>
        <v>8</v>
      </c>
      <c r="D13" s="4"/>
      <c r="E13" s="4"/>
      <c r="G13" s="9">
        <v>2</v>
      </c>
      <c r="H13" t="s">
        <v>51</v>
      </c>
      <c r="I13" t="s">
        <v>53</v>
      </c>
      <c r="J13">
        <v>6</v>
      </c>
      <c r="K13" t="s">
        <v>11</v>
      </c>
      <c r="L13" t="s">
        <v>59</v>
      </c>
      <c r="M13">
        <f t="shared" si="1"/>
        <v>11.614075651134321</v>
      </c>
      <c r="N13">
        <f t="shared" si="2"/>
        <v>31.517845416659252</v>
      </c>
      <c r="Q13" s="7"/>
      <c r="R13" s="7"/>
      <c r="S13" s="7"/>
    </row>
    <row r="14" spans="1:19" x14ac:dyDescent="0.35">
      <c r="A14" s="4" t="s">
        <v>22</v>
      </c>
      <c r="B14" s="4">
        <v>0.37270165828314145</v>
      </c>
      <c r="C14" s="4">
        <f t="shared" si="0"/>
        <v>9</v>
      </c>
      <c r="D14" s="4"/>
      <c r="E14" s="4"/>
      <c r="G14" s="9">
        <v>2</v>
      </c>
      <c r="H14" t="s">
        <v>51</v>
      </c>
      <c r="I14" t="s">
        <v>55</v>
      </c>
      <c r="J14">
        <v>22.7</v>
      </c>
      <c r="K14" t="s">
        <v>11</v>
      </c>
      <c r="L14" t="s">
        <v>59</v>
      </c>
      <c r="M14">
        <f t="shared" si="1"/>
        <v>15.089411814211335</v>
      </c>
      <c r="N14">
        <f t="shared" si="2"/>
        <v>57.921052533665993</v>
      </c>
      <c r="Q14" s="7"/>
      <c r="R14" s="7"/>
      <c r="S14" s="7"/>
    </row>
    <row r="15" spans="1:19" x14ac:dyDescent="0.35">
      <c r="A15" s="4" t="s">
        <v>18</v>
      </c>
      <c r="B15" s="4">
        <v>0.39686671360395032</v>
      </c>
      <c r="C15" s="4">
        <f t="shared" si="0"/>
        <v>10</v>
      </c>
      <c r="D15" s="4"/>
      <c r="E15" s="4"/>
      <c r="G15" s="9">
        <v>2</v>
      </c>
      <c r="H15" t="s">
        <v>51</v>
      </c>
      <c r="I15" t="s">
        <v>56</v>
      </c>
      <c r="J15">
        <v>14.7</v>
      </c>
      <c r="K15" t="s">
        <v>69</v>
      </c>
      <c r="L15" t="s">
        <v>23</v>
      </c>
      <c r="M15">
        <f t="shared" si="1"/>
        <v>13.856067804430479</v>
      </c>
      <c r="N15">
        <f t="shared" si="2"/>
        <v>0.71222155071879101</v>
      </c>
      <c r="Q15" s="7"/>
      <c r="R15" s="7"/>
      <c r="S15" s="7"/>
    </row>
    <row r="16" spans="1:19" x14ac:dyDescent="0.35">
      <c r="A16" s="4" t="s">
        <v>20</v>
      </c>
      <c r="B16" s="4">
        <v>1.265479019313843</v>
      </c>
      <c r="C16" s="4">
        <f t="shared" si="0"/>
        <v>11</v>
      </c>
      <c r="D16" s="4"/>
      <c r="E16" s="4"/>
      <c r="G16" s="9">
        <v>3</v>
      </c>
      <c r="H16" t="s">
        <v>51</v>
      </c>
      <c r="I16" t="s">
        <v>52</v>
      </c>
      <c r="J16">
        <v>13.3</v>
      </c>
      <c r="K16" t="s">
        <v>11</v>
      </c>
      <c r="L16" t="s">
        <v>24</v>
      </c>
      <c r="M16">
        <f t="shared" si="1"/>
        <v>12.891624916281772</v>
      </c>
      <c r="N16">
        <f t="shared" si="2"/>
        <v>0.16677020900186995</v>
      </c>
      <c r="Q16" s="7"/>
      <c r="R16" s="7"/>
      <c r="S16" s="7"/>
    </row>
    <row r="17" spans="1:19" x14ac:dyDescent="0.35">
      <c r="A17" s="4" t="s">
        <v>19</v>
      </c>
      <c r="B17" s="4">
        <v>3.4159284794531728</v>
      </c>
      <c r="C17" s="4">
        <f t="shared" si="0"/>
        <v>12</v>
      </c>
      <c r="D17" s="4"/>
      <c r="E17" s="4"/>
      <c r="G17" s="9">
        <v>3</v>
      </c>
      <c r="H17" t="s">
        <v>51</v>
      </c>
      <c r="I17" t="s">
        <v>53</v>
      </c>
      <c r="J17">
        <v>11.9</v>
      </c>
      <c r="K17" t="s">
        <v>69</v>
      </c>
      <c r="L17" t="s">
        <v>22</v>
      </c>
      <c r="M17">
        <f t="shared" si="1"/>
        <v>9.5235044376837976</v>
      </c>
      <c r="N17">
        <f t="shared" si="2"/>
        <v>5.6477311577086047</v>
      </c>
      <c r="Q17" s="7"/>
      <c r="R17" s="7"/>
      <c r="S17" s="7"/>
    </row>
    <row r="18" spans="1:19" x14ac:dyDescent="0.35">
      <c r="G18" s="9">
        <v>3</v>
      </c>
      <c r="H18" t="s">
        <v>51</v>
      </c>
      <c r="I18" t="s">
        <v>54</v>
      </c>
      <c r="J18">
        <v>12</v>
      </c>
      <c r="K18" t="s">
        <v>69</v>
      </c>
      <c r="L18" t="s">
        <v>60</v>
      </c>
      <c r="M18">
        <f t="shared" si="1"/>
        <v>11.354726466662148</v>
      </c>
      <c r="N18">
        <f t="shared" si="2"/>
        <v>0.41637793282631552</v>
      </c>
      <c r="Q18" s="7"/>
      <c r="R18" s="7"/>
      <c r="S18" s="7"/>
    </row>
    <row r="19" spans="1:19" x14ac:dyDescent="0.35">
      <c r="A19" s="2" t="s">
        <v>57</v>
      </c>
      <c r="B19" s="2" t="s">
        <v>4</v>
      </c>
      <c r="G19" s="9">
        <v>3</v>
      </c>
      <c r="H19" t="s">
        <v>51</v>
      </c>
      <c r="I19" t="s">
        <v>55</v>
      </c>
      <c r="J19">
        <v>19.8</v>
      </c>
      <c r="K19" t="s">
        <v>69</v>
      </c>
      <c r="L19" t="s">
        <v>22</v>
      </c>
      <c r="M19">
        <f t="shared" si="1"/>
        <v>12.998840600760811</v>
      </c>
      <c r="N19">
        <f t="shared" si="2"/>
        <v>46.255769173859569</v>
      </c>
    </row>
    <row r="20" spans="1:19" x14ac:dyDescent="0.35">
      <c r="A20" t="s">
        <v>56</v>
      </c>
      <c r="B20" s="4">
        <v>14.848130642712372</v>
      </c>
      <c r="G20" s="9">
        <v>4</v>
      </c>
      <c r="H20" t="s">
        <v>51</v>
      </c>
      <c r="I20" t="s">
        <v>52</v>
      </c>
      <c r="J20">
        <v>6.6</v>
      </c>
      <c r="K20" t="s">
        <v>69</v>
      </c>
      <c r="L20" t="s">
        <v>23</v>
      </c>
      <c r="M20">
        <f t="shared" si="1"/>
        <v>9.7378847375748379</v>
      </c>
      <c r="N20">
        <f t="shared" si="2"/>
        <v>9.8463206263051113</v>
      </c>
    </row>
    <row r="21" spans="1:19" x14ac:dyDescent="0.35">
      <c r="A21" t="s">
        <v>55</v>
      </c>
      <c r="B21" s="4">
        <v>14.204116940712341</v>
      </c>
      <c r="G21" s="9">
        <v>4</v>
      </c>
      <c r="H21" t="s">
        <v>51</v>
      </c>
      <c r="I21" t="s">
        <v>53</v>
      </c>
      <c r="J21">
        <v>9.9</v>
      </c>
      <c r="K21" t="s">
        <v>11</v>
      </c>
      <c r="L21" t="s">
        <v>21</v>
      </c>
      <c r="M21">
        <f t="shared" si="1"/>
        <v>13.871182706786742</v>
      </c>
      <c r="N21">
        <f t="shared" si="2"/>
        <v>15.770292090682073</v>
      </c>
    </row>
    <row r="22" spans="1:19" x14ac:dyDescent="0.35">
      <c r="A22" t="s">
        <v>54</v>
      </c>
      <c r="B22" s="4">
        <v>12.42126958622552</v>
      </c>
      <c r="G22" s="9">
        <v>4</v>
      </c>
      <c r="H22" t="s">
        <v>51</v>
      </c>
      <c r="I22" t="s">
        <v>54</v>
      </c>
      <c r="J22">
        <v>7.9</v>
      </c>
      <c r="K22" t="s">
        <v>69</v>
      </c>
      <c r="L22" t="s">
        <v>26</v>
      </c>
      <c r="M22">
        <f t="shared" si="1"/>
        <v>11.463230209906669</v>
      </c>
      <c r="N22">
        <f t="shared" si="2"/>
        <v>12.696609528791523</v>
      </c>
    </row>
    <row r="23" spans="1:19" x14ac:dyDescent="0.35">
      <c r="A23" t="s">
        <v>52</v>
      </c>
      <c r="B23" s="4">
        <v>10.72994757585673</v>
      </c>
      <c r="G23" s="9">
        <v>4</v>
      </c>
      <c r="H23" t="s">
        <v>51</v>
      </c>
      <c r="I23" t="s">
        <v>55</v>
      </c>
      <c r="J23">
        <v>15.2</v>
      </c>
      <c r="K23" t="s">
        <v>11</v>
      </c>
      <c r="L23" t="s">
        <v>21</v>
      </c>
      <c r="M23">
        <f t="shared" si="1"/>
        <v>17.346518869863754</v>
      </c>
      <c r="N23">
        <f t="shared" si="2"/>
        <v>4.6075432586811704</v>
      </c>
      <c r="Q23" s="5"/>
    </row>
    <row r="24" spans="1:19" x14ac:dyDescent="0.35">
      <c r="A24" t="s">
        <v>53</v>
      </c>
      <c r="B24" s="4">
        <v>10.728780777635327</v>
      </c>
      <c r="G24" s="9">
        <v>4</v>
      </c>
      <c r="H24" t="s">
        <v>51</v>
      </c>
      <c r="I24" t="s">
        <v>56</v>
      </c>
      <c r="J24">
        <v>22.8</v>
      </c>
      <c r="K24" t="s">
        <v>11</v>
      </c>
      <c r="L24" t="s">
        <v>17</v>
      </c>
      <c r="M24">
        <f t="shared" si="1"/>
        <v>17.440249079687561</v>
      </c>
      <c r="N24">
        <f t="shared" si="2"/>
        <v>28.726929927790042</v>
      </c>
    </row>
    <row r="25" spans="1:19" x14ac:dyDescent="0.35">
      <c r="G25" s="9">
        <v>5</v>
      </c>
      <c r="H25" t="s">
        <v>51</v>
      </c>
      <c r="I25" t="s">
        <v>52</v>
      </c>
      <c r="J25">
        <v>11.2</v>
      </c>
      <c r="K25" t="s">
        <v>69</v>
      </c>
      <c r="L25" t="s">
        <v>19</v>
      </c>
      <c r="M25">
        <f t="shared" si="1"/>
        <v>6.4814444147351686</v>
      </c>
      <c r="N25">
        <f t="shared" si="2"/>
        <v>22.26476681123393</v>
      </c>
    </row>
    <row r="26" spans="1:19" x14ac:dyDescent="0.35">
      <c r="G26" s="9">
        <v>5</v>
      </c>
      <c r="H26" t="s">
        <v>51</v>
      </c>
      <c r="I26" t="s">
        <v>54</v>
      </c>
      <c r="J26">
        <v>17.100000000000001</v>
      </c>
      <c r="K26" t="s">
        <v>11</v>
      </c>
      <c r="L26" t="s">
        <v>61</v>
      </c>
      <c r="M26">
        <f t="shared" si="1"/>
        <v>13.772546630207273</v>
      </c>
      <c r="N26">
        <f t="shared" si="2"/>
        <v>11.071945928144983</v>
      </c>
    </row>
    <row r="27" spans="1:19" x14ac:dyDescent="0.35">
      <c r="G27" s="9">
        <v>5</v>
      </c>
      <c r="H27" t="s">
        <v>51</v>
      </c>
      <c r="I27" t="s">
        <v>56</v>
      </c>
      <c r="J27">
        <v>11.2</v>
      </c>
      <c r="K27" t="s">
        <v>69</v>
      </c>
      <c r="L27" t="s">
        <v>60</v>
      </c>
      <c r="M27">
        <f t="shared" si="1"/>
        <v>13.781587523149</v>
      </c>
      <c r="N27">
        <f t="shared" si="2"/>
        <v>6.6645941396785906</v>
      </c>
    </row>
    <row r="28" spans="1:19" x14ac:dyDescent="0.35">
      <c r="G28" s="9">
        <v>6</v>
      </c>
      <c r="H28" t="s">
        <v>51</v>
      </c>
      <c r="I28" t="s">
        <v>52</v>
      </c>
      <c r="J28">
        <v>8.6999999999999993</v>
      </c>
      <c r="K28" t="s">
        <v>69</v>
      </c>
      <c r="L28" t="s">
        <v>26</v>
      </c>
      <c r="M28">
        <f t="shared" si="1"/>
        <v>9.7719081995378794</v>
      </c>
      <c r="N28">
        <f t="shared" si="2"/>
        <v>1.1489871882365397</v>
      </c>
    </row>
    <row r="29" spans="1:19" x14ac:dyDescent="0.35">
      <c r="G29" s="9">
        <v>6</v>
      </c>
      <c r="H29" t="s">
        <v>51</v>
      </c>
      <c r="I29" t="s">
        <v>53</v>
      </c>
      <c r="J29">
        <v>5.3</v>
      </c>
      <c r="K29" t="s">
        <v>69</v>
      </c>
      <c r="L29" t="s">
        <v>19</v>
      </c>
      <c r="M29">
        <f t="shared" si="1"/>
        <v>6.4802776165137654</v>
      </c>
      <c r="N29">
        <f t="shared" si="2"/>
        <v>1.3930552520434156</v>
      </c>
    </row>
    <row r="30" spans="1:19" x14ac:dyDescent="0.35">
      <c r="G30" s="9">
        <v>6</v>
      </c>
      <c r="H30" t="s">
        <v>51</v>
      </c>
      <c r="I30" t="s">
        <v>54</v>
      </c>
      <c r="J30">
        <v>12.6</v>
      </c>
      <c r="K30" t="s">
        <v>11</v>
      </c>
      <c r="L30" t="s">
        <v>18</v>
      </c>
      <c r="M30">
        <f t="shared" si="1"/>
        <v>12.856977554289958</v>
      </c>
      <c r="N30">
        <f t="shared" si="2"/>
        <v>6.6037463408848737E-2</v>
      </c>
    </row>
    <row r="31" spans="1:19" x14ac:dyDescent="0.35">
      <c r="G31" s="9">
        <v>6</v>
      </c>
      <c r="H31" t="s">
        <v>51</v>
      </c>
      <c r="I31" t="s">
        <v>55</v>
      </c>
      <c r="J31">
        <v>8.8000000000000007</v>
      </c>
      <c r="K31" t="s">
        <v>69</v>
      </c>
      <c r="L31" t="s">
        <v>19</v>
      </c>
      <c r="M31">
        <f t="shared" si="1"/>
        <v>9.9556137795907791</v>
      </c>
      <c r="N31">
        <f t="shared" si="2"/>
        <v>1.3354432075800842</v>
      </c>
    </row>
    <row r="32" spans="1:19" x14ac:dyDescent="0.35">
      <c r="G32" s="9">
        <v>6</v>
      </c>
      <c r="H32" t="s">
        <v>51</v>
      </c>
      <c r="I32" t="s">
        <v>56</v>
      </c>
      <c r="J32">
        <v>16.100000000000001</v>
      </c>
      <c r="K32" t="s">
        <v>11</v>
      </c>
      <c r="L32" t="s">
        <v>22</v>
      </c>
      <c r="M32">
        <f t="shared" si="1"/>
        <v>15.308003666097619</v>
      </c>
      <c r="N32">
        <f t="shared" si="2"/>
        <v>0.62725819291481388</v>
      </c>
    </row>
    <row r="33" spans="7:14" x14ac:dyDescent="0.35">
      <c r="G33" s="9">
        <v>7</v>
      </c>
      <c r="H33" t="s">
        <v>51</v>
      </c>
      <c r="I33" t="s">
        <v>52</v>
      </c>
      <c r="J33">
        <v>13.5</v>
      </c>
      <c r="K33" t="s">
        <v>11</v>
      </c>
      <c r="L33" t="s">
        <v>61</v>
      </c>
      <c r="M33">
        <f t="shared" si="1"/>
        <v>12.081224619838483</v>
      </c>
      <c r="N33">
        <f t="shared" si="2"/>
        <v>2.012923579352456</v>
      </c>
    </row>
    <row r="34" spans="7:14" x14ac:dyDescent="0.35">
      <c r="G34" s="9">
        <v>7</v>
      </c>
      <c r="H34" t="s">
        <v>51</v>
      </c>
      <c r="I34" t="s">
        <v>53</v>
      </c>
      <c r="J34">
        <v>10.3</v>
      </c>
      <c r="K34" t="s">
        <v>69</v>
      </c>
      <c r="L34" t="s">
        <v>18</v>
      </c>
      <c r="M34">
        <f t="shared" si="1"/>
        <v>9.4993393823629884</v>
      </c>
      <c r="N34">
        <f t="shared" si="2"/>
        <v>0.64105742463488213</v>
      </c>
    </row>
    <row r="35" spans="7:14" x14ac:dyDescent="0.35">
      <c r="G35" s="9">
        <v>7</v>
      </c>
      <c r="H35" t="s">
        <v>51</v>
      </c>
      <c r="I35" t="s">
        <v>54</v>
      </c>
      <c r="J35">
        <v>12.9</v>
      </c>
      <c r="K35" t="s">
        <v>69</v>
      </c>
      <c r="L35" t="s">
        <v>23</v>
      </c>
      <c r="M35">
        <f t="shared" si="1"/>
        <v>11.429206747943628</v>
      </c>
      <c r="N35">
        <f t="shared" si="2"/>
        <v>2.1632327902945607</v>
      </c>
    </row>
    <row r="36" spans="7:14" x14ac:dyDescent="0.35">
      <c r="G36" s="9">
        <v>7</v>
      </c>
      <c r="H36" t="s">
        <v>51</v>
      </c>
      <c r="I36" t="s">
        <v>55</v>
      </c>
      <c r="J36">
        <v>5.9</v>
      </c>
      <c r="K36" t="s">
        <v>69</v>
      </c>
      <c r="L36" t="s">
        <v>18</v>
      </c>
      <c r="M36">
        <f t="shared" si="1"/>
        <v>12.974675545440002</v>
      </c>
      <c r="N36">
        <f t="shared" si="2"/>
        <v>50.051034073246782</v>
      </c>
    </row>
    <row r="37" spans="7:14" x14ac:dyDescent="0.35">
      <c r="G37" s="9">
        <v>7</v>
      </c>
      <c r="H37" t="s">
        <v>51</v>
      </c>
      <c r="I37" t="s">
        <v>56</v>
      </c>
      <c r="J37">
        <v>14.4</v>
      </c>
      <c r="K37" t="s">
        <v>69</v>
      </c>
      <c r="L37" t="s">
        <v>20</v>
      </c>
      <c r="M37">
        <f t="shared" si="1"/>
        <v>12.750076941730139</v>
      </c>
      <c r="N37">
        <f t="shared" si="2"/>
        <v>2.7222460982105718</v>
      </c>
    </row>
    <row r="38" spans="7:14" x14ac:dyDescent="0.35">
      <c r="G38" s="9">
        <v>8</v>
      </c>
      <c r="H38" t="s">
        <v>51</v>
      </c>
      <c r="I38" t="s">
        <v>53</v>
      </c>
      <c r="J38">
        <v>13.8</v>
      </c>
      <c r="K38" t="s">
        <v>11</v>
      </c>
      <c r="L38" t="s">
        <v>23</v>
      </c>
      <c r="M38">
        <f t="shared" si="1"/>
        <v>11.401867302690212</v>
      </c>
      <c r="N38">
        <f t="shared" si="2"/>
        <v>5.7510404339063239</v>
      </c>
    </row>
    <row r="39" spans="7:14" x14ac:dyDescent="0.35">
      <c r="G39" s="9">
        <v>8</v>
      </c>
      <c r="H39" t="s">
        <v>51</v>
      </c>
      <c r="I39" t="s">
        <v>54</v>
      </c>
      <c r="J39">
        <v>15.5</v>
      </c>
      <c r="K39" t="s">
        <v>69</v>
      </c>
      <c r="L39" t="s">
        <v>59</v>
      </c>
      <c r="M39">
        <f t="shared" si="1"/>
        <v>11.641415096387737</v>
      </c>
      <c r="N39">
        <f t="shared" si="2"/>
        <v>14.888677458384455</v>
      </c>
    </row>
    <row r="40" spans="7:14" x14ac:dyDescent="0.35">
      <c r="G40" s="9">
        <v>8</v>
      </c>
      <c r="H40" t="s">
        <v>51</v>
      </c>
      <c r="I40" t="s">
        <v>55</v>
      </c>
      <c r="J40">
        <v>11.4</v>
      </c>
      <c r="K40" t="s">
        <v>11</v>
      </c>
      <c r="L40" t="s">
        <v>23</v>
      </c>
      <c r="M40">
        <f t="shared" si="1"/>
        <v>14.877203465767225</v>
      </c>
      <c r="N40">
        <f t="shared" si="2"/>
        <v>12.090943942343602</v>
      </c>
    </row>
    <row r="41" spans="7:14" x14ac:dyDescent="0.35">
      <c r="G41" s="9">
        <v>9</v>
      </c>
      <c r="H41" t="s">
        <v>51</v>
      </c>
      <c r="I41" t="s">
        <v>52</v>
      </c>
      <c r="J41">
        <v>14.2</v>
      </c>
      <c r="K41" t="s">
        <v>69</v>
      </c>
      <c r="L41" t="s">
        <v>21</v>
      </c>
      <c r="M41">
        <f t="shared" si="1"/>
        <v>12.207200141671368</v>
      </c>
      <c r="N41">
        <f t="shared" si="2"/>
        <v>3.9712512753546121</v>
      </c>
    </row>
    <row r="42" spans="7:14" x14ac:dyDescent="0.35">
      <c r="G42" s="9">
        <v>9</v>
      </c>
      <c r="H42" t="s">
        <v>51</v>
      </c>
      <c r="I42" t="s">
        <v>53</v>
      </c>
      <c r="J42">
        <v>13.6</v>
      </c>
      <c r="K42" t="s">
        <v>69</v>
      </c>
      <c r="L42" t="s">
        <v>20</v>
      </c>
      <c r="M42">
        <f t="shared" si="1"/>
        <v>8.6307270766530948</v>
      </c>
      <c r="N42">
        <f t="shared" si="2"/>
        <v>24.693673386708692</v>
      </c>
    </row>
    <row r="43" spans="7:14" x14ac:dyDescent="0.35">
      <c r="G43" s="9">
        <v>9</v>
      </c>
      <c r="H43" t="s">
        <v>51</v>
      </c>
      <c r="I43" t="s">
        <v>54</v>
      </c>
      <c r="J43">
        <v>21</v>
      </c>
      <c r="K43" t="s">
        <v>11</v>
      </c>
      <c r="L43" t="s">
        <v>60</v>
      </c>
      <c r="M43">
        <f t="shared" si="1"/>
        <v>13.019875829998925</v>
      </c>
      <c r="N43">
        <f t="shared" si="2"/>
        <v>63.682381768635338</v>
      </c>
    </row>
    <row r="44" spans="7:14" x14ac:dyDescent="0.35">
      <c r="G44" s="9">
        <v>9</v>
      </c>
      <c r="H44" t="s">
        <v>51</v>
      </c>
      <c r="I44" t="s">
        <v>55</v>
      </c>
      <c r="J44">
        <v>4.9000000000000004</v>
      </c>
      <c r="K44" t="s">
        <v>69</v>
      </c>
      <c r="L44" t="s">
        <v>20</v>
      </c>
      <c r="M44">
        <f t="shared" si="1"/>
        <v>12.106063239730108</v>
      </c>
      <c r="N44">
        <f t="shared" si="2"/>
        <v>51.927347414989583</v>
      </c>
    </row>
    <row r="45" spans="7:14" x14ac:dyDescent="0.35">
      <c r="G45" s="9">
        <v>9</v>
      </c>
      <c r="H45" t="s">
        <v>51</v>
      </c>
      <c r="I45" t="s">
        <v>56</v>
      </c>
      <c r="J45">
        <v>10</v>
      </c>
      <c r="K45" t="s">
        <v>69</v>
      </c>
      <c r="L45" t="s">
        <v>61</v>
      </c>
      <c r="M45">
        <f t="shared" si="1"/>
        <v>14.534258323357347</v>
      </c>
      <c r="N45">
        <f t="shared" si="2"/>
        <v>20.559498542935383</v>
      </c>
    </row>
    <row r="46" spans="7:14" x14ac:dyDescent="0.35">
      <c r="G46" s="9">
        <v>10</v>
      </c>
      <c r="H46" t="s">
        <v>51</v>
      </c>
      <c r="I46" t="s">
        <v>52</v>
      </c>
      <c r="J46">
        <v>13.3</v>
      </c>
      <c r="K46" t="s">
        <v>11</v>
      </c>
      <c r="L46" t="s">
        <v>23</v>
      </c>
      <c r="M46">
        <f t="shared" si="1"/>
        <v>11.403034100911615</v>
      </c>
      <c r="N46">
        <f t="shared" si="2"/>
        <v>3.5984796223042079</v>
      </c>
    </row>
    <row r="47" spans="7:14" x14ac:dyDescent="0.35">
      <c r="G47" s="9">
        <v>10</v>
      </c>
      <c r="H47" t="s">
        <v>51</v>
      </c>
      <c r="I47" t="s">
        <v>53</v>
      </c>
      <c r="J47">
        <v>10.5</v>
      </c>
      <c r="K47" t="s">
        <v>69</v>
      </c>
      <c r="L47" t="s">
        <v>61</v>
      </c>
      <c r="M47">
        <f t="shared" si="1"/>
        <v>10.414908458280303</v>
      </c>
      <c r="N47">
        <f t="shared" si="2"/>
        <v>7.2405704722349187E-3</v>
      </c>
    </row>
    <row r="48" spans="7:14" x14ac:dyDescent="0.35">
      <c r="G48" s="9">
        <v>10</v>
      </c>
      <c r="H48" t="s">
        <v>51</v>
      </c>
      <c r="I48" t="s">
        <v>54</v>
      </c>
      <c r="J48">
        <v>11.7</v>
      </c>
      <c r="K48" t="s">
        <v>11</v>
      </c>
      <c r="L48" t="s">
        <v>20</v>
      </c>
      <c r="M48">
        <f t="shared" si="1"/>
        <v>11.988365248580067</v>
      </c>
      <c r="N48">
        <f t="shared" si="2"/>
        <v>8.3154516588644062E-2</v>
      </c>
    </row>
    <row r="49" spans="7:14" x14ac:dyDescent="0.35">
      <c r="G49" s="9">
        <v>10</v>
      </c>
      <c r="H49" t="s">
        <v>51</v>
      </c>
      <c r="I49" t="s">
        <v>55</v>
      </c>
      <c r="J49">
        <v>22.8</v>
      </c>
      <c r="K49" t="s">
        <v>69</v>
      </c>
      <c r="L49" t="s">
        <v>61</v>
      </c>
      <c r="M49">
        <f t="shared" si="1"/>
        <v>13.890244621357317</v>
      </c>
      <c r="N49">
        <f t="shared" si="2"/>
        <v>79.383740907252232</v>
      </c>
    </row>
    <row r="50" spans="7:14" x14ac:dyDescent="0.35">
      <c r="G50" s="9">
        <v>10</v>
      </c>
      <c r="H50" t="s">
        <v>51</v>
      </c>
      <c r="I50" t="s">
        <v>56</v>
      </c>
      <c r="J50">
        <v>13.8</v>
      </c>
      <c r="K50" t="s">
        <v>11</v>
      </c>
      <c r="L50" t="s">
        <v>59</v>
      </c>
      <c r="M50">
        <f t="shared" si="1"/>
        <v>15.733425516211366</v>
      </c>
      <c r="N50">
        <f t="shared" si="2"/>
        <v>3.7381342267371829</v>
      </c>
    </row>
    <row r="51" spans="7:14" x14ac:dyDescent="0.35">
      <c r="G51" s="9">
        <v>11</v>
      </c>
      <c r="H51" t="s">
        <v>51</v>
      </c>
      <c r="I51" t="s">
        <v>52</v>
      </c>
      <c r="J51">
        <v>16.399999999999999</v>
      </c>
      <c r="K51" t="s">
        <v>69</v>
      </c>
      <c r="L51" t="s">
        <v>24</v>
      </c>
      <c r="M51">
        <f t="shared" si="1"/>
        <v>11.226475552944995</v>
      </c>
      <c r="N51">
        <f t="shared" si="2"/>
        <v>26.765355204275778</v>
      </c>
    </row>
    <row r="52" spans="7:14" x14ac:dyDescent="0.35">
      <c r="G52" s="9">
        <v>11</v>
      </c>
      <c r="H52" t="s">
        <v>51</v>
      </c>
      <c r="I52" t="s">
        <v>53</v>
      </c>
      <c r="J52">
        <v>6.9</v>
      </c>
      <c r="K52" t="s">
        <v>11</v>
      </c>
      <c r="L52" t="s">
        <v>22</v>
      </c>
      <c r="M52">
        <f t="shared" si="1"/>
        <v>11.188653801020575</v>
      </c>
      <c r="N52">
        <f t="shared" si="2"/>
        <v>18.392551425008222</v>
      </c>
    </row>
    <row r="53" spans="7:14" x14ac:dyDescent="0.35">
      <c r="G53" s="9">
        <v>11</v>
      </c>
      <c r="H53" t="s">
        <v>51</v>
      </c>
      <c r="I53" t="s">
        <v>55</v>
      </c>
      <c r="J53">
        <v>17.5</v>
      </c>
      <c r="K53" t="s">
        <v>11</v>
      </c>
      <c r="L53" t="s">
        <v>22</v>
      </c>
      <c r="M53">
        <f t="shared" si="1"/>
        <v>14.663989964097588</v>
      </c>
      <c r="N53">
        <f t="shared" si="2"/>
        <v>8.0429529237391986</v>
      </c>
    </row>
    <row r="54" spans="7:14" x14ac:dyDescent="0.35">
      <c r="G54" s="9">
        <v>11</v>
      </c>
      <c r="H54" t="s">
        <v>51</v>
      </c>
      <c r="I54" t="s">
        <v>56</v>
      </c>
      <c r="J54">
        <v>11.6</v>
      </c>
      <c r="K54" t="s">
        <v>11</v>
      </c>
      <c r="L54" t="s">
        <v>60</v>
      </c>
      <c r="M54">
        <f t="shared" si="1"/>
        <v>15.446736886485777</v>
      </c>
      <c r="N54">
        <f t="shared" si="2"/>
        <v>14.79738467385029</v>
      </c>
    </row>
    <row r="55" spans="7:14" x14ac:dyDescent="0.35">
      <c r="G55" s="9">
        <v>12</v>
      </c>
      <c r="H55" t="s">
        <v>51</v>
      </c>
      <c r="I55" t="s">
        <v>52</v>
      </c>
      <c r="J55">
        <v>3.9</v>
      </c>
      <c r="K55" t="s">
        <v>11</v>
      </c>
      <c r="L55" t="s">
        <v>17</v>
      </c>
      <c r="M55">
        <f t="shared" si="1"/>
        <v>13.322066012831918</v>
      </c>
      <c r="N55">
        <f t="shared" si="2"/>
        <v>88.77532795016235</v>
      </c>
    </row>
    <row r="56" spans="7:14" x14ac:dyDescent="0.35">
      <c r="G56" s="9">
        <v>12</v>
      </c>
      <c r="H56" t="s">
        <v>51</v>
      </c>
      <c r="I56" t="s">
        <v>54</v>
      </c>
      <c r="J56">
        <v>2.7</v>
      </c>
      <c r="K56" t="s">
        <v>69</v>
      </c>
      <c r="L56" t="s">
        <v>22</v>
      </c>
      <c r="M56">
        <f t="shared" si="1"/>
        <v>11.215993246273991</v>
      </c>
      <c r="N56">
        <f t="shared" si="2"/>
        <v>72.522140970584204</v>
      </c>
    </row>
    <row r="57" spans="7:14" x14ac:dyDescent="0.35">
      <c r="G57" s="9">
        <v>13</v>
      </c>
      <c r="H57" t="s">
        <v>51</v>
      </c>
      <c r="I57" t="s">
        <v>52</v>
      </c>
      <c r="J57">
        <v>8.1</v>
      </c>
      <c r="K57" t="s">
        <v>11</v>
      </c>
      <c r="L57" t="s">
        <v>20</v>
      </c>
      <c r="M57">
        <f t="shared" si="1"/>
        <v>10.297043238211277</v>
      </c>
      <c r="N57">
        <f t="shared" si="2"/>
        <v>4.8269989905698951</v>
      </c>
    </row>
    <row r="58" spans="7:14" x14ac:dyDescent="0.35">
      <c r="G58" s="9">
        <v>13</v>
      </c>
      <c r="H58" t="s">
        <v>51</v>
      </c>
      <c r="I58" t="s">
        <v>53</v>
      </c>
      <c r="J58">
        <v>10.6</v>
      </c>
      <c r="K58" t="s">
        <v>69</v>
      </c>
      <c r="L58" t="s">
        <v>21</v>
      </c>
      <c r="M58">
        <f t="shared" si="1"/>
        <v>12.206033343449965</v>
      </c>
      <c r="N58">
        <f t="shared" si="2"/>
        <v>2.5793431002730745</v>
      </c>
    </row>
    <row r="59" spans="7:14" x14ac:dyDescent="0.35">
      <c r="G59" s="9">
        <v>13</v>
      </c>
      <c r="H59" t="s">
        <v>51</v>
      </c>
      <c r="I59" t="s">
        <v>54</v>
      </c>
      <c r="J59">
        <v>13.7</v>
      </c>
      <c r="K59" t="s">
        <v>11</v>
      </c>
      <c r="L59" t="s">
        <v>26</v>
      </c>
      <c r="M59">
        <f t="shared" si="1"/>
        <v>13.128379573243446</v>
      </c>
      <c r="N59">
        <f t="shared" si="2"/>
        <v>0.32674991228534378</v>
      </c>
    </row>
    <row r="60" spans="7:14" x14ac:dyDescent="0.35">
      <c r="G60" s="9">
        <v>13</v>
      </c>
      <c r="H60" t="s">
        <v>51</v>
      </c>
      <c r="I60" t="s">
        <v>56</v>
      </c>
      <c r="J60">
        <v>22.8</v>
      </c>
      <c r="K60" t="s">
        <v>69</v>
      </c>
      <c r="L60" t="s">
        <v>17</v>
      </c>
      <c r="M60">
        <f t="shared" si="1"/>
        <v>15.775099716350784</v>
      </c>
      <c r="N60">
        <f t="shared" si="2"/>
        <v>49.349223995214842</v>
      </c>
    </row>
    <row r="61" spans="7:14" x14ac:dyDescent="0.35">
      <c r="G61" s="9">
        <v>14</v>
      </c>
      <c r="H61" t="s">
        <v>51</v>
      </c>
      <c r="I61" t="s">
        <v>52</v>
      </c>
      <c r="J61">
        <v>10.4</v>
      </c>
      <c r="K61" t="s">
        <v>69</v>
      </c>
      <c r="L61" t="s">
        <v>59</v>
      </c>
      <c r="M61">
        <f t="shared" si="1"/>
        <v>9.9500930860189474</v>
      </c>
      <c r="N61">
        <f t="shared" si="2"/>
        <v>0.2024162312479546</v>
      </c>
    </row>
    <row r="62" spans="7:14" x14ac:dyDescent="0.35">
      <c r="G62" s="9">
        <v>14</v>
      </c>
      <c r="H62" t="s">
        <v>51</v>
      </c>
      <c r="I62" t="s">
        <v>53</v>
      </c>
      <c r="J62">
        <v>5.7</v>
      </c>
      <c r="K62" t="s">
        <v>11</v>
      </c>
      <c r="L62" t="s">
        <v>19</v>
      </c>
      <c r="M62">
        <f t="shared" si="1"/>
        <v>8.1454269798505425</v>
      </c>
      <c r="N62">
        <f t="shared" si="2"/>
        <v>5.9801131137809449</v>
      </c>
    </row>
    <row r="63" spans="7:14" x14ac:dyDescent="0.35">
      <c r="G63" s="9">
        <v>14</v>
      </c>
      <c r="H63" t="s">
        <v>51</v>
      </c>
      <c r="I63" t="s">
        <v>54</v>
      </c>
      <c r="J63">
        <v>12.4</v>
      </c>
      <c r="K63" t="s">
        <v>69</v>
      </c>
      <c r="L63" t="s">
        <v>61</v>
      </c>
      <c r="M63">
        <f t="shared" si="1"/>
        <v>12.107397266870496</v>
      </c>
      <c r="N63">
        <f t="shared" si="2"/>
        <v>8.5616359434855877E-2</v>
      </c>
    </row>
    <row r="64" spans="7:14" x14ac:dyDescent="0.35">
      <c r="G64" s="9">
        <v>14</v>
      </c>
      <c r="H64" t="s">
        <v>51</v>
      </c>
      <c r="I64" t="s">
        <v>56</v>
      </c>
      <c r="J64">
        <v>28.1</v>
      </c>
      <c r="K64" t="s">
        <v>11</v>
      </c>
      <c r="L64" t="s">
        <v>18</v>
      </c>
      <c r="M64">
        <f t="shared" si="1"/>
        <v>15.28383861077681</v>
      </c>
      <c r="N64">
        <f t="shared" si="2"/>
        <v>164.25399275461533</v>
      </c>
    </row>
    <row r="65" spans="7:14" x14ac:dyDescent="0.35">
      <c r="G65" s="9">
        <v>15</v>
      </c>
      <c r="H65" t="s">
        <v>51</v>
      </c>
      <c r="I65" t="s">
        <v>53</v>
      </c>
      <c r="J65">
        <v>8.6999999999999993</v>
      </c>
      <c r="K65" t="s">
        <v>69</v>
      </c>
      <c r="L65" t="s">
        <v>17</v>
      </c>
      <c r="M65">
        <f t="shared" si="1"/>
        <v>11.65574985127374</v>
      </c>
      <c r="N65">
        <f t="shared" si="2"/>
        <v>8.7364571833047382</v>
      </c>
    </row>
    <row r="66" spans="7:14" x14ac:dyDescent="0.35">
      <c r="G66" s="9">
        <v>15</v>
      </c>
      <c r="H66" t="s">
        <v>51</v>
      </c>
      <c r="I66" t="s">
        <v>54</v>
      </c>
      <c r="J66">
        <v>9</v>
      </c>
      <c r="K66" t="s">
        <v>11</v>
      </c>
      <c r="L66" t="s">
        <v>24</v>
      </c>
      <c r="M66">
        <f t="shared" si="1"/>
        <v>14.582946926650562</v>
      </c>
      <c r="N66">
        <f t="shared" si="2"/>
        <v>31.169296385796958</v>
      </c>
    </row>
    <row r="67" spans="7:14" x14ac:dyDescent="0.35">
      <c r="G67" s="9">
        <v>15</v>
      </c>
      <c r="H67" t="s">
        <v>51</v>
      </c>
      <c r="I67" t="s">
        <v>56</v>
      </c>
      <c r="J67">
        <v>6.7</v>
      </c>
      <c r="K67" t="s">
        <v>11</v>
      </c>
      <c r="L67" t="s">
        <v>61</v>
      </c>
      <c r="M67">
        <f t="shared" si="1"/>
        <v>16.199407686694126</v>
      </c>
      <c r="N67">
        <f t="shared" si="2"/>
        <v>90.238746398023466</v>
      </c>
    </row>
    <row r="68" spans="7:14" x14ac:dyDescent="0.35">
      <c r="G68" s="9">
        <v>16</v>
      </c>
      <c r="H68" t="s">
        <v>51</v>
      </c>
      <c r="I68" t="s">
        <v>52</v>
      </c>
      <c r="J68">
        <v>10.199999999999999</v>
      </c>
      <c r="K68" t="s">
        <v>69</v>
      </c>
      <c r="L68" t="s">
        <v>60</v>
      </c>
      <c r="M68">
        <f t="shared" si="1"/>
        <v>9.6634044562933585</v>
      </c>
      <c r="N68">
        <f t="shared" si="2"/>
        <v>0.28793477752582541</v>
      </c>
    </row>
    <row r="69" spans="7:14" x14ac:dyDescent="0.35">
      <c r="G69" s="9">
        <v>16</v>
      </c>
      <c r="H69" t="s">
        <v>51</v>
      </c>
      <c r="I69" t="s">
        <v>53</v>
      </c>
      <c r="J69">
        <v>15.3</v>
      </c>
      <c r="K69" t="s">
        <v>11</v>
      </c>
      <c r="L69" t="s">
        <v>20</v>
      </c>
      <c r="M69">
        <f t="shared" si="1"/>
        <v>10.295876439989872</v>
      </c>
      <c r="N69">
        <f t="shared" si="2"/>
        <v>25.041252603848445</v>
      </c>
    </row>
    <row r="70" spans="7:14" x14ac:dyDescent="0.35">
      <c r="G70" s="9">
        <v>16</v>
      </c>
      <c r="H70" t="s">
        <v>51</v>
      </c>
      <c r="I70" t="s">
        <v>56</v>
      </c>
      <c r="J70">
        <v>9.6999999999999993</v>
      </c>
      <c r="K70" t="s">
        <v>69</v>
      </c>
      <c r="L70" t="s">
        <v>59</v>
      </c>
      <c r="M70">
        <f t="shared" si="1"/>
        <v>14.068276152874589</v>
      </c>
      <c r="N70">
        <f t="shared" si="2"/>
        <v>19.081836547772824</v>
      </c>
    </row>
    <row r="71" spans="7:14" x14ac:dyDescent="0.35">
      <c r="G71" s="9">
        <v>17</v>
      </c>
      <c r="H71" t="s">
        <v>51</v>
      </c>
      <c r="I71" t="s">
        <v>52</v>
      </c>
      <c r="J71">
        <v>6.6</v>
      </c>
      <c r="K71" t="s">
        <v>11</v>
      </c>
      <c r="L71" t="s">
        <v>18</v>
      </c>
      <c r="M71">
        <f t="shared" si="1"/>
        <v>11.165655543921169</v>
      </c>
      <c r="N71">
        <f t="shared" si="2"/>
        <v>20.845210545738105</v>
      </c>
    </row>
    <row r="72" spans="7:14" x14ac:dyDescent="0.35">
      <c r="G72" s="9">
        <v>17</v>
      </c>
      <c r="H72" t="s">
        <v>51</v>
      </c>
      <c r="I72" t="s">
        <v>53</v>
      </c>
      <c r="J72">
        <v>15.5</v>
      </c>
      <c r="K72" t="s">
        <v>11</v>
      </c>
      <c r="L72" t="s">
        <v>26</v>
      </c>
      <c r="M72">
        <f t="shared" ref="M72:M77" si="3">VLOOKUP($K72,$F$3:$G$4,2,FALSE)+VLOOKUP($I72,$A$20:$B$24,2,FALSE)-VLOOKUP($L72,$A$6:$B$17,2,FALSE)</f>
        <v>11.435890764653253</v>
      </c>
      <c r="N72">
        <f>($J72-$M72)^2</f>
        <v>16.516983876830718</v>
      </c>
    </row>
    <row r="73" spans="7:14" x14ac:dyDescent="0.35">
      <c r="G73" s="9">
        <v>18</v>
      </c>
      <c r="H73" t="s">
        <v>70</v>
      </c>
      <c r="I73" t="s">
        <v>56</v>
      </c>
      <c r="K73" t="s">
        <v>69</v>
      </c>
      <c r="L73" t="s">
        <v>26</v>
      </c>
      <c r="M73">
        <f t="shared" si="3"/>
        <v>13.890091266393521</v>
      </c>
    </row>
    <row r="74" spans="7:14" x14ac:dyDescent="0.35">
      <c r="G74" s="9"/>
      <c r="I74" t="s">
        <v>54</v>
      </c>
      <c r="K74" t="s">
        <v>11</v>
      </c>
      <c r="L74" t="s">
        <v>61</v>
      </c>
      <c r="M74">
        <f t="shared" si="3"/>
        <v>13.772546630207273</v>
      </c>
    </row>
    <row r="75" spans="7:14" x14ac:dyDescent="0.35">
      <c r="G75" s="9"/>
      <c r="I75" t="s">
        <v>52</v>
      </c>
      <c r="K75" t="s">
        <v>11</v>
      </c>
      <c r="L75" t="s">
        <v>17</v>
      </c>
      <c r="M75">
        <f t="shared" si="3"/>
        <v>13.322066012831918</v>
      </c>
    </row>
    <row r="76" spans="7:14" x14ac:dyDescent="0.35">
      <c r="G76" s="9"/>
      <c r="I76" t="s">
        <v>55</v>
      </c>
      <c r="K76" t="s">
        <v>69</v>
      </c>
      <c r="L76" t="s">
        <v>18</v>
      </c>
      <c r="M76">
        <f t="shared" si="3"/>
        <v>12.974675545440002</v>
      </c>
    </row>
    <row r="77" spans="7:14" x14ac:dyDescent="0.35">
      <c r="G77" s="9"/>
      <c r="I77" t="s">
        <v>53</v>
      </c>
      <c r="K77" t="s">
        <v>80</v>
      </c>
      <c r="L77" t="s">
        <v>22</v>
      </c>
      <c r="M77">
        <f t="shared" si="3"/>
        <v>11.188653801020575</v>
      </c>
    </row>
    <row r="78" spans="7:14" x14ac:dyDescent="0.35">
      <c r="G78" s="9"/>
    </row>
    <row r="79" spans="7:14" x14ac:dyDescent="0.35">
      <c r="G79" s="9"/>
    </row>
    <row r="80" spans="7:14" x14ac:dyDescent="0.35">
      <c r="G80" s="9"/>
    </row>
    <row r="81" spans="7:7" x14ac:dyDescent="0.35">
      <c r="G81" s="9"/>
    </row>
    <row r="82" spans="7:7" x14ac:dyDescent="0.35">
      <c r="G82" s="9"/>
    </row>
    <row r="83" spans="7:7" x14ac:dyDescent="0.35">
      <c r="G83" s="9"/>
    </row>
    <row r="84" spans="7:7" x14ac:dyDescent="0.35">
      <c r="G84" s="9"/>
    </row>
    <row r="85" spans="7:7" x14ac:dyDescent="0.35">
      <c r="G85" s="9"/>
    </row>
    <row r="86" spans="7:7" x14ac:dyDescent="0.35">
      <c r="G86" s="9"/>
    </row>
    <row r="87" spans="7:7" x14ac:dyDescent="0.35">
      <c r="G87" s="9"/>
    </row>
    <row r="88" spans="7:7" x14ac:dyDescent="0.35">
      <c r="G88" s="9"/>
    </row>
    <row r="89" spans="7:7" x14ac:dyDescent="0.35">
      <c r="G89" s="9"/>
    </row>
    <row r="90" spans="7:7" x14ac:dyDescent="0.35">
      <c r="G90" s="9"/>
    </row>
    <row r="91" spans="7:7" x14ac:dyDescent="0.35">
      <c r="G91" s="9"/>
    </row>
    <row r="92" spans="7:7" x14ac:dyDescent="0.35">
      <c r="G92" s="9"/>
    </row>
    <row r="93" spans="7:7" x14ac:dyDescent="0.35">
      <c r="G93" s="9"/>
    </row>
    <row r="94" spans="7:7" x14ac:dyDescent="0.35">
      <c r="G94" s="9"/>
    </row>
    <row r="95" spans="7:7" x14ac:dyDescent="0.35">
      <c r="G95" s="9"/>
    </row>
    <row r="96" spans="7:7" x14ac:dyDescent="0.35">
      <c r="G96" s="9"/>
    </row>
    <row r="97" spans="7:7" x14ac:dyDescent="0.35">
      <c r="G97" s="9"/>
    </row>
    <row r="98" spans="7:7" x14ac:dyDescent="0.35">
      <c r="G98" s="9"/>
    </row>
    <row r="99" spans="7:7" x14ac:dyDescent="0.35">
      <c r="G99" s="9"/>
    </row>
    <row r="100" spans="7:7" x14ac:dyDescent="0.35">
      <c r="G100" s="9"/>
    </row>
    <row r="101" spans="7:7" x14ac:dyDescent="0.35">
      <c r="G101" s="9"/>
    </row>
    <row r="102" spans="7:7" x14ac:dyDescent="0.35">
      <c r="G102" s="9"/>
    </row>
  </sheetData>
  <sortState xmlns:xlrd2="http://schemas.microsoft.com/office/spreadsheetml/2017/richdata2" ref="I73:M77">
    <sortCondition descending="1" ref="M73:M77"/>
  </sortState>
  <conditionalFormatting sqref="B6:B17"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6:C17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6:E17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6:D17">
    <cfRule type="colorScale" priority="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R6:R17">
    <cfRule type="colorScale" priority="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20:B24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A76D6-8EFA-4452-9E43-B593923C0F6D}">
  <dimension ref="A1:O77"/>
  <sheetViews>
    <sheetView tabSelected="1" topLeftCell="A31" workbookViewId="0">
      <selection activeCell="O17" sqref="M17:O17"/>
    </sheetView>
  </sheetViews>
  <sheetFormatPr defaultRowHeight="14.5" x14ac:dyDescent="0.35"/>
  <cols>
    <col min="1" max="1" width="18.7265625" bestFit="1" customWidth="1"/>
    <col min="2" max="2" width="11.90625" bestFit="1" customWidth="1"/>
    <col min="4" max="4" width="18.7265625" bestFit="1" customWidth="1"/>
    <col min="13" max="13" width="12.7265625" customWidth="1"/>
  </cols>
  <sheetData>
    <row r="1" spans="1:15" x14ac:dyDescent="0.35">
      <c r="F1" s="2" t="s">
        <v>82</v>
      </c>
    </row>
    <row r="2" spans="1:15" x14ac:dyDescent="0.35">
      <c r="B2">
        <v>0</v>
      </c>
    </row>
    <row r="3" spans="1:15" x14ac:dyDescent="0.35">
      <c r="A3" s="2" t="s">
        <v>1</v>
      </c>
      <c r="B3" s="3">
        <f>AVERAGE(B6:B15)</f>
        <v>2.6693664656463056E-7</v>
      </c>
      <c r="F3" s="2" t="s">
        <v>2</v>
      </c>
      <c r="G3" s="3" t="s">
        <v>90</v>
      </c>
    </row>
    <row r="4" spans="1:15" x14ac:dyDescent="0.35">
      <c r="O4" s="3">
        <f>SUM($O$6:$O300)</f>
        <v>23411.623223563733</v>
      </c>
    </row>
    <row r="5" spans="1:15" x14ac:dyDescent="0.35">
      <c r="A5" s="2" t="s">
        <v>3</v>
      </c>
      <c r="B5" s="2" t="s">
        <v>100</v>
      </c>
      <c r="C5" s="2" t="s">
        <v>5</v>
      </c>
      <c r="D5" s="2"/>
      <c r="E5" s="2"/>
      <c r="F5" s="2"/>
      <c r="G5" s="2" t="s">
        <v>47</v>
      </c>
      <c r="H5" s="2" t="s">
        <v>62</v>
      </c>
      <c r="I5" s="2" t="s">
        <v>63</v>
      </c>
      <c r="J5" s="2" t="s">
        <v>64</v>
      </c>
      <c r="K5" s="2" t="s">
        <v>65</v>
      </c>
      <c r="L5" s="2"/>
      <c r="M5" s="2" t="s">
        <v>13</v>
      </c>
      <c r="N5" s="2" t="s">
        <v>14</v>
      </c>
      <c r="O5" s="2" t="s">
        <v>15</v>
      </c>
    </row>
    <row r="6" spans="1:15" x14ac:dyDescent="0.35">
      <c r="A6" s="4" t="s">
        <v>93</v>
      </c>
      <c r="B6" s="12">
        <v>33.576102676942185</v>
      </c>
      <c r="C6" s="4">
        <f>RANK($B6,$B$6:$B$15,0)</f>
        <v>1</v>
      </c>
      <c r="D6" s="4" t="s">
        <v>87</v>
      </c>
      <c r="E6" s="4"/>
      <c r="G6" s="9">
        <v>1</v>
      </c>
      <c r="H6" t="s">
        <v>91</v>
      </c>
      <c r="I6">
        <v>19.600000000000001</v>
      </c>
      <c r="J6" t="s">
        <v>92</v>
      </c>
      <c r="K6">
        <v>48</v>
      </c>
      <c r="M6">
        <f>$I6-$K6</f>
        <v>-28.4</v>
      </c>
      <c r="N6">
        <f>VLOOKUP($H6,$A$6:$B$13,2,FALSE)-VLOOKUP($J6,$A$6:$B$13,2,FALSE)</f>
        <v>-29.281885136637825</v>
      </c>
      <c r="O6">
        <f>($M6-$N6)^2</f>
        <v>0.77772139422271858</v>
      </c>
    </row>
    <row r="7" spans="1:15" x14ac:dyDescent="0.35">
      <c r="A7" s="4" t="s">
        <v>92</v>
      </c>
      <c r="B7" s="12">
        <v>10.656146023385443</v>
      </c>
      <c r="C7" s="4">
        <f>RANK($B7,$B$6:$B$15,0)</f>
        <v>2</v>
      </c>
      <c r="D7" s="4" t="s">
        <v>85</v>
      </c>
      <c r="E7" s="4"/>
      <c r="G7" s="9">
        <v>1</v>
      </c>
      <c r="H7" t="s">
        <v>99</v>
      </c>
      <c r="I7">
        <v>9.5</v>
      </c>
      <c r="J7" t="s">
        <v>93</v>
      </c>
      <c r="K7">
        <v>84.9</v>
      </c>
      <c r="M7">
        <f t="shared" ref="M7:M41" si="0">$I7-$K7</f>
        <v>-75.400000000000006</v>
      </c>
      <c r="N7">
        <f t="shared" ref="N7:N41" si="1">VLOOKUP($H7,$A$6:$B$13,2,FALSE)-VLOOKUP($J7,$A$6:$B$13,2,FALSE)</f>
        <v>-54.456497912071221</v>
      </c>
      <c r="O7">
        <f t="shared" ref="O7:O41" si="2">($M7-$N7)^2</f>
        <v>438.63027970707736</v>
      </c>
    </row>
    <row r="8" spans="1:15" x14ac:dyDescent="0.35">
      <c r="A8" s="4" t="s">
        <v>95</v>
      </c>
      <c r="B8" s="12">
        <v>9.8136785187963564</v>
      </c>
      <c r="C8" s="4">
        <f>RANK($B8,$B$6:$B$15,0)</f>
        <v>3</v>
      </c>
      <c r="D8" s="4" t="s">
        <v>83</v>
      </c>
      <c r="E8" s="4"/>
      <c r="G8" s="9">
        <v>1</v>
      </c>
      <c r="H8" t="s">
        <v>94</v>
      </c>
      <c r="I8">
        <v>33.1</v>
      </c>
      <c r="J8" t="s">
        <v>95</v>
      </c>
      <c r="K8">
        <v>53.1</v>
      </c>
      <c r="M8">
        <f t="shared" si="0"/>
        <v>-20</v>
      </c>
      <c r="N8">
        <f t="shared" si="1"/>
        <v>-7.7738739865712532</v>
      </c>
      <c r="O8">
        <f t="shared" si="2"/>
        <v>149.47815729623909</v>
      </c>
    </row>
    <row r="9" spans="1:15" x14ac:dyDescent="0.35">
      <c r="A9" s="4" t="s">
        <v>94</v>
      </c>
      <c r="B9" s="12">
        <v>2.0398045322251033</v>
      </c>
      <c r="C9" s="4">
        <f>RANK($B9,$B$6:$B$15,0)</f>
        <v>4</v>
      </c>
      <c r="D9" s="4" t="s">
        <v>86</v>
      </c>
      <c r="E9" s="4"/>
      <c r="G9" s="9">
        <v>1</v>
      </c>
      <c r="H9" t="s">
        <v>96</v>
      </c>
      <c r="I9">
        <v>57.7</v>
      </c>
      <c r="J9" t="s">
        <v>97</v>
      </c>
      <c r="K9">
        <v>49.9</v>
      </c>
      <c r="M9">
        <f t="shared" si="0"/>
        <v>7.8000000000000043</v>
      </c>
      <c r="N9">
        <f t="shared" si="1"/>
        <v>-8.3734559301433933</v>
      </c>
      <c r="O9">
        <f t="shared" si="2"/>
        <v>261.58067672429064</v>
      </c>
    </row>
    <row r="10" spans="1:15" x14ac:dyDescent="0.35">
      <c r="A10" s="4" t="s">
        <v>97</v>
      </c>
      <c r="B10" s="12">
        <v>-4.1030696686655519</v>
      </c>
      <c r="C10" s="4">
        <f>RANK($B10,$B$6:$B$15,0)</f>
        <v>5</v>
      </c>
      <c r="D10" s="4" t="s">
        <v>84</v>
      </c>
      <c r="E10" s="4"/>
      <c r="G10" s="9">
        <v>2</v>
      </c>
      <c r="H10" t="s">
        <v>91</v>
      </c>
      <c r="I10">
        <v>0</v>
      </c>
      <c r="J10" t="s">
        <v>97</v>
      </c>
      <c r="K10">
        <v>74.7</v>
      </c>
      <c r="M10">
        <f t="shared" si="0"/>
        <v>-74.7</v>
      </c>
      <c r="N10">
        <f t="shared" si="1"/>
        <v>-14.522669444586832</v>
      </c>
      <c r="O10">
        <f t="shared" si="2"/>
        <v>3621.3111127754637</v>
      </c>
    </row>
    <row r="11" spans="1:15" x14ac:dyDescent="0.35">
      <c r="A11" s="4" t="s">
        <v>96</v>
      </c>
      <c r="B11" s="12">
        <v>-12.476525598808946</v>
      </c>
      <c r="C11" s="4">
        <f>RANK($B11,$B$6:$B$15,0)</f>
        <v>6</v>
      </c>
      <c r="D11" s="4" t="s">
        <v>88</v>
      </c>
      <c r="E11" s="4"/>
      <c r="G11" s="9">
        <v>2</v>
      </c>
      <c r="H11" t="s">
        <v>99</v>
      </c>
      <c r="I11">
        <v>0</v>
      </c>
      <c r="J11" t="s">
        <v>92</v>
      </c>
      <c r="K11">
        <v>73.400000000000006</v>
      </c>
      <c r="M11">
        <f t="shared" si="0"/>
        <v>-73.400000000000006</v>
      </c>
      <c r="N11">
        <f t="shared" si="1"/>
        <v>-31.536541258514479</v>
      </c>
      <c r="O11">
        <f t="shared" si="2"/>
        <v>1752.5491778000612</v>
      </c>
    </row>
    <row r="12" spans="1:15" x14ac:dyDescent="0.35">
      <c r="A12" s="4" t="s">
        <v>91</v>
      </c>
      <c r="B12" s="12">
        <v>-18.625739113252383</v>
      </c>
      <c r="C12" s="4">
        <f>RANK($B12,$B$6:$B$15,0)</f>
        <v>7</v>
      </c>
      <c r="D12" s="4" t="s">
        <v>89</v>
      </c>
      <c r="E12" s="4"/>
      <c r="G12" s="9">
        <v>2</v>
      </c>
      <c r="H12" t="s">
        <v>94</v>
      </c>
      <c r="I12">
        <v>63.9</v>
      </c>
      <c r="J12" t="s">
        <v>93</v>
      </c>
      <c r="K12">
        <v>109.9</v>
      </c>
      <c r="M12">
        <f t="shared" si="0"/>
        <v>-46.000000000000007</v>
      </c>
      <c r="N12">
        <f t="shared" si="1"/>
        <v>-31.53629814471708</v>
      </c>
      <c r="O12">
        <f t="shared" si="2"/>
        <v>209.19867135851479</v>
      </c>
    </row>
    <row r="13" spans="1:15" x14ac:dyDescent="0.35">
      <c r="A13" s="4" t="s">
        <v>99</v>
      </c>
      <c r="B13" s="12">
        <v>-20.880395235129036</v>
      </c>
      <c r="C13" s="4">
        <f>RANK($B13,$B$6:$B$15,0)</f>
        <v>8</v>
      </c>
      <c r="D13" s="4" t="s">
        <v>98</v>
      </c>
      <c r="E13" s="4"/>
      <c r="G13" s="9">
        <v>2</v>
      </c>
      <c r="H13" t="s">
        <v>96</v>
      </c>
      <c r="I13">
        <v>58.5</v>
      </c>
      <c r="J13" t="s">
        <v>95</v>
      </c>
      <c r="K13">
        <v>66.8</v>
      </c>
      <c r="M13">
        <f t="shared" si="0"/>
        <v>-8.2999999999999972</v>
      </c>
      <c r="N13">
        <f t="shared" si="1"/>
        <v>-22.290204117605303</v>
      </c>
      <c r="O13">
        <f t="shared" si="2"/>
        <v>195.72581125226043</v>
      </c>
    </row>
    <row r="14" spans="1:15" x14ac:dyDescent="0.35">
      <c r="G14" s="9">
        <v>3</v>
      </c>
      <c r="H14" t="s">
        <v>91</v>
      </c>
      <c r="I14">
        <v>44.3</v>
      </c>
      <c r="J14" t="s">
        <v>93</v>
      </c>
      <c r="K14">
        <v>91.6</v>
      </c>
      <c r="M14">
        <f t="shared" si="0"/>
        <v>-47.3</v>
      </c>
      <c r="N14">
        <f t="shared" si="1"/>
        <v>-52.201841790194564</v>
      </c>
      <c r="O14">
        <f t="shared" si="2"/>
        <v>24.028052936097875</v>
      </c>
    </row>
    <row r="15" spans="1:15" x14ac:dyDescent="0.35">
      <c r="G15" s="9">
        <v>3</v>
      </c>
      <c r="H15" t="s">
        <v>99</v>
      </c>
      <c r="I15">
        <v>51.2</v>
      </c>
      <c r="J15" t="s">
        <v>95</v>
      </c>
      <c r="K15">
        <v>77.5</v>
      </c>
      <c r="M15">
        <f t="shared" si="0"/>
        <v>-26.299999999999997</v>
      </c>
      <c r="N15">
        <f t="shared" si="1"/>
        <v>-30.694073753925394</v>
      </c>
      <c r="O15">
        <f t="shared" si="2"/>
        <v>19.307884154936033</v>
      </c>
    </row>
    <row r="16" spans="1:15" x14ac:dyDescent="0.35">
      <c r="A16" s="22"/>
      <c r="B16" s="22" t="s">
        <v>127</v>
      </c>
      <c r="C16" s="22" t="s">
        <v>128</v>
      </c>
      <c r="D16" s="22" t="s">
        <v>7</v>
      </c>
      <c r="G16" s="9">
        <v>3</v>
      </c>
      <c r="H16" t="s">
        <v>94</v>
      </c>
      <c r="I16">
        <v>80.3</v>
      </c>
      <c r="J16" t="s">
        <v>97</v>
      </c>
      <c r="K16">
        <v>55.6</v>
      </c>
      <c r="M16">
        <f t="shared" si="0"/>
        <v>24.699999999999996</v>
      </c>
      <c r="N16">
        <f t="shared" si="1"/>
        <v>6.1428742008906552</v>
      </c>
      <c r="O16">
        <f t="shared" si="2"/>
        <v>344.36691792396942</v>
      </c>
    </row>
    <row r="17" spans="1:15" x14ac:dyDescent="0.35">
      <c r="A17" s="22" t="s">
        <v>87</v>
      </c>
      <c r="B17" s="4">
        <v>1</v>
      </c>
      <c r="C17" s="4">
        <v>1</v>
      </c>
      <c r="D17" s="4">
        <f>C17-B17</f>
        <v>0</v>
      </c>
      <c r="G17" s="9">
        <v>3</v>
      </c>
      <c r="H17" t="s">
        <v>96</v>
      </c>
      <c r="I17">
        <v>82.5</v>
      </c>
      <c r="J17" t="s">
        <v>92</v>
      </c>
      <c r="K17">
        <v>61</v>
      </c>
      <c r="M17">
        <f t="shared" si="0"/>
        <v>21.5</v>
      </c>
      <c r="N17">
        <f t="shared" si="1"/>
        <v>-23.132671622194387</v>
      </c>
      <c r="O17">
        <f t="shared" si="2"/>
        <v>1992.0753761346361</v>
      </c>
    </row>
    <row r="18" spans="1:15" x14ac:dyDescent="0.35">
      <c r="A18" s="22" t="s">
        <v>85</v>
      </c>
      <c r="B18" s="4">
        <v>2</v>
      </c>
      <c r="C18" s="4">
        <v>2</v>
      </c>
      <c r="D18" s="4">
        <f t="shared" ref="D18:D24" si="3">C18-B18</f>
        <v>0</v>
      </c>
      <c r="G18" s="9">
        <v>4</v>
      </c>
      <c r="H18" t="s">
        <v>95</v>
      </c>
      <c r="I18">
        <v>74.099999999999994</v>
      </c>
      <c r="J18" t="s">
        <v>91</v>
      </c>
      <c r="K18">
        <v>59.7</v>
      </c>
      <c r="M18">
        <f t="shared" si="0"/>
        <v>14.399999999999991</v>
      </c>
      <c r="N18">
        <f t="shared" si="1"/>
        <v>28.439417632048738</v>
      </c>
      <c r="O18">
        <f t="shared" si="2"/>
        <v>197.10524744708121</v>
      </c>
    </row>
    <row r="19" spans="1:15" x14ac:dyDescent="0.35">
      <c r="A19" s="22" t="s">
        <v>83</v>
      </c>
      <c r="B19" s="4">
        <v>3</v>
      </c>
      <c r="C19" s="4">
        <v>3</v>
      </c>
      <c r="D19" s="4">
        <f t="shared" si="3"/>
        <v>0</v>
      </c>
      <c r="G19" s="9">
        <v>4</v>
      </c>
      <c r="H19" t="s">
        <v>97</v>
      </c>
      <c r="I19">
        <v>60.8</v>
      </c>
      <c r="J19" t="s">
        <v>99</v>
      </c>
      <c r="K19">
        <v>60.8</v>
      </c>
      <c r="M19">
        <f t="shared" si="0"/>
        <v>0</v>
      </c>
      <c r="N19">
        <f t="shared" si="1"/>
        <v>16.777325566463485</v>
      </c>
      <c r="O19">
        <f t="shared" si="2"/>
        <v>281.4786531631093</v>
      </c>
    </row>
    <row r="20" spans="1:15" x14ac:dyDescent="0.35">
      <c r="A20" s="22" t="s">
        <v>86</v>
      </c>
      <c r="B20" s="4">
        <v>4</v>
      </c>
      <c r="C20" s="4">
        <v>4</v>
      </c>
      <c r="D20" s="4">
        <f t="shared" si="3"/>
        <v>0</v>
      </c>
      <c r="G20" s="9">
        <v>4</v>
      </c>
      <c r="H20" t="s">
        <v>92</v>
      </c>
      <c r="I20">
        <v>72.5</v>
      </c>
      <c r="J20" t="s">
        <v>94</v>
      </c>
      <c r="K20">
        <v>37.5</v>
      </c>
      <c r="M20">
        <f t="shared" si="0"/>
        <v>35</v>
      </c>
      <c r="N20">
        <f t="shared" si="1"/>
        <v>8.6163414911603393</v>
      </c>
      <c r="O20">
        <f t="shared" si="2"/>
        <v>696.09743631106733</v>
      </c>
    </row>
    <row r="21" spans="1:15" x14ac:dyDescent="0.35">
      <c r="A21" s="22" t="s">
        <v>84</v>
      </c>
      <c r="B21" s="4">
        <v>5</v>
      </c>
      <c r="C21" s="4">
        <v>5</v>
      </c>
      <c r="D21" s="4">
        <f t="shared" si="3"/>
        <v>0</v>
      </c>
      <c r="G21" s="9">
        <v>4</v>
      </c>
      <c r="H21" t="s">
        <v>93</v>
      </c>
      <c r="I21">
        <v>109.5</v>
      </c>
      <c r="J21" t="s">
        <v>96</v>
      </c>
      <c r="K21">
        <v>55.9</v>
      </c>
      <c r="M21">
        <f t="shared" si="0"/>
        <v>53.6</v>
      </c>
      <c r="N21">
        <f t="shared" si="1"/>
        <v>46.052628275751132</v>
      </c>
      <c r="O21">
        <f t="shared" si="2"/>
        <v>56.962819943991342</v>
      </c>
    </row>
    <row r="22" spans="1:15" x14ac:dyDescent="0.35">
      <c r="A22" s="22" t="s">
        <v>88</v>
      </c>
      <c r="B22" s="4">
        <v>6</v>
      </c>
      <c r="C22" s="4">
        <v>6</v>
      </c>
      <c r="D22" s="4">
        <f t="shared" si="3"/>
        <v>0</v>
      </c>
      <c r="G22" s="9">
        <v>5</v>
      </c>
      <c r="H22" t="s">
        <v>95</v>
      </c>
      <c r="I22">
        <v>92.6</v>
      </c>
      <c r="J22" t="s">
        <v>93</v>
      </c>
      <c r="K22">
        <v>90</v>
      </c>
      <c r="M22">
        <f t="shared" si="0"/>
        <v>2.5999999999999943</v>
      </c>
      <c r="N22">
        <f t="shared" si="1"/>
        <v>-23.762424158145826</v>
      </c>
      <c r="O22">
        <f t="shared" si="2"/>
        <v>694.97740749399043</v>
      </c>
    </row>
    <row r="23" spans="1:15" x14ac:dyDescent="0.35">
      <c r="A23" s="22" t="s">
        <v>89</v>
      </c>
      <c r="B23" s="4">
        <v>7</v>
      </c>
      <c r="C23" s="4">
        <v>7</v>
      </c>
      <c r="D23" s="4">
        <f t="shared" si="3"/>
        <v>0</v>
      </c>
      <c r="G23" s="9">
        <v>5</v>
      </c>
      <c r="H23" t="s">
        <v>97</v>
      </c>
      <c r="I23">
        <v>82.2</v>
      </c>
      <c r="J23" t="s">
        <v>92</v>
      </c>
      <c r="K23">
        <v>68.099999999999994</v>
      </c>
      <c r="M23">
        <f t="shared" si="0"/>
        <v>14.100000000000009</v>
      </c>
      <c r="N23">
        <f t="shared" si="1"/>
        <v>-14.759215692050994</v>
      </c>
      <c r="O23">
        <f t="shared" si="2"/>
        <v>832.85433036032282</v>
      </c>
    </row>
    <row r="24" spans="1:15" x14ac:dyDescent="0.35">
      <c r="A24" s="22" t="s">
        <v>98</v>
      </c>
      <c r="B24" s="4">
        <v>8</v>
      </c>
      <c r="C24" s="4">
        <v>8</v>
      </c>
      <c r="D24" s="4">
        <f t="shared" si="3"/>
        <v>0</v>
      </c>
      <c r="G24" s="9">
        <v>5</v>
      </c>
      <c r="H24" t="s">
        <v>91</v>
      </c>
      <c r="I24">
        <v>50.6</v>
      </c>
      <c r="J24" t="s">
        <v>94</v>
      </c>
      <c r="K24">
        <v>17.5</v>
      </c>
      <c r="M24">
        <f t="shared" si="0"/>
        <v>33.1</v>
      </c>
      <c r="N24">
        <f t="shared" si="1"/>
        <v>-20.665543645477484</v>
      </c>
      <c r="O24">
        <f t="shared" si="2"/>
        <v>2890.7336834937446</v>
      </c>
    </row>
    <row r="25" spans="1:15" x14ac:dyDescent="0.35">
      <c r="G25" s="9">
        <v>5</v>
      </c>
      <c r="H25" t="s">
        <v>99</v>
      </c>
      <c r="I25">
        <v>18.2</v>
      </c>
      <c r="J25" t="s">
        <v>96</v>
      </c>
      <c r="K25">
        <v>35</v>
      </c>
      <c r="M25">
        <f t="shared" si="0"/>
        <v>-16.8</v>
      </c>
      <c r="N25">
        <f t="shared" si="1"/>
        <v>-8.4038696363200902</v>
      </c>
      <c r="O25">
        <f t="shared" si="2"/>
        <v>70.495005083907742</v>
      </c>
    </row>
    <row r="26" spans="1:15" x14ac:dyDescent="0.35">
      <c r="G26" s="9">
        <v>6</v>
      </c>
      <c r="H26" t="s">
        <v>95</v>
      </c>
      <c r="I26">
        <v>100.8</v>
      </c>
      <c r="J26" t="s">
        <v>99</v>
      </c>
      <c r="K26">
        <v>66.099999999999994</v>
      </c>
      <c r="M26">
        <f t="shared" si="0"/>
        <v>34.700000000000003</v>
      </c>
      <c r="N26">
        <f t="shared" si="1"/>
        <v>30.694073753925394</v>
      </c>
      <c r="O26">
        <f t="shared" si="2"/>
        <v>16.047445088989402</v>
      </c>
    </row>
    <row r="27" spans="1:15" x14ac:dyDescent="0.35">
      <c r="G27" s="9">
        <v>6</v>
      </c>
      <c r="H27" t="s">
        <v>97</v>
      </c>
      <c r="I27">
        <v>57.3</v>
      </c>
      <c r="J27" t="s">
        <v>94</v>
      </c>
      <c r="K27">
        <v>116.8</v>
      </c>
      <c r="M27">
        <f t="shared" si="0"/>
        <v>-59.5</v>
      </c>
      <c r="N27">
        <f t="shared" si="1"/>
        <v>-6.1428742008906552</v>
      </c>
      <c r="O27">
        <f t="shared" si="2"/>
        <v>2846.9828735419801</v>
      </c>
    </row>
    <row r="28" spans="1:15" x14ac:dyDescent="0.35">
      <c r="G28" s="9">
        <v>6</v>
      </c>
      <c r="H28" t="s">
        <v>92</v>
      </c>
      <c r="I28">
        <v>58</v>
      </c>
      <c r="J28" t="s">
        <v>96</v>
      </c>
      <c r="K28">
        <v>0</v>
      </c>
      <c r="M28">
        <f t="shared" si="0"/>
        <v>58</v>
      </c>
      <c r="N28">
        <f t="shared" si="1"/>
        <v>23.132671622194387</v>
      </c>
      <c r="O28">
        <f t="shared" si="2"/>
        <v>1215.7305882057285</v>
      </c>
    </row>
    <row r="29" spans="1:15" x14ac:dyDescent="0.35">
      <c r="G29" s="9">
        <v>6</v>
      </c>
      <c r="H29" t="s">
        <v>93</v>
      </c>
      <c r="I29">
        <v>88.9</v>
      </c>
      <c r="J29" t="s">
        <v>91</v>
      </c>
      <c r="K29">
        <v>19.3</v>
      </c>
      <c r="M29">
        <f t="shared" si="0"/>
        <v>69.600000000000009</v>
      </c>
      <c r="N29">
        <f t="shared" si="1"/>
        <v>52.201841790194564</v>
      </c>
      <c r="O29">
        <f t="shared" si="2"/>
        <v>302.6959090934206</v>
      </c>
    </row>
    <row r="30" spans="1:15" x14ac:dyDescent="0.35">
      <c r="G30" s="9">
        <v>7</v>
      </c>
      <c r="H30" t="s">
        <v>91</v>
      </c>
      <c r="I30">
        <v>52.8</v>
      </c>
      <c r="J30" t="s">
        <v>92</v>
      </c>
      <c r="K30">
        <v>62</v>
      </c>
      <c r="M30">
        <f t="shared" si="0"/>
        <v>-9.2000000000000028</v>
      </c>
      <c r="N30">
        <f t="shared" si="1"/>
        <v>-29.281885136637825</v>
      </c>
      <c r="O30">
        <f t="shared" si="2"/>
        <v>403.28211064111508</v>
      </c>
    </row>
    <row r="31" spans="1:15" x14ac:dyDescent="0.35">
      <c r="G31" s="9">
        <v>7</v>
      </c>
      <c r="H31" t="s">
        <v>99</v>
      </c>
      <c r="I31">
        <v>58.8</v>
      </c>
      <c r="J31" t="s">
        <v>93</v>
      </c>
      <c r="K31">
        <v>87.7</v>
      </c>
      <c r="M31">
        <f t="shared" si="0"/>
        <v>-28.900000000000006</v>
      </c>
      <c r="N31">
        <f t="shared" si="1"/>
        <v>-54.456497912071221</v>
      </c>
      <c r="O31">
        <f t="shared" si="2"/>
        <v>653.13458552970042</v>
      </c>
    </row>
    <row r="32" spans="1:15" x14ac:dyDescent="0.35">
      <c r="G32" s="9">
        <v>7</v>
      </c>
      <c r="H32" t="s">
        <v>94</v>
      </c>
      <c r="I32">
        <v>116.1</v>
      </c>
      <c r="J32" t="s">
        <v>95</v>
      </c>
      <c r="K32">
        <v>91.2</v>
      </c>
      <c r="M32">
        <f t="shared" si="0"/>
        <v>24.899999999999991</v>
      </c>
      <c r="N32">
        <f t="shared" si="1"/>
        <v>-7.7738739865712532</v>
      </c>
      <c r="O32">
        <f t="shared" si="2"/>
        <v>1067.582041290337</v>
      </c>
    </row>
    <row r="33" spans="7:15" x14ac:dyDescent="0.35">
      <c r="G33" s="9">
        <v>7</v>
      </c>
      <c r="H33" t="s">
        <v>96</v>
      </c>
      <c r="I33">
        <v>45.3</v>
      </c>
      <c r="J33" t="s">
        <v>97</v>
      </c>
      <c r="K33">
        <v>86.5</v>
      </c>
      <c r="M33">
        <f t="shared" si="0"/>
        <v>-41.2</v>
      </c>
      <c r="N33">
        <f t="shared" si="1"/>
        <v>-8.3734559301433933</v>
      </c>
      <c r="O33">
        <f t="shared" si="2"/>
        <v>1077.5819955702382</v>
      </c>
    </row>
    <row r="34" spans="7:15" x14ac:dyDescent="0.35">
      <c r="G34" s="9">
        <v>8</v>
      </c>
      <c r="H34" t="s">
        <v>91</v>
      </c>
      <c r="I34">
        <v>54.4</v>
      </c>
      <c r="J34" t="s">
        <v>95</v>
      </c>
      <c r="K34">
        <v>97.6</v>
      </c>
      <c r="M34">
        <f t="shared" si="0"/>
        <v>-43.199999999999996</v>
      </c>
      <c r="N34">
        <f t="shared" si="1"/>
        <v>-28.439417632048738</v>
      </c>
      <c r="O34">
        <f t="shared" si="2"/>
        <v>217.87479184107357</v>
      </c>
    </row>
    <row r="35" spans="7:15" x14ac:dyDescent="0.35">
      <c r="G35" s="9">
        <v>8</v>
      </c>
      <c r="H35" t="s">
        <v>99</v>
      </c>
      <c r="I35">
        <v>73.3</v>
      </c>
      <c r="J35" t="s">
        <v>97</v>
      </c>
      <c r="K35">
        <v>83.4</v>
      </c>
      <c r="M35">
        <f t="shared" si="0"/>
        <v>-10.100000000000009</v>
      </c>
      <c r="N35">
        <f t="shared" si="1"/>
        <v>-16.777325566463485</v>
      </c>
      <c r="O35">
        <f t="shared" si="2"/>
        <v>44.586676720546791</v>
      </c>
    </row>
    <row r="36" spans="7:15" x14ac:dyDescent="0.35">
      <c r="G36" s="9">
        <v>8</v>
      </c>
      <c r="H36" t="s">
        <v>94</v>
      </c>
      <c r="I36">
        <v>64.7</v>
      </c>
      <c r="J36" t="s">
        <v>92</v>
      </c>
      <c r="K36">
        <v>72.400000000000006</v>
      </c>
      <c r="M36">
        <f t="shared" si="0"/>
        <v>-7.7000000000000028</v>
      </c>
      <c r="N36">
        <f t="shared" si="1"/>
        <v>-8.6163414911603393</v>
      </c>
      <c r="O36">
        <f t="shared" si="2"/>
        <v>0.83968172842194899</v>
      </c>
    </row>
    <row r="37" spans="7:15" x14ac:dyDescent="0.35">
      <c r="G37" s="9">
        <v>8</v>
      </c>
      <c r="H37" t="s">
        <v>96</v>
      </c>
      <c r="I37">
        <v>54.5</v>
      </c>
      <c r="J37" t="s">
        <v>93</v>
      </c>
      <c r="K37">
        <v>86.7</v>
      </c>
      <c r="M37">
        <f t="shared" si="0"/>
        <v>-32.200000000000003</v>
      </c>
      <c r="N37">
        <f t="shared" si="1"/>
        <v>-46.052628275751132</v>
      </c>
      <c r="O37">
        <f t="shared" si="2"/>
        <v>191.89531014613971</v>
      </c>
    </row>
    <row r="38" spans="7:15" x14ac:dyDescent="0.35">
      <c r="G38" s="9">
        <v>8.5</v>
      </c>
      <c r="H38" t="s">
        <v>95</v>
      </c>
      <c r="I38">
        <v>80.2</v>
      </c>
      <c r="J38" t="s">
        <v>92</v>
      </c>
      <c r="K38">
        <v>73.3</v>
      </c>
      <c r="M38">
        <f t="shared" si="0"/>
        <v>6.9000000000000057</v>
      </c>
      <c r="N38">
        <f t="shared" si="1"/>
        <v>-0.84246750458908615</v>
      </c>
      <c r="O38">
        <f t="shared" si="2"/>
        <v>59.945803059618036</v>
      </c>
    </row>
    <row r="39" spans="7:15" x14ac:dyDescent="0.35">
      <c r="G39" s="9">
        <v>8.7352941176470598</v>
      </c>
      <c r="H39" t="s">
        <v>97</v>
      </c>
      <c r="I39">
        <v>52.4</v>
      </c>
      <c r="J39" t="s">
        <v>93</v>
      </c>
      <c r="K39">
        <v>100.4</v>
      </c>
      <c r="M39">
        <f t="shared" si="0"/>
        <v>-48.000000000000007</v>
      </c>
      <c r="N39">
        <f t="shared" si="1"/>
        <v>-37.679172345607739</v>
      </c>
      <c r="O39">
        <f t="shared" si="2"/>
        <v>106.51948347166821</v>
      </c>
    </row>
    <row r="40" spans="7:15" x14ac:dyDescent="0.35">
      <c r="G40" s="9">
        <v>8.9705882352941195</v>
      </c>
      <c r="H40" t="s">
        <v>91</v>
      </c>
      <c r="I40">
        <v>51.2</v>
      </c>
      <c r="J40" t="s">
        <v>94</v>
      </c>
      <c r="K40">
        <v>73.2</v>
      </c>
      <c r="M40">
        <f t="shared" si="0"/>
        <v>-22</v>
      </c>
      <c r="N40">
        <f t="shared" si="1"/>
        <v>-20.665543645477484</v>
      </c>
      <c r="O40">
        <f t="shared" si="2"/>
        <v>1.780773762125522</v>
      </c>
    </row>
    <row r="41" spans="7:15" x14ac:dyDescent="0.35">
      <c r="G41" s="9">
        <v>9.2058823529411793</v>
      </c>
      <c r="H41" t="s">
        <v>99</v>
      </c>
      <c r="I41">
        <v>59.7</v>
      </c>
      <c r="J41" t="s">
        <v>96</v>
      </c>
      <c r="K41">
        <v>46.3</v>
      </c>
      <c r="M41">
        <f t="shared" si="0"/>
        <v>13.400000000000006</v>
      </c>
      <c r="N41">
        <f>VLOOKUP($H41,$A$6:$B$13,2,FALSE)-VLOOKUP($J41,$A$6:$B$13,2,FALSE)</f>
        <v>-8.4038696363200902</v>
      </c>
      <c r="O41">
        <f t="shared" si="2"/>
        <v>475.40873111764137</v>
      </c>
    </row>
    <row r="42" spans="7:15" x14ac:dyDescent="0.35">
      <c r="G42" s="9">
        <v>9.6764705882353006</v>
      </c>
    </row>
    <row r="43" spans="7:15" x14ac:dyDescent="0.35">
      <c r="G43" s="9">
        <v>9.9117647058823497</v>
      </c>
    </row>
    <row r="44" spans="7:15" x14ac:dyDescent="0.35">
      <c r="G44" s="9">
        <v>10.147058823529401</v>
      </c>
    </row>
    <row r="45" spans="7:15" x14ac:dyDescent="0.35">
      <c r="G45" s="9">
        <v>10.382352941176499</v>
      </c>
    </row>
    <row r="46" spans="7:15" x14ac:dyDescent="0.35">
      <c r="G46" s="9">
        <v>10.617647058823501</v>
      </c>
    </row>
    <row r="47" spans="7:15" x14ac:dyDescent="0.35">
      <c r="G47" s="9">
        <v>10.852941176470599</v>
      </c>
    </row>
    <row r="48" spans="7:15" x14ac:dyDescent="0.35">
      <c r="G48" s="9">
        <v>11.088235294117601</v>
      </c>
    </row>
    <row r="49" spans="7:7" x14ac:dyDescent="0.35">
      <c r="G49" s="9">
        <v>11.323529411764699</v>
      </c>
    </row>
    <row r="50" spans="7:7" x14ac:dyDescent="0.35">
      <c r="G50" s="9">
        <v>11.5588235294118</v>
      </c>
    </row>
    <row r="51" spans="7:7" x14ac:dyDescent="0.35">
      <c r="G51" s="9">
        <v>11.794117647058799</v>
      </c>
    </row>
    <row r="52" spans="7:7" x14ac:dyDescent="0.35">
      <c r="G52" s="9">
        <v>12.0294117647059</v>
      </c>
    </row>
    <row r="53" spans="7:7" x14ac:dyDescent="0.35">
      <c r="G53" s="9">
        <v>12.264705882352899</v>
      </c>
    </row>
    <row r="54" spans="7:7" x14ac:dyDescent="0.35">
      <c r="G54" s="9">
        <v>12.5</v>
      </c>
    </row>
    <row r="55" spans="7:7" x14ac:dyDescent="0.35">
      <c r="G55" s="9">
        <v>12.735294117647101</v>
      </c>
    </row>
    <row r="56" spans="7:7" x14ac:dyDescent="0.35">
      <c r="G56" s="9">
        <v>12.9705882352941</v>
      </c>
    </row>
    <row r="57" spans="7:7" x14ac:dyDescent="0.35">
      <c r="G57" s="9">
        <v>13.205882352941201</v>
      </c>
    </row>
    <row r="58" spans="7:7" x14ac:dyDescent="0.35">
      <c r="G58" s="9">
        <v>13.676470588235301</v>
      </c>
    </row>
    <row r="59" spans="7:7" x14ac:dyDescent="0.35">
      <c r="G59" s="9">
        <v>13.9117647058823</v>
      </c>
    </row>
    <row r="60" spans="7:7" x14ac:dyDescent="0.35">
      <c r="G60" s="9">
        <v>14.147058823529401</v>
      </c>
    </row>
    <row r="61" spans="7:7" x14ac:dyDescent="0.35">
      <c r="G61" s="9">
        <v>14.382352941176499</v>
      </c>
    </row>
    <row r="62" spans="7:7" x14ac:dyDescent="0.35">
      <c r="G62" s="9">
        <v>14.617647058823501</v>
      </c>
    </row>
    <row r="63" spans="7:7" x14ac:dyDescent="0.35">
      <c r="G63" s="9">
        <v>14.852941176470599</v>
      </c>
    </row>
    <row r="64" spans="7:7" x14ac:dyDescent="0.35">
      <c r="G64" s="9">
        <v>15.0882352941177</v>
      </c>
    </row>
    <row r="65" spans="7:7" x14ac:dyDescent="0.35">
      <c r="G65" s="9">
        <v>15.323529411764699</v>
      </c>
    </row>
    <row r="66" spans="7:7" x14ac:dyDescent="0.35">
      <c r="G66" s="9">
        <v>15.5588235294118</v>
      </c>
    </row>
    <row r="67" spans="7:7" x14ac:dyDescent="0.35">
      <c r="G67" s="9">
        <v>15.794117647058901</v>
      </c>
    </row>
    <row r="68" spans="7:7" x14ac:dyDescent="0.35">
      <c r="G68" s="9">
        <v>16.029411764705898</v>
      </c>
    </row>
    <row r="69" spans="7:7" x14ac:dyDescent="0.35">
      <c r="G69" s="9">
        <v>16.264705882352999</v>
      </c>
    </row>
    <row r="70" spans="7:7" x14ac:dyDescent="0.35">
      <c r="G70" s="9">
        <v>16.5</v>
      </c>
    </row>
    <row r="71" spans="7:7" x14ac:dyDescent="0.35">
      <c r="G71" s="9">
        <v>16.735294117647101</v>
      </c>
    </row>
    <row r="72" spans="7:7" x14ac:dyDescent="0.35">
      <c r="G72" s="9">
        <v>16.970588235294201</v>
      </c>
    </row>
    <row r="73" spans="7:7" x14ac:dyDescent="0.35">
      <c r="G73" s="9">
        <v>17.205882352941199</v>
      </c>
    </row>
    <row r="74" spans="7:7" x14ac:dyDescent="0.35">
      <c r="G74" s="9">
        <v>17.676470588235301</v>
      </c>
    </row>
    <row r="75" spans="7:7" x14ac:dyDescent="0.35">
      <c r="G75" s="9">
        <v>17.911764705882401</v>
      </c>
    </row>
    <row r="76" spans="7:7" x14ac:dyDescent="0.35">
      <c r="G76" s="9">
        <v>18.147058823529498</v>
      </c>
    </row>
    <row r="77" spans="7:7" x14ac:dyDescent="0.35">
      <c r="G77" s="9">
        <v>18.382352941176499</v>
      </c>
    </row>
  </sheetData>
  <sortState xmlns:xlrd2="http://schemas.microsoft.com/office/spreadsheetml/2017/richdata2" ref="A6:E13">
    <sortCondition ref="C6:C13"/>
  </sortState>
  <conditionalFormatting sqref="B6:B13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6:C13">
    <cfRule type="colorScale" priority="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E6:E13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7:B24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AA2A6-5AF1-4901-B0CC-E2B61EAA484B}">
  <dimension ref="A1:V102"/>
  <sheetViews>
    <sheetView topLeftCell="D16" workbookViewId="0">
      <selection activeCell="K22" sqref="K22"/>
    </sheetView>
  </sheetViews>
  <sheetFormatPr defaultRowHeight="14.5" x14ac:dyDescent="0.35"/>
  <cols>
    <col min="1" max="1" width="23" bestFit="1" customWidth="1"/>
    <col min="7" max="7" width="6.36328125" bestFit="1" customWidth="1"/>
    <col min="8" max="8" width="10.6328125" bestFit="1" customWidth="1"/>
    <col min="9" max="9" width="23" bestFit="1" customWidth="1"/>
    <col min="10" max="10" width="13.6328125" bestFit="1" customWidth="1"/>
    <col min="11" max="11" width="10.1796875" customWidth="1"/>
    <col min="13" max="13" width="12.54296875" bestFit="1" customWidth="1"/>
    <col min="18" max="18" width="14.81640625" bestFit="1" customWidth="1"/>
  </cols>
  <sheetData>
    <row r="1" spans="1:22" x14ac:dyDescent="0.35">
      <c r="A1" s="2" t="s">
        <v>66</v>
      </c>
      <c r="F1" s="2" t="s">
        <v>58</v>
      </c>
    </row>
    <row r="2" spans="1:22" x14ac:dyDescent="0.35">
      <c r="B2">
        <v>0</v>
      </c>
    </row>
    <row r="3" spans="1:22" x14ac:dyDescent="0.35">
      <c r="A3" s="2" t="s">
        <v>1</v>
      </c>
      <c r="B3" s="3">
        <f>AVERAGE(B6:B17)</f>
        <v>7.8676884007755632E-8</v>
      </c>
      <c r="F3" s="2" t="s">
        <v>11</v>
      </c>
      <c r="G3" s="3">
        <v>0.8325746816683891</v>
      </c>
    </row>
    <row r="4" spans="1:22" x14ac:dyDescent="0.35">
      <c r="F4" t="s">
        <v>69</v>
      </c>
      <c r="G4">
        <f>-G3</f>
        <v>-0.8325746816683891</v>
      </c>
      <c r="Q4" s="7"/>
      <c r="R4" s="7"/>
      <c r="S4" s="7"/>
    </row>
    <row r="5" spans="1:22" x14ac:dyDescent="0.35">
      <c r="A5" s="2" t="s">
        <v>3</v>
      </c>
      <c r="B5" s="2" t="s">
        <v>4</v>
      </c>
      <c r="C5" s="2" t="s">
        <v>5</v>
      </c>
      <c r="D5" s="2"/>
      <c r="E5" s="2"/>
      <c r="F5" s="2"/>
      <c r="N5" s="3">
        <f>SUM($N$7:$N301)</f>
        <v>223.64710615956255</v>
      </c>
      <c r="Q5" s="7" t="s">
        <v>78</v>
      </c>
      <c r="R5" s="11">
        <v>0.9</v>
      </c>
      <c r="S5" s="7"/>
    </row>
    <row r="6" spans="1:22" x14ac:dyDescent="0.35">
      <c r="A6" s="4" t="s">
        <v>21</v>
      </c>
      <c r="B6" s="4">
        <v>-2.3098272474830259</v>
      </c>
      <c r="C6" s="4">
        <f>RANK($B6,$B$6:$B$17,1)</f>
        <v>1</v>
      </c>
      <c r="D6" s="4"/>
      <c r="E6" s="4"/>
      <c r="G6" s="2" t="s">
        <v>47</v>
      </c>
      <c r="H6" s="2" t="s">
        <v>48</v>
      </c>
      <c r="I6" s="2" t="s">
        <v>49</v>
      </c>
      <c r="J6" s="2" t="s">
        <v>50</v>
      </c>
      <c r="K6" s="2" t="s">
        <v>68</v>
      </c>
      <c r="L6" s="2" t="s">
        <v>67</v>
      </c>
      <c r="M6" s="2" t="s">
        <v>14</v>
      </c>
      <c r="N6" s="2" t="s">
        <v>15</v>
      </c>
      <c r="P6" s="2"/>
      <c r="Q6" s="7"/>
      <c r="R6" s="10"/>
      <c r="S6" s="7"/>
    </row>
    <row r="7" spans="1:22" x14ac:dyDescent="0.35">
      <c r="A7" s="4" t="s">
        <v>17</v>
      </c>
      <c r="B7" s="4">
        <v>-1.7595437553068001</v>
      </c>
      <c r="C7" s="4">
        <f t="shared" ref="C7:C17" si="0">RANK($B7,$B$6:$B$17,1)</f>
        <v>2</v>
      </c>
      <c r="D7" s="4"/>
      <c r="E7" s="4"/>
      <c r="G7" s="9">
        <v>1</v>
      </c>
      <c r="H7" t="s">
        <v>51</v>
      </c>
      <c r="I7" t="s">
        <v>52</v>
      </c>
      <c r="J7">
        <v>19.600000000000001</v>
      </c>
      <c r="K7" t="s">
        <v>11</v>
      </c>
      <c r="L7" t="s">
        <v>21</v>
      </c>
      <c r="M7">
        <f>VLOOKUP($K7,$F$3:$G$4,2,FALSE)+VLOOKUP($I7,$A$20:$B$24,2,FALSE)-VLOOKUP($L7,$A$6:$B$17,2,FALSE)</f>
        <v>13.872349505008145</v>
      </c>
      <c r="N7">
        <f>($J7-$M7)^2</f>
        <v>32.805980192780453</v>
      </c>
      <c r="Q7" s="7"/>
      <c r="R7" s="7"/>
      <c r="S7" s="7"/>
    </row>
    <row r="8" spans="1:22" x14ac:dyDescent="0.35">
      <c r="A8" s="4" t="s">
        <v>24</v>
      </c>
      <c r="B8" s="4">
        <v>-1.3291026587566528</v>
      </c>
      <c r="C8" s="4">
        <f t="shared" si="0"/>
        <v>3</v>
      </c>
      <c r="D8" s="4"/>
      <c r="E8" s="4"/>
      <c r="G8" s="9">
        <v>1</v>
      </c>
      <c r="H8" t="s">
        <v>51</v>
      </c>
      <c r="I8" t="s">
        <v>53</v>
      </c>
      <c r="J8">
        <v>13.7</v>
      </c>
      <c r="K8" t="s">
        <v>11</v>
      </c>
      <c r="L8" t="s">
        <v>60</v>
      </c>
      <c r="M8">
        <f t="shared" ref="M8:M24" si="1">VLOOKUP($K8,$F$3:$G$4,2,FALSE)+VLOOKUP($I8,$A$20:$B$24,2,FALSE)-VLOOKUP($L8,$A$6:$B$17,2,FALSE)</f>
        <v>11.327387021408732</v>
      </c>
      <c r="N8">
        <f t="shared" ref="N8:N20" si="2">($J8-$M8)^2</f>
        <v>5.6292923461797235</v>
      </c>
      <c r="Q8" s="7"/>
      <c r="R8" s="7" t="s">
        <v>79</v>
      </c>
      <c r="S8" s="7">
        <v>1</v>
      </c>
      <c r="T8">
        <v>2</v>
      </c>
      <c r="U8">
        <v>3</v>
      </c>
    </row>
    <row r="9" spans="1:22" x14ac:dyDescent="0.35">
      <c r="A9" s="4" t="s">
        <v>61</v>
      </c>
      <c r="B9" s="4">
        <v>-0.51870236231336464</v>
      </c>
      <c r="C9" s="4">
        <f t="shared" si="0"/>
        <v>4</v>
      </c>
      <c r="D9" s="4"/>
      <c r="E9" s="4"/>
      <c r="G9" s="9">
        <v>1</v>
      </c>
      <c r="H9" t="s">
        <v>51</v>
      </c>
      <c r="I9" t="s">
        <v>54</v>
      </c>
      <c r="J9">
        <v>9.9</v>
      </c>
      <c r="K9" t="s">
        <v>11</v>
      </c>
      <c r="L9" t="s">
        <v>19</v>
      </c>
      <c r="M9">
        <f t="shared" si="1"/>
        <v>9.8379157884407356</v>
      </c>
      <c r="N9">
        <f t="shared" si="2"/>
        <v>3.8544493249355492E-3</v>
      </c>
      <c r="Q9" s="7"/>
      <c r="R9" s="7"/>
      <c r="S9" s="7"/>
      <c r="T9" s="7"/>
      <c r="U9" s="7"/>
      <c r="V9" s="7"/>
    </row>
    <row r="10" spans="1:22" x14ac:dyDescent="0.35">
      <c r="A10" s="4" t="s">
        <v>59</v>
      </c>
      <c r="B10" s="4">
        <v>-5.2720191830605556E-2</v>
      </c>
      <c r="C10" s="4">
        <f t="shared" si="0"/>
        <v>5</v>
      </c>
      <c r="D10" s="4"/>
      <c r="E10" s="4"/>
      <c r="G10" s="9">
        <v>1</v>
      </c>
      <c r="H10" t="s">
        <v>51</v>
      </c>
      <c r="I10" t="s">
        <v>55</v>
      </c>
      <c r="J10">
        <v>9.6999999999999993</v>
      </c>
      <c r="K10" t="s">
        <v>11</v>
      </c>
      <c r="L10" t="s">
        <v>60</v>
      </c>
      <c r="M10">
        <f t="shared" si="1"/>
        <v>14.802723184485746</v>
      </c>
      <c r="N10">
        <f t="shared" si="2"/>
        <v>26.03778389748836</v>
      </c>
      <c r="Q10" s="7" t="s">
        <v>73</v>
      </c>
      <c r="R10" s="7" t="s">
        <v>35</v>
      </c>
      <c r="S10" s="7" t="s">
        <v>34</v>
      </c>
      <c r="T10" t="s">
        <v>33</v>
      </c>
      <c r="U10" t="s">
        <v>32</v>
      </c>
      <c r="V10" t="s">
        <v>71</v>
      </c>
    </row>
    <row r="11" spans="1:22" x14ac:dyDescent="0.35">
      <c r="A11" s="4" t="s">
        <v>26</v>
      </c>
      <c r="B11" s="4">
        <v>0.1254646946504625</v>
      </c>
      <c r="C11" s="4">
        <f t="shared" si="0"/>
        <v>6</v>
      </c>
      <c r="D11" s="4"/>
      <c r="E11" s="4"/>
      <c r="G11" s="9">
        <v>1</v>
      </c>
      <c r="H11" t="s">
        <v>51</v>
      </c>
      <c r="I11" t="s">
        <v>56</v>
      </c>
      <c r="J11">
        <v>11.9</v>
      </c>
      <c r="K11" t="s">
        <v>69</v>
      </c>
      <c r="L11" t="s">
        <v>18</v>
      </c>
      <c r="M11">
        <f t="shared" si="1"/>
        <v>13.618689247440033</v>
      </c>
      <c r="N11">
        <f t="shared" si="2"/>
        <v>2.9538927292659847</v>
      </c>
      <c r="Q11" s="7" t="s">
        <v>72</v>
      </c>
      <c r="R11" s="7"/>
      <c r="S11" s="7">
        <f>S$17*($R$5)^S$8</f>
        <v>8.82</v>
      </c>
      <c r="T11" s="7">
        <f>T$17*($R$5)^T$8</f>
        <v>4.0500000000000007</v>
      </c>
      <c r="U11" s="7">
        <f>U$17*($R$5)^U$8</f>
        <v>18.225000000000001</v>
      </c>
    </row>
    <row r="12" spans="1:22" x14ac:dyDescent="0.35">
      <c r="A12" s="4" t="s">
        <v>23</v>
      </c>
      <c r="B12" s="4">
        <v>0.15948815661350385</v>
      </c>
      <c r="C12" s="4">
        <f t="shared" si="0"/>
        <v>7</v>
      </c>
      <c r="D12" s="4"/>
      <c r="E12" s="4"/>
      <c r="G12" s="9">
        <v>2</v>
      </c>
      <c r="H12" t="s">
        <v>51</v>
      </c>
      <c r="I12" t="s">
        <v>52</v>
      </c>
      <c r="J12">
        <v>6.7</v>
      </c>
      <c r="K12" t="s">
        <v>69</v>
      </c>
      <c r="L12" t="s">
        <v>20</v>
      </c>
      <c r="M12">
        <f>VLOOKUP($K12,$F$3:$G$4,2,FALSE)+VLOOKUP($I12,$A$20:$B$24,2,FALSE)-VLOOKUP($L12,$A$6:$B$17,2,FALSE)</f>
        <v>8.6318938748744998</v>
      </c>
      <c r="N12">
        <f t="shared" si="2"/>
        <v>3.7322139437776087</v>
      </c>
      <c r="Q12" s="7"/>
      <c r="R12" s="7"/>
      <c r="S12" s="7"/>
    </row>
    <row r="13" spans="1:22" x14ac:dyDescent="0.35">
      <c r="A13" s="4" t="s">
        <v>60</v>
      </c>
      <c r="B13" s="4">
        <v>0.23396843789498273</v>
      </c>
      <c r="C13" s="4">
        <f t="shared" si="0"/>
        <v>8</v>
      </c>
      <c r="D13" s="4"/>
      <c r="E13" s="4"/>
      <c r="G13" s="9">
        <v>2</v>
      </c>
      <c r="H13" t="s">
        <v>51</v>
      </c>
      <c r="I13" t="s">
        <v>53</v>
      </c>
      <c r="J13">
        <v>6</v>
      </c>
      <c r="K13" t="s">
        <v>11</v>
      </c>
      <c r="L13" t="s">
        <v>59</v>
      </c>
      <c r="M13">
        <f t="shared" si="1"/>
        <v>11.614075651134321</v>
      </c>
      <c r="N13">
        <f t="shared" si="2"/>
        <v>31.517845416659252</v>
      </c>
      <c r="Q13" s="7"/>
      <c r="R13" s="7"/>
      <c r="S13" s="7"/>
    </row>
    <row r="14" spans="1:22" x14ac:dyDescent="0.35">
      <c r="A14" s="4" t="s">
        <v>22</v>
      </c>
      <c r="B14" s="4">
        <v>0.37270165828314145</v>
      </c>
      <c r="C14" s="4">
        <f t="shared" si="0"/>
        <v>9</v>
      </c>
      <c r="D14" s="4"/>
      <c r="E14" s="4"/>
      <c r="G14" s="9">
        <v>2</v>
      </c>
      <c r="H14" t="s">
        <v>51</v>
      </c>
      <c r="I14" t="s">
        <v>55</v>
      </c>
      <c r="J14">
        <v>22.7</v>
      </c>
      <c r="K14" t="s">
        <v>11</v>
      </c>
      <c r="L14" t="s">
        <v>59</v>
      </c>
      <c r="M14">
        <f t="shared" si="1"/>
        <v>15.089411814211335</v>
      </c>
      <c r="N14">
        <f t="shared" si="2"/>
        <v>57.921052533665993</v>
      </c>
      <c r="Q14" s="7"/>
      <c r="R14" s="7"/>
      <c r="S14" s="7"/>
    </row>
    <row r="15" spans="1:22" x14ac:dyDescent="0.35">
      <c r="A15" s="4" t="s">
        <v>18</v>
      </c>
      <c r="B15" s="4">
        <v>0.39686671360395032</v>
      </c>
      <c r="C15" s="4">
        <f t="shared" si="0"/>
        <v>10</v>
      </c>
      <c r="D15" s="4"/>
      <c r="E15" s="4"/>
      <c r="G15" s="9">
        <v>2</v>
      </c>
      <c r="H15" t="s">
        <v>51</v>
      </c>
      <c r="I15" t="s">
        <v>56</v>
      </c>
      <c r="J15">
        <v>14.7</v>
      </c>
      <c r="K15" t="s">
        <v>69</v>
      </c>
      <c r="L15" t="s">
        <v>23</v>
      </c>
      <c r="M15">
        <f t="shared" si="1"/>
        <v>13.856067804430479</v>
      </c>
      <c r="N15">
        <f t="shared" si="2"/>
        <v>0.71222155071879101</v>
      </c>
      <c r="Q15" s="7"/>
      <c r="R15" s="7"/>
      <c r="S15" s="7"/>
    </row>
    <row r="16" spans="1:22" x14ac:dyDescent="0.35">
      <c r="A16" s="4" t="s">
        <v>20</v>
      </c>
      <c r="B16" s="4">
        <v>1.265479019313843</v>
      </c>
      <c r="C16" s="4">
        <f t="shared" si="0"/>
        <v>11</v>
      </c>
      <c r="D16" s="4"/>
      <c r="E16" s="4"/>
      <c r="G16" s="9">
        <v>3</v>
      </c>
      <c r="H16" t="s">
        <v>51</v>
      </c>
      <c r="I16" t="s">
        <v>52</v>
      </c>
      <c r="J16">
        <v>13.3</v>
      </c>
      <c r="K16" t="s">
        <v>11</v>
      </c>
      <c r="L16" t="s">
        <v>24</v>
      </c>
      <c r="M16">
        <f t="shared" si="1"/>
        <v>12.891624916281772</v>
      </c>
      <c r="N16">
        <f t="shared" si="2"/>
        <v>0.16677020900186995</v>
      </c>
      <c r="Q16" s="7" t="s">
        <v>74</v>
      </c>
      <c r="S16" s="7" t="s">
        <v>75</v>
      </c>
      <c r="T16" s="7" t="s">
        <v>76</v>
      </c>
      <c r="U16" s="8" t="s">
        <v>77</v>
      </c>
    </row>
    <row r="17" spans="1:21" x14ac:dyDescent="0.35">
      <c r="A17" s="4" t="s">
        <v>19</v>
      </c>
      <c r="B17" s="4">
        <v>3.4159284794531728</v>
      </c>
      <c r="C17" s="4">
        <f t="shared" si="0"/>
        <v>12</v>
      </c>
      <c r="D17" s="4"/>
      <c r="E17" s="4"/>
      <c r="G17" s="9">
        <v>3</v>
      </c>
      <c r="H17" t="s">
        <v>51</v>
      </c>
      <c r="I17" t="s">
        <v>53</v>
      </c>
      <c r="J17">
        <v>11.9</v>
      </c>
      <c r="K17" t="s">
        <v>69</v>
      </c>
      <c r="L17" t="s">
        <v>22</v>
      </c>
      <c r="M17">
        <f t="shared" si="1"/>
        <v>9.5235044376837976</v>
      </c>
      <c r="N17">
        <f t="shared" si="2"/>
        <v>5.6477311577086047</v>
      </c>
      <c r="Q17" s="7" t="s">
        <v>72</v>
      </c>
      <c r="R17" s="7"/>
      <c r="S17" s="7">
        <v>9.8000000000000007</v>
      </c>
      <c r="T17">
        <v>5</v>
      </c>
      <c r="U17">
        <v>25</v>
      </c>
    </row>
    <row r="18" spans="1:21" x14ac:dyDescent="0.35">
      <c r="G18" s="9">
        <v>3</v>
      </c>
      <c r="H18" t="s">
        <v>51</v>
      </c>
      <c r="I18" t="s">
        <v>54</v>
      </c>
      <c r="J18">
        <v>12</v>
      </c>
      <c r="K18" t="s">
        <v>69</v>
      </c>
      <c r="L18" t="s">
        <v>60</v>
      </c>
      <c r="M18">
        <f t="shared" si="1"/>
        <v>11.354726466662148</v>
      </c>
      <c r="N18">
        <f t="shared" si="2"/>
        <v>0.41637793282631552</v>
      </c>
      <c r="Q18" s="7"/>
      <c r="R18" s="7"/>
      <c r="S18" s="7"/>
    </row>
    <row r="19" spans="1:21" x14ac:dyDescent="0.35">
      <c r="A19" s="2" t="s">
        <v>57</v>
      </c>
      <c r="B19" s="2" t="s">
        <v>4</v>
      </c>
      <c r="G19" s="9">
        <v>3</v>
      </c>
      <c r="H19" t="s">
        <v>51</v>
      </c>
      <c r="I19" t="s">
        <v>55</v>
      </c>
      <c r="J19">
        <v>19.8</v>
      </c>
      <c r="K19" t="s">
        <v>69</v>
      </c>
      <c r="L19" t="s">
        <v>22</v>
      </c>
      <c r="M19">
        <f t="shared" si="1"/>
        <v>12.998840600760811</v>
      </c>
      <c r="N19">
        <f t="shared" si="2"/>
        <v>46.255769173859569</v>
      </c>
    </row>
    <row r="20" spans="1:21" x14ac:dyDescent="0.35">
      <c r="A20" t="s">
        <v>56</v>
      </c>
      <c r="B20" s="4">
        <v>14.848130642712372</v>
      </c>
      <c r="G20" s="9">
        <v>4</v>
      </c>
      <c r="H20" t="s">
        <v>51</v>
      </c>
      <c r="I20" t="s">
        <v>52</v>
      </c>
      <c r="J20">
        <v>6.6</v>
      </c>
      <c r="K20" t="s">
        <v>69</v>
      </c>
      <c r="L20" t="s">
        <v>23</v>
      </c>
      <c r="M20">
        <f t="shared" si="1"/>
        <v>9.7378847375748379</v>
      </c>
      <c r="N20">
        <f t="shared" si="2"/>
        <v>9.8463206263051113</v>
      </c>
    </row>
    <row r="21" spans="1:21" x14ac:dyDescent="0.35">
      <c r="A21" t="s">
        <v>55</v>
      </c>
      <c r="B21" s="4">
        <v>14.204116940712341</v>
      </c>
      <c r="G21" s="9"/>
      <c r="I21" t="s">
        <v>56</v>
      </c>
      <c r="K21" t="s">
        <v>11</v>
      </c>
      <c r="L21" t="s">
        <v>23</v>
      </c>
      <c r="M21">
        <f t="shared" si="1"/>
        <v>15.521217167767256</v>
      </c>
    </row>
    <row r="22" spans="1:21" x14ac:dyDescent="0.35">
      <c r="A22" t="s">
        <v>54</v>
      </c>
      <c r="B22" s="4">
        <v>12.42126958622552</v>
      </c>
      <c r="G22" s="9"/>
      <c r="I22" t="s">
        <v>56</v>
      </c>
      <c r="K22" t="s">
        <v>69</v>
      </c>
      <c r="L22" t="s">
        <v>19</v>
      </c>
      <c r="M22">
        <f t="shared" si="1"/>
        <v>10.59962748159081</v>
      </c>
    </row>
    <row r="23" spans="1:21" x14ac:dyDescent="0.35">
      <c r="A23" t="s">
        <v>52</v>
      </c>
      <c r="B23" s="4">
        <v>10.72994757585673</v>
      </c>
      <c r="G23" s="9"/>
      <c r="I23" t="s">
        <v>55</v>
      </c>
      <c r="K23" t="s">
        <v>11</v>
      </c>
      <c r="L23" t="s">
        <v>18</v>
      </c>
      <c r="M23">
        <f t="shared" si="1"/>
        <v>14.639824908776779</v>
      </c>
      <c r="Q23" s="5"/>
    </row>
    <row r="24" spans="1:21" x14ac:dyDescent="0.35">
      <c r="A24" t="s">
        <v>53</v>
      </c>
      <c r="B24" s="4">
        <v>10.728780777635327</v>
      </c>
      <c r="G24" s="9"/>
      <c r="I24" t="s">
        <v>55</v>
      </c>
      <c r="K24" t="s">
        <v>69</v>
      </c>
      <c r="L24" t="s">
        <v>60</v>
      </c>
      <c r="M24">
        <f t="shared" si="1"/>
        <v>13.137573821148969</v>
      </c>
    </row>
    <row r="25" spans="1:21" x14ac:dyDescent="0.35">
      <c r="G25" s="9"/>
    </row>
    <row r="26" spans="1:21" x14ac:dyDescent="0.35">
      <c r="G26" s="9"/>
    </row>
    <row r="27" spans="1:21" x14ac:dyDescent="0.35">
      <c r="G27" s="9"/>
    </row>
    <row r="28" spans="1:21" x14ac:dyDescent="0.35">
      <c r="G28" s="9"/>
    </row>
    <row r="29" spans="1:21" x14ac:dyDescent="0.35">
      <c r="G29" s="9"/>
    </row>
    <row r="30" spans="1:21" x14ac:dyDescent="0.35">
      <c r="G30" s="9"/>
    </row>
    <row r="31" spans="1:21" x14ac:dyDescent="0.35">
      <c r="G31" s="9"/>
    </row>
    <row r="32" spans="1:21" x14ac:dyDescent="0.35">
      <c r="G32" s="9"/>
    </row>
    <row r="33" spans="7:7" x14ac:dyDescent="0.35">
      <c r="G33" s="9"/>
    </row>
    <row r="34" spans="7:7" x14ac:dyDescent="0.35">
      <c r="G34" s="9"/>
    </row>
    <row r="35" spans="7:7" x14ac:dyDescent="0.35">
      <c r="G35" s="9"/>
    </row>
    <row r="36" spans="7:7" x14ac:dyDescent="0.35">
      <c r="G36" s="9"/>
    </row>
    <row r="37" spans="7:7" x14ac:dyDescent="0.35">
      <c r="G37" s="9"/>
    </row>
    <row r="38" spans="7:7" x14ac:dyDescent="0.35">
      <c r="G38" s="9"/>
    </row>
    <row r="39" spans="7:7" x14ac:dyDescent="0.35">
      <c r="G39" s="9"/>
    </row>
    <row r="40" spans="7:7" x14ac:dyDescent="0.35">
      <c r="G40" s="9"/>
    </row>
    <row r="41" spans="7:7" x14ac:dyDescent="0.35">
      <c r="G41" s="9"/>
    </row>
    <row r="42" spans="7:7" x14ac:dyDescent="0.35">
      <c r="G42" s="9"/>
    </row>
    <row r="43" spans="7:7" x14ac:dyDescent="0.35">
      <c r="G43" s="9"/>
    </row>
    <row r="44" spans="7:7" x14ac:dyDescent="0.35">
      <c r="G44" s="9"/>
    </row>
    <row r="45" spans="7:7" x14ac:dyDescent="0.35">
      <c r="G45" s="9"/>
    </row>
    <row r="46" spans="7:7" x14ac:dyDescent="0.35">
      <c r="G46" s="9"/>
    </row>
    <row r="47" spans="7:7" x14ac:dyDescent="0.35">
      <c r="G47" s="9"/>
    </row>
    <row r="48" spans="7:7" x14ac:dyDescent="0.35">
      <c r="G48" s="9"/>
    </row>
    <row r="49" spans="7:7" x14ac:dyDescent="0.35">
      <c r="G49" s="9"/>
    </row>
    <row r="50" spans="7:7" x14ac:dyDescent="0.35">
      <c r="G50" s="9"/>
    </row>
    <row r="51" spans="7:7" x14ac:dyDescent="0.35">
      <c r="G51" s="9"/>
    </row>
    <row r="52" spans="7:7" x14ac:dyDescent="0.35">
      <c r="G52" s="9"/>
    </row>
    <row r="53" spans="7:7" x14ac:dyDescent="0.35">
      <c r="G53" s="9"/>
    </row>
    <row r="54" spans="7:7" x14ac:dyDescent="0.35">
      <c r="G54" s="9"/>
    </row>
    <row r="55" spans="7:7" x14ac:dyDescent="0.35">
      <c r="G55" s="9"/>
    </row>
    <row r="56" spans="7:7" x14ac:dyDescent="0.35">
      <c r="G56" s="9"/>
    </row>
    <row r="57" spans="7:7" x14ac:dyDescent="0.35">
      <c r="G57" s="9"/>
    </row>
    <row r="58" spans="7:7" x14ac:dyDescent="0.35">
      <c r="G58" s="9"/>
    </row>
    <row r="59" spans="7:7" x14ac:dyDescent="0.35">
      <c r="G59" s="9"/>
    </row>
    <row r="60" spans="7:7" x14ac:dyDescent="0.35">
      <c r="G60" s="9"/>
    </row>
    <row r="61" spans="7:7" x14ac:dyDescent="0.35">
      <c r="G61" s="9"/>
    </row>
    <row r="62" spans="7:7" x14ac:dyDescent="0.35">
      <c r="G62" s="9"/>
    </row>
    <row r="63" spans="7:7" x14ac:dyDescent="0.35">
      <c r="G63" s="9"/>
    </row>
    <row r="64" spans="7:7" x14ac:dyDescent="0.35">
      <c r="G64" s="9"/>
    </row>
    <row r="65" spans="7:7" x14ac:dyDescent="0.35">
      <c r="G65" s="9"/>
    </row>
    <row r="66" spans="7:7" x14ac:dyDescent="0.35">
      <c r="G66" s="9"/>
    </row>
    <row r="67" spans="7:7" x14ac:dyDescent="0.35">
      <c r="G67" s="9"/>
    </row>
    <row r="68" spans="7:7" x14ac:dyDescent="0.35">
      <c r="G68" s="9"/>
    </row>
    <row r="69" spans="7:7" x14ac:dyDescent="0.35">
      <c r="G69" s="9"/>
    </row>
    <row r="70" spans="7:7" x14ac:dyDescent="0.35">
      <c r="G70" s="9"/>
    </row>
    <row r="71" spans="7:7" x14ac:dyDescent="0.35">
      <c r="G71" s="9"/>
    </row>
    <row r="72" spans="7:7" x14ac:dyDescent="0.35">
      <c r="G72" s="9"/>
    </row>
    <row r="73" spans="7:7" x14ac:dyDescent="0.35">
      <c r="G73" s="9"/>
    </row>
    <row r="74" spans="7:7" x14ac:dyDescent="0.35">
      <c r="G74" s="9"/>
    </row>
    <row r="75" spans="7:7" x14ac:dyDescent="0.35">
      <c r="G75" s="9"/>
    </row>
    <row r="76" spans="7:7" x14ac:dyDescent="0.35">
      <c r="G76" s="9"/>
    </row>
    <row r="77" spans="7:7" x14ac:dyDescent="0.35">
      <c r="G77" s="9"/>
    </row>
    <row r="78" spans="7:7" x14ac:dyDescent="0.35">
      <c r="G78" s="9"/>
    </row>
    <row r="79" spans="7:7" x14ac:dyDescent="0.35">
      <c r="G79" s="9"/>
    </row>
    <row r="80" spans="7:7" x14ac:dyDescent="0.35">
      <c r="G80" s="9"/>
    </row>
    <row r="81" spans="7:7" x14ac:dyDescent="0.35">
      <c r="G81" s="9"/>
    </row>
    <row r="82" spans="7:7" x14ac:dyDescent="0.35">
      <c r="G82" s="9"/>
    </row>
    <row r="83" spans="7:7" x14ac:dyDescent="0.35">
      <c r="G83" s="9"/>
    </row>
    <row r="84" spans="7:7" x14ac:dyDescent="0.35">
      <c r="G84" s="9"/>
    </row>
    <row r="85" spans="7:7" x14ac:dyDescent="0.35">
      <c r="G85" s="9"/>
    </row>
    <row r="86" spans="7:7" x14ac:dyDescent="0.35">
      <c r="G86" s="9"/>
    </row>
    <row r="87" spans="7:7" x14ac:dyDescent="0.35">
      <c r="G87" s="9"/>
    </row>
    <row r="88" spans="7:7" x14ac:dyDescent="0.35">
      <c r="G88" s="9"/>
    </row>
    <row r="89" spans="7:7" x14ac:dyDescent="0.35">
      <c r="G89" s="9"/>
    </row>
    <row r="90" spans="7:7" x14ac:dyDescent="0.35">
      <c r="G90" s="9"/>
    </row>
    <row r="91" spans="7:7" x14ac:dyDescent="0.35">
      <c r="G91" s="9"/>
    </row>
    <row r="92" spans="7:7" x14ac:dyDescent="0.35">
      <c r="G92" s="9"/>
    </row>
    <row r="93" spans="7:7" x14ac:dyDescent="0.35">
      <c r="G93" s="9"/>
    </row>
    <row r="94" spans="7:7" x14ac:dyDescent="0.35">
      <c r="G94" s="9"/>
    </row>
    <row r="95" spans="7:7" x14ac:dyDescent="0.35">
      <c r="G95" s="9"/>
    </row>
    <row r="96" spans="7:7" x14ac:dyDescent="0.35">
      <c r="G96" s="9"/>
    </row>
    <row r="97" spans="7:7" x14ac:dyDescent="0.35">
      <c r="G97" s="9"/>
    </row>
    <row r="98" spans="7:7" x14ac:dyDescent="0.35">
      <c r="G98" s="9"/>
    </row>
    <row r="99" spans="7:7" x14ac:dyDescent="0.35">
      <c r="G99" s="9"/>
    </row>
    <row r="100" spans="7:7" x14ac:dyDescent="0.35">
      <c r="G100" s="9"/>
    </row>
    <row r="101" spans="7:7" x14ac:dyDescent="0.35">
      <c r="G101" s="9"/>
    </row>
    <row r="102" spans="7:7" x14ac:dyDescent="0.35">
      <c r="G102" s="9"/>
    </row>
  </sheetData>
  <conditionalFormatting sqref="B6:B17"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6:C17">
    <cfRule type="colorScale" priority="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E6:E17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6:D17">
    <cfRule type="colorScale" priority="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R6:R15 R17 S16">
    <cfRule type="colorScale" priority="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20:B24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D1663-45DA-41E3-B135-6B7331720F0D}">
  <dimension ref="A4:N101"/>
  <sheetViews>
    <sheetView workbookViewId="0">
      <selection activeCell="I21" sqref="I21"/>
    </sheetView>
  </sheetViews>
  <sheetFormatPr defaultRowHeight="14.5" x14ac:dyDescent="0.35"/>
  <cols>
    <col min="2" max="2" width="19.36328125" bestFit="1" customWidth="1"/>
    <col min="13" max="13" width="12.90625" bestFit="1" customWidth="1"/>
  </cols>
  <sheetData>
    <row r="4" spans="1:14" x14ac:dyDescent="0.35">
      <c r="B4" s="2"/>
    </row>
    <row r="5" spans="1:14" x14ac:dyDescent="0.35">
      <c r="A5" s="2" t="s">
        <v>3</v>
      </c>
      <c r="B5" s="2" t="s">
        <v>4</v>
      </c>
      <c r="G5" s="2" t="s">
        <v>8</v>
      </c>
      <c r="H5" s="2" t="s">
        <v>9</v>
      </c>
      <c r="I5" s="2" t="s">
        <v>10</v>
      </c>
      <c r="J5" s="2" t="s">
        <v>11</v>
      </c>
      <c r="K5" s="2" t="s">
        <v>12</v>
      </c>
      <c r="L5" s="2"/>
      <c r="M5" s="2" t="s">
        <v>44</v>
      </c>
      <c r="N5" s="2" t="s">
        <v>45</v>
      </c>
    </row>
    <row r="6" spans="1:14" x14ac:dyDescent="0.35">
      <c r="A6" s="4" t="s">
        <v>21</v>
      </c>
      <c r="B6" s="4">
        <f>Real24!$B6</f>
        <v>12.1803261060296</v>
      </c>
      <c r="C6">
        <f>(SUMIF($J$6:$J$101, $A6, $M$6:$M$101)+SUMIF($H$6:$H$101, $A6, $N$6:$N$101))/18</f>
        <v>0.83712612151675403</v>
      </c>
      <c r="G6" s="1">
        <v>45353</v>
      </c>
      <c r="H6" t="s">
        <v>17</v>
      </c>
      <c r="I6">
        <v>6</v>
      </c>
      <c r="J6" t="s">
        <v>18</v>
      </c>
      <c r="K6">
        <v>18</v>
      </c>
      <c r="M6">
        <f>VLOOKUP($H6,$A$6:$B$17,2,FALSE)</f>
        <v>-6.1462022320884051</v>
      </c>
      <c r="N6">
        <f>VLOOKUP($J6,$A$6:$B$17,2,FALSE)</f>
        <v>-3.3224811338688069</v>
      </c>
    </row>
    <row r="7" spans="1:14" x14ac:dyDescent="0.35">
      <c r="A7" s="4" t="s">
        <v>24</v>
      </c>
      <c r="B7" s="4">
        <f>Real24!$B7</f>
        <v>8.4671699881515909</v>
      </c>
      <c r="C7">
        <f t="shared" ref="C7:C17" si="0">(SUMIF($J$6:$J$101, $A7, $M$6:$M$101)+SUMIF($H$6:$H$101, $A7, $N$6:$N$101))/18</f>
        <v>1.2496990235031993</v>
      </c>
      <c r="G7" s="1">
        <v>45353</v>
      </c>
      <c r="H7" t="s">
        <v>20</v>
      </c>
      <c r="I7">
        <v>15</v>
      </c>
      <c r="J7" t="s">
        <v>21</v>
      </c>
      <c r="K7">
        <v>22</v>
      </c>
      <c r="M7">
        <f t="shared" ref="M7:M70" si="1">VLOOKUP($H7,$A$6:$B$17,2,FALSE)</f>
        <v>4.4024108307671126</v>
      </c>
      <c r="N7">
        <f t="shared" ref="N7:N70" si="2">VLOOKUP($J7,$A$6:$B$17,2,FALSE)</f>
        <v>12.1803261060296</v>
      </c>
    </row>
    <row r="8" spans="1:14" x14ac:dyDescent="0.35">
      <c r="A8" s="4" t="s">
        <v>23</v>
      </c>
      <c r="B8" s="4">
        <f>Real24!$B8</f>
        <v>8.3723610098165189</v>
      </c>
      <c r="C8">
        <f t="shared" si="0"/>
        <v>1.2602333544293185</v>
      </c>
      <c r="G8" s="1">
        <v>45353</v>
      </c>
      <c r="H8" t="s">
        <v>23</v>
      </c>
      <c r="I8">
        <v>19</v>
      </c>
      <c r="J8" t="s">
        <v>24</v>
      </c>
      <c r="K8">
        <v>25</v>
      </c>
      <c r="M8">
        <f t="shared" si="1"/>
        <v>8.3723610098165189</v>
      </c>
      <c r="N8">
        <f t="shared" si="2"/>
        <v>8.4671699881515909</v>
      </c>
    </row>
    <row r="9" spans="1:14" x14ac:dyDescent="0.35">
      <c r="A9" s="4" t="s">
        <v>20</v>
      </c>
      <c r="B9" s="4">
        <f>Real24!$B9</f>
        <v>4.4024108307671126</v>
      </c>
      <c r="C9">
        <f t="shared" si="0"/>
        <v>1.7013389298792527</v>
      </c>
      <c r="G9" s="1">
        <v>45354</v>
      </c>
      <c r="H9" t="s">
        <v>19</v>
      </c>
      <c r="I9">
        <v>23</v>
      </c>
      <c r="J9" t="s">
        <v>25</v>
      </c>
      <c r="K9">
        <v>19</v>
      </c>
      <c r="M9">
        <f t="shared" si="1"/>
        <v>-5.8840586716185159</v>
      </c>
      <c r="N9">
        <f t="shared" si="2"/>
        <v>0.24500383624652566</v>
      </c>
    </row>
    <row r="10" spans="1:14" x14ac:dyDescent="0.35">
      <c r="A10" s="4" t="s">
        <v>22</v>
      </c>
      <c r="B10" s="4">
        <f>Real24!$B10</f>
        <v>3.9324623225047772</v>
      </c>
      <c r="C10">
        <f t="shared" si="0"/>
        <v>1.7535554307972896</v>
      </c>
      <c r="G10" s="1">
        <v>45354</v>
      </c>
      <c r="H10" t="s">
        <v>26</v>
      </c>
      <c r="I10">
        <v>46</v>
      </c>
      <c r="J10" t="s">
        <v>16</v>
      </c>
      <c r="K10">
        <v>13</v>
      </c>
      <c r="M10">
        <f t="shared" si="1"/>
        <v>1.8330672201959402</v>
      </c>
      <c r="N10">
        <f t="shared" si="2"/>
        <v>-26.154251418227545</v>
      </c>
    </row>
    <row r="11" spans="1:14" x14ac:dyDescent="0.35">
      <c r="A11" s="4" t="s">
        <v>27</v>
      </c>
      <c r="B11" s="4">
        <f>Real24!$B11</f>
        <v>2.0741921420911891</v>
      </c>
      <c r="C11">
        <f t="shared" si="0"/>
        <v>1.9600298952876882</v>
      </c>
      <c r="G11" s="1">
        <v>45354</v>
      </c>
      <c r="H11" t="s">
        <v>22</v>
      </c>
      <c r="I11">
        <v>32</v>
      </c>
      <c r="J11" t="s">
        <v>27</v>
      </c>
      <c r="K11">
        <v>29</v>
      </c>
      <c r="M11">
        <f t="shared" si="1"/>
        <v>3.9324623225047772</v>
      </c>
      <c r="N11">
        <f t="shared" si="2"/>
        <v>2.0741921420911891</v>
      </c>
    </row>
    <row r="12" spans="1:14" x14ac:dyDescent="0.35">
      <c r="A12" s="4" t="s">
        <v>26</v>
      </c>
      <c r="B12" s="4">
        <f>Real24!$B12</f>
        <v>1.8330672201959402</v>
      </c>
      <c r="C12">
        <f t="shared" si="0"/>
        <v>-2.3941698244307066</v>
      </c>
      <c r="G12" s="1">
        <v>45360</v>
      </c>
      <c r="H12" t="s">
        <v>17</v>
      </c>
      <c r="I12">
        <v>35</v>
      </c>
      <c r="J12" t="s">
        <v>26</v>
      </c>
      <c r="K12">
        <v>34</v>
      </c>
      <c r="M12">
        <f t="shared" si="1"/>
        <v>-6.1462022320884051</v>
      </c>
      <c r="N12">
        <f t="shared" si="2"/>
        <v>1.8330672201959402</v>
      </c>
    </row>
    <row r="13" spans="1:14" x14ac:dyDescent="0.35">
      <c r="A13" s="4" t="s">
        <v>25</v>
      </c>
      <c r="B13" s="4">
        <f>Real24!$B13</f>
        <v>0.24500383624652566</v>
      </c>
      <c r="C13">
        <f t="shared" si="0"/>
        <v>-2.2177183373252154</v>
      </c>
      <c r="G13" s="1">
        <v>45360</v>
      </c>
      <c r="H13" t="s">
        <v>16</v>
      </c>
      <c r="I13">
        <v>19</v>
      </c>
      <c r="J13" t="s">
        <v>18</v>
      </c>
      <c r="K13">
        <v>34</v>
      </c>
      <c r="M13">
        <f t="shared" si="1"/>
        <v>-26.154251418227545</v>
      </c>
      <c r="N13">
        <f t="shared" si="2"/>
        <v>-3.3224811338688069</v>
      </c>
    </row>
    <row r="14" spans="1:14" x14ac:dyDescent="0.35">
      <c r="A14" s="4" t="s">
        <v>18</v>
      </c>
      <c r="B14" s="4">
        <f>Real24!$B14</f>
        <v>-3.3224811338688069</v>
      </c>
      <c r="C14">
        <f t="shared" si="0"/>
        <v>-1.8213311184235121</v>
      </c>
      <c r="G14" s="1">
        <v>45360</v>
      </c>
      <c r="H14" t="s">
        <v>19</v>
      </c>
      <c r="I14">
        <v>15</v>
      </c>
      <c r="J14" t="s">
        <v>20</v>
      </c>
      <c r="K14">
        <v>29</v>
      </c>
      <c r="M14">
        <f t="shared" si="1"/>
        <v>-5.8840586716185159</v>
      </c>
      <c r="N14">
        <f t="shared" si="2"/>
        <v>4.4024108307671126</v>
      </c>
    </row>
    <row r="15" spans="1:14" x14ac:dyDescent="0.35">
      <c r="A15" s="4" t="s">
        <v>19</v>
      </c>
      <c r="B15" s="4">
        <f>Real24!$B15</f>
        <v>-5.8840586716185159</v>
      </c>
      <c r="C15">
        <f t="shared" si="0"/>
        <v>-1.5367113920068773</v>
      </c>
      <c r="G15" s="1">
        <v>45360</v>
      </c>
      <c r="H15" t="s">
        <v>25</v>
      </c>
      <c r="I15">
        <v>18</v>
      </c>
      <c r="J15" t="s">
        <v>24</v>
      </c>
      <c r="K15">
        <v>29</v>
      </c>
      <c r="M15">
        <f t="shared" si="1"/>
        <v>0.24500383624652566</v>
      </c>
      <c r="N15">
        <f t="shared" si="2"/>
        <v>8.4671699881515909</v>
      </c>
    </row>
    <row r="16" spans="1:14" x14ac:dyDescent="0.35">
      <c r="A16" s="4" t="s">
        <v>17</v>
      </c>
      <c r="B16" s="4">
        <f>Real24!$B16</f>
        <v>-6.1462022320884051</v>
      </c>
      <c r="C16">
        <f t="shared" si="0"/>
        <v>-1.5075843297324452</v>
      </c>
      <c r="G16" s="1">
        <v>45361</v>
      </c>
      <c r="H16" t="s">
        <v>23</v>
      </c>
      <c r="I16">
        <v>30</v>
      </c>
      <c r="J16" t="s">
        <v>22</v>
      </c>
      <c r="K16">
        <v>23</v>
      </c>
      <c r="M16">
        <f t="shared" si="1"/>
        <v>8.3723610098165189</v>
      </c>
      <c r="N16">
        <f t="shared" si="2"/>
        <v>3.9324623225047772</v>
      </c>
    </row>
    <row r="17" spans="1:14" x14ac:dyDescent="0.35">
      <c r="A17" s="4" t="s">
        <v>16</v>
      </c>
      <c r="B17" s="4">
        <f>Real24!$B17</f>
        <v>-26.154251418227545</v>
      </c>
      <c r="C17">
        <f t="shared" si="0"/>
        <v>0.71553224650523684</v>
      </c>
      <c r="G17" s="1">
        <v>45361</v>
      </c>
      <c r="H17" t="s">
        <v>21</v>
      </c>
      <c r="I17">
        <v>27</v>
      </c>
      <c r="J17" t="s">
        <v>27</v>
      </c>
      <c r="K17">
        <v>12</v>
      </c>
      <c r="M17">
        <f t="shared" si="1"/>
        <v>12.1803261060296</v>
      </c>
      <c r="N17">
        <f t="shared" si="2"/>
        <v>2.0741921420911891</v>
      </c>
    </row>
    <row r="18" spans="1:14" x14ac:dyDescent="0.35">
      <c r="G18" s="1">
        <v>45367</v>
      </c>
      <c r="H18" t="s">
        <v>18</v>
      </c>
      <c r="I18">
        <v>21</v>
      </c>
      <c r="J18" t="s">
        <v>26</v>
      </c>
      <c r="K18">
        <v>27</v>
      </c>
      <c r="M18">
        <f t="shared" si="1"/>
        <v>-3.3224811338688069</v>
      </c>
      <c r="N18">
        <f t="shared" si="2"/>
        <v>1.8330672201959402</v>
      </c>
    </row>
    <row r="19" spans="1:14" x14ac:dyDescent="0.35">
      <c r="G19" s="1">
        <v>45367</v>
      </c>
      <c r="H19" t="s">
        <v>19</v>
      </c>
      <c r="I19">
        <v>22</v>
      </c>
      <c r="J19" t="s">
        <v>17</v>
      </c>
      <c r="K19">
        <v>22</v>
      </c>
      <c r="M19">
        <f t="shared" si="1"/>
        <v>-5.8840586716185159</v>
      </c>
      <c r="N19">
        <f t="shared" si="2"/>
        <v>-6.1462022320884051</v>
      </c>
    </row>
    <row r="20" spans="1:14" x14ac:dyDescent="0.35">
      <c r="G20" s="1">
        <v>45367</v>
      </c>
      <c r="H20" t="s">
        <v>25</v>
      </c>
      <c r="I20">
        <v>19</v>
      </c>
      <c r="J20" t="s">
        <v>21</v>
      </c>
      <c r="K20">
        <v>30</v>
      </c>
      <c r="M20">
        <f t="shared" si="1"/>
        <v>0.24500383624652566</v>
      </c>
      <c r="N20">
        <f t="shared" si="2"/>
        <v>12.1803261060296</v>
      </c>
    </row>
    <row r="21" spans="1:14" x14ac:dyDescent="0.35">
      <c r="G21" s="1">
        <v>45367</v>
      </c>
      <c r="H21" t="s">
        <v>24</v>
      </c>
      <c r="I21">
        <v>23</v>
      </c>
      <c r="J21" t="s">
        <v>20</v>
      </c>
      <c r="K21">
        <v>13</v>
      </c>
      <c r="M21">
        <f t="shared" si="1"/>
        <v>8.4671699881515909</v>
      </c>
      <c r="N21">
        <f t="shared" si="2"/>
        <v>4.4024108307671126</v>
      </c>
    </row>
    <row r="22" spans="1:14" x14ac:dyDescent="0.35">
      <c r="G22" s="1">
        <v>45367</v>
      </c>
      <c r="H22" t="s">
        <v>27</v>
      </c>
      <c r="I22">
        <v>18</v>
      </c>
      <c r="J22" t="s">
        <v>23</v>
      </c>
      <c r="K22">
        <v>19</v>
      </c>
      <c r="M22">
        <f t="shared" si="1"/>
        <v>2.0741921420911891</v>
      </c>
      <c r="N22">
        <f t="shared" si="2"/>
        <v>8.3723610098165189</v>
      </c>
    </row>
    <row r="23" spans="1:14" x14ac:dyDescent="0.35">
      <c r="G23" s="1">
        <v>45368</v>
      </c>
      <c r="H23" t="s">
        <v>22</v>
      </c>
      <c r="I23">
        <v>68</v>
      </c>
      <c r="J23" t="s">
        <v>16</v>
      </c>
      <c r="K23">
        <v>28</v>
      </c>
      <c r="M23">
        <f t="shared" si="1"/>
        <v>3.9324623225047772</v>
      </c>
      <c r="N23">
        <f t="shared" si="2"/>
        <v>-26.154251418227545</v>
      </c>
    </row>
    <row r="24" spans="1:14" x14ac:dyDescent="0.35">
      <c r="G24" s="1">
        <v>45373</v>
      </c>
      <c r="H24" t="s">
        <v>21</v>
      </c>
      <c r="J24" t="s">
        <v>24</v>
      </c>
      <c r="M24">
        <f t="shared" si="1"/>
        <v>12.1803261060296</v>
      </c>
      <c r="N24">
        <f t="shared" si="2"/>
        <v>8.4671699881515909</v>
      </c>
    </row>
    <row r="25" spans="1:14" x14ac:dyDescent="0.35">
      <c r="G25" s="1">
        <v>45374</v>
      </c>
      <c r="H25" t="s">
        <v>23</v>
      </c>
      <c r="J25" t="s">
        <v>17</v>
      </c>
      <c r="M25">
        <f t="shared" si="1"/>
        <v>8.3723610098165189</v>
      </c>
      <c r="N25">
        <f t="shared" si="2"/>
        <v>-6.1462022320884051</v>
      </c>
    </row>
    <row r="26" spans="1:14" x14ac:dyDescent="0.35">
      <c r="G26" s="1">
        <v>45374</v>
      </c>
      <c r="H26" t="s">
        <v>16</v>
      </c>
      <c r="J26" t="s">
        <v>25</v>
      </c>
      <c r="M26">
        <f t="shared" si="1"/>
        <v>-26.154251418227545</v>
      </c>
      <c r="N26">
        <f t="shared" si="2"/>
        <v>0.24500383624652566</v>
      </c>
    </row>
    <row r="27" spans="1:14" x14ac:dyDescent="0.35">
      <c r="G27" s="1">
        <v>45374</v>
      </c>
      <c r="H27" t="s">
        <v>18</v>
      </c>
      <c r="J27" t="s">
        <v>22</v>
      </c>
      <c r="M27">
        <f t="shared" si="1"/>
        <v>-3.3224811338688069</v>
      </c>
      <c r="N27">
        <f t="shared" si="2"/>
        <v>3.9324623225047772</v>
      </c>
    </row>
    <row r="28" spans="1:14" x14ac:dyDescent="0.35">
      <c r="G28" s="1">
        <v>45375</v>
      </c>
      <c r="H28" t="s">
        <v>26</v>
      </c>
      <c r="J28" t="s">
        <v>19</v>
      </c>
      <c r="M28">
        <f t="shared" si="1"/>
        <v>1.8330672201959402</v>
      </c>
      <c r="N28">
        <f t="shared" si="2"/>
        <v>-5.8840586716185159</v>
      </c>
    </row>
    <row r="29" spans="1:14" x14ac:dyDescent="0.35">
      <c r="G29" s="1">
        <v>45375</v>
      </c>
      <c r="H29" t="s">
        <v>20</v>
      </c>
      <c r="J29" t="s">
        <v>27</v>
      </c>
      <c r="M29">
        <f t="shared" si="1"/>
        <v>4.4024108307671126</v>
      </c>
      <c r="N29">
        <f t="shared" si="2"/>
        <v>2.0741921420911891</v>
      </c>
    </row>
    <row r="30" spans="1:14" x14ac:dyDescent="0.35">
      <c r="G30" s="1">
        <v>45380</v>
      </c>
      <c r="H30" t="s">
        <v>21</v>
      </c>
      <c r="J30" t="s">
        <v>22</v>
      </c>
      <c r="M30">
        <f t="shared" si="1"/>
        <v>12.1803261060296</v>
      </c>
      <c r="N30">
        <f t="shared" si="2"/>
        <v>3.9324623225047772</v>
      </c>
    </row>
    <row r="31" spans="1:14" x14ac:dyDescent="0.35">
      <c r="G31" s="1">
        <v>45381</v>
      </c>
      <c r="H31" t="s">
        <v>24</v>
      </c>
      <c r="J31" t="s">
        <v>19</v>
      </c>
      <c r="M31">
        <f t="shared" si="1"/>
        <v>8.4671699881515909</v>
      </c>
      <c r="N31">
        <f t="shared" si="2"/>
        <v>-5.8840586716185159</v>
      </c>
    </row>
    <row r="32" spans="1:14" x14ac:dyDescent="0.35">
      <c r="G32" s="1">
        <v>45381</v>
      </c>
      <c r="H32" t="s">
        <v>17</v>
      </c>
      <c r="J32" t="s">
        <v>16</v>
      </c>
      <c r="M32">
        <f t="shared" si="1"/>
        <v>-6.1462022320884051</v>
      </c>
      <c r="N32">
        <f t="shared" si="2"/>
        <v>-26.154251418227545</v>
      </c>
    </row>
    <row r="33" spans="7:14" x14ac:dyDescent="0.35">
      <c r="G33" s="1">
        <v>45382</v>
      </c>
      <c r="H33" t="s">
        <v>23</v>
      </c>
      <c r="J33" t="s">
        <v>25</v>
      </c>
      <c r="M33">
        <f t="shared" si="1"/>
        <v>8.3723610098165189</v>
      </c>
      <c r="N33">
        <f t="shared" si="2"/>
        <v>0.24500383624652566</v>
      </c>
    </row>
    <row r="34" spans="7:14" x14ac:dyDescent="0.35">
      <c r="G34" s="1">
        <v>45387</v>
      </c>
      <c r="H34" t="s">
        <v>16</v>
      </c>
      <c r="J34" t="s">
        <v>20</v>
      </c>
      <c r="M34">
        <f t="shared" si="1"/>
        <v>-26.154251418227545</v>
      </c>
      <c r="N34">
        <f t="shared" si="2"/>
        <v>4.4024108307671126</v>
      </c>
    </row>
    <row r="35" spans="7:14" x14ac:dyDescent="0.35">
      <c r="G35" s="1">
        <v>45387</v>
      </c>
      <c r="H35" t="s">
        <v>22</v>
      </c>
      <c r="J35" t="s">
        <v>24</v>
      </c>
      <c r="M35">
        <f t="shared" si="1"/>
        <v>3.9324623225047772</v>
      </c>
      <c r="N35">
        <f t="shared" si="2"/>
        <v>8.4671699881515909</v>
      </c>
    </row>
    <row r="36" spans="7:14" x14ac:dyDescent="0.35">
      <c r="G36" s="1">
        <v>45388</v>
      </c>
      <c r="H36" t="s">
        <v>19</v>
      </c>
      <c r="J36" t="s">
        <v>18</v>
      </c>
      <c r="M36">
        <f t="shared" si="1"/>
        <v>-5.8840586716185159</v>
      </c>
      <c r="N36">
        <f t="shared" si="2"/>
        <v>-3.3224811338688069</v>
      </c>
    </row>
    <row r="37" spans="7:14" x14ac:dyDescent="0.35">
      <c r="G37" s="1">
        <v>45388</v>
      </c>
      <c r="H37" t="s">
        <v>25</v>
      </c>
      <c r="J37" t="s">
        <v>26</v>
      </c>
      <c r="M37">
        <f t="shared" si="1"/>
        <v>0.24500383624652566</v>
      </c>
      <c r="N37">
        <f t="shared" si="2"/>
        <v>1.8330672201959402</v>
      </c>
    </row>
    <row r="38" spans="7:14" x14ac:dyDescent="0.35">
      <c r="G38" s="1">
        <v>45388</v>
      </c>
      <c r="H38" t="s">
        <v>27</v>
      </c>
      <c r="J38" t="s">
        <v>17</v>
      </c>
      <c r="M38">
        <f t="shared" si="1"/>
        <v>2.0741921420911891</v>
      </c>
      <c r="N38">
        <f t="shared" si="2"/>
        <v>-6.1462022320884051</v>
      </c>
    </row>
    <row r="39" spans="7:14" x14ac:dyDescent="0.35">
      <c r="G39" s="1">
        <v>45394</v>
      </c>
      <c r="H39" t="s">
        <v>20</v>
      </c>
      <c r="J39" t="s">
        <v>22</v>
      </c>
      <c r="M39">
        <f t="shared" si="1"/>
        <v>4.4024108307671126</v>
      </c>
      <c r="N39">
        <f t="shared" si="2"/>
        <v>3.9324623225047772</v>
      </c>
    </row>
    <row r="40" spans="7:14" x14ac:dyDescent="0.35">
      <c r="G40" s="1">
        <v>45395</v>
      </c>
      <c r="H40" t="s">
        <v>26</v>
      </c>
      <c r="J40" t="s">
        <v>21</v>
      </c>
      <c r="M40">
        <f t="shared" si="1"/>
        <v>1.8330672201959402</v>
      </c>
      <c r="N40">
        <f t="shared" si="2"/>
        <v>12.1803261060296</v>
      </c>
    </row>
    <row r="41" spans="7:14" x14ac:dyDescent="0.35">
      <c r="G41" s="1">
        <v>45396</v>
      </c>
      <c r="H41" t="s">
        <v>18</v>
      </c>
      <c r="J41" t="s">
        <v>23</v>
      </c>
      <c r="M41">
        <f t="shared" si="1"/>
        <v>-3.3224811338688069</v>
      </c>
      <c r="N41">
        <f t="shared" si="2"/>
        <v>8.3723610098165189</v>
      </c>
    </row>
    <row r="42" spans="7:14" x14ac:dyDescent="0.35">
      <c r="G42" s="1">
        <v>45396</v>
      </c>
      <c r="H42" t="s">
        <v>16</v>
      </c>
      <c r="J42" t="s">
        <v>19</v>
      </c>
      <c r="M42">
        <f t="shared" si="1"/>
        <v>-26.154251418227545</v>
      </c>
      <c r="N42">
        <f t="shared" si="2"/>
        <v>-5.8840586716185159</v>
      </c>
    </row>
    <row r="43" spans="7:14" x14ac:dyDescent="0.35">
      <c r="G43" s="1">
        <v>45396</v>
      </c>
      <c r="H43" t="s">
        <v>24</v>
      </c>
      <c r="J43" t="s">
        <v>27</v>
      </c>
      <c r="M43">
        <f t="shared" si="1"/>
        <v>8.4671699881515909</v>
      </c>
      <c r="N43">
        <f t="shared" si="2"/>
        <v>2.0741921420911891</v>
      </c>
    </row>
    <row r="44" spans="7:14" x14ac:dyDescent="0.35">
      <c r="G44" s="1">
        <v>45402</v>
      </c>
      <c r="H44" t="s">
        <v>24</v>
      </c>
      <c r="J44" t="s">
        <v>26</v>
      </c>
      <c r="M44">
        <f t="shared" si="1"/>
        <v>8.4671699881515909</v>
      </c>
      <c r="N44">
        <f t="shared" si="2"/>
        <v>1.8330672201959402</v>
      </c>
    </row>
    <row r="45" spans="7:14" x14ac:dyDescent="0.35">
      <c r="G45" s="1">
        <v>45402</v>
      </c>
      <c r="H45" t="s">
        <v>25</v>
      </c>
      <c r="J45" t="s">
        <v>18</v>
      </c>
      <c r="M45">
        <f t="shared" si="1"/>
        <v>0.24500383624652566</v>
      </c>
      <c r="N45">
        <f t="shared" si="2"/>
        <v>-3.3224811338688069</v>
      </c>
    </row>
    <row r="46" spans="7:14" x14ac:dyDescent="0.35">
      <c r="G46" s="1">
        <v>45402</v>
      </c>
      <c r="H46" t="s">
        <v>21</v>
      </c>
      <c r="J46" t="s">
        <v>17</v>
      </c>
      <c r="M46">
        <f t="shared" si="1"/>
        <v>12.1803261060296</v>
      </c>
      <c r="N46">
        <f t="shared" si="2"/>
        <v>-6.1462022320884051</v>
      </c>
    </row>
    <row r="47" spans="7:14" x14ac:dyDescent="0.35">
      <c r="G47" s="1">
        <v>45403</v>
      </c>
      <c r="H47" t="s">
        <v>27</v>
      </c>
      <c r="J47" t="s">
        <v>19</v>
      </c>
      <c r="M47">
        <f t="shared" si="1"/>
        <v>2.0741921420911891</v>
      </c>
      <c r="N47">
        <f t="shared" si="2"/>
        <v>-5.8840586716185159</v>
      </c>
    </row>
    <row r="48" spans="7:14" x14ac:dyDescent="0.35">
      <c r="G48" s="1">
        <v>45403</v>
      </c>
      <c r="H48" t="s">
        <v>20</v>
      </c>
      <c r="J48" t="s">
        <v>23</v>
      </c>
      <c r="M48">
        <f t="shared" si="1"/>
        <v>4.4024108307671126</v>
      </c>
      <c r="N48">
        <f t="shared" si="2"/>
        <v>8.3723610098165189</v>
      </c>
    </row>
    <row r="49" spans="7:14" x14ac:dyDescent="0.35">
      <c r="G49" s="1">
        <v>45408</v>
      </c>
      <c r="H49" t="s">
        <v>17</v>
      </c>
      <c r="J49" t="s">
        <v>20</v>
      </c>
      <c r="M49">
        <f t="shared" si="1"/>
        <v>-6.1462022320884051</v>
      </c>
      <c r="N49">
        <f t="shared" si="2"/>
        <v>4.4024108307671126</v>
      </c>
    </row>
    <row r="50" spans="7:14" x14ac:dyDescent="0.35">
      <c r="G50" s="1">
        <v>45409</v>
      </c>
      <c r="H50" t="s">
        <v>18</v>
      </c>
      <c r="J50" t="s">
        <v>16</v>
      </c>
      <c r="M50">
        <f t="shared" si="1"/>
        <v>-3.3224811338688069</v>
      </c>
      <c r="N50">
        <f t="shared" si="2"/>
        <v>-26.154251418227545</v>
      </c>
    </row>
    <row r="51" spans="7:14" x14ac:dyDescent="0.35">
      <c r="G51" s="1">
        <v>45409</v>
      </c>
      <c r="H51" t="s">
        <v>22</v>
      </c>
      <c r="J51" t="s">
        <v>25</v>
      </c>
      <c r="M51">
        <f t="shared" si="1"/>
        <v>3.9324623225047772</v>
      </c>
      <c r="N51">
        <f t="shared" si="2"/>
        <v>0.24500383624652566</v>
      </c>
    </row>
    <row r="52" spans="7:14" x14ac:dyDescent="0.35">
      <c r="G52" s="1">
        <v>45409</v>
      </c>
      <c r="H52" t="s">
        <v>23</v>
      </c>
      <c r="J52" t="s">
        <v>21</v>
      </c>
      <c r="M52">
        <f t="shared" si="1"/>
        <v>8.3723610098165189</v>
      </c>
      <c r="N52">
        <f t="shared" si="2"/>
        <v>12.1803261060296</v>
      </c>
    </row>
    <row r="53" spans="7:14" x14ac:dyDescent="0.35">
      <c r="G53" s="1">
        <v>45410</v>
      </c>
      <c r="H53" t="s">
        <v>26</v>
      </c>
      <c r="J53" t="s">
        <v>27</v>
      </c>
      <c r="M53">
        <f t="shared" si="1"/>
        <v>1.8330672201959402</v>
      </c>
      <c r="N53">
        <f t="shared" si="2"/>
        <v>2.0741921420911891</v>
      </c>
    </row>
    <row r="54" spans="7:14" x14ac:dyDescent="0.35">
      <c r="G54" s="1">
        <v>45415</v>
      </c>
      <c r="H54" t="s">
        <v>16</v>
      </c>
      <c r="J54" t="s">
        <v>24</v>
      </c>
      <c r="M54">
        <f t="shared" si="1"/>
        <v>-26.154251418227545</v>
      </c>
      <c r="N54">
        <f t="shared" si="2"/>
        <v>8.4671699881515909</v>
      </c>
    </row>
    <row r="55" spans="7:14" x14ac:dyDescent="0.35">
      <c r="G55" s="1">
        <v>45416</v>
      </c>
      <c r="H55" t="s">
        <v>25</v>
      </c>
      <c r="J55" t="s">
        <v>17</v>
      </c>
      <c r="M55">
        <f t="shared" si="1"/>
        <v>0.24500383624652566</v>
      </c>
      <c r="N55">
        <f t="shared" si="2"/>
        <v>-6.1462022320884051</v>
      </c>
    </row>
    <row r="56" spans="7:14" x14ac:dyDescent="0.35">
      <c r="G56" s="1">
        <v>45416</v>
      </c>
      <c r="H56" t="s">
        <v>21</v>
      </c>
      <c r="J56" t="s">
        <v>20</v>
      </c>
      <c r="M56">
        <f t="shared" si="1"/>
        <v>12.1803261060296</v>
      </c>
      <c r="N56">
        <f t="shared" si="2"/>
        <v>4.4024108307671126</v>
      </c>
    </row>
    <row r="57" spans="7:14" x14ac:dyDescent="0.35">
      <c r="G57" s="1">
        <v>45417</v>
      </c>
      <c r="H57" t="s">
        <v>19</v>
      </c>
      <c r="J57" t="s">
        <v>26</v>
      </c>
      <c r="M57">
        <f t="shared" si="1"/>
        <v>-5.8840586716185159</v>
      </c>
      <c r="N57">
        <f t="shared" si="2"/>
        <v>1.8330672201959402</v>
      </c>
    </row>
    <row r="58" spans="7:14" x14ac:dyDescent="0.35">
      <c r="G58" s="1">
        <v>45417</v>
      </c>
      <c r="H58" t="s">
        <v>22</v>
      </c>
      <c r="J58" t="s">
        <v>23</v>
      </c>
      <c r="M58">
        <f t="shared" si="1"/>
        <v>3.9324623225047772</v>
      </c>
      <c r="N58">
        <f t="shared" si="2"/>
        <v>8.3723610098165189</v>
      </c>
    </row>
    <row r="59" spans="7:14" x14ac:dyDescent="0.35">
      <c r="G59" s="1">
        <v>45422</v>
      </c>
      <c r="H59" t="s">
        <v>21</v>
      </c>
      <c r="J59" t="s">
        <v>16</v>
      </c>
      <c r="M59">
        <f t="shared" si="1"/>
        <v>12.1803261060296</v>
      </c>
      <c r="N59">
        <f t="shared" si="2"/>
        <v>-26.154251418227545</v>
      </c>
    </row>
    <row r="60" spans="7:14" x14ac:dyDescent="0.35">
      <c r="G60" s="1">
        <v>45422</v>
      </c>
      <c r="H60" t="s">
        <v>27</v>
      </c>
      <c r="J60" t="s">
        <v>22</v>
      </c>
      <c r="M60">
        <f t="shared" si="1"/>
        <v>2.0741921420911891</v>
      </c>
      <c r="N60">
        <f t="shared" si="2"/>
        <v>3.9324623225047772</v>
      </c>
    </row>
    <row r="61" spans="7:14" x14ac:dyDescent="0.35">
      <c r="G61" s="1">
        <v>45423</v>
      </c>
      <c r="H61" t="s">
        <v>24</v>
      </c>
      <c r="J61" t="s">
        <v>18</v>
      </c>
      <c r="M61">
        <f t="shared" si="1"/>
        <v>8.4671699881515909</v>
      </c>
      <c r="N61">
        <f t="shared" si="2"/>
        <v>-3.3224811338688069</v>
      </c>
    </row>
    <row r="62" spans="7:14" x14ac:dyDescent="0.35">
      <c r="G62" s="1">
        <v>45423</v>
      </c>
      <c r="H62" t="s">
        <v>17</v>
      </c>
      <c r="J62" t="s">
        <v>19</v>
      </c>
      <c r="M62">
        <f t="shared" si="1"/>
        <v>-6.1462022320884051</v>
      </c>
      <c r="N62">
        <f t="shared" si="2"/>
        <v>-5.8840586716185159</v>
      </c>
    </row>
    <row r="63" spans="7:14" x14ac:dyDescent="0.35">
      <c r="G63" s="1">
        <v>45423</v>
      </c>
      <c r="H63" t="s">
        <v>20</v>
      </c>
      <c r="J63" t="s">
        <v>25</v>
      </c>
      <c r="M63">
        <f t="shared" si="1"/>
        <v>4.4024108307671126</v>
      </c>
      <c r="N63">
        <f t="shared" si="2"/>
        <v>0.24500383624652566</v>
      </c>
    </row>
    <row r="64" spans="7:14" x14ac:dyDescent="0.35">
      <c r="G64" s="1">
        <v>45430</v>
      </c>
      <c r="H64" t="s">
        <v>27</v>
      </c>
      <c r="J64" t="s">
        <v>16</v>
      </c>
      <c r="M64">
        <f t="shared" si="1"/>
        <v>2.0741921420911891</v>
      </c>
      <c r="N64">
        <f t="shared" si="2"/>
        <v>-26.154251418227545</v>
      </c>
    </row>
    <row r="65" spans="7:14" x14ac:dyDescent="0.35">
      <c r="G65" s="1">
        <v>45430</v>
      </c>
      <c r="H65" t="s">
        <v>20</v>
      </c>
      <c r="J65" t="s">
        <v>18</v>
      </c>
      <c r="M65">
        <f t="shared" si="1"/>
        <v>4.4024108307671126</v>
      </c>
      <c r="N65">
        <f t="shared" si="2"/>
        <v>-3.3224811338688069</v>
      </c>
    </row>
    <row r="66" spans="7:14" x14ac:dyDescent="0.35">
      <c r="G66" s="1">
        <v>45430</v>
      </c>
      <c r="H66" t="s">
        <v>19</v>
      </c>
      <c r="J66" t="s">
        <v>21</v>
      </c>
      <c r="M66">
        <f t="shared" si="1"/>
        <v>-5.8840586716185159</v>
      </c>
      <c r="N66">
        <f t="shared" si="2"/>
        <v>12.1803261060296</v>
      </c>
    </row>
    <row r="67" spans="7:14" x14ac:dyDescent="0.35">
      <c r="G67" s="1">
        <v>45431</v>
      </c>
      <c r="H67" t="s">
        <v>26</v>
      </c>
      <c r="J67" t="s">
        <v>23</v>
      </c>
      <c r="M67">
        <f t="shared" si="1"/>
        <v>1.8330672201959402</v>
      </c>
      <c r="N67">
        <f t="shared" si="2"/>
        <v>8.3723610098165189</v>
      </c>
    </row>
    <row r="68" spans="7:14" x14ac:dyDescent="0.35">
      <c r="G68" s="1">
        <v>45431</v>
      </c>
      <c r="H68" t="s">
        <v>24</v>
      </c>
      <c r="J68" t="s">
        <v>22</v>
      </c>
      <c r="M68">
        <f t="shared" si="1"/>
        <v>8.4671699881515909</v>
      </c>
      <c r="N68">
        <f t="shared" si="2"/>
        <v>3.9324623225047772</v>
      </c>
    </row>
    <row r="69" spans="7:14" x14ac:dyDescent="0.35">
      <c r="G69" s="1">
        <v>45436</v>
      </c>
      <c r="H69" t="s">
        <v>17</v>
      </c>
      <c r="J69" t="s">
        <v>24</v>
      </c>
      <c r="M69">
        <f t="shared" si="1"/>
        <v>-6.1462022320884051</v>
      </c>
      <c r="N69">
        <f t="shared" si="2"/>
        <v>8.4671699881515909</v>
      </c>
    </row>
    <row r="70" spans="7:14" x14ac:dyDescent="0.35">
      <c r="G70" s="1">
        <v>45437</v>
      </c>
      <c r="H70" t="s">
        <v>26</v>
      </c>
      <c r="J70" t="s">
        <v>25</v>
      </c>
      <c r="M70">
        <f t="shared" si="1"/>
        <v>1.8330672201959402</v>
      </c>
      <c r="N70">
        <f t="shared" si="2"/>
        <v>0.24500383624652566</v>
      </c>
    </row>
    <row r="71" spans="7:14" x14ac:dyDescent="0.35">
      <c r="G71" s="1">
        <v>45438</v>
      </c>
      <c r="H71" t="s">
        <v>18</v>
      </c>
      <c r="J71" t="s">
        <v>19</v>
      </c>
      <c r="M71">
        <f t="shared" ref="M71:M101" si="3">VLOOKUP($H71,$A$6:$B$17,2,FALSE)</f>
        <v>-3.3224811338688069</v>
      </c>
      <c r="N71">
        <f t="shared" ref="N71:N101" si="4">VLOOKUP($J71,$A$6:$B$17,2,FALSE)</f>
        <v>-5.8840586716185159</v>
      </c>
    </row>
    <row r="72" spans="7:14" x14ac:dyDescent="0.35">
      <c r="G72" s="1">
        <v>45438</v>
      </c>
      <c r="H72" t="s">
        <v>23</v>
      </c>
      <c r="J72" t="s">
        <v>27</v>
      </c>
      <c r="M72">
        <f t="shared" si="3"/>
        <v>8.3723610098165189</v>
      </c>
      <c r="N72">
        <f t="shared" si="4"/>
        <v>2.0741921420911891</v>
      </c>
    </row>
    <row r="73" spans="7:14" x14ac:dyDescent="0.35">
      <c r="G73" s="1">
        <v>45444</v>
      </c>
      <c r="H73" t="s">
        <v>16</v>
      </c>
      <c r="J73" t="s">
        <v>17</v>
      </c>
      <c r="M73">
        <f t="shared" si="3"/>
        <v>-26.154251418227545</v>
      </c>
      <c r="N73">
        <f t="shared" si="4"/>
        <v>-6.1462022320884051</v>
      </c>
    </row>
    <row r="74" spans="7:14" x14ac:dyDescent="0.35">
      <c r="G74" s="1">
        <v>45444</v>
      </c>
      <c r="H74" t="s">
        <v>21</v>
      </c>
      <c r="J74" t="s">
        <v>18</v>
      </c>
      <c r="M74">
        <f t="shared" si="3"/>
        <v>12.1803261060296</v>
      </c>
      <c r="N74">
        <f t="shared" si="4"/>
        <v>-3.3224811338688069</v>
      </c>
    </row>
    <row r="75" spans="7:14" x14ac:dyDescent="0.35">
      <c r="G75" s="1">
        <v>45444</v>
      </c>
      <c r="H75" t="s">
        <v>23</v>
      </c>
      <c r="J75" t="s">
        <v>20</v>
      </c>
      <c r="M75">
        <f t="shared" si="3"/>
        <v>8.3723610098165189</v>
      </c>
      <c r="N75">
        <f t="shared" si="4"/>
        <v>4.4024108307671126</v>
      </c>
    </row>
    <row r="76" spans="7:14" x14ac:dyDescent="0.35">
      <c r="G76" s="1">
        <v>45445</v>
      </c>
      <c r="H76" t="s">
        <v>22</v>
      </c>
      <c r="J76" t="s">
        <v>26</v>
      </c>
      <c r="M76">
        <f t="shared" si="3"/>
        <v>3.9324623225047772</v>
      </c>
      <c r="N76">
        <f t="shared" si="4"/>
        <v>1.8330672201959402</v>
      </c>
    </row>
    <row r="77" spans="7:14" x14ac:dyDescent="0.35">
      <c r="G77" s="1">
        <v>45445</v>
      </c>
      <c r="H77" t="s">
        <v>25</v>
      </c>
      <c r="J77" t="s">
        <v>27</v>
      </c>
      <c r="M77">
        <f t="shared" si="3"/>
        <v>0.24500383624652566</v>
      </c>
      <c r="N77">
        <f t="shared" si="4"/>
        <v>2.0741921420911891</v>
      </c>
    </row>
    <row r="78" spans="7:14" x14ac:dyDescent="0.35">
      <c r="G78" s="1">
        <v>45451</v>
      </c>
      <c r="H78" t="s">
        <v>26</v>
      </c>
      <c r="J78" t="s">
        <v>17</v>
      </c>
      <c r="M78">
        <f t="shared" si="3"/>
        <v>1.8330672201959402</v>
      </c>
      <c r="N78">
        <f t="shared" si="4"/>
        <v>-6.1462022320884051</v>
      </c>
    </row>
    <row r="79" spans="7:14" x14ac:dyDescent="0.35">
      <c r="G79" s="1">
        <v>45451</v>
      </c>
      <c r="H79" t="s">
        <v>27</v>
      </c>
      <c r="J79" t="s">
        <v>21</v>
      </c>
      <c r="M79">
        <f t="shared" si="3"/>
        <v>2.0741921420911891</v>
      </c>
      <c r="N79">
        <f t="shared" si="4"/>
        <v>12.1803261060296</v>
      </c>
    </row>
    <row r="80" spans="7:14" x14ac:dyDescent="0.35">
      <c r="G80" s="1">
        <v>45452</v>
      </c>
      <c r="H80" t="s">
        <v>16</v>
      </c>
      <c r="J80" t="s">
        <v>23</v>
      </c>
      <c r="M80">
        <f t="shared" si="3"/>
        <v>-26.154251418227545</v>
      </c>
      <c r="N80">
        <f t="shared" si="4"/>
        <v>8.3723610098165189</v>
      </c>
    </row>
    <row r="81" spans="7:14" x14ac:dyDescent="0.35">
      <c r="G81" s="1">
        <v>45452</v>
      </c>
      <c r="H81" t="s">
        <v>18</v>
      </c>
      <c r="J81" t="s">
        <v>25</v>
      </c>
      <c r="M81">
        <f t="shared" si="3"/>
        <v>-3.3224811338688069</v>
      </c>
      <c r="N81">
        <f t="shared" si="4"/>
        <v>0.24500383624652566</v>
      </c>
    </row>
    <row r="82" spans="7:14" x14ac:dyDescent="0.35">
      <c r="G82" s="1">
        <v>45452</v>
      </c>
      <c r="H82" t="s">
        <v>19</v>
      </c>
      <c r="J82" t="s">
        <v>22</v>
      </c>
      <c r="M82">
        <f t="shared" si="3"/>
        <v>-5.8840586716185159</v>
      </c>
      <c r="N82">
        <f t="shared" si="4"/>
        <v>3.9324623225047772</v>
      </c>
    </row>
    <row r="83" spans="7:14" x14ac:dyDescent="0.35">
      <c r="G83" s="1">
        <v>45452</v>
      </c>
      <c r="H83" t="s">
        <v>20</v>
      </c>
      <c r="J83" t="s">
        <v>24</v>
      </c>
      <c r="M83">
        <f t="shared" si="3"/>
        <v>4.4024108307671126</v>
      </c>
      <c r="N83">
        <f t="shared" si="4"/>
        <v>8.4671699881515909</v>
      </c>
    </row>
    <row r="84" spans="7:14" x14ac:dyDescent="0.35">
      <c r="G84" s="1">
        <v>45457</v>
      </c>
      <c r="H84" t="s">
        <v>17</v>
      </c>
      <c r="J84" t="s">
        <v>22</v>
      </c>
      <c r="M84">
        <f t="shared" si="3"/>
        <v>-6.1462022320884051</v>
      </c>
      <c r="N84">
        <f t="shared" si="4"/>
        <v>3.9324623225047772</v>
      </c>
    </row>
    <row r="85" spans="7:14" x14ac:dyDescent="0.35">
      <c r="G85" s="1">
        <v>45458</v>
      </c>
      <c r="H85" t="s">
        <v>23</v>
      </c>
      <c r="J85" t="s">
        <v>19</v>
      </c>
      <c r="M85">
        <f t="shared" si="3"/>
        <v>8.3723610098165189</v>
      </c>
      <c r="N85">
        <f t="shared" si="4"/>
        <v>-5.8840586716185159</v>
      </c>
    </row>
    <row r="86" spans="7:14" x14ac:dyDescent="0.35">
      <c r="G86" s="1">
        <v>45458</v>
      </c>
      <c r="H86" t="s">
        <v>24</v>
      </c>
      <c r="J86" t="s">
        <v>21</v>
      </c>
      <c r="M86">
        <f t="shared" si="3"/>
        <v>8.4671699881515909</v>
      </c>
      <c r="N86">
        <f t="shared" si="4"/>
        <v>12.1803261060296</v>
      </c>
    </row>
    <row r="87" spans="7:14" x14ac:dyDescent="0.35">
      <c r="G87" s="1">
        <v>45459</v>
      </c>
      <c r="H87" t="s">
        <v>20</v>
      </c>
      <c r="J87" t="s">
        <v>26</v>
      </c>
      <c r="M87">
        <f t="shared" si="3"/>
        <v>4.4024108307671126</v>
      </c>
      <c r="N87">
        <f t="shared" si="4"/>
        <v>1.8330672201959402</v>
      </c>
    </row>
    <row r="88" spans="7:14" x14ac:dyDescent="0.35">
      <c r="G88" s="1">
        <v>45459</v>
      </c>
      <c r="H88" t="s">
        <v>25</v>
      </c>
      <c r="J88" t="s">
        <v>16</v>
      </c>
      <c r="M88">
        <f t="shared" si="3"/>
        <v>0.24500383624652566</v>
      </c>
      <c r="N88">
        <f t="shared" si="4"/>
        <v>-26.154251418227545</v>
      </c>
    </row>
    <row r="89" spans="7:14" x14ac:dyDescent="0.35">
      <c r="G89" s="1">
        <v>45459</v>
      </c>
      <c r="H89" t="s">
        <v>18</v>
      </c>
      <c r="J89" t="s">
        <v>27</v>
      </c>
      <c r="M89">
        <f t="shared" si="3"/>
        <v>-3.3224811338688069</v>
      </c>
      <c r="N89">
        <f t="shared" si="4"/>
        <v>2.0741921420911891</v>
      </c>
    </row>
    <row r="90" spans="7:14" x14ac:dyDescent="0.35">
      <c r="G90" s="1">
        <v>45465</v>
      </c>
      <c r="H90" t="s">
        <v>26</v>
      </c>
      <c r="J90" t="s">
        <v>18</v>
      </c>
      <c r="M90">
        <f t="shared" si="3"/>
        <v>1.8330672201959402</v>
      </c>
      <c r="N90">
        <f t="shared" si="4"/>
        <v>-3.3224811338688069</v>
      </c>
    </row>
    <row r="91" spans="7:14" x14ac:dyDescent="0.35">
      <c r="G91" s="1">
        <v>45465</v>
      </c>
      <c r="H91" t="s">
        <v>19</v>
      </c>
      <c r="J91" t="s">
        <v>16</v>
      </c>
      <c r="M91">
        <f t="shared" si="3"/>
        <v>-5.8840586716185159</v>
      </c>
      <c r="N91">
        <f t="shared" si="4"/>
        <v>-26.154251418227545</v>
      </c>
    </row>
    <row r="92" spans="7:14" x14ac:dyDescent="0.35">
      <c r="G92" s="1">
        <v>45465</v>
      </c>
      <c r="H92" t="s">
        <v>17</v>
      </c>
      <c r="J92" t="s">
        <v>25</v>
      </c>
      <c r="M92">
        <f t="shared" si="3"/>
        <v>-6.1462022320884051</v>
      </c>
      <c r="N92">
        <f t="shared" si="4"/>
        <v>0.24500383624652566</v>
      </c>
    </row>
    <row r="93" spans="7:14" x14ac:dyDescent="0.35">
      <c r="G93" s="1">
        <v>45465</v>
      </c>
      <c r="H93" t="s">
        <v>22</v>
      </c>
      <c r="J93" t="s">
        <v>20</v>
      </c>
      <c r="M93">
        <f t="shared" si="3"/>
        <v>3.9324623225047772</v>
      </c>
      <c r="N93">
        <f t="shared" si="4"/>
        <v>4.4024108307671126</v>
      </c>
    </row>
    <row r="94" spans="7:14" x14ac:dyDescent="0.35">
      <c r="G94" s="1">
        <v>45465</v>
      </c>
      <c r="H94" t="s">
        <v>27</v>
      </c>
      <c r="J94" t="s">
        <v>24</v>
      </c>
      <c r="M94">
        <f t="shared" si="3"/>
        <v>2.0741921420911891</v>
      </c>
      <c r="N94">
        <f t="shared" si="4"/>
        <v>8.4671699881515909</v>
      </c>
    </row>
    <row r="95" spans="7:14" x14ac:dyDescent="0.35">
      <c r="G95" s="1">
        <v>45466</v>
      </c>
      <c r="H95" t="s">
        <v>21</v>
      </c>
      <c r="J95" t="s">
        <v>23</v>
      </c>
      <c r="M95">
        <f t="shared" si="3"/>
        <v>12.1803261060296</v>
      </c>
      <c r="N95">
        <f t="shared" si="4"/>
        <v>8.3723610098165189</v>
      </c>
    </row>
    <row r="96" spans="7:14" x14ac:dyDescent="0.35">
      <c r="G96" s="1">
        <v>45471</v>
      </c>
      <c r="H96" t="s">
        <v>27</v>
      </c>
      <c r="J96" t="s">
        <v>20</v>
      </c>
      <c r="M96">
        <f t="shared" si="3"/>
        <v>2.0741921420911891</v>
      </c>
      <c r="N96">
        <f t="shared" si="4"/>
        <v>4.4024108307671126</v>
      </c>
    </row>
    <row r="97" spans="7:14" x14ac:dyDescent="0.35">
      <c r="G97" s="1">
        <v>45472</v>
      </c>
      <c r="H97" t="s">
        <v>16</v>
      </c>
      <c r="J97" t="s">
        <v>26</v>
      </c>
      <c r="M97">
        <f t="shared" si="3"/>
        <v>-26.154251418227545</v>
      </c>
      <c r="N97">
        <f t="shared" si="4"/>
        <v>1.8330672201959402</v>
      </c>
    </row>
    <row r="98" spans="7:14" x14ac:dyDescent="0.35">
      <c r="G98" s="1">
        <v>45472</v>
      </c>
      <c r="H98" t="s">
        <v>18</v>
      </c>
      <c r="J98" t="s">
        <v>17</v>
      </c>
      <c r="M98">
        <f t="shared" si="3"/>
        <v>-3.3224811338688069</v>
      </c>
      <c r="N98">
        <f t="shared" si="4"/>
        <v>-6.1462022320884051</v>
      </c>
    </row>
    <row r="99" spans="7:14" x14ac:dyDescent="0.35">
      <c r="G99" s="1">
        <v>45472</v>
      </c>
      <c r="H99" t="s">
        <v>25</v>
      </c>
      <c r="J99" t="s">
        <v>19</v>
      </c>
      <c r="M99">
        <f t="shared" si="3"/>
        <v>0.24500383624652566</v>
      </c>
      <c r="N99">
        <f t="shared" si="4"/>
        <v>-5.8840586716185159</v>
      </c>
    </row>
    <row r="100" spans="7:14" x14ac:dyDescent="0.35">
      <c r="G100" s="1">
        <v>45472</v>
      </c>
      <c r="H100" t="s">
        <v>22</v>
      </c>
      <c r="J100" t="s">
        <v>21</v>
      </c>
      <c r="M100">
        <f t="shared" si="3"/>
        <v>3.9324623225047772</v>
      </c>
      <c r="N100">
        <f t="shared" si="4"/>
        <v>12.1803261060296</v>
      </c>
    </row>
    <row r="101" spans="7:14" x14ac:dyDescent="0.35">
      <c r="G101" s="1">
        <v>45472</v>
      </c>
      <c r="H101" t="s">
        <v>24</v>
      </c>
      <c r="J101" t="s">
        <v>23</v>
      </c>
      <c r="M101">
        <f t="shared" si="3"/>
        <v>8.4671699881515909</v>
      </c>
      <c r="N101">
        <f t="shared" si="4"/>
        <v>8.3723610098165189</v>
      </c>
    </row>
  </sheetData>
  <conditionalFormatting sqref="B6:B17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D8203-2345-4EBF-AE2D-790F284A91D6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C5312-8A94-4AEA-8ED7-7A83F07A8BDA}">
  <dimension ref="A1:AI101"/>
  <sheetViews>
    <sheetView topLeftCell="A3" workbookViewId="0">
      <selection activeCell="D22" sqref="D22"/>
    </sheetView>
  </sheetViews>
  <sheetFormatPr defaultRowHeight="14.5" x14ac:dyDescent="0.35"/>
  <cols>
    <col min="1" max="1" width="9.26953125" customWidth="1"/>
    <col min="2" max="2" width="19.36328125" bestFit="1" customWidth="1"/>
    <col min="3" max="3" width="5" customWidth="1"/>
    <col min="4" max="4" width="8.26953125" customWidth="1"/>
    <col min="5" max="5" width="7.1796875" customWidth="1"/>
    <col min="6" max="6" width="19.36328125" bestFit="1" customWidth="1"/>
    <col min="7" max="7" width="7.08984375" bestFit="1" customWidth="1"/>
    <col min="8" max="8" width="6.54296875" bestFit="1" customWidth="1"/>
    <col min="9" max="9" width="11.54296875" bestFit="1" customWidth="1"/>
    <col min="10" max="10" width="6.08984375" bestFit="1" customWidth="1"/>
    <col min="11" max="11" width="11" bestFit="1" customWidth="1"/>
    <col min="13" max="13" width="12.54296875" bestFit="1" customWidth="1"/>
    <col min="14" max="14" width="8" bestFit="1" customWidth="1"/>
    <col min="15" max="15" width="12.54296875" bestFit="1" customWidth="1"/>
    <col min="17" max="17" width="10.1796875" bestFit="1" customWidth="1"/>
    <col min="18" max="18" width="6.81640625" bestFit="1" customWidth="1"/>
    <col min="19" max="19" width="7.6328125" customWidth="1"/>
  </cols>
  <sheetData>
    <row r="1" spans="1:35" x14ac:dyDescent="0.35">
      <c r="F1" s="2" t="s">
        <v>0</v>
      </c>
    </row>
    <row r="2" spans="1:35" x14ac:dyDescent="0.35">
      <c r="B2">
        <v>0</v>
      </c>
    </row>
    <row r="3" spans="1:35" x14ac:dyDescent="0.35">
      <c r="A3" s="2" t="s">
        <v>1</v>
      </c>
      <c r="B3" s="3">
        <f>AVERAGE(B6:B17)</f>
        <v>0</v>
      </c>
      <c r="F3" s="2" t="s">
        <v>2</v>
      </c>
      <c r="G3" s="3">
        <v>-1.1629716086514603</v>
      </c>
    </row>
    <row r="4" spans="1:35" x14ac:dyDescent="0.35">
      <c r="O4" s="3">
        <f>SUM($O$6:$O300)</f>
        <v>2699.282256754957</v>
      </c>
      <c r="P4" t="s">
        <v>107</v>
      </c>
      <c r="Q4" t="s">
        <v>28</v>
      </c>
      <c r="S4" t="s">
        <v>101</v>
      </c>
    </row>
    <row r="5" spans="1:35" s="2" customFormat="1" x14ac:dyDescent="0.35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G5" s="2" t="s">
        <v>8</v>
      </c>
      <c r="H5" s="2" t="s">
        <v>9</v>
      </c>
      <c r="I5" s="2" t="s">
        <v>10</v>
      </c>
      <c r="J5" s="2" t="s">
        <v>11</v>
      </c>
      <c r="K5" s="2" t="s">
        <v>12</v>
      </c>
      <c r="M5" s="2" t="s">
        <v>13</v>
      </c>
      <c r="N5" s="2" t="s">
        <v>14</v>
      </c>
      <c r="O5" s="2" t="s">
        <v>15</v>
      </c>
      <c r="Q5" s="4"/>
      <c r="R5" s="6" t="s">
        <v>103</v>
      </c>
      <c r="S5" s="6" t="s">
        <v>104</v>
      </c>
      <c r="T5" s="4" t="s">
        <v>102</v>
      </c>
      <c r="U5" s="4" t="s">
        <v>29</v>
      </c>
      <c r="V5" s="4" t="s">
        <v>30</v>
      </c>
      <c r="W5" s="4" t="s">
        <v>31</v>
      </c>
      <c r="X5" s="4" t="s">
        <v>32</v>
      </c>
      <c r="Y5" s="4" t="s">
        <v>33</v>
      </c>
      <c r="Z5" s="4" t="s">
        <v>34</v>
      </c>
      <c r="AA5" s="4" t="s">
        <v>35</v>
      </c>
      <c r="AB5" s="4" t="s">
        <v>36</v>
      </c>
      <c r="AC5" s="4" t="s">
        <v>37</v>
      </c>
      <c r="AD5" s="4" t="s">
        <v>38</v>
      </c>
      <c r="AE5" s="4" t="s">
        <v>39</v>
      </c>
      <c r="AF5" s="4" t="s">
        <v>40</v>
      </c>
      <c r="AG5" s="4" t="s">
        <v>41</v>
      </c>
      <c r="AH5" s="4" t="s">
        <v>42</v>
      </c>
      <c r="AI5" s="4" t="s">
        <v>43</v>
      </c>
    </row>
    <row r="6" spans="1:35" x14ac:dyDescent="0.35">
      <c r="A6" s="4" t="s">
        <v>24</v>
      </c>
      <c r="B6" s="4">
        <v>12.1803261060296</v>
      </c>
      <c r="C6" s="4">
        <f t="shared" ref="C6:C17" si="0">RANK($B6,$B$6:$B$17,0)</f>
        <v>1</v>
      </c>
      <c r="D6" s="4">
        <v>1</v>
      </c>
      <c r="E6" s="4">
        <f t="shared" ref="E6:E17" si="1">D6-C6</f>
        <v>0</v>
      </c>
      <c r="G6" s="1">
        <v>45353</v>
      </c>
      <c r="H6" t="s">
        <v>17</v>
      </c>
      <c r="I6">
        <v>6</v>
      </c>
      <c r="J6" t="s">
        <v>18</v>
      </c>
      <c r="K6">
        <v>18</v>
      </c>
      <c r="M6">
        <f t="shared" ref="M6:M69" si="2">K6-I6</f>
        <v>12</v>
      </c>
      <c r="N6">
        <f>$G$3+VLOOKUP($J6,$A$6:$B$17,2,FALSE)-VLOOKUP($H6,$A$6:$B$17,2,FALSE)</f>
        <v>1.6607494895681381</v>
      </c>
      <c r="O6">
        <f>($M6-$N6)^2</f>
        <v>106.90010111746552</v>
      </c>
      <c r="P6">
        <v>1</v>
      </c>
      <c r="Q6" s="4" t="s">
        <v>16</v>
      </c>
      <c r="R6" s="4">
        <v>11</v>
      </c>
      <c r="S6" s="4">
        <v>11</v>
      </c>
      <c r="T6" s="4">
        <v>12</v>
      </c>
      <c r="U6" s="4">
        <v>12</v>
      </c>
      <c r="V6" s="4">
        <v>12</v>
      </c>
      <c r="W6" s="4">
        <v>12</v>
      </c>
      <c r="X6" s="4">
        <v>12</v>
      </c>
      <c r="Y6" s="4">
        <v>12</v>
      </c>
      <c r="Z6" s="4"/>
      <c r="AA6" s="4"/>
      <c r="AB6" s="4"/>
      <c r="AC6" s="4"/>
      <c r="AD6" s="4"/>
      <c r="AE6" s="4"/>
      <c r="AF6" s="4"/>
      <c r="AG6" s="4"/>
      <c r="AH6" s="4"/>
      <c r="AI6" s="4"/>
    </row>
    <row r="7" spans="1:35" x14ac:dyDescent="0.35">
      <c r="A7" s="4" t="s">
        <v>26</v>
      </c>
      <c r="B7" s="4">
        <v>8.4671699881515909</v>
      </c>
      <c r="C7" s="4">
        <f t="shared" si="0"/>
        <v>2</v>
      </c>
      <c r="D7" s="4">
        <v>2</v>
      </c>
      <c r="E7" s="4">
        <f t="shared" si="1"/>
        <v>0</v>
      </c>
      <c r="G7" s="1">
        <v>45353</v>
      </c>
      <c r="H7" t="s">
        <v>20</v>
      </c>
      <c r="I7">
        <v>15</v>
      </c>
      <c r="J7" t="s">
        <v>21</v>
      </c>
      <c r="K7">
        <v>22</v>
      </c>
      <c r="M7">
        <f t="shared" si="2"/>
        <v>7</v>
      </c>
      <c r="N7">
        <f t="shared" ref="N7:N101" si="3">$G$3+VLOOKUP($J7,$A$6:$B$17,2,FALSE)-VLOOKUP($H7,$A$6:$B$17,2,FALSE)</f>
        <v>5.1351972590738697</v>
      </c>
      <c r="O7">
        <f t="shared" ref="O7:O48" si="4">($M7-$N7)^2</f>
        <v>3.4774892625656082</v>
      </c>
      <c r="P7">
        <v>1</v>
      </c>
      <c r="Q7" s="4" t="s">
        <v>19</v>
      </c>
      <c r="R7" s="4">
        <v>12</v>
      </c>
      <c r="S7" s="4">
        <v>12</v>
      </c>
      <c r="T7" s="4">
        <v>10</v>
      </c>
      <c r="U7" s="4">
        <v>10</v>
      </c>
      <c r="V7" s="4">
        <v>10</v>
      </c>
      <c r="W7" s="4">
        <v>7</v>
      </c>
      <c r="X7" s="4">
        <v>6</v>
      </c>
      <c r="Y7" s="4">
        <v>5</v>
      </c>
      <c r="Z7" s="4"/>
      <c r="AA7" s="4"/>
      <c r="AB7" s="4"/>
      <c r="AC7" s="4"/>
      <c r="AD7" s="4"/>
      <c r="AE7" s="4"/>
      <c r="AF7" s="4"/>
      <c r="AG7" s="4"/>
      <c r="AH7" s="4"/>
      <c r="AI7" s="4"/>
    </row>
    <row r="8" spans="1:35" x14ac:dyDescent="0.35">
      <c r="A8" s="4" t="s">
        <v>21</v>
      </c>
      <c r="B8" s="4">
        <v>8.3723610098165189</v>
      </c>
      <c r="C8" s="4">
        <f t="shared" si="0"/>
        <v>3</v>
      </c>
      <c r="D8" s="4">
        <v>3</v>
      </c>
      <c r="E8" s="4">
        <f t="shared" si="1"/>
        <v>0</v>
      </c>
      <c r="G8" s="1">
        <v>45353</v>
      </c>
      <c r="H8" t="s">
        <v>23</v>
      </c>
      <c r="I8">
        <v>19</v>
      </c>
      <c r="J8" t="s">
        <v>24</v>
      </c>
      <c r="K8">
        <v>25</v>
      </c>
      <c r="M8">
        <f t="shared" si="2"/>
        <v>6</v>
      </c>
      <c r="N8">
        <f t="shared" si="3"/>
        <v>6.6149436666110271</v>
      </c>
      <c r="O8">
        <f t="shared" si="4"/>
        <v>0.378155713105014</v>
      </c>
      <c r="P8">
        <v>1</v>
      </c>
      <c r="Q8" s="4" t="s">
        <v>22</v>
      </c>
      <c r="R8" s="4">
        <v>5</v>
      </c>
      <c r="S8" s="4">
        <v>5</v>
      </c>
      <c r="T8" s="4">
        <v>5</v>
      </c>
      <c r="U8" s="4">
        <v>6</v>
      </c>
      <c r="V8" s="4">
        <v>5</v>
      </c>
      <c r="W8" s="4">
        <v>6</v>
      </c>
      <c r="X8" s="4">
        <v>5</v>
      </c>
      <c r="Y8" s="4">
        <v>7</v>
      </c>
      <c r="Z8" s="4"/>
      <c r="AA8" s="4"/>
      <c r="AB8" s="4"/>
      <c r="AC8" s="4"/>
      <c r="AD8" s="4"/>
      <c r="AE8" s="4"/>
      <c r="AF8" s="4"/>
      <c r="AG8" s="4"/>
      <c r="AH8" s="4"/>
      <c r="AI8" s="4"/>
    </row>
    <row r="9" spans="1:35" x14ac:dyDescent="0.35">
      <c r="A9" s="4" t="s">
        <v>23</v>
      </c>
      <c r="B9" s="4">
        <v>4.4024108307671126</v>
      </c>
      <c r="C9" s="4">
        <f t="shared" si="0"/>
        <v>4</v>
      </c>
      <c r="D9" s="4">
        <v>4</v>
      </c>
      <c r="E9" s="4">
        <f t="shared" si="1"/>
        <v>0</v>
      </c>
      <c r="G9" s="1">
        <v>45354</v>
      </c>
      <c r="H9" t="s">
        <v>19</v>
      </c>
      <c r="I9">
        <v>23</v>
      </c>
      <c r="J9" t="s">
        <v>25</v>
      </c>
      <c r="K9">
        <v>19</v>
      </c>
      <c r="M9">
        <f t="shared" si="2"/>
        <v>-4</v>
      </c>
      <c r="N9">
        <f t="shared" si="3"/>
        <v>-4.8504300949097114</v>
      </c>
      <c r="O9">
        <f t="shared" si="4"/>
        <v>0.72323134632814079</v>
      </c>
      <c r="P9">
        <v>1</v>
      </c>
      <c r="Q9" s="4" t="s">
        <v>21</v>
      </c>
      <c r="R9" s="4">
        <v>1</v>
      </c>
      <c r="S9" s="4">
        <v>1</v>
      </c>
      <c r="T9" s="6">
        <v>1</v>
      </c>
      <c r="U9" s="4">
        <v>1</v>
      </c>
      <c r="V9" s="4">
        <v>1</v>
      </c>
      <c r="W9" s="4">
        <v>1</v>
      </c>
      <c r="X9" s="4">
        <v>3</v>
      </c>
      <c r="Y9" s="4">
        <v>3</v>
      </c>
      <c r="Z9" s="4"/>
      <c r="AA9" s="4"/>
      <c r="AB9" s="4"/>
      <c r="AC9" s="4"/>
      <c r="AD9" s="4"/>
      <c r="AE9" s="4"/>
      <c r="AF9" s="4"/>
      <c r="AG9" s="4"/>
      <c r="AH9" s="4"/>
      <c r="AI9" s="4"/>
    </row>
    <row r="10" spans="1:35" x14ac:dyDescent="0.35">
      <c r="A10" s="4" t="s">
        <v>19</v>
      </c>
      <c r="B10" s="4">
        <v>3.9324623225047772</v>
      </c>
      <c r="C10" s="4">
        <f t="shared" si="0"/>
        <v>5</v>
      </c>
      <c r="D10" s="4">
        <v>6</v>
      </c>
      <c r="E10" s="4">
        <f t="shared" si="1"/>
        <v>1</v>
      </c>
      <c r="G10" s="1">
        <v>45354</v>
      </c>
      <c r="H10" t="s">
        <v>26</v>
      </c>
      <c r="I10">
        <v>46</v>
      </c>
      <c r="J10" t="s">
        <v>16</v>
      </c>
      <c r="K10">
        <v>13</v>
      </c>
      <c r="M10">
        <f t="shared" si="2"/>
        <v>-33</v>
      </c>
      <c r="N10">
        <f t="shared" si="3"/>
        <v>-35.784393015030595</v>
      </c>
      <c r="O10">
        <f t="shared" si="4"/>
        <v>7.7528444621511676</v>
      </c>
      <c r="P10">
        <v>1</v>
      </c>
      <c r="Q10" s="4" t="s">
        <v>25</v>
      </c>
      <c r="R10" s="4">
        <v>9</v>
      </c>
      <c r="S10" s="4">
        <v>9</v>
      </c>
      <c r="T10" s="4">
        <v>8</v>
      </c>
      <c r="U10" s="4">
        <v>9</v>
      </c>
      <c r="V10" s="4">
        <v>9</v>
      </c>
      <c r="W10" s="4">
        <v>10</v>
      </c>
      <c r="X10" s="4">
        <v>9</v>
      </c>
      <c r="Y10" s="4">
        <v>8</v>
      </c>
      <c r="Z10" s="4"/>
      <c r="AA10" s="4"/>
      <c r="AB10" s="4"/>
      <c r="AC10" s="4"/>
      <c r="AD10" s="4"/>
      <c r="AE10" s="4"/>
      <c r="AF10" s="4"/>
      <c r="AG10" s="4"/>
      <c r="AH10" s="4"/>
      <c r="AI10" s="4"/>
    </row>
    <row r="11" spans="1:35" x14ac:dyDescent="0.35">
      <c r="A11" s="4" t="s">
        <v>20</v>
      </c>
      <c r="B11" s="4">
        <v>2.0741921420911891</v>
      </c>
      <c r="C11" s="4">
        <f t="shared" si="0"/>
        <v>6</v>
      </c>
      <c r="D11" s="4">
        <v>7</v>
      </c>
      <c r="E11" s="4">
        <f t="shared" si="1"/>
        <v>1</v>
      </c>
      <c r="G11" s="1">
        <v>45354</v>
      </c>
      <c r="H11" t="s">
        <v>22</v>
      </c>
      <c r="I11">
        <v>32</v>
      </c>
      <c r="J11" t="s">
        <v>27</v>
      </c>
      <c r="K11">
        <v>29</v>
      </c>
      <c r="M11">
        <f t="shared" si="2"/>
        <v>-3</v>
      </c>
      <c r="N11">
        <f t="shared" si="3"/>
        <v>-8.8800975004659168</v>
      </c>
      <c r="O11">
        <f t="shared" si="4"/>
        <v>34.57554661498552</v>
      </c>
      <c r="P11">
        <v>1</v>
      </c>
      <c r="Q11" s="4" t="s">
        <v>26</v>
      </c>
      <c r="R11" s="4">
        <v>7</v>
      </c>
      <c r="S11" s="4">
        <v>7</v>
      </c>
      <c r="T11" s="4">
        <v>7</v>
      </c>
      <c r="U11" s="4">
        <v>7</v>
      </c>
      <c r="V11" s="4">
        <v>7</v>
      </c>
      <c r="W11" s="4">
        <v>3</v>
      </c>
      <c r="X11" s="4">
        <v>2</v>
      </c>
      <c r="Y11" s="4">
        <v>2</v>
      </c>
      <c r="Z11" s="4"/>
      <c r="AA11" s="4"/>
      <c r="AB11" s="4"/>
      <c r="AC11" s="4"/>
      <c r="AD11" s="4"/>
      <c r="AE11" s="4"/>
      <c r="AF11" s="4"/>
      <c r="AG11" s="4"/>
      <c r="AH11" s="4"/>
      <c r="AI11" s="4"/>
    </row>
    <row r="12" spans="1:35" x14ac:dyDescent="0.35">
      <c r="A12" s="4" t="s">
        <v>22</v>
      </c>
      <c r="B12" s="4">
        <v>1.8330672201959402</v>
      </c>
      <c r="C12" s="4">
        <f t="shared" si="0"/>
        <v>7</v>
      </c>
      <c r="D12" s="4">
        <v>5</v>
      </c>
      <c r="E12" s="4">
        <f t="shared" si="1"/>
        <v>-2</v>
      </c>
      <c r="G12" s="1">
        <v>45360</v>
      </c>
      <c r="H12" t="s">
        <v>17</v>
      </c>
      <c r="I12">
        <v>35</v>
      </c>
      <c r="J12" t="s">
        <v>26</v>
      </c>
      <c r="K12">
        <v>34</v>
      </c>
      <c r="M12">
        <f t="shared" si="2"/>
        <v>-1</v>
      </c>
      <c r="N12">
        <f t="shared" si="3"/>
        <v>13.450400611588535</v>
      </c>
      <c r="O12">
        <f t="shared" si="4"/>
        <v>208.81407783539831</v>
      </c>
      <c r="P12">
        <v>2</v>
      </c>
      <c r="Q12" s="4" t="s">
        <v>18</v>
      </c>
      <c r="R12" s="4">
        <v>4</v>
      </c>
      <c r="S12" s="4">
        <v>4</v>
      </c>
      <c r="T12" s="4">
        <v>9</v>
      </c>
      <c r="U12" s="4">
        <v>8</v>
      </c>
      <c r="V12" s="4">
        <v>8</v>
      </c>
      <c r="W12" s="4">
        <v>9</v>
      </c>
      <c r="X12" s="4">
        <v>8</v>
      </c>
      <c r="Y12" s="4">
        <v>9</v>
      </c>
      <c r="Z12" s="4"/>
      <c r="AA12" s="4"/>
      <c r="AB12" s="4"/>
      <c r="AC12" s="4"/>
      <c r="AD12" s="4"/>
      <c r="AE12" s="4"/>
      <c r="AF12" s="4"/>
      <c r="AG12" s="4"/>
      <c r="AH12" s="4"/>
      <c r="AI12" s="4"/>
    </row>
    <row r="13" spans="1:35" x14ac:dyDescent="0.35">
      <c r="A13" s="4" t="s">
        <v>25</v>
      </c>
      <c r="B13" s="4">
        <v>0.24500383624652566</v>
      </c>
      <c r="C13" s="4">
        <f t="shared" si="0"/>
        <v>8</v>
      </c>
      <c r="D13" s="4">
        <v>9</v>
      </c>
      <c r="E13" s="4">
        <f t="shared" si="1"/>
        <v>1</v>
      </c>
      <c r="G13" s="1">
        <v>45360</v>
      </c>
      <c r="H13" t="s">
        <v>16</v>
      </c>
      <c r="I13">
        <v>19</v>
      </c>
      <c r="J13" t="s">
        <v>18</v>
      </c>
      <c r="K13">
        <v>34</v>
      </c>
      <c r="M13">
        <f t="shared" si="2"/>
        <v>15</v>
      </c>
      <c r="N13">
        <f t="shared" si="3"/>
        <v>21.668798675707279</v>
      </c>
      <c r="O13">
        <f t="shared" si="4"/>
        <v>44.472875777115163</v>
      </c>
      <c r="P13">
        <v>2</v>
      </c>
      <c r="Q13" s="4" t="s">
        <v>17</v>
      </c>
      <c r="R13" s="4">
        <v>10</v>
      </c>
      <c r="S13" s="4">
        <v>10</v>
      </c>
      <c r="T13" s="4">
        <v>11</v>
      </c>
      <c r="U13" s="4">
        <v>11</v>
      </c>
      <c r="V13" s="4">
        <v>11</v>
      </c>
      <c r="W13" s="4">
        <v>11</v>
      </c>
      <c r="X13" s="4">
        <v>11</v>
      </c>
      <c r="Y13" s="4">
        <v>11</v>
      </c>
      <c r="Z13" s="4"/>
      <c r="AA13" s="4"/>
      <c r="AB13" s="4"/>
      <c r="AC13" s="4"/>
      <c r="AD13" s="4"/>
      <c r="AE13" s="4"/>
      <c r="AF13" s="4"/>
      <c r="AG13" s="4"/>
      <c r="AH13" s="4"/>
      <c r="AI13" s="4"/>
    </row>
    <row r="14" spans="1:35" x14ac:dyDescent="0.35">
      <c r="A14" s="4" t="s">
        <v>18</v>
      </c>
      <c r="B14" s="4">
        <v>-3.3224811338688069</v>
      </c>
      <c r="C14" s="4">
        <f t="shared" si="0"/>
        <v>9</v>
      </c>
      <c r="D14" s="4">
        <v>8</v>
      </c>
      <c r="E14" s="4">
        <f t="shared" si="1"/>
        <v>-1</v>
      </c>
      <c r="G14" s="1">
        <v>45360</v>
      </c>
      <c r="H14" t="s">
        <v>19</v>
      </c>
      <c r="I14">
        <v>15</v>
      </c>
      <c r="J14" t="s">
        <v>20</v>
      </c>
      <c r="K14">
        <v>29</v>
      </c>
      <c r="M14">
        <f t="shared" si="2"/>
        <v>14</v>
      </c>
      <c r="N14">
        <f t="shared" si="3"/>
        <v>-3.0212417890650487</v>
      </c>
      <c r="O14">
        <f t="shared" si="4"/>
        <v>289.72267204181429</v>
      </c>
      <c r="P14">
        <v>2</v>
      </c>
      <c r="Q14" s="4" t="s">
        <v>27</v>
      </c>
      <c r="R14" s="4">
        <v>2</v>
      </c>
      <c r="S14" s="4">
        <v>2</v>
      </c>
      <c r="T14" s="4">
        <v>6</v>
      </c>
      <c r="U14" s="4">
        <v>5</v>
      </c>
      <c r="V14" s="4">
        <v>6</v>
      </c>
      <c r="W14" s="4">
        <v>8</v>
      </c>
      <c r="X14" s="4">
        <v>10</v>
      </c>
      <c r="Y14" s="4">
        <v>10</v>
      </c>
      <c r="Z14" s="4"/>
      <c r="AA14" s="4"/>
      <c r="AB14" s="4"/>
      <c r="AC14" s="4"/>
      <c r="AD14" s="4"/>
      <c r="AE14" s="4"/>
      <c r="AF14" s="4"/>
      <c r="AG14" s="4"/>
      <c r="AH14" s="4"/>
      <c r="AI14" s="4"/>
    </row>
    <row r="15" spans="1:35" x14ac:dyDescent="0.35">
      <c r="A15" s="4" t="s">
        <v>27</v>
      </c>
      <c r="B15" s="4">
        <v>-5.8840586716185159</v>
      </c>
      <c r="C15" s="4">
        <f t="shared" si="0"/>
        <v>10</v>
      </c>
      <c r="D15" s="4">
        <v>10</v>
      </c>
      <c r="E15" s="4">
        <f t="shared" si="1"/>
        <v>0</v>
      </c>
      <c r="G15" s="1">
        <v>45360</v>
      </c>
      <c r="H15" t="s">
        <v>25</v>
      </c>
      <c r="I15">
        <v>18</v>
      </c>
      <c r="J15" t="s">
        <v>24</v>
      </c>
      <c r="K15">
        <v>29</v>
      </c>
      <c r="M15">
        <f t="shared" si="2"/>
        <v>11</v>
      </c>
      <c r="N15">
        <f t="shared" si="3"/>
        <v>10.772350661131615</v>
      </c>
      <c r="O15">
        <f t="shared" si="4"/>
        <v>5.182422148721294E-2</v>
      </c>
      <c r="P15">
        <v>2</v>
      </c>
      <c r="Q15" s="4" t="s">
        <v>23</v>
      </c>
      <c r="R15" s="4">
        <v>8</v>
      </c>
      <c r="S15" s="4">
        <v>8</v>
      </c>
      <c r="T15" s="4">
        <v>3</v>
      </c>
      <c r="U15" s="4">
        <v>3</v>
      </c>
      <c r="V15" s="4">
        <v>3</v>
      </c>
      <c r="W15" s="4">
        <v>4</v>
      </c>
      <c r="X15" s="4">
        <v>4</v>
      </c>
      <c r="Y15" s="4">
        <v>4</v>
      </c>
      <c r="Z15" s="4"/>
      <c r="AA15" s="4"/>
      <c r="AB15" s="4"/>
      <c r="AC15" s="4"/>
      <c r="AD15" s="4"/>
      <c r="AE15" s="4"/>
      <c r="AF15" s="4"/>
      <c r="AG15" s="4"/>
      <c r="AH15" s="4"/>
      <c r="AI15" s="4"/>
    </row>
    <row r="16" spans="1:35" x14ac:dyDescent="0.35">
      <c r="A16" s="4" t="s">
        <v>17</v>
      </c>
      <c r="B16" s="4">
        <v>-6.1462022320884051</v>
      </c>
      <c r="C16" s="4">
        <f t="shared" si="0"/>
        <v>11</v>
      </c>
      <c r="D16" s="4">
        <v>11</v>
      </c>
      <c r="E16" s="4">
        <f t="shared" si="1"/>
        <v>0</v>
      </c>
      <c r="G16" s="1">
        <v>45361</v>
      </c>
      <c r="H16" t="s">
        <v>23</v>
      </c>
      <c r="I16">
        <v>30</v>
      </c>
      <c r="J16" t="s">
        <v>22</v>
      </c>
      <c r="K16">
        <v>23</v>
      </c>
      <c r="M16">
        <f t="shared" si="2"/>
        <v>-7</v>
      </c>
      <c r="N16">
        <f t="shared" si="3"/>
        <v>-3.7323152192226328</v>
      </c>
      <c r="O16">
        <f t="shared" si="4"/>
        <v>10.67776382652403</v>
      </c>
      <c r="P16">
        <v>2</v>
      </c>
      <c r="Q16" s="4" t="s">
        <v>24</v>
      </c>
      <c r="R16" s="4">
        <v>3</v>
      </c>
      <c r="S16" s="4">
        <v>3</v>
      </c>
      <c r="T16" s="4">
        <v>2</v>
      </c>
      <c r="U16" s="4">
        <v>2</v>
      </c>
      <c r="V16" s="4">
        <v>2</v>
      </c>
      <c r="W16" s="4">
        <v>2</v>
      </c>
      <c r="X16" s="4">
        <v>1</v>
      </c>
      <c r="Y16" s="4">
        <v>1</v>
      </c>
      <c r="Z16" s="4"/>
      <c r="AA16" s="4"/>
      <c r="AB16" s="4"/>
      <c r="AC16" s="4"/>
      <c r="AD16" s="4"/>
      <c r="AE16" s="4"/>
      <c r="AF16" s="4"/>
      <c r="AG16" s="4"/>
      <c r="AH16" s="4"/>
      <c r="AI16" s="4"/>
    </row>
    <row r="17" spans="1:35" x14ac:dyDescent="0.35">
      <c r="A17" s="4" t="s">
        <v>16</v>
      </c>
      <c r="B17" s="4">
        <v>-26.154251418227545</v>
      </c>
      <c r="C17" s="4">
        <f t="shared" si="0"/>
        <v>12</v>
      </c>
      <c r="D17" s="4">
        <v>12</v>
      </c>
      <c r="E17" s="4">
        <f t="shared" si="1"/>
        <v>0</v>
      </c>
      <c r="G17" s="1">
        <v>45361</v>
      </c>
      <c r="H17" t="s">
        <v>21</v>
      </c>
      <c r="I17">
        <v>27</v>
      </c>
      <c r="J17" t="s">
        <v>27</v>
      </c>
      <c r="K17">
        <v>12</v>
      </c>
      <c r="M17">
        <f t="shared" si="2"/>
        <v>-15</v>
      </c>
      <c r="N17">
        <f t="shared" si="3"/>
        <v>-15.419391290086494</v>
      </c>
      <c r="O17">
        <f t="shared" si="4"/>
        <v>0.17588905420041415</v>
      </c>
      <c r="P17">
        <v>2</v>
      </c>
      <c r="Q17" s="4" t="s">
        <v>20</v>
      </c>
      <c r="R17" s="4">
        <v>6</v>
      </c>
      <c r="S17" s="4">
        <v>6</v>
      </c>
      <c r="T17" s="4">
        <v>4</v>
      </c>
      <c r="U17" s="4">
        <v>4</v>
      </c>
      <c r="V17" s="4">
        <v>4</v>
      </c>
      <c r="W17" s="4">
        <v>5</v>
      </c>
      <c r="X17" s="4">
        <v>7</v>
      </c>
      <c r="Y17" s="4">
        <v>6</v>
      </c>
      <c r="Z17" s="4"/>
      <c r="AA17" s="4"/>
      <c r="AB17" s="4"/>
      <c r="AC17" s="4"/>
      <c r="AD17" s="4"/>
      <c r="AE17" s="4"/>
      <c r="AF17" s="4"/>
      <c r="AG17" s="4"/>
      <c r="AH17" s="4"/>
      <c r="AI17" s="4"/>
    </row>
    <row r="18" spans="1:35" x14ac:dyDescent="0.35">
      <c r="G18" s="1">
        <v>45367</v>
      </c>
      <c r="H18" t="s">
        <v>18</v>
      </c>
      <c r="I18">
        <v>21</v>
      </c>
      <c r="J18" t="s">
        <v>26</v>
      </c>
      <c r="K18">
        <v>27</v>
      </c>
      <c r="M18">
        <f t="shared" si="2"/>
        <v>6</v>
      </c>
      <c r="N18">
        <f t="shared" si="3"/>
        <v>10.626679513368938</v>
      </c>
      <c r="O18">
        <f t="shared" si="4"/>
        <v>21.406163319427829</v>
      </c>
      <c r="P18">
        <v>3</v>
      </c>
    </row>
    <row r="19" spans="1:35" x14ac:dyDescent="0.35">
      <c r="G19" s="1">
        <v>45367</v>
      </c>
      <c r="H19" t="s">
        <v>19</v>
      </c>
      <c r="I19">
        <v>22</v>
      </c>
      <c r="J19" t="s">
        <v>17</v>
      </c>
      <c r="K19">
        <v>22</v>
      </c>
      <c r="M19">
        <f t="shared" si="2"/>
        <v>0</v>
      </c>
      <c r="N19">
        <f t="shared" si="3"/>
        <v>-11.241636163244642</v>
      </c>
      <c r="O19">
        <f t="shared" si="4"/>
        <v>126.37438362676973</v>
      </c>
      <c r="P19">
        <v>3</v>
      </c>
    </row>
    <row r="20" spans="1:35" x14ac:dyDescent="0.35">
      <c r="G20" s="1">
        <v>45367</v>
      </c>
      <c r="H20" t="s">
        <v>25</v>
      </c>
      <c r="I20">
        <v>19</v>
      </c>
      <c r="J20" t="s">
        <v>21</v>
      </c>
      <c r="K20">
        <v>30</v>
      </c>
      <c r="M20">
        <f t="shared" si="2"/>
        <v>11</v>
      </c>
      <c r="N20">
        <f t="shared" si="3"/>
        <v>6.9643855649185324</v>
      </c>
      <c r="O20">
        <f t="shared" si="4"/>
        <v>16.286183868637913</v>
      </c>
      <c r="P20">
        <v>3</v>
      </c>
    </row>
    <row r="21" spans="1:35" x14ac:dyDescent="0.35">
      <c r="G21" s="1">
        <v>45367</v>
      </c>
      <c r="H21" t="s">
        <v>24</v>
      </c>
      <c r="I21">
        <v>23</v>
      </c>
      <c r="J21" t="s">
        <v>20</v>
      </c>
      <c r="K21">
        <v>13</v>
      </c>
      <c r="M21">
        <f t="shared" si="2"/>
        <v>-10</v>
      </c>
      <c r="N21">
        <f t="shared" si="3"/>
        <v>-11.269105572589872</v>
      </c>
      <c r="O21">
        <f t="shared" si="4"/>
        <v>1.6106289543786672</v>
      </c>
      <c r="P21">
        <v>3</v>
      </c>
    </row>
    <row r="22" spans="1:35" x14ac:dyDescent="0.35">
      <c r="G22" s="1">
        <v>45367</v>
      </c>
      <c r="H22" t="s">
        <v>27</v>
      </c>
      <c r="I22">
        <v>18</v>
      </c>
      <c r="J22" t="s">
        <v>23</v>
      </c>
      <c r="K22">
        <v>19</v>
      </c>
      <c r="M22">
        <f t="shared" si="2"/>
        <v>1</v>
      </c>
      <c r="N22">
        <f t="shared" si="3"/>
        <v>9.123497893734168</v>
      </c>
      <c r="O22">
        <f t="shared" si="4"/>
        <v>65.991218029503457</v>
      </c>
      <c r="P22">
        <v>3</v>
      </c>
    </row>
    <row r="23" spans="1:35" x14ac:dyDescent="0.35">
      <c r="F23" t="s">
        <v>81</v>
      </c>
      <c r="G23" s="1">
        <v>45368</v>
      </c>
      <c r="H23" t="s">
        <v>22</v>
      </c>
      <c r="I23">
        <v>68</v>
      </c>
      <c r="J23" t="s">
        <v>16</v>
      </c>
      <c r="K23">
        <v>28</v>
      </c>
      <c r="M23">
        <f t="shared" si="2"/>
        <v>-40</v>
      </c>
      <c r="N23">
        <f t="shared" si="3"/>
        <v>-29.150290247074945</v>
      </c>
      <c r="O23">
        <f t="shared" si="4"/>
        <v>117.71620172271705</v>
      </c>
      <c r="P23">
        <v>3</v>
      </c>
      <c r="Q23" s="5"/>
    </row>
    <row r="24" spans="1:35" x14ac:dyDescent="0.35">
      <c r="E24" t="s">
        <v>105</v>
      </c>
      <c r="F24" t="s">
        <v>21</v>
      </c>
      <c r="G24" s="1">
        <v>45373</v>
      </c>
      <c r="H24" t="s">
        <v>21</v>
      </c>
      <c r="I24">
        <v>42</v>
      </c>
      <c r="J24" t="s">
        <v>24</v>
      </c>
      <c r="K24">
        <v>40</v>
      </c>
      <c r="M24">
        <f t="shared" si="2"/>
        <v>-2</v>
      </c>
      <c r="N24">
        <f t="shared" si="3"/>
        <v>2.6449934875616208</v>
      </c>
      <c r="O24">
        <f t="shared" si="4"/>
        <v>21.575964499489867</v>
      </c>
      <c r="P24">
        <v>4</v>
      </c>
    </row>
    <row r="25" spans="1:35" x14ac:dyDescent="0.35">
      <c r="E25" t="s">
        <v>105</v>
      </c>
      <c r="F25" t="s">
        <v>23</v>
      </c>
      <c r="G25" s="1">
        <v>45374</v>
      </c>
      <c r="H25" t="s">
        <v>23</v>
      </c>
      <c r="I25">
        <v>27</v>
      </c>
      <c r="J25" t="s">
        <v>17</v>
      </c>
      <c r="K25">
        <v>11</v>
      </c>
      <c r="M25">
        <f t="shared" si="2"/>
        <v>-16</v>
      </c>
      <c r="N25">
        <f t="shared" si="3"/>
        <v>-11.711584671506978</v>
      </c>
      <c r="O25">
        <f t="shared" si="4"/>
        <v>18.390506029653913</v>
      </c>
      <c r="P25">
        <v>4</v>
      </c>
    </row>
    <row r="26" spans="1:35" x14ac:dyDescent="0.35">
      <c r="E26" t="s">
        <v>105</v>
      </c>
      <c r="F26" t="s">
        <v>25</v>
      </c>
      <c r="G26" s="1">
        <v>45374</v>
      </c>
      <c r="H26" t="s">
        <v>16</v>
      </c>
      <c r="I26">
        <v>21</v>
      </c>
      <c r="J26" t="s">
        <v>25</v>
      </c>
      <c r="K26">
        <v>50</v>
      </c>
      <c r="M26">
        <f t="shared" si="2"/>
        <v>29</v>
      </c>
      <c r="N26">
        <f t="shared" si="3"/>
        <v>25.23628364582261</v>
      </c>
      <c r="O26">
        <f t="shared" si="4"/>
        <v>14.165560794702346</v>
      </c>
      <c r="P26">
        <v>4</v>
      </c>
    </row>
    <row r="27" spans="1:35" x14ac:dyDescent="0.35">
      <c r="E27" t="s">
        <v>106</v>
      </c>
      <c r="F27" t="s">
        <v>22</v>
      </c>
      <c r="G27" s="1">
        <v>45374</v>
      </c>
      <c r="H27" t="s">
        <v>18</v>
      </c>
      <c r="I27">
        <v>35</v>
      </c>
      <c r="J27" t="s">
        <v>22</v>
      </c>
      <c r="K27">
        <v>22</v>
      </c>
      <c r="M27">
        <f t="shared" si="2"/>
        <v>-13</v>
      </c>
      <c r="N27">
        <f t="shared" si="3"/>
        <v>3.9925767454132868</v>
      </c>
      <c r="O27">
        <f t="shared" si="4"/>
        <v>288.74766444876047</v>
      </c>
      <c r="P27">
        <v>4</v>
      </c>
    </row>
    <row r="28" spans="1:35" x14ac:dyDescent="0.35">
      <c r="E28" t="s">
        <v>105</v>
      </c>
      <c r="F28" t="s">
        <v>26</v>
      </c>
      <c r="G28" s="1">
        <v>45375</v>
      </c>
      <c r="H28" t="s">
        <v>26</v>
      </c>
      <c r="I28">
        <v>22</v>
      </c>
      <c r="J28" t="s">
        <v>19</v>
      </c>
      <c r="K28">
        <v>17</v>
      </c>
      <c r="M28">
        <f t="shared" si="2"/>
        <v>-5</v>
      </c>
      <c r="N28">
        <f t="shared" si="3"/>
        <v>-5.6976792742982738</v>
      </c>
      <c r="O28">
        <f t="shared" si="4"/>
        <v>0.48675636978536596</v>
      </c>
      <c r="P28">
        <v>4</v>
      </c>
    </row>
    <row r="29" spans="1:35" x14ac:dyDescent="0.35">
      <c r="E29" t="s">
        <v>106</v>
      </c>
      <c r="F29" t="s">
        <v>20</v>
      </c>
      <c r="G29" s="1">
        <v>45375</v>
      </c>
      <c r="H29" t="s">
        <v>20</v>
      </c>
      <c r="I29">
        <v>32</v>
      </c>
      <c r="J29" t="s">
        <v>27</v>
      </c>
      <c r="K29">
        <v>36</v>
      </c>
      <c r="M29">
        <f t="shared" si="2"/>
        <v>4</v>
      </c>
      <c r="N29">
        <f t="shared" si="3"/>
        <v>-9.121222422361166</v>
      </c>
      <c r="O29">
        <f t="shared" si="4"/>
        <v>172.16647785707343</v>
      </c>
      <c r="P29">
        <v>4</v>
      </c>
    </row>
    <row r="30" spans="1:35" x14ac:dyDescent="0.35">
      <c r="E30" t="s">
        <v>105</v>
      </c>
      <c r="F30" t="s">
        <v>21</v>
      </c>
      <c r="G30" s="1">
        <v>45380</v>
      </c>
      <c r="H30" t="s">
        <v>21</v>
      </c>
      <c r="I30">
        <v>30</v>
      </c>
      <c r="J30" t="s">
        <v>22</v>
      </c>
      <c r="K30">
        <v>27</v>
      </c>
      <c r="M30">
        <f t="shared" si="2"/>
        <v>-3</v>
      </c>
      <c r="N30">
        <f t="shared" si="3"/>
        <v>-7.702265398272039</v>
      </c>
      <c r="O30">
        <f t="shared" si="4"/>
        <v>22.111299875786496</v>
      </c>
      <c r="P30">
        <v>5</v>
      </c>
    </row>
    <row r="31" spans="1:35" x14ac:dyDescent="0.35">
      <c r="E31" t="s">
        <v>105</v>
      </c>
      <c r="F31" t="s">
        <v>24</v>
      </c>
      <c r="G31" s="1">
        <v>45381</v>
      </c>
      <c r="H31" t="s">
        <v>24</v>
      </c>
      <c r="I31">
        <v>34</v>
      </c>
      <c r="J31" t="s">
        <v>19</v>
      </c>
      <c r="K31">
        <v>26</v>
      </c>
      <c r="M31">
        <f t="shared" si="2"/>
        <v>-8</v>
      </c>
      <c r="N31">
        <f t="shared" si="3"/>
        <v>-9.4108353921762831</v>
      </c>
      <c r="O31">
        <f t="shared" si="4"/>
        <v>1.9904565038172064</v>
      </c>
      <c r="P31">
        <v>5</v>
      </c>
    </row>
    <row r="32" spans="1:35" x14ac:dyDescent="0.35">
      <c r="E32" t="s">
        <v>105</v>
      </c>
      <c r="F32" t="s">
        <v>17</v>
      </c>
      <c r="G32" s="1">
        <v>45381</v>
      </c>
      <c r="H32" t="s">
        <v>17</v>
      </c>
      <c r="I32">
        <v>46</v>
      </c>
      <c r="J32" t="s">
        <v>16</v>
      </c>
      <c r="K32">
        <v>32</v>
      </c>
      <c r="M32">
        <f t="shared" si="2"/>
        <v>-14</v>
      </c>
      <c r="N32">
        <f t="shared" si="3"/>
        <v>-21.1710207947906</v>
      </c>
      <c r="O32">
        <f t="shared" si="4"/>
        <v>51.423539239319204</v>
      </c>
      <c r="P32">
        <v>5</v>
      </c>
    </row>
    <row r="33" spans="5:16" x14ac:dyDescent="0.35">
      <c r="E33" t="s">
        <v>105</v>
      </c>
      <c r="F33" t="s">
        <v>23</v>
      </c>
      <c r="G33" s="1">
        <v>45382</v>
      </c>
      <c r="H33" t="s">
        <v>23</v>
      </c>
      <c r="I33">
        <v>22</v>
      </c>
      <c r="J33" t="s">
        <v>25</v>
      </c>
      <c r="K33">
        <v>21</v>
      </c>
      <c r="M33">
        <f t="shared" si="2"/>
        <v>-1</v>
      </c>
      <c r="N33">
        <f t="shared" si="3"/>
        <v>-5.3203786031720472</v>
      </c>
      <c r="O33">
        <f t="shared" si="4"/>
        <v>18.665671274746849</v>
      </c>
      <c r="P33">
        <v>5</v>
      </c>
    </row>
    <row r="34" spans="5:16" x14ac:dyDescent="0.35">
      <c r="E34" t="s">
        <v>105</v>
      </c>
      <c r="F34" t="s">
        <v>20</v>
      </c>
      <c r="G34" s="1">
        <v>45387</v>
      </c>
      <c r="H34" t="s">
        <v>16</v>
      </c>
      <c r="I34">
        <v>19</v>
      </c>
      <c r="J34" t="s">
        <v>20</v>
      </c>
      <c r="K34">
        <v>44</v>
      </c>
      <c r="M34">
        <f t="shared" si="2"/>
        <v>25</v>
      </c>
      <c r="N34">
        <f t="shared" si="3"/>
        <v>27.065471951667273</v>
      </c>
      <c r="O34">
        <f t="shared" si="4"/>
        <v>4.2661743831242154</v>
      </c>
      <c r="P34">
        <v>6</v>
      </c>
    </row>
    <row r="35" spans="5:16" x14ac:dyDescent="0.35">
      <c r="E35" t="s">
        <v>105</v>
      </c>
      <c r="F35" t="s">
        <v>24</v>
      </c>
      <c r="G35" s="1">
        <v>45387</v>
      </c>
      <c r="H35" t="s">
        <v>22</v>
      </c>
      <c r="I35">
        <v>32</v>
      </c>
      <c r="J35" t="s">
        <v>24</v>
      </c>
      <c r="K35">
        <v>34</v>
      </c>
      <c r="M35">
        <f t="shared" si="2"/>
        <v>2</v>
      </c>
      <c r="N35">
        <f t="shared" si="3"/>
        <v>9.1842872771822002</v>
      </c>
      <c r="O35">
        <f t="shared" si="4"/>
        <v>51.613983681082033</v>
      </c>
      <c r="P35">
        <v>6</v>
      </c>
    </row>
    <row r="36" spans="5:16" x14ac:dyDescent="0.35">
      <c r="E36" t="s">
        <v>106</v>
      </c>
      <c r="F36" t="s">
        <v>18</v>
      </c>
      <c r="G36" s="1">
        <v>45388</v>
      </c>
      <c r="H36" t="s">
        <v>19</v>
      </c>
      <c r="I36">
        <v>38</v>
      </c>
      <c r="J36" t="s">
        <v>18</v>
      </c>
      <c r="K36">
        <v>21</v>
      </c>
      <c r="M36">
        <f t="shared" si="2"/>
        <v>-17</v>
      </c>
      <c r="N36">
        <f t="shared" si="3"/>
        <v>-8.4179150650250438</v>
      </c>
      <c r="O36">
        <f t="shared" si="4"/>
        <v>73.652181831124096</v>
      </c>
      <c r="P36">
        <v>6</v>
      </c>
    </row>
    <row r="37" spans="5:16" x14ac:dyDescent="0.35">
      <c r="E37" t="s">
        <v>106</v>
      </c>
      <c r="F37" t="s">
        <v>25</v>
      </c>
      <c r="G37" s="1">
        <v>45388</v>
      </c>
      <c r="H37" t="s">
        <v>25</v>
      </c>
      <c r="I37">
        <v>3</v>
      </c>
      <c r="J37" t="s">
        <v>26</v>
      </c>
      <c r="K37">
        <v>25</v>
      </c>
      <c r="M37">
        <f t="shared" si="2"/>
        <v>22</v>
      </c>
      <c r="N37">
        <f t="shared" si="3"/>
        <v>7.0591945432536045</v>
      </c>
      <c r="O37">
        <f t="shared" si="4"/>
        <v>223.22766769634291</v>
      </c>
      <c r="P37">
        <v>6</v>
      </c>
    </row>
    <row r="38" spans="5:16" x14ac:dyDescent="0.35">
      <c r="E38" t="s">
        <v>108</v>
      </c>
      <c r="F38" t="s">
        <v>27</v>
      </c>
      <c r="G38" s="1">
        <v>45388</v>
      </c>
      <c r="H38" t="s">
        <v>27</v>
      </c>
      <c r="I38">
        <v>22</v>
      </c>
      <c r="J38" t="s">
        <v>17</v>
      </c>
      <c r="K38">
        <v>22</v>
      </c>
      <c r="M38">
        <f t="shared" si="2"/>
        <v>0</v>
      </c>
      <c r="N38">
        <f t="shared" si="3"/>
        <v>-1.4251151691213497</v>
      </c>
      <c r="O38">
        <f t="shared" si="4"/>
        <v>2.0309532452597732</v>
      </c>
      <c r="P38">
        <v>6</v>
      </c>
    </row>
    <row r="39" spans="5:16" x14ac:dyDescent="0.35">
      <c r="E39" t="s">
        <v>106</v>
      </c>
      <c r="F39" t="s">
        <v>20</v>
      </c>
      <c r="G39" s="1">
        <v>45394</v>
      </c>
      <c r="H39" t="s">
        <v>20</v>
      </c>
      <c r="I39">
        <v>20</v>
      </c>
      <c r="J39" t="s">
        <v>22</v>
      </c>
      <c r="K39">
        <v>22</v>
      </c>
      <c r="M39">
        <f t="shared" si="2"/>
        <v>2</v>
      </c>
      <c r="N39">
        <f t="shared" si="3"/>
        <v>-1.4040965305467092</v>
      </c>
      <c r="O39">
        <f t="shared" si="4"/>
        <v>11.587873189280144</v>
      </c>
      <c r="P39">
        <v>7</v>
      </c>
    </row>
    <row r="40" spans="5:16" x14ac:dyDescent="0.35">
      <c r="E40" t="s">
        <v>106</v>
      </c>
      <c r="F40" t="s">
        <v>21</v>
      </c>
      <c r="G40" s="1">
        <v>45395</v>
      </c>
      <c r="H40" t="s">
        <v>26</v>
      </c>
      <c r="I40">
        <v>47</v>
      </c>
      <c r="J40" t="s">
        <v>21</v>
      </c>
      <c r="K40">
        <v>35</v>
      </c>
      <c r="M40">
        <f t="shared" si="2"/>
        <v>-12</v>
      </c>
      <c r="N40">
        <f t="shared" si="3"/>
        <v>-1.2577805869865326</v>
      </c>
      <c r="O40">
        <f t="shared" si="4"/>
        <v>115.3952779173234</v>
      </c>
      <c r="P40">
        <v>7</v>
      </c>
    </row>
    <row r="41" spans="5:16" x14ac:dyDescent="0.35">
      <c r="E41" t="s">
        <v>105</v>
      </c>
      <c r="F41" t="s">
        <v>23</v>
      </c>
      <c r="G41" s="1">
        <v>45396</v>
      </c>
      <c r="H41" t="s">
        <v>18</v>
      </c>
      <c r="I41">
        <v>20</v>
      </c>
      <c r="J41" t="s">
        <v>23</v>
      </c>
      <c r="K41">
        <v>33</v>
      </c>
      <c r="M41">
        <f t="shared" si="2"/>
        <v>13</v>
      </c>
      <c r="N41">
        <f t="shared" si="3"/>
        <v>6.5619203559844586</v>
      </c>
      <c r="O41">
        <f t="shared" si="4"/>
        <v>41.44886950268728</v>
      </c>
      <c r="P41">
        <v>7</v>
      </c>
    </row>
    <row r="42" spans="5:16" x14ac:dyDescent="0.35">
      <c r="E42" t="s">
        <v>105</v>
      </c>
      <c r="F42" t="s">
        <v>19</v>
      </c>
      <c r="G42" s="1">
        <v>45396</v>
      </c>
      <c r="H42" t="s">
        <v>16</v>
      </c>
      <c r="I42">
        <v>26</v>
      </c>
      <c r="J42" t="s">
        <v>19</v>
      </c>
      <c r="K42">
        <v>59</v>
      </c>
      <c r="M42">
        <f t="shared" si="2"/>
        <v>33</v>
      </c>
      <c r="N42">
        <f t="shared" si="3"/>
        <v>28.923742132080861</v>
      </c>
      <c r="O42">
        <f t="shared" si="4"/>
        <v>16.615878205772688</v>
      </c>
      <c r="P42">
        <v>7</v>
      </c>
    </row>
    <row r="43" spans="5:16" x14ac:dyDescent="0.35">
      <c r="E43" t="s">
        <v>105</v>
      </c>
      <c r="F43" t="s">
        <v>24</v>
      </c>
      <c r="G43" s="1">
        <v>45396</v>
      </c>
      <c r="H43" t="s">
        <v>24</v>
      </c>
      <c r="I43">
        <v>36</v>
      </c>
      <c r="J43" t="s">
        <v>27</v>
      </c>
      <c r="K43">
        <v>5</v>
      </c>
      <c r="M43">
        <f t="shared" si="2"/>
        <v>-31</v>
      </c>
      <c r="N43">
        <f t="shared" si="3"/>
        <v>-19.227356386299576</v>
      </c>
      <c r="O43">
        <f t="shared" si="4"/>
        <v>138.59513765520137</v>
      </c>
      <c r="P43">
        <v>7</v>
      </c>
    </row>
    <row r="44" spans="5:16" x14ac:dyDescent="0.35">
      <c r="E44" t="s">
        <v>105</v>
      </c>
      <c r="F44" t="s">
        <v>24</v>
      </c>
      <c r="G44" s="1">
        <v>45402</v>
      </c>
      <c r="H44" t="s">
        <v>24</v>
      </c>
      <c r="I44">
        <v>29</v>
      </c>
      <c r="J44" t="s">
        <v>26</v>
      </c>
      <c r="K44">
        <v>21</v>
      </c>
      <c r="M44">
        <f t="shared" si="2"/>
        <v>-8</v>
      </c>
      <c r="N44">
        <f t="shared" si="3"/>
        <v>-4.8761277265294698</v>
      </c>
      <c r="O44">
        <f t="shared" si="4"/>
        <v>9.7585779809579396</v>
      </c>
      <c r="P44">
        <v>8</v>
      </c>
    </row>
    <row r="45" spans="5:16" x14ac:dyDescent="0.35">
      <c r="E45" t="s">
        <v>105</v>
      </c>
      <c r="F45" t="s">
        <v>25</v>
      </c>
      <c r="G45" s="1">
        <v>45402</v>
      </c>
      <c r="H45" t="s">
        <v>25</v>
      </c>
      <c r="I45">
        <v>42</v>
      </c>
      <c r="J45" t="s">
        <v>18</v>
      </c>
      <c r="K45">
        <v>27</v>
      </c>
      <c r="M45">
        <f t="shared" si="2"/>
        <v>-15</v>
      </c>
      <c r="N45">
        <f t="shared" si="3"/>
        <v>-4.7304565787667929</v>
      </c>
      <c r="O45">
        <f t="shared" si="4"/>
        <v>105.46352208059425</v>
      </c>
      <c r="P45">
        <v>8</v>
      </c>
    </row>
    <row r="46" spans="5:16" x14ac:dyDescent="0.35">
      <c r="E46" t="s">
        <v>105</v>
      </c>
      <c r="F46" t="s">
        <v>21</v>
      </c>
      <c r="G46" s="1">
        <v>45402</v>
      </c>
      <c r="H46" t="s">
        <v>21</v>
      </c>
      <c r="I46">
        <v>38</v>
      </c>
      <c r="J46" t="s">
        <v>17</v>
      </c>
      <c r="K46">
        <v>17</v>
      </c>
      <c r="M46">
        <f t="shared" si="2"/>
        <v>-21</v>
      </c>
      <c r="N46">
        <f t="shared" si="3"/>
        <v>-15.681534850556385</v>
      </c>
      <c r="O46">
        <f t="shared" si="4"/>
        <v>28.286071545846291</v>
      </c>
      <c r="P46">
        <v>8</v>
      </c>
    </row>
    <row r="47" spans="5:16" x14ac:dyDescent="0.35">
      <c r="E47" t="s">
        <v>105</v>
      </c>
      <c r="F47" t="s">
        <v>19</v>
      </c>
      <c r="G47" s="1">
        <v>45403</v>
      </c>
      <c r="H47" t="s">
        <v>27</v>
      </c>
      <c r="I47">
        <v>31</v>
      </c>
      <c r="J47" t="s">
        <v>19</v>
      </c>
      <c r="K47">
        <v>54</v>
      </c>
      <c r="M47">
        <f t="shared" si="2"/>
        <v>23</v>
      </c>
      <c r="N47">
        <f t="shared" si="3"/>
        <v>8.6535493854718339</v>
      </c>
      <c r="O47">
        <f t="shared" si="4"/>
        <v>205.82064523509558</v>
      </c>
      <c r="P47">
        <v>8</v>
      </c>
    </row>
    <row r="48" spans="5:16" x14ac:dyDescent="0.35">
      <c r="E48" t="s">
        <v>106</v>
      </c>
      <c r="F48" t="s">
        <v>23</v>
      </c>
      <c r="G48" s="1">
        <v>45403</v>
      </c>
      <c r="H48" t="s">
        <v>20</v>
      </c>
      <c r="I48">
        <v>33</v>
      </c>
      <c r="J48" t="s">
        <v>23</v>
      </c>
      <c r="K48">
        <v>32</v>
      </c>
      <c r="M48">
        <f t="shared" si="2"/>
        <v>-1</v>
      </c>
      <c r="N48">
        <f t="shared" si="3"/>
        <v>1.165247080024463</v>
      </c>
      <c r="O48">
        <f t="shared" si="4"/>
        <v>4.6882949175544635</v>
      </c>
      <c r="P48">
        <v>8</v>
      </c>
    </row>
    <row r="49" spans="7:16" x14ac:dyDescent="0.35">
      <c r="G49" s="1">
        <v>45408</v>
      </c>
      <c r="H49" t="s">
        <v>17</v>
      </c>
      <c r="J49" t="s">
        <v>20</v>
      </c>
      <c r="M49">
        <f t="shared" si="2"/>
        <v>0</v>
      </c>
      <c r="N49">
        <f t="shared" si="3"/>
        <v>7.0574227655281341</v>
      </c>
      <c r="P49">
        <v>9</v>
      </c>
    </row>
    <row r="50" spans="7:16" x14ac:dyDescent="0.35">
      <c r="G50" s="1">
        <v>45409</v>
      </c>
      <c r="H50" t="s">
        <v>18</v>
      </c>
      <c r="J50" t="s">
        <v>16</v>
      </c>
      <c r="M50">
        <f t="shared" si="2"/>
        <v>0</v>
      </c>
      <c r="N50">
        <f t="shared" si="3"/>
        <v>-23.9947418930102</v>
      </c>
      <c r="P50">
        <v>9</v>
      </c>
    </row>
    <row r="51" spans="7:16" x14ac:dyDescent="0.35">
      <c r="G51" s="1">
        <v>45409</v>
      </c>
      <c r="H51" t="s">
        <v>22</v>
      </c>
      <c r="J51" t="s">
        <v>25</v>
      </c>
      <c r="M51">
        <f t="shared" si="2"/>
        <v>0</v>
      </c>
      <c r="N51">
        <f t="shared" si="3"/>
        <v>-2.751034992600875</v>
      </c>
      <c r="P51">
        <v>9</v>
      </c>
    </row>
    <row r="52" spans="7:16" x14ac:dyDescent="0.35">
      <c r="G52" s="1">
        <v>45409</v>
      </c>
      <c r="H52" t="s">
        <v>23</v>
      </c>
      <c r="J52" t="s">
        <v>21</v>
      </c>
      <c r="M52">
        <f t="shared" si="2"/>
        <v>0</v>
      </c>
      <c r="N52">
        <f t="shared" si="3"/>
        <v>2.8069785703979457</v>
      </c>
      <c r="P52">
        <v>9</v>
      </c>
    </row>
    <row r="53" spans="7:16" x14ac:dyDescent="0.35">
      <c r="G53" s="1">
        <v>45410</v>
      </c>
      <c r="H53" t="s">
        <v>26</v>
      </c>
      <c r="J53" t="s">
        <v>27</v>
      </c>
      <c r="M53">
        <f t="shared" si="2"/>
        <v>0</v>
      </c>
      <c r="N53">
        <f t="shared" si="3"/>
        <v>-15.514200268421568</v>
      </c>
      <c r="P53">
        <v>9</v>
      </c>
    </row>
    <row r="54" spans="7:16" x14ac:dyDescent="0.35">
      <c r="G54" s="1">
        <v>45415</v>
      </c>
      <c r="H54" t="s">
        <v>16</v>
      </c>
      <c r="J54" t="s">
        <v>24</v>
      </c>
      <c r="M54">
        <f t="shared" si="2"/>
        <v>0</v>
      </c>
      <c r="N54">
        <f t="shared" si="3"/>
        <v>37.171605915605682</v>
      </c>
      <c r="P54">
        <v>10</v>
      </c>
    </row>
    <row r="55" spans="7:16" x14ac:dyDescent="0.35">
      <c r="G55" s="1">
        <v>45416</v>
      </c>
      <c r="H55" t="s">
        <v>25</v>
      </c>
      <c r="J55" t="s">
        <v>17</v>
      </c>
      <c r="M55">
        <f t="shared" si="2"/>
        <v>0</v>
      </c>
      <c r="N55">
        <f t="shared" si="3"/>
        <v>-7.5541776769863915</v>
      </c>
      <c r="P55">
        <v>10</v>
      </c>
    </row>
    <row r="56" spans="7:16" x14ac:dyDescent="0.35">
      <c r="G56" s="1">
        <v>45416</v>
      </c>
      <c r="H56" t="s">
        <v>21</v>
      </c>
      <c r="J56" t="s">
        <v>20</v>
      </c>
      <c r="M56">
        <f t="shared" si="2"/>
        <v>0</v>
      </c>
      <c r="N56">
        <f t="shared" si="3"/>
        <v>-7.4611404763767899</v>
      </c>
      <c r="P56">
        <v>10</v>
      </c>
    </row>
    <row r="57" spans="7:16" x14ac:dyDescent="0.35">
      <c r="G57" s="1">
        <v>45417</v>
      </c>
      <c r="H57" t="s">
        <v>19</v>
      </c>
      <c r="J57" t="s">
        <v>26</v>
      </c>
      <c r="M57">
        <f t="shared" si="2"/>
        <v>0</v>
      </c>
      <c r="N57">
        <f t="shared" si="3"/>
        <v>3.3717360569953532</v>
      </c>
      <c r="P57">
        <v>10</v>
      </c>
    </row>
    <row r="58" spans="7:16" x14ac:dyDescent="0.35">
      <c r="G58" s="1">
        <v>45417</v>
      </c>
      <c r="H58" t="s">
        <v>22</v>
      </c>
      <c r="J58" t="s">
        <v>23</v>
      </c>
      <c r="M58">
        <f t="shared" si="2"/>
        <v>0</v>
      </c>
      <c r="N58">
        <f t="shared" si="3"/>
        <v>1.4063720019197119</v>
      </c>
      <c r="P58">
        <v>10</v>
      </c>
    </row>
    <row r="59" spans="7:16" x14ac:dyDescent="0.35">
      <c r="G59" s="1">
        <v>45422</v>
      </c>
      <c r="H59" t="s">
        <v>21</v>
      </c>
      <c r="J59" t="s">
        <v>16</v>
      </c>
      <c r="M59">
        <f t="shared" si="2"/>
        <v>0</v>
      </c>
      <c r="N59">
        <f t="shared" si="3"/>
        <v>-35.689584036695521</v>
      </c>
      <c r="P59">
        <v>11</v>
      </c>
    </row>
    <row r="60" spans="7:16" x14ac:dyDescent="0.35">
      <c r="G60" s="1">
        <v>45422</v>
      </c>
      <c r="H60" t="s">
        <v>27</v>
      </c>
      <c r="J60" t="s">
        <v>22</v>
      </c>
      <c r="M60">
        <f t="shared" si="2"/>
        <v>0</v>
      </c>
      <c r="N60">
        <f t="shared" si="3"/>
        <v>6.5541542831629958</v>
      </c>
      <c r="P60">
        <v>11</v>
      </c>
    </row>
    <row r="61" spans="7:16" x14ac:dyDescent="0.35">
      <c r="G61" s="1">
        <v>45423</v>
      </c>
      <c r="H61" t="s">
        <v>24</v>
      </c>
      <c r="J61" t="s">
        <v>18</v>
      </c>
      <c r="M61">
        <f t="shared" si="2"/>
        <v>0</v>
      </c>
      <c r="N61">
        <f t="shared" si="3"/>
        <v>-16.665778848549866</v>
      </c>
      <c r="P61">
        <v>11</v>
      </c>
    </row>
    <row r="62" spans="7:16" x14ac:dyDescent="0.35">
      <c r="G62" s="1">
        <v>45423</v>
      </c>
      <c r="H62" t="s">
        <v>17</v>
      </c>
      <c r="J62" t="s">
        <v>19</v>
      </c>
      <c r="M62">
        <f t="shared" si="2"/>
        <v>0</v>
      </c>
      <c r="N62">
        <f t="shared" si="3"/>
        <v>8.9156929459417213</v>
      </c>
      <c r="P62">
        <v>11</v>
      </c>
    </row>
    <row r="63" spans="7:16" x14ac:dyDescent="0.35">
      <c r="G63" s="1">
        <v>45423</v>
      </c>
      <c r="H63" t="s">
        <v>20</v>
      </c>
      <c r="J63" t="s">
        <v>25</v>
      </c>
      <c r="M63">
        <f t="shared" si="2"/>
        <v>0</v>
      </c>
      <c r="N63">
        <f t="shared" si="3"/>
        <v>-2.9921599144961237</v>
      </c>
      <c r="P63">
        <v>11</v>
      </c>
    </row>
    <row r="64" spans="7:16" x14ac:dyDescent="0.35">
      <c r="G64" s="1">
        <v>45430</v>
      </c>
      <c r="H64" t="s">
        <v>27</v>
      </c>
      <c r="J64" t="s">
        <v>16</v>
      </c>
      <c r="M64">
        <f t="shared" si="2"/>
        <v>0</v>
      </c>
      <c r="N64">
        <f t="shared" si="3"/>
        <v>-21.433164355260491</v>
      </c>
      <c r="P64">
        <v>12</v>
      </c>
    </row>
    <row r="65" spans="7:16" x14ac:dyDescent="0.35">
      <c r="G65" s="1">
        <v>45430</v>
      </c>
      <c r="H65" t="s">
        <v>20</v>
      </c>
      <c r="J65" t="s">
        <v>18</v>
      </c>
      <c r="M65">
        <f t="shared" si="2"/>
        <v>0</v>
      </c>
      <c r="N65">
        <f t="shared" si="3"/>
        <v>-6.5596448846114566</v>
      </c>
      <c r="P65">
        <v>12</v>
      </c>
    </row>
    <row r="66" spans="7:16" x14ac:dyDescent="0.35">
      <c r="G66" s="1">
        <v>45430</v>
      </c>
      <c r="H66" t="s">
        <v>19</v>
      </c>
      <c r="J66" t="s">
        <v>21</v>
      </c>
      <c r="M66">
        <f t="shared" si="2"/>
        <v>0</v>
      </c>
      <c r="N66">
        <f t="shared" si="3"/>
        <v>3.2769270786602811</v>
      </c>
      <c r="P66">
        <v>12</v>
      </c>
    </row>
    <row r="67" spans="7:16" x14ac:dyDescent="0.35">
      <c r="G67" s="1">
        <v>45431</v>
      </c>
      <c r="H67" t="s">
        <v>26</v>
      </c>
      <c r="J67" t="s">
        <v>23</v>
      </c>
      <c r="M67">
        <f t="shared" si="2"/>
        <v>0</v>
      </c>
      <c r="N67">
        <f t="shared" si="3"/>
        <v>-5.2277307660359389</v>
      </c>
      <c r="P67">
        <v>12</v>
      </c>
    </row>
    <row r="68" spans="7:16" x14ac:dyDescent="0.35">
      <c r="G68" s="1">
        <v>45431</v>
      </c>
      <c r="H68" t="s">
        <v>24</v>
      </c>
      <c r="J68" t="s">
        <v>22</v>
      </c>
      <c r="M68">
        <f t="shared" si="2"/>
        <v>0</v>
      </c>
      <c r="N68">
        <f t="shared" si="3"/>
        <v>-11.510230494485121</v>
      </c>
      <c r="P68">
        <v>12</v>
      </c>
    </row>
    <row r="69" spans="7:16" x14ac:dyDescent="0.35">
      <c r="G69" s="1">
        <v>45436</v>
      </c>
      <c r="H69" t="s">
        <v>17</v>
      </c>
      <c r="J69" t="s">
        <v>24</v>
      </c>
      <c r="M69">
        <f t="shared" si="2"/>
        <v>0</v>
      </c>
      <c r="N69">
        <f t="shared" si="3"/>
        <v>17.163556729466546</v>
      </c>
      <c r="P69">
        <v>13</v>
      </c>
    </row>
    <row r="70" spans="7:16" x14ac:dyDescent="0.35">
      <c r="G70" s="1">
        <v>45437</v>
      </c>
      <c r="H70" t="s">
        <v>26</v>
      </c>
      <c r="J70" t="s">
        <v>25</v>
      </c>
      <c r="M70">
        <f t="shared" ref="M70:M101" si="5">K70-I70</f>
        <v>0</v>
      </c>
      <c r="N70">
        <f t="shared" si="3"/>
        <v>-9.3851377605565247</v>
      </c>
      <c r="P70">
        <v>13</v>
      </c>
    </row>
    <row r="71" spans="7:16" x14ac:dyDescent="0.35">
      <c r="G71" s="1">
        <v>45438</v>
      </c>
      <c r="H71" t="s">
        <v>18</v>
      </c>
      <c r="J71" t="s">
        <v>19</v>
      </c>
      <c r="M71">
        <f t="shared" si="5"/>
        <v>0</v>
      </c>
      <c r="N71">
        <f t="shared" si="3"/>
        <v>6.0919718477221245</v>
      </c>
      <c r="P71">
        <v>13</v>
      </c>
    </row>
    <row r="72" spans="7:16" x14ac:dyDescent="0.35">
      <c r="G72" s="1">
        <v>45438</v>
      </c>
      <c r="H72" t="s">
        <v>23</v>
      </c>
      <c r="J72" t="s">
        <v>27</v>
      </c>
      <c r="M72">
        <f t="shared" si="5"/>
        <v>0</v>
      </c>
      <c r="N72">
        <f t="shared" si="3"/>
        <v>-11.449441111037089</v>
      </c>
      <c r="P72">
        <v>13</v>
      </c>
    </row>
    <row r="73" spans="7:16" x14ac:dyDescent="0.35">
      <c r="G73" s="1">
        <v>45444</v>
      </c>
      <c r="H73" t="s">
        <v>16</v>
      </c>
      <c r="J73" t="s">
        <v>17</v>
      </c>
      <c r="M73">
        <f t="shared" si="5"/>
        <v>0</v>
      </c>
      <c r="N73">
        <f t="shared" si="3"/>
        <v>18.845077577487679</v>
      </c>
      <c r="P73">
        <v>14</v>
      </c>
    </row>
    <row r="74" spans="7:16" x14ac:dyDescent="0.35">
      <c r="G74" s="1">
        <v>45444</v>
      </c>
      <c r="H74" t="s">
        <v>21</v>
      </c>
      <c r="J74" t="s">
        <v>18</v>
      </c>
      <c r="M74">
        <f t="shared" si="5"/>
        <v>0</v>
      </c>
      <c r="N74">
        <f t="shared" si="3"/>
        <v>-12.857813752336785</v>
      </c>
      <c r="P74">
        <v>14</v>
      </c>
    </row>
    <row r="75" spans="7:16" x14ac:dyDescent="0.35">
      <c r="G75" s="1">
        <v>45444</v>
      </c>
      <c r="H75" t="s">
        <v>23</v>
      </c>
      <c r="J75" t="s">
        <v>20</v>
      </c>
      <c r="M75">
        <f t="shared" si="5"/>
        <v>0</v>
      </c>
      <c r="N75">
        <f t="shared" si="3"/>
        <v>-3.4911902973273836</v>
      </c>
      <c r="P75">
        <v>14</v>
      </c>
    </row>
    <row r="76" spans="7:16" x14ac:dyDescent="0.35">
      <c r="G76" s="1">
        <v>45445</v>
      </c>
      <c r="H76" t="s">
        <v>22</v>
      </c>
      <c r="J76" t="s">
        <v>26</v>
      </c>
      <c r="M76">
        <f t="shared" si="5"/>
        <v>0</v>
      </c>
      <c r="N76">
        <f t="shared" si="3"/>
        <v>5.47113115930419</v>
      </c>
      <c r="P76">
        <v>14</v>
      </c>
    </row>
    <row r="77" spans="7:16" x14ac:dyDescent="0.35">
      <c r="G77" s="1">
        <v>45445</v>
      </c>
      <c r="H77" t="s">
        <v>25</v>
      </c>
      <c r="J77" t="s">
        <v>27</v>
      </c>
      <c r="M77">
        <f t="shared" si="5"/>
        <v>0</v>
      </c>
      <c r="N77">
        <f t="shared" si="3"/>
        <v>-7.2920341165165024</v>
      </c>
      <c r="P77">
        <v>14</v>
      </c>
    </row>
    <row r="78" spans="7:16" x14ac:dyDescent="0.35">
      <c r="G78" s="1">
        <v>45451</v>
      </c>
      <c r="H78" t="s">
        <v>26</v>
      </c>
      <c r="J78" t="s">
        <v>17</v>
      </c>
      <c r="M78">
        <f t="shared" si="5"/>
        <v>0</v>
      </c>
      <c r="N78">
        <f t="shared" si="3"/>
        <v>-15.776343828891456</v>
      </c>
      <c r="P78">
        <v>15</v>
      </c>
    </row>
    <row r="79" spans="7:16" x14ac:dyDescent="0.35">
      <c r="G79" s="1">
        <v>45451</v>
      </c>
      <c r="H79" t="s">
        <v>27</v>
      </c>
      <c r="J79" t="s">
        <v>21</v>
      </c>
      <c r="M79">
        <f t="shared" si="5"/>
        <v>0</v>
      </c>
      <c r="N79">
        <f t="shared" si="3"/>
        <v>13.093448072783573</v>
      </c>
      <c r="P79">
        <v>15</v>
      </c>
    </row>
    <row r="80" spans="7:16" x14ac:dyDescent="0.35">
      <c r="G80" s="1">
        <v>45452</v>
      </c>
      <c r="H80" t="s">
        <v>16</v>
      </c>
      <c r="J80" t="s">
        <v>23</v>
      </c>
      <c r="M80">
        <f t="shared" si="5"/>
        <v>0</v>
      </c>
      <c r="N80">
        <f t="shared" si="3"/>
        <v>29.393690640343198</v>
      </c>
      <c r="P80">
        <v>15</v>
      </c>
    </row>
    <row r="81" spans="7:16" x14ac:dyDescent="0.35">
      <c r="G81" s="1">
        <v>45452</v>
      </c>
      <c r="H81" t="s">
        <v>18</v>
      </c>
      <c r="J81" t="s">
        <v>25</v>
      </c>
      <c r="M81">
        <f t="shared" si="5"/>
        <v>0</v>
      </c>
      <c r="N81">
        <f t="shared" si="3"/>
        <v>2.4045133614638723</v>
      </c>
      <c r="P81">
        <v>15</v>
      </c>
    </row>
    <row r="82" spans="7:16" x14ac:dyDescent="0.35">
      <c r="G82" s="1">
        <v>45452</v>
      </c>
      <c r="H82" t="s">
        <v>19</v>
      </c>
      <c r="J82" t="s">
        <v>22</v>
      </c>
      <c r="M82">
        <f t="shared" si="5"/>
        <v>0</v>
      </c>
      <c r="N82">
        <f t="shared" si="3"/>
        <v>-3.2623667109602974</v>
      </c>
      <c r="P82">
        <v>15</v>
      </c>
    </row>
    <row r="83" spans="7:16" x14ac:dyDescent="0.35">
      <c r="G83" s="1">
        <v>45452</v>
      </c>
      <c r="H83" t="s">
        <v>20</v>
      </c>
      <c r="J83" t="s">
        <v>24</v>
      </c>
      <c r="M83">
        <f t="shared" si="5"/>
        <v>0</v>
      </c>
      <c r="N83">
        <f t="shared" si="3"/>
        <v>8.943162355286951</v>
      </c>
      <c r="P83">
        <v>15</v>
      </c>
    </row>
    <row r="84" spans="7:16" x14ac:dyDescent="0.35">
      <c r="G84" s="1">
        <v>45457</v>
      </c>
      <c r="H84" t="s">
        <v>17</v>
      </c>
      <c r="J84" t="s">
        <v>22</v>
      </c>
      <c r="M84">
        <f t="shared" si="5"/>
        <v>0</v>
      </c>
      <c r="N84">
        <f t="shared" si="3"/>
        <v>6.8162978436328849</v>
      </c>
      <c r="P84">
        <v>16</v>
      </c>
    </row>
    <row r="85" spans="7:16" x14ac:dyDescent="0.35">
      <c r="G85" s="1">
        <v>45458</v>
      </c>
      <c r="H85" t="s">
        <v>23</v>
      </c>
      <c r="J85" t="s">
        <v>19</v>
      </c>
      <c r="M85">
        <f t="shared" si="5"/>
        <v>0</v>
      </c>
      <c r="N85">
        <f t="shared" si="3"/>
        <v>-1.6329201169137955</v>
      </c>
      <c r="P85">
        <v>16</v>
      </c>
    </row>
    <row r="86" spans="7:16" x14ac:dyDescent="0.35">
      <c r="G86" s="1">
        <v>45458</v>
      </c>
      <c r="H86" t="s">
        <v>24</v>
      </c>
      <c r="J86" t="s">
        <v>21</v>
      </c>
      <c r="M86">
        <f t="shared" si="5"/>
        <v>0</v>
      </c>
      <c r="N86">
        <f t="shared" si="3"/>
        <v>-4.9709367048645419</v>
      </c>
      <c r="P86">
        <v>16</v>
      </c>
    </row>
    <row r="87" spans="7:16" x14ac:dyDescent="0.35">
      <c r="G87" s="1">
        <v>45459</v>
      </c>
      <c r="H87" t="s">
        <v>20</v>
      </c>
      <c r="J87" t="s">
        <v>26</v>
      </c>
      <c r="M87">
        <f t="shared" si="5"/>
        <v>0</v>
      </c>
      <c r="N87">
        <f t="shared" si="3"/>
        <v>5.2300062374089418</v>
      </c>
      <c r="P87">
        <v>16</v>
      </c>
    </row>
    <row r="88" spans="7:16" x14ac:dyDescent="0.35">
      <c r="G88" s="1">
        <v>45459</v>
      </c>
      <c r="H88" t="s">
        <v>25</v>
      </c>
      <c r="J88" t="s">
        <v>16</v>
      </c>
      <c r="M88">
        <f t="shared" si="5"/>
        <v>0</v>
      </c>
      <c r="N88">
        <f t="shared" si="3"/>
        <v>-27.562226863125531</v>
      </c>
      <c r="P88">
        <v>16</v>
      </c>
    </row>
    <row r="89" spans="7:16" x14ac:dyDescent="0.35">
      <c r="G89" s="1">
        <v>45459</v>
      </c>
      <c r="H89" t="s">
        <v>18</v>
      </c>
      <c r="J89" t="s">
        <v>27</v>
      </c>
      <c r="M89">
        <f t="shared" si="5"/>
        <v>0</v>
      </c>
      <c r="N89">
        <f t="shared" si="3"/>
        <v>-3.7245491464011695</v>
      </c>
      <c r="P89">
        <v>16</v>
      </c>
    </row>
    <row r="90" spans="7:16" x14ac:dyDescent="0.35">
      <c r="G90" s="1">
        <v>45465</v>
      </c>
      <c r="H90" t="s">
        <v>26</v>
      </c>
      <c r="J90" t="s">
        <v>18</v>
      </c>
      <c r="M90">
        <f t="shared" si="5"/>
        <v>0</v>
      </c>
      <c r="N90">
        <f t="shared" si="3"/>
        <v>-12.952622730671859</v>
      </c>
      <c r="P90">
        <v>17</v>
      </c>
    </row>
    <row r="91" spans="7:16" x14ac:dyDescent="0.35">
      <c r="G91" s="1">
        <v>45465</v>
      </c>
      <c r="H91" t="s">
        <v>19</v>
      </c>
      <c r="J91" t="s">
        <v>16</v>
      </c>
      <c r="M91">
        <f t="shared" si="5"/>
        <v>0</v>
      </c>
      <c r="N91">
        <f t="shared" si="3"/>
        <v>-31.249685349383782</v>
      </c>
      <c r="P91">
        <v>17</v>
      </c>
    </row>
    <row r="92" spans="7:16" x14ac:dyDescent="0.35">
      <c r="G92" s="1">
        <v>45465</v>
      </c>
      <c r="H92" t="s">
        <v>17</v>
      </c>
      <c r="J92" t="s">
        <v>25</v>
      </c>
      <c r="M92">
        <f t="shared" si="5"/>
        <v>0</v>
      </c>
      <c r="N92">
        <f t="shared" si="3"/>
        <v>5.2282344596834704</v>
      </c>
      <c r="P92">
        <v>17</v>
      </c>
    </row>
    <row r="93" spans="7:16" x14ac:dyDescent="0.35">
      <c r="G93" s="1">
        <v>45465</v>
      </c>
      <c r="H93" t="s">
        <v>22</v>
      </c>
      <c r="J93" t="s">
        <v>20</v>
      </c>
      <c r="M93">
        <f t="shared" si="5"/>
        <v>0</v>
      </c>
      <c r="N93">
        <f t="shared" si="3"/>
        <v>-0.9218466867562114</v>
      </c>
      <c r="P93">
        <v>17</v>
      </c>
    </row>
    <row r="94" spans="7:16" x14ac:dyDescent="0.35">
      <c r="G94" s="1">
        <v>45465</v>
      </c>
      <c r="H94" t="s">
        <v>27</v>
      </c>
      <c r="J94" t="s">
        <v>24</v>
      </c>
      <c r="M94">
        <f t="shared" si="5"/>
        <v>0</v>
      </c>
      <c r="N94">
        <f t="shared" si="3"/>
        <v>16.901413168996655</v>
      </c>
      <c r="P94">
        <v>17</v>
      </c>
    </row>
    <row r="95" spans="7:16" x14ac:dyDescent="0.35">
      <c r="G95" s="1">
        <v>45466</v>
      </c>
      <c r="H95" t="s">
        <v>21</v>
      </c>
      <c r="J95" t="s">
        <v>23</v>
      </c>
      <c r="M95">
        <f t="shared" si="5"/>
        <v>0</v>
      </c>
      <c r="N95">
        <f t="shared" si="3"/>
        <v>-5.1329217877008668</v>
      </c>
      <c r="P95">
        <v>17</v>
      </c>
    </row>
    <row r="96" spans="7:16" x14ac:dyDescent="0.35">
      <c r="G96" s="1">
        <v>45471</v>
      </c>
      <c r="H96" t="s">
        <v>27</v>
      </c>
      <c r="J96" t="s">
        <v>20</v>
      </c>
      <c r="M96">
        <f t="shared" si="5"/>
        <v>0</v>
      </c>
      <c r="N96">
        <f t="shared" si="3"/>
        <v>6.7952792050582449</v>
      </c>
      <c r="P96">
        <v>18</v>
      </c>
    </row>
    <row r="97" spans="7:16" x14ac:dyDescent="0.35">
      <c r="G97" s="1">
        <v>45472</v>
      </c>
      <c r="H97" t="s">
        <v>16</v>
      </c>
      <c r="J97" t="s">
        <v>26</v>
      </c>
      <c r="M97">
        <f t="shared" si="5"/>
        <v>0</v>
      </c>
      <c r="N97">
        <f t="shared" si="3"/>
        <v>33.458449797727674</v>
      </c>
      <c r="P97">
        <v>18</v>
      </c>
    </row>
    <row r="98" spans="7:16" x14ac:dyDescent="0.35">
      <c r="G98" s="1">
        <v>45472</v>
      </c>
      <c r="H98" t="s">
        <v>18</v>
      </c>
      <c r="J98" t="s">
        <v>17</v>
      </c>
      <c r="M98">
        <f t="shared" si="5"/>
        <v>0</v>
      </c>
      <c r="N98">
        <f t="shared" si="3"/>
        <v>-3.9866927068710587</v>
      </c>
      <c r="P98">
        <v>18</v>
      </c>
    </row>
    <row r="99" spans="7:16" x14ac:dyDescent="0.35">
      <c r="G99" s="1">
        <v>45472</v>
      </c>
      <c r="H99" t="s">
        <v>25</v>
      </c>
      <c r="J99" t="s">
        <v>19</v>
      </c>
      <c r="M99">
        <f t="shared" si="5"/>
        <v>0</v>
      </c>
      <c r="N99">
        <f t="shared" si="3"/>
        <v>2.5244868776067912</v>
      </c>
      <c r="P99">
        <v>18</v>
      </c>
    </row>
    <row r="100" spans="7:16" x14ac:dyDescent="0.35">
      <c r="G100" s="1">
        <v>45472</v>
      </c>
      <c r="H100" t="s">
        <v>22</v>
      </c>
      <c r="J100" t="s">
        <v>21</v>
      </c>
      <c r="M100">
        <f t="shared" si="5"/>
        <v>0</v>
      </c>
      <c r="N100">
        <f t="shared" si="3"/>
        <v>5.376322180969118</v>
      </c>
      <c r="P100">
        <v>18</v>
      </c>
    </row>
    <row r="101" spans="7:16" x14ac:dyDescent="0.35">
      <c r="G101" s="1">
        <v>45472</v>
      </c>
      <c r="H101" t="s">
        <v>24</v>
      </c>
      <c r="J101" t="s">
        <v>23</v>
      </c>
      <c r="M101">
        <f t="shared" si="5"/>
        <v>0</v>
      </c>
      <c r="N101">
        <f t="shared" si="3"/>
        <v>-8.9408868839139473</v>
      </c>
      <c r="P101">
        <v>18</v>
      </c>
    </row>
  </sheetData>
  <sortState xmlns:xlrd2="http://schemas.microsoft.com/office/spreadsheetml/2017/richdata2" ref="A6:E17">
    <sortCondition descending="1" ref="B6:B17"/>
  </sortState>
  <phoneticPr fontId="3" type="noConversion"/>
  <conditionalFormatting sqref="B6:B17">
    <cfRule type="colorScale" priority="1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6:C17">
    <cfRule type="colorScale" priority="1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E6:E17">
    <cfRule type="colorScale" priority="1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6:T17">
    <cfRule type="colorScale" priority="1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T6:U17 X6:AI17">
    <cfRule type="colorScale" priority="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R6:S17">
    <cfRule type="colorScale" priority="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V6:V17">
    <cfRule type="colorScale" priority="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W6:W17">
    <cfRule type="colorScale" priority="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D6:D17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56570-EF82-4794-B156-A00112AE24F4}">
  <dimension ref="B1:R101"/>
  <sheetViews>
    <sheetView topLeftCell="C33" zoomScale="130" zoomScaleNormal="130" workbookViewId="0">
      <selection activeCell="N56" sqref="N56"/>
    </sheetView>
  </sheetViews>
  <sheetFormatPr defaultColWidth="8.6328125" defaultRowHeight="14.5" x14ac:dyDescent="0.35"/>
  <cols>
    <col min="1" max="1" width="8.6328125" style="2"/>
    <col min="2" max="2" width="9.90625" style="2" customWidth="1"/>
    <col min="3" max="3" width="7.26953125" style="2" bestFit="1" customWidth="1"/>
    <col min="4" max="4" width="12" style="2" bestFit="1" customWidth="1"/>
    <col min="5" max="5" width="7.36328125" style="2" bestFit="1" customWidth="1"/>
    <col min="6" max="6" width="12" style="2" bestFit="1" customWidth="1"/>
    <col min="7" max="7" width="11.81640625" style="2" bestFit="1" customWidth="1"/>
    <col min="8" max="8" width="8.6328125" style="2"/>
    <col min="9" max="9" width="11.81640625" style="2" customWidth="1"/>
    <col min="10" max="10" width="17.36328125" style="2" customWidth="1"/>
    <col min="11" max="11" width="20.36328125" style="2" customWidth="1"/>
    <col min="12" max="12" width="14" style="5" customWidth="1"/>
    <col min="13" max="13" width="13.6328125" style="5" customWidth="1"/>
    <col min="14" max="14" width="16.1796875" style="2" customWidth="1"/>
    <col min="15" max="15" width="14.6328125" style="2" customWidth="1"/>
    <col min="16" max="16" width="8.81640625" style="2" bestFit="1" customWidth="1"/>
    <col min="17" max="16384" width="8.6328125" style="2"/>
  </cols>
  <sheetData>
    <row r="1" spans="2:16" x14ac:dyDescent="0.35">
      <c r="F1" s="2" t="s">
        <v>109</v>
      </c>
      <c r="G1" s="13">
        <v>-1.1629392553989228</v>
      </c>
    </row>
    <row r="2" spans="2:16" x14ac:dyDescent="0.35">
      <c r="F2" s="2" t="s">
        <v>110</v>
      </c>
      <c r="G2" s="2">
        <v>22.775367726934252</v>
      </c>
    </row>
    <row r="3" spans="2:16" x14ac:dyDescent="0.35">
      <c r="B3" s="2" t="s">
        <v>110</v>
      </c>
      <c r="D3" s="20" t="s">
        <v>124</v>
      </c>
      <c r="E3" s="14">
        <f>AVERAGE(E5:E16)</f>
        <v>-3.0420110874729289E-14</v>
      </c>
      <c r="F3" s="21" t="s">
        <v>123</v>
      </c>
      <c r="G3" s="14">
        <f>AVERAGE(G5:G16)</f>
        <v>1.2569576490761847E-8</v>
      </c>
      <c r="P3" s="2" t="s">
        <v>46</v>
      </c>
    </row>
    <row r="4" spans="2:16" x14ac:dyDescent="0.35">
      <c r="B4" s="19" t="s">
        <v>3</v>
      </c>
      <c r="C4" s="19" t="s">
        <v>113</v>
      </c>
      <c r="D4" s="19" t="s">
        <v>114</v>
      </c>
      <c r="E4" s="19" t="s">
        <v>111</v>
      </c>
      <c r="F4" s="19" t="s">
        <v>115</v>
      </c>
      <c r="G4" s="19" t="s">
        <v>112</v>
      </c>
      <c r="P4" s="2">
        <f>SUM(P6:P277)</f>
        <v>6983.3543071281438</v>
      </c>
    </row>
    <row r="5" spans="2:16" x14ac:dyDescent="0.35">
      <c r="B5" s="19" t="s">
        <v>24</v>
      </c>
      <c r="C5" s="16">
        <f t="shared" ref="C5:C16" si="0">E5-G5</f>
        <v>12.180071815950178</v>
      </c>
      <c r="D5" s="17">
        <f t="shared" ref="D5:D16" si="1">RANK(E5,$E$5:$E$16,0)</f>
        <v>2</v>
      </c>
      <c r="E5" s="15">
        <v>6.3595695453925023</v>
      </c>
      <c r="F5" s="17">
        <f t="shared" ref="F5:F16" si="2">RANK(G5,$G$5:$G$16,1)</f>
        <v>1</v>
      </c>
      <c r="G5" s="15">
        <v>-5.8205022705576761</v>
      </c>
      <c r="I5" s="2" t="s">
        <v>116</v>
      </c>
      <c r="J5" s="2" t="s">
        <v>117</v>
      </c>
      <c r="K5" s="2" t="s">
        <v>118</v>
      </c>
      <c r="L5" s="2" t="s">
        <v>119</v>
      </c>
      <c r="M5" s="2" t="s">
        <v>120</v>
      </c>
      <c r="N5" s="2" t="s">
        <v>121</v>
      </c>
      <c r="O5" s="2" t="s">
        <v>122</v>
      </c>
      <c r="P5" s="2" t="s">
        <v>15</v>
      </c>
    </row>
    <row r="6" spans="2:16" x14ac:dyDescent="0.35">
      <c r="B6" s="19" t="s">
        <v>26</v>
      </c>
      <c r="C6" s="16">
        <f t="shared" si="0"/>
        <v>8.4669026410498986</v>
      </c>
      <c r="D6" s="17">
        <f t="shared" si="1"/>
        <v>5</v>
      </c>
      <c r="E6" s="15">
        <v>2.6948001048821109</v>
      </c>
      <c r="F6" s="17">
        <f t="shared" si="2"/>
        <v>2</v>
      </c>
      <c r="G6" s="15">
        <v>-5.7721025361677887</v>
      </c>
      <c r="I6" s="1">
        <v>45353</v>
      </c>
      <c r="J6" t="s">
        <v>18</v>
      </c>
      <c r="K6" t="s">
        <v>17</v>
      </c>
      <c r="L6" s="5">
        <v>18</v>
      </c>
      <c r="M6" s="5">
        <v>6</v>
      </c>
      <c r="N6" s="2">
        <f t="shared" ref="N6:N48" si="3">IFERROR(mean+0.5*Home_edge+VLOOKUP(J6,$B$5:$G$16,4,FALSE)+VLOOKUP(K6,$B$5:$G$16,6,FALSE),"")</f>
        <v>17.79402035643362</v>
      </c>
      <c r="O6" s="2">
        <f t="shared" ref="O6:O48" si="4">IFERROR(mean-0.5*Home_edge+VLOOKUP(K6,$B$5:$G$16,4,FALSE)+VLOOKUP(J6,$B$5:$G$16,6,FALSE),"")</f>
        <v>16.131669888855534</v>
      </c>
      <c r="P6" s="2">
        <f>IFERROR((N6-L6)^2+(O6-M6)^2,"")</f>
        <v>102.69316235030563</v>
      </c>
    </row>
    <row r="7" spans="2:16" x14ac:dyDescent="0.35">
      <c r="B7" s="19" t="s">
        <v>21</v>
      </c>
      <c r="C7" s="16">
        <f t="shared" si="0"/>
        <v>8.3724952023133081</v>
      </c>
      <c r="D7" s="17">
        <f t="shared" si="1"/>
        <v>1</v>
      </c>
      <c r="E7" s="15">
        <v>6.8816646846731437</v>
      </c>
      <c r="F7" s="17">
        <f t="shared" si="2"/>
        <v>6</v>
      </c>
      <c r="G7" s="15">
        <v>-1.4908305176401644</v>
      </c>
      <c r="I7" s="1">
        <v>45353</v>
      </c>
      <c r="J7" t="s">
        <v>21</v>
      </c>
      <c r="K7" t="s">
        <v>20</v>
      </c>
      <c r="L7" s="5">
        <v>22</v>
      </c>
      <c r="M7" s="5">
        <v>15</v>
      </c>
      <c r="N7" s="2">
        <f t="shared" si="3"/>
        <v>23.637758536514557</v>
      </c>
      <c r="O7" s="2">
        <f t="shared" si="4"/>
        <v>18.500955771174958</v>
      </c>
      <c r="P7" s="2">
        <f t="shared" ref="P7:P48" si="5">IFERROR((N7-L7)^2+(O7-M7)^2,"")</f>
        <v>14.938944335649548</v>
      </c>
    </row>
    <row r="8" spans="2:16" x14ac:dyDescent="0.35">
      <c r="B8" s="19" t="s">
        <v>23</v>
      </c>
      <c r="C8" s="16">
        <f t="shared" si="0"/>
        <v>4.4040970306679776</v>
      </c>
      <c r="D8" s="17">
        <f t="shared" si="1"/>
        <v>6</v>
      </c>
      <c r="E8" s="15">
        <v>0.13057564426298426</v>
      </c>
      <c r="F8" s="17">
        <f t="shared" si="2"/>
        <v>4</v>
      </c>
      <c r="G8" s="15">
        <v>-4.273521386404993</v>
      </c>
      <c r="I8" s="1">
        <v>45353</v>
      </c>
      <c r="J8" t="s">
        <v>24</v>
      </c>
      <c r="K8" t="s">
        <v>23</v>
      </c>
      <c r="L8" s="5">
        <v>25</v>
      </c>
      <c r="M8" s="5">
        <v>19</v>
      </c>
      <c r="N8" s="2">
        <f t="shared" si="3"/>
        <v>24.279946258222299</v>
      </c>
      <c r="O8" s="2">
        <f t="shared" si="4"/>
        <v>17.666910728339023</v>
      </c>
      <c r="P8" s="2">
        <f t="shared" si="5"/>
        <v>2.295604397265663</v>
      </c>
    </row>
    <row r="9" spans="2:16" x14ac:dyDescent="0.35">
      <c r="B9" s="19" t="s">
        <v>19</v>
      </c>
      <c r="C9" s="16">
        <f t="shared" si="0"/>
        <v>3.9328243801455005</v>
      </c>
      <c r="D9" s="17">
        <f t="shared" si="1"/>
        <v>3</v>
      </c>
      <c r="E9" s="15">
        <v>4.4013953056842823</v>
      </c>
      <c r="F9" s="17">
        <f t="shared" si="2"/>
        <v>9</v>
      </c>
      <c r="G9" s="15">
        <v>0.46857092553878177</v>
      </c>
      <c r="I9" s="1">
        <v>45354</v>
      </c>
      <c r="J9" t="s">
        <v>25</v>
      </c>
      <c r="K9" t="s">
        <v>19</v>
      </c>
      <c r="L9" s="5">
        <v>19</v>
      </c>
      <c r="M9" s="5">
        <v>23</v>
      </c>
      <c r="N9" s="2">
        <f t="shared" si="3"/>
        <v>18.815250038591035</v>
      </c>
      <c r="O9" s="2">
        <f t="shared" si="4"/>
        <v>23.667666190529797</v>
      </c>
      <c r="P9" s="2">
        <f t="shared" si="5"/>
        <v>0.47991069021718508</v>
      </c>
    </row>
    <row r="10" spans="2:16" x14ac:dyDescent="0.35">
      <c r="B10" s="19" t="s">
        <v>20</v>
      </c>
      <c r="C10" s="16">
        <f t="shared" si="0"/>
        <v>2.0727531815747864</v>
      </c>
      <c r="D10" s="17">
        <f t="shared" si="1"/>
        <v>8</v>
      </c>
      <c r="E10" s="15">
        <v>-3.3650510658185904</v>
      </c>
      <c r="F10" s="17">
        <f t="shared" si="2"/>
        <v>3</v>
      </c>
      <c r="G10" s="15">
        <v>-5.4378042473933768</v>
      </c>
      <c r="I10" s="1">
        <v>45354</v>
      </c>
      <c r="J10" t="s">
        <v>16</v>
      </c>
      <c r="K10" t="s">
        <v>26</v>
      </c>
      <c r="L10" s="5">
        <v>13</v>
      </c>
      <c r="M10" s="5">
        <v>46</v>
      </c>
      <c r="N10" s="2">
        <f t="shared" si="3"/>
        <v>13.406408375348335</v>
      </c>
      <c r="O10" s="2">
        <f t="shared" si="4"/>
        <v>49.18932737468235</v>
      </c>
      <c r="P10" s="2">
        <f t="shared" si="5"/>
        <v>10.336976870451482</v>
      </c>
    </row>
    <row r="11" spans="2:16" x14ac:dyDescent="0.35">
      <c r="B11" s="19" t="s">
        <v>22</v>
      </c>
      <c r="C11" s="16">
        <f t="shared" si="0"/>
        <v>1.8314840683368854</v>
      </c>
      <c r="D11" s="17">
        <f t="shared" si="1"/>
        <v>4</v>
      </c>
      <c r="E11" s="15">
        <v>3.6960678038012289</v>
      </c>
      <c r="F11" s="17">
        <f t="shared" si="2"/>
        <v>10</v>
      </c>
      <c r="G11" s="15">
        <v>1.8645837354643435</v>
      </c>
      <c r="I11" s="1">
        <v>45354</v>
      </c>
      <c r="J11" t="s">
        <v>27</v>
      </c>
      <c r="K11" t="s">
        <v>22</v>
      </c>
      <c r="L11" s="5">
        <v>29</v>
      </c>
      <c r="M11" s="5">
        <v>32</v>
      </c>
      <c r="N11" s="2">
        <f t="shared" si="3"/>
        <v>20.668444054213641</v>
      </c>
      <c r="O11" s="2">
        <f t="shared" si="4"/>
        <v>29.546055301140434</v>
      </c>
      <c r="P11" s="2">
        <f t="shared" si="5"/>
        <v>75.436669062828997</v>
      </c>
    </row>
    <row r="12" spans="2:16" x14ac:dyDescent="0.35">
      <c r="B12" s="19" t="s">
        <v>25</v>
      </c>
      <c r="C12" s="16">
        <f t="shared" si="0"/>
        <v>0.24334748360566127</v>
      </c>
      <c r="D12" s="17">
        <f t="shared" si="1"/>
        <v>11</v>
      </c>
      <c r="E12" s="15">
        <v>-3.8472189861825381</v>
      </c>
      <c r="F12" s="17">
        <f t="shared" si="2"/>
        <v>5</v>
      </c>
      <c r="G12" s="15">
        <v>-4.0905664697881994</v>
      </c>
      <c r="I12" s="1">
        <v>45360</v>
      </c>
      <c r="J12" t="s">
        <v>26</v>
      </c>
      <c r="K12" t="s">
        <v>17</v>
      </c>
      <c r="L12" s="5">
        <v>34</v>
      </c>
      <c r="M12" s="5">
        <v>35</v>
      </c>
      <c r="N12" s="2">
        <f t="shared" si="3"/>
        <v>24.310686363483821</v>
      </c>
      <c r="O12" s="2">
        <f t="shared" si="4"/>
        <v>10.860222652142692</v>
      </c>
      <c r="P12" s="2">
        <f t="shared" si="5"/>
        <v>676.61164915090319</v>
      </c>
    </row>
    <row r="13" spans="2:16" x14ac:dyDescent="0.35">
      <c r="B13" s="19" t="s">
        <v>18</v>
      </c>
      <c r="C13" s="16">
        <f t="shared" si="0"/>
        <v>-3.3212106027131432</v>
      </c>
      <c r="D13" s="17">
        <f t="shared" si="1"/>
        <v>10</v>
      </c>
      <c r="E13" s="15">
        <v>-3.8218659021680921</v>
      </c>
      <c r="F13" s="17">
        <f t="shared" si="2"/>
        <v>8</v>
      </c>
      <c r="G13" s="15">
        <v>-0.5006552994549488</v>
      </c>
      <c r="I13" s="1">
        <v>45360</v>
      </c>
      <c r="J13" t="s">
        <v>18</v>
      </c>
      <c r="K13" t="s">
        <v>16</v>
      </c>
      <c r="L13" s="5">
        <v>34</v>
      </c>
      <c r="M13" s="5">
        <v>19</v>
      </c>
      <c r="N13" s="2">
        <f t="shared" si="3"/>
        <v>41.50972211223322</v>
      </c>
      <c r="O13" s="2">
        <f t="shared" si="4"/>
        <v>19.840794867460101</v>
      </c>
      <c r="P13" s="2">
        <f t="shared" si="5"/>
        <v>57.102862212111823</v>
      </c>
    </row>
    <row r="14" spans="2:16" x14ac:dyDescent="0.35">
      <c r="B14" s="19" t="s">
        <v>27</v>
      </c>
      <c r="C14" s="16">
        <f t="shared" si="0"/>
        <v>-5.8831879231909845</v>
      </c>
      <c r="D14" s="17">
        <f t="shared" si="1"/>
        <v>9</v>
      </c>
      <c r="E14" s="15">
        <v>-3.390037780485494</v>
      </c>
      <c r="F14" s="17">
        <f t="shared" si="2"/>
        <v>11</v>
      </c>
      <c r="G14" s="15">
        <v>2.4931501427054905</v>
      </c>
      <c r="I14" s="1">
        <v>45360</v>
      </c>
      <c r="J14" t="s">
        <v>20</v>
      </c>
      <c r="K14" t="s">
        <v>19</v>
      </c>
      <c r="L14" s="5">
        <v>29</v>
      </c>
      <c r="M14" s="5">
        <v>15</v>
      </c>
      <c r="N14" s="2">
        <f t="shared" si="3"/>
        <v>19.297417958954981</v>
      </c>
      <c r="O14" s="2">
        <f t="shared" si="4"/>
        <v>22.32042841292462</v>
      </c>
      <c r="P14" s="2">
        <f t="shared" si="5"/>
        <v>147.72877041196341</v>
      </c>
    </row>
    <row r="15" spans="2:16" x14ac:dyDescent="0.35">
      <c r="B15" s="19" t="s">
        <v>17</v>
      </c>
      <c r="C15" s="16">
        <f t="shared" si="0"/>
        <v>-6.1465003256901536</v>
      </c>
      <c r="D15" s="17">
        <f t="shared" si="1"/>
        <v>12</v>
      </c>
      <c r="E15" s="15">
        <v>-6.7245121663232315</v>
      </c>
      <c r="F15" s="17">
        <f t="shared" si="2"/>
        <v>7</v>
      </c>
      <c r="G15" s="15">
        <v>-0.57801184063307798</v>
      </c>
      <c r="I15" s="1">
        <v>45360</v>
      </c>
      <c r="J15" t="s">
        <v>24</v>
      </c>
      <c r="K15" t="s">
        <v>25</v>
      </c>
      <c r="L15" s="5">
        <v>29</v>
      </c>
      <c r="M15" s="5">
        <v>18</v>
      </c>
      <c r="N15" s="2">
        <f t="shared" si="3"/>
        <v>24.462901174839093</v>
      </c>
      <c r="O15" s="2">
        <f t="shared" si="4"/>
        <v>13.689116097893503</v>
      </c>
      <c r="P15" s="2">
        <f t="shared" si="5"/>
        <v>39.168985766717419</v>
      </c>
    </row>
    <row r="16" spans="2:16" x14ac:dyDescent="0.35">
      <c r="B16" s="19" t="s">
        <v>16</v>
      </c>
      <c r="C16" s="16">
        <f t="shared" si="0"/>
        <v>-26.153077102885192</v>
      </c>
      <c r="D16" s="17">
        <f t="shared" si="1"/>
        <v>7</v>
      </c>
      <c r="E16" s="15">
        <v>-3.0153871877186651</v>
      </c>
      <c r="F16" s="17">
        <f t="shared" si="2"/>
        <v>12</v>
      </c>
      <c r="G16" s="15">
        <v>23.137689915166526</v>
      </c>
      <c r="I16" s="1">
        <v>45361</v>
      </c>
      <c r="J16" t="s">
        <v>22</v>
      </c>
      <c r="K16" t="s">
        <v>23</v>
      </c>
      <c r="L16" s="5">
        <v>23</v>
      </c>
      <c r="M16" s="5">
        <v>30</v>
      </c>
      <c r="N16" s="2">
        <f t="shared" si="3"/>
        <v>21.616444516631024</v>
      </c>
      <c r="O16" s="2">
        <f t="shared" si="4"/>
        <v>25.351996734361041</v>
      </c>
      <c r="P16" s="2">
        <f t="shared" si="5"/>
        <v>23.518160132950786</v>
      </c>
    </row>
    <row r="17" spans="2:16" x14ac:dyDescent="0.35">
      <c r="C17" s="18"/>
      <c r="D17" s="18"/>
      <c r="E17" s="14"/>
      <c r="I17" s="1">
        <v>45361</v>
      </c>
      <c r="J17" t="s">
        <v>27</v>
      </c>
      <c r="K17" t="s">
        <v>21</v>
      </c>
      <c r="L17" s="5">
        <v>12</v>
      </c>
      <c r="M17" s="5">
        <v>27</v>
      </c>
      <c r="N17" s="2">
        <f t="shared" si="3"/>
        <v>17.313029801109131</v>
      </c>
      <c r="O17" s="2">
        <f t="shared" si="4"/>
        <v>32.731652182012347</v>
      </c>
      <c r="P17" s="2">
        <f t="shared" si="5"/>
        <v>61.080122403040633</v>
      </c>
    </row>
    <row r="18" spans="2:16" x14ac:dyDescent="0.35">
      <c r="C18" s="18"/>
      <c r="D18" s="18"/>
      <c r="E18" s="14"/>
      <c r="I18" s="1">
        <v>45367</v>
      </c>
      <c r="J18" t="s">
        <v>26</v>
      </c>
      <c r="K18" t="s">
        <v>18</v>
      </c>
      <c r="L18" s="5">
        <v>27</v>
      </c>
      <c r="M18" s="5">
        <v>21</v>
      </c>
      <c r="N18" s="2">
        <f t="shared" si="3"/>
        <v>24.388042904661951</v>
      </c>
      <c r="O18" s="2">
        <f t="shared" si="4"/>
        <v>13.762868916297833</v>
      </c>
      <c r="P18" s="2">
        <f t="shared" si="5"/>
        <v>59.198386190574873</v>
      </c>
    </row>
    <row r="19" spans="2:16" x14ac:dyDescent="0.35">
      <c r="C19" s="18"/>
      <c r="D19" s="18"/>
      <c r="E19" s="14"/>
      <c r="I19" s="1">
        <v>45367</v>
      </c>
      <c r="J19" t="s">
        <v>17</v>
      </c>
      <c r="K19" t="s">
        <v>19</v>
      </c>
      <c r="L19" s="5">
        <v>22</v>
      </c>
      <c r="M19" s="5">
        <v>22</v>
      </c>
      <c r="N19" s="2">
        <f t="shared" si="3"/>
        <v>15.93795685845034</v>
      </c>
      <c r="O19" s="2">
        <f t="shared" si="4"/>
        <v>27.180220819684919</v>
      </c>
      <c r="P19" s="2">
        <f t="shared" si="5"/>
        <v>63.58305479070637</v>
      </c>
    </row>
    <row r="20" spans="2:16" x14ac:dyDescent="0.35">
      <c r="C20" s="18" t="s">
        <v>125</v>
      </c>
      <c r="D20" s="18" t="s">
        <v>126</v>
      </c>
      <c r="E20" s="14"/>
      <c r="I20" s="1">
        <v>45367</v>
      </c>
      <c r="J20" t="s">
        <v>21</v>
      </c>
      <c r="K20" t="s">
        <v>25</v>
      </c>
      <c r="L20" s="5">
        <v>30</v>
      </c>
      <c r="M20" s="5">
        <v>19</v>
      </c>
      <c r="N20" s="2">
        <f t="shared" si="3"/>
        <v>24.984996314119734</v>
      </c>
      <c r="O20" s="2">
        <f t="shared" si="4"/>
        <v>18.018787850811016</v>
      </c>
      <c r="P20" s="2">
        <f t="shared" si="5"/>
        <v>26.113039251108724</v>
      </c>
    </row>
    <row r="21" spans="2:16" x14ac:dyDescent="0.35">
      <c r="B21" s="19" t="s">
        <v>24</v>
      </c>
      <c r="C21" s="15">
        <v>7.6176142169948822</v>
      </c>
      <c r="D21" s="15">
        <f t="shared" ref="D21:D32" si="6">-F21</f>
        <v>3.7811879506992856</v>
      </c>
      <c r="E21" s="2">
        <v>12</v>
      </c>
      <c r="F21" s="15">
        <v>-3.7811879506992856</v>
      </c>
      <c r="I21" s="1">
        <v>45367</v>
      </c>
      <c r="J21" t="s">
        <v>20</v>
      </c>
      <c r="K21" t="s">
        <v>24</v>
      </c>
      <c r="L21" s="5">
        <v>13</v>
      </c>
      <c r="M21" s="5">
        <v>23</v>
      </c>
      <c r="N21" s="2">
        <f t="shared" si="3"/>
        <v>13.008344762858524</v>
      </c>
      <c r="O21" s="2">
        <f t="shared" si="4"/>
        <v>24.278602652632841</v>
      </c>
      <c r="P21" s="2">
        <f t="shared" si="5"/>
        <v>1.6348943783869032</v>
      </c>
    </row>
    <row r="22" spans="2:16" x14ac:dyDescent="0.35">
      <c r="B22" s="19" t="s">
        <v>26</v>
      </c>
      <c r="C22" s="15">
        <v>4.1257420034587469</v>
      </c>
      <c r="D22" s="15">
        <f t="shared" si="6"/>
        <v>4.4648574582363612</v>
      </c>
      <c r="E22" s="2">
        <v>11</v>
      </c>
      <c r="F22" s="15">
        <v>-4.4648574582363612</v>
      </c>
      <c r="I22" s="1">
        <v>45367</v>
      </c>
      <c r="J22" t="s">
        <v>23</v>
      </c>
      <c r="K22" t="s">
        <v>27</v>
      </c>
      <c r="L22" s="5">
        <v>19</v>
      </c>
      <c r="M22" s="5">
        <v>18</v>
      </c>
      <c r="N22" s="2">
        <f t="shared" si="3"/>
        <v>24.817623886203265</v>
      </c>
      <c r="O22" s="2">
        <f t="shared" si="4"/>
        <v>15.693278187743228</v>
      </c>
      <c r="P22" s="2">
        <f t="shared" si="5"/>
        <v>39.165713200463941</v>
      </c>
    </row>
    <row r="23" spans="2:16" x14ac:dyDescent="0.35">
      <c r="B23" s="19" t="s">
        <v>21</v>
      </c>
      <c r="C23" s="15">
        <v>7.2706173557194473</v>
      </c>
      <c r="D23" s="15">
        <f t="shared" si="6"/>
        <v>9.8258675586475261E-2</v>
      </c>
      <c r="E23" s="2">
        <v>10</v>
      </c>
      <c r="F23" s="15">
        <v>-9.8258675586475261E-2</v>
      </c>
      <c r="I23" s="1">
        <v>45368</v>
      </c>
      <c r="J23" t="s">
        <v>16</v>
      </c>
      <c r="K23" t="s">
        <v>22</v>
      </c>
      <c r="L23" s="5">
        <v>28</v>
      </c>
      <c r="M23" s="5">
        <v>68</v>
      </c>
      <c r="N23" s="2">
        <f t="shared" si="3"/>
        <v>21.043094646980467</v>
      </c>
      <c r="O23" s="2">
        <f t="shared" si="4"/>
        <v>50.190595073601472</v>
      </c>
      <c r="P23" s="2">
        <f t="shared" si="5"/>
        <v>365.5734359233</v>
      </c>
    </row>
    <row r="24" spans="2:16" x14ac:dyDescent="0.35">
      <c r="B24" s="19" t="s">
        <v>23</v>
      </c>
      <c r="C24" s="15">
        <v>-0.21092122724486428</v>
      </c>
      <c r="D24" s="15">
        <f t="shared" si="6"/>
        <v>5.470973673733865</v>
      </c>
      <c r="E24" s="2">
        <v>9</v>
      </c>
      <c r="F24" s="15">
        <v>-5.470973673733865</v>
      </c>
      <c r="I24" s="1">
        <v>45373</v>
      </c>
      <c r="J24" t="s">
        <v>24</v>
      </c>
      <c r="K24" t="s">
        <v>21</v>
      </c>
      <c r="L24" s="5">
        <v>40</v>
      </c>
      <c r="M24" s="5">
        <v>42</v>
      </c>
      <c r="N24" s="2">
        <f t="shared" si="3"/>
        <v>27.062637126987127</v>
      </c>
      <c r="O24" s="2">
        <f t="shared" si="4"/>
        <v>24.417999768749183</v>
      </c>
      <c r="P24" s="2">
        <f t="shared" si="5"/>
        <v>476.5020902397157</v>
      </c>
    </row>
    <row r="25" spans="2:16" x14ac:dyDescent="0.35">
      <c r="B25" s="19" t="s">
        <v>22</v>
      </c>
      <c r="C25" s="15">
        <v>5.6282420341072541</v>
      </c>
      <c r="D25" s="15">
        <f t="shared" si="6"/>
        <v>-3.4434792628197473</v>
      </c>
      <c r="E25" s="2">
        <v>8</v>
      </c>
      <c r="F25" s="15">
        <v>3.4434792628197473</v>
      </c>
      <c r="I25" s="1">
        <v>45374</v>
      </c>
      <c r="J25" t="s">
        <v>17</v>
      </c>
      <c r="K25" t="s">
        <v>23</v>
      </c>
      <c r="L25" s="5">
        <v>11</v>
      </c>
      <c r="M25" s="5">
        <v>27</v>
      </c>
      <c r="N25" s="2">
        <f t="shared" si="3"/>
        <v>11.195864546506566</v>
      </c>
      <c r="O25" s="2">
        <f t="shared" si="4"/>
        <v>22.90940115826362</v>
      </c>
      <c r="P25" s="2">
        <f t="shared" si="5"/>
        <v>16.771361804593237</v>
      </c>
    </row>
    <row r="26" spans="2:16" x14ac:dyDescent="0.35">
      <c r="B26" s="19" t="s">
        <v>19</v>
      </c>
      <c r="C26" s="15">
        <v>2.2235962942537402</v>
      </c>
      <c r="D26" s="15">
        <f t="shared" si="6"/>
        <v>-0.4066052562828491</v>
      </c>
      <c r="E26" s="2">
        <v>7</v>
      </c>
      <c r="F26" s="15">
        <v>0.4066052562828491</v>
      </c>
      <c r="I26" s="1">
        <v>45374</v>
      </c>
      <c r="J26" t="s">
        <v>25</v>
      </c>
      <c r="K26" t="s">
        <v>16</v>
      </c>
      <c r="L26" s="5">
        <v>50</v>
      </c>
      <c r="M26" s="5">
        <v>21</v>
      </c>
      <c r="N26" s="2">
        <f t="shared" si="3"/>
        <v>41.484369028218779</v>
      </c>
      <c r="O26" s="2">
        <f t="shared" si="4"/>
        <v>16.250883697126849</v>
      </c>
      <c r="P26" s="2">
        <f t="shared" si="5"/>
        <v>95.07007650577512</v>
      </c>
    </row>
    <row r="27" spans="2:16" x14ac:dyDescent="0.35">
      <c r="B27" s="19" t="s">
        <v>20</v>
      </c>
      <c r="C27" s="15">
        <v>-5.0941897842142918</v>
      </c>
      <c r="D27" s="15">
        <f t="shared" si="6"/>
        <v>6.5880166921888019</v>
      </c>
      <c r="E27" s="2">
        <v>6</v>
      </c>
      <c r="F27" s="15">
        <v>-6.5880166921888019</v>
      </c>
      <c r="I27" s="1">
        <v>45374</v>
      </c>
      <c r="J27" t="s">
        <v>22</v>
      </c>
      <c r="K27" t="s">
        <v>18</v>
      </c>
      <c r="L27" s="5">
        <v>22</v>
      </c>
      <c r="M27" s="5">
        <v>35</v>
      </c>
      <c r="N27" s="2">
        <f t="shared" si="3"/>
        <v>25.38931060358107</v>
      </c>
      <c r="O27" s="2">
        <f t="shared" si="4"/>
        <v>21.399555187929966</v>
      </c>
      <c r="P27" s="2">
        <f t="shared" si="5"/>
        <v>196.45952545370977</v>
      </c>
    </row>
    <row r="28" spans="2:16" x14ac:dyDescent="0.35">
      <c r="B28" s="19" t="s">
        <v>18</v>
      </c>
      <c r="C28" s="15">
        <v>-4.8197490532102991</v>
      </c>
      <c r="D28" s="15">
        <f t="shared" si="6"/>
        <v>3.2759513714748332</v>
      </c>
      <c r="E28" s="2">
        <v>5</v>
      </c>
      <c r="F28" s="15">
        <v>-3.2759513714748332</v>
      </c>
      <c r="I28" s="1">
        <v>45375</v>
      </c>
      <c r="J28" t="s">
        <v>19</v>
      </c>
      <c r="K28" t="s">
        <v>26</v>
      </c>
      <c r="L28" s="5">
        <v>17</v>
      </c>
      <c r="M28" s="5">
        <v>22</v>
      </c>
      <c r="N28" s="2">
        <f t="shared" si="3"/>
        <v>20.823190868751283</v>
      </c>
      <c r="O28" s="2">
        <f t="shared" si="4"/>
        <v>26.520208385054605</v>
      </c>
      <c r="P28" s="2">
        <f t="shared" si="5"/>
        <v>35.049072263221149</v>
      </c>
    </row>
    <row r="29" spans="2:16" x14ac:dyDescent="0.35">
      <c r="B29" s="19" t="s">
        <v>25</v>
      </c>
      <c r="C29" s="15">
        <v>-6.7667236241569251</v>
      </c>
      <c r="D29" s="15">
        <f t="shared" si="6"/>
        <v>4.7834779419288482</v>
      </c>
      <c r="E29" s="2">
        <v>4</v>
      </c>
      <c r="F29" s="15">
        <v>-4.7834779419288482</v>
      </c>
      <c r="I29" s="1">
        <v>45375</v>
      </c>
      <c r="J29" t="s">
        <v>27</v>
      </c>
      <c r="K29" t="s">
        <v>20</v>
      </c>
      <c r="L29" s="5">
        <v>36</v>
      </c>
      <c r="M29" s="5">
        <v>32</v>
      </c>
      <c r="N29" s="2">
        <f t="shared" si="3"/>
        <v>13.366056071355921</v>
      </c>
      <c r="O29" s="2">
        <f t="shared" si="4"/>
        <v>22.484936431520616</v>
      </c>
      <c r="P29" s="2">
        <f t="shared" si="5"/>
        <v>602.8318524772078</v>
      </c>
    </row>
    <row r="30" spans="2:16" x14ac:dyDescent="0.35">
      <c r="B30" s="19" t="s">
        <v>27</v>
      </c>
      <c r="C30" s="15">
        <v>-3.8881188473998702</v>
      </c>
      <c r="D30" s="15">
        <f t="shared" si="6"/>
        <v>0.41644587998465887</v>
      </c>
      <c r="E30" s="2">
        <v>3</v>
      </c>
      <c r="F30" s="15">
        <v>-0.41644587998465887</v>
      </c>
      <c r="I30" s="1">
        <v>45380</v>
      </c>
      <c r="J30" t="s">
        <v>22</v>
      </c>
      <c r="K30" t="s">
        <v>21</v>
      </c>
      <c r="L30" s="5">
        <v>27</v>
      </c>
      <c r="M30" s="5">
        <v>30</v>
      </c>
      <c r="N30" s="2">
        <f t="shared" si="3"/>
        <v>24.399135385395851</v>
      </c>
      <c r="O30" s="2">
        <f t="shared" si="4"/>
        <v>32.103085774771202</v>
      </c>
      <c r="P30" s="2">
        <f t="shared" si="5"/>
        <v>11.187466519544973</v>
      </c>
    </row>
    <row r="31" spans="2:16" x14ac:dyDescent="0.35">
      <c r="B31" s="19" t="s">
        <v>17</v>
      </c>
      <c r="C31" s="15">
        <v>-4.7975683454286164</v>
      </c>
      <c r="D31" s="15">
        <f t="shared" si="6"/>
        <v>1.7136624668209043E-2</v>
      </c>
      <c r="E31" s="2">
        <v>2</v>
      </c>
      <c r="F31" s="15">
        <v>-1.7136624668209043E-2</v>
      </c>
      <c r="I31" s="1">
        <v>45381</v>
      </c>
      <c r="J31" t="s">
        <v>19</v>
      </c>
      <c r="K31" t="s">
        <v>24</v>
      </c>
      <c r="L31" s="5">
        <v>26</v>
      </c>
      <c r="M31" s="5">
        <v>34</v>
      </c>
      <c r="N31" s="2">
        <f t="shared" si="3"/>
        <v>20.774791134361397</v>
      </c>
      <c r="O31" s="2">
        <f t="shared" si="4"/>
        <v>30.184977825564999</v>
      </c>
      <c r="P31" s="2">
        <f t="shared" si="5"/>
        <v>41.857201880979019</v>
      </c>
    </row>
    <row r="32" spans="2:16" x14ac:dyDescent="0.35">
      <c r="B32" s="19" t="s">
        <v>16</v>
      </c>
      <c r="C32" s="15">
        <v>-1.2885410228795633</v>
      </c>
      <c r="D32" s="15">
        <f t="shared" si="6"/>
        <v>-25.046221900233654</v>
      </c>
      <c r="E32" s="2">
        <v>1</v>
      </c>
      <c r="F32" s="15">
        <v>25.046221900233654</v>
      </c>
      <c r="I32" s="1">
        <v>45381</v>
      </c>
      <c r="J32" t="s">
        <v>16</v>
      </c>
      <c r="K32" t="s">
        <v>17</v>
      </c>
      <c r="L32" s="5">
        <v>32</v>
      </c>
      <c r="M32" s="5">
        <v>46</v>
      </c>
      <c r="N32" s="2">
        <f t="shared" si="3"/>
        <v>18.600499070883046</v>
      </c>
      <c r="O32" s="2">
        <f t="shared" si="4"/>
        <v>39.770015103477007</v>
      </c>
      <c r="P32" s="2">
        <f t="shared" si="5"/>
        <v>218.35933696031071</v>
      </c>
    </row>
    <row r="33" spans="3:18" x14ac:dyDescent="0.35">
      <c r="C33" s="18"/>
      <c r="D33" s="18"/>
      <c r="E33" s="14"/>
      <c r="I33" s="1">
        <v>45382</v>
      </c>
      <c r="J33" t="s">
        <v>25</v>
      </c>
      <c r="K33" t="s">
        <v>23</v>
      </c>
      <c r="L33" s="5">
        <v>21</v>
      </c>
      <c r="M33" s="5">
        <v>22</v>
      </c>
      <c r="N33" s="2">
        <f t="shared" si="3"/>
        <v>14.07315772664726</v>
      </c>
      <c r="O33" s="2">
        <f t="shared" si="4"/>
        <v>19.396846529108497</v>
      </c>
      <c r="P33" s="2">
        <f t="shared" si="5"/>
        <v>54.757551872921027</v>
      </c>
    </row>
    <row r="34" spans="3:18" x14ac:dyDescent="0.35">
      <c r="C34" s="18"/>
      <c r="D34" s="18"/>
      <c r="E34" s="14"/>
      <c r="I34" s="1">
        <v>45387</v>
      </c>
      <c r="J34" t="s">
        <v>20</v>
      </c>
      <c r="K34" t="s">
        <v>16</v>
      </c>
      <c r="L34" s="5">
        <v>44</v>
      </c>
      <c r="M34" s="5">
        <v>19</v>
      </c>
      <c r="N34" s="2">
        <f t="shared" si="3"/>
        <v>41.966536948582728</v>
      </c>
      <c r="O34" s="2">
        <f t="shared" si="4"/>
        <v>14.903645919521672</v>
      </c>
      <c r="P34" s="2">
        <f t="shared" si="5"/>
        <v>20.915088734130691</v>
      </c>
    </row>
    <row r="35" spans="3:18" x14ac:dyDescent="0.35">
      <c r="C35" s="18"/>
      <c r="D35" s="18"/>
      <c r="E35" s="14"/>
      <c r="I35" s="1">
        <v>45387</v>
      </c>
      <c r="J35" t="s">
        <v>24</v>
      </c>
      <c r="K35" t="s">
        <v>22</v>
      </c>
      <c r="L35" s="5">
        <v>34</v>
      </c>
      <c r="M35" s="5">
        <v>32</v>
      </c>
      <c r="N35" s="2">
        <f t="shared" si="3"/>
        <v>30.418051380091637</v>
      </c>
      <c r="O35" s="2">
        <f t="shared" si="4"/>
        <v>21.232402887877267</v>
      </c>
      <c r="P35" s="2">
        <f t="shared" si="5"/>
        <v>128.77150348465725</v>
      </c>
    </row>
    <row r="36" spans="3:18" x14ac:dyDescent="0.35">
      <c r="C36" s="18"/>
      <c r="D36" s="18"/>
      <c r="E36" s="14"/>
      <c r="I36" s="1">
        <v>45388</v>
      </c>
      <c r="J36" t="s">
        <v>18</v>
      </c>
      <c r="K36" t="s">
        <v>19</v>
      </c>
      <c r="L36" s="5">
        <v>21</v>
      </c>
      <c r="M36" s="5">
        <v>38</v>
      </c>
      <c r="N36" s="2">
        <f t="shared" si="3"/>
        <v>18.840603122605479</v>
      </c>
      <c r="O36" s="2">
        <f t="shared" si="4"/>
        <v>27.257577360863049</v>
      </c>
      <c r="P36" s="2">
        <f t="shared" si="5"/>
        <v>120.06263903194329</v>
      </c>
    </row>
    <row r="37" spans="3:18" x14ac:dyDescent="0.35">
      <c r="I37" s="1">
        <v>45388</v>
      </c>
      <c r="J37" t="s">
        <v>26</v>
      </c>
      <c r="K37" t="s">
        <v>25</v>
      </c>
      <c r="L37" s="5">
        <v>25</v>
      </c>
      <c r="M37" s="5">
        <v>3</v>
      </c>
      <c r="N37" s="2">
        <f t="shared" si="3"/>
        <v>20.798131734328699</v>
      </c>
      <c r="O37" s="2">
        <f t="shared" si="4"/>
        <v>13.737515832283389</v>
      </c>
      <c r="P37" s="2">
        <f t="shared" si="5"/>
        <v>132.94994317059198</v>
      </c>
    </row>
    <row r="38" spans="3:18" x14ac:dyDescent="0.35">
      <c r="I38" s="1">
        <v>45388</v>
      </c>
      <c r="J38" t="s">
        <v>17</v>
      </c>
      <c r="K38" t="s">
        <v>27</v>
      </c>
      <c r="L38" s="5">
        <v>22</v>
      </c>
      <c r="M38" s="5">
        <v>22</v>
      </c>
      <c r="N38" s="2">
        <f t="shared" si="3"/>
        <v>17.962536075617049</v>
      </c>
      <c r="O38" s="2">
        <f t="shared" si="4"/>
        <v>19.388787733515144</v>
      </c>
      <c r="P38" s="2">
        <f t="shared" si="5"/>
        <v>23.11954444133476</v>
      </c>
    </row>
    <row r="39" spans="3:18" x14ac:dyDescent="0.35">
      <c r="I39" s="1">
        <v>45394</v>
      </c>
      <c r="J39" t="s">
        <v>22</v>
      </c>
      <c r="K39" t="s">
        <v>20</v>
      </c>
      <c r="L39" s="5">
        <v>22</v>
      </c>
      <c r="M39" s="5">
        <v>20</v>
      </c>
      <c r="N39" s="2">
        <f t="shared" si="3"/>
        <v>20.452161655642641</v>
      </c>
      <c r="O39" s="2">
        <f t="shared" si="4"/>
        <v>21.856370024279467</v>
      </c>
      <c r="P39" s="2">
        <f t="shared" si="5"/>
        <v>5.8419132073062805</v>
      </c>
      <c r="Q39"/>
      <c r="R39"/>
    </row>
    <row r="40" spans="3:18" x14ac:dyDescent="0.35">
      <c r="I40" s="1">
        <v>45395</v>
      </c>
      <c r="J40" t="s">
        <v>21</v>
      </c>
      <c r="K40" t="s">
        <v>26</v>
      </c>
      <c r="L40" s="5">
        <v>35</v>
      </c>
      <c r="M40" s="5">
        <v>47</v>
      </c>
      <c r="N40" s="2">
        <f t="shared" si="3"/>
        <v>23.303460247740144</v>
      </c>
      <c r="O40" s="2">
        <f t="shared" si="4"/>
        <v>24.560806941875661</v>
      </c>
      <c r="P40" s="2">
        <f t="shared" si="5"/>
        <v>640.32642727597056</v>
      </c>
      <c r="Q40"/>
      <c r="R40"/>
    </row>
    <row r="41" spans="3:18" x14ac:dyDescent="0.35">
      <c r="I41" s="1">
        <v>45396</v>
      </c>
      <c r="J41" t="s">
        <v>23</v>
      </c>
      <c r="K41" t="s">
        <v>18</v>
      </c>
      <c r="L41" s="5">
        <v>33</v>
      </c>
      <c r="M41" s="5">
        <v>20</v>
      </c>
      <c r="N41" s="2">
        <f t="shared" si="3"/>
        <v>21.823818444042825</v>
      </c>
      <c r="O41" s="2">
        <f t="shared" si="4"/>
        <v>15.261450066060629</v>
      </c>
      <c r="P41" s="2">
        <f t="shared" si="5"/>
        <v>147.36088964815417</v>
      </c>
      <c r="Q41"/>
      <c r="R41"/>
    </row>
    <row r="42" spans="3:18" x14ac:dyDescent="0.35">
      <c r="I42" s="1">
        <v>45396</v>
      </c>
      <c r="J42" t="s">
        <v>19</v>
      </c>
      <c r="K42" t="s">
        <v>16</v>
      </c>
      <c r="L42" s="5">
        <v>59</v>
      </c>
      <c r="M42" s="5">
        <v>26</v>
      </c>
      <c r="N42" s="2">
        <f t="shared" si="3"/>
        <v>49.732983320085594</v>
      </c>
      <c r="O42" s="2">
        <f t="shared" si="4"/>
        <v>20.81002109245383</v>
      </c>
      <c r="P42" s="2">
        <f t="shared" si="5"/>
        <v>112.81347920658595</v>
      </c>
      <c r="Q42"/>
      <c r="R42"/>
    </row>
    <row r="43" spans="3:18" x14ac:dyDescent="0.35">
      <c r="I43" s="1">
        <v>45396</v>
      </c>
      <c r="J43" t="s">
        <v>27</v>
      </c>
      <c r="K43" t="s">
        <v>24</v>
      </c>
      <c r="L43" s="5">
        <v>5</v>
      </c>
      <c r="M43" s="5">
        <v>36</v>
      </c>
      <c r="N43" s="2">
        <f t="shared" si="3"/>
        <v>12.983358048191622</v>
      </c>
      <c r="O43" s="2">
        <f t="shared" si="4"/>
        <v>32.20955704273171</v>
      </c>
      <c r="P43" s="2">
        <f t="shared" si="5"/>
        <v>78.101463537930726</v>
      </c>
      <c r="Q43"/>
      <c r="R43"/>
    </row>
    <row r="44" spans="3:18" x14ac:dyDescent="0.35">
      <c r="I44" s="1">
        <v>45402</v>
      </c>
      <c r="J44" t="s">
        <v>26</v>
      </c>
      <c r="K44" t="s">
        <v>24</v>
      </c>
      <c r="L44" s="5">
        <v>21</v>
      </c>
      <c r="M44" s="5">
        <v>29</v>
      </c>
      <c r="N44" s="2">
        <f t="shared" si="3"/>
        <v>19.068195933559224</v>
      </c>
      <c r="O44" s="2">
        <f t="shared" si="4"/>
        <v>23.944304363858429</v>
      </c>
      <c r="P44" s="2">
        <f t="shared" si="5"/>
        <v>29.291925316418048</v>
      </c>
      <c r="Q44"/>
      <c r="R44"/>
    </row>
    <row r="45" spans="3:18" x14ac:dyDescent="0.35">
      <c r="I45" s="1">
        <v>45402</v>
      </c>
      <c r="J45" t="s">
        <v>18</v>
      </c>
      <c r="K45" t="s">
        <v>25</v>
      </c>
      <c r="L45" s="5">
        <v>27</v>
      </c>
      <c r="M45" s="5">
        <v>42</v>
      </c>
      <c r="N45" s="2">
        <f t="shared" si="3"/>
        <v>14.281465727278498</v>
      </c>
      <c r="O45" s="2">
        <f t="shared" si="4"/>
        <v>19.008963068996231</v>
      </c>
      <c r="P45" s="2">
        <f t="shared" si="5"/>
        <v>690.34889320917068</v>
      </c>
      <c r="Q45"/>
      <c r="R45"/>
    </row>
    <row r="46" spans="3:18" x14ac:dyDescent="0.35">
      <c r="I46" s="1">
        <v>45402</v>
      </c>
      <c r="J46" t="s">
        <v>17</v>
      </c>
      <c r="K46" t="s">
        <v>21</v>
      </c>
      <c r="L46" s="5">
        <v>17</v>
      </c>
      <c r="M46" s="5">
        <v>38</v>
      </c>
      <c r="N46" s="2">
        <f t="shared" si="3"/>
        <v>13.978555415271394</v>
      </c>
      <c r="O46" s="2">
        <f t="shared" si="4"/>
        <v>29.660490198673781</v>
      </c>
      <c r="P46" s="2">
        <f t="shared" si="5"/>
        <v>78.676551105001892</v>
      </c>
      <c r="Q46"/>
      <c r="R46"/>
    </row>
    <row r="47" spans="3:18" x14ac:dyDescent="0.35">
      <c r="I47" s="1">
        <v>45403</v>
      </c>
      <c r="J47" t="s">
        <v>19</v>
      </c>
      <c r="K47" t="s">
        <v>27</v>
      </c>
      <c r="L47" s="5">
        <v>54</v>
      </c>
      <c r="M47" s="5">
        <v>31</v>
      </c>
      <c r="N47" s="2">
        <f t="shared" si="3"/>
        <v>29.088443547624564</v>
      </c>
      <c r="O47" s="2">
        <f t="shared" si="4"/>
        <v>20.435370499687004</v>
      </c>
      <c r="P47" s="2">
        <f t="shared" si="5"/>
        <v>732.19704135877191</v>
      </c>
      <c r="Q47"/>
      <c r="R47"/>
    </row>
    <row r="48" spans="3:18" x14ac:dyDescent="0.35">
      <c r="I48" s="1">
        <v>45403</v>
      </c>
      <c r="J48" t="s">
        <v>23</v>
      </c>
      <c r="K48" t="s">
        <v>20</v>
      </c>
      <c r="L48" s="5">
        <v>32</v>
      </c>
      <c r="M48" s="5">
        <v>33</v>
      </c>
      <c r="N48" s="2">
        <f t="shared" si="3"/>
        <v>16.886669496104396</v>
      </c>
      <c r="O48" s="2">
        <f t="shared" si="4"/>
        <v>15.71826490241013</v>
      </c>
      <c r="P48" s="2">
        <f t="shared" si="5"/>
        <v>527.07112690325084</v>
      </c>
      <c r="Q48"/>
      <c r="R48"/>
    </row>
    <row r="49" spans="9:18" x14ac:dyDescent="0.35">
      <c r="I49" s="1">
        <v>45408</v>
      </c>
      <c r="J49" t="s">
        <v>20</v>
      </c>
      <c r="K49" t="s">
        <v>17</v>
      </c>
      <c r="N49" s="2">
        <f>IFERROR(mean+0.5*Home_edge+VLOOKUP(J49,$B$5:$G$16,4,FALSE)+VLOOKUP(K49,$B$5:$G$16,6,FALSE),"")</f>
        <v>18.250835192783121</v>
      </c>
      <c r="O49" s="2">
        <f>IFERROR(mean-0.5*Home_edge+VLOOKUP(K49,$B$5:$G$16,4,FALSE)+VLOOKUP(J49,$B$5:$G$16,6,FALSE),"")</f>
        <v>11.194520940917105</v>
      </c>
      <c r="P49"/>
      <c r="Q49"/>
      <c r="R49"/>
    </row>
    <row r="50" spans="9:18" x14ac:dyDescent="0.35">
      <c r="I50" s="1">
        <v>45409</v>
      </c>
      <c r="J50" t="s">
        <v>16</v>
      </c>
      <c r="K50" t="s">
        <v>18</v>
      </c>
      <c r="N50" s="2">
        <f>IFERROR(mean+0.5*Home_edge+VLOOKUP(J50,$B$5:$G$16,4,FALSE)+VLOOKUP(K50,$B$5:$G$16,6,FALSE),"")</f>
        <v>18.677855612061176</v>
      </c>
      <c r="O50" s="2">
        <f>IFERROR(mean-0.5*Home_edge+VLOOKUP(K50,$B$5:$G$16,4,FALSE)+VLOOKUP(J50,$B$5:$G$16,6,FALSE),"")</f>
        <v>42.672661367632145</v>
      </c>
      <c r="P50"/>
      <c r="Q50"/>
      <c r="R50"/>
    </row>
    <row r="51" spans="9:18" x14ac:dyDescent="0.35">
      <c r="I51" s="1">
        <v>45409</v>
      </c>
      <c r="J51" t="s">
        <v>25</v>
      </c>
      <c r="K51" t="s">
        <v>22</v>
      </c>
      <c r="N51" s="2">
        <f>IFERROR(mean+0.5*Home_edge+VLOOKUP(J51,$B$5:$G$16,4,FALSE)+VLOOKUP(K51,$B$5:$G$16,6,FALSE),"")</f>
        <v>20.211262848516597</v>
      </c>
      <c r="O51" s="2">
        <f>IFERROR(mean-0.5*Home_edge+VLOOKUP(K51,$B$5:$G$16,4,FALSE)+VLOOKUP(J51,$B$5:$G$16,6,FALSE),"")</f>
        <v>22.962338688646742</v>
      </c>
      <c r="P51"/>
      <c r="Q51"/>
      <c r="R51"/>
    </row>
    <row r="52" spans="9:18" x14ac:dyDescent="0.35">
      <c r="I52" s="1">
        <v>45409</v>
      </c>
      <c r="J52" t="s">
        <v>21</v>
      </c>
      <c r="K52" t="s">
        <v>23</v>
      </c>
      <c r="N52" s="2">
        <f>IFERROR(mean+0.5*Home_edge+VLOOKUP(J52,$B$5:$G$16,4,FALSE)+VLOOKUP(K52,$B$5:$G$16,6,FALSE),"")</f>
        <v>24.80204139750294</v>
      </c>
      <c r="O52" s="2">
        <f>IFERROR(mean-0.5*Home_edge+VLOOKUP(K52,$B$5:$G$16,4,FALSE)+VLOOKUP(J52,$B$5:$G$16,6,FALSE),"")</f>
        <v>21.996582481256532</v>
      </c>
      <c r="P52"/>
      <c r="Q52"/>
      <c r="R52"/>
    </row>
    <row r="53" spans="9:18" x14ac:dyDescent="0.35">
      <c r="I53" s="1">
        <v>45410</v>
      </c>
      <c r="J53" t="s">
        <v>27</v>
      </c>
      <c r="K53" t="s">
        <v>26</v>
      </c>
      <c r="N53" s="2">
        <f>IFERROR(mean+0.5*Home_edge+VLOOKUP(J53,$B$5:$G$16,4,FALSE)+VLOOKUP(K53,$B$5:$G$16,6,FALSE),"")</f>
        <v>13.031757782581508</v>
      </c>
      <c r="O53" s="2">
        <f>IFERROR(mean-0.5*Home_edge+VLOOKUP(K53,$B$5:$G$16,4,FALSE)+VLOOKUP(J53,$B$5:$G$16,6,FALSE),"")</f>
        <v>28.544787602221316</v>
      </c>
      <c r="P53"/>
      <c r="Q53"/>
      <c r="R53"/>
    </row>
    <row r="54" spans="9:18" x14ac:dyDescent="0.35">
      <c r="I54" s="1">
        <v>45415</v>
      </c>
      <c r="J54" t="s">
        <v>24</v>
      </c>
      <c r="K54" t="s">
        <v>16</v>
      </c>
      <c r="N54"/>
      <c r="O54"/>
      <c r="P54"/>
      <c r="Q54"/>
      <c r="R54"/>
    </row>
    <row r="55" spans="9:18" x14ac:dyDescent="0.35">
      <c r="I55" s="1">
        <v>45416</v>
      </c>
      <c r="J55" t="s">
        <v>17</v>
      </c>
      <c r="K55" t="s">
        <v>25</v>
      </c>
      <c r="N55"/>
      <c r="O55"/>
      <c r="P55"/>
      <c r="Q55"/>
      <c r="R55"/>
    </row>
    <row r="56" spans="9:18" x14ac:dyDescent="0.35">
      <c r="I56" s="1">
        <v>45416</v>
      </c>
      <c r="J56" t="s">
        <v>20</v>
      </c>
      <c r="K56" t="s">
        <v>21</v>
      </c>
      <c r="N56"/>
      <c r="O56"/>
      <c r="P56"/>
      <c r="Q56"/>
      <c r="R56"/>
    </row>
    <row r="57" spans="9:18" x14ac:dyDescent="0.35">
      <c r="I57" s="1">
        <v>45417</v>
      </c>
      <c r="J57" t="s">
        <v>26</v>
      </c>
      <c r="K57" t="s">
        <v>19</v>
      </c>
      <c r="N57"/>
      <c r="O57"/>
      <c r="P57"/>
      <c r="Q57"/>
      <c r="R57"/>
    </row>
    <row r="58" spans="9:18" x14ac:dyDescent="0.35">
      <c r="I58" s="1">
        <v>45417</v>
      </c>
      <c r="J58" t="s">
        <v>23</v>
      </c>
      <c r="K58" t="s">
        <v>22</v>
      </c>
      <c r="N58"/>
      <c r="O58"/>
      <c r="P58"/>
      <c r="Q58"/>
      <c r="R58"/>
    </row>
    <row r="59" spans="9:18" x14ac:dyDescent="0.35">
      <c r="I59" s="1">
        <v>45422</v>
      </c>
      <c r="J59" t="s">
        <v>16</v>
      </c>
      <c r="K59" t="s">
        <v>21</v>
      </c>
      <c r="N59"/>
      <c r="O59"/>
      <c r="P59"/>
      <c r="Q59"/>
      <c r="R59"/>
    </row>
    <row r="60" spans="9:18" x14ac:dyDescent="0.35">
      <c r="I60" s="1">
        <v>45422</v>
      </c>
      <c r="J60" t="s">
        <v>22</v>
      </c>
      <c r="K60" t="s">
        <v>27</v>
      </c>
      <c r="N60"/>
      <c r="O60"/>
      <c r="P60"/>
      <c r="Q60"/>
      <c r="R60"/>
    </row>
    <row r="61" spans="9:18" x14ac:dyDescent="0.35">
      <c r="I61" s="1">
        <v>45423</v>
      </c>
      <c r="J61" t="s">
        <v>18</v>
      </c>
      <c r="K61" t="s">
        <v>24</v>
      </c>
      <c r="N61"/>
      <c r="O61"/>
      <c r="P61"/>
      <c r="Q61"/>
      <c r="R61"/>
    </row>
    <row r="62" spans="9:18" x14ac:dyDescent="0.35">
      <c r="I62" s="1">
        <v>45423</v>
      </c>
      <c r="J62" t="s">
        <v>19</v>
      </c>
      <c r="K62" t="s">
        <v>17</v>
      </c>
      <c r="N62"/>
      <c r="O62"/>
      <c r="P62"/>
      <c r="Q62"/>
      <c r="R62"/>
    </row>
    <row r="63" spans="9:18" x14ac:dyDescent="0.35">
      <c r="I63" s="1">
        <v>45423</v>
      </c>
      <c r="J63" t="s">
        <v>25</v>
      </c>
      <c r="K63" t="s">
        <v>20</v>
      </c>
      <c r="N63"/>
      <c r="O63"/>
      <c r="P63"/>
      <c r="Q63"/>
      <c r="R63"/>
    </row>
    <row r="64" spans="9:18" x14ac:dyDescent="0.35">
      <c r="I64" s="1">
        <v>45430</v>
      </c>
      <c r="J64" t="s">
        <v>16</v>
      </c>
      <c r="K64" t="s">
        <v>27</v>
      </c>
      <c r="N64"/>
      <c r="O64"/>
      <c r="P64"/>
      <c r="Q64"/>
      <c r="R64"/>
    </row>
    <row r="65" spans="9:18" x14ac:dyDescent="0.35">
      <c r="I65" s="1">
        <v>45430</v>
      </c>
      <c r="J65" t="s">
        <v>18</v>
      </c>
      <c r="K65" t="s">
        <v>20</v>
      </c>
      <c r="N65"/>
      <c r="O65"/>
      <c r="P65"/>
      <c r="Q65"/>
      <c r="R65"/>
    </row>
    <row r="66" spans="9:18" x14ac:dyDescent="0.35">
      <c r="I66" s="1">
        <v>45430</v>
      </c>
      <c r="J66" t="s">
        <v>21</v>
      </c>
      <c r="K66" t="s">
        <v>19</v>
      </c>
      <c r="N66"/>
      <c r="O66"/>
      <c r="P66"/>
      <c r="Q66"/>
      <c r="R66"/>
    </row>
    <row r="67" spans="9:18" x14ac:dyDescent="0.35">
      <c r="I67" s="1">
        <v>45431</v>
      </c>
      <c r="J67" t="s">
        <v>23</v>
      </c>
      <c r="K67" t="s">
        <v>26</v>
      </c>
      <c r="N67"/>
      <c r="O67"/>
      <c r="P67"/>
      <c r="Q67"/>
      <c r="R67"/>
    </row>
    <row r="68" spans="9:18" x14ac:dyDescent="0.35">
      <c r="I68" s="1">
        <v>45431</v>
      </c>
      <c r="J68" t="s">
        <v>22</v>
      </c>
      <c r="K68" t="s">
        <v>24</v>
      </c>
      <c r="N68"/>
      <c r="O68"/>
      <c r="P68"/>
      <c r="Q68"/>
      <c r="R68"/>
    </row>
    <row r="69" spans="9:18" x14ac:dyDescent="0.35">
      <c r="I69" s="1">
        <v>45436</v>
      </c>
      <c r="J69" t="s">
        <v>24</v>
      </c>
      <c r="K69" t="s">
        <v>17</v>
      </c>
      <c r="N69"/>
      <c r="O69"/>
      <c r="P69"/>
      <c r="Q69"/>
      <c r="R69"/>
    </row>
    <row r="70" spans="9:18" x14ac:dyDescent="0.35">
      <c r="I70" s="1">
        <v>45437</v>
      </c>
      <c r="J70" t="s">
        <v>25</v>
      </c>
      <c r="K70" t="s">
        <v>26</v>
      </c>
      <c r="N70"/>
      <c r="O70"/>
      <c r="P70"/>
      <c r="Q70"/>
      <c r="R70"/>
    </row>
    <row r="71" spans="9:18" x14ac:dyDescent="0.35">
      <c r="I71" s="1">
        <v>45438</v>
      </c>
      <c r="J71" t="s">
        <v>19</v>
      </c>
      <c r="K71" t="s">
        <v>18</v>
      </c>
      <c r="N71"/>
      <c r="O71"/>
      <c r="P71"/>
      <c r="Q71"/>
      <c r="R71"/>
    </row>
    <row r="72" spans="9:18" x14ac:dyDescent="0.35">
      <c r="I72" s="1">
        <v>45438</v>
      </c>
      <c r="J72" t="s">
        <v>27</v>
      </c>
      <c r="K72" t="s">
        <v>23</v>
      </c>
      <c r="N72"/>
      <c r="O72"/>
      <c r="P72"/>
      <c r="Q72"/>
      <c r="R72"/>
    </row>
    <row r="73" spans="9:18" x14ac:dyDescent="0.35">
      <c r="I73" s="1">
        <v>45444</v>
      </c>
      <c r="J73" t="s">
        <v>17</v>
      </c>
      <c r="K73" t="s">
        <v>16</v>
      </c>
      <c r="N73"/>
      <c r="O73"/>
      <c r="P73"/>
      <c r="Q73"/>
      <c r="R73"/>
    </row>
    <row r="74" spans="9:18" x14ac:dyDescent="0.35">
      <c r="I74" s="1">
        <v>45444</v>
      </c>
      <c r="J74" t="s">
        <v>18</v>
      </c>
      <c r="K74" t="s">
        <v>21</v>
      </c>
      <c r="N74"/>
      <c r="O74"/>
      <c r="P74"/>
      <c r="Q74"/>
      <c r="R74"/>
    </row>
    <row r="75" spans="9:18" x14ac:dyDescent="0.35">
      <c r="I75" s="1">
        <v>45444</v>
      </c>
      <c r="J75" t="s">
        <v>20</v>
      </c>
      <c r="K75" t="s">
        <v>23</v>
      </c>
      <c r="N75"/>
      <c r="O75"/>
      <c r="P75"/>
      <c r="Q75"/>
      <c r="R75"/>
    </row>
    <row r="76" spans="9:18" x14ac:dyDescent="0.35">
      <c r="I76" s="1">
        <v>45445</v>
      </c>
      <c r="J76" t="s">
        <v>26</v>
      </c>
      <c r="K76" t="s">
        <v>22</v>
      </c>
      <c r="N76"/>
      <c r="O76"/>
      <c r="P76"/>
      <c r="Q76"/>
      <c r="R76"/>
    </row>
    <row r="77" spans="9:18" x14ac:dyDescent="0.35">
      <c r="I77" s="1">
        <v>45445</v>
      </c>
      <c r="J77" t="s">
        <v>27</v>
      </c>
      <c r="K77" t="s">
        <v>25</v>
      </c>
      <c r="N77"/>
      <c r="O77"/>
      <c r="P77"/>
      <c r="Q77"/>
      <c r="R77"/>
    </row>
    <row r="78" spans="9:18" x14ac:dyDescent="0.35">
      <c r="I78" s="1">
        <v>45451</v>
      </c>
      <c r="J78" t="s">
        <v>17</v>
      </c>
      <c r="K78" t="s">
        <v>26</v>
      </c>
      <c r="N78"/>
      <c r="O78"/>
      <c r="P78"/>
      <c r="Q78"/>
      <c r="R78"/>
    </row>
    <row r="79" spans="9:18" x14ac:dyDescent="0.35">
      <c r="I79" s="1">
        <v>45451</v>
      </c>
      <c r="J79" t="s">
        <v>21</v>
      </c>
      <c r="K79" t="s">
        <v>27</v>
      </c>
      <c r="N79"/>
      <c r="O79"/>
      <c r="P79"/>
      <c r="Q79"/>
      <c r="R79"/>
    </row>
    <row r="80" spans="9:18" x14ac:dyDescent="0.35">
      <c r="I80" s="1">
        <v>45452</v>
      </c>
      <c r="J80" t="s">
        <v>23</v>
      </c>
      <c r="K80" t="s">
        <v>16</v>
      </c>
      <c r="N80"/>
      <c r="O80"/>
      <c r="P80"/>
      <c r="Q80"/>
      <c r="R80"/>
    </row>
    <row r="81" spans="9:18" x14ac:dyDescent="0.35">
      <c r="I81" s="1">
        <v>45452</v>
      </c>
      <c r="J81" t="s">
        <v>25</v>
      </c>
      <c r="K81" t="s">
        <v>18</v>
      </c>
      <c r="N81"/>
      <c r="O81"/>
      <c r="P81"/>
      <c r="Q81"/>
      <c r="R81"/>
    </row>
    <row r="82" spans="9:18" x14ac:dyDescent="0.35">
      <c r="I82" s="1">
        <v>45452</v>
      </c>
      <c r="J82" t="s">
        <v>22</v>
      </c>
      <c r="K82" t="s">
        <v>19</v>
      </c>
      <c r="N82"/>
      <c r="O82"/>
      <c r="P82"/>
      <c r="Q82"/>
      <c r="R82"/>
    </row>
    <row r="83" spans="9:18" x14ac:dyDescent="0.35">
      <c r="I83" s="1">
        <v>45452</v>
      </c>
      <c r="J83" t="s">
        <v>24</v>
      </c>
      <c r="K83" t="s">
        <v>20</v>
      </c>
      <c r="N83"/>
      <c r="O83"/>
      <c r="P83"/>
      <c r="Q83"/>
      <c r="R83"/>
    </row>
    <row r="84" spans="9:18" x14ac:dyDescent="0.35">
      <c r="I84" s="1">
        <v>45457</v>
      </c>
      <c r="J84" t="s">
        <v>22</v>
      </c>
      <c r="K84" t="s">
        <v>17</v>
      </c>
      <c r="N84"/>
      <c r="O84"/>
      <c r="P84"/>
      <c r="Q84"/>
      <c r="R84"/>
    </row>
    <row r="85" spans="9:18" x14ac:dyDescent="0.35">
      <c r="I85" s="1">
        <v>45458</v>
      </c>
      <c r="J85" t="s">
        <v>19</v>
      </c>
      <c r="K85" t="s">
        <v>23</v>
      </c>
      <c r="N85"/>
      <c r="O85"/>
      <c r="P85"/>
      <c r="Q85"/>
      <c r="R85"/>
    </row>
    <row r="86" spans="9:18" x14ac:dyDescent="0.35">
      <c r="I86" s="1">
        <v>45458</v>
      </c>
      <c r="J86" t="s">
        <v>21</v>
      </c>
      <c r="K86" t="s">
        <v>24</v>
      </c>
      <c r="N86"/>
      <c r="O86"/>
      <c r="P86"/>
      <c r="Q86"/>
      <c r="R86"/>
    </row>
    <row r="87" spans="9:18" x14ac:dyDescent="0.35">
      <c r="I87" s="1">
        <v>45459</v>
      </c>
      <c r="J87" t="s">
        <v>26</v>
      </c>
      <c r="K87" t="s">
        <v>20</v>
      </c>
      <c r="N87"/>
      <c r="O87"/>
      <c r="P87"/>
      <c r="Q87"/>
      <c r="R87"/>
    </row>
    <row r="88" spans="9:18" x14ac:dyDescent="0.35">
      <c r="I88" s="1">
        <v>45459</v>
      </c>
      <c r="J88" t="s">
        <v>16</v>
      </c>
      <c r="K88" t="s">
        <v>25</v>
      </c>
      <c r="N88"/>
      <c r="O88"/>
      <c r="P88"/>
      <c r="Q88"/>
      <c r="R88"/>
    </row>
    <row r="89" spans="9:18" x14ac:dyDescent="0.35">
      <c r="I89" s="1">
        <v>45459</v>
      </c>
      <c r="J89" t="s">
        <v>27</v>
      </c>
      <c r="K89" t="s">
        <v>18</v>
      </c>
      <c r="N89"/>
      <c r="O89"/>
      <c r="P89"/>
      <c r="Q89"/>
      <c r="R89"/>
    </row>
    <row r="90" spans="9:18" x14ac:dyDescent="0.35">
      <c r="I90" s="1">
        <v>45465</v>
      </c>
      <c r="J90" t="s">
        <v>18</v>
      </c>
      <c r="K90" t="s">
        <v>26</v>
      </c>
      <c r="N90"/>
      <c r="O90"/>
      <c r="P90"/>
      <c r="Q90"/>
      <c r="R90"/>
    </row>
    <row r="91" spans="9:18" x14ac:dyDescent="0.35">
      <c r="I91" s="1">
        <v>45465</v>
      </c>
      <c r="J91" t="s">
        <v>16</v>
      </c>
      <c r="K91" t="s">
        <v>19</v>
      </c>
      <c r="N91"/>
      <c r="O91"/>
      <c r="P91"/>
      <c r="Q91"/>
      <c r="R91"/>
    </row>
    <row r="92" spans="9:18" x14ac:dyDescent="0.35">
      <c r="I92" s="1">
        <v>45465</v>
      </c>
      <c r="J92" t="s">
        <v>25</v>
      </c>
      <c r="K92" t="s">
        <v>17</v>
      </c>
      <c r="N92"/>
      <c r="O92"/>
      <c r="P92"/>
      <c r="Q92"/>
      <c r="R92"/>
    </row>
    <row r="93" spans="9:18" x14ac:dyDescent="0.35">
      <c r="I93" s="1">
        <v>45465</v>
      </c>
      <c r="J93" t="s">
        <v>20</v>
      </c>
      <c r="K93" t="s">
        <v>22</v>
      </c>
      <c r="N93"/>
      <c r="O93"/>
      <c r="P93"/>
      <c r="Q93"/>
      <c r="R93"/>
    </row>
    <row r="94" spans="9:18" x14ac:dyDescent="0.35">
      <c r="I94" s="1">
        <v>45465</v>
      </c>
      <c r="J94" t="s">
        <v>24</v>
      </c>
      <c r="K94" t="s">
        <v>27</v>
      </c>
      <c r="N94"/>
      <c r="O94"/>
      <c r="P94"/>
      <c r="Q94"/>
      <c r="R94"/>
    </row>
    <row r="95" spans="9:18" x14ac:dyDescent="0.35">
      <c r="I95" s="1">
        <v>45466</v>
      </c>
      <c r="J95" t="s">
        <v>23</v>
      </c>
      <c r="K95" t="s">
        <v>21</v>
      </c>
      <c r="N95"/>
      <c r="O95"/>
      <c r="P95"/>
      <c r="Q95"/>
      <c r="R95"/>
    </row>
    <row r="96" spans="9:18" x14ac:dyDescent="0.35">
      <c r="I96" s="1">
        <v>45471</v>
      </c>
      <c r="J96" t="s">
        <v>20</v>
      </c>
      <c r="K96" t="s">
        <v>27</v>
      </c>
      <c r="N96"/>
      <c r="O96"/>
      <c r="P96"/>
      <c r="Q96"/>
      <c r="R96"/>
    </row>
    <row r="97" spans="9:18" x14ac:dyDescent="0.35">
      <c r="I97" s="1">
        <v>45472</v>
      </c>
      <c r="J97" t="s">
        <v>26</v>
      </c>
      <c r="K97" t="s">
        <v>16</v>
      </c>
      <c r="N97"/>
      <c r="O97"/>
      <c r="P97"/>
      <c r="Q97"/>
      <c r="R97"/>
    </row>
    <row r="98" spans="9:18" x14ac:dyDescent="0.35">
      <c r="I98" s="1">
        <v>45472</v>
      </c>
      <c r="J98" t="s">
        <v>17</v>
      </c>
      <c r="K98" t="s">
        <v>18</v>
      </c>
      <c r="N98"/>
      <c r="O98"/>
      <c r="P98"/>
      <c r="Q98"/>
      <c r="R98"/>
    </row>
    <row r="99" spans="9:18" x14ac:dyDescent="0.35">
      <c r="I99" s="1">
        <v>45472</v>
      </c>
      <c r="J99" t="s">
        <v>19</v>
      </c>
      <c r="K99" t="s">
        <v>25</v>
      </c>
      <c r="N99"/>
      <c r="O99"/>
      <c r="P99"/>
      <c r="Q99"/>
      <c r="R99"/>
    </row>
    <row r="100" spans="9:18" x14ac:dyDescent="0.35">
      <c r="I100" s="1">
        <v>45472</v>
      </c>
      <c r="J100" t="s">
        <v>21</v>
      </c>
      <c r="K100" t="s">
        <v>22</v>
      </c>
      <c r="N100"/>
      <c r="O100"/>
      <c r="P100"/>
      <c r="Q100"/>
      <c r="R100"/>
    </row>
    <row r="101" spans="9:18" x14ac:dyDescent="0.35">
      <c r="I101" s="1">
        <v>45472</v>
      </c>
      <c r="J101" t="s">
        <v>23</v>
      </c>
      <c r="K101" t="s">
        <v>24</v>
      </c>
      <c r="N101"/>
      <c r="O101"/>
      <c r="P101"/>
      <c r="Q101"/>
      <c r="R101"/>
    </row>
  </sheetData>
  <sortState xmlns:xlrd2="http://schemas.microsoft.com/office/spreadsheetml/2017/richdata2" ref="B5:G16">
    <sortCondition descending="1" ref="C5:C16"/>
  </sortState>
  <conditionalFormatting sqref="B17">
    <cfRule type="colorScale" priority="2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6:E16 C17">
    <cfRule type="colorScale" priority="2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6:C16 E17">
    <cfRule type="colorScale" priority="2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6:G16 D17">
    <cfRule type="colorScale" priority="2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E6:E16 C17:D17 G6:G16">
    <cfRule type="colorScale" priority="2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5:E16">
    <cfRule type="colorScale" priority="1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5:G16">
    <cfRule type="colorScale" priority="1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F5:F16 D5:D16">
    <cfRule type="colorScale" priority="3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5:C16">
    <cfRule type="colorScale" priority="1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22:D32">
    <cfRule type="colorScale" priority="1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D22:D32">
    <cfRule type="colorScale" priority="1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21:D32">
    <cfRule type="colorScale" priority="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21:C32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22:C32">
    <cfRule type="colorScale" priority="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22:C32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22:F32">
    <cfRule type="colorScale" priority="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F22:F32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21:F32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2</vt:i4>
      </vt:variant>
    </vt:vector>
  </HeadingPairs>
  <TitlesOfParts>
    <vt:vector size="10" baseType="lpstr">
      <vt:lpstr>Real23</vt:lpstr>
      <vt:lpstr>PosVsTeam23_BackRow</vt:lpstr>
      <vt:lpstr>LouMaul</vt:lpstr>
      <vt:lpstr>TheoreticalLambdaHistory</vt:lpstr>
      <vt:lpstr>Strength of Schedule</vt:lpstr>
      <vt:lpstr>Fantasy</vt:lpstr>
      <vt:lpstr>Real24</vt:lpstr>
      <vt:lpstr>Offense Defense</vt:lpstr>
      <vt:lpstr>'Offense Defense'!Home_edge</vt:lpstr>
      <vt:lpstr>mean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Johnson, Nicholas</dc:creator>
  <cp:lastModifiedBy>Johnson, Nicholas</cp:lastModifiedBy>
  <dcterms:created xsi:type="dcterms:W3CDTF">2024-03-17T19:57:28Z</dcterms:created>
  <dcterms:modified xsi:type="dcterms:W3CDTF">2024-05-07T19:40:31Z</dcterms:modified>
</cp:coreProperties>
</file>